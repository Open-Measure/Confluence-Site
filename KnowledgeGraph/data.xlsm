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8B931AB7-B9A7-4095-8109-BEFDFF2C3DA7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EdgesData[JSON]</definedName>
    <definedName name="NodesCypher">#REF!</definedName>
    <definedName name="PreparationCypher" localSheetId="4">Finalize!$A$4</definedName>
    <definedName name="PreparationCypher">Preparation!$A$4</definedName>
    <definedName name="RelationshipsCypher">EdgesData[JSON]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9" l="1"/>
  <c r="L9" i="9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L29" i="9" s="1"/>
  <c r="L30" i="9" s="1"/>
  <c r="L31" i="9" s="1"/>
  <c r="L32" i="9" s="1"/>
  <c r="L33" i="9" s="1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L51" i="9" s="1"/>
  <c r="L52" i="9" s="1"/>
  <c r="L53" i="9" s="1"/>
  <c r="L54" i="9" s="1"/>
  <c r="B475" i="3"/>
  <c r="B474" i="3"/>
  <c r="G474" i="3" s="1"/>
  <c r="B473" i="3"/>
  <c r="B472" i="3"/>
  <c r="B471" i="3"/>
  <c r="B470" i="3"/>
  <c r="G470" i="3" s="1"/>
  <c r="B469" i="3"/>
  <c r="B468" i="3"/>
  <c r="B467" i="3"/>
  <c r="B466" i="3"/>
  <c r="G466" i="3" s="1"/>
  <c r="B465" i="3"/>
  <c r="B464" i="3"/>
  <c r="B463" i="3"/>
  <c r="B462" i="3"/>
  <c r="G462" i="3" s="1"/>
  <c r="B461" i="3"/>
  <c r="B460" i="3"/>
  <c r="B459" i="3"/>
  <c r="B458" i="3"/>
  <c r="G458" i="3" s="1"/>
  <c r="B457" i="3"/>
  <c r="B456" i="3"/>
  <c r="B455" i="3"/>
  <c r="B454" i="3"/>
  <c r="G454" i="3" s="1"/>
  <c r="B453" i="3"/>
  <c r="B452" i="3"/>
  <c r="B451" i="3"/>
  <c r="B450" i="3"/>
  <c r="G450" i="3" s="1"/>
  <c r="B449" i="3"/>
  <c r="B448" i="3"/>
  <c r="B447" i="3"/>
  <c r="B446" i="3"/>
  <c r="G446" i="3" s="1"/>
  <c r="B445" i="3"/>
  <c r="B444" i="3"/>
  <c r="B443" i="3"/>
  <c r="B442" i="3"/>
  <c r="G442" i="3" s="1"/>
  <c r="B441" i="3"/>
  <c r="B440" i="3"/>
  <c r="B439" i="3"/>
  <c r="B438" i="3"/>
  <c r="G438" i="3" s="1"/>
  <c r="B437" i="3"/>
  <c r="B436" i="3"/>
  <c r="B435" i="3"/>
  <c r="B434" i="3"/>
  <c r="G434" i="3" s="1"/>
  <c r="B433" i="3"/>
  <c r="B432" i="3"/>
  <c r="B431" i="3"/>
  <c r="B430" i="3"/>
  <c r="G430" i="3" s="1"/>
  <c r="B429" i="3"/>
  <c r="B428" i="3"/>
  <c r="B427" i="3"/>
  <c r="B426" i="3"/>
  <c r="G426" i="3" s="1"/>
  <c r="B425" i="3"/>
  <c r="B424" i="3"/>
  <c r="B423" i="3"/>
  <c r="B422" i="3"/>
  <c r="B421" i="3"/>
  <c r="B420" i="3"/>
  <c r="B419" i="3"/>
  <c r="B418" i="3"/>
  <c r="G418" i="3" s="1"/>
  <c r="B417" i="3"/>
  <c r="B416" i="3"/>
  <c r="B415" i="3"/>
  <c r="B414" i="3"/>
  <c r="G414" i="3" s="1"/>
  <c r="B413" i="3"/>
  <c r="B412" i="3"/>
  <c r="B411" i="3"/>
  <c r="B410" i="3"/>
  <c r="G410" i="3" s="1"/>
  <c r="B409" i="3"/>
  <c r="B408" i="3"/>
  <c r="B407" i="3"/>
  <c r="B406" i="3"/>
  <c r="B405" i="3"/>
  <c r="B404" i="3"/>
  <c r="B403" i="3"/>
  <c r="B402" i="3"/>
  <c r="G402" i="3" s="1"/>
  <c r="B401" i="3"/>
  <c r="B400" i="3"/>
  <c r="B399" i="3"/>
  <c r="B398" i="3"/>
  <c r="G398" i="3" s="1"/>
  <c r="B397" i="3"/>
  <c r="B396" i="3"/>
  <c r="B395" i="3"/>
  <c r="B394" i="3"/>
  <c r="G394" i="3" s="1"/>
  <c r="B393" i="3"/>
  <c r="B392" i="3"/>
  <c r="B391" i="3"/>
  <c r="B390" i="3"/>
  <c r="B389" i="3"/>
  <c r="B388" i="3"/>
  <c r="B387" i="3"/>
  <c r="B386" i="3"/>
  <c r="G386" i="3" s="1"/>
  <c r="B385" i="3"/>
  <c r="B384" i="3"/>
  <c r="B383" i="3"/>
  <c r="B382" i="3"/>
  <c r="G382" i="3" s="1"/>
  <c r="B381" i="3"/>
  <c r="B380" i="3"/>
  <c r="B379" i="3"/>
  <c r="B378" i="3"/>
  <c r="G378" i="3" s="1"/>
  <c r="B377" i="3"/>
  <c r="B376" i="3"/>
  <c r="B375" i="3"/>
  <c r="B374" i="3"/>
  <c r="B373" i="3"/>
  <c r="B372" i="3"/>
  <c r="B371" i="3"/>
  <c r="B370" i="3"/>
  <c r="G370" i="3" s="1"/>
  <c r="B369" i="3"/>
  <c r="B368" i="3"/>
  <c r="B367" i="3"/>
  <c r="B366" i="3"/>
  <c r="G366" i="3" s="1"/>
  <c r="B365" i="3"/>
  <c r="B364" i="3"/>
  <c r="B363" i="3"/>
  <c r="B362" i="3"/>
  <c r="G362" i="3" s="1"/>
  <c r="B361" i="3"/>
  <c r="B360" i="3"/>
  <c r="B359" i="3"/>
  <c r="B358" i="3"/>
  <c r="B357" i="3"/>
  <c r="B356" i="3"/>
  <c r="B355" i="3"/>
  <c r="B354" i="3"/>
  <c r="G354" i="3" s="1"/>
  <c r="B353" i="3"/>
  <c r="B352" i="3"/>
  <c r="B351" i="3"/>
  <c r="B350" i="3"/>
  <c r="G350" i="3" s="1"/>
  <c r="B349" i="3"/>
  <c r="B348" i="3"/>
  <c r="B347" i="3"/>
  <c r="B346" i="3"/>
  <c r="G346" i="3" s="1"/>
  <c r="B345" i="3"/>
  <c r="B344" i="3"/>
  <c r="B343" i="3"/>
  <c r="B342" i="3"/>
  <c r="B341" i="3"/>
  <c r="B340" i="3"/>
  <c r="B339" i="3"/>
  <c r="B338" i="3"/>
  <c r="G338" i="3" s="1"/>
  <c r="B337" i="3"/>
  <c r="B336" i="3"/>
  <c r="B335" i="3"/>
  <c r="B334" i="3"/>
  <c r="G334" i="3" s="1"/>
  <c r="B333" i="3"/>
  <c r="B332" i="3"/>
  <c r="B331" i="3"/>
  <c r="B330" i="3"/>
  <c r="G330" i="3" s="1"/>
  <c r="B329" i="3"/>
  <c r="B328" i="3"/>
  <c r="B327" i="3"/>
  <c r="B326" i="3"/>
  <c r="B325" i="3"/>
  <c r="B324" i="3"/>
  <c r="B323" i="3"/>
  <c r="B322" i="3"/>
  <c r="G322" i="3" s="1"/>
  <c r="B321" i="3"/>
  <c r="B320" i="3"/>
  <c r="B319" i="3"/>
  <c r="B318" i="3"/>
  <c r="G318" i="3" s="1"/>
  <c r="B317" i="3"/>
  <c r="B316" i="3"/>
  <c r="B315" i="3"/>
  <c r="B314" i="3"/>
  <c r="G314" i="3" s="1"/>
  <c r="B313" i="3"/>
  <c r="B312" i="3"/>
  <c r="B311" i="3"/>
  <c r="B310" i="3"/>
  <c r="B309" i="3"/>
  <c r="B308" i="3"/>
  <c r="B307" i="3"/>
  <c r="B306" i="3"/>
  <c r="G306" i="3" s="1"/>
  <c r="B305" i="3"/>
  <c r="B304" i="3"/>
  <c r="B303" i="3"/>
  <c r="B302" i="3"/>
  <c r="G302" i="3" s="1"/>
  <c r="B301" i="3"/>
  <c r="B300" i="3"/>
  <c r="B299" i="3"/>
  <c r="B298" i="3"/>
  <c r="G298" i="3" s="1"/>
  <c r="B297" i="3"/>
  <c r="B296" i="3"/>
  <c r="B295" i="3"/>
  <c r="B294" i="3"/>
  <c r="B293" i="3"/>
  <c r="B292" i="3"/>
  <c r="B291" i="3"/>
  <c r="B290" i="3"/>
  <c r="G290" i="3" s="1"/>
  <c r="B289" i="3"/>
  <c r="B288" i="3"/>
  <c r="B287" i="3"/>
  <c r="B286" i="3"/>
  <c r="G286" i="3" s="1"/>
  <c r="B285" i="3"/>
  <c r="B284" i="3"/>
  <c r="B283" i="3"/>
  <c r="B282" i="3"/>
  <c r="G282" i="3" s="1"/>
  <c r="B281" i="3"/>
  <c r="B280" i="3"/>
  <c r="B279" i="3"/>
  <c r="B278" i="3"/>
  <c r="B277" i="3"/>
  <c r="B276" i="3"/>
  <c r="B275" i="3"/>
  <c r="B274" i="3"/>
  <c r="G274" i="3" s="1"/>
  <c r="B273" i="3"/>
  <c r="B272" i="3"/>
  <c r="B271" i="3"/>
  <c r="B270" i="3"/>
  <c r="G270" i="3" s="1"/>
  <c r="B269" i="3"/>
  <c r="B268" i="3"/>
  <c r="B267" i="3"/>
  <c r="B266" i="3"/>
  <c r="G266" i="3" s="1"/>
  <c r="B265" i="3"/>
  <c r="B264" i="3"/>
  <c r="B263" i="3"/>
  <c r="B262" i="3"/>
  <c r="B261" i="3"/>
  <c r="B260" i="3"/>
  <c r="B259" i="3"/>
  <c r="B258" i="3"/>
  <c r="G258" i="3" s="1"/>
  <c r="B257" i="3"/>
  <c r="B256" i="3"/>
  <c r="B255" i="3"/>
  <c r="B254" i="3"/>
  <c r="G254" i="3" s="1"/>
  <c r="B253" i="3"/>
  <c r="B252" i="3"/>
  <c r="B251" i="3"/>
  <c r="B250" i="3"/>
  <c r="G250" i="3" s="1"/>
  <c r="B249" i="3"/>
  <c r="B248" i="3"/>
  <c r="B247" i="3"/>
  <c r="B246" i="3"/>
  <c r="B245" i="3"/>
  <c r="B244" i="3"/>
  <c r="B243" i="3"/>
  <c r="B242" i="3"/>
  <c r="G242" i="3" s="1"/>
  <c r="B241" i="3"/>
  <c r="B240" i="3"/>
  <c r="B239" i="3"/>
  <c r="B238" i="3"/>
  <c r="G238" i="3" s="1"/>
  <c r="B237" i="3"/>
  <c r="B236" i="3"/>
  <c r="B235" i="3"/>
  <c r="B234" i="3"/>
  <c r="G234" i="3" s="1"/>
  <c r="B233" i="3"/>
  <c r="B232" i="3"/>
  <c r="B231" i="3"/>
  <c r="B230" i="3"/>
  <c r="B229" i="3"/>
  <c r="B228" i="3"/>
  <c r="B227" i="3"/>
  <c r="B226" i="3"/>
  <c r="G226" i="3" s="1"/>
  <c r="B225" i="3"/>
  <c r="B224" i="3"/>
  <c r="B223" i="3"/>
  <c r="B222" i="3"/>
  <c r="G222" i="3" s="1"/>
  <c r="B221" i="3"/>
  <c r="B220" i="3"/>
  <c r="B219" i="3"/>
  <c r="B218" i="3"/>
  <c r="G218" i="3" s="1"/>
  <c r="B217" i="3"/>
  <c r="B216" i="3"/>
  <c r="B215" i="3"/>
  <c r="B214" i="3"/>
  <c r="B213" i="3"/>
  <c r="B212" i="3"/>
  <c r="B211" i="3"/>
  <c r="B210" i="3"/>
  <c r="G210" i="3" s="1"/>
  <c r="B209" i="3"/>
  <c r="B208" i="3"/>
  <c r="B207" i="3"/>
  <c r="B206" i="3"/>
  <c r="B205" i="3"/>
  <c r="B204" i="3"/>
  <c r="B203" i="3"/>
  <c r="B202" i="3"/>
  <c r="G202" i="3" s="1"/>
  <c r="B201" i="3"/>
  <c r="B200" i="3"/>
  <c r="B199" i="3"/>
  <c r="B198" i="3"/>
  <c r="B197" i="3"/>
  <c r="B196" i="3"/>
  <c r="B195" i="3"/>
  <c r="B194" i="3"/>
  <c r="G194" i="3" s="1"/>
  <c r="B193" i="3"/>
  <c r="B192" i="3"/>
  <c r="B191" i="3"/>
  <c r="B190" i="3"/>
  <c r="B189" i="3"/>
  <c r="B188" i="3"/>
  <c r="B187" i="3"/>
  <c r="B186" i="3"/>
  <c r="G186" i="3" s="1"/>
  <c r="B185" i="3"/>
  <c r="B184" i="3"/>
  <c r="B183" i="3"/>
  <c r="B182" i="3"/>
  <c r="B181" i="3"/>
  <c r="B180" i="3"/>
  <c r="B179" i="3"/>
  <c r="B178" i="3"/>
  <c r="G178" i="3" s="1"/>
  <c r="B177" i="3"/>
  <c r="B176" i="3"/>
  <c r="B175" i="3"/>
  <c r="B174" i="3"/>
  <c r="B173" i="3"/>
  <c r="B172" i="3"/>
  <c r="B171" i="3"/>
  <c r="B170" i="3"/>
  <c r="G170" i="3" s="1"/>
  <c r="B169" i="3"/>
  <c r="B168" i="3"/>
  <c r="B167" i="3"/>
  <c r="B166" i="3"/>
  <c r="B165" i="3"/>
  <c r="B164" i="3"/>
  <c r="B163" i="3"/>
  <c r="B162" i="3"/>
  <c r="G162" i="3" s="1"/>
  <c r="B161" i="3"/>
  <c r="B160" i="3"/>
  <c r="B159" i="3"/>
  <c r="B158" i="3"/>
  <c r="B157" i="3"/>
  <c r="B156" i="3"/>
  <c r="B155" i="3"/>
  <c r="B154" i="3"/>
  <c r="G154" i="3" s="1"/>
  <c r="B153" i="3"/>
  <c r="B152" i="3"/>
  <c r="B151" i="3"/>
  <c r="B150" i="3"/>
  <c r="B149" i="3"/>
  <c r="B148" i="3"/>
  <c r="B147" i="3"/>
  <c r="B146" i="3"/>
  <c r="G146" i="3" s="1"/>
  <c r="B145" i="3"/>
  <c r="B144" i="3"/>
  <c r="B143" i="3"/>
  <c r="B142" i="3"/>
  <c r="B141" i="3"/>
  <c r="B140" i="3"/>
  <c r="B139" i="3"/>
  <c r="B138" i="3"/>
  <c r="G138" i="3" s="1"/>
  <c r="B137" i="3"/>
  <c r="B136" i="3"/>
  <c r="B135" i="3"/>
  <c r="B134" i="3"/>
  <c r="G134" i="3" s="1"/>
  <c r="B133" i="3"/>
  <c r="B132" i="3"/>
  <c r="B131" i="3"/>
  <c r="B130" i="3"/>
  <c r="B129" i="3"/>
  <c r="B128" i="3"/>
  <c r="B127" i="3"/>
  <c r="B126" i="3"/>
  <c r="G126" i="3" s="1"/>
  <c r="B125" i="3"/>
  <c r="B124" i="3"/>
  <c r="B123" i="3"/>
  <c r="B122" i="3"/>
  <c r="G122" i="3" s="1"/>
  <c r="B121" i="3"/>
  <c r="B120" i="3"/>
  <c r="B119" i="3"/>
  <c r="B118" i="3"/>
  <c r="G118" i="3" s="1"/>
  <c r="B117" i="3"/>
  <c r="B116" i="3"/>
  <c r="B115" i="3"/>
  <c r="B114" i="3"/>
  <c r="B113" i="3"/>
  <c r="B112" i="3"/>
  <c r="B111" i="3"/>
  <c r="B110" i="3"/>
  <c r="G110" i="3" s="1"/>
  <c r="B109" i="3"/>
  <c r="B108" i="3"/>
  <c r="B107" i="3"/>
  <c r="B106" i="3"/>
  <c r="G106" i="3" s="1"/>
  <c r="B105" i="3"/>
  <c r="B104" i="3"/>
  <c r="B103" i="3"/>
  <c r="B102" i="3"/>
  <c r="G102" i="3" s="1"/>
  <c r="B101" i="3"/>
  <c r="B100" i="3"/>
  <c r="B99" i="3"/>
  <c r="B98" i="3"/>
  <c r="B97" i="3"/>
  <c r="B96" i="3"/>
  <c r="B95" i="3"/>
  <c r="B94" i="3"/>
  <c r="G94" i="3" s="1"/>
  <c r="B93" i="3"/>
  <c r="B92" i="3"/>
  <c r="B91" i="3"/>
  <c r="B90" i="3"/>
  <c r="G90" i="3" s="1"/>
  <c r="B89" i="3"/>
  <c r="B88" i="3"/>
  <c r="B87" i="3"/>
  <c r="B86" i="3"/>
  <c r="G86" i="3" s="1"/>
  <c r="B85" i="3"/>
  <c r="B84" i="3"/>
  <c r="B83" i="3"/>
  <c r="B82" i="3"/>
  <c r="B81" i="3"/>
  <c r="B80" i="3"/>
  <c r="B79" i="3"/>
  <c r="B78" i="3"/>
  <c r="G78" i="3" s="1"/>
  <c r="B77" i="3"/>
  <c r="B76" i="3"/>
  <c r="B75" i="3"/>
  <c r="B74" i="3"/>
  <c r="G74" i="3" s="1"/>
  <c r="B73" i="3"/>
  <c r="B72" i="3"/>
  <c r="B71" i="3"/>
  <c r="B70" i="3"/>
  <c r="G70" i="3" s="1"/>
  <c r="B69" i="3"/>
  <c r="B68" i="3"/>
  <c r="B67" i="3"/>
  <c r="B66" i="3"/>
  <c r="B65" i="3"/>
  <c r="B64" i="3"/>
  <c r="B63" i="3"/>
  <c r="B62" i="3"/>
  <c r="G62" i="3" s="1"/>
  <c r="B61" i="3"/>
  <c r="B60" i="3"/>
  <c r="B59" i="3"/>
  <c r="B58" i="3"/>
  <c r="G58" i="3" s="1"/>
  <c r="B57" i="3"/>
  <c r="B56" i="3"/>
  <c r="B55" i="3"/>
  <c r="B54" i="3"/>
  <c r="G54" i="3" s="1"/>
  <c r="B53" i="3"/>
  <c r="B52" i="3"/>
  <c r="B51" i="3"/>
  <c r="B50" i="3"/>
  <c r="B49" i="3"/>
  <c r="B48" i="3"/>
  <c r="B47" i="3"/>
  <c r="B46" i="3"/>
  <c r="G46" i="3" s="1"/>
  <c r="B45" i="3"/>
  <c r="B44" i="3"/>
  <c r="B43" i="3"/>
  <c r="B42" i="3"/>
  <c r="G42" i="3" s="1"/>
  <c r="B41" i="3"/>
  <c r="B40" i="3"/>
  <c r="B39" i="3"/>
  <c r="B38" i="3"/>
  <c r="G38" i="3" s="1"/>
  <c r="B37" i="3"/>
  <c r="B36" i="3"/>
  <c r="B35" i="3"/>
  <c r="B34" i="3"/>
  <c r="B33" i="3"/>
  <c r="B32" i="3"/>
  <c r="B31" i="3"/>
  <c r="B30" i="3"/>
  <c r="G30" i="3" s="1"/>
  <c r="B29" i="3"/>
  <c r="B28" i="3"/>
  <c r="B27" i="3"/>
  <c r="B26" i="3"/>
  <c r="G26" i="3" s="1"/>
  <c r="B25" i="3"/>
  <c r="B24" i="3"/>
  <c r="B23" i="3"/>
  <c r="B22" i="3"/>
  <c r="G22" i="3" s="1"/>
  <c r="B21" i="3"/>
  <c r="B20" i="3"/>
  <c r="B19" i="3"/>
  <c r="B18" i="3"/>
  <c r="B17" i="3"/>
  <c r="B16" i="3"/>
  <c r="B15" i="3"/>
  <c r="B14" i="3"/>
  <c r="G14" i="3" s="1"/>
  <c r="B13" i="3"/>
  <c r="B12" i="3"/>
  <c r="B11" i="3"/>
  <c r="B10" i="3"/>
  <c r="G10" i="3" s="1"/>
  <c r="B9" i="3"/>
  <c r="B8" i="3"/>
  <c r="B7" i="3"/>
  <c r="B6" i="3"/>
  <c r="G6" i="3" s="1"/>
  <c r="B5" i="3"/>
  <c r="B4" i="3"/>
  <c r="G143" i="3" s="1"/>
  <c r="B3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G18" i="3"/>
  <c r="G34" i="3"/>
  <c r="G50" i="3"/>
  <c r="G66" i="3"/>
  <c r="G82" i="3"/>
  <c r="G98" i="3"/>
  <c r="G114" i="3"/>
  <c r="G130" i="3"/>
  <c r="G142" i="3"/>
  <c r="G150" i="3"/>
  <c r="G158" i="3"/>
  <c r="G166" i="3"/>
  <c r="G174" i="3"/>
  <c r="G182" i="3"/>
  <c r="G190" i="3"/>
  <c r="G198" i="3"/>
  <c r="G206" i="3"/>
  <c r="G214" i="3"/>
  <c r="G219" i="3"/>
  <c r="G225" i="3"/>
  <c r="G230" i="3"/>
  <c r="G235" i="3"/>
  <c r="G241" i="3"/>
  <c r="G246" i="3"/>
  <c r="G251" i="3"/>
  <c r="G257" i="3"/>
  <c r="G262" i="3"/>
  <c r="G267" i="3"/>
  <c r="G273" i="3"/>
  <c r="G278" i="3"/>
  <c r="G283" i="3"/>
  <c r="G289" i="3"/>
  <c r="G294" i="3"/>
  <c r="G299" i="3"/>
  <c r="G305" i="3"/>
  <c r="G310" i="3"/>
  <c r="G315" i="3"/>
  <c r="G321" i="3"/>
  <c r="G326" i="3"/>
  <c r="G331" i="3"/>
  <c r="G337" i="3"/>
  <c r="G342" i="3"/>
  <c r="G347" i="3"/>
  <c r="G353" i="3"/>
  <c r="G358" i="3"/>
  <c r="G363" i="3"/>
  <c r="G369" i="3"/>
  <c r="G374" i="3"/>
  <c r="G379" i="3"/>
  <c r="G385" i="3"/>
  <c r="G390" i="3"/>
  <c r="G395" i="3"/>
  <c r="G401" i="3"/>
  <c r="G406" i="3"/>
  <c r="G411" i="3"/>
  <c r="G417" i="3"/>
  <c r="G422" i="3"/>
  <c r="G427" i="3"/>
  <c r="G433" i="3"/>
  <c r="G437" i="3"/>
  <c r="G441" i="3"/>
  <c r="G445" i="3"/>
  <c r="G449" i="3"/>
  <c r="G453" i="3"/>
  <c r="G457" i="3"/>
  <c r="G461" i="3"/>
  <c r="G465" i="3"/>
  <c r="G469" i="3"/>
  <c r="G473" i="3"/>
  <c r="C18" i="7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C477" i="6" a="1"/>
  <c r="C464" i="6" a="1"/>
  <c r="C359" i="6" a="1"/>
  <c r="C140" i="6" a="1"/>
  <c r="C196" i="6" a="1"/>
  <c r="C29" i="6" a="1"/>
  <c r="C107" i="6" a="1"/>
  <c r="C78" i="6" a="1"/>
  <c r="C458" i="6" a="1"/>
  <c r="C441" i="6" a="1"/>
  <c r="C349" i="6" a="1"/>
  <c r="C116" i="6" a="1"/>
  <c r="C186" i="6" a="1"/>
  <c r="C111" i="6" a="1"/>
  <c r="C60" i="6" a="1"/>
  <c r="C487" i="6" a="1"/>
  <c r="C472" i="6" a="1"/>
  <c r="C363" i="6" a="1"/>
  <c r="C145" i="6" a="1"/>
  <c r="C200" i="6" a="1"/>
  <c r="C36" i="6" a="1"/>
  <c r="C119" i="6" a="1"/>
  <c r="C109" i="6" a="1"/>
  <c r="C401" i="6" a="1"/>
  <c r="C39" i="6" a="1"/>
  <c r="C386" i="6" a="1"/>
  <c r="C462" i="6" a="1"/>
  <c r="C511" i="6" a="1"/>
  <c r="C495" i="6" a="1"/>
  <c r="C215" i="6" a="1"/>
  <c r="C105" i="6" a="1"/>
  <c r="C399" i="6" a="1"/>
  <c r="C383" i="6" a="1"/>
  <c r="C319" i="6" a="1"/>
  <c r="C455" i="6" a="1"/>
  <c r="C147" i="6" a="1"/>
  <c r="C431" i="6" a="1"/>
  <c r="C62" i="6" a="1"/>
  <c r="C89" i="6" a="1"/>
  <c r="C377" i="6" a="1"/>
  <c r="C364" i="6" a="1"/>
  <c r="C308" i="6" a="1"/>
  <c r="C294" i="6" a="1"/>
  <c r="C126" i="6" a="1"/>
  <c r="C280" i="6" a="1"/>
  <c r="C41" i="6" a="1"/>
  <c r="C406" i="6" a="1"/>
  <c r="C390" i="6" a="1"/>
  <c r="C323" i="6" a="1"/>
  <c r="C484" i="6" a="1"/>
  <c r="C155" i="6" a="1"/>
  <c r="C494" i="6" a="1"/>
  <c r="C261" i="6" a="1"/>
  <c r="C121" i="6" a="1"/>
  <c r="C297" i="6" a="1"/>
  <c r="C17" i="6" a="1"/>
  <c r="C459" i="6" a="1"/>
  <c r="C220" i="6" a="1"/>
  <c r="C174" i="6" a="1"/>
  <c r="C433" i="6" a="1"/>
  <c r="C94" i="6" a="1"/>
  <c r="C417" i="6" a="1"/>
  <c r="C175" i="6" a="1"/>
  <c r="C368" i="6" a="1"/>
  <c r="C392" i="6" a="1"/>
  <c r="C290" i="6" a="1"/>
  <c r="C20" i="6" a="1"/>
  <c r="C496" i="6" a="1"/>
  <c r="C279" i="6" a="1"/>
  <c r="C248" i="6" a="1"/>
  <c r="C391" i="6" a="1"/>
  <c r="C314" i="6" a="1"/>
  <c r="C138" i="6" a="1"/>
  <c r="C54" i="6" a="1"/>
  <c r="C292" i="6" a="1"/>
  <c r="C274" i="6" a="1"/>
  <c r="C435" i="6" a="1"/>
  <c r="C295" i="6" a="1"/>
  <c r="C415" i="6" a="1"/>
  <c r="C189" i="6" a="1"/>
  <c r="C159" i="6" a="1"/>
  <c r="C306" i="6" a="1"/>
  <c r="C394" i="6" a="1"/>
  <c r="C521" i="6" a="1"/>
  <c r="C76" i="6" a="1"/>
  <c r="C353" i="6" a="1"/>
  <c r="C287" i="6" a="1"/>
  <c r="C480" i="6" a="1"/>
  <c r="C153" i="6" a="1"/>
  <c r="C45" i="6" a="1"/>
  <c r="C139" i="6" a="1"/>
  <c r="C457" i="6" a="1"/>
  <c r="C132" i="6" a="1"/>
  <c r="C26" i="6" a="1"/>
  <c r="C520" i="6" a="1"/>
  <c r="C378" i="6" a="1"/>
  <c r="C209" i="6" a="1"/>
  <c r="C137" i="6" a="1"/>
  <c r="C468" i="6" a="1"/>
  <c r="C449" i="6" a="1"/>
  <c r="C456" i="6" a="1"/>
  <c r="C237" i="6" a="1"/>
  <c r="C265" i="6" a="1"/>
  <c r="C447" i="6" a="1"/>
  <c r="C193" i="6" a="1"/>
  <c r="C340" i="6" a="1"/>
  <c r="C381" i="6" a="1"/>
  <c r="C67" i="6" a="1"/>
  <c r="C185" i="6" a="1"/>
  <c r="C330" i="6" a="1"/>
  <c r="C302" i="6" a="1"/>
  <c r="C374" i="6" a="1"/>
  <c r="C250" i="6" a="1"/>
  <c r="C460" i="6" a="1"/>
  <c r="C249" i="6" a="1"/>
  <c r="C212" i="6" a="1"/>
  <c r="C510" i="6" a="1"/>
  <c r="C502" i="6" a="1"/>
  <c r="C136" i="6" a="1"/>
  <c r="C310" i="6" a="1"/>
  <c r="C305" i="6" a="1"/>
  <c r="C11" i="6" a="1"/>
  <c r="C436" i="6" a="1"/>
  <c r="C403" i="6" a="1"/>
  <c r="C410" i="6" a="1"/>
  <c r="C173" i="6" a="1"/>
  <c r="C176" i="6" a="1"/>
  <c r="C519" i="6" a="1"/>
  <c r="C414" i="6" a="1"/>
  <c r="C398" i="6" a="1"/>
  <c r="C327" i="6" a="1"/>
  <c r="C69" i="6" a="1"/>
  <c r="C160" i="6" a="1"/>
  <c r="C31" i="6" a="1"/>
  <c r="C278" i="6" a="1"/>
  <c r="C152" i="6" a="1"/>
  <c r="C395" i="6" a="1"/>
  <c r="C379" i="6" a="1"/>
  <c r="C317" i="6" a="1"/>
  <c r="C439" i="6" a="1"/>
  <c r="C143" i="6" a="1"/>
  <c r="C400" i="6" a="1"/>
  <c r="C57" i="6" a="1"/>
  <c r="C422" i="6" a="1"/>
  <c r="C405" i="6" a="1"/>
  <c r="C331" i="6" a="1"/>
  <c r="C77" i="6" a="1"/>
  <c r="C169" i="6" a="1"/>
  <c r="C47" i="6" a="1"/>
  <c r="C293" i="6" a="1"/>
  <c r="C38" i="6" a="1"/>
  <c r="C329" i="6" a="1"/>
  <c r="C289" i="6" a="1"/>
  <c r="C321" i="6" a="1"/>
  <c r="C65" i="6" a="1"/>
  <c r="C239" i="6" a="1"/>
  <c r="C504" i="6" a="1"/>
  <c r="C66" i="6" a="1"/>
  <c r="C334" i="6" a="1"/>
  <c r="C348" i="6" a="1"/>
  <c r="C467" i="6" a="1"/>
  <c r="C443" i="6" a="1"/>
  <c r="C256" i="6" a="1"/>
  <c r="C83" i="6" a="1"/>
  <c r="C231" i="6" a="1"/>
  <c r="C214" i="6" a="1"/>
  <c r="C23" i="6" a="1"/>
  <c r="C338" i="6" a="1"/>
  <c r="C448" i="6" a="1"/>
  <c r="C366" i="6" a="1"/>
  <c r="C243" i="6" a="1"/>
  <c r="C501" i="6" a="1"/>
  <c r="C201" i="6" a="1"/>
  <c r="C478" i="6" a="1"/>
  <c r="C352" i="6" a="1"/>
  <c r="C475" i="6" a="1"/>
  <c r="C474" i="6" a="1"/>
  <c r="C263" i="6" a="1"/>
  <c r="C90" i="6" a="1"/>
  <c r="C226" i="6" a="1"/>
  <c r="C228" i="6" a="1"/>
  <c r="C82" i="6" a="1"/>
  <c r="C272" i="6" a="1"/>
  <c r="C117" i="6" a="1"/>
  <c r="C259" i="6" a="1"/>
  <c r="C59" i="6" a="1"/>
  <c r="C134" i="6" a="1"/>
  <c r="C347" i="6" a="1"/>
  <c r="C44" i="6" a="1"/>
  <c r="C156" i="6" a="1"/>
  <c r="C493" i="6" a="1"/>
  <c r="C385" i="6" a="1"/>
  <c r="C213" i="6" a="1"/>
  <c r="C146" i="6" a="1"/>
  <c r="C491" i="6" a="1"/>
  <c r="C367" i="6" a="1"/>
  <c r="C203" i="6" a="1"/>
  <c r="C127" i="6" a="1"/>
  <c r="C513" i="6" a="1"/>
  <c r="C262" i="6" a="1"/>
  <c r="C253" i="6" a="1"/>
  <c r="C217" i="6" a="1"/>
  <c r="C304" i="6" a="1"/>
  <c r="C271" i="6" a="1"/>
  <c r="C5" i="6" a="1"/>
  <c r="C32" i="6" a="1"/>
  <c r="C14" i="6" a="1"/>
  <c r="C50" i="6" a="1"/>
  <c r="C118" i="6" a="1"/>
  <c r="C191" i="6" a="1"/>
  <c r="C325" i="6" a="1"/>
  <c r="C421" i="6" a="1"/>
  <c r="C451" i="6" a="1"/>
  <c r="C15" i="6" a="1"/>
  <c r="C10" i="6" a="1"/>
  <c r="C503" i="6" a="1"/>
  <c r="C284" i="6" a="1"/>
  <c r="C252" i="6" a="1"/>
  <c r="C70" i="6" a="1"/>
  <c r="C479" i="6" a="1"/>
  <c r="C266" i="6" a="1"/>
  <c r="C232" i="6" a="1"/>
  <c r="C373" i="6" a="1"/>
  <c r="C307" i="6" a="1"/>
  <c r="C122" i="6" a="1"/>
  <c r="C37" i="6" a="1"/>
  <c r="C141" i="6" a="1"/>
  <c r="C124" i="6" a="1"/>
  <c r="C208" i="6" a="1"/>
  <c r="C322" i="6" a="1"/>
  <c r="C336" i="6" a="1"/>
  <c r="C197" i="6" a="1"/>
  <c r="C419" i="6" a="1"/>
  <c r="C516" i="6" a="1"/>
  <c r="C356" i="6" a="1"/>
  <c r="C481" i="6" a="1"/>
  <c r="C517" i="6" a="1"/>
  <c r="C269" i="6" a="1"/>
  <c r="C98" i="6" a="1"/>
  <c r="C236" i="6" a="1"/>
  <c r="C283" i="6" a="1"/>
  <c r="C144" i="6" a="1"/>
  <c r="C345" i="6" a="1"/>
  <c r="C463" i="6" a="1"/>
  <c r="C427" i="6" a="1"/>
  <c r="C251" i="6" a="1"/>
  <c r="C79" i="6" a="1"/>
  <c r="C216" i="6" a="1"/>
  <c r="C206" i="6" a="1"/>
  <c r="C360" i="6" a="1"/>
  <c r="C488" i="6" a="1"/>
  <c r="C299" i="6" a="1"/>
  <c r="C276" i="6" a="1"/>
  <c r="C106" i="6" a="1"/>
  <c r="C244" i="6" a="1"/>
  <c r="C21" i="6" a="1"/>
  <c r="C27" i="6" a="1"/>
  <c r="C73" i="6" a="1"/>
  <c r="C93" i="6" a="1"/>
  <c r="C470" i="6" a="1"/>
  <c r="C64" i="6" a="1"/>
  <c r="C267" i="6" a="1"/>
  <c r="C389" i="6" a="1"/>
  <c r="C150" i="6" a="1"/>
  <c r="C500" i="6" a="1"/>
  <c r="C316" i="6" a="1"/>
  <c r="C407" i="6" a="1"/>
  <c r="C270" i="6" a="1"/>
  <c r="C219" i="6" a="1"/>
  <c r="C268" i="6" a="1"/>
  <c r="C161" i="6" a="1"/>
  <c r="C234" i="6" a="1"/>
  <c r="C489" i="6" a="1"/>
  <c r="C490" i="6" a="1"/>
  <c r="C382" i="6" a="1"/>
  <c r="C167" i="6" a="1"/>
  <c r="C211" i="6" a="1"/>
  <c r="C58" i="6" a="1"/>
  <c r="C142" i="6" a="1"/>
  <c r="C506" i="6" a="1"/>
  <c r="C320" i="6" a="1"/>
  <c r="C412" i="6" a="1"/>
  <c r="C277" i="6" a="1"/>
  <c r="C223" i="6" a="1"/>
  <c r="C281" i="6" a="1"/>
  <c r="C168" i="6" a="1"/>
  <c r="C246" i="6" a="1"/>
  <c r="C358" i="6" a="1"/>
  <c r="C102" i="6" a="1"/>
  <c r="C350" i="6" a="1"/>
  <c r="C86" i="6" a="1"/>
  <c r="C434" i="6" a="1"/>
  <c r="C74" i="6" a="1"/>
  <c r="C108" i="6" a="1"/>
  <c r="C171" i="6" a="1"/>
  <c r="C68" i="6" a="1"/>
  <c r="C380" i="6" a="1"/>
  <c r="C311" i="6" a="1"/>
  <c r="C130" i="6" a="1"/>
  <c r="C46" i="6" a="1"/>
  <c r="C362" i="6" a="1"/>
  <c r="C301" i="6" a="1"/>
  <c r="C110" i="6" a="1"/>
  <c r="C25" i="6" a="1"/>
  <c r="C376" i="6" a="1"/>
  <c r="C423" i="6" a="1"/>
  <c r="C371" i="6" a="1"/>
  <c r="C51" i="6" a="1"/>
  <c r="C288" i="6" a="1"/>
  <c r="C260" i="6" a="1"/>
  <c r="C370" i="6" a="1"/>
  <c r="C440" i="6" a="1"/>
  <c r="C9" i="6" a="1"/>
  <c r="C40" i="6" a="1"/>
  <c r="C97" i="6" a="1"/>
  <c r="C384" i="6" a="1"/>
  <c r="C225" i="6" a="1"/>
  <c r="C339" i="6" a="1"/>
  <c r="C483" i="6" a="1"/>
  <c r="C342" i="6" a="1"/>
  <c r="C507" i="6" a="1"/>
  <c r="C372" i="6" a="1"/>
  <c r="C205" i="6" a="1"/>
  <c r="C131" i="6" a="1"/>
  <c r="C473" i="6" a="1"/>
  <c r="C357" i="6" a="1"/>
  <c r="C194" i="6" a="1"/>
  <c r="C99" i="6" a="1"/>
  <c r="C486" i="6" a="1"/>
  <c r="C162" i="6" a="1"/>
  <c r="C53" i="6" a="1"/>
  <c r="C181" i="6" a="1"/>
  <c r="C34" i="6" a="1"/>
  <c r="C18" i="6" a="1"/>
  <c r="C337" i="6" a="1"/>
  <c r="C509" i="6" a="1"/>
  <c r="C313" i="6" a="1"/>
  <c r="C190" i="6" a="1"/>
  <c r="C12" i="6" a="1"/>
  <c r="C452" i="6" a="1"/>
  <c r="C245" i="6" a="1"/>
  <c r="C204" i="6" a="1"/>
  <c r="C514" i="6" a="1"/>
  <c r="C432" i="6" a="1"/>
  <c r="C235" i="6" a="1"/>
  <c r="C187" i="6" a="1"/>
  <c r="C344" i="6" a="1"/>
  <c r="C411" i="6" a="1"/>
  <c r="C75" i="6" a="1"/>
  <c r="C199" i="6" a="1"/>
  <c r="C229" i="6" a="1"/>
  <c r="C221" i="6" a="1"/>
  <c r="C33" i="6" a="1"/>
  <c r="C49" i="6" a="1"/>
  <c r="C48" i="6" a="1"/>
  <c r="C332" i="6" a="1"/>
  <c r="C88" i="6" a="1"/>
  <c r="C388" i="6" a="1"/>
  <c r="C282" i="6" a="1"/>
  <c r="C444" i="6" a="1"/>
  <c r="C420" i="6" a="1"/>
  <c r="C177" i="6" a="1"/>
  <c r="C397" i="6" a="1"/>
  <c r="C157" i="6" a="1"/>
  <c r="C298" i="6" a="1"/>
  <c r="C273" i="6" a="1"/>
  <c r="C149" i="6" a="1"/>
  <c r="C238" i="6" a="1"/>
  <c r="C120" i="6" a="1"/>
  <c r="C16" i="6" a="1"/>
  <c r="C100" i="6" a="1"/>
  <c r="C469" i="6" a="1"/>
  <c r="C192" i="6" a="1"/>
  <c r="C485" i="6" a="1"/>
  <c r="C375" i="6" a="1"/>
  <c r="C125" i="6" a="1"/>
  <c r="C202" i="6" a="1"/>
  <c r="C497" i="6" a="1"/>
  <c r="C326" i="6" a="1"/>
  <c r="C207" i="6" a="1"/>
  <c r="C505" i="6" a="1"/>
  <c r="C71" i="6" a="1"/>
  <c r="C30" i="6" a="1"/>
  <c r="C242" i="6" a="1"/>
  <c r="C133" i="6" a="1"/>
  <c r="C286" i="6" a="1"/>
  <c r="C429" i="6" a="1"/>
  <c r="C87" i="6" a="1"/>
  <c r="C409" i="6" a="1"/>
  <c r="C55" i="6" a="1"/>
  <c r="C346" i="6" a="1"/>
  <c r="C52" i="6" a="1"/>
  <c r="C404" i="6" a="1"/>
  <c r="C135" i="6" a="1"/>
  <c r="C430" i="6" a="1"/>
  <c r="C63" i="6" a="1"/>
  <c r="C438" i="6" a="1"/>
  <c r="C361" i="6" a="1"/>
  <c r="C396" i="6" a="1"/>
  <c r="C413" i="6" a="1"/>
  <c r="C96" i="6" a="1"/>
  <c r="C515" i="6" a="1"/>
  <c r="C424" i="6" a="1"/>
  <c r="C335" i="6" a="1"/>
  <c r="C84" i="6" a="1"/>
  <c r="C324" i="6" a="1"/>
  <c r="C258" i="6" a="1"/>
  <c r="C183" i="6" a="1"/>
  <c r="C257" i="6" a="1"/>
  <c r="C72" i="6" a="1"/>
  <c r="C128" i="6" a="1"/>
  <c r="C222" i="6" a="1"/>
  <c r="C42" i="6" a="1"/>
  <c r="C408" i="6" a="1"/>
  <c r="C114" i="6" a="1"/>
  <c r="C7" i="6" a="1"/>
  <c r="C426" i="6" a="1"/>
  <c r="C103" i="6" a="1"/>
  <c r="C13" i="6" a="1"/>
  <c r="C19" i="6" a="1"/>
  <c r="C285" i="6" a="1"/>
  <c r="C255" i="6" a="1"/>
  <c r="C264" i="6" a="1"/>
  <c r="C512" i="6" a="1"/>
  <c r="C233" i="6" a="1"/>
  <c r="C418" i="6" a="1"/>
  <c r="C113" i="6" a="1"/>
  <c r="C461" i="6" a="1"/>
  <c r="C188" i="6" a="1"/>
  <c r="C442" i="6" a="1"/>
  <c r="C178" i="6" a="1"/>
  <c r="C453" i="6" a="1"/>
  <c r="C24" i="6" a="1"/>
  <c r="C240" i="6" a="1"/>
  <c r="C450" i="6" a="1"/>
  <c r="C498" i="6" a="1"/>
  <c r="C476" i="6" a="1"/>
  <c r="C393" i="6" a="1"/>
  <c r="C318" i="6" a="1"/>
  <c r="C8" i="6" a="1"/>
  <c r="C28" i="6" a="1"/>
  <c r="C365" i="6" a="1"/>
  <c r="C354" i="6" a="1"/>
  <c r="C518" i="6" a="1"/>
  <c r="C210" i="6" a="1"/>
  <c r="C466" i="6" a="1"/>
  <c r="C343" i="6" a="1"/>
  <c r="C35" i="6" a="1"/>
  <c r="C333" i="6" a="1"/>
  <c r="C300" i="6" a="1"/>
  <c r="C112" i="6" a="1"/>
  <c r="C148" i="6" a="1"/>
  <c r="C165" i="6" a="1"/>
  <c r="C56" i="6" a="1"/>
  <c r="C129" i="6" a="1"/>
  <c r="C465" i="6" a="1"/>
  <c r="C195" i="6" a="1"/>
  <c r="C198" i="6" a="1"/>
  <c r="C315" i="6" a="1"/>
  <c r="C341" i="6" a="1"/>
  <c r="C101" i="6" a="1"/>
  <c r="C154" i="6" a="1"/>
  <c r="C115" i="6" a="1"/>
  <c r="C275" i="6" a="1"/>
  <c r="C180" i="6" a="1"/>
  <c r="C437" i="6" a="1"/>
  <c r="C387" i="6" a="1"/>
  <c r="C158" i="6" a="1"/>
  <c r="C508" i="6" a="1"/>
  <c r="C227" i="6" a="1"/>
  <c r="C499" i="6" a="1"/>
  <c r="C218" i="6" a="1"/>
  <c r="C328" i="6" a="1"/>
  <c r="C312" i="6" a="1"/>
  <c r="C164" i="6" a="1"/>
  <c r="C163" i="6" a="1"/>
  <c r="C445" i="6" a="1"/>
  <c r="C123" i="6" a="1"/>
  <c r="C425" i="6" a="1"/>
  <c r="C80" i="6" a="1"/>
  <c r="C355" i="6" a="1"/>
  <c r="C91" i="6" a="1"/>
  <c r="C471" i="6" a="1"/>
  <c r="C182" i="6" a="1"/>
  <c r="C254" i="6" a="1"/>
  <c r="C151" i="6" a="1"/>
  <c r="C230" i="6" a="1"/>
  <c r="C369" i="6" a="1"/>
  <c r="C247" i="6" a="1"/>
  <c r="C241" i="6" a="1"/>
  <c r="C303" i="6" a="1"/>
  <c r="C492" i="6" a="1"/>
  <c r="C291" i="6" a="1"/>
  <c r="C482" i="6" a="1"/>
  <c r="C92" i="6" a="1"/>
  <c r="C104" i="6" a="1"/>
  <c r="C85" i="6" a="1"/>
  <c r="C81" i="6" a="1"/>
  <c r="C454" i="6" a="1"/>
  <c r="C184" i="6" a="1"/>
  <c r="C309" i="6" a="1"/>
  <c r="C416" i="6" a="1"/>
  <c r="C166" i="6" a="1"/>
  <c r="C296" i="6" a="1"/>
  <c r="C428" i="6" a="1"/>
  <c r="C402" i="6" a="1"/>
  <c r="C351" i="6" a="1"/>
  <c r="C22" i="6" a="1"/>
  <c r="C43" i="6" a="1"/>
  <c r="C61" i="6" a="1"/>
  <c r="C6" i="6" a="1"/>
  <c r="C95" i="6" a="1"/>
  <c r="C446" i="6" a="1"/>
  <c r="C170" i="6" a="1"/>
  <c r="C179" i="6" a="1"/>
  <c r="C172" i="6" a="1"/>
  <c r="C224" i="6" a="1"/>
  <c r="M53" i="9" a="1"/>
  <c r="M43" i="9" a="1"/>
  <c r="M37" i="9" a="1"/>
  <c r="M33" i="9" a="1"/>
  <c r="M29" i="9" a="1"/>
  <c r="M25" i="9" a="1"/>
  <c r="M21" i="9" a="1"/>
  <c r="M17" i="9" a="1"/>
  <c r="M13" i="9" a="1"/>
  <c r="M9" i="9" a="1"/>
  <c r="M54" i="9" a="1"/>
  <c r="M52" i="9" a="1"/>
  <c r="M50" i="9" a="1"/>
  <c r="M48" i="9" a="1"/>
  <c r="M46" i="9" a="1"/>
  <c r="M44" i="9" a="1"/>
  <c r="M42" i="9" a="1"/>
  <c r="M40" i="9" a="1"/>
  <c r="M38" i="9" a="1"/>
  <c r="M36" i="9" a="1"/>
  <c r="M34" i="9" a="1"/>
  <c r="M32" i="9" a="1"/>
  <c r="M30" i="9" a="1"/>
  <c r="M28" i="9" a="1"/>
  <c r="M26" i="9" a="1"/>
  <c r="M24" i="9" a="1"/>
  <c r="M22" i="9" a="1"/>
  <c r="M20" i="9" a="1"/>
  <c r="M18" i="9" a="1"/>
  <c r="M16" i="9" a="1"/>
  <c r="M14" i="9" a="1"/>
  <c r="M12" i="9" a="1"/>
  <c r="M10" i="9" a="1"/>
  <c r="M8" i="9" a="1"/>
  <c r="M51" i="9" a="1"/>
  <c r="M49" i="9" a="1"/>
  <c r="M47" i="9" a="1"/>
  <c r="M45" i="9" a="1"/>
  <c r="M41" i="9" a="1"/>
  <c r="M39" i="9" a="1"/>
  <c r="M35" i="9" a="1"/>
  <c r="M31" i="9" a="1"/>
  <c r="M27" i="9" a="1"/>
  <c r="M23" i="9" a="1"/>
  <c r="M19" i="9" a="1"/>
  <c r="M15" i="9" a="1"/>
  <c r="M11" i="9" a="1"/>
  <c r="M7" i="9" a="1"/>
  <c r="A7" i="9" a="1"/>
  <c r="A9" i="9" a="1"/>
  <c r="A11" i="9" a="1"/>
  <c r="A13" i="9" a="1"/>
  <c r="A15" i="9" a="1"/>
  <c r="A17" i="9" a="1"/>
  <c r="A19" i="9" a="1"/>
  <c r="A21" i="9" a="1"/>
  <c r="A23" i="9" a="1"/>
  <c r="A25" i="9" a="1"/>
  <c r="A27" i="9" a="1"/>
  <c r="A29" i="9" a="1"/>
  <c r="A31" i="9" a="1"/>
  <c r="A33" i="9" a="1"/>
  <c r="A35" i="9" a="1"/>
  <c r="A37" i="9" a="1"/>
  <c r="A39" i="9" a="1"/>
  <c r="A41" i="9" a="1"/>
  <c r="A43" i="9" a="1"/>
  <c r="A45" i="9" a="1"/>
  <c r="A47" i="9" a="1"/>
  <c r="A49" i="9" a="1"/>
  <c r="A51" i="9" a="1"/>
  <c r="A53" i="9" a="1"/>
  <c r="A8" i="9" a="1"/>
  <c r="A12" i="9" a="1"/>
  <c r="A14" i="9" a="1"/>
  <c r="A16" i="9" a="1"/>
  <c r="A18" i="9" a="1"/>
  <c r="A20" i="9" a="1"/>
  <c r="A22" i="9" a="1"/>
  <c r="A24" i="9" a="1"/>
  <c r="A26" i="9" a="1"/>
  <c r="A28" i="9" a="1"/>
  <c r="A30" i="9" a="1"/>
  <c r="A34" i="9" a="1"/>
  <c r="A36" i="9" a="1"/>
  <c r="A40" i="9" a="1"/>
  <c r="A46" i="9" a="1"/>
  <c r="A50" i="9" a="1"/>
  <c r="A10" i="9" a="1"/>
  <c r="A32" i="9" a="1"/>
  <c r="A38" i="9" a="1"/>
  <c r="A42" i="9" a="1"/>
  <c r="A44" i="9" a="1"/>
  <c r="A48" i="9" a="1"/>
  <c r="A52" i="9" a="1"/>
  <c r="A54" i="9" a="1"/>
  <c r="A473" i="3" a="1"/>
  <c r="A469" i="3" a="1"/>
  <c r="A465" i="3" a="1"/>
  <c r="A461" i="3" a="1"/>
  <c r="A457" i="3" a="1"/>
  <c r="A453" i="3" a="1"/>
  <c r="A449" i="3" a="1"/>
  <c r="A445" i="3" a="1"/>
  <c r="A441" i="3" a="1"/>
  <c r="A437" i="3" a="1"/>
  <c r="A433" i="3" a="1"/>
  <c r="A429" i="3" a="1"/>
  <c r="A425" i="3" a="1"/>
  <c r="A421" i="3" a="1"/>
  <c r="A417" i="3" a="1"/>
  <c r="A413" i="3" a="1"/>
  <c r="A409" i="3" a="1"/>
  <c r="A405" i="3" a="1"/>
  <c r="A401" i="3" a="1"/>
  <c r="A397" i="3" a="1"/>
  <c r="A393" i="3" a="1"/>
  <c r="A389" i="3" a="1"/>
  <c r="A385" i="3" a="1"/>
  <c r="A381" i="3" a="1"/>
  <c r="A377" i="3" a="1"/>
  <c r="A373" i="3" a="1"/>
  <c r="A369" i="3" a="1"/>
  <c r="A365" i="3" a="1"/>
  <c r="A361" i="3" a="1"/>
  <c r="A357" i="3" a="1"/>
  <c r="A353" i="3" a="1"/>
  <c r="A349" i="3" a="1"/>
  <c r="A345" i="3" a="1"/>
  <c r="A341" i="3" a="1"/>
  <c r="A337" i="3" a="1"/>
  <c r="A333" i="3" a="1"/>
  <c r="A329" i="3" a="1"/>
  <c r="A325" i="3" a="1"/>
  <c r="A321" i="3" a="1"/>
  <c r="A317" i="3" a="1"/>
  <c r="A313" i="3" a="1"/>
  <c r="A309" i="3" a="1"/>
  <c r="A472" i="3" a="1"/>
  <c r="A468" i="3" a="1"/>
  <c r="A464" i="3" a="1"/>
  <c r="A460" i="3" a="1"/>
  <c r="A456" i="3" a="1"/>
  <c r="A452" i="3" a="1"/>
  <c r="A448" i="3" a="1"/>
  <c r="A444" i="3" a="1"/>
  <c r="A440" i="3" a="1"/>
  <c r="A436" i="3" a="1"/>
  <c r="A432" i="3" a="1"/>
  <c r="A428" i="3" a="1"/>
  <c r="A424" i="3" a="1"/>
  <c r="A420" i="3" a="1"/>
  <c r="A416" i="3" a="1"/>
  <c r="A412" i="3" a="1"/>
  <c r="A408" i="3" a="1"/>
  <c r="A404" i="3" a="1"/>
  <c r="A400" i="3" a="1"/>
  <c r="A396" i="3" a="1"/>
  <c r="A392" i="3" a="1"/>
  <c r="A388" i="3" a="1"/>
  <c r="A384" i="3" a="1"/>
  <c r="A380" i="3" a="1"/>
  <c r="A376" i="3" a="1"/>
  <c r="A372" i="3" a="1"/>
  <c r="A368" i="3" a="1"/>
  <c r="A364" i="3" a="1"/>
  <c r="A360" i="3" a="1"/>
  <c r="A356" i="3" a="1"/>
  <c r="A352" i="3" a="1"/>
  <c r="A348" i="3" a="1"/>
  <c r="A344" i="3" a="1"/>
  <c r="A340" i="3" a="1"/>
  <c r="A336" i="3" a="1"/>
  <c r="A332" i="3" a="1"/>
  <c r="A328" i="3" a="1"/>
  <c r="A324" i="3" a="1"/>
  <c r="A320" i="3" a="1"/>
  <c r="A316" i="3" a="1"/>
  <c r="A312" i="3" a="1"/>
  <c r="A308" i="3" a="1"/>
  <c r="A305" i="3" a="1"/>
  <c r="A303" i="3" a="1"/>
  <c r="A301" i="3" a="1"/>
  <c r="A299" i="3" a="1"/>
  <c r="A297" i="3" a="1"/>
  <c r="A295" i="3" a="1"/>
  <c r="A293" i="3" a="1"/>
  <c r="A291" i="3" a="1"/>
  <c r="A289" i="3" a="1"/>
  <c r="A287" i="3" a="1"/>
  <c r="A285" i="3" a="1"/>
  <c r="A283" i="3" a="1"/>
  <c r="A281" i="3" a="1"/>
  <c r="A279" i="3" a="1"/>
  <c r="A277" i="3" a="1"/>
  <c r="A275" i="3" a="1"/>
  <c r="A273" i="3" a="1"/>
  <c r="A271" i="3" a="1"/>
  <c r="A269" i="3" a="1"/>
  <c r="A267" i="3" a="1"/>
  <c r="A265" i="3" a="1"/>
  <c r="A263" i="3" a="1"/>
  <c r="A261" i="3" a="1"/>
  <c r="A259" i="3" a="1"/>
  <c r="A257" i="3" a="1"/>
  <c r="A255" i="3" a="1"/>
  <c r="A253" i="3" a="1"/>
  <c r="A251" i="3" a="1"/>
  <c r="A249" i="3" a="1"/>
  <c r="A247" i="3" a="1"/>
  <c r="A245" i="3" a="1"/>
  <c r="A243" i="3" a="1"/>
  <c r="A241" i="3" a="1"/>
  <c r="A239" i="3" a="1"/>
  <c r="A237" i="3" a="1"/>
  <c r="A235" i="3" a="1"/>
  <c r="A233" i="3" a="1"/>
  <c r="A231" i="3" a="1"/>
  <c r="A229" i="3" a="1"/>
  <c r="A227" i="3" a="1"/>
  <c r="A471" i="3" a="1"/>
  <c r="A463" i="3" a="1"/>
  <c r="A455" i="3" a="1"/>
  <c r="A447" i="3" a="1"/>
  <c r="A439" i="3" a="1"/>
  <c r="A431" i="3" a="1"/>
  <c r="A423" i="3" a="1"/>
  <c r="A415" i="3" a="1"/>
  <c r="A407" i="3" a="1"/>
  <c r="A399" i="3" a="1"/>
  <c r="A391" i="3" a="1"/>
  <c r="A383" i="3" a="1"/>
  <c r="A375" i="3" a="1"/>
  <c r="A367" i="3" a="1"/>
  <c r="A359" i="3" a="1"/>
  <c r="A351" i="3" a="1"/>
  <c r="A343" i="3" a="1"/>
  <c r="A335" i="3" a="1"/>
  <c r="A327" i="3" a="1"/>
  <c r="A319" i="3" a="1"/>
  <c r="A311" i="3" a="1"/>
  <c r="A225" i="3" a="1"/>
  <c r="A220" i="3" a="1"/>
  <c r="A217" i="3" a="1"/>
  <c r="A212" i="3" a="1"/>
  <c r="A209" i="3" a="1"/>
  <c r="A204" i="3" a="1"/>
  <c r="A201" i="3" a="1"/>
  <c r="A196" i="3" a="1"/>
  <c r="A193" i="3" a="1"/>
  <c r="A188" i="3" a="1"/>
  <c r="A185" i="3" a="1"/>
  <c r="A180" i="3" a="1"/>
  <c r="A177" i="3" a="1"/>
  <c r="A172" i="3" a="1"/>
  <c r="A169" i="3" a="1"/>
  <c r="A164" i="3" a="1"/>
  <c r="A161" i="3" a="1"/>
  <c r="A156" i="3" a="1"/>
  <c r="A153" i="3" a="1"/>
  <c r="A148" i="3" a="1"/>
  <c r="A145" i="3" a="1"/>
  <c r="A140" i="3" a="1"/>
  <c r="A137" i="3" a="1"/>
  <c r="A132" i="3" a="1"/>
  <c r="A129" i="3" a="1"/>
  <c r="A124" i="3" a="1"/>
  <c r="A121" i="3" a="1"/>
  <c r="A116" i="3" a="1"/>
  <c r="A113" i="3" a="1"/>
  <c r="A108" i="3" a="1"/>
  <c r="A105" i="3" a="1"/>
  <c r="A100" i="3" a="1"/>
  <c r="A97" i="3" a="1"/>
  <c r="A92" i="3" a="1"/>
  <c r="A89" i="3" a="1"/>
  <c r="A84" i="3" a="1"/>
  <c r="A81" i="3" a="1"/>
  <c r="A76" i="3" a="1"/>
  <c r="A73" i="3" a="1"/>
  <c r="A68" i="3" a="1"/>
  <c r="A65" i="3" a="1"/>
  <c r="A60" i="3" a="1"/>
  <c r="A57" i="3" a="1"/>
  <c r="A52" i="3" a="1"/>
  <c r="A49" i="3" a="1"/>
  <c r="A44" i="3" a="1"/>
  <c r="A41" i="3" a="1"/>
  <c r="A36" i="3" a="1"/>
  <c r="A33" i="3" a="1"/>
  <c r="A28" i="3" a="1"/>
  <c r="A25" i="3" a="1"/>
  <c r="A470" i="3" a="1"/>
  <c r="A462" i="3" a="1"/>
  <c r="A454" i="3" a="1"/>
  <c r="A446" i="3" a="1"/>
  <c r="A438" i="3" a="1"/>
  <c r="A430" i="3" a="1"/>
  <c r="A422" i="3" a="1"/>
  <c r="A414" i="3" a="1"/>
  <c r="A406" i="3" a="1"/>
  <c r="A398" i="3" a="1"/>
  <c r="A390" i="3" a="1"/>
  <c r="A382" i="3" a="1"/>
  <c r="A374" i="3" a="1"/>
  <c r="A366" i="3" a="1"/>
  <c r="A358" i="3" a="1"/>
  <c r="A350" i="3" a="1"/>
  <c r="A342" i="3" a="1"/>
  <c r="A334" i="3" a="1"/>
  <c r="A326" i="3" a="1"/>
  <c r="A318" i="3" a="1"/>
  <c r="A310" i="3" a="1"/>
  <c r="A304" i="3" a="1"/>
  <c r="A300" i="3" a="1"/>
  <c r="A296" i="3" a="1"/>
  <c r="A292" i="3" a="1"/>
  <c r="A288" i="3" a="1"/>
  <c r="A284" i="3" a="1"/>
  <c r="A280" i="3" a="1"/>
  <c r="A276" i="3" a="1"/>
  <c r="A272" i="3" a="1"/>
  <c r="A268" i="3" a="1"/>
  <c r="A264" i="3" a="1"/>
  <c r="A260" i="3" a="1"/>
  <c r="A256" i="3" a="1"/>
  <c r="A252" i="3" a="1"/>
  <c r="A248" i="3" a="1"/>
  <c r="A244" i="3" a="1"/>
  <c r="A240" i="3" a="1"/>
  <c r="A236" i="3" a="1"/>
  <c r="A232" i="3" a="1"/>
  <c r="A228" i="3" a="1"/>
  <c r="A222" i="3" a="1"/>
  <c r="A219" i="3" a="1"/>
  <c r="A214" i="3" a="1"/>
  <c r="A211" i="3" a="1"/>
  <c r="A206" i="3" a="1"/>
  <c r="A203" i="3" a="1"/>
  <c r="A198" i="3" a="1"/>
  <c r="A195" i="3" a="1"/>
  <c r="A190" i="3" a="1"/>
  <c r="A187" i="3" a="1"/>
  <c r="A182" i="3" a="1"/>
  <c r="A179" i="3" a="1"/>
  <c r="A174" i="3" a="1"/>
  <c r="A171" i="3" a="1"/>
  <c r="A166" i="3" a="1"/>
  <c r="A163" i="3" a="1"/>
  <c r="A158" i="3" a="1"/>
  <c r="A155" i="3" a="1"/>
  <c r="A150" i="3" a="1"/>
  <c r="A147" i="3" a="1"/>
  <c r="A142" i="3" a="1"/>
  <c r="A139" i="3" a="1"/>
  <c r="A134" i="3" a="1"/>
  <c r="A131" i="3" a="1"/>
  <c r="A126" i="3" a="1"/>
  <c r="A123" i="3" a="1"/>
  <c r="A118" i="3" a="1"/>
  <c r="A115" i="3" a="1"/>
  <c r="A110" i="3" a="1"/>
  <c r="A107" i="3" a="1"/>
  <c r="A102" i="3" a="1"/>
  <c r="A99" i="3" a="1"/>
  <c r="A94" i="3" a="1"/>
  <c r="A91" i="3" a="1"/>
  <c r="A86" i="3" a="1"/>
  <c r="A83" i="3" a="1"/>
  <c r="A78" i="3" a="1"/>
  <c r="A75" i="3" a="1"/>
  <c r="A70" i="3" a="1"/>
  <c r="A67" i="3" a="1"/>
  <c r="A62" i="3" a="1"/>
  <c r="A59" i="3" a="1"/>
  <c r="A54" i="3" a="1"/>
  <c r="A51" i="3" a="1"/>
  <c r="A46" i="3" a="1"/>
  <c r="A43" i="3" a="1"/>
  <c r="A38" i="3" a="1"/>
  <c r="A35" i="3" a="1"/>
  <c r="A30" i="3" a="1"/>
  <c r="A475" i="3" a="1"/>
  <c r="A459" i="3" a="1"/>
  <c r="A443" i="3" a="1"/>
  <c r="A427" i="3" a="1"/>
  <c r="A411" i="3" a="1"/>
  <c r="A395" i="3" a="1"/>
  <c r="A379" i="3" a="1"/>
  <c r="A363" i="3" a="1"/>
  <c r="A347" i="3" a="1"/>
  <c r="A331" i="3" a="1"/>
  <c r="A315" i="3" a="1"/>
  <c r="A224" i="3" a="1"/>
  <c r="A213" i="3" a="1"/>
  <c r="A208" i="3" a="1"/>
  <c r="A197" i="3" a="1"/>
  <c r="A192" i="3" a="1"/>
  <c r="A181" i="3" a="1"/>
  <c r="A176" i="3" a="1"/>
  <c r="A165" i="3" a="1"/>
  <c r="A160" i="3" a="1"/>
  <c r="A149" i="3" a="1"/>
  <c r="A144" i="3" a="1"/>
  <c r="A133" i="3" a="1"/>
  <c r="A128" i="3" a="1"/>
  <c r="A117" i="3" a="1"/>
  <c r="A112" i="3" a="1"/>
  <c r="A101" i="3" a="1"/>
  <c r="A96" i="3" a="1"/>
  <c r="A85" i="3" a="1"/>
  <c r="A80" i="3" a="1"/>
  <c r="A69" i="3" a="1"/>
  <c r="A64" i="3" a="1"/>
  <c r="A53" i="3" a="1"/>
  <c r="A48" i="3" a="1"/>
  <c r="A37" i="3" a="1"/>
  <c r="A32" i="3" a="1"/>
  <c r="A27" i="3" a="1"/>
  <c r="A24" i="3" a="1"/>
  <c r="A21" i="3" a="1"/>
  <c r="A18" i="3" a="1"/>
  <c r="A13" i="3" a="1"/>
  <c r="A10" i="3" a="1"/>
  <c r="A5" i="3" a="1"/>
  <c r="A474" i="3" a="1"/>
  <c r="A458" i="3" a="1"/>
  <c r="A442" i="3" a="1"/>
  <c r="A426" i="3" a="1"/>
  <c r="A410" i="3" a="1"/>
  <c r="A394" i="3" a="1"/>
  <c r="A378" i="3" a="1"/>
  <c r="A362" i="3" a="1"/>
  <c r="A346" i="3" a="1"/>
  <c r="A330" i="3" a="1"/>
  <c r="A314" i="3" a="1"/>
  <c r="A302" i="3" a="1"/>
  <c r="A294" i="3" a="1"/>
  <c r="A286" i="3" a="1"/>
  <c r="A278" i="3" a="1"/>
  <c r="A270" i="3" a="1"/>
  <c r="A262" i="3" a="1"/>
  <c r="A254" i="3" a="1"/>
  <c r="A246" i="3" a="1"/>
  <c r="A238" i="3" a="1"/>
  <c r="A230" i="3" a="1"/>
  <c r="A223" i="3" a="1"/>
  <c r="A218" i="3" a="1"/>
  <c r="A207" i="3" a="1"/>
  <c r="A202" i="3" a="1"/>
  <c r="A191" i="3" a="1"/>
  <c r="A186" i="3" a="1"/>
  <c r="A175" i="3" a="1"/>
  <c r="A170" i="3" a="1"/>
  <c r="A159" i="3" a="1"/>
  <c r="A154" i="3" a="1"/>
  <c r="A143" i="3" a="1"/>
  <c r="A138" i="3" a="1"/>
  <c r="A127" i="3" a="1"/>
  <c r="A122" i="3" a="1"/>
  <c r="A111" i="3" a="1"/>
  <c r="A106" i="3" a="1"/>
  <c r="A95" i="3" a="1"/>
  <c r="A90" i="3" a="1"/>
  <c r="A79" i="3" a="1"/>
  <c r="A74" i="3" a="1"/>
  <c r="A63" i="3" a="1"/>
  <c r="A58" i="3" a="1"/>
  <c r="A47" i="3" a="1"/>
  <c r="A42" i="3" a="1"/>
  <c r="A31" i="3" a="1"/>
  <c r="A23" i="3" a="1"/>
  <c r="A20" i="3" a="1"/>
  <c r="A15" i="3" a="1"/>
  <c r="A12" i="3" a="1"/>
  <c r="A7" i="3" a="1"/>
  <c r="A4" i="3" a="1"/>
  <c r="A467" i="3" a="1"/>
  <c r="A451" i="3" a="1"/>
  <c r="A435" i="3" a="1"/>
  <c r="A419" i="3" a="1"/>
  <c r="A403" i="3" a="1"/>
  <c r="A387" i="3" a="1"/>
  <c r="A371" i="3" a="1"/>
  <c r="A355" i="3" a="1"/>
  <c r="A339" i="3" a="1"/>
  <c r="A323" i="3" a="1"/>
  <c r="A307" i="3" a="1"/>
  <c r="A221" i="3" a="1"/>
  <c r="A216" i="3" a="1"/>
  <c r="A205" i="3" a="1"/>
  <c r="A200" i="3" a="1"/>
  <c r="A189" i="3" a="1"/>
  <c r="A184" i="3" a="1"/>
  <c r="A173" i="3" a="1"/>
  <c r="A168" i="3" a="1"/>
  <c r="A157" i="3" a="1"/>
  <c r="A152" i="3" a="1"/>
  <c r="A141" i="3" a="1"/>
  <c r="A136" i="3" a="1"/>
  <c r="A125" i="3" a="1"/>
  <c r="A120" i="3" a="1"/>
  <c r="A109" i="3" a="1"/>
  <c r="A104" i="3" a="1"/>
  <c r="A93" i="3" a="1"/>
  <c r="A88" i="3" a="1"/>
  <c r="A77" i="3" a="1"/>
  <c r="A72" i="3" a="1"/>
  <c r="A61" i="3" a="1"/>
  <c r="A56" i="3" a="1"/>
  <c r="A45" i="3" a="1"/>
  <c r="A40" i="3" a="1"/>
  <c r="A29" i="3" a="1"/>
  <c r="A26" i="3" a="1"/>
  <c r="A22" i="3" a="1"/>
  <c r="A17" i="3" a="1"/>
  <c r="A14" i="3" a="1"/>
  <c r="A9" i="3" a="1"/>
  <c r="A6" i="3" a="1"/>
  <c r="A466" i="3" a="1"/>
  <c r="A450" i="3" a="1"/>
  <c r="A434" i="3" a="1"/>
  <c r="A418" i="3" a="1"/>
  <c r="A402" i="3" a="1"/>
  <c r="A386" i="3" a="1"/>
  <c r="A370" i="3" a="1"/>
  <c r="A354" i="3" a="1"/>
  <c r="A338" i="3" a="1"/>
  <c r="A322" i="3" a="1"/>
  <c r="A306" i="3" a="1"/>
  <c r="A298" i="3" a="1"/>
  <c r="A290" i="3" a="1"/>
  <c r="A282" i="3" a="1"/>
  <c r="A274" i="3" a="1"/>
  <c r="A266" i="3" a="1"/>
  <c r="A258" i="3" a="1"/>
  <c r="A250" i="3" a="1"/>
  <c r="A242" i="3" a="1"/>
  <c r="A234" i="3" a="1"/>
  <c r="A226" i="3" a="1"/>
  <c r="A215" i="3" a="1"/>
  <c r="A210" i="3" a="1"/>
  <c r="A199" i="3" a="1"/>
  <c r="A194" i="3" a="1"/>
  <c r="A183" i="3" a="1"/>
  <c r="A178" i="3" a="1"/>
  <c r="A167" i="3" a="1"/>
  <c r="A162" i="3" a="1"/>
  <c r="A151" i="3" a="1"/>
  <c r="A146" i="3" a="1"/>
  <c r="A135" i="3" a="1"/>
  <c r="A130" i="3" a="1"/>
  <c r="A119" i="3" a="1"/>
  <c r="A114" i="3" a="1"/>
  <c r="A103" i="3" a="1"/>
  <c r="A98" i="3" a="1"/>
  <c r="A87" i="3" a="1"/>
  <c r="A82" i="3" a="1"/>
  <c r="A71" i="3" a="1"/>
  <c r="A66" i="3" a="1"/>
  <c r="A55" i="3" a="1"/>
  <c r="A50" i="3" a="1"/>
  <c r="A39" i="3" a="1"/>
  <c r="A34" i="3" a="1"/>
  <c r="A19" i="3" a="1"/>
  <c r="A16" i="3" a="1"/>
  <c r="A11" i="3" a="1"/>
  <c r="A8" i="3" a="1"/>
  <c r="A3" i="3" a="1"/>
  <c r="M11" i="9" l="1"/>
  <c r="M15" i="9"/>
  <c r="M19" i="9"/>
  <c r="M23" i="9"/>
  <c r="M27" i="9"/>
  <c r="M31" i="9"/>
  <c r="M35" i="9"/>
  <c r="M39" i="9"/>
  <c r="M41" i="9"/>
  <c r="M45" i="9"/>
  <c r="M47" i="9"/>
  <c r="M49" i="9"/>
  <c r="M51" i="9"/>
  <c r="M8" i="9"/>
  <c r="M10" i="9"/>
  <c r="M12" i="9"/>
  <c r="M14" i="9"/>
  <c r="M16" i="9"/>
  <c r="M18" i="9"/>
  <c r="M20" i="9"/>
  <c r="M22" i="9"/>
  <c r="M24" i="9"/>
  <c r="M26" i="9"/>
  <c r="M28" i="9"/>
  <c r="M30" i="9"/>
  <c r="M32" i="9"/>
  <c r="M34" i="9"/>
  <c r="M36" i="9"/>
  <c r="M38" i="9"/>
  <c r="M40" i="9"/>
  <c r="M42" i="9"/>
  <c r="M44" i="9"/>
  <c r="M46" i="9"/>
  <c r="M48" i="9"/>
  <c r="M50" i="9"/>
  <c r="M52" i="9"/>
  <c r="M54" i="9"/>
  <c r="M9" i="9"/>
  <c r="M13" i="9"/>
  <c r="M17" i="9"/>
  <c r="M21" i="9"/>
  <c r="M25" i="9"/>
  <c r="M29" i="9"/>
  <c r="M33" i="9"/>
  <c r="M37" i="9"/>
  <c r="M43" i="9"/>
  <c r="M53" i="9"/>
  <c r="M7" i="9"/>
  <c r="A54" i="9"/>
  <c r="A52" i="9"/>
  <c r="A48" i="9"/>
  <c r="A44" i="9"/>
  <c r="A42" i="9"/>
  <c r="A38" i="9"/>
  <c r="A32" i="9"/>
  <c r="A10" i="9"/>
  <c r="A50" i="9"/>
  <c r="A46" i="9"/>
  <c r="A40" i="9"/>
  <c r="A36" i="9"/>
  <c r="A34" i="9"/>
  <c r="A30" i="9"/>
  <c r="A28" i="9"/>
  <c r="A26" i="9"/>
  <c r="A24" i="9"/>
  <c r="A22" i="9"/>
  <c r="A20" i="9"/>
  <c r="A18" i="9"/>
  <c r="A16" i="9"/>
  <c r="A14" i="9"/>
  <c r="A12" i="9"/>
  <c r="A8" i="9"/>
  <c r="A53" i="9"/>
  <c r="A51" i="9"/>
  <c r="A49" i="9"/>
  <c r="A47" i="9"/>
  <c r="A45" i="9"/>
  <c r="A43" i="9"/>
  <c r="A41" i="9"/>
  <c r="A39" i="9"/>
  <c r="A37" i="9"/>
  <c r="A35" i="9"/>
  <c r="A33" i="9"/>
  <c r="A31" i="9"/>
  <c r="A29" i="9"/>
  <c r="A27" i="9"/>
  <c r="A25" i="9"/>
  <c r="A23" i="9"/>
  <c r="A21" i="9"/>
  <c r="A19" i="9"/>
  <c r="A17" i="9"/>
  <c r="A15" i="9"/>
  <c r="A13" i="9"/>
  <c r="A11" i="9"/>
  <c r="A9" i="9"/>
  <c r="A7" i="9"/>
  <c r="G472" i="3"/>
  <c r="G468" i="3"/>
  <c r="G464" i="3"/>
  <c r="G460" i="3"/>
  <c r="G456" i="3"/>
  <c r="G452" i="3"/>
  <c r="G448" i="3"/>
  <c r="G444" i="3"/>
  <c r="G440" i="3"/>
  <c r="G436" i="3"/>
  <c r="G431" i="3"/>
  <c r="G421" i="3"/>
  <c r="G415" i="3"/>
  <c r="G405" i="3"/>
  <c r="G399" i="3"/>
  <c r="G389" i="3"/>
  <c r="G383" i="3"/>
  <c r="G373" i="3"/>
  <c r="G367" i="3"/>
  <c r="G357" i="3"/>
  <c r="G351" i="3"/>
  <c r="G341" i="3"/>
  <c r="G335" i="3"/>
  <c r="G325" i="3"/>
  <c r="G319" i="3"/>
  <c r="G309" i="3"/>
  <c r="G303" i="3"/>
  <c r="G293" i="3"/>
  <c r="G287" i="3"/>
  <c r="G277" i="3"/>
  <c r="G271" i="3"/>
  <c r="G261" i="3"/>
  <c r="G255" i="3"/>
  <c r="G245" i="3"/>
  <c r="G239" i="3"/>
  <c r="G229" i="3"/>
  <c r="G223" i="3"/>
  <c r="G211" i="3"/>
  <c r="G203" i="3"/>
  <c r="G195" i="3"/>
  <c r="G187" i="3"/>
  <c r="G179" i="3"/>
  <c r="G171" i="3"/>
  <c r="G163" i="3"/>
  <c r="G155" i="3"/>
  <c r="G147" i="3"/>
  <c r="G139" i="3"/>
  <c r="G471" i="3"/>
  <c r="G467" i="3"/>
  <c r="G459" i="3"/>
  <c r="G451" i="3"/>
  <c r="G443" i="3"/>
  <c r="G435" i="3"/>
  <c r="G425" i="3"/>
  <c r="G419" i="3"/>
  <c r="G409" i="3"/>
  <c r="G403" i="3"/>
  <c r="G393" i="3"/>
  <c r="G387" i="3"/>
  <c r="G377" i="3"/>
  <c r="G371" i="3"/>
  <c r="G361" i="3"/>
  <c r="G355" i="3"/>
  <c r="G345" i="3"/>
  <c r="G339" i="3"/>
  <c r="G329" i="3"/>
  <c r="G323" i="3"/>
  <c r="G313" i="3"/>
  <c r="G307" i="3"/>
  <c r="G297" i="3"/>
  <c r="G291" i="3"/>
  <c r="G281" i="3"/>
  <c r="G275" i="3"/>
  <c r="G265" i="3"/>
  <c r="G259" i="3"/>
  <c r="G249" i="3"/>
  <c r="G243" i="3"/>
  <c r="G233" i="3"/>
  <c r="G227" i="3"/>
  <c r="G217" i="3"/>
  <c r="G475" i="3"/>
  <c r="G463" i="3"/>
  <c r="G455" i="3"/>
  <c r="G447" i="3"/>
  <c r="G439" i="3"/>
  <c r="G429" i="3"/>
  <c r="G423" i="3"/>
  <c r="G413" i="3"/>
  <c r="G407" i="3"/>
  <c r="G397" i="3"/>
  <c r="G391" i="3"/>
  <c r="G381" i="3"/>
  <c r="G375" i="3"/>
  <c r="G365" i="3"/>
  <c r="G359" i="3"/>
  <c r="G349" i="3"/>
  <c r="G343" i="3"/>
  <c r="G333" i="3"/>
  <c r="G327" i="3"/>
  <c r="G317" i="3"/>
  <c r="G311" i="3"/>
  <c r="G301" i="3"/>
  <c r="G295" i="3"/>
  <c r="G285" i="3"/>
  <c r="G279" i="3"/>
  <c r="G269" i="3"/>
  <c r="G263" i="3"/>
  <c r="G253" i="3"/>
  <c r="G247" i="3"/>
  <c r="G237" i="3"/>
  <c r="G231" i="3"/>
  <c r="G221" i="3"/>
  <c r="G215" i="3"/>
  <c r="G207" i="3"/>
  <c r="G199" i="3"/>
  <c r="G191" i="3"/>
  <c r="G183" i="3"/>
  <c r="G175" i="3"/>
  <c r="G167" i="3"/>
  <c r="G159" i="3"/>
  <c r="G151" i="3"/>
  <c r="A8" i="3"/>
  <c r="H8" i="3" s="1"/>
  <c r="I8" i="3" s="1"/>
  <c r="A11" i="3"/>
  <c r="H11" i="3" s="1"/>
  <c r="I11" i="3" s="1"/>
  <c r="A16" i="3"/>
  <c r="H16" i="3" s="1"/>
  <c r="I16" i="3" s="1"/>
  <c r="A19" i="3"/>
  <c r="H19" i="3" s="1"/>
  <c r="I19" i="3" s="1"/>
  <c r="A34" i="3"/>
  <c r="H34" i="3" s="1"/>
  <c r="I34" i="3" s="1"/>
  <c r="A39" i="3"/>
  <c r="H39" i="3" s="1"/>
  <c r="I39" i="3" s="1"/>
  <c r="A50" i="3"/>
  <c r="H50" i="3" s="1"/>
  <c r="I50" i="3" s="1"/>
  <c r="A55" i="3"/>
  <c r="H55" i="3" s="1"/>
  <c r="I55" i="3" s="1"/>
  <c r="A66" i="3"/>
  <c r="H66" i="3" s="1"/>
  <c r="I66" i="3" s="1"/>
  <c r="A71" i="3"/>
  <c r="H71" i="3" s="1"/>
  <c r="I71" i="3" s="1"/>
  <c r="A82" i="3"/>
  <c r="H82" i="3" s="1"/>
  <c r="I82" i="3" s="1"/>
  <c r="A87" i="3"/>
  <c r="H87" i="3" s="1"/>
  <c r="I87" i="3" s="1"/>
  <c r="A98" i="3"/>
  <c r="H98" i="3" s="1"/>
  <c r="I98" i="3" s="1"/>
  <c r="A103" i="3"/>
  <c r="H103" i="3" s="1"/>
  <c r="I103" i="3" s="1"/>
  <c r="A114" i="3"/>
  <c r="H114" i="3" s="1"/>
  <c r="I114" i="3" s="1"/>
  <c r="A119" i="3"/>
  <c r="H119" i="3" s="1"/>
  <c r="I119" i="3" s="1"/>
  <c r="A130" i="3"/>
  <c r="H130" i="3" s="1"/>
  <c r="I130" i="3" s="1"/>
  <c r="A135" i="3"/>
  <c r="H135" i="3" s="1"/>
  <c r="I135" i="3" s="1"/>
  <c r="A146" i="3"/>
  <c r="H146" i="3" s="1"/>
  <c r="I146" i="3" s="1"/>
  <c r="A151" i="3"/>
  <c r="H151" i="3" s="1"/>
  <c r="I151" i="3" s="1"/>
  <c r="A162" i="3"/>
  <c r="H162" i="3" s="1"/>
  <c r="I162" i="3" s="1"/>
  <c r="A167" i="3"/>
  <c r="H167" i="3" s="1"/>
  <c r="I167" i="3" s="1"/>
  <c r="A178" i="3"/>
  <c r="H178" i="3" s="1"/>
  <c r="I178" i="3" s="1"/>
  <c r="A183" i="3"/>
  <c r="H183" i="3" s="1"/>
  <c r="I183" i="3" s="1"/>
  <c r="A194" i="3"/>
  <c r="H194" i="3" s="1"/>
  <c r="I194" i="3" s="1"/>
  <c r="A199" i="3"/>
  <c r="H199" i="3" s="1"/>
  <c r="I199" i="3" s="1"/>
  <c r="A210" i="3"/>
  <c r="H210" i="3" s="1"/>
  <c r="I210" i="3" s="1"/>
  <c r="A215" i="3"/>
  <c r="H215" i="3" s="1"/>
  <c r="I215" i="3" s="1"/>
  <c r="A226" i="3"/>
  <c r="H226" i="3" s="1"/>
  <c r="I226" i="3" s="1"/>
  <c r="A234" i="3"/>
  <c r="H234" i="3" s="1"/>
  <c r="I234" i="3" s="1"/>
  <c r="A242" i="3"/>
  <c r="H242" i="3" s="1"/>
  <c r="I242" i="3" s="1"/>
  <c r="A250" i="3"/>
  <c r="H250" i="3" s="1"/>
  <c r="I250" i="3" s="1"/>
  <c r="A258" i="3"/>
  <c r="H258" i="3" s="1"/>
  <c r="I258" i="3" s="1"/>
  <c r="A266" i="3"/>
  <c r="H266" i="3" s="1"/>
  <c r="I266" i="3" s="1"/>
  <c r="A274" i="3"/>
  <c r="H274" i="3" s="1"/>
  <c r="I274" i="3" s="1"/>
  <c r="A282" i="3"/>
  <c r="H282" i="3" s="1"/>
  <c r="I282" i="3" s="1"/>
  <c r="A290" i="3"/>
  <c r="H290" i="3" s="1"/>
  <c r="I290" i="3" s="1"/>
  <c r="A298" i="3"/>
  <c r="H298" i="3" s="1"/>
  <c r="I298" i="3" s="1"/>
  <c r="A306" i="3"/>
  <c r="H306" i="3" s="1"/>
  <c r="I306" i="3" s="1"/>
  <c r="A322" i="3"/>
  <c r="H322" i="3" s="1"/>
  <c r="I322" i="3" s="1"/>
  <c r="A338" i="3"/>
  <c r="H338" i="3" s="1"/>
  <c r="I338" i="3" s="1"/>
  <c r="A354" i="3"/>
  <c r="H354" i="3" s="1"/>
  <c r="I354" i="3" s="1"/>
  <c r="A370" i="3"/>
  <c r="H370" i="3" s="1"/>
  <c r="I370" i="3" s="1"/>
  <c r="A386" i="3"/>
  <c r="H386" i="3" s="1"/>
  <c r="I386" i="3" s="1"/>
  <c r="A402" i="3"/>
  <c r="H402" i="3" s="1"/>
  <c r="I402" i="3" s="1"/>
  <c r="A418" i="3"/>
  <c r="H418" i="3" s="1"/>
  <c r="I418" i="3" s="1"/>
  <c r="A434" i="3"/>
  <c r="H434" i="3" s="1"/>
  <c r="I434" i="3" s="1"/>
  <c r="A450" i="3"/>
  <c r="H450" i="3" s="1"/>
  <c r="I450" i="3" s="1"/>
  <c r="A466" i="3"/>
  <c r="H466" i="3" s="1"/>
  <c r="I466" i="3" s="1"/>
  <c r="A6" i="3"/>
  <c r="H6" i="3" s="1"/>
  <c r="I6" i="3" s="1"/>
  <c r="A9" i="3"/>
  <c r="H9" i="3" s="1"/>
  <c r="I9" i="3" s="1"/>
  <c r="A14" i="3"/>
  <c r="H14" i="3" s="1"/>
  <c r="I14" i="3" s="1"/>
  <c r="A17" i="3"/>
  <c r="H17" i="3" s="1"/>
  <c r="I17" i="3" s="1"/>
  <c r="A22" i="3"/>
  <c r="H22" i="3" s="1"/>
  <c r="I22" i="3" s="1"/>
  <c r="A26" i="3"/>
  <c r="H26" i="3" s="1"/>
  <c r="I26" i="3" s="1"/>
  <c r="A29" i="3"/>
  <c r="H29" i="3" s="1"/>
  <c r="I29" i="3" s="1"/>
  <c r="A40" i="3"/>
  <c r="H40" i="3" s="1"/>
  <c r="I40" i="3" s="1"/>
  <c r="A45" i="3"/>
  <c r="H45" i="3" s="1"/>
  <c r="I45" i="3" s="1"/>
  <c r="A56" i="3"/>
  <c r="H56" i="3" s="1"/>
  <c r="I56" i="3" s="1"/>
  <c r="A61" i="3"/>
  <c r="H61" i="3" s="1"/>
  <c r="I61" i="3" s="1"/>
  <c r="A72" i="3"/>
  <c r="H72" i="3" s="1"/>
  <c r="I72" i="3" s="1"/>
  <c r="A77" i="3"/>
  <c r="H77" i="3" s="1"/>
  <c r="I77" i="3" s="1"/>
  <c r="A88" i="3"/>
  <c r="H88" i="3" s="1"/>
  <c r="I88" i="3" s="1"/>
  <c r="A93" i="3"/>
  <c r="H93" i="3" s="1"/>
  <c r="I93" i="3" s="1"/>
  <c r="A104" i="3"/>
  <c r="H104" i="3" s="1"/>
  <c r="I104" i="3" s="1"/>
  <c r="A109" i="3"/>
  <c r="H109" i="3" s="1"/>
  <c r="I109" i="3" s="1"/>
  <c r="A120" i="3"/>
  <c r="H120" i="3" s="1"/>
  <c r="I120" i="3" s="1"/>
  <c r="A125" i="3"/>
  <c r="H125" i="3" s="1"/>
  <c r="I125" i="3" s="1"/>
  <c r="A136" i="3"/>
  <c r="H136" i="3" s="1"/>
  <c r="I136" i="3" s="1"/>
  <c r="A141" i="3"/>
  <c r="H141" i="3" s="1"/>
  <c r="I141" i="3" s="1"/>
  <c r="A152" i="3"/>
  <c r="H152" i="3" s="1"/>
  <c r="I152" i="3" s="1"/>
  <c r="A157" i="3"/>
  <c r="H157" i="3" s="1"/>
  <c r="I157" i="3" s="1"/>
  <c r="A168" i="3"/>
  <c r="H168" i="3" s="1"/>
  <c r="I168" i="3" s="1"/>
  <c r="A173" i="3"/>
  <c r="H173" i="3" s="1"/>
  <c r="I173" i="3" s="1"/>
  <c r="A184" i="3"/>
  <c r="H184" i="3" s="1"/>
  <c r="I184" i="3" s="1"/>
  <c r="A189" i="3"/>
  <c r="H189" i="3" s="1"/>
  <c r="I189" i="3" s="1"/>
  <c r="A200" i="3"/>
  <c r="H200" i="3" s="1"/>
  <c r="I200" i="3" s="1"/>
  <c r="A205" i="3"/>
  <c r="H205" i="3" s="1"/>
  <c r="I205" i="3" s="1"/>
  <c r="A216" i="3"/>
  <c r="H216" i="3" s="1"/>
  <c r="I216" i="3" s="1"/>
  <c r="A221" i="3"/>
  <c r="H221" i="3" s="1"/>
  <c r="I221" i="3" s="1"/>
  <c r="A307" i="3"/>
  <c r="H307" i="3" s="1"/>
  <c r="I307" i="3" s="1"/>
  <c r="A323" i="3"/>
  <c r="H323" i="3" s="1"/>
  <c r="I323" i="3" s="1"/>
  <c r="A339" i="3"/>
  <c r="H339" i="3" s="1"/>
  <c r="I339" i="3" s="1"/>
  <c r="A355" i="3"/>
  <c r="H355" i="3" s="1"/>
  <c r="I355" i="3" s="1"/>
  <c r="A371" i="3"/>
  <c r="H371" i="3" s="1"/>
  <c r="I371" i="3" s="1"/>
  <c r="A387" i="3"/>
  <c r="H387" i="3" s="1"/>
  <c r="I387" i="3" s="1"/>
  <c r="A403" i="3"/>
  <c r="H403" i="3" s="1"/>
  <c r="I403" i="3" s="1"/>
  <c r="A419" i="3"/>
  <c r="H419" i="3" s="1"/>
  <c r="I419" i="3" s="1"/>
  <c r="A435" i="3"/>
  <c r="H435" i="3" s="1"/>
  <c r="I435" i="3" s="1"/>
  <c r="A451" i="3"/>
  <c r="H451" i="3" s="1"/>
  <c r="I451" i="3" s="1"/>
  <c r="A467" i="3"/>
  <c r="H467" i="3" s="1"/>
  <c r="I467" i="3" s="1"/>
  <c r="A4" i="3"/>
  <c r="H4" i="3" s="1"/>
  <c r="I4" i="3" s="1"/>
  <c r="A7" i="3"/>
  <c r="H7" i="3" s="1"/>
  <c r="I7" i="3" s="1"/>
  <c r="A12" i="3"/>
  <c r="H12" i="3" s="1"/>
  <c r="I12" i="3" s="1"/>
  <c r="A15" i="3"/>
  <c r="H15" i="3" s="1"/>
  <c r="I15" i="3" s="1"/>
  <c r="A20" i="3"/>
  <c r="H20" i="3" s="1"/>
  <c r="I20" i="3" s="1"/>
  <c r="A23" i="3"/>
  <c r="H23" i="3" s="1"/>
  <c r="I23" i="3" s="1"/>
  <c r="A31" i="3"/>
  <c r="H31" i="3" s="1"/>
  <c r="I31" i="3" s="1"/>
  <c r="A42" i="3"/>
  <c r="H42" i="3" s="1"/>
  <c r="I42" i="3" s="1"/>
  <c r="A47" i="3"/>
  <c r="H47" i="3" s="1"/>
  <c r="I47" i="3" s="1"/>
  <c r="A58" i="3"/>
  <c r="H58" i="3" s="1"/>
  <c r="I58" i="3" s="1"/>
  <c r="A63" i="3"/>
  <c r="H63" i="3" s="1"/>
  <c r="I63" i="3" s="1"/>
  <c r="A74" i="3"/>
  <c r="H74" i="3" s="1"/>
  <c r="I74" i="3" s="1"/>
  <c r="A79" i="3"/>
  <c r="H79" i="3" s="1"/>
  <c r="I79" i="3" s="1"/>
  <c r="A90" i="3"/>
  <c r="H90" i="3" s="1"/>
  <c r="I90" i="3" s="1"/>
  <c r="A95" i="3"/>
  <c r="H95" i="3" s="1"/>
  <c r="I95" i="3" s="1"/>
  <c r="A106" i="3"/>
  <c r="H106" i="3" s="1"/>
  <c r="I106" i="3" s="1"/>
  <c r="A111" i="3"/>
  <c r="H111" i="3" s="1"/>
  <c r="I111" i="3" s="1"/>
  <c r="A122" i="3"/>
  <c r="H122" i="3" s="1"/>
  <c r="I122" i="3" s="1"/>
  <c r="A127" i="3"/>
  <c r="H127" i="3" s="1"/>
  <c r="I127" i="3" s="1"/>
  <c r="A138" i="3"/>
  <c r="H138" i="3" s="1"/>
  <c r="I138" i="3" s="1"/>
  <c r="A143" i="3"/>
  <c r="H143" i="3" s="1"/>
  <c r="I143" i="3" s="1"/>
  <c r="A154" i="3"/>
  <c r="H154" i="3" s="1"/>
  <c r="I154" i="3" s="1"/>
  <c r="A159" i="3"/>
  <c r="H159" i="3" s="1"/>
  <c r="I159" i="3" s="1"/>
  <c r="A170" i="3"/>
  <c r="H170" i="3" s="1"/>
  <c r="I170" i="3" s="1"/>
  <c r="A175" i="3"/>
  <c r="H175" i="3" s="1"/>
  <c r="I175" i="3" s="1"/>
  <c r="A186" i="3"/>
  <c r="H186" i="3" s="1"/>
  <c r="I186" i="3" s="1"/>
  <c r="A191" i="3"/>
  <c r="H191" i="3" s="1"/>
  <c r="I191" i="3" s="1"/>
  <c r="A202" i="3"/>
  <c r="H202" i="3" s="1"/>
  <c r="I202" i="3" s="1"/>
  <c r="A207" i="3"/>
  <c r="H207" i="3" s="1"/>
  <c r="I207" i="3" s="1"/>
  <c r="A218" i="3"/>
  <c r="H218" i="3" s="1"/>
  <c r="I218" i="3" s="1"/>
  <c r="A223" i="3"/>
  <c r="H223" i="3" s="1"/>
  <c r="I223" i="3" s="1"/>
  <c r="A230" i="3"/>
  <c r="H230" i="3" s="1"/>
  <c r="I230" i="3" s="1"/>
  <c r="A238" i="3"/>
  <c r="H238" i="3" s="1"/>
  <c r="I238" i="3" s="1"/>
  <c r="A246" i="3"/>
  <c r="H246" i="3" s="1"/>
  <c r="I246" i="3" s="1"/>
  <c r="A254" i="3"/>
  <c r="H254" i="3" s="1"/>
  <c r="I254" i="3" s="1"/>
  <c r="A262" i="3"/>
  <c r="H262" i="3" s="1"/>
  <c r="I262" i="3" s="1"/>
  <c r="A270" i="3"/>
  <c r="H270" i="3" s="1"/>
  <c r="I270" i="3" s="1"/>
  <c r="A278" i="3"/>
  <c r="H278" i="3" s="1"/>
  <c r="I278" i="3" s="1"/>
  <c r="A286" i="3"/>
  <c r="H286" i="3" s="1"/>
  <c r="I286" i="3" s="1"/>
  <c r="A294" i="3"/>
  <c r="H294" i="3" s="1"/>
  <c r="I294" i="3" s="1"/>
  <c r="A302" i="3"/>
  <c r="H302" i="3" s="1"/>
  <c r="I302" i="3" s="1"/>
  <c r="A314" i="3"/>
  <c r="H314" i="3" s="1"/>
  <c r="I314" i="3" s="1"/>
  <c r="A330" i="3"/>
  <c r="H330" i="3" s="1"/>
  <c r="I330" i="3" s="1"/>
  <c r="A346" i="3"/>
  <c r="H346" i="3" s="1"/>
  <c r="I346" i="3" s="1"/>
  <c r="A362" i="3"/>
  <c r="H362" i="3" s="1"/>
  <c r="I362" i="3" s="1"/>
  <c r="A378" i="3"/>
  <c r="H378" i="3" s="1"/>
  <c r="I378" i="3" s="1"/>
  <c r="A394" i="3"/>
  <c r="H394" i="3" s="1"/>
  <c r="I394" i="3" s="1"/>
  <c r="A410" i="3"/>
  <c r="H410" i="3" s="1"/>
  <c r="I410" i="3" s="1"/>
  <c r="A426" i="3"/>
  <c r="H426" i="3" s="1"/>
  <c r="I426" i="3" s="1"/>
  <c r="A442" i="3"/>
  <c r="H442" i="3" s="1"/>
  <c r="I442" i="3" s="1"/>
  <c r="A458" i="3"/>
  <c r="H458" i="3" s="1"/>
  <c r="I458" i="3" s="1"/>
  <c r="A474" i="3"/>
  <c r="H474" i="3" s="1"/>
  <c r="I474" i="3" s="1"/>
  <c r="A5" i="3"/>
  <c r="H5" i="3" s="1"/>
  <c r="I5" i="3" s="1"/>
  <c r="A10" i="3"/>
  <c r="H10" i="3" s="1"/>
  <c r="I10" i="3" s="1"/>
  <c r="A13" i="3"/>
  <c r="H13" i="3" s="1"/>
  <c r="I13" i="3" s="1"/>
  <c r="A18" i="3"/>
  <c r="H18" i="3" s="1"/>
  <c r="I18" i="3" s="1"/>
  <c r="A21" i="3"/>
  <c r="H21" i="3" s="1"/>
  <c r="I21" i="3" s="1"/>
  <c r="A24" i="3"/>
  <c r="H24" i="3" s="1"/>
  <c r="I24" i="3" s="1"/>
  <c r="A27" i="3"/>
  <c r="H27" i="3" s="1"/>
  <c r="I27" i="3" s="1"/>
  <c r="A32" i="3"/>
  <c r="H32" i="3" s="1"/>
  <c r="I32" i="3" s="1"/>
  <c r="A37" i="3"/>
  <c r="H37" i="3" s="1"/>
  <c r="I37" i="3" s="1"/>
  <c r="A48" i="3"/>
  <c r="H48" i="3" s="1"/>
  <c r="I48" i="3" s="1"/>
  <c r="A53" i="3"/>
  <c r="H53" i="3" s="1"/>
  <c r="I53" i="3" s="1"/>
  <c r="A64" i="3"/>
  <c r="H64" i="3" s="1"/>
  <c r="I64" i="3" s="1"/>
  <c r="A69" i="3"/>
  <c r="H69" i="3" s="1"/>
  <c r="I69" i="3" s="1"/>
  <c r="A80" i="3"/>
  <c r="H80" i="3" s="1"/>
  <c r="I80" i="3" s="1"/>
  <c r="A85" i="3"/>
  <c r="H85" i="3" s="1"/>
  <c r="I85" i="3" s="1"/>
  <c r="A96" i="3"/>
  <c r="H96" i="3" s="1"/>
  <c r="I96" i="3" s="1"/>
  <c r="A101" i="3"/>
  <c r="H101" i="3" s="1"/>
  <c r="I101" i="3" s="1"/>
  <c r="A112" i="3"/>
  <c r="H112" i="3" s="1"/>
  <c r="I112" i="3" s="1"/>
  <c r="A117" i="3"/>
  <c r="H117" i="3" s="1"/>
  <c r="I117" i="3" s="1"/>
  <c r="A128" i="3"/>
  <c r="H128" i="3" s="1"/>
  <c r="I128" i="3" s="1"/>
  <c r="A133" i="3"/>
  <c r="H133" i="3" s="1"/>
  <c r="I133" i="3" s="1"/>
  <c r="A144" i="3"/>
  <c r="H144" i="3" s="1"/>
  <c r="I144" i="3" s="1"/>
  <c r="A149" i="3"/>
  <c r="H149" i="3" s="1"/>
  <c r="I149" i="3" s="1"/>
  <c r="A160" i="3"/>
  <c r="H160" i="3" s="1"/>
  <c r="I160" i="3" s="1"/>
  <c r="A165" i="3"/>
  <c r="H165" i="3" s="1"/>
  <c r="I165" i="3" s="1"/>
  <c r="A176" i="3"/>
  <c r="H176" i="3" s="1"/>
  <c r="I176" i="3" s="1"/>
  <c r="A181" i="3"/>
  <c r="H181" i="3" s="1"/>
  <c r="I181" i="3" s="1"/>
  <c r="A192" i="3"/>
  <c r="H192" i="3" s="1"/>
  <c r="I192" i="3" s="1"/>
  <c r="A197" i="3"/>
  <c r="H197" i="3" s="1"/>
  <c r="I197" i="3" s="1"/>
  <c r="A208" i="3"/>
  <c r="H208" i="3" s="1"/>
  <c r="I208" i="3" s="1"/>
  <c r="A213" i="3"/>
  <c r="H213" i="3" s="1"/>
  <c r="I213" i="3" s="1"/>
  <c r="A224" i="3"/>
  <c r="H224" i="3" s="1"/>
  <c r="I224" i="3" s="1"/>
  <c r="A315" i="3"/>
  <c r="H315" i="3" s="1"/>
  <c r="I315" i="3" s="1"/>
  <c r="A331" i="3"/>
  <c r="H331" i="3" s="1"/>
  <c r="I331" i="3" s="1"/>
  <c r="A347" i="3"/>
  <c r="H347" i="3" s="1"/>
  <c r="I347" i="3" s="1"/>
  <c r="A363" i="3"/>
  <c r="H363" i="3" s="1"/>
  <c r="I363" i="3" s="1"/>
  <c r="A379" i="3"/>
  <c r="H379" i="3" s="1"/>
  <c r="I379" i="3" s="1"/>
  <c r="A395" i="3"/>
  <c r="H395" i="3" s="1"/>
  <c r="I395" i="3" s="1"/>
  <c r="A411" i="3"/>
  <c r="H411" i="3" s="1"/>
  <c r="I411" i="3" s="1"/>
  <c r="A427" i="3"/>
  <c r="H427" i="3" s="1"/>
  <c r="I427" i="3" s="1"/>
  <c r="A443" i="3"/>
  <c r="H443" i="3" s="1"/>
  <c r="I443" i="3" s="1"/>
  <c r="A459" i="3"/>
  <c r="H459" i="3" s="1"/>
  <c r="I459" i="3" s="1"/>
  <c r="A475" i="3"/>
  <c r="H475" i="3" s="1"/>
  <c r="I475" i="3" s="1"/>
  <c r="A30" i="3"/>
  <c r="H30" i="3" s="1"/>
  <c r="I30" i="3" s="1"/>
  <c r="A35" i="3"/>
  <c r="H35" i="3" s="1"/>
  <c r="I35" i="3" s="1"/>
  <c r="A38" i="3"/>
  <c r="H38" i="3" s="1"/>
  <c r="I38" i="3" s="1"/>
  <c r="A43" i="3"/>
  <c r="H43" i="3" s="1"/>
  <c r="I43" i="3" s="1"/>
  <c r="A46" i="3"/>
  <c r="H46" i="3" s="1"/>
  <c r="I46" i="3" s="1"/>
  <c r="A51" i="3"/>
  <c r="H51" i="3" s="1"/>
  <c r="I51" i="3" s="1"/>
  <c r="A54" i="3"/>
  <c r="H54" i="3" s="1"/>
  <c r="I54" i="3" s="1"/>
  <c r="A59" i="3"/>
  <c r="H59" i="3" s="1"/>
  <c r="I59" i="3" s="1"/>
  <c r="A62" i="3"/>
  <c r="H62" i="3" s="1"/>
  <c r="I62" i="3" s="1"/>
  <c r="A67" i="3"/>
  <c r="H67" i="3" s="1"/>
  <c r="I67" i="3" s="1"/>
  <c r="A70" i="3"/>
  <c r="H70" i="3" s="1"/>
  <c r="I70" i="3" s="1"/>
  <c r="A75" i="3"/>
  <c r="H75" i="3" s="1"/>
  <c r="I75" i="3" s="1"/>
  <c r="A78" i="3"/>
  <c r="H78" i="3" s="1"/>
  <c r="I78" i="3" s="1"/>
  <c r="A83" i="3"/>
  <c r="H83" i="3" s="1"/>
  <c r="I83" i="3" s="1"/>
  <c r="A86" i="3"/>
  <c r="H86" i="3" s="1"/>
  <c r="I86" i="3" s="1"/>
  <c r="A91" i="3"/>
  <c r="H91" i="3" s="1"/>
  <c r="I91" i="3" s="1"/>
  <c r="A94" i="3"/>
  <c r="H94" i="3" s="1"/>
  <c r="I94" i="3" s="1"/>
  <c r="A99" i="3"/>
  <c r="H99" i="3" s="1"/>
  <c r="I99" i="3" s="1"/>
  <c r="A102" i="3"/>
  <c r="H102" i="3" s="1"/>
  <c r="I102" i="3" s="1"/>
  <c r="A107" i="3"/>
  <c r="H107" i="3" s="1"/>
  <c r="I107" i="3" s="1"/>
  <c r="A110" i="3"/>
  <c r="H110" i="3" s="1"/>
  <c r="I110" i="3" s="1"/>
  <c r="A115" i="3"/>
  <c r="H115" i="3" s="1"/>
  <c r="I115" i="3" s="1"/>
  <c r="A118" i="3"/>
  <c r="H118" i="3" s="1"/>
  <c r="I118" i="3" s="1"/>
  <c r="A123" i="3"/>
  <c r="H123" i="3" s="1"/>
  <c r="I123" i="3" s="1"/>
  <c r="A126" i="3"/>
  <c r="H126" i="3" s="1"/>
  <c r="I126" i="3" s="1"/>
  <c r="A131" i="3"/>
  <c r="H131" i="3" s="1"/>
  <c r="I131" i="3" s="1"/>
  <c r="A134" i="3"/>
  <c r="H134" i="3" s="1"/>
  <c r="I134" i="3" s="1"/>
  <c r="A139" i="3"/>
  <c r="H139" i="3" s="1"/>
  <c r="I139" i="3" s="1"/>
  <c r="A142" i="3"/>
  <c r="H142" i="3" s="1"/>
  <c r="I142" i="3" s="1"/>
  <c r="A147" i="3"/>
  <c r="H147" i="3" s="1"/>
  <c r="I147" i="3" s="1"/>
  <c r="A150" i="3"/>
  <c r="H150" i="3" s="1"/>
  <c r="I150" i="3" s="1"/>
  <c r="A155" i="3"/>
  <c r="H155" i="3" s="1"/>
  <c r="I155" i="3" s="1"/>
  <c r="A158" i="3"/>
  <c r="H158" i="3" s="1"/>
  <c r="I158" i="3" s="1"/>
  <c r="A163" i="3"/>
  <c r="H163" i="3" s="1"/>
  <c r="I163" i="3" s="1"/>
  <c r="A166" i="3"/>
  <c r="H166" i="3" s="1"/>
  <c r="I166" i="3" s="1"/>
  <c r="A171" i="3"/>
  <c r="H171" i="3" s="1"/>
  <c r="I171" i="3" s="1"/>
  <c r="A174" i="3"/>
  <c r="H174" i="3" s="1"/>
  <c r="I174" i="3" s="1"/>
  <c r="A179" i="3"/>
  <c r="H179" i="3" s="1"/>
  <c r="I179" i="3" s="1"/>
  <c r="A182" i="3"/>
  <c r="H182" i="3" s="1"/>
  <c r="I182" i="3" s="1"/>
  <c r="A187" i="3"/>
  <c r="H187" i="3" s="1"/>
  <c r="I187" i="3" s="1"/>
  <c r="A190" i="3"/>
  <c r="H190" i="3" s="1"/>
  <c r="I190" i="3" s="1"/>
  <c r="A195" i="3"/>
  <c r="H195" i="3" s="1"/>
  <c r="I195" i="3" s="1"/>
  <c r="A198" i="3"/>
  <c r="H198" i="3" s="1"/>
  <c r="I198" i="3" s="1"/>
  <c r="A203" i="3"/>
  <c r="H203" i="3" s="1"/>
  <c r="I203" i="3" s="1"/>
  <c r="A206" i="3"/>
  <c r="H206" i="3" s="1"/>
  <c r="I206" i="3" s="1"/>
  <c r="A211" i="3"/>
  <c r="H211" i="3" s="1"/>
  <c r="I211" i="3" s="1"/>
  <c r="A214" i="3"/>
  <c r="H214" i="3" s="1"/>
  <c r="I214" i="3" s="1"/>
  <c r="A219" i="3"/>
  <c r="H219" i="3" s="1"/>
  <c r="I219" i="3" s="1"/>
  <c r="A222" i="3"/>
  <c r="H222" i="3" s="1"/>
  <c r="I222" i="3" s="1"/>
  <c r="A228" i="3"/>
  <c r="H228" i="3" s="1"/>
  <c r="I228" i="3" s="1"/>
  <c r="A232" i="3"/>
  <c r="H232" i="3" s="1"/>
  <c r="I232" i="3" s="1"/>
  <c r="A236" i="3"/>
  <c r="H236" i="3" s="1"/>
  <c r="I236" i="3" s="1"/>
  <c r="A240" i="3"/>
  <c r="H240" i="3" s="1"/>
  <c r="I240" i="3" s="1"/>
  <c r="A244" i="3"/>
  <c r="H244" i="3" s="1"/>
  <c r="I244" i="3" s="1"/>
  <c r="A248" i="3"/>
  <c r="H248" i="3" s="1"/>
  <c r="I248" i="3" s="1"/>
  <c r="A252" i="3"/>
  <c r="H252" i="3" s="1"/>
  <c r="I252" i="3" s="1"/>
  <c r="A256" i="3"/>
  <c r="H256" i="3" s="1"/>
  <c r="I256" i="3" s="1"/>
  <c r="A260" i="3"/>
  <c r="H260" i="3" s="1"/>
  <c r="I260" i="3" s="1"/>
  <c r="A264" i="3"/>
  <c r="H264" i="3" s="1"/>
  <c r="I264" i="3" s="1"/>
  <c r="A268" i="3"/>
  <c r="H268" i="3" s="1"/>
  <c r="I268" i="3" s="1"/>
  <c r="A272" i="3"/>
  <c r="H272" i="3" s="1"/>
  <c r="I272" i="3" s="1"/>
  <c r="A276" i="3"/>
  <c r="H276" i="3" s="1"/>
  <c r="I276" i="3" s="1"/>
  <c r="A280" i="3"/>
  <c r="H280" i="3" s="1"/>
  <c r="I280" i="3" s="1"/>
  <c r="A284" i="3"/>
  <c r="H284" i="3" s="1"/>
  <c r="I284" i="3" s="1"/>
  <c r="A288" i="3"/>
  <c r="H288" i="3" s="1"/>
  <c r="I288" i="3" s="1"/>
  <c r="A292" i="3"/>
  <c r="H292" i="3" s="1"/>
  <c r="I292" i="3" s="1"/>
  <c r="A296" i="3"/>
  <c r="H296" i="3" s="1"/>
  <c r="I296" i="3" s="1"/>
  <c r="A300" i="3"/>
  <c r="H300" i="3" s="1"/>
  <c r="I300" i="3" s="1"/>
  <c r="A304" i="3"/>
  <c r="H304" i="3" s="1"/>
  <c r="I304" i="3" s="1"/>
  <c r="A310" i="3"/>
  <c r="H310" i="3" s="1"/>
  <c r="I310" i="3" s="1"/>
  <c r="A318" i="3"/>
  <c r="H318" i="3" s="1"/>
  <c r="I318" i="3" s="1"/>
  <c r="A326" i="3"/>
  <c r="H326" i="3" s="1"/>
  <c r="I326" i="3" s="1"/>
  <c r="A334" i="3"/>
  <c r="H334" i="3" s="1"/>
  <c r="I334" i="3" s="1"/>
  <c r="A342" i="3"/>
  <c r="H342" i="3" s="1"/>
  <c r="I342" i="3" s="1"/>
  <c r="A350" i="3"/>
  <c r="H350" i="3" s="1"/>
  <c r="I350" i="3" s="1"/>
  <c r="A358" i="3"/>
  <c r="H358" i="3" s="1"/>
  <c r="I358" i="3" s="1"/>
  <c r="A366" i="3"/>
  <c r="H366" i="3" s="1"/>
  <c r="I366" i="3" s="1"/>
  <c r="A374" i="3"/>
  <c r="H374" i="3" s="1"/>
  <c r="I374" i="3" s="1"/>
  <c r="A382" i="3"/>
  <c r="H382" i="3" s="1"/>
  <c r="I382" i="3" s="1"/>
  <c r="A390" i="3"/>
  <c r="H390" i="3" s="1"/>
  <c r="I390" i="3" s="1"/>
  <c r="A398" i="3"/>
  <c r="H398" i="3" s="1"/>
  <c r="I398" i="3" s="1"/>
  <c r="A406" i="3"/>
  <c r="H406" i="3" s="1"/>
  <c r="I406" i="3" s="1"/>
  <c r="A414" i="3"/>
  <c r="H414" i="3" s="1"/>
  <c r="I414" i="3" s="1"/>
  <c r="A422" i="3"/>
  <c r="H422" i="3" s="1"/>
  <c r="I422" i="3" s="1"/>
  <c r="A430" i="3"/>
  <c r="H430" i="3" s="1"/>
  <c r="I430" i="3" s="1"/>
  <c r="A438" i="3"/>
  <c r="H438" i="3" s="1"/>
  <c r="I438" i="3" s="1"/>
  <c r="A446" i="3"/>
  <c r="H446" i="3" s="1"/>
  <c r="I446" i="3" s="1"/>
  <c r="A454" i="3"/>
  <c r="H454" i="3" s="1"/>
  <c r="I454" i="3" s="1"/>
  <c r="A462" i="3"/>
  <c r="H462" i="3" s="1"/>
  <c r="I462" i="3" s="1"/>
  <c r="A470" i="3"/>
  <c r="H470" i="3" s="1"/>
  <c r="I470" i="3" s="1"/>
  <c r="A25" i="3"/>
  <c r="H25" i="3" s="1"/>
  <c r="I25" i="3" s="1"/>
  <c r="A28" i="3"/>
  <c r="H28" i="3" s="1"/>
  <c r="I28" i="3" s="1"/>
  <c r="A33" i="3"/>
  <c r="H33" i="3" s="1"/>
  <c r="I33" i="3" s="1"/>
  <c r="A36" i="3"/>
  <c r="H36" i="3" s="1"/>
  <c r="I36" i="3" s="1"/>
  <c r="A41" i="3"/>
  <c r="H41" i="3" s="1"/>
  <c r="I41" i="3" s="1"/>
  <c r="A44" i="3"/>
  <c r="H44" i="3" s="1"/>
  <c r="I44" i="3" s="1"/>
  <c r="A49" i="3"/>
  <c r="H49" i="3" s="1"/>
  <c r="I49" i="3" s="1"/>
  <c r="A52" i="3"/>
  <c r="H52" i="3" s="1"/>
  <c r="I52" i="3" s="1"/>
  <c r="A57" i="3"/>
  <c r="H57" i="3" s="1"/>
  <c r="I57" i="3" s="1"/>
  <c r="A60" i="3"/>
  <c r="H60" i="3" s="1"/>
  <c r="I60" i="3" s="1"/>
  <c r="A65" i="3"/>
  <c r="H65" i="3" s="1"/>
  <c r="I65" i="3" s="1"/>
  <c r="A68" i="3"/>
  <c r="H68" i="3" s="1"/>
  <c r="I68" i="3" s="1"/>
  <c r="A73" i="3"/>
  <c r="H73" i="3" s="1"/>
  <c r="I73" i="3" s="1"/>
  <c r="A76" i="3"/>
  <c r="H76" i="3" s="1"/>
  <c r="I76" i="3" s="1"/>
  <c r="A81" i="3"/>
  <c r="H81" i="3" s="1"/>
  <c r="I81" i="3" s="1"/>
  <c r="A84" i="3"/>
  <c r="H84" i="3" s="1"/>
  <c r="I84" i="3" s="1"/>
  <c r="A89" i="3"/>
  <c r="H89" i="3" s="1"/>
  <c r="I89" i="3" s="1"/>
  <c r="A92" i="3"/>
  <c r="H92" i="3" s="1"/>
  <c r="I92" i="3" s="1"/>
  <c r="A97" i="3"/>
  <c r="H97" i="3" s="1"/>
  <c r="I97" i="3" s="1"/>
  <c r="A100" i="3"/>
  <c r="H100" i="3" s="1"/>
  <c r="I100" i="3" s="1"/>
  <c r="A105" i="3"/>
  <c r="H105" i="3" s="1"/>
  <c r="I105" i="3" s="1"/>
  <c r="A108" i="3"/>
  <c r="H108" i="3" s="1"/>
  <c r="I108" i="3" s="1"/>
  <c r="A113" i="3"/>
  <c r="H113" i="3" s="1"/>
  <c r="I113" i="3" s="1"/>
  <c r="A116" i="3"/>
  <c r="H116" i="3" s="1"/>
  <c r="I116" i="3" s="1"/>
  <c r="A121" i="3"/>
  <c r="H121" i="3" s="1"/>
  <c r="I121" i="3" s="1"/>
  <c r="A124" i="3"/>
  <c r="H124" i="3" s="1"/>
  <c r="I124" i="3" s="1"/>
  <c r="A129" i="3"/>
  <c r="H129" i="3" s="1"/>
  <c r="I129" i="3" s="1"/>
  <c r="A132" i="3"/>
  <c r="H132" i="3" s="1"/>
  <c r="I132" i="3" s="1"/>
  <c r="A137" i="3"/>
  <c r="H137" i="3" s="1"/>
  <c r="I137" i="3" s="1"/>
  <c r="A140" i="3"/>
  <c r="H140" i="3" s="1"/>
  <c r="I140" i="3" s="1"/>
  <c r="A145" i="3"/>
  <c r="H145" i="3" s="1"/>
  <c r="I145" i="3" s="1"/>
  <c r="A148" i="3"/>
  <c r="H148" i="3" s="1"/>
  <c r="I148" i="3" s="1"/>
  <c r="A153" i="3"/>
  <c r="H153" i="3" s="1"/>
  <c r="I153" i="3" s="1"/>
  <c r="A156" i="3"/>
  <c r="H156" i="3" s="1"/>
  <c r="I156" i="3" s="1"/>
  <c r="A161" i="3"/>
  <c r="H161" i="3" s="1"/>
  <c r="I161" i="3" s="1"/>
  <c r="A164" i="3"/>
  <c r="H164" i="3" s="1"/>
  <c r="I164" i="3" s="1"/>
  <c r="A169" i="3"/>
  <c r="H169" i="3" s="1"/>
  <c r="I169" i="3" s="1"/>
  <c r="A172" i="3"/>
  <c r="H172" i="3" s="1"/>
  <c r="I172" i="3" s="1"/>
  <c r="A177" i="3"/>
  <c r="H177" i="3" s="1"/>
  <c r="I177" i="3" s="1"/>
  <c r="A180" i="3"/>
  <c r="H180" i="3" s="1"/>
  <c r="I180" i="3" s="1"/>
  <c r="A185" i="3"/>
  <c r="H185" i="3" s="1"/>
  <c r="I185" i="3" s="1"/>
  <c r="A188" i="3"/>
  <c r="H188" i="3" s="1"/>
  <c r="I188" i="3" s="1"/>
  <c r="A193" i="3"/>
  <c r="H193" i="3" s="1"/>
  <c r="I193" i="3" s="1"/>
  <c r="A196" i="3"/>
  <c r="H196" i="3" s="1"/>
  <c r="I196" i="3" s="1"/>
  <c r="A201" i="3"/>
  <c r="H201" i="3" s="1"/>
  <c r="I201" i="3" s="1"/>
  <c r="A204" i="3"/>
  <c r="H204" i="3" s="1"/>
  <c r="I204" i="3" s="1"/>
  <c r="A209" i="3"/>
  <c r="H209" i="3" s="1"/>
  <c r="I209" i="3" s="1"/>
  <c r="A212" i="3"/>
  <c r="H212" i="3" s="1"/>
  <c r="I212" i="3" s="1"/>
  <c r="A217" i="3"/>
  <c r="H217" i="3" s="1"/>
  <c r="I217" i="3" s="1"/>
  <c r="A220" i="3"/>
  <c r="H220" i="3" s="1"/>
  <c r="I220" i="3" s="1"/>
  <c r="A225" i="3"/>
  <c r="H225" i="3" s="1"/>
  <c r="I225" i="3" s="1"/>
  <c r="A311" i="3"/>
  <c r="H311" i="3" s="1"/>
  <c r="I311" i="3" s="1"/>
  <c r="A319" i="3"/>
  <c r="H319" i="3" s="1"/>
  <c r="I319" i="3" s="1"/>
  <c r="A327" i="3"/>
  <c r="H327" i="3" s="1"/>
  <c r="I327" i="3" s="1"/>
  <c r="A335" i="3"/>
  <c r="H335" i="3" s="1"/>
  <c r="I335" i="3" s="1"/>
  <c r="A343" i="3"/>
  <c r="H343" i="3" s="1"/>
  <c r="I343" i="3" s="1"/>
  <c r="A351" i="3"/>
  <c r="H351" i="3" s="1"/>
  <c r="I351" i="3" s="1"/>
  <c r="A359" i="3"/>
  <c r="H359" i="3" s="1"/>
  <c r="I359" i="3" s="1"/>
  <c r="A367" i="3"/>
  <c r="H367" i="3" s="1"/>
  <c r="I367" i="3" s="1"/>
  <c r="A375" i="3"/>
  <c r="H375" i="3" s="1"/>
  <c r="I375" i="3" s="1"/>
  <c r="A383" i="3"/>
  <c r="H383" i="3" s="1"/>
  <c r="I383" i="3" s="1"/>
  <c r="A391" i="3"/>
  <c r="H391" i="3" s="1"/>
  <c r="I391" i="3" s="1"/>
  <c r="A399" i="3"/>
  <c r="H399" i="3" s="1"/>
  <c r="I399" i="3" s="1"/>
  <c r="A407" i="3"/>
  <c r="H407" i="3" s="1"/>
  <c r="I407" i="3" s="1"/>
  <c r="A415" i="3"/>
  <c r="H415" i="3" s="1"/>
  <c r="I415" i="3" s="1"/>
  <c r="A423" i="3"/>
  <c r="H423" i="3" s="1"/>
  <c r="I423" i="3" s="1"/>
  <c r="A431" i="3"/>
  <c r="H431" i="3" s="1"/>
  <c r="I431" i="3" s="1"/>
  <c r="A439" i="3"/>
  <c r="H439" i="3" s="1"/>
  <c r="I439" i="3" s="1"/>
  <c r="A447" i="3"/>
  <c r="H447" i="3" s="1"/>
  <c r="I447" i="3" s="1"/>
  <c r="A455" i="3"/>
  <c r="H455" i="3" s="1"/>
  <c r="I455" i="3" s="1"/>
  <c r="A463" i="3"/>
  <c r="H463" i="3" s="1"/>
  <c r="I463" i="3" s="1"/>
  <c r="A471" i="3"/>
  <c r="H471" i="3" s="1"/>
  <c r="I471" i="3" s="1"/>
  <c r="A227" i="3"/>
  <c r="H227" i="3" s="1"/>
  <c r="I227" i="3" s="1"/>
  <c r="A229" i="3"/>
  <c r="H229" i="3" s="1"/>
  <c r="I229" i="3" s="1"/>
  <c r="A231" i="3"/>
  <c r="H231" i="3" s="1"/>
  <c r="I231" i="3" s="1"/>
  <c r="A233" i="3"/>
  <c r="H233" i="3" s="1"/>
  <c r="I233" i="3" s="1"/>
  <c r="A235" i="3"/>
  <c r="H235" i="3" s="1"/>
  <c r="I235" i="3" s="1"/>
  <c r="A237" i="3"/>
  <c r="H237" i="3" s="1"/>
  <c r="I237" i="3" s="1"/>
  <c r="A239" i="3"/>
  <c r="H239" i="3" s="1"/>
  <c r="I239" i="3" s="1"/>
  <c r="A241" i="3"/>
  <c r="H241" i="3" s="1"/>
  <c r="I241" i="3" s="1"/>
  <c r="A243" i="3"/>
  <c r="H243" i="3" s="1"/>
  <c r="I243" i="3" s="1"/>
  <c r="A245" i="3"/>
  <c r="H245" i="3" s="1"/>
  <c r="I245" i="3" s="1"/>
  <c r="A247" i="3"/>
  <c r="H247" i="3" s="1"/>
  <c r="I247" i="3" s="1"/>
  <c r="A249" i="3"/>
  <c r="H249" i="3" s="1"/>
  <c r="I249" i="3" s="1"/>
  <c r="A251" i="3"/>
  <c r="H251" i="3" s="1"/>
  <c r="I251" i="3" s="1"/>
  <c r="A253" i="3"/>
  <c r="H253" i="3" s="1"/>
  <c r="I253" i="3" s="1"/>
  <c r="A255" i="3"/>
  <c r="H255" i="3" s="1"/>
  <c r="I255" i="3" s="1"/>
  <c r="A257" i="3"/>
  <c r="H257" i="3" s="1"/>
  <c r="I257" i="3" s="1"/>
  <c r="A259" i="3"/>
  <c r="H259" i="3" s="1"/>
  <c r="I259" i="3" s="1"/>
  <c r="A261" i="3"/>
  <c r="H261" i="3" s="1"/>
  <c r="I261" i="3" s="1"/>
  <c r="A263" i="3"/>
  <c r="H263" i="3" s="1"/>
  <c r="I263" i="3" s="1"/>
  <c r="A265" i="3"/>
  <c r="H265" i="3" s="1"/>
  <c r="I265" i="3" s="1"/>
  <c r="A267" i="3"/>
  <c r="H267" i="3" s="1"/>
  <c r="I267" i="3" s="1"/>
  <c r="A269" i="3"/>
  <c r="H269" i="3" s="1"/>
  <c r="I269" i="3" s="1"/>
  <c r="A271" i="3"/>
  <c r="H271" i="3" s="1"/>
  <c r="I271" i="3" s="1"/>
  <c r="A273" i="3"/>
  <c r="H273" i="3" s="1"/>
  <c r="I273" i="3" s="1"/>
  <c r="A275" i="3"/>
  <c r="H275" i="3" s="1"/>
  <c r="I275" i="3" s="1"/>
  <c r="A277" i="3"/>
  <c r="H277" i="3" s="1"/>
  <c r="I277" i="3" s="1"/>
  <c r="A279" i="3"/>
  <c r="H279" i="3" s="1"/>
  <c r="I279" i="3" s="1"/>
  <c r="A281" i="3"/>
  <c r="H281" i="3" s="1"/>
  <c r="I281" i="3" s="1"/>
  <c r="A283" i="3"/>
  <c r="H283" i="3" s="1"/>
  <c r="I283" i="3" s="1"/>
  <c r="A285" i="3"/>
  <c r="H285" i="3" s="1"/>
  <c r="I285" i="3" s="1"/>
  <c r="A287" i="3"/>
  <c r="H287" i="3" s="1"/>
  <c r="I287" i="3" s="1"/>
  <c r="A289" i="3"/>
  <c r="H289" i="3" s="1"/>
  <c r="I289" i="3" s="1"/>
  <c r="A291" i="3"/>
  <c r="H291" i="3" s="1"/>
  <c r="I291" i="3" s="1"/>
  <c r="A293" i="3"/>
  <c r="H293" i="3" s="1"/>
  <c r="I293" i="3" s="1"/>
  <c r="A295" i="3"/>
  <c r="H295" i="3" s="1"/>
  <c r="I295" i="3" s="1"/>
  <c r="A297" i="3"/>
  <c r="H297" i="3" s="1"/>
  <c r="I297" i="3" s="1"/>
  <c r="A299" i="3"/>
  <c r="H299" i="3" s="1"/>
  <c r="I299" i="3" s="1"/>
  <c r="A301" i="3"/>
  <c r="H301" i="3" s="1"/>
  <c r="I301" i="3" s="1"/>
  <c r="A303" i="3"/>
  <c r="H303" i="3" s="1"/>
  <c r="I303" i="3" s="1"/>
  <c r="A305" i="3"/>
  <c r="H305" i="3" s="1"/>
  <c r="I305" i="3" s="1"/>
  <c r="A308" i="3"/>
  <c r="H308" i="3" s="1"/>
  <c r="I308" i="3" s="1"/>
  <c r="A312" i="3"/>
  <c r="H312" i="3" s="1"/>
  <c r="I312" i="3" s="1"/>
  <c r="A316" i="3"/>
  <c r="H316" i="3" s="1"/>
  <c r="I316" i="3" s="1"/>
  <c r="A320" i="3"/>
  <c r="H320" i="3" s="1"/>
  <c r="I320" i="3" s="1"/>
  <c r="A324" i="3"/>
  <c r="H324" i="3" s="1"/>
  <c r="I324" i="3" s="1"/>
  <c r="A328" i="3"/>
  <c r="H328" i="3" s="1"/>
  <c r="I328" i="3" s="1"/>
  <c r="A332" i="3"/>
  <c r="H332" i="3" s="1"/>
  <c r="I332" i="3" s="1"/>
  <c r="A336" i="3"/>
  <c r="H336" i="3" s="1"/>
  <c r="I336" i="3" s="1"/>
  <c r="A340" i="3"/>
  <c r="H340" i="3" s="1"/>
  <c r="I340" i="3" s="1"/>
  <c r="A344" i="3"/>
  <c r="H344" i="3" s="1"/>
  <c r="I344" i="3" s="1"/>
  <c r="A348" i="3"/>
  <c r="H348" i="3" s="1"/>
  <c r="I348" i="3" s="1"/>
  <c r="A352" i="3"/>
  <c r="H352" i="3" s="1"/>
  <c r="I352" i="3" s="1"/>
  <c r="A356" i="3"/>
  <c r="H356" i="3" s="1"/>
  <c r="I356" i="3" s="1"/>
  <c r="A360" i="3"/>
  <c r="H360" i="3" s="1"/>
  <c r="I360" i="3" s="1"/>
  <c r="A364" i="3"/>
  <c r="H364" i="3" s="1"/>
  <c r="I364" i="3" s="1"/>
  <c r="A368" i="3"/>
  <c r="H368" i="3" s="1"/>
  <c r="I368" i="3" s="1"/>
  <c r="A372" i="3"/>
  <c r="H372" i="3" s="1"/>
  <c r="I372" i="3" s="1"/>
  <c r="A376" i="3"/>
  <c r="H376" i="3" s="1"/>
  <c r="I376" i="3" s="1"/>
  <c r="A380" i="3"/>
  <c r="H380" i="3" s="1"/>
  <c r="I380" i="3" s="1"/>
  <c r="A384" i="3"/>
  <c r="H384" i="3" s="1"/>
  <c r="I384" i="3" s="1"/>
  <c r="A388" i="3"/>
  <c r="H388" i="3" s="1"/>
  <c r="I388" i="3" s="1"/>
  <c r="A392" i="3"/>
  <c r="H392" i="3" s="1"/>
  <c r="I392" i="3" s="1"/>
  <c r="A396" i="3"/>
  <c r="H396" i="3" s="1"/>
  <c r="I396" i="3" s="1"/>
  <c r="A400" i="3"/>
  <c r="H400" i="3" s="1"/>
  <c r="I400" i="3" s="1"/>
  <c r="A404" i="3"/>
  <c r="H404" i="3" s="1"/>
  <c r="I404" i="3" s="1"/>
  <c r="A408" i="3"/>
  <c r="H408" i="3" s="1"/>
  <c r="I408" i="3" s="1"/>
  <c r="A412" i="3"/>
  <c r="H412" i="3" s="1"/>
  <c r="I412" i="3" s="1"/>
  <c r="A416" i="3"/>
  <c r="H416" i="3" s="1"/>
  <c r="I416" i="3" s="1"/>
  <c r="A420" i="3"/>
  <c r="H420" i="3" s="1"/>
  <c r="I420" i="3" s="1"/>
  <c r="A424" i="3"/>
  <c r="H424" i="3" s="1"/>
  <c r="I424" i="3" s="1"/>
  <c r="A428" i="3"/>
  <c r="H428" i="3" s="1"/>
  <c r="I428" i="3" s="1"/>
  <c r="A432" i="3"/>
  <c r="H432" i="3" s="1"/>
  <c r="I432" i="3" s="1"/>
  <c r="A436" i="3"/>
  <c r="H436" i="3" s="1"/>
  <c r="I436" i="3" s="1"/>
  <c r="A440" i="3"/>
  <c r="H440" i="3" s="1"/>
  <c r="I440" i="3" s="1"/>
  <c r="A444" i="3"/>
  <c r="H444" i="3" s="1"/>
  <c r="I444" i="3" s="1"/>
  <c r="A448" i="3"/>
  <c r="H448" i="3" s="1"/>
  <c r="I448" i="3" s="1"/>
  <c r="A452" i="3"/>
  <c r="H452" i="3" s="1"/>
  <c r="I452" i="3" s="1"/>
  <c r="A456" i="3"/>
  <c r="H456" i="3" s="1"/>
  <c r="I456" i="3" s="1"/>
  <c r="A460" i="3"/>
  <c r="H460" i="3" s="1"/>
  <c r="I460" i="3" s="1"/>
  <c r="A464" i="3"/>
  <c r="H464" i="3" s="1"/>
  <c r="I464" i="3" s="1"/>
  <c r="A468" i="3"/>
  <c r="H468" i="3" s="1"/>
  <c r="I468" i="3" s="1"/>
  <c r="A472" i="3"/>
  <c r="H472" i="3" s="1"/>
  <c r="I472" i="3" s="1"/>
  <c r="A309" i="3"/>
  <c r="H309" i="3" s="1"/>
  <c r="I309" i="3" s="1"/>
  <c r="A313" i="3"/>
  <c r="H313" i="3" s="1"/>
  <c r="I313" i="3" s="1"/>
  <c r="A317" i="3"/>
  <c r="H317" i="3" s="1"/>
  <c r="I317" i="3" s="1"/>
  <c r="A321" i="3"/>
  <c r="H321" i="3" s="1"/>
  <c r="I321" i="3" s="1"/>
  <c r="A325" i="3"/>
  <c r="H325" i="3" s="1"/>
  <c r="I325" i="3" s="1"/>
  <c r="A329" i="3"/>
  <c r="H329" i="3" s="1"/>
  <c r="I329" i="3" s="1"/>
  <c r="A333" i="3"/>
  <c r="H333" i="3" s="1"/>
  <c r="I333" i="3" s="1"/>
  <c r="A337" i="3"/>
  <c r="H337" i="3" s="1"/>
  <c r="I337" i="3" s="1"/>
  <c r="A341" i="3"/>
  <c r="H341" i="3" s="1"/>
  <c r="I341" i="3" s="1"/>
  <c r="A345" i="3"/>
  <c r="H345" i="3" s="1"/>
  <c r="I345" i="3" s="1"/>
  <c r="A349" i="3"/>
  <c r="H349" i="3" s="1"/>
  <c r="I349" i="3" s="1"/>
  <c r="A353" i="3"/>
  <c r="H353" i="3" s="1"/>
  <c r="I353" i="3" s="1"/>
  <c r="A357" i="3"/>
  <c r="H357" i="3" s="1"/>
  <c r="I357" i="3" s="1"/>
  <c r="A361" i="3"/>
  <c r="H361" i="3" s="1"/>
  <c r="I361" i="3" s="1"/>
  <c r="A365" i="3"/>
  <c r="H365" i="3" s="1"/>
  <c r="I365" i="3" s="1"/>
  <c r="A369" i="3"/>
  <c r="H369" i="3" s="1"/>
  <c r="I369" i="3" s="1"/>
  <c r="A373" i="3"/>
  <c r="H373" i="3" s="1"/>
  <c r="I373" i="3" s="1"/>
  <c r="A377" i="3"/>
  <c r="H377" i="3" s="1"/>
  <c r="I377" i="3" s="1"/>
  <c r="A381" i="3"/>
  <c r="H381" i="3" s="1"/>
  <c r="I381" i="3" s="1"/>
  <c r="A385" i="3"/>
  <c r="H385" i="3" s="1"/>
  <c r="I385" i="3" s="1"/>
  <c r="A389" i="3"/>
  <c r="H389" i="3" s="1"/>
  <c r="I389" i="3" s="1"/>
  <c r="A393" i="3"/>
  <c r="H393" i="3" s="1"/>
  <c r="I393" i="3" s="1"/>
  <c r="A397" i="3"/>
  <c r="H397" i="3" s="1"/>
  <c r="I397" i="3" s="1"/>
  <c r="A401" i="3"/>
  <c r="H401" i="3" s="1"/>
  <c r="I401" i="3" s="1"/>
  <c r="A405" i="3"/>
  <c r="H405" i="3" s="1"/>
  <c r="I405" i="3" s="1"/>
  <c r="A409" i="3"/>
  <c r="H409" i="3" s="1"/>
  <c r="I409" i="3" s="1"/>
  <c r="A413" i="3"/>
  <c r="H413" i="3" s="1"/>
  <c r="I413" i="3" s="1"/>
  <c r="A417" i="3"/>
  <c r="H417" i="3" s="1"/>
  <c r="I417" i="3" s="1"/>
  <c r="A421" i="3"/>
  <c r="H421" i="3" s="1"/>
  <c r="I421" i="3" s="1"/>
  <c r="A425" i="3"/>
  <c r="H425" i="3" s="1"/>
  <c r="I425" i="3" s="1"/>
  <c r="A429" i="3"/>
  <c r="H429" i="3" s="1"/>
  <c r="I429" i="3" s="1"/>
  <c r="A433" i="3"/>
  <c r="H433" i="3" s="1"/>
  <c r="I433" i="3" s="1"/>
  <c r="A437" i="3"/>
  <c r="H437" i="3" s="1"/>
  <c r="I437" i="3" s="1"/>
  <c r="A441" i="3"/>
  <c r="H441" i="3" s="1"/>
  <c r="I441" i="3" s="1"/>
  <c r="A445" i="3"/>
  <c r="H445" i="3" s="1"/>
  <c r="I445" i="3" s="1"/>
  <c r="A449" i="3"/>
  <c r="H449" i="3" s="1"/>
  <c r="I449" i="3" s="1"/>
  <c r="A453" i="3"/>
  <c r="H453" i="3" s="1"/>
  <c r="I453" i="3" s="1"/>
  <c r="A457" i="3"/>
  <c r="H457" i="3" s="1"/>
  <c r="I457" i="3" s="1"/>
  <c r="A461" i="3"/>
  <c r="H461" i="3" s="1"/>
  <c r="I461" i="3" s="1"/>
  <c r="A465" i="3"/>
  <c r="H465" i="3" s="1"/>
  <c r="I465" i="3" s="1"/>
  <c r="A469" i="3"/>
  <c r="H469" i="3" s="1"/>
  <c r="I469" i="3" s="1"/>
  <c r="A473" i="3"/>
  <c r="H473" i="3" s="1"/>
  <c r="I473" i="3" s="1"/>
  <c r="A3" i="3"/>
  <c r="G213" i="3"/>
  <c r="G209" i="3"/>
  <c r="G205" i="3"/>
  <c r="G201" i="3"/>
  <c r="G197" i="3"/>
  <c r="G193" i="3"/>
  <c r="G189" i="3"/>
  <c r="G185" i="3"/>
  <c r="G181" i="3"/>
  <c r="G177" i="3"/>
  <c r="G173" i="3"/>
  <c r="G169" i="3"/>
  <c r="G165" i="3"/>
  <c r="G161" i="3"/>
  <c r="G157" i="3"/>
  <c r="G153" i="3"/>
  <c r="G149" i="3"/>
  <c r="G145" i="3"/>
  <c r="G141" i="3"/>
  <c r="G137" i="3"/>
  <c r="G133" i="3"/>
  <c r="G129" i="3"/>
  <c r="G125" i="3"/>
  <c r="G121" i="3"/>
  <c r="G117" i="3"/>
  <c r="G113" i="3"/>
  <c r="G109" i="3"/>
  <c r="G105" i="3"/>
  <c r="G101" i="3"/>
  <c r="G97" i="3"/>
  <c r="G93" i="3"/>
  <c r="G89" i="3"/>
  <c r="G85" i="3"/>
  <c r="G81" i="3"/>
  <c r="G77" i="3"/>
  <c r="G73" i="3"/>
  <c r="G69" i="3"/>
  <c r="G65" i="3"/>
  <c r="G61" i="3"/>
  <c r="G57" i="3"/>
  <c r="G53" i="3"/>
  <c r="G49" i="3"/>
  <c r="G45" i="3"/>
  <c r="G41" i="3"/>
  <c r="G37" i="3"/>
  <c r="G33" i="3"/>
  <c r="G29" i="3"/>
  <c r="G25" i="3"/>
  <c r="G21" i="3"/>
  <c r="G17" i="3"/>
  <c r="G13" i="3"/>
  <c r="G9" i="3"/>
  <c r="G5" i="3"/>
  <c r="G432" i="3"/>
  <c r="G428" i="3"/>
  <c r="G424" i="3"/>
  <c r="G420" i="3"/>
  <c r="G416" i="3"/>
  <c r="G412" i="3"/>
  <c r="G408" i="3"/>
  <c r="G404" i="3"/>
  <c r="G400" i="3"/>
  <c r="G396" i="3"/>
  <c r="G392" i="3"/>
  <c r="G388" i="3"/>
  <c r="G384" i="3"/>
  <c r="G380" i="3"/>
  <c r="G376" i="3"/>
  <c r="G372" i="3"/>
  <c r="G368" i="3"/>
  <c r="G364" i="3"/>
  <c r="G360" i="3"/>
  <c r="G356" i="3"/>
  <c r="G352" i="3"/>
  <c r="G348" i="3"/>
  <c r="G344" i="3"/>
  <c r="G340" i="3"/>
  <c r="G336" i="3"/>
  <c r="G332" i="3"/>
  <c r="G328" i="3"/>
  <c r="G324" i="3"/>
  <c r="G320" i="3"/>
  <c r="G316" i="3"/>
  <c r="G312" i="3"/>
  <c r="G308" i="3"/>
  <c r="G304" i="3"/>
  <c r="G300" i="3"/>
  <c r="G296" i="3"/>
  <c r="G292" i="3"/>
  <c r="G288" i="3"/>
  <c r="G284" i="3"/>
  <c r="G280" i="3"/>
  <c r="G276" i="3"/>
  <c r="G272" i="3"/>
  <c r="G268" i="3"/>
  <c r="G264" i="3"/>
  <c r="G260" i="3"/>
  <c r="G256" i="3"/>
  <c r="G252" i="3"/>
  <c r="G248" i="3"/>
  <c r="G244" i="3"/>
  <c r="G240" i="3"/>
  <c r="G236" i="3"/>
  <c r="G232" i="3"/>
  <c r="G228" i="3"/>
  <c r="G224" i="3"/>
  <c r="G220" i="3"/>
  <c r="G216" i="3"/>
  <c r="G212" i="3"/>
  <c r="G208" i="3"/>
  <c r="G204" i="3"/>
  <c r="G200" i="3"/>
  <c r="G196" i="3"/>
  <c r="G192" i="3"/>
  <c r="G188" i="3"/>
  <c r="G184" i="3"/>
  <c r="G180" i="3"/>
  <c r="G176" i="3"/>
  <c r="G172" i="3"/>
  <c r="G168" i="3"/>
  <c r="G164" i="3"/>
  <c r="G160" i="3"/>
  <c r="G156" i="3"/>
  <c r="G152" i="3"/>
  <c r="G148" i="3"/>
  <c r="G144" i="3"/>
  <c r="G140" i="3"/>
  <c r="G136" i="3"/>
  <c r="G132" i="3"/>
  <c r="G128" i="3"/>
  <c r="G124" i="3"/>
  <c r="G120" i="3"/>
  <c r="G116" i="3"/>
  <c r="G112" i="3"/>
  <c r="G108" i="3"/>
  <c r="G104" i="3"/>
  <c r="G100" i="3"/>
  <c r="G96" i="3"/>
  <c r="G92" i="3"/>
  <c r="G88" i="3"/>
  <c r="G84" i="3"/>
  <c r="G80" i="3"/>
  <c r="G76" i="3"/>
  <c r="G72" i="3"/>
  <c r="G68" i="3"/>
  <c r="G64" i="3"/>
  <c r="G60" i="3"/>
  <c r="G56" i="3"/>
  <c r="G52" i="3"/>
  <c r="G48" i="3"/>
  <c r="G44" i="3"/>
  <c r="G40" i="3"/>
  <c r="G36" i="3"/>
  <c r="G32" i="3"/>
  <c r="G28" i="3"/>
  <c r="G24" i="3"/>
  <c r="G20" i="3"/>
  <c r="G16" i="3"/>
  <c r="G12" i="3"/>
  <c r="G8" i="3"/>
  <c r="G4" i="3"/>
  <c r="G135" i="3"/>
  <c r="G131" i="3"/>
  <c r="G127" i="3"/>
  <c r="G123" i="3"/>
  <c r="G119" i="3"/>
  <c r="G115" i="3"/>
  <c r="G111" i="3"/>
  <c r="G107" i="3"/>
  <c r="G103" i="3"/>
  <c r="G99" i="3"/>
  <c r="G95" i="3"/>
  <c r="G91" i="3"/>
  <c r="G87" i="3"/>
  <c r="G83" i="3"/>
  <c r="G79" i="3"/>
  <c r="G75" i="3"/>
  <c r="G71" i="3"/>
  <c r="G67" i="3"/>
  <c r="G63" i="3"/>
  <c r="G59" i="3"/>
  <c r="G55" i="3"/>
  <c r="G51" i="3"/>
  <c r="G47" i="3"/>
  <c r="G43" i="3"/>
  <c r="G39" i="3"/>
  <c r="G35" i="3"/>
  <c r="G31" i="3"/>
  <c r="G27" i="3"/>
  <c r="G23" i="3"/>
  <c r="G19" i="3"/>
  <c r="G15" i="3"/>
  <c r="G11" i="3"/>
  <c r="G7" i="3"/>
  <c r="G3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  <c r="J475" i="3" a="1"/>
  <c r="J462" i="3" a="1"/>
  <c r="J446" i="3" a="1"/>
  <c r="J430" i="3" a="1"/>
  <c r="J414" i="3" a="1"/>
  <c r="J398" i="3" a="1"/>
  <c r="J382" i="3" a="1"/>
  <c r="J366" i="3" a="1"/>
  <c r="J350" i="3" a="1"/>
  <c r="J334" i="3" a="1"/>
  <c r="J465" i="3" a="1"/>
  <c r="J449" i="3" a="1"/>
  <c r="J433" i="3" a="1"/>
  <c r="J417" i="3" a="1"/>
  <c r="J401" i="3" a="1"/>
  <c r="J385" i="3" a="1"/>
  <c r="J369" i="3" a="1"/>
  <c r="J353" i="3" a="1"/>
  <c r="J337" i="3" a="1"/>
  <c r="J321" i="3" a="1"/>
  <c r="J472" i="3" a="1"/>
  <c r="J456" i="3" a="1"/>
  <c r="J440" i="3" a="1"/>
  <c r="J424" i="3" a="1"/>
  <c r="J408" i="3" a="1"/>
  <c r="J392" i="3" a="1"/>
  <c r="J376" i="3" a="1"/>
  <c r="J360" i="3" a="1"/>
  <c r="J344" i="3" a="1"/>
  <c r="J328" i="3" a="1"/>
  <c r="J459" i="3" a="1"/>
  <c r="J443" i="3" a="1"/>
  <c r="J427" i="3" a="1"/>
  <c r="J411" i="3" a="1"/>
  <c r="J395" i="3" a="1"/>
  <c r="J379" i="3" a="1"/>
  <c r="J363" i="3" a="1"/>
  <c r="J347" i="3" a="1"/>
  <c r="J331" i="3" a="1"/>
  <c r="J315" i="3" a="1"/>
  <c r="J318" i="3" a="1"/>
  <c r="J296" i="3" a="1"/>
  <c r="J280" i="3" a="1"/>
  <c r="J264" i="3" a="1"/>
  <c r="J248" i="3" a="1"/>
  <c r="J232" i="3" a="1"/>
  <c r="J216" i="3" a="1"/>
  <c r="J200" i="3" a="1"/>
  <c r="J324" i="3" a="1"/>
  <c r="J299" i="3" a="1"/>
  <c r="J283" i="3" a="1"/>
  <c r="J267" i="3" a="1"/>
  <c r="J251" i="3" a="1"/>
  <c r="J235" i="3" a="1"/>
  <c r="J219" i="3" a="1"/>
  <c r="J203" i="3" a="1"/>
  <c r="J314" i="3" a="1"/>
  <c r="J294" i="3" a="1"/>
  <c r="J278" i="3" a="1"/>
  <c r="J262" i="3" a="1"/>
  <c r="J246" i="3" a="1"/>
  <c r="J230" i="3" a="1"/>
  <c r="J214" i="3" a="1"/>
  <c r="J198" i="3" a="1"/>
  <c r="J320" i="3" a="1"/>
  <c r="J297" i="3" a="1"/>
  <c r="J281" i="3" a="1"/>
  <c r="J265" i="3" a="1"/>
  <c r="J249" i="3" a="1"/>
  <c r="J233" i="3" a="1"/>
  <c r="J217" i="3" a="1"/>
  <c r="J201" i="3" a="1"/>
  <c r="J184" i="3" a="1"/>
  <c r="J168" i="3" a="1"/>
  <c r="J152" i="3" a="1"/>
  <c r="J136" i="3" a="1"/>
  <c r="J120" i="3" a="1"/>
  <c r="J104" i="3" a="1"/>
  <c r="J88" i="3" a="1"/>
  <c r="J72" i="3" a="1"/>
  <c r="J183" i="3" a="1"/>
  <c r="J167" i="3" a="1"/>
  <c r="J151" i="3" a="1"/>
  <c r="J135" i="3" a="1"/>
  <c r="J119" i="3" a="1"/>
  <c r="J103" i="3" a="1"/>
  <c r="J87" i="3" a="1"/>
  <c r="J71" i="3" a="1"/>
  <c r="J59" i="3" a="1"/>
  <c r="J51" i="3" a="1"/>
  <c r="J43" i="3" a="1"/>
  <c r="J35" i="3" a="1"/>
  <c r="J27" i="3" a="1"/>
  <c r="J19" i="3" a="1"/>
  <c r="J11" i="3" a="1"/>
  <c r="J102" i="3" a="1"/>
  <c r="J86" i="3" a="1"/>
  <c r="J70" i="3" a="1"/>
  <c r="J174" i="3" a="1"/>
  <c r="J158" i="3" a="1"/>
  <c r="J142" i="3" a="1"/>
  <c r="J126" i="3" a="1"/>
  <c r="J110" i="3" a="1"/>
  <c r="J177" i="3" a="1"/>
  <c r="J161" i="3" a="1"/>
  <c r="J145" i="3" a="1"/>
  <c r="J129" i="3" a="1"/>
  <c r="J113" i="3" a="1"/>
  <c r="J97" i="3" a="1"/>
  <c r="J81" i="3" a="1"/>
  <c r="J65" i="3" a="1"/>
  <c r="J56" i="3" a="1"/>
  <c r="J48" i="3" a="1"/>
  <c r="J40" i="3" a="1"/>
  <c r="J32" i="3" a="1"/>
  <c r="J24" i="3" a="1"/>
  <c r="J16" i="3" a="1"/>
  <c r="J8" i="3" a="1"/>
  <c r="J3" i="3" a="1"/>
  <c r="J170" i="3" a="1"/>
  <c r="J106" i="3" a="1"/>
  <c r="J157" i="3" a="1"/>
  <c r="J125" i="3" a="1"/>
  <c r="J93" i="3" a="1"/>
  <c r="J62" i="3" a="1"/>
  <c r="J46" i="3" a="1"/>
  <c r="J30" i="3" a="1"/>
  <c r="J474" i="3" a="1"/>
  <c r="J458" i="3" a="1"/>
  <c r="J442" i="3" a="1"/>
  <c r="J426" i="3" a="1"/>
  <c r="J410" i="3" a="1"/>
  <c r="J394" i="3" a="1"/>
  <c r="J378" i="3" a="1"/>
  <c r="J362" i="3" a="1"/>
  <c r="J346" i="3" a="1"/>
  <c r="J330" i="3" a="1"/>
  <c r="J461" i="3" a="1"/>
  <c r="J445" i="3" a="1"/>
  <c r="J429" i="3" a="1"/>
  <c r="J413" i="3" a="1"/>
  <c r="J397" i="3" a="1"/>
  <c r="J381" i="3" a="1"/>
  <c r="J365" i="3" a="1"/>
  <c r="J349" i="3" a="1"/>
  <c r="J333" i="3" a="1"/>
  <c r="J317" i="3" a="1"/>
  <c r="J468" i="3" a="1"/>
  <c r="J452" i="3" a="1"/>
  <c r="J436" i="3" a="1"/>
  <c r="J420" i="3" a="1"/>
  <c r="J404" i="3" a="1"/>
  <c r="J388" i="3" a="1"/>
  <c r="J372" i="3" a="1"/>
  <c r="J356" i="3" a="1"/>
  <c r="J340" i="3" a="1"/>
  <c r="J471" i="3" a="1"/>
  <c r="J455" i="3" a="1"/>
  <c r="J439" i="3" a="1"/>
  <c r="J423" i="3" a="1"/>
  <c r="J407" i="3" a="1"/>
  <c r="J391" i="3" a="1"/>
  <c r="J375" i="3" a="1"/>
  <c r="J359" i="3" a="1"/>
  <c r="J343" i="3" a="1"/>
  <c r="J327" i="3" a="1"/>
  <c r="J311" i="3" a="1"/>
  <c r="J310" i="3" a="1"/>
  <c r="J292" i="3" a="1"/>
  <c r="J276" i="3" a="1"/>
  <c r="J260" i="3" a="1"/>
  <c r="J244" i="3" a="1"/>
  <c r="J228" i="3" a="1"/>
  <c r="J212" i="3" a="1"/>
  <c r="J196" i="3" a="1"/>
  <c r="J316" i="3" a="1"/>
  <c r="J295" i="3" a="1"/>
  <c r="J279" i="3" a="1"/>
  <c r="J263" i="3" a="1"/>
  <c r="J247" i="3" a="1"/>
  <c r="J231" i="3" a="1"/>
  <c r="J215" i="3" a="1"/>
  <c r="J199" i="3" a="1"/>
  <c r="J306" i="3" a="1"/>
  <c r="J290" i="3" a="1"/>
  <c r="J274" i="3" a="1"/>
  <c r="J258" i="3" a="1"/>
  <c r="J242" i="3" a="1"/>
  <c r="J226" i="3" a="1"/>
  <c r="J210" i="3" a="1"/>
  <c r="J194" i="3" a="1"/>
  <c r="J312" i="3" a="1"/>
  <c r="J293" i="3" a="1"/>
  <c r="J277" i="3" a="1"/>
  <c r="J261" i="3" a="1"/>
  <c r="J245" i="3" a="1"/>
  <c r="J229" i="3" a="1"/>
  <c r="J213" i="3" a="1"/>
  <c r="J197" i="3" a="1"/>
  <c r="J180" i="3" a="1"/>
  <c r="J164" i="3" a="1"/>
  <c r="J148" i="3" a="1"/>
  <c r="J132" i="3" a="1"/>
  <c r="J116" i="3" a="1"/>
  <c r="J100" i="3" a="1"/>
  <c r="J84" i="3" a="1"/>
  <c r="J68" i="3" a="1"/>
  <c r="J179" i="3" a="1"/>
  <c r="J163" i="3" a="1"/>
  <c r="J147" i="3" a="1"/>
  <c r="J131" i="3" a="1"/>
  <c r="J115" i="3" a="1"/>
  <c r="J99" i="3" a="1"/>
  <c r="J83" i="3" a="1"/>
  <c r="J67" i="3" a="1"/>
  <c r="J57" i="3" a="1"/>
  <c r="J49" i="3" a="1"/>
  <c r="J41" i="3" a="1"/>
  <c r="J33" i="3" a="1"/>
  <c r="J25" i="3" a="1"/>
  <c r="J17" i="3" a="1"/>
  <c r="J9" i="3" a="1"/>
  <c r="J98" i="3" a="1"/>
  <c r="J82" i="3" a="1"/>
  <c r="J186" i="3" a="1"/>
  <c r="J154" i="3" a="1"/>
  <c r="J138" i="3" a="1"/>
  <c r="J122" i="3" a="1"/>
  <c r="J173" i="3" a="1"/>
  <c r="J141" i="3" a="1"/>
  <c r="J109" i="3" a="1"/>
  <c r="J77" i="3" a="1"/>
  <c r="J54" i="3" a="1"/>
  <c r="J38" i="3" a="1"/>
  <c r="J22" i="3" a="1"/>
  <c r="J470" i="3" a="1"/>
  <c r="J454" i="3" a="1"/>
  <c r="J438" i="3" a="1"/>
  <c r="J422" i="3" a="1"/>
  <c r="J406" i="3" a="1"/>
  <c r="J390" i="3" a="1"/>
  <c r="J374" i="3" a="1"/>
  <c r="J358" i="3" a="1"/>
  <c r="J342" i="3" a="1"/>
  <c r="J473" i="3" a="1"/>
  <c r="J457" i="3" a="1"/>
  <c r="J441" i="3" a="1"/>
  <c r="J425" i="3" a="1"/>
  <c r="J409" i="3" a="1"/>
  <c r="J393" i="3" a="1"/>
  <c r="J377" i="3" a="1"/>
  <c r="J361" i="3" a="1"/>
  <c r="J345" i="3" a="1"/>
  <c r="J329" i="3" a="1"/>
  <c r="J313" i="3" a="1"/>
  <c r="J464" i="3" a="1"/>
  <c r="J448" i="3" a="1"/>
  <c r="J432" i="3" a="1"/>
  <c r="J416" i="3" a="1"/>
  <c r="J400" i="3" a="1"/>
  <c r="J384" i="3" a="1"/>
  <c r="J368" i="3" a="1"/>
  <c r="J352" i="3" a="1"/>
  <c r="J336" i="3" a="1"/>
  <c r="J467" i="3" a="1"/>
  <c r="J451" i="3" a="1"/>
  <c r="J435" i="3" a="1"/>
  <c r="J419" i="3" a="1"/>
  <c r="J403" i="3" a="1"/>
  <c r="J387" i="3" a="1"/>
  <c r="J371" i="3" a="1"/>
  <c r="J355" i="3" a="1"/>
  <c r="J339" i="3" a="1"/>
  <c r="J323" i="3" a="1"/>
  <c r="J307" i="3" a="1"/>
  <c r="J304" i="3" a="1"/>
  <c r="J288" i="3" a="1"/>
  <c r="J272" i="3" a="1"/>
  <c r="J256" i="3" a="1"/>
  <c r="J240" i="3" a="1"/>
  <c r="J224" i="3" a="1"/>
  <c r="J208" i="3" a="1"/>
  <c r="J192" i="3" a="1"/>
  <c r="J308" i="3" a="1"/>
  <c r="J291" i="3" a="1"/>
  <c r="J275" i="3" a="1"/>
  <c r="J259" i="3" a="1"/>
  <c r="J243" i="3" a="1"/>
  <c r="J227" i="3" a="1"/>
  <c r="J211" i="3" a="1"/>
  <c r="J195" i="3" a="1"/>
  <c r="J302" i="3" a="1"/>
  <c r="J286" i="3" a="1"/>
  <c r="J270" i="3" a="1"/>
  <c r="J254" i="3" a="1"/>
  <c r="J238" i="3" a="1"/>
  <c r="J222" i="3" a="1"/>
  <c r="J206" i="3" a="1"/>
  <c r="J191" i="3" a="1"/>
  <c r="J305" i="3" a="1"/>
  <c r="J289" i="3" a="1"/>
  <c r="J273" i="3" a="1"/>
  <c r="J257" i="3" a="1"/>
  <c r="J241" i="3" a="1"/>
  <c r="J225" i="3" a="1"/>
  <c r="J209" i="3" a="1"/>
  <c r="J193" i="3" a="1"/>
  <c r="J176" i="3" a="1"/>
  <c r="J160" i="3" a="1"/>
  <c r="J144" i="3" a="1"/>
  <c r="J128" i="3" a="1"/>
  <c r="J112" i="3" a="1"/>
  <c r="J96" i="3" a="1"/>
  <c r="J80" i="3" a="1"/>
  <c r="J64" i="3" a="1"/>
  <c r="J175" i="3" a="1"/>
  <c r="J159" i="3" a="1"/>
  <c r="J143" i="3" a="1"/>
  <c r="J127" i="3" a="1"/>
  <c r="J111" i="3" a="1"/>
  <c r="J95" i="3" a="1"/>
  <c r="J79" i="3" a="1"/>
  <c r="J63" i="3" a="1"/>
  <c r="J55" i="3" a="1"/>
  <c r="J47" i="3" a="1"/>
  <c r="J39" i="3" a="1"/>
  <c r="J31" i="3" a="1"/>
  <c r="J23" i="3" a="1"/>
  <c r="J15" i="3" a="1"/>
  <c r="J7" i="3" a="1"/>
  <c r="J94" i="3" a="1"/>
  <c r="J78" i="3" a="1"/>
  <c r="J182" i="3" a="1"/>
  <c r="J166" i="3" a="1"/>
  <c r="J150" i="3" a="1"/>
  <c r="J134" i="3" a="1"/>
  <c r="J118" i="3" a="1"/>
  <c r="J185" i="3" a="1"/>
  <c r="J169" i="3" a="1"/>
  <c r="J153" i="3" a="1"/>
  <c r="J137" i="3" a="1"/>
  <c r="J121" i="3" a="1"/>
  <c r="J105" i="3" a="1"/>
  <c r="J89" i="3" a="1"/>
  <c r="J73" i="3" a="1"/>
  <c r="J466" i="3" a="1"/>
  <c r="J450" i="3" a="1"/>
  <c r="J434" i="3" a="1"/>
  <c r="J418" i="3" a="1"/>
  <c r="J402" i="3" a="1"/>
  <c r="J386" i="3" a="1"/>
  <c r="J370" i="3" a="1"/>
  <c r="J354" i="3" a="1"/>
  <c r="J338" i="3" a="1"/>
  <c r="J469" i="3" a="1"/>
  <c r="J453" i="3" a="1"/>
  <c r="J437" i="3" a="1"/>
  <c r="J421" i="3" a="1"/>
  <c r="J405" i="3" a="1"/>
  <c r="J389" i="3" a="1"/>
  <c r="J373" i="3" a="1"/>
  <c r="J357" i="3" a="1"/>
  <c r="J341" i="3" a="1"/>
  <c r="J325" i="3" a="1"/>
  <c r="J309" i="3" a="1"/>
  <c r="J460" i="3" a="1"/>
  <c r="J444" i="3" a="1"/>
  <c r="J428" i="3" a="1"/>
  <c r="J412" i="3" a="1"/>
  <c r="J396" i="3" a="1"/>
  <c r="J380" i="3" a="1"/>
  <c r="J364" i="3" a="1"/>
  <c r="J348" i="3" a="1"/>
  <c r="J332" i="3" a="1"/>
  <c r="J463" i="3" a="1"/>
  <c r="J447" i="3" a="1"/>
  <c r="J431" i="3" a="1"/>
  <c r="J415" i="3" a="1"/>
  <c r="J399" i="3" a="1"/>
  <c r="J383" i="3" a="1"/>
  <c r="J367" i="3" a="1"/>
  <c r="J351" i="3" a="1"/>
  <c r="J335" i="3" a="1"/>
  <c r="J319" i="3" a="1"/>
  <c r="J326" i="3" a="1"/>
  <c r="J300" i="3" a="1"/>
  <c r="J284" i="3" a="1"/>
  <c r="J268" i="3" a="1"/>
  <c r="J252" i="3" a="1"/>
  <c r="J236" i="3" a="1"/>
  <c r="J220" i="3" a="1"/>
  <c r="J204" i="3" a="1"/>
  <c r="J190" i="3" a="1"/>
  <c r="J303" i="3" a="1"/>
  <c r="J287" i="3" a="1"/>
  <c r="J271" i="3" a="1"/>
  <c r="J255" i="3" a="1"/>
  <c r="J239" i="3" a="1"/>
  <c r="J223" i="3" a="1"/>
  <c r="J207" i="3" a="1"/>
  <c r="J322" i="3" a="1"/>
  <c r="J298" i="3" a="1"/>
  <c r="J282" i="3" a="1"/>
  <c r="J266" i="3" a="1"/>
  <c r="J250" i="3" a="1"/>
  <c r="J234" i="3" a="1"/>
  <c r="J218" i="3" a="1"/>
  <c r="J202" i="3" a="1"/>
  <c r="J189" i="3" a="1"/>
  <c r="J301" i="3" a="1"/>
  <c r="J285" i="3" a="1"/>
  <c r="J269" i="3" a="1"/>
  <c r="J253" i="3" a="1"/>
  <c r="J237" i="3" a="1"/>
  <c r="J221" i="3" a="1"/>
  <c r="J205" i="3" a="1"/>
  <c r="J188" i="3" a="1"/>
  <c r="J172" i="3" a="1"/>
  <c r="J156" i="3" a="1"/>
  <c r="J140" i="3" a="1"/>
  <c r="J124" i="3" a="1"/>
  <c r="J108" i="3" a="1"/>
  <c r="J92" i="3" a="1"/>
  <c r="J76" i="3" a="1"/>
  <c r="J187" i="3" a="1"/>
  <c r="J171" i="3" a="1"/>
  <c r="J155" i="3" a="1"/>
  <c r="J139" i="3" a="1"/>
  <c r="J123" i="3" a="1"/>
  <c r="J107" i="3" a="1"/>
  <c r="J91" i="3" a="1"/>
  <c r="J75" i="3" a="1"/>
  <c r="J61" i="3" a="1"/>
  <c r="J53" i="3" a="1"/>
  <c r="J45" i="3" a="1"/>
  <c r="J37" i="3" a="1"/>
  <c r="J29" i="3" a="1"/>
  <c r="J21" i="3" a="1"/>
  <c r="J13" i="3" a="1"/>
  <c r="J5" i="3" a="1"/>
  <c r="J90" i="3" a="1"/>
  <c r="J74" i="3" a="1"/>
  <c r="J178" i="3" a="1"/>
  <c r="J162" i="3" a="1"/>
  <c r="J146" i="3" a="1"/>
  <c r="J130" i="3" a="1"/>
  <c r="J114" i="3" a="1"/>
  <c r="J181" i="3" a="1"/>
  <c r="J165" i="3" a="1"/>
  <c r="J149" i="3" a="1"/>
  <c r="J133" i="3" a="1"/>
  <c r="J69" i="3" a="1"/>
  <c r="J50" i="3" a="1"/>
  <c r="J34" i="3" a="1"/>
  <c r="J18" i="3" a="1"/>
  <c r="J6" i="3" a="1"/>
  <c r="J85" i="3" a="1"/>
  <c r="J36" i="3" a="1"/>
  <c r="J117" i="3" a="1"/>
  <c r="J60" i="3" a="1"/>
  <c r="J44" i="3" a="1"/>
  <c r="J28" i="3" a="1"/>
  <c r="J14" i="3" a="1"/>
  <c r="J4" i="3" a="1"/>
  <c r="J66" i="3" a="1"/>
  <c r="J52" i="3" a="1"/>
  <c r="J10" i="3" a="1"/>
  <c r="J101" i="3" a="1"/>
  <c r="J58" i="3" a="1"/>
  <c r="J42" i="3" a="1"/>
  <c r="J26" i="3" a="1"/>
  <c r="J12" i="3" a="1"/>
  <c r="J20" i="3" a="1"/>
  <c r="H3" i="3" l="1"/>
  <c r="I3" i="3" s="1"/>
  <c r="J20" i="3"/>
  <c r="J12" i="3"/>
  <c r="J26" i="3"/>
  <c r="J42" i="3"/>
  <c r="J58" i="3"/>
  <c r="J101" i="3"/>
  <c r="J10" i="3"/>
  <c r="J52" i="3"/>
  <c r="J66" i="3"/>
  <c r="J4" i="3"/>
  <c r="J14" i="3"/>
  <c r="J28" i="3"/>
  <c r="J44" i="3"/>
  <c r="J60" i="3"/>
  <c r="J117" i="3"/>
  <c r="J36" i="3"/>
  <c r="J85" i="3"/>
  <c r="J6" i="3"/>
  <c r="J18" i="3"/>
  <c r="J34" i="3"/>
  <c r="J50" i="3"/>
  <c r="J69" i="3"/>
  <c r="J133" i="3"/>
  <c r="J149" i="3"/>
  <c r="J165" i="3"/>
  <c r="J181" i="3"/>
  <c r="J114" i="3"/>
  <c r="J130" i="3"/>
  <c r="J146" i="3"/>
  <c r="J162" i="3"/>
  <c r="J178" i="3"/>
  <c r="J74" i="3"/>
  <c r="J90" i="3"/>
  <c r="J5" i="3"/>
  <c r="J13" i="3"/>
  <c r="J21" i="3"/>
  <c r="J29" i="3"/>
  <c r="J37" i="3"/>
  <c r="J45" i="3"/>
  <c r="J53" i="3"/>
  <c r="J61" i="3"/>
  <c r="J75" i="3"/>
  <c r="J91" i="3"/>
  <c r="J107" i="3"/>
  <c r="J123" i="3"/>
  <c r="J139" i="3"/>
  <c r="J155" i="3"/>
  <c r="J171" i="3"/>
  <c r="J187" i="3"/>
  <c r="J76" i="3"/>
  <c r="J92" i="3"/>
  <c r="J108" i="3"/>
  <c r="J124" i="3"/>
  <c r="J140" i="3"/>
  <c r="J156" i="3"/>
  <c r="J172" i="3"/>
  <c r="J188" i="3"/>
  <c r="J205" i="3"/>
  <c r="J221" i="3"/>
  <c r="J237" i="3"/>
  <c r="J253" i="3"/>
  <c r="J269" i="3"/>
  <c r="J285" i="3"/>
  <c r="J301" i="3"/>
  <c r="J189" i="3"/>
  <c r="J202" i="3"/>
  <c r="J218" i="3"/>
  <c r="J234" i="3"/>
  <c r="J250" i="3"/>
  <c r="J266" i="3"/>
  <c r="J282" i="3"/>
  <c r="J298" i="3"/>
  <c r="J322" i="3"/>
  <c r="J207" i="3"/>
  <c r="J223" i="3"/>
  <c r="J239" i="3"/>
  <c r="J255" i="3"/>
  <c r="J271" i="3"/>
  <c r="J287" i="3"/>
  <c r="J303" i="3"/>
  <c r="J190" i="3"/>
  <c r="J204" i="3"/>
  <c r="J220" i="3"/>
  <c r="J236" i="3"/>
  <c r="J252" i="3"/>
  <c r="J268" i="3"/>
  <c r="J284" i="3"/>
  <c r="J300" i="3"/>
  <c r="J326" i="3"/>
  <c r="J319" i="3"/>
  <c r="J335" i="3"/>
  <c r="J351" i="3"/>
  <c r="J367" i="3"/>
  <c r="J383" i="3"/>
  <c r="J399" i="3"/>
  <c r="J415" i="3"/>
  <c r="J431" i="3"/>
  <c r="J447" i="3"/>
  <c r="J463" i="3"/>
  <c r="J332" i="3"/>
  <c r="J348" i="3"/>
  <c r="J364" i="3"/>
  <c r="J380" i="3"/>
  <c r="J396" i="3"/>
  <c r="J412" i="3"/>
  <c r="J428" i="3"/>
  <c r="J444" i="3"/>
  <c r="J460" i="3"/>
  <c r="J309" i="3"/>
  <c r="J325" i="3"/>
  <c r="J341" i="3"/>
  <c r="J357" i="3"/>
  <c r="J373" i="3"/>
  <c r="J389" i="3"/>
  <c r="J405" i="3"/>
  <c r="J421" i="3"/>
  <c r="J437" i="3"/>
  <c r="J453" i="3"/>
  <c r="J469" i="3"/>
  <c r="J338" i="3"/>
  <c r="J354" i="3"/>
  <c r="J370" i="3"/>
  <c r="J386" i="3"/>
  <c r="J402" i="3"/>
  <c r="J418" i="3"/>
  <c r="J434" i="3"/>
  <c r="J450" i="3"/>
  <c r="J466" i="3"/>
  <c r="J73" i="3"/>
  <c r="J89" i="3"/>
  <c r="J105" i="3"/>
  <c r="J121" i="3"/>
  <c r="J137" i="3"/>
  <c r="J153" i="3"/>
  <c r="J169" i="3"/>
  <c r="J185" i="3"/>
  <c r="J118" i="3"/>
  <c r="J134" i="3"/>
  <c r="J150" i="3"/>
  <c r="J166" i="3"/>
  <c r="J182" i="3"/>
  <c r="J78" i="3"/>
  <c r="J94" i="3"/>
  <c r="J7" i="3"/>
  <c r="J15" i="3"/>
  <c r="J23" i="3"/>
  <c r="J31" i="3"/>
  <c r="J39" i="3"/>
  <c r="J47" i="3"/>
  <c r="J55" i="3"/>
  <c r="J63" i="3"/>
  <c r="J79" i="3"/>
  <c r="J95" i="3"/>
  <c r="J111" i="3"/>
  <c r="J127" i="3"/>
  <c r="J143" i="3"/>
  <c r="J159" i="3"/>
  <c r="J175" i="3"/>
  <c r="J64" i="3"/>
  <c r="J80" i="3"/>
  <c r="J96" i="3"/>
  <c r="J112" i="3"/>
  <c r="J128" i="3"/>
  <c r="J144" i="3"/>
  <c r="J160" i="3"/>
  <c r="J176" i="3"/>
  <c r="J193" i="3"/>
  <c r="J209" i="3"/>
  <c r="J225" i="3"/>
  <c r="J241" i="3"/>
  <c r="J257" i="3"/>
  <c r="J273" i="3"/>
  <c r="J289" i="3"/>
  <c r="J305" i="3"/>
  <c r="J191" i="3"/>
  <c r="J206" i="3"/>
  <c r="J222" i="3"/>
  <c r="J238" i="3"/>
  <c r="J254" i="3"/>
  <c r="J270" i="3"/>
  <c r="J286" i="3"/>
  <c r="J302" i="3"/>
  <c r="J195" i="3"/>
  <c r="J211" i="3"/>
  <c r="J227" i="3"/>
  <c r="J243" i="3"/>
  <c r="J259" i="3"/>
  <c r="J275" i="3"/>
  <c r="J291" i="3"/>
  <c r="J308" i="3"/>
  <c r="J192" i="3"/>
  <c r="J208" i="3"/>
  <c r="J224" i="3"/>
  <c r="J240" i="3"/>
  <c r="J256" i="3"/>
  <c r="J272" i="3"/>
  <c r="J288" i="3"/>
  <c r="J304" i="3"/>
  <c r="J307" i="3"/>
  <c r="J323" i="3"/>
  <c r="J339" i="3"/>
  <c r="J355" i="3"/>
  <c r="J371" i="3"/>
  <c r="J387" i="3"/>
  <c r="J403" i="3"/>
  <c r="J419" i="3"/>
  <c r="J435" i="3"/>
  <c r="J451" i="3"/>
  <c r="J467" i="3"/>
  <c r="J336" i="3"/>
  <c r="J352" i="3"/>
  <c r="J368" i="3"/>
  <c r="J384" i="3"/>
  <c r="J400" i="3"/>
  <c r="J416" i="3"/>
  <c r="J432" i="3"/>
  <c r="J448" i="3"/>
  <c r="J464" i="3"/>
  <c r="J313" i="3"/>
  <c r="J329" i="3"/>
  <c r="J345" i="3"/>
  <c r="J361" i="3"/>
  <c r="J377" i="3"/>
  <c r="J393" i="3"/>
  <c r="J409" i="3"/>
  <c r="J425" i="3"/>
  <c r="J441" i="3"/>
  <c r="J457" i="3"/>
  <c r="J473" i="3"/>
  <c r="J342" i="3"/>
  <c r="J358" i="3"/>
  <c r="J374" i="3"/>
  <c r="J390" i="3"/>
  <c r="J406" i="3"/>
  <c r="J422" i="3"/>
  <c r="J438" i="3"/>
  <c r="J454" i="3"/>
  <c r="J470" i="3"/>
  <c r="J22" i="3"/>
  <c r="J38" i="3"/>
  <c r="J54" i="3"/>
  <c r="J77" i="3"/>
  <c r="J109" i="3"/>
  <c r="J141" i="3"/>
  <c r="J173" i="3"/>
  <c r="J122" i="3"/>
  <c r="J138" i="3"/>
  <c r="J154" i="3"/>
  <c r="J186" i="3"/>
  <c r="J82" i="3"/>
  <c r="J98" i="3"/>
  <c r="J9" i="3"/>
  <c r="J17" i="3"/>
  <c r="J25" i="3"/>
  <c r="J33" i="3"/>
  <c r="J41" i="3"/>
  <c r="J49" i="3"/>
  <c r="J57" i="3"/>
  <c r="J67" i="3"/>
  <c r="J83" i="3"/>
  <c r="J99" i="3"/>
  <c r="J115" i="3"/>
  <c r="J131" i="3"/>
  <c r="J147" i="3"/>
  <c r="J163" i="3"/>
  <c r="J179" i="3"/>
  <c r="J68" i="3"/>
  <c r="J84" i="3"/>
  <c r="J100" i="3"/>
  <c r="J116" i="3"/>
  <c r="J132" i="3"/>
  <c r="J148" i="3"/>
  <c r="J164" i="3"/>
  <c r="J180" i="3"/>
  <c r="J197" i="3"/>
  <c r="J213" i="3"/>
  <c r="J229" i="3"/>
  <c r="J245" i="3"/>
  <c r="J261" i="3"/>
  <c r="J277" i="3"/>
  <c r="J293" i="3"/>
  <c r="J312" i="3"/>
  <c r="J194" i="3"/>
  <c r="J210" i="3"/>
  <c r="J226" i="3"/>
  <c r="J242" i="3"/>
  <c r="J258" i="3"/>
  <c r="J274" i="3"/>
  <c r="J290" i="3"/>
  <c r="J306" i="3"/>
  <c r="J199" i="3"/>
  <c r="J215" i="3"/>
  <c r="J231" i="3"/>
  <c r="J247" i="3"/>
  <c r="J263" i="3"/>
  <c r="J279" i="3"/>
  <c r="J295" i="3"/>
  <c r="J316" i="3"/>
  <c r="J196" i="3"/>
  <c r="J212" i="3"/>
  <c r="J228" i="3"/>
  <c r="J244" i="3"/>
  <c r="J260" i="3"/>
  <c r="J276" i="3"/>
  <c r="J292" i="3"/>
  <c r="J310" i="3"/>
  <c r="J311" i="3"/>
  <c r="J327" i="3"/>
  <c r="J343" i="3"/>
  <c r="J359" i="3"/>
  <c r="J375" i="3"/>
  <c r="J391" i="3"/>
  <c r="J407" i="3"/>
  <c r="J423" i="3"/>
  <c r="J439" i="3"/>
  <c r="J455" i="3"/>
  <c r="J471" i="3"/>
  <c r="J340" i="3"/>
  <c r="J356" i="3"/>
  <c r="J372" i="3"/>
  <c r="J388" i="3"/>
  <c r="J404" i="3"/>
  <c r="J420" i="3"/>
  <c r="J436" i="3"/>
  <c r="J452" i="3"/>
  <c r="J468" i="3"/>
  <c r="J317" i="3"/>
  <c r="J333" i="3"/>
  <c r="J349" i="3"/>
  <c r="J365" i="3"/>
  <c r="J381" i="3"/>
  <c r="J397" i="3"/>
  <c r="J413" i="3"/>
  <c r="J429" i="3"/>
  <c r="J445" i="3"/>
  <c r="J461" i="3"/>
  <c r="J330" i="3"/>
  <c r="J346" i="3"/>
  <c r="J362" i="3"/>
  <c r="J378" i="3"/>
  <c r="J394" i="3"/>
  <c r="J410" i="3"/>
  <c r="J426" i="3"/>
  <c r="J442" i="3"/>
  <c r="J458" i="3"/>
  <c r="J474" i="3"/>
  <c r="J30" i="3"/>
  <c r="J46" i="3"/>
  <c r="J62" i="3"/>
  <c r="J93" i="3"/>
  <c r="J125" i="3"/>
  <c r="J157" i="3"/>
  <c r="J106" i="3"/>
  <c r="J170" i="3"/>
  <c r="J3" i="3"/>
  <c r="J8" i="3"/>
  <c r="J16" i="3"/>
  <c r="J24" i="3"/>
  <c r="J32" i="3"/>
  <c r="J40" i="3"/>
  <c r="J48" i="3"/>
  <c r="J56" i="3"/>
  <c r="J65" i="3"/>
  <c r="J81" i="3"/>
  <c r="J97" i="3"/>
  <c r="J113" i="3"/>
  <c r="J129" i="3"/>
  <c r="J145" i="3"/>
  <c r="J161" i="3"/>
  <c r="J177" i="3"/>
  <c r="J110" i="3"/>
  <c r="J126" i="3"/>
  <c r="J142" i="3"/>
  <c r="J158" i="3"/>
  <c r="J174" i="3"/>
  <c r="J70" i="3"/>
  <c r="J86" i="3"/>
  <c r="J102" i="3"/>
  <c r="J11" i="3"/>
  <c r="J19" i="3"/>
  <c r="J27" i="3"/>
  <c r="J35" i="3"/>
  <c r="J43" i="3"/>
  <c r="J51" i="3"/>
  <c r="J59" i="3"/>
  <c r="J71" i="3"/>
  <c r="J87" i="3"/>
  <c r="J103" i="3"/>
  <c r="J119" i="3"/>
  <c r="J135" i="3"/>
  <c r="J151" i="3"/>
  <c r="J167" i="3"/>
  <c r="J183" i="3"/>
  <c r="J72" i="3"/>
  <c r="J88" i="3"/>
  <c r="J104" i="3"/>
  <c r="J120" i="3"/>
  <c r="J136" i="3"/>
  <c r="J152" i="3"/>
  <c r="J168" i="3"/>
  <c r="J184" i="3"/>
  <c r="J201" i="3"/>
  <c r="J217" i="3"/>
  <c r="J233" i="3"/>
  <c r="J249" i="3"/>
  <c r="J265" i="3"/>
  <c r="J281" i="3"/>
  <c r="J297" i="3"/>
  <c r="J320" i="3"/>
  <c r="J198" i="3"/>
  <c r="J214" i="3"/>
  <c r="J230" i="3"/>
  <c r="J246" i="3"/>
  <c r="J262" i="3"/>
  <c r="J278" i="3"/>
  <c r="J294" i="3"/>
  <c r="J314" i="3"/>
  <c r="J203" i="3"/>
  <c r="J219" i="3"/>
  <c r="J235" i="3"/>
  <c r="J251" i="3"/>
  <c r="J267" i="3"/>
  <c r="J283" i="3"/>
  <c r="J299" i="3"/>
  <c r="J324" i="3"/>
  <c r="J200" i="3"/>
  <c r="J216" i="3"/>
  <c r="J232" i="3"/>
  <c r="J248" i="3"/>
  <c r="J264" i="3"/>
  <c r="J280" i="3"/>
  <c r="J296" i="3"/>
  <c r="J318" i="3"/>
  <c r="J315" i="3"/>
  <c r="J331" i="3"/>
  <c r="J347" i="3"/>
  <c r="J363" i="3"/>
  <c r="J379" i="3"/>
  <c r="J395" i="3"/>
  <c r="J411" i="3"/>
  <c r="J427" i="3"/>
  <c r="J443" i="3"/>
  <c r="J459" i="3"/>
  <c r="J328" i="3"/>
  <c r="J344" i="3"/>
  <c r="J360" i="3"/>
  <c r="J376" i="3"/>
  <c r="J392" i="3"/>
  <c r="J408" i="3"/>
  <c r="J424" i="3"/>
  <c r="J440" i="3"/>
  <c r="J456" i="3"/>
  <c r="J472" i="3"/>
  <c r="J321" i="3"/>
  <c r="J337" i="3"/>
  <c r="J353" i="3"/>
  <c r="J369" i="3"/>
  <c r="J385" i="3"/>
  <c r="J401" i="3"/>
  <c r="J417" i="3"/>
  <c r="J433" i="3"/>
  <c r="J449" i="3"/>
  <c r="J465" i="3"/>
  <c r="J334" i="3"/>
  <c r="J350" i="3"/>
  <c r="J366" i="3"/>
  <c r="J382" i="3"/>
  <c r="J398" i="3"/>
  <c r="J414" i="3"/>
  <c r="J430" i="3"/>
  <c r="J446" i="3"/>
  <c r="J462" i="3"/>
  <c r="J47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<sst xmlns="http://schemas.openxmlformats.org/spreadsheetml/2006/main" count="2142" uniqueCount="1442">
  <si>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</si>
  <si>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</si>
  <si>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</si>
  <si>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</si>
  <si>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</si>
  <si>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</si>
  <si>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</si>
  <si>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</si>
  <si>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</si>
  <si>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</si>
  <si>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</si>
  <si>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</si>
  <si>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</si>
  <si>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</si>
  <si>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</si>
  <si>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</si>
  <si>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</si>
  <si>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</si>
  <si>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</si>
  <si>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</si>
  <si>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</si>
  <si>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</si>
  <si>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</si>
  <si>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</si>
  <si>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</si>
  <si>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</si>
  <si>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</si>
  <si>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</si>
  <si>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</si>
  <si>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</si>
  <si>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</si>
  <si>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</si>
  <si>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</si>
  <si>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</si>
  <si>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</si>
  <si>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</si>
  <si>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</si>
  <si>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</si>
  <si>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</si>
  <si>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</si>
  <si>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</si>
  <si>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</si>
  <si>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</si>
  <si>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</si>
  <si>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</si>
  <si>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</si>
  <si>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</si>
  <si>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</si>
  <si>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</si>
  <si>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</si>
  <si>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</si>
  <si>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</si>
  <si>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</si>
  <si>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</si>
  <si>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</si>
  <si>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</si>
  <si>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</si>
  <si>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</si>
  <si>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</si>
  <si>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</si>
  <si>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</si>
  <si>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</si>
  <si>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</si>
  <si>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</si>
  <si>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</si>
  <si>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</si>
  <si>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</si>
  <si>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</si>
  <si>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</si>
  <si>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</si>
  <si>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</si>
  <si>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</si>
  <si>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</si>
  <si>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</si>
  <si>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</si>
  <si>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</si>
  <si>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</si>
  <si>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</si>
  <si>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</si>
  <si>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</si>
  <si>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</si>
  <si>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</si>
  <si>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</si>
  <si>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</si>
  <si>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</si>
  <si>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</si>
  <si>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</si>
  <si>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</si>
  <si>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</si>
  <si>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</si>
  <si>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</si>
  <si>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</si>
  <si>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</si>
  <si>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</si>
  <si>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</si>
  <si>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</si>
  <si>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</si>
  <si>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</si>
  <si>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</si>
  <si>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</si>
  <si>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</si>
  <si>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</si>
  <si>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</si>
  <si>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</si>
  <si>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</si>
  <si>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</si>
  <si>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</si>
  <si>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</si>
  <si>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</si>
  <si>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</si>
  <si>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</si>
  <si>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</si>
  <si>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</si>
  <si>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</si>
  <si>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</si>
  <si>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</si>
  <si>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</si>
  <si>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</si>
  <si>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</si>
  <si>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</si>
  <si>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</si>
  <si>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</si>
  <si>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</si>
  <si>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</si>
  <si>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</si>
  <si>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</si>
  <si>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</si>
  <si>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</si>
  <si>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</si>
  <si>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</si>
  <si>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</si>
  <si>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</si>
  <si>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</si>
  <si>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</si>
  <si>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</si>
  <si>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</si>
  <si>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</si>
  <si>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</si>
  <si>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</si>
  <si>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</si>
  <si>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</si>
  <si>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</si>
  <si>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</si>
  <si>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</si>
  <si>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</si>
  <si>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</si>
  <si>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</si>
  <si>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</si>
  <si>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</si>
  <si>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</si>
  <si>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</si>
  <si>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</si>
  <si>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</si>
  <si>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</si>
  <si>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</si>
  <si>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</si>
  <si>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</si>
  <si>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</si>
  <si>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</si>
  <si>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</si>
  <si>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</si>
  <si>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</si>
  <si>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</si>
  <si>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</si>
  <si>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</si>
  <si>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</si>
  <si>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</si>
  <si>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</si>
  <si>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</si>
  <si>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</si>
  <si>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</si>
  <si>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</si>
  <si>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</si>
  <si>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</si>
  <si>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</si>
  <si>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</si>
  <si>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</si>
  <si>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</si>
  <si>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</si>
  <si>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</si>
  <si>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</si>
  <si>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</si>
  <si>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</si>
  <si>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</si>
  <si>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</si>
  <si>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</si>
  <si>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</si>
  <si>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</si>
  <si>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</si>
  <si>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</si>
  <si>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</si>
  <si>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</si>
  <si>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</si>
  <si>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</si>
  <si>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</si>
  <si>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</si>
  <si>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</si>
  <si>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</si>
  <si>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</si>
  <si>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</si>
  <si>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</si>
  <si>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</si>
  <si>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</si>
  <si>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</si>
  <si>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</si>
  <si>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</si>
  <si>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</si>
  <si>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</si>
  <si>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</si>
  <si>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</si>
  <si>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</si>
  <si>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</si>
  <si>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</si>
  <si>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</si>
  <si>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</si>
  <si>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</si>
  <si>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</si>
  <si>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</si>
  <si>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</si>
  <si>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</si>
  <si>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</si>
  <si>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</si>
  <si>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</si>
  <si>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</si>
  <si>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</si>
  <si>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</si>
  <si>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</si>
  <si>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</si>
  <si>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</si>
  <si>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</si>
  <si>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</si>
  <si>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</si>
  <si>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</si>
  <si>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</si>
  <si>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</si>
  <si>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</si>
  <si>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</si>
  <si>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</si>
  <si>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</si>
  <si>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</si>
  <si>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</si>
  <si>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</si>
  <si>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</si>
  <si>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</si>
  <si>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</si>
  <si>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</si>
  <si>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</si>
  <si>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</si>
  <si>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</si>
  <si>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</si>
  <si>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</si>
  <si>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</si>
  <si>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</si>
  <si>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</si>
  <si>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</si>
  <si>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</si>
  <si>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</si>
  <si>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</si>
  <si>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</si>
  <si>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</si>
  <si>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</si>
  <si>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</si>
  <si>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</si>
  <si>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</si>
  <si>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</si>
  <si>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</si>
  <si>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</si>
  <si>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</si>
  <si>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</si>
  <si>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</si>
  <si>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</si>
  <si>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</si>
  <si>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</si>
  <si>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</si>
  <si>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</si>
  <si>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</si>
  <si>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</si>
  <si>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</si>
  <si>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</si>
  <si>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</si>
  <si>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</si>
  <si>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</si>
  <si>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</si>
  <si>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</si>
  <si>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</si>
  <si>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</si>
  <si>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</si>
  <si>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</si>
  <si>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</si>
  <si>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</si>
  <si>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</si>
  <si>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</si>
  <si>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</si>
  <si>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</si>
  <si>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</si>
  <si>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</si>
  <si>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</si>
  <si>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</si>
  <si>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</si>
  <si>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</si>
  <si>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</si>
  <si>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</si>
  <si>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</si>
  <si>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</si>
  <si>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</si>
  <si>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</si>
  <si>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</si>
  <si>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</si>
  <si>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</si>
  <si>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</si>
  <si>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</si>
  <si>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</si>
  <si>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</si>
  <si>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</si>
  <si>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</si>
  <si>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</si>
  <si>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</si>
  <si>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</si>
  <si>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</si>
  <si>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</si>
  <si>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</si>
  <si>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</si>
  <si>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</si>
  <si>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</si>
  <si>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</si>
  <si>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</si>
  <si>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</si>
  <si>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</si>
  <si>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</si>
  <si>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</si>
  <si>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</si>
  <si>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</si>
  <si>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</si>
  <si>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</si>
  <si>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</si>
  <si>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</si>
  <si>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</si>
  <si>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</si>
  <si>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</si>
  <si>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</si>
  <si>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</si>
  <si>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</si>
  <si>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</si>
  <si>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</si>
  <si>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</si>
  <si>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</si>
  <si>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</si>
  <si>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</si>
  <si>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</si>
  <si>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</si>
  <si>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</si>
  <si>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</si>
  <si>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</si>
  <si>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</si>
  <si>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</si>
  <si>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</si>
  <si>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</si>
  <si>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</si>
  <si>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</si>
  <si>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</si>
  <si>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</si>
  <si>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</si>
  <si>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</si>
  <si>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</si>
  <si>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</si>
  <si>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</si>
  <si>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</si>
  <si>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</si>
  <si>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</si>
  <si>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</si>
  <si>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</si>
  <si>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</si>
  <si>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</si>
  <si>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</si>
  <si>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</si>
  <si>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</si>
  <si>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</si>
  <si>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</si>
  <si>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</si>
  <si>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</si>
  <si>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</si>
  <si>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</si>
  <si>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</si>
  <si>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</si>
  <si>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</si>
  <si>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</si>
  <si>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</si>
  <si>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</si>
  <si>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</si>
  <si>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</si>
  <si>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</si>
  <si>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</si>
  <si>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</si>
  <si>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</si>
  <si>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</si>
  <si>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</si>
  <si>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</si>
  <si>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</si>
  <si>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</si>
  <si>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</si>
  <si>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</si>
  <si>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</si>
  <si>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</si>
  <si>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</si>
  <si>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</si>
  <si>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</si>
  <si>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</si>
  <si>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</si>
  <si>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</si>
  <si>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</si>
  <si>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</si>
  <si>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</si>
  <si>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</si>
  <si>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</si>
  <si>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</si>
  <si>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</si>
  <si>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</si>
  <si>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</si>
  <si>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</si>
  <si>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</si>
  <si>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</si>
  <si>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</si>
  <si>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</si>
  <si>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</si>
  <si>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</si>
  <si>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</si>
  <si>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</si>
  <si>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</si>
  <si>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</si>
  <si>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</si>
  <si>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</si>
  <si>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</si>
  <si>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</si>
  <si>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</si>
  <si>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</si>
  <si>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</si>
  <si>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</si>
  <si>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</si>
  <si>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</si>
  <si>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</si>
  <si>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</si>
  <si>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</si>
  <si>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</si>
  <si>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</si>
  <si>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</si>
  <si>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</si>
  <si>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</si>
  <si>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</si>
  <si>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</si>
  <si>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</si>
  <si>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</si>
  <si>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</si>
  <si>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</si>
  <si>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</si>
  <si>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</si>
  <si>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</si>
  <si>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</si>
  <si>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</si>
  <si>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</si>
  <si>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</si>
  <si>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</si>
  <si>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</si>
  <si>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</si>
  <si>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</si>
  <si>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</si>
  <si>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</si>
  <si>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</si>
  <si>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</si>
  <si>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</si>
  <si>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</si>
  <si>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</si>
  <si>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</si>
  <si>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</si>
  <si>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</si>
  <si>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</si>
  <si>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</si>
  <si>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</si>
  <si>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</si>
  <si>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</si>
  <si>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</si>
  <si>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</si>
  <si>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</si>
  <si>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</si>
  <si>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</si>
  <si>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</si>
  <si>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</si>
  <si>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</si>
  <si>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</si>
  <si>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</si>
  <si>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</si>
  <si>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</si>
  <si>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</si>
  <si>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</si>
  <si>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</si>
  <si>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</si>
  <si>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</si>
  <si>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</si>
  <si>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</si>
  <si>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</si>
  <si>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</si>
  <si>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</si>
  <si>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</si>
  <si>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</si>
  <si>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</si>
  <si>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</si>
  <si>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</si>
  <si>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</si>
  <si>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</si>
  <si>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</si>
  <si>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</si>
  <si>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</si>
  <si>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</si>
  <si>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</si>
  <si>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</si>
  <si>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</si>
  <si>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</si>
  <si>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</si>
  <si>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</si>
  <si>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</si>
  <si>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</si>
  <si>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</si>
  <si>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</si>
  <si>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</si>
  <si>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</si>
  <si>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</si>
  <si>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</si>
  <si>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</si>
  <si>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</si>
  <si>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</si>
  <si>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</si>
  <si>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</si>
  <si>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</si>
  <si>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</si>
  <si>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</si>
  <si>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</si>
  <si>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</si>
  <si>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</si>
  <si>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</si>
  <si>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</si>
  <si>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</si>
  <si>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</si>
  <si>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</si>
  <si>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</si>
  <si>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</si>
  <si>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</si>
  <si>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</si>
  <si>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</si>
  <si>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</si>
  <si>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</si>
  <si>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</si>
  <si>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</si>
  <si>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</si>
  <si>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</si>
  <si>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</si>
  <si>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</si>
  <si>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</si>
  <si>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</si>
  <si>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</si>
  <si>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</si>
  <si>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</si>
  <si>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</si>
  <si>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</si>
  <si>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</si>
  <si>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</si>
  <si>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</si>
  <si>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</si>
  <si>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</si>
  <si>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</si>
  <si>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</si>
  <si>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</si>
  <si>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</si>
  <si>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</si>
  <si>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</si>
  <si>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</si>
  <si>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</si>
  <si>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</si>
  <si>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</si>
  <si>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</si>
  <si>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</si>
  <si>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</si>
  <si>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</si>
  <si>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</si>
  <si>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</si>
  <si>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</si>
  <si>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</si>
  <si>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</si>
  <si>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</si>
  <si>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</si>
  <si>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</si>
  <si>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</si>
  <si>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</si>
  <si>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</si>
  <si>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</si>
  <si>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</si>
  <si>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</si>
  <si>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</si>
  <si>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</si>
  <si>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</si>
  <si>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</si>
  <si>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</si>
  <si>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</si>
  <si>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</si>
  <si>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</si>
  <si>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</si>
  <si>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</si>
  <si>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</si>
  <si>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</si>
  <si>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</si>
  <si>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</si>
  <si>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</si>
  <si>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</si>
  <si>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</si>
  <si>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</si>
  <si>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</si>
  <si>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</si>
  <si>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</si>
  <si>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</si>
  <si>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</si>
  <si>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</si>
  <si>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</si>
  <si>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</si>
  <si>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</si>
  <si>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</si>
  <si>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</si>
  <si>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</si>
  <si>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</si>
  <si>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</si>
  <si>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</si>
  <si>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</si>
  <si>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</si>
  <si>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</si>
  <si>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</si>
  <si>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</si>
  <si>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</si>
  <si>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</si>
  <si>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</si>
  <si>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</si>
  <si>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</si>
  <si>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</si>
  <si>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</si>
  <si>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</si>
  <si>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</si>
  <si>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</si>
  <si>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</si>
  <si>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</si>
  <si>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</si>
  <si>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</si>
  <si>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</si>
  <si>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</si>
  <si>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</si>
  <si>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</si>
  <si>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</si>
  <si>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</si>
  <si>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</si>
  <si>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</si>
  <si>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</si>
  <si>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</si>
  <si>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</si>
  <si>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</si>
  <si>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</si>
  <si>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</si>
  <si>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</si>
  <si>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</si>
  <si>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</si>
  <si>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</si>
  <si>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</si>
  <si>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</si>
  <si>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</si>
  <si>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</si>
  <si>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</si>
  <si>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</si>
  <si>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</si>
  <si>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</si>
  <si>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</si>
  <si>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</si>
  <si>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</si>
  <si>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</si>
  <si>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</si>
  <si>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</si>
  <si>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</si>
  <si>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</si>
  <si>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</si>
  <si>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</si>
  <si>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</si>
  <si>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</si>
  <si>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</si>
  <si>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</si>
  <si>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</si>
  <si>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</si>
  <si>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</si>
  <si>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</si>
  <si>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</si>
  <si>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</si>
  <si>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</si>
  <si>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</si>
  <si>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</si>
  <si>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</si>
  <si>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</si>
  <si>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</si>
  <si>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</si>
  <si>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</si>
  <si>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</si>
  <si>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</si>
  <si>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</si>
  <si>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</si>
  <si>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</si>
  <si>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</si>
  <si>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</si>
  <si>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</si>
  <si>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</si>
  <si>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</si>
  <si>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</si>
  <si>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</si>
  <si>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</si>
  <si>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</si>
  <si>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</si>
  <si>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</si>
  <si>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</si>
  <si>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</si>
  <si>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</si>
  <si>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</si>
  <si>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</si>
  <si>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</si>
  <si>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</si>
  <si>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</si>
  <si>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</si>
  <si>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</si>
  <si>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</si>
  <si>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</si>
  <si>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</si>
  <si>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</si>
  <si>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</si>
  <si>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</si>
  <si>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</si>
  <si>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</si>
  <si>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</si>
  <si>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</si>
  <si>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</si>
  <si>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</si>
  <si>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</si>
  <si>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</si>
  <si>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</si>
  <si>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</si>
  <si>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</si>
  <si>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</si>
  <si>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</si>
  <si>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</si>
  <si>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</si>
  <si>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</si>
  <si>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</si>
  <si>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</si>
  <si>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</si>
  <si>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</si>
  <si>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</si>
  <si>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</si>
  <si>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</si>
  <si>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</si>
  <si>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</si>
  <si>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</si>
  <si>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</si>
  <si>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</si>
  <si>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</si>
  <si>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</si>
  <si>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</si>
  <si>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</si>
  <si>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</si>
  <si>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</si>
  <si>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</si>
  <si>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</si>
  <si>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</si>
  <si>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</si>
  <si>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</si>
  <si>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</si>
  <si>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</si>
  <si>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</si>
  <si>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</si>
  <si>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</si>
  <si>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</si>
  <si>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</si>
  <si>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</si>
  <si>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</si>
  <si>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</si>
  <si>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</si>
  <si>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</si>
  <si>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</si>
  <si>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</si>
  <si>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</si>
  <si>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</si>
  <si>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</si>
  <si>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</si>
  <si>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</si>
  <si>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</si>
  <si>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</si>
  <si>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</si>
  <si>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</si>
  <si>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</si>
  <si>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</si>
  <si>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</si>
  <si>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</si>
  <si>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</si>
  <si>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</si>
  <si>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</si>
  <si>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</si>
  <si>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</si>
  <si>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</si>
  <si>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</si>
  <si>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</si>
  <si>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</si>
  <si>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</si>
  <si>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</si>
  <si>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</si>
  <si>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</si>
  <si>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</si>
  <si>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</si>
  <si>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</si>
  <si>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</si>
  <si>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</si>
  <si>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</si>
  <si>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</si>
  <si>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</si>
  <si>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</si>
  <si>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</si>
  <si>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</si>
  <si>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</si>
  <si>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</si>
  <si>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</si>
  <si>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</si>
  <si>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</si>
  <si>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</si>
  <si>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</si>
  <si>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</si>
  <si>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</si>
  <si>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</si>
  <si>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</si>
  <si>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</si>
  <si>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</si>
  <si>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</si>
  <si>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</si>
  <si>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</si>
  <si>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</si>
  <si>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</si>
  <si>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</si>
  <si>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</si>
  <si>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</si>
  <si>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</si>
  <si>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</si>
  <si>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</si>
  <si>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</si>
  <si>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</si>
  <si>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</si>
  <si>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</si>
  <si>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</si>
  <si>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</si>
  <si>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</si>
  <si>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</si>
  <si>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</si>
  <si>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</si>
  <si>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</si>
  <si>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</si>
  <si>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</si>
  <si>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</si>
  <si>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</si>
  <si>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</si>
  <si>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</si>
  <si>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</si>
  <si>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</si>
  <si>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</si>
  <si>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</si>
  <si>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</si>
  <si>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</si>
  <si>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</si>
  <si>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</si>
  <si>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</si>
  <si>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</si>
  <si>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</si>
  <si>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</si>
  <si>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</si>
  <si>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</si>
  <si>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</si>
  <si>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</si>
  <si>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</si>
  <si>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</si>
  <si>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</si>
  <si>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</si>
  <si>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</si>
  <si>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</si>
  <si>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</si>
  <si>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</si>
  <si>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</si>
  <si>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</si>
  <si>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</si>
  <si>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</si>
  <si>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</si>
  <si>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</si>
  <si>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</si>
  <si>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</si>
  <si>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</si>
  <si>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</si>
  <si>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</si>
  <si>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</si>
  <si>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</si>
  <si>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</si>
  <si>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</si>
  <si>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</si>
  <si>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</si>
  <si>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</si>
  <si>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</si>
  <si>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</si>
  <si>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</si>
  <si>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</si>
  <si>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</si>
  <si>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</si>
  <si>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</si>
  <si>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</si>
  <si>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</si>
  <si>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</si>
  <si>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</si>
  <si>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</si>
  <si>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</si>
  <si>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</si>
  <si>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</si>
  <si>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</si>
  <si>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</si>
  <si>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</si>
  <si>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</si>
  <si>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</si>
  <si>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</si>
  <si>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</si>
  <si>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</si>
  <si>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</si>
  <si>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</si>
  <si>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</si>
  <si>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</si>
  <si>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</si>
  <si>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</si>
  <si>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</si>
  <si>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</si>
  <si>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</si>
  <si>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</si>
  <si>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</si>
  <si>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</si>
  <si>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</si>
  <si>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</si>
  <si>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</si>
  <si>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</si>
  <si>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</si>
  <si>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</si>
  <si>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</si>
  <si>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</si>
  <si>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</si>
  <si>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</si>
  <si>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</si>
  <si>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</si>
  <si>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</si>
  <si>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</si>
  <si>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</si>
  <si>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</si>
  <si>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</si>
  <si>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</si>
  <si>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</si>
  <si>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</si>
  <si>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</si>
  <si>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</si>
  <si>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</si>
  <si>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</si>
  <si>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</si>
  <si>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</si>
  <si>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</si>
  <si>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</si>
  <si>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</si>
  <si>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</si>
  <si>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</si>
  <si>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</si>
  <si>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</si>
  <si>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</si>
  <si>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</si>
  <si>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</si>
  <si>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</si>
  <si>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</si>
  <si>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</si>
  <si>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</si>
  <si>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</si>
  <si>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</si>
  <si>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</si>
  <si>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</si>
  <si>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</si>
  <si>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</si>
  <si>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</si>
  <si>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</si>
  <si>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</si>
  <si>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</si>
  <si>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</si>
  <si>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</si>
  <si>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</si>
  <si>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</si>
  <si>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</si>
  <si>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</si>
  <si>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</si>
  <si>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</si>
  <si>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</si>
  <si>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</si>
  <si>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</si>
  <si>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</si>
  <si>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</si>
  <si>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</si>
  <si>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</si>
  <si>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</si>
  <si>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</si>
  <si>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</si>
  <si>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</si>
  <si>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</si>
  <si>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</si>
  <si>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</si>
  <si>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</si>
  <si>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</si>
  <si>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</si>
  <si>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</si>
  <si>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</si>
  <si>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</si>
  <si>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</si>
  <si>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</si>
  <si>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</si>
  <si>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</si>
  <si>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</si>
  <si>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</si>
  <si>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</si>
  <si>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</si>
  <si>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</si>
  <si>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</si>
  <si>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</si>
  <si>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</si>
  <si>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</si>
  <si>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</si>
  <si>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</si>
  <si>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</si>
  <si>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</si>
  <si>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</si>
  <si>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</si>
  <si>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</si>
  <si>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</si>
  <si>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</si>
  <si>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</si>
  <si>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</si>
  <si>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</si>
  <si>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</si>
  <si>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</si>
  <si>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</si>
  <si>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</si>
  <si>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</si>
  <si>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</si>
  <si>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</si>
  <si>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</si>
  <si>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</si>
  <si>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</si>
  <si>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</si>
  <si>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</si>
  <si>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</si>
  <si>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</si>
  <si>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</si>
  <si>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</si>
  <si>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</si>
  <si>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</si>
  <si>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</si>
  <si>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</si>
  <si>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</si>
  <si>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</si>
  <si>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</si>
  <si>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</si>
  <si>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</si>
  <si>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</si>
  <si>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</si>
  <si>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</si>
  <si>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</si>
  <si>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</si>
  <si>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</si>
  <si>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</si>
  <si>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</si>
  <si>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</si>
  <si>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</si>
  <si>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</si>
  <si>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</si>
  <si>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</si>
  <si>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</si>
  <si>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</si>
  <si>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</si>
  <si>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</si>
  <si>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</si>
  <si>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</si>
  <si>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</si>
  <si>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</si>
  <si>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</si>
  <si>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</si>
  <si>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</si>
  <si>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</si>
  <si>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</si>
  <si>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</si>
  <si>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</si>
  <si>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</si>
  <si>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</si>
  <si>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</si>
  <si>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</si>
  <si>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</si>
  <si>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</si>
  <si>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</si>
  <si>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</si>
  <si>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</si>
  <si>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</si>
  <si>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</si>
  <si>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</si>
  <si>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</si>
  <si>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</si>
  <si>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</si>
  <si>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</si>
  <si>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</si>
  <si>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</si>
  <si>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</si>
  <si>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</si>
  <si>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</si>
  <si>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</si>
  <si>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</si>
  <si>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</si>
  <si>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</si>
  <si>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</si>
  <si>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</si>
  <si>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</si>
  <si>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</si>
  <si>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</si>
  <si>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</si>
  <si>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</si>
  <si>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</si>
  <si>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</si>
  <si>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</si>
  <si>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</si>
  <si>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</si>
  <si>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</si>
  <si>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</si>
  <si>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</si>
  <si>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</si>
  <si>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</si>
  <si>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</si>
  <si>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</si>
  <si>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</si>
  <si>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</si>
  <si>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</si>
  <si>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</si>
  <si>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</si>
  <si>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</si>
  <si>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</si>
  <si>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</si>
  <si>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</si>
  <si>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</si>
  <si>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</si>
  <si>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</si>
  <si>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</si>
  <si>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</si>
  <si>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</si>
  <si>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</si>
  <si>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</si>
  <si>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</si>
  <si>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</si>
  <si>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</si>
  <si>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</si>
  <si>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</si>
  <si>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</si>
  <si>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</si>
  <si>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</si>
  <si>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</si>
  <si>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</si>
  <si>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</si>
  <si>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</si>
  <si>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</si>
  <si>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</si>
  <si>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</si>
  <si>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</si>
  <si>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</si>
  <si>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</si>
  <si>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</si>
  <si>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</si>
  <si>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</si>
  <si>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</si>
  <si>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</si>
  <si>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</si>
  <si>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</si>
  <si>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</si>
  <si>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</si>
  <si>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</si>
  <si>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</si>
  <si>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</si>
  <si>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</si>
  <si>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</si>
  <si>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</si>
  <si>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</si>
  <si>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</si>
  <si>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</si>
  <si>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</si>
  <si>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</si>
  <si>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</si>
  <si>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</si>
  <si>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</si>
  <si>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</si>
  <si>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</si>
  <si>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</si>
  <si>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</si>
  <si>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</si>
  <si>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</si>
  <si>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</si>
  <si>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</si>
  <si>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</si>
  <si>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</si>
  <si>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</si>
  <si>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</si>
  <si>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</si>
  <si>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</si>
  <si>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</si>
  <si>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</si>
  <si>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</si>
  <si>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</si>
  <si>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</si>
  <si>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</si>
  <si>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</si>
  <si>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</si>
  <si>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</si>
  <si>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</si>
  <si>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</si>
  <si>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</si>
  <si>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</si>
  <si>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</si>
  <si>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</si>
  <si>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</si>
  <si>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</si>
  <si>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</si>
  <si>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</si>
  <si>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</si>
  <si>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</si>
  <si>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</si>
  <si>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</si>
  <si>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</si>
  <si>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</si>
  <si>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</si>
  <si>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</si>
  <si>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</si>
  <si>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</si>
  <si>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</si>
  <si>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</si>
  <si>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</si>
  <si>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</si>
  <si>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</si>
  <si>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</si>
  <si>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</si>
  <si>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</si>
  <si>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</si>
  <si>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</si>
  <si>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</si>
  <si>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</si>
  <si>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</si>
  <si>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</si>
  <si>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</si>
  <si>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</si>
  <si>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</si>
  <si>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</si>
  <si>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</si>
  <si>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</si>
  <si>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</si>
  <si>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</si>
  <si>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</si>
  <si>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</si>
  <si>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</si>
  <si>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</si>
  <si>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</si>
  <si>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</si>
  <si>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</si>
  <si>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</si>
  <si>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</si>
  <si>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</si>
  <si>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</si>
  <si>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</si>
  <si>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</si>
  <si>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</si>
  <si>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</si>
  <si>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</si>
  <si>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</si>
  <si>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</si>
  <si>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</si>
  <si>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</si>
  <si>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</si>
  <si>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</si>
  <si>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</si>
  <si>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</si>
  <si>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</si>
  <si>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</si>
  <si>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</si>
  <si>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</si>
  <si>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</si>
  <si>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</si>
  <si>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</si>
  <si>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</si>
  <si>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</si>
  <si>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</si>
  <si>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</si>
  <si>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</si>
  <si>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</si>
  <si>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</si>
  <si>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</si>
  <si>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</si>
  <si>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</si>
  <si>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</si>
  <si>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</si>
  <si>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</si>
  <si>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</si>
  <si>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</si>
  <si>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</si>
  <si>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</si>
  <si>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</si>
  <si>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</si>
  <si>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</si>
  <si>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</si>
  <si>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</si>
  <si>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</si>
  <si>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</si>
  <si>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</si>
  <si>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</si>
  <si>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</si>
  <si>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</si>
  <si>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</si>
  <si>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</si>
  <si>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</si>
  <si>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</si>
  <si>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</si>
  <si>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</si>
  <si>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</si>
  <si>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</si>
  <si>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</si>
  <si>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</si>
  <si>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</si>
  <si>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</si>
  <si>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</si>
  <si>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</si>
  <si>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</si>
  <si>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</si>
  <si>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</si>
  <si>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</si>
  <si>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</si>
  <si>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</si>
  <si>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</si>
  <si>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</si>
  <si>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</si>
  <si>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</si>
  <si>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</si>
  <si>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</si>
  <si>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</si>
  <si>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</si>
  <si>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</si>
  <si>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</si>
  <si>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</si>
  <si>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</si>
  <si>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</si>
  <si>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</si>
  <si>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</si>
  <si>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</si>
  <si>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</si>
  <si>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</si>
  <si>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</si>
  <si>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</si>
  <si>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</si>
  <si>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</si>
  <si>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</si>
  <si>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</si>
  <si>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</si>
  <si>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</si>
  <si>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</si>
  <si>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</si>
  <si>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</si>
  <si>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</si>
  <si>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</si>
  <si>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</si>
  <si>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</si>
  <si>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</si>
  <si>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</si>
  <si>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</si>
  <si>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</si>
  <si>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</si>
  <si>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</si>
  <si>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</si>
  <si>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</si>
  <si>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</si>
  <si>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</si>
  <si>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</si>
  <si>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</si>
  <si>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</si>
  <si>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</si>
  <si>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</si>
  <si>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</si>
  <si>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</si>
  <si>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</si>
  <si>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</si>
  <si>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</si>
  <si>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</si>
  <si>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</si>
  <si>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</si>
  <si>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</si>
  <si>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</si>
  <si>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</si>
  <si>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</si>
  <si>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</si>
  <si>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</si>
  <si>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</si>
  <si>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</si>
  <si>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</si>
  <si>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</si>
  <si>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</si>
  <si>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</si>
  <si>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</si>
  <si>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</si>
  <si>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</si>
  <si>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</si>
  <si>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</si>
  <si>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</si>
  <si>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Column4</t>
  </si>
  <si>
    <t>name</t>
  </si>
  <si>
    <t>Control</t>
  </si>
  <si>
    <t>Control Class</t>
  </si>
  <si>
    <t>protects</t>
  </si>
  <si>
    <t>protects from</t>
  </si>
  <si>
    <t>External Threat Agents</t>
  </si>
  <si>
    <t>Threat Agent</t>
  </si>
  <si>
    <t>is composed of</t>
  </si>
  <si>
    <t>IT Component</t>
  </si>
  <si>
    <t>IT Hardware</t>
  </si>
  <si>
    <t>is</t>
  </si>
  <si>
    <t>IT Software</t>
  </si>
  <si>
    <t>Data</t>
  </si>
  <si>
    <t>Data Operation</t>
  </si>
  <si>
    <t>has capability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</si>
  <si>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</si>
  <si>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</si>
  <si>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</si>
  <si>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</si>
  <si>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</si>
  <si>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</si>
  <si>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main_class</t>
  </si>
  <si>
    <t>from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</si>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</sst>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  <xf numFmtId="0" fontId="14" fillId="5" borderId="5" applyNumberFormat="0" applyAlignment="0" applyProtection="0"/>
  </cellStyleXfs>
  <cellXfs count="33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  <xf numFmtId="0" fontId="4" fillId="0" borderId="2" xfId="2" applyNumberFormat="1" applyAlignment="1">
      <alignment vertical="top"/>
    </xf>
    <xf numFmtId="0" fontId="0" fillId="0" borderId="0" xfId="0" applyNumberFormat="1" applyFont="1" applyAlignment="1">
      <alignment wrapText="1"/>
    </xf>
    <xf numFmtId="0" fontId="14" fillId="5" borderId="5" xfId="6" applyAlignment="1">
      <alignment wrapText="1"/>
    </xf>
  </cellXfs>
  <cellStyles count="7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Input" xfId="6" builtinId="20"/>
    <cellStyle name="Normal" xfId="0" builtinId="0"/>
    <cellStyle name="Output" xfId="4" builtinId="21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0</xdr:row>
          <xdr:rowOff>357188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42" dataDxfId="40" headerRowBorderDxfId="41" tableBorderDxfId="39" totalsRowBorderDxfId="38" dataCellStyle="Code">
  <autoFilter ref="A3:B5" xr:uid="{9FAA7FDD-CF5C-41D5-BFC1-F99979C624F7}"/>
  <tableColumns count="2">
    <tableColumn id="1" xr3:uid="{08A547A8-9249-46A7-82C8-C0E1E2980208}" name="Cypher" dataDxfId="37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J475" totalsRowShown="0" dataDxfId="36">
  <autoFilter ref="A2:J475" xr:uid="{5C9712D2-CCDA-4E9C-B304-04B7352F99F1}"/>
  <sortState xmlns:xlrd2="http://schemas.microsoft.com/office/spreadsheetml/2017/richdata2" ref="A39:D475">
    <sortCondition ref="A2:A475"/>
  </sortState>
  <tableColumns count="10">
    <tableColumn id="1" xr3:uid="{38A4B09F-ECF8-4DA9-83A8-DC2D5A4A1659}" name="id" dataDxfId="35">
      <calculatedColumnFormula array="1">"n"&amp;SUBSTITUTE(CreateGuidString(),"-","_")</calculatedColumnFormula>
    </tableColumn>
    <tableColumn id="2" xr3:uid="{75902A03-A6A4-4A68-BF33-287E59355791}" name="label" dataDxfId="34">
      <calculatedColumnFormula>NodesData[[#This Row],[name]]&amp;" ("&amp;NodesData[[#This Row],[main_class]]&amp;")"</calculatedColumnFormula>
    </tableColumn>
    <tableColumn id="8" xr3:uid="{334909EF-6768-4210-A03B-B3B2782F8DF1}" name="url" dataDxfId="33"/>
    <tableColumn id="6" xr3:uid="{5F81452C-EBC1-4691-934B-3F740BF2A1BB}" name="main_class" dataDxfId="32"/>
    <tableColumn id="5" xr3:uid="{3C8DA503-6471-4456-8EA5-502FC9CE757B}" name="name" dataDxfId="31"/>
    <tableColumn id="11" xr3:uid="{907A7948-8F54-4E82-9B0F-870FE9A0B7B3}" name="Count" dataDxfId="30"/>
    <tableColumn id="10" xr3:uid="{B774E45E-2AB4-4553-8C8E-4D51610E0848}" name="Duplicate" dataDxfId="29">
      <calculatedColumnFormula>COUNTIF(NodesData[label],NodesData[[#This Row],[label]])</calculatedColumnFormula>
    </tableColumn>
    <tableColumn id="9" xr3:uid="{D2A872DA-BB1A-46DE-9053-BBA0FBCDCEC7}" name="Used" dataDxfId="28">
      <calculatedColumnFormula>COUNTIF(EdgesData[from],NodesData[[#This Row],[id]])+COUNTIF(EdgesData[to],NodesData[[#This Row],[id]])</calculatedColumnFormula>
    </tableColumn>
    <tableColumn id="7" xr3:uid="{FE0FE230-4B35-4249-AE8B-DD65900C69CD}" name="Export" dataDxfId="27">
      <calculatedColumnFormula>IF(NodesData[[#This Row],[Used]]&gt;0,1,0)</calculatedColumnFormula>
    </tableColumn>
    <tableColumn id="4" xr3:uid="{2BA73281-1EB8-402E-94A1-CA9EC2E77D2D}" name="JSON" dataDxfId="26" dataCellStyle="Code">
      <calculatedColumnFormula array="1">IF(NodesData[[#This Row],[Count]]&gt;1,",","") &amp;"{"&amp;twoRangesToJSON(NodesData[[#Headers],[id]:[main_class]],NodesData[[#This Row],[id]:[main_class]])&amp;"}"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EdgesData" displayName="EdgesData" ref="A6:M54" totalsRowShown="0" dataDxfId="25">
  <autoFilter ref="A6:M54" xr:uid="{5C9712D2-CCDA-4E9C-B304-04B7352F99F1}"/>
  <sortState xmlns:xlrd2="http://schemas.microsoft.com/office/spreadsheetml/2017/richdata2" ref="B7:M40">
    <sortCondition ref="D6:D40"/>
  </sortState>
  <tableColumns count="13">
    <tableColumn id="16" xr3:uid="{107D94CF-80AA-4E5E-95FF-28B24133A75D}" name="id" dataDxfId="24">
      <calculatedColumnFormula array="1">"n"&amp;SUBSTITUTE(CreateGuidString(),"-","_")</calculatedColumnFormula>
    </tableColumn>
    <tableColumn id="1" xr3:uid="{4B9AB91E-1586-438B-A101-0AACB47B1DB1}" name="from" dataDxfId="23"/>
    <tableColumn id="2" xr3:uid="{F32D567F-6D9F-415F-A574-E18B2BD7C925}" name="label" dataDxfId="22"/>
    <tableColumn id="13" xr3:uid="{FA4D7977-E657-413D-AACF-13A3DB8ED2FB}" name="to" dataDxfId="21"/>
    <tableColumn id="5" xr3:uid="{180ECFB4-DBE4-45ED-9908-CD9C01979A82}" name="Column4" dataDxfId="20"/>
    <tableColumn id="8" xr3:uid="{2D53BA81-6CCF-475A-9812-9491091707D5}" name="[URL]" dataDxfId="19"/>
    <tableColumn id="6" xr3:uid="{CEA50991-AC9D-4136-A28B-B8480B0972E7}" name="[LABELS]" dataDxfId="18"/>
    <tableColumn id="14" xr3:uid="{7EFE256F-8EDD-4B67-9260-8D6791231065}" name="DictionaryEntry" dataDxfId="17"/>
    <tableColumn id="12" xr3:uid="{BB7C7ED4-E307-4280-AC46-85E5C4400348}" name="Term" dataDxfId="16"/>
    <tableColumn id="11" xr3:uid="{991B20B9-EEAF-4382-9777-9D87992CEA96}" name="Acronym" dataDxfId="15"/>
    <tableColumn id="10" xr3:uid="{332E48AA-6B09-476C-A08E-61B67BDDA5C3}" name="Column2" dataDxfId="14"/>
    <tableColumn id="9" xr3:uid="{97568E11-9C79-4365-810D-FD279D00D012}" name="Count" dataDxfId="13">
      <calculatedColumnFormula>L6+1</calculatedColumnFormula>
    </tableColumn>
    <tableColumn id="4" xr3:uid="{C79F205F-6FBE-4883-B263-0D9F725A451F}" name="JSON" dataDxfId="12" dataCellStyle="Code">
      <calculatedColumnFormula array="1">IF(EdgesData[[#This Row],[Count]]&gt;1,",","") &amp;"{"&amp;twoRangesToJSON(EdgesData[[#Headers],[id]:[to]],EdgesData[[#This Row],[id]:[to]])&amp;"}"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1" tableBorderDxfId="10" dataCellStyle="Code">
  <autoFilter ref="K3:K4" xr:uid="{D212CC64-9287-45BF-8464-736646FE2AB1}"/>
  <tableColumns count="1">
    <tableColumn id="1" xr3:uid="{2D185599-FE4B-4F5D-B692-14C18F6DA4B9}" name="[CYPHER]" dataDxfId="9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8" dataDxfId="6" headerRowBorderDxfId="7" tableBorderDxfId="5" totalsRowBorderDxfId="4" dataCellStyle="Code">
  <autoFilter ref="A3:A5" xr:uid="{9FAA7FDD-CF5C-41D5-BFC1-F99979C624F7}"/>
  <tableColumns count="1">
    <tableColumn id="1" xr3:uid="{4EF665A7-1D3B-4E32-9505-6A80D147F089}" name="Cypher" dataDxfId="3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1395</v>
      </c>
    </row>
    <row r="7" spans="1:3" x14ac:dyDescent="0.35">
      <c r="A7" s="15" t="s">
        <v>1396</v>
      </c>
    </row>
    <row r="10" spans="1:3" ht="13.15" x14ac:dyDescent="0.4">
      <c r="C10" s="25" t="s">
        <v>1401</v>
      </c>
    </row>
    <row r="11" spans="1:3" x14ac:dyDescent="0.35">
      <c r="C11" s="15" t="s">
        <v>1403</v>
      </c>
    </row>
    <row r="12" spans="1:3" x14ac:dyDescent="0.35">
      <c r="C12" t="s">
        <v>1402</v>
      </c>
    </row>
    <row r="13" spans="1:3" x14ac:dyDescent="0.35">
      <c r="C13" s="15" t="s">
        <v>1406</v>
      </c>
    </row>
    <row r="15" spans="1:3" x14ac:dyDescent="0.35">
      <c r="B15" s="15" t="s">
        <v>1405</v>
      </c>
      <c r="C15" s="15" t="s">
        <v>1404</v>
      </c>
    </row>
    <row r="16" spans="1:3" x14ac:dyDescent="0.35">
      <c r="B16" s="15" t="s">
        <v>1407</v>
      </c>
      <c r="C16" s="15" t="s">
        <v>1408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19" t="s">
        <v>2</v>
      </c>
      <c r="B3" t="s">
        <v>31</v>
      </c>
    </row>
    <row r="4" spans="1:2" ht="16.149999999999999" thickTop="1" thickBot="1" x14ac:dyDescent="0.4">
      <c r="A4" s="20" t="s">
        <v>1397</v>
      </c>
    </row>
    <row r="5" spans="1:2" ht="15.75" thickTop="1" x14ac:dyDescent="0.35">
      <c r="A5" s="20" t="s">
        <v>1398</v>
      </c>
      <c r="B5" s="21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J476"/>
  <sheetViews>
    <sheetView tabSelected="1" zoomScale="120" zoomScaleNormal="120" workbookViewId="0">
      <selection activeCell="A5" sqref="A5"/>
    </sheetView>
  </sheetViews>
  <sheetFormatPr defaultRowHeight="12.75" x14ac:dyDescent="0.35"/>
  <cols>
    <col min="1" max="1" width="43.19921875" style="3" customWidth="1"/>
    <col min="2" max="2" width="27.265625" style="6" customWidth="1"/>
    <col min="3" max="3" width="10.46484375" customWidth="1"/>
    <col min="4" max="4" width="7.19921875" customWidth="1"/>
    <col min="5" max="5" width="42.86328125" bestFit="1" customWidth="1"/>
    <col min="6" max="6" width="7.3984375" style="3" bestFit="1" customWidth="1"/>
    <col min="7" max="7" width="8.53125" style="4" customWidth="1"/>
    <col min="8" max="8" width="8.19921875" style="4" bestFit="1" customWidth="1"/>
    <col min="9" max="9" width="106.19921875" style="4" customWidth="1"/>
    <col min="10" max="10" width="120.3984375" style="4" customWidth="1"/>
    <col min="11" max="11" width="60" style="3" customWidth="1"/>
    <col min="12" max="16384" width="9.06640625" style="3"/>
  </cols>
  <sheetData>
    <row r="1" spans="1:10" s="2" customFormat="1" ht="38.65" customHeight="1" thickBot="1" x14ac:dyDescent="0.65">
      <c r="A1" s="2" t="s">
        <v>3</v>
      </c>
      <c r="B1" s="30"/>
      <c r="C1" s="26"/>
      <c r="D1" s="26"/>
      <c r="E1" s="26"/>
      <c r="G1" s="27"/>
      <c r="H1" s="27"/>
      <c r="I1" s="27"/>
      <c r="J1" s="27"/>
    </row>
    <row r="2" spans="1:10" customFormat="1" ht="27" thickTop="1" thickBot="1" x14ac:dyDescent="0.5">
      <c r="A2" t="s">
        <v>1410</v>
      </c>
      <c r="B2" s="31" t="s">
        <v>1411</v>
      </c>
      <c r="C2" s="16" t="s">
        <v>1412</v>
      </c>
      <c r="D2" t="s">
        <v>1439</v>
      </c>
      <c r="E2" s="32" t="s">
        <v>1418</v>
      </c>
      <c r="F2" s="28" t="s">
        <v>1413</v>
      </c>
      <c r="G2" s="28" t="s">
        <v>1414</v>
      </c>
      <c r="H2" s="28" t="s">
        <v>1416</v>
      </c>
      <c r="I2" s="28" t="s">
        <v>1415</v>
      </c>
      <c r="J2" s="29" t="s">
        <v>1400</v>
      </c>
    </row>
    <row r="3" spans="1:10" ht="27" thickTop="1" thickBot="1" x14ac:dyDescent="0.4">
      <c r="A3" s="3" t="str" cm="1">
        <f t="array" ref="A3">"n"&amp;SUBSTITUTE(CreateGuidString(),"-","_")</f>
        <v>nB5B0E5E3_B15B_4F5A_AE73_A650174486B6</v>
      </c>
      <c r="B3" s="6" t="str">
        <f>NodesData[[#This Row],[name]]&amp;" ("&amp;NodesData[[#This Row],[main_class]]&amp;")"</f>
        <v>4-Eyes Principle (Control)</v>
      </c>
      <c r="C3" s="10" t="s">
        <v>553</v>
      </c>
      <c r="D3" s="3" t="s">
        <v>1419</v>
      </c>
      <c r="E3" s="10" t="s">
        <v>35</v>
      </c>
      <c r="F3" s="3">
        <v>1</v>
      </c>
      <c r="G3">
        <f>COUNTIF(NodesData[label],NodesData[[#This Row],[label]])</f>
        <v>1</v>
      </c>
      <c r="H3">
        <f>COUNTIF(EdgesData[from],NodesData[[#This Row],[id]])+COUNTIF(EdgesData[to],NodesData[[#This Row],[id]])</f>
        <v>0</v>
      </c>
      <c r="I3">
        <f>IF(NodesData[[#This Row],[Used]]&gt;0,1,0)</f>
        <v>0</v>
      </c>
      <c r="J3" s="18" t="str" cm="1">
        <f t="array" ref="J3">IF(NodesData[[#This Row],[Count]]&gt;1,",","") &amp;"{"&amp;twoRangesToJSON(NodesData[[#Headers],[id]:[main_class]],NodesData[[#This Row],[id]:[main_class]])&amp;"}"</f>
        <v>{"id":"nB5B0E5E3_B15B_4F5A_AE73_A650174486B6","label":"4-Eyes Principle (Control)","url":"https://open-measure.atlassian.net/wiki/spaces/DIC/pages/805175450/4-Eyes+Principle","main_class":"Control"}</v>
      </c>
    </row>
    <row r="4" spans="1:10" ht="27" thickTop="1" thickBot="1" x14ac:dyDescent="0.4">
      <c r="A4" s="3" t="str" cm="1">
        <f t="array" ref="A4">"n"&amp;SUBSTITUTE(CreateGuidString(),"-","_")</f>
        <v>n8A9CB467_4766_4491_9160_EDD89865F82E</v>
      </c>
      <c r="B4" s="6" t="str">
        <f>NodesData[[#This Row],[name]]&amp;" ("&amp;NodesData[[#This Row],[main_class]]&amp;")"</f>
        <v>Access (Concept)</v>
      </c>
      <c r="C4" s="10" t="s">
        <v>554</v>
      </c>
      <c r="D4" s="3" t="s">
        <v>1409</v>
      </c>
      <c r="E4" s="10" t="s">
        <v>37</v>
      </c>
      <c r="F4" s="3">
        <f>F3+1</f>
        <v>2</v>
      </c>
      <c r="G4" s="3">
        <f>COUNTIF(NodesData[label],NodesData[[#This Row],[label]])</f>
        <v>1</v>
      </c>
      <c r="H4" s="3">
        <f>COUNTIF(EdgesData[from],NodesData[[#This Row],[id]])+COUNTIF(EdgesData[to],NodesData[[#This Row],[id]])</f>
        <v>0</v>
      </c>
      <c r="I4" s="3">
        <f>IF(NodesData[[#This Row],[Used]]&gt;0,1,0)</f>
        <v>0</v>
      </c>
      <c r="J4" s="18" t="str" cm="1">
        <f t="array" ref="J4">IF(NodesData[[#This Row],[Count]]&gt;1,",","") &amp;"{"&amp;twoRangesToJSON(NodesData[[#Headers],[id]:[main_class]],NodesData[[#This Row],[id]:[main_class]])&amp;"}"</f>
        <v>,{"id":"n8A9CB467_4766_4491_9160_EDD89865F82E","label":"Access (Concept)","url":"https://open-measure.atlassian.net/wiki/spaces/DIC/pages/123962347/Access","main_class":"Concept"}</v>
      </c>
    </row>
    <row r="5" spans="1:10" ht="27" thickTop="1" thickBot="1" x14ac:dyDescent="0.4">
      <c r="A5" s="3" t="str" cm="1">
        <f t="array" ref="A5">"n"&amp;SUBSTITUTE(CreateGuidString(),"-","_")</f>
        <v>nC3775039_B77A_43A1_BE2D_6B9F6CBCAEC2</v>
      </c>
      <c r="B5" s="6" t="str">
        <f>NodesData[[#This Row],[name]]&amp;" ("&amp;NodesData[[#This Row],[main_class]]&amp;")"</f>
        <v>Access Audit (Concept)</v>
      </c>
      <c r="C5" s="10" t="s">
        <v>556</v>
      </c>
      <c r="D5" s="3" t="s">
        <v>1409</v>
      </c>
      <c r="E5" s="10" t="s">
        <v>555</v>
      </c>
      <c r="F5" s="3">
        <f t="shared" ref="F5:F68" si="0">F4+1</f>
        <v>3</v>
      </c>
      <c r="G5" s="3">
        <f>COUNTIF(NodesData[label],NodesData[[#This Row],[label]])</f>
        <v>1</v>
      </c>
      <c r="H5" s="3">
        <f>COUNTIF(EdgesData[from],NodesData[[#This Row],[id]])+COUNTIF(EdgesData[to],NodesData[[#This Row],[id]])</f>
        <v>0</v>
      </c>
      <c r="I5" s="3">
        <f>IF(NodesData[[#This Row],[Used]]&gt;0,1,0)</f>
        <v>0</v>
      </c>
      <c r="J5" s="18" t="str" cm="1">
        <f t="array" ref="J5">IF(NodesData[[#This Row],[Count]]&gt;1,",","") &amp;"{"&amp;twoRangesToJSON(NodesData[[#Headers],[id]:[main_class]],NodesData[[#This Row],[id]:[main_class]])&amp;"}"</f>
        <v>,{"id":"nC3775039_B77A_43A1_BE2D_6B9F6CBCAEC2","label":"Access Audit (Concept)","url":"https://open-measure.atlassian.net/wiki/spaces/DIC/pages/1121878227","main_class":"Concept"}</v>
      </c>
    </row>
    <row r="6" spans="1:10" ht="27" thickTop="1" thickBot="1" x14ac:dyDescent="0.4">
      <c r="A6" s="3" t="str" cm="1">
        <f t="array" ref="A6">"n"&amp;SUBSTITUTE(CreateGuidString(),"-","_")</f>
        <v>n6199C8AE_05A3_439B_A032_B4C2F3A8B2E6</v>
      </c>
      <c r="B6" s="6" t="str">
        <f>NodesData[[#This Row],[name]]&amp;" ("&amp;NodesData[[#This Row],[main_class]]&amp;")"</f>
        <v>Access Continuum (Concept)</v>
      </c>
      <c r="C6" s="10" t="s">
        <v>557</v>
      </c>
      <c r="D6" s="3" t="s">
        <v>1409</v>
      </c>
      <c r="E6" s="10" t="s">
        <v>39</v>
      </c>
      <c r="F6" s="3">
        <f t="shared" si="0"/>
        <v>4</v>
      </c>
      <c r="G6" s="3">
        <f>COUNTIF(NodesData[label],NodesData[[#This Row],[label]])</f>
        <v>1</v>
      </c>
      <c r="H6" s="3">
        <f>COUNTIF(EdgesData[from],NodesData[[#This Row],[id]])+COUNTIF(EdgesData[to],NodesData[[#This Row],[id]])</f>
        <v>0</v>
      </c>
      <c r="I6" s="3">
        <f>IF(NodesData[[#This Row],[Used]]&gt;0,1,0)</f>
        <v>0</v>
      </c>
      <c r="J6" s="18" t="str" cm="1">
        <f t="array" ref="J6">IF(NodesData[[#This Row],[Count]]&gt;1,",","") &amp;"{"&amp;twoRangesToJSON(NodesData[[#Headers],[id]:[main_class]],NodesData[[#This Row],[id]:[main_class]])&amp;"}"</f>
        <v>,{"id":"n6199C8AE_05A3_439B_A032_B4C2F3A8B2E6","label":"Access Continuum (Concept)","url":"https://open-measure.atlassian.net/wiki/spaces/DIC/pages/1034223816/Access+Continuum","main_class":"Concept"}</v>
      </c>
    </row>
    <row r="7" spans="1:10" ht="27" thickTop="1" thickBot="1" x14ac:dyDescent="0.4">
      <c r="A7" s="3" t="str" cm="1">
        <f t="array" ref="A7">"n"&amp;SUBSTITUTE(CreateGuidString(),"-","_")</f>
        <v>n11D969BC_C365_4F85_9DE9_90D2AB488BE5</v>
      </c>
      <c r="B7" s="6" t="str">
        <f>NodesData[[#This Row],[name]]&amp;" ("&amp;NodesData[[#This Row],[main_class]]&amp;")"</f>
        <v>Access Control (Concept)</v>
      </c>
      <c r="C7" s="12" t="s">
        <v>559</v>
      </c>
      <c r="D7" s="3" t="s">
        <v>1409</v>
      </c>
      <c r="E7" s="10" t="s">
        <v>558</v>
      </c>
      <c r="F7" s="3">
        <f t="shared" si="0"/>
        <v>5</v>
      </c>
      <c r="G7" s="3">
        <f>COUNTIF(NodesData[label],NodesData[[#This Row],[label]])</f>
        <v>1</v>
      </c>
      <c r="H7" s="3">
        <f>COUNTIF(EdgesData[from],NodesData[[#This Row],[id]])+COUNTIF(EdgesData[to],NodesData[[#This Row],[id]])</f>
        <v>0</v>
      </c>
      <c r="I7" s="3">
        <f>IF(NodesData[[#This Row],[Used]]&gt;0,1,0)</f>
        <v>0</v>
      </c>
      <c r="J7" s="18" t="str" cm="1">
        <f t="array" ref="J7">IF(NodesData[[#This Row],[Count]]&gt;1,",","") &amp;"{"&amp;twoRangesToJSON(NodesData[[#Headers],[id]:[main_class]],NodesData[[#This Row],[id]:[main_class]])&amp;"}"</f>
        <v>,{"id":"n11D969BC_C365_4F85_9DE9_90D2AB488BE5","label":"Access Control (Concept)","url":"https://open-measure.atlassian.net/wiki/spaces/DIC/pages/427163781","main_class":"Concept"}</v>
      </c>
    </row>
    <row r="8" spans="1:10" ht="27" thickTop="1" thickBot="1" x14ac:dyDescent="0.4">
      <c r="A8" s="3" t="str" cm="1">
        <f t="array" ref="A8">"n"&amp;SUBSTITUTE(CreateGuidString(),"-","_")</f>
        <v>n1F7F683A_1197_4613_86FB_4CA592148B44</v>
      </c>
      <c r="B8" s="6" t="str">
        <f>NodesData[[#This Row],[name]]&amp;" ("&amp;NodesData[[#This Row],[main_class]]&amp;")"</f>
        <v>Access Control List (Concept)</v>
      </c>
      <c r="C8" s="17" t="s">
        <v>561</v>
      </c>
      <c r="D8" s="3" t="s">
        <v>1409</v>
      </c>
      <c r="E8" s="10" t="s">
        <v>560</v>
      </c>
      <c r="F8" s="3">
        <f t="shared" si="0"/>
        <v>6</v>
      </c>
      <c r="G8" s="3">
        <f>COUNTIF(NodesData[label],NodesData[[#This Row],[label]])</f>
        <v>1</v>
      </c>
      <c r="H8" s="3">
        <f>COUNTIF(EdgesData[from],NodesData[[#This Row],[id]])+COUNTIF(EdgesData[to],NodesData[[#This Row],[id]])</f>
        <v>0</v>
      </c>
      <c r="I8" s="3">
        <f>IF(NodesData[[#This Row],[Used]]&gt;0,1,0)</f>
        <v>0</v>
      </c>
      <c r="J8" s="18" t="str" cm="1">
        <f t="array" ref="J8">IF(NodesData[[#This Row],[Count]]&gt;1,",","") &amp;"{"&amp;twoRangesToJSON(NodesData[[#Headers],[id]:[main_class]],NodesData[[#This Row],[id]:[main_class]])&amp;"}"</f>
        <v>,{"id":"n1F7F683A_1197_4613_86FB_4CA592148B44","label":"Access Control List (Concept)","url":"https://open-measure.atlassian.net/wiki/spaces/DIC/pages/822345754","main_class":"Concept"}</v>
      </c>
    </row>
    <row r="9" spans="1:10" ht="27" thickTop="1" thickBot="1" x14ac:dyDescent="0.4">
      <c r="A9" s="3" t="str" cm="1">
        <f t="array" ref="A9">"n"&amp;SUBSTITUTE(CreateGuidString(),"-","_")</f>
        <v>nBAEE728E_0CEC_411F_BFE9_A624FA11C9CC</v>
      </c>
      <c r="B9" s="6" t="str">
        <f>NodesData[[#This Row],[name]]&amp;" ("&amp;NodesData[[#This Row],[main_class]]&amp;")"</f>
        <v>Access Control Mechanism (Concept)</v>
      </c>
      <c r="C9" s="17" t="s">
        <v>563</v>
      </c>
      <c r="D9" s="3" t="s">
        <v>1409</v>
      </c>
      <c r="E9" s="10" t="s">
        <v>562</v>
      </c>
      <c r="F9" s="3">
        <f t="shared" si="0"/>
        <v>7</v>
      </c>
      <c r="G9" s="3">
        <f>COUNTIF(NodesData[label],NodesData[[#This Row],[label]])</f>
        <v>1</v>
      </c>
      <c r="H9" s="3">
        <f>COUNTIF(EdgesData[from],NodesData[[#This Row],[id]])+COUNTIF(EdgesData[to],NodesData[[#This Row],[id]])</f>
        <v>0</v>
      </c>
      <c r="I9" s="3">
        <f>IF(NodesData[[#This Row],[Used]]&gt;0,1,0)</f>
        <v>0</v>
      </c>
      <c r="J9" s="18" t="str" cm="1">
        <f t="array" ref="J9">IF(NodesData[[#This Row],[Count]]&gt;1,",","") &amp;"{"&amp;twoRangesToJSON(NodesData[[#Headers],[id]:[main_class]],NodesData[[#This Row],[id]:[main_class]])&amp;"}"</f>
        <v>,{"id":"nBAEE728E_0CEC_411F_BFE9_A624FA11C9CC","label":"Access Control Mechanism (Concept)","url":"https://open-measure.atlassian.net/wiki/spaces/DIC/pages/67633606","main_class":"Concept"}</v>
      </c>
    </row>
    <row r="10" spans="1:10" ht="27" thickTop="1" thickBot="1" x14ac:dyDescent="0.4">
      <c r="A10" s="3" t="str" cm="1">
        <f t="array" ref="A10">"n"&amp;SUBSTITUTE(CreateGuidString(),"-","_")</f>
        <v>n89DD74C2_CE8D_41AD_AC5D_F995CED28ABA</v>
      </c>
      <c r="B10" s="6" t="str">
        <f>NodesData[[#This Row],[name]]&amp;" ("&amp;NodesData[[#This Row],[main_class]]&amp;")"</f>
        <v>Access Control Model (Concept)</v>
      </c>
      <c r="C10" s="17" t="s">
        <v>565</v>
      </c>
      <c r="D10" s="3" t="s">
        <v>1409</v>
      </c>
      <c r="E10" s="10" t="s">
        <v>564</v>
      </c>
      <c r="F10" s="3">
        <f t="shared" si="0"/>
        <v>8</v>
      </c>
      <c r="G10" s="3">
        <f>COUNTIF(NodesData[label],NodesData[[#This Row],[label]])</f>
        <v>1</v>
      </c>
      <c r="H10" s="3">
        <f>COUNTIF(EdgesData[from],NodesData[[#This Row],[id]])+COUNTIF(EdgesData[to],NodesData[[#This Row],[id]])</f>
        <v>0</v>
      </c>
      <c r="I10" s="3">
        <f>IF(NodesData[[#This Row],[Used]]&gt;0,1,0)</f>
        <v>0</v>
      </c>
      <c r="J10" s="18" t="str" cm="1">
        <f t="array" ref="J10">IF(NodesData[[#This Row],[Count]]&gt;1,",","") &amp;"{"&amp;twoRangesToJSON(NodesData[[#Headers],[id]:[main_class]],NodesData[[#This Row],[id]:[main_class]])&amp;"}"</f>
        <v>,{"id":"n89DD74C2_CE8D_41AD_AC5D_F995CED28ABA","label":"Access Control Model (Concept)","url":"https://open-measure.atlassian.net/wiki/spaces/DIC/pages/67699193","main_class":"Concept"}</v>
      </c>
    </row>
    <row r="11" spans="1:10" ht="27" thickTop="1" thickBot="1" x14ac:dyDescent="0.4">
      <c r="A11" s="3" t="str" cm="1">
        <f t="array" ref="A11">"n"&amp;SUBSTITUTE(CreateGuidString(),"-","_")</f>
        <v>nE3B287CA_3656_4FE0_8F4C_5B6BB4B369DD</v>
      </c>
      <c r="B11" s="6" t="str">
        <f>NodesData[[#This Row],[name]]&amp;" ("&amp;NodesData[[#This Row],[main_class]]&amp;")"</f>
        <v>Access Control Policy (Concept)</v>
      </c>
      <c r="C11" s="17" t="s">
        <v>567</v>
      </c>
      <c r="D11" s="3" t="s">
        <v>1409</v>
      </c>
      <c r="E11" s="10" t="s">
        <v>566</v>
      </c>
      <c r="F11" s="3">
        <f t="shared" si="0"/>
        <v>9</v>
      </c>
      <c r="G11" s="3">
        <f>COUNTIF(NodesData[label],NodesData[[#This Row],[label]])</f>
        <v>1</v>
      </c>
      <c r="H11" s="3">
        <f>COUNTIF(EdgesData[from],NodesData[[#This Row],[id]])+COUNTIF(EdgesData[to],NodesData[[#This Row],[id]])</f>
        <v>0</v>
      </c>
      <c r="I11" s="3">
        <f>IF(NodesData[[#This Row],[Used]]&gt;0,1,0)</f>
        <v>0</v>
      </c>
      <c r="J11" s="18" t="str" cm="1">
        <f t="array" ref="J11">IF(NodesData[[#This Row],[Count]]&gt;1,",","") &amp;"{"&amp;twoRangesToJSON(NodesData[[#Headers],[id]:[main_class]],NodesData[[#This Row],[id]:[main_class]])&amp;"}"</f>
        <v>,{"id":"nE3B287CA_3656_4FE0_8F4C_5B6BB4B369DD","label":"Access Control Policy (Concept)","url":"https://open-measure.atlassian.net/wiki/spaces/DIC/pages/67633597","main_class":"Concept"}</v>
      </c>
    </row>
    <row r="12" spans="1:10" ht="27" thickTop="1" thickBot="1" x14ac:dyDescent="0.4">
      <c r="A12" s="3" t="str" cm="1">
        <f t="array" ref="A12">"n"&amp;SUBSTITUTE(CreateGuidString(),"-","_")</f>
        <v>n630261BC_03D6_4570_B7F8_B022E5D3D4DB</v>
      </c>
      <c r="B12" s="6" t="str">
        <f>NodesData[[#This Row],[name]]&amp;" ("&amp;NodesData[[#This Row],[main_class]]&amp;")"</f>
        <v>Access Granularity (Concept)</v>
      </c>
      <c r="C12" s="17" t="s">
        <v>568</v>
      </c>
      <c r="D12" s="3" t="s">
        <v>1409</v>
      </c>
      <c r="E12" s="10" t="s">
        <v>1</v>
      </c>
      <c r="F12" s="3">
        <f t="shared" si="0"/>
        <v>10</v>
      </c>
      <c r="G12" s="3">
        <f>COUNTIF(NodesData[label],NodesData[[#This Row],[label]])</f>
        <v>1</v>
      </c>
      <c r="H12" s="3">
        <f>COUNTIF(EdgesData[from],NodesData[[#This Row],[id]])+COUNTIF(EdgesData[to],NodesData[[#This Row],[id]])</f>
        <v>0</v>
      </c>
      <c r="I12" s="3">
        <f>IF(NodesData[[#This Row],[Used]]&gt;0,1,0)</f>
        <v>0</v>
      </c>
      <c r="J12" s="18" t="str" cm="1">
        <f t="array" ref="J12">IF(NodesData[[#This Row],[Count]]&gt;1,",","") &amp;"{"&amp;twoRangesToJSON(NodesData[[#Headers],[id]:[main_class]],NodesData[[#This Row],[id]:[main_class]])&amp;"}"</f>
        <v>,{"id":"n630261BC_03D6_4570_B7F8_B022E5D3D4DB","label":"Access Granularity (Concept)","url":"https://open-measure.atlassian.net/wiki/spaces/DIC/pages/1006632974","main_class":"Concept"}</v>
      </c>
    </row>
    <row r="13" spans="1:10" ht="27" thickTop="1" thickBot="1" x14ac:dyDescent="0.4">
      <c r="A13" s="3" t="str" cm="1">
        <f t="array" ref="A13">"n"&amp;SUBSTITUTE(CreateGuidString(),"-","_")</f>
        <v>n4D4153E4_7D4F_4E99_A0C5_C38CA45DAC19</v>
      </c>
      <c r="B13" s="6" t="str">
        <f>NodesData[[#This Row],[name]]&amp;" ("&amp;NodesData[[#This Row],[main_class]]&amp;")"</f>
        <v>Access Privilege (Concept)</v>
      </c>
      <c r="C13" s="17" t="s">
        <v>570</v>
      </c>
      <c r="D13" s="3" t="s">
        <v>1409</v>
      </c>
      <c r="E13" s="10" t="s">
        <v>569</v>
      </c>
      <c r="F13" s="3">
        <f t="shared" si="0"/>
        <v>11</v>
      </c>
      <c r="G13" s="3">
        <f>COUNTIF(NodesData[label],NodesData[[#This Row],[label]])</f>
        <v>1</v>
      </c>
      <c r="H13" s="3">
        <f>COUNTIF(EdgesData[from],NodesData[[#This Row],[id]])+COUNTIF(EdgesData[to],NodesData[[#This Row],[id]])</f>
        <v>0</v>
      </c>
      <c r="I13" s="3">
        <f>IF(NodesData[[#This Row],[Used]]&gt;0,1,0)</f>
        <v>0</v>
      </c>
      <c r="J13" s="18" t="str" cm="1">
        <f t="array" ref="J13">IF(NodesData[[#This Row],[Count]]&gt;1,",","") &amp;"{"&amp;twoRangesToJSON(NodesData[[#Headers],[id]:[main_class]],NodesData[[#This Row],[id]:[main_class]])&amp;"}"</f>
        <v>,{"id":"n4D4153E4_7D4F_4E99_A0C5_C38CA45DAC19","label":"Access Privilege (Concept)","url":"https://open-measure.atlassian.net/wiki/spaces/DIC/pages/1122631723","main_class":"Concept"}</v>
      </c>
    </row>
    <row r="14" spans="1:10" ht="27" thickTop="1" thickBot="1" x14ac:dyDescent="0.4">
      <c r="A14" s="3" t="str" cm="1">
        <f t="array" ref="A14">"n"&amp;SUBSTITUTE(CreateGuidString(),"-","_")</f>
        <v>nE2E8E7D7_234C_44E9_9B19_32743BF4EFA0</v>
      </c>
      <c r="B14" s="6" t="str">
        <f>NodesData[[#This Row],[name]]&amp;" ("&amp;NodesData[[#This Row],[main_class]]&amp;")"</f>
        <v>Access Right (Concept)</v>
      </c>
      <c r="C14" s="17" t="s">
        <v>572</v>
      </c>
      <c r="D14" s="3" t="s">
        <v>1409</v>
      </c>
      <c r="E14" s="10" t="s">
        <v>571</v>
      </c>
      <c r="F14" s="3">
        <f t="shared" si="0"/>
        <v>12</v>
      </c>
      <c r="G14" s="3">
        <f>COUNTIF(NodesData[label],NodesData[[#This Row],[label]])</f>
        <v>1</v>
      </c>
      <c r="H14" s="3">
        <f>COUNTIF(EdgesData[from],NodesData[[#This Row],[id]])+COUNTIF(EdgesData[to],NodesData[[#This Row],[id]])</f>
        <v>0</v>
      </c>
      <c r="I14" s="3">
        <f>IF(NodesData[[#This Row],[Used]]&gt;0,1,0)</f>
        <v>0</v>
      </c>
      <c r="J14" s="18" t="str" cm="1">
        <f t="array" ref="J14">IF(NodesData[[#This Row],[Count]]&gt;1,",","") &amp;"{"&amp;twoRangesToJSON(NodesData[[#Headers],[id]:[main_class]],NodesData[[#This Row],[id]:[main_class]])&amp;"}"</f>
        <v>,{"id":"nE2E8E7D7_234C_44E9_9B19_32743BF4EFA0","label":"Access Right (Concept)","url":"https://open-measure.atlassian.net/wiki/spaces/DIC/pages/1122599013","main_class":"Concept"}</v>
      </c>
    </row>
    <row r="15" spans="1:10" ht="27" thickTop="1" thickBot="1" x14ac:dyDescent="0.4">
      <c r="A15" s="3" t="str" cm="1">
        <f t="array" ref="A15">"n"&amp;SUBSTITUTE(CreateGuidString(),"-","_")</f>
        <v>nE55D1924_1A07_4CE6_A79D_C8B92B5CC3FD</v>
      </c>
      <c r="B15" s="6" t="str">
        <f>NodesData[[#This Row],[name]]&amp;" ("&amp;NodesData[[#This Row],[main_class]]&amp;")"</f>
        <v>Access Rights Management (Concept)</v>
      </c>
      <c r="C15" s="17" t="s">
        <v>574</v>
      </c>
      <c r="D15" s="3" t="s">
        <v>1409</v>
      </c>
      <c r="E15" s="10" t="s">
        <v>573</v>
      </c>
      <c r="F15" s="3">
        <f t="shared" si="0"/>
        <v>13</v>
      </c>
      <c r="G15" s="3">
        <f>COUNTIF(NodesData[label],NodesData[[#This Row],[label]])</f>
        <v>1</v>
      </c>
      <c r="H15" s="3">
        <f>COUNTIF(EdgesData[from],NodesData[[#This Row],[id]])+COUNTIF(EdgesData[to],NodesData[[#This Row],[id]])</f>
        <v>0</v>
      </c>
      <c r="I15" s="3">
        <f>IF(NodesData[[#This Row],[Used]]&gt;0,1,0)</f>
        <v>0</v>
      </c>
      <c r="J15" s="18" t="str" cm="1">
        <f t="array" ref="J15">IF(NodesData[[#This Row],[Count]]&gt;1,",","") &amp;"{"&amp;twoRangesToJSON(NodesData[[#Headers],[id]:[main_class]],NodesData[[#This Row],[id]:[main_class]])&amp;"}"</f>
        <v>,{"id":"nE55D1924_1A07_4CE6_A79D_C8B92B5CC3FD","label":"Access Rights Management (Concept)","url":"https://open-measure.atlassian.net/wiki/spaces/DIC/pages/1704003","main_class":"Concept"}</v>
      </c>
    </row>
    <row r="16" spans="1:10" ht="27" thickTop="1" thickBot="1" x14ac:dyDescent="0.4">
      <c r="A16" s="3" t="str" cm="1">
        <f t="array" ref="A16">"n"&amp;SUBSTITUTE(CreateGuidString(),"-","_")</f>
        <v>n31446E8D_4B27_46CF_81E5_D578BF6B1006</v>
      </c>
      <c r="B16" s="6" t="str">
        <f>NodesData[[#This Row],[name]]&amp;" ("&amp;NodesData[[#This Row],[main_class]]&amp;")"</f>
        <v>Access Token (Concept)</v>
      </c>
      <c r="C16" s="17" t="s">
        <v>575</v>
      </c>
      <c r="D16" s="3" t="s">
        <v>1409</v>
      </c>
      <c r="E16" s="10" t="s">
        <v>49</v>
      </c>
      <c r="F16" s="3">
        <f t="shared" si="0"/>
        <v>14</v>
      </c>
      <c r="G16" s="3">
        <f>COUNTIF(NodesData[label],NodesData[[#This Row],[label]])</f>
        <v>1</v>
      </c>
      <c r="H16" s="3">
        <f>COUNTIF(EdgesData[from],NodesData[[#This Row],[id]])+COUNTIF(EdgesData[to],NodesData[[#This Row],[id]])</f>
        <v>0</v>
      </c>
      <c r="I16" s="3">
        <f>IF(NodesData[[#This Row],[Used]]&gt;0,1,0)</f>
        <v>0</v>
      </c>
      <c r="J16" s="18" t="str" cm="1">
        <f t="array" ref="J16">IF(NodesData[[#This Row],[Count]]&gt;1,",","") &amp;"{"&amp;twoRangesToJSON(NodesData[[#Headers],[id]:[main_class]],NodesData[[#This Row],[id]:[main_class]])&amp;"}"</f>
        <v>,{"id":"n31446E8D_4B27_46CF_81E5_D578BF6B1006","label":"Access Token (Concept)","url":"https://open-measure.atlassian.net/wiki/spaces/DIC/pages/1600684040/Access+Token","main_class":"Concept"}</v>
      </c>
    </row>
    <row r="17" spans="1:10" ht="27" thickTop="1" thickBot="1" x14ac:dyDescent="0.4">
      <c r="A17" s="3" t="str" cm="1">
        <f t="array" ref="A17">"n"&amp;SUBSTITUTE(CreateGuidString(),"-","_")</f>
        <v>n9F864401_DCAE_4C58_9550_86C64D3EEFB1</v>
      </c>
      <c r="B17" s="6" t="str">
        <f>NodesData[[#This Row],[name]]&amp;" ("&amp;NodesData[[#This Row],[main_class]]&amp;")"</f>
        <v>Account (Concept)</v>
      </c>
      <c r="C17" s="17" t="s">
        <v>576</v>
      </c>
      <c r="D17" s="3" t="s">
        <v>1409</v>
      </c>
      <c r="E17" s="10" t="s">
        <v>50</v>
      </c>
      <c r="F17" s="3">
        <f t="shared" si="0"/>
        <v>15</v>
      </c>
      <c r="G17" s="3">
        <f>COUNTIF(NodesData[label],NodesData[[#This Row],[label]])</f>
        <v>1</v>
      </c>
      <c r="H17" s="3">
        <f>COUNTIF(EdgesData[from],NodesData[[#This Row],[id]])+COUNTIF(EdgesData[to],NodesData[[#This Row],[id]])</f>
        <v>0</v>
      </c>
      <c r="I17" s="3">
        <f>IF(NodesData[[#This Row],[Used]]&gt;0,1,0)</f>
        <v>0</v>
      </c>
      <c r="J17" s="18" t="str" cm="1">
        <f t="array" ref="J17">IF(NodesData[[#This Row],[Count]]&gt;1,",","") &amp;"{"&amp;twoRangesToJSON(NodesData[[#Headers],[id]:[main_class]],NodesData[[#This Row],[id]:[main_class]])&amp;"}"</f>
        <v>,{"id":"n9F864401_DCAE_4C58_9550_86C64D3EEFB1","label":"Account (Concept)","url":"https://open-measure.atlassian.net/wiki/spaces/DIC/pages/461308120/Account","main_class":"Concept"}</v>
      </c>
    </row>
    <row r="18" spans="1:10" ht="27" thickTop="1" thickBot="1" x14ac:dyDescent="0.4">
      <c r="A18" s="3" t="str" cm="1">
        <f t="array" ref="A18">"n"&amp;SUBSTITUTE(CreateGuidString(),"-","_")</f>
        <v>n6896CD2A_5FC4_44C6_B0CE_4BA0C818F15D</v>
      </c>
      <c r="B18" s="6" t="str">
        <f>NodesData[[#This Row],[name]]&amp;" ("&amp;NodesData[[#This Row],[main_class]]&amp;")"</f>
        <v>Account Lockout Policy (Concept)</v>
      </c>
      <c r="C18" s="17" t="s">
        <v>578</v>
      </c>
      <c r="D18" s="3" t="s">
        <v>1409</v>
      </c>
      <c r="E18" s="10" t="s">
        <v>577</v>
      </c>
      <c r="F18" s="3">
        <f t="shared" si="0"/>
        <v>16</v>
      </c>
      <c r="G18" s="3">
        <f>COUNTIF(NodesData[label],NodesData[[#This Row],[label]])</f>
        <v>1</v>
      </c>
      <c r="H18" s="3">
        <f>COUNTIF(EdgesData[from],NodesData[[#This Row],[id]])+COUNTIF(EdgesData[to],NodesData[[#This Row],[id]])</f>
        <v>0</v>
      </c>
      <c r="I18" s="3">
        <f>IF(NodesData[[#This Row],[Used]]&gt;0,1,0)</f>
        <v>0</v>
      </c>
      <c r="J18" s="18" t="str" cm="1">
        <f t="array" ref="J18">IF(NodesData[[#This Row],[Count]]&gt;1,",","") &amp;"{"&amp;twoRangesToJSON(NodesData[[#Headers],[id]:[main_class]],NodesData[[#This Row],[id]:[main_class]])&amp;"}"</f>
        <v>,{"id":"n6896CD2A_5FC4_44C6_B0CE_4BA0C818F15D","label":"Account Lockout Policy (Concept)","url":"https://open-measure.atlassian.net/wiki/spaces/DIC/pages/67699360","main_class":"Concept"}</v>
      </c>
    </row>
    <row r="19" spans="1:10" ht="27" thickTop="1" thickBot="1" x14ac:dyDescent="0.4">
      <c r="A19" s="3" t="str" cm="1">
        <f t="array" ref="A19">"n"&amp;SUBSTITUTE(CreateGuidString(),"-","_")</f>
        <v>n422B725D_3FFE_4B26_A948_E621EE32C379</v>
      </c>
      <c r="B19" s="6" t="str">
        <f>NodesData[[#This Row],[name]]&amp;" ("&amp;NodesData[[#This Row],[main_class]]&amp;")"</f>
        <v>Account Management (Concept)</v>
      </c>
      <c r="C19" s="17" t="s">
        <v>580</v>
      </c>
      <c r="D19" s="3" t="s">
        <v>1409</v>
      </c>
      <c r="E19" s="10" t="s">
        <v>579</v>
      </c>
      <c r="F19" s="3">
        <f t="shared" si="0"/>
        <v>17</v>
      </c>
      <c r="G19" s="3">
        <f>COUNTIF(NodesData[label],NodesData[[#This Row],[label]])</f>
        <v>1</v>
      </c>
      <c r="H19" s="3">
        <f>COUNTIF(EdgesData[from],NodesData[[#This Row],[id]])+COUNTIF(EdgesData[to],NodesData[[#This Row],[id]])</f>
        <v>0</v>
      </c>
      <c r="I19" s="3">
        <f>IF(NodesData[[#This Row],[Used]]&gt;0,1,0)</f>
        <v>0</v>
      </c>
      <c r="J19" s="18" t="str" cm="1">
        <f t="array" ref="J19">IF(NodesData[[#This Row],[Count]]&gt;1,",","") &amp;"{"&amp;twoRangesToJSON(NodesData[[#Headers],[id]:[main_class]],NodesData[[#This Row],[id]:[main_class]])&amp;"}"</f>
        <v>,{"id":"n422B725D_3FFE_4B26_A948_E621EE32C379","label":"Account Management (Concept)","url":"https://open-measure.atlassian.net/wiki/spaces/DIC/pages/1146847331","main_class":"Concept"}</v>
      </c>
    </row>
    <row r="20" spans="1:10" ht="27" thickTop="1" thickBot="1" x14ac:dyDescent="0.4">
      <c r="A20" s="3" t="str" cm="1">
        <f t="array" ref="A20">"n"&amp;SUBSTITUTE(CreateGuidString(),"-","_")</f>
        <v>n4AF4240C_2D79_4177_A210_238143A66C97</v>
      </c>
      <c r="B20" s="6" t="str">
        <f>NodesData[[#This Row],[name]]&amp;" ("&amp;NodesData[[#This Row],[main_class]]&amp;")"</f>
        <v>Account Takeover (Concept)</v>
      </c>
      <c r="C20" s="17" t="s">
        <v>581</v>
      </c>
      <c r="D20" s="3" t="s">
        <v>1409</v>
      </c>
      <c r="E20" s="10" t="s">
        <v>8</v>
      </c>
      <c r="F20" s="3">
        <f t="shared" si="0"/>
        <v>18</v>
      </c>
      <c r="G20" s="3">
        <f>COUNTIF(NodesData[label],NodesData[[#This Row],[label]])</f>
        <v>1</v>
      </c>
      <c r="H20" s="3">
        <f>COUNTIF(EdgesData[from],NodesData[[#This Row],[id]])+COUNTIF(EdgesData[to],NodesData[[#This Row],[id]])</f>
        <v>0</v>
      </c>
      <c r="I20" s="3">
        <f>IF(NodesData[[#This Row],[Used]]&gt;0,1,0)</f>
        <v>0</v>
      </c>
      <c r="J20" s="18" t="str" cm="1">
        <f t="array" ref="J20">IF(NodesData[[#This Row],[Count]]&gt;1,",","") &amp;"{"&amp;twoRangesToJSON(NodesData[[#Headers],[id]:[main_class]],NodesData[[#This Row],[id]:[main_class]])&amp;"}"</f>
        <v>,{"id":"n4AF4240C_2D79_4177_A210_238143A66C97","label":"Account Takeover (Concept)","url":"https://open-measure.atlassian.net/wiki/spaces/DIC/pages/1079050286/Account+Takeover","main_class":"Concept"}</v>
      </c>
    </row>
    <row r="21" spans="1:10" ht="27" thickTop="1" thickBot="1" x14ac:dyDescent="0.4">
      <c r="A21" s="3" t="str" cm="1">
        <f t="array" ref="A21">"n"&amp;SUBSTITUTE(CreateGuidString(),"-","_")</f>
        <v>nBC154665_FFA2_40F5_862B_8A7CCD73F4FD</v>
      </c>
      <c r="B21" s="6" t="str">
        <f>NodesData[[#This Row],[name]]&amp;" ("&amp;NodesData[[#This Row],[main_class]]&amp;")"</f>
        <v>Accountability (Concept)</v>
      </c>
      <c r="C21" s="17" t="s">
        <v>582</v>
      </c>
      <c r="D21" s="3" t="s">
        <v>1409</v>
      </c>
      <c r="E21" s="10" t="s">
        <v>1295</v>
      </c>
      <c r="F21" s="3">
        <f t="shared" si="0"/>
        <v>19</v>
      </c>
      <c r="G21" s="3">
        <f>COUNTIF(NodesData[label],NodesData[[#This Row],[label]])</f>
        <v>1</v>
      </c>
      <c r="H21" s="3">
        <f>COUNTIF(EdgesData[from],NodesData[[#This Row],[id]])+COUNTIF(EdgesData[to],NodesData[[#This Row],[id]])</f>
        <v>0</v>
      </c>
      <c r="I21" s="3">
        <f>IF(NodesData[[#This Row],[Used]]&gt;0,1,0)</f>
        <v>0</v>
      </c>
      <c r="J21" s="18" t="str" cm="1">
        <f t="array" ref="J21">IF(NodesData[[#This Row],[Count]]&gt;1,",","") &amp;"{"&amp;twoRangesToJSON(NodesData[[#Headers],[id]:[main_class]],NodesData[[#This Row],[id]:[main_class]])&amp;"}"</f>
        <v>,{"id":"nBC154665_FFA2_40F5_862B_8A7CCD73F4FD","label":"Accountability (Concept)","url":"https://open-measure.atlassian.net/wiki/spaces/DIC/pages/425623718","main_class":"Concept"}</v>
      </c>
    </row>
    <row r="22" spans="1:10" ht="27" thickTop="1" thickBot="1" x14ac:dyDescent="0.4">
      <c r="A22" s="3" t="str" cm="1">
        <f t="array" ref="A22">"n"&amp;SUBSTITUTE(CreateGuidString(),"-","_")</f>
        <v>n39BB8846_6882_410C_9721_B12F6577146D</v>
      </c>
      <c r="B22" s="6" t="str">
        <f>NodesData[[#This Row],[name]]&amp;" ("&amp;NodesData[[#This Row],[main_class]]&amp;")"</f>
        <v>Accreditation (Concept)</v>
      </c>
      <c r="C22" s="17" t="s">
        <v>584</v>
      </c>
      <c r="D22" s="3" t="s">
        <v>1409</v>
      </c>
      <c r="E22" s="10" t="s">
        <v>583</v>
      </c>
      <c r="F22" s="3">
        <f t="shared" si="0"/>
        <v>20</v>
      </c>
      <c r="G22" s="3">
        <f>COUNTIF(NodesData[label],NodesData[[#This Row],[label]])</f>
        <v>1</v>
      </c>
      <c r="H22" s="3">
        <f>COUNTIF(EdgesData[from],NodesData[[#This Row],[id]])+COUNTIF(EdgesData[to],NodesData[[#This Row],[id]])</f>
        <v>0</v>
      </c>
      <c r="I22" s="3">
        <f>IF(NodesData[[#This Row],[Used]]&gt;0,1,0)</f>
        <v>0</v>
      </c>
      <c r="J22" s="18" t="str" cm="1">
        <f t="array" ref="J22">IF(NodesData[[#This Row],[Count]]&gt;1,",","") &amp;"{"&amp;twoRangesToJSON(NodesData[[#Headers],[id]:[main_class]],NodesData[[#This Row],[id]:[main_class]])&amp;"}"</f>
        <v>,{"id":"n39BB8846_6882_410C_9721_B12F6577146D","label":"Accreditation (Concept)","url":"https://open-measure.atlassian.net/wiki/spaces/DIC/pages/446955580","main_class":"Concept"}</v>
      </c>
    </row>
    <row r="23" spans="1:10" ht="27" thickTop="1" thickBot="1" x14ac:dyDescent="0.4">
      <c r="A23" s="3" t="str" cm="1">
        <f t="array" ref="A23">"n"&amp;SUBSTITUTE(CreateGuidString(),"-","_")</f>
        <v>nAD150BCF_9478_4C58_930F_D9D51B879C63</v>
      </c>
      <c r="B23" s="6" t="str">
        <f>NodesData[[#This Row],[name]]&amp;" ("&amp;NodesData[[#This Row],[main_class]]&amp;")"</f>
        <v>Active Impersonation Attack (Concept)</v>
      </c>
      <c r="C23" s="17" t="s">
        <v>586</v>
      </c>
      <c r="D23" s="3" t="s">
        <v>1409</v>
      </c>
      <c r="E23" s="10" t="s">
        <v>585</v>
      </c>
      <c r="F23" s="3">
        <f t="shared" si="0"/>
        <v>21</v>
      </c>
      <c r="G23" s="3">
        <f>COUNTIF(NodesData[label],NodesData[[#This Row],[label]])</f>
        <v>1</v>
      </c>
      <c r="H23" s="3">
        <f>COUNTIF(EdgesData[from],NodesData[[#This Row],[id]])+COUNTIF(EdgesData[to],NodesData[[#This Row],[id]])</f>
        <v>0</v>
      </c>
      <c r="I23" s="3">
        <f>IF(NodesData[[#This Row],[Used]]&gt;0,1,0)</f>
        <v>0</v>
      </c>
      <c r="J23" s="18" t="str" cm="1">
        <f t="array" ref="J23">IF(NodesData[[#This Row],[Count]]&gt;1,",","") &amp;"{"&amp;twoRangesToJSON(NodesData[[#Headers],[id]:[main_class]],NodesData[[#This Row],[id]:[main_class]])&amp;"}"</f>
        <v>,{"id":"nAD150BCF_9478_4C58_930F_D9D51B879C63","label":"Active Impersonation Attack (Concept)","url":"https://open-measure.atlassian.net/wiki/spaces/DIC/pages/974454812","main_class":"Concept"}</v>
      </c>
    </row>
    <row r="24" spans="1:10" ht="27" thickTop="1" thickBot="1" x14ac:dyDescent="0.4">
      <c r="A24" s="3" t="str" cm="1">
        <f t="array" ref="A24">"n"&amp;SUBSTITUTE(CreateGuidString(),"-","_")</f>
        <v>nD2E5BD59_22C9_4B8A_85BE_93B54F8BF76F</v>
      </c>
      <c r="B24" s="6" t="str">
        <f>NodesData[[#This Row],[name]]&amp;" ("&amp;NodesData[[#This Row],[main_class]]&amp;")"</f>
        <v>AP (Acronym)</v>
      </c>
      <c r="C24" s="17" t="s">
        <v>587</v>
      </c>
      <c r="D24" s="3" t="s">
        <v>1301</v>
      </c>
      <c r="E24" s="10" t="s">
        <v>59</v>
      </c>
      <c r="F24" s="3">
        <f t="shared" si="0"/>
        <v>22</v>
      </c>
      <c r="G24" s="3">
        <f>COUNTIF(NodesData[label],NodesData[[#This Row],[label]])</f>
        <v>1</v>
      </c>
      <c r="H24" s="3">
        <f>COUNTIF(EdgesData[from],NodesData[[#This Row],[id]])+COUNTIF(EdgesData[to],NodesData[[#This Row],[id]])</f>
        <v>0</v>
      </c>
      <c r="I24" s="3">
        <f>IF(NodesData[[#This Row],[Used]]&gt;0,1,0)</f>
        <v>0</v>
      </c>
      <c r="J24" s="18" t="str" cm="1">
        <f t="array" ref="J24">IF(NodesData[[#This Row],[Count]]&gt;1,",","") &amp;"{"&amp;twoRangesToJSON(NodesData[[#Headers],[id]:[main_class]],NodesData[[#This Row],[id]:[main_class]])&amp;"}"</f>
        <v>,{"id":"nD2E5BD59_22C9_4B8A_85BE_93B54F8BF76F","label":"AP (Acronym)","url":"https://open-measure.atlassian.net/wiki/spaces/DIC/pages/81101665/AP","main_class":"Acronym"}</v>
      </c>
    </row>
    <row r="25" spans="1:10" ht="27" thickTop="1" thickBot="1" x14ac:dyDescent="0.4">
      <c r="A25" s="3" t="str" cm="1">
        <f t="array" ref="A25">"n"&amp;SUBSTITUTE(CreateGuidString(),"-","_")</f>
        <v>n42809DC5_26D0_4BF7_8C47_6D52793F4C94</v>
      </c>
      <c r="B25" s="6" t="str">
        <f>NodesData[[#This Row],[name]]&amp;" ("&amp;NodesData[[#This Row],[main_class]]&amp;")"</f>
        <v>Applicant (Concept)</v>
      </c>
      <c r="C25" s="17" t="s">
        <v>589</v>
      </c>
      <c r="D25" s="3" t="s">
        <v>1409</v>
      </c>
      <c r="E25" s="10" t="s">
        <v>588</v>
      </c>
      <c r="F25" s="3">
        <f t="shared" si="0"/>
        <v>23</v>
      </c>
      <c r="G25" s="3">
        <f>COUNTIF(NodesData[label],NodesData[[#This Row],[label]])</f>
        <v>1</v>
      </c>
      <c r="H25" s="3">
        <f>COUNTIF(EdgesData[from],NodesData[[#This Row],[id]])+COUNTIF(EdgesData[to],NodesData[[#This Row],[id]])</f>
        <v>0</v>
      </c>
      <c r="I25" s="3">
        <f>IF(NodesData[[#This Row],[Used]]&gt;0,1,0)</f>
        <v>0</v>
      </c>
      <c r="J25" s="18" t="str" cm="1">
        <f t="array" ref="J25">IF(NodesData[[#This Row],[Count]]&gt;1,",","") &amp;"{"&amp;twoRangesToJSON(NodesData[[#Headers],[id]:[main_class]],NodesData[[#This Row],[id]:[main_class]])&amp;"}"</f>
        <v>,{"id":"n42809DC5_26D0_4BF7_8C47_6D52793F4C94","label":"Applicant (Concept)","url":"https://open-measure.atlassian.net/wiki/spaces/DIC/pages/848625750","main_class":"Concept"}</v>
      </c>
    </row>
    <row r="26" spans="1:10" ht="27" thickTop="1" thickBot="1" x14ac:dyDescent="0.4">
      <c r="A26" s="3" t="str" cm="1">
        <f t="array" ref="A26">"n"&amp;SUBSTITUTE(CreateGuidString(),"-","_")</f>
        <v>n91CAEF65_3F6B_41F2_A8E7_A9B05DCC8099</v>
      </c>
      <c r="B26" s="6" t="str">
        <f>NodesData[[#This Row],[name]]&amp;" ("&amp;NodesData[[#This Row],[main_class]]&amp;")"</f>
        <v>Application (Concept)</v>
      </c>
      <c r="C26" s="17" t="s">
        <v>590</v>
      </c>
      <c r="D26" s="3" t="s">
        <v>1409</v>
      </c>
      <c r="E26" s="10" t="s">
        <v>61</v>
      </c>
      <c r="F26" s="3">
        <f t="shared" si="0"/>
        <v>24</v>
      </c>
      <c r="G26" s="3">
        <f>COUNTIF(NodesData[label],NodesData[[#This Row],[label]])</f>
        <v>1</v>
      </c>
      <c r="H26" s="3">
        <f>COUNTIF(EdgesData[from],NodesData[[#This Row],[id]])+COUNTIF(EdgesData[to],NodesData[[#This Row],[id]])</f>
        <v>0</v>
      </c>
      <c r="I26" s="3">
        <f>IF(NodesData[[#This Row],[Used]]&gt;0,1,0)</f>
        <v>0</v>
      </c>
      <c r="J26" s="18" t="str" cm="1">
        <f t="array" ref="J26">IF(NodesData[[#This Row],[Count]]&gt;1,",","") &amp;"{"&amp;twoRangesToJSON(NodesData[[#Headers],[id]:[main_class]],NodesData[[#This Row],[id]:[main_class]])&amp;"}"</f>
        <v>,{"id":"n91CAEF65_3F6B_41F2_A8E7_A9B05DCC8099","label":"Application (Concept)","url":"https://open-measure.atlassian.net/wiki/spaces/DIC/pages/5965602/Application","main_class":"Concept"}</v>
      </c>
    </row>
    <row r="27" spans="1:10" ht="27" thickTop="1" thickBot="1" x14ac:dyDescent="0.4">
      <c r="A27" s="3" t="str" cm="1">
        <f t="array" ref="A27">"n"&amp;SUBSTITUTE(CreateGuidString(),"-","_")</f>
        <v>n124EED3A_21B2_4FFD_B33A_5AE1A6BBE15F</v>
      </c>
      <c r="B27" s="6" t="str">
        <f>NodesData[[#This Row],[name]]&amp;" ("&amp;NodesData[[#This Row],[main_class]]&amp;")"</f>
        <v>Application Administrator (Concept)</v>
      </c>
      <c r="C27" s="17" t="s">
        <v>592</v>
      </c>
      <c r="D27" s="3" t="s">
        <v>1409</v>
      </c>
      <c r="E27" s="10" t="s">
        <v>591</v>
      </c>
      <c r="F27" s="3">
        <f t="shared" si="0"/>
        <v>25</v>
      </c>
      <c r="G27" s="3">
        <f>COUNTIF(NodesData[label],NodesData[[#This Row],[label]])</f>
        <v>1</v>
      </c>
      <c r="H27" s="3">
        <f>COUNTIF(EdgesData[from],NodesData[[#This Row],[id]])+COUNTIF(EdgesData[to],NodesData[[#This Row],[id]])</f>
        <v>0</v>
      </c>
      <c r="I27" s="3">
        <f>IF(NodesData[[#This Row],[Used]]&gt;0,1,0)</f>
        <v>0</v>
      </c>
      <c r="J27" s="18" t="str" cm="1">
        <f t="array" ref="J27">IF(NodesData[[#This Row],[Count]]&gt;1,",","") &amp;"{"&amp;twoRangesToJSON(NodesData[[#Headers],[id]:[main_class]],NodesData[[#This Row],[id]:[main_class]])&amp;"}"</f>
        <v>,{"id":"n124EED3A_21B2_4FFD_B33A_5AE1A6BBE15F","label":"Application Administrator (Concept)","url":"https://open-measure.atlassian.net/wiki/spaces/DIC/pages/274236090","main_class":"Concept"}</v>
      </c>
    </row>
    <row r="28" spans="1:10" ht="27" thickTop="1" thickBot="1" x14ac:dyDescent="0.4">
      <c r="A28" s="3" t="str" cm="1">
        <f t="array" ref="A28">"n"&amp;SUBSTITUTE(CreateGuidString(),"-","_")</f>
        <v>n928F5465_386B_4175_AEBC_292BB811DEDB</v>
      </c>
      <c r="B28" s="6" t="str">
        <f>NodesData[[#This Row],[name]]&amp;" ("&amp;NodesData[[#This Row],[main_class]]&amp;")"</f>
        <v>Application Instance (Concept)</v>
      </c>
      <c r="C28" s="17" t="s">
        <v>594</v>
      </c>
      <c r="D28" s="3" t="s">
        <v>1409</v>
      </c>
      <c r="E28" s="10" t="s">
        <v>593</v>
      </c>
      <c r="F28" s="3">
        <f t="shared" si="0"/>
        <v>26</v>
      </c>
      <c r="G28" s="3">
        <f>COUNTIF(NodesData[label],NodesData[[#This Row],[label]])</f>
        <v>1</v>
      </c>
      <c r="H28" s="3">
        <f>COUNTIF(EdgesData[from],NodesData[[#This Row],[id]])+COUNTIF(EdgesData[to],NodesData[[#This Row],[id]])</f>
        <v>0</v>
      </c>
      <c r="I28" s="3">
        <f>IF(NodesData[[#This Row],[Used]]&gt;0,1,0)</f>
        <v>0</v>
      </c>
      <c r="J28" s="18" t="str" cm="1">
        <f t="array" ref="J28">IF(NodesData[[#This Row],[Count]]&gt;1,",","") &amp;"{"&amp;twoRangesToJSON(NodesData[[#Headers],[id]:[main_class]],NodesData[[#This Row],[id]:[main_class]])&amp;"}"</f>
        <v>,{"id":"n928F5465_386B_4175_AEBC_292BB811DEDB","label":"Application Instance (Concept)","url":"https://open-measure.atlassian.net/wiki/spaces/DIC/pages/834044036","main_class":"Concept"}</v>
      </c>
    </row>
    <row r="29" spans="1:10" ht="27" thickTop="1" thickBot="1" x14ac:dyDescent="0.4">
      <c r="A29" s="3" t="str" cm="1">
        <f t="array" ref="A29">"n"&amp;SUBSTITUTE(CreateGuidString(),"-","_")</f>
        <v>n9EC4B05F_5DB5_4435_9D79_6C521C4021A4</v>
      </c>
      <c r="B29" s="6" t="str">
        <f>NodesData[[#This Row],[name]]&amp;" ("&amp;NodesData[[#This Row],[main_class]]&amp;")"</f>
        <v>Application-Level Policy (Concept)</v>
      </c>
      <c r="C29" s="17" t="s">
        <v>600</v>
      </c>
      <c r="D29" s="3" t="s">
        <v>1409</v>
      </c>
      <c r="E29" s="10" t="s">
        <v>599</v>
      </c>
      <c r="F29" s="3">
        <f t="shared" si="0"/>
        <v>27</v>
      </c>
      <c r="G29" s="3">
        <f>COUNTIF(NodesData[label],NodesData[[#This Row],[label]])</f>
        <v>1</v>
      </c>
      <c r="H29" s="3">
        <f>COUNTIF(EdgesData[from],NodesData[[#This Row],[id]])+COUNTIF(EdgesData[to],NodesData[[#This Row],[id]])</f>
        <v>0</v>
      </c>
      <c r="I29" s="3">
        <f>IF(NodesData[[#This Row],[Used]]&gt;0,1,0)</f>
        <v>0</v>
      </c>
      <c r="J29" s="18" t="str" cm="1">
        <f t="array" ref="J29">IF(NodesData[[#This Row],[Count]]&gt;1,",","") &amp;"{"&amp;twoRangesToJSON(NodesData[[#Headers],[id]:[main_class]],NodesData[[#This Row],[id]:[main_class]])&amp;"}"</f>
        <v>,{"id":"n9EC4B05F_5DB5_4435_9D79_6C521C4021A4","label":"Application-Level Policy (Concept)","url":"https://open-measure.atlassian.net/wiki/spaces/DIC/pages/1122631854","main_class":"Concept"}</v>
      </c>
    </row>
    <row r="30" spans="1:10" ht="27" thickTop="1" thickBot="1" x14ac:dyDescent="0.4">
      <c r="A30" s="3" t="str" cm="1">
        <f t="array" ref="A30">"n"&amp;SUBSTITUTE(CreateGuidString(),"-","_")</f>
        <v>n720088E1_400F_41E1_AFDD_EC67A0E87766</v>
      </c>
      <c r="B30" s="6" t="str">
        <f>NodesData[[#This Row],[name]]&amp;" ("&amp;NodesData[[#This Row],[main_class]]&amp;")"</f>
        <v>Application Multiplexing (Concept)</v>
      </c>
      <c r="C30" s="17" t="s">
        <v>595</v>
      </c>
      <c r="D30" s="3" t="s">
        <v>1409</v>
      </c>
      <c r="E30" s="10" t="s">
        <v>65</v>
      </c>
      <c r="F30" s="3">
        <f t="shared" si="0"/>
        <v>28</v>
      </c>
      <c r="G30" s="3">
        <f>COUNTIF(NodesData[label],NodesData[[#This Row],[label]])</f>
        <v>1</v>
      </c>
      <c r="H30" s="3">
        <f>COUNTIF(EdgesData[from],NodesData[[#This Row],[id]])+COUNTIF(EdgesData[to],NodesData[[#This Row],[id]])</f>
        <v>0</v>
      </c>
      <c r="I30" s="3">
        <f>IF(NodesData[[#This Row],[Used]]&gt;0,1,0)</f>
        <v>0</v>
      </c>
      <c r="J30" s="18" t="str" cm="1">
        <f t="array" ref="J30">IF(NodesData[[#This Row],[Count]]&gt;1,",","") &amp;"{"&amp;twoRangesToJSON(NodesData[[#Headers],[id]:[main_class]],NodesData[[#This Row],[id]:[main_class]])&amp;"}"</f>
        <v>,{"id":"n720088E1_400F_41E1_AFDD_EC67A0E87766","label":"Application Multiplexing (Concept)","url":"https://open-measure.atlassian.net/wiki/spaces/DIC/pages/1658355721/Application+Multiplexing","main_class":"Concept"}</v>
      </c>
    </row>
    <row r="31" spans="1:10" ht="27" thickTop="1" thickBot="1" x14ac:dyDescent="0.4">
      <c r="A31" s="3" t="str" cm="1">
        <f t="array" ref="A31">"n"&amp;SUBSTITUTE(CreateGuidString(),"-","_")</f>
        <v>nE58D1A8F_8D35_4273_9600_A27A679F7056</v>
      </c>
      <c r="B31" s="6" t="str">
        <f>NodesData[[#This Row],[name]]&amp;" ("&amp;NodesData[[#This Row],[main_class]]&amp;")"</f>
        <v>Application Package (Concept)</v>
      </c>
      <c r="C31" s="17" t="s">
        <v>597</v>
      </c>
      <c r="D31" s="3" t="s">
        <v>1409</v>
      </c>
      <c r="E31" s="10" t="s">
        <v>596</v>
      </c>
      <c r="F31" s="3">
        <f t="shared" si="0"/>
        <v>29</v>
      </c>
      <c r="G31" s="3">
        <f>COUNTIF(NodesData[label],NodesData[[#This Row],[label]])</f>
        <v>1</v>
      </c>
      <c r="H31" s="3">
        <f>COUNTIF(EdgesData[from],NodesData[[#This Row],[id]])+COUNTIF(EdgesData[to],NodesData[[#This Row],[id]])</f>
        <v>0</v>
      </c>
      <c r="I31" s="3">
        <f>IF(NodesData[[#This Row],[Used]]&gt;0,1,0)</f>
        <v>0</v>
      </c>
      <c r="J31" s="18" t="str" cm="1">
        <f t="array" ref="J31">IF(NodesData[[#This Row],[Count]]&gt;1,",","") &amp;"{"&amp;twoRangesToJSON(NodesData[[#Headers],[id]:[main_class]],NodesData[[#This Row],[id]:[main_class]])&amp;"}"</f>
        <v>,{"id":"nE58D1A8F_8D35_4273_9600_A27A679F7056","label":"Application Package (Concept)","url":"https://open-measure.atlassian.net/wiki/spaces/DIC/pages/5932704","main_class":"Concept"}</v>
      </c>
    </row>
    <row r="32" spans="1:10" ht="27" thickTop="1" thickBot="1" x14ac:dyDescent="0.4">
      <c r="A32" s="3" t="str" cm="1">
        <f t="array" ref="A32">"n"&amp;SUBSTITUTE(CreateGuidString(),"-","_")</f>
        <v>n1C3E9A2A_FF1E_4EDF_A63A_3E2C2D9F82BA</v>
      </c>
      <c r="B32" s="6" t="str">
        <f>NodesData[[#This Row],[name]]&amp;" ("&amp;NodesData[[#This Row],[main_class]]&amp;")"</f>
        <v>Application Program (Concept)</v>
      </c>
      <c r="C32" s="17" t="s">
        <v>598</v>
      </c>
      <c r="D32" s="3" t="s">
        <v>1409</v>
      </c>
      <c r="E32" s="10" t="s">
        <v>67</v>
      </c>
      <c r="F32" s="3">
        <f t="shared" si="0"/>
        <v>30</v>
      </c>
      <c r="G32" s="3">
        <f>COUNTIF(NodesData[label],NodesData[[#This Row],[label]])</f>
        <v>1</v>
      </c>
      <c r="H32" s="3">
        <f>COUNTIF(EdgesData[from],NodesData[[#This Row],[id]])+COUNTIF(EdgesData[to],NodesData[[#This Row],[id]])</f>
        <v>0</v>
      </c>
      <c r="I32" s="3">
        <f>IF(NodesData[[#This Row],[Used]]&gt;0,1,0)</f>
        <v>0</v>
      </c>
      <c r="J32" s="18" t="str" cm="1">
        <f t="array" ref="J32">IF(NodesData[[#This Row],[Count]]&gt;1,",","") &amp;"{"&amp;twoRangesToJSON(NodesData[[#Headers],[id]:[main_class]],NodesData[[#This Row],[id]:[main_class]])&amp;"}"</f>
        <v>,{"id":"n1C3E9A2A_FF1E_4EDF_A63A_3E2C2D9F82BA","label":"Application Program (Concept)","url":"https://open-measure.atlassian.net/wiki/spaces/DIC/pages/6030793/Application+Program","main_class":"Concept"}</v>
      </c>
    </row>
    <row r="33" spans="1:10" ht="27" thickTop="1" thickBot="1" x14ac:dyDescent="0.4">
      <c r="A33" s="3" t="str" cm="1">
        <f t="array" ref="A33">"n"&amp;SUBSTITUTE(CreateGuidString(),"-","_")</f>
        <v>n7332D06E_9890_44BD_A663_6BCF3C46A00C</v>
      </c>
      <c r="B33" s="6" t="str">
        <f>NodesData[[#This Row],[name]]&amp;" ("&amp;NodesData[[#This Row],[main_class]]&amp;")"</f>
        <v>Archive (Concept)</v>
      </c>
      <c r="C33" s="17" t="s">
        <v>602</v>
      </c>
      <c r="D33" s="3" t="s">
        <v>1409</v>
      </c>
      <c r="E33" s="10" t="s">
        <v>601</v>
      </c>
      <c r="F33" s="3">
        <f t="shared" si="0"/>
        <v>31</v>
      </c>
      <c r="G33" s="3">
        <f>COUNTIF(NodesData[label],NodesData[[#This Row],[label]])</f>
        <v>1</v>
      </c>
      <c r="H33" s="3">
        <f>COUNTIF(EdgesData[from],NodesData[[#This Row],[id]])+COUNTIF(EdgesData[to],NodesData[[#This Row],[id]])</f>
        <v>0</v>
      </c>
      <c r="I33" s="3">
        <f>IF(NodesData[[#This Row],[Used]]&gt;0,1,0)</f>
        <v>0</v>
      </c>
      <c r="J33" s="18" t="str" cm="1">
        <f t="array" ref="J33">IF(NodesData[[#This Row],[Count]]&gt;1,",","") &amp;"{"&amp;twoRangesToJSON(NodesData[[#Headers],[id]:[main_class]],NodesData[[#This Row],[id]:[main_class]])&amp;"}"</f>
        <v>,{"id":"n7332D06E_9890_44BD_A663_6BCF3C46A00C","label":"Archive (Concept)","url":"https://open-measure.atlassian.net/wiki/spaces/DIC/pages/425197720","main_class":"Concept"}</v>
      </c>
    </row>
    <row r="34" spans="1:10" ht="27" thickTop="1" thickBot="1" x14ac:dyDescent="0.4">
      <c r="A34" s="3" t="str" cm="1">
        <f t="array" ref="A34">"n"&amp;SUBSTITUTE(CreateGuidString(),"-","_")</f>
        <v>n9ABD15C0_3E84_4837_9092_8B0B5A1E7091</v>
      </c>
      <c r="B34" s="6" t="str">
        <f>NodesData[[#This Row],[name]]&amp;" ("&amp;NodesData[[#This Row],[main_class]]&amp;")"</f>
        <v>ARM (Acronym)</v>
      </c>
      <c r="C34" s="17" t="s">
        <v>603</v>
      </c>
      <c r="D34" s="3" t="s">
        <v>1301</v>
      </c>
      <c r="E34" s="10" t="s">
        <v>69</v>
      </c>
      <c r="F34" s="3">
        <f t="shared" si="0"/>
        <v>32</v>
      </c>
      <c r="G34" s="3">
        <f>COUNTIF(NodesData[label],NodesData[[#This Row],[label]])</f>
        <v>1</v>
      </c>
      <c r="H34" s="3">
        <f>COUNTIF(EdgesData[from],NodesData[[#This Row],[id]])+COUNTIF(EdgesData[to],NodesData[[#This Row],[id]])</f>
        <v>0</v>
      </c>
      <c r="I34" s="3">
        <f>IF(NodesData[[#This Row],[Used]]&gt;0,1,0)</f>
        <v>0</v>
      </c>
      <c r="J34" s="18" t="str" cm="1">
        <f t="array" ref="J34">IF(NodesData[[#This Row],[Count]]&gt;1,",","") &amp;"{"&amp;twoRangesToJSON(NodesData[[#Headers],[id]:[main_class]],NodesData[[#This Row],[id]:[main_class]])&amp;"}"</f>
        <v>,{"id":"n9ABD15C0_3E84_4837_9092_8B0B5A1E7091","label":"ARM (Acronym)","url":"https://open-measure.atlassian.net/wiki/spaces/DIC/pages/1703994/ARM","main_class":"Acronym"}</v>
      </c>
    </row>
    <row r="35" spans="1:10" ht="27" thickTop="1" thickBot="1" x14ac:dyDescent="0.4">
      <c r="A35" s="3" t="str" cm="1">
        <f t="array" ref="A35">"n"&amp;SUBSTITUTE(CreateGuidString(),"-","_")</f>
        <v>n72F2FC80_CC39_49DA_B45A_5B514B40ECBA</v>
      </c>
      <c r="B35" s="6" t="str">
        <f>NodesData[[#This Row],[name]]&amp;" ("&amp;NodesData[[#This Row],[main_class]]&amp;")"</f>
        <v>Asset Custody (Concept)</v>
      </c>
      <c r="C35" s="17" t="s">
        <v>605</v>
      </c>
      <c r="D35" s="3" t="s">
        <v>1409</v>
      </c>
      <c r="E35" s="10" t="s">
        <v>604</v>
      </c>
      <c r="F35" s="3">
        <f t="shared" si="0"/>
        <v>33</v>
      </c>
      <c r="G35" s="3">
        <f>COUNTIF(NodesData[label],NodesData[[#This Row],[label]])</f>
        <v>1</v>
      </c>
      <c r="H35" s="3">
        <f>COUNTIF(EdgesData[from],NodesData[[#This Row],[id]])+COUNTIF(EdgesData[to],NodesData[[#This Row],[id]])</f>
        <v>0</v>
      </c>
      <c r="I35" s="3">
        <f>IF(NodesData[[#This Row],[Used]]&gt;0,1,0)</f>
        <v>0</v>
      </c>
      <c r="J35" s="18" t="str" cm="1">
        <f t="array" ref="J35">IF(NodesData[[#This Row],[Count]]&gt;1,",","") &amp;"{"&amp;twoRangesToJSON(NodesData[[#Headers],[id]:[main_class]],NodesData[[#This Row],[id]:[main_class]])&amp;"}"</f>
        <v>,{"id":"n72F2FC80_CC39_49DA_B45A_5B514B40ECBA","label":"Asset Custody (Concept)","url":"https://open-measure.atlassian.net/wiki/spaces/DIC/pages/1094516867","main_class":"Concept"}</v>
      </c>
    </row>
    <row r="36" spans="1:10" ht="27" thickTop="1" thickBot="1" x14ac:dyDescent="0.4">
      <c r="A36" s="3" t="str" cm="1">
        <f t="array" ref="A36">"n"&amp;SUBSTITUTE(CreateGuidString(),"-","_")</f>
        <v>n90272F3E_AEF9_4F55_9C68_A853239767A9</v>
      </c>
      <c r="B36" s="6" t="str">
        <f>NodesData[[#This Row],[name]]&amp;" ("&amp;NodesData[[#This Row],[main_class]]&amp;")"</f>
        <v>Attestation (Concept)</v>
      </c>
      <c r="C36" s="17" t="s">
        <v>606</v>
      </c>
      <c r="D36" s="3" t="s">
        <v>1409</v>
      </c>
      <c r="E36" s="10" t="s">
        <v>71</v>
      </c>
      <c r="F36" s="3">
        <f t="shared" si="0"/>
        <v>34</v>
      </c>
      <c r="G36" s="3">
        <f>COUNTIF(NodesData[label],NodesData[[#This Row],[label]])</f>
        <v>1</v>
      </c>
      <c r="H36" s="3">
        <f>COUNTIF(EdgesData[from],NodesData[[#This Row],[id]])+COUNTIF(EdgesData[to],NodesData[[#This Row],[id]])</f>
        <v>0</v>
      </c>
      <c r="I36" s="3">
        <f>IF(NodesData[[#This Row],[Used]]&gt;0,1,0)</f>
        <v>0</v>
      </c>
      <c r="J36" s="18" t="str" cm="1">
        <f t="array" ref="J36">IF(NodesData[[#This Row],[Count]]&gt;1,",","") &amp;"{"&amp;twoRangesToJSON(NodesData[[#Headers],[id]:[main_class]],NodesData[[#This Row],[id]:[main_class]])&amp;"}"</f>
        <v>,{"id":"n90272F3E_AEF9_4F55_9C68_A853239767A9","label":"Attestation (Concept)","url":"https://open-measure.atlassian.net/wiki/spaces/DIC/pages/1323368851/Attestation","main_class":"Concept"}</v>
      </c>
    </row>
    <row r="37" spans="1:10" ht="27" thickTop="1" thickBot="1" x14ac:dyDescent="0.4">
      <c r="A37" s="3" t="str" cm="1">
        <f t="array" ref="A37">"n"&amp;SUBSTITUTE(CreateGuidString(),"-","_")</f>
        <v>n5877FC9C_7D77_4D1E_8F71_F46322D47181</v>
      </c>
      <c r="B37" s="6" t="str">
        <f>NodesData[[#This Row],[name]]&amp;" ("&amp;NodesData[[#This Row],[main_class]]&amp;")"</f>
        <v>Attribute (Concept)</v>
      </c>
      <c r="C37" s="17" t="s">
        <v>607</v>
      </c>
      <c r="D37" s="3" t="s">
        <v>1409</v>
      </c>
      <c r="E37" s="10" t="s">
        <v>1296</v>
      </c>
      <c r="F37" s="3">
        <f t="shared" si="0"/>
        <v>35</v>
      </c>
      <c r="G37" s="3">
        <f>COUNTIF(NodesData[label],NodesData[[#This Row],[label]])</f>
        <v>1</v>
      </c>
      <c r="H37" s="3">
        <f>COUNTIF(EdgesData[from],NodesData[[#This Row],[id]])+COUNTIF(EdgesData[to],NodesData[[#This Row],[id]])</f>
        <v>0</v>
      </c>
      <c r="I37" s="3">
        <f>IF(NodesData[[#This Row],[Used]]&gt;0,1,0)</f>
        <v>0</v>
      </c>
      <c r="J37" s="18" t="str" cm="1">
        <f t="array" ref="J37">IF(NodesData[[#This Row],[Count]]&gt;1,",","") &amp;"{"&amp;twoRangesToJSON(NodesData[[#Headers],[id]:[main_class]],NodesData[[#This Row],[id]:[main_class]])&amp;"}"</f>
        <v>,{"id":"n5877FC9C_7D77_4D1E_8F71_F46322D47181","label":"Attribute (Concept)","url":"https://open-measure.atlassian.net/wiki/spaces/DIC/pages/409174161","main_class":"Concept"}</v>
      </c>
    </row>
    <row r="38" spans="1:10" ht="27" thickTop="1" thickBot="1" x14ac:dyDescent="0.4">
      <c r="A38" s="3" t="str" cm="1">
        <f t="array" ref="A38">"n"&amp;SUBSTITUTE(CreateGuidString(),"-","_")</f>
        <v>nA4258EC6_7957_45CD_88A7_6688BD57DD21</v>
      </c>
      <c r="B38" s="6" t="str">
        <f>NodesData[[#This Row],[name]]&amp;" ("&amp;NodesData[[#This Row],[main_class]]&amp;")"</f>
        <v>Attribute Provider (Concept)</v>
      </c>
      <c r="C38" s="17" t="s">
        <v>609</v>
      </c>
      <c r="D38" s="3" t="s">
        <v>1409</v>
      </c>
      <c r="E38" s="10" t="s">
        <v>608</v>
      </c>
      <c r="F38" s="3">
        <f t="shared" si="0"/>
        <v>36</v>
      </c>
      <c r="G38" s="3">
        <f>COUNTIF(NodesData[label],NodesData[[#This Row],[label]])</f>
        <v>1</v>
      </c>
      <c r="H38" s="3">
        <f>COUNTIF(EdgesData[from],NodesData[[#This Row],[id]])+COUNTIF(EdgesData[to],NodesData[[#This Row],[id]])</f>
        <v>0</v>
      </c>
      <c r="I38" s="3">
        <f>IF(NodesData[[#This Row],[Used]]&gt;0,1,0)</f>
        <v>0</v>
      </c>
      <c r="J38" s="18" t="str" cm="1">
        <f t="array" ref="J38">IF(NodesData[[#This Row],[Count]]&gt;1,",","") &amp;"{"&amp;twoRangesToJSON(NodesData[[#Headers],[id]:[main_class]],NodesData[[#This Row],[id]:[main_class]])&amp;"}"</f>
        <v>,{"id":"nA4258EC6_7957_45CD_88A7_6688BD57DD21","label":"Attribute Provider (Concept)","url":"https://open-measure.atlassian.net/wiki/spaces/DIC/pages/81101655","main_class":"Concept"}</v>
      </c>
    </row>
    <row r="39" spans="1:10" ht="27" thickTop="1" thickBot="1" x14ac:dyDescent="0.4">
      <c r="A39" s="3" t="str" cm="1">
        <f t="array" ref="A39">"n"&amp;SUBSTITUTE(CreateGuidString(),"-","_")</f>
        <v>nCC50D0E4_B8E4_4C1F_A405_2F18C57211D6</v>
      </c>
      <c r="B39" s="6" t="str">
        <f>NodesData[[#This Row],[name]]&amp;" ("&amp;NodesData[[#This Row],[main_class]]&amp;")"</f>
        <v>Authenticated Users (Concept)</v>
      </c>
      <c r="C39" s="17" t="s">
        <v>611</v>
      </c>
      <c r="D39" s="3" t="s">
        <v>1409</v>
      </c>
      <c r="E39" s="10" t="s">
        <v>610</v>
      </c>
      <c r="F39" s="3">
        <f t="shared" si="0"/>
        <v>37</v>
      </c>
      <c r="G39" s="3">
        <f>COUNTIF(NodesData[label],NodesData[[#This Row],[label]])</f>
        <v>1</v>
      </c>
      <c r="H39" s="3">
        <f>COUNTIF(EdgesData[from],NodesData[[#This Row],[id]])+COUNTIF(EdgesData[to],NodesData[[#This Row],[id]])</f>
        <v>0</v>
      </c>
      <c r="I39" s="3">
        <f>IF(NodesData[[#This Row],[Used]]&gt;0,1,0)</f>
        <v>0</v>
      </c>
      <c r="J39" s="18" t="str" cm="1">
        <f t="array" ref="J39">IF(NodesData[[#This Row],[Count]]&gt;1,",","") &amp;"{"&amp;twoRangesToJSON(NodesData[[#Headers],[id]:[main_class]],NodesData[[#This Row],[id]:[main_class]])&amp;"}"</f>
        <v>,{"id":"nCC50D0E4_B8E4_4C1F_A405_2F18C57211D6","label":"Authenticated Users (Concept)","url":"https://open-measure.atlassian.net/wiki/spaces/DIC/pages/966492169","main_class":"Concept"}</v>
      </c>
    </row>
    <row r="40" spans="1:10" ht="27" thickTop="1" thickBot="1" x14ac:dyDescent="0.4">
      <c r="A40" s="3" t="str" cm="1">
        <f t="array" ref="A40">"n"&amp;SUBSTITUTE(CreateGuidString(),"-","_")</f>
        <v>n1CBBF9AC_8304_4C25_B7A0_529E1CB62859</v>
      </c>
      <c r="B40" s="6" t="str">
        <f>NodesData[[#This Row],[name]]&amp;" ("&amp;NodesData[[#This Row],[main_class]]&amp;")"</f>
        <v>Authentication (Concept)</v>
      </c>
      <c r="C40" s="17" t="s">
        <v>613</v>
      </c>
      <c r="D40" s="3" t="s">
        <v>1409</v>
      </c>
      <c r="E40" s="10" t="s">
        <v>612</v>
      </c>
      <c r="F40" s="3">
        <f t="shared" si="0"/>
        <v>38</v>
      </c>
      <c r="G40" s="3">
        <f>COUNTIF(NodesData[label],NodesData[[#This Row],[label]])</f>
        <v>1</v>
      </c>
      <c r="H40" s="3">
        <f>COUNTIF(EdgesData[from],NodesData[[#This Row],[id]])+COUNTIF(EdgesData[to],NodesData[[#This Row],[id]])</f>
        <v>0</v>
      </c>
      <c r="I40" s="3">
        <f>IF(NodesData[[#This Row],[Used]]&gt;0,1,0)</f>
        <v>0</v>
      </c>
      <c r="J40" s="18" t="str" cm="1">
        <f t="array" ref="J40">IF(NodesData[[#This Row],[Count]]&gt;1,",","") &amp;"{"&amp;twoRangesToJSON(NodesData[[#Headers],[id]:[main_class]],NodesData[[#This Row],[id]:[main_class]])&amp;"}"</f>
        <v>,{"id":"n1CBBF9AC_8304_4C25_B7A0_529E1CB62859","label":"Authentication (Concept)","url":"https://open-measure.atlassian.net/wiki/spaces/DIC/pages/61177884","main_class":"Concept"}</v>
      </c>
    </row>
    <row r="41" spans="1:10" ht="27" thickTop="1" thickBot="1" x14ac:dyDescent="0.4">
      <c r="A41" s="3" t="str" cm="1">
        <f t="array" ref="A41">"n"&amp;SUBSTITUTE(CreateGuidString(),"-","_")</f>
        <v>nE95DEF7E_E75A_475D_9030_85501E747786</v>
      </c>
      <c r="B41" s="6" t="str">
        <f>NodesData[[#This Row],[name]]&amp;" ("&amp;NodesData[[#This Row],[main_class]]&amp;")"</f>
        <v>Authentication Factor (Concept)</v>
      </c>
      <c r="C41" s="17" t="s">
        <v>614</v>
      </c>
      <c r="D41" s="3" t="s">
        <v>1409</v>
      </c>
      <c r="E41" s="10" t="s">
        <v>0</v>
      </c>
      <c r="F41" s="3">
        <f t="shared" si="0"/>
        <v>39</v>
      </c>
      <c r="G41" s="3">
        <f>COUNTIF(NodesData[label],NodesData[[#This Row],[label]])</f>
        <v>1</v>
      </c>
      <c r="H41" s="3">
        <f>COUNTIF(EdgesData[from],NodesData[[#This Row],[id]])+COUNTIF(EdgesData[to],NodesData[[#This Row],[id]])</f>
        <v>0</v>
      </c>
      <c r="I41" s="3">
        <f>IF(NodesData[[#This Row],[Used]]&gt;0,1,0)</f>
        <v>0</v>
      </c>
      <c r="J41" s="18" t="str" cm="1">
        <f t="array" ref="J41">IF(NodesData[[#This Row],[Count]]&gt;1,",","") &amp;"{"&amp;twoRangesToJSON(NodesData[[#Headers],[id]:[main_class]],NodesData[[#This Row],[id]:[main_class]])&amp;"}"</f>
        <v>,{"id":"nE95DEF7E_E75A_475D_9030_85501E747786","label":"Authentication Factor (Concept)","url":"https://open-measure.atlassian.net/wiki/spaces/DIC/pages/81199158","main_class":"Concept"}</v>
      </c>
    </row>
    <row r="42" spans="1:10" ht="27" thickTop="1" thickBot="1" x14ac:dyDescent="0.4">
      <c r="A42" s="3" t="str" cm="1">
        <f t="array" ref="A42">"n"&amp;SUBSTITUTE(CreateGuidString(),"-","_")</f>
        <v>nF0F8E1A3_E8B3_4B97_B532_AB5E5D67E3FE</v>
      </c>
      <c r="B42" s="6" t="str">
        <f>NodesData[[#This Row],[name]]&amp;" ("&amp;NodesData[[#This Row],[main_class]]&amp;")"</f>
        <v>Authentication Method (Concept)</v>
      </c>
      <c r="C42" s="22"/>
      <c r="D42" s="3" t="s">
        <v>1409</v>
      </c>
      <c r="E42" s="10" t="s">
        <v>1392</v>
      </c>
      <c r="F42" s="3">
        <f t="shared" si="0"/>
        <v>40</v>
      </c>
      <c r="G42" s="3">
        <f>COUNTIF(NodesData[label],NodesData[[#This Row],[label]])</f>
        <v>1</v>
      </c>
      <c r="H42" s="3">
        <f>COUNTIF(EdgesData[from],NodesData[[#This Row],[id]])+COUNTIF(EdgesData[to],NodesData[[#This Row],[id]])</f>
        <v>0</v>
      </c>
      <c r="I42" s="3">
        <f>IF(NodesData[[#This Row],[Used]]&gt;0,1,0)</f>
        <v>0</v>
      </c>
      <c r="J42" s="18" t="str" cm="1">
        <f t="array" ref="J42">IF(NodesData[[#This Row],[Count]]&gt;1,",","") &amp;"{"&amp;twoRangesToJSON(NodesData[[#Headers],[id]:[main_class]],NodesData[[#This Row],[id]:[main_class]])&amp;"}"</f>
        <v>,{"id":"nF0F8E1A3_E8B3_4B97_B532_AB5E5D67E3FE","label":"Authentication Method (Concept)","url":"","main_class":"Concept"}</v>
      </c>
    </row>
    <row r="43" spans="1:10" ht="27" thickTop="1" thickBot="1" x14ac:dyDescent="0.4">
      <c r="A43" s="3" t="str" cm="1">
        <f t="array" ref="A43">"n"&amp;SUBSTITUTE(CreateGuidString(),"-","_")</f>
        <v>nFFF53680_36F8_44E5_AA8A_3B0056C1E8B5</v>
      </c>
      <c r="B43" s="6" t="str">
        <f>NodesData[[#This Row],[name]]&amp;" ("&amp;NodesData[[#This Row],[main_class]]&amp;")"</f>
        <v>Authenticator (Concept)</v>
      </c>
      <c r="C43" s="17" t="s">
        <v>616</v>
      </c>
      <c r="D43" s="3" t="s">
        <v>1409</v>
      </c>
      <c r="E43" s="10" t="s">
        <v>615</v>
      </c>
      <c r="F43" s="3">
        <f t="shared" si="0"/>
        <v>41</v>
      </c>
      <c r="G43" s="3">
        <f>COUNTIF(NodesData[label],NodesData[[#This Row],[label]])</f>
        <v>1</v>
      </c>
      <c r="H43" s="3">
        <f>COUNTIF(EdgesData[from],NodesData[[#This Row],[id]])+COUNTIF(EdgesData[to],NodesData[[#This Row],[id]])</f>
        <v>0</v>
      </c>
      <c r="I43" s="3">
        <f>IF(NodesData[[#This Row],[Used]]&gt;0,1,0)</f>
        <v>0</v>
      </c>
      <c r="J43" s="18" t="str" cm="1">
        <f t="array" ref="J43">IF(NodesData[[#This Row],[Count]]&gt;1,",","") &amp;"{"&amp;twoRangesToJSON(NodesData[[#Headers],[id]:[main_class]],NodesData[[#This Row],[id]:[main_class]])&amp;"}"</f>
        <v>,{"id":"nFFF53680_36F8_44E5_AA8A_3B0056C1E8B5","label":"Authenticator (Concept)","url":"https://open-measure.atlassian.net/wiki/spaces/DIC/pages/848724060","main_class":"Concept"}</v>
      </c>
    </row>
    <row r="44" spans="1:10" ht="27" thickTop="1" thickBot="1" x14ac:dyDescent="0.4">
      <c r="A44" s="3" t="str" cm="1">
        <f t="array" ref="A44">"n"&amp;SUBSTITUTE(CreateGuidString(),"-","_")</f>
        <v>nD72C2D1E_1F57_4216_A212_D54529AB389A</v>
      </c>
      <c r="B44" s="6" t="str">
        <f>NodesData[[#This Row],[name]]&amp;" ("&amp;NodesData[[#This Row],[main_class]]&amp;")"</f>
        <v>Authority (Concept)</v>
      </c>
      <c r="C44" s="17" t="s">
        <v>618</v>
      </c>
      <c r="D44" s="3" t="s">
        <v>1409</v>
      </c>
      <c r="E44" s="10" t="s">
        <v>617</v>
      </c>
      <c r="F44" s="3">
        <f t="shared" si="0"/>
        <v>42</v>
      </c>
      <c r="G44" s="3">
        <f>COUNTIF(NodesData[label],NodesData[[#This Row],[label]])</f>
        <v>1</v>
      </c>
      <c r="H44" s="3">
        <f>COUNTIF(EdgesData[from],NodesData[[#This Row],[id]])+COUNTIF(EdgesData[to],NodesData[[#This Row],[id]])</f>
        <v>0</v>
      </c>
      <c r="I44" s="3">
        <f>IF(NodesData[[#This Row],[Used]]&gt;0,1,0)</f>
        <v>0</v>
      </c>
      <c r="J44" s="18" t="str" cm="1">
        <f t="array" ref="J44">IF(NodesData[[#This Row],[Count]]&gt;1,",","") &amp;"{"&amp;twoRangesToJSON(NodesData[[#Headers],[id]:[main_class]],NodesData[[#This Row],[id]:[main_class]])&amp;"}"</f>
        <v>,{"id":"nD72C2D1E_1F57_4216_A212_D54529AB389A","label":"Authority (Concept)","url":"https://open-measure.atlassian.net/wiki/spaces/DIC/pages/998178905","main_class":"Concept"}</v>
      </c>
    </row>
    <row r="45" spans="1:10" ht="27" thickTop="1" thickBot="1" x14ac:dyDescent="0.4">
      <c r="A45" s="3" t="str" cm="1">
        <f t="array" ref="A45">"n"&amp;SUBSTITUTE(CreateGuidString(),"-","_")</f>
        <v>nA56262CA_6940_4317_A290_43C998DF0292</v>
      </c>
      <c r="B45" s="6" t="str">
        <f>NodesData[[#This Row],[name]]&amp;" ("&amp;NodesData[[#This Row],[main_class]]&amp;")"</f>
        <v>Authorization (Concept)</v>
      </c>
      <c r="C45" s="17" t="s">
        <v>620</v>
      </c>
      <c r="D45" s="3" t="s">
        <v>1409</v>
      </c>
      <c r="E45" s="10" t="s">
        <v>619</v>
      </c>
      <c r="F45" s="3">
        <f t="shared" si="0"/>
        <v>43</v>
      </c>
      <c r="G45" s="3">
        <f>COUNTIF(NodesData[label],NodesData[[#This Row],[label]])</f>
        <v>1</v>
      </c>
      <c r="H45" s="3">
        <f>COUNTIF(EdgesData[from],NodesData[[#This Row],[id]])+COUNTIF(EdgesData[to],NodesData[[#This Row],[id]])</f>
        <v>0</v>
      </c>
      <c r="I45" s="3">
        <f>IF(NodesData[[#This Row],[Used]]&gt;0,1,0)</f>
        <v>0</v>
      </c>
      <c r="J45" s="18" t="str" cm="1">
        <f t="array" ref="J45">IF(NodesData[[#This Row],[Count]]&gt;1,",","") &amp;"{"&amp;twoRangesToJSON(NodesData[[#Headers],[id]:[main_class]],NodesData[[#This Row],[id]:[main_class]])&amp;"}"</f>
        <v>,{"id":"nA56262CA_6940_4317_A290_43C998DF0292","label":"Authorization (Concept)","url":"https://open-measure.atlassian.net/wiki/spaces/DIC/pages/60882993","main_class":"Concept"}</v>
      </c>
    </row>
    <row r="46" spans="1:10" ht="27" thickTop="1" thickBot="1" x14ac:dyDescent="0.4">
      <c r="A46" s="3" t="str" cm="1">
        <f t="array" ref="A46">"n"&amp;SUBSTITUTE(CreateGuidString(),"-","_")</f>
        <v>n51F37386_29E1_4EB2_BEF4_CD1C6B638021</v>
      </c>
      <c r="B46" s="6" t="str">
        <f>NodesData[[#This Row],[name]]&amp;" ("&amp;NodesData[[#This Row],[main_class]]&amp;")"</f>
        <v>Awareness (Concept)</v>
      </c>
      <c r="C46" s="17" t="s">
        <v>623</v>
      </c>
      <c r="D46" s="3" t="s">
        <v>1409</v>
      </c>
      <c r="E46" s="10" t="s">
        <v>622</v>
      </c>
      <c r="F46" s="3">
        <f t="shared" si="0"/>
        <v>44</v>
      </c>
      <c r="G46" s="3">
        <f>COUNTIF(NodesData[label],NodesData[[#This Row],[label]])</f>
        <v>1</v>
      </c>
      <c r="H46" s="3">
        <f>COUNTIF(EdgesData[from],NodesData[[#This Row],[id]])+COUNTIF(EdgesData[to],NodesData[[#This Row],[id]])</f>
        <v>0</v>
      </c>
      <c r="I46" s="3">
        <f>IF(NodesData[[#This Row],[Used]]&gt;0,1,0)</f>
        <v>0</v>
      </c>
      <c r="J46" s="18" t="str" cm="1">
        <f t="array" ref="J46">IF(NodesData[[#This Row],[Count]]&gt;1,",","") &amp;"{"&amp;twoRangesToJSON(NodesData[[#Headers],[id]:[main_class]],NodesData[[#This Row],[id]:[main_class]])&amp;"}"</f>
        <v>,{"id":"n51F37386_29E1_4EB2_BEF4_CD1C6B638021","label":"Awareness (Concept)","url":"https://open-measure.atlassian.net/wiki/spaces/DIC/pages/1311472","main_class":"Concept"}</v>
      </c>
    </row>
    <row r="47" spans="1:10" ht="27" thickTop="1" thickBot="1" x14ac:dyDescent="0.4">
      <c r="A47" s="3" t="str" cm="1">
        <f t="array" ref="A47">"n"&amp;SUBSTITUTE(CreateGuidString(),"-","_")</f>
        <v>n94E98293_C099_4C4A_931B_867652B4BA46</v>
      </c>
      <c r="B47" s="6" t="str">
        <f>NodesData[[#This Row],[name]]&amp;" ("&amp;NodesData[[#This Row],[main_class]]&amp;")"</f>
        <v>AWS Account Root User (Concept)</v>
      </c>
      <c r="C47" s="17" t="s">
        <v>625</v>
      </c>
      <c r="D47" s="3" t="s">
        <v>1409</v>
      </c>
      <c r="E47" s="10" t="s">
        <v>624</v>
      </c>
      <c r="F47" s="3">
        <f t="shared" si="0"/>
        <v>45</v>
      </c>
      <c r="G47" s="3">
        <f>COUNTIF(NodesData[label],NodesData[[#This Row],[label]])</f>
        <v>1</v>
      </c>
      <c r="H47" s="3">
        <f>COUNTIF(EdgesData[from],NodesData[[#This Row],[id]])+COUNTIF(EdgesData[to],NodesData[[#This Row],[id]])</f>
        <v>0</v>
      </c>
      <c r="I47" s="3">
        <f>IF(NodesData[[#This Row],[Used]]&gt;0,1,0)</f>
        <v>0</v>
      </c>
      <c r="J47" s="18" t="str" cm="1">
        <f t="array" ref="J47">IF(NodesData[[#This Row],[Count]]&gt;1,",","") &amp;"{"&amp;twoRangesToJSON(NodesData[[#Headers],[id]:[main_class]],NodesData[[#This Row],[id]:[main_class]])&amp;"}"</f>
        <v>,{"id":"n94E98293_C099_4C4A_931B_867652B4BA46","label":"AWS Account Root User (Concept)","url":"https://open-measure.atlassian.net/wiki/spaces/DIC/pages/998277774","main_class":"Concept"}</v>
      </c>
    </row>
    <row r="48" spans="1:10" ht="27" thickTop="1" thickBot="1" x14ac:dyDescent="0.4">
      <c r="A48" s="3" t="str" cm="1">
        <f t="array" ref="A48">"n"&amp;SUBSTITUTE(CreateGuidString(),"-","_")</f>
        <v>n7C156A17_4392_47FC_A364_D68CC990D167</v>
      </c>
      <c r="B48" s="6" t="str">
        <f>NodesData[[#This Row],[name]]&amp;" ("&amp;NodesData[[#This Row],[main_class]]&amp;")"</f>
        <v>AWS ACL (Acronym)</v>
      </c>
      <c r="C48" s="17" t="s">
        <v>627</v>
      </c>
      <c r="D48" s="3" t="s">
        <v>1301</v>
      </c>
      <c r="E48" s="10" t="s">
        <v>626</v>
      </c>
      <c r="F48" s="3">
        <f t="shared" si="0"/>
        <v>46</v>
      </c>
      <c r="G48" s="3">
        <f>COUNTIF(NodesData[label],NodesData[[#This Row],[label]])</f>
        <v>1</v>
      </c>
      <c r="H48" s="3">
        <f>COUNTIF(EdgesData[from],NodesData[[#This Row],[id]])+COUNTIF(EdgesData[to],NodesData[[#This Row],[id]])</f>
        <v>0</v>
      </c>
      <c r="I48" s="3">
        <f>IF(NodesData[[#This Row],[Used]]&gt;0,1,0)</f>
        <v>0</v>
      </c>
      <c r="J48" s="18" t="str" cm="1">
        <f t="array" ref="J48">IF(NodesData[[#This Row],[Count]]&gt;1,",","") &amp;"{"&amp;twoRangesToJSON(NodesData[[#Headers],[id]:[main_class]],NodesData[[#This Row],[id]:[main_class]])&amp;"}"</f>
        <v>,{"id":"n7C156A17_4392_47FC_A364_D68CC990D167","label":"AWS ACL (Acronym)","url":"https://open-measure.atlassian.net/wiki/spaces/DIC/pages/998245198","main_class":"Acronym"}</v>
      </c>
    </row>
    <row r="49" spans="1:10" ht="27" thickTop="1" thickBot="1" x14ac:dyDescent="0.4">
      <c r="A49" s="3" t="str" cm="1">
        <f t="array" ref="A49">"n"&amp;SUBSTITUTE(CreateGuidString(),"-","_")</f>
        <v>nC24D95EC_F53D_4FC5_BDC8_504869C28E50</v>
      </c>
      <c r="B49" s="6" t="str">
        <f>NodesData[[#This Row],[name]]&amp;" ("&amp;NodesData[[#This Row],[main_class]]&amp;")"</f>
        <v>AWS IAM (Acronym)</v>
      </c>
      <c r="C49" s="17" t="s">
        <v>629</v>
      </c>
      <c r="D49" s="3" t="s">
        <v>1301</v>
      </c>
      <c r="E49" s="10" t="s">
        <v>628</v>
      </c>
      <c r="F49" s="3">
        <f t="shared" si="0"/>
        <v>47</v>
      </c>
      <c r="G49" s="3">
        <f>COUNTIF(NodesData[label],NodesData[[#This Row],[label]])</f>
        <v>1</v>
      </c>
      <c r="H49" s="3">
        <f>COUNTIF(EdgesData[from],NodesData[[#This Row],[id]])+COUNTIF(EdgesData[to],NodesData[[#This Row],[id]])</f>
        <v>0</v>
      </c>
      <c r="I49" s="3">
        <f>IF(NodesData[[#This Row],[Used]]&gt;0,1,0)</f>
        <v>0</v>
      </c>
      <c r="J49" s="18" t="str" cm="1">
        <f t="array" ref="J49">IF(NodesData[[#This Row],[Count]]&gt;1,",","") &amp;"{"&amp;twoRangesToJSON(NodesData[[#Headers],[id]:[main_class]],NodesData[[#This Row],[id]:[main_class]])&amp;"}"</f>
        <v>,{"id":"nC24D95EC_F53D_4FC5_BDC8_504869C28E50","label":"AWS IAM (Acronym)","url":"https://open-measure.atlassian.net/wiki/spaces/DIC/pages/998277876","main_class":"Acronym"}</v>
      </c>
    </row>
    <row r="50" spans="1:10" ht="27" thickTop="1" thickBot="1" x14ac:dyDescent="0.4">
      <c r="A50" s="3" t="str" cm="1">
        <f t="array" ref="A50">"n"&amp;SUBSTITUTE(CreateGuidString(),"-","_")</f>
        <v>n720EE0F1_D254_432B_8629_F97DECAE717D</v>
      </c>
      <c r="B50" s="6" t="str">
        <f>NodesData[[#This Row],[name]]&amp;" ("&amp;NodesData[[#This Row],[main_class]]&amp;")"</f>
        <v>AWS IAM Group (Acronym)</v>
      </c>
      <c r="C50" s="17" t="s">
        <v>631</v>
      </c>
      <c r="D50" s="3" t="s">
        <v>1301</v>
      </c>
      <c r="E50" s="10" t="s">
        <v>630</v>
      </c>
      <c r="F50" s="3">
        <f t="shared" si="0"/>
        <v>48</v>
      </c>
      <c r="G50" s="3">
        <f>COUNTIF(NodesData[label],NodesData[[#This Row],[label]])</f>
        <v>1</v>
      </c>
      <c r="H50" s="3">
        <f>COUNTIF(EdgesData[from],NodesData[[#This Row],[id]])+COUNTIF(EdgesData[to],NodesData[[#This Row],[id]])</f>
        <v>0</v>
      </c>
      <c r="I50" s="3">
        <f>IF(NodesData[[#This Row],[Used]]&gt;0,1,0)</f>
        <v>0</v>
      </c>
      <c r="J50" s="18" t="str" cm="1">
        <f t="array" ref="J50">IF(NodesData[[#This Row],[Count]]&gt;1,",","") &amp;"{"&amp;twoRangesToJSON(NodesData[[#Headers],[id]:[main_class]],NodesData[[#This Row],[id]:[main_class]])&amp;"}"</f>
        <v>,{"id":"n720EE0F1_D254_432B_8629_F97DECAE717D","label":"AWS IAM Group (Acronym)","url":"https://open-measure.atlassian.net/wiki/spaces/DIC/pages/998277805","main_class":"Acronym"}</v>
      </c>
    </row>
    <row r="51" spans="1:10" ht="27" thickTop="1" thickBot="1" x14ac:dyDescent="0.4">
      <c r="A51" s="3" t="str" cm="1">
        <f t="array" ref="A51">"n"&amp;SUBSTITUTE(CreateGuidString(),"-","_")</f>
        <v>nCC4D502F_C4F6_4068_9274_76381AB6E52C</v>
      </c>
      <c r="B51" s="6" t="str">
        <f>NodesData[[#This Row],[name]]&amp;" ("&amp;NodesData[[#This Row],[main_class]]&amp;")"</f>
        <v>AWS IAM Policy (Acronym)</v>
      </c>
      <c r="C51" s="17" t="s">
        <v>633</v>
      </c>
      <c r="D51" s="3" t="s">
        <v>1301</v>
      </c>
      <c r="E51" s="10" t="s">
        <v>632</v>
      </c>
      <c r="F51" s="3">
        <f t="shared" si="0"/>
        <v>49</v>
      </c>
      <c r="G51" s="3">
        <f>COUNTIF(NodesData[label],NodesData[[#This Row],[label]])</f>
        <v>1</v>
      </c>
      <c r="H51" s="3">
        <f>COUNTIF(EdgesData[from],NodesData[[#This Row],[id]])+COUNTIF(EdgesData[to],NodesData[[#This Row],[id]])</f>
        <v>0</v>
      </c>
      <c r="I51" s="3">
        <f>IF(NodesData[[#This Row],[Used]]&gt;0,1,0)</f>
        <v>0</v>
      </c>
      <c r="J51" s="18" t="str" cm="1">
        <f t="array" ref="J51">IF(NodesData[[#This Row],[Count]]&gt;1,",","") &amp;"{"&amp;twoRangesToJSON(NodesData[[#Headers],[id]:[main_class]],NodesData[[#This Row],[id]:[main_class]])&amp;"}"</f>
        <v>,{"id":"nCC4D502F_C4F6_4068_9274_76381AB6E52C","label":"AWS IAM Policy (Acronym)","url":"https://open-measure.atlassian.net/wiki/spaces/DIC/pages/998277852","main_class":"Acronym"}</v>
      </c>
    </row>
    <row r="52" spans="1:10" ht="27" thickTop="1" thickBot="1" x14ac:dyDescent="0.4">
      <c r="A52" s="3" t="str" cm="1">
        <f t="array" ref="A52">"n"&amp;SUBSTITUTE(CreateGuidString(),"-","_")</f>
        <v>n5F289E1A_B45E_429B_B98A_210319B0571D</v>
      </c>
      <c r="B52" s="6" t="str">
        <f>NodesData[[#This Row],[name]]&amp;" ("&amp;NodesData[[#This Row],[main_class]]&amp;")"</f>
        <v>AWS IAM Principal (Acronym)</v>
      </c>
      <c r="C52" s="17" t="s">
        <v>635</v>
      </c>
      <c r="D52" s="3" t="s">
        <v>1301</v>
      </c>
      <c r="E52" s="10" t="s">
        <v>634</v>
      </c>
      <c r="F52" s="3">
        <f t="shared" si="0"/>
        <v>50</v>
      </c>
      <c r="G52" s="3">
        <f>COUNTIF(NodesData[label],NodesData[[#This Row],[label]])</f>
        <v>1</v>
      </c>
      <c r="H52" s="3">
        <f>COUNTIF(EdgesData[from],NodesData[[#This Row],[id]])+COUNTIF(EdgesData[to],NodesData[[#This Row],[id]])</f>
        <v>0</v>
      </c>
      <c r="I52" s="3">
        <f>IF(NodesData[[#This Row],[Used]]&gt;0,1,0)</f>
        <v>0</v>
      </c>
      <c r="J52" s="18" t="str" cm="1">
        <f t="array" ref="J52">IF(NodesData[[#This Row],[Count]]&gt;1,",","") &amp;"{"&amp;twoRangesToJSON(NodesData[[#Headers],[id]:[main_class]],NodesData[[#This Row],[id]:[main_class]])&amp;"}"</f>
        <v>,{"id":"n5F289E1A_B45E_429B_B98A_210319B0571D","label":"AWS IAM Principal (Acronym)","url":"https://open-measure.atlassian.net/wiki/spaces/DIC/pages/1071251573","main_class":"Acronym"}</v>
      </c>
    </row>
    <row r="53" spans="1:10" ht="27" thickTop="1" thickBot="1" x14ac:dyDescent="0.4">
      <c r="A53" s="3" t="str" cm="1">
        <f t="array" ref="A53">"n"&amp;SUBSTITUTE(CreateGuidString(),"-","_")</f>
        <v>nD30C6599_164A_4DFE_9CE6_122E2309E644</v>
      </c>
      <c r="B53" s="6" t="str">
        <f>NodesData[[#This Row],[name]]&amp;" ("&amp;NodesData[[#This Row],[main_class]]&amp;")"</f>
        <v>AWS IAM Role (Acronym)</v>
      </c>
      <c r="C53" s="17" t="s">
        <v>637</v>
      </c>
      <c r="D53" s="3" t="s">
        <v>1301</v>
      </c>
      <c r="E53" s="10" t="s">
        <v>636</v>
      </c>
      <c r="F53" s="3">
        <f t="shared" si="0"/>
        <v>51</v>
      </c>
      <c r="G53" s="3">
        <f>COUNTIF(NodesData[label],NodesData[[#This Row],[label]])</f>
        <v>1</v>
      </c>
      <c r="H53" s="3">
        <f>COUNTIF(EdgesData[from],NodesData[[#This Row],[id]])+COUNTIF(EdgesData[to],NodesData[[#This Row],[id]])</f>
        <v>0</v>
      </c>
      <c r="I53" s="3">
        <f>IF(NodesData[[#This Row],[Used]]&gt;0,1,0)</f>
        <v>0</v>
      </c>
      <c r="J53" s="18" t="str" cm="1">
        <f t="array" ref="J53">IF(NodesData[[#This Row],[Count]]&gt;1,",","") &amp;"{"&amp;twoRangesToJSON(NodesData[[#Headers],[id]:[main_class]],NodesData[[#This Row],[id]:[main_class]])&amp;"}"</f>
        <v>,{"id":"nD30C6599_164A_4DFE_9CE6_122E2309E644","label":"AWS IAM Role (Acronym)","url":"https://open-measure.atlassian.net/wiki/spaces/DIC/pages/998245151","main_class":"Acronym"}</v>
      </c>
    </row>
    <row r="54" spans="1:10" ht="27" thickTop="1" thickBot="1" x14ac:dyDescent="0.4">
      <c r="A54" s="3" t="str" cm="1">
        <f t="array" ref="A54">"n"&amp;SUBSTITUTE(CreateGuidString(),"-","_")</f>
        <v>n6B6A477E_7B3E_4823_B64E_44A53CDFA6A6</v>
      </c>
      <c r="B54" s="6" t="str">
        <f>NodesData[[#This Row],[name]]&amp;" ("&amp;NodesData[[#This Row],[main_class]]&amp;")"</f>
        <v>AWS IAM Temporary Security Credentials (Acronym)</v>
      </c>
      <c r="C54" s="17" t="s">
        <v>639</v>
      </c>
      <c r="D54" s="3" t="s">
        <v>1301</v>
      </c>
      <c r="E54" s="10" t="s">
        <v>638</v>
      </c>
      <c r="F54" s="3">
        <f t="shared" si="0"/>
        <v>52</v>
      </c>
      <c r="G54" s="3">
        <f>COUNTIF(NodesData[label],NodesData[[#This Row],[label]])</f>
        <v>1</v>
      </c>
      <c r="H54" s="3">
        <f>COUNTIF(EdgesData[from],NodesData[[#This Row],[id]])+COUNTIF(EdgesData[to],NodesData[[#This Row],[id]])</f>
        <v>0</v>
      </c>
      <c r="I54" s="3">
        <f>IF(NodesData[[#This Row],[Used]]&gt;0,1,0)</f>
        <v>0</v>
      </c>
      <c r="J54" s="18" t="str" cm="1">
        <f t="array" ref="J54">IF(NodesData[[#This Row],[Count]]&gt;1,",","") &amp;"{"&amp;twoRangesToJSON(NodesData[[#Headers],[id]:[main_class]],NodesData[[#This Row],[id]:[main_class]])&amp;"}"</f>
        <v>,{"id":"n6B6A477E_7B3E_4823_B64E_44A53CDFA6A6","label":"AWS IAM Temporary Security Credentials (Acronym)","url":"https://open-measure.atlassian.net/wiki/spaces/DIC/pages/998277835","main_class":"Acronym"}</v>
      </c>
    </row>
    <row r="55" spans="1:10" ht="27" thickTop="1" thickBot="1" x14ac:dyDescent="0.4">
      <c r="A55" s="3" t="str" cm="1">
        <f t="array" ref="A55">"n"&amp;SUBSTITUTE(CreateGuidString(),"-","_")</f>
        <v>n33240C52_12E1_4486_A13B_4E8DB5A3FBD5</v>
      </c>
      <c r="B55" s="6" t="str">
        <f>NodesData[[#This Row],[name]]&amp;" ("&amp;NodesData[[#This Row],[main_class]]&amp;")"</f>
        <v>AWS IAM User (Acronym)</v>
      </c>
      <c r="C55" s="17" t="s">
        <v>641</v>
      </c>
      <c r="D55" s="3" t="s">
        <v>1301</v>
      </c>
      <c r="E55" s="10" t="s">
        <v>640</v>
      </c>
      <c r="F55" s="3">
        <f t="shared" si="0"/>
        <v>53</v>
      </c>
      <c r="G55" s="3">
        <f>COUNTIF(NodesData[label],NodesData[[#This Row],[label]])</f>
        <v>1</v>
      </c>
      <c r="H55" s="3">
        <f>COUNTIF(EdgesData[from],NodesData[[#This Row],[id]])+COUNTIF(EdgesData[to],NodesData[[#This Row],[id]])</f>
        <v>0</v>
      </c>
      <c r="I55" s="3">
        <f>IF(NodesData[[#This Row],[Used]]&gt;0,1,0)</f>
        <v>0</v>
      </c>
      <c r="J55" s="18" t="str" cm="1">
        <f t="array" ref="J55">IF(NodesData[[#This Row],[Count]]&gt;1,",","") &amp;"{"&amp;twoRangesToJSON(NodesData[[#Headers],[id]:[main_class]],NodesData[[#This Row],[id]:[main_class]])&amp;"}"</f>
        <v>,{"id":"n33240C52_12E1_4486_A13B_4E8DB5A3FBD5","label":"AWS IAM User (Acronym)","url":"https://open-measure.atlassian.net/wiki/spaces/DIC/pages/998245125","main_class":"Acronym"}</v>
      </c>
    </row>
    <row r="56" spans="1:10" ht="27" thickTop="1" thickBot="1" x14ac:dyDescent="0.4">
      <c r="A56" s="3" t="str" cm="1">
        <f t="array" ref="A56">"n"&amp;SUBSTITUTE(CreateGuidString(),"-","_")</f>
        <v>n60CD9925_60CA_4FE4_9304_0B446A4C0D60</v>
      </c>
      <c r="B56" s="6" t="str">
        <f>NodesData[[#This Row],[name]]&amp;" ("&amp;NodesData[[#This Row],[main_class]]&amp;")"</f>
        <v>Authorization Externalization (Concept)</v>
      </c>
      <c r="C56" s="17" t="s">
        <v>621</v>
      </c>
      <c r="D56" s="3" t="s">
        <v>1409</v>
      </c>
      <c r="E56" s="10" t="s">
        <v>80</v>
      </c>
      <c r="F56" s="3">
        <f t="shared" si="0"/>
        <v>54</v>
      </c>
      <c r="G56" s="3">
        <f>COUNTIF(NodesData[label],NodesData[[#This Row],[label]])</f>
        <v>1</v>
      </c>
      <c r="H56" s="3">
        <f>COUNTIF(EdgesData[from],NodesData[[#This Row],[id]])+COUNTIF(EdgesData[to],NodesData[[#This Row],[id]])</f>
        <v>0</v>
      </c>
      <c r="I56" s="3">
        <f>IF(NodesData[[#This Row],[Used]]&gt;0,1,0)</f>
        <v>0</v>
      </c>
      <c r="J56" s="18" t="str" cm="1">
        <f t="array" ref="J56">IF(NodesData[[#This Row],[Count]]&gt;1,",","") &amp;"{"&amp;twoRangesToJSON(NodesData[[#Headers],[id]:[main_class]],NodesData[[#This Row],[id]:[main_class]])&amp;"}"</f>
        <v>,{"id":"n60CD9925_60CA_4FE4_9304_0B446A4C0D60","label":"Authorization Externalization (Concept)","url":"https://open-measure.atlassian.net/wiki/spaces/DIC/pages/1137573936/Authorization+Externalization","main_class":"Concept"}</v>
      </c>
    </row>
    <row r="57" spans="1:10" ht="27" thickTop="1" thickBot="1" x14ac:dyDescent="0.4">
      <c r="A57" s="3" t="str" cm="1">
        <f t="array" ref="A57">"n"&amp;SUBSTITUTE(CreateGuidString(),"-","_")</f>
        <v>n80F80B2F_321F_48E8_BFBC_4647E510EAA4</v>
      </c>
      <c r="B57" s="6" t="str">
        <f>NodesData[[#This Row],[name]]&amp;" ("&amp;NodesData[[#This Row],[main_class]]&amp;")"</f>
        <v>BankID (Acronym)</v>
      </c>
      <c r="C57" s="17" t="s">
        <v>643</v>
      </c>
      <c r="D57" s="3" t="s">
        <v>1301</v>
      </c>
      <c r="E57" s="10" t="s">
        <v>642</v>
      </c>
      <c r="F57" s="3">
        <f t="shared" si="0"/>
        <v>55</v>
      </c>
      <c r="G57" s="3">
        <f>COUNTIF(NodesData[label],NodesData[[#This Row],[label]])</f>
        <v>1</v>
      </c>
      <c r="H57" s="3">
        <f>COUNTIF(EdgesData[from],NodesData[[#This Row],[id]])+COUNTIF(EdgesData[to],NodesData[[#This Row],[id]])</f>
        <v>0</v>
      </c>
      <c r="I57" s="3">
        <f>IF(NodesData[[#This Row],[Used]]&gt;0,1,0)</f>
        <v>0</v>
      </c>
      <c r="J57" s="18" t="str" cm="1">
        <f t="array" ref="J57">IF(NodesData[[#This Row],[Count]]&gt;1,",","") &amp;"{"&amp;twoRangesToJSON(NodesData[[#Headers],[id]:[main_class]],NodesData[[#This Row],[id]:[main_class]])&amp;"}"</f>
        <v>,{"id":"n80F80B2F_321F_48E8_BFBC_4647E510EAA4","label":"BankID (Acronym)","url":"https://open-measure.atlassian.net/wiki/spaces/DIC/pages/797933843","main_class":"Acronym"}</v>
      </c>
    </row>
    <row r="58" spans="1:10" ht="27" thickTop="1" thickBot="1" x14ac:dyDescent="0.4">
      <c r="A58" s="3" t="str" cm="1">
        <f t="array" ref="A58">"n"&amp;SUBSTITUTE(CreateGuidString(),"-","_")</f>
        <v>n7B5FBBC0_9CA6_4681_8ED2_F0BF074B687F</v>
      </c>
      <c r="B58" s="6" t="str">
        <f>NodesData[[#This Row],[name]]&amp;" ("&amp;NodesData[[#This Row],[main_class]]&amp;")"</f>
        <v>Basic Z Rule (Concept)</v>
      </c>
      <c r="C58" s="17" t="s">
        <v>645</v>
      </c>
      <c r="D58" s="3" t="s">
        <v>1409</v>
      </c>
      <c r="E58" s="10" t="s">
        <v>644</v>
      </c>
      <c r="F58" s="3">
        <f t="shared" si="0"/>
        <v>56</v>
      </c>
      <c r="G58" s="3">
        <f>COUNTIF(NodesData[label],NodesData[[#This Row],[label]])</f>
        <v>1</v>
      </c>
      <c r="H58" s="3">
        <f>COUNTIF(EdgesData[from],NodesData[[#This Row],[id]])+COUNTIF(EdgesData[to],NodesData[[#This Row],[id]])</f>
        <v>0</v>
      </c>
      <c r="I58" s="3">
        <f>IF(NodesData[[#This Row],[Used]]&gt;0,1,0)</f>
        <v>0</v>
      </c>
      <c r="J58" s="18" t="str" cm="1">
        <f t="array" ref="J58">IF(NodesData[[#This Row],[Count]]&gt;1,",","") &amp;"{"&amp;twoRangesToJSON(NodesData[[#Headers],[id]:[main_class]],NodesData[[#This Row],[id]:[main_class]])&amp;"}"</f>
        <v>,{"id":"n7B5FBBC0_9CA6_4681_8ED2_F0BF074B687F","label":"Basic Z Rule (Concept)","url":"https://open-measure.atlassian.net/wiki/spaces/DIC/pages/1228079157","main_class":"Concept"}</v>
      </c>
    </row>
    <row r="59" spans="1:10" ht="27" thickTop="1" thickBot="1" x14ac:dyDescent="0.4">
      <c r="A59" s="3" t="str" cm="1">
        <f t="array" ref="A59">"n"&amp;SUBSTITUTE(CreateGuidString(),"-","_")</f>
        <v>nCD7846CC_5916_40BD_B26E_6C3834FA4591</v>
      </c>
      <c r="B59" s="6" t="str">
        <f>NodesData[[#This Row],[name]]&amp;" ("&amp;NodesData[[#This Row],[main_class]]&amp;")"</f>
        <v>Back-end Authentication (Concept)</v>
      </c>
      <c r="C59" s="12"/>
      <c r="D59" s="3" t="s">
        <v>1409</v>
      </c>
      <c r="E59" s="10" t="s">
        <v>1346</v>
      </c>
      <c r="F59" s="3">
        <f t="shared" si="0"/>
        <v>57</v>
      </c>
      <c r="G59" s="3">
        <f>COUNTIF(NodesData[label],NodesData[[#This Row],[label]])</f>
        <v>1</v>
      </c>
      <c r="H59" s="3">
        <f>COUNTIF(EdgesData[from],NodesData[[#This Row],[id]])+COUNTIF(EdgesData[to],NodesData[[#This Row],[id]])</f>
        <v>0</v>
      </c>
      <c r="I59" s="3">
        <f>IF(NodesData[[#This Row],[Used]]&gt;0,1,0)</f>
        <v>0</v>
      </c>
      <c r="J59" s="18" t="str" cm="1">
        <f t="array" ref="J59">IF(NodesData[[#This Row],[Count]]&gt;1,",","") &amp;"{"&amp;twoRangesToJSON(NodesData[[#Headers],[id]:[main_class]],NodesData[[#This Row],[id]:[main_class]])&amp;"}"</f>
        <v>,{"id":"nCD7846CC_5916_40BD_B26E_6C3834FA4591","label":"Back-end Authentication (Concept)","url":"","main_class":"Concept"}</v>
      </c>
    </row>
    <row r="60" spans="1:10" ht="27" thickTop="1" thickBot="1" x14ac:dyDescent="0.4">
      <c r="A60" s="3" t="str" cm="1">
        <f t="array" ref="A60">"n"&amp;SUBSTITUTE(CreateGuidString(),"-","_")</f>
        <v>n61E2B781_5AD8_404F_9A12_44B6A0FE6113</v>
      </c>
      <c r="B60" s="6" t="str">
        <f>NodesData[[#This Row],[name]]&amp;" ("&amp;NodesData[[#This Row],[main_class]]&amp;")"</f>
        <v>Bell-LaPadula Model (Concept)</v>
      </c>
      <c r="C60" s="17" t="s">
        <v>647</v>
      </c>
      <c r="D60" s="3" t="s">
        <v>1409</v>
      </c>
      <c r="E60" s="10" t="s">
        <v>102</v>
      </c>
      <c r="F60" s="3">
        <f t="shared" si="0"/>
        <v>58</v>
      </c>
      <c r="G60" s="3">
        <f>COUNTIF(NodesData[label],NodesData[[#This Row],[label]])</f>
        <v>1</v>
      </c>
      <c r="H60" s="3">
        <f>COUNTIF(EdgesData[from],NodesData[[#This Row],[id]])+COUNTIF(EdgesData[to],NodesData[[#This Row],[id]])</f>
        <v>0</v>
      </c>
      <c r="I60" s="3">
        <f>IF(NodesData[[#This Row],[Used]]&gt;0,1,0)</f>
        <v>0</v>
      </c>
      <c r="J60" s="18" t="str" cm="1">
        <f t="array" ref="J60">IF(NodesData[[#This Row],[Count]]&gt;1,",","") &amp;"{"&amp;twoRangesToJSON(NodesData[[#Headers],[id]:[main_class]],NodesData[[#This Row],[id]:[main_class]])&amp;"}"</f>
        <v>,{"id":"n61E2B781_5AD8_404F_9A12_44B6A0FE6113","label":"Bell-LaPadula Model (Concept)","url":"https://open-measure.atlassian.net/wiki/spaces/DIC/pages/1237549087/Bell-LaPadula+Model","main_class":"Concept"}</v>
      </c>
    </row>
    <row r="61" spans="1:10" ht="27" thickTop="1" thickBot="1" x14ac:dyDescent="0.4">
      <c r="A61" s="3" t="str" cm="1">
        <f t="array" ref="A61">"n"&amp;SUBSTITUTE(CreateGuidString(),"-","_")</f>
        <v>n77645F60_BBED_4150_B02C_514542EBB744</v>
      </c>
      <c r="B61" s="6" t="str">
        <f>NodesData[[#This Row],[name]]&amp;" ("&amp;NodesData[[#This Row],[main_class]]&amp;")"</f>
        <v>Behavioral Authentication (Concept)</v>
      </c>
      <c r="C61" s="17" t="s">
        <v>646</v>
      </c>
      <c r="D61" s="3" t="s">
        <v>1409</v>
      </c>
      <c r="E61" s="10" t="s">
        <v>100</v>
      </c>
      <c r="F61" s="3">
        <f t="shared" si="0"/>
        <v>59</v>
      </c>
      <c r="G61" s="3">
        <f>COUNTIF(NodesData[label],NodesData[[#This Row],[label]])</f>
        <v>1</v>
      </c>
      <c r="H61" s="3">
        <f>COUNTIF(EdgesData[from],NodesData[[#This Row],[id]])+COUNTIF(EdgesData[to],NodesData[[#This Row],[id]])</f>
        <v>0</v>
      </c>
      <c r="I61" s="3">
        <f>IF(NodesData[[#This Row],[Used]]&gt;0,1,0)</f>
        <v>0</v>
      </c>
      <c r="J61" s="18" t="str" cm="1">
        <f t="array" ref="J61">IF(NodesData[[#This Row],[Count]]&gt;1,",","") &amp;"{"&amp;twoRangesToJSON(NodesData[[#Headers],[id]:[main_class]],NodesData[[#This Row],[id]:[main_class]])&amp;"}"</f>
        <v>,{"id":"n77645F60_BBED_4150_B02C_514542EBB744","label":"Behavioral Authentication (Concept)","url":"https://open-measure.atlassian.net/wiki/spaces/DIC/pages/1673527501/Behavioral+Authentication","main_class":"Concept"}</v>
      </c>
    </row>
    <row r="62" spans="1:10" ht="27" thickTop="1" thickBot="1" x14ac:dyDescent="0.4">
      <c r="A62" s="3" t="str" cm="1">
        <f t="array" ref="A62">"n"&amp;SUBSTITUTE(CreateGuidString(),"-","_")</f>
        <v>nBA091F03_C8BF_4BAA_AFE6_3CF3D116E4A0</v>
      </c>
      <c r="B62" s="6" t="str">
        <f>NodesData[[#This Row],[name]]&amp;" ("&amp;NodesData[[#This Row],[main_class]]&amp;")"</f>
        <v>Biometric Identification (Concept)</v>
      </c>
      <c r="C62" s="17" t="s">
        <v>649</v>
      </c>
      <c r="D62" s="3" t="s">
        <v>1409</v>
      </c>
      <c r="E62" s="10" t="s">
        <v>648</v>
      </c>
      <c r="F62" s="3">
        <f t="shared" si="0"/>
        <v>60</v>
      </c>
      <c r="G62" s="3">
        <f>COUNTIF(NodesData[label],NodesData[[#This Row],[label]])</f>
        <v>1</v>
      </c>
      <c r="H62" s="3">
        <f>COUNTIF(EdgesData[from],NodesData[[#This Row],[id]])+COUNTIF(EdgesData[to],NodesData[[#This Row],[id]])</f>
        <v>0</v>
      </c>
      <c r="I62" s="3">
        <f>IF(NodesData[[#This Row],[Used]]&gt;0,1,0)</f>
        <v>0</v>
      </c>
      <c r="J62" s="18" t="str" cm="1">
        <f t="array" ref="J62">IF(NodesData[[#This Row],[Count]]&gt;1,",","") &amp;"{"&amp;twoRangesToJSON(NodesData[[#Headers],[id]:[main_class]],NodesData[[#This Row],[id]:[main_class]])&amp;"}"</f>
        <v>,{"id":"nBA091F03_C8BF_4BAA_AFE6_3CF3D116E4A0","label":"Biometric Identification (Concept)","url":"https://open-measure.atlassian.net/wiki/spaces/DIC/pages/409174210","main_class":"Concept"}</v>
      </c>
    </row>
    <row r="63" spans="1:10" ht="27" thickTop="1" thickBot="1" x14ac:dyDescent="0.4">
      <c r="A63" s="3" t="str" cm="1">
        <f t="array" ref="A63">"n"&amp;SUBSTITUTE(CreateGuidString(),"-","_")</f>
        <v>nBBE0D7F8_6D84_4203_912E_A7F464F1AAEB</v>
      </c>
      <c r="B63" s="6" t="str">
        <f>NodesData[[#This Row],[name]]&amp;" ("&amp;NodesData[[#This Row],[main_class]]&amp;")"</f>
        <v>Biometrics (Concept)</v>
      </c>
      <c r="C63" s="17" t="s">
        <v>651</v>
      </c>
      <c r="D63" s="3" t="s">
        <v>1409</v>
      </c>
      <c r="E63" s="10" t="s">
        <v>650</v>
      </c>
      <c r="F63" s="3">
        <f t="shared" si="0"/>
        <v>61</v>
      </c>
      <c r="G63" s="3">
        <f>COUNTIF(NodesData[label],NodesData[[#This Row],[label]])</f>
        <v>1</v>
      </c>
      <c r="H63" s="3">
        <f>COUNTIF(EdgesData[from],NodesData[[#This Row],[id]])+COUNTIF(EdgesData[to],NodesData[[#This Row],[id]])</f>
        <v>0</v>
      </c>
      <c r="I63" s="3">
        <f>IF(NodesData[[#This Row],[Used]]&gt;0,1,0)</f>
        <v>0</v>
      </c>
      <c r="J63" s="18" t="str" cm="1">
        <f t="array" ref="J63">IF(NodesData[[#This Row],[Count]]&gt;1,",","") &amp;"{"&amp;twoRangesToJSON(NodesData[[#Headers],[id]:[main_class]],NodesData[[#This Row],[id]:[main_class]])&amp;"}"</f>
        <v>,{"id":"nBBE0D7F8_6D84_4203_912E_A7F464F1AAEB","label":"Biometrics (Concept)","url":"https://open-measure.atlassian.net/wiki/spaces/DIC/pages/409010581","main_class":"Concept"}</v>
      </c>
    </row>
    <row r="64" spans="1:10" ht="27" thickTop="1" thickBot="1" x14ac:dyDescent="0.4">
      <c r="A64" s="3" t="str" cm="1">
        <f t="array" ref="A64">"n"&amp;SUBSTITUTE(CreateGuidString(),"-","_")</f>
        <v>nDBCFE2DF_1046_4A6F_B5E8_EA0B04DD83B1</v>
      </c>
      <c r="B64" s="6" t="str">
        <f>NodesData[[#This Row],[name]]&amp;" ("&amp;NodesData[[#This Row],[main_class]]&amp;")"</f>
        <v>Birth Certificate (Concept)</v>
      </c>
      <c r="C64" s="17" t="s">
        <v>653</v>
      </c>
      <c r="D64" s="3" t="s">
        <v>1409</v>
      </c>
      <c r="E64" s="10" t="s">
        <v>652</v>
      </c>
      <c r="F64" s="3">
        <f t="shared" si="0"/>
        <v>62</v>
      </c>
      <c r="G64" s="3">
        <f>COUNTIF(NodesData[label],NodesData[[#This Row],[label]])</f>
        <v>1</v>
      </c>
      <c r="H64" s="3">
        <f>COUNTIF(EdgesData[from],NodesData[[#This Row],[id]])+COUNTIF(EdgesData[to],NodesData[[#This Row],[id]])</f>
        <v>0</v>
      </c>
      <c r="I64" s="3">
        <f>IF(NodesData[[#This Row],[Used]]&gt;0,1,0)</f>
        <v>0</v>
      </c>
      <c r="J64" s="18" t="str" cm="1">
        <f t="array" ref="J64">IF(NodesData[[#This Row],[Count]]&gt;1,",","") &amp;"{"&amp;twoRangesToJSON(NodesData[[#Headers],[id]:[main_class]],NodesData[[#This Row],[id]:[main_class]])&amp;"}"</f>
        <v>,{"id":"nDBCFE2DF_1046_4A6F_B5E8_EA0B04DD83B1","label":"Birth Certificate (Concept)","url":"https://open-measure.atlassian.net/wiki/spaces/DIC/pages/1031209441","main_class":"Concept"}</v>
      </c>
    </row>
    <row r="65" spans="1:10" ht="27" thickTop="1" thickBot="1" x14ac:dyDescent="0.4">
      <c r="A65" s="3" t="str" cm="1">
        <f t="array" ref="A65">"n"&amp;SUBSTITUTE(CreateGuidString(),"-","_")</f>
        <v>nF74E564C_4840_4C82_869A_DBBB8DDF96BD</v>
      </c>
      <c r="B65" s="6" t="str">
        <f>NodesData[[#This Row],[name]]&amp;" ("&amp;NodesData[[#This Row],[main_class]]&amp;")"</f>
        <v>Blast Radius (Concept)</v>
      </c>
      <c r="C65" s="17" t="s">
        <v>655</v>
      </c>
      <c r="D65" s="3" t="s">
        <v>1409</v>
      </c>
      <c r="E65" s="10" t="s">
        <v>654</v>
      </c>
      <c r="F65" s="3">
        <f t="shared" si="0"/>
        <v>63</v>
      </c>
      <c r="G65" s="3">
        <f>COUNTIF(NodesData[label],NodesData[[#This Row],[label]])</f>
        <v>1</v>
      </c>
      <c r="H65" s="3">
        <f>COUNTIF(EdgesData[from],NodesData[[#This Row],[id]])+COUNTIF(EdgesData[to],NodesData[[#This Row],[id]])</f>
        <v>0</v>
      </c>
      <c r="I65" s="3">
        <f>IF(NodesData[[#This Row],[Used]]&gt;0,1,0)</f>
        <v>0</v>
      </c>
      <c r="J65" s="18" t="str" cm="1">
        <f t="array" ref="J65">IF(NodesData[[#This Row],[Count]]&gt;1,",","") &amp;"{"&amp;twoRangesToJSON(NodesData[[#Headers],[id]:[main_class]],NodesData[[#This Row],[id]:[main_class]])&amp;"}"</f>
        <v>,{"id":"nF74E564C_4840_4C82_869A_DBBB8DDF96BD","label":"Blast Radius (Concept)","url":"https://open-measure.atlassian.net/wiki/spaces/DIC/pages/794492970","main_class":"Concept"}</v>
      </c>
    </row>
    <row r="66" spans="1:10" ht="27" thickTop="1" thickBot="1" x14ac:dyDescent="0.4">
      <c r="A66" s="3" t="str" cm="1">
        <f t="array" ref="A66">"n"&amp;SUBSTITUTE(CreateGuidString(),"-","_")</f>
        <v>n524AD439_BC3B_43B8_B44E_17E438E29170</v>
      </c>
      <c r="B66" s="6" t="str">
        <f>NodesData[[#This Row],[name]]&amp;" ("&amp;NodesData[[#This Row],[main_class]]&amp;")"</f>
        <v>Boundary Control (Concept)</v>
      </c>
      <c r="C66" s="17" t="s">
        <v>656</v>
      </c>
      <c r="D66" s="3" t="s">
        <v>1409</v>
      </c>
      <c r="E66" s="10" t="s">
        <v>109</v>
      </c>
      <c r="F66" s="3">
        <f t="shared" si="0"/>
        <v>64</v>
      </c>
      <c r="G66" s="3">
        <f>COUNTIF(NodesData[label],NodesData[[#This Row],[label]])</f>
        <v>1</v>
      </c>
      <c r="H66" s="3">
        <f>COUNTIF(EdgesData[from],NodesData[[#This Row],[id]])+COUNTIF(EdgesData[to],NodesData[[#This Row],[id]])</f>
        <v>0</v>
      </c>
      <c r="I66" s="3">
        <f>IF(NodesData[[#This Row],[Used]]&gt;0,1,0)</f>
        <v>0</v>
      </c>
      <c r="J66" s="18" t="str" cm="1">
        <f t="array" ref="J66">IF(NodesData[[#This Row],[Count]]&gt;1,",","") &amp;"{"&amp;twoRangesToJSON(NodesData[[#Headers],[id]:[main_class]],NodesData[[#This Row],[id]:[main_class]])&amp;"}"</f>
        <v>,{"id":"n524AD439_BC3B_43B8_B44E_17E438E29170","label":"Boundary Control (Concept)","url":"https://open-measure.atlassian.net/wiki/spaces/DIC/pages/1571389777/Boundary+Control","main_class":"Concept"}</v>
      </c>
    </row>
    <row r="67" spans="1:10" ht="27" thickTop="1" thickBot="1" x14ac:dyDescent="0.4">
      <c r="A67" s="3" t="str" cm="1">
        <f t="array" ref="A67">"n"&amp;SUBSTITUTE(CreateGuidString(),"-","_")</f>
        <v>n3523AC43_23B7_4222_B1E5_4B7AD02737DD</v>
      </c>
      <c r="B67" s="6" t="str">
        <f>NodesData[[#This Row],[name]]&amp;" ("&amp;NodesData[[#This Row],[main_class]]&amp;")"</f>
        <v>Biometric Authentication (Concept)</v>
      </c>
      <c r="C67" s="12"/>
      <c r="D67" s="3" t="s">
        <v>1409</v>
      </c>
      <c r="E67" s="10" t="s">
        <v>1347</v>
      </c>
      <c r="F67" s="3">
        <f t="shared" si="0"/>
        <v>65</v>
      </c>
      <c r="G67" s="3">
        <f>COUNTIF(NodesData[label],NodesData[[#This Row],[label]])</f>
        <v>1</v>
      </c>
      <c r="H67" s="3">
        <f>COUNTIF(EdgesData[from],NodesData[[#This Row],[id]])+COUNTIF(EdgesData[to],NodesData[[#This Row],[id]])</f>
        <v>0</v>
      </c>
      <c r="I67" s="3">
        <f>IF(NodesData[[#This Row],[Used]]&gt;0,1,0)</f>
        <v>0</v>
      </c>
      <c r="J67" s="18" t="str" cm="1">
        <f t="array" ref="J67">IF(NodesData[[#This Row],[Count]]&gt;1,",","") &amp;"{"&amp;twoRangesToJSON(NodesData[[#Headers],[id]:[main_class]],NodesData[[#This Row],[id]:[main_class]])&amp;"}"</f>
        <v>,{"id":"n3523AC43_23B7_4222_B1E5_4B7AD02737DD","label":"Biometric Authentication (Concept)","url":"","main_class":"Concept"}</v>
      </c>
    </row>
    <row r="68" spans="1:10" ht="27" thickTop="1" thickBot="1" x14ac:dyDescent="0.4">
      <c r="A68" s="3" t="str" cm="1">
        <f t="array" ref="A68">"n"&amp;SUBSTITUTE(CreateGuidString(),"-","_")</f>
        <v>n9254E779_C702_417D_B4DD_30F961A8591D</v>
      </c>
      <c r="B68" s="6" t="str">
        <f>NodesData[[#This Row],[name]]&amp;" ("&amp;NodesData[[#This Row],[main_class]]&amp;")"</f>
        <v>Broker (Concept)</v>
      </c>
      <c r="C68" s="17" t="s">
        <v>658</v>
      </c>
      <c r="D68" s="3" t="s">
        <v>1409</v>
      </c>
      <c r="E68" s="10" t="s">
        <v>657</v>
      </c>
      <c r="F68" s="3">
        <f t="shared" si="0"/>
        <v>66</v>
      </c>
      <c r="G68" s="3">
        <f>COUNTIF(NodesData[label],NodesData[[#This Row],[label]])</f>
        <v>1</v>
      </c>
      <c r="H68" s="3">
        <f>COUNTIF(EdgesData[from],NodesData[[#This Row],[id]])+COUNTIF(EdgesData[to],NodesData[[#This Row],[id]])</f>
        <v>0</v>
      </c>
      <c r="I68" s="3">
        <f>IF(NodesData[[#This Row],[Used]]&gt;0,1,0)</f>
        <v>0</v>
      </c>
      <c r="J68" s="18" t="str" cm="1">
        <f t="array" ref="J68">IF(NodesData[[#This Row],[Count]]&gt;1,",","") &amp;"{"&amp;twoRangesToJSON(NodesData[[#Headers],[id]:[main_class]],NodesData[[#This Row],[id]:[main_class]])&amp;"}"</f>
        <v>,{"id":"n9254E779_C702_417D_B4DD_30F961A8591D","label":"Broker (Concept)","url":"https://open-measure.atlassian.net/wiki/spaces/DIC/pages/81101750","main_class":"Concept"}</v>
      </c>
    </row>
    <row r="69" spans="1:10" ht="27" thickTop="1" thickBot="1" x14ac:dyDescent="0.4">
      <c r="A69" s="3" t="str" cm="1">
        <f t="array" ref="A69">"n"&amp;SUBSTITUTE(CreateGuidString(),"-","_")</f>
        <v>n1EE8A3AD_4A02_46ED_B144_587393961B3F</v>
      </c>
      <c r="B69" s="6" t="str">
        <f>NodesData[[#This Row],[name]]&amp;" ("&amp;NodesData[[#This Row],[main_class]]&amp;")"</f>
        <v>Brute Force Attack (Concept)</v>
      </c>
      <c r="C69" s="17" t="s">
        <v>659</v>
      </c>
      <c r="D69" s="3" t="s">
        <v>1409</v>
      </c>
      <c r="E69" s="10" t="s">
        <v>111</v>
      </c>
      <c r="F69" s="3">
        <f t="shared" ref="F69:F132" si="1">F68+1</f>
        <v>67</v>
      </c>
      <c r="G69" s="3">
        <f>COUNTIF(NodesData[label],NodesData[[#This Row],[label]])</f>
        <v>1</v>
      </c>
      <c r="H69" s="3">
        <f>COUNTIF(EdgesData[from],NodesData[[#This Row],[id]])+COUNTIF(EdgesData[to],NodesData[[#This Row],[id]])</f>
        <v>0</v>
      </c>
      <c r="I69" s="3">
        <f>IF(NodesData[[#This Row],[Used]]&gt;0,1,0)</f>
        <v>0</v>
      </c>
      <c r="J69" s="18" t="str" cm="1">
        <f t="array" ref="J69">IF(NodesData[[#This Row],[Count]]&gt;1,",","") &amp;"{"&amp;twoRangesToJSON(NodesData[[#Headers],[id]:[main_class]],NodesData[[#This Row],[id]:[main_class]])&amp;"}"</f>
        <v>,{"id":"n1EE8A3AD_4A02_46ED_B144_587393961B3F","label":"Brute Force Attack (Concept)","url":"https://open-measure.atlassian.net/wiki/spaces/DIC/pages/1348763687/Brute+Force+Attack","main_class":"Concept"}</v>
      </c>
    </row>
    <row r="70" spans="1:10" ht="27" thickTop="1" thickBot="1" x14ac:dyDescent="0.4">
      <c r="A70" s="3" t="str" cm="1">
        <f t="array" ref="A70">"n"&amp;SUBSTITUTE(CreateGuidString(),"-","_")</f>
        <v>nD339E50D_1E47_46EA_8F1D_805F62711DBE</v>
      </c>
      <c r="B70" s="6" t="str">
        <f>NodesData[[#This Row],[name]]&amp;" ("&amp;NodesData[[#This Row],[main_class]]&amp;")"</f>
        <v>Built-in (Concept)</v>
      </c>
      <c r="C70" s="17" t="s">
        <v>661</v>
      </c>
      <c r="D70" s="3" t="s">
        <v>1409</v>
      </c>
      <c r="E70" s="10" t="s">
        <v>660</v>
      </c>
      <c r="F70" s="3">
        <f t="shared" si="1"/>
        <v>68</v>
      </c>
      <c r="G70" s="3">
        <f>COUNTIF(NodesData[label],NodesData[[#This Row],[label]])</f>
        <v>1</v>
      </c>
      <c r="H70" s="3">
        <f>COUNTIF(EdgesData[from],NodesData[[#This Row],[id]])+COUNTIF(EdgesData[to],NodesData[[#This Row],[id]])</f>
        <v>0</v>
      </c>
      <c r="I70" s="3">
        <f>IF(NodesData[[#This Row],[Used]]&gt;0,1,0)</f>
        <v>0</v>
      </c>
      <c r="J70" s="18" t="str" cm="1">
        <f t="array" ref="J70">IF(NodesData[[#This Row],[Count]]&gt;1,",","") &amp;"{"&amp;twoRangesToJSON(NodesData[[#Headers],[id]:[main_class]],NodesData[[#This Row],[id]:[main_class]])&amp;"}"</f>
        <v>,{"id":"nD339E50D_1E47_46EA_8F1D_805F62711DBE","label":"Built-in (Concept)","url":"https://open-measure.atlassian.net/wiki/spaces/DIC/pages/140772106","main_class":"Concept"}</v>
      </c>
    </row>
    <row r="71" spans="1:10" ht="27" thickTop="1" thickBot="1" x14ac:dyDescent="0.4">
      <c r="A71" s="3" t="str" cm="1">
        <f t="array" ref="A71">"n"&amp;SUBSTITUTE(CreateGuidString(),"-","_")</f>
        <v>nEF0CCF77_1C54_4308_A7E8_B15C08EBBA4E</v>
      </c>
      <c r="B71" s="6" t="str">
        <f>NodesData[[#This Row],[name]]&amp;" ("&amp;NodesData[[#This Row],[main_class]]&amp;")"</f>
        <v>BZR (Acronym)</v>
      </c>
      <c r="C71" s="17" t="s">
        <v>662</v>
      </c>
      <c r="D71" s="3" t="s">
        <v>1301</v>
      </c>
      <c r="E71" s="10" t="s">
        <v>113</v>
      </c>
      <c r="F71" s="3">
        <f t="shared" si="1"/>
        <v>69</v>
      </c>
      <c r="G71" s="3">
        <f>COUNTIF(NodesData[label],NodesData[[#This Row],[label]])</f>
        <v>1</v>
      </c>
      <c r="H71" s="3">
        <f>COUNTIF(EdgesData[from],NodesData[[#This Row],[id]])+COUNTIF(EdgesData[to],NodesData[[#This Row],[id]])</f>
        <v>0</v>
      </c>
      <c r="I71" s="3">
        <f>IF(NodesData[[#This Row],[Used]]&gt;0,1,0)</f>
        <v>0</v>
      </c>
      <c r="J71" s="18" t="str" cm="1">
        <f t="array" ref="J71">IF(NodesData[[#This Row],[Count]]&gt;1,",","") &amp;"{"&amp;twoRangesToJSON(NodesData[[#Headers],[id]:[main_class]],NodesData[[#This Row],[id]:[main_class]])&amp;"}"</f>
        <v>,{"id":"nEF0CCF77_1C54_4308_A7E8_B15C08EBBA4E","label":"BZR (Acronym)","url":"https://open-measure.atlassian.net/wiki/spaces/DIC/pages/1228079170/BZR","main_class":"Acronym"}</v>
      </c>
    </row>
    <row r="72" spans="1:10" ht="27" thickTop="1" thickBot="1" x14ac:dyDescent="0.4">
      <c r="A72" s="3" t="str" cm="1">
        <f t="array" ref="A72">"n"&amp;SUBSTITUTE(CreateGuidString(),"-","_")</f>
        <v>nE6D60344_774A_4B47_8A00_06181B7C15B9</v>
      </c>
      <c r="B72" s="6" t="str">
        <f>NodesData[[#This Row],[name]]&amp;" ("&amp;NodesData[[#This Row],[main_class]]&amp;")"</f>
        <v>Cached Credential (Concept)</v>
      </c>
      <c r="C72" s="17" t="s">
        <v>663</v>
      </c>
      <c r="D72" s="3" t="s">
        <v>1409</v>
      </c>
      <c r="E72" s="10" t="s">
        <v>114</v>
      </c>
      <c r="F72" s="3">
        <f t="shared" si="1"/>
        <v>70</v>
      </c>
      <c r="G72" s="3">
        <f>COUNTIF(NodesData[label],NodesData[[#This Row],[label]])</f>
        <v>1</v>
      </c>
      <c r="H72" s="3">
        <f>COUNTIF(EdgesData[from],NodesData[[#This Row],[id]])+COUNTIF(EdgesData[to],NodesData[[#This Row],[id]])</f>
        <v>0</v>
      </c>
      <c r="I72" s="3">
        <f>IF(NodesData[[#This Row],[Used]]&gt;0,1,0)</f>
        <v>0</v>
      </c>
      <c r="J72" s="18" t="str" cm="1">
        <f t="array" ref="J72">IF(NodesData[[#This Row],[Count]]&gt;1,",","") &amp;"{"&amp;twoRangesToJSON(NodesData[[#Headers],[id]:[main_class]],NodesData[[#This Row],[id]:[main_class]])&amp;"}"</f>
        <v>,{"id":"nE6D60344_774A_4B47_8A00_06181B7C15B9","label":"Cached Credential (Concept)","url":"https://open-measure.atlassian.net/wiki/spaces/DIC/pages/1254588417/Cached+Credential","main_class":"Concept"}</v>
      </c>
    </row>
    <row r="73" spans="1:10" ht="27" thickTop="1" thickBot="1" x14ac:dyDescent="0.4">
      <c r="A73" s="3" t="str" cm="1">
        <f t="array" ref="A73">"n"&amp;SUBSTITUTE(CreateGuidString(),"-","_")</f>
        <v>nF7666F98_9978_4499_9D65_A8BE693ED089</v>
      </c>
      <c r="B73" s="6" t="str">
        <f>NodesData[[#This Row],[name]]&amp;" ("&amp;NodesData[[#This Row],[main_class]]&amp;")"</f>
        <v>CDD (Acronym)</v>
      </c>
      <c r="C73" s="17" t="s">
        <v>664</v>
      </c>
      <c r="D73" s="3" t="s">
        <v>1301</v>
      </c>
      <c r="E73" s="10" t="s">
        <v>118</v>
      </c>
      <c r="F73" s="3">
        <f t="shared" si="1"/>
        <v>71</v>
      </c>
      <c r="G73" s="3">
        <f>COUNTIF(NodesData[label],NodesData[[#This Row],[label]])</f>
        <v>1</v>
      </c>
      <c r="H73" s="3">
        <f>COUNTIF(EdgesData[from],NodesData[[#This Row],[id]])+COUNTIF(EdgesData[to],NodesData[[#This Row],[id]])</f>
        <v>0</v>
      </c>
      <c r="I73" s="3">
        <f>IF(NodesData[[#This Row],[Used]]&gt;0,1,0)</f>
        <v>0</v>
      </c>
      <c r="J73" s="18" t="str" cm="1">
        <f t="array" ref="J73">IF(NodesData[[#This Row],[Count]]&gt;1,",","") &amp;"{"&amp;twoRangesToJSON(NodesData[[#Headers],[id]:[main_class]],NodesData[[#This Row],[id]:[main_class]])&amp;"}"</f>
        <v>,{"id":"nF7666F98_9978_4499_9D65_A8BE693ED089","label":"CDD (Acronym)","url":"https://open-measure.atlassian.net/wiki/spaces/DIC/pages/442466346/CDD","main_class":"Acronym"}</v>
      </c>
    </row>
    <row r="74" spans="1:10" ht="27" thickTop="1" thickBot="1" x14ac:dyDescent="0.4">
      <c r="A74" s="3" t="str" cm="1">
        <f t="array" ref="A74">"n"&amp;SUBSTITUTE(CreateGuidString(),"-","_")</f>
        <v>n552C859A_36A1_44E6_8B7D_E476062CEB6F</v>
      </c>
      <c r="B74" s="6" t="str">
        <f>NodesData[[#This Row],[name]]&amp;" ("&amp;NodesData[[#This Row],[main_class]]&amp;")"</f>
        <v>Centralized Identity Management System (Concept)</v>
      </c>
      <c r="C74" s="17" t="s">
        <v>666</v>
      </c>
      <c r="D74" s="3" t="s">
        <v>1409</v>
      </c>
      <c r="E74" s="10" t="s">
        <v>665</v>
      </c>
      <c r="F74" s="3">
        <f t="shared" si="1"/>
        <v>72</v>
      </c>
      <c r="G74" s="3">
        <f>COUNTIF(NodesData[label],NodesData[[#This Row],[label]])</f>
        <v>1</v>
      </c>
      <c r="H74" s="3">
        <f>COUNTIF(EdgesData[from],NodesData[[#This Row],[id]])+COUNTIF(EdgesData[to],NodesData[[#This Row],[id]])</f>
        <v>0</v>
      </c>
      <c r="I74" s="3">
        <f>IF(NodesData[[#This Row],[Used]]&gt;0,1,0)</f>
        <v>0</v>
      </c>
      <c r="J74" s="18" t="str" cm="1">
        <f t="array" ref="J74">IF(NodesData[[#This Row],[Count]]&gt;1,",","") &amp;"{"&amp;twoRangesToJSON(NodesData[[#Headers],[id]:[main_class]],NodesData[[#This Row],[id]:[main_class]])&amp;"}"</f>
        <v>,{"id":"n552C859A_36A1_44E6_8B7D_E476062CEB6F","label":"Centralized Identity Management System (Concept)","url":"https://open-measure.atlassian.net/wiki/spaces/DIC/pages/1152483641","main_class":"Concept"}</v>
      </c>
    </row>
    <row r="75" spans="1:10" ht="27" thickTop="1" thickBot="1" x14ac:dyDescent="0.4">
      <c r="A75" s="3" t="str" cm="1">
        <f t="array" ref="A75">"n"&amp;SUBSTITUTE(CreateGuidString(),"-","_")</f>
        <v>n8F302AC7_6DD2_4059_9405_7AA631830A92</v>
      </c>
      <c r="B75" s="6" t="str">
        <f>NodesData[[#This Row],[name]]&amp;" ("&amp;NodesData[[#This Row],[main_class]]&amp;")"</f>
        <v>Brainwaves Authentication (Concept)</v>
      </c>
      <c r="C75" s="12"/>
      <c r="D75" s="3" t="s">
        <v>1409</v>
      </c>
      <c r="E75" s="10" t="s">
        <v>1348</v>
      </c>
      <c r="F75" s="3">
        <f t="shared" si="1"/>
        <v>73</v>
      </c>
      <c r="G75" s="3">
        <f>COUNTIF(NodesData[label],NodesData[[#This Row],[label]])</f>
        <v>1</v>
      </c>
      <c r="H75" s="3">
        <f>COUNTIF(EdgesData[from],NodesData[[#This Row],[id]])+COUNTIF(EdgesData[to],NodesData[[#This Row],[id]])</f>
        <v>0</v>
      </c>
      <c r="I75" s="3">
        <f>IF(NodesData[[#This Row],[Used]]&gt;0,1,0)</f>
        <v>0</v>
      </c>
      <c r="J75" s="18" t="str" cm="1">
        <f t="array" ref="J75">IF(NodesData[[#This Row],[Count]]&gt;1,",","") &amp;"{"&amp;twoRangesToJSON(NodesData[[#Headers],[id]:[main_class]],NodesData[[#This Row],[id]:[main_class]])&amp;"}"</f>
        <v>,{"id":"n8F302AC7_6DD2_4059_9405_7AA631830A92","label":"Brainwaves Authentication (Concept)","url":"","main_class":"Concept"}</v>
      </c>
    </row>
    <row r="76" spans="1:10" ht="27" thickTop="1" thickBot="1" x14ac:dyDescent="0.4">
      <c r="A76" s="3" t="str" cm="1">
        <f t="array" ref="A76">"n"&amp;SUBSTITUTE(CreateGuidString(),"-","_")</f>
        <v>n7BA9F1EC_F279_4E06_B01A_C190F5D0B897</v>
      </c>
      <c r="B76" s="6" t="str">
        <f>NodesData[[#This Row],[name]]&amp;" ("&amp;NodesData[[#This Row],[main_class]]&amp;")"</f>
        <v>Certification (Concept)</v>
      </c>
      <c r="C76" s="17" t="s">
        <v>668</v>
      </c>
      <c r="D76" s="3" t="s">
        <v>1409</v>
      </c>
      <c r="E76" s="10" t="s">
        <v>667</v>
      </c>
      <c r="F76" s="3">
        <f t="shared" si="1"/>
        <v>74</v>
      </c>
      <c r="G76" s="3">
        <f>COUNTIF(NodesData[label],NodesData[[#This Row],[label]])</f>
        <v>1</v>
      </c>
      <c r="H76" s="3">
        <f>COUNTIF(EdgesData[from],NodesData[[#This Row],[id]])+COUNTIF(EdgesData[to],NodesData[[#This Row],[id]])</f>
        <v>0</v>
      </c>
      <c r="I76" s="3">
        <f>IF(NodesData[[#This Row],[Used]]&gt;0,1,0)</f>
        <v>0</v>
      </c>
      <c r="J76" s="18" t="str" cm="1">
        <f t="array" ref="J76">IF(NodesData[[#This Row],[Count]]&gt;1,",","") &amp;"{"&amp;twoRangesToJSON(NodesData[[#Headers],[id]:[main_class]],NodesData[[#This Row],[id]:[main_class]])&amp;"}"</f>
        <v>,{"id":"n7BA9F1EC_F279_4E06_B01A_C190F5D0B897","label":"Certification (Concept)","url":"https://open-measure.atlassian.net/wiki/spaces/DIC/pages/823459864","main_class":"Concept"}</v>
      </c>
    </row>
    <row r="77" spans="1:10" ht="27" thickTop="1" thickBot="1" x14ac:dyDescent="0.4">
      <c r="A77" s="3" t="str" cm="1">
        <f t="array" ref="A77">"n"&amp;SUBSTITUTE(CreateGuidString(),"-","_")</f>
        <v>n9C3EF6C3_69AB_47DC_8670_C07D3D276AA5</v>
      </c>
      <c r="B77" s="6" t="str">
        <f>NodesData[[#This Row],[name]]&amp;" ("&amp;NodesData[[#This Row],[main_class]]&amp;")"</f>
        <v>CIBA (Acronym)</v>
      </c>
      <c r="C77" s="17" t="s">
        <v>669</v>
      </c>
      <c r="D77" s="3" t="s">
        <v>1301</v>
      </c>
      <c r="E77" s="10" t="s">
        <v>121</v>
      </c>
      <c r="F77" s="3">
        <f t="shared" si="1"/>
        <v>75</v>
      </c>
      <c r="G77" s="3">
        <f>COUNTIF(NodesData[label],NodesData[[#This Row],[label]])</f>
        <v>1</v>
      </c>
      <c r="H77" s="3">
        <f>COUNTIF(EdgesData[from],NodesData[[#This Row],[id]])+COUNTIF(EdgesData[to],NodesData[[#This Row],[id]])</f>
        <v>0</v>
      </c>
      <c r="I77" s="3">
        <f>IF(NodesData[[#This Row],[Used]]&gt;0,1,0)</f>
        <v>0</v>
      </c>
      <c r="J77" s="18" t="str" cm="1">
        <f t="array" ref="J77">IF(NodesData[[#This Row],[Count]]&gt;1,",","") &amp;"{"&amp;twoRangesToJSON(NodesData[[#Headers],[id]:[main_class]],NodesData[[#This Row],[id]:[main_class]])&amp;"}"</f>
        <v>,{"id":"n9C3EF6C3_69AB_47DC_8670_C07D3D276AA5","label":"CIBA (Acronym)","url":"https://open-measure.atlassian.net/wiki/spaces/DIC/pages/1290076214/CIBA","main_class":"Acronym"}</v>
      </c>
    </row>
    <row r="78" spans="1:10" ht="27" thickTop="1" thickBot="1" x14ac:dyDescent="0.4">
      <c r="A78" s="3" t="str" cm="1">
        <f t="array" ref="A78">"n"&amp;SUBSTITUTE(CreateGuidString(),"-","_")</f>
        <v>nCEA53D09_D4A0_471F_A766_525CAA393BD6</v>
      </c>
      <c r="B78" s="6" t="str">
        <f>NodesData[[#This Row],[name]]&amp;" ("&amp;NodesData[[#This Row],[main_class]]&amp;")"</f>
        <v>Claim (Concept)</v>
      </c>
      <c r="C78" s="17" t="s">
        <v>670</v>
      </c>
      <c r="D78" s="3" t="s">
        <v>1409</v>
      </c>
      <c r="E78" s="10" t="s">
        <v>122</v>
      </c>
      <c r="F78" s="3">
        <f t="shared" si="1"/>
        <v>76</v>
      </c>
      <c r="G78" s="3">
        <f>COUNTIF(NodesData[label],NodesData[[#This Row],[label]])</f>
        <v>1</v>
      </c>
      <c r="H78" s="3">
        <f>COUNTIF(EdgesData[from],NodesData[[#This Row],[id]])+COUNTIF(EdgesData[to],NodesData[[#This Row],[id]])</f>
        <v>0</v>
      </c>
      <c r="I78" s="3">
        <f>IF(NodesData[[#This Row],[Used]]&gt;0,1,0)</f>
        <v>0</v>
      </c>
      <c r="J78" s="18" t="str" cm="1">
        <f t="array" ref="J78">IF(NodesData[[#This Row],[Count]]&gt;1,",","") &amp;"{"&amp;twoRangesToJSON(NodesData[[#Headers],[id]:[main_class]],NodesData[[#This Row],[id]:[main_class]])&amp;"}"</f>
        <v>,{"id":"nCEA53D09_D4A0_471F_A766_525CAA393BD6","label":"Claim (Concept)","url":"https://open-measure.atlassian.net/wiki/spaces/DIC/pages/1323499650/Claim","main_class":"Concept"}</v>
      </c>
    </row>
    <row r="79" spans="1:10" ht="27" thickTop="1" thickBot="1" x14ac:dyDescent="0.4">
      <c r="A79" s="3" t="str" cm="1">
        <f t="array" ref="A79">"n"&amp;SUBSTITUTE(CreateGuidString(),"-","_")</f>
        <v>n2A726785_24F6_4B9A_9938_1CAC3F3E30EB</v>
      </c>
      <c r="B79" s="6" t="str">
        <f>NodesData[[#This Row],[name]]&amp;" ("&amp;NodesData[[#This Row],[main_class]]&amp;")"</f>
        <v>Claim Registry Model (Concept)</v>
      </c>
      <c r="C79" s="17" t="s">
        <v>671</v>
      </c>
      <c r="D79" s="3" t="s">
        <v>1409</v>
      </c>
      <c r="E79" s="10" t="s">
        <v>124</v>
      </c>
      <c r="F79" s="3">
        <f t="shared" si="1"/>
        <v>77</v>
      </c>
      <c r="G79" s="3">
        <f>COUNTIF(NodesData[label],NodesData[[#This Row],[label]])</f>
        <v>1</v>
      </c>
      <c r="H79" s="3">
        <f>COUNTIF(EdgesData[from],NodesData[[#This Row],[id]])+COUNTIF(EdgesData[to],NodesData[[#This Row],[id]])</f>
        <v>0</v>
      </c>
      <c r="I79" s="3">
        <f>IF(NodesData[[#This Row],[Used]]&gt;0,1,0)</f>
        <v>0</v>
      </c>
      <c r="J79" s="18" t="str" cm="1">
        <f t="array" ref="J79">IF(NodesData[[#This Row],[Count]]&gt;1,",","") &amp;"{"&amp;twoRangesToJSON(NodesData[[#Headers],[id]:[main_class]],NodesData[[#This Row],[id]:[main_class]])&amp;"}"</f>
        <v>,{"id":"n2A726785_24F6_4B9A_9938_1CAC3F3E30EB","label":"Claim Registry Model (Concept)","url":"https://open-measure.atlassian.net/wiki/spaces/DIC/pages/1309605928/Claim+Registry+Model","main_class":"Concept"}</v>
      </c>
    </row>
    <row r="80" spans="1:10" ht="27" thickTop="1" thickBot="1" x14ac:dyDescent="0.4">
      <c r="A80" s="3" t="str" cm="1">
        <f t="array" ref="A80">"n"&amp;SUBSTITUTE(CreateGuidString(),"-","_")</f>
        <v>n087E36F9_8781_499E_8AE6_966836B5190C</v>
      </c>
      <c r="B80" s="6" t="str">
        <f>NodesData[[#This Row],[name]]&amp;" ("&amp;NodesData[[#This Row],[main_class]]&amp;")"</f>
        <v>Claimant (Concept)</v>
      </c>
      <c r="C80" s="17" t="s">
        <v>673</v>
      </c>
      <c r="D80" s="3" t="s">
        <v>1409</v>
      </c>
      <c r="E80" s="10" t="s">
        <v>672</v>
      </c>
      <c r="F80" s="3">
        <f t="shared" si="1"/>
        <v>78</v>
      </c>
      <c r="G80" s="3">
        <f>COUNTIF(NodesData[label],NodesData[[#This Row],[label]])</f>
        <v>1</v>
      </c>
      <c r="H80" s="3">
        <f>COUNTIF(EdgesData[from],NodesData[[#This Row],[id]])+COUNTIF(EdgesData[to],NodesData[[#This Row],[id]])</f>
        <v>0</v>
      </c>
      <c r="I80" s="3">
        <f>IF(NodesData[[#This Row],[Used]]&gt;0,1,0)</f>
        <v>0</v>
      </c>
      <c r="J80" s="18" t="str" cm="1">
        <f t="array" ref="J80">IF(NodesData[[#This Row],[Count]]&gt;1,",","") &amp;"{"&amp;twoRangesToJSON(NodesData[[#Headers],[id]:[main_class]],NodesData[[#This Row],[id]:[main_class]])&amp;"}"</f>
        <v>,{"id":"n087E36F9_8781_499E_8AE6_966836B5190C","label":"Claimant (Concept)","url":"https://open-measure.atlassian.net/wiki/spaces/DIC/pages/848363630","main_class":"Concept"}</v>
      </c>
    </row>
    <row r="81" spans="1:10" ht="27" thickTop="1" thickBot="1" x14ac:dyDescent="0.4">
      <c r="A81" s="3" t="str" cm="1">
        <f t="array" ref="A81">"n"&amp;SUBSTITUTE(CreateGuidString(),"-","_")</f>
        <v>n8DD8E1EB_DBA1_4D66_B749_77A034807EE6</v>
      </c>
      <c r="B81" s="6" t="str">
        <f>NodesData[[#This Row],[name]]&amp;" ("&amp;NodesData[[#This Row],[main_class]]&amp;")"</f>
        <v>Classification (Concept)</v>
      </c>
      <c r="C81" s="17" t="s">
        <v>675</v>
      </c>
      <c r="D81" s="3" t="s">
        <v>1409</v>
      </c>
      <c r="E81" s="10" t="s">
        <v>674</v>
      </c>
      <c r="F81" s="3">
        <f t="shared" si="1"/>
        <v>79</v>
      </c>
      <c r="G81" s="3">
        <f>COUNTIF(NodesData[label],NodesData[[#This Row],[label]])</f>
        <v>1</v>
      </c>
      <c r="H81" s="3">
        <f>COUNTIF(EdgesData[from],NodesData[[#This Row],[id]])+COUNTIF(EdgesData[to],NodesData[[#This Row],[id]])</f>
        <v>0</v>
      </c>
      <c r="I81" s="3">
        <f>IF(NodesData[[#This Row],[Used]]&gt;0,1,0)</f>
        <v>0</v>
      </c>
      <c r="J81" s="18" t="str" cm="1">
        <f t="array" ref="J81">IF(NodesData[[#This Row],[Count]]&gt;1,",","") &amp;"{"&amp;twoRangesToJSON(NodesData[[#Headers],[id]:[main_class]],NodesData[[#This Row],[id]:[main_class]])&amp;"}"</f>
        <v>,{"id":"n8DD8E1EB_DBA1_4D66_B749_77A034807EE6","label":"Classification (Concept)","url":"https://open-measure.atlassian.net/wiki/spaces/DIC/pages/140771387","main_class":"Concept"}</v>
      </c>
    </row>
    <row r="82" spans="1:10" ht="27" thickTop="1" thickBot="1" x14ac:dyDescent="0.4">
      <c r="A82" s="3" t="str" cm="1">
        <f t="array" ref="A82">"n"&amp;SUBSTITUTE(CreateGuidString(),"-","_")</f>
        <v>n7B8C3D44_3167_479C_997A_D8AB5F2F57F1</v>
      </c>
      <c r="B82" s="6" t="str">
        <f>NodesData[[#This Row],[name]]&amp;" ("&amp;NodesData[[#This Row],[main_class]]&amp;")"</f>
        <v>Certificate-based Authentication (Concept)</v>
      </c>
      <c r="C82" s="12"/>
      <c r="D82" s="3" t="s">
        <v>1409</v>
      </c>
      <c r="E82" s="10" t="s">
        <v>1364</v>
      </c>
      <c r="F82" s="3">
        <f t="shared" si="1"/>
        <v>80</v>
      </c>
      <c r="G82" s="3">
        <f>COUNTIF(NodesData[label],NodesData[[#This Row],[label]])</f>
        <v>1</v>
      </c>
      <c r="H82" s="3">
        <f>COUNTIF(EdgesData[from],NodesData[[#This Row],[id]])+COUNTIF(EdgesData[to],NodesData[[#This Row],[id]])</f>
        <v>0</v>
      </c>
      <c r="I82" s="3">
        <f>IF(NodesData[[#This Row],[Used]]&gt;0,1,0)</f>
        <v>0</v>
      </c>
      <c r="J82" s="18" t="str" cm="1">
        <f t="array" ref="J82">IF(NodesData[[#This Row],[Count]]&gt;1,",","") &amp;"{"&amp;twoRangesToJSON(NodesData[[#Headers],[id]:[main_class]],NodesData[[#This Row],[id]:[main_class]])&amp;"}"</f>
        <v>,{"id":"n7B8C3D44_3167_479C_997A_D8AB5F2F57F1","label":"Certificate-based Authentication (Concept)","url":"","main_class":"Concept"}</v>
      </c>
    </row>
    <row r="83" spans="1:10" ht="27" thickTop="1" thickBot="1" x14ac:dyDescent="0.4">
      <c r="A83" s="3" t="str" cm="1">
        <f t="array" ref="A83">"n"&amp;SUBSTITUTE(CreateGuidString(),"-","_")</f>
        <v>n0EBDCFF2_2E55_42F5_BC6B_F5A71B7D45F4</v>
      </c>
      <c r="B83" s="6" t="str">
        <f>NodesData[[#This Row],[name]]&amp;" ("&amp;NodesData[[#This Row],[main_class]]&amp;")"</f>
        <v>Cloud Identity Management System (Concept)</v>
      </c>
      <c r="C83" s="17" t="s">
        <v>678</v>
      </c>
      <c r="D83" s="3" t="s">
        <v>1409</v>
      </c>
      <c r="E83" s="10" t="s">
        <v>677</v>
      </c>
      <c r="F83" s="3">
        <f t="shared" si="1"/>
        <v>81</v>
      </c>
      <c r="G83" s="3">
        <f>COUNTIF(NodesData[label],NodesData[[#This Row],[label]])</f>
        <v>1</v>
      </c>
      <c r="H83" s="3">
        <f>COUNTIF(EdgesData[from],NodesData[[#This Row],[id]])+COUNTIF(EdgesData[to],NodesData[[#This Row],[id]])</f>
        <v>0</v>
      </c>
      <c r="I83" s="3">
        <f>IF(NodesData[[#This Row],[Used]]&gt;0,1,0)</f>
        <v>0</v>
      </c>
      <c r="J83" s="18" t="str" cm="1">
        <f t="array" ref="J83">IF(NodesData[[#This Row],[Count]]&gt;1,",","") &amp;"{"&amp;twoRangesToJSON(NodesData[[#Headers],[id]:[main_class]],NodesData[[#This Row],[id]:[main_class]])&amp;"}"</f>
        <v>,{"id":"n0EBDCFF2_2E55_42F5_BC6B_F5A71B7D45F4","label":"Cloud Identity Management System (Concept)","url":"https://open-measure.atlassian.net/wiki/spaces/DIC/pages/1152516136","main_class":"Concept"}</v>
      </c>
    </row>
    <row r="84" spans="1:10" ht="27" thickTop="1" thickBot="1" x14ac:dyDescent="0.4">
      <c r="A84" s="3" t="str" cm="1">
        <f t="array" ref="A84">"n"&amp;SUBSTITUTE(CreateGuidString(),"-","_")</f>
        <v>n0B3543BB_F62C_4B69_9DE0_5DF8053EB646</v>
      </c>
      <c r="B84" s="6" t="str">
        <f>NodesData[[#This Row],[name]]&amp;" ("&amp;NodesData[[#This Row],[main_class]]&amp;")"</f>
        <v>Cloud IdMS (Acronym)</v>
      </c>
      <c r="C84" s="17" t="s">
        <v>680</v>
      </c>
      <c r="D84" s="3" t="s">
        <v>1301</v>
      </c>
      <c r="E84" s="10" t="s">
        <v>679</v>
      </c>
      <c r="F84" s="3">
        <f t="shared" si="1"/>
        <v>82</v>
      </c>
      <c r="G84" s="3">
        <f>COUNTIF(NodesData[label],NodesData[[#This Row],[label]])</f>
        <v>1</v>
      </c>
      <c r="H84" s="3">
        <f>COUNTIF(EdgesData[from],NodesData[[#This Row],[id]])+COUNTIF(EdgesData[to],NodesData[[#This Row],[id]])</f>
        <v>0</v>
      </c>
      <c r="I84" s="3">
        <f>IF(NodesData[[#This Row],[Used]]&gt;0,1,0)</f>
        <v>0</v>
      </c>
      <c r="J84" s="18" t="str" cm="1">
        <f t="array" ref="J84">IF(NodesData[[#This Row],[Count]]&gt;1,",","") &amp;"{"&amp;twoRangesToJSON(NodesData[[#Headers],[id]:[main_class]],NodesData[[#This Row],[id]:[main_class]])&amp;"}"</f>
        <v>,{"id":"n0B3543BB_F62C_4B69_9DE0_5DF8053EB646","label":"Cloud IdMS (Acronym)","url":"https://open-measure.atlassian.net/wiki/spaces/DIC/pages/1152516118","main_class":"Acronym"}</v>
      </c>
    </row>
    <row r="85" spans="1:10" ht="27" thickTop="1" thickBot="1" x14ac:dyDescent="0.4">
      <c r="A85" s="3" t="str" cm="1">
        <f t="array" ref="A85">"n"&amp;SUBSTITUTE(CreateGuidString(),"-","_")</f>
        <v>nD3053358_8C84_4F12_9D2F_F46B776216C0</v>
      </c>
      <c r="B85" s="6" t="str">
        <f>NodesData[[#This Row],[name]]&amp;" ("&amp;NodesData[[#This Row],[main_class]]&amp;")"</f>
        <v>Cloud Service Consumers (Concept)</v>
      </c>
      <c r="C85" s="17" t="s">
        <v>682</v>
      </c>
      <c r="D85" s="3" t="s">
        <v>1409</v>
      </c>
      <c r="E85" s="10" t="s">
        <v>681</v>
      </c>
      <c r="F85" s="3">
        <f t="shared" si="1"/>
        <v>83</v>
      </c>
      <c r="G85" s="3">
        <f>COUNTIF(NodesData[label],NodesData[[#This Row],[label]])</f>
        <v>1</v>
      </c>
      <c r="H85" s="3">
        <f>COUNTIF(EdgesData[from],NodesData[[#This Row],[id]])+COUNTIF(EdgesData[to],NodesData[[#This Row],[id]])</f>
        <v>0</v>
      </c>
      <c r="I85" s="3">
        <f>IF(NodesData[[#This Row],[Used]]&gt;0,1,0)</f>
        <v>0</v>
      </c>
      <c r="J85" s="18" t="str" cm="1">
        <f t="array" ref="J85">IF(NodesData[[#This Row],[Count]]&gt;1,",","") &amp;"{"&amp;twoRangesToJSON(NodesData[[#Headers],[id]:[main_class]],NodesData[[#This Row],[id]:[main_class]])&amp;"}"</f>
        <v>,{"id":"nD3053358_8C84_4F12_9D2F_F46B776216C0","label":"Cloud Service Consumers (Concept)","url":"https://open-measure.atlassian.net/wiki/spaces/DIC/pages/1147043959","main_class":"Concept"}</v>
      </c>
    </row>
    <row r="86" spans="1:10" ht="27" thickTop="1" thickBot="1" x14ac:dyDescent="0.4">
      <c r="A86" s="3" t="str" cm="1">
        <f t="array" ref="A86">"n"&amp;SUBSTITUTE(CreateGuidString(),"-","_")</f>
        <v>n9FA2CA64_4BB9_4B1D_97B4_E14EDF79F788</v>
      </c>
      <c r="B86" s="6" t="str">
        <f>NodesData[[#This Row],[name]]&amp;" ("&amp;NodesData[[#This Row],[main_class]]&amp;")"</f>
        <v>Cloud Service Provider (Concept)</v>
      </c>
      <c r="C86" s="17" t="s">
        <v>684</v>
      </c>
      <c r="D86" s="3" t="s">
        <v>1409</v>
      </c>
      <c r="E86" s="10" t="s">
        <v>683</v>
      </c>
      <c r="F86" s="3">
        <f t="shared" si="1"/>
        <v>84</v>
      </c>
      <c r="G86" s="3">
        <f>COUNTIF(NodesData[label],NodesData[[#This Row],[label]])</f>
        <v>1</v>
      </c>
      <c r="H86" s="3">
        <f>COUNTIF(EdgesData[from],NodesData[[#This Row],[id]])+COUNTIF(EdgesData[to],NodesData[[#This Row],[id]])</f>
        <v>0</v>
      </c>
      <c r="I86" s="3">
        <f>IF(NodesData[[#This Row],[Used]]&gt;0,1,0)</f>
        <v>0</v>
      </c>
      <c r="J86" s="18" t="str" cm="1">
        <f t="array" ref="J86">IF(NodesData[[#This Row],[Count]]&gt;1,",","") &amp;"{"&amp;twoRangesToJSON(NodesData[[#Headers],[id]:[main_class]],NodesData[[#This Row],[id]:[main_class]])&amp;"}"</f>
        <v>,{"id":"n9FA2CA64_4BB9_4B1D_97B4_E14EDF79F788","label":"Cloud Service Provider (Concept)","url":"https://open-measure.atlassian.net/wiki/spaces/DIC/pages/206307528","main_class":"Concept"}</v>
      </c>
    </row>
    <row r="87" spans="1:10" ht="27" thickTop="1" thickBot="1" x14ac:dyDescent="0.4">
      <c r="A87" s="3" t="str" cm="1">
        <f t="array" ref="A87">"n"&amp;SUBSTITUTE(CreateGuidString(),"-","_")</f>
        <v>n4112A1A7_07EF_43E6_B112_6A2BED7D7F87</v>
      </c>
      <c r="B87" s="6" t="str">
        <f>NodesData[[#This Row],[name]]&amp;" ("&amp;NodesData[[#This Row],[main_class]]&amp;")"</f>
        <v>Cloud Service User (Concept)</v>
      </c>
      <c r="C87" s="17" t="s">
        <v>685</v>
      </c>
      <c r="D87" s="3" t="s">
        <v>1409</v>
      </c>
      <c r="E87" s="10" t="s">
        <v>131</v>
      </c>
      <c r="F87" s="3">
        <f t="shared" si="1"/>
        <v>85</v>
      </c>
      <c r="G87" s="3">
        <f>COUNTIF(NodesData[label],NodesData[[#This Row],[label]])</f>
        <v>1</v>
      </c>
      <c r="H87" s="3">
        <f>COUNTIF(EdgesData[from],NodesData[[#This Row],[id]])+COUNTIF(EdgesData[to],NodesData[[#This Row],[id]])</f>
        <v>0</v>
      </c>
      <c r="I87" s="3">
        <f>IF(NodesData[[#This Row],[Used]]&gt;0,1,0)</f>
        <v>0</v>
      </c>
      <c r="J87" s="18" t="str" cm="1">
        <f t="array" ref="J87">IF(NodesData[[#This Row],[Count]]&gt;1,",","") &amp;"{"&amp;twoRangesToJSON(NodesData[[#Headers],[id]:[main_class]],NodesData[[#This Row],[id]:[main_class]])&amp;"}"</f>
        <v>,{"id":"n4112A1A7_07EF_43E6_B112_6A2BED7D7F87","label":"Cloud Service User (Concept)","url":"https://open-measure.atlassian.net/wiki/spaces/DIC/pages/206766142/Cloud+Service+User","main_class":"Concept"}</v>
      </c>
    </row>
    <row r="88" spans="1:10" ht="27" thickTop="1" thickBot="1" x14ac:dyDescent="0.4">
      <c r="A88" s="3" t="str" cm="1">
        <f t="array" ref="A88">"n"&amp;SUBSTITUTE(CreateGuidString(),"-","_")</f>
        <v>n30E97709_C712_43D4_A963_EFD1F042A9F0</v>
      </c>
      <c r="B88" s="6" t="str">
        <f>NodesData[[#This Row],[name]]&amp;" ("&amp;NodesData[[#This Row],[main_class]]&amp;")"</f>
        <v>Commission Error (Concept)</v>
      </c>
      <c r="C88" s="17" t="s">
        <v>687</v>
      </c>
      <c r="D88" s="3" t="s">
        <v>1409</v>
      </c>
      <c r="E88" s="10" t="s">
        <v>686</v>
      </c>
      <c r="F88" s="3">
        <f t="shared" si="1"/>
        <v>86</v>
      </c>
      <c r="G88" s="3">
        <f>COUNTIF(NodesData[label],NodesData[[#This Row],[label]])</f>
        <v>1</v>
      </c>
      <c r="H88" s="3">
        <f>COUNTIF(EdgesData[from],NodesData[[#This Row],[id]])+COUNTIF(EdgesData[to],NodesData[[#This Row],[id]])</f>
        <v>0</v>
      </c>
      <c r="I88" s="3">
        <f>IF(NodesData[[#This Row],[Used]]&gt;0,1,0)</f>
        <v>0</v>
      </c>
      <c r="J88" s="18" t="str" cm="1">
        <f t="array" ref="J88">IF(NodesData[[#This Row],[Count]]&gt;1,",","") &amp;"{"&amp;twoRangesToJSON(NodesData[[#Headers],[id]:[main_class]],NodesData[[#This Row],[id]:[main_class]])&amp;"}"</f>
        <v>,{"id":"n30E97709_C712_43D4_A963_EFD1F042A9F0","label":"Commission Error (Concept)","url":"https://open-measure.atlassian.net/wiki/spaces/DIC/pages/998277125","main_class":"Concept"}</v>
      </c>
    </row>
    <row r="89" spans="1:10" ht="27" thickTop="1" thickBot="1" x14ac:dyDescent="0.4">
      <c r="A89" s="3" t="str" cm="1">
        <f t="array" ref="A89">"n"&amp;SUBSTITUTE(CreateGuidString(),"-","_")</f>
        <v>n28376B30_469D_4A9B_82FE_4340E1A243DA</v>
      </c>
      <c r="B89" s="6" t="str">
        <f>NodesData[[#This Row],[name]]&amp;" ("&amp;NodesData[[#This Row],[main_class]]&amp;")"</f>
        <v>Compromised Identity (Concept)</v>
      </c>
      <c r="C89" s="17" t="s">
        <v>689</v>
      </c>
      <c r="D89" s="3" t="s">
        <v>1409</v>
      </c>
      <c r="E89" s="10" t="s">
        <v>688</v>
      </c>
      <c r="F89" s="3">
        <f t="shared" si="1"/>
        <v>87</v>
      </c>
      <c r="G89" s="3">
        <f>COUNTIF(NodesData[label],NodesData[[#This Row],[label]])</f>
        <v>1</v>
      </c>
      <c r="H89" s="3">
        <f>COUNTIF(EdgesData[from],NodesData[[#This Row],[id]])+COUNTIF(EdgesData[to],NodesData[[#This Row],[id]])</f>
        <v>0</v>
      </c>
      <c r="I89" s="3">
        <f>IF(NodesData[[#This Row],[Used]]&gt;0,1,0)</f>
        <v>0</v>
      </c>
      <c r="J89" s="18" t="str" cm="1">
        <f t="array" ref="J89">IF(NodesData[[#This Row],[Count]]&gt;1,",","") &amp;"{"&amp;twoRangesToJSON(NodesData[[#Headers],[id]:[main_class]],NodesData[[#This Row],[id]:[main_class]])&amp;"}"</f>
        <v>,{"id":"n28376B30_469D_4A9B_82FE_4340E1A243DA","label":"Compromised Identity (Concept)","url":"https://open-measure.atlassian.net/wiki/spaces/DIC/pages/461307985","main_class":"Concept"}</v>
      </c>
    </row>
    <row r="90" spans="1:10" ht="27" thickTop="1" thickBot="1" x14ac:dyDescent="0.4">
      <c r="A90" s="3" t="str" cm="1">
        <f t="array" ref="A90">"n"&amp;SUBSTITUTE(CreateGuidString(),"-","_")</f>
        <v>n962ECBD5_2AF9_45D2_B226_BC4B54D8CE01</v>
      </c>
      <c r="B90" s="6" t="str">
        <f>NodesData[[#This Row],[name]]&amp;" ("&amp;NodesData[[#This Row],[main_class]]&amp;")"</f>
        <v>Concurrent Impersonation Attack (Concept)</v>
      </c>
      <c r="C90" s="17" t="s">
        <v>691</v>
      </c>
      <c r="D90" s="3" t="s">
        <v>1409</v>
      </c>
      <c r="E90" s="10" t="s">
        <v>690</v>
      </c>
      <c r="F90" s="3">
        <f t="shared" si="1"/>
        <v>88</v>
      </c>
      <c r="G90" s="3">
        <f>COUNTIF(NodesData[label],NodesData[[#This Row],[label]])</f>
        <v>1</v>
      </c>
      <c r="H90" s="3">
        <f>COUNTIF(EdgesData[from],NodesData[[#This Row],[id]])+COUNTIF(EdgesData[to],NodesData[[#This Row],[id]])</f>
        <v>0</v>
      </c>
      <c r="I90" s="3">
        <f>IF(NodesData[[#This Row],[Used]]&gt;0,1,0)</f>
        <v>0</v>
      </c>
      <c r="J90" s="18" t="str" cm="1">
        <f t="array" ref="J90">IF(NodesData[[#This Row],[Count]]&gt;1,",","") &amp;"{"&amp;twoRangesToJSON(NodesData[[#Headers],[id]:[main_class]],NodesData[[#This Row],[id]:[main_class]])&amp;"}"</f>
        <v>,{"id":"n962ECBD5_2AF9_45D2_B226_BC4B54D8CE01","label":"Concurrent Impersonation Attack (Concept)","url":"https://open-measure.atlassian.net/wiki/spaces/DIC/pages/974454827","main_class":"Concept"}</v>
      </c>
    </row>
    <row r="91" spans="1:10" ht="53.25" thickTop="1" thickBot="1" x14ac:dyDescent="0.4">
      <c r="A91" s="3" t="str" cm="1">
        <f t="array" ref="A91">"n"&amp;SUBSTITUTE(CreateGuidString(),"-","_")</f>
        <v>nFD4B1CE7_BBE8_4939_8C8C_6C4411181E68</v>
      </c>
      <c r="B91" s="6" t="str">
        <f>NodesData[[#This Row],[name]]&amp;" ("&amp;NodesData[[#This Row],[main_class]]&amp;")"</f>
        <v>Client Initiated Backchannel Authentication (Concept)</v>
      </c>
      <c r="C91" s="17" t="s">
        <v>676</v>
      </c>
      <c r="D91" s="3" t="s">
        <v>1409</v>
      </c>
      <c r="E91" s="10" t="s">
        <v>126</v>
      </c>
      <c r="F91" s="3">
        <f t="shared" si="1"/>
        <v>89</v>
      </c>
      <c r="G91" s="3">
        <f>COUNTIF(NodesData[label],NodesData[[#This Row],[label]])</f>
        <v>1</v>
      </c>
      <c r="H91" s="3">
        <f>COUNTIF(EdgesData[from],NodesData[[#This Row],[id]])+COUNTIF(EdgesData[to],NodesData[[#This Row],[id]])</f>
        <v>0</v>
      </c>
      <c r="I91" s="3">
        <f>IF(NodesData[[#This Row],[Used]]&gt;0,1,0)</f>
        <v>0</v>
      </c>
      <c r="J91" s="18" t="str" cm="1">
        <f t="array" ref="J91">IF(NodesData[[#This Row],[Count]]&gt;1,",","") &amp;"{"&amp;twoRangesToJSON(NodesData[[#Headers],[id]:[main_class]],NodesData[[#This Row],[id]:[main_class]])&amp;"}"</f>
        <v>,{"id":"nFD4B1CE7_BBE8_4939_8C8C_6C4411181E68","label":"Client Initiated Backchannel Authentication (Concept)","url":"https://open-measure.atlassian.net/wiki/spaces/DIC/pages/1290076229/Client+Initiated+Backchannel+Authentication","main_class":"Concept"}</v>
      </c>
    </row>
    <row r="92" spans="1:10" ht="27" thickTop="1" thickBot="1" x14ac:dyDescent="0.4">
      <c r="A92" s="3" t="str" cm="1">
        <f t="array" ref="A92">"n"&amp;SUBSTITUTE(CreateGuidString(),"-","_")</f>
        <v>nE8DAC87C_6844_499F_8626_64C22309FCD0</v>
      </c>
      <c r="B92" s="6" t="str">
        <f>NodesData[[#This Row],[name]]&amp;" ("&amp;NodesData[[#This Row],[main_class]]&amp;")"</f>
        <v>Control Party (Concept)</v>
      </c>
      <c r="C92" s="17" t="s">
        <v>695</v>
      </c>
      <c r="D92" s="3" t="s">
        <v>1409</v>
      </c>
      <c r="E92" s="10" t="s">
        <v>694</v>
      </c>
      <c r="F92" s="3">
        <f t="shared" si="1"/>
        <v>90</v>
      </c>
      <c r="G92" s="3">
        <f>COUNTIF(NodesData[label],NodesData[[#This Row],[label]])</f>
        <v>1</v>
      </c>
      <c r="H92" s="3">
        <f>COUNTIF(EdgesData[from],NodesData[[#This Row],[id]])+COUNTIF(EdgesData[to],NodesData[[#This Row],[id]])</f>
        <v>0</v>
      </c>
      <c r="I92" s="3">
        <f>IF(NodesData[[#This Row],[Used]]&gt;0,1,0)</f>
        <v>0</v>
      </c>
      <c r="J92" s="18" t="str" cm="1">
        <f t="array" ref="J92">IF(NodesData[[#This Row],[Count]]&gt;1,",","") &amp;"{"&amp;twoRangesToJSON(NodesData[[#Headers],[id]:[main_class]],NodesData[[#This Row],[id]:[main_class]])&amp;"}"</f>
        <v>,{"id":"nE8DAC87C_6844_499F_8626_64C22309FCD0","label":"Control Party (Concept)","url":"https://open-measure.atlassian.net/wiki/spaces/DIC/pages/82838169","main_class":"Concept"}</v>
      </c>
    </row>
    <row r="93" spans="1:10" ht="27" thickTop="1" thickBot="1" x14ac:dyDescent="0.4">
      <c r="A93" s="3" t="str" cm="1">
        <f t="array" ref="A93">"n"&amp;SUBSTITUTE(CreateGuidString(),"-","_")</f>
        <v>n044B7F1E_61F1_4CE4_9F71_95CE56CFDA1C</v>
      </c>
      <c r="B93" s="6" t="str">
        <f>NodesData[[#This Row],[name]]&amp;" ("&amp;NodesData[[#This Row],[main_class]]&amp;")"</f>
        <v>Core Identity (Concept)</v>
      </c>
      <c r="C93" s="17" t="s">
        <v>697</v>
      </c>
      <c r="D93" s="3" t="s">
        <v>1409</v>
      </c>
      <c r="E93" s="10" t="s">
        <v>696</v>
      </c>
      <c r="F93" s="3">
        <f t="shared" si="1"/>
        <v>91</v>
      </c>
      <c r="G93" s="3">
        <f>COUNTIF(NodesData[label],NodesData[[#This Row],[label]])</f>
        <v>1</v>
      </c>
      <c r="H93" s="3">
        <f>COUNTIF(EdgesData[from],NodesData[[#This Row],[id]])+COUNTIF(EdgesData[to],NodesData[[#This Row],[id]])</f>
        <v>0</v>
      </c>
      <c r="I93" s="3">
        <f>IF(NodesData[[#This Row],[Used]]&gt;0,1,0)</f>
        <v>0</v>
      </c>
      <c r="J93" s="18" t="str" cm="1">
        <f t="array" ref="J93">IF(NodesData[[#This Row],[Count]]&gt;1,",","") &amp;"{"&amp;twoRangesToJSON(NodesData[[#Headers],[id]:[main_class]],NodesData[[#This Row],[id]:[main_class]])&amp;"}"</f>
        <v>,{"id":"n044B7F1E_61F1_4CE4_9F71_95CE56CFDA1C","label":"Core Identity (Concept)","url":"https://open-measure.atlassian.net/wiki/spaces/DIC/pages/138346642","main_class":"Concept"}</v>
      </c>
    </row>
    <row r="94" spans="1:10" ht="27" thickTop="1" thickBot="1" x14ac:dyDescent="0.4">
      <c r="A94" s="3" t="str" cm="1">
        <f t="array" ref="A94">"n"&amp;SUBSTITUTE(CreateGuidString(),"-","_")</f>
        <v>nA091C560_F0B3_4229_9E18_76F395BB77C0</v>
      </c>
      <c r="B94" s="6" t="str">
        <f>NodesData[[#This Row],[name]]&amp;" ("&amp;NodesData[[#This Row],[main_class]]&amp;")"</f>
        <v>Credential (Concept)</v>
      </c>
      <c r="C94" s="17" t="s">
        <v>698</v>
      </c>
      <c r="D94" s="3" t="s">
        <v>1409</v>
      </c>
      <c r="E94" s="10" t="s">
        <v>147</v>
      </c>
      <c r="F94" s="3">
        <f t="shared" si="1"/>
        <v>92</v>
      </c>
      <c r="G94" s="3">
        <f>COUNTIF(NodesData[label],NodesData[[#This Row],[label]])</f>
        <v>1</v>
      </c>
      <c r="H94" s="3">
        <f>COUNTIF(EdgesData[from],NodesData[[#This Row],[id]])+COUNTIF(EdgesData[to],NodesData[[#This Row],[id]])</f>
        <v>0</v>
      </c>
      <c r="I94" s="3">
        <f>IF(NodesData[[#This Row],[Used]]&gt;0,1,0)</f>
        <v>0</v>
      </c>
      <c r="J94" s="18" t="str" cm="1">
        <f t="array" ref="J94">IF(NodesData[[#This Row],[Count]]&gt;1,",","") &amp;"{"&amp;twoRangesToJSON(NodesData[[#Headers],[id]:[main_class]],NodesData[[#This Row],[id]:[main_class]])&amp;"}"</f>
        <v>,{"id":"nA091C560_F0B3_4229_9E18_76F395BB77C0","label":"Credential (Concept)","url":"https://open-measure.atlassian.net/wiki/spaces/DIC/pages/67633343/Credential","main_class":"Concept"}</v>
      </c>
    </row>
    <row r="95" spans="1:10" ht="27" thickTop="1" thickBot="1" x14ac:dyDescent="0.4">
      <c r="A95" s="3" t="str" cm="1">
        <f t="array" ref="A95">"n"&amp;SUBSTITUTE(CreateGuidString(),"-","_")</f>
        <v>nEBD94C51_96B1_436F_9701_7CD7C6A001DB</v>
      </c>
      <c r="B95" s="6" t="str">
        <f>NodesData[[#This Row],[name]]&amp;" ("&amp;NodesData[[#This Row],[main_class]]&amp;")"</f>
        <v>Credential Harvesting (Concept)</v>
      </c>
      <c r="C95" s="17" t="s">
        <v>699</v>
      </c>
      <c r="D95" s="3" t="s">
        <v>1409</v>
      </c>
      <c r="E95" s="10" t="s">
        <v>148</v>
      </c>
      <c r="F95" s="3">
        <f t="shared" si="1"/>
        <v>93</v>
      </c>
      <c r="G95" s="3">
        <f>COUNTIF(NodesData[label],NodesData[[#This Row],[label]])</f>
        <v>1</v>
      </c>
      <c r="H95" s="3">
        <f>COUNTIF(EdgesData[from],NodesData[[#This Row],[id]])+COUNTIF(EdgesData[to],NodesData[[#This Row],[id]])</f>
        <v>0</v>
      </c>
      <c r="I95" s="3">
        <f>IF(NodesData[[#This Row],[Used]]&gt;0,1,0)</f>
        <v>0</v>
      </c>
      <c r="J95" s="18" t="str" cm="1">
        <f t="array" ref="J95">IF(NodesData[[#This Row],[Count]]&gt;1,",","") &amp;"{"&amp;twoRangesToJSON(NodesData[[#Headers],[id]:[main_class]],NodesData[[#This Row],[id]:[main_class]])&amp;"}"</f>
        <v>,{"id":"nEBD94C51_96B1_436F_9701_7CD7C6A001DB","label":"Credential Harvesting (Concept)","url":"https://open-measure.atlassian.net/wiki/spaces/DIC/pages/1254719498/Credential+Harvesting","main_class":"Concept"}</v>
      </c>
    </row>
    <row r="96" spans="1:10" ht="27" thickTop="1" thickBot="1" x14ac:dyDescent="0.4">
      <c r="A96" s="3" t="str" cm="1">
        <f t="array" ref="A96">"n"&amp;SUBSTITUTE(CreateGuidString(),"-","_")</f>
        <v>n195249AE_70AA_4772_98C0_5F2EAA8FE43E</v>
      </c>
      <c r="B96" s="6" t="str">
        <f>NodesData[[#This Row],[name]]&amp;" ("&amp;NodesData[[#This Row],[main_class]]&amp;")"</f>
        <v>Credential Service Provider (Concept)</v>
      </c>
      <c r="C96" s="17" t="s">
        <v>701</v>
      </c>
      <c r="D96" s="3" t="s">
        <v>1409</v>
      </c>
      <c r="E96" s="10" t="s">
        <v>700</v>
      </c>
      <c r="F96" s="3">
        <f t="shared" si="1"/>
        <v>94</v>
      </c>
      <c r="G96" s="3">
        <f>COUNTIF(NodesData[label],NodesData[[#This Row],[label]])</f>
        <v>1</v>
      </c>
      <c r="H96" s="3">
        <f>COUNTIF(EdgesData[from],NodesData[[#This Row],[id]])+COUNTIF(EdgesData[to],NodesData[[#This Row],[id]])</f>
        <v>0</v>
      </c>
      <c r="I96" s="3">
        <f>IF(NodesData[[#This Row],[Used]]&gt;0,1,0)</f>
        <v>0</v>
      </c>
      <c r="J96" s="18" t="str" cm="1">
        <f t="array" ref="J96">IF(NodesData[[#This Row],[Count]]&gt;1,",","") &amp;"{"&amp;twoRangesToJSON(NodesData[[#Headers],[id]:[main_class]],NodesData[[#This Row],[id]:[main_class]])&amp;"}"</f>
        <v>,{"id":"n195249AE_70AA_4772_98C0_5F2EAA8FE43E","label":"Credential Service Provider (Concept)","url":"https://open-measure.atlassian.net/wiki/spaces/DIC/pages/82870977","main_class":"Concept"}</v>
      </c>
    </row>
    <row r="97" spans="1:10" ht="27" thickTop="1" thickBot="1" x14ac:dyDescent="0.4">
      <c r="A97" s="3" t="str" cm="1">
        <f t="array" ref="A97">"n"&amp;SUBSTITUTE(CreateGuidString(),"-","_")</f>
        <v>nD933C938_28D8_43F2_82DF_9E06675FF0FB</v>
      </c>
      <c r="B97" s="6" t="str">
        <f>NodesData[[#This Row],[name]]&amp;" ("&amp;NodesData[[#This Row],[main_class]]&amp;")"</f>
        <v>Credential Stuffing (Concept)</v>
      </c>
      <c r="C97" s="17" t="s">
        <v>702</v>
      </c>
      <c r="D97" s="3" t="s">
        <v>1409</v>
      </c>
      <c r="E97" s="10" t="s">
        <v>150</v>
      </c>
      <c r="F97" s="3">
        <f t="shared" si="1"/>
        <v>95</v>
      </c>
      <c r="G97" s="3">
        <f>COUNTIF(NodesData[label],NodesData[[#This Row],[label]])</f>
        <v>1</v>
      </c>
      <c r="H97" s="3">
        <f>COUNTIF(EdgesData[from],NodesData[[#This Row],[id]])+COUNTIF(EdgesData[to],NodesData[[#This Row],[id]])</f>
        <v>0</v>
      </c>
      <c r="I97" s="3">
        <f>IF(NodesData[[#This Row],[Used]]&gt;0,1,0)</f>
        <v>0</v>
      </c>
      <c r="J97" s="18" t="str" cm="1">
        <f t="array" ref="J97">IF(NodesData[[#This Row],[Count]]&gt;1,",","") &amp;"{"&amp;twoRangesToJSON(NodesData[[#Headers],[id]:[main_class]],NodesData[[#This Row],[id]:[main_class]])&amp;"}"</f>
        <v>,{"id":"nD933C938_28D8_43F2_82DF_9E06675FF0FB","label":"Credential Stuffing (Concept)","url":"https://open-measure.atlassian.net/wiki/spaces/DIC/pages/1348862053/Credential+Stuffing","main_class":"Concept"}</v>
      </c>
    </row>
    <row r="98" spans="1:10" ht="27" thickTop="1" thickBot="1" x14ac:dyDescent="0.4">
      <c r="A98" s="3" t="str" cm="1">
        <f t="array" ref="A98">"n"&amp;SUBSTITUTE(CreateGuidString(),"-","_")</f>
        <v>nDFCE132F_A8D8_4F27_B6F8_32CD1B37D4D0</v>
      </c>
      <c r="B98" s="6" t="str">
        <f>NodesData[[#This Row],[name]]&amp;" ("&amp;NodesData[[#This Row],[main_class]]&amp;")"</f>
        <v>Credential Theft (Concept)</v>
      </c>
      <c r="C98" s="17" t="s">
        <v>704</v>
      </c>
      <c r="D98" s="3" t="s">
        <v>1409</v>
      </c>
      <c r="E98" s="10" t="s">
        <v>703</v>
      </c>
      <c r="F98" s="3">
        <f t="shared" si="1"/>
        <v>96</v>
      </c>
      <c r="G98" s="3">
        <f>COUNTIF(NodesData[label],NodesData[[#This Row],[label]])</f>
        <v>1</v>
      </c>
      <c r="H98" s="3">
        <f>COUNTIF(EdgesData[from],NodesData[[#This Row],[id]])+COUNTIF(EdgesData[to],NodesData[[#This Row],[id]])</f>
        <v>0</v>
      </c>
      <c r="I98" s="3">
        <f>IF(NodesData[[#This Row],[Used]]&gt;0,1,0)</f>
        <v>0</v>
      </c>
      <c r="J98" s="18" t="str" cm="1">
        <f t="array" ref="J98">IF(NodesData[[#This Row],[Count]]&gt;1,",","") &amp;"{"&amp;twoRangesToJSON(NodesData[[#Headers],[id]:[main_class]],NodesData[[#This Row],[id]:[main_class]])&amp;"}"</f>
        <v>,{"id":"nDFCE132F_A8D8_4F27_B6F8_32CD1B37D4D0","label":"Credential Theft (Concept)","url":"https://open-measure.atlassian.net/wiki/spaces/DIC/pages/461340725","main_class":"Concept"}</v>
      </c>
    </row>
    <row r="99" spans="1:10" ht="27" thickTop="1" thickBot="1" x14ac:dyDescent="0.4">
      <c r="A99" s="3" t="str" cm="1">
        <f t="array" ref="A99">"n"&amp;SUBSTITUTE(CreateGuidString(),"-","_")</f>
        <v>n832496C7_8E97_48B2_A0E1_EEE2ADF50D22</v>
      </c>
      <c r="B99" s="6" t="str">
        <f>NodesData[[#This Row],[name]]&amp;" ("&amp;NodesData[[#This Row],[main_class]]&amp;")"</f>
        <v>Cryptographic Key (Concept)</v>
      </c>
      <c r="C99" s="17" t="s">
        <v>706</v>
      </c>
      <c r="D99" s="3" t="s">
        <v>1409</v>
      </c>
      <c r="E99" s="10" t="s">
        <v>705</v>
      </c>
      <c r="F99" s="3">
        <f t="shared" si="1"/>
        <v>97</v>
      </c>
      <c r="G99" s="3">
        <f>COUNTIF(NodesData[label],NodesData[[#This Row],[label]])</f>
        <v>1</v>
      </c>
      <c r="H99" s="3">
        <f>COUNTIF(EdgesData[from],NodesData[[#This Row],[id]])+COUNTIF(EdgesData[to],NodesData[[#This Row],[id]])</f>
        <v>0</v>
      </c>
      <c r="I99" s="3">
        <f>IF(NodesData[[#This Row],[Used]]&gt;0,1,0)</f>
        <v>0</v>
      </c>
      <c r="J99" s="18" t="str" cm="1">
        <f t="array" ref="J99">IF(NodesData[[#This Row],[Count]]&gt;1,",","") &amp;"{"&amp;twoRangesToJSON(NodesData[[#Headers],[id]:[main_class]],NodesData[[#This Row],[id]:[main_class]])&amp;"}"</f>
        <v>,{"id":"n832496C7_8E97_48B2_A0E1_EEE2ADF50D22","label":"Cryptographic Key (Concept)","url":"https://open-measure.atlassian.net/wiki/spaces/DIC/pages/427130918","main_class":"Concept"}</v>
      </c>
    </row>
    <row r="100" spans="1:10" ht="27" thickTop="1" thickBot="1" x14ac:dyDescent="0.4">
      <c r="A100" s="3" t="str" cm="1">
        <f t="array" ref="A100">"n"&amp;SUBSTITUTE(CreateGuidString(),"-","_")</f>
        <v>n25B91A3D_FDA3_4017_8243_92F0A2494317</v>
      </c>
      <c r="B100" s="6" t="str">
        <f>NodesData[[#This Row],[name]]&amp;" ("&amp;NodesData[[#This Row],[main_class]]&amp;")"</f>
        <v>CSC (Acronym)</v>
      </c>
      <c r="C100" s="17" t="s">
        <v>707</v>
      </c>
      <c r="D100" s="3" t="s">
        <v>1301</v>
      </c>
      <c r="E100" s="10" t="s">
        <v>153</v>
      </c>
      <c r="F100" s="3">
        <f t="shared" si="1"/>
        <v>98</v>
      </c>
      <c r="G100" s="3">
        <f>COUNTIF(NodesData[label],NodesData[[#This Row],[label]])</f>
        <v>1</v>
      </c>
      <c r="H100" s="3">
        <f>COUNTIF(EdgesData[from],NodesData[[#This Row],[id]])+COUNTIF(EdgesData[to],NodesData[[#This Row],[id]])</f>
        <v>0</v>
      </c>
      <c r="I100" s="3">
        <f>IF(NodesData[[#This Row],[Used]]&gt;0,1,0)</f>
        <v>0</v>
      </c>
      <c r="J100" s="18" t="str" cm="1">
        <f t="array" ref="J100">IF(NodesData[[#This Row],[Count]]&gt;1,",","") &amp;"{"&amp;twoRangesToJSON(NodesData[[#Headers],[id]:[main_class]],NodesData[[#This Row],[id]:[main_class]])&amp;"}"</f>
        <v>,{"id":"n25B91A3D_FDA3_4017_8243_92F0A2494317","label":"CSC (Acronym)","url":"https://open-measure.atlassian.net/wiki/spaces/DIC/pages/1152516162/CSC","main_class":"Acronym"}</v>
      </c>
    </row>
    <row r="101" spans="1:10" ht="27" thickTop="1" thickBot="1" x14ac:dyDescent="0.4">
      <c r="A101" s="3" t="str" cm="1">
        <f t="array" ref="A101">"n"&amp;SUBSTITUTE(CreateGuidString(),"-","_")</f>
        <v>nD7D645CB_100C_47A5_A7E2_39AD51FBD0A1</v>
      </c>
      <c r="B101" s="6" t="str">
        <f>NodesData[[#This Row],[name]]&amp;" ("&amp;NodesData[[#This Row],[main_class]]&amp;")"</f>
        <v>CSP (Acronym)</v>
      </c>
      <c r="C101" s="17" t="s">
        <v>708</v>
      </c>
      <c r="D101" s="3" t="s">
        <v>1301</v>
      </c>
      <c r="E101" s="10" t="s">
        <v>154</v>
      </c>
      <c r="F101" s="3">
        <f t="shared" si="1"/>
        <v>99</v>
      </c>
      <c r="G101" s="3">
        <f>COUNTIF(NodesData[label],NodesData[[#This Row],[label]])</f>
        <v>1</v>
      </c>
      <c r="H101" s="3">
        <f>COUNTIF(EdgesData[from],NodesData[[#This Row],[id]])+COUNTIF(EdgesData[to],NodesData[[#This Row],[id]])</f>
        <v>0</v>
      </c>
      <c r="I101" s="3">
        <f>IF(NodesData[[#This Row],[Used]]&gt;0,1,0)</f>
        <v>0</v>
      </c>
      <c r="J101" s="18" t="str" cm="1">
        <f t="array" ref="J101">IF(NodesData[[#This Row],[Count]]&gt;1,",","") &amp;"{"&amp;twoRangesToJSON(NodesData[[#Headers],[id]:[main_class]],NodesData[[#This Row],[id]:[main_class]])&amp;"}"</f>
        <v>,{"id":"nD7D645CB_100C_47A5_A7E2_39AD51FBD0A1","label":"CSP (Acronym)","url":"https://open-measure.atlassian.net/wiki/spaces/DIC/pages/82903984/CSP","main_class":"Acronym"}</v>
      </c>
    </row>
    <row r="102" spans="1:10" ht="27" thickTop="1" thickBot="1" x14ac:dyDescent="0.4">
      <c r="A102" s="3" t="str" cm="1">
        <f t="array" ref="A102">"n"&amp;SUBSTITUTE(CreateGuidString(),"-","_")</f>
        <v>nAFC1198A_D5B0_47DD_A33B_8A3B0FE71F64</v>
      </c>
      <c r="B102" s="6" t="str">
        <f>NodesData[[#This Row],[name]]&amp;" ("&amp;NodesData[[#This Row],[main_class]]&amp;")"</f>
        <v>CSU (Acronym)</v>
      </c>
      <c r="C102" s="17" t="s">
        <v>709</v>
      </c>
      <c r="D102" s="3" t="s">
        <v>1301</v>
      </c>
      <c r="E102" s="10" t="s">
        <v>155</v>
      </c>
      <c r="F102" s="3">
        <f t="shared" si="1"/>
        <v>100</v>
      </c>
      <c r="G102" s="3">
        <f>COUNTIF(NodesData[label],NodesData[[#This Row],[label]])</f>
        <v>1</v>
      </c>
      <c r="H102" s="3">
        <f>COUNTIF(EdgesData[from],NodesData[[#This Row],[id]])+COUNTIF(EdgesData[to],NodesData[[#This Row],[id]])</f>
        <v>0</v>
      </c>
      <c r="I102" s="3">
        <f>IF(NodesData[[#This Row],[Used]]&gt;0,1,0)</f>
        <v>0</v>
      </c>
      <c r="J102" s="18" t="str" cm="1">
        <f t="array" ref="J102">IF(NodesData[[#This Row],[Count]]&gt;1,",","") &amp;"{"&amp;twoRangesToJSON(NodesData[[#Headers],[id]:[main_class]],NodesData[[#This Row],[id]:[main_class]])&amp;"}"</f>
        <v>,{"id":"nAFC1198A_D5B0_47DD_A33B_8A3B0FE71F64","label":"CSU (Acronym)","url":"https://open-measure.atlassian.net/wiki/spaces/DIC/pages/206667867/CSU","main_class":"Acronym"}</v>
      </c>
    </row>
    <row r="103" spans="1:10" ht="27" thickTop="1" thickBot="1" x14ac:dyDescent="0.4">
      <c r="A103" s="3" t="str" cm="1">
        <f t="array" ref="A103">"n"&amp;SUBSTITUTE(CreateGuidString(),"-","_")</f>
        <v>nC565DFDB_44B7_47C9_8BC6_07F4EC218FA7</v>
      </c>
      <c r="B103" s="6" t="str">
        <f>NodesData[[#This Row],[name]]&amp;" ("&amp;NodesData[[#This Row],[main_class]]&amp;")"</f>
        <v>Customer Due Diligence (Concept)</v>
      </c>
      <c r="C103" s="17" t="s">
        <v>711</v>
      </c>
      <c r="D103" s="3" t="s">
        <v>1409</v>
      </c>
      <c r="E103" s="10" t="s">
        <v>710</v>
      </c>
      <c r="F103" s="3">
        <f t="shared" si="1"/>
        <v>101</v>
      </c>
      <c r="G103" s="3">
        <f>COUNTIF(NodesData[label],NodesData[[#This Row],[label]])</f>
        <v>1</v>
      </c>
      <c r="H103" s="3">
        <f>COUNTIF(EdgesData[from],NodesData[[#This Row],[id]])+COUNTIF(EdgesData[to],NodesData[[#This Row],[id]])</f>
        <v>0</v>
      </c>
      <c r="I103" s="3">
        <f>IF(NodesData[[#This Row],[Used]]&gt;0,1,0)</f>
        <v>0</v>
      </c>
      <c r="J103" s="18" t="str" cm="1">
        <f t="array" ref="J103">IF(NodesData[[#This Row],[Count]]&gt;1,",","") &amp;"{"&amp;twoRangesToJSON(NodesData[[#Headers],[id]:[main_class]],NodesData[[#This Row],[id]:[main_class]])&amp;"}"</f>
        <v>,{"id":"nC565DFDB_44B7_47C9_8BC6_07F4EC218FA7","label":"Customer Due Diligence (Concept)","url":"https://open-measure.atlassian.net/wiki/spaces/DIC/pages/414482448","main_class":"Concept"}</v>
      </c>
    </row>
    <row r="104" spans="1:10" ht="27" thickTop="1" thickBot="1" x14ac:dyDescent="0.4">
      <c r="A104" s="3" t="str" cm="1">
        <f t="array" ref="A104">"n"&amp;SUBSTITUTE(CreateGuidString(),"-","_")</f>
        <v>nD2F720BC_E88F_4C57_AFD8_D754C3BA35F9</v>
      </c>
      <c r="B104" s="6" t="str">
        <f>NodesData[[#This Row],[name]]&amp;" ("&amp;NodesData[[#This Row],[main_class]]&amp;")"</f>
        <v>Customer Identification (Concept)</v>
      </c>
      <c r="C104" s="17" t="s">
        <v>713</v>
      </c>
      <c r="D104" s="3" t="s">
        <v>1409</v>
      </c>
      <c r="E104" s="10" t="s">
        <v>712</v>
      </c>
      <c r="F104" s="3">
        <f t="shared" si="1"/>
        <v>102</v>
      </c>
      <c r="G104" s="3">
        <f>COUNTIF(NodesData[label],NodesData[[#This Row],[label]])</f>
        <v>1</v>
      </c>
      <c r="H104" s="3">
        <f>COUNTIF(EdgesData[from],NodesData[[#This Row],[id]])+COUNTIF(EdgesData[to],NodesData[[#This Row],[id]])</f>
        <v>0</v>
      </c>
      <c r="I104" s="3">
        <f>IF(NodesData[[#This Row],[Used]]&gt;0,1,0)</f>
        <v>0</v>
      </c>
      <c r="J104" s="18" t="str" cm="1">
        <f t="array" ref="J104">IF(NodesData[[#This Row],[Count]]&gt;1,",","") &amp;"{"&amp;twoRangesToJSON(NodesData[[#Headers],[id]:[main_class]],NodesData[[#This Row],[id]:[main_class]])&amp;"}"</f>
        <v>,{"id":"nD2F720BC_E88F_4C57_AFD8_D754C3BA35F9","label":"Customer Identification (Concept)","url":"https://open-measure.atlassian.net/wiki/spaces/DIC/pages/414548006","main_class":"Concept"}</v>
      </c>
    </row>
    <row r="105" spans="1:10" ht="27" thickTop="1" thickBot="1" x14ac:dyDescent="0.4">
      <c r="A105" s="3" t="str" cm="1">
        <f t="array" ref="A105">"n"&amp;SUBSTITUTE(CreateGuidString(),"-","_")</f>
        <v>n75F4B83C_A26B_4EF7_8E56_E400A9F77917</v>
      </c>
      <c r="B105" s="6" t="str">
        <f>NodesData[[#This Row],[name]]&amp;" ("&amp;NodesData[[#This Row],[main_class]]&amp;")"</f>
        <v>Customer Identity (Concept)</v>
      </c>
      <c r="C105" s="17" t="s">
        <v>715</v>
      </c>
      <c r="D105" s="3" t="s">
        <v>1409</v>
      </c>
      <c r="E105" s="10" t="s">
        <v>714</v>
      </c>
      <c r="F105" s="3">
        <f t="shared" si="1"/>
        <v>103</v>
      </c>
      <c r="G105" s="3">
        <f>COUNTIF(NodesData[label],NodesData[[#This Row],[label]])</f>
        <v>1</v>
      </c>
      <c r="H105" s="3">
        <f>COUNTIF(EdgesData[from],NodesData[[#This Row],[id]])+COUNTIF(EdgesData[to],NodesData[[#This Row],[id]])</f>
        <v>0</v>
      </c>
      <c r="I105" s="3">
        <f>IF(NodesData[[#This Row],[Used]]&gt;0,1,0)</f>
        <v>0</v>
      </c>
      <c r="J105" s="18" t="str" cm="1">
        <f t="array" ref="J105">IF(NodesData[[#This Row],[Count]]&gt;1,",","") &amp;"{"&amp;twoRangesToJSON(NodesData[[#Headers],[id]:[main_class]],NodesData[[#This Row],[id]:[main_class]])&amp;"}"</f>
        <v>,{"id":"n75F4B83C_A26B_4EF7_8E56_E400A9F77917","label":"Customer Identity (Concept)","url":"https://open-measure.atlassian.net/wiki/spaces/DIC/pages/138444875","main_class":"Concept"}</v>
      </c>
    </row>
    <row r="106" spans="1:10" ht="27" thickTop="1" thickBot="1" x14ac:dyDescent="0.4">
      <c r="A106" s="3" t="str" cm="1">
        <f t="array" ref="A106">"n"&amp;SUBSTITUTE(CreateGuidString(),"-","_")</f>
        <v>n6AD94774_2573_4527_8702_6A554D32B63E</v>
      </c>
      <c r="B106" s="6" t="str">
        <f>NodesData[[#This Row],[name]]&amp;" ("&amp;NodesData[[#This Row],[main_class]]&amp;")"</f>
        <v>Customer Identity Verification (Concept)</v>
      </c>
      <c r="C106" s="17" t="s">
        <v>717</v>
      </c>
      <c r="D106" s="3" t="s">
        <v>1409</v>
      </c>
      <c r="E106" s="10" t="s">
        <v>716</v>
      </c>
      <c r="F106" s="3">
        <f t="shared" si="1"/>
        <v>104</v>
      </c>
      <c r="G106" s="3">
        <f>COUNTIF(NodesData[label],NodesData[[#This Row],[label]])</f>
        <v>1</v>
      </c>
      <c r="H106" s="3">
        <f>COUNTIF(EdgesData[from],NodesData[[#This Row],[id]])+COUNTIF(EdgesData[to],NodesData[[#This Row],[id]])</f>
        <v>0</v>
      </c>
      <c r="I106" s="3">
        <f>IF(NodesData[[#This Row],[Used]]&gt;0,1,0)</f>
        <v>0</v>
      </c>
      <c r="J106" s="18" t="str" cm="1">
        <f t="array" ref="J106">IF(NodesData[[#This Row],[Count]]&gt;1,",","") &amp;"{"&amp;twoRangesToJSON(NodesData[[#Headers],[id]:[main_class]],NodesData[[#This Row],[id]:[main_class]])&amp;"}"</f>
        <v>,{"id":"n6AD94774_2573_4527_8702_6A554D32B63E","label":"Customer Identity Verification (Concept)","url":"https://open-measure.atlassian.net/wiki/spaces/DIC/pages/409010717","main_class":"Concept"}</v>
      </c>
    </row>
    <row r="107" spans="1:10" ht="27" thickTop="1" thickBot="1" x14ac:dyDescent="0.4">
      <c r="A107" s="3" t="str" cm="1">
        <f t="array" ref="A107">"n"&amp;SUBSTITUTE(CreateGuidString(),"-","_")</f>
        <v>nEA4B4E86_B603_462E_81F9_82DA0275A64B</v>
      </c>
      <c r="B107" s="6" t="str">
        <f>NodesData[[#This Row],[name]]&amp;" ("&amp;NodesData[[#This Row],[main_class]]&amp;")"</f>
        <v>Customer On-Boarding (Concept)</v>
      </c>
      <c r="C107" s="17" t="s">
        <v>719</v>
      </c>
      <c r="D107" s="3" t="s">
        <v>1409</v>
      </c>
      <c r="E107" s="10" t="s">
        <v>718</v>
      </c>
      <c r="F107" s="3">
        <f t="shared" si="1"/>
        <v>105</v>
      </c>
      <c r="G107" s="3">
        <f>COUNTIF(NodesData[label],NodesData[[#This Row],[label]])</f>
        <v>1</v>
      </c>
      <c r="H107" s="3">
        <f>COUNTIF(EdgesData[from],NodesData[[#This Row],[id]])+COUNTIF(EdgesData[to],NodesData[[#This Row],[id]])</f>
        <v>0</v>
      </c>
      <c r="I107" s="3">
        <f>IF(NodesData[[#This Row],[Used]]&gt;0,1,0)</f>
        <v>0</v>
      </c>
      <c r="J107" s="18" t="str" cm="1">
        <f t="array" ref="J107">IF(NodesData[[#This Row],[Count]]&gt;1,",","") &amp;"{"&amp;twoRangesToJSON(NodesData[[#Headers],[id]:[main_class]],NodesData[[#This Row],[id]:[main_class]])&amp;"}"</f>
        <v>,{"id":"nEA4B4E86_B603_462E_81F9_82DA0275A64B","label":"Customer On-Boarding (Concept)","url":"https://open-measure.atlassian.net/wiki/spaces/DIC/pages/408944928","main_class":"Concept"}</v>
      </c>
    </row>
    <row r="108" spans="1:10" ht="27" thickTop="1" thickBot="1" x14ac:dyDescent="0.4">
      <c r="A108" s="3" t="str" cm="1">
        <f t="array" ref="A108">"n"&amp;SUBSTITUTE(CreateGuidString(),"-","_")</f>
        <v>n3BD89019_27A1_40A2_A8EE_D5A34F2F873A</v>
      </c>
      <c r="B108" s="6" t="str">
        <f>NodesData[[#This Row],[name]]&amp;" ("&amp;NodesData[[#This Row],[main_class]]&amp;")"</f>
        <v>Customer Privacy and Consent Management (Concept)</v>
      </c>
      <c r="C108" s="17" t="s">
        <v>721</v>
      </c>
      <c r="D108" s="3" t="s">
        <v>1409</v>
      </c>
      <c r="E108" s="10" t="s">
        <v>720</v>
      </c>
      <c r="F108" s="3">
        <f t="shared" si="1"/>
        <v>106</v>
      </c>
      <c r="G108" s="3">
        <f>COUNTIF(NodesData[label],NodesData[[#This Row],[label]])</f>
        <v>1</v>
      </c>
      <c r="H108" s="3">
        <f>COUNTIF(EdgesData[from],NodesData[[#This Row],[id]])+COUNTIF(EdgesData[to],NodesData[[#This Row],[id]])</f>
        <v>0</v>
      </c>
      <c r="I108" s="3">
        <f>IF(NodesData[[#This Row],[Used]]&gt;0,1,0)</f>
        <v>0</v>
      </c>
      <c r="J108" s="18" t="str" cm="1">
        <f t="array" ref="J108">IF(NodesData[[#This Row],[Count]]&gt;1,",","") &amp;"{"&amp;twoRangesToJSON(NodesData[[#Headers],[id]:[main_class]],NodesData[[#This Row],[id]:[main_class]])&amp;"}"</f>
        <v>,{"id":"n3BD89019_27A1_40A2_A8EE_D5A34F2F873A","label":"Customer Privacy and Consent Management (Concept)","url":"https://open-measure.atlassian.net/wiki/spaces/DIC/pages/797900801","main_class":"Concept"}</v>
      </c>
    </row>
    <row r="109" spans="1:10" ht="27" thickTop="1" thickBot="1" x14ac:dyDescent="0.4">
      <c r="A109" s="3" t="str" cm="1">
        <f t="array" ref="A109">"n"&amp;SUBSTITUTE(CreateGuidString(),"-","_")</f>
        <v>n6B1F74EC_AB45_4455_A63B_B9367E364F3C</v>
      </c>
      <c r="B109" s="6" t="str">
        <f>NodesData[[#This Row],[name]]&amp;" ("&amp;NodesData[[#This Row],[main_class]]&amp;")"</f>
        <v>Cyber-sabotage (Concept)</v>
      </c>
      <c r="C109" s="17" t="s">
        <v>722</v>
      </c>
      <c r="D109" s="3" t="s">
        <v>1409</v>
      </c>
      <c r="E109" s="10" t="s">
        <v>162</v>
      </c>
      <c r="F109" s="3">
        <f t="shared" si="1"/>
        <v>107</v>
      </c>
      <c r="G109" s="3">
        <f>COUNTIF(NodesData[label],NodesData[[#This Row],[label]])</f>
        <v>1</v>
      </c>
      <c r="H109" s="3">
        <f>COUNTIF(EdgesData[from],NodesData[[#This Row],[id]])+COUNTIF(EdgesData[to],NodesData[[#This Row],[id]])</f>
        <v>0</v>
      </c>
      <c r="I109" s="3">
        <f>IF(NodesData[[#This Row],[Used]]&gt;0,1,0)</f>
        <v>0</v>
      </c>
      <c r="J109" s="18" t="str" cm="1">
        <f t="array" ref="J109">IF(NodesData[[#This Row],[Count]]&gt;1,",","") &amp;"{"&amp;twoRangesToJSON(NodesData[[#Headers],[id]:[main_class]],NodesData[[#This Row],[id]:[main_class]])&amp;"}"</f>
        <v>,{"id":"n6B1F74EC_AB45_4455_A63B_B9367E364F3C","label":"Cyber-sabotage (Concept)","url":"https://open-measure.atlassian.net/wiki/spaces/DIC/pages/1451982933/Cyber-sabotage","main_class":"Concept"}</v>
      </c>
    </row>
    <row r="110" spans="1:10" ht="27" thickTop="1" thickBot="1" x14ac:dyDescent="0.4">
      <c r="A110" s="3" t="str" cm="1">
        <f t="array" ref="A110">"n"&amp;SUBSTITUTE(CreateGuidString(),"-","_")</f>
        <v>nB90908F4_86DE_40FB_9452_5BE1E0D6310C</v>
      </c>
      <c r="B110" s="6" t="str">
        <f>NodesData[[#This Row],[name]]&amp;" ("&amp;NodesData[[#This Row],[main_class]]&amp;")"</f>
        <v>DAC (Acronym)</v>
      </c>
      <c r="C110" s="17" t="s">
        <v>723</v>
      </c>
      <c r="D110" s="3" t="s">
        <v>1301</v>
      </c>
      <c r="E110" s="10" t="s">
        <v>163</v>
      </c>
      <c r="F110" s="3">
        <f t="shared" si="1"/>
        <v>108</v>
      </c>
      <c r="G110" s="3">
        <f>COUNTIF(NodesData[label],NodesData[[#This Row],[label]])</f>
        <v>1</v>
      </c>
      <c r="H110" s="3">
        <f>COUNTIF(EdgesData[from],NodesData[[#This Row],[id]])+COUNTIF(EdgesData[to],NodesData[[#This Row],[id]])</f>
        <v>0</v>
      </c>
      <c r="I110" s="3">
        <f>IF(NodesData[[#This Row],[Used]]&gt;0,1,0)</f>
        <v>0</v>
      </c>
      <c r="J110" s="18" t="str" cm="1">
        <f t="array" ref="J110">IF(NodesData[[#This Row],[Count]]&gt;1,",","") &amp;"{"&amp;twoRangesToJSON(NodesData[[#Headers],[id]:[main_class]],NodesData[[#This Row],[id]:[main_class]])&amp;"}"</f>
        <v>,{"id":"nB90908F4_86DE_40FB_9452_5BE1E0D6310C","label":"DAC (Acronym)","url":"https://open-measure.atlassian.net/wiki/spaces/DIC/pages/1177845938/DAC","main_class":"Acronym"}</v>
      </c>
    </row>
    <row r="111" spans="1:10" ht="27" thickTop="1" thickBot="1" x14ac:dyDescent="0.4">
      <c r="A111" s="3" t="str" cm="1">
        <f t="array" ref="A111">"n"&amp;SUBSTITUTE(CreateGuidString(),"-","_")</f>
        <v>n94613E3A_9BE8_4896_88C2_323708180A7A</v>
      </c>
      <c r="B111" s="6" t="str">
        <f>NodesData[[#This Row],[name]]&amp;" ("&amp;NodesData[[#This Row],[main_class]]&amp;")"</f>
        <v>Data Anonymization (Concept)</v>
      </c>
      <c r="C111" s="17" t="s">
        <v>724</v>
      </c>
      <c r="D111" s="3" t="s">
        <v>1409</v>
      </c>
      <c r="E111" s="10" t="s">
        <v>164</v>
      </c>
      <c r="F111" s="3">
        <f t="shared" si="1"/>
        <v>109</v>
      </c>
      <c r="G111" s="3">
        <f>COUNTIF(NodesData[label],NodesData[[#This Row],[label]])</f>
        <v>1</v>
      </c>
      <c r="H111" s="3">
        <f>COUNTIF(EdgesData[from],NodesData[[#This Row],[id]])+COUNTIF(EdgesData[to],NodesData[[#This Row],[id]])</f>
        <v>0</v>
      </c>
      <c r="I111" s="3">
        <f>IF(NodesData[[#This Row],[Used]]&gt;0,1,0)</f>
        <v>0</v>
      </c>
      <c r="J111" s="18" t="str" cm="1">
        <f t="array" ref="J111">IF(NodesData[[#This Row],[Count]]&gt;1,",","") &amp;"{"&amp;twoRangesToJSON(NodesData[[#Headers],[id]:[main_class]],NodesData[[#This Row],[id]:[main_class]])&amp;"}"</f>
        <v>,{"id":"n94613E3A_9BE8_4896_88C2_323708180A7A","label":"Data Anonymization (Concept)","url":"https://open-measure.atlassian.net/wiki/spaces/DIC/pages/1267400850/Data+Anonymization","main_class":"Concept"}</v>
      </c>
    </row>
    <row r="112" spans="1:10" ht="27" thickTop="1" thickBot="1" x14ac:dyDescent="0.4">
      <c r="A112" s="3" t="str" cm="1">
        <f t="array" ref="A112">"n"&amp;SUBSTITUTE(CreateGuidString(),"-","_")</f>
        <v>n06CB6C00_6AE9_4C16_97BB_B58519403B9D</v>
      </c>
      <c r="B112" s="6" t="str">
        <f>NodesData[[#This Row],[name]]&amp;" ("&amp;NodesData[[#This Row],[main_class]]&amp;")"</f>
        <v>Data Custodian (Concept)</v>
      </c>
      <c r="C112" s="17" t="s">
        <v>726</v>
      </c>
      <c r="D112" s="3" t="s">
        <v>1409</v>
      </c>
      <c r="E112" s="10" t="s">
        <v>725</v>
      </c>
      <c r="F112" s="3">
        <f t="shared" si="1"/>
        <v>110</v>
      </c>
      <c r="G112" s="3">
        <f>COUNTIF(NodesData[label],NodesData[[#This Row],[label]])</f>
        <v>1</v>
      </c>
      <c r="H112" s="3">
        <f>COUNTIF(EdgesData[from],NodesData[[#This Row],[id]])+COUNTIF(EdgesData[to],NodesData[[#This Row],[id]])</f>
        <v>0</v>
      </c>
      <c r="I112" s="3">
        <f>IF(NodesData[[#This Row],[Used]]&gt;0,1,0)</f>
        <v>0</v>
      </c>
      <c r="J112" s="18" t="str" cm="1">
        <f t="array" ref="J112">IF(NodesData[[#This Row],[Count]]&gt;1,",","") &amp;"{"&amp;twoRangesToJSON(NodesData[[#Headers],[id]:[main_class]],NodesData[[#This Row],[id]:[main_class]])&amp;"}"</f>
        <v>,{"id":"n06CB6C00_6AE9_4C16_97BB_B58519403B9D","label":"Data Custodian (Concept)","url":"https://open-measure.atlassian.net/wiki/spaces/DIC/pages/998244454","main_class":"Concept"}</v>
      </c>
    </row>
    <row r="113" spans="1:10" ht="27" thickTop="1" thickBot="1" x14ac:dyDescent="0.4">
      <c r="A113" s="3" t="str" cm="1">
        <f t="array" ref="A113">"n"&amp;SUBSTITUTE(CreateGuidString(),"-","_")</f>
        <v>n14BC191B_0089_4D7C_9CF9_78806C6CA82E</v>
      </c>
      <c r="B113" s="6" t="str">
        <f>NodesData[[#This Row],[name]]&amp;" ("&amp;NodesData[[#This Row],[main_class]]&amp;")"</f>
        <v>Data-Level Policy (Concept)</v>
      </c>
      <c r="C113" s="17" t="s">
        <v>734</v>
      </c>
      <c r="D113" s="3" t="s">
        <v>1409</v>
      </c>
      <c r="E113" s="10" t="s">
        <v>733</v>
      </c>
      <c r="F113" s="3">
        <f t="shared" si="1"/>
        <v>111</v>
      </c>
      <c r="G113" s="3">
        <f>COUNTIF(NodesData[label],NodesData[[#This Row],[label]])</f>
        <v>1</v>
      </c>
      <c r="H113" s="3">
        <f>COUNTIF(EdgesData[from],NodesData[[#This Row],[id]])+COUNTIF(EdgesData[to],NodesData[[#This Row],[id]])</f>
        <v>0</v>
      </c>
      <c r="I113" s="3">
        <f>IF(NodesData[[#This Row],[Used]]&gt;0,1,0)</f>
        <v>0</v>
      </c>
      <c r="J113" s="18" t="str" cm="1">
        <f t="array" ref="J113">IF(NodesData[[#This Row],[Count]]&gt;1,",","") &amp;"{"&amp;twoRangesToJSON(NodesData[[#Headers],[id]:[main_class]],NodesData[[#This Row],[id]:[main_class]])&amp;"}"</f>
        <v>,{"id":"n14BC191B_0089_4D7C_9CF9_78806C6CA82E","label":"Data-Level Policy (Concept)","url":"https://open-measure.atlassian.net/wiki/spaces/DIC/pages/1132331029","main_class":"Concept"}</v>
      </c>
    </row>
    <row r="114" spans="1:10" ht="27" thickTop="1" thickBot="1" x14ac:dyDescent="0.4">
      <c r="A114" s="3" t="str" cm="1">
        <f t="array" ref="A114">"n"&amp;SUBSTITUTE(CreateGuidString(),"-","_")</f>
        <v>n10806ECC_19C7_4EF2_984D_DD724A97D539</v>
      </c>
      <c r="B114" s="6" t="str">
        <f>NodesData[[#This Row],[name]]&amp;" ("&amp;NodesData[[#This Row],[main_class]]&amp;")"</f>
        <v>Data Lineage (Concept)</v>
      </c>
      <c r="C114" s="17" t="s">
        <v>728</v>
      </c>
      <c r="D114" s="3" t="s">
        <v>1409</v>
      </c>
      <c r="E114" s="10" t="s">
        <v>727</v>
      </c>
      <c r="F114" s="3">
        <f t="shared" si="1"/>
        <v>112</v>
      </c>
      <c r="G114" s="3">
        <f>COUNTIF(NodesData[label],NodesData[[#This Row],[label]])</f>
        <v>1</v>
      </c>
      <c r="H114" s="3">
        <f>COUNTIF(EdgesData[from],NodesData[[#This Row],[id]])+COUNTIF(EdgesData[to],NodesData[[#This Row],[id]])</f>
        <v>0</v>
      </c>
      <c r="I114" s="3">
        <f>IF(NodesData[[#This Row],[Used]]&gt;0,1,0)</f>
        <v>0</v>
      </c>
      <c r="J114" s="18" t="str" cm="1">
        <f t="array" ref="J114">IF(NodesData[[#This Row],[Count]]&gt;1,",","") &amp;"{"&amp;twoRangesToJSON(NodesData[[#Headers],[id]:[main_class]],NodesData[[#This Row],[id]:[main_class]])&amp;"}"</f>
        <v>,{"id":"n10806ECC_19C7_4EF2_984D_DD724A97D539","label":"Data Lineage (Concept)","url":"https://open-measure.atlassian.net/wiki/spaces/DIC/pages/508330028","main_class":"Concept"}</v>
      </c>
    </row>
    <row r="115" spans="1:10" ht="27" thickTop="1" thickBot="1" x14ac:dyDescent="0.4">
      <c r="A115" s="3" t="str" cm="1">
        <f t="array" ref="A115">"n"&amp;SUBSTITUTE(CreateGuidString(),"-","_")</f>
        <v>n10A5D504_CD6D_4F3E_8B62_901F5BDD23F4</v>
      </c>
      <c r="B115" s="6" t="str">
        <f>NodesData[[#This Row],[name]]&amp;" ("&amp;NodesData[[#This Row],[main_class]]&amp;")"</f>
        <v>Data Obfuscation (Concept)</v>
      </c>
      <c r="C115" s="17" t="s">
        <v>730</v>
      </c>
      <c r="D115" s="3" t="s">
        <v>1409</v>
      </c>
      <c r="E115" s="10" t="s">
        <v>729</v>
      </c>
      <c r="F115" s="3">
        <f t="shared" si="1"/>
        <v>113</v>
      </c>
      <c r="G115" s="3">
        <f>COUNTIF(NodesData[label],NodesData[[#This Row],[label]])</f>
        <v>1</v>
      </c>
      <c r="H115" s="3">
        <f>COUNTIF(EdgesData[from],NodesData[[#This Row],[id]])+COUNTIF(EdgesData[to],NodesData[[#This Row],[id]])</f>
        <v>0</v>
      </c>
      <c r="I115" s="3">
        <f>IF(NodesData[[#This Row],[Used]]&gt;0,1,0)</f>
        <v>0</v>
      </c>
      <c r="J115" s="18" t="str" cm="1">
        <f t="array" ref="J115">IF(NodesData[[#This Row],[Count]]&gt;1,",","") &amp;"{"&amp;twoRangesToJSON(NodesData[[#Headers],[id]:[main_class]],NodesData[[#This Row],[id]:[main_class]])&amp;"}"</f>
        <v>,{"id":"n10A5D504_CD6D_4F3E_8B62_901F5BDD23F4","label":"Data Obfuscation (Concept)","url":"https://open-measure.atlassian.net/wiki/spaces/DIC/pages/1027048097","main_class":"Concept"}</v>
      </c>
    </row>
    <row r="116" spans="1:10" ht="27" thickTop="1" thickBot="1" x14ac:dyDescent="0.4">
      <c r="A116" s="3" t="str" cm="1">
        <f t="array" ref="A116">"n"&amp;SUBSTITUTE(CreateGuidString(),"-","_")</f>
        <v>nDCCB53E8_63B1_4718_B98C_89BC16AD3B0C</v>
      </c>
      <c r="B116" s="6" t="str">
        <f>NodesData[[#This Row],[name]]&amp;" ("&amp;NodesData[[#This Row],[main_class]]&amp;")"</f>
        <v>Data Owner (Concept)</v>
      </c>
      <c r="C116" s="17" t="s">
        <v>732</v>
      </c>
      <c r="D116" s="3" t="s">
        <v>1409</v>
      </c>
      <c r="E116" s="10" t="s">
        <v>731</v>
      </c>
      <c r="F116" s="3">
        <f t="shared" si="1"/>
        <v>114</v>
      </c>
      <c r="G116" s="3">
        <f>COUNTIF(NodesData[label],NodesData[[#This Row],[label]])</f>
        <v>1</v>
      </c>
      <c r="H116" s="3">
        <f>COUNTIF(EdgesData[from],NodesData[[#This Row],[id]])+COUNTIF(EdgesData[to],NodesData[[#This Row],[id]])</f>
        <v>0</v>
      </c>
      <c r="I116" s="3">
        <f>IF(NodesData[[#This Row],[Used]]&gt;0,1,0)</f>
        <v>0</v>
      </c>
      <c r="J116" s="18" t="str" cm="1">
        <f t="array" ref="J116">IF(NodesData[[#This Row],[Count]]&gt;1,",","") &amp;"{"&amp;twoRangesToJSON(NodesData[[#Headers],[id]:[main_class]],NodesData[[#This Row],[id]:[main_class]])&amp;"}"</f>
        <v>,{"id":"nDCCB53E8_63B1_4718_B98C_89BC16AD3B0C","label":"Data Owner (Concept)","url":"https://open-measure.atlassian.net/wiki/spaces/DIC/pages/998179040","main_class":"Concept"}</v>
      </c>
    </row>
    <row r="117" spans="1:10" ht="27" thickTop="1" thickBot="1" x14ac:dyDescent="0.4">
      <c r="A117" s="3" t="str" cm="1">
        <f t="array" ref="A117">"n"&amp;SUBSTITUTE(CreateGuidString(),"-","_")</f>
        <v>nE367958D_AB3E_46C5_9009_E3A5E02730C1</v>
      </c>
      <c r="B117" s="6" t="str">
        <f>NodesData[[#This Row],[name]]&amp;" ("&amp;NodesData[[#This Row],[main_class]]&amp;")"</f>
        <v>De-duplication (Concept)</v>
      </c>
      <c r="C117" s="17" t="s">
        <v>740</v>
      </c>
      <c r="D117" s="3" t="s">
        <v>1409</v>
      </c>
      <c r="E117" s="10" t="s">
        <v>739</v>
      </c>
      <c r="F117" s="3">
        <f t="shared" si="1"/>
        <v>115</v>
      </c>
      <c r="G117" s="3">
        <f>COUNTIF(NodesData[label],NodesData[[#This Row],[label]])</f>
        <v>1</v>
      </c>
      <c r="H117" s="3">
        <f>COUNTIF(EdgesData[from],NodesData[[#This Row],[id]])+COUNTIF(EdgesData[to],NodesData[[#This Row],[id]])</f>
        <v>0</v>
      </c>
      <c r="I117" s="3">
        <f>IF(NodesData[[#This Row],[Used]]&gt;0,1,0)</f>
        <v>0</v>
      </c>
      <c r="J117" s="18" t="str" cm="1">
        <f t="array" ref="J117">IF(NodesData[[#This Row],[Count]]&gt;1,",","") &amp;"{"&amp;twoRangesToJSON(NodesData[[#Headers],[id]:[main_class]],NodesData[[#This Row],[id]:[main_class]])&amp;"}"</f>
        <v>,{"id":"nE367958D_AB3E_46C5_9009_E3A5E02730C1","label":"De-duplication (Concept)","url":"https://open-measure.atlassian.net/wiki/spaces/DIC/pages/408977837","main_class":"Concept"}</v>
      </c>
    </row>
    <row r="118" spans="1:10" ht="27" thickTop="1" thickBot="1" x14ac:dyDescent="0.4">
      <c r="A118" s="3" t="str" cm="1">
        <f t="array" ref="A118">"n"&amp;SUBSTITUTE(CreateGuidString(),"-","_")</f>
        <v>n1DB32E6D_69A4_4597_B708_3A14D426210B</v>
      </c>
      <c r="B118" s="6" t="str">
        <f>NodesData[[#This Row],[name]]&amp;" ("&amp;NodesData[[#This Row],[main_class]]&amp;")"</f>
        <v>Death Certificate (Concept)</v>
      </c>
      <c r="C118" s="17" t="s">
        <v>736</v>
      </c>
      <c r="D118" s="3" t="s">
        <v>1409</v>
      </c>
      <c r="E118" s="10" t="s">
        <v>735</v>
      </c>
      <c r="F118" s="3">
        <f t="shared" si="1"/>
        <v>116</v>
      </c>
      <c r="G118" s="3">
        <f>COUNTIF(NodesData[label],NodesData[[#This Row],[label]])</f>
        <v>1</v>
      </c>
      <c r="H118" s="3">
        <f>COUNTIF(EdgesData[from],NodesData[[#This Row],[id]])+COUNTIF(EdgesData[to],NodesData[[#This Row],[id]])</f>
        <v>0</v>
      </c>
      <c r="I118" s="3">
        <f>IF(NodesData[[#This Row],[Used]]&gt;0,1,0)</f>
        <v>0</v>
      </c>
      <c r="J118" s="18" t="str" cm="1">
        <f t="array" ref="J118">IF(NodesData[[#This Row],[Count]]&gt;1,",","") &amp;"{"&amp;twoRangesToJSON(NodesData[[#Headers],[id]:[main_class]],NodesData[[#This Row],[id]:[main_class]])&amp;"}"</f>
        <v>,{"id":"n1DB32E6D_69A4_4597_B708_3A14D426210B","label":"Death Certificate (Concept)","url":"https://open-measure.atlassian.net/wiki/spaces/DIC/pages/1031242134","main_class":"Concept"}</v>
      </c>
    </row>
    <row r="119" spans="1:10" ht="27" thickTop="1" thickBot="1" x14ac:dyDescent="0.4">
      <c r="A119" s="3" t="str" cm="1">
        <f t="array" ref="A119">"n"&amp;SUBSTITUTE(CreateGuidString(),"-","_")</f>
        <v>n9710A9A9_CC36_4F49_8FEF_C16D4567ECC0</v>
      </c>
      <c r="B119" s="6" t="str">
        <f>NodesData[[#This Row],[name]]&amp;" ("&amp;NodesData[[#This Row],[main_class]]&amp;")"</f>
        <v>Decentralized Identifier (Concept)</v>
      </c>
      <c r="C119" s="17" t="s">
        <v>738</v>
      </c>
      <c r="D119" s="3" t="s">
        <v>1409</v>
      </c>
      <c r="E119" s="10" t="s">
        <v>737</v>
      </c>
      <c r="F119" s="3">
        <f t="shared" si="1"/>
        <v>117</v>
      </c>
      <c r="G119" s="3">
        <f>COUNTIF(NodesData[label],NodesData[[#This Row],[label]])</f>
        <v>1</v>
      </c>
      <c r="H119" s="3">
        <f>COUNTIF(EdgesData[from],NodesData[[#This Row],[id]])+COUNTIF(EdgesData[to],NodesData[[#This Row],[id]])</f>
        <v>0</v>
      </c>
      <c r="I119" s="3">
        <f>IF(NodesData[[#This Row],[Used]]&gt;0,1,0)</f>
        <v>0</v>
      </c>
      <c r="J119" s="18" t="str" cm="1">
        <f t="array" ref="J119">IF(NodesData[[#This Row],[Count]]&gt;1,",","") &amp;"{"&amp;twoRangesToJSON(NodesData[[#Headers],[id]:[main_class]],NodesData[[#This Row],[id]:[main_class]])&amp;"}"</f>
        <v>,{"id":"n9710A9A9_CC36_4F49_8FEF_C16D4567ECC0","label":"Decentralized Identifier (Concept)","url":"https://open-measure.atlassian.net/wiki/spaces/DIC/pages/782893122","main_class":"Concept"}</v>
      </c>
    </row>
    <row r="120" spans="1:10" ht="27" thickTop="1" thickBot="1" x14ac:dyDescent="0.4">
      <c r="A120" s="3" t="str" cm="1">
        <f t="array" ref="A120">"n"&amp;SUBSTITUTE(CreateGuidString(),"-","_")</f>
        <v>n7D8207D7_A3EB_4B4D_BCBF_D74934919213</v>
      </c>
      <c r="B120" s="6" t="str">
        <f>NodesData[[#This Row],[name]]&amp;" ("&amp;NodesData[[#This Row],[main_class]]&amp;")"</f>
        <v>Deprovisioning (Concept)</v>
      </c>
      <c r="C120" s="17" t="s">
        <v>742</v>
      </c>
      <c r="D120" s="3" t="s">
        <v>1409</v>
      </c>
      <c r="E120" s="10" t="s">
        <v>741</v>
      </c>
      <c r="F120" s="3">
        <f t="shared" si="1"/>
        <v>118</v>
      </c>
      <c r="G120" s="3">
        <f>COUNTIF(NodesData[label],NodesData[[#This Row],[label]])</f>
        <v>1</v>
      </c>
      <c r="H120" s="3">
        <f>COUNTIF(EdgesData[from],NodesData[[#This Row],[id]])+COUNTIF(EdgesData[to],NodesData[[#This Row],[id]])</f>
        <v>0</v>
      </c>
      <c r="I120" s="3">
        <f>IF(NodesData[[#This Row],[Used]]&gt;0,1,0)</f>
        <v>0</v>
      </c>
      <c r="J120" s="18" t="str" cm="1">
        <f t="array" ref="J120">IF(NodesData[[#This Row],[Count]]&gt;1,",","") &amp;"{"&amp;twoRangesToJSON(NodesData[[#Headers],[id]:[main_class]],NodesData[[#This Row],[id]:[main_class]])&amp;"}"</f>
        <v>,{"id":"n7D8207D7_A3EB_4B4D_BCBF_D74934919213","label":"Deprovisioning (Concept)","url":"https://open-measure.atlassian.net/wiki/spaces/DIC/pages/62193665","main_class":"Concept"}</v>
      </c>
    </row>
    <row r="121" spans="1:10" ht="27" thickTop="1" thickBot="1" x14ac:dyDescent="0.4">
      <c r="A121" s="3" t="str" cm="1">
        <f t="array" ref="A121">"n"&amp;SUBSTITUTE(CreateGuidString(),"-","_")</f>
        <v>n25A31E65_86BC_4235_BD22_81C202F5D041</v>
      </c>
      <c r="B121" s="6" t="str">
        <f>NodesData[[#This Row],[name]]&amp;" ("&amp;NodesData[[#This Row],[main_class]]&amp;")"</f>
        <v>DID (Acronym)</v>
      </c>
      <c r="C121" s="17" t="s">
        <v>743</v>
      </c>
      <c r="D121" s="3" t="s">
        <v>1301</v>
      </c>
      <c r="E121" s="10" t="s">
        <v>175</v>
      </c>
      <c r="F121" s="3">
        <f t="shared" si="1"/>
        <v>119</v>
      </c>
      <c r="G121" s="3">
        <f>COUNTIF(NodesData[label],NodesData[[#This Row],[label]])</f>
        <v>1</v>
      </c>
      <c r="H121" s="3">
        <f>COUNTIF(EdgesData[from],NodesData[[#This Row],[id]])+COUNTIF(EdgesData[to],NodesData[[#This Row],[id]])</f>
        <v>0</v>
      </c>
      <c r="I121" s="3">
        <f>IF(NodesData[[#This Row],[Used]]&gt;0,1,0)</f>
        <v>0</v>
      </c>
      <c r="J121" s="18" t="str" cm="1">
        <f t="array" ref="J121">IF(NodesData[[#This Row],[Count]]&gt;1,",","") &amp;"{"&amp;twoRangesToJSON(NodesData[[#Headers],[id]:[main_class]],NodesData[[#This Row],[id]:[main_class]])&amp;"}"</f>
        <v>,{"id":"n25A31E65_86BC_4235_BD22_81C202F5D041","label":"DID (Acronym)","url":"https://open-measure.atlassian.net/wiki/spaces/DIC/pages/782925889/DID","main_class":"Acronym"}</v>
      </c>
    </row>
    <row r="122" spans="1:10" ht="27" thickTop="1" thickBot="1" x14ac:dyDescent="0.4">
      <c r="A122" s="3" t="str" cm="1">
        <f t="array" ref="A122">"n"&amp;SUBSTITUTE(CreateGuidString(),"-","_")</f>
        <v>n4B6E4B95_65C8_4529_90A8_47E7AAC22E64</v>
      </c>
      <c r="B122" s="6" t="str">
        <f>NodesData[[#This Row],[name]]&amp;" ("&amp;NodesData[[#This Row],[main_class]]&amp;")"</f>
        <v>Digital Continuity (Concept)</v>
      </c>
      <c r="C122" s="17" t="s">
        <v>745</v>
      </c>
      <c r="D122" s="3" t="s">
        <v>1409</v>
      </c>
      <c r="E122" s="10" t="s">
        <v>744</v>
      </c>
      <c r="F122" s="3">
        <f t="shared" si="1"/>
        <v>120</v>
      </c>
      <c r="G122" s="3">
        <f>COUNTIF(NodesData[label],NodesData[[#This Row],[label]])</f>
        <v>1</v>
      </c>
      <c r="H122" s="3">
        <f>COUNTIF(EdgesData[from],NodesData[[#This Row],[id]])+COUNTIF(EdgesData[to],NodesData[[#This Row],[id]])</f>
        <v>0</v>
      </c>
      <c r="I122" s="3">
        <f>IF(NodesData[[#This Row],[Used]]&gt;0,1,0)</f>
        <v>0</v>
      </c>
      <c r="J122" s="18" t="str" cm="1">
        <f t="array" ref="J122">IF(NodesData[[#This Row],[Count]]&gt;1,",","") &amp;"{"&amp;twoRangesToJSON(NodesData[[#Headers],[id]:[main_class]],NodesData[[#This Row],[id]:[main_class]])&amp;"}"</f>
        <v>,{"id":"n4B6E4B95_65C8_4529_90A8_47E7AAC22E64","label":"Digital Continuity (Concept)","url":"https://open-measure.atlassian.net/wiki/spaces/DIC/pages/458326308","main_class":"Concept"}</v>
      </c>
    </row>
    <row r="123" spans="1:10" ht="27" thickTop="1" thickBot="1" x14ac:dyDescent="0.4">
      <c r="A123" s="3" t="str" cm="1">
        <f t="array" ref="A123">"n"&amp;SUBSTITUTE(CreateGuidString(),"-","_")</f>
        <v>n300EB392_D88B_479D_8E51_CB67781D046C</v>
      </c>
      <c r="B123" s="6" t="str">
        <f>NodesData[[#This Row],[name]]&amp;" ("&amp;NodesData[[#This Row],[main_class]]&amp;")"</f>
        <v>Digital Identification System (Concept)</v>
      </c>
      <c r="C123" s="17" t="s">
        <v>746</v>
      </c>
      <c r="D123" s="3" t="s">
        <v>1409</v>
      </c>
      <c r="E123" s="10" t="s">
        <v>177</v>
      </c>
      <c r="F123" s="3">
        <f t="shared" si="1"/>
        <v>121</v>
      </c>
      <c r="G123" s="3">
        <f>COUNTIF(NodesData[label],NodesData[[#This Row],[label]])</f>
        <v>1</v>
      </c>
      <c r="H123" s="3">
        <f>COUNTIF(EdgesData[from],NodesData[[#This Row],[id]])+COUNTIF(EdgesData[to],NodesData[[#This Row],[id]])</f>
        <v>0</v>
      </c>
      <c r="I123" s="3">
        <f>IF(NodesData[[#This Row],[Used]]&gt;0,1,0)</f>
        <v>0</v>
      </c>
      <c r="J123" s="18" t="str" cm="1">
        <f t="array" ref="J123">IF(NodesData[[#This Row],[Count]]&gt;1,",","") &amp;"{"&amp;twoRangesToJSON(NodesData[[#Headers],[id]:[main_class]],NodesData[[#This Row],[id]:[main_class]])&amp;"}"</f>
        <v>,{"id":"n300EB392_D88B_479D_8E51_CB67781D046C","label":"Digital Identification System (Concept)","url":"https://open-measure.atlassian.net/wiki/spaces/DIC/pages/419561482/Digital+Identification+System","main_class":"Concept"}</v>
      </c>
    </row>
    <row r="124" spans="1:10" ht="27" thickTop="1" thickBot="1" x14ac:dyDescent="0.4">
      <c r="A124" s="3" t="str" cm="1">
        <f t="array" ref="A124">"n"&amp;SUBSTITUTE(CreateGuidString(),"-","_")</f>
        <v>n76A03CB5_B0CC_4D30_BEF9_5A46199C23C4</v>
      </c>
      <c r="B124" s="6" t="str">
        <f>NodesData[[#This Row],[name]]&amp;" ("&amp;NodesData[[#This Row],[main_class]]&amp;")"</f>
        <v>Digital Identity (Concept)</v>
      </c>
      <c r="C124" s="17" t="s">
        <v>747</v>
      </c>
      <c r="D124" s="3" t="s">
        <v>1409</v>
      </c>
      <c r="E124" s="10" t="s">
        <v>178</v>
      </c>
      <c r="F124" s="3">
        <f t="shared" si="1"/>
        <v>122</v>
      </c>
      <c r="G124" s="3">
        <f>COUNTIF(NodesData[label],NodesData[[#This Row],[label]])</f>
        <v>1</v>
      </c>
      <c r="H124" s="3">
        <f>COUNTIF(EdgesData[from],NodesData[[#This Row],[id]])+COUNTIF(EdgesData[to],NodesData[[#This Row],[id]])</f>
        <v>0</v>
      </c>
      <c r="I124" s="3">
        <f>IF(NodesData[[#This Row],[Used]]&gt;0,1,0)</f>
        <v>0</v>
      </c>
      <c r="J124" s="18" t="str" cm="1">
        <f t="array" ref="J124">IF(NodesData[[#This Row],[Count]]&gt;1,",","") &amp;"{"&amp;twoRangesToJSON(NodesData[[#Headers],[id]:[main_class]],NodesData[[#This Row],[id]:[main_class]])&amp;"}"</f>
        <v>,{"id":"n76A03CB5_B0CC_4D30_BEF9_5A46199C23C4","label":"Digital Identity (Concept)","url":"https://open-measure.atlassian.net/wiki/spaces/DIC/pages/419528705/Digital+Identity","main_class":"Concept"}</v>
      </c>
    </row>
    <row r="125" spans="1:10" ht="27" thickTop="1" thickBot="1" x14ac:dyDescent="0.4">
      <c r="A125" s="3" t="str" cm="1">
        <f t="array" ref="A125">"n"&amp;SUBSTITUTE(CreateGuidString(),"-","_")</f>
        <v>n0DAE1181_39D5_4466_B7D8_E456F24DF737</v>
      </c>
      <c r="B125" s="6" t="str">
        <f>NodesData[[#This Row],[name]]&amp;" ("&amp;NodesData[[#This Row],[main_class]]&amp;")"</f>
        <v>Continuous Authentication (Concept)</v>
      </c>
      <c r="C125" s="17" t="s">
        <v>693</v>
      </c>
      <c r="D125" s="3" t="s">
        <v>1409</v>
      </c>
      <c r="E125" s="10" t="s">
        <v>692</v>
      </c>
      <c r="F125" s="3">
        <f t="shared" si="1"/>
        <v>123</v>
      </c>
      <c r="G125" s="3">
        <f>COUNTIF(NodesData[label],NodesData[[#This Row],[label]])</f>
        <v>1</v>
      </c>
      <c r="H125" s="3">
        <f>COUNTIF(EdgesData[from],NodesData[[#This Row],[id]])+COUNTIF(EdgesData[to],NodesData[[#This Row],[id]])</f>
        <v>0</v>
      </c>
      <c r="I125" s="3">
        <f>IF(NodesData[[#This Row],[Used]]&gt;0,1,0)</f>
        <v>0</v>
      </c>
      <c r="J125" s="18" t="str" cm="1">
        <f t="array" ref="J125">IF(NodesData[[#This Row],[Count]]&gt;1,",","") &amp;"{"&amp;twoRangesToJSON(NodesData[[#Headers],[id]:[main_class]],NodesData[[#This Row],[id]:[main_class]])&amp;"}"</f>
        <v>,{"id":"n0DAE1181_39D5_4466_B7D8_E456F24DF737","label":"Continuous Authentication (Concept)","url":"https://open-measure.atlassian.net/wiki/spaces/DIC/pages/877297665","main_class":"Concept"}</v>
      </c>
    </row>
    <row r="126" spans="1:10" ht="27" thickTop="1" thickBot="1" x14ac:dyDescent="0.4">
      <c r="A126" s="3" t="str" cm="1">
        <f t="array" ref="A126">"n"&amp;SUBSTITUTE(CreateGuidString(),"-","_")</f>
        <v>nA28F7A6A_BC71_425C_AA34_A1AE8874502D</v>
      </c>
      <c r="B126" s="6" t="str">
        <f>NodesData[[#This Row],[name]]&amp;" ("&amp;NodesData[[#This Row],[main_class]]&amp;")"</f>
        <v>Digital Triangulation (Concept)</v>
      </c>
      <c r="C126" s="17" t="s">
        <v>750</v>
      </c>
      <c r="D126" s="3" t="s">
        <v>1409</v>
      </c>
      <c r="E126" s="10" t="s">
        <v>749</v>
      </c>
      <c r="F126" s="3">
        <f t="shared" si="1"/>
        <v>124</v>
      </c>
      <c r="G126" s="3">
        <f>COUNTIF(NodesData[label],NodesData[[#This Row],[label]])</f>
        <v>1</v>
      </c>
      <c r="H126" s="3">
        <f>COUNTIF(EdgesData[from],NodesData[[#This Row],[id]])+COUNTIF(EdgesData[to],NodesData[[#This Row],[id]])</f>
        <v>0</v>
      </c>
      <c r="I126" s="3">
        <f>IF(NodesData[[#This Row],[Used]]&gt;0,1,0)</f>
        <v>0</v>
      </c>
      <c r="J126" s="18" t="str" cm="1">
        <f t="array" ref="J126">IF(NodesData[[#This Row],[Count]]&gt;1,",","") &amp;"{"&amp;twoRangesToJSON(NodesData[[#Headers],[id]:[main_class]],NodesData[[#This Row],[id]:[main_class]])&amp;"}"</f>
        <v>,{"id":"nA28F7A6A_BC71_425C_AA34_A1AE8874502D","label":"Digital Triangulation (Concept)","url":"https://open-measure.atlassian.net/wiki/spaces/DIC/pages/796983391","main_class":"Concept"}</v>
      </c>
    </row>
    <row r="127" spans="1:10" ht="27" thickTop="1" thickBot="1" x14ac:dyDescent="0.4">
      <c r="A127" s="3" t="str" cm="1">
        <f t="array" ref="A127">"n"&amp;SUBSTITUTE(CreateGuidString(),"-","_")</f>
        <v>n883A0A3A_9BCF_4565_B153_B883C9D313F2</v>
      </c>
      <c r="B127" s="6" t="str">
        <f>NodesData[[#This Row],[name]]&amp;" ("&amp;NodesData[[#This Row],[main_class]]&amp;")"</f>
        <v>Discretionary Access Control (Concept)</v>
      </c>
      <c r="C127" s="17" t="s">
        <v>752</v>
      </c>
      <c r="D127" s="3" t="s">
        <v>1409</v>
      </c>
      <c r="E127" s="10" t="s">
        <v>751</v>
      </c>
      <c r="F127" s="3">
        <f t="shared" si="1"/>
        <v>125</v>
      </c>
      <c r="G127" s="3">
        <f>COUNTIF(NodesData[label],NodesData[[#This Row],[label]])</f>
        <v>1</v>
      </c>
      <c r="H127" s="3">
        <f>COUNTIF(EdgesData[from],NodesData[[#This Row],[id]])+COUNTIF(EdgesData[to],NodesData[[#This Row],[id]])</f>
        <v>0</v>
      </c>
      <c r="I127" s="3">
        <f>IF(NodesData[[#This Row],[Used]]&gt;0,1,0)</f>
        <v>0</v>
      </c>
      <c r="J127" s="18" t="str" cm="1">
        <f t="array" ref="J127">IF(NodesData[[#This Row],[Count]]&gt;1,",","") &amp;"{"&amp;twoRangesToJSON(NodesData[[#Headers],[id]:[main_class]],NodesData[[#This Row],[id]:[main_class]])&amp;"}"</f>
        <v>,{"id":"n883A0A3A_9BCF_4565_B153_B883C9D313F2","label":"Discretionary Access Control (Concept)","url":"https://open-measure.atlassian.net/wiki/spaces/DIC/pages/1181876315","main_class":"Concept"}</v>
      </c>
    </row>
    <row r="128" spans="1:10" ht="27" thickTop="1" thickBot="1" x14ac:dyDescent="0.4">
      <c r="A128" s="3" t="str" cm="1">
        <f t="array" ref="A128">"n"&amp;SUBSTITUTE(CreateGuidString(),"-","_")</f>
        <v>n2FB75F7D_26B4_4EBA_9DD3_E181AE3EB307</v>
      </c>
      <c r="B128" s="6" t="str">
        <f>NodesData[[#This Row],[name]]&amp;" ("&amp;NodesData[[#This Row],[main_class]]&amp;")"</f>
        <v>Distributed Identity (Concept)</v>
      </c>
      <c r="C128" s="17" t="s">
        <v>754</v>
      </c>
      <c r="D128" s="3" t="s">
        <v>1409</v>
      </c>
      <c r="E128" s="10" t="s">
        <v>753</v>
      </c>
      <c r="F128" s="3">
        <f t="shared" si="1"/>
        <v>126</v>
      </c>
      <c r="G128" s="3">
        <f>COUNTIF(NodesData[label],NodesData[[#This Row],[label]])</f>
        <v>1</v>
      </c>
      <c r="H128" s="3">
        <f>COUNTIF(EdgesData[from],NodesData[[#This Row],[id]])+COUNTIF(EdgesData[to],NodesData[[#This Row],[id]])</f>
        <v>0</v>
      </c>
      <c r="I128" s="3">
        <f>IF(NodesData[[#This Row],[Used]]&gt;0,1,0)</f>
        <v>0</v>
      </c>
      <c r="J128" s="18" t="str" cm="1">
        <f t="array" ref="J128">IF(NodesData[[#This Row],[Count]]&gt;1,",","") &amp;"{"&amp;twoRangesToJSON(NodesData[[#Headers],[id]:[main_class]],NodesData[[#This Row],[id]:[main_class]])&amp;"}"</f>
        <v>,{"id":"n2FB75F7D_26B4_4EBA_9DD3_E181AE3EB307","label":"Distributed Identity (Concept)","url":"https://open-measure.atlassian.net/wiki/spaces/DIC/pages/810287202","main_class":"Concept"}</v>
      </c>
    </row>
    <row r="129" spans="1:10" ht="27" thickTop="1" thickBot="1" x14ac:dyDescent="0.4">
      <c r="A129" s="3" t="str" cm="1">
        <f t="array" ref="A129">"n"&amp;SUBSTITUTE(CreateGuidString(),"-","_")</f>
        <v>n14C9CEC1_14AA_4B55_8C14_24C994DBE9BF</v>
      </c>
      <c r="B129" s="6" t="str">
        <f>NodesData[[#This Row],[name]]&amp;" ("&amp;NodesData[[#This Row],[main_class]]&amp;")"</f>
        <v>Distributed Ledger Technology (Concept)</v>
      </c>
      <c r="C129" s="17" t="s">
        <v>756</v>
      </c>
      <c r="D129" s="3" t="s">
        <v>1409</v>
      </c>
      <c r="E129" s="10" t="s">
        <v>755</v>
      </c>
      <c r="F129" s="3">
        <f t="shared" si="1"/>
        <v>127</v>
      </c>
      <c r="G129" s="3">
        <f>COUNTIF(NodesData[label],NodesData[[#This Row],[label]])</f>
        <v>1</v>
      </c>
      <c r="H129" s="3">
        <f>COUNTIF(EdgesData[from],NodesData[[#This Row],[id]])+COUNTIF(EdgesData[to],NodesData[[#This Row],[id]])</f>
        <v>0</v>
      </c>
      <c r="I129" s="3">
        <f>IF(NodesData[[#This Row],[Used]]&gt;0,1,0)</f>
        <v>0</v>
      </c>
      <c r="J129" s="18" t="str" cm="1">
        <f t="array" ref="J129">IF(NodesData[[#This Row],[Count]]&gt;1,",","") &amp;"{"&amp;twoRangesToJSON(NodesData[[#Headers],[id]:[main_class]],NodesData[[#This Row],[id]:[main_class]])&amp;"}"</f>
        <v>,{"id":"n14C9CEC1_14AA_4B55_8C14_24C994DBE9BF","label":"Distributed Ledger Technology (Concept)","url":"https://open-measure.atlassian.net/wiki/spaces/DIC/pages/419594251","main_class":"Concept"}</v>
      </c>
    </row>
    <row r="130" spans="1:10" ht="27" thickTop="1" thickBot="1" x14ac:dyDescent="0.4">
      <c r="A130" s="3" t="str" cm="1">
        <f t="array" ref="A130">"n"&amp;SUBSTITUTE(CreateGuidString(),"-","_")</f>
        <v>n6F07740C_EC28_4768_8BB4_14AFDB26DD57</v>
      </c>
      <c r="B130" s="6" t="str">
        <f>NodesData[[#This Row],[name]]&amp;" ("&amp;NodesData[[#This Row],[main_class]]&amp;")"</f>
        <v>Digital Identity Authenticity (Concept)</v>
      </c>
      <c r="C130" s="17" t="s">
        <v>748</v>
      </c>
      <c r="D130" s="3" t="s">
        <v>1409</v>
      </c>
      <c r="E130" s="10" t="s">
        <v>179</v>
      </c>
      <c r="F130" s="3">
        <f t="shared" si="1"/>
        <v>128</v>
      </c>
      <c r="G130" s="3">
        <f>COUNTIF(NodesData[label],NodesData[[#This Row],[label]])</f>
        <v>1</v>
      </c>
      <c r="H130" s="3">
        <f>COUNTIF(EdgesData[from],NodesData[[#This Row],[id]])+COUNTIF(EdgesData[to],NodesData[[#This Row],[id]])</f>
        <v>0</v>
      </c>
      <c r="I130" s="3">
        <f>IF(NodesData[[#This Row],[Used]]&gt;0,1,0)</f>
        <v>0</v>
      </c>
      <c r="J130" s="18" t="str" cm="1">
        <f t="array" ref="J130">IF(NodesData[[#This Row],[Count]]&gt;1,",","") &amp;"{"&amp;twoRangesToJSON(NodesData[[#Headers],[id]:[main_class]],NodesData[[#This Row],[id]:[main_class]])&amp;"}"</f>
        <v>,{"id":"n6F07740C_EC28_4768_8BB4_14AFDB26DD57","label":"Digital Identity Authenticity (Concept)","url":"https://open-measure.atlassian.net/wiki/spaces/DIC/pages/1270153304/Digital+Identity+Authenticity","main_class":"Concept"}</v>
      </c>
    </row>
    <row r="131" spans="1:10" ht="27" thickTop="1" thickBot="1" x14ac:dyDescent="0.4">
      <c r="A131" s="3" t="str" cm="1">
        <f t="array" ref="A131">"n"&amp;SUBSTITUTE(CreateGuidString(),"-","_")</f>
        <v>n13526B01_78A3_45C4_A14D_36B2B1CB7544</v>
      </c>
      <c r="B131" s="6" t="str">
        <f>NodesData[[#This Row],[name]]&amp;" ("&amp;NodesData[[#This Row],[main_class]]&amp;")"</f>
        <v>e-Identity (Acronym)</v>
      </c>
      <c r="C131" s="17" t="s">
        <v>762</v>
      </c>
      <c r="D131" s="3" t="s">
        <v>1301</v>
      </c>
      <c r="E131" s="10" t="s">
        <v>761</v>
      </c>
      <c r="F131" s="3">
        <f t="shared" si="1"/>
        <v>129</v>
      </c>
      <c r="G131" s="3">
        <f>COUNTIF(NodesData[label],NodesData[[#This Row],[label]])</f>
        <v>1</v>
      </c>
      <c r="H131" s="3">
        <f>COUNTIF(EdgesData[from],NodesData[[#This Row],[id]])+COUNTIF(EdgesData[to],NodesData[[#This Row],[id]])</f>
        <v>0</v>
      </c>
      <c r="I131" s="3">
        <f>IF(NodesData[[#This Row],[Used]]&gt;0,1,0)</f>
        <v>0</v>
      </c>
      <c r="J131" s="18" t="str" cm="1">
        <f t="array" ref="J131">IF(NodesData[[#This Row],[Count]]&gt;1,",","") &amp;"{"&amp;twoRangesToJSON(NodesData[[#Headers],[id]:[main_class]],NodesData[[#This Row],[id]:[main_class]])&amp;"}"</f>
        <v>,{"id":"n13526B01_78A3_45C4_A14D_36B2B1CB7544","label":"e-Identity (Acronym)","url":"https://open-measure.atlassian.net/wiki/spaces/DIC/pages/82903896","main_class":"Acronym"}</v>
      </c>
    </row>
    <row r="132" spans="1:10" ht="27" thickTop="1" thickBot="1" x14ac:dyDescent="0.4">
      <c r="A132" s="3" t="str" cm="1">
        <f t="array" ref="A132">"n"&amp;SUBSTITUTE(CreateGuidString(),"-","_")</f>
        <v>n7338348A_F5D2_44F4_9498_F76252F7C95B</v>
      </c>
      <c r="B132" s="6" t="str">
        <f>NodesData[[#This Row],[name]]&amp;" ("&amp;NodesData[[#This Row],[main_class]]&amp;")"</f>
        <v>ECS (Acronym)</v>
      </c>
      <c r="C132" s="17" t="s">
        <v>760</v>
      </c>
      <c r="D132" s="3" t="s">
        <v>1301</v>
      </c>
      <c r="E132" s="10" t="s">
        <v>759</v>
      </c>
      <c r="F132" s="3">
        <f t="shared" si="1"/>
        <v>130</v>
      </c>
      <c r="G132" s="3">
        <f>COUNTIF(NodesData[label],NodesData[[#This Row],[label]])</f>
        <v>1</v>
      </c>
      <c r="H132" s="3">
        <f>COUNTIF(EdgesData[from],NodesData[[#This Row],[id]])+COUNTIF(EdgesData[to],NodesData[[#This Row],[id]])</f>
        <v>0</v>
      </c>
      <c r="I132" s="3">
        <f>IF(NodesData[[#This Row],[Used]]&gt;0,1,0)</f>
        <v>0</v>
      </c>
      <c r="J132" s="18" t="str" cm="1">
        <f t="array" ref="J132">IF(NodesData[[#This Row],[Count]]&gt;1,",","") &amp;"{"&amp;twoRangesToJSON(NodesData[[#Headers],[id]:[main_class]],NodesData[[#This Row],[id]:[main_class]])&amp;"}"</f>
        <v>,{"id":"n7338348A_F5D2_44F4_9498_F76252F7C95B","label":"ECS (Acronym)","url":"https://open-measure.atlassian.net/wiki/spaces/DIC/pages/206766113","main_class":"Acronym"}</v>
      </c>
    </row>
    <row r="133" spans="1:10" ht="27" thickTop="1" thickBot="1" x14ac:dyDescent="0.4">
      <c r="A133" s="3" t="str" cm="1">
        <f t="array" ref="A133">"n"&amp;SUBSTITUTE(CreateGuidString(),"-","_")</f>
        <v>n16E72490_6FB0_409C_8B85_8B990F7C43CB</v>
      </c>
      <c r="B133" s="6" t="str">
        <f>NodesData[[#This Row],[name]]&amp;" ("&amp;NodesData[[#This Row],[main_class]]&amp;")"</f>
        <v>EIdM (Acronym)</v>
      </c>
      <c r="C133" s="17" t="s">
        <v>764</v>
      </c>
      <c r="D133" s="3" t="s">
        <v>1301</v>
      </c>
      <c r="E133" s="10" t="s">
        <v>763</v>
      </c>
      <c r="F133" s="3">
        <f t="shared" ref="F133:F196" si="2">F132+1</f>
        <v>131</v>
      </c>
      <c r="G133" s="3">
        <f>COUNTIF(NodesData[label],NodesData[[#This Row],[label]])</f>
        <v>1</v>
      </c>
      <c r="H133" s="3">
        <f>COUNTIF(EdgesData[from],NodesData[[#This Row],[id]])+COUNTIF(EdgesData[to],NodesData[[#This Row],[id]])</f>
        <v>0</v>
      </c>
      <c r="I133" s="3">
        <f>IF(NodesData[[#This Row],[Used]]&gt;0,1,0)</f>
        <v>0</v>
      </c>
      <c r="J133" s="18" t="str" cm="1">
        <f t="array" ref="J133">IF(NodesData[[#This Row],[Count]]&gt;1,",","") &amp;"{"&amp;twoRangesToJSON(NodesData[[#Headers],[id]:[main_class]],NodesData[[#This Row],[id]:[main_class]])&amp;"}"</f>
        <v>,{"id":"n16E72490_6FB0_409C_8B85_8B990F7C43CB","label":"EIdM (Acronym)","url":"https://open-measure.atlassian.net/wiki/spaces/DIC/pages/61964467","main_class":"Acronym"}</v>
      </c>
    </row>
    <row r="134" spans="1:10" ht="13.9" thickTop="1" thickBot="1" x14ac:dyDescent="0.4">
      <c r="A134" s="3" t="str" cm="1">
        <f t="array" ref="A134">"n"&amp;SUBSTITUTE(CreateGuidString(),"-","_")</f>
        <v>nE9D37F11_ACD1_44B7_ADBE_F1047D58DE12</v>
      </c>
      <c r="B134" s="6" t="str">
        <f>NodesData[[#This Row],[name]]&amp;" ("&amp;NodesData[[#This Row],[main_class]]&amp;")"</f>
        <v>Email OTP (Concept)</v>
      </c>
      <c r="C134" s="12"/>
      <c r="D134" s="3" t="s">
        <v>1409</v>
      </c>
      <c r="E134" s="10" t="s">
        <v>1365</v>
      </c>
      <c r="F134" s="3">
        <f t="shared" si="2"/>
        <v>132</v>
      </c>
      <c r="G134" s="3">
        <f>COUNTIF(NodesData[label],NodesData[[#This Row],[label]])</f>
        <v>1</v>
      </c>
      <c r="H134" s="3">
        <f>COUNTIF(EdgesData[from],NodesData[[#This Row],[id]])+COUNTIF(EdgesData[to],NodesData[[#This Row],[id]])</f>
        <v>0</v>
      </c>
      <c r="I134" s="3">
        <f>IF(NodesData[[#This Row],[Used]]&gt;0,1,0)</f>
        <v>0</v>
      </c>
      <c r="J134" s="18" t="str" cm="1">
        <f t="array" ref="J134">IF(NodesData[[#This Row],[Count]]&gt;1,",","") &amp;"{"&amp;twoRangesToJSON(NodesData[[#Headers],[id]:[main_class]],NodesData[[#This Row],[id]:[main_class]])&amp;"}"</f>
        <v>,{"id":"nE9D37F11_ACD1_44B7_ADBE_F1047D58DE12","label":"Email OTP (Concept)","url":"","main_class":"Concept"}</v>
      </c>
    </row>
    <row r="135" spans="1:10" ht="27" thickTop="1" thickBot="1" x14ac:dyDescent="0.4">
      <c r="A135" s="3" t="str" cm="1">
        <f t="array" ref="A135">"n"&amp;SUBSTITUTE(CreateGuidString(),"-","_")</f>
        <v>n882C1D42_752B_474C_91FF_A4B77997AE01</v>
      </c>
      <c r="B135" s="6" t="str">
        <f>NodesData[[#This Row],[name]]&amp;" ("&amp;NodesData[[#This Row],[main_class]]&amp;")"</f>
        <v>Employee (Concept)</v>
      </c>
      <c r="C135" s="17" t="s">
        <v>766</v>
      </c>
      <c r="D135" s="3" t="s">
        <v>1409</v>
      </c>
      <c r="E135" s="10" t="s">
        <v>765</v>
      </c>
      <c r="F135" s="3">
        <f t="shared" si="2"/>
        <v>133</v>
      </c>
      <c r="G135" s="3">
        <f>COUNTIF(NodesData[label],NodesData[[#This Row],[label]])</f>
        <v>1</v>
      </c>
      <c r="H135" s="3">
        <f>COUNTIF(EdgesData[from],NodesData[[#This Row],[id]])+COUNTIF(EdgesData[to],NodesData[[#This Row],[id]])</f>
        <v>0</v>
      </c>
      <c r="I135" s="3">
        <f>IF(NodesData[[#This Row],[Used]]&gt;0,1,0)</f>
        <v>0</v>
      </c>
      <c r="J135" s="18" t="str" cm="1">
        <f t="array" ref="J135">IF(NodesData[[#This Row],[Count]]&gt;1,",","") &amp;"{"&amp;twoRangesToJSON(NodesData[[#Headers],[id]:[main_class]],NodesData[[#This Row],[id]:[main_class]])&amp;"}"</f>
        <v>,{"id":"n882C1D42_752B_474C_91FF_A4B77997AE01","label":"Employee (Concept)","url":"https://open-measure.atlassian.net/wiki/spaces/DIC/pages/1031209232","main_class":"Concept"}</v>
      </c>
    </row>
    <row r="136" spans="1:10" ht="27" thickTop="1" thickBot="1" x14ac:dyDescent="0.4">
      <c r="A136" s="3" t="str" cm="1">
        <f t="array" ref="A136">"n"&amp;SUBSTITUTE(CreateGuidString(),"-","_")</f>
        <v>n36BED999_D35E_4DB0_BBA9_9B1A72D0DCCA</v>
      </c>
      <c r="B136" s="6" t="str">
        <f>NodesData[[#This Row],[name]]&amp;" ("&amp;NodesData[[#This Row],[main_class]]&amp;")"</f>
        <v>Enterprise Cloud Subscriber (Concept)</v>
      </c>
      <c r="C136" s="17" t="s">
        <v>768</v>
      </c>
      <c r="D136" s="3" t="s">
        <v>1409</v>
      </c>
      <c r="E136" s="10" t="s">
        <v>767</v>
      </c>
      <c r="F136" s="3">
        <f t="shared" si="2"/>
        <v>134</v>
      </c>
      <c r="G136" s="3">
        <f>COUNTIF(NodesData[label],NodesData[[#This Row],[label]])</f>
        <v>1</v>
      </c>
      <c r="H136" s="3">
        <f>COUNTIF(EdgesData[from],NodesData[[#This Row],[id]])+COUNTIF(EdgesData[to],NodesData[[#This Row],[id]])</f>
        <v>0</v>
      </c>
      <c r="I136" s="3">
        <f>IF(NodesData[[#This Row],[Used]]&gt;0,1,0)</f>
        <v>0</v>
      </c>
      <c r="J136" s="18" t="str" cm="1">
        <f t="array" ref="J136">IF(NodesData[[#This Row],[Count]]&gt;1,",","") &amp;"{"&amp;twoRangesToJSON(NodesData[[#Headers],[id]:[main_class]],NodesData[[#This Row],[id]:[main_class]])&amp;"}"</f>
        <v>,{"id":"n36BED999_D35E_4DB0_BBA9_9B1A72D0DCCA","label":"Enterprise Cloud Subscriber (Concept)","url":"https://open-measure.atlassian.net/wiki/spaces/DIC/pages/206766092","main_class":"Concept"}</v>
      </c>
    </row>
    <row r="137" spans="1:10" ht="27" thickTop="1" thickBot="1" x14ac:dyDescent="0.4">
      <c r="A137" s="3" t="str" cm="1">
        <f t="array" ref="A137">"n"&amp;SUBSTITUTE(CreateGuidString(),"-","_")</f>
        <v>n9027AB78_0304_4FFB_88DC_677B295B497C</v>
      </c>
      <c r="B137" s="6" t="str">
        <f>NodesData[[#This Row],[name]]&amp;" ("&amp;NodesData[[#This Row],[main_class]]&amp;")"</f>
        <v>Enterprise Identity Management (Concept)</v>
      </c>
      <c r="C137" s="17" t="s">
        <v>770</v>
      </c>
      <c r="D137" s="3" t="s">
        <v>1409</v>
      </c>
      <c r="E137" s="10" t="s">
        <v>769</v>
      </c>
      <c r="F137" s="3">
        <f t="shared" si="2"/>
        <v>135</v>
      </c>
      <c r="G137" s="3">
        <f>COUNTIF(NodesData[label],NodesData[[#This Row],[label]])</f>
        <v>1</v>
      </c>
      <c r="H137" s="3">
        <f>COUNTIF(EdgesData[from],NodesData[[#This Row],[id]])+COUNTIF(EdgesData[to],NodesData[[#This Row],[id]])</f>
        <v>0</v>
      </c>
      <c r="I137" s="3">
        <f>IF(NodesData[[#This Row],[Used]]&gt;0,1,0)</f>
        <v>0</v>
      </c>
      <c r="J137" s="18" t="str" cm="1">
        <f t="array" ref="J137">IF(NodesData[[#This Row],[Count]]&gt;1,",","") &amp;"{"&amp;twoRangesToJSON(NodesData[[#Headers],[id]:[main_class]],NodesData[[#This Row],[id]:[main_class]])&amp;"}"</f>
        <v>,{"id":"n9027AB78_0304_4FFB_88DC_677B295B497C","label":"Enterprise Identity Management (Concept)","url":"https://open-measure.atlassian.net/wiki/spaces/DIC/pages/62455952","main_class":"Concept"}</v>
      </c>
    </row>
    <row r="138" spans="1:10" ht="27" thickTop="1" thickBot="1" x14ac:dyDescent="0.4">
      <c r="A138" s="3" t="str" cm="1">
        <f t="array" ref="A138">"n"&amp;SUBSTITUTE(CreateGuidString(),"-","_")</f>
        <v>n74C45474_80AA_47E5_820E_D0E8103576AF</v>
      </c>
      <c r="B138" s="6" t="str">
        <f>NodesData[[#This Row],[name]]&amp;" ("&amp;NodesData[[#This Row],[main_class]]&amp;")"</f>
        <v>Enterprise Single Sign-On (Concept)</v>
      </c>
      <c r="C138" s="17" t="s">
        <v>772</v>
      </c>
      <c r="D138" s="3" t="s">
        <v>1409</v>
      </c>
      <c r="E138" s="10" t="s">
        <v>771</v>
      </c>
      <c r="F138" s="3">
        <f t="shared" si="2"/>
        <v>136</v>
      </c>
      <c r="G138" s="3">
        <f>COUNTIF(NodesData[label],NodesData[[#This Row],[label]])</f>
        <v>1</v>
      </c>
      <c r="H138" s="3">
        <f>COUNTIF(EdgesData[from],NodesData[[#This Row],[id]])+COUNTIF(EdgesData[to],NodesData[[#This Row],[id]])</f>
        <v>0</v>
      </c>
      <c r="I138" s="3">
        <f>IF(NodesData[[#This Row],[Used]]&gt;0,1,0)</f>
        <v>0</v>
      </c>
      <c r="J138" s="18" t="str" cm="1">
        <f t="array" ref="J138">IF(NodesData[[#This Row],[Count]]&gt;1,",","") &amp;"{"&amp;twoRangesToJSON(NodesData[[#Headers],[id]:[main_class]],NodesData[[#This Row],[id]:[main_class]])&amp;"}"</f>
        <v>,{"id":"n74C45474_80AA_47E5_820E_D0E8103576AF","label":"Enterprise Single Sign-On (Concept)","url":"https://open-measure.atlassian.net/wiki/spaces/DIC/pages/76021801","main_class":"Concept"}</v>
      </c>
    </row>
    <row r="139" spans="1:10" ht="27" thickTop="1" thickBot="1" x14ac:dyDescent="0.4">
      <c r="A139" s="3" t="str" cm="1">
        <f t="array" ref="A139">"n"&amp;SUBSTITUTE(CreateGuidString(),"-","_")</f>
        <v>nEFBB0A16_F341_4909_B622_F85FB9326CA9</v>
      </c>
      <c r="B139" s="6" t="str">
        <f>NodesData[[#This Row],[name]]&amp;" ("&amp;NodesData[[#This Row],[main_class]]&amp;")"</f>
        <v>Entitlement (Concept)</v>
      </c>
      <c r="C139" s="17" t="s">
        <v>774</v>
      </c>
      <c r="D139" s="3" t="s">
        <v>1409</v>
      </c>
      <c r="E139" s="10" t="s">
        <v>773</v>
      </c>
      <c r="F139" s="3">
        <f t="shared" si="2"/>
        <v>137</v>
      </c>
      <c r="G139" s="3">
        <f>COUNTIF(NodesData[label],NodesData[[#This Row],[label]])</f>
        <v>1</v>
      </c>
      <c r="H139" s="3">
        <f>COUNTIF(EdgesData[from],NodesData[[#This Row],[id]])+COUNTIF(EdgesData[to],NodesData[[#This Row],[id]])</f>
        <v>0</v>
      </c>
      <c r="I139" s="3">
        <f>IF(NodesData[[#This Row],[Used]]&gt;0,1,0)</f>
        <v>0</v>
      </c>
      <c r="J139" s="18" t="str" cm="1">
        <f t="array" ref="J139">IF(NodesData[[#This Row],[Count]]&gt;1,",","") &amp;"{"&amp;twoRangesToJSON(NodesData[[#Headers],[id]:[main_class]],NodesData[[#This Row],[id]:[main_class]])&amp;"}"</f>
        <v>,{"id":"nEFBB0A16_F341_4909_B622_F85FB9326CA9","label":"Entitlement (Concept)","url":"https://open-measure.atlassian.net/wiki/spaces/DIC/pages/1121878049","main_class":"Concept"}</v>
      </c>
    </row>
    <row r="140" spans="1:10" ht="27" thickTop="1" thickBot="1" x14ac:dyDescent="0.4">
      <c r="A140" s="3" t="str" cm="1">
        <f t="array" ref="A140">"n"&amp;SUBSTITUTE(CreateGuidString(),"-","_")</f>
        <v>nA2BCF6A0_50B9_4EBF_A4CA_EA8598ED7E39</v>
      </c>
      <c r="B140" s="6" t="str">
        <f>NodesData[[#This Row],[name]]&amp;" ("&amp;NodesData[[#This Row],[main_class]]&amp;")"</f>
        <v>Entitlement-Based Access Control (Concept)</v>
      </c>
      <c r="C140" s="17" t="s">
        <v>782</v>
      </c>
      <c r="D140" s="3" t="s">
        <v>1409</v>
      </c>
      <c r="E140" s="10" t="s">
        <v>781</v>
      </c>
      <c r="F140" s="3">
        <f t="shared" si="2"/>
        <v>138</v>
      </c>
      <c r="G140" s="3">
        <f>COUNTIF(NodesData[label],NodesData[[#This Row],[label]])</f>
        <v>1</v>
      </c>
      <c r="H140" s="3">
        <f>COUNTIF(EdgesData[from],NodesData[[#This Row],[id]])+COUNTIF(EdgesData[to],NodesData[[#This Row],[id]])</f>
        <v>0</v>
      </c>
      <c r="I140" s="3">
        <f>IF(NodesData[[#This Row],[Used]]&gt;0,1,0)</f>
        <v>0</v>
      </c>
      <c r="J140" s="18" t="str" cm="1">
        <f t="array" ref="J140">IF(NodesData[[#This Row],[Count]]&gt;1,",","") &amp;"{"&amp;twoRangesToJSON(NodesData[[#Headers],[id]:[main_class]],NodesData[[#This Row],[id]:[main_class]])&amp;"}"</f>
        <v>,{"id":"nA2BCF6A0_50B9_4EBF_A4CA_EA8598ED7E39","label":"Entitlement-Based Access Control (Concept)","url":"https://open-measure.atlassian.net/wiki/spaces/DIC/pages/1122566173","main_class":"Concept"}</v>
      </c>
    </row>
    <row r="141" spans="1:10" ht="27" thickTop="1" thickBot="1" x14ac:dyDescent="0.4">
      <c r="A141" s="3" t="str" cm="1">
        <f t="array" ref="A141">"n"&amp;SUBSTITUTE(CreateGuidString(),"-","_")</f>
        <v>n3943B2B0_0190_4EEC_B72A_DBE2CDF1585F</v>
      </c>
      <c r="B141" s="6" t="str">
        <f>NodesData[[#This Row],[name]]&amp;" ("&amp;NodesData[[#This Row],[main_class]]&amp;")"</f>
        <v>Entitlement Management (Concept)</v>
      </c>
      <c r="C141" s="17" t="s">
        <v>776</v>
      </c>
      <c r="D141" s="3" t="s">
        <v>1409</v>
      </c>
      <c r="E141" s="10" t="s">
        <v>775</v>
      </c>
      <c r="F141" s="3">
        <f t="shared" si="2"/>
        <v>139</v>
      </c>
      <c r="G141" s="3">
        <f>COUNTIF(NodesData[label],NodesData[[#This Row],[label]])</f>
        <v>1</v>
      </c>
      <c r="H141" s="3">
        <f>COUNTIF(EdgesData[from],NodesData[[#This Row],[id]])+COUNTIF(EdgesData[to],NodesData[[#This Row],[id]])</f>
        <v>0</v>
      </c>
      <c r="I141" s="3">
        <f>IF(NodesData[[#This Row],[Used]]&gt;0,1,0)</f>
        <v>0</v>
      </c>
      <c r="J141" s="18" t="str" cm="1">
        <f t="array" ref="J141">IF(NodesData[[#This Row],[Count]]&gt;1,",","") &amp;"{"&amp;twoRangesToJSON(NodesData[[#Headers],[id]:[main_class]],NodesData[[#This Row],[id]:[main_class]])&amp;"}"</f>
        <v>,{"id":"n3943B2B0_0190_4EEC_B72A_DBE2CDF1585F","label":"Entitlement Management (Concept)","url":"https://open-measure.atlassian.net/wiki/spaces/DIC/pages/1122566465","main_class":"Concept"}</v>
      </c>
    </row>
    <row r="142" spans="1:10" ht="27" thickTop="1" thickBot="1" x14ac:dyDescent="0.4">
      <c r="A142" s="3" t="str" cm="1">
        <f t="array" ref="A142">"n"&amp;SUBSTITUTE(CreateGuidString(),"-","_")</f>
        <v>n6FE72362_D535_486B_B788_B72C3602E1D0</v>
      </c>
      <c r="B142" s="6" t="str">
        <f>NodesData[[#This Row],[name]]&amp;" ("&amp;NodesData[[#This Row],[main_class]]&amp;")"</f>
        <v>Entitlement Management Process (Concept)</v>
      </c>
      <c r="C142" s="17" t="s">
        <v>778</v>
      </c>
      <c r="D142" s="3" t="s">
        <v>1409</v>
      </c>
      <c r="E142" s="10" t="s">
        <v>777</v>
      </c>
      <c r="F142" s="3">
        <f t="shared" si="2"/>
        <v>140</v>
      </c>
      <c r="G142" s="3">
        <f>COUNTIF(NodesData[label],NodesData[[#This Row],[label]])</f>
        <v>1</v>
      </c>
      <c r="H142" s="3">
        <f>COUNTIF(EdgesData[from],NodesData[[#This Row],[id]])+COUNTIF(EdgesData[to],NodesData[[#This Row],[id]])</f>
        <v>0</v>
      </c>
      <c r="I142" s="3">
        <f>IF(NodesData[[#This Row],[Used]]&gt;0,1,0)</f>
        <v>0</v>
      </c>
      <c r="J142" s="18" t="str" cm="1">
        <f t="array" ref="J142">IF(NodesData[[#This Row],[Count]]&gt;1,",","") &amp;"{"&amp;twoRangesToJSON(NodesData[[#Headers],[id]:[main_class]],NodesData[[#This Row],[id]:[main_class]])&amp;"}"</f>
        <v>,{"id":"n6FE72362_D535_486B_B788_B72C3602E1D0","label":"Entitlement Management Process (Concept)","url":"https://open-measure.atlassian.net/wiki/spaces/DIC/pages/1121910973","main_class":"Concept"}</v>
      </c>
    </row>
    <row r="143" spans="1:10" ht="27" thickTop="1" thickBot="1" x14ac:dyDescent="0.4">
      <c r="A143" s="3" t="str" cm="1">
        <f t="array" ref="A143">"n"&amp;SUBSTITUTE(CreateGuidString(),"-","_")</f>
        <v>n094919B3_955F_46B2_8C00_47986F8B7C0B</v>
      </c>
      <c r="B143" s="6" t="str">
        <f>NodesData[[#This Row],[name]]&amp;" ("&amp;NodesData[[#This Row],[main_class]]&amp;")"</f>
        <v>Entitlement Management Solution (Concept)</v>
      </c>
      <c r="C143" s="17" t="s">
        <v>780</v>
      </c>
      <c r="D143" s="3" t="s">
        <v>1409</v>
      </c>
      <c r="E143" s="10" t="s">
        <v>779</v>
      </c>
      <c r="F143" s="3">
        <f t="shared" si="2"/>
        <v>141</v>
      </c>
      <c r="G143" s="3">
        <f>COUNTIF(NodesData[label],NodesData[[#This Row],[label]])</f>
        <v>1</v>
      </c>
      <c r="H143" s="3">
        <f>COUNTIF(EdgesData[from],NodesData[[#This Row],[id]])+COUNTIF(EdgesData[to],NodesData[[#This Row],[id]])</f>
        <v>0</v>
      </c>
      <c r="I143" s="3">
        <f>IF(NodesData[[#This Row],[Used]]&gt;0,1,0)</f>
        <v>0</v>
      </c>
      <c r="J143" s="18" t="str" cm="1">
        <f t="array" ref="J143">IF(NodesData[[#This Row],[Count]]&gt;1,",","") &amp;"{"&amp;twoRangesToJSON(NodesData[[#Headers],[id]:[main_class]],NodesData[[#This Row],[id]:[main_class]])&amp;"}"</f>
        <v>,{"id":"n094919B3_955F_46B2_8C00_47986F8B7C0B","label":"Entitlement Management Solution (Concept)","url":"https://open-measure.atlassian.net/wiki/spaces/DIC/pages/1122631800","main_class":"Concept"}</v>
      </c>
    </row>
    <row r="144" spans="1:10" ht="27" thickTop="1" thickBot="1" x14ac:dyDescent="0.4">
      <c r="A144" s="3" t="str" cm="1">
        <f t="array" ref="A144">"n"&amp;SUBSTITUTE(CreateGuidString(),"-","_")</f>
        <v>nC7E1133E_190C_4DEB_86D9_4E96333E64D6</v>
      </c>
      <c r="B144" s="6" t="str">
        <f>NodesData[[#This Row],[name]]&amp;" ("&amp;NodesData[[#This Row],[main_class]]&amp;")"</f>
        <v>Entity (Concept)</v>
      </c>
      <c r="C144" s="17" t="s">
        <v>784</v>
      </c>
      <c r="D144" s="3" t="s">
        <v>1409</v>
      </c>
      <c r="E144" s="10" t="s">
        <v>783</v>
      </c>
      <c r="F144" s="3">
        <f t="shared" si="2"/>
        <v>142</v>
      </c>
      <c r="G144" s="3">
        <f>COUNTIF(NodesData[label],NodesData[[#This Row],[label]])</f>
        <v>1</v>
      </c>
      <c r="H144" s="3">
        <f>COUNTIF(EdgesData[from],NodesData[[#This Row],[id]])+COUNTIF(EdgesData[to],NodesData[[#This Row],[id]])</f>
        <v>0</v>
      </c>
      <c r="I144" s="3">
        <f>IF(NodesData[[#This Row],[Used]]&gt;0,1,0)</f>
        <v>0</v>
      </c>
      <c r="J144" s="18" t="str" cm="1">
        <f t="array" ref="J144">IF(NodesData[[#This Row],[Count]]&gt;1,",","") &amp;"{"&amp;twoRangesToJSON(NodesData[[#Headers],[id]:[main_class]],NodesData[[#This Row],[id]:[main_class]])&amp;"}"</f>
        <v>,{"id":"nC7E1133E_190C_4DEB_86D9_4E96333E64D6","label":"Entity (Concept)","url":"https://open-measure.atlassian.net/wiki/spaces/DIC/pages/123830932","main_class":"Concept"}</v>
      </c>
    </row>
    <row r="145" spans="1:10" ht="27" thickTop="1" thickBot="1" x14ac:dyDescent="0.4">
      <c r="A145" s="3" t="str" cm="1">
        <f t="array" ref="A145">"n"&amp;SUBSTITUTE(CreateGuidString(),"-","_")</f>
        <v>nECFD2D9E_55F8_4D9B_874C_958017DF0548</v>
      </c>
      <c r="B145" s="6" t="str">
        <f>NodesData[[#This Row],[name]]&amp;" ("&amp;NodesData[[#This Row],[main_class]]&amp;")"</f>
        <v>ESSO (Acronym)</v>
      </c>
      <c r="C145" s="17" t="s">
        <v>786</v>
      </c>
      <c r="D145" s="3" t="s">
        <v>1301</v>
      </c>
      <c r="E145" s="10" t="s">
        <v>785</v>
      </c>
      <c r="F145" s="3">
        <f t="shared" si="2"/>
        <v>143</v>
      </c>
      <c r="G145" s="3">
        <f>COUNTIF(NodesData[label],NodesData[[#This Row],[label]])</f>
        <v>1</v>
      </c>
      <c r="H145" s="3">
        <f>COUNTIF(EdgesData[from],NodesData[[#This Row],[id]])+COUNTIF(EdgesData[to],NodesData[[#This Row],[id]])</f>
        <v>0</v>
      </c>
      <c r="I145" s="3">
        <f>IF(NodesData[[#This Row],[Used]]&gt;0,1,0)</f>
        <v>0</v>
      </c>
      <c r="J145" s="18" t="str" cm="1">
        <f t="array" ref="J145">IF(NodesData[[#This Row],[Count]]&gt;1,",","") &amp;"{"&amp;twoRangesToJSON(NodesData[[#Headers],[id]:[main_class]],NodesData[[#This Row],[id]:[main_class]])&amp;"}"</f>
        <v>,{"id":"nECFD2D9E_55F8_4D9B_874C_958017DF0548","label":"ESSO (Acronym)","url":"https://open-measure.atlassian.net/wiki/spaces/DIC/pages/75956266","main_class":"Acronym"}</v>
      </c>
    </row>
    <row r="146" spans="1:10" ht="27" thickTop="1" thickBot="1" x14ac:dyDescent="0.4">
      <c r="A146" s="3" t="str" cm="1">
        <f t="array" ref="A146">"n"&amp;SUBSTITUTE(CreateGuidString(),"-","_")</f>
        <v>n5B9F2E2E_9851_4E76_8B7D_7EC1EABBDB76</v>
      </c>
      <c r="B146" s="6" t="str">
        <f>NodesData[[#This Row],[name]]&amp;" ("&amp;NodesData[[#This Row],[main_class]]&amp;")"</f>
        <v>Excessive Privilege Abuse (Concept)</v>
      </c>
      <c r="C146" s="17" t="s">
        <v>788</v>
      </c>
      <c r="D146" s="3" t="s">
        <v>1409</v>
      </c>
      <c r="E146" s="10" t="s">
        <v>787</v>
      </c>
      <c r="F146" s="3">
        <f t="shared" si="2"/>
        <v>144</v>
      </c>
      <c r="G146" s="3">
        <f>COUNTIF(NodesData[label],NodesData[[#This Row],[label]])</f>
        <v>1</v>
      </c>
      <c r="H146" s="3">
        <f>COUNTIF(EdgesData[from],NodesData[[#This Row],[id]])+COUNTIF(EdgesData[to],NodesData[[#This Row],[id]])</f>
        <v>0</v>
      </c>
      <c r="I146" s="3">
        <f>IF(NodesData[[#This Row],[Used]]&gt;0,1,0)</f>
        <v>0</v>
      </c>
      <c r="J146" s="18" t="str" cm="1">
        <f t="array" ref="J146">IF(NodesData[[#This Row],[Count]]&gt;1,",","") &amp;"{"&amp;twoRangesToJSON(NodesData[[#Headers],[id]:[main_class]],NodesData[[#This Row],[id]:[main_class]])&amp;"}"</f>
        <v>,{"id":"n5B9F2E2E_9851_4E76_8B7D_7EC1EABBDB76","label":"Excessive Privilege Abuse (Concept)","url":"https://open-measure.atlassian.net/wiki/spaces/DIC/pages/1104904275","main_class":"Concept"}</v>
      </c>
    </row>
    <row r="147" spans="1:10" ht="27" thickTop="1" thickBot="1" x14ac:dyDescent="0.4">
      <c r="A147" s="3" t="str" cm="1">
        <f t="array" ref="A147">"n"&amp;SUBSTITUTE(CreateGuidString(),"-","_")</f>
        <v>n193A83B0_3E0A_43C7_86B5_8FF90A75F9BB</v>
      </c>
      <c r="B147" s="6" t="str">
        <f>NodesData[[#This Row],[name]]&amp;" ("&amp;NodesData[[#This Row],[main_class]]&amp;")"</f>
        <v>Expanded Password System (Concept)</v>
      </c>
      <c r="C147" s="17" t="s">
        <v>790</v>
      </c>
      <c r="D147" s="3" t="s">
        <v>1409</v>
      </c>
      <c r="E147" s="10" t="s">
        <v>789</v>
      </c>
      <c r="F147" s="3">
        <f t="shared" si="2"/>
        <v>145</v>
      </c>
      <c r="G147" s="3">
        <f>COUNTIF(NodesData[label],NodesData[[#This Row],[label]])</f>
        <v>1</v>
      </c>
      <c r="H147" s="3">
        <f>COUNTIF(EdgesData[from],NodesData[[#This Row],[id]])+COUNTIF(EdgesData[to],NodesData[[#This Row],[id]])</f>
        <v>0</v>
      </c>
      <c r="I147" s="3">
        <f>IF(NodesData[[#This Row],[Used]]&gt;0,1,0)</f>
        <v>0</v>
      </c>
      <c r="J147" s="18" t="str" cm="1">
        <f t="array" ref="J147">IF(NodesData[[#This Row],[Count]]&gt;1,",","") &amp;"{"&amp;twoRangesToJSON(NodesData[[#Headers],[id]:[main_class]],NodesData[[#This Row],[id]:[main_class]])&amp;"}"</f>
        <v>,{"id":"n193A83B0_3E0A_43C7_86B5_8FF90A75F9BB","label":"Expanded Password System (Concept)","url":"https://open-measure.atlassian.net/wiki/spaces/DIC/pages/446824885","main_class":"Concept"}</v>
      </c>
    </row>
    <row r="148" spans="1:10" ht="27" thickTop="1" thickBot="1" x14ac:dyDescent="0.4">
      <c r="A148" s="3" t="str" cm="1">
        <f t="array" ref="A148">"n"&amp;SUBSTITUTE(CreateGuidString(),"-","_")</f>
        <v>n3A8B08C1_3337_4BC2_9A42_8664F86CB790</v>
      </c>
      <c r="B148" s="6" t="str">
        <f>NodesData[[#This Row],[name]]&amp;" ("&amp;NodesData[[#This Row],[main_class]]&amp;")"</f>
        <v>Exploited Identity (Concept)</v>
      </c>
      <c r="C148" s="17" t="s">
        <v>792</v>
      </c>
      <c r="D148" s="3" t="s">
        <v>1409</v>
      </c>
      <c r="E148" s="10" t="s">
        <v>791</v>
      </c>
      <c r="F148" s="3">
        <f t="shared" si="2"/>
        <v>146</v>
      </c>
      <c r="G148" s="3">
        <f>COUNTIF(NodesData[label],NodesData[[#This Row],[label]])</f>
        <v>1</v>
      </c>
      <c r="H148" s="3">
        <f>COUNTIF(EdgesData[from],NodesData[[#This Row],[id]])+COUNTIF(EdgesData[to],NodesData[[#This Row],[id]])</f>
        <v>0</v>
      </c>
      <c r="I148" s="3">
        <f>IF(NodesData[[#This Row],[Used]]&gt;0,1,0)</f>
        <v>0</v>
      </c>
      <c r="J148" s="18" t="str" cm="1">
        <f t="array" ref="J148">IF(NodesData[[#This Row],[Count]]&gt;1,",","") &amp;"{"&amp;twoRangesToJSON(NodesData[[#Headers],[id]:[main_class]],NodesData[[#This Row],[id]:[main_class]])&amp;"}"</f>
        <v>,{"id":"n3A8B08C1_3337_4BC2_9A42_8664F86CB790","label":"Exploited Identity (Concept)","url":"https://open-measure.atlassian.net/wiki/spaces/DIC/pages/461275380","main_class":"Concept"}</v>
      </c>
    </row>
    <row r="149" spans="1:10" ht="27" thickTop="1" thickBot="1" x14ac:dyDescent="0.4">
      <c r="A149" s="3" t="str" cm="1">
        <f t="array" ref="A149">"n"&amp;SUBSTITUTE(CreateGuidString(),"-","_")</f>
        <v>n61055CED_B8C0_4456_A417_FE9F368BBBE5</v>
      </c>
      <c r="B149" s="6" t="str">
        <f>NodesData[[#This Row],[name]]&amp;" ("&amp;NodesData[[#This Row],[main_class]]&amp;")"</f>
        <v>Extended Enterprise (Concept)</v>
      </c>
      <c r="C149" s="17" t="s">
        <v>794</v>
      </c>
      <c r="D149" s="3" t="s">
        <v>1409</v>
      </c>
      <c r="E149" s="10" t="s">
        <v>793</v>
      </c>
      <c r="F149" s="3">
        <f t="shared" si="2"/>
        <v>147</v>
      </c>
      <c r="G149" s="3">
        <f>COUNTIF(NodesData[label],NodesData[[#This Row],[label]])</f>
        <v>1</v>
      </c>
      <c r="H149" s="3">
        <f>COUNTIF(EdgesData[from],NodesData[[#This Row],[id]])+COUNTIF(EdgesData[to],NodesData[[#This Row],[id]])</f>
        <v>0</v>
      </c>
      <c r="I149" s="3">
        <f>IF(NodesData[[#This Row],[Used]]&gt;0,1,0)</f>
        <v>0</v>
      </c>
      <c r="J149" s="18" t="str" cm="1">
        <f t="array" ref="J149">IF(NodesData[[#This Row],[Count]]&gt;1,",","") &amp;"{"&amp;twoRangesToJSON(NodesData[[#Headers],[id]:[main_class]],NodesData[[#This Row],[id]:[main_class]])&amp;"}"</f>
        <v>,{"id":"n61055CED_B8C0_4456_A417_FE9F368BBBE5","label":"Extended Enterprise (Concept)","url":"https://open-measure.atlassian.net/wiki/spaces/DIC/pages/82870848","main_class":"Concept"}</v>
      </c>
    </row>
    <row r="150" spans="1:10" ht="27" thickTop="1" thickBot="1" x14ac:dyDescent="0.4">
      <c r="A150" s="3" t="str" cm="1">
        <f t="array" ref="A150">"n"&amp;SUBSTITUTE(CreateGuidString(),"-","_")</f>
        <v>nFCD9619C_DE82_40F6_B3F3_81CFA424932B</v>
      </c>
      <c r="B150" s="6" t="str">
        <f>NodesData[[#This Row],[name]]&amp;" ("&amp;NodesData[[#This Row],[main_class]]&amp;")"</f>
        <v>Extensible Access Control Markup Language (Concept)</v>
      </c>
      <c r="C150" s="17" t="s">
        <v>796</v>
      </c>
      <c r="D150" s="3" t="s">
        <v>1409</v>
      </c>
      <c r="E150" s="10" t="s">
        <v>795</v>
      </c>
      <c r="F150" s="3">
        <f t="shared" si="2"/>
        <v>148</v>
      </c>
      <c r="G150" s="3">
        <f>COUNTIF(NodesData[label],NodesData[[#This Row],[label]])</f>
        <v>1</v>
      </c>
      <c r="H150" s="3">
        <f>COUNTIF(EdgesData[from],NodesData[[#This Row],[id]])+COUNTIF(EdgesData[to],NodesData[[#This Row],[id]])</f>
        <v>0</v>
      </c>
      <c r="I150" s="3">
        <f>IF(NodesData[[#This Row],[Used]]&gt;0,1,0)</f>
        <v>0</v>
      </c>
      <c r="J150" s="18" t="str" cm="1">
        <f t="array" ref="J150">IF(NodesData[[#This Row],[Count]]&gt;1,",","") &amp;"{"&amp;twoRangesToJSON(NodesData[[#Headers],[id]:[main_class]],NodesData[[#This Row],[id]:[main_class]])&amp;"}"</f>
        <v>,{"id":"nFCD9619C_DE82_40F6_B3F3_81CFA424932B","label":"Extensible Access Control Markup Language (Concept)","url":"https://open-measure.atlassian.net/wiki/spaces/DIC/pages/1121878505","main_class":"Concept"}</v>
      </c>
    </row>
    <row r="151" spans="1:10" ht="27" thickTop="1" thickBot="1" x14ac:dyDescent="0.4">
      <c r="A151" s="3" t="str" cm="1">
        <f t="array" ref="A151">"n"&amp;SUBSTITUTE(CreateGuidString(),"-","_")</f>
        <v>nE7139BC9_FACF_4337_AA45_B932A0E54125</v>
      </c>
      <c r="B151" s="6" t="str">
        <f>NodesData[[#This Row],[name]]&amp;" ("&amp;NodesData[[#This Row],[main_class]]&amp;")"</f>
        <v>Dual Authorization (Concept)</v>
      </c>
      <c r="C151" s="17" t="s">
        <v>758</v>
      </c>
      <c r="D151" s="3" t="s">
        <v>1409</v>
      </c>
      <c r="E151" s="10" t="s">
        <v>757</v>
      </c>
      <c r="F151" s="3">
        <f t="shared" si="2"/>
        <v>149</v>
      </c>
      <c r="G151" s="3">
        <f>COUNTIF(NodesData[label],NodesData[[#This Row],[label]])</f>
        <v>1</v>
      </c>
      <c r="H151" s="3">
        <f>COUNTIF(EdgesData[from],NodesData[[#This Row],[id]])+COUNTIF(EdgesData[to],NodesData[[#This Row],[id]])</f>
        <v>0</v>
      </c>
      <c r="I151" s="3">
        <f>IF(NodesData[[#This Row],[Used]]&gt;0,1,0)</f>
        <v>0</v>
      </c>
      <c r="J151" s="18" t="str" cm="1">
        <f t="array" ref="J151">IF(NodesData[[#This Row],[Count]]&gt;1,",","") &amp;"{"&amp;twoRangesToJSON(NodesData[[#Headers],[id]:[main_class]],NodesData[[#This Row],[id]:[main_class]])&amp;"}"</f>
        <v>,{"id":"nE7139BC9_FACF_4337_AA45_B932A0E54125","label":"Dual Authorization (Concept)","url":"https://open-measure.atlassian.net/wiki/spaces/DIC/pages/806584322","main_class":"Concept"}</v>
      </c>
    </row>
    <row r="152" spans="1:10" ht="27" thickTop="1" thickBot="1" x14ac:dyDescent="0.4">
      <c r="A152" s="3" t="str" cm="1">
        <f t="array" ref="A152">"n"&amp;SUBSTITUTE(CreateGuidString(),"-","_")</f>
        <v>n6289A719_0891_4413_98DC_46EE63870653</v>
      </c>
      <c r="B152" s="6" t="str">
        <f>NodesData[[#This Row],[name]]&amp;" ("&amp;NodesData[[#This Row],[main_class]]&amp;")"</f>
        <v>Fake Digital Identity (Concept)</v>
      </c>
      <c r="C152" s="17" t="s">
        <v>797</v>
      </c>
      <c r="D152" s="3" t="s">
        <v>1409</v>
      </c>
      <c r="E152" s="10" t="s">
        <v>208</v>
      </c>
      <c r="F152" s="3">
        <f t="shared" si="2"/>
        <v>150</v>
      </c>
      <c r="G152" s="3">
        <f>COUNTIF(NodesData[label],NodesData[[#This Row],[label]])</f>
        <v>1</v>
      </c>
      <c r="H152" s="3">
        <f>COUNTIF(EdgesData[from],NodesData[[#This Row],[id]])+COUNTIF(EdgesData[to],NodesData[[#This Row],[id]])</f>
        <v>0</v>
      </c>
      <c r="I152" s="3">
        <f>IF(NodesData[[#This Row],[Used]]&gt;0,1,0)</f>
        <v>0</v>
      </c>
      <c r="J152" s="18" t="str" cm="1">
        <f t="array" ref="J152">IF(NodesData[[#This Row],[Count]]&gt;1,",","") &amp;"{"&amp;twoRangesToJSON(NodesData[[#Headers],[id]:[main_class]],NodesData[[#This Row],[id]:[main_class]])&amp;"}"</f>
        <v>,{"id":"n6289A719_0891_4413_98DC_46EE63870653","label":"Fake Digital Identity (Concept)","url":"https://open-measure.atlassian.net/wiki/spaces/DIC/pages/1267433567/Fake+Digital+Identity","main_class":"Concept"}</v>
      </c>
    </row>
    <row r="153" spans="1:10" ht="27" thickTop="1" thickBot="1" x14ac:dyDescent="0.4">
      <c r="A153" s="3" t="str" cm="1">
        <f t="array" ref="A153">"n"&amp;SUBSTITUTE(CreateGuidString(),"-","_")</f>
        <v>nC7E6CDC1_46D3_4CA5_AB7E_CEEA11B8FF3D</v>
      </c>
      <c r="B153" s="6" t="str">
        <f>NodesData[[#This Row],[name]]&amp;" ("&amp;NodesData[[#This Row],[main_class]]&amp;")"</f>
        <v>FAPI (Acronym)</v>
      </c>
      <c r="C153" s="17" t="s">
        <v>798</v>
      </c>
      <c r="D153" s="3" t="s">
        <v>1301</v>
      </c>
      <c r="E153" s="10" t="s">
        <v>209</v>
      </c>
      <c r="F153" s="3">
        <f t="shared" si="2"/>
        <v>151</v>
      </c>
      <c r="G153" s="3">
        <f>COUNTIF(NodesData[label],NodesData[[#This Row],[label]])</f>
        <v>1</v>
      </c>
      <c r="H153" s="3">
        <f>COUNTIF(EdgesData[from],NodesData[[#This Row],[id]])+COUNTIF(EdgesData[to],NodesData[[#This Row],[id]])</f>
        <v>0</v>
      </c>
      <c r="I153" s="3">
        <f>IF(NodesData[[#This Row],[Used]]&gt;0,1,0)</f>
        <v>0</v>
      </c>
      <c r="J153" s="18" t="str" cm="1">
        <f t="array" ref="J153">IF(NodesData[[#This Row],[Count]]&gt;1,",","") &amp;"{"&amp;twoRangesToJSON(NodesData[[#Headers],[id]:[main_class]],NodesData[[#This Row],[id]:[main_class]])&amp;"}"</f>
        <v>,{"id":"nC7E6CDC1_46D3_4CA5_AB7E_CEEA11B8FF3D","label":"FAPI (Acronym)","url":"https://open-measure.atlassian.net/wiki/spaces/DIC/pages/1290141697/FAPI","main_class":"Acronym"}</v>
      </c>
    </row>
    <row r="154" spans="1:10" ht="27" thickTop="1" thickBot="1" x14ac:dyDescent="0.4">
      <c r="A154" s="3" t="str" cm="1">
        <f t="array" ref="A154">"n"&amp;SUBSTITUTE(CreateGuidString(),"-","_")</f>
        <v>nD19575C0_1234_443C_AEB6_46C9C661336E</v>
      </c>
      <c r="B154" s="6" t="str">
        <f>NodesData[[#This Row],[name]]&amp;" ("&amp;NodesData[[#This Row],[main_class]]&amp;")"</f>
        <v>Federated Identity Management (Concept)</v>
      </c>
      <c r="C154" s="17" t="s">
        <v>800</v>
      </c>
      <c r="D154" s="3" t="s">
        <v>1409</v>
      </c>
      <c r="E154" s="10" t="s">
        <v>799</v>
      </c>
      <c r="F154" s="3">
        <f t="shared" si="2"/>
        <v>152</v>
      </c>
      <c r="G154" s="3">
        <f>COUNTIF(NodesData[label],NodesData[[#This Row],[label]])</f>
        <v>1</v>
      </c>
      <c r="H154" s="3">
        <f>COUNTIF(EdgesData[from],NodesData[[#This Row],[id]])+COUNTIF(EdgesData[to],NodesData[[#This Row],[id]])</f>
        <v>0</v>
      </c>
      <c r="I154" s="3">
        <f>IF(NodesData[[#This Row],[Used]]&gt;0,1,0)</f>
        <v>0</v>
      </c>
      <c r="J154" s="18" t="str" cm="1">
        <f t="array" ref="J154">IF(NodesData[[#This Row],[Count]]&gt;1,",","") &amp;"{"&amp;twoRangesToJSON(NodesData[[#Headers],[id]:[main_class]],NodesData[[#This Row],[id]:[main_class]])&amp;"}"</f>
        <v>,{"id":"nD19575C0_1234_443C_AEB6_46C9C661336E","label":"Federated Identity Management (Concept)","url":"https://open-measure.atlassian.net/wiki/spaces/DIC/pages/331579598","main_class":"Concept"}</v>
      </c>
    </row>
    <row r="155" spans="1:10" ht="27" thickTop="1" thickBot="1" x14ac:dyDescent="0.4">
      <c r="A155" s="3" t="str" cm="1">
        <f t="array" ref="A155">"n"&amp;SUBSTITUTE(CreateGuidString(),"-","_")</f>
        <v>nF68986BF_11B5_45D3_BFA0_CCE2D7F53900</v>
      </c>
      <c r="B155" s="6" t="str">
        <f>NodesData[[#This Row],[name]]&amp;" ("&amp;NodesData[[#This Row],[main_class]]&amp;")"</f>
        <v>Federated Identity Management System (Concept)</v>
      </c>
      <c r="C155" s="17" t="s">
        <v>802</v>
      </c>
      <c r="D155" s="3" t="s">
        <v>1409</v>
      </c>
      <c r="E155" s="10" t="s">
        <v>801</v>
      </c>
      <c r="F155" s="3">
        <f t="shared" si="2"/>
        <v>153</v>
      </c>
      <c r="G155" s="3">
        <f>COUNTIF(NodesData[label],NodesData[[#This Row],[label]])</f>
        <v>1</v>
      </c>
      <c r="H155" s="3">
        <f>COUNTIF(EdgesData[from],NodesData[[#This Row],[id]])+COUNTIF(EdgesData[to],NodesData[[#This Row],[id]])</f>
        <v>0</v>
      </c>
      <c r="I155" s="3">
        <f>IF(NodesData[[#This Row],[Used]]&gt;0,1,0)</f>
        <v>0</v>
      </c>
      <c r="J155" s="18" t="str" cm="1">
        <f t="array" ref="J155">IF(NodesData[[#This Row],[Count]]&gt;1,",","") &amp;"{"&amp;twoRangesToJSON(NodesData[[#Headers],[id]:[main_class]],NodesData[[#This Row],[id]:[main_class]])&amp;"}"</f>
        <v>,{"id":"nF68986BF_11B5_45D3_BFA0_CCE2D7F53900","label":"Federated Identity Management System (Concept)","url":"https://open-measure.atlassian.net/wiki/spaces/DIC/pages/1152483703","main_class":"Concept"}</v>
      </c>
    </row>
    <row r="156" spans="1:10" ht="27" thickTop="1" thickBot="1" x14ac:dyDescent="0.4">
      <c r="A156" s="3" t="str" cm="1">
        <f t="array" ref="A156">"n"&amp;SUBSTITUTE(CreateGuidString(),"-","_")</f>
        <v>nB9C315D5_62AD_4634_B1F3_E50AB8B981E0</v>
      </c>
      <c r="B156" s="6" t="str">
        <f>NodesData[[#This Row],[name]]&amp;" ("&amp;NodesData[[#This Row],[main_class]]&amp;")"</f>
        <v>Federated SSO (Concept)</v>
      </c>
      <c r="C156" s="17" t="s">
        <v>804</v>
      </c>
      <c r="D156" s="3" t="s">
        <v>1409</v>
      </c>
      <c r="E156" s="10" t="s">
        <v>803</v>
      </c>
      <c r="F156" s="3">
        <f t="shared" si="2"/>
        <v>154</v>
      </c>
      <c r="G156" s="3">
        <f>COUNTIF(NodesData[label],NodesData[[#This Row],[label]])</f>
        <v>1</v>
      </c>
      <c r="H156" s="3">
        <f>COUNTIF(EdgesData[from],NodesData[[#This Row],[id]])+COUNTIF(EdgesData[to],NodesData[[#This Row],[id]])</f>
        <v>0</v>
      </c>
      <c r="I156" s="3">
        <f>IF(NodesData[[#This Row],[Used]]&gt;0,1,0)</f>
        <v>0</v>
      </c>
      <c r="J156" s="18" t="str" cm="1">
        <f t="array" ref="J156">IF(NodesData[[#This Row],[Count]]&gt;1,",","") &amp;"{"&amp;twoRangesToJSON(NodesData[[#Headers],[id]:[main_class]],NodesData[[#This Row],[id]:[main_class]])&amp;"}"</f>
        <v>,{"id":"nB9C315D5_62AD_4634_B1F3_E50AB8B981E0","label":"Federated SSO (Concept)","url":"https://open-measure.atlassian.net/wiki/spaces/DIC/pages/75890786","main_class":"Concept"}</v>
      </c>
    </row>
    <row r="157" spans="1:10" ht="27" thickTop="1" thickBot="1" x14ac:dyDescent="0.4">
      <c r="A157" s="3" t="str" cm="1">
        <f t="array" ref="A157">"n"&amp;SUBSTITUTE(CreateGuidString(),"-","_")</f>
        <v>nE9771948_9DB4_4608_9DEA_E3AB34161D9F</v>
      </c>
      <c r="B157" s="6" t="str">
        <f>NodesData[[#This Row],[name]]&amp;" ("&amp;NodesData[[#This Row],[main_class]]&amp;")"</f>
        <v>Federation Bridge (Concept)</v>
      </c>
      <c r="C157" s="17" t="s">
        <v>806</v>
      </c>
      <c r="D157" s="3" t="s">
        <v>1409</v>
      </c>
      <c r="E157" s="10" t="s">
        <v>805</v>
      </c>
      <c r="F157" s="3">
        <f t="shared" si="2"/>
        <v>155</v>
      </c>
      <c r="G157" s="3">
        <f>COUNTIF(NodesData[label],NodesData[[#This Row],[label]])</f>
        <v>1</v>
      </c>
      <c r="H157" s="3">
        <f>COUNTIF(EdgesData[from],NodesData[[#This Row],[id]])+COUNTIF(EdgesData[to],NodesData[[#This Row],[id]])</f>
        <v>0</v>
      </c>
      <c r="I157" s="3">
        <f>IF(NodesData[[#This Row],[Used]]&gt;0,1,0)</f>
        <v>0</v>
      </c>
      <c r="J157" s="18" t="str" cm="1">
        <f t="array" ref="J157">IF(NodesData[[#This Row],[Count]]&gt;1,",","") &amp;"{"&amp;twoRangesToJSON(NodesData[[#Headers],[id]:[main_class]],NodesData[[#This Row],[id]:[main_class]])&amp;"}"</f>
        <v>,{"id":"nE9771948_9DB4_4608_9DEA_E3AB34161D9F","label":"Federation Bridge (Concept)","url":"https://open-measure.atlassian.net/wiki/spaces/DIC/pages/763035693","main_class":"Concept"}</v>
      </c>
    </row>
    <row r="158" spans="1:10" ht="27" thickTop="1" thickBot="1" x14ac:dyDescent="0.4">
      <c r="A158" s="3" t="str" cm="1">
        <f t="array" ref="A158">"n"&amp;SUBSTITUTE(CreateGuidString(),"-","_")</f>
        <v>n481A1907_9005_47A2_9429_BB54892EE734</v>
      </c>
      <c r="B158" s="6" t="str">
        <f>NodesData[[#This Row],[name]]&amp;" ("&amp;NodesData[[#This Row],[main_class]]&amp;")"</f>
        <v>FIM (Acronym)</v>
      </c>
      <c r="C158" s="17" t="s">
        <v>808</v>
      </c>
      <c r="D158" s="3" t="s">
        <v>1301</v>
      </c>
      <c r="E158" s="10" t="s">
        <v>807</v>
      </c>
      <c r="F158" s="3">
        <f t="shared" si="2"/>
        <v>156</v>
      </c>
      <c r="G158" s="3">
        <f>COUNTIF(NodesData[label],NodesData[[#This Row],[label]])</f>
        <v>1</v>
      </c>
      <c r="H158" s="3">
        <f>COUNTIF(EdgesData[from],NodesData[[#This Row],[id]])+COUNTIF(EdgesData[to],NodesData[[#This Row],[id]])</f>
        <v>0</v>
      </c>
      <c r="I158" s="3">
        <f>IF(NodesData[[#This Row],[Used]]&gt;0,1,0)</f>
        <v>0</v>
      </c>
      <c r="J158" s="18" t="str" cm="1">
        <f t="array" ref="J158">IF(NodesData[[#This Row],[Count]]&gt;1,",","") &amp;"{"&amp;twoRangesToJSON(NodesData[[#Headers],[id]:[main_class]],NodesData[[#This Row],[id]:[main_class]])&amp;"}"</f>
        <v>,{"id":"n481A1907_9005_47A2_9429_BB54892EE734","label":"FIM (Acronym)","url":"https://open-measure.atlassian.net/wiki/spaces/DIC/pages/331579618","main_class":"Acronym"}</v>
      </c>
    </row>
    <row r="159" spans="1:10" ht="27" thickTop="1" thickBot="1" x14ac:dyDescent="0.4">
      <c r="A159" s="3" t="str" cm="1">
        <f t="array" ref="A159">"n"&amp;SUBSTITUTE(CreateGuidString(),"-","_")</f>
        <v>n2E510762_753B_4DFE_B86D_951731D644BD</v>
      </c>
      <c r="B159" s="6" t="str">
        <f>NodesData[[#This Row],[name]]&amp;" ("&amp;NodesData[[#This Row],[main_class]]&amp;")"</f>
        <v>Financial-grade API (Concept)</v>
      </c>
      <c r="C159" s="17" t="s">
        <v>809</v>
      </c>
      <c r="D159" s="3" t="s">
        <v>1409</v>
      </c>
      <c r="E159" s="10" t="s">
        <v>215</v>
      </c>
      <c r="F159" s="3">
        <f t="shared" si="2"/>
        <v>157</v>
      </c>
      <c r="G159" s="3">
        <f>COUNTIF(NodesData[label],NodesData[[#This Row],[label]])</f>
        <v>1</v>
      </c>
      <c r="H159" s="3">
        <f>COUNTIF(EdgesData[from],NodesData[[#This Row],[id]])+COUNTIF(EdgesData[to],NodesData[[#This Row],[id]])</f>
        <v>0</v>
      </c>
      <c r="I159" s="3">
        <f>IF(NodesData[[#This Row],[Used]]&gt;0,1,0)</f>
        <v>0</v>
      </c>
      <c r="J159" s="18" t="str" cm="1">
        <f t="array" ref="J159">IF(NodesData[[#This Row],[Count]]&gt;1,",","") &amp;"{"&amp;twoRangesToJSON(NodesData[[#Headers],[id]:[main_class]],NodesData[[#This Row],[id]:[main_class]])&amp;"}"</f>
        <v>,{"id":"n2E510762_753B_4DFE_B86D_951731D644BD","label":"Financial-grade API (Concept)","url":"https://open-measure.atlassian.net/wiki/spaces/DIC/pages/1290207237/Financial-grade+API","main_class":"Concept"}</v>
      </c>
    </row>
    <row r="160" spans="1:10" ht="27" thickTop="1" thickBot="1" x14ac:dyDescent="0.4">
      <c r="A160" s="3" t="str" cm="1">
        <f t="array" ref="A160">"n"&amp;SUBSTITUTE(CreateGuidString(),"-","_")</f>
        <v>n5EAD95D4_BBE9_4020_BEC2_8B0E3E170308</v>
      </c>
      <c r="B160" s="6" t="str">
        <f>NodesData[[#This Row],[name]]&amp;" ("&amp;NodesData[[#This Row],[main_class]]&amp;")"</f>
        <v>Facial Recognition Authentication (Concept)</v>
      </c>
      <c r="C160" s="12"/>
      <c r="D160" s="3" t="s">
        <v>1409</v>
      </c>
      <c r="E160" s="10" t="s">
        <v>1349</v>
      </c>
      <c r="F160" s="3">
        <f t="shared" si="2"/>
        <v>158</v>
      </c>
      <c r="G160" s="3">
        <f>COUNTIF(NodesData[label],NodesData[[#This Row],[label]])</f>
        <v>1</v>
      </c>
      <c r="H160" s="3">
        <f>COUNTIF(EdgesData[from],NodesData[[#This Row],[id]])+COUNTIF(EdgesData[to],NodesData[[#This Row],[id]])</f>
        <v>0</v>
      </c>
      <c r="I160" s="3">
        <f>IF(NodesData[[#This Row],[Used]]&gt;0,1,0)</f>
        <v>0</v>
      </c>
      <c r="J160" s="18" t="str" cm="1">
        <f t="array" ref="J160">IF(NodesData[[#This Row],[Count]]&gt;1,",","") &amp;"{"&amp;twoRangesToJSON(NodesData[[#Headers],[id]:[main_class]],NodesData[[#This Row],[id]:[main_class]])&amp;"}"</f>
        <v>,{"id":"n5EAD95D4_BBE9_4020_BEC2_8B0E3E170308","label":"Facial Recognition Authentication (Concept)","url":"","main_class":"Concept"}</v>
      </c>
    </row>
    <row r="161" spans="1:10" ht="27" thickTop="1" thickBot="1" x14ac:dyDescent="0.4">
      <c r="A161" s="3" t="str" cm="1">
        <f t="array" ref="A161">"n"&amp;SUBSTITUTE(CreateGuidString(),"-","_")</f>
        <v>n3EB547A4_F889_4E6D_87E0_0AB058F63DF3</v>
      </c>
      <c r="B161" s="6" t="str">
        <f>NodesData[[#This Row],[name]]&amp;" ("&amp;NodesData[[#This Row],[main_class]]&amp;")"</f>
        <v>FinTech (Acronym)</v>
      </c>
      <c r="C161" s="17" t="s">
        <v>810</v>
      </c>
      <c r="D161" s="3" t="s">
        <v>1301</v>
      </c>
      <c r="E161" s="10" t="s">
        <v>216</v>
      </c>
      <c r="F161" s="3">
        <f t="shared" si="2"/>
        <v>159</v>
      </c>
      <c r="G161" s="3">
        <f>COUNTIF(NodesData[label],NodesData[[#This Row],[label]])</f>
        <v>1</v>
      </c>
      <c r="H161" s="3">
        <f>COUNTIF(EdgesData[from],NodesData[[#This Row],[id]])+COUNTIF(EdgesData[to],NodesData[[#This Row],[id]])</f>
        <v>0</v>
      </c>
      <c r="I161" s="3">
        <f>IF(NodesData[[#This Row],[Used]]&gt;0,1,0)</f>
        <v>0</v>
      </c>
      <c r="J161" s="18" t="str" cm="1">
        <f t="array" ref="J161">IF(NodesData[[#This Row],[Count]]&gt;1,",","") &amp;"{"&amp;twoRangesToJSON(NodesData[[#Headers],[id]:[main_class]],NodesData[[#This Row],[id]:[main_class]])&amp;"}"</f>
        <v>,{"id":"n3EB547A4_F889_4E6D_87E0_0AB058F63DF3","label":"FinTech (Acronym)","url":"https://open-measure.atlassian.net/wiki/spaces/DIC/pages/1378091043/FinTech","main_class":"Acronym"}</v>
      </c>
    </row>
    <row r="162" spans="1:10" ht="27" thickTop="1" thickBot="1" x14ac:dyDescent="0.4">
      <c r="A162" s="3" t="str" cm="1">
        <f t="array" ref="A162">"n"&amp;SUBSTITUTE(CreateGuidString(),"-","_")</f>
        <v>n95177BBF_2479_4B95_B956_B893768CF293</v>
      </c>
      <c r="B162" s="6" t="str">
        <f>NodesData[[#This Row],[name]]&amp;" ("&amp;NodesData[[#This Row],[main_class]]&amp;")"</f>
        <v>Flexibility (Concept)</v>
      </c>
      <c r="C162" s="17" t="s">
        <v>812</v>
      </c>
      <c r="D162" s="3" t="s">
        <v>1409</v>
      </c>
      <c r="E162" s="10" t="s">
        <v>811</v>
      </c>
      <c r="F162" s="3">
        <f t="shared" si="2"/>
        <v>160</v>
      </c>
      <c r="G162" s="3">
        <f>COUNTIF(NodesData[label],NodesData[[#This Row],[label]])</f>
        <v>1</v>
      </c>
      <c r="H162" s="3">
        <f>COUNTIF(EdgesData[from],NodesData[[#This Row],[id]])+COUNTIF(EdgesData[to],NodesData[[#This Row],[id]])</f>
        <v>0</v>
      </c>
      <c r="I162" s="3">
        <f>IF(NodesData[[#This Row],[Used]]&gt;0,1,0)</f>
        <v>0</v>
      </c>
      <c r="J162" s="18" t="str" cm="1">
        <f t="array" ref="J162">IF(NodesData[[#This Row],[Count]]&gt;1,",","") &amp;"{"&amp;twoRangesToJSON(NodesData[[#Headers],[id]:[main_class]],NodesData[[#This Row],[id]:[main_class]])&amp;"}"</f>
        <v>,{"id":"n95177BBF_2479_4B95_B956_B893768CF293","label":"Flexibility (Concept)","url":"https://open-measure.atlassian.net/wiki/spaces/DIC/pages/438698048","main_class":"Concept"}</v>
      </c>
    </row>
    <row r="163" spans="1:10" ht="27" thickTop="1" thickBot="1" x14ac:dyDescent="0.4">
      <c r="A163" s="3" t="str" cm="1">
        <f t="array" ref="A163">"n"&amp;SUBSTITUTE(CreateGuidString(),"-","_")</f>
        <v>n9F9A41B8_9738_4A9D_87D7_020ABC217A90</v>
      </c>
      <c r="B163" s="6" t="str">
        <f>NodesData[[#This Row],[name]]&amp;" ("&amp;NodesData[[#This Row],[main_class]]&amp;")"</f>
        <v>Flow Analysis (Concept)</v>
      </c>
      <c r="C163" s="17" t="s">
        <v>814</v>
      </c>
      <c r="D163" s="3" t="s">
        <v>1409</v>
      </c>
      <c r="E163" s="10" t="s">
        <v>813</v>
      </c>
      <c r="F163" s="3">
        <f t="shared" si="2"/>
        <v>161</v>
      </c>
      <c r="G163" s="3">
        <f>COUNTIF(NodesData[label],NodesData[[#This Row],[label]])</f>
        <v>1</v>
      </c>
      <c r="H163" s="3">
        <f>COUNTIF(EdgesData[from],NodesData[[#This Row],[id]])+COUNTIF(EdgesData[to],NodesData[[#This Row],[id]])</f>
        <v>0</v>
      </c>
      <c r="I163" s="3">
        <f>IF(NodesData[[#This Row],[Used]]&gt;0,1,0)</f>
        <v>0</v>
      </c>
      <c r="J163" s="18" t="str" cm="1">
        <f t="array" ref="J163">IF(NodesData[[#This Row],[Count]]&gt;1,",","") &amp;"{"&amp;twoRangesToJSON(NodesData[[#Headers],[id]:[main_class]],NodesData[[#This Row],[id]:[main_class]])&amp;"}"</f>
        <v>,{"id":"n9F9A41B8_9738_4A9D_87D7_020ABC217A90","label":"Flow Analysis (Concept)","url":"https://open-measure.atlassian.net/wiki/spaces/DIC/pages/1223884872","main_class":"Concept"}</v>
      </c>
    </row>
    <row r="164" spans="1:10" ht="27" thickTop="1" thickBot="1" x14ac:dyDescent="0.4">
      <c r="A164" s="3" t="str" cm="1">
        <f t="array" ref="A164">"n"&amp;SUBSTITUTE(CreateGuidString(),"-","_")</f>
        <v>n80B1AFE5_C6F2_4463_A085_E673386CB791</v>
      </c>
      <c r="B164" s="6" t="str">
        <f>NodesData[[#This Row],[name]]&amp;" ("&amp;NodesData[[#This Row],[main_class]]&amp;")"</f>
        <v>Forged Identity (Concept)</v>
      </c>
      <c r="C164" s="17" t="s">
        <v>816</v>
      </c>
      <c r="D164" s="3" t="s">
        <v>1409</v>
      </c>
      <c r="E164" s="10" t="s">
        <v>815</v>
      </c>
      <c r="F164" s="3">
        <f t="shared" si="2"/>
        <v>162</v>
      </c>
      <c r="G164" s="3">
        <f>COUNTIF(NodesData[label],NodesData[[#This Row],[label]])</f>
        <v>1</v>
      </c>
      <c r="H164" s="3">
        <f>COUNTIF(EdgesData[from],NodesData[[#This Row],[id]])+COUNTIF(EdgesData[to],NodesData[[#This Row],[id]])</f>
        <v>0</v>
      </c>
      <c r="I164" s="3">
        <f>IF(NodesData[[#This Row],[Used]]&gt;0,1,0)</f>
        <v>0</v>
      </c>
      <c r="J164" s="18" t="str" cm="1">
        <f t="array" ref="J164">IF(NodesData[[#This Row],[Count]]&gt;1,",","") &amp;"{"&amp;twoRangesToJSON(NodesData[[#Headers],[id]:[main_class]],NodesData[[#This Row],[id]:[main_class]])&amp;"}"</f>
        <v>,{"id":"n80B1AFE5_C6F2_4463_A085_E673386CB791","label":"Forged Identity (Concept)","url":"https://open-measure.atlassian.net/wiki/spaces/DIC/pages/1173585921","main_class":"Concept"}</v>
      </c>
    </row>
    <row r="165" spans="1:10" ht="27" thickTop="1" thickBot="1" x14ac:dyDescent="0.4">
      <c r="A165" s="3" t="str" cm="1">
        <f t="array" ref="A165">"n"&amp;SUBSTITUTE(CreateGuidString(),"-","_")</f>
        <v>n110F6267_EF90_40EA_B66B_590B3C4C46D3</v>
      </c>
      <c r="B165" s="6" t="str">
        <f>NodesData[[#This Row],[name]]&amp;" ("&amp;NodesData[[#This Row],[main_class]]&amp;")"</f>
        <v>Formal Verification (Concept)</v>
      </c>
      <c r="C165" s="17" t="s">
        <v>818</v>
      </c>
      <c r="D165" s="3" t="s">
        <v>1409</v>
      </c>
      <c r="E165" s="10" t="s">
        <v>817</v>
      </c>
      <c r="F165" s="3">
        <f t="shared" si="2"/>
        <v>163</v>
      </c>
      <c r="G165" s="3">
        <f>COUNTIF(NodesData[label],NodesData[[#This Row],[label]])</f>
        <v>1</v>
      </c>
      <c r="H165" s="3">
        <f>COUNTIF(EdgesData[from],NodesData[[#This Row],[id]])+COUNTIF(EdgesData[to],NodesData[[#This Row],[id]])</f>
        <v>0</v>
      </c>
      <c r="I165" s="3">
        <f>IF(NodesData[[#This Row],[Used]]&gt;0,1,0)</f>
        <v>0</v>
      </c>
      <c r="J165" s="18" t="str" cm="1">
        <f t="array" ref="J165">IF(NodesData[[#This Row],[Count]]&gt;1,",","") &amp;"{"&amp;twoRangesToJSON(NodesData[[#Headers],[id]:[main_class]],NodesData[[#This Row],[id]:[main_class]])&amp;"}"</f>
        <v>,{"id":"n110F6267_EF90_40EA_B66B_590B3C4C46D3","label":"Formal Verification (Concept)","url":"https://open-measure.atlassian.net/wiki/spaces/DIC/pages/1226833964","main_class":"Concept"}</v>
      </c>
    </row>
    <row r="166" spans="1:10" ht="40.15" thickTop="1" thickBot="1" x14ac:dyDescent="0.4">
      <c r="A166" s="3" t="str" cm="1">
        <f t="array" ref="A166">"n"&amp;SUBSTITUTE(CreateGuidString(),"-","_")</f>
        <v>n5639D000_8D71_4628_A2BA_440D7DDFF4E6</v>
      </c>
      <c r="B166" s="6" t="str">
        <f>NodesData[[#This Row],[name]]&amp;" ("&amp;NodesData[[#This Row],[main_class]]&amp;")"</f>
        <v>Foundational Identification System (Concept)</v>
      </c>
      <c r="C166" s="17" t="s">
        <v>819</v>
      </c>
      <c r="D166" s="3" t="s">
        <v>1409</v>
      </c>
      <c r="E166" s="10" t="s">
        <v>222</v>
      </c>
      <c r="F166" s="3">
        <f t="shared" si="2"/>
        <v>164</v>
      </c>
      <c r="G166" s="3">
        <f>COUNTIF(NodesData[label],NodesData[[#This Row],[label]])</f>
        <v>1</v>
      </c>
      <c r="H166" s="3">
        <f>COUNTIF(EdgesData[from],NodesData[[#This Row],[id]])+COUNTIF(EdgesData[to],NodesData[[#This Row],[id]])</f>
        <v>0</v>
      </c>
      <c r="I166" s="3">
        <f>IF(NodesData[[#This Row],[Used]]&gt;0,1,0)</f>
        <v>0</v>
      </c>
      <c r="J166" s="18" t="str" cm="1">
        <f t="array" ref="J166">IF(NodesData[[#This Row],[Count]]&gt;1,",","") &amp;"{"&amp;twoRangesToJSON(NodesData[[#Headers],[id]:[main_class]],NodesData[[#This Row],[id]:[main_class]])&amp;"}"</f>
        <v>,{"id":"n5639D000_8D71_4628_A2BA_440D7DDFF4E6","label":"Foundational Identification System (Concept)","url":"https://open-measure.atlassian.net/wiki/spaces/DIC/pages/419561522/Foundational+Identification+System","main_class":"Concept"}</v>
      </c>
    </row>
    <row r="167" spans="1:10" ht="27" thickTop="1" thickBot="1" x14ac:dyDescent="0.4">
      <c r="A167" s="3" t="str" cm="1">
        <f t="array" ref="A167">"n"&amp;SUBSTITUTE(CreateGuidString(),"-","_")</f>
        <v>nA634C743_DCBF_4492_8CED_1DB2E18F6BD6</v>
      </c>
      <c r="B167" s="6" t="str">
        <f>NodesData[[#This Row],[name]]&amp;" ("&amp;NodesData[[#This Row],[main_class]]&amp;")"</f>
        <v>Fingerprint Recognition Authentication (Concept)</v>
      </c>
      <c r="C167" s="12"/>
      <c r="D167" s="3" t="s">
        <v>1409</v>
      </c>
      <c r="E167" s="10" t="s">
        <v>1351</v>
      </c>
      <c r="F167" s="3">
        <f t="shared" si="2"/>
        <v>165</v>
      </c>
      <c r="G167" s="3">
        <f>COUNTIF(NodesData[label],NodesData[[#This Row],[label]])</f>
        <v>1</v>
      </c>
      <c r="H167" s="3">
        <f>COUNTIF(EdgesData[from],NodesData[[#This Row],[id]])+COUNTIF(EdgesData[to],NodesData[[#This Row],[id]])</f>
        <v>0</v>
      </c>
      <c r="I167" s="3">
        <f>IF(NodesData[[#This Row],[Used]]&gt;0,1,0)</f>
        <v>0</v>
      </c>
      <c r="J167" s="18" t="str" cm="1">
        <f t="array" ref="J167">IF(NodesData[[#This Row],[Count]]&gt;1,",","") &amp;"{"&amp;twoRangesToJSON(NodesData[[#Headers],[id]:[main_class]],NodesData[[#This Row],[id]:[main_class]])&amp;"}"</f>
        <v>,{"id":"nA634C743_DCBF_4492_8CED_1DB2E18F6BD6","label":"Fingerprint Recognition Authentication (Concept)","url":"","main_class":"Concept"}</v>
      </c>
    </row>
    <row r="168" spans="1:10" ht="27" thickTop="1" thickBot="1" x14ac:dyDescent="0.4">
      <c r="A168" s="3" t="str" cm="1">
        <f t="array" ref="A168">"n"&amp;SUBSTITUTE(CreateGuidString(),"-","_")</f>
        <v>n0CAC8727_CBA7_4589_A243_30DB5B37CD38</v>
      </c>
      <c r="B168" s="6" t="str">
        <f>NodesData[[#This Row],[name]]&amp;" ("&amp;NodesData[[#This Row],[main_class]]&amp;")"</f>
        <v>Functional Identification System (Concept)</v>
      </c>
      <c r="C168" s="17" t="s">
        <v>821</v>
      </c>
      <c r="D168" s="3" t="s">
        <v>1409</v>
      </c>
      <c r="E168" s="10" t="s">
        <v>820</v>
      </c>
      <c r="F168" s="3">
        <f t="shared" si="2"/>
        <v>166</v>
      </c>
      <c r="G168" s="3">
        <f>COUNTIF(NodesData[label],NodesData[[#This Row],[label]])</f>
        <v>1</v>
      </c>
      <c r="H168" s="3">
        <f>COUNTIF(EdgesData[from],NodesData[[#This Row],[id]])+COUNTIF(EdgesData[to],NodesData[[#This Row],[id]])</f>
        <v>0</v>
      </c>
      <c r="I168" s="3">
        <f>IF(NodesData[[#This Row],[Used]]&gt;0,1,0)</f>
        <v>0</v>
      </c>
      <c r="J168" s="18" t="str" cm="1">
        <f t="array" ref="J168">IF(NodesData[[#This Row],[Count]]&gt;1,",","") &amp;"{"&amp;twoRangesToJSON(NodesData[[#Headers],[id]:[main_class]],NodesData[[#This Row],[id]:[main_class]])&amp;"}"</f>
        <v>,{"id":"n0CAC8727_CBA7_4589_A243_30DB5B37CD38","label":"Functional Identification System (Concept)","url":"https://open-measure.atlassian.net/wiki/spaces/DIC/pages/419528747","main_class":"Concept"}</v>
      </c>
    </row>
    <row r="169" spans="1:10" ht="27" thickTop="1" thickBot="1" x14ac:dyDescent="0.4">
      <c r="A169" s="3" t="str" cm="1">
        <f t="array" ref="A169">"n"&amp;SUBSTITUTE(CreateGuidString(),"-","_")</f>
        <v>n3E80AF28_44B9_463B_9CCE_FE4D13015A65</v>
      </c>
      <c r="B169" s="6" t="str">
        <f>NodesData[[#This Row],[name]]&amp;" ("&amp;NodesData[[#This Row],[main_class]]&amp;")"</f>
        <v>Functional System (Concept)</v>
      </c>
      <c r="C169" s="17" t="s">
        <v>823</v>
      </c>
      <c r="D169" s="3" t="s">
        <v>1409</v>
      </c>
      <c r="E169" s="10" t="s">
        <v>822</v>
      </c>
      <c r="F169" s="3">
        <f t="shared" si="2"/>
        <v>167</v>
      </c>
      <c r="G169" s="3">
        <f>COUNTIF(NodesData[label],NodesData[[#This Row],[label]])</f>
        <v>1</v>
      </c>
      <c r="H169" s="3">
        <f>COUNTIF(EdgesData[from],NodesData[[#This Row],[id]])+COUNTIF(EdgesData[to],NodesData[[#This Row],[id]])</f>
        <v>0</v>
      </c>
      <c r="I169" s="3">
        <f>IF(NodesData[[#This Row],[Used]]&gt;0,1,0)</f>
        <v>0</v>
      </c>
      <c r="J169" s="18" t="str" cm="1">
        <f t="array" ref="J169">IF(NodesData[[#This Row],[Count]]&gt;1,",","") &amp;"{"&amp;twoRangesToJSON(NodesData[[#Headers],[id]:[main_class]],NodesData[[#This Row],[id]:[main_class]])&amp;"}"</f>
        <v>,{"id":"n3E80AF28_44B9_463B_9CCE_FE4D13015A65","label":"Functional System (Concept)","url":"https://open-measure.atlassian.net/wiki/spaces/DIC/pages/1229619254","main_class":"Concept"}</v>
      </c>
    </row>
    <row r="170" spans="1:10" ht="27" thickTop="1" thickBot="1" x14ac:dyDescent="0.4">
      <c r="A170" s="3" t="str" cm="1">
        <f t="array" ref="A170">"n"&amp;SUBSTITUTE(CreateGuidString(),"-","_")</f>
        <v>n0E5E271B_86AD_4ACD_A77D_95C3198F5497</v>
      </c>
      <c r="B170" s="6" t="str">
        <f>NodesData[[#This Row],[name]]&amp;" ("&amp;NodesData[[#This Row],[main_class]]&amp;")"</f>
        <v>Front-end Authentication (Concept)</v>
      </c>
      <c r="C170" s="12"/>
      <c r="D170" s="3" t="s">
        <v>1409</v>
      </c>
      <c r="E170" s="10" t="s">
        <v>1345</v>
      </c>
      <c r="F170" s="3">
        <f t="shared" si="2"/>
        <v>168</v>
      </c>
      <c r="G170" s="3">
        <f>COUNTIF(NodesData[label],NodesData[[#This Row],[label]])</f>
        <v>1</v>
      </c>
      <c r="H170" s="3">
        <f>COUNTIF(EdgesData[from],NodesData[[#This Row],[id]])+COUNTIF(EdgesData[to],NodesData[[#This Row],[id]])</f>
        <v>0</v>
      </c>
      <c r="I170" s="3">
        <f>IF(NodesData[[#This Row],[Used]]&gt;0,1,0)</f>
        <v>0</v>
      </c>
      <c r="J170" s="18" t="str" cm="1">
        <f t="array" ref="J170">IF(NodesData[[#This Row],[Count]]&gt;1,",","") &amp;"{"&amp;twoRangesToJSON(NodesData[[#Headers],[id]:[main_class]],NodesData[[#This Row],[id]:[main_class]])&amp;"}"</f>
        <v>,{"id":"n0E5E271B_86AD_4ACD_A77D_95C3198F5497","label":"Front-end Authentication (Concept)","url":"","main_class":"Concept"}</v>
      </c>
    </row>
    <row r="171" spans="1:10" ht="27" thickTop="1" thickBot="1" x14ac:dyDescent="0.4">
      <c r="A171" s="3" t="str" cm="1">
        <f t="array" ref="A171">"n"&amp;SUBSTITUTE(CreateGuidString(),"-","_")</f>
        <v>nA74B5B7B_922A_4129_93EA_82BEE0C46119</v>
      </c>
      <c r="B171" s="6" t="str">
        <f>NodesData[[#This Row],[name]]&amp;" ("&amp;NodesData[[#This Row],[main_class]]&amp;")"</f>
        <v>Gait Recognition Authentication (Concept)</v>
      </c>
      <c r="C171" s="12"/>
      <c r="D171" s="3" t="s">
        <v>1409</v>
      </c>
      <c r="E171" s="10" t="s">
        <v>1352</v>
      </c>
      <c r="F171" s="3">
        <f t="shared" si="2"/>
        <v>169</v>
      </c>
      <c r="G171" s="3">
        <f>COUNTIF(NodesData[label],NodesData[[#This Row],[label]])</f>
        <v>1</v>
      </c>
      <c r="H171" s="3">
        <f>COUNTIF(EdgesData[from],NodesData[[#This Row],[id]])+COUNTIF(EdgesData[to],NodesData[[#This Row],[id]])</f>
        <v>0</v>
      </c>
      <c r="I171" s="3">
        <f>IF(NodesData[[#This Row],[Used]]&gt;0,1,0)</f>
        <v>0</v>
      </c>
      <c r="J171" s="18" t="str" cm="1">
        <f t="array" ref="J171">IF(NodesData[[#This Row],[Count]]&gt;1,",","") &amp;"{"&amp;twoRangesToJSON(NodesData[[#Headers],[id]:[main_class]],NodesData[[#This Row],[id]:[main_class]])&amp;"}"</f>
        <v>,{"id":"nA74B5B7B_922A_4129_93EA_82BEE0C46119","label":"Gait Recognition Authentication (Concept)","url":"","main_class":"Concept"}</v>
      </c>
    </row>
    <row r="172" spans="1:10" ht="27" thickTop="1" thickBot="1" x14ac:dyDescent="0.4">
      <c r="A172" s="3" t="str" cm="1">
        <f t="array" ref="A172">"n"&amp;SUBSTITUTE(CreateGuidString(),"-","_")</f>
        <v>nA0D025ED_22FE_4054_9D21_09247C1BF82B</v>
      </c>
      <c r="B172" s="6" t="str">
        <f>NodesData[[#This Row],[name]]&amp;" ("&amp;NodesData[[#This Row],[main_class]]&amp;")"</f>
        <v>Geo-localization Authentication (Concept)</v>
      </c>
      <c r="C172" s="12"/>
      <c r="D172" s="3" t="s">
        <v>1409</v>
      </c>
      <c r="E172" s="10" t="s">
        <v>1350</v>
      </c>
      <c r="F172" s="3">
        <f t="shared" si="2"/>
        <v>170</v>
      </c>
      <c r="G172" s="3">
        <f>COUNTIF(NodesData[label],NodesData[[#This Row],[label]])</f>
        <v>1</v>
      </c>
      <c r="H172" s="3">
        <f>COUNTIF(EdgesData[from],NodesData[[#This Row],[id]])+COUNTIF(EdgesData[to],NodesData[[#This Row],[id]])</f>
        <v>0</v>
      </c>
      <c r="I172" s="3">
        <f>IF(NodesData[[#This Row],[Used]]&gt;0,1,0)</f>
        <v>0</v>
      </c>
      <c r="J172" s="18" t="str" cm="1">
        <f t="array" ref="J172">IF(NodesData[[#This Row],[Count]]&gt;1,",","") &amp;"{"&amp;twoRangesToJSON(NodesData[[#Headers],[id]:[main_class]],NodesData[[#This Row],[id]:[main_class]])&amp;"}"</f>
        <v>,{"id":"nA0D025ED_22FE_4054_9D21_09247C1BF82B","label":"Geo-localization Authentication (Concept)","url":"","main_class":"Concept"}</v>
      </c>
    </row>
    <row r="173" spans="1:10" ht="27" thickTop="1" thickBot="1" x14ac:dyDescent="0.4">
      <c r="A173" s="3" t="str" cm="1">
        <f t="array" ref="A173">"n"&amp;SUBSTITUTE(CreateGuidString(),"-","_")</f>
        <v>nB2F3D3DE_256C_4CE4_895F_C44C2C1537BC</v>
      </c>
      <c r="B173" s="6" t="str">
        <f>NodesData[[#This Row],[name]]&amp;" ("&amp;NodesData[[#This Row],[main_class]]&amp;")"</f>
        <v>Guest Account (Concept)</v>
      </c>
      <c r="C173" s="17" t="s">
        <v>825</v>
      </c>
      <c r="D173" s="3" t="s">
        <v>1409</v>
      </c>
      <c r="E173" s="10" t="s">
        <v>824</v>
      </c>
      <c r="F173" s="3">
        <f t="shared" si="2"/>
        <v>171</v>
      </c>
      <c r="G173" s="3">
        <f>COUNTIF(NodesData[label],NodesData[[#This Row],[label]])</f>
        <v>1</v>
      </c>
      <c r="H173" s="3">
        <f>COUNTIF(EdgesData[from],NodesData[[#This Row],[id]])+COUNTIF(EdgesData[to],NodesData[[#This Row],[id]])</f>
        <v>0</v>
      </c>
      <c r="I173" s="3">
        <f>IF(NodesData[[#This Row],[Used]]&gt;0,1,0)</f>
        <v>0</v>
      </c>
      <c r="J173" s="18" t="str" cm="1">
        <f t="array" ref="J173">IF(NodesData[[#This Row],[Count]]&gt;1,",","") &amp;"{"&amp;twoRangesToJSON(NodesData[[#Headers],[id]:[main_class]],NodesData[[#This Row],[id]:[main_class]])&amp;"}"</f>
        <v>,{"id":"nB2F3D3DE_256C_4CE4_895F_C44C2C1537BC","label":"Guest Account (Concept)","url":"https://open-measure.atlassian.net/wiki/spaces/DIC/pages/966557699","main_class":"Concept"}</v>
      </c>
    </row>
    <row r="174" spans="1:10" ht="27" thickTop="1" thickBot="1" x14ac:dyDescent="0.4">
      <c r="A174" s="3" t="str" cm="1">
        <f t="array" ref="A174">"n"&amp;SUBSTITUTE(CreateGuidString(),"-","_")</f>
        <v>n64EB10D0_8AF7_459E_882B_A26C746F374C</v>
      </c>
      <c r="B174" s="6" t="str">
        <f>NodesData[[#This Row],[name]]&amp;" ("&amp;NodesData[[#This Row],[main_class]]&amp;")"</f>
        <v>Graphical Password-Based Authentication (Concept)</v>
      </c>
      <c r="C174" s="22"/>
      <c r="D174" s="3" t="s">
        <v>1409</v>
      </c>
      <c r="E174" s="10" t="s">
        <v>1373</v>
      </c>
      <c r="F174" s="3">
        <f t="shared" si="2"/>
        <v>172</v>
      </c>
      <c r="G174" s="3">
        <f>COUNTIF(NodesData[label],NodesData[[#This Row],[label]])</f>
        <v>1</v>
      </c>
      <c r="H174" s="3">
        <f>COUNTIF(EdgesData[from],NodesData[[#This Row],[id]])+COUNTIF(EdgesData[to],NodesData[[#This Row],[id]])</f>
        <v>0</v>
      </c>
      <c r="I174" s="3">
        <f>IF(NodesData[[#This Row],[Used]]&gt;0,1,0)</f>
        <v>0</v>
      </c>
      <c r="J174" s="18" t="str" cm="1">
        <f t="array" ref="J174">IF(NodesData[[#This Row],[Count]]&gt;1,",","") &amp;"{"&amp;twoRangesToJSON(NodesData[[#Headers],[id]:[main_class]],NodesData[[#This Row],[id]:[main_class]])&amp;"}"</f>
        <v>,{"id":"n64EB10D0_8AF7_459E_882B_A26C746F374C","label":"Graphical Password-Based Authentication (Concept)","url":"","main_class":"Concept"}</v>
      </c>
    </row>
    <row r="175" spans="1:10" ht="27" thickTop="1" thickBot="1" x14ac:dyDescent="0.4">
      <c r="A175" s="3" t="str" cm="1">
        <f t="array" ref="A175">"n"&amp;SUBSTITUTE(CreateGuidString(),"-","_")</f>
        <v>nD49E1162_0B31_4FF8_AE38_F35DEBF24A8F</v>
      </c>
      <c r="B175" s="6" t="str">
        <f>NodesData[[#This Row],[name]]&amp;" ("&amp;NodesData[[#This Row],[main_class]]&amp;")"</f>
        <v>Hand Gestures Recognition Authentication (Concept)</v>
      </c>
      <c r="C175" s="12"/>
      <c r="D175" s="3" t="s">
        <v>1409</v>
      </c>
      <c r="E175" s="10" t="s">
        <v>1353</v>
      </c>
      <c r="F175" s="3">
        <f t="shared" si="2"/>
        <v>173</v>
      </c>
      <c r="G175" s="3">
        <f>COUNTIF(NodesData[label],NodesData[[#This Row],[label]])</f>
        <v>1</v>
      </c>
      <c r="H175" s="3">
        <f>COUNTIF(EdgesData[from],NodesData[[#This Row],[id]])+COUNTIF(EdgesData[to],NodesData[[#This Row],[id]])</f>
        <v>0</v>
      </c>
      <c r="I175" s="3">
        <f>IF(NodesData[[#This Row],[Used]]&gt;0,1,0)</f>
        <v>0</v>
      </c>
      <c r="J175" s="18" t="str" cm="1">
        <f t="array" ref="J175">IF(NodesData[[#This Row],[Count]]&gt;1,",","") &amp;"{"&amp;twoRangesToJSON(NodesData[[#Headers],[id]:[main_class]],NodesData[[#This Row],[id]:[main_class]])&amp;"}"</f>
        <v>,{"id":"nD49E1162_0B31_4FF8_AE38_F35DEBF24A8F","label":"Hand Gestures Recognition Authentication (Concept)","url":"","main_class":"Concept"}</v>
      </c>
    </row>
    <row r="176" spans="1:10" ht="27" thickTop="1" thickBot="1" x14ac:dyDescent="0.4">
      <c r="A176" s="3" t="str" cm="1">
        <f t="array" ref="A176">"n"&amp;SUBSTITUTE(CreateGuidString(),"-","_")</f>
        <v>n97774459_2EC6_4EA7_8F7F_598B2D244437</v>
      </c>
      <c r="B176" s="6" t="str">
        <f>NodesData[[#This Row],[name]]&amp;" ("&amp;NodesData[[#This Row],[main_class]]&amp;")"</f>
        <v>High Water Mark Principle (Concept)</v>
      </c>
      <c r="C176" s="17" t="s">
        <v>827</v>
      </c>
      <c r="D176" s="3" t="s">
        <v>1409</v>
      </c>
      <c r="E176" s="10" t="s">
        <v>826</v>
      </c>
      <c r="F176" s="3">
        <f t="shared" si="2"/>
        <v>174</v>
      </c>
      <c r="G176" s="3">
        <f>COUNTIF(NodesData[label],NodesData[[#This Row],[label]])</f>
        <v>1</v>
      </c>
      <c r="H176" s="3">
        <f>COUNTIF(EdgesData[from],NodesData[[#This Row],[id]])+COUNTIF(EdgesData[to],NodesData[[#This Row],[id]])</f>
        <v>0</v>
      </c>
      <c r="I176" s="3">
        <f>IF(NodesData[[#This Row],[Used]]&gt;0,1,0)</f>
        <v>0</v>
      </c>
      <c r="J176" s="18" t="str" cm="1">
        <f t="array" ref="J176">IF(NodesData[[#This Row],[Count]]&gt;1,",","") &amp;"{"&amp;twoRangesToJSON(NodesData[[#Headers],[id]:[main_class]],NodesData[[#This Row],[id]:[main_class]])&amp;"}"</f>
        <v>,{"id":"n97774459_2EC6_4EA7_8F7F_598B2D244437","label":"High Water Mark Principle (Concept)","url":"https://open-measure.atlassian.net/wiki/spaces/DIC/pages/1177846011","main_class":"Concept"}</v>
      </c>
    </row>
    <row r="177" spans="1:10" ht="27" thickTop="1" thickBot="1" x14ac:dyDescent="0.4">
      <c r="A177" s="3" t="str" cm="1">
        <f t="array" ref="A177">"n"&amp;SUBSTITUTE(CreateGuidString(),"-","_")</f>
        <v>nBAD64612_9589_4AE2_8D8D_949B47D9938A</v>
      </c>
      <c r="B177" s="6" t="str">
        <f>NodesData[[#This Row],[name]]&amp;" ("&amp;NodesData[[#This Row],[main_class]]&amp;")"</f>
        <v>Human Error (Concept)</v>
      </c>
      <c r="C177" s="17" t="s">
        <v>829</v>
      </c>
      <c r="D177" s="3" t="s">
        <v>1409</v>
      </c>
      <c r="E177" s="10" t="s">
        <v>828</v>
      </c>
      <c r="F177" s="3">
        <f t="shared" si="2"/>
        <v>175</v>
      </c>
      <c r="G177" s="3">
        <f>COUNTIF(NodesData[label],NodesData[[#This Row],[label]])</f>
        <v>1</v>
      </c>
      <c r="H177" s="3">
        <f>COUNTIF(EdgesData[from],NodesData[[#This Row],[id]])+COUNTIF(EdgesData[to],NodesData[[#This Row],[id]])</f>
        <v>0</v>
      </c>
      <c r="I177" s="3">
        <f>IF(NodesData[[#This Row],[Used]]&gt;0,1,0)</f>
        <v>0</v>
      </c>
      <c r="J177" s="18" t="str" cm="1">
        <f t="array" ref="J177">IF(NodesData[[#This Row],[Count]]&gt;1,",","") &amp;"{"&amp;twoRangesToJSON(NodesData[[#Headers],[id]:[main_class]],NodesData[[#This Row],[id]:[main_class]])&amp;"}"</f>
        <v>,{"id":"nBAD64612_9589_4AE2_8D8D_949B47D9938A","label":"Human Error (Concept)","url":"https://open-measure.atlassian.net/wiki/spaces/DIC/pages/998047786","main_class":"Concept"}</v>
      </c>
    </row>
    <row r="178" spans="1:10" ht="27" thickTop="1" thickBot="1" x14ac:dyDescent="0.4">
      <c r="A178" s="3" t="str" cm="1">
        <f t="array" ref="A178">"n"&amp;SUBSTITUTE(CreateGuidString(),"-","_")</f>
        <v>n5F506CCE_F374_4967_A297_88D774F70613</v>
      </c>
      <c r="B178" s="6" t="str">
        <f>NodesData[[#This Row],[name]]&amp;" ("&amp;NodesData[[#This Row],[main_class]]&amp;")"</f>
        <v>Human Reliability (Concept)</v>
      </c>
      <c r="C178" s="17" t="s">
        <v>831</v>
      </c>
      <c r="D178" s="3" t="s">
        <v>1409</v>
      </c>
      <c r="E178" s="10" t="s">
        <v>830</v>
      </c>
      <c r="F178" s="3">
        <f t="shared" si="2"/>
        <v>176</v>
      </c>
      <c r="G178" s="3">
        <f>COUNTIF(NodesData[label],NodesData[[#This Row],[label]])</f>
        <v>1</v>
      </c>
      <c r="H178" s="3">
        <f>COUNTIF(EdgesData[from],NodesData[[#This Row],[id]])+COUNTIF(EdgesData[to],NodesData[[#This Row],[id]])</f>
        <v>0</v>
      </c>
      <c r="I178" s="3">
        <f>IF(NodesData[[#This Row],[Used]]&gt;0,1,0)</f>
        <v>0</v>
      </c>
      <c r="J178" s="18" t="str" cm="1">
        <f t="array" ref="J178">IF(NodesData[[#This Row],[Count]]&gt;1,",","") &amp;"{"&amp;twoRangesToJSON(NodesData[[#Headers],[id]:[main_class]],NodesData[[#This Row],[id]:[main_class]])&amp;"}"</f>
        <v>,{"id":"n5F506CCE_F374_4967_A297_88D774F70613","label":"Human Reliability (Concept)","url":"https://open-measure.atlassian.net/wiki/spaces/DIC/pages/998277156","main_class":"Concept"}</v>
      </c>
    </row>
    <row r="179" spans="1:10" ht="27" thickTop="1" thickBot="1" x14ac:dyDescent="0.4">
      <c r="A179" s="3" t="str" cm="1">
        <f t="array" ref="A179">"n"&amp;SUBSTITUTE(CreateGuidString(),"-","_")</f>
        <v>n978FDCC6_E885_4F73_80F7_E66324BE9D21</v>
      </c>
      <c r="B179" s="6" t="str">
        <f>NodesData[[#This Row],[name]]&amp;" ("&amp;NodesData[[#This Row],[main_class]]&amp;")"</f>
        <v>IAG (Acronym)</v>
      </c>
      <c r="C179" s="17" t="s">
        <v>832</v>
      </c>
      <c r="D179" s="3" t="s">
        <v>1301</v>
      </c>
      <c r="E179" s="10" t="s">
        <v>231</v>
      </c>
      <c r="F179" s="3">
        <f t="shared" si="2"/>
        <v>177</v>
      </c>
      <c r="G179" s="3">
        <f>COUNTIF(NodesData[label],NodesData[[#This Row],[label]])</f>
        <v>1</v>
      </c>
      <c r="H179" s="3">
        <f>COUNTIF(EdgesData[from],NodesData[[#This Row],[id]])+COUNTIF(EdgesData[to],NodesData[[#This Row],[id]])</f>
        <v>0</v>
      </c>
      <c r="I179" s="3">
        <f>IF(NodesData[[#This Row],[Used]]&gt;0,1,0)</f>
        <v>0</v>
      </c>
      <c r="J179" s="18" t="str" cm="1">
        <f t="array" ref="J179">IF(NodesData[[#This Row],[Count]]&gt;1,",","") &amp;"{"&amp;twoRangesToJSON(NodesData[[#Headers],[id]:[main_class]],NodesData[[#This Row],[id]:[main_class]])&amp;"}"</f>
        <v>,{"id":"n978FDCC6_E885_4F73_80F7_E66324BE9D21","label":"IAG (Acronym)","url":"https://open-measure.atlassian.net/wiki/spaces/DIC/pages/1572865/IAG","main_class":"Acronym"}</v>
      </c>
    </row>
    <row r="180" spans="1:10" ht="27" thickTop="1" thickBot="1" x14ac:dyDescent="0.4">
      <c r="A180" s="3" t="str" cm="1">
        <f t="array" ref="A180">"n"&amp;SUBSTITUTE(CreateGuidString(),"-","_")</f>
        <v>nABD87D2E_575D_4349_A539_8DED4052D322</v>
      </c>
      <c r="B180" s="6" t="str">
        <f>NodesData[[#This Row],[name]]&amp;" ("&amp;NodesData[[#This Row],[main_class]]&amp;")"</f>
        <v>IAM (Acronym)</v>
      </c>
      <c r="C180" s="17" t="s">
        <v>833</v>
      </c>
      <c r="D180" s="3" t="s">
        <v>1301</v>
      </c>
      <c r="E180" s="10" t="s">
        <v>232</v>
      </c>
      <c r="F180" s="3">
        <f t="shared" si="2"/>
        <v>178</v>
      </c>
      <c r="G180" s="3">
        <f>COUNTIF(NodesData[label],NodesData[[#This Row],[label]])</f>
        <v>1</v>
      </c>
      <c r="H180" s="3">
        <f>COUNTIF(EdgesData[from],NodesData[[#This Row],[id]])+COUNTIF(EdgesData[to],NodesData[[#This Row],[id]])</f>
        <v>0</v>
      </c>
      <c r="I180" s="3">
        <f>IF(NodesData[[#This Row],[Used]]&gt;0,1,0)</f>
        <v>0</v>
      </c>
      <c r="J180" s="18" t="str" cm="1">
        <f t="array" ref="J180">IF(NodesData[[#This Row],[Count]]&gt;1,",","") &amp;"{"&amp;twoRangesToJSON(NodesData[[#Headers],[id]:[main_class]],NodesData[[#This Row],[id]:[main_class]])&amp;"}"</f>
        <v>,{"id":"nABD87D2E_575D_4349_A539_8DED4052D322","label":"IAM (Acronym)","url":"https://open-measure.atlassian.net/wiki/spaces/DIC/pages/1081356/IAM","main_class":"Acronym"}</v>
      </c>
    </row>
    <row r="181" spans="1:10" ht="27" thickTop="1" thickBot="1" x14ac:dyDescent="0.4">
      <c r="A181" s="3" t="str" cm="1">
        <f t="array" ref="A181">"n"&amp;SUBSTITUTE(CreateGuidString(),"-","_")</f>
        <v>nBA565138_BB8F_4B5F_AFD3_98A36B620607</v>
      </c>
      <c r="B181" s="6" t="str">
        <f>NodesData[[#This Row],[name]]&amp;" ("&amp;NodesData[[#This Row],[main_class]]&amp;")"</f>
        <v>IAM ARN (Acronym)</v>
      </c>
      <c r="C181" s="17" t="s">
        <v>835</v>
      </c>
      <c r="D181" s="3" t="s">
        <v>1301</v>
      </c>
      <c r="E181" s="10" t="s">
        <v>834</v>
      </c>
      <c r="F181" s="3">
        <f t="shared" si="2"/>
        <v>179</v>
      </c>
      <c r="G181" s="3">
        <f>COUNTIF(NodesData[label],NodesData[[#This Row],[label]])</f>
        <v>1</v>
      </c>
      <c r="H181" s="3">
        <f>COUNTIF(EdgesData[from],NodesData[[#This Row],[id]])+COUNTIF(EdgesData[to],NodesData[[#This Row],[id]])</f>
        <v>0</v>
      </c>
      <c r="I181" s="3">
        <f>IF(NodesData[[#This Row],[Used]]&gt;0,1,0)</f>
        <v>0</v>
      </c>
      <c r="J181" s="18" t="str" cm="1">
        <f t="array" ref="J181">IF(NodesData[[#This Row],[Count]]&gt;1,",","") &amp;"{"&amp;twoRangesToJSON(NodesData[[#Headers],[id]:[main_class]],NodesData[[#This Row],[id]:[main_class]])&amp;"}"</f>
        <v>,{"id":"nBA565138_BB8F_4B5F_AFD3_98A36B620607","label":"IAM ARN (Acronym)","url":"https://open-measure.atlassian.net/wiki/spaces/DIC/pages/1037926677","main_class":"Acronym"}</v>
      </c>
    </row>
    <row r="182" spans="1:10" ht="27" thickTop="1" thickBot="1" x14ac:dyDescent="0.4">
      <c r="A182" s="3" t="str" cm="1">
        <f t="array" ref="A182">"n"&amp;SUBSTITUTE(CreateGuidString(),"-","_")</f>
        <v>nAD19DCB7_E4F1_4508_A6F3_996F33884DCA</v>
      </c>
      <c r="B182" s="6" t="str">
        <f>NodesData[[#This Row],[name]]&amp;" ("&amp;NodesData[[#This Row],[main_class]]&amp;")"</f>
        <v>IAM Management (Concept)</v>
      </c>
      <c r="C182" s="17" t="s">
        <v>837</v>
      </c>
      <c r="D182" s="3" t="s">
        <v>1409</v>
      </c>
      <c r="E182" s="10" t="s">
        <v>836</v>
      </c>
      <c r="F182" s="3">
        <f t="shared" si="2"/>
        <v>180</v>
      </c>
      <c r="G182" s="3">
        <f>COUNTIF(NodesData[label],NodesData[[#This Row],[label]])</f>
        <v>1</v>
      </c>
      <c r="H182" s="3">
        <f>COUNTIF(EdgesData[from],NodesData[[#This Row],[id]])+COUNTIF(EdgesData[to],NodesData[[#This Row],[id]])</f>
        <v>0</v>
      </c>
      <c r="I182" s="3">
        <f>IF(NodesData[[#This Row],[Used]]&gt;0,1,0)</f>
        <v>0</v>
      </c>
      <c r="J182" s="18" t="str" cm="1">
        <f t="array" ref="J182">IF(NodesData[[#This Row],[Count]]&gt;1,",","") &amp;"{"&amp;twoRangesToJSON(NodesData[[#Headers],[id]:[main_class]],NodesData[[#This Row],[id]:[main_class]])&amp;"}"</f>
        <v>,{"id":"nAD19DCB7_E4F1_4508_A6F3_996F33884DCA","label":"IAM Management (Concept)","url":"https://open-measure.atlassian.net/wiki/spaces/DIC/pages/82838735","main_class":"Concept"}</v>
      </c>
    </row>
    <row r="183" spans="1:10" ht="27" thickTop="1" thickBot="1" x14ac:dyDescent="0.4">
      <c r="A183" s="3" t="str" cm="1">
        <f t="array" ref="A183">"n"&amp;SUBSTITUTE(CreateGuidString(),"-","_")</f>
        <v>n695D1BF7_9B45_4DF7_BB04_AF6671E3C9F5</v>
      </c>
      <c r="B183" s="6" t="str">
        <f>NodesData[[#This Row],[name]]&amp;" ("&amp;NodesData[[#This Row],[main_class]]&amp;")"</f>
        <v>IAP (Acronym)</v>
      </c>
      <c r="C183" s="17" t="s">
        <v>839</v>
      </c>
      <c r="D183" s="3" t="s">
        <v>1301</v>
      </c>
      <c r="E183" s="10" t="s">
        <v>838</v>
      </c>
      <c r="F183" s="3">
        <f t="shared" si="2"/>
        <v>181</v>
      </c>
      <c r="G183" s="3">
        <f>COUNTIF(NodesData[label],NodesData[[#This Row],[label]])</f>
        <v>1</v>
      </c>
      <c r="H183" s="3">
        <f>COUNTIF(EdgesData[from],NodesData[[#This Row],[id]])+COUNTIF(EdgesData[to],NodesData[[#This Row],[id]])</f>
        <v>0</v>
      </c>
      <c r="I183" s="3">
        <f>IF(NodesData[[#This Row],[Used]]&gt;0,1,0)</f>
        <v>0</v>
      </c>
      <c r="J183" s="18" t="str" cm="1">
        <f t="array" ref="J183">IF(NodesData[[#This Row],[Count]]&gt;1,",","") &amp;"{"&amp;twoRangesToJSON(NodesData[[#Headers],[id]:[main_class]],NodesData[[#This Row],[id]:[main_class]])&amp;"}"</f>
        <v>,{"id":"n695D1BF7_9B45_4DF7_BB04_AF6671E3C9F5","label":"IAP (Acronym)","url":"https://open-measure.atlassian.net/wiki/spaces/DIC/pages/234487971","main_class":"Acronym"}</v>
      </c>
    </row>
    <row r="184" spans="1:10" ht="27" thickTop="1" thickBot="1" x14ac:dyDescent="0.4">
      <c r="A184" s="3" t="str" cm="1">
        <f t="array" ref="A184">"n"&amp;SUBSTITUTE(CreateGuidString(),"-","_")</f>
        <v>nB78087DD_FF77_4CDC_BB84_8E206ADA01BA</v>
      </c>
      <c r="B184" s="6" t="str">
        <f>NodesData[[#This Row],[name]]&amp;" ("&amp;NodesData[[#This Row],[main_class]]&amp;")"</f>
        <v>IDaaS (Acronym)</v>
      </c>
      <c r="C184" s="17" t="s">
        <v>841</v>
      </c>
      <c r="D184" s="3" t="s">
        <v>1301</v>
      </c>
      <c r="E184" s="10" t="s">
        <v>840</v>
      </c>
      <c r="F184" s="3">
        <f t="shared" si="2"/>
        <v>182</v>
      </c>
      <c r="G184" s="3">
        <f>COUNTIF(NodesData[label],NodesData[[#This Row],[label]])</f>
        <v>1</v>
      </c>
      <c r="H184" s="3">
        <f>COUNTIF(EdgesData[from],NodesData[[#This Row],[id]])+COUNTIF(EdgesData[to],NodesData[[#This Row],[id]])</f>
        <v>0</v>
      </c>
      <c r="I184" s="3">
        <f>IF(NodesData[[#This Row],[Used]]&gt;0,1,0)</f>
        <v>0</v>
      </c>
      <c r="J184" s="18" t="str" cm="1">
        <f t="array" ref="J184">IF(NodesData[[#This Row],[Count]]&gt;1,",","") &amp;"{"&amp;twoRangesToJSON(NodesData[[#Headers],[id]:[main_class]],NodesData[[#This Row],[id]:[main_class]])&amp;"}"</f>
        <v>,{"id":"nB78087DD_FF77_4CDC_BB84_8E206ADA01BA","label":"IDaaS (Acronym)","url":"https://open-measure.atlassian.net/wiki/spaces/DIC/pages/1149468857","main_class":"Acronym"}</v>
      </c>
    </row>
    <row r="185" spans="1:10" ht="27" thickTop="1" thickBot="1" x14ac:dyDescent="0.4">
      <c r="A185" s="3" t="str" cm="1">
        <f t="array" ref="A185">"n"&amp;SUBSTITUTE(CreateGuidString(),"-","_")</f>
        <v>n6132A994_7A36_45FB_AFA2_1DBF6C29B71E</v>
      </c>
      <c r="B185" s="6" t="str">
        <f>NodesData[[#This Row],[name]]&amp;" ("&amp;NodesData[[#This Row],[main_class]]&amp;")"</f>
        <v>Ideal Type (Concept)</v>
      </c>
      <c r="C185" s="17" t="s">
        <v>843</v>
      </c>
      <c r="D185" s="3" t="s">
        <v>1409</v>
      </c>
      <c r="E185" s="10" t="s">
        <v>842</v>
      </c>
      <c r="F185" s="3">
        <f t="shared" si="2"/>
        <v>183</v>
      </c>
      <c r="G185" s="3">
        <f>COUNTIF(NodesData[label],NodesData[[#This Row],[label]])</f>
        <v>1</v>
      </c>
      <c r="H185" s="3">
        <f>COUNTIF(EdgesData[from],NodesData[[#This Row],[id]])+COUNTIF(EdgesData[to],NodesData[[#This Row],[id]])</f>
        <v>0</v>
      </c>
      <c r="I185" s="3">
        <f>IF(NodesData[[#This Row],[Used]]&gt;0,1,0)</f>
        <v>0</v>
      </c>
      <c r="J185" s="18" t="str" cm="1">
        <f t="array" ref="J185">IF(NodesData[[#This Row],[Count]]&gt;1,",","") &amp;"{"&amp;twoRangesToJSON(NodesData[[#Headers],[id]:[main_class]],NodesData[[#This Row],[id]:[main_class]])&amp;"}"</f>
        <v>,{"id":"n6132A994_7A36_45FB_AFA2_1DBF6C29B71E","label":"Ideal Type (Concept)","url":"https://open-measure.atlassian.net/wiki/spaces/DIC/pages/149356545","main_class":"Concept"}</v>
      </c>
    </row>
    <row r="186" spans="1:10" ht="27" thickTop="1" thickBot="1" x14ac:dyDescent="0.4">
      <c r="A186" s="3" t="str" cm="1">
        <f t="array" ref="A186">"n"&amp;SUBSTITUTE(CreateGuidString(),"-","_")</f>
        <v>n2B04D136_F038_49C3_8EFC_6989E5859515</v>
      </c>
      <c r="B186" s="6" t="str">
        <f>NodesData[[#This Row],[name]]&amp;" ("&amp;NodesData[[#This Row],[main_class]]&amp;")"</f>
        <v>Identification (Concept)</v>
      </c>
      <c r="C186" s="17" t="s">
        <v>845</v>
      </c>
      <c r="D186" s="3" t="s">
        <v>1409</v>
      </c>
      <c r="E186" s="10" t="s">
        <v>844</v>
      </c>
      <c r="F186" s="3">
        <f t="shared" si="2"/>
        <v>184</v>
      </c>
      <c r="G186" s="3">
        <f>COUNTIF(NodesData[label],NodesData[[#This Row],[label]])</f>
        <v>1</v>
      </c>
      <c r="H186" s="3">
        <f>COUNTIF(EdgesData[from],NodesData[[#This Row],[id]])+COUNTIF(EdgesData[to],NodesData[[#This Row],[id]])</f>
        <v>0</v>
      </c>
      <c r="I186" s="3">
        <f>IF(NodesData[[#This Row],[Used]]&gt;0,1,0)</f>
        <v>0</v>
      </c>
      <c r="J186" s="18" t="str" cm="1">
        <f t="array" ref="J186">IF(NodesData[[#This Row],[Count]]&gt;1,",","") &amp;"{"&amp;twoRangesToJSON(NodesData[[#Headers],[id]:[main_class]],NodesData[[#This Row],[id]:[main_class]])&amp;"}"</f>
        <v>,{"id":"n2B04D136_F038_49C3_8EFC_6989E5859515","label":"Identification (Concept)","url":"https://open-measure.atlassian.net/wiki/spaces/DIC/pages/419659837","main_class":"Concept"}</v>
      </c>
    </row>
    <row r="187" spans="1:10" ht="27" thickTop="1" thickBot="1" x14ac:dyDescent="0.4">
      <c r="A187" s="3" t="str" cm="1">
        <f t="array" ref="A187">"n"&amp;SUBSTITUTE(CreateGuidString(),"-","_")</f>
        <v>nE47193E0_B034_4199_862D_D8A2E13B638B</v>
      </c>
      <c r="B187" s="6" t="str">
        <f>NodesData[[#This Row],[name]]&amp;" ("&amp;NodesData[[#This Row],[main_class]]&amp;")"</f>
        <v>Identification System (Concept)</v>
      </c>
      <c r="C187" s="17" t="s">
        <v>847</v>
      </c>
      <c r="D187" s="3" t="s">
        <v>1409</v>
      </c>
      <c r="E187" s="10" t="s">
        <v>846</v>
      </c>
      <c r="F187" s="3">
        <f t="shared" si="2"/>
        <v>185</v>
      </c>
      <c r="G187" s="3">
        <f>COUNTIF(NodesData[label],NodesData[[#This Row],[label]])</f>
        <v>1</v>
      </c>
      <c r="H187" s="3">
        <f>COUNTIF(EdgesData[from],NodesData[[#This Row],[id]])+COUNTIF(EdgesData[to],NodesData[[#This Row],[id]])</f>
        <v>0</v>
      </c>
      <c r="I187" s="3">
        <f>IF(NodesData[[#This Row],[Used]]&gt;0,1,0)</f>
        <v>0</v>
      </c>
      <c r="J187" s="18" t="str" cm="1">
        <f t="array" ref="J187">IF(NodesData[[#This Row],[Count]]&gt;1,",","") &amp;"{"&amp;twoRangesToJSON(NodesData[[#Headers],[id]:[main_class]],NodesData[[#This Row],[id]:[main_class]])&amp;"}"</f>
        <v>,{"id":"nE47193E0_B034_4199_862D_D8A2E13B638B","label":"Identification System (Concept)","url":"https://open-measure.atlassian.net/wiki/spaces/DIC/pages/419758113","main_class":"Concept"}</v>
      </c>
    </row>
    <row r="188" spans="1:10" ht="27" thickTop="1" thickBot="1" x14ac:dyDescent="0.4">
      <c r="A188" s="3" t="str" cm="1">
        <f t="array" ref="A188">"n"&amp;SUBSTITUTE(CreateGuidString(),"-","_")</f>
        <v>nF38CF5E9_FD40_469B_8DA3_D74BF5594EAE</v>
      </c>
      <c r="B188" s="6" t="str">
        <f>NodesData[[#This Row],[name]]&amp;" ("&amp;NodesData[[#This Row],[main_class]]&amp;")"</f>
        <v>Identifier (Concept)</v>
      </c>
      <c r="C188" s="17" t="s">
        <v>849</v>
      </c>
      <c r="D188" s="3" t="s">
        <v>1409</v>
      </c>
      <c r="E188" s="10" t="s">
        <v>848</v>
      </c>
      <c r="F188" s="3">
        <f t="shared" si="2"/>
        <v>186</v>
      </c>
      <c r="G188" s="3">
        <f>COUNTIF(NodesData[label],NodesData[[#This Row],[label]])</f>
        <v>1</v>
      </c>
      <c r="H188" s="3">
        <f>COUNTIF(EdgesData[from],NodesData[[#This Row],[id]])+COUNTIF(EdgesData[to],NodesData[[#This Row],[id]])</f>
        <v>0</v>
      </c>
      <c r="I188" s="3">
        <f>IF(NodesData[[#This Row],[Used]]&gt;0,1,0)</f>
        <v>0</v>
      </c>
      <c r="J188" s="18" t="str" cm="1">
        <f t="array" ref="J188">IF(NodesData[[#This Row],[Count]]&gt;1,",","") &amp;"{"&amp;twoRangesToJSON(NodesData[[#Headers],[id]:[main_class]],NodesData[[#This Row],[id]:[main_class]])&amp;"}"</f>
        <v>,{"id":"nF38CF5E9_FD40_469B_8DA3_D74BF5594EAE","label":"Identifier (Concept)","url":"https://open-measure.atlassian.net/wiki/spaces/DIC/pages/435322922","main_class":"Concept"}</v>
      </c>
    </row>
    <row r="189" spans="1:10" ht="27" thickTop="1" thickBot="1" x14ac:dyDescent="0.4">
      <c r="A189" s="3" t="str" cm="1">
        <f t="array" ref="A189">"n"&amp;SUBSTITUTE(CreateGuidString(),"-","_")</f>
        <v>n1665994F_CE4E_4296_BA51_555CA0847C32</v>
      </c>
      <c r="B189" s="6" t="str">
        <f>NodesData[[#This Row],[name]]&amp;" ("&amp;NodesData[[#This Row],[main_class]]&amp;")"</f>
        <v>Identifier Registry Model (Concept)</v>
      </c>
      <c r="C189" s="17" t="s">
        <v>850</v>
      </c>
      <c r="D189" s="3" t="s">
        <v>1409</v>
      </c>
      <c r="E189" s="10" t="s">
        <v>241</v>
      </c>
      <c r="F189" s="3">
        <f t="shared" si="2"/>
        <v>187</v>
      </c>
      <c r="G189" s="3">
        <f>COUNTIF(NodesData[label],NodesData[[#This Row],[label]])</f>
        <v>1</v>
      </c>
      <c r="H189" s="3">
        <f>COUNTIF(EdgesData[from],NodesData[[#This Row],[id]])+COUNTIF(EdgesData[to],NodesData[[#This Row],[id]])</f>
        <v>0</v>
      </c>
      <c r="I189" s="3">
        <f>IF(NodesData[[#This Row],[Used]]&gt;0,1,0)</f>
        <v>0</v>
      </c>
      <c r="J189" s="18" t="str" cm="1">
        <f t="array" ref="J189">IF(NodesData[[#This Row],[Count]]&gt;1,",","") &amp;"{"&amp;twoRangesToJSON(NodesData[[#Headers],[id]:[main_class]],NodesData[[#This Row],[id]:[main_class]])&amp;"}"</f>
        <v>,{"id":"n1665994F_CE4E_4296_BA51_555CA0847C32","label":"Identifier Registry Model (Concept)","url":"https://open-measure.atlassian.net/wiki/spaces/DIC/pages/1311113273/Identifier+Registry+Model","main_class":"Concept"}</v>
      </c>
    </row>
    <row r="190" spans="1:10" ht="27" thickTop="1" thickBot="1" x14ac:dyDescent="0.4">
      <c r="A190" s="3" t="str" cm="1">
        <f t="array" ref="A190">"n"&amp;SUBSTITUTE(CreateGuidString(),"-","_")</f>
        <v>n9B4B6C68_0359_42F6_91A4_1C8DCE7047EE</v>
      </c>
      <c r="B190" s="6" t="str">
        <f>NodesData[[#This Row],[name]]&amp;" ("&amp;NodesData[[#This Row],[main_class]]&amp;")"</f>
        <v>Identity (Concept)</v>
      </c>
      <c r="C190" s="17" t="s">
        <v>852</v>
      </c>
      <c r="D190" s="3" t="s">
        <v>1409</v>
      </c>
      <c r="E190" s="10" t="s">
        <v>851</v>
      </c>
      <c r="F190" s="3">
        <f t="shared" si="2"/>
        <v>188</v>
      </c>
      <c r="G190" s="3">
        <f>COUNTIF(NodesData[label],NodesData[[#This Row],[label]])</f>
        <v>1</v>
      </c>
      <c r="H190" s="3">
        <f>COUNTIF(EdgesData[from],NodesData[[#This Row],[id]])+COUNTIF(EdgesData[to],NodesData[[#This Row],[id]])</f>
        <v>0</v>
      </c>
      <c r="I190" s="3">
        <f>IF(NodesData[[#This Row],[Used]]&gt;0,1,0)</f>
        <v>0</v>
      </c>
      <c r="J190" s="18" t="str" cm="1">
        <f t="array" ref="J190">IF(NodesData[[#This Row],[Count]]&gt;1,",","") &amp;"{"&amp;twoRangesToJSON(NodesData[[#Headers],[id]:[main_class]],NodesData[[#This Row],[id]:[main_class]])&amp;"}"</f>
        <v>,{"id":"n9B4B6C68_0359_42F6_91A4_1C8DCE7047EE","label":"Identity (Concept)","url":"https://open-measure.atlassian.net/wiki/spaces/DIC/pages/67600948","main_class":"Concept"}</v>
      </c>
    </row>
    <row r="191" spans="1:10" ht="27" thickTop="1" thickBot="1" x14ac:dyDescent="0.4">
      <c r="A191" s="3" t="str" cm="1">
        <f t="array" ref="A191">"n"&amp;SUBSTITUTE(CreateGuidString(),"-","_")</f>
        <v>n6304DDAA_E428_473A_B975_45A333C4AA63</v>
      </c>
      <c r="B191" s="6" t="str">
        <f>NodesData[[#This Row],[name]]&amp;" ("&amp;NodesData[[#This Row],[main_class]]&amp;")"</f>
        <v>Identity Aggregation (Concept)</v>
      </c>
      <c r="C191" s="17" t="s">
        <v>853</v>
      </c>
      <c r="D191" s="3" t="s">
        <v>1409</v>
      </c>
      <c r="E191" s="10" t="s">
        <v>243</v>
      </c>
      <c r="F191" s="3">
        <f t="shared" si="2"/>
        <v>189</v>
      </c>
      <c r="G191" s="3">
        <f>COUNTIF(NodesData[label],NodesData[[#This Row],[label]])</f>
        <v>1</v>
      </c>
      <c r="H191" s="3">
        <f>COUNTIF(EdgesData[from],NodesData[[#This Row],[id]])+COUNTIF(EdgesData[to],NodesData[[#This Row],[id]])</f>
        <v>0</v>
      </c>
      <c r="I191" s="3">
        <f>IF(NodesData[[#This Row],[Used]]&gt;0,1,0)</f>
        <v>0</v>
      </c>
      <c r="J191" s="18" t="str" cm="1">
        <f t="array" ref="J191">IF(NodesData[[#This Row],[Count]]&gt;1,",","") &amp;"{"&amp;twoRangesToJSON(NodesData[[#Headers],[id]:[main_class]],NodesData[[#This Row],[id]:[main_class]])&amp;"}"</f>
        <v>,{"id":"n6304DDAA_E428_473A_B975_45A333C4AA63","label":"Identity Aggregation (Concept)","url":"https://open-measure.atlassian.net/wiki/spaces/DIC/pages/1600618542/Identity+Aggregation","main_class":"Concept"}</v>
      </c>
    </row>
    <row r="192" spans="1:10" ht="27" thickTop="1" thickBot="1" x14ac:dyDescent="0.4">
      <c r="A192" s="3" t="str" cm="1">
        <f t="array" ref="A192">"n"&amp;SUBSTITUTE(CreateGuidString(),"-","_")</f>
        <v>n46953A35_F139_4C3E_89B6_54893DA1EC37</v>
      </c>
      <c r="B192" s="6" t="str">
        <f>NodesData[[#This Row],[name]]&amp;" ("&amp;NodesData[[#This Row],[main_class]]&amp;")"</f>
        <v>Identity and Access Governance (Concept)</v>
      </c>
      <c r="C192" s="17" t="s">
        <v>854</v>
      </c>
      <c r="D192" s="3" t="s">
        <v>1409</v>
      </c>
      <c r="E192" s="10" t="s">
        <v>244</v>
      </c>
      <c r="F192" s="3">
        <f t="shared" si="2"/>
        <v>190</v>
      </c>
      <c r="G192" s="3">
        <f>COUNTIF(NodesData[label],NodesData[[#This Row],[label]])</f>
        <v>1</v>
      </c>
      <c r="H192" s="3">
        <f>COUNTIF(EdgesData[from],NodesData[[#This Row],[id]])+COUNTIF(EdgesData[to],NodesData[[#This Row],[id]])</f>
        <v>0</v>
      </c>
      <c r="I192" s="3">
        <f>IF(NodesData[[#This Row],[Used]]&gt;0,1,0)</f>
        <v>0</v>
      </c>
      <c r="J192" s="18" t="str" cm="1">
        <f t="array" ref="J192">IF(NodesData[[#This Row],[Count]]&gt;1,",","") &amp;"{"&amp;twoRangesToJSON(NodesData[[#Headers],[id]:[main_class]],NodesData[[#This Row],[id]:[main_class]])&amp;"}"</f>
        <v>,{"id":"n46953A35_F139_4C3E_89B6_54893DA1EC37","label":"Identity and Access Governance (Concept)","url":"https://open-measure.atlassian.net/wiki/spaces/DIC/pages/1458176007/Identity+and+Access+Governance","main_class":"Concept"}</v>
      </c>
    </row>
    <row r="193" spans="1:10" ht="27" thickTop="1" thickBot="1" x14ac:dyDescent="0.4">
      <c r="A193" s="3" t="str" cm="1">
        <f t="array" ref="A193">"n"&amp;SUBSTITUTE(CreateGuidString(),"-","_")</f>
        <v>n985C96E5_4A31_42F9_AE51_A78B49A6F2BE</v>
      </c>
      <c r="B193" s="6" t="str">
        <f>NodesData[[#This Row],[name]]&amp;" ("&amp;NodesData[[#This Row],[main_class]]&amp;")"</f>
        <v>Identity and Access Management (Concept)</v>
      </c>
      <c r="C193" s="17" t="s">
        <v>855</v>
      </c>
      <c r="D193" s="3" t="s">
        <v>1409</v>
      </c>
      <c r="E193" s="10" t="s">
        <v>245</v>
      </c>
      <c r="F193" s="3">
        <f t="shared" si="2"/>
        <v>191</v>
      </c>
      <c r="G193" s="3">
        <f>COUNTIF(NodesData[label],NodesData[[#This Row],[label]])</f>
        <v>1</v>
      </c>
      <c r="H193" s="3">
        <f>COUNTIF(EdgesData[from],NodesData[[#This Row],[id]])+COUNTIF(EdgesData[to],NodesData[[#This Row],[id]])</f>
        <v>0</v>
      </c>
      <c r="I193" s="3">
        <f>IF(NodesData[[#This Row],[Used]]&gt;0,1,0)</f>
        <v>0</v>
      </c>
      <c r="J193" s="18" t="str" cm="1">
        <f t="array" ref="J193">IF(NodesData[[#This Row],[Count]]&gt;1,",","") &amp;"{"&amp;twoRangesToJSON(NodesData[[#Headers],[id]:[main_class]],NodesData[[#This Row],[id]:[main_class]])&amp;"}"</f>
        <v>,{"id":"n985C96E5_4A31_42F9_AE51_A78B49A6F2BE","label":"Identity and Access Management (Concept)","url":"https://open-measure.atlassian.net/wiki/spaces/DIC/pages/1409143/Identity+and+Access+Management","main_class":"Concept"}</v>
      </c>
    </row>
    <row r="194" spans="1:10" ht="27" thickTop="1" thickBot="1" x14ac:dyDescent="0.4">
      <c r="A194" s="3" t="str" cm="1">
        <f t="array" ref="A194">"n"&amp;SUBSTITUTE(CreateGuidString(),"-","_")</f>
        <v>n9271EA1A_DCEB_45C7_B2C2_6FA3D56BC103</v>
      </c>
      <c r="B194" s="6" t="str">
        <f>NodesData[[#This Row],[name]]&amp;" ("&amp;NodesData[[#This Row],[main_class]]&amp;")"</f>
        <v>Identity-as-a-Service (Concept)</v>
      </c>
      <c r="C194" s="17" t="s">
        <v>878</v>
      </c>
      <c r="D194" s="3" t="s">
        <v>1409</v>
      </c>
      <c r="E194" s="10" t="s">
        <v>877</v>
      </c>
      <c r="F194" s="3">
        <f t="shared" si="2"/>
        <v>192</v>
      </c>
      <c r="G194" s="3">
        <f>COUNTIF(NodesData[label],NodesData[[#This Row],[label]])</f>
        <v>1</v>
      </c>
      <c r="H194" s="3">
        <f>COUNTIF(EdgesData[from],NodesData[[#This Row],[id]])+COUNTIF(EdgesData[to],NodesData[[#This Row],[id]])</f>
        <v>0</v>
      </c>
      <c r="I194" s="3">
        <f>IF(NodesData[[#This Row],[Used]]&gt;0,1,0)</f>
        <v>0</v>
      </c>
      <c r="J194" s="18" t="str" cm="1">
        <f t="array" ref="J194">IF(NodesData[[#This Row],[Count]]&gt;1,",","") &amp;"{"&amp;twoRangesToJSON(NodesData[[#Headers],[id]:[main_class]],NodesData[[#This Row],[id]:[main_class]])&amp;"}"</f>
        <v>,{"id":"n9271EA1A_DCEB_45C7_B2C2_6FA3D56BC103","label":"Identity-as-a-Service (Concept)","url":"https://open-measure.atlassian.net/wiki/spaces/DIC/pages/1152516217","main_class":"Concept"}</v>
      </c>
    </row>
    <row r="195" spans="1:10" ht="27" thickTop="1" thickBot="1" x14ac:dyDescent="0.4">
      <c r="A195" s="3" t="str" cm="1">
        <f t="array" ref="A195">"n"&amp;SUBSTITUTE(CreateGuidString(),"-","_")</f>
        <v>nAA630351_4C64_479F_AF50_80F56BC0A740</v>
      </c>
      <c r="B195" s="6" t="str">
        <f>NodesData[[#This Row],[name]]&amp;" ("&amp;NodesData[[#This Row],[main_class]]&amp;")"</f>
        <v>Identity Assurance (Concept)</v>
      </c>
      <c r="C195" s="17" t="s">
        <v>856</v>
      </c>
      <c r="D195" s="3" t="s">
        <v>1409</v>
      </c>
      <c r="E195" s="10" t="s">
        <v>247</v>
      </c>
      <c r="F195" s="3">
        <f t="shared" si="2"/>
        <v>193</v>
      </c>
      <c r="G195" s="3">
        <f>COUNTIF(NodesData[label],NodesData[[#This Row],[label]])</f>
        <v>1</v>
      </c>
      <c r="H195" s="3">
        <f>COUNTIF(EdgesData[from],NodesData[[#This Row],[id]])+COUNTIF(EdgesData[to],NodesData[[#This Row],[id]])</f>
        <v>0</v>
      </c>
      <c r="I195" s="3">
        <f>IF(NodesData[[#This Row],[Used]]&gt;0,1,0)</f>
        <v>0</v>
      </c>
      <c r="J195" s="18" t="str" cm="1">
        <f t="array" ref="J195">IF(NodesData[[#This Row],[Count]]&gt;1,",","") &amp;"{"&amp;twoRangesToJSON(NodesData[[#Headers],[id]:[main_class]],NodesData[[#This Row],[id]:[main_class]])&amp;"}"</f>
        <v>,{"id":"nAA630351_4C64_479F_AF50_80F56BC0A740","label":"Identity Assurance (Concept)","url":"https://open-measure.atlassian.net/wiki/spaces/DIC/pages/1600749655/Identity+Assurance","main_class":"Concept"}</v>
      </c>
    </row>
    <row r="196" spans="1:10" ht="27" thickTop="1" thickBot="1" x14ac:dyDescent="0.4">
      <c r="A196" s="3" t="str" cm="1">
        <f t="array" ref="A196">"n"&amp;SUBSTITUTE(CreateGuidString(),"-","_")</f>
        <v>nBC71C085_5B5D_43E5_A392_CA828DD04175</v>
      </c>
      <c r="B196" s="6" t="str">
        <f>NodesData[[#This Row],[name]]&amp;" ("&amp;NodesData[[#This Row],[main_class]]&amp;")"</f>
        <v>Identity Attribute (Concept)</v>
      </c>
      <c r="C196" s="17" t="s">
        <v>858</v>
      </c>
      <c r="D196" s="3" t="s">
        <v>1409</v>
      </c>
      <c r="E196" s="10" t="s">
        <v>857</v>
      </c>
      <c r="F196" s="3">
        <f t="shared" si="2"/>
        <v>194</v>
      </c>
      <c r="G196" s="3">
        <f>COUNTIF(NodesData[label],NodesData[[#This Row],[label]])</f>
        <v>1</v>
      </c>
      <c r="H196" s="3">
        <f>COUNTIF(EdgesData[from],NodesData[[#This Row],[id]])+COUNTIF(EdgesData[to],NodesData[[#This Row],[id]])</f>
        <v>0</v>
      </c>
      <c r="I196" s="3">
        <f>IF(NodesData[[#This Row],[Used]]&gt;0,1,0)</f>
        <v>0</v>
      </c>
      <c r="J196" s="18" t="str" cm="1">
        <f t="array" ref="J196">IF(NodesData[[#This Row],[Count]]&gt;1,",","") &amp;"{"&amp;twoRangesToJSON(NodesData[[#Headers],[id]:[main_class]],NodesData[[#This Row],[id]:[main_class]])&amp;"}"</f>
        <v>,{"id":"nBC71C085_5B5D_43E5_A392_CA828DD04175","label":"Identity Attribute (Concept)","url":"https://open-measure.atlassian.net/wiki/spaces/DIC/pages/82903275","main_class":"Concept"}</v>
      </c>
    </row>
    <row r="197" spans="1:10" ht="27" thickTop="1" thickBot="1" x14ac:dyDescent="0.4">
      <c r="A197" s="3" t="str" cm="1">
        <f t="array" ref="A197">"n"&amp;SUBSTITUTE(CreateGuidString(),"-","_")</f>
        <v>n155C4829_9D87_45CF_A60B_4B03F92A7C29</v>
      </c>
      <c r="B197" s="6" t="str">
        <f>NodesData[[#This Row],[name]]&amp;" ("&amp;NodesData[[#This Row],[main_class]]&amp;")"</f>
        <v>Identity-Aware Proxy (Concept)</v>
      </c>
      <c r="C197" s="17" t="s">
        <v>880</v>
      </c>
      <c r="D197" s="3" t="s">
        <v>1409</v>
      </c>
      <c r="E197" s="10" t="s">
        <v>879</v>
      </c>
      <c r="F197" s="3">
        <f t="shared" ref="F197:F260" si="3">F196+1</f>
        <v>195</v>
      </c>
      <c r="G197" s="3">
        <f>COUNTIF(NodesData[label],NodesData[[#This Row],[label]])</f>
        <v>1</v>
      </c>
      <c r="H197" s="3">
        <f>COUNTIF(EdgesData[from],NodesData[[#This Row],[id]])+COUNTIF(EdgesData[to],NodesData[[#This Row],[id]])</f>
        <v>0</v>
      </c>
      <c r="I197" s="3">
        <f>IF(NodesData[[#This Row],[Used]]&gt;0,1,0)</f>
        <v>0</v>
      </c>
      <c r="J197" s="18" t="str" cm="1">
        <f t="array" ref="J197">IF(NodesData[[#This Row],[Count]]&gt;1,",","") &amp;"{"&amp;twoRangesToJSON(NodesData[[#Headers],[id]:[main_class]],NodesData[[#This Row],[id]:[main_class]])&amp;"}"</f>
        <v>,{"id":"n155C4829_9D87_45CF_A60B_4B03F92A7C29","label":"Identity-Aware Proxy (Concept)","url":"https://open-measure.atlassian.net/wiki/spaces/DIC/pages/236748873","main_class":"Concept"}</v>
      </c>
    </row>
    <row r="198" spans="1:10" ht="27" thickTop="1" thickBot="1" x14ac:dyDescent="0.4">
      <c r="A198" s="3" t="str" cm="1">
        <f t="array" ref="A198">"n"&amp;SUBSTITUTE(CreateGuidString(),"-","_")</f>
        <v>n246FD47B_0D2D_456C_94D1_FA079236D5AB</v>
      </c>
      <c r="B198" s="6" t="str">
        <f>NodesData[[#This Row],[name]]&amp;" ("&amp;NodesData[[#This Row],[main_class]]&amp;")"</f>
        <v>Identity Establishment (Concept)</v>
      </c>
      <c r="C198" s="17" t="s">
        <v>859</v>
      </c>
      <c r="D198" s="3" t="s">
        <v>1409</v>
      </c>
      <c r="E198" s="10" t="s">
        <v>250</v>
      </c>
      <c r="F198" s="3">
        <f t="shared" si="3"/>
        <v>196</v>
      </c>
      <c r="G198" s="3">
        <f>COUNTIF(NodesData[label],NodesData[[#This Row],[label]])</f>
        <v>1</v>
      </c>
      <c r="H198" s="3">
        <f>COUNTIF(EdgesData[from],NodesData[[#This Row],[id]])+COUNTIF(EdgesData[to],NodesData[[#This Row],[id]])</f>
        <v>0</v>
      </c>
      <c r="I198" s="3">
        <f>IF(NodesData[[#This Row],[Used]]&gt;0,1,0)</f>
        <v>0</v>
      </c>
      <c r="J198" s="18" t="str" cm="1">
        <f t="array" ref="J198">IF(NodesData[[#This Row],[Count]]&gt;1,",","") &amp;"{"&amp;twoRangesToJSON(NodesData[[#Headers],[id]:[main_class]],NodesData[[#This Row],[id]:[main_class]])&amp;"}"</f>
        <v>,{"id":"n246FD47B_0D2D_456C_94D1_FA079236D5AB","label":"Identity Establishment (Concept)","url":"https://open-measure.atlassian.net/wiki/spaces/DIC/pages/123896632/Identity+Establishment","main_class":"Concept"}</v>
      </c>
    </row>
    <row r="199" spans="1:10" ht="27" thickTop="1" thickBot="1" x14ac:dyDescent="0.4">
      <c r="A199" s="3" t="str" cm="1">
        <f t="array" ref="A199">"n"&amp;SUBSTITUTE(CreateGuidString(),"-","_")</f>
        <v>n1E2E2025_6F21_467B_AD79_B1C106D4CF8E</v>
      </c>
      <c r="B199" s="6" t="str">
        <f>NodesData[[#This Row],[name]]&amp;" ("&amp;NodesData[[#This Row],[main_class]]&amp;")"</f>
        <v>Identity Federation (Concept)</v>
      </c>
      <c r="C199" s="17" t="s">
        <v>860</v>
      </c>
      <c r="D199" s="3" t="s">
        <v>1409</v>
      </c>
      <c r="E199" s="10" t="s">
        <v>251</v>
      </c>
      <c r="F199" s="3">
        <f t="shared" si="3"/>
        <v>197</v>
      </c>
      <c r="G199" s="3">
        <f>COUNTIF(NodesData[label],NodesData[[#This Row],[label]])</f>
        <v>1</v>
      </c>
      <c r="H199" s="3">
        <f>COUNTIF(EdgesData[from],NodesData[[#This Row],[id]])+COUNTIF(EdgesData[to],NodesData[[#This Row],[id]])</f>
        <v>0</v>
      </c>
      <c r="I199" s="3">
        <f>IF(NodesData[[#This Row],[Used]]&gt;0,1,0)</f>
        <v>0</v>
      </c>
      <c r="J199" s="18" t="str" cm="1">
        <f t="array" ref="J199">IF(NodesData[[#This Row],[Count]]&gt;1,",","") &amp;"{"&amp;twoRangesToJSON(NodesData[[#Headers],[id]:[main_class]],NodesData[[#This Row],[id]:[main_class]])&amp;"}"</f>
        <v>,{"id":"n1E2E2025_6F21_467B_AD79_B1C106D4CF8E","label":"Identity Federation (Concept)","url":"https://open-measure.atlassian.net/wiki/spaces/DIC/pages/336035929/Identity+Federation","main_class":"Concept"}</v>
      </c>
    </row>
    <row r="200" spans="1:10" ht="27" thickTop="1" thickBot="1" x14ac:dyDescent="0.4">
      <c r="A200" s="3" t="str" cm="1">
        <f t="array" ref="A200">"n"&amp;SUBSTITUTE(CreateGuidString(),"-","_")</f>
        <v>nE0AF91D5_8E64_49F8_AE2B_1B56017BCFBF</v>
      </c>
      <c r="B200" s="6" t="str">
        <f>NodesData[[#This Row],[name]]&amp;" ("&amp;NodesData[[#This Row],[main_class]]&amp;")"</f>
        <v>Identity Guardian (Concept)</v>
      </c>
      <c r="C200" s="17" t="s">
        <v>861</v>
      </c>
      <c r="D200" s="3" t="s">
        <v>1409</v>
      </c>
      <c r="E200" s="10" t="s">
        <v>252</v>
      </c>
      <c r="F200" s="3">
        <f t="shared" si="3"/>
        <v>198</v>
      </c>
      <c r="G200" s="3">
        <f>COUNTIF(NodesData[label],NodesData[[#This Row],[label]])</f>
        <v>1</v>
      </c>
      <c r="H200" s="3">
        <f>COUNTIF(EdgesData[from],NodesData[[#This Row],[id]])+COUNTIF(EdgesData[to],NodesData[[#This Row],[id]])</f>
        <v>0</v>
      </c>
      <c r="I200" s="3">
        <f>IF(NodesData[[#This Row],[Used]]&gt;0,1,0)</f>
        <v>0</v>
      </c>
      <c r="J200" s="18" t="str" cm="1">
        <f t="array" ref="J200">IF(NodesData[[#This Row],[Count]]&gt;1,",","") &amp;"{"&amp;twoRangesToJSON(NodesData[[#Headers],[id]:[main_class]],NodesData[[#This Row],[id]:[main_class]])&amp;"}"</f>
        <v>,{"id":"nE0AF91D5_8E64_49F8_AE2B_1B56017BCFBF","label":"Identity Guardian (Concept)","url":"https://open-measure.atlassian.net/wiki/spaces/DIC/pages/1323597918/Identity+Guardian","main_class":"Concept"}</v>
      </c>
    </row>
    <row r="201" spans="1:10" ht="27" thickTop="1" thickBot="1" x14ac:dyDescent="0.4">
      <c r="A201" s="3" t="str" cm="1">
        <f t="array" ref="A201">"n"&amp;SUBSTITUTE(CreateGuidString(),"-","_")</f>
        <v>nBDFC651C_601B_4779_A149_540DD5B7A393</v>
      </c>
      <c r="B201" s="6" t="str">
        <f>NodesData[[#This Row],[name]]&amp;" ("&amp;NodesData[[#This Row],[main_class]]&amp;")"</f>
        <v>Identity Lifecycle (Concept)</v>
      </c>
      <c r="C201" s="17" t="s">
        <v>863</v>
      </c>
      <c r="D201" s="3" t="s">
        <v>1409</v>
      </c>
      <c r="E201" s="10" t="s">
        <v>862</v>
      </c>
      <c r="F201" s="3">
        <f t="shared" si="3"/>
        <v>199</v>
      </c>
      <c r="G201" s="3">
        <f>COUNTIF(NodesData[label],NodesData[[#This Row],[label]])</f>
        <v>1</v>
      </c>
      <c r="H201" s="3">
        <f>COUNTIF(EdgesData[from],NodesData[[#This Row],[id]])+COUNTIF(EdgesData[to],NodesData[[#This Row],[id]])</f>
        <v>0</v>
      </c>
      <c r="I201" s="3">
        <f>IF(NodesData[[#This Row],[Used]]&gt;0,1,0)</f>
        <v>0</v>
      </c>
      <c r="J201" s="18" t="str" cm="1">
        <f t="array" ref="J201">IF(NodesData[[#This Row],[Count]]&gt;1,",","") &amp;"{"&amp;twoRangesToJSON(NodesData[[#Headers],[id]:[main_class]],NodesData[[#This Row],[id]:[main_class]])&amp;"}"</f>
        <v>,{"id":"nBDFC651C_601B_4779_A149_540DD5B7A393","label":"Identity Lifecycle (Concept)","url":"https://open-measure.atlassian.net/wiki/spaces/DIC/pages/67600436","main_class":"Concept"}</v>
      </c>
    </row>
    <row r="202" spans="1:10" ht="27" thickTop="1" thickBot="1" x14ac:dyDescent="0.4">
      <c r="A202" s="3" t="str" cm="1">
        <f t="array" ref="A202">"n"&amp;SUBSTITUTE(CreateGuidString(),"-","_")</f>
        <v>n1104FC7C_C63A_42A7_94D2_F2F5E0B38246</v>
      </c>
      <c r="B202" s="6" t="str">
        <f>NodesData[[#This Row],[name]]&amp;" ("&amp;NodesData[[#This Row],[main_class]]&amp;")"</f>
        <v>Identity Management (Concept)</v>
      </c>
      <c r="C202" s="17" t="s">
        <v>865</v>
      </c>
      <c r="D202" s="3" t="s">
        <v>1409</v>
      </c>
      <c r="E202" s="10" t="s">
        <v>864</v>
      </c>
      <c r="F202" s="3">
        <f t="shared" si="3"/>
        <v>200</v>
      </c>
      <c r="G202" s="3">
        <f>COUNTIF(NodesData[label],NodesData[[#This Row],[label]])</f>
        <v>1</v>
      </c>
      <c r="H202" s="3">
        <f>COUNTIF(EdgesData[from],NodesData[[#This Row],[id]])+COUNTIF(EdgesData[to],NodesData[[#This Row],[id]])</f>
        <v>0</v>
      </c>
      <c r="I202" s="3">
        <f>IF(NodesData[[#This Row],[Used]]&gt;0,1,0)</f>
        <v>0</v>
      </c>
      <c r="J202" s="18" t="str" cm="1">
        <f t="array" ref="J202">IF(NodesData[[#This Row],[Count]]&gt;1,",","") &amp;"{"&amp;twoRangesToJSON(NodesData[[#Headers],[id]:[main_class]],NodesData[[#This Row],[id]:[main_class]])&amp;"}"</f>
        <v>,{"id":"n1104FC7C_C63A_42A7_94D2_F2F5E0B38246","label":"Identity Management (Concept)","url":"https://open-measure.atlassian.net/wiki/spaces/DIC/pages/1122533530","main_class":"Concept"}</v>
      </c>
    </row>
    <row r="203" spans="1:10" ht="27" thickTop="1" thickBot="1" x14ac:dyDescent="0.4">
      <c r="A203" s="3" t="str" cm="1">
        <f t="array" ref="A203">"n"&amp;SUBSTITUTE(CreateGuidString(),"-","_")</f>
        <v>nC8905360_C540_40E0_96E3_CDFE93ECA0D7</v>
      </c>
      <c r="B203" s="6" t="str">
        <f>NodesData[[#This Row],[name]]&amp;" ("&amp;NodesData[[#This Row],[main_class]]&amp;")"</f>
        <v>Identity Management System (Concept)</v>
      </c>
      <c r="C203" s="17" t="s">
        <v>867</v>
      </c>
      <c r="D203" s="3" t="s">
        <v>1409</v>
      </c>
      <c r="E203" s="10" t="s">
        <v>866</v>
      </c>
      <c r="F203" s="3">
        <f t="shared" si="3"/>
        <v>201</v>
      </c>
      <c r="G203" s="3">
        <f>COUNTIF(NodesData[label],NodesData[[#This Row],[label]])</f>
        <v>1</v>
      </c>
      <c r="H203" s="3">
        <f>COUNTIF(EdgesData[from],NodesData[[#This Row],[id]])+COUNTIF(EdgesData[to],NodesData[[#This Row],[id]])</f>
        <v>0</v>
      </c>
      <c r="I203" s="3">
        <f>IF(NodesData[[#This Row],[Used]]&gt;0,1,0)</f>
        <v>0</v>
      </c>
      <c r="J203" s="18" t="str" cm="1">
        <f t="array" ref="J203">IF(NodesData[[#This Row],[Count]]&gt;1,",","") &amp;"{"&amp;twoRangesToJSON(NodesData[[#Headers],[id]:[main_class]],NodesData[[#This Row],[id]:[main_class]])&amp;"}"</f>
        <v>,{"id":"nC8905360_C540_40E0_96E3_CDFE93ECA0D7","label":"Identity Management System (Concept)","url":"https://open-measure.atlassian.net/wiki/spaces/DIC/pages/1146847286","main_class":"Concept"}</v>
      </c>
    </row>
    <row r="204" spans="1:10" ht="27" thickTop="1" thickBot="1" x14ac:dyDescent="0.4">
      <c r="A204" s="3" t="str" cm="1">
        <f t="array" ref="A204">"n"&amp;SUBSTITUTE(CreateGuidString(),"-","_")</f>
        <v>n06CAAB68_4DEC_44C5_9FDF_EA0EBC88D4A7</v>
      </c>
      <c r="B204" s="6" t="str">
        <f>NodesData[[#This Row],[name]]&amp;" ("&amp;NodesData[[#This Row],[main_class]]&amp;")"</f>
        <v>Identity Portability (Concept)</v>
      </c>
      <c r="C204" s="17" t="s">
        <v>868</v>
      </c>
      <c r="D204" s="3" t="s">
        <v>1409</v>
      </c>
      <c r="E204" s="10" t="s">
        <v>256</v>
      </c>
      <c r="F204" s="3">
        <f t="shared" si="3"/>
        <v>202</v>
      </c>
      <c r="G204" s="3">
        <f>COUNTIF(NodesData[label],NodesData[[#This Row],[label]])</f>
        <v>1</v>
      </c>
      <c r="H204" s="3">
        <f>COUNTIF(EdgesData[from],NodesData[[#This Row],[id]])+COUNTIF(EdgesData[to],NodesData[[#This Row],[id]])</f>
        <v>0</v>
      </c>
      <c r="I204" s="3">
        <f>IF(NodesData[[#This Row],[Used]]&gt;0,1,0)</f>
        <v>0</v>
      </c>
      <c r="J204" s="18" t="str" cm="1">
        <f t="array" ref="J204">IF(NodesData[[#This Row],[Count]]&gt;1,",","") &amp;"{"&amp;twoRangesToJSON(NodesData[[#Headers],[id]:[main_class]],NodesData[[#This Row],[id]:[main_class]])&amp;"}"</f>
        <v>,{"id":"n06CAAB68_4DEC_44C5_9FDF_EA0EBC88D4A7","label":"Identity Portability (Concept)","url":"https://open-measure.atlassian.net/wiki/spaces/DIC/pages/1323434004/Identity+Portability","main_class":"Concept"}</v>
      </c>
    </row>
    <row r="205" spans="1:10" ht="27" thickTop="1" thickBot="1" x14ac:dyDescent="0.4">
      <c r="A205" s="3" t="str" cm="1">
        <f t="array" ref="A205">"n"&amp;SUBSTITUTE(CreateGuidString(),"-","_")</f>
        <v>n714B2761_6524_422E_911C_228C7A8E109A</v>
      </c>
      <c r="B205" s="6" t="str">
        <f>NodesData[[#This Row],[name]]&amp;" ("&amp;NodesData[[#This Row],[main_class]]&amp;")"</f>
        <v>Identity Proofing (Concept)</v>
      </c>
      <c r="C205" s="17" t="s">
        <v>870</v>
      </c>
      <c r="D205" s="3" t="s">
        <v>1409</v>
      </c>
      <c r="E205" s="10" t="s">
        <v>869</v>
      </c>
      <c r="F205" s="3">
        <f t="shared" si="3"/>
        <v>203</v>
      </c>
      <c r="G205" s="3">
        <f>COUNTIF(NodesData[label],NodesData[[#This Row],[label]])</f>
        <v>1</v>
      </c>
      <c r="H205" s="3">
        <f>COUNTIF(EdgesData[from],NodesData[[#This Row],[id]])+COUNTIF(EdgesData[to],NodesData[[#This Row],[id]])</f>
        <v>0</v>
      </c>
      <c r="I205" s="3">
        <f>IF(NodesData[[#This Row],[Used]]&gt;0,1,0)</f>
        <v>0</v>
      </c>
      <c r="J205" s="18" t="str" cm="1">
        <f t="array" ref="J205">IF(NodesData[[#This Row],[Count]]&gt;1,",","") &amp;"{"&amp;twoRangesToJSON(NodesData[[#Headers],[id]:[main_class]],NodesData[[#This Row],[id]:[main_class]])&amp;"}"</f>
        <v>,{"id":"n714B2761_6524_422E_911C_228C7A8E109A","label":"Identity Proofing (Concept)","url":"https://open-measure.atlassian.net/wiki/spaces/DIC/pages/858522094","main_class":"Concept"}</v>
      </c>
    </row>
    <row r="206" spans="1:10" ht="27" thickTop="1" thickBot="1" x14ac:dyDescent="0.4">
      <c r="A206" s="3" t="str" cm="1">
        <f t="array" ref="A206">"n"&amp;SUBSTITUTE(CreateGuidString(),"-","_")</f>
        <v>n1C53EEA2_8997_43ED_93E8_FD186C4BDBAA</v>
      </c>
      <c r="B206" s="6" t="str">
        <f>NodesData[[#This Row],[name]]&amp;" ("&amp;NodesData[[#This Row],[main_class]]&amp;")"</f>
        <v>Identity Propagation (Concept)</v>
      </c>
      <c r="C206" s="17" t="s">
        <v>872</v>
      </c>
      <c r="D206" s="3" t="s">
        <v>1409</v>
      </c>
      <c r="E206" s="10" t="s">
        <v>871</v>
      </c>
      <c r="F206" s="3">
        <f t="shared" si="3"/>
        <v>204</v>
      </c>
      <c r="G206" s="3">
        <f>COUNTIF(NodesData[label],NodesData[[#This Row],[label]])</f>
        <v>1</v>
      </c>
      <c r="H206" s="3">
        <f>COUNTIF(EdgesData[from],NodesData[[#This Row],[id]])+COUNTIF(EdgesData[to],NodesData[[#This Row],[id]])</f>
        <v>0</v>
      </c>
      <c r="I206" s="3">
        <f>IF(NodesData[[#This Row],[Used]]&gt;0,1,0)</f>
        <v>0</v>
      </c>
      <c r="J206" s="18" t="str" cm="1">
        <f t="array" ref="J206">IF(NodesData[[#This Row],[Count]]&gt;1,",","") &amp;"{"&amp;twoRangesToJSON(NodesData[[#Headers],[id]:[main_class]],NodesData[[#This Row],[id]:[main_class]])&amp;"}"</f>
        <v>,{"id":"n1C53EEA2_8997_43ED_93E8_FD186C4BDBAA","label":"Identity Propagation (Concept)","url":"https://open-measure.atlassian.net/wiki/spaces/DIC/pages/810254353","main_class":"Concept"}</v>
      </c>
    </row>
    <row r="207" spans="1:10" ht="27" thickTop="1" thickBot="1" x14ac:dyDescent="0.4">
      <c r="A207" s="3" t="str" cm="1">
        <f t="array" ref="A207">"n"&amp;SUBSTITUTE(CreateGuidString(),"-","_")</f>
        <v>nE440D6C1_006A_4F3D_B4B7_A3629ADCEC14</v>
      </c>
      <c r="B207" s="6" t="str">
        <f>NodesData[[#This Row],[name]]&amp;" ("&amp;NodesData[[#This Row],[main_class]]&amp;")"</f>
        <v>Identity Provider (Concept)</v>
      </c>
      <c r="C207" s="17" t="s">
        <v>874</v>
      </c>
      <c r="D207" s="3" t="s">
        <v>1409</v>
      </c>
      <c r="E207" s="10" t="s">
        <v>873</v>
      </c>
      <c r="F207" s="3">
        <f t="shared" si="3"/>
        <v>205</v>
      </c>
      <c r="G207" s="3">
        <f>COUNTIF(NodesData[label],NodesData[[#This Row],[label]])</f>
        <v>1</v>
      </c>
      <c r="H207" s="3">
        <f>COUNTIF(EdgesData[from],NodesData[[#This Row],[id]])+COUNTIF(EdgesData[to],NodesData[[#This Row],[id]])</f>
        <v>0</v>
      </c>
      <c r="I207" s="3">
        <f>IF(NodesData[[#This Row],[Used]]&gt;0,1,0)</f>
        <v>0</v>
      </c>
      <c r="J207" s="18" t="str" cm="1">
        <f t="array" ref="J207">IF(NodesData[[#This Row],[Count]]&gt;1,",","") &amp;"{"&amp;twoRangesToJSON(NodesData[[#Headers],[id]:[main_class]],NodesData[[#This Row],[id]:[main_class]])&amp;"}"</f>
        <v>,{"id":"nE440D6C1_006A_4F3D_B4B7_A3629ADCEC14","label":"Identity Provider (Concept)","url":"https://open-measure.atlassian.net/wiki/spaces/DIC/pages/82838020","main_class":"Concept"}</v>
      </c>
    </row>
    <row r="208" spans="1:10" ht="27" thickTop="1" thickBot="1" x14ac:dyDescent="0.4">
      <c r="A208" s="3" t="str" cm="1">
        <f t="array" ref="A208">"n"&amp;SUBSTITUTE(CreateGuidString(),"-","_")</f>
        <v>nBC0A7DB6_B050_47A7_AA30_F0FF59CC9F4D</v>
      </c>
      <c r="B208" s="6" t="str">
        <f>NodesData[[#This Row],[name]]&amp;" ("&amp;NodesData[[#This Row],[main_class]]&amp;")"</f>
        <v>Identity Repository (Concept)</v>
      </c>
      <c r="C208" s="17" t="s">
        <v>876</v>
      </c>
      <c r="D208" s="3" t="s">
        <v>1409</v>
      </c>
      <c r="E208" s="10" t="s">
        <v>875</v>
      </c>
      <c r="F208" s="3">
        <f t="shared" si="3"/>
        <v>206</v>
      </c>
      <c r="G208" s="3">
        <f>COUNTIF(NodesData[label],NodesData[[#This Row],[label]])</f>
        <v>1</v>
      </c>
      <c r="H208" s="3">
        <f>COUNTIF(EdgesData[from],NodesData[[#This Row],[id]])+COUNTIF(EdgesData[to],NodesData[[#This Row],[id]])</f>
        <v>0</v>
      </c>
      <c r="I208" s="3">
        <f>IF(NodesData[[#This Row],[Used]]&gt;0,1,0)</f>
        <v>0</v>
      </c>
      <c r="J208" s="18" t="str" cm="1">
        <f t="array" ref="J208">IF(NodesData[[#This Row],[Count]]&gt;1,",","") &amp;"{"&amp;twoRangesToJSON(NodesData[[#Headers],[id]:[main_class]],NodesData[[#This Row],[id]:[main_class]])&amp;"}"</f>
        <v>,{"id":"nBC0A7DB6_B050_47A7_AA30_F0FF59CC9F4D","label":"Identity Repository (Concept)","url":"https://open-measure.atlassian.net/wiki/spaces/DIC/pages/1117913089","main_class":"Concept"}</v>
      </c>
    </row>
    <row r="209" spans="1:10" ht="27" thickTop="1" thickBot="1" x14ac:dyDescent="0.4">
      <c r="A209" s="3" t="str" cm="1">
        <f t="array" ref="A209">"n"&amp;SUBSTITUTE(CreateGuidString(),"-","_")</f>
        <v>nA8FFDEAD_DC7C_4212_933A_3B5E4B9F7590</v>
      </c>
      <c r="B209" s="6" t="str">
        <f>NodesData[[#This Row],[name]]&amp;" ("&amp;NodesData[[#This Row],[main_class]]&amp;")"</f>
        <v>IdMS (Acronym)</v>
      </c>
      <c r="C209" s="17" t="s">
        <v>882</v>
      </c>
      <c r="D209" s="3" t="s">
        <v>1301</v>
      </c>
      <c r="E209" s="10" t="s">
        <v>881</v>
      </c>
      <c r="F209" s="3">
        <f t="shared" si="3"/>
        <v>207</v>
      </c>
      <c r="G209" s="3">
        <f>COUNTIF(NodesData[label],NodesData[[#This Row],[label]])</f>
        <v>1</v>
      </c>
      <c r="H209" s="3">
        <f>COUNTIF(EdgesData[from],NodesData[[#This Row],[id]])+COUNTIF(EdgesData[to],NodesData[[#This Row],[id]])</f>
        <v>0</v>
      </c>
      <c r="I209" s="3">
        <f>IF(NodesData[[#This Row],[Used]]&gt;0,1,0)</f>
        <v>0</v>
      </c>
      <c r="J209" s="18" t="str" cm="1">
        <f t="array" ref="J209">IF(NodesData[[#This Row],[Count]]&gt;1,",","") &amp;"{"&amp;twoRangesToJSON(NodesData[[#Headers],[id]:[main_class]],NodesData[[#This Row],[id]:[main_class]])&amp;"}"</f>
        <v>,{"id":"nA8FFDEAD_DC7C_4212_933A_3B5E4B9F7590","label":"IdMS (Acronym)","url":"https://open-measure.atlassian.net/wiki/spaces/DIC/pages/1147043904","main_class":"Acronym"}</v>
      </c>
    </row>
    <row r="210" spans="1:10" ht="27" thickTop="1" thickBot="1" x14ac:dyDescent="0.4">
      <c r="A210" s="3" t="str" cm="1">
        <f t="array" ref="A210">"n"&amp;SUBSTITUTE(CreateGuidString(),"-","_")</f>
        <v>n6622B3A1_A219_4AFB_9FD8_3A3DFB3EEAC0</v>
      </c>
      <c r="B210" s="6" t="str">
        <f>NodesData[[#This Row],[name]]&amp;" ("&amp;NodesData[[#This Row],[main_class]]&amp;")"</f>
        <v>IdP (Acronym)</v>
      </c>
      <c r="C210" s="17" t="s">
        <v>884</v>
      </c>
      <c r="D210" s="3" t="s">
        <v>1301</v>
      </c>
      <c r="E210" s="10" t="s">
        <v>883</v>
      </c>
      <c r="F210" s="3">
        <f t="shared" si="3"/>
        <v>208</v>
      </c>
      <c r="G210" s="3">
        <f>COUNTIF(NodesData[label],NodesData[[#This Row],[label]])</f>
        <v>1</v>
      </c>
      <c r="H210" s="3">
        <f>COUNTIF(EdgesData[from],NodesData[[#This Row],[id]])+COUNTIF(EdgesData[to],NodesData[[#This Row],[id]])</f>
        <v>0</v>
      </c>
      <c r="I210" s="3">
        <f>IF(NodesData[[#This Row],[Used]]&gt;0,1,0)</f>
        <v>0</v>
      </c>
      <c r="J210" s="18" t="str" cm="1">
        <f t="array" ref="J210">IF(NodesData[[#This Row],[Count]]&gt;1,",","") &amp;"{"&amp;twoRangesToJSON(NodesData[[#Headers],[id]:[main_class]],NodesData[[#This Row],[id]:[main_class]])&amp;"}"</f>
        <v>,{"id":"n6622B3A1_A219_4AFB_9FD8_3A3DFB3EEAC0","label":"IdP (Acronym)","url":"https://open-measure.atlassian.net/wiki/spaces/DIC/pages/81101362","main_class":"Acronym"}</v>
      </c>
    </row>
    <row r="211" spans="1:10" ht="27" thickTop="1" thickBot="1" x14ac:dyDescent="0.4">
      <c r="A211" s="3" t="str" cm="1">
        <f t="array" ref="A211">"n"&amp;SUBSTITUTE(CreateGuidString(),"-","_")</f>
        <v>n1DFCEEC9_B860_41C8_94BC_07BB95B1418E</v>
      </c>
      <c r="B211" s="6" t="str">
        <f>NodesData[[#This Row],[name]]&amp;" ("&amp;NodesData[[#This Row],[main_class]]&amp;")"</f>
        <v>IMG (Acronym)</v>
      </c>
      <c r="C211" s="17" t="s">
        <v>886</v>
      </c>
      <c r="D211" s="3" t="s">
        <v>1301</v>
      </c>
      <c r="E211" s="10" t="s">
        <v>885</v>
      </c>
      <c r="F211" s="3">
        <f t="shared" si="3"/>
        <v>209</v>
      </c>
      <c r="G211" s="3">
        <f>COUNTIF(NodesData[label],NodesData[[#This Row],[label]])</f>
        <v>1</v>
      </c>
      <c r="H211" s="3">
        <f>COUNTIF(EdgesData[from],NodesData[[#This Row],[id]])+COUNTIF(EdgesData[to],NodesData[[#This Row],[id]])</f>
        <v>0</v>
      </c>
      <c r="I211" s="3">
        <f>IF(NodesData[[#This Row],[Used]]&gt;0,1,0)</f>
        <v>0</v>
      </c>
      <c r="J211" s="18" t="str" cm="1">
        <f t="array" ref="J211">IF(NodesData[[#This Row],[Count]]&gt;1,",","") &amp;"{"&amp;twoRangesToJSON(NodesData[[#Headers],[id]:[main_class]],NodesData[[#This Row],[id]:[main_class]])&amp;"}"</f>
        <v>,{"id":"n1DFCEEC9_B860_41C8_94BC_07BB95B1418E","label":"IMG (Acronym)","url":"https://open-measure.atlassian.net/wiki/spaces/DIC/pages/107708597","main_class":"Acronym"}</v>
      </c>
    </row>
    <row r="212" spans="1:10" ht="27" thickTop="1" thickBot="1" x14ac:dyDescent="0.4">
      <c r="A212" s="3" t="str" cm="1">
        <f t="array" ref="A212">"n"&amp;SUBSTITUTE(CreateGuidString(),"-","_")</f>
        <v>nBEF95254_C096_44EF_9007_2ACCD21DADF9</v>
      </c>
      <c r="B212" s="6" t="str">
        <f>NodesData[[#This Row],[name]]&amp;" ("&amp;NodesData[[#This Row],[main_class]]&amp;")"</f>
        <v>Impersonation (Concept)</v>
      </c>
      <c r="C212" s="17" t="s">
        <v>888</v>
      </c>
      <c r="D212" s="3" t="s">
        <v>1409</v>
      </c>
      <c r="E212" s="10" t="s">
        <v>887</v>
      </c>
      <c r="F212" s="3">
        <f t="shared" si="3"/>
        <v>210</v>
      </c>
      <c r="G212" s="3">
        <f>COUNTIF(NodesData[label],NodesData[[#This Row],[label]])</f>
        <v>1</v>
      </c>
      <c r="H212" s="3">
        <f>COUNTIF(EdgesData[from],NodesData[[#This Row],[id]])+COUNTIF(EdgesData[to],NodesData[[#This Row],[id]])</f>
        <v>0</v>
      </c>
      <c r="I212" s="3">
        <f>IF(NodesData[[#This Row],[Used]]&gt;0,1,0)</f>
        <v>0</v>
      </c>
      <c r="J212" s="18" t="str" cm="1">
        <f t="array" ref="J212">IF(NodesData[[#This Row],[Count]]&gt;1,",","") &amp;"{"&amp;twoRangesToJSON(NodesData[[#Headers],[id]:[main_class]],NodesData[[#This Row],[id]:[main_class]])&amp;"}"</f>
        <v>,{"id":"nBEF95254_C096_44EF_9007_2ACCD21DADF9","label":"Impersonation (Concept)","url":"https://open-measure.atlassian.net/wiki/spaces/DIC/pages/974323719","main_class":"Concept"}</v>
      </c>
    </row>
    <row r="213" spans="1:10" ht="27" thickTop="1" thickBot="1" x14ac:dyDescent="0.4">
      <c r="A213" s="3" t="str" cm="1">
        <f t="array" ref="A213">"n"&amp;SUBSTITUTE(CreateGuidString(),"-","_")</f>
        <v>n9B4A61A8_DAE3_417F_B86E_2572790DBFD9</v>
      </c>
      <c r="B213" s="6" t="str">
        <f>NodesData[[#This Row],[name]]&amp;" ("&amp;NodesData[[#This Row],[main_class]]&amp;")"</f>
        <v>Heartbeats Recognition Authentication (Concept)</v>
      </c>
      <c r="C213" s="12"/>
      <c r="D213" s="3" t="s">
        <v>1409</v>
      </c>
      <c r="E213" s="10" t="s">
        <v>1354</v>
      </c>
      <c r="F213" s="3">
        <f t="shared" si="3"/>
        <v>211</v>
      </c>
      <c r="G213" s="3">
        <f>COUNTIF(NodesData[label],NodesData[[#This Row],[label]])</f>
        <v>1</v>
      </c>
      <c r="H213" s="3">
        <f>COUNTIF(EdgesData[from],NodesData[[#This Row],[id]])+COUNTIF(EdgesData[to],NodesData[[#This Row],[id]])</f>
        <v>0</v>
      </c>
      <c r="I213" s="3">
        <f>IF(NodesData[[#This Row],[Used]]&gt;0,1,0)</f>
        <v>0</v>
      </c>
      <c r="J213" s="18" t="str" cm="1">
        <f t="array" ref="J213">IF(NodesData[[#This Row],[Count]]&gt;1,",","") &amp;"{"&amp;twoRangesToJSON(NodesData[[#Headers],[id]:[main_class]],NodesData[[#This Row],[id]:[main_class]])&amp;"}"</f>
        <v>,{"id":"n9B4A61A8_DAE3_417F_B86E_2572790DBFD9","label":"Heartbeats Recognition Authentication (Concept)","url":"","main_class":"Concept"}</v>
      </c>
    </row>
    <row r="214" spans="1:10" ht="27" thickTop="1" thickBot="1" x14ac:dyDescent="0.4">
      <c r="A214" s="3" t="str" cm="1">
        <f t="array" ref="A214">"n"&amp;SUBSTITUTE(CreateGuidString(),"-","_")</f>
        <v>n3EDE967E_CA6C_4708_9741_2152B06BE432</v>
      </c>
      <c r="B214" s="6" t="str">
        <f>NodesData[[#This Row],[name]]&amp;" ("&amp;NodesData[[#This Row],[main_class]]&amp;")"</f>
        <v>Information (Concept)</v>
      </c>
      <c r="C214" s="17" t="s">
        <v>890</v>
      </c>
      <c r="D214" s="3" t="s">
        <v>1409</v>
      </c>
      <c r="E214" s="10" t="s">
        <v>889</v>
      </c>
      <c r="F214" s="3">
        <f t="shared" si="3"/>
        <v>212</v>
      </c>
      <c r="G214" s="3">
        <f>COUNTIF(NodesData[label],NodesData[[#This Row],[label]])</f>
        <v>1</v>
      </c>
      <c r="H214" s="3">
        <f>COUNTIF(EdgesData[from],NodesData[[#This Row],[id]])+COUNTIF(EdgesData[to],NodesData[[#This Row],[id]])</f>
        <v>0</v>
      </c>
      <c r="I214" s="3">
        <f>IF(NodesData[[#This Row],[Used]]&gt;0,1,0)</f>
        <v>0</v>
      </c>
      <c r="J214" s="18" t="str" cm="1">
        <f t="array" ref="J214">IF(NodesData[[#This Row],[Count]]&gt;1,",","") &amp;"{"&amp;twoRangesToJSON(NodesData[[#Headers],[id]:[main_class]],NodesData[[#This Row],[id]:[main_class]])&amp;"}"</f>
        <v>,{"id":"n3EDE967E_CA6C_4708_9741_2152B06BE432","label":"Information (Concept)","url":"https://open-measure.atlassian.net/wiki/spaces/DIC/pages/1027342618","main_class":"Concept"}</v>
      </c>
    </row>
    <row r="215" spans="1:10" ht="27" thickTop="1" thickBot="1" x14ac:dyDescent="0.4">
      <c r="A215" s="3" t="str" cm="1">
        <f t="array" ref="A215">"n"&amp;SUBSTITUTE(CreateGuidString(),"-","_")</f>
        <v>n944E5F21_6F2F_49F6_8D1E_3CDC47A7FC7E</v>
      </c>
      <c r="B215" s="6" t="str">
        <f>NodesData[[#This Row],[name]]&amp;" ("&amp;NodesData[[#This Row],[main_class]]&amp;")"</f>
        <v>Information Asset (Concept)</v>
      </c>
      <c r="C215" s="17" t="s">
        <v>892</v>
      </c>
      <c r="D215" s="3" t="s">
        <v>1409</v>
      </c>
      <c r="E215" s="10" t="s">
        <v>891</v>
      </c>
      <c r="F215" s="3">
        <f t="shared" si="3"/>
        <v>213</v>
      </c>
      <c r="G215" s="3">
        <f>COUNTIF(NodesData[label],NodesData[[#This Row],[label]])</f>
        <v>1</v>
      </c>
      <c r="H215" s="3">
        <f>COUNTIF(EdgesData[from],NodesData[[#This Row],[id]])+COUNTIF(EdgesData[to],NodesData[[#This Row],[id]])</f>
        <v>0</v>
      </c>
      <c r="I215" s="3">
        <f>IF(NodesData[[#This Row],[Used]]&gt;0,1,0)</f>
        <v>0</v>
      </c>
      <c r="J215" s="18" t="str" cm="1">
        <f t="array" ref="J215">IF(NodesData[[#This Row],[Count]]&gt;1,",","") &amp;"{"&amp;twoRangesToJSON(NodesData[[#Headers],[id]:[main_class]],NodesData[[#This Row],[id]:[main_class]])&amp;"}"</f>
        <v>,{"id":"n944E5F21_6F2F_49F6_8D1E_3CDC47A7FC7E","label":"Information Asset (Concept)","url":"https://open-measure.atlassian.net/wiki/spaces/DIC/pages/455508212","main_class":"Concept"}</v>
      </c>
    </row>
    <row r="216" spans="1:10" ht="27" thickTop="1" thickBot="1" x14ac:dyDescent="0.4">
      <c r="A216" s="3" t="str" cm="1">
        <f t="array" ref="A216">"n"&amp;SUBSTITUTE(CreateGuidString(),"-","_")</f>
        <v>n91EAC7D6_3FBE_40F5_8F6C_6B00B124369A</v>
      </c>
      <c r="B216" s="6" t="str">
        <f>NodesData[[#This Row],[name]]&amp;" ("&amp;NodesData[[#This Row],[main_class]]&amp;")"</f>
        <v>Information Custodian (Concept)</v>
      </c>
      <c r="C216" s="17" t="s">
        <v>894</v>
      </c>
      <c r="D216" s="3" t="s">
        <v>1409</v>
      </c>
      <c r="E216" s="10" t="s">
        <v>893</v>
      </c>
      <c r="F216" s="3">
        <f t="shared" si="3"/>
        <v>214</v>
      </c>
      <c r="G216" s="3">
        <f>COUNTIF(NodesData[label],NodesData[[#This Row],[label]])</f>
        <v>1</v>
      </c>
      <c r="H216" s="3">
        <f>COUNTIF(EdgesData[from],NodesData[[#This Row],[id]])+COUNTIF(EdgesData[to],NodesData[[#This Row],[id]])</f>
        <v>0</v>
      </c>
      <c r="I216" s="3">
        <f>IF(NodesData[[#This Row],[Used]]&gt;0,1,0)</f>
        <v>0</v>
      </c>
      <c r="J216" s="18" t="str" cm="1">
        <f t="array" ref="J216">IF(NodesData[[#This Row],[Count]]&gt;1,",","") &amp;"{"&amp;twoRangesToJSON(NodesData[[#Headers],[id]:[main_class]],NodesData[[#This Row],[id]:[main_class]])&amp;"}"</f>
        <v>,{"id":"n91EAC7D6_3FBE_40F5_8F6C_6B00B124369A","label":"Information Custodian (Concept)","url":"https://open-measure.atlassian.net/wiki/spaces/DIC/pages/1004896257","main_class":"Concept"}</v>
      </c>
    </row>
    <row r="217" spans="1:10" ht="27" thickTop="1" thickBot="1" x14ac:dyDescent="0.4">
      <c r="A217" s="3" t="str" cm="1">
        <f t="array" ref="A217">"n"&amp;SUBSTITUTE(CreateGuidString(),"-","_")</f>
        <v>n81942372_6BB5_4845_B4BF_0C3555055353</v>
      </c>
      <c r="B217" s="6" t="str">
        <f>NodesData[[#This Row],[name]]&amp;" ("&amp;NodesData[[#This Row],[main_class]]&amp;")"</f>
        <v>Information Flow Policy (Concept)</v>
      </c>
      <c r="C217" s="17" t="s">
        <v>896</v>
      </c>
      <c r="D217" s="3" t="s">
        <v>1409</v>
      </c>
      <c r="E217" s="10" t="s">
        <v>895</v>
      </c>
      <c r="F217" s="3">
        <f t="shared" si="3"/>
        <v>215</v>
      </c>
      <c r="G217" s="3">
        <f>COUNTIF(NodesData[label],NodesData[[#This Row],[label]])</f>
        <v>1</v>
      </c>
      <c r="H217" s="3">
        <f>COUNTIF(EdgesData[from],NodesData[[#This Row],[id]])+COUNTIF(EdgesData[to],NodesData[[#This Row],[id]])</f>
        <v>0</v>
      </c>
      <c r="I217" s="3">
        <f>IF(NodesData[[#This Row],[Used]]&gt;0,1,0)</f>
        <v>0</v>
      </c>
      <c r="J217" s="18" t="str" cm="1">
        <f t="array" ref="J217">IF(NodesData[[#This Row],[Count]]&gt;1,",","") &amp;"{"&amp;twoRangesToJSON(NodesData[[#Headers],[id]:[main_class]],NodesData[[#This Row],[id]:[main_class]])&amp;"}"</f>
        <v>,{"id":"n81942372_6BB5_4845_B4BF_0C3555055353","label":"Information Flow Policy (Concept)","url":"https://open-measure.atlassian.net/wiki/spaces/DIC/pages/1177714758","main_class":"Concept"}</v>
      </c>
    </row>
    <row r="218" spans="1:10" ht="27" thickTop="1" thickBot="1" x14ac:dyDescent="0.4">
      <c r="A218" s="3" t="str" cm="1">
        <f t="array" ref="A218">"n"&amp;SUBSTITUTE(CreateGuidString(),"-","_")</f>
        <v>nD49CF8ED_3EF1_49C4_A2D9_6AE510D79DC8</v>
      </c>
      <c r="B218" s="6" t="str">
        <f>NodesData[[#This Row],[name]]&amp;" ("&amp;NodesData[[#This Row],[main_class]]&amp;")"</f>
        <v>Information Owner (Concept)</v>
      </c>
      <c r="C218" s="17" t="s">
        <v>898</v>
      </c>
      <c r="D218" s="3" t="s">
        <v>1409</v>
      </c>
      <c r="E218" s="10" t="s">
        <v>897</v>
      </c>
      <c r="F218" s="3">
        <f t="shared" si="3"/>
        <v>216</v>
      </c>
      <c r="G218" s="3">
        <f>COUNTIF(NodesData[label],NodesData[[#This Row],[label]])</f>
        <v>1</v>
      </c>
      <c r="H218" s="3">
        <f>COUNTIF(EdgesData[from],NodesData[[#This Row],[id]])+COUNTIF(EdgesData[to],NodesData[[#This Row],[id]])</f>
        <v>0</v>
      </c>
      <c r="I218" s="3">
        <f>IF(NodesData[[#This Row],[Used]]&gt;0,1,0)</f>
        <v>0</v>
      </c>
      <c r="J218" s="18" t="str" cm="1">
        <f t="array" ref="J218">IF(NodesData[[#This Row],[Count]]&gt;1,",","") &amp;"{"&amp;twoRangesToJSON(NodesData[[#Headers],[id]:[main_class]],NodesData[[#This Row],[id]:[main_class]])&amp;"}"</f>
        <v>,{"id":"nD49CF8ED_3EF1_49C4_A2D9_6AE510D79DC8","label":"Information Owner (Concept)","url":"https://open-measure.atlassian.net/wiki/spaces/DIC/pages/998113409","main_class":"Concept"}</v>
      </c>
    </row>
    <row r="219" spans="1:10" ht="27" thickTop="1" thickBot="1" x14ac:dyDescent="0.4">
      <c r="A219" s="3" t="str" cm="1">
        <f t="array" ref="A219">"n"&amp;SUBSTITUTE(CreateGuidString(),"-","_")</f>
        <v>nE784B99B_1E2A_4775_A167_CE433DDDAB97</v>
      </c>
      <c r="B219" s="6" t="str">
        <f>NodesData[[#This Row],[name]]&amp;" ("&amp;NodesData[[#This Row],[main_class]]&amp;")"</f>
        <v>Information Security Domain (Concept)</v>
      </c>
      <c r="C219" s="17" t="s">
        <v>899</v>
      </c>
      <c r="D219" s="3" t="s">
        <v>1409</v>
      </c>
      <c r="E219" s="10" t="s">
        <v>277</v>
      </c>
      <c r="F219" s="3">
        <f t="shared" si="3"/>
        <v>217</v>
      </c>
      <c r="G219" s="3">
        <f>COUNTIF(NodesData[label],NodesData[[#This Row],[label]])</f>
        <v>1</v>
      </c>
      <c r="H219" s="3">
        <f>COUNTIF(EdgesData[from],NodesData[[#This Row],[id]])+COUNTIF(EdgesData[to],NodesData[[#This Row],[id]])</f>
        <v>0</v>
      </c>
      <c r="I219" s="3">
        <f>IF(NodesData[[#This Row],[Used]]&gt;0,1,0)</f>
        <v>0</v>
      </c>
      <c r="J219" s="18" t="str" cm="1">
        <f t="array" ref="J219">IF(NodesData[[#This Row],[Count]]&gt;1,",","") &amp;"{"&amp;twoRangesToJSON(NodesData[[#Headers],[id]:[main_class]],NodesData[[#This Row],[id]:[main_class]])&amp;"}"</f>
        <v>,{"id":"nE784B99B_1E2A_4775_A167_CE433DDDAB97","label":"Information Security Domain (Concept)","url":"https://open-measure.atlassian.net/wiki/spaces/DIC/pages/438698009/Information+Security+Domain","main_class":"Concept"}</v>
      </c>
    </row>
    <row r="220" spans="1:10" ht="27" thickTop="1" thickBot="1" x14ac:dyDescent="0.4">
      <c r="A220" s="3" t="str" cm="1">
        <f t="array" ref="A220">"n"&amp;SUBSTITUTE(CreateGuidString(),"-","_")</f>
        <v>n008309C8_FEBA_4DC0_B2E4_B4946A66A5DF</v>
      </c>
      <c r="B220" s="6" t="str">
        <f>NodesData[[#This Row],[name]]&amp;" ("&amp;NodesData[[#This Row],[main_class]]&amp;")"</f>
        <v>Information System (Concept)</v>
      </c>
      <c r="C220" s="17" t="s">
        <v>900</v>
      </c>
      <c r="D220" s="3" t="s">
        <v>1409</v>
      </c>
      <c r="E220" s="10" t="s">
        <v>278</v>
      </c>
      <c r="F220" s="3">
        <f t="shared" si="3"/>
        <v>218</v>
      </c>
      <c r="G220" s="3">
        <f>COUNTIF(NodesData[label],NodesData[[#This Row],[label]])</f>
        <v>1</v>
      </c>
      <c r="H220" s="3">
        <f>COUNTIF(EdgesData[from],NodesData[[#This Row],[id]])+COUNTIF(EdgesData[to],NodesData[[#This Row],[id]])</f>
        <v>0</v>
      </c>
      <c r="I220" s="3">
        <f>IF(NodesData[[#This Row],[Used]]&gt;0,1,0)</f>
        <v>0</v>
      </c>
      <c r="J220" s="18" t="str" cm="1">
        <f t="array" ref="J220">IF(NodesData[[#This Row],[Count]]&gt;1,",","") &amp;"{"&amp;twoRangesToJSON(NodesData[[#Headers],[id]:[main_class]],NodesData[[#This Row],[id]:[main_class]])&amp;"}"</f>
        <v>,{"id":"n008309C8_FEBA_4DC0_B2E4_B4946A66A5DF","label":"Information System (Concept)","url":"https://open-measure.atlassian.net/wiki/spaces/DIC/pages/1031241830/Information+System","main_class":"Concept"}</v>
      </c>
    </row>
    <row r="221" spans="1:10" ht="13.9" thickTop="1" thickBot="1" x14ac:dyDescent="0.4">
      <c r="A221" s="3" t="str" cm="1">
        <f t="array" ref="A221">"n"&amp;SUBSTITUTE(CreateGuidString(),"-","_")</f>
        <v>n434F8656_F78A_43C2_927A_116FC5D69A8C</v>
      </c>
      <c r="B221" s="6" t="str">
        <f>NodesData[[#This Row],[name]]&amp;" ("&amp;NodesData[[#This Row],[main_class]]&amp;")"</f>
        <v>Inherence Factor (Concept)</v>
      </c>
      <c r="C221" s="10"/>
      <c r="D221" s="3" t="s">
        <v>1409</v>
      </c>
      <c r="E221" s="10" t="s">
        <v>1334</v>
      </c>
      <c r="F221" s="3">
        <f t="shared" si="3"/>
        <v>219</v>
      </c>
      <c r="G221" s="3">
        <f>COUNTIF(NodesData[label],NodesData[[#This Row],[label]])</f>
        <v>1</v>
      </c>
      <c r="H221" s="3">
        <f>COUNTIF(EdgesData[from],NodesData[[#This Row],[id]])+COUNTIF(EdgesData[to],NodesData[[#This Row],[id]])</f>
        <v>0</v>
      </c>
      <c r="I221" s="3">
        <f>IF(NodesData[[#This Row],[Used]]&gt;0,1,0)</f>
        <v>0</v>
      </c>
      <c r="J221" s="18" t="str" cm="1">
        <f t="array" ref="J221">IF(NodesData[[#This Row],[Count]]&gt;1,",","") &amp;"{"&amp;twoRangesToJSON(NodesData[[#Headers],[id]:[main_class]],NodesData[[#This Row],[id]:[main_class]])&amp;"}"</f>
        <v>,{"id":"n434F8656_F78A_43C2_927A_116FC5D69A8C","label":"Inherence Factor (Concept)","url":"","main_class":"Concept"}</v>
      </c>
    </row>
    <row r="222" spans="1:10" ht="27" thickTop="1" thickBot="1" x14ac:dyDescent="0.4">
      <c r="A222" s="3" t="str" cm="1">
        <f t="array" ref="A222">"n"&amp;SUBSTITUTE(CreateGuidString(),"-","_")</f>
        <v>nFAE6DB2C_D9B8_4891_8A50_9A4260F2FD9E</v>
      </c>
      <c r="B222" s="6" t="str">
        <f>NodesData[[#This Row],[name]]&amp;" ("&amp;NodesData[[#This Row],[main_class]]&amp;")"</f>
        <v>Inside Attacker (Concept)</v>
      </c>
      <c r="C222" s="17" t="s">
        <v>901</v>
      </c>
      <c r="D222" s="3" t="s">
        <v>1409</v>
      </c>
      <c r="E222" s="10" t="s">
        <v>280</v>
      </c>
      <c r="F222" s="3">
        <f t="shared" si="3"/>
        <v>220</v>
      </c>
      <c r="G222" s="3">
        <f>COUNTIF(NodesData[label],NodesData[[#This Row],[label]])</f>
        <v>1</v>
      </c>
      <c r="H222" s="3">
        <f>COUNTIF(EdgesData[from],NodesData[[#This Row],[id]])+COUNTIF(EdgesData[to],NodesData[[#This Row],[id]])</f>
        <v>0</v>
      </c>
      <c r="I222" s="3">
        <f>IF(NodesData[[#This Row],[Used]]&gt;0,1,0)</f>
        <v>0</v>
      </c>
      <c r="J222" s="18" t="str" cm="1">
        <f t="array" ref="J222">IF(NodesData[[#This Row],[Count]]&gt;1,",","") &amp;"{"&amp;twoRangesToJSON(NodesData[[#Headers],[id]:[main_class]],NodesData[[#This Row],[id]:[main_class]])&amp;"}"</f>
        <v>,{"id":"nFAE6DB2C_D9B8_4891_8A50_9A4260F2FD9E","label":"Inside Attacker (Concept)","url":"https://open-measure.atlassian.net/wiki/spaces/DIC/pages/1477869651/Inside+Attacker","main_class":"Concept"}</v>
      </c>
    </row>
    <row r="223" spans="1:10" ht="27" thickTop="1" thickBot="1" x14ac:dyDescent="0.4">
      <c r="A223" s="3" t="str" cm="1">
        <f t="array" ref="A223">"n"&amp;SUBSTITUTE(CreateGuidString(),"-","_")</f>
        <v>n83F1FABB_F558_4F8C_B447_519ABBA2F027</v>
      </c>
      <c r="B223" s="6" t="str">
        <f>NodesData[[#This Row],[name]]&amp;" ("&amp;NodesData[[#This Row],[main_class]]&amp;")"</f>
        <v>Insider (Concept)</v>
      </c>
      <c r="C223" s="17" t="s">
        <v>902</v>
      </c>
      <c r="D223" s="3" t="s">
        <v>1409</v>
      </c>
      <c r="E223" s="10" t="s">
        <v>281</v>
      </c>
      <c r="F223" s="3">
        <f t="shared" si="3"/>
        <v>221</v>
      </c>
      <c r="G223" s="3">
        <f>COUNTIF(NodesData[label],NodesData[[#This Row],[label]])</f>
        <v>1</v>
      </c>
      <c r="H223" s="3">
        <f>COUNTIF(EdgesData[from],NodesData[[#This Row],[id]])+COUNTIF(EdgesData[to],NodesData[[#This Row],[id]])</f>
        <v>0</v>
      </c>
      <c r="I223" s="3">
        <f>IF(NodesData[[#This Row],[Used]]&gt;0,1,0)</f>
        <v>0</v>
      </c>
      <c r="J223" s="18" t="str" cm="1">
        <f t="array" ref="J223">IF(NodesData[[#This Row],[Count]]&gt;1,",","") &amp;"{"&amp;twoRangesToJSON(NodesData[[#Headers],[id]:[main_class]],NodesData[[#This Row],[id]:[main_class]])&amp;"}"</f>
        <v>,{"id":"n83F1FABB_F558_4F8C_B447_519ABBA2F027","label":"Insider (Concept)","url":"https://open-measure.atlassian.net/wiki/spaces/DIC/pages/1451884782/Insider","main_class":"Concept"}</v>
      </c>
    </row>
    <row r="224" spans="1:10" ht="27" thickTop="1" thickBot="1" x14ac:dyDescent="0.4">
      <c r="A224" s="3" t="str" cm="1">
        <f t="array" ref="A224">"n"&amp;SUBSTITUTE(CreateGuidString(),"-","_")</f>
        <v>n6977EF39_77F3_4A22_A387_CB7CA549D8DF</v>
      </c>
      <c r="B224" s="6" t="str">
        <f>NodesData[[#This Row],[name]]&amp;" ("&amp;NodesData[[#This Row],[main_class]]&amp;")"</f>
        <v>Insider Attack (Concept)</v>
      </c>
      <c r="C224" s="17" t="s">
        <v>903</v>
      </c>
      <c r="D224" s="3" t="s">
        <v>1409</v>
      </c>
      <c r="E224" s="10" t="s">
        <v>282</v>
      </c>
      <c r="F224" s="3">
        <f t="shared" si="3"/>
        <v>222</v>
      </c>
      <c r="G224" s="3">
        <f>COUNTIF(NodesData[label],NodesData[[#This Row],[label]])</f>
        <v>1</v>
      </c>
      <c r="H224" s="3">
        <f>COUNTIF(EdgesData[from],NodesData[[#This Row],[id]])+COUNTIF(EdgesData[to],NodesData[[#This Row],[id]])</f>
        <v>0</v>
      </c>
      <c r="I224" s="3">
        <f>IF(NodesData[[#This Row],[Used]]&gt;0,1,0)</f>
        <v>0</v>
      </c>
      <c r="J224" s="18" t="str" cm="1">
        <f t="array" ref="J224">IF(NodesData[[#This Row],[Count]]&gt;1,",","") &amp;"{"&amp;twoRangesToJSON(NodesData[[#Headers],[id]:[main_class]],NodesData[[#This Row],[id]:[main_class]])&amp;"}"</f>
        <v>,{"id":"n6977EF39_77F3_4A22_A387_CB7CA549D8DF","label":"Insider Attack (Concept)","url":"https://open-measure.atlassian.net/wiki/spaces/DIC/pages/1478459402/Insider+Attack","main_class":"Concept"}</v>
      </c>
    </row>
    <row r="225" spans="1:10" ht="27" thickTop="1" thickBot="1" x14ac:dyDescent="0.4">
      <c r="A225" s="3" t="str" cm="1">
        <f t="array" ref="A225">"n"&amp;SUBSTITUTE(CreateGuidString(),"-","_")</f>
        <v>n1E0517AF_9017_4CB5_A9DD_696EB9202E7B</v>
      </c>
      <c r="B225" s="6" t="str">
        <f>NodesData[[#This Row],[name]]&amp;" ("&amp;NodesData[[#This Row],[main_class]]&amp;")"</f>
        <v>Insider Threat (Concept)</v>
      </c>
      <c r="C225" s="17" t="s">
        <v>904</v>
      </c>
      <c r="D225" s="3" t="s">
        <v>1409</v>
      </c>
      <c r="E225" s="10" t="s">
        <v>283</v>
      </c>
      <c r="F225" s="3">
        <f t="shared" si="3"/>
        <v>223</v>
      </c>
      <c r="G225" s="3">
        <f>COUNTIF(NodesData[label],NodesData[[#This Row],[label]])</f>
        <v>1</v>
      </c>
      <c r="H225" s="3">
        <f>COUNTIF(EdgesData[from],NodesData[[#This Row],[id]])+COUNTIF(EdgesData[to],NodesData[[#This Row],[id]])</f>
        <v>0</v>
      </c>
      <c r="I225" s="3">
        <f>IF(NodesData[[#This Row],[Used]]&gt;0,1,0)</f>
        <v>0</v>
      </c>
      <c r="J225" s="18" t="str" cm="1">
        <f t="array" ref="J225">IF(NodesData[[#This Row],[Count]]&gt;1,",","") &amp;"{"&amp;twoRangesToJSON(NodesData[[#Headers],[id]:[main_class]],NodesData[[#This Row],[id]:[main_class]])&amp;"}"</f>
        <v>,{"id":"n1E0517AF_9017_4CB5_A9DD_696EB9202E7B","label":"Insider Threat (Concept)","url":"https://open-measure.atlassian.net/wiki/spaces/DIC/pages/1451098397/Insider+Threat","main_class":"Concept"}</v>
      </c>
    </row>
    <row r="226" spans="1:10" ht="27" thickTop="1" thickBot="1" x14ac:dyDescent="0.4">
      <c r="A226" s="3" t="str" cm="1">
        <f t="array" ref="A226">"n"&amp;SUBSTITUTE(CreateGuidString(),"-","_")</f>
        <v>n34A463FA_209E_4708_ACFC_377CC8E5B339</v>
      </c>
      <c r="B226" s="6" t="str">
        <f>NodesData[[#This Row],[name]]&amp;" ("&amp;NodesData[[#This Row],[main_class]]&amp;")"</f>
        <v>Insufficient Granularity of Access Control (Concept)</v>
      </c>
      <c r="C226" s="17" t="s">
        <v>906</v>
      </c>
      <c r="D226" s="3" t="s">
        <v>1409</v>
      </c>
      <c r="E226" s="10" t="s">
        <v>905</v>
      </c>
      <c r="F226" s="3">
        <f t="shared" si="3"/>
        <v>224</v>
      </c>
      <c r="G226" s="3">
        <f>COUNTIF(NodesData[label],NodesData[[#This Row],[label]])</f>
        <v>1</v>
      </c>
      <c r="H226" s="3">
        <f>COUNTIF(EdgesData[from],NodesData[[#This Row],[id]])+COUNTIF(EdgesData[to],NodesData[[#This Row],[id]])</f>
        <v>0</v>
      </c>
      <c r="I226" s="3">
        <f>IF(NodesData[[#This Row],[Used]]&gt;0,1,0)</f>
        <v>0</v>
      </c>
      <c r="J226" s="18" t="str" cm="1">
        <f t="array" ref="J226">IF(NodesData[[#This Row],[Count]]&gt;1,",","") &amp;"{"&amp;twoRangesToJSON(NodesData[[#Headers],[id]:[main_class]],NodesData[[#This Row],[id]:[main_class]])&amp;"}"</f>
        <v>,{"id":"n34A463FA_209E_4708_ACFC_377CC8E5B339","label":"Insufficient Granularity of Access Control (Concept)","url":"https://open-measure.atlassian.net/wiki/spaces/DIC/pages/822476843","main_class":"Concept"}</v>
      </c>
    </row>
    <row r="227" spans="1:10" ht="27" thickTop="1" thickBot="1" x14ac:dyDescent="0.4">
      <c r="A227" s="3" t="str" cm="1">
        <f t="array" ref="A227">"n"&amp;SUBSTITUTE(CreateGuidString(),"-","_")</f>
        <v>n0967C036_F882_413D_8536_6E08C11F421D</v>
      </c>
      <c r="B227" s="6" t="str">
        <f>NodesData[[#This Row],[name]]&amp;" ("&amp;NodesData[[#This Row],[main_class]]&amp;")"</f>
        <v>Intentional Error (Concept)</v>
      </c>
      <c r="C227" s="17" t="s">
        <v>908</v>
      </c>
      <c r="D227" s="3" t="s">
        <v>1409</v>
      </c>
      <c r="E227" s="10" t="s">
        <v>907</v>
      </c>
      <c r="F227" s="3">
        <f t="shared" si="3"/>
        <v>225</v>
      </c>
      <c r="G227" s="3">
        <f>COUNTIF(NodesData[label],NodesData[[#This Row],[label]])</f>
        <v>1</v>
      </c>
      <c r="H227" s="3">
        <f>COUNTIF(EdgesData[from],NodesData[[#This Row],[id]])+COUNTIF(EdgesData[to],NodesData[[#This Row],[id]])</f>
        <v>0</v>
      </c>
      <c r="I227" s="3">
        <f>IF(NodesData[[#This Row],[Used]]&gt;0,1,0)</f>
        <v>0</v>
      </c>
      <c r="J227" s="18" t="str" cm="1">
        <f t="array" ref="J227">IF(NodesData[[#This Row],[Count]]&gt;1,",","") &amp;"{"&amp;twoRangesToJSON(NodesData[[#Headers],[id]:[main_class]],NodesData[[#This Row],[id]:[main_class]])&amp;"}"</f>
        <v>,{"id":"n0967C036_F882_413D_8536_6E08C11F421D","label":"Intentional Error (Concept)","url":"https://open-measure.atlassian.net/wiki/spaces/DIC/pages/998277141","main_class":"Concept"}</v>
      </c>
    </row>
    <row r="228" spans="1:10" ht="27" thickTop="1" thickBot="1" x14ac:dyDescent="0.4">
      <c r="A228" s="3" t="str" cm="1">
        <f t="array" ref="A228">"n"&amp;SUBSTITUTE(CreateGuidString(),"-","_")</f>
        <v>nC711589F_0ED9_4615_8E9F_15C74ACED86A</v>
      </c>
      <c r="B228" s="6" t="str">
        <f>NodesData[[#This Row],[name]]&amp;" ("&amp;NodesData[[#This Row],[main_class]]&amp;")"</f>
        <v>Interested Party (Concept)</v>
      </c>
      <c r="C228" s="17" t="s">
        <v>910</v>
      </c>
      <c r="D228" s="3" t="s">
        <v>1409</v>
      </c>
      <c r="E228" s="10" t="s">
        <v>909</v>
      </c>
      <c r="F228" s="3">
        <f t="shared" si="3"/>
        <v>226</v>
      </c>
      <c r="G228" s="3">
        <f>COUNTIF(NodesData[label],NodesData[[#This Row],[label]])</f>
        <v>1</v>
      </c>
      <c r="H228" s="3">
        <f>COUNTIF(EdgesData[from],NodesData[[#This Row],[id]])+COUNTIF(EdgesData[to],NodesData[[#This Row],[id]])</f>
        <v>0</v>
      </c>
      <c r="I228" s="3">
        <f>IF(NodesData[[#This Row],[Used]]&gt;0,1,0)</f>
        <v>0</v>
      </c>
      <c r="J228" s="18" t="str" cm="1">
        <f t="array" ref="J228">IF(NodesData[[#This Row],[Count]]&gt;1,",","") &amp;"{"&amp;twoRangesToJSON(NodesData[[#Headers],[id]:[main_class]],NodesData[[#This Row],[id]:[main_class]])&amp;"}"</f>
        <v>,{"id":"nC711589F_0ED9_4615_8E9F_15C74ACED86A","label":"Interested Party (Concept)","url":"https://open-measure.atlassian.net/wiki/spaces/DIC/pages/1311417","main_class":"Concept"}</v>
      </c>
    </row>
    <row r="229" spans="1:10" ht="27" thickTop="1" thickBot="1" x14ac:dyDescent="0.4">
      <c r="A229" s="3" t="str" cm="1">
        <f t="array" ref="A229">"n"&amp;SUBSTITUTE(CreateGuidString(),"-","_")</f>
        <v>nE2D47948_8811_423A_A150_89F64C1C7E48</v>
      </c>
      <c r="B229" s="6" t="str">
        <f>NodesData[[#This Row],[name]]&amp;" ("&amp;NodesData[[#This Row],[main_class]]&amp;")"</f>
        <v>Interoperability (Concept)</v>
      </c>
      <c r="C229" s="17" t="s">
        <v>912</v>
      </c>
      <c r="D229" s="3" t="s">
        <v>1409</v>
      </c>
      <c r="E229" s="10" t="s">
        <v>911</v>
      </c>
      <c r="F229" s="3">
        <f t="shared" si="3"/>
        <v>227</v>
      </c>
      <c r="G229" s="3">
        <f>COUNTIF(NodesData[label],NodesData[[#This Row],[label]])</f>
        <v>1</v>
      </c>
      <c r="H229" s="3">
        <f>COUNTIF(EdgesData[from],NodesData[[#This Row],[id]])+COUNTIF(EdgesData[to],NodesData[[#This Row],[id]])</f>
        <v>0</v>
      </c>
      <c r="I229" s="3">
        <f>IF(NodesData[[#This Row],[Used]]&gt;0,1,0)</f>
        <v>0</v>
      </c>
      <c r="J229" s="18" t="str" cm="1">
        <f t="array" ref="J229">IF(NodesData[[#This Row],[Count]]&gt;1,",","") &amp;"{"&amp;twoRangesToJSON(NodesData[[#Headers],[id]:[main_class]],NodesData[[#This Row],[id]:[main_class]])&amp;"}"</f>
        <v>,{"id":"nE2D47948_8811_423A_A150_89F64C1C7E48","label":"Interoperability (Concept)","url":"https://open-measure.atlassian.net/wiki/spaces/DIC/pages/442466314","main_class":"Concept"}</v>
      </c>
    </row>
    <row r="230" spans="1:10" ht="27" thickTop="1" thickBot="1" x14ac:dyDescent="0.4">
      <c r="A230" s="3" t="str" cm="1">
        <f t="array" ref="A230">"n"&amp;SUBSTITUTE(CreateGuidString(),"-","_")</f>
        <v>nE6DA5E66_6068_4EA6_AAF4_16D90EA44CD9</v>
      </c>
      <c r="B230" s="6" t="str">
        <f>NodesData[[#This Row],[name]]&amp;" ("&amp;NodesData[[#This Row],[main_class]]&amp;")"</f>
        <v>Interval Scale (Concept)</v>
      </c>
      <c r="C230" s="17" t="s">
        <v>914</v>
      </c>
      <c r="D230" s="3" t="s">
        <v>1409</v>
      </c>
      <c r="E230" s="10" t="s">
        <v>913</v>
      </c>
      <c r="F230" s="3">
        <f t="shared" si="3"/>
        <v>228</v>
      </c>
      <c r="G230" s="3">
        <f>COUNTIF(NodesData[label],NodesData[[#This Row],[label]])</f>
        <v>1</v>
      </c>
      <c r="H230" s="3">
        <f>COUNTIF(EdgesData[from],NodesData[[#This Row],[id]])+COUNTIF(EdgesData[to],NodesData[[#This Row],[id]])</f>
        <v>0</v>
      </c>
      <c r="I230" s="3">
        <f>IF(NodesData[[#This Row],[Used]]&gt;0,1,0)</f>
        <v>0</v>
      </c>
      <c r="J230" s="18" t="str" cm="1">
        <f t="array" ref="J230">IF(NodesData[[#This Row],[Count]]&gt;1,",","") &amp;"{"&amp;twoRangesToJSON(NodesData[[#Headers],[id]:[main_class]],NodesData[[#This Row],[id]:[main_class]])&amp;"}"</f>
        <v>,{"id":"nE6DA5E66_6068_4EA6_AAF4_16D90EA44CD9","label":"Interval Scale (Concept)","url":"https://open-measure.atlassian.net/wiki/spaces/DIC/pages/11567191","main_class":"Concept"}</v>
      </c>
    </row>
    <row r="231" spans="1:10" ht="27" thickTop="1" thickBot="1" x14ac:dyDescent="0.4">
      <c r="A231" s="3" t="str" cm="1">
        <f t="array" ref="A231">"n"&amp;SUBSTITUTE(CreateGuidString(),"-","_")</f>
        <v>n18AFCCBC_D4E0_4D1E_B5AE_3A1F11F54D17</v>
      </c>
      <c r="B231" s="6" t="str">
        <f>NodesData[[#This Row],[name]]&amp;" ("&amp;NodesData[[#This Row],[main_class]]&amp;")"</f>
        <v>In-band Authentication (Concept)</v>
      </c>
      <c r="C231" s="10"/>
      <c r="D231" s="3" t="s">
        <v>1409</v>
      </c>
      <c r="E231" s="10" t="s">
        <v>1343</v>
      </c>
      <c r="F231" s="3">
        <f t="shared" si="3"/>
        <v>229</v>
      </c>
      <c r="G231" s="3">
        <f>COUNTIF(NodesData[label],NodesData[[#This Row],[label]])</f>
        <v>1</v>
      </c>
      <c r="H231" s="3">
        <f>COUNTIF(EdgesData[from],NodesData[[#This Row],[id]])+COUNTIF(EdgesData[to],NodesData[[#This Row],[id]])</f>
        <v>0</v>
      </c>
      <c r="I231" s="3">
        <f>IF(NodesData[[#This Row],[Used]]&gt;0,1,0)</f>
        <v>0</v>
      </c>
      <c r="J231" s="18" t="str" cm="1">
        <f t="array" ref="J231">IF(NodesData[[#This Row],[Count]]&gt;1,",","") &amp;"{"&amp;twoRangesToJSON(NodesData[[#Headers],[id]:[main_class]],NodesData[[#This Row],[id]:[main_class]])&amp;"}"</f>
        <v>,{"id":"n18AFCCBC_D4E0_4D1E_B5AE_3A1F11F54D17","label":"In-band Authentication (Concept)","url":"","main_class":"Concept"}</v>
      </c>
    </row>
    <row r="232" spans="1:10" ht="27" thickTop="1" thickBot="1" x14ac:dyDescent="0.4">
      <c r="A232" s="3" t="str" cm="1">
        <f t="array" ref="A232">"n"&amp;SUBSTITUTE(CreateGuidString(),"-","_")</f>
        <v>nE021DD7C_8F86_4A5D_B6B1_DEDDA708FFDA</v>
      </c>
      <c r="B232" s="6" t="str">
        <f>NodesData[[#This Row],[name]]&amp;" ("&amp;NodesData[[#This Row],[main_class]]&amp;")"</f>
        <v>Isolated Identity Management System (Concept)</v>
      </c>
      <c r="C232" s="17" t="s">
        <v>916</v>
      </c>
      <c r="D232" s="3" t="s">
        <v>1409</v>
      </c>
      <c r="E232" s="10" t="s">
        <v>915</v>
      </c>
      <c r="F232" s="3">
        <f t="shared" si="3"/>
        <v>230</v>
      </c>
      <c r="G232" s="3">
        <f>COUNTIF(NodesData[label],NodesData[[#This Row],[label]])</f>
        <v>1</v>
      </c>
      <c r="H232" s="3">
        <f>COUNTIF(EdgesData[from],NodesData[[#This Row],[id]])+COUNTIF(EdgesData[to],NodesData[[#This Row],[id]])</f>
        <v>0</v>
      </c>
      <c r="I232" s="3">
        <f>IF(NodesData[[#This Row],[Used]]&gt;0,1,0)</f>
        <v>0</v>
      </c>
      <c r="J232" s="18" t="str" cm="1">
        <f t="array" ref="J232">IF(NodesData[[#This Row],[Count]]&gt;1,",","") &amp;"{"&amp;twoRangesToJSON(NodesData[[#Headers],[id]:[main_class]],NodesData[[#This Row],[id]:[main_class]])&amp;"}"</f>
        <v>,{"id":"nE021DD7C_8F86_4A5D_B6B1_DEDDA708FFDA","label":"Isolated Identity Management System (Concept)","url":"https://open-measure.atlassian.net/wiki/spaces/DIC/pages/1152483625","main_class":"Concept"}</v>
      </c>
    </row>
    <row r="233" spans="1:10" ht="27" thickTop="1" thickBot="1" x14ac:dyDescent="0.4">
      <c r="A233" s="3" t="str" cm="1">
        <f t="array" ref="A233">"n"&amp;SUBSTITUTE(CreateGuidString(),"-","_")</f>
        <v>n1606AE7C_1F93_466D_95BE_2D1DA7884D34</v>
      </c>
      <c r="B233" s="6" t="str">
        <f>NodesData[[#This Row],[name]]&amp;" ("&amp;NodesData[[#This Row],[main_class]]&amp;")"</f>
        <v>IT Asset Scope (Concept)</v>
      </c>
      <c r="C233" s="17" t="s">
        <v>918</v>
      </c>
      <c r="D233" s="3" t="s">
        <v>1409</v>
      </c>
      <c r="E233" s="10" t="s">
        <v>917</v>
      </c>
      <c r="F233" s="3">
        <f t="shared" si="3"/>
        <v>231</v>
      </c>
      <c r="G233" s="3">
        <f>COUNTIF(NodesData[label],NodesData[[#This Row],[label]])</f>
        <v>1</v>
      </c>
      <c r="H233" s="3">
        <f>COUNTIF(EdgesData[from],NodesData[[#This Row],[id]])+COUNTIF(EdgesData[to],NodesData[[#This Row],[id]])</f>
        <v>0</v>
      </c>
      <c r="I233" s="3">
        <f>IF(NodesData[[#This Row],[Used]]&gt;0,1,0)</f>
        <v>0</v>
      </c>
      <c r="J233" s="18" t="str" cm="1">
        <f t="array" ref="J233">IF(NodesData[[#This Row],[Count]]&gt;1,",","") &amp;"{"&amp;twoRangesToJSON(NodesData[[#Headers],[id]:[main_class]],NodesData[[#This Row],[id]:[main_class]])&amp;"}"</f>
        <v>,{"id":"n1606AE7C_1F93_466D_95BE_2D1DA7884D34","label":"IT Asset Scope (Concept)","url":"https://open-measure.atlassian.net/wiki/spaces/DIC/pages/720902","main_class":"Concept"}</v>
      </c>
    </row>
    <row r="234" spans="1:10" ht="27" thickTop="1" thickBot="1" x14ac:dyDescent="0.4">
      <c r="A234" s="3" t="str" cm="1">
        <f t="array" ref="A234">"n"&amp;SUBSTITUTE(CreateGuidString(),"-","_")</f>
        <v>n32E89C01_9039_48F7_AB2D_7833C0FEF023</v>
      </c>
      <c r="B234" s="6" t="str">
        <f>NodesData[[#This Row],[name]]&amp;" ("&amp;NodesData[[#This Row],[main_class]]&amp;")"</f>
        <v>IT System (Concept)</v>
      </c>
      <c r="C234" s="17" t="s">
        <v>919</v>
      </c>
      <c r="D234" s="3" t="s">
        <v>1409</v>
      </c>
      <c r="E234" s="10" t="s">
        <v>291</v>
      </c>
      <c r="F234" s="3">
        <f t="shared" si="3"/>
        <v>232</v>
      </c>
      <c r="G234" s="3">
        <f>COUNTIF(NodesData[label],NodesData[[#This Row],[label]])</f>
        <v>1</v>
      </c>
      <c r="H234" s="3">
        <f>COUNTIF(EdgesData[from],NodesData[[#This Row],[id]])+COUNTIF(EdgesData[to],NodesData[[#This Row],[id]])</f>
        <v>0</v>
      </c>
      <c r="I234" s="3">
        <f>IF(NodesData[[#This Row],[Used]]&gt;0,1,0)</f>
        <v>0</v>
      </c>
      <c r="J234" s="18" t="str" cm="1">
        <f t="array" ref="J234">IF(NodesData[[#This Row],[Count]]&gt;1,",","") &amp;"{"&amp;twoRangesToJSON(NodesData[[#Headers],[id]:[main_class]],NodesData[[#This Row],[id]:[main_class]])&amp;"}"</f>
        <v>,{"id":"n32E89C01_9039_48F7_AB2D_7833C0FEF023","label":"IT System (Concept)","url":"https://open-measure.atlassian.net/wiki/spaces/DIC/pages/1569095803/IT+System","main_class":"Concept"}</v>
      </c>
    </row>
    <row r="235" spans="1:10" ht="27" thickTop="1" thickBot="1" x14ac:dyDescent="0.4">
      <c r="A235" s="3" t="str" cm="1">
        <f t="array" ref="A235">"n"&amp;SUBSTITUTE(CreateGuidString(),"-","_")</f>
        <v>n98FB2CC5_9CB9_46C0_8DAA_64B0068A18E8</v>
      </c>
      <c r="B235" s="6" t="str">
        <f>NodesData[[#This Row],[name]]&amp;" ("&amp;NodesData[[#This Row],[main_class]]&amp;")"</f>
        <v>JML (Acronym)</v>
      </c>
      <c r="C235" s="17" t="s">
        <v>921</v>
      </c>
      <c r="D235" s="3" t="s">
        <v>1301</v>
      </c>
      <c r="E235" s="10" t="s">
        <v>920</v>
      </c>
      <c r="F235" s="3">
        <f t="shared" si="3"/>
        <v>233</v>
      </c>
      <c r="G235" s="3">
        <f>COUNTIF(NodesData[label],NodesData[[#This Row],[label]])</f>
        <v>1</v>
      </c>
      <c r="H235" s="3">
        <f>COUNTIF(EdgesData[from],NodesData[[#This Row],[id]])+COUNTIF(EdgesData[to],NodesData[[#This Row],[id]])</f>
        <v>0</v>
      </c>
      <c r="I235" s="3">
        <f>IF(NodesData[[#This Row],[Used]]&gt;0,1,0)</f>
        <v>0</v>
      </c>
      <c r="J235" s="18" t="str" cm="1">
        <f t="array" ref="J235">IF(NodesData[[#This Row],[Count]]&gt;1,",","") &amp;"{"&amp;twoRangesToJSON(NodesData[[#Headers],[id]:[main_class]],NodesData[[#This Row],[id]:[main_class]])&amp;"}"</f>
        <v>,{"id":"n98FB2CC5_9CB9_46C0_8DAA_64B0068A18E8","label":"JML (Acronym)","url":"https://open-measure.atlassian.net/wiki/spaces/DIC/pages/858488984","main_class":"Acronym"}</v>
      </c>
    </row>
    <row r="236" spans="1:10" ht="27" thickTop="1" thickBot="1" x14ac:dyDescent="0.4">
      <c r="A236" s="3" t="str" cm="1">
        <f t="array" ref="A236">"n"&amp;SUBSTITUTE(CreateGuidString(),"-","_")</f>
        <v>n1E6BD551_6B97_4B25_B394_004A90BF91D2</v>
      </c>
      <c r="B236" s="6" t="str">
        <f>NodesData[[#This Row],[name]]&amp;" ("&amp;NodesData[[#This Row],[main_class]]&amp;")"</f>
        <v>Joiner (Concept)</v>
      </c>
      <c r="C236" s="17" t="s">
        <v>923</v>
      </c>
      <c r="D236" s="3" t="s">
        <v>1409</v>
      </c>
      <c r="E236" s="10" t="s">
        <v>922</v>
      </c>
      <c r="F236" s="3">
        <f t="shared" si="3"/>
        <v>234</v>
      </c>
      <c r="G236" s="3">
        <f>COUNTIF(NodesData[label],NodesData[[#This Row],[label]])</f>
        <v>1</v>
      </c>
      <c r="H236" s="3">
        <f>COUNTIF(EdgesData[from],NodesData[[#This Row],[id]])+COUNTIF(EdgesData[to],NodesData[[#This Row],[id]])</f>
        <v>0</v>
      </c>
      <c r="I236" s="3">
        <f>IF(NodesData[[#This Row],[Used]]&gt;0,1,0)</f>
        <v>0</v>
      </c>
      <c r="J236" s="18" t="str" cm="1">
        <f t="array" ref="J236">IF(NodesData[[#This Row],[Count]]&gt;1,",","") &amp;"{"&amp;twoRangesToJSON(NodesData[[#Headers],[id]:[main_class]],NodesData[[#This Row],[id]:[main_class]])&amp;"}"</f>
        <v>,{"id":"n1E6BD551_6B97_4B25_B394_004A90BF91D2","label":"Joiner (Concept)","url":"https://open-measure.atlassian.net/wiki/spaces/DIC/pages/855506953","main_class":"Concept"}</v>
      </c>
    </row>
    <row r="237" spans="1:10" ht="27" thickTop="1" thickBot="1" x14ac:dyDescent="0.4">
      <c r="A237" s="3" t="str" cm="1">
        <f t="array" ref="A237">"n"&amp;SUBSTITUTE(CreateGuidString(),"-","_")</f>
        <v>n2C21D967_36EF_425D_A46A_91CB2AE1B90F</v>
      </c>
      <c r="B237" s="6" t="str">
        <f>NodesData[[#This Row],[name]]&amp;" ("&amp;NodesData[[#This Row],[main_class]]&amp;")"</f>
        <v>Joiner Hire Date (Concept)</v>
      </c>
      <c r="C237" s="17" t="s">
        <v>925</v>
      </c>
      <c r="D237" s="3" t="s">
        <v>1409</v>
      </c>
      <c r="E237" s="10" t="s">
        <v>924</v>
      </c>
      <c r="F237" s="3">
        <f t="shared" si="3"/>
        <v>235</v>
      </c>
      <c r="G237" s="3">
        <f>COUNTIF(NodesData[label],NodesData[[#This Row],[label]])</f>
        <v>1</v>
      </c>
      <c r="H237" s="3">
        <f>COUNTIF(EdgesData[from],NodesData[[#This Row],[id]])+COUNTIF(EdgesData[to],NodesData[[#This Row],[id]])</f>
        <v>0</v>
      </c>
      <c r="I237" s="3">
        <f>IF(NodesData[[#This Row],[Used]]&gt;0,1,0)</f>
        <v>0</v>
      </c>
      <c r="J237" s="18" t="str" cm="1">
        <f t="array" ref="J237">IF(NodesData[[#This Row],[Count]]&gt;1,",","") &amp;"{"&amp;twoRangesToJSON(NodesData[[#Headers],[id]:[main_class]],NodesData[[#This Row],[id]:[main_class]])&amp;"}"</f>
        <v>,{"id":"n2C21D967_36EF_425D_A46A_91CB2AE1B90F","label":"Joiner Hire Date (Concept)","url":"https://open-measure.atlassian.net/wiki/spaces/DIC/pages/858456203","main_class":"Concept"}</v>
      </c>
    </row>
    <row r="238" spans="1:10" ht="27" thickTop="1" thickBot="1" x14ac:dyDescent="0.4">
      <c r="A238" s="3" t="str" cm="1">
        <f t="array" ref="A238">"n"&amp;SUBSTITUTE(CreateGuidString(),"-","_")</f>
        <v>n6A3746F2_BFA5_4AD0_87BB_E985E5CE9619</v>
      </c>
      <c r="B238" s="6" t="str">
        <f>NodesData[[#This Row],[name]]&amp;" ("&amp;NodesData[[#This Row],[main_class]]&amp;")"</f>
        <v>Joiner Lead Time (Concept)</v>
      </c>
      <c r="C238" s="17" t="s">
        <v>927</v>
      </c>
      <c r="D238" s="3" t="s">
        <v>1409</v>
      </c>
      <c r="E238" s="10" t="s">
        <v>926</v>
      </c>
      <c r="F238" s="3">
        <f t="shared" si="3"/>
        <v>236</v>
      </c>
      <c r="G238" s="3">
        <f>COUNTIF(NodesData[label],NodesData[[#This Row],[label]])</f>
        <v>1</v>
      </c>
      <c r="H238" s="3">
        <f>COUNTIF(EdgesData[from],NodesData[[#This Row],[id]])+COUNTIF(EdgesData[to],NodesData[[#This Row],[id]])</f>
        <v>0</v>
      </c>
      <c r="I238" s="3">
        <f>IF(NodesData[[#This Row],[Used]]&gt;0,1,0)</f>
        <v>0</v>
      </c>
      <c r="J238" s="18" t="str" cm="1">
        <f t="array" ref="J238">IF(NodesData[[#This Row],[Count]]&gt;1,",","") &amp;"{"&amp;twoRangesToJSON(NodesData[[#Headers],[id]:[main_class]],NodesData[[#This Row],[id]:[main_class]])&amp;"}"</f>
        <v>,{"id":"n6A3746F2_BFA5_4AD0_87BB_E985E5CE9619","label":"Joiner Lead Time (Concept)","url":"https://open-measure.atlassian.net/wiki/spaces/DIC/pages/852492379","main_class":"Concept"}</v>
      </c>
    </row>
    <row r="239" spans="1:10" ht="27" thickTop="1" thickBot="1" x14ac:dyDescent="0.4">
      <c r="A239" s="3" t="str" cm="1">
        <f t="array" ref="A239">"n"&amp;SUBSTITUTE(CreateGuidString(),"-","_")</f>
        <v>nCDAF8C73_7F95_4D02_98AA_1C6CF5225DA3</v>
      </c>
      <c r="B239" s="6" t="str">
        <f>NodesData[[#This Row],[name]]&amp;" ("&amp;NodesData[[#This Row],[main_class]]&amp;")"</f>
        <v>Joiner Process (Concept)</v>
      </c>
      <c r="C239" s="17" t="s">
        <v>929</v>
      </c>
      <c r="D239" s="3" t="s">
        <v>1409</v>
      </c>
      <c r="E239" s="10" t="s">
        <v>928</v>
      </c>
      <c r="F239" s="3">
        <f t="shared" si="3"/>
        <v>237</v>
      </c>
      <c r="G239" s="3">
        <f>COUNTIF(NodesData[label],NodesData[[#This Row],[label]])</f>
        <v>1</v>
      </c>
      <c r="H239" s="3">
        <f>COUNTIF(EdgesData[from],NodesData[[#This Row],[id]])+COUNTIF(EdgesData[to],NodesData[[#This Row],[id]])</f>
        <v>0</v>
      </c>
      <c r="I239" s="3">
        <f>IF(NodesData[[#This Row],[Used]]&gt;0,1,0)</f>
        <v>0</v>
      </c>
      <c r="J239" s="18" t="str" cm="1">
        <f t="array" ref="J239">IF(NodesData[[#This Row],[Count]]&gt;1,",","") &amp;"{"&amp;twoRangesToJSON(NodesData[[#Headers],[id]:[main_class]],NodesData[[#This Row],[id]:[main_class]])&amp;"}"</f>
        <v>,{"id":"nCDAF8C73_7F95_4D02_98AA_1C6CF5225DA3","label":"Joiner Process (Concept)","url":"https://open-measure.atlassian.net/wiki/spaces/DIC/pages/858521641","main_class":"Concept"}</v>
      </c>
    </row>
    <row r="240" spans="1:10" ht="27" thickTop="1" thickBot="1" x14ac:dyDescent="0.4">
      <c r="A240" s="3" t="str" cm="1">
        <f t="array" ref="A240">"n"&amp;SUBSTITUTE(CreateGuidString(),"-","_")</f>
        <v>n434D1039_B344_4ED5_AA6D_7BE331513EFF</v>
      </c>
      <c r="B240" s="6" t="str">
        <f>NodesData[[#This Row],[name]]&amp;" ("&amp;NodesData[[#This Row],[main_class]]&amp;")"</f>
        <v>Joiner Start Date (Concept)</v>
      </c>
      <c r="C240" s="17" t="s">
        <v>931</v>
      </c>
      <c r="D240" s="3" t="s">
        <v>1409</v>
      </c>
      <c r="E240" s="10" t="s">
        <v>930</v>
      </c>
      <c r="F240" s="3">
        <f t="shared" si="3"/>
        <v>238</v>
      </c>
      <c r="G240" s="3">
        <f>COUNTIF(NodesData[label],NodesData[[#This Row],[label]])</f>
        <v>1</v>
      </c>
      <c r="H240" s="3">
        <f>COUNTIF(EdgesData[from],NodesData[[#This Row],[id]])+COUNTIF(EdgesData[to],NodesData[[#This Row],[id]])</f>
        <v>0</v>
      </c>
      <c r="I240" s="3">
        <f>IF(NodesData[[#This Row],[Used]]&gt;0,1,0)</f>
        <v>0</v>
      </c>
      <c r="J240" s="18" t="str" cm="1">
        <f t="array" ref="J240">IF(NodesData[[#This Row],[Count]]&gt;1,",","") &amp;"{"&amp;twoRangesToJSON(NodesData[[#Headers],[id]:[main_class]],NodesData[[#This Row],[id]:[main_class]])&amp;"}"</f>
        <v>,{"id":"n434D1039_B344_4ED5_AA6D_7BE331513EFF","label":"Joiner Start Date (Concept)","url":"https://open-measure.atlassian.net/wiki/spaces/DIC/pages/852492338","main_class":"Concept"}</v>
      </c>
    </row>
    <row r="241" spans="1:10" ht="27" thickTop="1" thickBot="1" x14ac:dyDescent="0.4">
      <c r="A241" s="3" t="str" cm="1">
        <f t="array" ref="A241">"n"&amp;SUBSTITUTE(CreateGuidString(),"-","_")</f>
        <v>nA1F581ED_C8EA_456A_B0D0_3DB50A90AFD3</v>
      </c>
      <c r="B241" s="6" t="str">
        <f>NodesData[[#This Row],[name]]&amp;" ("&amp;NodesData[[#This Row],[main_class]]&amp;")"</f>
        <v>Key Criteria Type (Concept)</v>
      </c>
      <c r="C241" s="17" t="s">
        <v>933</v>
      </c>
      <c r="D241" s="3" t="s">
        <v>1409</v>
      </c>
      <c r="E241" s="10" t="s">
        <v>932</v>
      </c>
      <c r="F241" s="3">
        <f t="shared" si="3"/>
        <v>239</v>
      </c>
      <c r="G241" s="3">
        <f>COUNTIF(NodesData[label],NodesData[[#This Row],[label]])</f>
        <v>1</v>
      </c>
      <c r="H241" s="3">
        <f>COUNTIF(EdgesData[from],NodesData[[#This Row],[id]])+COUNTIF(EdgesData[to],NodesData[[#This Row],[id]])</f>
        <v>0</v>
      </c>
      <c r="I241" s="3">
        <f>IF(NodesData[[#This Row],[Used]]&gt;0,1,0)</f>
        <v>0</v>
      </c>
      <c r="J241" s="18" t="str" cm="1">
        <f t="array" ref="J241">IF(NodesData[[#This Row],[Count]]&gt;1,",","") &amp;"{"&amp;twoRangesToJSON(NodesData[[#Headers],[id]:[main_class]],NodesData[[#This Row],[id]:[main_class]])&amp;"}"</f>
        <v>,{"id":"nA1F581ED_C8EA_456A_B0D0_3DB50A90AFD3","label":"Key Criteria Type (Concept)","url":"https://open-measure.atlassian.net/wiki/spaces/DIC/pages/140706011","main_class":"Concept"}</v>
      </c>
    </row>
    <row r="242" spans="1:10" ht="27" thickTop="1" thickBot="1" x14ac:dyDescent="0.4">
      <c r="A242" s="3" t="str" cm="1">
        <f t="array" ref="A242">"n"&amp;SUBSTITUTE(CreateGuidString(),"-","_")</f>
        <v>nE526CB1F_8633_4666_873E_EE9C54EAA52F</v>
      </c>
      <c r="B242" s="6" t="str">
        <f>NodesData[[#This Row],[name]]&amp;" ("&amp;NodesData[[#This Row],[main_class]]&amp;")"</f>
        <v>Key Information (Concept)</v>
      </c>
      <c r="C242" s="17" t="s">
        <v>935</v>
      </c>
      <c r="D242" s="3" t="s">
        <v>1409</v>
      </c>
      <c r="E242" s="10" t="s">
        <v>934</v>
      </c>
      <c r="F242" s="3">
        <f t="shared" si="3"/>
        <v>240</v>
      </c>
      <c r="G242" s="3">
        <f>COUNTIF(NodesData[label],NodesData[[#This Row],[label]])</f>
        <v>1</v>
      </c>
      <c r="H242" s="3">
        <f>COUNTIF(EdgesData[from],NodesData[[#This Row],[id]])+COUNTIF(EdgesData[to],NodesData[[#This Row],[id]])</f>
        <v>0</v>
      </c>
      <c r="I242" s="3">
        <f>IF(NodesData[[#This Row],[Used]]&gt;0,1,0)</f>
        <v>0</v>
      </c>
      <c r="J242" s="18" t="str" cm="1">
        <f t="array" ref="J242">IF(NodesData[[#This Row],[Count]]&gt;1,",","") &amp;"{"&amp;twoRangesToJSON(NodesData[[#Headers],[id]:[main_class]],NodesData[[#This Row],[id]:[main_class]])&amp;"}"</f>
        <v>,{"id":"nE526CB1F_8633_4666_873E_EE9C54EAA52F","label":"Key Information (Concept)","url":"https://open-measure.atlassian.net/wiki/spaces/DIC/pages/425623701","main_class":"Concept"}</v>
      </c>
    </row>
    <row r="243" spans="1:10" ht="27" thickTop="1" thickBot="1" x14ac:dyDescent="0.4">
      <c r="A243" s="3" t="str" cm="1">
        <f t="array" ref="A243">"n"&amp;SUBSTITUTE(CreateGuidString(),"-","_")</f>
        <v>n90591001_2213_4179_914B_D97CFB3DB4CB</v>
      </c>
      <c r="B243" s="6" t="str">
        <f>NodesData[[#This Row],[name]]&amp;" ("&amp;NodesData[[#This Row],[main_class]]&amp;")"</f>
        <v>Keying Material (Concept)</v>
      </c>
      <c r="C243" s="17" t="s">
        <v>937</v>
      </c>
      <c r="D243" s="3" t="s">
        <v>1409</v>
      </c>
      <c r="E243" s="10" t="s">
        <v>936</v>
      </c>
      <c r="F243" s="3">
        <f t="shared" si="3"/>
        <v>241</v>
      </c>
      <c r="G243" s="3">
        <f>COUNTIF(NodesData[label],NodesData[[#This Row],[label]])</f>
        <v>1</v>
      </c>
      <c r="H243" s="3">
        <f>COUNTIF(EdgesData[from],NodesData[[#This Row],[id]])+COUNTIF(EdgesData[to],NodesData[[#This Row],[id]])</f>
        <v>0</v>
      </c>
      <c r="I243" s="3">
        <f>IF(NodesData[[#This Row],[Used]]&gt;0,1,0)</f>
        <v>0</v>
      </c>
      <c r="J243" s="18" t="str" cm="1">
        <f t="array" ref="J243">IF(NodesData[[#This Row],[Count]]&gt;1,",","") &amp;"{"&amp;twoRangesToJSON(NodesData[[#Headers],[id]:[main_class]],NodesData[[#This Row],[id]:[main_class]])&amp;"}"</f>
        <v>,{"id":"n90591001_2213_4179_914B_D97CFB3DB4CB","label":"Keying Material (Concept)","url":"https://open-measure.atlassian.net/wiki/spaces/DIC/pages/427163745","main_class":"Concept"}</v>
      </c>
    </row>
    <row r="244" spans="1:10" ht="27" thickTop="1" thickBot="1" x14ac:dyDescent="0.4">
      <c r="A244" s="3" t="str" cm="1">
        <f t="array" ref="A244">"n"&amp;SUBSTITUTE(CreateGuidString(),"-","_")</f>
        <v>n761D7B93_0C1E_4DB7_AC0E_29B9880DC5C9</v>
      </c>
      <c r="B244" s="6" t="str">
        <f>NodesData[[#This Row],[name]]&amp;" ("&amp;NodesData[[#This Row],[main_class]]&amp;")"</f>
        <v>Iris Recognition Authentication (Concept)</v>
      </c>
      <c r="C244" s="12"/>
      <c r="D244" s="3" t="s">
        <v>1409</v>
      </c>
      <c r="E244" s="10" t="s">
        <v>1355</v>
      </c>
      <c r="F244" s="3">
        <f t="shared" si="3"/>
        <v>242</v>
      </c>
      <c r="G244" s="3">
        <f>COUNTIF(NodesData[label],NodesData[[#This Row],[label]])</f>
        <v>1</v>
      </c>
      <c r="H244" s="3">
        <f>COUNTIF(EdgesData[from],NodesData[[#This Row],[id]])+COUNTIF(EdgesData[to],NodesData[[#This Row],[id]])</f>
        <v>0</v>
      </c>
      <c r="I244" s="3">
        <f>IF(NodesData[[#This Row],[Used]]&gt;0,1,0)</f>
        <v>0</v>
      </c>
      <c r="J244" s="18" t="str" cm="1">
        <f t="array" ref="J244">IF(NodesData[[#This Row],[Count]]&gt;1,",","") &amp;"{"&amp;twoRangesToJSON(NodesData[[#Headers],[id]:[main_class]],NodesData[[#This Row],[id]:[main_class]])&amp;"}"</f>
        <v>,{"id":"n761D7B93_0C1E_4DB7_AC0E_29B9880DC5C9","label":"Iris Recognition Authentication (Concept)","url":"","main_class":"Concept"}</v>
      </c>
    </row>
    <row r="245" spans="1:10" ht="13.9" thickTop="1" thickBot="1" x14ac:dyDescent="0.4">
      <c r="A245" s="3" t="str" cm="1">
        <f t="array" ref="A245">"n"&amp;SUBSTITUTE(CreateGuidString(),"-","_")</f>
        <v>n9A402B8B_0F33_43CE_AD39_D5DC652816C2</v>
      </c>
      <c r="B245" s="6" t="str">
        <f>NodesData[[#This Row],[name]]&amp;" ("&amp;NodesData[[#This Row],[main_class]]&amp;")"</f>
        <v>Knowledge Factor (Concept)</v>
      </c>
      <c r="C245" s="10"/>
      <c r="D245" s="3" t="s">
        <v>1409</v>
      </c>
      <c r="E245" s="10" t="s">
        <v>5</v>
      </c>
      <c r="F245" s="3">
        <f t="shared" si="3"/>
        <v>243</v>
      </c>
      <c r="G245" s="3">
        <f>COUNTIF(NodesData[label],NodesData[[#This Row],[label]])</f>
        <v>1</v>
      </c>
      <c r="H245" s="3">
        <f>COUNTIF(EdgesData[from],NodesData[[#This Row],[id]])+COUNTIF(EdgesData[to],NodesData[[#This Row],[id]])</f>
        <v>0</v>
      </c>
      <c r="I245" s="3">
        <f>IF(NodesData[[#This Row],[Used]]&gt;0,1,0)</f>
        <v>0</v>
      </c>
      <c r="J245" s="18" t="str" cm="1">
        <f t="array" ref="J245">IF(NodesData[[#This Row],[Count]]&gt;1,",","") &amp;"{"&amp;twoRangesToJSON(NodesData[[#Headers],[id]:[main_class]],NodesData[[#This Row],[id]:[main_class]])&amp;"}"</f>
        <v>,{"id":"n9A402B8B_0F33_43CE_AD39_D5DC652816C2","label":"Knowledge Factor (Concept)","url":"","main_class":"Concept"}</v>
      </c>
    </row>
    <row r="246" spans="1:10" ht="27" thickTop="1" thickBot="1" x14ac:dyDescent="0.4">
      <c r="A246" s="3" t="str" cm="1">
        <f t="array" ref="A246">"n"&amp;SUBSTITUTE(CreateGuidString(),"-","_")</f>
        <v>nB00ECB36_C16C_421F_99BE_5A1A246890F8</v>
      </c>
      <c r="B246" s="6" t="str">
        <f>NodesData[[#This Row],[name]]&amp;" ("&amp;NodesData[[#This Row],[main_class]]&amp;")"</f>
        <v>Keystroke Recognition Authentication (Concept)</v>
      </c>
      <c r="C246" s="12"/>
      <c r="D246" s="3" t="s">
        <v>1409</v>
      </c>
      <c r="E246" s="10" t="s">
        <v>1356</v>
      </c>
      <c r="F246" s="3">
        <f t="shared" si="3"/>
        <v>244</v>
      </c>
      <c r="G246" s="3">
        <f>COUNTIF(NodesData[label],NodesData[[#This Row],[label]])</f>
        <v>1</v>
      </c>
      <c r="H246" s="3">
        <f>COUNTIF(EdgesData[from],NodesData[[#This Row],[id]])+COUNTIF(EdgesData[to],NodesData[[#This Row],[id]])</f>
        <v>0</v>
      </c>
      <c r="I246" s="3">
        <f>IF(NodesData[[#This Row],[Used]]&gt;0,1,0)</f>
        <v>0</v>
      </c>
      <c r="J246" s="18" t="str" cm="1">
        <f t="array" ref="J246">IF(NodesData[[#This Row],[Count]]&gt;1,",","") &amp;"{"&amp;twoRangesToJSON(NodesData[[#Headers],[id]:[main_class]],NodesData[[#This Row],[id]:[main_class]])&amp;"}"</f>
        <v>,{"id":"nB00ECB36_C16C_421F_99BE_5A1A246890F8","label":"Keystroke Recognition Authentication (Concept)","url":"","main_class":"Concept"}</v>
      </c>
    </row>
    <row r="247" spans="1:10" ht="27" thickTop="1" thickBot="1" x14ac:dyDescent="0.4">
      <c r="A247" s="3" t="str" cm="1">
        <f t="array" ref="A247">"n"&amp;SUBSTITUTE(CreateGuidString(),"-","_")</f>
        <v>n4345B510_B406_43DF_B137_DC12952CB68B</v>
      </c>
      <c r="B247" s="6" t="str">
        <f>NodesData[[#This Row],[name]]&amp;" ("&amp;NodesData[[#This Row],[main_class]]&amp;")"</f>
        <v>KYC (Acronym)</v>
      </c>
      <c r="C247" s="17" t="s">
        <v>939</v>
      </c>
      <c r="D247" s="3" t="s">
        <v>1301</v>
      </c>
      <c r="E247" s="10" t="s">
        <v>938</v>
      </c>
      <c r="F247" s="3">
        <f t="shared" si="3"/>
        <v>245</v>
      </c>
      <c r="G247" s="3">
        <f>COUNTIF(NodesData[label],NodesData[[#This Row],[label]])</f>
        <v>1</v>
      </c>
      <c r="H247" s="3">
        <f>COUNTIF(EdgesData[from],NodesData[[#This Row],[id]])+COUNTIF(EdgesData[to],NodesData[[#This Row],[id]])</f>
        <v>0</v>
      </c>
      <c r="I247" s="3">
        <f>IF(NodesData[[#This Row],[Used]]&gt;0,1,0)</f>
        <v>0</v>
      </c>
      <c r="J247" s="18" t="str" cm="1">
        <f t="array" ref="J247">IF(NodesData[[#This Row],[Count]]&gt;1,",","") &amp;"{"&amp;twoRangesToJSON(NodesData[[#Headers],[id]:[main_class]],NodesData[[#This Row],[id]:[main_class]])&amp;"}"</f>
        <v>,{"id":"n4345B510_B406_43DF_B137_DC12952CB68B","label":"KYC (Acronym)","url":"https://open-measure.atlassian.net/wiki/spaces/DIC/pages/442499114","main_class":"Acronym"}</v>
      </c>
    </row>
    <row r="248" spans="1:10" ht="27" thickTop="1" thickBot="1" x14ac:dyDescent="0.4">
      <c r="A248" s="3" t="str" cm="1">
        <f t="array" ref="A248">"n"&amp;SUBSTITUTE(CreateGuidString(),"-","_")</f>
        <v>n6253530F_CE34_47F8_80BE_6D7FBC479431</v>
      </c>
      <c r="B248" s="6" t="str">
        <f>NodesData[[#This Row],[name]]&amp;" ("&amp;NodesData[[#This Row],[main_class]]&amp;")"</f>
        <v>KYC Registry (Concept)</v>
      </c>
      <c r="C248" s="17" t="s">
        <v>941</v>
      </c>
      <c r="D248" s="3" t="s">
        <v>1409</v>
      </c>
      <c r="E248" s="10" t="s">
        <v>940</v>
      </c>
      <c r="F248" s="3">
        <f t="shared" si="3"/>
        <v>246</v>
      </c>
      <c r="G248" s="3">
        <f>COUNTIF(NodesData[label],NodesData[[#This Row],[label]])</f>
        <v>1</v>
      </c>
      <c r="H248" s="3">
        <f>COUNTIF(EdgesData[from],NodesData[[#This Row],[id]])+COUNTIF(EdgesData[to],NodesData[[#This Row],[id]])</f>
        <v>0</v>
      </c>
      <c r="I248" s="3">
        <f>IF(NodesData[[#This Row],[Used]]&gt;0,1,0)</f>
        <v>0</v>
      </c>
      <c r="J248" s="18" t="str" cm="1">
        <f t="array" ref="J248">IF(NodesData[[#This Row],[Count]]&gt;1,",","") &amp;"{"&amp;twoRangesToJSON(NodesData[[#Headers],[id]:[main_class]],NodesData[[#This Row],[id]:[main_class]])&amp;"}"</f>
        <v>,{"id":"n6253530F_CE34_47F8_80BE_6D7FBC479431","label":"KYC Registry (Concept)","url":"https://open-measure.atlassian.net/wiki/spaces/DIC/pages/442400811","main_class":"Concept"}</v>
      </c>
    </row>
    <row r="249" spans="1:10" ht="27" thickTop="1" thickBot="1" x14ac:dyDescent="0.4">
      <c r="A249" s="3" t="str" cm="1">
        <f t="array" ref="A249">"n"&amp;SUBSTITUTE(CreateGuidString(),"-","_")</f>
        <v>n425E8928_A655_4B34_8161_C3515A4810E1</v>
      </c>
      <c r="B249" s="6" t="str">
        <f>NodesData[[#This Row],[name]]&amp;" ("&amp;NodesData[[#This Row],[main_class]]&amp;")"</f>
        <v>Lattice-Based Access Control (Concept)</v>
      </c>
      <c r="C249" s="17" t="s">
        <v>943</v>
      </c>
      <c r="D249" s="3" t="s">
        <v>1409</v>
      </c>
      <c r="E249" s="10" t="s">
        <v>942</v>
      </c>
      <c r="F249" s="3">
        <f t="shared" si="3"/>
        <v>247</v>
      </c>
      <c r="G249" s="3">
        <f>COUNTIF(NodesData[label],NodesData[[#This Row],[label]])</f>
        <v>1</v>
      </c>
      <c r="H249" s="3">
        <f>COUNTIF(EdgesData[from],NodesData[[#This Row],[id]])+COUNTIF(EdgesData[to],NodesData[[#This Row],[id]])</f>
        <v>0</v>
      </c>
      <c r="I249" s="3">
        <f>IF(NodesData[[#This Row],[Used]]&gt;0,1,0)</f>
        <v>0</v>
      </c>
      <c r="J249" s="18" t="str" cm="1">
        <f t="array" ref="J249">IF(NodesData[[#This Row],[Count]]&gt;1,",","") &amp;"{"&amp;twoRangesToJSON(NodesData[[#Headers],[id]:[main_class]],NodesData[[#This Row],[id]:[main_class]])&amp;"}"</f>
        <v>,{"id":"n425E8928_A655_4B34_8161_C3515A4810E1","label":"Lattice-Based Access Control (Concept)","url":"https://open-measure.atlassian.net/wiki/spaces/DIC/pages/1177681925","main_class":"Concept"}</v>
      </c>
    </row>
    <row r="250" spans="1:10" ht="27" thickTop="1" thickBot="1" x14ac:dyDescent="0.4">
      <c r="A250" s="3" t="str" cm="1">
        <f t="array" ref="A250">"n"&amp;SUBSTITUTE(CreateGuidString(),"-","_")</f>
        <v>nC0C26D4A_3192_4689_84F0_4782ABC3E5C3</v>
      </c>
      <c r="B250" s="6" t="str">
        <f>NodesData[[#This Row],[name]]&amp;" ("&amp;NodesData[[#This Row],[main_class]]&amp;")"</f>
        <v>Layers Architectural Pattern (Concept)</v>
      </c>
      <c r="C250" s="17" t="s">
        <v>945</v>
      </c>
      <c r="D250" s="3" t="s">
        <v>1409</v>
      </c>
      <c r="E250" s="10" t="s">
        <v>944</v>
      </c>
      <c r="F250" s="3">
        <f t="shared" si="3"/>
        <v>248</v>
      </c>
      <c r="G250" s="3">
        <f>COUNTIF(NodesData[label],NodesData[[#This Row],[label]])</f>
        <v>1</v>
      </c>
      <c r="H250" s="3">
        <f>COUNTIF(EdgesData[from],NodesData[[#This Row],[id]])+COUNTIF(EdgesData[to],NodesData[[#This Row],[id]])</f>
        <v>0</v>
      </c>
      <c r="I250" s="3">
        <f>IF(NodesData[[#This Row],[Used]]&gt;0,1,0)</f>
        <v>0</v>
      </c>
      <c r="J250" s="18" t="str" cm="1">
        <f t="array" ref="J250">IF(NodesData[[#This Row],[Count]]&gt;1,",","") &amp;"{"&amp;twoRangesToJSON(NodesData[[#Headers],[id]:[main_class]],NodesData[[#This Row],[id]:[main_class]])&amp;"}"</f>
        <v>,{"id":"nC0C26D4A_3192_4689_84F0_4782ABC3E5C3","label":"Layers Architectural Pattern (Concept)","url":"https://open-measure.atlassian.net/wiki/spaces/DIC/pages/1181843548","main_class":"Concept"}</v>
      </c>
    </row>
    <row r="251" spans="1:10" ht="27" thickTop="1" thickBot="1" x14ac:dyDescent="0.4">
      <c r="A251" s="3" t="str" cm="1">
        <f t="array" ref="A251">"n"&amp;SUBSTITUTE(CreateGuidString(),"-","_")</f>
        <v>n7381441C_9A29_4B81_B1DE_880D1A20F647</v>
      </c>
      <c r="B251" s="6" t="str">
        <f>NodesData[[#This Row],[name]]&amp;" ("&amp;NodesData[[#This Row],[main_class]]&amp;")"</f>
        <v>LBAC (Acronym)</v>
      </c>
      <c r="C251" s="17" t="s">
        <v>947</v>
      </c>
      <c r="D251" s="3" t="s">
        <v>1301</v>
      </c>
      <c r="E251" s="10" t="s">
        <v>946</v>
      </c>
      <c r="F251" s="3">
        <f t="shared" si="3"/>
        <v>249</v>
      </c>
      <c r="G251" s="3">
        <f>COUNTIF(NodesData[label],NodesData[[#This Row],[label]])</f>
        <v>1</v>
      </c>
      <c r="H251" s="3">
        <f>COUNTIF(EdgesData[from],NodesData[[#This Row],[id]])+COUNTIF(EdgesData[to],NodesData[[#This Row],[id]])</f>
        <v>0</v>
      </c>
      <c r="I251" s="3">
        <f>IF(NodesData[[#This Row],[Used]]&gt;0,1,0)</f>
        <v>0</v>
      </c>
      <c r="J251" s="18" t="str" cm="1">
        <f t="array" ref="J251">IF(NodesData[[#This Row],[Count]]&gt;1,",","") &amp;"{"&amp;twoRangesToJSON(NodesData[[#Headers],[id]:[main_class]],NodesData[[#This Row],[id]:[main_class]])&amp;"}"</f>
        <v>,{"id":"n7381441C_9A29_4B81_B1DE_880D1A20F647","label":"LBAC (Acronym)","url":"https://open-measure.atlassian.net/wiki/spaces/DIC/pages/1177780225","main_class":"Acronym"}</v>
      </c>
    </row>
    <row r="252" spans="1:10" ht="27" thickTop="1" thickBot="1" x14ac:dyDescent="0.4">
      <c r="A252" s="3" t="str" cm="1">
        <f t="array" ref="A252">"n"&amp;SUBSTITUTE(CreateGuidString(),"-","_")</f>
        <v>n6091E22B_10F2_4270_A81F_171D3EEA41EE</v>
      </c>
      <c r="B252" s="6" t="str">
        <f>NodesData[[#This Row],[name]]&amp;" ("&amp;NodesData[[#This Row],[main_class]]&amp;")"</f>
        <v>Leading Indicator (Concept)</v>
      </c>
      <c r="C252" s="17" t="s">
        <v>949</v>
      </c>
      <c r="D252" s="3" t="s">
        <v>1409</v>
      </c>
      <c r="E252" s="10" t="s">
        <v>948</v>
      </c>
      <c r="F252" s="3">
        <f t="shared" si="3"/>
        <v>250</v>
      </c>
      <c r="G252" s="3">
        <f>COUNTIF(NodesData[label],NodesData[[#This Row],[label]])</f>
        <v>1</v>
      </c>
      <c r="H252" s="3">
        <f>COUNTIF(EdgesData[from],NodesData[[#This Row],[id]])+COUNTIF(EdgesData[to],NodesData[[#This Row],[id]])</f>
        <v>0</v>
      </c>
      <c r="I252" s="3">
        <f>IF(NodesData[[#This Row],[Used]]&gt;0,1,0)</f>
        <v>0</v>
      </c>
      <c r="J252" s="18" t="str" cm="1">
        <f t="array" ref="J252">IF(NodesData[[#This Row],[Count]]&gt;1,",","") &amp;"{"&amp;twoRangesToJSON(NodesData[[#Headers],[id]:[main_class]],NodesData[[#This Row],[id]:[main_class]])&amp;"}"</f>
        <v>,{"id":"n6091E22B_10F2_4270_A81F_171D3EEA41EE","label":"Leading Indicator (Concept)","url":"https://open-measure.atlassian.net/wiki/spaces/DIC/pages/49250375","main_class":"Concept"}</v>
      </c>
    </row>
    <row r="253" spans="1:10" ht="27" thickTop="1" thickBot="1" x14ac:dyDescent="0.4">
      <c r="A253" s="3" t="str" cm="1">
        <f t="array" ref="A253">"n"&amp;SUBSTITUTE(CreateGuidString(),"-","_")</f>
        <v>n4566DAF0_394C_4B25_934A_C9E8C409C9B3</v>
      </c>
      <c r="B253" s="6" t="str">
        <f>NodesData[[#This Row],[name]]&amp;" ("&amp;NodesData[[#This Row],[main_class]]&amp;")"</f>
        <v>Least Privilege (Concept)</v>
      </c>
      <c r="C253" s="17" t="s">
        <v>951</v>
      </c>
      <c r="D253" s="3" t="s">
        <v>1409</v>
      </c>
      <c r="E253" s="10" t="s">
        <v>950</v>
      </c>
      <c r="F253" s="3">
        <f t="shared" si="3"/>
        <v>251</v>
      </c>
      <c r="G253" s="3">
        <f>COUNTIF(NodesData[label],NodesData[[#This Row],[label]])</f>
        <v>1</v>
      </c>
      <c r="H253" s="3">
        <f>COUNTIF(EdgesData[from],NodesData[[#This Row],[id]])+COUNTIF(EdgesData[to],NodesData[[#This Row],[id]])</f>
        <v>0</v>
      </c>
      <c r="I253" s="3">
        <f>IF(NodesData[[#This Row],[Used]]&gt;0,1,0)</f>
        <v>0</v>
      </c>
      <c r="J253" s="18" t="str" cm="1">
        <f t="array" ref="J253">IF(NodesData[[#This Row],[Count]]&gt;1,",","") &amp;"{"&amp;twoRangesToJSON(NodesData[[#Headers],[id]:[main_class]],NodesData[[#This Row],[id]:[main_class]])&amp;"}"</f>
        <v>,{"id":"n4566DAF0_394C_4B25_934A_C9E8C409C9B3","label":"Least Privilege (Concept)","url":"https://open-measure.atlassian.net/wiki/spaces/DIC/pages/1006698533","main_class":"Concept"}</v>
      </c>
    </row>
    <row r="254" spans="1:10" ht="27" thickTop="1" thickBot="1" x14ac:dyDescent="0.4">
      <c r="A254" s="3" t="str" cm="1">
        <f t="array" ref="A254">"n"&amp;SUBSTITUTE(CreateGuidString(),"-","_")</f>
        <v>nE2C246A3_97E2_4CE4_BAB2_F1DE9F682776</v>
      </c>
      <c r="B254" s="6" t="str">
        <f>NodesData[[#This Row],[name]]&amp;" ("&amp;NodesData[[#This Row],[main_class]]&amp;")"</f>
        <v>Legal Entity Identifier (Concept)</v>
      </c>
      <c r="C254" s="17" t="s">
        <v>953</v>
      </c>
      <c r="D254" s="3" t="s">
        <v>1409</v>
      </c>
      <c r="E254" s="10" t="s">
        <v>952</v>
      </c>
      <c r="F254" s="3">
        <f t="shared" si="3"/>
        <v>252</v>
      </c>
      <c r="G254" s="3">
        <f>COUNTIF(NodesData[label],NodesData[[#This Row],[label]])</f>
        <v>1</v>
      </c>
      <c r="H254" s="3">
        <f>COUNTIF(EdgesData[from],NodesData[[#This Row],[id]])+COUNTIF(EdgesData[to],NodesData[[#This Row],[id]])</f>
        <v>0</v>
      </c>
      <c r="I254" s="3">
        <f>IF(NodesData[[#This Row],[Used]]&gt;0,1,0)</f>
        <v>0</v>
      </c>
      <c r="J254" s="18" t="str" cm="1">
        <f t="array" ref="J254">IF(NodesData[[#This Row],[Count]]&gt;1,",","") &amp;"{"&amp;twoRangesToJSON(NodesData[[#Headers],[id]:[main_class]],NodesData[[#This Row],[id]:[main_class]])&amp;"}"</f>
        <v>,{"id":"nE2C246A3_97E2_4CE4_BAB2_F1DE9F682776","label":"Legal Entity Identifier (Concept)","url":"https://open-measure.atlassian.net/wiki/spaces/DIC/pages/442466361","main_class":"Concept"}</v>
      </c>
    </row>
    <row r="255" spans="1:10" ht="27" thickTop="1" thickBot="1" x14ac:dyDescent="0.4">
      <c r="A255" s="3" t="str" cm="1">
        <f t="array" ref="A255">"n"&amp;SUBSTITUTE(CreateGuidString(),"-","_")</f>
        <v>nDF5A0980_A06B_44BE_ACDC_5B50FDE937CC</v>
      </c>
      <c r="B255" s="6" t="str">
        <f>NodesData[[#This Row],[name]]&amp;" ("&amp;NodesData[[#This Row],[main_class]]&amp;")"</f>
        <v>Legitimate Privilege Abuse (Concept)</v>
      </c>
      <c r="C255" s="17" t="s">
        <v>955</v>
      </c>
      <c r="D255" s="3" t="s">
        <v>1409</v>
      </c>
      <c r="E255" s="10" t="s">
        <v>954</v>
      </c>
      <c r="F255" s="3">
        <f t="shared" si="3"/>
        <v>253</v>
      </c>
      <c r="G255" s="3">
        <f>COUNTIF(NodesData[label],NodesData[[#This Row],[label]])</f>
        <v>1</v>
      </c>
      <c r="H255" s="3">
        <f>COUNTIF(EdgesData[from],NodesData[[#This Row],[id]])+COUNTIF(EdgesData[to],NodesData[[#This Row],[id]])</f>
        <v>0</v>
      </c>
      <c r="I255" s="3">
        <f>IF(NodesData[[#This Row],[Used]]&gt;0,1,0)</f>
        <v>0</v>
      </c>
      <c r="J255" s="18" t="str" cm="1">
        <f t="array" ref="J255">IF(NodesData[[#This Row],[Count]]&gt;1,",","") &amp;"{"&amp;twoRangesToJSON(NodesData[[#Headers],[id]:[main_class]],NodesData[[#This Row],[id]:[main_class]])&amp;"}"</f>
        <v>,{"id":"nDF5A0980_A06B_44BE_ACDC_5B50FDE937CC","label":"Legitimate Privilege Abuse (Concept)","url":"https://open-measure.atlassian.net/wiki/spaces/DIC/pages/1104936974","main_class":"Concept"}</v>
      </c>
    </row>
    <row r="256" spans="1:10" ht="27" thickTop="1" thickBot="1" x14ac:dyDescent="0.4">
      <c r="A256" s="3" t="str" cm="1">
        <f t="array" ref="A256">"n"&amp;SUBSTITUTE(CreateGuidString(),"-","_")</f>
        <v>nCDAB00CC_EA5A_49FF_856F_0780E4D07073</v>
      </c>
      <c r="B256" s="6" t="str">
        <f>NodesData[[#This Row],[name]]&amp;" ("&amp;NodesData[[#This Row],[main_class]]&amp;")"</f>
        <v>LEI (Acronym)</v>
      </c>
      <c r="C256" s="17" t="s">
        <v>957</v>
      </c>
      <c r="D256" s="3" t="s">
        <v>1301</v>
      </c>
      <c r="E256" s="10" t="s">
        <v>956</v>
      </c>
      <c r="F256" s="3">
        <f t="shared" si="3"/>
        <v>254</v>
      </c>
      <c r="G256" s="3">
        <f>COUNTIF(NodesData[label],NodesData[[#This Row],[label]])</f>
        <v>1</v>
      </c>
      <c r="H256" s="3">
        <f>COUNTIF(EdgesData[from],NodesData[[#This Row],[id]])+COUNTIF(EdgesData[to],NodesData[[#This Row],[id]])</f>
        <v>0</v>
      </c>
      <c r="I256" s="3">
        <f>IF(NodesData[[#This Row],[Used]]&gt;0,1,0)</f>
        <v>0</v>
      </c>
      <c r="J256" s="18" t="str" cm="1">
        <f t="array" ref="J256">IF(NodesData[[#This Row],[Count]]&gt;1,",","") &amp;"{"&amp;twoRangesToJSON(NodesData[[#Headers],[id]:[main_class]],NodesData[[#This Row],[id]:[main_class]])&amp;"}"</f>
        <v>,{"id":"nCDAB00CC_EA5A_49FF_856F_0780E4D07073","label":"LEI (Acronym)","url":"https://open-measure.atlassian.net/wiki/spaces/DIC/pages/442368033","main_class":"Acronym"}</v>
      </c>
    </row>
    <row r="257" spans="1:10" ht="27" thickTop="1" thickBot="1" x14ac:dyDescent="0.4">
      <c r="A257" s="3" t="str" cm="1">
        <f t="array" ref="A257">"n"&amp;SUBSTITUTE(CreateGuidString(),"-","_")</f>
        <v>n9696B8DE_D8BB_4ED8_96B3_7C4AB51899AC</v>
      </c>
      <c r="B257" s="6" t="str">
        <f>NodesData[[#This Row],[name]]&amp;" ("&amp;NodesData[[#This Row],[main_class]]&amp;")"</f>
        <v>Levels of Assurance (Concept)</v>
      </c>
      <c r="C257" s="17" t="s">
        <v>959</v>
      </c>
      <c r="D257" s="3" t="s">
        <v>1409</v>
      </c>
      <c r="E257" s="10" t="s">
        <v>958</v>
      </c>
      <c r="F257" s="3">
        <f t="shared" si="3"/>
        <v>255</v>
      </c>
      <c r="G257" s="3">
        <f>COUNTIF(NodesData[label],NodesData[[#This Row],[label]])</f>
        <v>1</v>
      </c>
      <c r="H257" s="3">
        <f>COUNTIF(EdgesData[from],NodesData[[#This Row],[id]])+COUNTIF(EdgesData[to],NodesData[[#This Row],[id]])</f>
        <v>0</v>
      </c>
      <c r="I257" s="3">
        <f>IF(NodesData[[#This Row],[Used]]&gt;0,1,0)</f>
        <v>0</v>
      </c>
      <c r="J257" s="18" t="str" cm="1">
        <f t="array" ref="J257">IF(NodesData[[#This Row],[Count]]&gt;1,",","") &amp;"{"&amp;twoRangesToJSON(NodesData[[#Headers],[id]:[main_class]],NodesData[[#This Row],[id]:[main_class]])&amp;"}"</f>
        <v>,{"id":"n9696B8DE_D8BB_4ED8_96B3_7C4AB51899AC","label":"Levels of Assurance (Concept)","url":"https://open-measure.atlassian.net/wiki/spaces/DIC/pages/442466381","main_class":"Concept"}</v>
      </c>
    </row>
    <row r="258" spans="1:10" ht="27" thickTop="1" thickBot="1" x14ac:dyDescent="0.4">
      <c r="A258" s="3" t="str" cm="1">
        <f t="array" ref="A258">"n"&amp;SUBSTITUTE(CreateGuidString(),"-","_")</f>
        <v>n66B7FF11_D72E_4A93_BC38_1B1DF385BB81</v>
      </c>
      <c r="B258" s="6" t="str">
        <f>NodesData[[#This Row],[name]]&amp;" ("&amp;NodesData[[#This Row],[main_class]]&amp;")"</f>
        <v>Liberal Discretionary Access Control (Concept)</v>
      </c>
      <c r="C258" s="17" t="s">
        <v>961</v>
      </c>
      <c r="D258" s="3" t="s">
        <v>1409</v>
      </c>
      <c r="E258" s="10" t="s">
        <v>960</v>
      </c>
      <c r="F258" s="3">
        <f t="shared" si="3"/>
        <v>256</v>
      </c>
      <c r="G258" s="3">
        <f>COUNTIF(NodesData[label],NodesData[[#This Row],[label]])</f>
        <v>1</v>
      </c>
      <c r="H258" s="3">
        <f>COUNTIF(EdgesData[from],NodesData[[#This Row],[id]])+COUNTIF(EdgesData[to],NodesData[[#This Row],[id]])</f>
        <v>0</v>
      </c>
      <c r="I258" s="3">
        <f>IF(NodesData[[#This Row],[Used]]&gt;0,1,0)</f>
        <v>0</v>
      </c>
      <c r="J258" s="18" t="str" cm="1">
        <f t="array" ref="J258">IF(NodesData[[#This Row],[Count]]&gt;1,",","") &amp;"{"&amp;twoRangesToJSON(NodesData[[#Headers],[id]:[main_class]],NodesData[[#This Row],[id]:[main_class]])&amp;"}"</f>
        <v>,{"id":"n66B7FF11_D72E_4A93_BC38_1B1DF385BB81","label":"Liberal Discretionary Access Control (Concept)","url":"https://open-measure.atlassian.net/wiki/spaces/DIC/pages/1177845957","main_class":"Concept"}</v>
      </c>
    </row>
    <row r="259" spans="1:10" ht="27" thickTop="1" thickBot="1" x14ac:dyDescent="0.4">
      <c r="A259" s="3" t="str" cm="1">
        <f t="array" ref="A259">"n"&amp;SUBSTITUTE(CreateGuidString(),"-","_")</f>
        <v>nC6F0BA2A_FA7A_454A_9A1F_70BCAFCA9DE4</v>
      </c>
      <c r="B259" s="6" t="str">
        <f>NodesData[[#This Row],[name]]&amp;" ("&amp;NodesData[[#This Row],[main_class]]&amp;")"</f>
        <v>LOA (Acronym)</v>
      </c>
      <c r="C259" s="17" t="s">
        <v>963</v>
      </c>
      <c r="D259" s="3" t="s">
        <v>1301</v>
      </c>
      <c r="E259" s="10" t="s">
        <v>962</v>
      </c>
      <c r="F259" s="3">
        <f t="shared" si="3"/>
        <v>257</v>
      </c>
      <c r="G259" s="3">
        <f>COUNTIF(NodesData[label],NodesData[[#This Row],[label]])</f>
        <v>1</v>
      </c>
      <c r="H259" s="3">
        <f>COUNTIF(EdgesData[from],NodesData[[#This Row],[id]])+COUNTIF(EdgesData[to],NodesData[[#This Row],[id]])</f>
        <v>0</v>
      </c>
      <c r="I259" s="3">
        <f>IF(NodesData[[#This Row],[Used]]&gt;0,1,0)</f>
        <v>0</v>
      </c>
      <c r="J259" s="18" t="str" cm="1">
        <f t="array" ref="J259">IF(NodesData[[#This Row],[Count]]&gt;1,",","") &amp;"{"&amp;twoRangesToJSON(NodesData[[#Headers],[id]:[main_class]],NodesData[[#This Row],[id]:[main_class]])&amp;"}"</f>
        <v>,{"id":"nC6F0BA2A_FA7A_454A_9A1F_70BCAFCA9DE4","label":"LOA (Acronym)","url":"https://open-measure.atlassian.net/wiki/spaces/DIC/pages/442400912","main_class":"Acronym"}</v>
      </c>
    </row>
    <row r="260" spans="1:10" ht="13.9" thickTop="1" thickBot="1" x14ac:dyDescent="0.4">
      <c r="A260" s="3" t="str" cm="1">
        <f t="array" ref="A260">"n"&amp;SUBSTITUTE(CreateGuidString(),"-","_")</f>
        <v>n93BF85AD_0C99_4A48_BB80_9A10935A741B</v>
      </c>
      <c r="B260" s="6" t="str">
        <f>NodesData[[#This Row],[name]]&amp;" ("&amp;NodesData[[#This Row],[main_class]]&amp;")"</f>
        <v>Location Factor (Concept)</v>
      </c>
      <c r="C260" s="10"/>
      <c r="D260" s="3" t="s">
        <v>1409</v>
      </c>
      <c r="E260" s="10" t="s">
        <v>1338</v>
      </c>
      <c r="F260" s="3">
        <f t="shared" si="3"/>
        <v>258</v>
      </c>
      <c r="G260" s="3">
        <f>COUNTIF(NodesData[label],NodesData[[#This Row],[label]])</f>
        <v>1</v>
      </c>
      <c r="H260" s="3">
        <f>COUNTIF(EdgesData[from],NodesData[[#This Row],[id]])+COUNTIF(EdgesData[to],NodesData[[#This Row],[id]])</f>
        <v>0</v>
      </c>
      <c r="I260" s="3">
        <f>IF(NodesData[[#This Row],[Used]]&gt;0,1,0)</f>
        <v>0</v>
      </c>
      <c r="J260" s="18" t="str" cm="1">
        <f t="array" ref="J260">IF(NodesData[[#This Row],[Count]]&gt;1,",","") &amp;"{"&amp;twoRangesToJSON(NodesData[[#Headers],[id]:[main_class]],NodesData[[#This Row],[id]:[main_class]])&amp;"}"</f>
        <v>,{"id":"n93BF85AD_0C99_4A48_BB80_9A10935A741B","label":"Location Factor (Concept)","url":"","main_class":"Concept"}</v>
      </c>
    </row>
    <row r="261" spans="1:10" ht="27" thickTop="1" thickBot="1" x14ac:dyDescent="0.4">
      <c r="A261" s="3" t="str" cm="1">
        <f t="array" ref="A261">"n"&amp;SUBSTITUTE(CreateGuidString(),"-","_")</f>
        <v>n973C9457_B239_44EE_802E_CAEA3320AC93</v>
      </c>
      <c r="B261" s="6" t="str">
        <f>NodesData[[#This Row],[name]]&amp;" ("&amp;NodesData[[#This Row],[main_class]]&amp;")"</f>
        <v>Logic Bomb (Concept)</v>
      </c>
      <c r="C261" s="17" t="s">
        <v>964</v>
      </c>
      <c r="D261" s="3" t="s">
        <v>1409</v>
      </c>
      <c r="E261" s="10" t="s">
        <v>315</v>
      </c>
      <c r="F261" s="3">
        <f t="shared" ref="F261:F324" si="4">F260+1</f>
        <v>259</v>
      </c>
      <c r="G261" s="3">
        <f>COUNTIF(NodesData[label],NodesData[[#This Row],[label]])</f>
        <v>1</v>
      </c>
      <c r="H261" s="3">
        <f>COUNTIF(EdgesData[from],NodesData[[#This Row],[id]])+COUNTIF(EdgesData[to],NodesData[[#This Row],[id]])</f>
        <v>0</v>
      </c>
      <c r="I261" s="3">
        <f>IF(NodesData[[#This Row],[Used]]&gt;0,1,0)</f>
        <v>0</v>
      </c>
      <c r="J261" s="18" t="str" cm="1">
        <f t="array" ref="J261">IF(NodesData[[#This Row],[Count]]&gt;1,",","") &amp;"{"&amp;twoRangesToJSON(NodesData[[#Headers],[id]:[main_class]],NodesData[[#This Row],[id]:[main_class]])&amp;"}"</f>
        <v>,{"id":"n973C9457_B239_44EE_802E_CAEA3320AC93","label":"Logic Bomb (Concept)","url":"https://open-measure.atlassian.net/wiki/spaces/DIC/pages/1452048577/Logic+Bomb","main_class":"Concept"}</v>
      </c>
    </row>
    <row r="262" spans="1:10" ht="27" thickTop="1" thickBot="1" x14ac:dyDescent="0.4">
      <c r="A262" s="3" t="str" cm="1">
        <f t="array" ref="A262">"n"&amp;SUBSTITUTE(CreateGuidString(),"-","_")</f>
        <v>n2BD21D0E_84E4_437B_BB41_7AE59BF81968</v>
      </c>
      <c r="B262" s="6" t="str">
        <f>NodesData[[#This Row],[name]]&amp;" ("&amp;NodesData[[#This Row],[main_class]]&amp;")"</f>
        <v>Login (Concept)</v>
      </c>
      <c r="C262" s="17" t="s">
        <v>965</v>
      </c>
      <c r="D262" s="3" t="s">
        <v>1409</v>
      </c>
      <c r="E262" s="10" t="s">
        <v>316</v>
      </c>
      <c r="F262" s="3">
        <f t="shared" si="4"/>
        <v>260</v>
      </c>
      <c r="G262" s="3">
        <f>COUNTIF(NodesData[label],NodesData[[#This Row],[label]])</f>
        <v>1</v>
      </c>
      <c r="H262" s="3">
        <f>COUNTIF(EdgesData[from],NodesData[[#This Row],[id]])+COUNTIF(EdgesData[to],NodesData[[#This Row],[id]])</f>
        <v>0</v>
      </c>
      <c r="I262" s="3">
        <f>IF(NodesData[[#This Row],[Used]]&gt;0,1,0)</f>
        <v>0</v>
      </c>
      <c r="J262" s="18" t="str" cm="1">
        <f t="array" ref="J262">IF(NodesData[[#This Row],[Count]]&gt;1,",","") &amp;"{"&amp;twoRangesToJSON(NodesData[[#Headers],[id]:[main_class]],NodesData[[#This Row],[id]:[main_class]])&amp;"}"</f>
        <v>,{"id":"n2BD21D0E_84E4_437B_BB41_7AE59BF81968","label":"Login (Concept)","url":"https://open-measure.atlassian.net/wiki/spaces/DIC/pages/1440153606/Login","main_class":"Concept"}</v>
      </c>
    </row>
    <row r="263" spans="1:10" ht="27" thickTop="1" thickBot="1" x14ac:dyDescent="0.4">
      <c r="A263" s="3" t="str" cm="1">
        <f t="array" ref="A263">"n"&amp;SUBSTITUTE(CreateGuidString(),"-","_")</f>
        <v>n8D05A116_AB0C_4A37_BADF_667C5B1D8631</v>
      </c>
      <c r="B263" s="6" t="str">
        <f>NodesData[[#This Row],[name]]&amp;" ("&amp;NodesData[[#This Row],[main_class]]&amp;")"</f>
        <v>Login ID (Acronym)</v>
      </c>
      <c r="C263" s="17" t="s">
        <v>966</v>
      </c>
      <c r="D263" s="3" t="s">
        <v>1301</v>
      </c>
      <c r="E263" s="10" t="s">
        <v>317</v>
      </c>
      <c r="F263" s="3">
        <f t="shared" si="4"/>
        <v>261</v>
      </c>
      <c r="G263" s="3">
        <f>COUNTIF(NodesData[label],NodesData[[#This Row],[label]])</f>
        <v>1</v>
      </c>
      <c r="H263" s="3">
        <f>COUNTIF(EdgesData[from],NodesData[[#This Row],[id]])+COUNTIF(EdgesData[to],NodesData[[#This Row],[id]])</f>
        <v>0</v>
      </c>
      <c r="I263" s="3">
        <f>IF(NodesData[[#This Row],[Used]]&gt;0,1,0)</f>
        <v>0</v>
      </c>
      <c r="J263" s="18" t="str" cm="1">
        <f t="array" ref="J263">IF(NodesData[[#This Row],[Count]]&gt;1,",","") &amp;"{"&amp;twoRangesToJSON(NodesData[[#Headers],[id]:[main_class]],NodesData[[#This Row],[id]:[main_class]])&amp;"}"</f>
        <v>,{"id":"n8D05A116_AB0C_4A37_BADF_667C5B1D8631","label":"Login ID (Acronym)","url":"https://open-measure.atlassian.net/wiki/spaces/DIC/pages/1428685307/Login+ID","main_class":"Acronym"}</v>
      </c>
    </row>
    <row r="264" spans="1:10" ht="27" thickTop="1" thickBot="1" x14ac:dyDescent="0.4">
      <c r="A264" s="3" t="str" cm="1">
        <f t="array" ref="A264">"n"&amp;SUBSTITUTE(CreateGuidString(),"-","_")</f>
        <v>n73D3EFB0_39E1_464E_8803_C6D44B47F876</v>
      </c>
      <c r="B264" s="6" t="str">
        <f>NodesData[[#This Row],[name]]&amp;" ("&amp;NodesData[[#This Row],[main_class]]&amp;")"</f>
        <v>Login Name (Concept)</v>
      </c>
      <c r="C264" s="17" t="s">
        <v>967</v>
      </c>
      <c r="D264" s="3" t="s">
        <v>1409</v>
      </c>
      <c r="E264" s="10" t="s">
        <v>318</v>
      </c>
      <c r="F264" s="3">
        <f t="shared" si="4"/>
        <v>262</v>
      </c>
      <c r="G264" s="3">
        <f>COUNTIF(NodesData[label],NodesData[[#This Row],[label]])</f>
        <v>1</v>
      </c>
      <c r="H264" s="3">
        <f>COUNTIF(EdgesData[from],NodesData[[#This Row],[id]])+COUNTIF(EdgesData[to],NodesData[[#This Row],[id]])</f>
        <v>0</v>
      </c>
      <c r="I264" s="3">
        <f>IF(NodesData[[#This Row],[Used]]&gt;0,1,0)</f>
        <v>0</v>
      </c>
      <c r="J264" s="18" t="str" cm="1">
        <f t="array" ref="J264">IF(NodesData[[#This Row],[Count]]&gt;1,",","") &amp;"{"&amp;twoRangesToJSON(NodesData[[#Headers],[id]:[main_class]],NodesData[[#This Row],[id]:[main_class]])&amp;"}"</f>
        <v>,{"id":"n73D3EFB0_39E1_464E_8803_C6D44B47F876","label":"Login Name (Concept)","url":"https://open-measure.atlassian.net/wiki/spaces/DIC/pages/1428685365/Login+Name","main_class":"Concept"}</v>
      </c>
    </row>
    <row r="265" spans="1:10" ht="27" thickTop="1" thickBot="1" x14ac:dyDescent="0.4">
      <c r="A265" s="3" t="str" cm="1">
        <f t="array" ref="A265">"n"&amp;SUBSTITUTE(CreateGuidString(),"-","_")</f>
        <v>nDB612575_E756_40B6_8C08_12628C658D5E</v>
      </c>
      <c r="B265" s="6" t="str">
        <f>NodesData[[#This Row],[name]]&amp;" ("&amp;NodesData[[#This Row],[main_class]]&amp;")"</f>
        <v>Mechanism (Concept)</v>
      </c>
      <c r="C265" s="17" t="s">
        <v>969</v>
      </c>
      <c r="D265" s="3" t="s">
        <v>1409</v>
      </c>
      <c r="E265" s="10" t="s">
        <v>968</v>
      </c>
      <c r="F265" s="3">
        <f t="shared" si="4"/>
        <v>263</v>
      </c>
      <c r="G265" s="3">
        <f>COUNTIF(NodesData[label],NodesData[[#This Row],[label]])</f>
        <v>1</v>
      </c>
      <c r="H265" s="3">
        <f>COUNTIF(EdgesData[from],NodesData[[#This Row],[id]])+COUNTIF(EdgesData[to],NodesData[[#This Row],[id]])</f>
        <v>0</v>
      </c>
      <c r="I265" s="3">
        <f>IF(NodesData[[#This Row],[Used]]&gt;0,1,0)</f>
        <v>0</v>
      </c>
      <c r="J265" s="18" t="str" cm="1">
        <f t="array" ref="J265">IF(NodesData[[#This Row],[Count]]&gt;1,",","") &amp;"{"&amp;twoRangesToJSON(NodesData[[#Headers],[id]:[main_class]],NodesData[[#This Row],[id]:[main_class]])&amp;"}"</f>
        <v>,{"id":"nDB612575_E756_40B6_8C08_12628C658D5E","label":"Mechanism (Concept)","url":"https://open-measure.atlassian.net/wiki/spaces/DIC/pages/67699227","main_class":"Concept"}</v>
      </c>
    </row>
    <row r="266" spans="1:10" ht="27" thickTop="1" thickBot="1" x14ac:dyDescent="0.4">
      <c r="A266" s="3" t="str" cm="1">
        <f t="array" ref="A266">"n"&amp;SUBSTITUTE(CreateGuidString(),"-","_")</f>
        <v>n18D24421_4770_41C9_BC5B_7B43A0181BAF</v>
      </c>
      <c r="B266" s="6" t="str">
        <f>NodesData[[#This Row],[name]]&amp;" ("&amp;NodesData[[#This Row],[main_class]]&amp;")"</f>
        <v>Metadirectory (Concept)</v>
      </c>
      <c r="C266" s="17" t="s">
        <v>971</v>
      </c>
      <c r="D266" s="3" t="s">
        <v>1409</v>
      </c>
      <c r="E266" s="10" t="s">
        <v>970</v>
      </c>
      <c r="F266" s="3">
        <f t="shared" si="4"/>
        <v>264</v>
      </c>
      <c r="G266" s="3">
        <f>COUNTIF(NodesData[label],NodesData[[#This Row],[label]])</f>
        <v>1</v>
      </c>
      <c r="H266" s="3">
        <f>COUNTIF(EdgesData[from],NodesData[[#This Row],[id]])+COUNTIF(EdgesData[to],NodesData[[#This Row],[id]])</f>
        <v>0</v>
      </c>
      <c r="I266" s="3">
        <f>IF(NodesData[[#This Row],[Used]]&gt;0,1,0)</f>
        <v>0</v>
      </c>
      <c r="J266" s="18" t="str" cm="1">
        <f t="array" ref="J266">IF(NodesData[[#This Row],[Count]]&gt;1,",","") &amp;"{"&amp;twoRangesToJSON(NodesData[[#Headers],[id]:[main_class]],NodesData[[#This Row],[id]:[main_class]])&amp;"}"</f>
        <v>,{"id":"n18D24421_4770_41C9_BC5B_7B43A0181BAF","label":"Metadirectory (Concept)","url":"https://open-measure.atlassian.net/wiki/spaces/DIC/pages/834044288","main_class":"Concept"}</v>
      </c>
    </row>
    <row r="267" spans="1:10" ht="27" thickTop="1" thickBot="1" x14ac:dyDescent="0.4">
      <c r="A267" s="3" t="str" cm="1">
        <f t="array" ref="A267">"n"&amp;SUBSTITUTE(CreateGuidString(),"-","_")</f>
        <v>n3E233DE0_F31D_454B_9A86_F9842580B499</v>
      </c>
      <c r="B267" s="6" t="str">
        <f>NodesData[[#This Row],[name]]&amp;" ("&amp;NodesData[[#This Row],[main_class]]&amp;")"</f>
        <v>Knuckleprint Recognition Authentication (Concept)</v>
      </c>
      <c r="C267" s="12"/>
      <c r="D267" s="3" t="s">
        <v>1409</v>
      </c>
      <c r="E267" s="10" t="s">
        <v>1360</v>
      </c>
      <c r="F267" s="3">
        <f t="shared" si="4"/>
        <v>265</v>
      </c>
      <c r="G267" s="3">
        <f>COUNTIF(NodesData[label],NodesData[[#This Row],[label]])</f>
        <v>1</v>
      </c>
      <c r="H267" s="3">
        <f>COUNTIF(EdgesData[from],NodesData[[#This Row],[id]])+COUNTIF(EdgesData[to],NodesData[[#This Row],[id]])</f>
        <v>0</v>
      </c>
      <c r="I267" s="3">
        <f>IF(NodesData[[#This Row],[Used]]&gt;0,1,0)</f>
        <v>0</v>
      </c>
      <c r="J267" s="18" t="str" cm="1">
        <f t="array" ref="J267">IF(NodesData[[#This Row],[Count]]&gt;1,",","") &amp;"{"&amp;twoRangesToJSON(NodesData[[#Headers],[id]:[main_class]],NodesData[[#This Row],[id]:[main_class]])&amp;"}"</f>
        <v>,{"id":"n3E233DE0_F31D_454B_9A86_F9842580B499","label":"Knuckleprint Recognition Authentication (Concept)","url":"","main_class":"Concept"}</v>
      </c>
    </row>
    <row r="268" spans="1:10" ht="27" thickTop="1" thickBot="1" x14ac:dyDescent="0.4">
      <c r="A268" s="3" t="str" cm="1">
        <f t="array" ref="A268">"n"&amp;SUBSTITUTE(CreateGuidString(),"-","_")</f>
        <v>n919CA50C_C9D2_4901_ACC1_B6CBCE994826</v>
      </c>
      <c r="B268" s="6" t="str">
        <f>NodesData[[#This Row],[name]]&amp;" ("&amp;NodesData[[#This Row],[main_class]]&amp;")"</f>
        <v>Multidomain Single Sign-On (Concept)</v>
      </c>
      <c r="C268" s="17" t="s">
        <v>973</v>
      </c>
      <c r="D268" s="3" t="s">
        <v>1409</v>
      </c>
      <c r="E268" s="10" t="s">
        <v>972</v>
      </c>
      <c r="F268" s="3">
        <f t="shared" si="4"/>
        <v>266</v>
      </c>
      <c r="G268" s="3">
        <f>COUNTIF(NodesData[label],NodesData[[#This Row],[label]])</f>
        <v>1</v>
      </c>
      <c r="H268" s="3">
        <f>COUNTIF(EdgesData[from],NodesData[[#This Row],[id]])+COUNTIF(EdgesData[to],NodesData[[#This Row],[id]])</f>
        <v>0</v>
      </c>
      <c r="I268" s="3">
        <f>IF(NodesData[[#This Row],[Used]]&gt;0,1,0)</f>
        <v>0</v>
      </c>
      <c r="J268" s="18" t="str" cm="1">
        <f t="array" ref="J268">IF(NodesData[[#This Row],[Count]]&gt;1,",","") &amp;"{"&amp;twoRangesToJSON(NodesData[[#Headers],[id]:[main_class]],NodesData[[#This Row],[id]:[main_class]])&amp;"}"</f>
        <v>,{"id":"n919CA50C_C9D2_4901_ACC1_B6CBCE994826","label":"Multidomain Single Sign-On (Concept)","url":"https://open-measure.atlassian.net/wiki/spaces/DIC/pages/75890760","main_class":"Concept"}</v>
      </c>
    </row>
    <row r="269" spans="1:10" ht="27" thickTop="1" thickBot="1" x14ac:dyDescent="0.4">
      <c r="A269" s="3" t="str" cm="1">
        <f t="array" ref="A269">"n"&amp;SUBSTITUTE(CreateGuidString(),"-","_")</f>
        <v>n7ADD60A7_1DBC_41D3_809E_024119290DAA</v>
      </c>
      <c r="B269" s="6" t="str">
        <f>NodesData[[#This Row],[name]]&amp;" ("&amp;NodesData[[#This Row],[main_class]]&amp;")"</f>
        <v>Multilevel Security (Concept)</v>
      </c>
      <c r="C269" s="17" t="s">
        <v>975</v>
      </c>
      <c r="D269" s="3" t="s">
        <v>1409</v>
      </c>
      <c r="E269" s="10" t="s">
        <v>974</v>
      </c>
      <c r="F269" s="3">
        <f t="shared" si="4"/>
        <v>267</v>
      </c>
      <c r="G269" s="3">
        <f>COUNTIF(NodesData[label],NodesData[[#This Row],[label]])</f>
        <v>1</v>
      </c>
      <c r="H269" s="3">
        <f>COUNTIF(EdgesData[from],NodesData[[#This Row],[id]])+COUNTIF(EdgesData[to],NodesData[[#This Row],[id]])</f>
        <v>0</v>
      </c>
      <c r="I269" s="3">
        <f>IF(NodesData[[#This Row],[Used]]&gt;0,1,0)</f>
        <v>0</v>
      </c>
      <c r="J269" s="18" t="str" cm="1">
        <f t="array" ref="J269">IF(NodesData[[#This Row],[Count]]&gt;1,",","") &amp;"{"&amp;twoRangesToJSON(NodesData[[#Headers],[id]:[main_class]],NodesData[[#This Row],[id]:[main_class]])&amp;"}"</f>
        <v>,{"id":"n7ADD60A7_1DBC_41D3_809E_024119290DAA","label":"Multilevel Security (Concept)","url":"https://open-measure.atlassian.net/wiki/spaces/DIC/pages/1031241799","main_class":"Concept"}</v>
      </c>
    </row>
    <row r="270" spans="1:10" ht="27" thickTop="1" thickBot="1" x14ac:dyDescent="0.4">
      <c r="A270" s="3" t="str" cm="1">
        <f t="array" ref="A270">"n"&amp;SUBSTITUTE(CreateGuidString(),"-","_")</f>
        <v>n826E843E_2058_4AEE_ACD7_64E0805886A9</v>
      </c>
      <c r="B270" s="6" t="str">
        <f>NodesData[[#This Row],[name]]&amp;" ("&amp;NodesData[[#This Row],[main_class]]&amp;")"</f>
        <v>Multiple Accounts (Concept)</v>
      </c>
      <c r="C270" s="17" t="s">
        <v>976</v>
      </c>
      <c r="D270" s="3" t="s">
        <v>1409</v>
      </c>
      <c r="E270" s="10" t="s">
        <v>335</v>
      </c>
      <c r="F270" s="3">
        <f t="shared" si="4"/>
        <v>268</v>
      </c>
      <c r="G270" s="3">
        <f>COUNTIF(NodesData[label],NodesData[[#This Row],[label]])</f>
        <v>1</v>
      </c>
      <c r="H270" s="3">
        <f>COUNTIF(EdgesData[from],NodesData[[#This Row],[id]])+COUNTIF(EdgesData[to],NodesData[[#This Row],[id]])</f>
        <v>0</v>
      </c>
      <c r="I270" s="3">
        <f>IF(NodesData[[#This Row],[Used]]&gt;0,1,0)</f>
        <v>0</v>
      </c>
      <c r="J270" s="18" t="str" cm="1">
        <f t="array" ref="J270">IF(NodesData[[#This Row],[Count]]&gt;1,",","") &amp;"{"&amp;twoRangesToJSON(NodesData[[#Headers],[id]:[main_class]],NodesData[[#This Row],[id]:[main_class]])&amp;"}"</f>
        <v>,{"id":"n826E843E_2058_4AEE_ACD7_64E0805886A9","label":"Multiple Accounts (Concept)","url":"https://open-measure.atlassian.net/wiki/spaces/DIC/pages/1600684160/Multiple+Accounts","main_class":"Concept"}</v>
      </c>
    </row>
    <row r="271" spans="1:10" ht="27" thickTop="1" thickBot="1" x14ac:dyDescent="0.4">
      <c r="A271" s="3" t="str" cm="1">
        <f t="array" ref="A271">"n"&amp;SUBSTITUTE(CreateGuidString(),"-","_")</f>
        <v>n30C3F295_FD19_4BFE_B15A_ECE0E8B33120</v>
      </c>
      <c r="B271" s="6" t="str">
        <f>NodesData[[#This Row],[name]]&amp;" ("&amp;NodesData[[#This Row],[main_class]]&amp;")"</f>
        <v>Multi-Model Biometric Authentication (Concept)</v>
      </c>
      <c r="C271" s="12"/>
      <c r="D271" s="3" t="s">
        <v>1409</v>
      </c>
      <c r="E271" s="10" t="s">
        <v>1361</v>
      </c>
      <c r="F271" s="3">
        <f t="shared" si="4"/>
        <v>269</v>
      </c>
      <c r="G271" s="3">
        <f>COUNTIF(NodesData[label],NodesData[[#This Row],[label]])</f>
        <v>1</v>
      </c>
      <c r="H271" s="3">
        <f>COUNTIF(EdgesData[from],NodesData[[#This Row],[id]])+COUNTIF(EdgesData[to],NodesData[[#This Row],[id]])</f>
        <v>0</v>
      </c>
      <c r="I271" s="3">
        <f>IF(NodesData[[#This Row],[Used]]&gt;0,1,0)</f>
        <v>0</v>
      </c>
      <c r="J271" s="18" t="str" cm="1">
        <f t="array" ref="J271">IF(NodesData[[#This Row],[Count]]&gt;1,",","") &amp;"{"&amp;twoRangesToJSON(NodesData[[#Headers],[id]:[main_class]],NodesData[[#This Row],[id]:[main_class]])&amp;"}"</f>
        <v>,{"id":"n30C3F295_FD19_4BFE_B15A_ECE0E8B33120","label":"Multi-Model Biometric Authentication (Concept)","url":"","main_class":"Concept"}</v>
      </c>
    </row>
    <row r="272" spans="1:10" ht="27" thickTop="1" thickBot="1" x14ac:dyDescent="0.4">
      <c r="A272" s="3" t="str" cm="1">
        <f t="array" ref="A272">"n"&amp;SUBSTITUTE(CreateGuidString(),"-","_")</f>
        <v>n0A4F1F84_A5C1_47D8_BFC8_34ECA42E0044</v>
      </c>
      <c r="B272" s="6" t="str">
        <f>NodesData[[#This Row],[name]]&amp;" ("&amp;NodesData[[#This Row],[main_class]]&amp;")"</f>
        <v>Need-to-Know (Concept)</v>
      </c>
      <c r="C272" s="17" t="s">
        <v>979</v>
      </c>
      <c r="D272" s="3" t="s">
        <v>1409</v>
      </c>
      <c r="E272" s="10" t="s">
        <v>337</v>
      </c>
      <c r="F272" s="3">
        <f t="shared" si="4"/>
        <v>270</v>
      </c>
      <c r="G272" s="3">
        <f>COUNTIF(NodesData[label],NodesData[[#This Row],[label]])</f>
        <v>1</v>
      </c>
      <c r="H272" s="3">
        <f>COUNTIF(EdgesData[from],NodesData[[#This Row],[id]])+COUNTIF(EdgesData[to],NodesData[[#This Row],[id]])</f>
        <v>0</v>
      </c>
      <c r="I272" s="3">
        <f>IF(NodesData[[#This Row],[Used]]&gt;0,1,0)</f>
        <v>0</v>
      </c>
      <c r="J272" s="18" t="str" cm="1">
        <f t="array" ref="J272">IF(NodesData[[#This Row],[Count]]&gt;1,",","") &amp;"{"&amp;twoRangesToJSON(NodesData[[#Headers],[id]:[main_class]],NodesData[[#This Row],[id]:[main_class]])&amp;"}"</f>
        <v>,{"id":"n0A4F1F84_A5C1_47D8_BFC8_34ECA42E0044","label":"Need-to-Know (Concept)","url":"https://open-measure.atlassian.net/wiki/spaces/DIC/pages/1474592794/Need-to-Know","main_class":"Concept"}</v>
      </c>
    </row>
    <row r="273" spans="1:10" ht="27" thickTop="1" thickBot="1" x14ac:dyDescent="0.4">
      <c r="A273" s="3" t="str" cm="1">
        <f t="array" ref="A273">"n"&amp;SUBSTITUTE(CreateGuidString(),"-","_")</f>
        <v>n57915B78_F7F7_4BD4_A85F_8B15DB250470</v>
      </c>
      <c r="B273" s="6" t="str">
        <f>NodesData[[#This Row],[name]]&amp;" ("&amp;NodesData[[#This Row],[main_class]]&amp;")"</f>
        <v>New Joiner (Concept)</v>
      </c>
      <c r="C273" s="17" t="s">
        <v>981</v>
      </c>
      <c r="D273" s="3" t="s">
        <v>1409</v>
      </c>
      <c r="E273" s="10" t="s">
        <v>980</v>
      </c>
      <c r="F273" s="3">
        <f t="shared" si="4"/>
        <v>271</v>
      </c>
      <c r="G273" s="3">
        <f>COUNTIF(NodesData[label],NodesData[[#This Row],[label]])</f>
        <v>1</v>
      </c>
      <c r="H273" s="3">
        <f>COUNTIF(EdgesData[from],NodesData[[#This Row],[id]])+COUNTIF(EdgesData[to],NodesData[[#This Row],[id]])</f>
        <v>0</v>
      </c>
      <c r="I273" s="3">
        <f>IF(NodesData[[#This Row],[Used]]&gt;0,1,0)</f>
        <v>0</v>
      </c>
      <c r="J273" s="18" t="str" cm="1">
        <f t="array" ref="J273">IF(NodesData[[#This Row],[Count]]&gt;1,",","") &amp;"{"&amp;twoRangesToJSON(NodesData[[#Headers],[id]:[main_class]],NodesData[[#This Row],[id]:[main_class]])&amp;"}"</f>
        <v>,{"id":"n57915B78_F7F7_4BD4_A85F_8B15DB250470","label":"New Joiner (Concept)","url":"https://open-measure.atlassian.net/wiki/spaces/DIC/pages/858456124","main_class":"Concept"}</v>
      </c>
    </row>
    <row r="274" spans="1:10" ht="27" thickTop="1" thickBot="1" x14ac:dyDescent="0.4">
      <c r="A274" s="3" t="str" cm="1">
        <f t="array" ref="A274">"n"&amp;SUBSTITUTE(CreateGuidString(),"-","_")</f>
        <v>nFA351504_9E8E_4A27_B298_2D8DC45BE097</v>
      </c>
      <c r="B274" s="6" t="str">
        <f>NodesData[[#This Row],[name]]&amp;" ("&amp;NodesData[[#This Row],[main_class]]&amp;")"</f>
        <v>No Tranquility Property (Concept)</v>
      </c>
      <c r="C274" s="17" t="s">
        <v>983</v>
      </c>
      <c r="D274" s="3" t="s">
        <v>1409</v>
      </c>
      <c r="E274" s="10" t="s">
        <v>982</v>
      </c>
      <c r="F274" s="3">
        <f t="shared" si="4"/>
        <v>272</v>
      </c>
      <c r="G274" s="3">
        <f>COUNTIF(NodesData[label],NodesData[[#This Row],[label]])</f>
        <v>1</v>
      </c>
      <c r="H274" s="3">
        <f>COUNTIF(EdgesData[from],NodesData[[#This Row],[id]])+COUNTIF(EdgesData[to],NodesData[[#This Row],[id]])</f>
        <v>0</v>
      </c>
      <c r="I274" s="3">
        <f>IF(NodesData[[#This Row],[Used]]&gt;0,1,0)</f>
        <v>0</v>
      </c>
      <c r="J274" s="18" t="str" cm="1">
        <f t="array" ref="J274">IF(NodesData[[#This Row],[Count]]&gt;1,",","") &amp;"{"&amp;twoRangesToJSON(NodesData[[#Headers],[id]:[main_class]],NodesData[[#This Row],[id]:[main_class]])&amp;"}"</f>
        <v>,{"id":"nFA351504_9E8E_4A27_B298_2D8DC45BE097","label":"No Tranquility Property (Concept)","url":"https://open-measure.atlassian.net/wiki/spaces/DIC/pages/1237483723","main_class":"Concept"}</v>
      </c>
    </row>
    <row r="275" spans="1:10" ht="27" thickTop="1" thickBot="1" x14ac:dyDescent="0.4">
      <c r="A275" s="3" t="str" cm="1">
        <f t="array" ref="A275">"n"&amp;SUBSTITUTE(CreateGuidString(),"-","_")</f>
        <v>n2BC34AC0_D66C_43DC_BD07_6B401CFFC0CA</v>
      </c>
      <c r="B275" s="6" t="str">
        <f>NodesData[[#This Row],[name]]&amp;" ("&amp;NodesData[[#This Row],[main_class]]&amp;")"</f>
        <v>Nonworker (Concept)</v>
      </c>
      <c r="C275" s="17" t="s">
        <v>985</v>
      </c>
      <c r="D275" s="3" t="s">
        <v>1409</v>
      </c>
      <c r="E275" s="10" t="s">
        <v>984</v>
      </c>
      <c r="F275" s="3">
        <f t="shared" si="4"/>
        <v>273</v>
      </c>
      <c r="G275" s="3">
        <f>COUNTIF(NodesData[label],NodesData[[#This Row],[label]])</f>
        <v>1</v>
      </c>
      <c r="H275" s="3">
        <f>COUNTIF(EdgesData[from],NodesData[[#This Row],[id]])+COUNTIF(EdgesData[to],NodesData[[#This Row],[id]])</f>
        <v>0</v>
      </c>
      <c r="I275" s="3">
        <f>IF(NodesData[[#This Row],[Used]]&gt;0,1,0)</f>
        <v>0</v>
      </c>
      <c r="J275" s="18" t="str" cm="1">
        <f t="array" ref="J275">IF(NodesData[[#This Row],[Count]]&gt;1,",","") &amp;"{"&amp;twoRangesToJSON(NodesData[[#Headers],[id]:[main_class]],NodesData[[#This Row],[id]:[main_class]])&amp;"}"</f>
        <v>,{"id":"n2BC34AC0_D66C_43DC_BD07_6B401CFFC0CA","label":"Nonworker (Concept)","url":"https://open-measure.atlassian.net/wiki/spaces/DIC/pages/858554692","main_class":"Concept"}</v>
      </c>
    </row>
    <row r="276" spans="1:10" ht="27" thickTop="1" thickBot="1" x14ac:dyDescent="0.4">
      <c r="A276" s="3" t="str" cm="1">
        <f t="array" ref="A276">"n"&amp;SUBSTITUTE(CreateGuidString(),"-","_")</f>
        <v>nDE0A1A86_06B9_48FC_A48B_BA8B388C475A</v>
      </c>
      <c r="B276" s="6" t="str">
        <f>NodesData[[#This Row],[name]]&amp;" ("&amp;NodesData[[#This Row],[main_class]]&amp;")"</f>
        <v>Numerical Identity (Concept)</v>
      </c>
      <c r="C276" s="17" t="s">
        <v>986</v>
      </c>
      <c r="D276" s="3" t="s">
        <v>1409</v>
      </c>
      <c r="E276" s="10" t="s">
        <v>342</v>
      </c>
      <c r="F276" s="3">
        <f t="shared" si="4"/>
        <v>274</v>
      </c>
      <c r="G276" s="3">
        <f>COUNTIF(NodesData[label],NodesData[[#This Row],[label]])</f>
        <v>1</v>
      </c>
      <c r="H276" s="3">
        <f>COUNTIF(EdgesData[from],NodesData[[#This Row],[id]])+COUNTIF(EdgesData[to],NodesData[[#This Row],[id]])</f>
        <v>0</v>
      </c>
      <c r="I276" s="3">
        <f>IF(NodesData[[#This Row],[Used]]&gt;0,1,0)</f>
        <v>0</v>
      </c>
      <c r="J276" s="18" t="str" cm="1">
        <f t="array" ref="J276">IF(NodesData[[#This Row],[Count]]&gt;1,",","") &amp;"{"&amp;twoRangesToJSON(NodesData[[#Headers],[id]:[main_class]],NodesData[[#This Row],[id]:[main_class]])&amp;"}"</f>
        <v>,{"id":"nDE0A1A86_06B9_48FC_A48B_BA8B388C475A","label":"Numerical Identity (Concept)","url":"https://open-measure.atlassian.net/wiki/spaces/DIC/pages/1323336029/Numerical+Identity","main_class":"Concept"}</v>
      </c>
    </row>
    <row r="277" spans="1:10" ht="27" thickTop="1" thickBot="1" x14ac:dyDescent="0.4">
      <c r="A277" s="3" t="str" cm="1">
        <f t="array" ref="A277">"n"&amp;SUBSTITUTE(CreateGuidString(),"-","_")</f>
        <v>nB17DC7B1_7DB2_49A8_96BD_C6BB96E820AE</v>
      </c>
      <c r="B277" s="6" t="str">
        <f>NodesData[[#This Row],[name]]&amp;" ("&amp;NodesData[[#This Row],[main_class]]&amp;")"</f>
        <v>Mutual Authentication (Concept)</v>
      </c>
      <c r="C277" s="17" t="s">
        <v>978</v>
      </c>
      <c r="D277" s="3" t="s">
        <v>1409</v>
      </c>
      <c r="E277" s="10" t="s">
        <v>977</v>
      </c>
      <c r="F277" s="3">
        <f t="shared" si="4"/>
        <v>275</v>
      </c>
      <c r="G277" s="3">
        <f>COUNTIF(NodesData[label],NodesData[[#This Row],[label]])</f>
        <v>1</v>
      </c>
      <c r="H277" s="3">
        <f>COUNTIF(EdgesData[from],NodesData[[#This Row],[id]])+COUNTIF(EdgesData[to],NodesData[[#This Row],[id]])</f>
        <v>0</v>
      </c>
      <c r="I277" s="3">
        <f>IF(NodesData[[#This Row],[Used]]&gt;0,1,0)</f>
        <v>0</v>
      </c>
      <c r="J277" s="18" t="str" cm="1">
        <f t="array" ref="J277">IF(NodesData[[#This Row],[Count]]&gt;1,",","") &amp;"{"&amp;twoRangesToJSON(NodesData[[#Headers],[id]:[main_class]],NodesData[[#This Row],[id]:[main_class]])&amp;"}"</f>
        <v>,{"id":"nB17DC7B1_7DB2_49A8_96BD_C6BB96E820AE","label":"Mutual Authentication (Concept)","url":"https://open-measure.atlassian.net/wiki/spaces/DIC/pages/998244664","main_class":"Concept"}</v>
      </c>
    </row>
    <row r="278" spans="1:10" ht="27" thickTop="1" thickBot="1" x14ac:dyDescent="0.4">
      <c r="A278" s="3" t="str" cm="1">
        <f t="array" ref="A278">"n"&amp;SUBSTITUTE(CreateGuidString(),"-","_")</f>
        <v>nCC8135D0_9570_43DB_B143_69D2D0A5C2BA</v>
      </c>
      <c r="B278" s="6" t="str">
        <f>NodesData[[#This Row],[name]]&amp;" ("&amp;NodesData[[#This Row],[main_class]]&amp;")"</f>
        <v>Object (Concept)</v>
      </c>
      <c r="C278" s="17" t="s">
        <v>990</v>
      </c>
      <c r="D278" s="3" t="s">
        <v>1409</v>
      </c>
      <c r="E278" s="10" t="s">
        <v>989</v>
      </c>
      <c r="F278" s="3">
        <f t="shared" si="4"/>
        <v>276</v>
      </c>
      <c r="G278" s="3">
        <f>COUNTIF(NodesData[label],NodesData[[#This Row],[label]])</f>
        <v>1</v>
      </c>
      <c r="H278" s="3">
        <f>COUNTIF(EdgesData[from],NodesData[[#This Row],[id]])+COUNTIF(EdgesData[to],NodesData[[#This Row],[id]])</f>
        <v>0</v>
      </c>
      <c r="I278" s="3">
        <f>IF(NodesData[[#This Row],[Used]]&gt;0,1,0)</f>
        <v>0</v>
      </c>
      <c r="J278" s="18" t="str" cm="1">
        <f t="array" ref="J278">IF(NodesData[[#This Row],[Count]]&gt;1,",","") &amp;"{"&amp;twoRangesToJSON(NodesData[[#Headers],[id]:[main_class]],NodesData[[#This Row],[id]:[main_class]])&amp;"}"</f>
        <v>,{"id":"nCC8135D0_9570_43DB_B143_69D2D0A5C2BA","label":"Object (Concept)","url":"https://open-measure.atlassian.net/wiki/spaces/DIC/pages/67568133","main_class":"Concept"}</v>
      </c>
    </row>
    <row r="279" spans="1:10" ht="27" thickTop="1" thickBot="1" x14ac:dyDescent="0.4">
      <c r="A279" s="3" t="str" cm="1">
        <f t="array" ref="A279">"n"&amp;SUBSTITUTE(CreateGuidString(),"-","_")</f>
        <v>n176545B9_6805_4158_AA46_BBF931B9DEB3</v>
      </c>
      <c r="B279" s="6" t="str">
        <f>NodesData[[#This Row],[name]]&amp;" ("&amp;NodesData[[#This Row],[main_class]]&amp;")"</f>
        <v>Omission Error (Concept)</v>
      </c>
      <c r="C279" s="17" t="s">
        <v>992</v>
      </c>
      <c r="D279" s="3" t="s">
        <v>1409</v>
      </c>
      <c r="E279" s="10" t="s">
        <v>991</v>
      </c>
      <c r="F279" s="3">
        <f t="shared" si="4"/>
        <v>277</v>
      </c>
      <c r="G279" s="3">
        <f>COUNTIF(NodesData[label],NodesData[[#This Row],[label]])</f>
        <v>1</v>
      </c>
      <c r="H279" s="3">
        <f>COUNTIF(EdgesData[from],NodesData[[#This Row],[id]])+COUNTIF(EdgesData[to],NodesData[[#This Row],[id]])</f>
        <v>0</v>
      </c>
      <c r="I279" s="3">
        <f>IF(NodesData[[#This Row],[Used]]&gt;0,1,0)</f>
        <v>0</v>
      </c>
      <c r="J279" s="18" t="str" cm="1">
        <f t="array" ref="J279">IF(NodesData[[#This Row],[Count]]&gt;1,",","") &amp;"{"&amp;twoRangesToJSON(NodesData[[#Headers],[id]:[main_class]],NodesData[[#This Row],[id]:[main_class]])&amp;"}"</f>
        <v>,{"id":"n176545B9_6805_4158_AA46_BBF931B9DEB3","label":"Omission Error (Concept)","url":"https://open-measure.atlassian.net/wiki/spaces/DIC/pages/998244357","main_class":"Concept"}</v>
      </c>
    </row>
    <row r="280" spans="1:10" ht="27" thickTop="1" thickBot="1" x14ac:dyDescent="0.4">
      <c r="A280" s="3" t="str" cm="1">
        <f t="array" ref="A280">"n"&amp;SUBSTITUTE(CreateGuidString(),"-","_")</f>
        <v>n818B5612_7E70_48D6_B3FC_0072965F42E9</v>
      </c>
      <c r="B280" s="6" t="str">
        <f>NodesData[[#This Row],[name]]&amp;" ("&amp;NodesData[[#This Row],[main_class]]&amp;")"</f>
        <v>OAuth (Acronym)</v>
      </c>
      <c r="C280" s="17" t="s">
        <v>988</v>
      </c>
      <c r="D280" s="3" t="s">
        <v>1301</v>
      </c>
      <c r="E280" s="10" t="s">
        <v>987</v>
      </c>
      <c r="F280" s="3">
        <f t="shared" si="4"/>
        <v>278</v>
      </c>
      <c r="G280" s="3">
        <f>COUNTIF(NodesData[label],NodesData[[#This Row],[label]])</f>
        <v>1</v>
      </c>
      <c r="H280" s="3">
        <f>COUNTIF(EdgesData[from],NodesData[[#This Row],[id]])+COUNTIF(EdgesData[to],NodesData[[#This Row],[id]])</f>
        <v>0</v>
      </c>
      <c r="I280" s="3">
        <f>IF(NodesData[[#This Row],[Used]]&gt;0,1,0)</f>
        <v>0</v>
      </c>
      <c r="J280" s="18" t="str" cm="1">
        <f t="array" ref="J280">IF(NodesData[[#This Row],[Count]]&gt;1,",","") &amp;"{"&amp;twoRangesToJSON(NodesData[[#Headers],[id]:[main_class]],NodesData[[#This Row],[id]:[main_class]])&amp;"}"</f>
        <v>,{"id":"n818B5612_7E70_48D6_B3FC_0072965F42E9","label":"OAuth (Acronym)","url":"https://open-measure.atlassian.net/wiki/spaces/DIC/pages/446825168","main_class":"Acronym"}</v>
      </c>
    </row>
    <row r="281" spans="1:10" ht="27" thickTop="1" thickBot="1" x14ac:dyDescent="0.4">
      <c r="A281" s="3" t="str" cm="1">
        <f t="array" ref="A281">"n"&amp;SUBSTITUTE(CreateGuidString(),"-","_")</f>
        <v>nBB453D02_BC1C_4656_BFBB_6FD55D762258</v>
      </c>
      <c r="B281" s="6" t="str">
        <f>NodesData[[#This Row],[name]]&amp;" ("&amp;NodesData[[#This Row],[main_class]]&amp;")"</f>
        <v>OPA (Acronym)</v>
      </c>
      <c r="C281" s="17" t="s">
        <v>994</v>
      </c>
      <c r="D281" s="3" t="s">
        <v>1301</v>
      </c>
      <c r="E281" s="10" t="s">
        <v>993</v>
      </c>
      <c r="F281" s="3">
        <f t="shared" si="4"/>
        <v>279</v>
      </c>
      <c r="G281" s="3">
        <f>COUNTIF(NodesData[label],NodesData[[#This Row],[label]])</f>
        <v>1</v>
      </c>
      <c r="H281" s="3">
        <f>COUNTIF(EdgesData[from],NodesData[[#This Row],[id]])+COUNTIF(EdgesData[to],NodesData[[#This Row],[id]])</f>
        <v>0</v>
      </c>
      <c r="I281" s="3">
        <f>IF(NodesData[[#This Row],[Used]]&gt;0,1,0)</f>
        <v>0</v>
      </c>
      <c r="J281" s="18" t="str" cm="1">
        <f t="array" ref="J281">IF(NodesData[[#This Row],[Count]]&gt;1,",","") &amp;"{"&amp;twoRangesToJSON(NodesData[[#Headers],[id]:[main_class]],NodesData[[#This Row],[id]:[main_class]])&amp;"}"</f>
        <v>,{"id":"nBB453D02_BC1C_4656_BFBB_6FD55D762258","label":"OPA (Acronym)","url":"https://open-measure.atlassian.net/wiki/spaces/DIC/pages/1142358051","main_class":"Acronym"}</v>
      </c>
    </row>
    <row r="282" spans="1:10" ht="27" thickTop="1" thickBot="1" x14ac:dyDescent="0.4">
      <c r="A282" s="3" t="str" cm="1">
        <f t="array" ref="A282">"n"&amp;SUBSTITUTE(CreateGuidString(),"-","_")</f>
        <v>n6C926E8B_D0AB_4F65_96E1_352F5545EF9D</v>
      </c>
      <c r="B282" s="6" t="str">
        <f>NodesData[[#This Row],[name]]&amp;" ("&amp;NodesData[[#This Row],[main_class]]&amp;")"</f>
        <v>Open Policy Agent (Concept)</v>
      </c>
      <c r="C282" s="17" t="s">
        <v>996</v>
      </c>
      <c r="D282" s="3" t="s">
        <v>1409</v>
      </c>
      <c r="E282" s="10" t="s">
        <v>995</v>
      </c>
      <c r="F282" s="3">
        <f t="shared" si="4"/>
        <v>280</v>
      </c>
      <c r="G282" s="3">
        <f>COUNTIF(NodesData[label],NodesData[[#This Row],[label]])</f>
        <v>1</v>
      </c>
      <c r="H282" s="3">
        <f>COUNTIF(EdgesData[from],NodesData[[#This Row],[id]])+COUNTIF(EdgesData[to],NodesData[[#This Row],[id]])</f>
        <v>0</v>
      </c>
      <c r="I282" s="3">
        <f>IF(NodesData[[#This Row],[Used]]&gt;0,1,0)</f>
        <v>0</v>
      </c>
      <c r="J282" s="18" t="str" cm="1">
        <f t="array" ref="J282">IF(NodesData[[#This Row],[Count]]&gt;1,",","") &amp;"{"&amp;twoRangesToJSON(NodesData[[#Headers],[id]:[main_class]],NodesData[[#This Row],[id]:[main_class]])&amp;"}"</f>
        <v>,{"id":"n6C926E8B_D0AB_4F65_96E1_352F5545EF9D","label":"Open Policy Agent (Concept)","url":"https://open-measure.atlassian.net/wiki/spaces/DIC/pages/1142259761","main_class":"Concept"}</v>
      </c>
    </row>
    <row r="283" spans="1:10" ht="27" thickTop="1" thickBot="1" x14ac:dyDescent="0.4">
      <c r="A283" s="3" t="str" cm="1">
        <f t="array" ref="A283">"n"&amp;SUBSTITUTE(CreateGuidString(),"-","_")</f>
        <v>n96040698_956B_4BD1_90D3_68417F59EFD4</v>
      </c>
      <c r="B283" s="6" t="str">
        <f>NodesData[[#This Row],[name]]&amp;" ("&amp;NodesData[[#This Row],[main_class]]&amp;")"</f>
        <v>Operational Definition (Concept)</v>
      </c>
      <c r="C283" s="17" t="s">
        <v>998</v>
      </c>
      <c r="D283" s="3" t="s">
        <v>1409</v>
      </c>
      <c r="E283" s="10" t="s">
        <v>997</v>
      </c>
      <c r="F283" s="3">
        <f t="shared" si="4"/>
        <v>281</v>
      </c>
      <c r="G283" s="3">
        <f>COUNTIF(NodesData[label],NodesData[[#This Row],[label]])</f>
        <v>1</v>
      </c>
      <c r="H283" s="3">
        <f>COUNTIF(EdgesData[from],NodesData[[#This Row],[id]])+COUNTIF(EdgesData[to],NodesData[[#This Row],[id]])</f>
        <v>0</v>
      </c>
      <c r="I283" s="3">
        <f>IF(NodesData[[#This Row],[Used]]&gt;0,1,0)</f>
        <v>0</v>
      </c>
      <c r="J283" s="18" t="str" cm="1">
        <f t="array" ref="J283">IF(NodesData[[#This Row],[Count]]&gt;1,",","") &amp;"{"&amp;twoRangesToJSON(NodesData[[#Headers],[id]:[main_class]],NodesData[[#This Row],[id]:[main_class]])&amp;"}"</f>
        <v>,{"id":"n96040698_956B_4BD1_90D3_68417F59EFD4","label":"Operational Definition (Concept)","url":"https://open-measure.atlassian.net/wiki/spaces/DIC/pages/3211353","main_class":"Concept"}</v>
      </c>
    </row>
    <row r="284" spans="1:10" ht="27" thickTop="1" thickBot="1" x14ac:dyDescent="0.4">
      <c r="A284" s="3" t="str" cm="1">
        <f t="array" ref="A284">"n"&amp;SUBSTITUTE(CreateGuidString(),"-","_")</f>
        <v>n179917F2_A588_4F6C_84A2_6EAF03780929</v>
      </c>
      <c r="B284" s="6" t="str">
        <f>NodesData[[#This Row],[name]]&amp;" ("&amp;NodesData[[#This Row],[main_class]]&amp;")"</f>
        <v>Operational Taxonomic Unit (Concept)</v>
      </c>
      <c r="C284" s="17" t="s">
        <v>1000</v>
      </c>
      <c r="D284" s="3" t="s">
        <v>1409</v>
      </c>
      <c r="E284" s="10" t="s">
        <v>999</v>
      </c>
      <c r="F284" s="3">
        <f t="shared" si="4"/>
        <v>282</v>
      </c>
      <c r="G284" s="3">
        <f>COUNTIF(NodesData[label],NodesData[[#This Row],[label]])</f>
        <v>1</v>
      </c>
      <c r="H284" s="3">
        <f>COUNTIF(EdgesData[from],NodesData[[#This Row],[id]])+COUNTIF(EdgesData[to],NodesData[[#This Row],[id]])</f>
        <v>0</v>
      </c>
      <c r="I284" s="3">
        <f>IF(NodesData[[#This Row],[Used]]&gt;0,1,0)</f>
        <v>0</v>
      </c>
      <c r="J284" s="18" t="str" cm="1">
        <f t="array" ref="J284">IF(NodesData[[#This Row],[Count]]&gt;1,",","") &amp;"{"&amp;twoRangesToJSON(NodesData[[#Headers],[id]:[main_class]],NodesData[[#This Row],[id]:[main_class]])&amp;"}"</f>
        <v>,{"id":"n179917F2_A588_4F6C_84A2_6EAF03780929","label":"Operational Taxonomic Unit (Concept)","url":"https://open-measure.atlassian.net/wiki/spaces/DIC/pages/148439181","main_class":"Concept"}</v>
      </c>
    </row>
    <row r="285" spans="1:10" ht="27" thickTop="1" thickBot="1" x14ac:dyDescent="0.4">
      <c r="A285" s="3" t="str" cm="1">
        <f t="array" ref="A285">"n"&amp;SUBSTITUTE(CreateGuidString(),"-","_")</f>
        <v>n49930CAE_A2CD_41FC_B57C_FFF2F446A2E0</v>
      </c>
      <c r="B285" s="6" t="str">
        <f>NodesData[[#This Row],[name]]&amp;" ("&amp;NodesData[[#This Row],[main_class]]&amp;")"</f>
        <v>Ordinal Scale (Concept)</v>
      </c>
      <c r="C285" s="17" t="s">
        <v>1002</v>
      </c>
      <c r="D285" s="3" t="s">
        <v>1409</v>
      </c>
      <c r="E285" s="10" t="s">
        <v>1001</v>
      </c>
      <c r="F285" s="3">
        <f t="shared" si="4"/>
        <v>283</v>
      </c>
      <c r="G285" s="3">
        <f>COUNTIF(NodesData[label],NodesData[[#This Row],[label]])</f>
        <v>1</v>
      </c>
      <c r="H285" s="3">
        <f>COUNTIF(EdgesData[from],NodesData[[#This Row],[id]])+COUNTIF(EdgesData[to],NodesData[[#This Row],[id]])</f>
        <v>0</v>
      </c>
      <c r="I285" s="3">
        <f>IF(NodesData[[#This Row],[Used]]&gt;0,1,0)</f>
        <v>0</v>
      </c>
      <c r="J285" s="18" t="str" cm="1">
        <f t="array" ref="J285">IF(NodesData[[#This Row],[Count]]&gt;1,",","") &amp;"{"&amp;twoRangesToJSON(NodesData[[#Headers],[id]:[main_class]],NodesData[[#This Row],[id]:[main_class]])&amp;"}"</f>
        <v>,{"id":"n49930CAE_A2CD_41FC_B57C_FFF2F446A2E0","label":"Ordinal Scale (Concept)","url":"https://open-measure.atlassian.net/wiki/spaces/DIC/pages/5932838","main_class":"Concept"}</v>
      </c>
    </row>
    <row r="286" spans="1:10" ht="27" thickTop="1" thickBot="1" x14ac:dyDescent="0.4">
      <c r="A286" s="3" t="str" cm="1">
        <f t="array" ref="A286">"n"&amp;SUBSTITUTE(CreateGuidString(),"-","_")</f>
        <v>n01EB1EA0_45B2_4553_9CDF_544037EC1D90</v>
      </c>
      <c r="B286" s="6" t="str">
        <f>NodesData[[#This Row],[name]]&amp;" ("&amp;NodesData[[#This Row],[main_class]]&amp;")"</f>
        <v>Organization Context (Concept)</v>
      </c>
      <c r="C286" s="17" t="s">
        <v>1003</v>
      </c>
      <c r="D286" s="3" t="s">
        <v>1409</v>
      </c>
      <c r="E286" s="10" t="s">
        <v>1297</v>
      </c>
      <c r="F286" s="3">
        <f t="shared" si="4"/>
        <v>284</v>
      </c>
      <c r="G286" s="3">
        <f>COUNTIF(NodesData[label],NodesData[[#This Row],[label]])</f>
        <v>1</v>
      </c>
      <c r="H286" s="3">
        <f>COUNTIF(EdgesData[from],NodesData[[#This Row],[id]])+COUNTIF(EdgesData[to],NodesData[[#This Row],[id]])</f>
        <v>0</v>
      </c>
      <c r="I286" s="3">
        <f>IF(NodesData[[#This Row],[Used]]&gt;0,1,0)</f>
        <v>0</v>
      </c>
      <c r="J286" s="18" t="str" cm="1">
        <f t="array" ref="J286">IF(NodesData[[#This Row],[Count]]&gt;1,",","") &amp;"{"&amp;twoRangesToJSON(NodesData[[#Headers],[id]:[main_class]],NodesData[[#This Row],[id]:[main_class]])&amp;"}"</f>
        <v>,{"id":"n01EB1EA0_45B2_4553_9CDF_544037EC1D90","label":"Organization Context (Concept)","url":"https://open-measure.atlassian.net/wiki/spaces/DIC/pages/1311403","main_class":"Concept"}</v>
      </c>
    </row>
    <row r="287" spans="1:10" ht="27" thickTop="1" thickBot="1" x14ac:dyDescent="0.4">
      <c r="A287" s="3" t="str" cm="1">
        <f t="array" ref="A287">"n"&amp;SUBSTITUTE(CreateGuidString(),"-","_")</f>
        <v>n12FDDEFB_E408_4309_AF85_EFC20DB4F89A</v>
      </c>
      <c r="B287" s="6" t="str">
        <f>NodesData[[#This Row],[name]]&amp;" ("&amp;NodesData[[#This Row],[main_class]]&amp;")"</f>
        <v>Organization Scope (Concept)</v>
      </c>
      <c r="C287" s="17" t="s">
        <v>1004</v>
      </c>
      <c r="D287" s="3" t="s">
        <v>1409</v>
      </c>
      <c r="E287" s="10" t="s">
        <v>1298</v>
      </c>
      <c r="F287" s="3">
        <f t="shared" si="4"/>
        <v>285</v>
      </c>
      <c r="G287" s="3">
        <f>COUNTIF(NodesData[label],NodesData[[#This Row],[label]])</f>
        <v>1</v>
      </c>
      <c r="H287" s="3">
        <f>COUNTIF(EdgesData[from],NodesData[[#This Row],[id]])+COUNTIF(EdgesData[to],NodesData[[#This Row],[id]])</f>
        <v>0</v>
      </c>
      <c r="I287" s="3">
        <f>IF(NodesData[[#This Row],[Used]]&gt;0,1,0)</f>
        <v>0</v>
      </c>
      <c r="J287" s="18" t="str" cm="1">
        <f t="array" ref="J287">IF(NodesData[[#This Row],[Count]]&gt;1,",","") &amp;"{"&amp;twoRangesToJSON(NodesData[[#Headers],[id]:[main_class]],NodesData[[#This Row],[id]:[main_class]])&amp;"}"</f>
        <v>,{"id":"n12FDDEFB_E408_4309_AF85_EFC20DB4F89A","label":"Organization Scope (Concept)","url":"https://open-measure.atlassian.net/wiki/spaces/DIC/pages/557057","main_class":"Concept"}</v>
      </c>
    </row>
    <row r="288" spans="1:10" ht="27" thickTop="1" thickBot="1" x14ac:dyDescent="0.4">
      <c r="A288" s="3" t="str" cm="1">
        <f t="array" ref="A288">"n"&amp;SUBSTITUTE(CreateGuidString(),"-","_")</f>
        <v>nF3317EA9_A507_4A2F_AB6D_278FED727B3A</v>
      </c>
      <c r="B288" s="6" t="str">
        <f>NodesData[[#This Row],[name]]&amp;" ("&amp;NodesData[[#This Row],[main_class]]&amp;")"</f>
        <v>Orphan (Concept)</v>
      </c>
      <c r="C288" s="17" t="s">
        <v>1006</v>
      </c>
      <c r="D288" s="3" t="s">
        <v>1409</v>
      </c>
      <c r="E288" s="10" t="s">
        <v>1005</v>
      </c>
      <c r="F288" s="3">
        <f t="shared" si="4"/>
        <v>286</v>
      </c>
      <c r="G288" s="3">
        <f>COUNTIF(NodesData[label],NodesData[[#This Row],[label]])</f>
        <v>1</v>
      </c>
      <c r="H288" s="3">
        <f>COUNTIF(EdgesData[from],NodesData[[#This Row],[id]])+COUNTIF(EdgesData[to],NodesData[[#This Row],[id]])</f>
        <v>0</v>
      </c>
      <c r="I288" s="3">
        <f>IF(NodesData[[#This Row],[Used]]&gt;0,1,0)</f>
        <v>0</v>
      </c>
      <c r="J288" s="18" t="str" cm="1">
        <f t="array" ref="J288">IF(NodesData[[#This Row],[Count]]&gt;1,",","") &amp;"{"&amp;twoRangesToJSON(NodesData[[#Headers],[id]:[main_class]],NodesData[[#This Row],[id]:[main_class]])&amp;"}"</f>
        <v>,{"id":"nF3317EA9_A507_4A2F_AB6D_278FED727B3A","label":"Orphan (Concept)","url":"https://open-measure.atlassian.net/wiki/spaces/DIC/pages/1061650550","main_class":"Concept"}</v>
      </c>
    </row>
    <row r="289" spans="1:10" ht="27" thickTop="1" thickBot="1" x14ac:dyDescent="0.4">
      <c r="A289" s="3" t="str" cm="1">
        <f t="array" ref="A289">"n"&amp;SUBSTITUTE(CreateGuidString(),"-","_")</f>
        <v>n77147DAC_AD0C_4623_943C_09A792E4E1CE</v>
      </c>
      <c r="B289" s="6" t="str">
        <f>NodesData[[#This Row],[name]]&amp;" ("&amp;NodesData[[#This Row],[main_class]]&amp;")"</f>
        <v>Orphan Account (Concept)</v>
      </c>
      <c r="C289" s="17" t="s">
        <v>1007</v>
      </c>
      <c r="D289" s="3" t="s">
        <v>1409</v>
      </c>
      <c r="E289" s="10" t="s">
        <v>359</v>
      </c>
      <c r="F289" s="3">
        <f t="shared" si="4"/>
        <v>287</v>
      </c>
      <c r="G289" s="3">
        <f>COUNTIF(NodesData[label],NodesData[[#This Row],[label]])</f>
        <v>1</v>
      </c>
      <c r="H289" s="3">
        <f>COUNTIF(EdgesData[from],NodesData[[#This Row],[id]])+COUNTIF(EdgesData[to],NodesData[[#This Row],[id]])</f>
        <v>0</v>
      </c>
      <c r="I289" s="3">
        <f>IF(NodesData[[#This Row],[Used]]&gt;0,1,0)</f>
        <v>0</v>
      </c>
      <c r="J289" s="18" t="str" cm="1">
        <f t="array" ref="J289">IF(NodesData[[#This Row],[Count]]&gt;1,",","") &amp;"{"&amp;twoRangesToJSON(NodesData[[#Headers],[id]:[main_class]],NodesData[[#This Row],[id]:[main_class]])&amp;"}"</f>
        <v>,{"id":"n77147DAC_AD0C_4623_943C_09A792E4E1CE","label":"Orphan Account (Concept)","url":"https://open-measure.atlassian.net/wiki/spaces/DIC/pages/1062207530/Orphan+Account","main_class":"Concept"}</v>
      </c>
    </row>
    <row r="290" spans="1:10" ht="27" thickTop="1" thickBot="1" x14ac:dyDescent="0.4">
      <c r="A290" s="3" t="str" cm="1">
        <f t="array" ref="A290">"n"&amp;SUBSTITUTE(CreateGuidString(),"-","_")</f>
        <v>n4FB2734F_A226_448A_8FCE_804CFED9268A</v>
      </c>
      <c r="B290" s="6" t="str">
        <f>NodesData[[#This Row],[name]]&amp;" ("&amp;NodesData[[#This Row],[main_class]]&amp;")"</f>
        <v>Orphan File (Concept)</v>
      </c>
      <c r="C290" s="17" t="s">
        <v>1009</v>
      </c>
      <c r="D290" s="3" t="s">
        <v>1409</v>
      </c>
      <c r="E290" s="10" t="s">
        <v>1008</v>
      </c>
      <c r="F290" s="3">
        <f t="shared" si="4"/>
        <v>288</v>
      </c>
      <c r="G290" s="3">
        <f>COUNTIF(NodesData[label],NodesData[[#This Row],[label]])</f>
        <v>1</v>
      </c>
      <c r="H290" s="3">
        <f>COUNTIF(EdgesData[from],NodesData[[#This Row],[id]])+COUNTIF(EdgesData[to],NodesData[[#This Row],[id]])</f>
        <v>0</v>
      </c>
      <c r="I290" s="3">
        <f>IF(NodesData[[#This Row],[Used]]&gt;0,1,0)</f>
        <v>0</v>
      </c>
      <c r="J290" s="18" t="str" cm="1">
        <f t="array" ref="J290">IF(NodesData[[#This Row],[Count]]&gt;1,",","") &amp;"{"&amp;twoRangesToJSON(NodesData[[#Headers],[id]:[main_class]],NodesData[[#This Row],[id]:[main_class]])&amp;"}"</f>
        <v>,{"id":"n4FB2734F_A226_448A_8FCE_804CFED9268A","label":"Orphan File (Concept)","url":"https://open-measure.atlassian.net/wiki/spaces/DIC/pages/1061748965","main_class":"Concept"}</v>
      </c>
    </row>
    <row r="291" spans="1:10" ht="27" thickTop="1" thickBot="1" x14ac:dyDescent="0.4">
      <c r="A291" s="3" t="str" cm="1">
        <f t="array" ref="A291">"n"&amp;SUBSTITUTE(CreateGuidString(),"-","_")</f>
        <v>nE2220141_337C_467D_9A09_894E0A1D3F0C</v>
      </c>
      <c r="B291" s="6" t="str">
        <f>NodesData[[#This Row],[name]]&amp;" ("&amp;NodesData[[#This Row],[main_class]]&amp;")"</f>
        <v>Orphan Object (Concept)</v>
      </c>
      <c r="C291" s="17" t="s">
        <v>1011</v>
      </c>
      <c r="D291" s="3" t="s">
        <v>1409</v>
      </c>
      <c r="E291" s="10" t="s">
        <v>1010</v>
      </c>
      <c r="F291" s="3">
        <f t="shared" si="4"/>
        <v>289</v>
      </c>
      <c r="G291" s="3">
        <f>COUNTIF(NodesData[label],NodesData[[#This Row],[label]])</f>
        <v>1</v>
      </c>
      <c r="H291" s="3">
        <f>COUNTIF(EdgesData[from],NodesData[[#This Row],[id]])+COUNTIF(EdgesData[to],NodesData[[#This Row],[id]])</f>
        <v>0</v>
      </c>
      <c r="I291" s="3">
        <f>IF(NodesData[[#This Row],[Used]]&gt;0,1,0)</f>
        <v>0</v>
      </c>
      <c r="J291" s="18" t="str" cm="1">
        <f t="array" ref="J291">IF(NodesData[[#This Row],[Count]]&gt;1,",","") &amp;"{"&amp;twoRangesToJSON(NodesData[[#Headers],[id]:[main_class]],NodesData[[#This Row],[id]:[main_class]])&amp;"}"</f>
        <v>,{"id":"nE2220141_337C_467D_9A09_894E0A1D3F0C","label":"Orphan Object (Concept)","url":"https://open-measure.atlassian.net/wiki/spaces/DIC/pages/1061650653","main_class":"Concept"}</v>
      </c>
    </row>
    <row r="292" spans="1:10" ht="27" thickTop="1" thickBot="1" x14ac:dyDescent="0.4">
      <c r="A292" s="3" t="str" cm="1">
        <f t="array" ref="A292">"n"&amp;SUBSTITUTE(CreateGuidString(),"-","_")</f>
        <v>nBCBDB816_13A9_4423_A221_B9B43905C537</v>
      </c>
      <c r="B292" s="6" t="str">
        <f>NodesData[[#This Row],[name]]&amp;" ("&amp;NodesData[[#This Row],[main_class]]&amp;")"</f>
        <v>Orphan Process (Concept)</v>
      </c>
      <c r="C292" s="17" t="s">
        <v>1013</v>
      </c>
      <c r="D292" s="3" t="s">
        <v>1409</v>
      </c>
      <c r="E292" s="10" t="s">
        <v>1012</v>
      </c>
      <c r="F292" s="3">
        <f t="shared" si="4"/>
        <v>290</v>
      </c>
      <c r="G292" s="3">
        <f>COUNTIF(NodesData[label],NodesData[[#This Row],[label]])</f>
        <v>1</v>
      </c>
      <c r="H292" s="3">
        <f>COUNTIF(EdgesData[from],NodesData[[#This Row],[id]])+COUNTIF(EdgesData[to],NodesData[[#This Row],[id]])</f>
        <v>0</v>
      </c>
      <c r="I292" s="3">
        <f>IF(NodesData[[#This Row],[Used]]&gt;0,1,0)</f>
        <v>0</v>
      </c>
      <c r="J292" s="18" t="str" cm="1">
        <f t="array" ref="J292">IF(NodesData[[#This Row],[Count]]&gt;1,",","") &amp;"{"&amp;twoRangesToJSON(NodesData[[#Headers],[id]:[main_class]],NodesData[[#This Row],[id]:[main_class]])&amp;"}"</f>
        <v>,{"id":"nBCBDB816_13A9_4423_A221_B9B43905C537","label":"Orphan Process (Concept)","url":"https://open-measure.atlassian.net/wiki/spaces/DIC/pages/1061748925","main_class":"Concept"}</v>
      </c>
    </row>
    <row r="293" spans="1:10" ht="27" thickTop="1" thickBot="1" x14ac:dyDescent="0.4">
      <c r="A293" s="3" t="str" cm="1">
        <f t="array" ref="A293">"n"&amp;SUBSTITUTE(CreateGuidString(),"-","_")</f>
        <v>nF34FDE6B_6191_4B39_B94A_5E30ADE3F101</v>
      </c>
      <c r="B293" s="6" t="str">
        <f>NodesData[[#This Row],[name]]&amp;" ("&amp;NodesData[[#This Row],[main_class]]&amp;")"</f>
        <v>Orphan Product (Concept)</v>
      </c>
      <c r="C293" s="17" t="s">
        <v>1015</v>
      </c>
      <c r="D293" s="3" t="s">
        <v>1409</v>
      </c>
      <c r="E293" s="10" t="s">
        <v>1014</v>
      </c>
      <c r="F293" s="3">
        <f t="shared" si="4"/>
        <v>291</v>
      </c>
      <c r="G293" s="3">
        <f>COUNTIF(NodesData[label],NodesData[[#This Row],[label]])</f>
        <v>1</v>
      </c>
      <c r="H293" s="3">
        <f>COUNTIF(EdgesData[from],NodesData[[#This Row],[id]])+COUNTIF(EdgesData[to],NodesData[[#This Row],[id]])</f>
        <v>0</v>
      </c>
      <c r="I293" s="3">
        <f>IF(NodesData[[#This Row],[Used]]&gt;0,1,0)</f>
        <v>0</v>
      </c>
      <c r="J293" s="18" t="str" cm="1">
        <f t="array" ref="J293">IF(NodesData[[#This Row],[Count]]&gt;1,",","") &amp;"{"&amp;twoRangesToJSON(NodesData[[#Headers],[id]:[main_class]],NodesData[[#This Row],[id]:[main_class]])&amp;"}"</f>
        <v>,{"id":"nF34FDE6B_6191_4B39_B94A_5E30ADE3F101","label":"Orphan Product (Concept)","url":"https://open-measure.atlassian.net/wiki/spaces/DIC/pages/1061749016","main_class":"Concept"}</v>
      </c>
    </row>
    <row r="294" spans="1:10" ht="27" thickTop="1" thickBot="1" x14ac:dyDescent="0.4">
      <c r="A294" s="3" t="str" cm="1">
        <f t="array" ref="A294">"n"&amp;SUBSTITUTE(CreateGuidString(),"-","_")</f>
        <v>nBA47AC89_37AA_49BF_985D_A8E9729085A4</v>
      </c>
      <c r="B294" s="6" t="str">
        <f>NodesData[[#This Row],[name]]&amp;" ("&amp;NodesData[[#This Row],[main_class]]&amp;")"</f>
        <v>Orphan Role (Concept)</v>
      </c>
      <c r="C294" s="17" t="s">
        <v>1017</v>
      </c>
      <c r="D294" s="3" t="s">
        <v>1409</v>
      </c>
      <c r="E294" s="10" t="s">
        <v>1016</v>
      </c>
      <c r="F294" s="3">
        <f t="shared" si="4"/>
        <v>292</v>
      </c>
      <c r="G294" s="3">
        <f>COUNTIF(NodesData[label],NodesData[[#This Row],[label]])</f>
        <v>1</v>
      </c>
      <c r="H294" s="3">
        <f>COUNTIF(EdgesData[from],NodesData[[#This Row],[id]])+COUNTIF(EdgesData[to],NodesData[[#This Row],[id]])</f>
        <v>0</v>
      </c>
      <c r="I294" s="3">
        <f>IF(NodesData[[#This Row],[Used]]&gt;0,1,0)</f>
        <v>0</v>
      </c>
      <c r="J294" s="18" t="str" cm="1">
        <f t="array" ref="J294">IF(NodesData[[#This Row],[Count]]&gt;1,",","") &amp;"{"&amp;twoRangesToJSON(NodesData[[#Headers],[id]:[main_class]],NodesData[[#This Row],[id]:[main_class]])&amp;"}"</f>
        <v>,{"id":"nBA47AC89_37AA_49BF_985D_A8E9729085A4","label":"Orphan Role (Concept)","url":"https://open-measure.atlassian.net/wiki/spaces/DIC/pages/1063845889","main_class":"Concept"}</v>
      </c>
    </row>
    <row r="295" spans="1:10" ht="27" thickTop="1" thickBot="1" x14ac:dyDescent="0.4">
      <c r="A295" s="3" t="str" cm="1">
        <f t="array" ref="A295">"n"&amp;SUBSTITUTE(CreateGuidString(),"-","_")</f>
        <v>nA377DE8C_07E6_4E07_9C8C_C9EE21F846BA</v>
      </c>
      <c r="B295" s="6" t="str">
        <f>NodesData[[#This Row],[name]]&amp;" ("&amp;NodesData[[#This Row],[main_class]]&amp;")"</f>
        <v>Orphan Routes / APIs (Concept)</v>
      </c>
      <c r="C295" s="17" t="s">
        <v>1019</v>
      </c>
      <c r="D295" s="3" t="s">
        <v>1409</v>
      </c>
      <c r="E295" s="10" t="s">
        <v>1018</v>
      </c>
      <c r="F295" s="3">
        <f t="shared" si="4"/>
        <v>293</v>
      </c>
      <c r="G295" s="3">
        <f>COUNTIF(NodesData[label],NodesData[[#This Row],[label]])</f>
        <v>1</v>
      </c>
      <c r="H295" s="3">
        <f>COUNTIF(EdgesData[from],NodesData[[#This Row],[id]])+COUNTIF(EdgesData[to],NodesData[[#This Row],[id]])</f>
        <v>0</v>
      </c>
      <c r="I295" s="3">
        <f>IF(NodesData[[#This Row],[Used]]&gt;0,1,0)</f>
        <v>0</v>
      </c>
      <c r="J295" s="18" t="str" cm="1">
        <f t="array" ref="J295">IF(NodesData[[#This Row],[Count]]&gt;1,",","") &amp;"{"&amp;twoRangesToJSON(NodesData[[#Headers],[id]:[main_class]],NodesData[[#This Row],[id]:[main_class]])&amp;"}"</f>
        <v>,{"id":"nA377DE8C_07E6_4E07_9C8C_C9EE21F846BA","label":"Orphan Routes / APIs (Concept)","url":"https://open-measure.atlassian.net/wiki/spaces/DIC/pages/1061650689","main_class":"Concept"}</v>
      </c>
    </row>
    <row r="296" spans="1:10" ht="27" thickTop="1" thickBot="1" x14ac:dyDescent="0.4">
      <c r="A296" s="3" t="str" cm="1">
        <f t="array" ref="A296">"n"&amp;SUBSTITUTE(CreateGuidString(),"-","_")</f>
        <v>n7DC291FE_7B62_472E_8C8D_2E1B03761C45</v>
      </c>
      <c r="B296" s="6" t="str">
        <f>NodesData[[#This Row],[name]]&amp;" ("&amp;NodesData[[#This Row],[main_class]]&amp;")"</f>
        <v>Orphan System (Concept)</v>
      </c>
      <c r="C296" s="17" t="s">
        <v>1021</v>
      </c>
      <c r="D296" s="3" t="s">
        <v>1409</v>
      </c>
      <c r="E296" s="10" t="s">
        <v>1020</v>
      </c>
      <c r="F296" s="3">
        <f t="shared" si="4"/>
        <v>294</v>
      </c>
      <c r="G296" s="3">
        <f>COUNTIF(NodesData[label],NodesData[[#This Row],[label]])</f>
        <v>1</v>
      </c>
      <c r="H296" s="3">
        <f>COUNTIF(EdgesData[from],NodesData[[#This Row],[id]])+COUNTIF(EdgesData[to],NodesData[[#This Row],[id]])</f>
        <v>0</v>
      </c>
      <c r="I296" s="3">
        <f>IF(NodesData[[#This Row],[Used]]&gt;0,1,0)</f>
        <v>0</v>
      </c>
      <c r="J296" s="18" t="str" cm="1">
        <f t="array" ref="J296">IF(NodesData[[#This Row],[Count]]&gt;1,",","") &amp;"{"&amp;twoRangesToJSON(NodesData[[#Headers],[id]:[main_class]],NodesData[[#This Row],[id]:[main_class]])&amp;"}"</f>
        <v>,{"id":"n7DC291FE_7B62_472E_8C8D_2E1B03761C45","label":"Orphan System (Concept)","url":"https://open-measure.atlassian.net/wiki/spaces/DIC/pages/1061748885","main_class":"Concept"}</v>
      </c>
    </row>
    <row r="297" spans="1:10" ht="27" thickTop="1" thickBot="1" x14ac:dyDescent="0.4">
      <c r="A297" s="3" t="str" cm="1">
        <f t="array" ref="A297">"n"&amp;SUBSTITUTE(CreateGuidString(),"-","_")</f>
        <v>n2D0C17ED_2C23_44DB_AEBA_7A6F8F127953</v>
      </c>
      <c r="B297" s="6" t="str">
        <f>NodesData[[#This Row],[name]]&amp;" ("&amp;NodesData[[#This Row],[main_class]]&amp;")"</f>
        <v>One-Time Passcode Authentication (Concept)</v>
      </c>
      <c r="C297" s="12"/>
      <c r="D297" s="3" t="s">
        <v>1409</v>
      </c>
      <c r="E297" s="10" t="s">
        <v>1366</v>
      </c>
      <c r="F297" s="3">
        <f t="shared" si="4"/>
        <v>295</v>
      </c>
      <c r="G297" s="3">
        <f>COUNTIF(NodesData[label],NodesData[[#This Row],[label]])</f>
        <v>1</v>
      </c>
      <c r="H297" s="3">
        <f>COUNTIF(EdgesData[from],NodesData[[#This Row],[id]])+COUNTIF(EdgesData[to],NodesData[[#This Row],[id]])</f>
        <v>0</v>
      </c>
      <c r="I297" s="3">
        <f>IF(NodesData[[#This Row],[Used]]&gt;0,1,0)</f>
        <v>0</v>
      </c>
      <c r="J297" s="18" t="str" cm="1">
        <f t="array" ref="J297">IF(NodesData[[#This Row],[Count]]&gt;1,",","") &amp;"{"&amp;twoRangesToJSON(NodesData[[#Headers],[id]:[main_class]],NodesData[[#This Row],[id]:[main_class]])&amp;"}"</f>
        <v>,{"id":"n2D0C17ED_2C23_44DB_AEBA_7A6F8F127953","label":"One-Time Passcode Authentication (Concept)","url":"","main_class":"Concept"}</v>
      </c>
    </row>
    <row r="298" spans="1:10" ht="27" thickTop="1" thickBot="1" x14ac:dyDescent="0.4">
      <c r="A298" s="3" t="str" cm="1">
        <f t="array" ref="A298">"n"&amp;SUBSTITUTE(CreateGuidString(),"-","_")</f>
        <v>nCB1E0465_5436_4164_BEEA_C0EB3B978BB6</v>
      </c>
      <c r="B298" s="6" t="str">
        <f>NodesData[[#This Row],[name]]&amp;" ("&amp;NodesData[[#This Row],[main_class]]&amp;")"</f>
        <v>Outsider (Concept)</v>
      </c>
      <c r="C298" s="17" t="s">
        <v>1022</v>
      </c>
      <c r="D298" s="3" t="s">
        <v>1409</v>
      </c>
      <c r="E298" s="10" t="s">
        <v>369</v>
      </c>
      <c r="F298" s="3">
        <f t="shared" si="4"/>
        <v>296</v>
      </c>
      <c r="G298" s="3">
        <f>COUNTIF(NodesData[label],NodesData[[#This Row],[label]])</f>
        <v>1</v>
      </c>
      <c r="H298" s="3">
        <f>COUNTIF(EdgesData[from],NodesData[[#This Row],[id]])+COUNTIF(EdgesData[to],NodesData[[#This Row],[id]])</f>
        <v>0</v>
      </c>
      <c r="I298" s="3">
        <f>IF(NodesData[[#This Row],[Used]]&gt;0,1,0)</f>
        <v>0</v>
      </c>
      <c r="J298" s="18" t="str" cm="1">
        <f t="array" ref="J298">IF(NodesData[[#This Row],[Count]]&gt;1,",","") &amp;"{"&amp;twoRangesToJSON(NodesData[[#Headers],[id]:[main_class]],NodesData[[#This Row],[id]:[main_class]])&amp;"}"</f>
        <v>,{"id":"nCB1E0465_5436_4164_BEEA_C0EB3B978BB6","label":"Outsider (Concept)","url":"https://open-measure.atlassian.net/wiki/spaces/DIC/pages/1472692289/Outsider","main_class":"Concept"}</v>
      </c>
    </row>
    <row r="299" spans="1:10" ht="27" thickTop="1" thickBot="1" x14ac:dyDescent="0.4">
      <c r="A299" s="3" t="str" cm="1">
        <f t="array" ref="A299">"n"&amp;SUBSTITUTE(CreateGuidString(),"-","_")</f>
        <v>nFBD80F09_99CC_4008_93E9_F4C1800071BD</v>
      </c>
      <c r="B299" s="6" t="str">
        <f>NodesData[[#This Row],[name]]&amp;" ("&amp;NodesData[[#This Row],[main_class]]&amp;")"</f>
        <v>Out-of-band Authentication (Concept)</v>
      </c>
      <c r="C299" s="12"/>
      <c r="D299" s="3" t="s">
        <v>1409</v>
      </c>
      <c r="E299" s="10" t="s">
        <v>1344</v>
      </c>
      <c r="F299" s="3">
        <f t="shared" si="4"/>
        <v>297</v>
      </c>
      <c r="G299" s="3">
        <f>COUNTIF(NodesData[label],NodesData[[#This Row],[label]])</f>
        <v>1</v>
      </c>
      <c r="H299" s="3">
        <f>COUNTIF(EdgesData[from],NodesData[[#This Row],[id]])+COUNTIF(EdgesData[to],NodesData[[#This Row],[id]])</f>
        <v>0</v>
      </c>
      <c r="I299" s="3">
        <f>IF(NodesData[[#This Row],[Used]]&gt;0,1,0)</f>
        <v>0</v>
      </c>
      <c r="J299" s="18" t="str" cm="1">
        <f t="array" ref="J299">IF(NodesData[[#This Row],[Count]]&gt;1,",","") &amp;"{"&amp;twoRangesToJSON(NodesData[[#Headers],[id]:[main_class]],NodesData[[#This Row],[id]:[main_class]])&amp;"}"</f>
        <v>,{"id":"nFBD80F09_99CC_4008_93E9_F4C1800071BD","label":"Out-of-band Authentication (Concept)","url":"","main_class":"Concept"}</v>
      </c>
    </row>
    <row r="300" spans="1:10" ht="27" thickTop="1" thickBot="1" x14ac:dyDescent="0.4">
      <c r="A300" s="3" t="str" cm="1">
        <f t="array" ref="A300">"n"&amp;SUBSTITUTE(CreateGuidString(),"-","_")</f>
        <v>nFE85EA0D_7CCD_4E1C_8F0E_DE032DFD8A00</v>
      </c>
      <c r="B300" s="6" t="str">
        <f>NodesData[[#This Row],[name]]&amp;" ("&amp;NodesData[[#This Row],[main_class]]&amp;")"</f>
        <v>Passive Impersonation Attack (Concept)</v>
      </c>
      <c r="C300" s="17" t="s">
        <v>1024</v>
      </c>
      <c r="D300" s="3" t="s">
        <v>1409</v>
      </c>
      <c r="E300" s="10" t="s">
        <v>1023</v>
      </c>
      <c r="F300" s="3">
        <f t="shared" si="4"/>
        <v>298</v>
      </c>
      <c r="G300" s="3">
        <f>COUNTIF(NodesData[label],NodesData[[#This Row],[label]])</f>
        <v>1</v>
      </c>
      <c r="H300" s="3">
        <f>COUNTIF(EdgesData[from],NodesData[[#This Row],[id]])+COUNTIF(EdgesData[to],NodesData[[#This Row],[id]])</f>
        <v>0</v>
      </c>
      <c r="I300" s="3">
        <f>IF(NodesData[[#This Row],[Used]]&gt;0,1,0)</f>
        <v>0</v>
      </c>
      <c r="J300" s="18" t="str" cm="1">
        <f t="array" ref="J300">IF(NodesData[[#This Row],[Count]]&gt;1,",","") &amp;"{"&amp;twoRangesToJSON(NodesData[[#Headers],[id]:[main_class]],NodesData[[#This Row],[id]:[main_class]])&amp;"}"</f>
        <v>,{"id":"nFE85EA0D_7CCD_4E1C_8F0E_DE032DFD8A00","label":"Passive Impersonation Attack (Concept)","url":"https://open-measure.atlassian.net/wiki/spaces/DIC/pages/974323764","main_class":"Concept"}</v>
      </c>
    </row>
    <row r="301" spans="1:10" ht="27" thickTop="1" thickBot="1" x14ac:dyDescent="0.4">
      <c r="A301" s="3" t="str" cm="1">
        <f t="array" ref="A301">"n"&amp;SUBSTITUTE(CreateGuidString(),"-","_")</f>
        <v>nE5B065D4_C686_4D3A_9099_F2A73A15BF14</v>
      </c>
      <c r="B301" s="6" t="str">
        <f>NodesData[[#This Row],[name]]&amp;" ("&amp;NodesData[[#This Row],[main_class]]&amp;")"</f>
        <v>Palmprint Recognition Authentication (Concept)</v>
      </c>
      <c r="C301" s="12"/>
      <c r="D301" s="3" t="s">
        <v>1409</v>
      </c>
      <c r="E301" s="10" t="s">
        <v>1362</v>
      </c>
      <c r="F301" s="3">
        <f t="shared" si="4"/>
        <v>299</v>
      </c>
      <c r="G301" s="3">
        <f>COUNTIF(NodesData[label],NodesData[[#This Row],[label]])</f>
        <v>1</v>
      </c>
      <c r="H301" s="3">
        <f>COUNTIF(EdgesData[from],NodesData[[#This Row],[id]])+COUNTIF(EdgesData[to],NodesData[[#This Row],[id]])</f>
        <v>0</v>
      </c>
      <c r="I301" s="3">
        <f>IF(NodesData[[#This Row],[Used]]&gt;0,1,0)</f>
        <v>0</v>
      </c>
      <c r="J301" s="18" t="str" cm="1">
        <f t="array" ref="J301">IF(NodesData[[#This Row],[Count]]&gt;1,",","") &amp;"{"&amp;twoRangesToJSON(NodesData[[#Headers],[id]:[main_class]],NodesData[[#This Row],[id]:[main_class]])&amp;"}"</f>
        <v>,{"id":"nE5B065D4_C686_4D3A_9099_F2A73A15BF14","label":"Palmprint Recognition Authentication (Concept)","url":"","main_class":"Concept"}</v>
      </c>
    </row>
    <row r="302" spans="1:10" ht="27" thickTop="1" thickBot="1" x14ac:dyDescent="0.4">
      <c r="A302" s="3" t="str" cm="1">
        <f t="array" ref="A302">"n"&amp;SUBSTITUTE(CreateGuidString(),"-","_")</f>
        <v>nA15F9896_A4DE_46FA_AD48_3CDCB1AADEEE</v>
      </c>
      <c r="B302" s="6" t="str">
        <f>NodesData[[#This Row],[name]]&amp;" ("&amp;NodesData[[#This Row],[main_class]]&amp;")"</f>
        <v>Passphrase Authentication (Concept)</v>
      </c>
      <c r="C302" s="22"/>
      <c r="D302" s="3" t="s">
        <v>1409</v>
      </c>
      <c r="E302" s="10" t="s">
        <v>1376</v>
      </c>
      <c r="F302" s="3">
        <f t="shared" si="4"/>
        <v>300</v>
      </c>
      <c r="G302" s="3">
        <f>COUNTIF(NodesData[label],NodesData[[#This Row],[label]])</f>
        <v>1</v>
      </c>
      <c r="H302" s="3">
        <f>COUNTIF(EdgesData[from],NodesData[[#This Row],[id]])+COUNTIF(EdgesData[to],NodesData[[#This Row],[id]])</f>
        <v>0</v>
      </c>
      <c r="I302" s="3">
        <f>IF(NodesData[[#This Row],[Used]]&gt;0,1,0)</f>
        <v>0</v>
      </c>
      <c r="J302" s="18" t="str" cm="1">
        <f t="array" ref="J302">IF(NodesData[[#This Row],[Count]]&gt;1,",","") &amp;"{"&amp;twoRangesToJSON(NodesData[[#Headers],[id]:[main_class]],NodesData[[#This Row],[id]:[main_class]])&amp;"}"</f>
        <v>,{"id":"nA15F9896_A4DE_46FA_AD48_3CDCB1AADEEE","label":"Passphrase Authentication (Concept)","url":"","main_class":"Concept"}</v>
      </c>
    </row>
    <row r="303" spans="1:10" ht="27" thickTop="1" thickBot="1" x14ac:dyDescent="0.4">
      <c r="A303" s="3" t="str" cm="1">
        <f t="array" ref="A303">"n"&amp;SUBSTITUTE(CreateGuidString(),"-","_")</f>
        <v>nF063ED3E_23E6_42EF_B0A8_34CEA2DBB072</v>
      </c>
      <c r="B303" s="6" t="str">
        <f>NodesData[[#This Row],[name]]&amp;" ("&amp;NodesData[[#This Row],[main_class]]&amp;")"</f>
        <v>Password Guessing Attack (Concept)</v>
      </c>
      <c r="C303" s="17" t="s">
        <v>1025</v>
      </c>
      <c r="D303" s="3" t="s">
        <v>1409</v>
      </c>
      <c r="E303" s="10" t="s">
        <v>373</v>
      </c>
      <c r="F303" s="3">
        <f t="shared" si="4"/>
        <v>301</v>
      </c>
      <c r="G303" s="3">
        <f>COUNTIF(NodesData[label],NodesData[[#This Row],[label]])</f>
        <v>1</v>
      </c>
      <c r="H303" s="3">
        <f>COUNTIF(EdgesData[from],NodesData[[#This Row],[id]])+COUNTIF(EdgesData[to],NodesData[[#This Row],[id]])</f>
        <v>0</v>
      </c>
      <c r="I303" s="3">
        <f>IF(NodesData[[#This Row],[Used]]&gt;0,1,0)</f>
        <v>0</v>
      </c>
      <c r="J303" s="18" t="str" cm="1">
        <f t="array" ref="J303">IF(NodesData[[#This Row],[Count]]&gt;1,",","") &amp;"{"&amp;twoRangesToJSON(NodesData[[#Headers],[id]:[main_class]],NodesData[[#This Row],[id]:[main_class]])&amp;"}"</f>
        <v>,{"id":"nF063ED3E_23E6_42EF_B0A8_34CEA2DBB072","label":"Password Guessing Attack (Concept)","url":"https://open-measure.atlassian.net/wiki/spaces/DIC/pages/1428652394/Password+Guessing+Attack","main_class":"Concept"}</v>
      </c>
    </row>
    <row r="304" spans="1:10" ht="27" thickTop="1" thickBot="1" x14ac:dyDescent="0.4">
      <c r="A304" s="3" t="str" cm="1">
        <f t="array" ref="A304">"n"&amp;SUBSTITUTE(CreateGuidString(),"-","_")</f>
        <v>n6FE48EEF_B7D7_4435_A806_F83003E87486</v>
      </c>
      <c r="B304" s="6" t="str">
        <f>NodesData[[#This Row],[name]]&amp;" ("&amp;NodesData[[#This Row],[main_class]]&amp;")"</f>
        <v>Password Rotation (Concept)</v>
      </c>
      <c r="C304" s="17" t="s">
        <v>1027</v>
      </c>
      <c r="D304" s="3" t="s">
        <v>1409</v>
      </c>
      <c r="E304" s="10" t="s">
        <v>1026</v>
      </c>
      <c r="F304" s="3">
        <f t="shared" si="4"/>
        <v>302</v>
      </c>
      <c r="G304" s="3">
        <f>COUNTIF(NodesData[label],NodesData[[#This Row],[label]])</f>
        <v>1</v>
      </c>
      <c r="H304" s="3">
        <f>COUNTIF(EdgesData[from],NodesData[[#This Row],[id]])+COUNTIF(EdgesData[to],NodesData[[#This Row],[id]])</f>
        <v>0</v>
      </c>
      <c r="I304" s="3">
        <f>IF(NodesData[[#This Row],[Used]]&gt;0,1,0)</f>
        <v>0</v>
      </c>
      <c r="J304" s="18" t="str" cm="1">
        <f t="array" ref="J304">IF(NodesData[[#This Row],[Count]]&gt;1,",","") &amp;"{"&amp;twoRangesToJSON(NodesData[[#Headers],[id]:[main_class]],NodesData[[#This Row],[id]:[main_class]])&amp;"}"</f>
        <v>,{"id":"n6FE48EEF_B7D7_4435_A806_F83003E87486","label":"Password Rotation (Concept)","url":"https://open-measure.atlassian.net/wiki/spaces/DIC/pages/1027048058","main_class":"Concept"}</v>
      </c>
    </row>
    <row r="305" spans="1:10" ht="27" thickTop="1" thickBot="1" x14ac:dyDescent="0.4">
      <c r="A305" s="3" t="str" cm="1">
        <f t="array" ref="A305">"n"&amp;SUBSTITUTE(CreateGuidString(),"-","_")</f>
        <v>nB24E0FE8_12C7_4025_9475_3695B216A4E3</v>
      </c>
      <c r="B305" s="6" t="str">
        <f>NodesData[[#This Row],[name]]&amp;" ("&amp;NodesData[[#This Row],[main_class]]&amp;")"</f>
        <v>Password Spraying Attack (Concept)</v>
      </c>
      <c r="C305" s="17" t="s">
        <v>1028</v>
      </c>
      <c r="D305" s="3" t="s">
        <v>1409</v>
      </c>
      <c r="E305" s="10" t="s">
        <v>7</v>
      </c>
      <c r="F305" s="3">
        <f t="shared" si="4"/>
        <v>303</v>
      </c>
      <c r="G305" s="3">
        <f>COUNTIF(NodesData[label],NodesData[[#This Row],[label]])</f>
        <v>1</v>
      </c>
      <c r="H305" s="3">
        <f>COUNTIF(EdgesData[from],NodesData[[#This Row],[id]])+COUNTIF(EdgesData[to],NodesData[[#This Row],[id]])</f>
        <v>0</v>
      </c>
      <c r="I305" s="3">
        <f>IF(NodesData[[#This Row],[Used]]&gt;0,1,0)</f>
        <v>0</v>
      </c>
      <c r="J305" s="18" t="str" cm="1">
        <f t="array" ref="J305">IF(NodesData[[#This Row],[Count]]&gt;1,",","") &amp;"{"&amp;twoRangesToJSON(NodesData[[#Headers],[id]:[main_class]],NodesData[[#This Row],[id]:[main_class]])&amp;"}"</f>
        <v>,{"id":"nB24E0FE8_12C7_4025_9475_3695B216A4E3","label":"Password Spraying Attack (Concept)","url":"https://open-measure.atlassian.net/wiki/spaces/DIC/pages/1348730921/Password+Spraying+Attack","main_class":"Concept"}</v>
      </c>
    </row>
    <row r="306" spans="1:10" ht="27" thickTop="1" thickBot="1" x14ac:dyDescent="0.4">
      <c r="A306" s="3" t="str" cm="1">
        <f t="array" ref="A306">"n"&amp;SUBSTITUTE(CreateGuidString(),"-","_")</f>
        <v>n9BE2FD8D_116C_4B63_A585_9EB1669D63B6</v>
      </c>
      <c r="B306" s="6" t="str">
        <f>NodesData[[#This Row],[name]]&amp;" ("&amp;NodesData[[#This Row],[main_class]]&amp;")"</f>
        <v>Password-Based Authentication (Concept)</v>
      </c>
      <c r="C306" s="22"/>
      <c r="D306" s="3" t="s">
        <v>1409</v>
      </c>
      <c r="E306" s="10" t="s">
        <v>1372</v>
      </c>
      <c r="F306" s="3">
        <f t="shared" si="4"/>
        <v>304</v>
      </c>
      <c r="G306" s="3">
        <f>COUNTIF(NodesData[label],NodesData[[#This Row],[label]])</f>
        <v>1</v>
      </c>
      <c r="H306" s="3">
        <f>COUNTIF(EdgesData[from],NodesData[[#This Row],[id]])+COUNTIF(EdgesData[to],NodesData[[#This Row],[id]])</f>
        <v>0</v>
      </c>
      <c r="I306" s="3">
        <f>IF(NodesData[[#This Row],[Used]]&gt;0,1,0)</f>
        <v>0</v>
      </c>
      <c r="J306" s="18" t="str" cm="1">
        <f t="array" ref="J306">IF(NodesData[[#This Row],[Count]]&gt;1,",","") &amp;"{"&amp;twoRangesToJSON(NodesData[[#Headers],[id]:[main_class]],NodesData[[#This Row],[id]:[main_class]])&amp;"}"</f>
        <v>,{"id":"n9BE2FD8D_116C_4B63_A585_9EB1669D63B6","label":"Password-Based Authentication (Concept)","url":"","main_class":"Concept"}</v>
      </c>
    </row>
    <row r="307" spans="1:10" ht="27" thickTop="1" thickBot="1" x14ac:dyDescent="0.4">
      <c r="A307" s="3" t="str" cm="1">
        <f t="array" ref="A307">"n"&amp;SUBSTITUTE(CreateGuidString(),"-","_")</f>
        <v>n16B17D27_9EA5_485F_8F4F_948A478C6CC7</v>
      </c>
      <c r="B307" s="6" t="str">
        <f>NodesData[[#This Row],[name]]&amp;" ("&amp;NodesData[[#This Row],[main_class]]&amp;")"</f>
        <v>People (Concept)</v>
      </c>
      <c r="C307" s="17" t="s">
        <v>1030</v>
      </c>
      <c r="D307" s="3" t="s">
        <v>1409</v>
      </c>
      <c r="E307" s="10" t="s">
        <v>1299</v>
      </c>
      <c r="F307" s="3">
        <f t="shared" si="4"/>
        <v>305</v>
      </c>
      <c r="G307" s="3">
        <f>COUNTIF(NodesData[label],NodesData[[#This Row],[label]])</f>
        <v>1</v>
      </c>
      <c r="H307" s="3">
        <f>COUNTIF(EdgesData[from],NodesData[[#This Row],[id]])+COUNTIF(EdgesData[to],NodesData[[#This Row],[id]])</f>
        <v>0</v>
      </c>
      <c r="I307" s="3">
        <f>IF(NodesData[[#This Row],[Used]]&gt;0,1,0)</f>
        <v>0</v>
      </c>
      <c r="J307" s="18" t="str" cm="1">
        <f t="array" ref="J307">IF(NodesData[[#This Row],[Count]]&gt;1,",","") &amp;"{"&amp;twoRangesToJSON(NodesData[[#Headers],[id]:[main_class]],NodesData[[#This Row],[id]:[main_class]])&amp;"}"</f>
        <v>,{"id":"n16B17D27_9EA5_485F_8F4F_948A478C6CC7","label":"People (Concept)","url":"https://open-measure.atlassian.net/wiki/spaces/DIC/pages/1409753","main_class":"Concept"}</v>
      </c>
    </row>
    <row r="308" spans="1:10" ht="27" thickTop="1" thickBot="1" x14ac:dyDescent="0.4">
      <c r="A308" s="3" t="str" cm="1">
        <f t="array" ref="A308">"n"&amp;SUBSTITUTE(CreateGuidString(),"-","_")</f>
        <v>nA8E33106_A724_4F80_890F_4AA598B4DC80</v>
      </c>
      <c r="B308" s="6" t="str">
        <f>NodesData[[#This Row],[name]]&amp;" ("&amp;NodesData[[#This Row],[main_class]]&amp;")"</f>
        <v>Permission (Concept)</v>
      </c>
      <c r="C308" s="17" t="s">
        <v>1032</v>
      </c>
      <c r="D308" s="3" t="s">
        <v>1409</v>
      </c>
      <c r="E308" s="10" t="s">
        <v>1031</v>
      </c>
      <c r="F308" s="3">
        <f t="shared" si="4"/>
        <v>306</v>
      </c>
      <c r="G308" s="3">
        <f>COUNTIF(NodesData[label],NodesData[[#This Row],[label]])</f>
        <v>1</v>
      </c>
      <c r="H308" s="3">
        <f>COUNTIF(EdgesData[from],NodesData[[#This Row],[id]])+COUNTIF(EdgesData[to],NodesData[[#This Row],[id]])</f>
        <v>0</v>
      </c>
      <c r="I308" s="3">
        <f>IF(NodesData[[#This Row],[Used]]&gt;0,1,0)</f>
        <v>0</v>
      </c>
      <c r="J308" s="18" t="str" cm="1">
        <f t="array" ref="J308">IF(NodesData[[#This Row],[Count]]&gt;1,",","") &amp;"{"&amp;twoRangesToJSON(NodesData[[#Headers],[id]:[main_class]],NodesData[[#This Row],[id]:[main_class]])&amp;"}"</f>
        <v>,{"id":"nA8E33106_A724_4F80_890F_4AA598B4DC80","label":"Permission (Concept)","url":"https://open-measure.atlassian.net/wiki/spaces/DIC/pages/67699129","main_class":"Concept"}</v>
      </c>
    </row>
    <row r="309" spans="1:10" ht="27" thickTop="1" thickBot="1" x14ac:dyDescent="0.4">
      <c r="A309" s="3" t="str" cm="1">
        <f t="array" ref="A309">"n"&amp;SUBSTITUTE(CreateGuidString(),"-","_")</f>
        <v>n7161B0BE_33F5_47D2_936F_DD24DEF13DC2</v>
      </c>
      <c r="B309" s="6" t="str">
        <f>NodesData[[#This Row],[name]]&amp;" ("&amp;NodesData[[#This Row],[main_class]]&amp;")"</f>
        <v>Persona (Concept)</v>
      </c>
      <c r="C309" s="17" t="s">
        <v>1033</v>
      </c>
      <c r="D309" s="3" t="s">
        <v>1409</v>
      </c>
      <c r="E309" s="10" t="s">
        <v>380</v>
      </c>
      <c r="F309" s="3">
        <f t="shared" si="4"/>
        <v>307</v>
      </c>
      <c r="G309" s="3">
        <f>COUNTIF(NodesData[label],NodesData[[#This Row],[label]])</f>
        <v>1</v>
      </c>
      <c r="H309" s="3">
        <f>COUNTIF(EdgesData[from],NodesData[[#This Row],[id]])+COUNTIF(EdgesData[to],NodesData[[#This Row],[id]])</f>
        <v>0</v>
      </c>
      <c r="I309" s="3">
        <f>IF(NodesData[[#This Row],[Used]]&gt;0,1,0)</f>
        <v>0</v>
      </c>
      <c r="J309" s="18" t="str" cm="1">
        <f t="array" ref="J309">IF(NodesData[[#This Row],[Count]]&gt;1,",","") &amp;"{"&amp;twoRangesToJSON(NodesData[[#Headers],[id]:[main_class]],NodesData[[#This Row],[id]:[main_class]])&amp;"}"</f>
        <v>,{"id":"n7161B0BE_33F5_47D2_936F_DD24DEF13DC2","label":"Persona (Concept)","url":"https://open-measure.atlassian.net/wiki/spaces/DIC/pages/1323499709/Persona","main_class":"Concept"}</v>
      </c>
    </row>
    <row r="310" spans="1:10" ht="27" thickTop="1" thickBot="1" x14ac:dyDescent="0.4">
      <c r="A310" s="3" t="str" cm="1">
        <f t="array" ref="A310">"n"&amp;SUBSTITUTE(CreateGuidString(),"-","_")</f>
        <v>n135A4258_AAB8_496C_9564_F62DE462FBFC</v>
      </c>
      <c r="B310" s="6" t="str">
        <f>NodesData[[#This Row],[name]]&amp;" ("&amp;NodesData[[#This Row],[main_class]]&amp;")"</f>
        <v>Passwordless Authentication (Concept)</v>
      </c>
      <c r="C310" s="17" t="s">
        <v>1029</v>
      </c>
      <c r="D310" s="3" t="s">
        <v>1409</v>
      </c>
      <c r="E310" s="10" t="s">
        <v>374</v>
      </c>
      <c r="F310" s="3">
        <f t="shared" si="4"/>
        <v>308</v>
      </c>
      <c r="G310" s="3">
        <f>COUNTIF(NodesData[label],NodesData[[#This Row],[label]])</f>
        <v>1</v>
      </c>
      <c r="H310" s="3">
        <f>COUNTIF(EdgesData[from],NodesData[[#This Row],[id]])+COUNTIF(EdgesData[to],NodesData[[#This Row],[id]])</f>
        <v>0</v>
      </c>
      <c r="I310" s="3">
        <f>IF(NodesData[[#This Row],[Used]]&gt;0,1,0)</f>
        <v>0</v>
      </c>
      <c r="J310" s="18" t="str" cm="1">
        <f t="array" ref="J310">IF(NodesData[[#This Row],[Count]]&gt;1,",","") &amp;"{"&amp;twoRangesToJSON(NodesData[[#Headers],[id]:[main_class]],NodesData[[#This Row],[id]:[main_class]])&amp;"}"</f>
        <v>,{"id":"n135A4258_AAB8_496C_9564_F62DE462FBFC","label":"Passwordless Authentication (Concept)","url":"https://open-measure.atlassian.net/wiki/spaces/DIC/pages/1677164566/Passwordless+Authentication","main_class":"Concept"}</v>
      </c>
    </row>
    <row r="311" spans="1:10" ht="27" thickTop="1" thickBot="1" x14ac:dyDescent="0.4">
      <c r="A311" s="3" t="str" cm="1">
        <f t="array" ref="A311">"n"&amp;SUBSTITUTE(CreateGuidString(),"-","_")</f>
        <v>nE31585D5_B5FD_42E2_A5C4_93C77CACF47E</v>
      </c>
      <c r="B311" s="6" t="str">
        <f>NodesData[[#This Row],[name]]&amp;" ("&amp;NodesData[[#This Row],[main_class]]&amp;")"</f>
        <v>Physical Token OTP (Concept)</v>
      </c>
      <c r="C311" s="12"/>
      <c r="D311" s="3" t="s">
        <v>1409</v>
      </c>
      <c r="E311" s="10" t="s">
        <v>1367</v>
      </c>
      <c r="F311" s="3">
        <f t="shared" si="4"/>
        <v>309</v>
      </c>
      <c r="G311" s="3">
        <f>COUNTIF(NodesData[label],NodesData[[#This Row],[label]])</f>
        <v>1</v>
      </c>
      <c r="H311" s="3">
        <f>COUNTIF(EdgesData[from],NodesData[[#This Row],[id]])+COUNTIF(EdgesData[to],NodesData[[#This Row],[id]])</f>
        <v>0</v>
      </c>
      <c r="I311" s="3">
        <f>IF(NodesData[[#This Row],[Used]]&gt;0,1,0)</f>
        <v>0</v>
      </c>
      <c r="J311" s="18" t="str" cm="1">
        <f t="array" ref="J311">IF(NodesData[[#This Row],[Count]]&gt;1,",","") &amp;"{"&amp;twoRangesToJSON(NodesData[[#Headers],[id]:[main_class]],NodesData[[#This Row],[id]:[main_class]])&amp;"}"</f>
        <v>,{"id":"nE31585D5_B5FD_42E2_A5C4_93C77CACF47E","label":"Physical Token OTP (Concept)","url":"","main_class":"Concept"}</v>
      </c>
    </row>
    <row r="312" spans="1:10" ht="27" thickTop="1" thickBot="1" x14ac:dyDescent="0.4">
      <c r="A312" s="3" t="str" cm="1">
        <f t="array" ref="A312">"n"&amp;SUBSTITUTE(CreateGuidString(),"-","_")</f>
        <v>n1D73FAAA_6242_4502_88D7_BE5803802B61</v>
      </c>
      <c r="B312" s="6" t="str">
        <f>NodesData[[#This Row],[name]]&amp;" ("&amp;NodesData[[#This Row],[main_class]]&amp;")"</f>
        <v>PMS (Acronym)</v>
      </c>
      <c r="C312" s="17" t="s">
        <v>1035</v>
      </c>
      <c r="D312" s="3" t="s">
        <v>1301</v>
      </c>
      <c r="E312" s="10" t="s">
        <v>1034</v>
      </c>
      <c r="F312" s="3">
        <f t="shared" si="4"/>
        <v>310</v>
      </c>
      <c r="G312" s="3">
        <f>COUNTIF(NodesData[label],NodesData[[#This Row],[label]])</f>
        <v>1</v>
      </c>
      <c r="H312" s="3">
        <f>COUNTIF(EdgesData[from],NodesData[[#This Row],[id]])+COUNTIF(EdgesData[to],NodesData[[#This Row],[id]])</f>
        <v>0</v>
      </c>
      <c r="I312" s="3">
        <f>IF(NodesData[[#This Row],[Used]]&gt;0,1,0)</f>
        <v>0</v>
      </c>
      <c r="J312" s="18" t="str" cm="1">
        <f t="array" ref="J312">IF(NodesData[[#This Row],[Count]]&gt;1,",","") &amp;"{"&amp;twoRangesToJSON(NodesData[[#Headers],[id]:[main_class]],NodesData[[#This Row],[id]:[main_class]])&amp;"}"</f>
        <v>,{"id":"n1D73FAAA_6242_4502_88D7_BE5803802B61","label":"PMS (Acronym)","url":"https://open-measure.atlassian.net/wiki/spaces/DIC/pages/1572948","main_class":"Acronym"}</v>
      </c>
    </row>
    <row r="313" spans="1:10" ht="27" thickTop="1" thickBot="1" x14ac:dyDescent="0.4">
      <c r="A313" s="3" t="str" cm="1">
        <f t="array" ref="A313">"n"&amp;SUBSTITUTE(CreateGuidString(),"-","_")</f>
        <v>n936ED472_F675_426C_A34E_20307991B243</v>
      </c>
      <c r="B313" s="6" t="str">
        <f>NodesData[[#This Row],[name]]&amp;" ("&amp;NodesData[[#This Row],[main_class]]&amp;")"</f>
        <v>Policy (Concept)</v>
      </c>
      <c r="C313" s="17" t="s">
        <v>1037</v>
      </c>
      <c r="D313" s="3" t="s">
        <v>1409</v>
      </c>
      <c r="E313" s="10" t="s">
        <v>1036</v>
      </c>
      <c r="F313" s="3">
        <f t="shared" si="4"/>
        <v>311</v>
      </c>
      <c r="G313" s="3">
        <f>COUNTIF(NodesData[label],NodesData[[#This Row],[label]])</f>
        <v>1</v>
      </c>
      <c r="H313" s="3">
        <f>COUNTIF(EdgesData[from],NodesData[[#This Row],[id]])+COUNTIF(EdgesData[to],NodesData[[#This Row],[id]])</f>
        <v>0</v>
      </c>
      <c r="I313" s="3">
        <f>IF(NodesData[[#This Row],[Used]]&gt;0,1,0)</f>
        <v>0</v>
      </c>
      <c r="J313" s="18" t="str" cm="1">
        <f t="array" ref="J313">IF(NodesData[[#This Row],[Count]]&gt;1,",","") &amp;"{"&amp;twoRangesToJSON(NodesData[[#Headers],[id]:[main_class]],NodesData[[#This Row],[id]:[main_class]])&amp;"}"</f>
        <v>,{"id":"n936ED472_F675_426C_A34E_20307991B243","label":"Policy (Concept)","url":"https://open-measure.atlassian.net/wiki/spaces/DIC/pages/67568272","main_class":"Concept"}</v>
      </c>
    </row>
    <row r="314" spans="1:10" ht="27" thickTop="1" thickBot="1" x14ac:dyDescent="0.4">
      <c r="A314" s="3" t="str" cm="1">
        <f t="array" ref="A314">"n"&amp;SUBSTITUTE(CreateGuidString(),"-","_")</f>
        <v>n7EE49E04_2FA4_4E22_B07C_667A0EDA94F1</v>
      </c>
      <c r="B314" s="6" t="str">
        <f>NodesData[[#This Row],[name]]&amp;" ("&amp;NodesData[[#This Row],[main_class]]&amp;")"</f>
        <v>Policy Analysis (Concept)</v>
      </c>
      <c r="C314" s="17" t="s">
        <v>1039</v>
      </c>
      <c r="D314" s="3" t="s">
        <v>1409</v>
      </c>
      <c r="E314" s="10" t="s">
        <v>1038</v>
      </c>
      <c r="F314" s="3">
        <f t="shared" si="4"/>
        <v>312</v>
      </c>
      <c r="G314" s="3">
        <f>COUNTIF(NodesData[label],NodesData[[#This Row],[label]])</f>
        <v>1</v>
      </c>
      <c r="H314" s="3">
        <f>COUNTIF(EdgesData[from],NodesData[[#This Row],[id]])+COUNTIF(EdgesData[to],NodesData[[#This Row],[id]])</f>
        <v>0</v>
      </c>
      <c r="I314" s="3">
        <f>IF(NodesData[[#This Row],[Used]]&gt;0,1,0)</f>
        <v>0</v>
      </c>
      <c r="J314" s="18" t="str" cm="1">
        <f t="array" ref="J314">IF(NodesData[[#This Row],[Count]]&gt;1,",","") &amp;"{"&amp;twoRangesToJSON(NodesData[[#Headers],[id]:[main_class]],NodesData[[#This Row],[id]:[main_class]])&amp;"}"</f>
        <v>,{"id":"n7EE49E04_2FA4_4E22_B07C_667A0EDA94F1","label":"Policy Analysis (Concept)","url":"https://open-measure.atlassian.net/wiki/spaces/DIC/pages/1104904334","main_class":"Concept"}</v>
      </c>
    </row>
    <row r="315" spans="1:10" ht="27" thickTop="1" thickBot="1" x14ac:dyDescent="0.4">
      <c r="A315" s="3" t="str" cm="1">
        <f t="array" ref="A315">"n"&amp;SUBSTITUTE(CreateGuidString(),"-","_")</f>
        <v>nB379F15E_692F_46F1_AA98_A0C3D337C3A5</v>
      </c>
      <c r="B315" s="6" t="str">
        <f>NodesData[[#This Row],[name]]&amp;" ("&amp;NodesData[[#This Row],[main_class]]&amp;")"</f>
        <v>Policy Centralization (Concept)</v>
      </c>
      <c r="C315" s="17" t="s">
        <v>1041</v>
      </c>
      <c r="D315" s="3" t="s">
        <v>1409</v>
      </c>
      <c r="E315" s="10" t="s">
        <v>1040</v>
      </c>
      <c r="F315" s="3">
        <f t="shared" si="4"/>
        <v>313</v>
      </c>
      <c r="G315" s="3">
        <f>COUNTIF(NodesData[label],NodesData[[#This Row],[label]])</f>
        <v>1</v>
      </c>
      <c r="H315" s="3">
        <f>COUNTIF(EdgesData[from],NodesData[[#This Row],[id]])+COUNTIF(EdgesData[to],NodesData[[#This Row],[id]])</f>
        <v>0</v>
      </c>
      <c r="I315" s="3">
        <f>IF(NodesData[[#This Row],[Used]]&gt;0,1,0)</f>
        <v>0</v>
      </c>
      <c r="J315" s="18" t="str" cm="1">
        <f t="array" ref="J315">IF(NodesData[[#This Row],[Count]]&gt;1,",","") &amp;"{"&amp;twoRangesToJSON(NodesData[[#Headers],[id]:[main_class]],NodesData[[#This Row],[id]:[main_class]])&amp;"}"</f>
        <v>,{"id":"nB379F15E_692F_46F1_AA98_A0C3D337C3A5","label":"Policy Centralization (Concept)","url":"https://open-measure.atlassian.net/wiki/spaces/DIC/pages/1132331103","main_class":"Concept"}</v>
      </c>
    </row>
    <row r="316" spans="1:10" ht="27" thickTop="1" thickBot="1" x14ac:dyDescent="0.4">
      <c r="A316" s="3" t="str" cm="1">
        <f t="array" ref="A316">"n"&amp;SUBSTITUTE(CreateGuidString(),"-","_")</f>
        <v>n30238067_1CCC_485E_B7D5_FE3FC3A0E703</v>
      </c>
      <c r="B316" s="6" t="str">
        <f>NodesData[[#This Row],[name]]&amp;" ("&amp;NodesData[[#This Row],[main_class]]&amp;")"</f>
        <v>Policy Interoperability (Concept)</v>
      </c>
      <c r="C316" s="17" t="s">
        <v>1043</v>
      </c>
      <c r="D316" s="3" t="s">
        <v>1409</v>
      </c>
      <c r="E316" s="10" t="s">
        <v>1042</v>
      </c>
      <c r="F316" s="3">
        <f t="shared" si="4"/>
        <v>314</v>
      </c>
      <c r="G316" s="3">
        <f>COUNTIF(NodesData[label],NodesData[[#This Row],[label]])</f>
        <v>1</v>
      </c>
      <c r="H316" s="3">
        <f>COUNTIF(EdgesData[from],NodesData[[#This Row],[id]])+COUNTIF(EdgesData[to],NodesData[[#This Row],[id]])</f>
        <v>0</v>
      </c>
      <c r="I316" s="3">
        <f>IF(NodesData[[#This Row],[Used]]&gt;0,1,0)</f>
        <v>0</v>
      </c>
      <c r="J316" s="18" t="str" cm="1">
        <f t="array" ref="J316">IF(NodesData[[#This Row],[Count]]&gt;1,",","") &amp;"{"&amp;twoRangesToJSON(NodesData[[#Headers],[id]:[main_class]],NodesData[[#This Row],[id]:[main_class]])&amp;"}"</f>
        <v>,{"id":"n30238067_1CCC_485E_B7D5_FE3FC3A0E703","label":"Policy Interoperability (Concept)","url":"https://open-measure.atlassian.net/wiki/spaces/DIC/pages/1132331086","main_class":"Concept"}</v>
      </c>
    </row>
    <row r="317" spans="1:10" ht="27" thickTop="1" thickBot="1" x14ac:dyDescent="0.4">
      <c r="A317" s="3" t="str" cm="1">
        <f t="array" ref="A317">"n"&amp;SUBSTITUTE(CreateGuidString(),"-","_")</f>
        <v>nE812E282_5FCD_46A6_B0E2_E2B2424B7CC8</v>
      </c>
      <c r="B317" s="6" t="str">
        <f>NodesData[[#This Row],[name]]&amp;" ("&amp;NodesData[[#This Row],[main_class]]&amp;")"</f>
        <v>Policy Manageability (Concept)</v>
      </c>
      <c r="C317" s="17" t="s">
        <v>1045</v>
      </c>
      <c r="D317" s="3" t="s">
        <v>1409</v>
      </c>
      <c r="E317" s="10" t="s">
        <v>1044</v>
      </c>
      <c r="F317" s="3">
        <f t="shared" si="4"/>
        <v>315</v>
      </c>
      <c r="G317" s="3">
        <f>COUNTIF(NodesData[label],NodesData[[#This Row],[label]])</f>
        <v>1</v>
      </c>
      <c r="H317" s="3">
        <f>COUNTIF(EdgesData[from],NodesData[[#This Row],[id]])+COUNTIF(EdgesData[to],NodesData[[#This Row],[id]])</f>
        <v>0</v>
      </c>
      <c r="I317" s="3">
        <f>IF(NodesData[[#This Row],[Used]]&gt;0,1,0)</f>
        <v>0</v>
      </c>
      <c r="J317" s="18" t="str" cm="1">
        <f t="array" ref="J317">IF(NodesData[[#This Row],[Count]]&gt;1,",","") &amp;"{"&amp;twoRangesToJSON(NodesData[[#Headers],[id]:[main_class]],NodesData[[#This Row],[id]:[main_class]])&amp;"}"</f>
        <v>,{"id":"nE812E282_5FCD_46A6_B0E2_E2B2424B7CC8","label":"Policy Manageability (Concept)","url":"https://open-measure.atlassian.net/wiki/spaces/DIC/pages/1122631903","main_class":"Concept"}</v>
      </c>
    </row>
    <row r="318" spans="1:10" ht="27" thickTop="1" thickBot="1" x14ac:dyDescent="0.4">
      <c r="A318" s="3" t="str" cm="1">
        <f t="array" ref="A318">"n"&amp;SUBSTITUTE(CreateGuidString(),"-","_")</f>
        <v>nA7187A65_4BB6_44EA_AB41_BBDAD3911869</v>
      </c>
      <c r="B318" s="6" t="str">
        <f>NodesData[[#This Row],[name]]&amp;" ("&amp;NodesData[[#This Row],[main_class]]&amp;")"</f>
        <v>Policy Mining (Concept)</v>
      </c>
      <c r="C318" s="17" t="s">
        <v>1047</v>
      </c>
      <c r="D318" s="3" t="s">
        <v>1409</v>
      </c>
      <c r="E318" s="10" t="s">
        <v>1046</v>
      </c>
      <c r="F318" s="3">
        <f t="shared" si="4"/>
        <v>316</v>
      </c>
      <c r="G318" s="3">
        <f>COUNTIF(NodesData[label],NodesData[[#This Row],[label]])</f>
        <v>1</v>
      </c>
      <c r="H318" s="3">
        <f>COUNTIF(EdgesData[from],NodesData[[#This Row],[id]])+COUNTIF(EdgesData[to],NodesData[[#This Row],[id]])</f>
        <v>0</v>
      </c>
      <c r="I318" s="3">
        <f>IF(NodesData[[#This Row],[Used]]&gt;0,1,0)</f>
        <v>0</v>
      </c>
      <c r="J318" s="18" t="str" cm="1">
        <f t="array" ref="J318">IF(NodesData[[#This Row],[Count]]&gt;1,",","") &amp;"{"&amp;twoRangesToJSON(NodesData[[#Headers],[id]:[main_class]],NodesData[[#This Row],[id]:[main_class]])&amp;"}"</f>
        <v>,{"id":"nA7187A65_4BB6_44EA_AB41_BBDAD3911869","label":"Policy Mining (Concept)","url":"https://open-measure.atlassian.net/wiki/spaces/DIC/pages/1105068063","main_class":"Concept"}</v>
      </c>
    </row>
    <row r="319" spans="1:10" ht="27" thickTop="1" thickBot="1" x14ac:dyDescent="0.4">
      <c r="A319" s="3" t="str" cm="1">
        <f t="array" ref="A319">"n"&amp;SUBSTITUTE(CreateGuidString(),"-","_")</f>
        <v>nEF587A26_812D_43E6_B5F0_79C269589054</v>
      </c>
      <c r="B319" s="6" t="str">
        <f>NodesData[[#This Row],[name]]&amp;" ("&amp;NodesData[[#This Row],[main_class]]&amp;")"</f>
        <v>Policy Modeling (Concept)</v>
      </c>
      <c r="C319" s="17" t="s">
        <v>1049</v>
      </c>
      <c r="D319" s="3" t="s">
        <v>1409</v>
      </c>
      <c r="E319" s="10" t="s">
        <v>1048</v>
      </c>
      <c r="F319" s="3">
        <f t="shared" si="4"/>
        <v>317</v>
      </c>
      <c r="G319" s="3">
        <f>COUNTIF(NodesData[label],NodesData[[#This Row],[label]])</f>
        <v>1</v>
      </c>
      <c r="H319" s="3">
        <f>COUNTIF(EdgesData[from],NodesData[[#This Row],[id]])+COUNTIF(EdgesData[to],NodesData[[#This Row],[id]])</f>
        <v>0</v>
      </c>
      <c r="I319" s="3">
        <f>IF(NodesData[[#This Row],[Used]]&gt;0,1,0)</f>
        <v>0</v>
      </c>
      <c r="J319" s="18" t="str" cm="1">
        <f t="array" ref="J319">IF(NodesData[[#This Row],[Count]]&gt;1,",","") &amp;"{"&amp;twoRangesToJSON(NodesData[[#Headers],[id]:[main_class]],NodesData[[#This Row],[id]:[main_class]])&amp;"}"</f>
        <v>,{"id":"nEF587A26_812D_43E6_B5F0_79C269589054","label":"Policy Modeling (Concept)","url":"https://open-measure.atlassian.net/wiki/spaces/DIC/pages/1130987523","main_class":"Concept"}</v>
      </c>
    </row>
    <row r="320" spans="1:10" ht="13.9" thickTop="1" thickBot="1" x14ac:dyDescent="0.4">
      <c r="A320" s="3" t="str" cm="1">
        <f t="array" ref="A320">"n"&amp;SUBSTITUTE(CreateGuidString(),"-","_")</f>
        <v>n508CA7E0_3E1A_42C1_98FC_79000DC5E1D7</v>
      </c>
      <c r="B320" s="6" t="str">
        <f>NodesData[[#This Row],[name]]&amp;" ("&amp;NodesData[[#This Row],[main_class]]&amp;")"</f>
        <v>Possession Factor (Concept)</v>
      </c>
      <c r="C320" s="10"/>
      <c r="D320" s="3" t="s">
        <v>1409</v>
      </c>
      <c r="E320" s="10" t="s">
        <v>1336</v>
      </c>
      <c r="F320" s="3">
        <f t="shared" si="4"/>
        <v>318</v>
      </c>
      <c r="G320" s="3">
        <f>COUNTIF(NodesData[label],NodesData[[#This Row],[label]])</f>
        <v>1</v>
      </c>
      <c r="H320" s="3">
        <f>COUNTIF(EdgesData[from],NodesData[[#This Row],[id]])+COUNTIF(EdgesData[to],NodesData[[#This Row],[id]])</f>
        <v>0</v>
      </c>
      <c r="I320" s="3">
        <f>IF(NodesData[[#This Row],[Used]]&gt;0,1,0)</f>
        <v>0</v>
      </c>
      <c r="J320" s="18" t="str" cm="1">
        <f t="array" ref="J320">IF(NodesData[[#This Row],[Count]]&gt;1,",","") &amp;"{"&amp;twoRangesToJSON(NodesData[[#Headers],[id]:[main_class]],NodesData[[#This Row],[id]:[main_class]])&amp;"}"</f>
        <v>,{"id":"n508CA7E0_3E1A_42C1_98FC_79000DC5E1D7","label":"Possession Factor (Concept)","url":"","main_class":"Concept"}</v>
      </c>
    </row>
    <row r="321" spans="1:10" ht="27" thickTop="1" thickBot="1" x14ac:dyDescent="0.4">
      <c r="A321" s="3" t="str" cm="1">
        <f t="array" ref="A321">"n"&amp;SUBSTITUTE(CreateGuidString(),"-","_")</f>
        <v>n9E752028_C146_47C9_9D9E_4C2ABE7A895D</v>
      </c>
      <c r="B321" s="6" t="str">
        <f>NodesData[[#This Row],[name]]&amp;" ("&amp;NodesData[[#This Row],[main_class]]&amp;")"</f>
        <v>Pre-approval (Concept)</v>
      </c>
      <c r="C321" s="17" t="s">
        <v>1051</v>
      </c>
      <c r="D321" s="3" t="s">
        <v>1409</v>
      </c>
      <c r="E321" s="10" t="s">
        <v>1050</v>
      </c>
      <c r="F321" s="3">
        <f t="shared" si="4"/>
        <v>319</v>
      </c>
      <c r="G321" s="3">
        <f>COUNTIF(NodesData[label],NodesData[[#This Row],[label]])</f>
        <v>1</v>
      </c>
      <c r="H321" s="3">
        <f>COUNTIF(EdgesData[from],NodesData[[#This Row],[id]])+COUNTIF(EdgesData[to],NodesData[[#This Row],[id]])</f>
        <v>0</v>
      </c>
      <c r="I321" s="3">
        <f>IF(NodesData[[#This Row],[Used]]&gt;0,1,0)</f>
        <v>0</v>
      </c>
      <c r="J321" s="18" t="str" cm="1">
        <f t="array" ref="J321">IF(NodesData[[#This Row],[Count]]&gt;1,",","") &amp;"{"&amp;twoRangesToJSON(NodesData[[#Headers],[id]:[main_class]],NodesData[[#This Row],[id]:[main_class]])&amp;"}"</f>
        <v>,{"id":"n9E752028_C146_47C9_9D9E_4C2ABE7A895D","label":"Pre-approval (Concept)","url":"https://open-measure.atlassian.net/wiki/spaces/DIC/pages/1094549649","main_class":"Concept"}</v>
      </c>
    </row>
    <row r="322" spans="1:10" ht="27" thickTop="1" thickBot="1" x14ac:dyDescent="0.4">
      <c r="A322" s="3" t="str" cm="1">
        <f t="array" ref="A322">"n"&amp;SUBSTITUTE(CreateGuidString(),"-","_")</f>
        <v>n54F61305_2E06_4EDA_AFD7_7F891903A791</v>
      </c>
      <c r="B322" s="6" t="str">
        <f>NodesData[[#This Row],[name]]&amp;" ("&amp;NodesData[[#This Row],[main_class]]&amp;")"</f>
        <v>Principal (Concept)</v>
      </c>
      <c r="C322" s="17" t="s">
        <v>1053</v>
      </c>
      <c r="D322" s="3" t="s">
        <v>1409</v>
      </c>
      <c r="E322" s="10" t="s">
        <v>1052</v>
      </c>
      <c r="F322" s="3">
        <f t="shared" si="4"/>
        <v>320</v>
      </c>
      <c r="G322" s="3">
        <f>COUNTIF(NodesData[label],NodesData[[#This Row],[label]])</f>
        <v>1</v>
      </c>
      <c r="H322" s="3">
        <f>COUNTIF(EdgesData[from],NodesData[[#This Row],[id]])+COUNTIF(EdgesData[to],NodesData[[#This Row],[id]])</f>
        <v>0</v>
      </c>
      <c r="I322" s="3">
        <f>IF(NodesData[[#This Row],[Used]]&gt;0,1,0)</f>
        <v>0</v>
      </c>
      <c r="J322" s="18" t="str" cm="1">
        <f t="array" ref="J322">IF(NodesData[[#This Row],[Count]]&gt;1,",","") &amp;"{"&amp;twoRangesToJSON(NodesData[[#Headers],[id]:[main_class]],NodesData[[#This Row],[id]:[main_class]])&amp;"}"</f>
        <v>,{"id":"n54F61305_2E06_4EDA_AFD7_7F891903A791","label":"Principal (Concept)","url":"https://open-measure.atlassian.net/wiki/spaces/DIC/pages/67699046","main_class":"Concept"}</v>
      </c>
    </row>
    <row r="323" spans="1:10" ht="27" thickTop="1" thickBot="1" x14ac:dyDescent="0.4">
      <c r="A323" s="3" t="str" cm="1">
        <f t="array" ref="A323">"n"&amp;SUBSTITUTE(CreateGuidString(),"-","_")</f>
        <v>nD70DD8D3_2C3A_40E8_A92B_CB5B711AD116</v>
      </c>
      <c r="B323" s="6" t="str">
        <f>NodesData[[#This Row],[name]]&amp;" ("&amp;NodesData[[#This Row],[main_class]]&amp;")"</f>
        <v>Private Key Loss (Concept)</v>
      </c>
      <c r="C323" s="17" t="s">
        <v>1054</v>
      </c>
      <c r="D323" s="3" t="s">
        <v>1409</v>
      </c>
      <c r="E323" s="10" t="s">
        <v>394</v>
      </c>
      <c r="F323" s="3">
        <f t="shared" si="4"/>
        <v>321</v>
      </c>
      <c r="G323" s="3">
        <f>COUNTIF(NodesData[label],NodesData[[#This Row],[label]])</f>
        <v>1</v>
      </c>
      <c r="H323" s="3">
        <f>COUNTIF(EdgesData[from],NodesData[[#This Row],[id]])+COUNTIF(EdgesData[to],NodesData[[#This Row],[id]])</f>
        <v>0</v>
      </c>
      <c r="I323" s="3">
        <f>IF(NodesData[[#This Row],[Used]]&gt;0,1,0)</f>
        <v>0</v>
      </c>
      <c r="J323" s="18" t="str" cm="1">
        <f t="array" ref="J323">IF(NodesData[[#This Row],[Count]]&gt;1,",","") &amp;"{"&amp;twoRangesToJSON(NodesData[[#Headers],[id]:[main_class]],NodesData[[#This Row],[id]:[main_class]])&amp;"}"</f>
        <v>,{"id":"nD70DD8D3_2C3A_40E8_A92B_CB5B711AD116","label":"Private Key Loss (Concept)","url":"https://open-measure.atlassian.net/wiki/spaces/DIC/pages/1323434264/Private+Key+Loss","main_class":"Concept"}</v>
      </c>
    </row>
    <row r="324" spans="1:10" ht="27" thickTop="1" thickBot="1" x14ac:dyDescent="0.4">
      <c r="A324" s="3" t="str" cm="1">
        <f t="array" ref="A324">"n"&amp;SUBSTITUTE(CreateGuidString(),"-","_")</f>
        <v>n21802CF8_BA72_4690_9202_B4940F0A518D</v>
      </c>
      <c r="B324" s="6" t="str">
        <f>NodesData[[#This Row],[name]]&amp;" ("&amp;NodesData[[#This Row],[main_class]]&amp;")"</f>
        <v>Privilege (Concept)</v>
      </c>
      <c r="C324" s="17" t="s">
        <v>1056</v>
      </c>
      <c r="D324" s="3" t="s">
        <v>1409</v>
      </c>
      <c r="E324" s="10" t="s">
        <v>1055</v>
      </c>
      <c r="F324" s="3">
        <f t="shared" si="4"/>
        <v>322</v>
      </c>
      <c r="G324" s="3">
        <f>COUNTIF(NodesData[label],NodesData[[#This Row],[label]])</f>
        <v>1</v>
      </c>
      <c r="H324" s="3">
        <f>COUNTIF(EdgesData[from],NodesData[[#This Row],[id]])+COUNTIF(EdgesData[to],NodesData[[#This Row],[id]])</f>
        <v>0</v>
      </c>
      <c r="I324" s="3">
        <f>IF(NodesData[[#This Row],[Used]]&gt;0,1,0)</f>
        <v>0</v>
      </c>
      <c r="J324" s="18" t="str" cm="1">
        <f t="array" ref="J324">IF(NodesData[[#This Row],[Count]]&gt;1,",","") &amp;"{"&amp;twoRangesToJSON(NodesData[[#Headers],[id]:[main_class]],NodesData[[#This Row],[id]:[main_class]])&amp;"}"</f>
        <v>,{"id":"n21802CF8_BA72_4690_9202_B4940F0A518D","label":"Privilege (Concept)","url":"https://open-measure.atlassian.net/wiki/spaces/DIC/pages/67568310","main_class":"Concept"}</v>
      </c>
    </row>
    <row r="325" spans="1:10" ht="27" thickTop="1" thickBot="1" x14ac:dyDescent="0.4">
      <c r="A325" s="3" t="str" cm="1">
        <f t="array" ref="A325">"n"&amp;SUBSTITUTE(CreateGuidString(),"-","_")</f>
        <v>nFF0AC0E7_9A00_4BF9_98BF_780893A52E9C</v>
      </c>
      <c r="B325" s="6" t="str">
        <f>NodesData[[#This Row],[name]]&amp;" ("&amp;NodesData[[#This Row],[main_class]]&amp;")"</f>
        <v>Privilege Abuse (Concept)</v>
      </c>
      <c r="C325" s="17" t="s">
        <v>1057</v>
      </c>
      <c r="D325" s="3" t="s">
        <v>1409</v>
      </c>
      <c r="E325" s="10" t="s">
        <v>396</v>
      </c>
      <c r="F325" s="3">
        <f t="shared" ref="F325:F388" si="5">F324+1</f>
        <v>323</v>
      </c>
      <c r="G325" s="3">
        <f>COUNTIF(NodesData[label],NodesData[[#This Row],[label]])</f>
        <v>1</v>
      </c>
      <c r="H325" s="3">
        <f>COUNTIF(EdgesData[from],NodesData[[#This Row],[id]])+COUNTIF(EdgesData[to],NodesData[[#This Row],[id]])</f>
        <v>0</v>
      </c>
      <c r="I325" s="3">
        <f>IF(NodesData[[#This Row],[Used]]&gt;0,1,0)</f>
        <v>0</v>
      </c>
      <c r="J325" s="18" t="str" cm="1">
        <f t="array" ref="J325">IF(NodesData[[#This Row],[Count]]&gt;1,",","") &amp;"{"&amp;twoRangesToJSON(NodesData[[#Headers],[id]:[main_class]],NodesData[[#This Row],[id]:[main_class]])&amp;"}"</f>
        <v>,{"id":"nFF0AC0E7_9A00_4BF9_98BF_780893A52E9C","label":"Privilege Abuse (Concept)","url":"https://open-measure.atlassian.net/wiki/spaces/DIC/pages/814449037/Privilege+Abuse","main_class":"Concept"}</v>
      </c>
    </row>
    <row r="326" spans="1:10" ht="27" thickTop="1" thickBot="1" x14ac:dyDescent="0.4">
      <c r="A326" s="3" t="str" cm="1">
        <f t="array" ref="A326">"n"&amp;SUBSTITUTE(CreateGuidString(),"-","_")</f>
        <v>nA6B6AB3E_E34E_4A9D_9DEE_4BE8DF97545E</v>
      </c>
      <c r="B326" s="6" t="str">
        <f>NodesData[[#This Row],[name]]&amp;" ("&amp;NodesData[[#This Row],[main_class]]&amp;")"</f>
        <v>Privilege Chaining (Concept)</v>
      </c>
      <c r="C326" s="17" t="s">
        <v>1059</v>
      </c>
      <c r="D326" s="3" t="s">
        <v>1409</v>
      </c>
      <c r="E326" s="10" t="s">
        <v>1058</v>
      </c>
      <c r="F326" s="3">
        <f t="shared" si="5"/>
        <v>324</v>
      </c>
      <c r="G326" s="3">
        <f>COUNTIF(NodesData[label],NodesData[[#This Row],[label]])</f>
        <v>1</v>
      </c>
      <c r="H326" s="3">
        <f>COUNTIF(EdgesData[from],NodesData[[#This Row],[id]])+COUNTIF(EdgesData[to],NodesData[[#This Row],[id]])</f>
        <v>0</v>
      </c>
      <c r="I326" s="3">
        <f>IF(NodesData[[#This Row],[Used]]&gt;0,1,0)</f>
        <v>0</v>
      </c>
      <c r="J326" s="18" t="str" cm="1">
        <f t="array" ref="J326">IF(NodesData[[#This Row],[Count]]&gt;1,",","") &amp;"{"&amp;twoRangesToJSON(NodesData[[#Headers],[id]:[main_class]],NodesData[[#This Row],[id]:[main_class]])&amp;"}"</f>
        <v>,{"id":"nA6B6AB3E_E34E_4A9D_9DEE_4BE8DF97545E","label":"Privilege Chaining (Concept)","url":"https://open-measure.atlassian.net/wiki/spaces/DIC/pages/473890861","main_class":"Concept"}</v>
      </c>
    </row>
    <row r="327" spans="1:10" ht="27" thickTop="1" thickBot="1" x14ac:dyDescent="0.4">
      <c r="A327" s="3" t="str" cm="1">
        <f t="array" ref="A327">"n"&amp;SUBSTITUTE(CreateGuidString(),"-","_")</f>
        <v>n054E8805_F306_4663_AEC2_D3521B1C64B8</v>
      </c>
      <c r="B327" s="6" t="str">
        <f>NodesData[[#This Row],[name]]&amp;" ("&amp;NodesData[[#This Row],[main_class]]&amp;")"</f>
        <v>Privilege Escalation (Concept)</v>
      </c>
      <c r="C327" s="17" t="s">
        <v>1061</v>
      </c>
      <c r="D327" s="3" t="s">
        <v>1409</v>
      </c>
      <c r="E327" s="10" t="s">
        <v>1060</v>
      </c>
      <c r="F327" s="3">
        <f t="shared" si="5"/>
        <v>325</v>
      </c>
      <c r="G327" s="3">
        <f>COUNTIF(NodesData[label],NodesData[[#This Row],[label]])</f>
        <v>1</v>
      </c>
      <c r="H327" s="3">
        <f>COUNTIF(EdgesData[from],NodesData[[#This Row],[id]])+COUNTIF(EdgesData[to],NodesData[[#This Row],[id]])</f>
        <v>0</v>
      </c>
      <c r="I327" s="3">
        <f>IF(NodesData[[#This Row],[Used]]&gt;0,1,0)</f>
        <v>0</v>
      </c>
      <c r="J327" s="18" t="str" cm="1">
        <f t="array" ref="J327">IF(NodesData[[#This Row],[Count]]&gt;1,",","") &amp;"{"&amp;twoRangesToJSON(NodesData[[#Headers],[id]:[main_class]],NodesData[[#This Row],[id]:[main_class]])&amp;"}"</f>
        <v>,{"id":"n054E8805_F306_4663_AEC2_D3521B1C64B8","label":"Privilege Escalation (Concept)","url":"https://open-measure.atlassian.net/wiki/spaces/DIC/pages/810320380","main_class":"Concept"}</v>
      </c>
    </row>
    <row r="328" spans="1:10" ht="27" thickTop="1" thickBot="1" x14ac:dyDescent="0.4">
      <c r="A328" s="3" t="str" cm="1">
        <f t="array" ref="A328">"n"&amp;SUBSTITUTE(CreateGuidString(),"-","_")</f>
        <v>n6E4DCAC8_9D9C_4C60_88DE_4260EE5D81F1</v>
      </c>
      <c r="B328" s="6" t="str">
        <f>NodesData[[#This Row],[name]]&amp;" ("&amp;NodesData[[#This Row],[main_class]]&amp;")"</f>
        <v>Privileged Identity (Concept)</v>
      </c>
      <c r="C328" s="17" t="s">
        <v>1063</v>
      </c>
      <c r="D328" s="3" t="s">
        <v>1409</v>
      </c>
      <c r="E328" s="10" t="s">
        <v>1062</v>
      </c>
      <c r="F328" s="3">
        <f t="shared" si="5"/>
        <v>326</v>
      </c>
      <c r="G328" s="3">
        <f>COUNTIF(NodesData[label],NodesData[[#This Row],[label]])</f>
        <v>1</v>
      </c>
      <c r="H328" s="3">
        <f>COUNTIF(EdgesData[from],NodesData[[#This Row],[id]])+COUNTIF(EdgesData[to],NodesData[[#This Row],[id]])</f>
        <v>0</v>
      </c>
      <c r="I328" s="3">
        <f>IF(NodesData[[#This Row],[Used]]&gt;0,1,0)</f>
        <v>0</v>
      </c>
      <c r="J328" s="18" t="str" cm="1">
        <f t="array" ref="J328">IF(NodesData[[#This Row],[Count]]&gt;1,",","") &amp;"{"&amp;twoRangesToJSON(NodesData[[#Headers],[id]:[main_class]],NodesData[[#This Row],[id]:[main_class]])&amp;"}"</f>
        <v>,{"id":"n6E4DCAC8_9D9C_4C60_88DE_4260EE5D81F1","label":"Privileged Identity (Concept)","url":"https://open-measure.atlassian.net/wiki/spaces/DIC/pages/138346661","main_class":"Concept"}</v>
      </c>
    </row>
    <row r="329" spans="1:10" ht="27" thickTop="1" thickBot="1" x14ac:dyDescent="0.4">
      <c r="A329" s="3" t="str" cm="1">
        <f t="array" ref="A329">"n"&amp;SUBSTITUTE(CreateGuidString(),"-","_")</f>
        <v>n3910B556_7A51_4496_A26E_98FD66E20231</v>
      </c>
      <c r="B329" s="6" t="str">
        <f>NodesData[[#This Row],[name]]&amp;" ("&amp;NodesData[[#This Row],[main_class]]&amp;")"</f>
        <v>Privileged Insider (Concept)</v>
      </c>
      <c r="C329" s="17" t="s">
        <v>1064</v>
      </c>
      <c r="D329" s="3" t="s">
        <v>1409</v>
      </c>
      <c r="E329" s="10" t="s">
        <v>399</v>
      </c>
      <c r="F329" s="3">
        <f t="shared" si="5"/>
        <v>327</v>
      </c>
      <c r="G329" s="3">
        <f>COUNTIF(NodesData[label],NodesData[[#This Row],[label]])</f>
        <v>1</v>
      </c>
      <c r="H329" s="3">
        <f>COUNTIF(EdgesData[from],NodesData[[#This Row],[id]])+COUNTIF(EdgesData[to],NodesData[[#This Row],[id]])</f>
        <v>0</v>
      </c>
      <c r="I329" s="3">
        <f>IF(NodesData[[#This Row],[Used]]&gt;0,1,0)</f>
        <v>0</v>
      </c>
      <c r="J329" s="18" t="str" cm="1">
        <f t="array" ref="J329">IF(NodesData[[#This Row],[Count]]&gt;1,",","") &amp;"{"&amp;twoRangesToJSON(NodesData[[#Headers],[id]:[main_class]],NodesData[[#This Row],[id]:[main_class]])&amp;"}"</f>
        <v>,{"id":"n3910B556_7A51_4496_A26E_98FD66E20231","label":"Privileged Insider (Concept)","url":"https://open-measure.atlassian.net/wiki/spaces/DIC/pages/1477902403/Privileged+Insider","main_class":"Concept"}</v>
      </c>
    </row>
    <row r="330" spans="1:10" ht="27" thickTop="1" thickBot="1" x14ac:dyDescent="0.4">
      <c r="A330" s="3" t="str" cm="1">
        <f t="array" ref="A330">"n"&amp;SUBSTITUTE(CreateGuidString(),"-","_")</f>
        <v>n2053A7B6_6FE2_4958_8B28_EB48C1197CF3</v>
      </c>
      <c r="B330" s="6" t="str">
        <f>NodesData[[#This Row],[name]]&amp;" ("&amp;NodesData[[#This Row],[main_class]]&amp;")"</f>
        <v>Provisioning (Concept)</v>
      </c>
      <c r="C330" s="17" t="s">
        <v>1066</v>
      </c>
      <c r="D330" s="3" t="s">
        <v>1409</v>
      </c>
      <c r="E330" s="10" t="s">
        <v>1065</v>
      </c>
      <c r="F330" s="3">
        <f t="shared" si="5"/>
        <v>328</v>
      </c>
      <c r="G330" s="3">
        <f>COUNTIF(NodesData[label],NodesData[[#This Row],[label]])</f>
        <v>1</v>
      </c>
      <c r="H330" s="3">
        <f>COUNTIF(EdgesData[from],NodesData[[#This Row],[id]])+COUNTIF(EdgesData[to],NodesData[[#This Row],[id]])</f>
        <v>0</v>
      </c>
      <c r="I330" s="3">
        <f>IF(NodesData[[#This Row],[Used]]&gt;0,1,0)</f>
        <v>0</v>
      </c>
      <c r="J330" s="18" t="str" cm="1">
        <f t="array" ref="J330">IF(NodesData[[#This Row],[Count]]&gt;1,",","") &amp;"{"&amp;twoRangesToJSON(NodesData[[#Headers],[id]:[main_class]],NodesData[[#This Row],[id]:[main_class]])&amp;"}"</f>
        <v>,{"id":"n2053A7B6_6FE2_4958_8B28_EB48C1197CF3","label":"Provisioning (Concept)","url":"https://open-measure.atlassian.net/wiki/spaces/DIC/pages/61964289","main_class":"Concept"}</v>
      </c>
    </row>
    <row r="331" spans="1:10" ht="27" thickTop="1" thickBot="1" x14ac:dyDescent="0.4">
      <c r="A331" s="3" t="str" cm="1">
        <f t="array" ref="A331">"n"&amp;SUBSTITUTE(CreateGuidString(),"-","_")</f>
        <v>n5F29C29C_6ADE_402A_90EC_BC14251265DA</v>
      </c>
      <c r="B331" s="6" t="str">
        <f>NodesData[[#This Row],[name]]&amp;" ("&amp;NodesData[[#This Row],[main_class]]&amp;")"</f>
        <v>Personal Identification Number Authentication (Concept)</v>
      </c>
      <c r="C331" s="22"/>
      <c r="D331" s="3" t="s">
        <v>1409</v>
      </c>
      <c r="E331" s="10" t="s">
        <v>1375</v>
      </c>
      <c r="F331" s="3">
        <f t="shared" si="5"/>
        <v>329</v>
      </c>
      <c r="G331" s="3">
        <f>COUNTIF(NodesData[label],NodesData[[#This Row],[label]])</f>
        <v>1</v>
      </c>
      <c r="H331" s="3">
        <f>COUNTIF(EdgesData[from],NodesData[[#This Row],[id]])+COUNTIF(EdgesData[to],NodesData[[#This Row],[id]])</f>
        <v>0</v>
      </c>
      <c r="I331" s="3">
        <f>IF(NodesData[[#This Row],[Used]]&gt;0,1,0)</f>
        <v>0</v>
      </c>
      <c r="J331" s="18" t="str" cm="1">
        <f t="array" ref="J331">IF(NodesData[[#This Row],[Count]]&gt;1,",","") &amp;"{"&amp;twoRangesToJSON(NodesData[[#Headers],[id]:[main_class]],NodesData[[#This Row],[id]:[main_class]])&amp;"}"</f>
        <v>,{"id":"n5F29C29C_6ADE_402A_90EC_BC14251265DA","label":"Personal Identification Number Authentication (Concept)","url":"","main_class":"Concept"}</v>
      </c>
    </row>
    <row r="332" spans="1:10" ht="27" thickTop="1" thickBot="1" x14ac:dyDescent="0.4">
      <c r="A332" s="3" t="str" cm="1">
        <f t="array" ref="A332">"n"&amp;SUBSTITUTE(CreateGuidString(),"-","_")</f>
        <v>nF38B8744_E61B_42CF_8A03_B8D97468C1FE</v>
      </c>
      <c r="B332" s="6" t="str">
        <f>NodesData[[#This Row],[name]]&amp;" ("&amp;NodesData[[#This Row],[main_class]]&amp;")"</f>
        <v>Qualitative Identity (Concept)</v>
      </c>
      <c r="C332" s="17" t="s">
        <v>1068</v>
      </c>
      <c r="D332" s="3" t="s">
        <v>1409</v>
      </c>
      <c r="E332" s="10" t="s">
        <v>408</v>
      </c>
      <c r="F332" s="3">
        <f t="shared" si="5"/>
        <v>330</v>
      </c>
      <c r="G332" s="3">
        <f>COUNTIF(NodesData[label],NodesData[[#This Row],[label]])</f>
        <v>1</v>
      </c>
      <c r="H332" s="3">
        <f>COUNTIF(EdgesData[from],NodesData[[#This Row],[id]])+COUNTIF(EdgesData[to],NodesData[[#This Row],[id]])</f>
        <v>0</v>
      </c>
      <c r="I332" s="3">
        <f>IF(NodesData[[#This Row],[Used]]&gt;0,1,0)</f>
        <v>0</v>
      </c>
      <c r="J332" s="18" t="str" cm="1">
        <f t="array" ref="J332">IF(NodesData[[#This Row],[Count]]&gt;1,",","") &amp;"{"&amp;twoRangesToJSON(NodesData[[#Headers],[id]:[main_class]],NodesData[[#This Row],[id]:[main_class]])&amp;"}"</f>
        <v>,{"id":"nF38B8744_E61B_42CF_8A03_B8D97468C1FE","label":"Qualitative Identity (Concept)","url":"https://open-measure.atlassian.net/wiki/spaces/DIC/pages/1323598109/Qualitative+Identity","main_class":"Concept"}</v>
      </c>
    </row>
    <row r="333" spans="1:10" ht="27" thickTop="1" thickBot="1" x14ac:dyDescent="0.4">
      <c r="A333" s="3" t="str" cm="1">
        <f t="array" ref="A333">"n"&amp;SUBSTITUTE(CreateGuidString(),"-","_")</f>
        <v>n49BC2334_8E1F_47A3_9920_FE7CA570606D</v>
      </c>
      <c r="B333" s="6" t="str">
        <f>NodesData[[#This Row],[name]]&amp;" ("&amp;NodesData[[#This Row],[main_class]]&amp;")"</f>
        <v>RA (Acronym)</v>
      </c>
      <c r="C333" s="17" t="s">
        <v>1070</v>
      </c>
      <c r="D333" s="3" t="s">
        <v>1301</v>
      </c>
      <c r="E333" s="10" t="s">
        <v>1069</v>
      </c>
      <c r="F333" s="3">
        <f t="shared" si="5"/>
        <v>331</v>
      </c>
      <c r="G333" s="3">
        <f>COUNTIF(NodesData[label],NodesData[[#This Row],[label]])</f>
        <v>1</v>
      </c>
      <c r="H333" s="3">
        <f>COUNTIF(EdgesData[from],NodesData[[#This Row],[id]])+COUNTIF(EdgesData[to],NodesData[[#This Row],[id]])</f>
        <v>0</v>
      </c>
      <c r="I333" s="3">
        <f>IF(NodesData[[#This Row],[Used]]&gt;0,1,0)</f>
        <v>0</v>
      </c>
      <c r="J333" s="18" t="str" cm="1">
        <f t="array" ref="J333">IF(NodesData[[#This Row],[Count]]&gt;1,",","") &amp;"{"&amp;twoRangesToJSON(NodesData[[#Headers],[id]:[main_class]],NodesData[[#This Row],[id]:[main_class]])&amp;"}"</f>
        <v>,{"id":"n49BC2334_8E1F_47A3_9920_FE7CA570606D","label":"RA (Acronym)","url":"https://open-measure.atlassian.net/wiki/spaces/DIC/pages/82903928","main_class":"Acronym"}</v>
      </c>
    </row>
    <row r="334" spans="1:10" ht="27" thickTop="1" thickBot="1" x14ac:dyDescent="0.4">
      <c r="A334" s="3" t="str" cm="1">
        <f t="array" ref="A334">"n"&amp;SUBSTITUTE(CreateGuidString(),"-","_")</f>
        <v>n14D7A456_266F_46F6_A9EF_7BCB72B9F4DE</v>
      </c>
      <c r="B334" s="6" t="str">
        <f>NodesData[[#This Row],[name]]&amp;" ("&amp;NodesData[[#This Row],[main_class]]&amp;")"</f>
        <v>Ratio Scale (Concept)</v>
      </c>
      <c r="C334" s="17" t="s">
        <v>1072</v>
      </c>
      <c r="D334" s="3" t="s">
        <v>1409</v>
      </c>
      <c r="E334" s="10" t="s">
        <v>1071</v>
      </c>
      <c r="F334" s="3">
        <f t="shared" si="5"/>
        <v>332</v>
      </c>
      <c r="G334" s="3">
        <f>COUNTIF(NodesData[label],NodesData[[#This Row],[label]])</f>
        <v>1</v>
      </c>
      <c r="H334" s="3">
        <f>COUNTIF(EdgesData[from],NodesData[[#This Row],[id]])+COUNTIF(EdgesData[to],NodesData[[#This Row],[id]])</f>
        <v>0</v>
      </c>
      <c r="I334" s="3">
        <f>IF(NodesData[[#This Row],[Used]]&gt;0,1,0)</f>
        <v>0</v>
      </c>
      <c r="J334" s="18" t="str" cm="1">
        <f t="array" ref="J334">IF(NodesData[[#This Row],[Count]]&gt;1,",","") &amp;"{"&amp;twoRangesToJSON(NodesData[[#Headers],[id]:[main_class]],NodesData[[#This Row],[id]:[main_class]])&amp;"}"</f>
        <v>,{"id":"n14D7A456_266F_46F6_A9EF_7BCB72B9F4DE","label":"Ratio Scale (Concept)","url":"https://open-measure.atlassian.net/wiki/spaces/DIC/pages/11567198","main_class":"Concept"}</v>
      </c>
    </row>
    <row r="335" spans="1:10" ht="27" thickTop="1" thickBot="1" x14ac:dyDescent="0.4">
      <c r="A335" s="3" t="str" cm="1">
        <f t="array" ref="A335">"n"&amp;SUBSTITUTE(CreateGuidString(),"-","_")</f>
        <v>n89C88863_3E86_4C9D_9EF0_04C8722FE83D</v>
      </c>
      <c r="B335" s="6" t="str">
        <f>NodesData[[#This Row],[name]]&amp;" ("&amp;NodesData[[#This Row],[main_class]]&amp;")"</f>
        <v>RBA (Acronym)</v>
      </c>
      <c r="C335" s="17" t="s">
        <v>1074</v>
      </c>
      <c r="D335" s="3" t="s">
        <v>1301</v>
      </c>
      <c r="E335" s="10" t="s">
        <v>1073</v>
      </c>
      <c r="F335" s="3">
        <f t="shared" si="5"/>
        <v>333</v>
      </c>
      <c r="G335" s="3">
        <f>COUNTIF(NodesData[label],NodesData[[#This Row],[label]])</f>
        <v>1</v>
      </c>
      <c r="H335" s="3">
        <f>COUNTIF(EdgesData[from],NodesData[[#This Row],[id]])+COUNTIF(EdgesData[to],NodesData[[#This Row],[id]])</f>
        <v>0</v>
      </c>
      <c r="I335" s="3">
        <f>IF(NodesData[[#This Row],[Used]]&gt;0,1,0)</f>
        <v>0</v>
      </c>
      <c r="J335" s="18" t="str" cm="1">
        <f t="array" ref="J335">IF(NodesData[[#This Row],[Count]]&gt;1,",","") &amp;"{"&amp;twoRangesToJSON(NodesData[[#Headers],[id]:[main_class]],NodesData[[#This Row],[id]:[main_class]])&amp;"}"</f>
        <v>,{"id":"n89C88863_3E86_4C9D_9EF0_04C8722FE83D","label":"RBA (Acronym)","url":"https://open-measure.atlassian.net/wiki/spaces/DIC/pages/408944908","main_class":"Acronym"}</v>
      </c>
    </row>
    <row r="336" spans="1:10" ht="27" thickTop="1" thickBot="1" x14ac:dyDescent="0.4">
      <c r="A336" s="3" t="str" cm="1">
        <f t="array" ref="A336">"n"&amp;SUBSTITUTE(CreateGuidString(),"-","_")</f>
        <v>n427797FB_E175_4D72_808F_C70FA1B2D91D</v>
      </c>
      <c r="B336" s="6" t="str">
        <f>NodesData[[#This Row],[name]]&amp;" ("&amp;NodesData[[#This Row],[main_class]]&amp;")"</f>
        <v>QR Code Authentication (Concept)</v>
      </c>
      <c r="C336" s="17" t="s">
        <v>1067</v>
      </c>
      <c r="D336" s="3" t="s">
        <v>1409</v>
      </c>
      <c r="E336" s="10" t="s">
        <v>406</v>
      </c>
      <c r="F336" s="3">
        <f t="shared" si="5"/>
        <v>334</v>
      </c>
      <c r="G336" s="3">
        <f>COUNTIF(NodesData[label],NodesData[[#This Row],[label]])</f>
        <v>1</v>
      </c>
      <c r="H336" s="3">
        <f>COUNTIF(EdgesData[from],NodesData[[#This Row],[id]])+COUNTIF(EdgesData[to],NodesData[[#This Row],[id]])</f>
        <v>0</v>
      </c>
      <c r="I336" s="3">
        <f>IF(NodesData[[#This Row],[Used]]&gt;0,1,0)</f>
        <v>0</v>
      </c>
      <c r="J336" s="18" t="str" cm="1">
        <f t="array" ref="J336">IF(NodesData[[#This Row],[Count]]&gt;1,",","") &amp;"{"&amp;twoRangesToJSON(NodesData[[#Headers],[id]:[main_class]],NodesData[[#This Row],[id]:[main_class]])&amp;"}"</f>
        <v>,{"id":"n427797FB_E175_4D72_808F_C70FA1B2D91D","label":"QR Code Authentication (Concept)","url":"https://open-measure.atlassian.net/wiki/spaces/DIC/pages/1677164768/QR+Code+Authentication","main_class":"Concept"}</v>
      </c>
    </row>
    <row r="337" spans="1:10" ht="27" thickTop="1" thickBot="1" x14ac:dyDescent="0.4">
      <c r="A337" s="3" t="str" cm="1">
        <f t="array" ref="A337">"n"&amp;SUBSTITUTE(CreateGuidString(),"-","_")</f>
        <v>n1BC63F04_E83A_4D60_9A17_392F1A41D598</v>
      </c>
      <c r="B337" s="6" t="str">
        <f>NodesData[[#This Row],[name]]&amp;" ("&amp;NodesData[[#This Row],[main_class]]&amp;")"</f>
        <v>Recertification (Concept)</v>
      </c>
      <c r="C337" s="17" t="s">
        <v>1078</v>
      </c>
      <c r="D337" s="3" t="s">
        <v>1409</v>
      </c>
      <c r="E337" s="10" t="s">
        <v>1077</v>
      </c>
      <c r="F337" s="3">
        <f t="shared" si="5"/>
        <v>335</v>
      </c>
      <c r="G337" s="3">
        <f>COUNTIF(NodesData[label],NodesData[[#This Row],[label]])</f>
        <v>1</v>
      </c>
      <c r="H337" s="3">
        <f>COUNTIF(EdgesData[from],NodesData[[#This Row],[id]])+COUNTIF(EdgesData[to],NodesData[[#This Row],[id]])</f>
        <v>0</v>
      </c>
      <c r="I337" s="3">
        <f>IF(NodesData[[#This Row],[Used]]&gt;0,1,0)</f>
        <v>0</v>
      </c>
      <c r="J337" s="18" t="str" cm="1">
        <f t="array" ref="J337">IF(NodesData[[#This Row],[Count]]&gt;1,",","") &amp;"{"&amp;twoRangesToJSON(NodesData[[#Headers],[id]:[main_class]],NodesData[[#This Row],[id]:[main_class]])&amp;"}"</f>
        <v>,{"id":"n1BC63F04_E83A_4D60_9A17_392F1A41D598","label":"Recertification (Concept)","url":"https://open-measure.atlassian.net/wiki/spaces/DIC/pages/107840129","main_class":"Concept"}</v>
      </c>
    </row>
    <row r="338" spans="1:10" ht="27" thickTop="1" thickBot="1" x14ac:dyDescent="0.4">
      <c r="A338" s="3" t="str" cm="1">
        <f t="array" ref="A338">"n"&amp;SUBSTITUTE(CreateGuidString(),"-","_")</f>
        <v>nC7911815_F604_4DF6_BCF5_87F9833DB0CD</v>
      </c>
      <c r="B338" s="6" t="str">
        <f>NodesData[[#This Row],[name]]&amp;" ("&amp;NodesData[[#This Row],[main_class]]&amp;")"</f>
        <v>Reference Monitor (Concept)</v>
      </c>
      <c r="C338" s="17" t="s">
        <v>1080</v>
      </c>
      <c r="D338" s="3" t="s">
        <v>1409</v>
      </c>
      <c r="E338" s="10" t="s">
        <v>1079</v>
      </c>
      <c r="F338" s="3">
        <f t="shared" si="5"/>
        <v>336</v>
      </c>
      <c r="G338" s="3">
        <f>COUNTIF(NodesData[label],NodesData[[#This Row],[label]])</f>
        <v>1</v>
      </c>
      <c r="H338" s="3">
        <f>COUNTIF(EdgesData[from],NodesData[[#This Row],[id]])+COUNTIF(EdgesData[to],NodesData[[#This Row],[id]])</f>
        <v>0</v>
      </c>
      <c r="I338" s="3">
        <f>IF(NodesData[[#This Row],[Used]]&gt;0,1,0)</f>
        <v>0</v>
      </c>
      <c r="J338" s="18" t="str" cm="1">
        <f t="array" ref="J338">IF(NodesData[[#This Row],[Count]]&gt;1,",","") &amp;"{"&amp;twoRangesToJSON(NodesData[[#Headers],[id]:[main_class]],NodesData[[#This Row],[id]:[main_class]])&amp;"}"</f>
        <v>,{"id":"nC7911815_F604_4DF6_BCF5_87F9833DB0CD","label":"Reference Monitor (Concept)","url":"https://open-measure.atlassian.net/wiki/spaces/DIC/pages/123962234","main_class":"Concept"}</v>
      </c>
    </row>
    <row r="339" spans="1:10" ht="27" thickTop="1" thickBot="1" x14ac:dyDescent="0.4">
      <c r="A339" s="3" t="str" cm="1">
        <f t="array" ref="A339">"n"&amp;SUBSTITUTE(CreateGuidString(),"-","_")</f>
        <v>n93D4B6B0_7A79_4637_BC65_715EA8D47790</v>
      </c>
      <c r="B339" s="6" t="str">
        <f>NodesData[[#This Row],[name]]&amp;" ("&amp;NodesData[[#This Row],[main_class]]&amp;")"</f>
        <v>Re-authentication (Concept)</v>
      </c>
      <c r="C339" s="17" t="s">
        <v>1076</v>
      </c>
      <c r="D339" s="3" t="s">
        <v>1409</v>
      </c>
      <c r="E339" s="10" t="s">
        <v>1075</v>
      </c>
      <c r="F339" s="3">
        <f t="shared" si="5"/>
        <v>337</v>
      </c>
      <c r="G339" s="3">
        <f>COUNTIF(NodesData[label],NodesData[[#This Row],[label]])</f>
        <v>1</v>
      </c>
      <c r="H339" s="3">
        <f>COUNTIF(EdgesData[from],NodesData[[#This Row],[id]])+COUNTIF(EdgesData[to],NodesData[[#This Row],[id]])</f>
        <v>0</v>
      </c>
      <c r="I339" s="3">
        <f>IF(NodesData[[#This Row],[Used]]&gt;0,1,0)</f>
        <v>0</v>
      </c>
      <c r="J339" s="18" t="str" cm="1">
        <f t="array" ref="J339">IF(NodesData[[#This Row],[Count]]&gt;1,",","") &amp;"{"&amp;twoRangesToJSON(NodesData[[#Headers],[id]:[main_class]],NodesData[[#This Row],[id]:[main_class]])&amp;"}"</f>
        <v>,{"id":"n93D4B6B0_7A79_4637_BC65_715EA8D47790","label":"Re-authentication (Concept)","url":"https://open-measure.atlassian.net/wiki/spaces/DIC/pages/873201665","main_class":"Concept"}</v>
      </c>
    </row>
    <row r="340" spans="1:10" ht="27" thickTop="1" thickBot="1" x14ac:dyDescent="0.4">
      <c r="A340" s="3" t="str" cm="1">
        <f t="array" ref="A340">"n"&amp;SUBSTITUTE(CreateGuidString(),"-","_")</f>
        <v>n0C381CDE_BA3A_42EE_BA4D_A98CEEAA69D6</v>
      </c>
      <c r="B340" s="6" t="str">
        <f>NodesData[[#This Row],[name]]&amp;" ("&amp;NodesData[[#This Row],[main_class]]&amp;")"</f>
        <v>Rejoiner (Concept)</v>
      </c>
      <c r="C340" s="17" t="s">
        <v>1084</v>
      </c>
      <c r="D340" s="3" t="s">
        <v>1409</v>
      </c>
      <c r="E340" s="10" t="s">
        <v>1083</v>
      </c>
      <c r="F340" s="3">
        <f t="shared" si="5"/>
        <v>338</v>
      </c>
      <c r="G340" s="3">
        <f>COUNTIF(NodesData[label],NodesData[[#This Row],[label]])</f>
        <v>1</v>
      </c>
      <c r="H340" s="3">
        <f>COUNTIF(EdgesData[from],NodesData[[#This Row],[id]])+COUNTIF(EdgesData[to],NodesData[[#This Row],[id]])</f>
        <v>0</v>
      </c>
      <c r="I340" s="3">
        <f>IF(NodesData[[#This Row],[Used]]&gt;0,1,0)</f>
        <v>0</v>
      </c>
      <c r="J340" s="18" t="str" cm="1">
        <f t="array" ref="J340">IF(NodesData[[#This Row],[Count]]&gt;1,",","") &amp;"{"&amp;twoRangesToJSON(NodesData[[#Headers],[id]:[main_class]],NodesData[[#This Row],[id]:[main_class]])&amp;"}"</f>
        <v>,{"id":"n0C381CDE_BA3A_42EE_BA4D_A98CEEAA69D6","label":"Rejoiner (Concept)","url":"https://open-measure.atlassian.net/wiki/spaces/DIC/pages/858521682","main_class":"Concept"}</v>
      </c>
    </row>
    <row r="341" spans="1:10" ht="27" thickTop="1" thickBot="1" x14ac:dyDescent="0.4">
      <c r="A341" s="3" t="str" cm="1">
        <f t="array" ref="A341">"n"&amp;SUBSTITUTE(CreateGuidString(),"-","_")</f>
        <v>nFB180D13_06B3_4170_8B40_0B226A04E43B</v>
      </c>
      <c r="B341" s="6" t="str">
        <f>NodesData[[#This Row],[name]]&amp;" ("&amp;NodesData[[#This Row],[main_class]]&amp;")"</f>
        <v>Relying Party (Concept)</v>
      </c>
      <c r="C341" s="17" t="s">
        <v>1086</v>
      </c>
      <c r="D341" s="3" t="s">
        <v>1409</v>
      </c>
      <c r="E341" s="10" t="s">
        <v>1085</v>
      </c>
      <c r="F341" s="3">
        <f t="shared" si="5"/>
        <v>339</v>
      </c>
      <c r="G341" s="3">
        <f>COUNTIF(NodesData[label],NodesData[[#This Row],[label]])</f>
        <v>1</v>
      </c>
      <c r="H341" s="3">
        <f>COUNTIF(EdgesData[from],NodesData[[#This Row],[id]])+COUNTIF(EdgesData[to],NodesData[[#This Row],[id]])</f>
        <v>0</v>
      </c>
      <c r="I341" s="3">
        <f>IF(NodesData[[#This Row],[Used]]&gt;0,1,0)</f>
        <v>0</v>
      </c>
      <c r="J341" s="18" t="str" cm="1">
        <f t="array" ref="J341">IF(NodesData[[#This Row],[Count]]&gt;1,",","") &amp;"{"&amp;twoRangesToJSON(NodesData[[#Headers],[id]:[main_class]],NodesData[[#This Row],[id]:[main_class]])&amp;"}"</f>
        <v>,{"id":"nFB180D13_06B3_4170_8B40_0B226A04E43B","label":"Relying Party (Concept)","url":"https://open-measure.atlassian.net/wiki/spaces/DIC/pages/67699423","main_class":"Concept"}</v>
      </c>
    </row>
    <row r="342" spans="1:10" ht="27" thickTop="1" thickBot="1" x14ac:dyDescent="0.4">
      <c r="A342" s="3" t="str" cm="1">
        <f t="array" ref="A342">"n"&amp;SUBSTITUTE(CreateGuidString(),"-","_")</f>
        <v>n0511432C_3173_4322_844D_BD05EAD86908</v>
      </c>
      <c r="B342" s="6" t="str">
        <f>NodesData[[#This Row],[name]]&amp;" ("&amp;NodesData[[#This Row],[main_class]]&amp;")"</f>
        <v>Remote Identity Proofing (Concept)</v>
      </c>
      <c r="C342" s="17" t="s">
        <v>1088</v>
      </c>
      <c r="D342" s="3" t="s">
        <v>1409</v>
      </c>
      <c r="E342" s="10" t="s">
        <v>1087</v>
      </c>
      <c r="F342" s="3">
        <f t="shared" si="5"/>
        <v>340</v>
      </c>
      <c r="G342" s="3">
        <f>COUNTIF(NodesData[label],NodesData[[#This Row],[label]])</f>
        <v>1</v>
      </c>
      <c r="H342" s="3">
        <f>COUNTIF(EdgesData[from],NodesData[[#This Row],[id]])+COUNTIF(EdgesData[to],NodesData[[#This Row],[id]])</f>
        <v>0</v>
      </c>
      <c r="I342" s="3">
        <f>IF(NodesData[[#This Row],[Used]]&gt;0,1,0)</f>
        <v>0</v>
      </c>
      <c r="J342" s="18" t="str" cm="1">
        <f t="array" ref="J342">IF(NodesData[[#This Row],[Count]]&gt;1,",","") &amp;"{"&amp;twoRangesToJSON(NodesData[[#Headers],[id]:[main_class]],NodesData[[#This Row],[id]:[main_class]])&amp;"}"</f>
        <v>,{"id":"n0511432C_3173_4322_844D_BD05EAD86908","label":"Remote Identity Proofing (Concept)","url":"https://open-measure.atlassian.net/wiki/spaces/DIC/pages/427130881","main_class":"Concept"}</v>
      </c>
    </row>
    <row r="343" spans="1:10" ht="27" thickTop="1" thickBot="1" x14ac:dyDescent="0.4">
      <c r="A343" s="3" t="str" cm="1">
        <f t="array" ref="A343">"n"&amp;SUBSTITUTE(CreateGuidString(),"-","_")</f>
        <v>n55DD6744_13F9_45F6_90DB_E9EF53704561</v>
      </c>
      <c r="B343" s="6" t="str">
        <f>NodesData[[#This Row],[name]]&amp;" ("&amp;NodesData[[#This Row],[main_class]]&amp;")"</f>
        <v>Repeatability (Concept)</v>
      </c>
      <c r="C343" s="17" t="s">
        <v>1090</v>
      </c>
      <c r="D343" s="3" t="s">
        <v>1409</v>
      </c>
      <c r="E343" s="10" t="s">
        <v>1089</v>
      </c>
      <c r="F343" s="3">
        <f t="shared" si="5"/>
        <v>341</v>
      </c>
      <c r="G343" s="3">
        <f>COUNTIF(NodesData[label],NodesData[[#This Row],[label]])</f>
        <v>1</v>
      </c>
      <c r="H343" s="3">
        <f>COUNTIF(EdgesData[from],NodesData[[#This Row],[id]])+COUNTIF(EdgesData[to],NodesData[[#This Row],[id]])</f>
        <v>0</v>
      </c>
      <c r="I343" s="3">
        <f>IF(NodesData[[#This Row],[Used]]&gt;0,1,0)</f>
        <v>0</v>
      </c>
      <c r="J343" s="18" t="str" cm="1">
        <f t="array" ref="J343">IF(NodesData[[#This Row],[Count]]&gt;1,",","") &amp;"{"&amp;twoRangesToJSON(NodesData[[#Headers],[id]:[main_class]],NodesData[[#This Row],[id]:[main_class]])&amp;"}"</f>
        <v>,{"id":"n55DD6744_13F9_45F6_90DB_E9EF53704561","label":"Repeatability (Concept)","url":"https://open-measure.atlassian.net/wiki/spaces/DIC/pages/2589003","main_class":"Concept"}</v>
      </c>
    </row>
    <row r="344" spans="1:10" ht="27" thickTop="1" thickBot="1" x14ac:dyDescent="0.4">
      <c r="A344" s="3" t="str" cm="1">
        <f t="array" ref="A344">"n"&amp;SUBSTITUTE(CreateGuidString(),"-","_")</f>
        <v>n3AD4ADBD_8646_431E_A4A0_29CD80FFC7D4</v>
      </c>
      <c r="B344" s="6" t="str">
        <f>NodesData[[#This Row],[name]]&amp;" ("&amp;NodesData[[#This Row],[main_class]]&amp;")"</f>
        <v>Representation Target (Concept)</v>
      </c>
      <c r="C344" s="17" t="s">
        <v>1092</v>
      </c>
      <c r="D344" s="3" t="s">
        <v>1409</v>
      </c>
      <c r="E344" s="10" t="s">
        <v>1091</v>
      </c>
      <c r="F344" s="3">
        <f t="shared" si="5"/>
        <v>342</v>
      </c>
      <c r="G344" s="3">
        <f>COUNTIF(NodesData[label],NodesData[[#This Row],[label]])</f>
        <v>1</v>
      </c>
      <c r="H344" s="3">
        <f>COUNTIF(EdgesData[from],NodesData[[#This Row],[id]])+COUNTIF(EdgesData[to],NodesData[[#This Row],[id]])</f>
        <v>0</v>
      </c>
      <c r="I344" s="3">
        <f>IF(NodesData[[#This Row],[Used]]&gt;0,1,0)</f>
        <v>0</v>
      </c>
      <c r="J344" s="18" t="str" cm="1">
        <f t="array" ref="J344">IF(NodesData[[#This Row],[Count]]&gt;1,",","") &amp;"{"&amp;twoRangesToJSON(NodesData[[#Headers],[id]:[main_class]],NodesData[[#This Row],[id]:[main_class]])&amp;"}"</f>
        <v>,{"id":"n3AD4ADBD_8646_431E_A4A0_29CD80FFC7D4","label":"Representation Target (Concept)","url":"https://open-measure.atlassian.net/wiki/spaces/DIC/pages/11141464","main_class":"Concept"}</v>
      </c>
    </row>
    <row r="345" spans="1:10" ht="27" thickTop="1" thickBot="1" x14ac:dyDescent="0.4">
      <c r="A345" s="3" t="str" cm="1">
        <f t="array" ref="A345">"n"&amp;SUBSTITUTE(CreateGuidString(),"-","_")</f>
        <v>nF4102A63_419E_4D0D_8D9B_4EE69A92BB15</v>
      </c>
      <c r="B345" s="6" t="str">
        <f>NodesData[[#This Row],[name]]&amp;" ("&amp;NodesData[[#This Row],[main_class]]&amp;")"</f>
        <v>Reproducibility (Concept)</v>
      </c>
      <c r="C345" s="17" t="s">
        <v>1094</v>
      </c>
      <c r="D345" s="3" t="s">
        <v>1409</v>
      </c>
      <c r="E345" s="10" t="s">
        <v>1093</v>
      </c>
      <c r="F345" s="3">
        <f t="shared" si="5"/>
        <v>343</v>
      </c>
      <c r="G345" s="3">
        <f>COUNTIF(NodesData[label],NodesData[[#This Row],[label]])</f>
        <v>1</v>
      </c>
      <c r="H345" s="3">
        <f>COUNTIF(EdgesData[from],NodesData[[#This Row],[id]])+COUNTIF(EdgesData[to],NodesData[[#This Row],[id]])</f>
        <v>0</v>
      </c>
      <c r="I345" s="3">
        <f>IF(NodesData[[#This Row],[Used]]&gt;0,1,0)</f>
        <v>0</v>
      </c>
      <c r="J345" s="18" t="str" cm="1">
        <f t="array" ref="J345">IF(NodesData[[#This Row],[Count]]&gt;1,",","") &amp;"{"&amp;twoRangesToJSON(NodesData[[#Headers],[id]:[main_class]],NodesData[[#This Row],[id]:[main_class]])&amp;"}"</f>
        <v>,{"id":"nF4102A63_419E_4D0D_8D9B_4EE69A92BB15","label":"Reproducibility (Concept)","url":"https://open-measure.atlassian.net/wiki/spaces/DIC/pages/2588994","main_class":"Concept"}</v>
      </c>
    </row>
    <row r="346" spans="1:10" ht="27" thickTop="1" thickBot="1" x14ac:dyDescent="0.4">
      <c r="A346" s="3" t="str" cm="1">
        <f t="array" ref="A346">"n"&amp;SUBSTITUTE(CreateGuidString(),"-","_")</f>
        <v>n35794D7C_52A0_4FF1_8F52_53C59D2D275D</v>
      </c>
      <c r="B346" s="6" t="str">
        <f>NodesData[[#This Row],[name]]&amp;" ("&amp;NodesData[[#This Row],[main_class]]&amp;")"</f>
        <v>Revocation (Concept)</v>
      </c>
      <c r="C346" s="17" t="s">
        <v>1096</v>
      </c>
      <c r="D346" s="3" t="s">
        <v>1409</v>
      </c>
      <c r="E346" s="10" t="s">
        <v>1095</v>
      </c>
      <c r="F346" s="3">
        <f t="shared" si="5"/>
        <v>344</v>
      </c>
      <c r="G346" s="3">
        <f>COUNTIF(NodesData[label],NodesData[[#This Row],[label]])</f>
        <v>1</v>
      </c>
      <c r="H346" s="3">
        <f>COUNTIF(EdgesData[from],NodesData[[#This Row],[id]])+COUNTIF(EdgesData[to],NodesData[[#This Row],[id]])</f>
        <v>0</v>
      </c>
      <c r="I346" s="3">
        <f>IF(NodesData[[#This Row],[Used]]&gt;0,1,0)</f>
        <v>0</v>
      </c>
      <c r="J346" s="18" t="str" cm="1">
        <f t="array" ref="J346">IF(NodesData[[#This Row],[Count]]&gt;1,",","") &amp;"{"&amp;twoRangesToJSON(NodesData[[#Headers],[id]:[main_class]],NodesData[[#This Row],[id]:[main_class]])&amp;"}"</f>
        <v>,{"id":"n35794D7C_52A0_4FF1_8F52_53C59D2D275D","label":"Revocation (Concept)","url":"https://open-measure.atlassian.net/wiki/spaces/DIC/pages/67698769","main_class":"Concept"}</v>
      </c>
    </row>
    <row r="347" spans="1:10" ht="27" thickTop="1" thickBot="1" x14ac:dyDescent="0.4">
      <c r="A347" s="3" t="str" cm="1">
        <f t="array" ref="A347">"n"&amp;SUBSTITUTE(CreateGuidString(),"-","_")</f>
        <v>n441EE58C_F966_46DD_88F5_76B071E9490C</v>
      </c>
      <c r="B347" s="6" t="str">
        <f>NodesData[[#This Row],[name]]&amp;" ("&amp;NodesData[[#This Row],[main_class]]&amp;")"</f>
        <v>RIDP (Acronym)</v>
      </c>
      <c r="C347" s="17" t="s">
        <v>1098</v>
      </c>
      <c r="D347" s="3" t="s">
        <v>1301</v>
      </c>
      <c r="E347" s="10" t="s">
        <v>1097</v>
      </c>
      <c r="F347" s="3">
        <f t="shared" si="5"/>
        <v>345</v>
      </c>
      <c r="G347" s="3">
        <f>COUNTIF(NodesData[label],NodesData[[#This Row],[label]])</f>
        <v>1</v>
      </c>
      <c r="H347" s="3">
        <f>COUNTIF(EdgesData[from],NodesData[[#This Row],[id]])+COUNTIF(EdgesData[to],NodesData[[#This Row],[id]])</f>
        <v>0</v>
      </c>
      <c r="I347" s="3">
        <f>IF(NodesData[[#This Row],[Used]]&gt;0,1,0)</f>
        <v>0</v>
      </c>
      <c r="J347" s="18" t="str" cm="1">
        <f t="array" ref="J347">IF(NodesData[[#This Row],[Count]]&gt;1,",","") &amp;"{"&amp;twoRangesToJSON(NodesData[[#Headers],[id]:[main_class]],NodesData[[#This Row],[id]:[main_class]])&amp;"}"</f>
        <v>,{"id":"n441EE58C_F966_46DD_88F5_76B071E9490C","label":"RIDP (Acronym)","url":"https://open-measure.atlassian.net/wiki/spaces/DIC/pages/425623561","main_class":"Acronym"}</v>
      </c>
    </row>
    <row r="348" spans="1:10" ht="27" thickTop="1" thickBot="1" x14ac:dyDescent="0.4">
      <c r="A348" s="3" t="str" cm="1">
        <f t="array" ref="A348">"n"&amp;SUBSTITUTE(CreateGuidString(),"-","_")</f>
        <v>n75FFCAF9_1591_4D8A_90DC_EB73AE179B43</v>
      </c>
      <c r="B348" s="6" t="str">
        <f>NodesData[[#This Row],[name]]&amp;" ("&amp;NodesData[[#This Row],[main_class]]&amp;")"</f>
        <v>Registration Authority (Concept)</v>
      </c>
      <c r="C348" s="17" t="s">
        <v>1082</v>
      </c>
      <c r="D348" s="3" t="s">
        <v>1409</v>
      </c>
      <c r="E348" s="10" t="s">
        <v>1081</v>
      </c>
      <c r="F348" s="3">
        <f t="shared" si="5"/>
        <v>346</v>
      </c>
      <c r="G348" s="3">
        <f>COUNTIF(NodesData[label],NodesData[[#This Row],[label]])</f>
        <v>1</v>
      </c>
      <c r="H348" s="3">
        <f>COUNTIF(EdgesData[from],NodesData[[#This Row],[id]])+COUNTIF(EdgesData[to],NodesData[[#This Row],[id]])</f>
        <v>0</v>
      </c>
      <c r="I348" s="3">
        <f>IF(NodesData[[#This Row],[Used]]&gt;0,1,0)</f>
        <v>0</v>
      </c>
      <c r="J348" s="18" t="str" cm="1">
        <f t="array" ref="J348">IF(NodesData[[#This Row],[Count]]&gt;1,",","") &amp;"{"&amp;twoRangesToJSON(NodesData[[#Headers],[id]:[main_class]],NodesData[[#This Row],[id]:[main_class]])&amp;"}"</f>
        <v>,{"id":"n75FFCAF9_1591_4D8A_90DC_EB73AE179B43","label":"Registration Authority (Concept)","url":"https://open-measure.atlassian.net/wiki/spaces/DIC/pages/82870985","main_class":"Concept"}</v>
      </c>
    </row>
    <row r="349" spans="1:10" ht="27" thickTop="1" thickBot="1" x14ac:dyDescent="0.4">
      <c r="A349" s="3" t="str" cm="1">
        <f t="array" ref="A349">"n"&amp;SUBSTITUTE(CreateGuidString(),"-","_")</f>
        <v>n4B748ACD_5E52_4CC7_92E4_F8372D2C8124</v>
      </c>
      <c r="B349" s="6" t="str">
        <f>NodesData[[#This Row],[name]]&amp;" ("&amp;NodesData[[#This Row],[main_class]]&amp;")"</f>
        <v>Role (Concept)</v>
      </c>
      <c r="C349" s="17" t="s">
        <v>1102</v>
      </c>
      <c r="D349" s="3" t="s">
        <v>1409</v>
      </c>
      <c r="E349" s="10" t="s">
        <v>1101</v>
      </c>
      <c r="F349" s="3">
        <f t="shared" si="5"/>
        <v>347</v>
      </c>
      <c r="G349" s="3">
        <f>COUNTIF(NodesData[label],NodesData[[#This Row],[label]])</f>
        <v>1</v>
      </c>
      <c r="H349" s="3">
        <f>COUNTIF(EdgesData[from],NodesData[[#This Row],[id]])+COUNTIF(EdgesData[to],NodesData[[#This Row],[id]])</f>
        <v>0</v>
      </c>
      <c r="I349" s="3">
        <f>IF(NodesData[[#This Row],[Used]]&gt;0,1,0)</f>
        <v>0</v>
      </c>
      <c r="J349" s="18" t="str" cm="1">
        <f t="array" ref="J349">IF(NodesData[[#This Row],[Count]]&gt;1,",","") &amp;"{"&amp;twoRangesToJSON(NodesData[[#Headers],[id]:[main_class]],NodesData[[#This Row],[id]:[main_class]])&amp;"}"</f>
        <v>,{"id":"n4B748ACD_5E52_4CC7_92E4_F8372D2C8124","label":"Role (Concept)","url":"https://open-measure.atlassian.net/wiki/spaces/DIC/pages/86442069","main_class":"Concept"}</v>
      </c>
    </row>
    <row r="350" spans="1:10" ht="27" thickTop="1" thickBot="1" x14ac:dyDescent="0.4">
      <c r="A350" s="3" t="str" cm="1">
        <f t="array" ref="A350">"n"&amp;SUBSTITUTE(CreateGuidString(),"-","_")</f>
        <v>n96DC5E50_9088_40CD_95E0_EE52974C5E82</v>
      </c>
      <c r="B350" s="6" t="str">
        <f>NodesData[[#This Row],[name]]&amp;" ("&amp;NodesData[[#This Row],[main_class]]&amp;")"</f>
        <v>Role-Based Access Control (Concept)</v>
      </c>
      <c r="C350" s="17" t="s">
        <v>1116</v>
      </c>
      <c r="D350" s="3" t="s">
        <v>1409</v>
      </c>
      <c r="E350" s="10" t="s">
        <v>1115</v>
      </c>
      <c r="F350" s="3">
        <f t="shared" si="5"/>
        <v>348</v>
      </c>
      <c r="G350" s="3">
        <f>COUNTIF(NodesData[label],NodesData[[#This Row],[label]])</f>
        <v>1</v>
      </c>
      <c r="H350" s="3">
        <f>COUNTIF(EdgesData[from],NodesData[[#This Row],[id]])+COUNTIF(EdgesData[to],NodesData[[#This Row],[id]])</f>
        <v>0</v>
      </c>
      <c r="I350" s="3">
        <f>IF(NodesData[[#This Row],[Used]]&gt;0,1,0)</f>
        <v>0</v>
      </c>
      <c r="J350" s="18" t="str" cm="1">
        <f t="array" ref="J350">IF(NodesData[[#This Row],[Count]]&gt;1,",","") &amp;"{"&amp;twoRangesToJSON(NodesData[[#Headers],[id]:[main_class]],NodesData[[#This Row],[id]:[main_class]])&amp;"}"</f>
        <v>,{"id":"n96DC5E50_9088_40CD_95E0_EE52974C5E82","label":"Role-Based Access Control (Concept)","url":"https://open-measure.atlassian.net/wiki/spaces/DIC/pages/1122566198","main_class":"Concept"}</v>
      </c>
    </row>
    <row r="351" spans="1:10" ht="27" thickTop="1" thickBot="1" x14ac:dyDescent="0.4">
      <c r="A351" s="3" t="str" cm="1">
        <f t="array" ref="A351">"n"&amp;SUBSTITUTE(CreateGuidString(),"-","_")</f>
        <v>nDE21819C_0B43_425C_B98E_881FBE3285F2</v>
      </c>
      <c r="B351" s="6" t="str">
        <f>NodesData[[#This Row],[name]]&amp;" ("&amp;NodesData[[#This Row],[main_class]]&amp;")"</f>
        <v>Role Bloating (Concept)</v>
      </c>
      <c r="C351" s="17" t="s">
        <v>1104</v>
      </c>
      <c r="D351" s="3" t="s">
        <v>1409</v>
      </c>
      <c r="E351" s="10" t="s">
        <v>1103</v>
      </c>
      <c r="F351" s="3">
        <f t="shared" si="5"/>
        <v>349</v>
      </c>
      <c r="G351" s="3">
        <f>COUNTIF(NodesData[label],NodesData[[#This Row],[label]])</f>
        <v>1</v>
      </c>
      <c r="H351" s="3">
        <f>COUNTIF(EdgesData[from],NodesData[[#This Row],[id]])+COUNTIF(EdgesData[to],NodesData[[#This Row],[id]])</f>
        <v>0</v>
      </c>
      <c r="I351" s="3">
        <f>IF(NodesData[[#This Row],[Used]]&gt;0,1,0)</f>
        <v>0</v>
      </c>
      <c r="J351" s="18" t="str" cm="1">
        <f t="array" ref="J351">IF(NodesData[[#This Row],[Count]]&gt;1,",","") &amp;"{"&amp;twoRangesToJSON(NodesData[[#Headers],[id]:[main_class]],NodesData[[#This Row],[id]:[main_class]])&amp;"}"</f>
        <v>,{"id":"nDE21819C_0B43_425C_B98E_881FBE3285F2","label":"Role Bloating (Concept)","url":"https://open-measure.atlassian.net/wiki/spaces/DIC/pages/814514401","main_class":"Concept"}</v>
      </c>
    </row>
    <row r="352" spans="1:10" ht="27" thickTop="1" thickBot="1" x14ac:dyDescent="0.4">
      <c r="A352" s="3" t="str" cm="1">
        <f t="array" ref="A352">"n"&amp;SUBSTITUTE(CreateGuidString(),"-","_")</f>
        <v>n8269C1B6_1565_43FE_B3EF_4F9B6EE7918E</v>
      </c>
      <c r="B352" s="6" t="str">
        <f>NodesData[[#This Row],[name]]&amp;" ("&amp;NodesData[[#This Row],[main_class]]&amp;")"</f>
        <v>Role Capacity (Concept)</v>
      </c>
      <c r="C352" s="17" t="s">
        <v>1106</v>
      </c>
      <c r="D352" s="3" t="s">
        <v>1409</v>
      </c>
      <c r="E352" s="10" t="s">
        <v>1105</v>
      </c>
      <c r="F352" s="3">
        <f t="shared" si="5"/>
        <v>350</v>
      </c>
      <c r="G352" s="3">
        <f>COUNTIF(NodesData[label],NodesData[[#This Row],[label]])</f>
        <v>1</v>
      </c>
      <c r="H352" s="3">
        <f>COUNTIF(EdgesData[from],NodesData[[#This Row],[id]])+COUNTIF(EdgesData[to],NodesData[[#This Row],[id]])</f>
        <v>0</v>
      </c>
      <c r="I352" s="3">
        <f>IF(NodesData[[#This Row],[Used]]&gt;0,1,0)</f>
        <v>0</v>
      </c>
      <c r="J352" s="18" t="str" cm="1">
        <f t="array" ref="J352">IF(NodesData[[#This Row],[Count]]&gt;1,",","") &amp;"{"&amp;twoRangesToJSON(NodesData[[#Headers],[id]:[main_class]],NodesData[[#This Row],[id]:[main_class]])&amp;"}"</f>
        <v>,{"id":"n8269C1B6_1565_43FE_B3EF_4F9B6EE7918E","label":"Role Capacity (Concept)","url":"https://open-measure.atlassian.net/wiki/spaces/DIC/pages/1164902443","main_class":"Concept"}</v>
      </c>
    </row>
    <row r="353" spans="1:10" ht="27" thickTop="1" thickBot="1" x14ac:dyDescent="0.4">
      <c r="A353" s="3" t="str" cm="1">
        <f t="array" ref="A353">"n"&amp;SUBSTITUTE(CreateGuidString(),"-","_")</f>
        <v>nB7125A84_9BC3_4F6A_9436_66E03066E11E</v>
      </c>
      <c r="B353" s="6" t="str">
        <f>NodesData[[#This Row],[name]]&amp;" ("&amp;NodesData[[#This Row],[main_class]]&amp;")"</f>
        <v>Role Cardinality (Concept)</v>
      </c>
      <c r="C353" s="17" t="s">
        <v>1108</v>
      </c>
      <c r="D353" s="3" t="s">
        <v>1409</v>
      </c>
      <c r="E353" s="10" t="s">
        <v>1107</v>
      </c>
      <c r="F353" s="3">
        <f t="shared" si="5"/>
        <v>351</v>
      </c>
      <c r="G353" s="3">
        <f>COUNTIF(NodesData[label],NodesData[[#This Row],[label]])</f>
        <v>1</v>
      </c>
      <c r="H353" s="3">
        <f>COUNTIF(EdgesData[from],NodesData[[#This Row],[id]])+COUNTIF(EdgesData[to],NodesData[[#This Row],[id]])</f>
        <v>0</v>
      </c>
      <c r="I353" s="3">
        <f>IF(NodesData[[#This Row],[Used]]&gt;0,1,0)</f>
        <v>0</v>
      </c>
      <c r="J353" s="18" t="str" cm="1">
        <f t="array" ref="J353">IF(NodesData[[#This Row],[Count]]&gt;1,",","") &amp;"{"&amp;twoRangesToJSON(NodesData[[#Headers],[id]:[main_class]],NodesData[[#This Row],[id]:[main_class]])&amp;"}"</f>
        <v>,{"id":"nB7125A84_9BC3_4F6A_9436_66E03066E11E","label":"Role Cardinality (Concept)","url":"https://open-measure.atlassian.net/wiki/spaces/DIC/pages/1164869655","main_class":"Concept"}</v>
      </c>
    </row>
    <row r="354" spans="1:10" ht="27" thickTop="1" thickBot="1" x14ac:dyDescent="0.4">
      <c r="A354" s="3" t="str" cm="1">
        <f t="array" ref="A354">"n"&amp;SUBSTITUTE(CreateGuidString(),"-","_")</f>
        <v>n13519C0B_E9AA_4591_BA3E_F4CD2A719F42</v>
      </c>
      <c r="B354" s="6" t="str">
        <f>NodesData[[#This Row],[name]]&amp;" ("&amp;NodesData[[#This Row],[main_class]]&amp;")"</f>
        <v>Role Cardinality Activation Control (Concept)</v>
      </c>
      <c r="C354" s="17" t="s">
        <v>1110</v>
      </c>
      <c r="D354" s="3" t="s">
        <v>1409</v>
      </c>
      <c r="E354" s="10" t="s">
        <v>1109</v>
      </c>
      <c r="F354" s="3">
        <f t="shared" si="5"/>
        <v>352</v>
      </c>
      <c r="G354" s="3">
        <f>COUNTIF(NodesData[label],NodesData[[#This Row],[label]])</f>
        <v>1</v>
      </c>
      <c r="H354" s="3">
        <f>COUNTIF(EdgesData[from],NodesData[[#This Row],[id]])+COUNTIF(EdgesData[to],NodesData[[#This Row],[id]])</f>
        <v>0</v>
      </c>
      <c r="I354" s="3">
        <f>IF(NodesData[[#This Row],[Used]]&gt;0,1,0)</f>
        <v>0</v>
      </c>
      <c r="J354" s="18" t="str" cm="1">
        <f t="array" ref="J354">IF(NodesData[[#This Row],[Count]]&gt;1,",","") &amp;"{"&amp;twoRangesToJSON(NodesData[[#Headers],[id]:[main_class]],NodesData[[#This Row],[id]:[main_class]])&amp;"}"</f>
        <v>,{"id":"n13519C0B_E9AA_4591_BA3E_F4CD2A719F42","label":"Role Cardinality Activation Control (Concept)","url":"https://open-measure.atlassian.net/wiki/spaces/DIC/pages/1164902498","main_class":"Concept"}</v>
      </c>
    </row>
    <row r="355" spans="1:10" ht="27" thickTop="1" thickBot="1" x14ac:dyDescent="0.4">
      <c r="A355" s="3" t="str" cm="1">
        <f t="array" ref="A355">"n"&amp;SUBSTITUTE(CreateGuidString(),"-","_")</f>
        <v>n85B9EB70_3AF9_48BE_A923_7FE47C1A75B2</v>
      </c>
      <c r="B355" s="6" t="str">
        <f>NodesData[[#This Row],[name]]&amp;" ("&amp;NodesData[[#This Row],[main_class]]&amp;")"</f>
        <v>Role Explosion (Concept)</v>
      </c>
      <c r="C355" s="17" t="s">
        <v>1112</v>
      </c>
      <c r="D355" s="3" t="s">
        <v>1409</v>
      </c>
      <c r="E355" s="10" t="s">
        <v>1111</v>
      </c>
      <c r="F355" s="3">
        <f t="shared" si="5"/>
        <v>353</v>
      </c>
      <c r="G355" s="3">
        <f>COUNTIF(NodesData[label],NodesData[[#This Row],[label]])</f>
        <v>1</v>
      </c>
      <c r="H355" s="3">
        <f>COUNTIF(EdgesData[from],NodesData[[#This Row],[id]])+COUNTIF(EdgesData[to],NodesData[[#This Row],[id]])</f>
        <v>0</v>
      </c>
      <c r="I355" s="3">
        <f>IF(NodesData[[#This Row],[Used]]&gt;0,1,0)</f>
        <v>0</v>
      </c>
      <c r="J355" s="18" t="str" cm="1">
        <f t="array" ref="J355">IF(NodesData[[#This Row],[Count]]&gt;1,",","") &amp;"{"&amp;twoRangesToJSON(NodesData[[#Headers],[id]:[main_class]],NodesData[[#This Row],[id]:[main_class]])&amp;"}"</f>
        <v>,{"id":"n85B9EB70_3AF9_48BE_A923_7FE47C1A75B2","label":"Role Explosion (Concept)","url":"https://open-measure.atlassian.net/wiki/spaces/DIC/pages/1152483772","main_class":"Concept"}</v>
      </c>
    </row>
    <row r="356" spans="1:10" ht="27" thickTop="1" thickBot="1" x14ac:dyDescent="0.4">
      <c r="A356" s="3" t="str" cm="1">
        <f t="array" ref="A356">"n"&amp;SUBSTITUTE(CreateGuidString(),"-","_")</f>
        <v>nBB4A46DE_2B61_4A90_BC16_24EA1F76E3C4</v>
      </c>
      <c r="B356" s="6" t="str">
        <f>NodesData[[#This Row],[name]]&amp;" ("&amp;NodesData[[#This Row],[main_class]]&amp;")"</f>
        <v>Role Management (Concept)</v>
      </c>
      <c r="C356" s="17" t="s">
        <v>1114</v>
      </c>
      <c r="D356" s="3" t="s">
        <v>1409</v>
      </c>
      <c r="E356" s="10" t="s">
        <v>1113</v>
      </c>
      <c r="F356" s="3">
        <f t="shared" si="5"/>
        <v>354</v>
      </c>
      <c r="G356" s="3">
        <f>COUNTIF(NodesData[label],NodesData[[#This Row],[label]])</f>
        <v>1</v>
      </c>
      <c r="H356" s="3">
        <f>COUNTIF(EdgesData[from],NodesData[[#This Row],[id]])+COUNTIF(EdgesData[to],NodesData[[#This Row],[id]])</f>
        <v>0</v>
      </c>
      <c r="I356" s="3">
        <f>IF(NodesData[[#This Row],[Used]]&gt;0,1,0)</f>
        <v>0</v>
      </c>
      <c r="J356" s="18" t="str" cm="1">
        <f t="array" ref="J356">IF(NodesData[[#This Row],[Count]]&gt;1,",","") &amp;"{"&amp;twoRangesToJSON(NodesData[[#Headers],[id]:[main_class]],NodesData[[#This Row],[id]:[main_class]])&amp;"}"</f>
        <v>,{"id":"nBB4A46DE_2B61_4A90_BC16_24EA1F76E3C4","label":"Role Management (Concept)","url":"https://open-measure.atlassian.net/wiki/spaces/DIC/pages/1130921985","main_class":"Concept"}</v>
      </c>
    </row>
    <row r="357" spans="1:10" ht="27" thickTop="1" thickBot="1" x14ac:dyDescent="0.4">
      <c r="A357" s="3" t="str" cm="1">
        <f t="array" ref="A357">"n"&amp;SUBSTITUTE(CreateGuidString(),"-","_")</f>
        <v>n09F4A114_5A7F_48F0_AD4B_52F66259CDED</v>
      </c>
      <c r="B357" s="6" t="str">
        <f>NodesData[[#This Row],[name]]&amp;" ("&amp;NodesData[[#This Row],[main_class]]&amp;")"</f>
        <v>RP (Acronym)</v>
      </c>
      <c r="C357" s="17" t="s">
        <v>1118</v>
      </c>
      <c r="D357" s="3" t="s">
        <v>1301</v>
      </c>
      <c r="E357" s="10" t="s">
        <v>1117</v>
      </c>
      <c r="F357" s="3">
        <f t="shared" si="5"/>
        <v>355</v>
      </c>
      <c r="G357" s="3">
        <f>COUNTIF(NodesData[label],NodesData[[#This Row],[label]])</f>
        <v>1</v>
      </c>
      <c r="H357" s="3">
        <f>COUNTIF(EdgesData[from],NodesData[[#This Row],[id]])+COUNTIF(EdgesData[to],NodesData[[#This Row],[id]])</f>
        <v>0</v>
      </c>
      <c r="I357" s="3">
        <f>IF(NodesData[[#This Row],[Used]]&gt;0,1,0)</f>
        <v>0</v>
      </c>
      <c r="J357" s="18" t="str" cm="1">
        <f t="array" ref="J357">IF(NodesData[[#This Row],[Count]]&gt;1,",","") &amp;"{"&amp;twoRangesToJSON(NodesData[[#Headers],[id]:[main_class]],NodesData[[#This Row],[id]:[main_class]])&amp;"}"</f>
        <v>,{"id":"n09F4A114_5A7F_48F0_AD4B_52F66259CDED","label":"RP (Acronym)","url":"https://open-measure.atlassian.net/wiki/spaces/DIC/pages/82903488","main_class":"Acronym"}</v>
      </c>
    </row>
    <row r="358" spans="1:10" ht="27" thickTop="1" thickBot="1" x14ac:dyDescent="0.4">
      <c r="A358" s="3" t="str" cm="1">
        <f t="array" ref="A358">"n"&amp;SUBSTITUTE(CreateGuidString(),"-","_")</f>
        <v>n47E5A077_550B_40F1_87CE_D5AF029CF474</v>
      </c>
      <c r="B358" s="6" t="str">
        <f>NodesData[[#This Row],[name]]&amp;" ("&amp;NodesData[[#This Row],[main_class]]&amp;")"</f>
        <v>SAM Database (Concept)</v>
      </c>
      <c r="C358" s="17" t="s">
        <v>1119</v>
      </c>
      <c r="D358" s="3" t="s">
        <v>1409</v>
      </c>
      <c r="E358" s="10" t="s">
        <v>437</v>
      </c>
      <c r="F358" s="3">
        <f t="shared" si="5"/>
        <v>356</v>
      </c>
      <c r="G358" s="3">
        <f>COUNTIF(NodesData[label],NodesData[[#This Row],[label]])</f>
        <v>1</v>
      </c>
      <c r="H358" s="3">
        <f>COUNTIF(EdgesData[from],NodesData[[#This Row],[id]])+COUNTIF(EdgesData[to],NodesData[[#This Row],[id]])</f>
        <v>0</v>
      </c>
      <c r="I358" s="3">
        <f>IF(NodesData[[#This Row],[Used]]&gt;0,1,0)</f>
        <v>0</v>
      </c>
      <c r="J358" s="18" t="str" cm="1">
        <f t="array" ref="J358">IF(NodesData[[#This Row],[Count]]&gt;1,",","") &amp;"{"&amp;twoRangesToJSON(NodesData[[#Headers],[id]:[main_class]],NodesData[[#This Row],[id]:[main_class]])&amp;"}"</f>
        <v>,{"id":"n47E5A077_550B_40F1_87CE_D5AF029CF474","label":"SAM Database (Concept)","url":"https://open-measure.atlassian.net/wiki/spaces/DIC/pages/140739068/SAM+Database","main_class":"Concept"}</v>
      </c>
    </row>
    <row r="359" spans="1:10" ht="27" thickTop="1" thickBot="1" x14ac:dyDescent="0.4">
      <c r="A359" s="3" t="str" cm="1">
        <f t="array" ref="A359">"n"&amp;SUBSTITUTE(CreateGuidString(),"-","_")</f>
        <v>nB08E6344_94D9_4254_903D_D86404EF999B</v>
      </c>
      <c r="B359" s="6" t="str">
        <f>NodesData[[#This Row],[name]]&amp;" ("&amp;NodesData[[#This Row],[main_class]]&amp;")"</f>
        <v>SAML (Acronym)</v>
      </c>
      <c r="C359" s="17" t="s">
        <v>1120</v>
      </c>
      <c r="D359" s="3" t="s">
        <v>1301</v>
      </c>
      <c r="E359" s="10" t="s">
        <v>438</v>
      </c>
      <c r="F359" s="3">
        <f t="shared" si="5"/>
        <v>357</v>
      </c>
      <c r="G359" s="3">
        <f>COUNTIF(NodesData[label],NodesData[[#This Row],[label]])</f>
        <v>1</v>
      </c>
      <c r="H359" s="3">
        <f>COUNTIF(EdgesData[from],NodesData[[#This Row],[id]])+COUNTIF(EdgesData[to],NodesData[[#This Row],[id]])</f>
        <v>0</v>
      </c>
      <c r="I359" s="3">
        <f>IF(NodesData[[#This Row],[Used]]&gt;0,1,0)</f>
        <v>0</v>
      </c>
      <c r="J359" s="18" t="str" cm="1">
        <f t="array" ref="J359">IF(NodesData[[#This Row],[Count]]&gt;1,",","") &amp;"{"&amp;twoRangesToJSON(NodesData[[#Headers],[id]:[main_class]],NodesData[[#This Row],[id]:[main_class]])&amp;"}"</f>
        <v>,{"id":"nB08E6344_94D9_4254_903D_D86404EF999B","label":"SAML (Acronym)","url":"https://open-measure.atlassian.net/wiki/spaces/DIC/pages/1428586729/SAML","main_class":"Acronym"}</v>
      </c>
    </row>
    <row r="360" spans="1:10" ht="27" thickTop="1" thickBot="1" x14ac:dyDescent="0.4">
      <c r="A360" s="3" t="str" cm="1">
        <f t="array" ref="A360">"n"&amp;SUBSTITUTE(CreateGuidString(),"-","_")</f>
        <v>n35458F51_488D_40CA_8ED8_B7B961CEFC46</v>
      </c>
      <c r="B360" s="6" t="str">
        <f>NodesData[[#This Row],[name]]&amp;" ("&amp;NodesData[[#This Row],[main_class]]&amp;")"</f>
        <v>SCIM (Acronym)</v>
      </c>
      <c r="C360" s="17" t="s">
        <v>1122</v>
      </c>
      <c r="D360" s="3" t="s">
        <v>1301</v>
      </c>
      <c r="E360" s="10" t="s">
        <v>1121</v>
      </c>
      <c r="F360" s="3">
        <f t="shared" si="5"/>
        <v>358</v>
      </c>
      <c r="G360" s="3">
        <f>COUNTIF(NodesData[label],NodesData[[#This Row],[label]])</f>
        <v>1</v>
      </c>
      <c r="H360" s="3">
        <f>COUNTIF(EdgesData[from],NodesData[[#This Row],[id]])+COUNTIF(EdgesData[to],NodesData[[#This Row],[id]])</f>
        <v>0</v>
      </c>
      <c r="I360" s="3">
        <f>IF(NodesData[[#This Row],[Used]]&gt;0,1,0)</f>
        <v>0</v>
      </c>
      <c r="J360" s="18" t="str" cm="1">
        <f t="array" ref="J360">IF(NodesData[[#This Row],[Count]]&gt;1,",","") &amp;"{"&amp;twoRangesToJSON(NodesData[[#Headers],[id]:[main_class]],NodesData[[#This Row],[id]:[main_class]])&amp;"}"</f>
        <v>,{"id":"n35458F51_488D_40CA_8ED8_B7B961CEFC46","label":"SCIM (Acronym)","url":"https://open-measure.atlassian.net/wiki/spaces/DIC/pages/206307343","main_class":"Acronym"}</v>
      </c>
    </row>
    <row r="361" spans="1:10" ht="27" thickTop="1" thickBot="1" x14ac:dyDescent="0.4">
      <c r="A361" s="3" t="str" cm="1">
        <f t="array" ref="A361">"n"&amp;SUBSTITUTE(CreateGuidString(),"-","_")</f>
        <v>n8B056AB2_8995_4F18_B076_1B201D63BE29</v>
      </c>
      <c r="B361" s="6" t="str">
        <f>NodesData[[#This Row],[name]]&amp;" ("&amp;NodesData[[#This Row],[main_class]]&amp;")"</f>
        <v>SCIM 1.0 (Acronym)</v>
      </c>
      <c r="C361" s="17" t="s">
        <v>1124</v>
      </c>
      <c r="D361" s="3" t="s">
        <v>1301</v>
      </c>
      <c r="E361" s="10" t="s">
        <v>1123</v>
      </c>
      <c r="F361" s="3">
        <f t="shared" si="5"/>
        <v>359</v>
      </c>
      <c r="G361" s="3">
        <f>COUNTIF(NodesData[label],NodesData[[#This Row],[label]])</f>
        <v>1</v>
      </c>
      <c r="H361" s="3">
        <f>COUNTIF(EdgesData[from],NodesData[[#This Row],[id]])+COUNTIF(EdgesData[to],NodesData[[#This Row],[id]])</f>
        <v>0</v>
      </c>
      <c r="I361" s="3">
        <f>IF(NodesData[[#This Row],[Used]]&gt;0,1,0)</f>
        <v>0</v>
      </c>
      <c r="J361" s="18" t="str" cm="1">
        <f t="array" ref="J361">IF(NodesData[[#This Row],[Count]]&gt;1,",","") &amp;"{"&amp;twoRangesToJSON(NodesData[[#Headers],[id]:[main_class]],NodesData[[#This Row],[id]:[main_class]])&amp;"}"</f>
        <v>,{"id":"n8B056AB2_8995_4F18_B076_1B201D63BE29","label":"SCIM 1.0 (Acronym)","url":"https://open-measure.atlassian.net/wiki/spaces/DIC/pages/206372879","main_class":"Acronym"}</v>
      </c>
    </row>
    <row r="362" spans="1:10" ht="27" thickTop="1" thickBot="1" x14ac:dyDescent="0.4">
      <c r="A362" s="3" t="str" cm="1">
        <f t="array" ref="A362">"n"&amp;SUBSTITUTE(CreateGuidString(),"-","_")</f>
        <v>n59712AD0_9DEF_4D86_91D0_D733F68DB605</v>
      </c>
      <c r="B362" s="6" t="str">
        <f>NodesData[[#This Row],[name]]&amp;" ("&amp;NodesData[[#This Row],[main_class]]&amp;")"</f>
        <v>SCIM 1.1 (Acronym)</v>
      </c>
      <c r="C362" s="17" t="s">
        <v>1126</v>
      </c>
      <c r="D362" s="3" t="s">
        <v>1301</v>
      </c>
      <c r="E362" s="10" t="s">
        <v>1125</v>
      </c>
      <c r="F362" s="3">
        <f t="shared" si="5"/>
        <v>360</v>
      </c>
      <c r="G362" s="3">
        <f>COUNTIF(NodesData[label],NodesData[[#This Row],[label]])</f>
        <v>1</v>
      </c>
      <c r="H362" s="3">
        <f>COUNTIF(EdgesData[from],NodesData[[#This Row],[id]])+COUNTIF(EdgesData[to],NodesData[[#This Row],[id]])</f>
        <v>0</v>
      </c>
      <c r="I362" s="3">
        <f>IF(NodesData[[#This Row],[Used]]&gt;0,1,0)</f>
        <v>0</v>
      </c>
      <c r="J362" s="18" t="str" cm="1">
        <f t="array" ref="J362">IF(NodesData[[#This Row],[Count]]&gt;1,",","") &amp;"{"&amp;twoRangesToJSON(NodesData[[#Headers],[id]:[main_class]],NodesData[[#This Row],[id]:[main_class]])&amp;"}"</f>
        <v>,{"id":"n59712AD0_9DEF_4D86_91D0_D733F68DB605","label":"SCIM 1.1 (Acronym)","url":"https://open-measure.atlassian.net/wiki/spaces/DIC/pages/206307350","main_class":"Acronym"}</v>
      </c>
    </row>
    <row r="363" spans="1:10" ht="27" thickTop="1" thickBot="1" x14ac:dyDescent="0.4">
      <c r="A363" s="3" t="str" cm="1">
        <f t="array" ref="A363">"n"&amp;SUBSTITUTE(CreateGuidString(),"-","_")</f>
        <v>n2D496B41_9EDA_4E3E_B751_93B2E539B91E</v>
      </c>
      <c r="B363" s="6" t="str">
        <f>NodesData[[#This Row],[name]]&amp;" ("&amp;NodesData[[#This Row],[main_class]]&amp;")"</f>
        <v>SCIM 2.0 (Acronym)</v>
      </c>
      <c r="C363" s="17" t="s">
        <v>1128</v>
      </c>
      <c r="D363" s="3" t="s">
        <v>1301</v>
      </c>
      <c r="E363" s="10" t="s">
        <v>1127</v>
      </c>
      <c r="F363" s="3">
        <f t="shared" si="5"/>
        <v>361</v>
      </c>
      <c r="G363" s="3">
        <f>COUNTIF(NodesData[label],NodesData[[#This Row],[label]])</f>
        <v>1</v>
      </c>
      <c r="H363" s="3">
        <f>COUNTIF(EdgesData[from],NodesData[[#This Row],[id]])+COUNTIF(EdgesData[to],NodesData[[#This Row],[id]])</f>
        <v>0</v>
      </c>
      <c r="I363" s="3">
        <f>IF(NodesData[[#This Row],[Used]]&gt;0,1,0)</f>
        <v>0</v>
      </c>
      <c r="J363" s="18" t="str" cm="1">
        <f t="array" ref="J363">IF(NodesData[[#This Row],[Count]]&gt;1,",","") &amp;"{"&amp;twoRangesToJSON(NodesData[[#Headers],[id]:[main_class]],NodesData[[#This Row],[id]:[main_class]])&amp;"}"</f>
        <v>,{"id":"n2D496B41_9EDA_4E3E_B751_93B2E539B91E","label":"SCIM 2.0 (Acronym)","url":"https://open-measure.atlassian.net/wiki/spaces/DIC/pages/206307373","main_class":"Acronym"}</v>
      </c>
    </row>
    <row r="364" spans="1:10" ht="27" thickTop="1" thickBot="1" x14ac:dyDescent="0.4">
      <c r="A364" s="3" t="str" cm="1">
        <f t="array" ref="A364">"n"&amp;SUBSTITUTE(CreateGuidString(),"-","_")</f>
        <v>nFCA13EE9_7A92_485E_9403_AED78DB1C6FA</v>
      </c>
      <c r="B364" s="6" t="str">
        <f>NodesData[[#This Row],[name]]&amp;" ("&amp;NodesData[[#This Row],[main_class]]&amp;")"</f>
        <v>Scoping (Concept)</v>
      </c>
      <c r="C364" s="17" t="s">
        <v>1130</v>
      </c>
      <c r="D364" s="3" t="s">
        <v>1409</v>
      </c>
      <c r="E364" s="10" t="s">
        <v>1129</v>
      </c>
      <c r="F364" s="3">
        <f t="shared" si="5"/>
        <v>362</v>
      </c>
      <c r="G364" s="3">
        <f>COUNTIF(NodesData[label],NodesData[[#This Row],[label]])</f>
        <v>1</v>
      </c>
      <c r="H364" s="3">
        <f>COUNTIF(EdgesData[from],NodesData[[#This Row],[id]])+COUNTIF(EdgesData[to],NodesData[[#This Row],[id]])</f>
        <v>0</v>
      </c>
      <c r="I364" s="3">
        <f>IF(NodesData[[#This Row],[Used]]&gt;0,1,0)</f>
        <v>0</v>
      </c>
      <c r="J364" s="18" t="str" cm="1">
        <f t="array" ref="J364">IF(NodesData[[#This Row],[Count]]&gt;1,",","") &amp;"{"&amp;twoRangesToJSON(NodesData[[#Headers],[id]:[main_class]],NodesData[[#This Row],[id]:[main_class]])&amp;"}"</f>
        <v>,{"id":"nFCA13EE9_7A92_485E_9403_AED78DB1C6FA","label":"Scoping (Concept)","url":"https://open-measure.atlassian.net/wiki/spaces/DIC/pages/1376383","main_class":"Concept"}</v>
      </c>
    </row>
    <row r="365" spans="1:10" ht="27" thickTop="1" thickBot="1" x14ac:dyDescent="0.4">
      <c r="A365" s="3" t="str" cm="1">
        <f t="array" ref="A365">"n"&amp;SUBSTITUTE(CreateGuidString(),"-","_")</f>
        <v>n0EBF5228_A768_4A6F_9586_3F2756006535</v>
      </c>
      <c r="B365" s="6" t="str">
        <f>NodesData[[#This Row],[name]]&amp;" ("&amp;NodesData[[#This Row],[main_class]]&amp;")"</f>
        <v>SD (Acronym)</v>
      </c>
      <c r="C365" s="17" t="s">
        <v>1132</v>
      </c>
      <c r="D365" s="3" t="s">
        <v>1301</v>
      </c>
      <c r="E365" s="10" t="s">
        <v>1131</v>
      </c>
      <c r="F365" s="3">
        <f t="shared" si="5"/>
        <v>363</v>
      </c>
      <c r="G365" s="3">
        <f>COUNTIF(NodesData[label],NodesData[[#This Row],[label]])</f>
        <v>1</v>
      </c>
      <c r="H365" s="3">
        <f>COUNTIF(EdgesData[from],NodesData[[#This Row],[id]])+COUNTIF(EdgesData[to],NodesData[[#This Row],[id]])</f>
        <v>0</v>
      </c>
      <c r="I365" s="3">
        <f>IF(NodesData[[#This Row],[Used]]&gt;0,1,0)</f>
        <v>0</v>
      </c>
      <c r="J365" s="18" t="str" cm="1">
        <f t="array" ref="J365">IF(NodesData[[#This Row],[Count]]&gt;1,",","") &amp;"{"&amp;twoRangesToJSON(NodesData[[#Headers],[id]:[main_class]],NodesData[[#This Row],[id]:[main_class]])&amp;"}"</f>
        <v>,{"id":"n0EBF5228_A768_4A6F_9586_3F2756006535","label":"SD (Acronym)","url":"https://open-measure.atlassian.net/wiki/spaces/DIC/pages/5931115","main_class":"Acronym"}</v>
      </c>
    </row>
    <row r="366" spans="1:10" ht="27" thickTop="1" thickBot="1" x14ac:dyDescent="0.4">
      <c r="A366" s="3" t="str" cm="1">
        <f t="array" ref="A366">"n"&amp;SUBSTITUTE(CreateGuidString(),"-","_")</f>
        <v>n3D8B4103_C1BC_42D0_A027_E0382AFA1490</v>
      </c>
      <c r="B366" s="6" t="str">
        <f>NodesData[[#This Row],[name]]&amp;" ("&amp;NodesData[[#This Row],[main_class]]&amp;")"</f>
        <v>SDP (Acronym)</v>
      </c>
      <c r="C366" s="17" t="s">
        <v>1134</v>
      </c>
      <c r="D366" s="3" t="s">
        <v>1301</v>
      </c>
      <c r="E366" s="10" t="s">
        <v>1133</v>
      </c>
      <c r="F366" s="3">
        <f t="shared" si="5"/>
        <v>364</v>
      </c>
      <c r="G366" s="3">
        <f>COUNTIF(NodesData[label],NodesData[[#This Row],[label]])</f>
        <v>1</v>
      </c>
      <c r="H366" s="3">
        <f>COUNTIF(EdgesData[from],NodesData[[#This Row],[id]])+COUNTIF(EdgesData[to],NodesData[[#This Row],[id]])</f>
        <v>0</v>
      </c>
      <c r="I366" s="3">
        <f>IF(NodesData[[#This Row],[Used]]&gt;0,1,0)</f>
        <v>0</v>
      </c>
      <c r="J366" s="18" t="str" cm="1">
        <f t="array" ref="J366">IF(NodesData[[#This Row],[Count]]&gt;1,",","") &amp;"{"&amp;twoRangesToJSON(NodesData[[#Headers],[id]:[main_class]],NodesData[[#This Row],[id]:[main_class]])&amp;"}"</f>
        <v>,{"id":"n3D8B4103_C1BC_42D0_A027_E0382AFA1490","label":"SDP (Acronym)","url":"https://open-measure.atlassian.net/wiki/spaces/DIC/pages/234356901","main_class":"Acronym"}</v>
      </c>
    </row>
    <row r="367" spans="1:10" ht="27" thickTop="1" thickBot="1" x14ac:dyDescent="0.4">
      <c r="A367" s="3" t="str" cm="1">
        <f t="array" ref="A367">"n"&amp;SUBSTITUTE(CreateGuidString(),"-","_")</f>
        <v>nC255083C_7192_46CF_BE91_1E978E647DDA</v>
      </c>
      <c r="B367" s="6" t="str">
        <f>NodesData[[#This Row],[name]]&amp;" ("&amp;NodesData[[#This Row],[main_class]]&amp;")"</f>
        <v>Secure Production Identity Framework for Everyone (Concept)</v>
      </c>
      <c r="C367" s="17" t="s">
        <v>1136</v>
      </c>
      <c r="D367" s="3" t="s">
        <v>1409</v>
      </c>
      <c r="E367" s="10" t="s">
        <v>1135</v>
      </c>
      <c r="F367" s="3">
        <f t="shared" si="5"/>
        <v>365</v>
      </c>
      <c r="G367" s="3">
        <f>COUNTIF(NodesData[label],NodesData[[#This Row],[label]])</f>
        <v>1</v>
      </c>
      <c r="H367" s="3">
        <f>COUNTIF(EdgesData[from],NodesData[[#This Row],[id]])+COUNTIF(EdgesData[to],NodesData[[#This Row],[id]])</f>
        <v>0</v>
      </c>
      <c r="I367" s="3">
        <f>IF(NodesData[[#This Row],[Used]]&gt;0,1,0)</f>
        <v>0</v>
      </c>
      <c r="J367" s="18" t="str" cm="1">
        <f t="array" ref="J367">IF(NodesData[[#This Row],[Count]]&gt;1,",","") &amp;"{"&amp;twoRangesToJSON(NodesData[[#Headers],[id]:[main_class]],NodesData[[#This Row],[id]:[main_class]])&amp;"}"</f>
        <v>,{"id":"nC255083C_7192_46CF_BE91_1E978E647DDA","label":"Secure Production Identity Framework for Everyone (Concept)","url":"https://open-measure.atlassian.net/wiki/spaces/DIC/pages/1142390785","main_class":"Concept"}</v>
      </c>
    </row>
    <row r="368" spans="1:10" ht="27" thickTop="1" thickBot="1" x14ac:dyDescent="0.4">
      <c r="A368" s="3" t="str" cm="1">
        <f t="array" ref="A368">"n"&amp;SUBSTITUTE(CreateGuidString(),"-","_")</f>
        <v>n6918674D_345A_4433_B721_18795E25F3CB</v>
      </c>
      <c r="B368" s="6" t="str">
        <f>NodesData[[#This Row],[name]]&amp;" ("&amp;NodesData[[#This Row],[main_class]]&amp;")"</f>
        <v>Secure System (Concept)</v>
      </c>
      <c r="C368" s="17" t="s">
        <v>1138</v>
      </c>
      <c r="D368" s="3" t="s">
        <v>1409</v>
      </c>
      <c r="E368" s="10" t="s">
        <v>1137</v>
      </c>
      <c r="F368" s="3">
        <f t="shared" si="5"/>
        <v>366</v>
      </c>
      <c r="G368" s="3">
        <f>COUNTIF(NodesData[label],NodesData[[#This Row],[label]])</f>
        <v>1</v>
      </c>
      <c r="H368" s="3">
        <f>COUNTIF(EdgesData[from],NodesData[[#This Row],[id]])+COUNTIF(EdgesData[to],NodesData[[#This Row],[id]])</f>
        <v>0</v>
      </c>
      <c r="I368" s="3">
        <f>IF(NodesData[[#This Row],[Used]]&gt;0,1,0)</f>
        <v>0</v>
      </c>
      <c r="J368" s="18" t="str" cm="1">
        <f t="array" ref="J368">IF(NodesData[[#This Row],[Count]]&gt;1,",","") &amp;"{"&amp;twoRangesToJSON(NodesData[[#Headers],[id]:[main_class]],NodesData[[#This Row],[id]:[main_class]])&amp;"}"</f>
        <v>,{"id":"n6918674D_345A_4433_B721_18795E25F3CB","label":"Secure System (Concept)","url":"https://open-measure.atlassian.net/wiki/spaces/DIC/pages/1230831633","main_class":"Concept"}</v>
      </c>
    </row>
    <row r="369" spans="1:10" ht="27" thickTop="1" thickBot="1" x14ac:dyDescent="0.4">
      <c r="A369" s="3" t="str" cm="1">
        <f t="array" ref="A369">"n"&amp;SUBSTITUTE(CreateGuidString(),"-","_")</f>
        <v>n02F0959E_43DB_4BFF_ADC9_C2DA7433A897</v>
      </c>
      <c r="B369" s="6" t="str">
        <f>NodesData[[#This Row],[name]]&amp;" ("&amp;NodesData[[#This Row],[main_class]]&amp;")"</f>
        <v>Security (Concept)</v>
      </c>
      <c r="C369" s="17" t="s">
        <v>1140</v>
      </c>
      <c r="D369" s="3" t="s">
        <v>1409</v>
      </c>
      <c r="E369" s="10" t="s">
        <v>1139</v>
      </c>
      <c r="F369" s="3">
        <f t="shared" si="5"/>
        <v>367</v>
      </c>
      <c r="G369" s="3">
        <f>COUNTIF(NodesData[label],NodesData[[#This Row],[label]])</f>
        <v>1</v>
      </c>
      <c r="H369" s="3">
        <f>COUNTIF(EdgesData[from],NodesData[[#This Row],[id]])+COUNTIF(EdgesData[to],NodesData[[#This Row],[id]])</f>
        <v>0</v>
      </c>
      <c r="I369" s="3">
        <f>IF(NodesData[[#This Row],[Used]]&gt;0,1,0)</f>
        <v>0</v>
      </c>
      <c r="J369" s="18" t="str" cm="1">
        <f t="array" ref="J369">IF(NodesData[[#This Row],[Count]]&gt;1,",","") &amp;"{"&amp;twoRangesToJSON(NodesData[[#Headers],[id]:[main_class]],NodesData[[#This Row],[id]:[main_class]])&amp;"}"</f>
        <v>,{"id":"n02F0959E_43DB_4BFF_ADC9_C2DA7433A897","label":"Security (Concept)","url":"https://open-measure.atlassian.net/wiki/spaces/DIC/pages/1231159321","main_class":"Concept"}</v>
      </c>
    </row>
    <row r="370" spans="1:10" ht="27" thickTop="1" thickBot="1" x14ac:dyDescent="0.4">
      <c r="A370" s="3" t="str" cm="1">
        <f t="array" ref="A370">"n"&amp;SUBSTITUTE(CreateGuidString(),"-","_")</f>
        <v>n789ACC6F_5FE6_4565_AD37_F05418E897E8</v>
      </c>
      <c r="B370" s="6" t="str">
        <f>NodesData[[#This Row],[name]]&amp;" ("&amp;NodesData[[#This Row],[main_class]]&amp;")"</f>
        <v>Security Accounts Manager (Concept)</v>
      </c>
      <c r="C370" s="17" t="s">
        <v>1142</v>
      </c>
      <c r="D370" s="3" t="s">
        <v>1409</v>
      </c>
      <c r="E370" s="10" t="s">
        <v>1141</v>
      </c>
      <c r="F370" s="3">
        <f t="shared" si="5"/>
        <v>368</v>
      </c>
      <c r="G370" s="3">
        <f>COUNTIF(NodesData[label],NodesData[[#This Row],[label]])</f>
        <v>1</v>
      </c>
      <c r="H370" s="3">
        <f>COUNTIF(EdgesData[from],NodesData[[#This Row],[id]])+COUNTIF(EdgesData[to],NodesData[[#This Row],[id]])</f>
        <v>0</v>
      </c>
      <c r="I370" s="3">
        <f>IF(NodesData[[#This Row],[Used]]&gt;0,1,0)</f>
        <v>0</v>
      </c>
      <c r="J370" s="18" t="str" cm="1">
        <f t="array" ref="J370">IF(NodesData[[#This Row],[Count]]&gt;1,",","") &amp;"{"&amp;twoRangesToJSON(NodesData[[#Headers],[id]:[main_class]],NodesData[[#This Row],[id]:[main_class]])&amp;"}"</f>
        <v>,{"id":"n789ACC6F_5FE6_4565_AD37_F05418E897E8","label":"Security Accounts Manager (Concept)","url":"https://open-measure.atlassian.net/wiki/spaces/DIC/pages/140673497","main_class":"Concept"}</v>
      </c>
    </row>
    <row r="371" spans="1:10" ht="40.15" thickTop="1" thickBot="1" x14ac:dyDescent="0.4">
      <c r="A371" s="3" t="str" cm="1">
        <f t="array" ref="A371">"n"&amp;SUBSTITUTE(CreateGuidString(),"-","_")</f>
        <v>n401DA248_711A_4FD8_9C34_D687560E1EE3</v>
      </c>
      <c r="B371" s="6" t="str">
        <f>NodesData[[#This Row],[name]]&amp;" ("&amp;NodesData[[#This Row],[main_class]]&amp;")"</f>
        <v>Security Assertion Markup Language (Concept)</v>
      </c>
      <c r="C371" s="17" t="s">
        <v>1143</v>
      </c>
      <c r="D371" s="3" t="s">
        <v>1409</v>
      </c>
      <c r="E371" s="10" t="s">
        <v>451</v>
      </c>
      <c r="F371" s="3">
        <f t="shared" si="5"/>
        <v>369</v>
      </c>
      <c r="G371" s="3">
        <f>COUNTIF(NodesData[label],NodesData[[#This Row],[label]])</f>
        <v>1</v>
      </c>
      <c r="H371" s="3">
        <f>COUNTIF(EdgesData[from],NodesData[[#This Row],[id]])+COUNTIF(EdgesData[to],NodesData[[#This Row],[id]])</f>
        <v>0</v>
      </c>
      <c r="I371" s="3">
        <f>IF(NodesData[[#This Row],[Used]]&gt;0,1,0)</f>
        <v>0</v>
      </c>
      <c r="J371" s="18" t="str" cm="1">
        <f t="array" ref="J371">IF(NodesData[[#This Row],[Count]]&gt;1,",","") &amp;"{"&amp;twoRangesToJSON(NodesData[[#Headers],[id]:[main_class]],NodesData[[#This Row],[id]:[main_class]])&amp;"}"</f>
        <v>,{"id":"n401DA248_711A_4FD8_9C34_D687560E1EE3","label":"Security Assertion Markup Language (Concept)","url":"https://open-measure.atlassian.net/wiki/spaces/DIC/pages/1428619445/Security+Assertion+Markup+Language","main_class":"Concept"}</v>
      </c>
    </row>
    <row r="372" spans="1:10" ht="27" thickTop="1" thickBot="1" x14ac:dyDescent="0.4">
      <c r="A372" s="3" t="str" cm="1">
        <f t="array" ref="A372">"n"&amp;SUBSTITUTE(CreateGuidString(),"-","_")</f>
        <v>n83F92558_4B2F_4841_8FBC_B47E567D05C7</v>
      </c>
      <c r="B372" s="6" t="str">
        <f>NodesData[[#This Row],[name]]&amp;" ("&amp;NodesData[[#This Row],[main_class]]&amp;")"</f>
        <v>Security Clearance Level (Concept)</v>
      </c>
      <c r="C372" s="17" t="s">
        <v>1145</v>
      </c>
      <c r="D372" s="3" t="s">
        <v>1409</v>
      </c>
      <c r="E372" s="10" t="s">
        <v>1144</v>
      </c>
      <c r="F372" s="3">
        <f t="shared" si="5"/>
        <v>370</v>
      </c>
      <c r="G372" s="3">
        <f>COUNTIF(NodesData[label],NodesData[[#This Row],[label]])</f>
        <v>1</v>
      </c>
      <c r="H372" s="3">
        <f>COUNTIF(EdgesData[from],NodesData[[#This Row],[id]])+COUNTIF(EdgesData[to],NodesData[[#This Row],[id]])</f>
        <v>0</v>
      </c>
      <c r="I372" s="3">
        <f>IF(NodesData[[#This Row],[Used]]&gt;0,1,0)</f>
        <v>0</v>
      </c>
      <c r="J372" s="18" t="str" cm="1">
        <f t="array" ref="J372">IF(NodesData[[#This Row],[Count]]&gt;1,",","") &amp;"{"&amp;twoRangesToJSON(NodesData[[#Headers],[id]:[main_class]],NodesData[[#This Row],[id]:[main_class]])&amp;"}"</f>
        <v>,{"id":"n83F92558_4B2F_4841_8FBC_B47E567D05C7","label":"Security Clearance Level (Concept)","url":"https://open-measure.atlassian.net/wiki/spaces/DIC/pages/1177747653","main_class":"Concept"}</v>
      </c>
    </row>
    <row r="373" spans="1:10" ht="27" thickTop="1" thickBot="1" x14ac:dyDescent="0.4">
      <c r="A373" s="3" t="str" cm="1">
        <f t="array" ref="A373">"n"&amp;SUBSTITUTE(CreateGuidString(),"-","_")</f>
        <v>nE71874C8_55F6_473A_948D_D48BC1177C51</v>
      </c>
      <c r="B373" s="6" t="str">
        <f>NodesData[[#This Row],[name]]&amp;" ("&amp;NodesData[[#This Row],[main_class]]&amp;")"</f>
        <v>Security Compartment (Concept)</v>
      </c>
      <c r="C373" s="17" t="s">
        <v>1147</v>
      </c>
      <c r="D373" s="3" t="s">
        <v>1409</v>
      </c>
      <c r="E373" s="10" t="s">
        <v>1146</v>
      </c>
      <c r="F373" s="3">
        <f t="shared" si="5"/>
        <v>371</v>
      </c>
      <c r="G373" s="3">
        <f>COUNTIF(NodesData[label],NodesData[[#This Row],[label]])</f>
        <v>1</v>
      </c>
      <c r="H373" s="3">
        <f>COUNTIF(EdgesData[from],NodesData[[#This Row],[id]])+COUNTIF(EdgesData[to],NodesData[[#This Row],[id]])</f>
        <v>0</v>
      </c>
      <c r="I373" s="3">
        <f>IF(NodesData[[#This Row],[Used]]&gt;0,1,0)</f>
        <v>0</v>
      </c>
      <c r="J373" s="18" t="str" cm="1">
        <f t="array" ref="J373">IF(NodesData[[#This Row],[Count]]&gt;1,",","") &amp;"{"&amp;twoRangesToJSON(NodesData[[#Headers],[id]:[main_class]],NodesData[[#This Row],[id]:[main_class]])&amp;"}"</f>
        <v>,{"id":"nE71874C8_55F6_473A_948D_D48BC1177C51","label":"Security Compartment (Concept)","url":"https://open-measure.atlassian.net/wiki/spaces/DIC/pages/1181843719","main_class":"Concept"}</v>
      </c>
    </row>
    <row r="374" spans="1:10" ht="27" thickTop="1" thickBot="1" x14ac:dyDescent="0.4">
      <c r="A374" s="3" t="str" cm="1">
        <f t="array" ref="A374">"n"&amp;SUBSTITUTE(CreateGuidString(),"-","_")</f>
        <v>n34F5C570_D5EC_4338_9EB7_E68319280B20</v>
      </c>
      <c r="B374" s="6" t="str">
        <f>NodesData[[#This Row],[name]]&amp;" ("&amp;NodesData[[#This Row],[main_class]]&amp;")"</f>
        <v>Security Label (Concept)</v>
      </c>
      <c r="C374" s="17" t="s">
        <v>1149</v>
      </c>
      <c r="D374" s="3" t="s">
        <v>1409</v>
      </c>
      <c r="E374" s="10" t="s">
        <v>1148</v>
      </c>
      <c r="F374" s="3">
        <f t="shared" si="5"/>
        <v>372</v>
      </c>
      <c r="G374" s="3">
        <f>COUNTIF(NodesData[label],NodesData[[#This Row],[label]])</f>
        <v>1</v>
      </c>
      <c r="H374" s="3">
        <f>COUNTIF(EdgesData[from],NodesData[[#This Row],[id]])+COUNTIF(EdgesData[to],NodesData[[#This Row],[id]])</f>
        <v>0</v>
      </c>
      <c r="I374" s="3">
        <f>IF(NodesData[[#This Row],[Used]]&gt;0,1,0)</f>
        <v>0</v>
      </c>
      <c r="J374" s="18" t="str" cm="1">
        <f t="array" ref="J374">IF(NodesData[[#This Row],[Count]]&gt;1,",","") &amp;"{"&amp;twoRangesToJSON(NodesData[[#Headers],[id]:[main_class]],NodesData[[#This Row],[id]:[main_class]])&amp;"}"</f>
        <v>,{"id":"n34F5C570_D5EC_4338_9EB7_E68319280B20","label":"Security Label (Concept)","url":"https://open-measure.atlassian.net/wiki/spaces/DIC/pages/1177747630","main_class":"Concept"}</v>
      </c>
    </row>
    <row r="375" spans="1:10" ht="27" thickTop="1" thickBot="1" x14ac:dyDescent="0.4">
      <c r="A375" s="3" t="str" cm="1">
        <f t="array" ref="A375">"n"&amp;SUBSTITUTE(CreateGuidString(),"-","_")</f>
        <v>n947DF45F_ADDD_4A4D_85DF_8701519AA149</v>
      </c>
      <c r="B375" s="6" t="str">
        <f>NodesData[[#This Row],[name]]&amp;" ("&amp;NodesData[[#This Row],[main_class]]&amp;")"</f>
        <v>Risk-Based Authentication (Concept)</v>
      </c>
      <c r="C375" s="17" t="s">
        <v>1100</v>
      </c>
      <c r="D375" s="3" t="s">
        <v>1409</v>
      </c>
      <c r="E375" s="10" t="s">
        <v>1099</v>
      </c>
      <c r="F375" s="3">
        <f t="shared" si="5"/>
        <v>373</v>
      </c>
      <c r="G375" s="3">
        <f>COUNTIF(NodesData[label],NodesData[[#This Row],[label]])</f>
        <v>1</v>
      </c>
      <c r="H375" s="3">
        <f>COUNTIF(EdgesData[from],NodesData[[#This Row],[id]])+COUNTIF(EdgesData[to],NodesData[[#This Row],[id]])</f>
        <v>0</v>
      </c>
      <c r="I375" s="3">
        <f>IF(NodesData[[#This Row],[Used]]&gt;0,1,0)</f>
        <v>0</v>
      </c>
      <c r="J375" s="18" t="str" cm="1">
        <f t="array" ref="J375">IF(NodesData[[#This Row],[Count]]&gt;1,",","") &amp;"{"&amp;twoRangesToJSON(NodesData[[#Headers],[id]:[main_class]],NodesData[[#This Row],[id]:[main_class]])&amp;"}"</f>
        <v>,{"id":"n947DF45F_ADDD_4A4D_85DF_8701519AA149","label":"Risk-Based Authentication (Concept)","url":"https://open-measure.atlassian.net/wiki/spaces/DIC/pages/795836567","main_class":"Concept"}</v>
      </c>
    </row>
    <row r="376" spans="1:10" ht="27" thickTop="1" thickBot="1" x14ac:dyDescent="0.4">
      <c r="A376" s="3" t="str" cm="1">
        <f t="array" ref="A376">"n"&amp;SUBSTITUTE(CreateGuidString(),"-","_")</f>
        <v>n7A264141_EFDF_4ACB_8E05_1C90FED0CCAD</v>
      </c>
      <c r="B376" s="6" t="str">
        <f>NodesData[[#This Row],[name]]&amp;" ("&amp;NodesData[[#This Row],[main_class]]&amp;")"</f>
        <v>Segregation of Duties (Concept)</v>
      </c>
      <c r="C376" s="17" t="s">
        <v>1151</v>
      </c>
      <c r="D376" s="3" t="s">
        <v>1409</v>
      </c>
      <c r="E376" s="10" t="s">
        <v>1150</v>
      </c>
      <c r="F376" s="3">
        <f t="shared" si="5"/>
        <v>374</v>
      </c>
      <c r="G376" s="3">
        <f>COUNTIF(NodesData[label],NodesData[[#This Row],[label]])</f>
        <v>1</v>
      </c>
      <c r="H376" s="3">
        <f>COUNTIF(EdgesData[from],NodesData[[#This Row],[id]])+COUNTIF(EdgesData[to],NodesData[[#This Row],[id]])</f>
        <v>0</v>
      </c>
      <c r="I376" s="3">
        <f>IF(NodesData[[#This Row],[Used]]&gt;0,1,0)</f>
        <v>0</v>
      </c>
      <c r="J376" s="18" t="str" cm="1">
        <f t="array" ref="J376">IF(NodesData[[#This Row],[Count]]&gt;1,",","") &amp;"{"&amp;twoRangesToJSON(NodesData[[#Headers],[id]:[main_class]],NodesData[[#This Row],[id]:[main_class]])&amp;"}"</f>
        <v>,{"id":"n7A264141_EFDF_4ACB_8E05_1C90FED0CCAD","label":"Segregation of Duties (Concept)","url":"https://open-measure.atlassian.net/wiki/spaces/DIC/pages/1071185955","main_class":"Concept"}</v>
      </c>
    </row>
    <row r="377" spans="1:10" ht="27" thickTop="1" thickBot="1" x14ac:dyDescent="0.4">
      <c r="A377" s="3" t="str" cm="1">
        <f t="array" ref="A377">"n"&amp;SUBSTITUTE(CreateGuidString(),"-","_")</f>
        <v>n82A0E070_23E4_442E_BB09_F702BC99D28A</v>
      </c>
      <c r="B377" s="6" t="str">
        <f>NodesData[[#This Row],[name]]&amp;" ("&amp;NodesData[[#This Row],[main_class]]&amp;")"</f>
        <v>Self-Sovereign Identity (Concept)</v>
      </c>
      <c r="C377" s="17" t="s">
        <v>1152</v>
      </c>
      <c r="D377" s="3" t="s">
        <v>1409</v>
      </c>
      <c r="E377" s="10" t="s">
        <v>456</v>
      </c>
      <c r="F377" s="3">
        <f t="shared" si="5"/>
        <v>375</v>
      </c>
      <c r="G377" s="3">
        <f>COUNTIF(NodesData[label],NodesData[[#This Row],[label]])</f>
        <v>1</v>
      </c>
      <c r="H377" s="3">
        <f>COUNTIF(EdgesData[from],NodesData[[#This Row],[id]])+COUNTIF(EdgesData[to],NodesData[[#This Row],[id]])</f>
        <v>0</v>
      </c>
      <c r="I377" s="3">
        <f>IF(NodesData[[#This Row],[Used]]&gt;0,1,0)</f>
        <v>0</v>
      </c>
      <c r="J377" s="18" t="str" cm="1">
        <f t="array" ref="J377">IF(NodesData[[#This Row],[Count]]&gt;1,",","") &amp;"{"&amp;twoRangesToJSON(NodesData[[#Headers],[id]:[main_class]],NodesData[[#This Row],[id]:[main_class]])&amp;"}"</f>
        <v>,{"id":"n82A0E070_23E4_442E_BB09_F702BC99D28A","label":"Self-Sovereign Identity (Concept)","url":"https://open-measure.atlassian.net/wiki/spaces/DIC/pages/446955653/Self-Sovereign+Identity","main_class":"Concept"}</v>
      </c>
    </row>
    <row r="378" spans="1:10" ht="27" thickTop="1" thickBot="1" x14ac:dyDescent="0.4">
      <c r="A378" s="3" t="str" cm="1">
        <f t="array" ref="A378">"n"&amp;SUBSTITUTE(CreateGuidString(),"-","_")</f>
        <v>nA3C6A79B_DEAD_496A_A156_29533B0CFD76</v>
      </c>
      <c r="B378" s="6" t="str">
        <f>NodesData[[#This Row],[name]]&amp;" ("&amp;NodesData[[#This Row],[main_class]]&amp;")"</f>
        <v>Semantic Differential (Concept)</v>
      </c>
      <c r="C378" s="17" t="s">
        <v>1154</v>
      </c>
      <c r="D378" s="3" t="s">
        <v>1409</v>
      </c>
      <c r="E378" s="10" t="s">
        <v>1153</v>
      </c>
      <c r="F378" s="3">
        <f t="shared" si="5"/>
        <v>376</v>
      </c>
      <c r="G378" s="3">
        <f>COUNTIF(NodesData[label],NodesData[[#This Row],[label]])</f>
        <v>1</v>
      </c>
      <c r="H378" s="3">
        <f>COUNTIF(EdgesData[from],NodesData[[#This Row],[id]])+COUNTIF(EdgesData[to],NodesData[[#This Row],[id]])</f>
        <v>0</v>
      </c>
      <c r="I378" s="3">
        <f>IF(NodesData[[#This Row],[Used]]&gt;0,1,0)</f>
        <v>0</v>
      </c>
      <c r="J378" s="18" t="str" cm="1">
        <f t="array" ref="J378">IF(NodesData[[#This Row],[Count]]&gt;1,",","") &amp;"{"&amp;twoRangesToJSON(NodesData[[#Headers],[id]:[main_class]],NodesData[[#This Row],[id]:[main_class]])&amp;"}"</f>
        <v>,{"id":"nA3C6A79B_DEAD_496A_A156_29533B0CFD76","label":"Semantic Differential (Concept)","url":"https://open-measure.atlassian.net/wiki/spaces/DIC/pages/6029526","main_class":"Concept"}</v>
      </c>
    </row>
    <row r="379" spans="1:10" ht="27" thickTop="1" thickBot="1" x14ac:dyDescent="0.4">
      <c r="A379" s="3" t="str" cm="1">
        <f t="array" ref="A379">"n"&amp;SUBSTITUTE(CreateGuidString(),"-","_")</f>
        <v>n22DBE6A8_D1FC_49C3_AA11_591FFFCF79F1</v>
      </c>
      <c r="B379" s="6" t="str">
        <f>NodesData[[#This Row],[name]]&amp;" ("&amp;NodesData[[#This Row],[main_class]]&amp;")"</f>
        <v>Service Account (Concept)</v>
      </c>
      <c r="C379" s="17" t="s">
        <v>1156</v>
      </c>
      <c r="D379" s="3" t="s">
        <v>1409</v>
      </c>
      <c r="E379" s="10" t="s">
        <v>1155</v>
      </c>
      <c r="F379" s="3">
        <f t="shared" si="5"/>
        <v>377</v>
      </c>
      <c r="G379" s="3">
        <f>COUNTIF(NodesData[label],NodesData[[#This Row],[label]])</f>
        <v>1</v>
      </c>
      <c r="H379" s="3">
        <f>COUNTIF(EdgesData[from],NodesData[[#This Row],[id]])+COUNTIF(EdgesData[to],NodesData[[#This Row],[id]])</f>
        <v>0</v>
      </c>
      <c r="I379" s="3">
        <f>IF(NodesData[[#This Row],[Used]]&gt;0,1,0)</f>
        <v>0</v>
      </c>
      <c r="J379" s="18" t="str" cm="1">
        <f t="array" ref="J379">IF(NodesData[[#This Row],[Count]]&gt;1,",","") &amp;"{"&amp;twoRangesToJSON(NodesData[[#Headers],[id]:[main_class]],NodesData[[#This Row],[id]:[main_class]])&amp;"}"</f>
        <v>,{"id":"n22DBE6A8_D1FC_49C3_AA11_591FFFCF79F1","label":"Service Account (Concept)","url":"https://open-measure.atlassian.net/wiki/spaces/DIC/pages/805142555","main_class":"Concept"}</v>
      </c>
    </row>
    <row r="380" spans="1:10" ht="40.15" thickTop="1" thickBot="1" x14ac:dyDescent="0.4">
      <c r="A380" s="3" t="str" cm="1">
        <f t="array" ref="A380">"n"&amp;SUBSTITUTE(CreateGuidString(),"-","_")</f>
        <v>n839464E0_8480_4729_ACD6_8D647248BAAB</v>
      </c>
      <c r="B380" s="6" t="str">
        <f>NodesData[[#This Row],[name]]&amp;" ("&amp;NodesData[[#This Row],[main_class]]&amp;")"</f>
        <v>Service-Centric Identity Management System (Concept)</v>
      </c>
      <c r="C380" s="17" t="s">
        <v>1157</v>
      </c>
      <c r="D380" s="3" t="s">
        <v>1409</v>
      </c>
      <c r="E380" s="10" t="s">
        <v>459</v>
      </c>
      <c r="F380" s="3">
        <f t="shared" si="5"/>
        <v>378</v>
      </c>
      <c r="G380" s="3">
        <f>COUNTIF(NodesData[label],NodesData[[#This Row],[label]])</f>
        <v>1</v>
      </c>
      <c r="H380" s="3">
        <f>COUNTIF(EdgesData[from],NodesData[[#This Row],[id]])+COUNTIF(EdgesData[to],NodesData[[#This Row],[id]])</f>
        <v>0</v>
      </c>
      <c r="I380" s="3">
        <f>IF(NodesData[[#This Row],[Used]]&gt;0,1,0)</f>
        <v>0</v>
      </c>
      <c r="J380" s="18" t="str" cm="1">
        <f t="array" ref="J380">IF(NodesData[[#This Row],[Count]]&gt;1,",","") &amp;"{"&amp;twoRangesToJSON(NodesData[[#Headers],[id]:[main_class]],NodesData[[#This Row],[id]:[main_class]])&amp;"}"</f>
        <v>,{"id":"n839464E0_8480_4729_ACD6_8D647248BAAB","label":"Service-Centric Identity Management System (Concept)","url":"https://open-measure.atlassian.net/wiki/spaces/DIC/pages/1313538143/Service-Centric+Identity+Management+System","main_class":"Concept"}</v>
      </c>
    </row>
    <row r="381" spans="1:10" ht="27" thickTop="1" thickBot="1" x14ac:dyDescent="0.4">
      <c r="A381" s="3" t="str" cm="1">
        <f t="array" ref="A381">"n"&amp;SUBSTITUTE(CreateGuidString(),"-","_")</f>
        <v>n8B4B8297_3EE5_402A_A39D_F380FB3B6ACB</v>
      </c>
      <c r="B381" s="6" t="str">
        <f>NodesData[[#This Row],[name]]&amp;" ("&amp;NodesData[[#This Row],[main_class]]&amp;")"</f>
        <v>Session (Concept)</v>
      </c>
      <c r="C381" s="17" t="s">
        <v>1159</v>
      </c>
      <c r="D381" s="3" t="s">
        <v>1409</v>
      </c>
      <c r="E381" s="10" t="s">
        <v>1158</v>
      </c>
      <c r="F381" s="3">
        <f t="shared" si="5"/>
        <v>379</v>
      </c>
      <c r="G381" s="3">
        <f>COUNTIF(NodesData[label],NodesData[[#This Row],[label]])</f>
        <v>1</v>
      </c>
      <c r="H381" s="3">
        <f>COUNTIF(EdgesData[from],NodesData[[#This Row],[id]])+COUNTIF(EdgesData[to],NodesData[[#This Row],[id]])</f>
        <v>0</v>
      </c>
      <c r="I381" s="3">
        <f>IF(NodesData[[#This Row],[Used]]&gt;0,1,0)</f>
        <v>0</v>
      </c>
      <c r="J381" s="18" t="str" cm="1">
        <f t="array" ref="J381">IF(NodesData[[#This Row],[Count]]&gt;1,",","") &amp;"{"&amp;twoRangesToJSON(NodesData[[#Headers],[id]:[main_class]],NodesData[[#This Row],[id]:[main_class]])&amp;"}"</f>
        <v>,{"id":"n8B4B8297_3EE5_402A_A39D_F380FB3B6ACB","label":"Session (Concept)","url":"https://open-measure.atlassian.net/wiki/spaces/DIC/pages/881197061","main_class":"Concept"}</v>
      </c>
    </row>
    <row r="382" spans="1:10" ht="27" thickTop="1" thickBot="1" x14ac:dyDescent="0.4">
      <c r="A382" s="3" t="str" cm="1">
        <f t="array" ref="A382">"n"&amp;SUBSTITUTE(CreateGuidString(),"-","_")</f>
        <v>n2919300D_9AF4_4301_B791_375B7F120F3A</v>
      </c>
      <c r="B382" s="6" t="str">
        <f>NodesData[[#This Row],[name]]&amp;" ("&amp;NodesData[[#This Row],[main_class]]&amp;")"</f>
        <v>Security Question Authentication (Concept)</v>
      </c>
      <c r="C382" s="22"/>
      <c r="D382" s="3" t="s">
        <v>1409</v>
      </c>
      <c r="E382" s="10" t="s">
        <v>1377</v>
      </c>
      <c r="F382" s="3">
        <f t="shared" si="5"/>
        <v>380</v>
      </c>
      <c r="G382" s="3">
        <f>COUNTIF(NodesData[label],NodesData[[#This Row],[label]])</f>
        <v>1</v>
      </c>
      <c r="H382" s="3">
        <f>COUNTIF(EdgesData[from],NodesData[[#This Row],[id]])+COUNTIF(EdgesData[to],NodesData[[#This Row],[id]])</f>
        <v>0</v>
      </c>
      <c r="I382" s="3">
        <f>IF(NodesData[[#This Row],[Used]]&gt;0,1,0)</f>
        <v>0</v>
      </c>
      <c r="J382" s="18" t="str" cm="1">
        <f t="array" ref="J382">IF(NodesData[[#This Row],[Count]]&gt;1,",","") &amp;"{"&amp;twoRangesToJSON(NodesData[[#Headers],[id]:[main_class]],NodesData[[#This Row],[id]:[main_class]])&amp;"}"</f>
        <v>,{"id":"n2919300D_9AF4_4301_B791_375B7F120F3A","label":"Security Question Authentication (Concept)","url":"","main_class":"Concept"}</v>
      </c>
    </row>
    <row r="383" spans="1:10" ht="27" thickTop="1" thickBot="1" x14ac:dyDescent="0.4">
      <c r="A383" s="3" t="str" cm="1">
        <f t="array" ref="A383">"n"&amp;SUBSTITUTE(CreateGuidString(),"-","_")</f>
        <v>n139BB437_0FBB_4E8C_BAE1_FD9C8357739D</v>
      </c>
      <c r="B383" s="6" t="str">
        <f>NodesData[[#This Row],[name]]&amp;" ("&amp;NodesData[[#This Row],[main_class]]&amp;")"</f>
        <v>Single Login (Concept)</v>
      </c>
      <c r="C383" s="17" t="s">
        <v>1161</v>
      </c>
      <c r="D383" s="3" t="s">
        <v>1409</v>
      </c>
      <c r="E383" s="10" t="s">
        <v>1160</v>
      </c>
      <c r="F383" s="3">
        <f t="shared" si="5"/>
        <v>381</v>
      </c>
      <c r="G383" s="3">
        <f>COUNTIF(NodesData[label],NodesData[[#This Row],[label]])</f>
        <v>1</v>
      </c>
      <c r="H383" s="3">
        <f>COUNTIF(EdgesData[from],NodesData[[#This Row],[id]])+COUNTIF(EdgesData[to],NodesData[[#This Row],[id]])</f>
        <v>0</v>
      </c>
      <c r="I383" s="3">
        <f>IF(NodesData[[#This Row],[Used]]&gt;0,1,0)</f>
        <v>0</v>
      </c>
      <c r="J383" s="18" t="str" cm="1">
        <f t="array" ref="J383">IF(NodesData[[#This Row],[Count]]&gt;1,",","") &amp;"{"&amp;twoRangesToJSON(NodesData[[#Headers],[id]:[main_class]],NodesData[[#This Row],[id]:[main_class]])&amp;"}"</f>
        <v>,{"id":"n139BB437_0FBB_4E8C_BAE1_FD9C8357739D","label":"Single Login (Concept)","url":"https://open-measure.atlassian.net/wiki/spaces/DIC/pages/78741548","main_class":"Concept"}</v>
      </c>
    </row>
    <row r="384" spans="1:10" ht="27" thickTop="1" thickBot="1" x14ac:dyDescent="0.4">
      <c r="A384" s="3" t="str" cm="1">
        <f t="array" ref="A384">"n"&amp;SUBSTITUTE(CreateGuidString(),"-","_")</f>
        <v>n7CD8CA58_F60C_418B_B7DE_AED4A87958A0</v>
      </c>
      <c r="B384" s="6" t="str">
        <f>NodesData[[#This Row],[name]]&amp;" ("&amp;NodesData[[#This Row],[main_class]]&amp;")"</f>
        <v>Single Sign-On (Concept)</v>
      </c>
      <c r="C384" s="17" t="s">
        <v>1163</v>
      </c>
      <c r="D384" s="3" t="s">
        <v>1409</v>
      </c>
      <c r="E384" s="10" t="s">
        <v>1162</v>
      </c>
      <c r="F384" s="3">
        <f t="shared" si="5"/>
        <v>382</v>
      </c>
      <c r="G384" s="3">
        <f>COUNTIF(NodesData[label],NodesData[[#This Row],[label]])</f>
        <v>2</v>
      </c>
      <c r="H384" s="3">
        <f>COUNTIF(EdgesData[from],NodesData[[#This Row],[id]])+COUNTIF(EdgesData[to],NodesData[[#This Row],[id]])</f>
        <v>0</v>
      </c>
      <c r="I384" s="3">
        <f>IF(NodesData[[#This Row],[Used]]&gt;0,1,0)</f>
        <v>0</v>
      </c>
      <c r="J384" s="18" t="str" cm="1">
        <f t="array" ref="J384">IF(NodesData[[#This Row],[Count]]&gt;1,",","") &amp;"{"&amp;twoRangesToJSON(NodesData[[#Headers],[id]:[main_class]],NodesData[[#This Row],[id]:[main_class]])&amp;"}"</f>
        <v>,{"id":"n7CD8CA58_F60C_418B_B7DE_AED4A87958A0","label":"Single Sign-On (Concept)","url":"https://open-measure.atlassian.net/wiki/spaces/DIC/pages/75956255","main_class":"Concept"}</v>
      </c>
    </row>
    <row r="385" spans="1:10" ht="13.9" thickTop="1" thickBot="1" x14ac:dyDescent="0.4">
      <c r="A385" s="3" t="str" cm="1">
        <f t="array" ref="A385">"n"&amp;SUBSTITUTE(CreateGuidString(),"-","_")</f>
        <v>n0B3F3094_D353_4F47_B7D7_7D8BFACA8C8D</v>
      </c>
      <c r="B385" s="6" t="str">
        <f>NodesData[[#This Row],[name]]&amp;" ("&amp;NodesData[[#This Row],[main_class]]&amp;")"</f>
        <v>Single Sign-On (Concept)</v>
      </c>
      <c r="C385" s="22"/>
      <c r="D385" s="3" t="s">
        <v>1409</v>
      </c>
      <c r="E385" s="10" t="s">
        <v>1162</v>
      </c>
      <c r="F385" s="3">
        <f t="shared" si="5"/>
        <v>383</v>
      </c>
      <c r="G385" s="3">
        <f>COUNTIF(NodesData[label],NodesData[[#This Row],[label]])</f>
        <v>2</v>
      </c>
      <c r="H385" s="3">
        <f>COUNTIF(EdgesData[from],NodesData[[#This Row],[id]])+COUNTIF(EdgesData[to],NodesData[[#This Row],[id]])</f>
        <v>0</v>
      </c>
      <c r="I385" s="3">
        <f>IF(NodesData[[#This Row],[Used]]&gt;0,1,0)</f>
        <v>0</v>
      </c>
      <c r="J385" s="18" t="str" cm="1">
        <f t="array" ref="J385">IF(NodesData[[#This Row],[Count]]&gt;1,",","") &amp;"{"&amp;twoRangesToJSON(NodesData[[#Headers],[id]:[main_class]],NodesData[[#This Row],[id]:[main_class]])&amp;"}"</f>
        <v>,{"id":"n0B3F3094_D353_4F47_B7D7_7D8BFACA8C8D","label":"Single Sign-On (Concept)","url":"","main_class":"Concept"}</v>
      </c>
    </row>
    <row r="386" spans="1:10" ht="13.9" thickTop="1" thickBot="1" x14ac:dyDescent="0.4">
      <c r="A386" s="3" t="str" cm="1">
        <f t="array" ref="A386">"n"&amp;SUBSTITUTE(CreateGuidString(),"-","_")</f>
        <v>n0F2BC248_959E_41AD_A0BF_4DA30083FE1C</v>
      </c>
      <c r="B386" s="6" t="str">
        <f>NodesData[[#This Row],[name]]&amp;" ("&amp;NodesData[[#This Row],[main_class]]&amp;")"</f>
        <v>SMS OTP (Concept)</v>
      </c>
      <c r="C386" s="12"/>
      <c r="D386" s="3" t="s">
        <v>1409</v>
      </c>
      <c r="E386" s="10" t="s">
        <v>1369</v>
      </c>
      <c r="F386" s="3">
        <f t="shared" si="5"/>
        <v>384</v>
      </c>
      <c r="G386" s="3">
        <f>COUNTIF(NodesData[label],NodesData[[#This Row],[label]])</f>
        <v>1</v>
      </c>
      <c r="H386" s="3">
        <f>COUNTIF(EdgesData[from],NodesData[[#This Row],[id]])+COUNTIF(EdgesData[to],NodesData[[#This Row],[id]])</f>
        <v>0</v>
      </c>
      <c r="I386" s="3">
        <f>IF(NodesData[[#This Row],[Used]]&gt;0,1,0)</f>
        <v>0</v>
      </c>
      <c r="J386" s="18" t="str" cm="1">
        <f t="array" ref="J386">IF(NodesData[[#This Row],[Count]]&gt;1,",","") &amp;"{"&amp;twoRangesToJSON(NodesData[[#Headers],[id]:[main_class]],NodesData[[#This Row],[id]:[main_class]])&amp;"}"</f>
        <v>,{"id":"n0F2BC248_959E_41AD_A0BF_4DA30083FE1C","label":"SMS OTP (Concept)","url":"","main_class":"Concept"}</v>
      </c>
    </row>
    <row r="387" spans="1:10" ht="27" thickTop="1" thickBot="1" x14ac:dyDescent="0.4">
      <c r="A387" s="3" t="str" cm="1">
        <f t="array" ref="A387">"n"&amp;SUBSTITUTE(CreateGuidString(),"-","_")</f>
        <v>n69CCD592_9A0D_403A_85FD_56DFF38CF6DD</v>
      </c>
      <c r="B387" s="6" t="str">
        <f>NodesData[[#This Row],[name]]&amp;" ("&amp;NodesData[[#This Row],[main_class]]&amp;")"</f>
        <v>Session Authentication (Concept)</v>
      </c>
      <c r="C387" s="22"/>
      <c r="D387" s="3" t="s">
        <v>1409</v>
      </c>
      <c r="E387" s="10" t="s">
        <v>1379</v>
      </c>
      <c r="F387" s="3">
        <f t="shared" si="5"/>
        <v>385</v>
      </c>
      <c r="G387" s="3">
        <f>COUNTIF(NodesData[label],NodesData[[#This Row],[label]])</f>
        <v>1</v>
      </c>
      <c r="H387" s="3">
        <f>COUNTIF(EdgesData[from],NodesData[[#This Row],[id]])+COUNTIF(EdgesData[to],NodesData[[#This Row],[id]])</f>
        <v>0</v>
      </c>
      <c r="I387" s="3">
        <f>IF(NodesData[[#This Row],[Used]]&gt;0,1,0)</f>
        <v>0</v>
      </c>
      <c r="J387" s="18" t="str" cm="1">
        <f t="array" ref="J387">IF(NodesData[[#This Row],[Count]]&gt;1,",","") &amp;"{"&amp;twoRangesToJSON(NodesData[[#Headers],[id]:[main_class]],NodesData[[#This Row],[id]:[main_class]])&amp;"}"</f>
        <v>,{"id":"n69CCD592_9A0D_403A_85FD_56DFF38CF6DD","label":"Session Authentication (Concept)","url":"","main_class":"Concept"}</v>
      </c>
    </row>
    <row r="388" spans="1:10" ht="27" thickTop="1" thickBot="1" x14ac:dyDescent="0.4">
      <c r="A388" s="3" t="str" cm="1">
        <f t="array" ref="A388">"n"&amp;SUBSTITUTE(CreateGuidString(),"-","_")</f>
        <v>n3885D68A_C12C_45E5_A01C_E8EB4A36F060</v>
      </c>
      <c r="B388" s="6" t="str">
        <f>NodesData[[#This Row],[name]]&amp;" ("&amp;NodesData[[#This Row],[main_class]]&amp;")"</f>
        <v>Social Honeypot (Concept)</v>
      </c>
      <c r="C388" s="17" t="s">
        <v>1165</v>
      </c>
      <c r="D388" s="3" t="s">
        <v>1409</v>
      </c>
      <c r="E388" s="10" t="s">
        <v>464</v>
      </c>
      <c r="F388" s="3">
        <f t="shared" si="5"/>
        <v>386</v>
      </c>
      <c r="G388" s="3">
        <f>COUNTIF(NodesData[label],NodesData[[#This Row],[label]])</f>
        <v>1</v>
      </c>
      <c r="H388" s="3">
        <f>COUNTIF(EdgesData[from],NodesData[[#This Row],[id]])+COUNTIF(EdgesData[to],NodesData[[#This Row],[id]])</f>
        <v>0</v>
      </c>
      <c r="I388" s="3">
        <f>IF(NodesData[[#This Row],[Used]]&gt;0,1,0)</f>
        <v>0</v>
      </c>
      <c r="J388" s="18" t="str" cm="1">
        <f t="array" ref="J388">IF(NodesData[[#This Row],[Count]]&gt;1,",","") &amp;"{"&amp;twoRangesToJSON(NodesData[[#Headers],[id]:[main_class]],NodesData[[#This Row],[id]:[main_class]])&amp;"}"</f>
        <v>,{"id":"n3885D68A_C12C_45E5_A01C_E8EB4A36F060","label":"Social Honeypot (Concept)","url":"https://open-measure.atlassian.net/wiki/spaces/DIC/pages/1270055026/Social+Honeypot","main_class":"Concept"}</v>
      </c>
    </row>
    <row r="389" spans="1:10" ht="27" thickTop="1" thickBot="1" x14ac:dyDescent="0.4">
      <c r="A389" s="3" t="str" cm="1">
        <f t="array" ref="A389">"n"&amp;SUBSTITUTE(CreateGuidString(),"-","_")</f>
        <v>n0CAEA07E_DA4E_43E6_973C_167506407741</v>
      </c>
      <c r="B389" s="6" t="str">
        <f>NodesData[[#This Row],[name]]&amp;" ("&amp;NodesData[[#This Row],[main_class]]&amp;")"</f>
        <v>SoD (Acronym)</v>
      </c>
      <c r="C389" s="17" t="s">
        <v>1167</v>
      </c>
      <c r="D389" s="3" t="s">
        <v>1301</v>
      </c>
      <c r="E389" s="10" t="s">
        <v>1166</v>
      </c>
      <c r="F389" s="3">
        <f t="shared" ref="F389:F452" si="6">F388+1</f>
        <v>387</v>
      </c>
      <c r="G389" s="3">
        <f>COUNTIF(NodesData[label],NodesData[[#This Row],[label]])</f>
        <v>1</v>
      </c>
      <c r="H389" s="3">
        <f>COUNTIF(EdgesData[from],NodesData[[#This Row],[id]])+COUNTIF(EdgesData[to],NodesData[[#This Row],[id]])</f>
        <v>0</v>
      </c>
      <c r="I389" s="3">
        <f>IF(NodesData[[#This Row],[Used]]&gt;0,1,0)</f>
        <v>0</v>
      </c>
      <c r="J389" s="18" t="str" cm="1">
        <f t="array" ref="J389">IF(NodesData[[#This Row],[Count]]&gt;1,",","") &amp;"{"&amp;twoRangesToJSON(NodesData[[#Headers],[id]:[main_class]],NodesData[[#This Row],[id]:[main_class]])&amp;"}"</f>
        <v>,{"id":"n0CAEA07E_DA4E_43E6_973C_167506407741","label":"SoD (Acronym)","url":"https://open-measure.atlassian.net/wiki/spaces/DIC/pages/1071317018","main_class":"Acronym"}</v>
      </c>
    </row>
    <row r="390" spans="1:10" ht="27" thickTop="1" thickBot="1" x14ac:dyDescent="0.4">
      <c r="A390" s="3" t="str" cm="1">
        <f t="array" ref="A390">"n"&amp;SUBSTITUTE(CreateGuidString(),"-","_")</f>
        <v>n08328BC7_8EEF_4045_9DEB_7412F96D603F</v>
      </c>
      <c r="B390" s="6" t="str">
        <f>NodesData[[#This Row],[name]]&amp;" ("&amp;NodesData[[#This Row],[main_class]]&amp;")"</f>
        <v>Software / App OTP (Concept)</v>
      </c>
      <c r="C390" s="12"/>
      <c r="D390" s="3" t="s">
        <v>1409</v>
      </c>
      <c r="E390" s="10" t="s">
        <v>1368</v>
      </c>
      <c r="F390" s="3">
        <f t="shared" si="6"/>
        <v>388</v>
      </c>
      <c r="G390" s="3">
        <f>COUNTIF(NodesData[label],NodesData[[#This Row],[label]])</f>
        <v>1</v>
      </c>
      <c r="H390" s="3">
        <f>COUNTIF(EdgesData[from],NodesData[[#This Row],[id]])+COUNTIF(EdgesData[to],NodesData[[#This Row],[id]])</f>
        <v>0</v>
      </c>
      <c r="I390" s="3">
        <f>IF(NodesData[[#This Row],[Used]]&gt;0,1,0)</f>
        <v>0</v>
      </c>
      <c r="J390" s="18" t="str" cm="1">
        <f t="array" ref="J390">IF(NodesData[[#This Row],[Count]]&gt;1,",","") &amp;"{"&amp;twoRangesToJSON(NodesData[[#Headers],[id]:[main_class]],NodesData[[#This Row],[id]:[main_class]])&amp;"}"</f>
        <v>,{"id":"n08328BC7_8EEF_4045_9DEB_7412F96D603F","label":"Software / App OTP (Concept)","url":"","main_class":"Concept"}</v>
      </c>
    </row>
    <row r="391" spans="1:10" ht="27" thickTop="1" thickBot="1" x14ac:dyDescent="0.4">
      <c r="A391" s="3" t="str" cm="1">
        <f t="array" ref="A391">"n"&amp;SUBSTITUTE(CreateGuidString(),"-","_")</f>
        <v>nFC0312B1_9E09_41D4_95D4_264946F7A3F7</v>
      </c>
      <c r="B391" s="6" t="str">
        <f>NodesData[[#This Row],[name]]&amp;" ("&amp;NodesData[[#This Row],[main_class]]&amp;")"</f>
        <v>Software-Defined Perimeter (Concept)</v>
      </c>
      <c r="C391" s="17" t="s">
        <v>1169</v>
      </c>
      <c r="D391" s="3" t="s">
        <v>1409</v>
      </c>
      <c r="E391" s="10" t="s">
        <v>1168</v>
      </c>
      <c r="F391" s="3">
        <f t="shared" si="6"/>
        <v>389</v>
      </c>
      <c r="G391" s="3">
        <f>COUNTIF(NodesData[label],NodesData[[#This Row],[label]])</f>
        <v>1</v>
      </c>
      <c r="H391" s="3">
        <f>COUNTIF(EdgesData[from],NodesData[[#This Row],[id]])+COUNTIF(EdgesData[to],NodesData[[#This Row],[id]])</f>
        <v>0</v>
      </c>
      <c r="I391" s="3">
        <f>IF(NodesData[[#This Row],[Used]]&gt;0,1,0)</f>
        <v>0</v>
      </c>
      <c r="J391" s="18" t="str" cm="1">
        <f t="array" ref="J391">IF(NodesData[[#This Row],[Count]]&gt;1,",","") &amp;"{"&amp;twoRangesToJSON(NodesData[[#Headers],[id]:[main_class]],NodesData[[#This Row],[id]:[main_class]])&amp;"}"</f>
        <v>,{"id":"nFC0312B1_9E09_41D4_95D4_264946F7A3F7","label":"Software-Defined Perimeter (Concept)","url":"https://open-measure.atlassian.net/wiki/spaces/DIC/pages/234487981","main_class":"Concept"}</v>
      </c>
    </row>
    <row r="392" spans="1:10" ht="27" thickTop="1" thickBot="1" x14ac:dyDescent="0.4">
      <c r="A392" s="3" t="str" cm="1">
        <f t="array" ref="A392">"n"&amp;SUBSTITUTE(CreateGuidString(),"-","_")</f>
        <v>nFD3CB02A_9335_45FC_BE01_31177BFB2FBA</v>
      </c>
      <c r="B392" s="6" t="str">
        <f>NodesData[[#This Row],[name]]&amp;" ("&amp;NodesData[[#This Row],[main_class]]&amp;")"</f>
        <v>SPIFFE (Acronym)</v>
      </c>
      <c r="C392" s="17" t="s">
        <v>1171</v>
      </c>
      <c r="D392" s="3" t="s">
        <v>1301</v>
      </c>
      <c r="E392" s="10" t="s">
        <v>1170</v>
      </c>
      <c r="F392" s="3">
        <f t="shared" si="6"/>
        <v>390</v>
      </c>
      <c r="G392" s="3">
        <f>COUNTIF(NodesData[label],NodesData[[#This Row],[label]])</f>
        <v>1</v>
      </c>
      <c r="H392" s="3">
        <f>COUNTIF(EdgesData[from],NodesData[[#This Row],[id]])+COUNTIF(EdgesData[to],NodesData[[#This Row],[id]])</f>
        <v>0</v>
      </c>
      <c r="I392" s="3">
        <f>IF(NodesData[[#This Row],[Used]]&gt;0,1,0)</f>
        <v>0</v>
      </c>
      <c r="J392" s="18" t="str" cm="1">
        <f t="array" ref="J392">IF(NodesData[[#This Row],[Count]]&gt;1,",","") &amp;"{"&amp;twoRangesToJSON(NodesData[[#Headers],[id]:[main_class]],NodesData[[#This Row],[id]:[main_class]])&amp;"}"</f>
        <v>,{"id":"nFD3CB02A_9335_45FC_BE01_31177BFB2FBA","label":"SPIFFE (Acronym)","url":"https://open-measure.atlassian.net/wiki/spaces/DIC/pages/1142292486","main_class":"Acronym"}</v>
      </c>
    </row>
    <row r="393" spans="1:10" ht="27" thickTop="1" thickBot="1" x14ac:dyDescent="0.4">
      <c r="A393" s="3" t="str" cm="1">
        <f t="array" ref="A393">"n"&amp;SUBSTITUTE(CreateGuidString(),"-","_")</f>
        <v>n68FBA654_3FDF_45C9_A70B_D61335FE6D0D</v>
      </c>
      <c r="B393" s="6" t="str">
        <f>NodesData[[#This Row],[name]]&amp;" ("&amp;NodesData[[#This Row],[main_class]]&amp;")"</f>
        <v>SPMS (Acronym)</v>
      </c>
      <c r="C393" s="17" t="s">
        <v>1173</v>
      </c>
      <c r="D393" s="3" t="s">
        <v>1301</v>
      </c>
      <c r="E393" s="10" t="s">
        <v>1172</v>
      </c>
      <c r="F393" s="3">
        <f t="shared" si="6"/>
        <v>391</v>
      </c>
      <c r="G393" s="3">
        <f>COUNTIF(NodesData[label],NodesData[[#This Row],[label]])</f>
        <v>1</v>
      </c>
      <c r="H393" s="3">
        <f>COUNTIF(EdgesData[from],NodesData[[#This Row],[id]])+COUNTIF(EdgesData[to],NodesData[[#This Row],[id]])</f>
        <v>0</v>
      </c>
      <c r="I393" s="3">
        <f>IF(NodesData[[#This Row],[Used]]&gt;0,1,0)</f>
        <v>0</v>
      </c>
      <c r="J393" s="18" t="str" cm="1">
        <f t="array" ref="J393">IF(NodesData[[#This Row],[Count]]&gt;1,",","") &amp;"{"&amp;twoRangesToJSON(NodesData[[#Headers],[id]:[main_class]],NodesData[[#This Row],[id]:[main_class]])&amp;"}"</f>
        <v>,{"id":"n68FBA654_3FDF_45C9_A70B_D61335FE6D0D","label":"SPMS (Acronym)","url":"https://open-measure.atlassian.net/wiki/spaces/DIC/pages/1605648","main_class":"Acronym"}</v>
      </c>
    </row>
    <row r="394" spans="1:10" ht="27" thickTop="1" thickBot="1" x14ac:dyDescent="0.4">
      <c r="A394" s="3" t="str" cm="1">
        <f t="array" ref="A394">"n"&amp;SUBSTITUTE(CreateGuidString(),"-","_")</f>
        <v>n0505C1CE_218E_483B_B764_62783C3A8020</v>
      </c>
      <c r="B394" s="6" t="str">
        <f>NodesData[[#This Row],[name]]&amp;" ("&amp;NodesData[[#This Row],[main_class]]&amp;")"</f>
        <v>SSH Key (Acronym)</v>
      </c>
      <c r="C394" s="17" t="s">
        <v>1175</v>
      </c>
      <c r="D394" s="3" t="s">
        <v>1301</v>
      </c>
      <c r="E394" s="10" t="s">
        <v>1174</v>
      </c>
      <c r="F394" s="3">
        <f t="shared" si="6"/>
        <v>392</v>
      </c>
      <c r="G394" s="3">
        <f>COUNTIF(NodesData[label],NodesData[[#This Row],[label]])</f>
        <v>1</v>
      </c>
      <c r="H394" s="3">
        <f>COUNTIF(EdgesData[from],NodesData[[#This Row],[id]])+COUNTIF(EdgesData[to],NodesData[[#This Row],[id]])</f>
        <v>0</v>
      </c>
      <c r="I394" s="3">
        <f>IF(NodesData[[#This Row],[Used]]&gt;0,1,0)</f>
        <v>0</v>
      </c>
      <c r="J394" s="18" t="str" cm="1">
        <f t="array" ref="J394">IF(NodesData[[#This Row],[Count]]&gt;1,",","") &amp;"{"&amp;twoRangesToJSON(NodesData[[#Headers],[id]:[main_class]],NodesData[[#This Row],[id]:[main_class]])&amp;"}"</f>
        <v>,{"id":"n0505C1CE_218E_483B_B764_62783C3A8020","label":"SSH Key (Acronym)","url":"https://open-measure.atlassian.net/wiki/spaces/DIC/pages/1027342899","main_class":"Acronym"}</v>
      </c>
    </row>
    <row r="395" spans="1:10" ht="27" thickTop="1" thickBot="1" x14ac:dyDescent="0.4">
      <c r="A395" s="3" t="str" cm="1">
        <f t="array" ref="A395">"n"&amp;SUBSTITUTE(CreateGuidString(),"-","_")</f>
        <v>nC1CFC8E4_6EC9_4F27_BFF0_FC53DE8FF783</v>
      </c>
      <c r="B395" s="6" t="str">
        <f>NodesData[[#This Row],[name]]&amp;" ("&amp;NodesData[[#This Row],[main_class]]&amp;")"</f>
        <v>SSI (Acronym)</v>
      </c>
      <c r="C395" s="17" t="s">
        <v>1176</v>
      </c>
      <c r="D395" s="3" t="s">
        <v>1301</v>
      </c>
      <c r="E395" s="10" t="s">
        <v>470</v>
      </c>
      <c r="F395" s="3">
        <f t="shared" si="6"/>
        <v>393</v>
      </c>
      <c r="G395" s="3">
        <f>COUNTIF(NodesData[label],NodesData[[#This Row],[label]])</f>
        <v>1</v>
      </c>
      <c r="H395" s="3">
        <f>COUNTIF(EdgesData[from],NodesData[[#This Row],[id]])+COUNTIF(EdgesData[to],NodesData[[#This Row],[id]])</f>
        <v>0</v>
      </c>
      <c r="I395" s="3">
        <f>IF(NodesData[[#This Row],[Used]]&gt;0,1,0)</f>
        <v>0</v>
      </c>
      <c r="J395" s="18" t="str" cm="1">
        <f t="array" ref="J395">IF(NodesData[[#This Row],[Count]]&gt;1,",","") &amp;"{"&amp;twoRangesToJSON(NodesData[[#Headers],[id]:[main_class]],NodesData[[#This Row],[id]:[main_class]])&amp;"}"</f>
        <v>,{"id":"nC1CFC8E4_6EC9_4F27_BFF0_FC53DE8FF783","label":"SSI (Acronym)","url":"https://open-measure.atlassian.net/wiki/spaces/DIC/pages/1311113221/SSI","main_class":"Acronym"}</v>
      </c>
    </row>
    <row r="396" spans="1:10" ht="27" thickTop="1" thickBot="1" x14ac:dyDescent="0.4">
      <c r="A396" s="3" t="str" cm="1">
        <f t="array" ref="A396">"n"&amp;SUBSTITUTE(CreateGuidString(),"-","_")</f>
        <v>n64C8272A_8686_406B_8999_60ED310A051C</v>
      </c>
      <c r="B396" s="6" t="str">
        <f>NodesData[[#This Row],[name]]&amp;" ("&amp;NodesData[[#This Row],[main_class]]&amp;")"</f>
        <v>SSO (Acronym)</v>
      </c>
      <c r="C396" s="17" t="s">
        <v>1178</v>
      </c>
      <c r="D396" s="3" t="s">
        <v>1301</v>
      </c>
      <c r="E396" s="10" t="s">
        <v>1177</v>
      </c>
      <c r="F396" s="3">
        <f t="shared" si="6"/>
        <v>394</v>
      </c>
      <c r="G396" s="3">
        <f>COUNTIF(NodesData[label],NodesData[[#This Row],[label]])</f>
        <v>1</v>
      </c>
      <c r="H396" s="3">
        <f>COUNTIF(EdgesData[from],NodesData[[#This Row],[id]])+COUNTIF(EdgesData[to],NodesData[[#This Row],[id]])</f>
        <v>0</v>
      </c>
      <c r="I396" s="3">
        <f>IF(NodesData[[#This Row],[Used]]&gt;0,1,0)</f>
        <v>0</v>
      </c>
      <c r="J396" s="18" t="str" cm="1">
        <f t="array" ref="J396">IF(NodesData[[#This Row],[Count]]&gt;1,",","") &amp;"{"&amp;twoRangesToJSON(NodesData[[#Headers],[id]:[main_class]],NodesData[[#This Row],[id]:[main_class]])&amp;"}"</f>
        <v>,{"id":"n64C8272A_8686_406B_8999_60ED310A051C","label":"SSO (Acronym)","url":"https://open-measure.atlassian.net/wiki/spaces/DIC/pages/75956237","main_class":"Acronym"}</v>
      </c>
    </row>
    <row r="397" spans="1:10" ht="13.9" thickTop="1" thickBot="1" x14ac:dyDescent="0.4">
      <c r="A397" s="3" t="str" cm="1">
        <f t="array" ref="A397">"n"&amp;SUBSTITUTE(CreateGuidString(),"-","_")</f>
        <v>nDDCEC263_8A21_4895_99F8_60C0B825E59D</v>
      </c>
      <c r="B397" s="6" t="str">
        <f>NodesData[[#This Row],[name]]&amp;" ("&amp;NodesData[[#This Row],[main_class]]&amp;")"</f>
        <v>SSO (Concept)</v>
      </c>
      <c r="C397" s="22"/>
      <c r="D397" s="3" t="s">
        <v>1409</v>
      </c>
      <c r="E397" s="10" t="s">
        <v>1177</v>
      </c>
      <c r="F397" s="3">
        <f t="shared" si="6"/>
        <v>395</v>
      </c>
      <c r="G397" s="3">
        <f>COUNTIF(NodesData[label],NodesData[[#This Row],[label]])</f>
        <v>1</v>
      </c>
      <c r="H397" s="3">
        <f>COUNTIF(EdgesData[from],NodesData[[#This Row],[id]])+COUNTIF(EdgesData[to],NodesData[[#This Row],[id]])</f>
        <v>0</v>
      </c>
      <c r="I397" s="3">
        <f>IF(NodesData[[#This Row],[Used]]&gt;0,1,0)</f>
        <v>0</v>
      </c>
      <c r="J397" s="18" t="str" cm="1">
        <f t="array" ref="J397">IF(NodesData[[#This Row],[Count]]&gt;1,",","") &amp;"{"&amp;twoRangesToJSON(NodesData[[#Headers],[id]:[main_class]],NodesData[[#This Row],[id]:[main_class]])&amp;"}"</f>
        <v>,{"id":"nDDCEC263_8A21_4895_99F8_60C0B825E59D","label":"SSO (Concept)","url":"","main_class":"Concept"}</v>
      </c>
    </row>
    <row r="398" spans="1:10" ht="27" thickTop="1" thickBot="1" x14ac:dyDescent="0.4">
      <c r="A398" s="3" t="str" cm="1">
        <f t="array" ref="A398">"n"&amp;SUBSTITUTE(CreateGuidString(),"-","_")</f>
        <v>n89421E16_75E9_474E_85C3_05F2BD3D65FA</v>
      </c>
      <c r="B398" s="6" t="str">
        <f>NodesData[[#This Row],[name]]&amp;" ("&amp;NodesData[[#This Row],[main_class]]&amp;")"</f>
        <v>Stability of Access Decision Factors (Concept)</v>
      </c>
      <c r="C398" s="17" t="s">
        <v>1180</v>
      </c>
      <c r="D398" s="3" t="s">
        <v>1409</v>
      </c>
      <c r="E398" s="10" t="s">
        <v>1179</v>
      </c>
      <c r="F398" s="3">
        <f t="shared" si="6"/>
        <v>396</v>
      </c>
      <c r="G398" s="3">
        <f>COUNTIF(NodesData[label],NodesData[[#This Row],[label]])</f>
        <v>1</v>
      </c>
      <c r="H398" s="3">
        <f>COUNTIF(EdgesData[from],NodesData[[#This Row],[id]])+COUNTIF(EdgesData[to],NodesData[[#This Row],[id]])</f>
        <v>0</v>
      </c>
      <c r="I398" s="3">
        <f>IF(NodesData[[#This Row],[Used]]&gt;0,1,0)</f>
        <v>0</v>
      </c>
      <c r="J398" s="18" t="str" cm="1">
        <f t="array" ref="J398">IF(NodesData[[#This Row],[Count]]&gt;1,",","") &amp;"{"&amp;twoRangesToJSON(NodesData[[#Headers],[id]:[main_class]],NodesData[[#This Row],[id]:[main_class]])&amp;"}"</f>
        <v>,{"id":"n89421E16_75E9_474E_85C3_05F2BD3D65FA","label":"Stability of Access Decision Factors (Concept)","url":"https://open-measure.atlassian.net/wiki/spaces/DIC/pages/998244645","main_class":"Concept"}</v>
      </c>
    </row>
    <row r="399" spans="1:10" ht="27" thickTop="1" thickBot="1" x14ac:dyDescent="0.4">
      <c r="A399" s="3" t="str" cm="1">
        <f t="array" ref="A399">"n"&amp;SUBSTITUTE(CreateGuidString(),"-","_")</f>
        <v>nA53657F2_E8D8_4232_8ECF_662296D06142</v>
      </c>
      <c r="B399" s="6" t="str">
        <f>NodesData[[#This Row],[name]]&amp;" ("&amp;NodesData[[#This Row],[main_class]]&amp;")"</f>
        <v>Stakeholder (Concept)</v>
      </c>
      <c r="C399" s="17" t="s">
        <v>1182</v>
      </c>
      <c r="D399" s="3" t="s">
        <v>1409</v>
      </c>
      <c r="E399" s="10" t="s">
        <v>1181</v>
      </c>
      <c r="F399" s="3">
        <f t="shared" si="6"/>
        <v>397</v>
      </c>
      <c r="G399" s="3">
        <f>COUNTIF(NodesData[label],NodesData[[#This Row],[label]])</f>
        <v>1</v>
      </c>
      <c r="H399" s="3">
        <f>COUNTIF(EdgesData[from],NodesData[[#This Row],[id]])+COUNTIF(EdgesData[to],NodesData[[#This Row],[id]])</f>
        <v>0</v>
      </c>
      <c r="I399" s="3">
        <f>IF(NodesData[[#This Row],[Used]]&gt;0,1,0)</f>
        <v>0</v>
      </c>
      <c r="J399" s="18" t="str" cm="1">
        <f t="array" ref="J399">IF(NodesData[[#This Row],[Count]]&gt;1,",","") &amp;"{"&amp;twoRangesToJSON(NodesData[[#Headers],[id]:[main_class]],NodesData[[#This Row],[id]:[main_class]])&amp;"}"</f>
        <v>,{"id":"nA53657F2_E8D8_4232_8ECF_662296D06142","label":"Stakeholder (Concept)","url":"https://open-measure.atlassian.net/wiki/spaces/DIC/pages/1311763","main_class":"Concept"}</v>
      </c>
    </row>
    <row r="400" spans="1:10" ht="27" thickTop="1" thickBot="1" x14ac:dyDescent="0.4">
      <c r="A400" s="3" t="str" cm="1">
        <f t="array" ref="A400">"n"&amp;SUBSTITUTE(CreateGuidString(),"-","_")</f>
        <v>n85D4F25B_F4BA_44DF_976E_C09F909CC39E</v>
      </c>
      <c r="B400" s="6" t="str">
        <f>NodesData[[#This Row],[name]]&amp;" ("&amp;NodesData[[#This Row],[main_class]]&amp;")"</f>
        <v>Social Authentication (Concept)</v>
      </c>
      <c r="C400" s="17" t="s">
        <v>1164</v>
      </c>
      <c r="D400" s="3" t="s">
        <v>1409</v>
      </c>
      <c r="E400" s="10" t="s">
        <v>463</v>
      </c>
      <c r="F400" s="3">
        <f t="shared" si="6"/>
        <v>398</v>
      </c>
      <c r="G400" s="3">
        <f>COUNTIF(NodesData[label],NodesData[[#This Row],[label]])</f>
        <v>1</v>
      </c>
      <c r="H400" s="3">
        <f>COUNTIF(EdgesData[from],NodesData[[#This Row],[id]])+COUNTIF(EdgesData[to],NodesData[[#This Row],[id]])</f>
        <v>0</v>
      </c>
      <c r="I400" s="3">
        <f>IF(NodesData[[#This Row],[Used]]&gt;0,1,0)</f>
        <v>0</v>
      </c>
      <c r="J400" s="18" t="str" cm="1">
        <f t="array" ref="J400">IF(NodesData[[#This Row],[Count]]&gt;1,",","") &amp;"{"&amp;twoRangesToJSON(NodesData[[#Headers],[id]:[main_class]],NodesData[[#This Row],[id]:[main_class]])&amp;"}"</f>
        <v>,{"id":"n85D4F25B_F4BA_44DF_976E_C09F909CC39E","label":"Social Authentication (Concept)","url":"https://open-measure.atlassian.net/wiki/spaces/DIC/pages/1600684200/Social+Authentication","main_class":"Concept"}</v>
      </c>
    </row>
    <row r="401" spans="1:10" ht="27" thickTop="1" thickBot="1" x14ac:dyDescent="0.4">
      <c r="A401" s="3" t="str" cm="1">
        <f t="array" ref="A401">"n"&amp;SUBSTITUTE(CreateGuidString(),"-","_")</f>
        <v>n3141A2F6_7ADC_4296_B76F_C77239AFF53E</v>
      </c>
      <c r="B401" s="6" t="str">
        <f>NodesData[[#This Row],[name]]&amp;" ("&amp;NodesData[[#This Row],[main_class]]&amp;")"</f>
        <v>Strategic Performance Measurement System (Concept)</v>
      </c>
      <c r="C401" s="17" t="s">
        <v>1185</v>
      </c>
      <c r="D401" s="3" t="s">
        <v>1409</v>
      </c>
      <c r="E401" s="10" t="s">
        <v>1184</v>
      </c>
      <c r="F401" s="3">
        <f t="shared" si="6"/>
        <v>399</v>
      </c>
      <c r="G401" s="3">
        <f>COUNTIF(NodesData[label],NodesData[[#This Row],[label]])</f>
        <v>1</v>
      </c>
      <c r="H401" s="3">
        <f>COUNTIF(EdgesData[from],NodesData[[#This Row],[id]])+COUNTIF(EdgesData[to],NodesData[[#This Row],[id]])</f>
        <v>0</v>
      </c>
      <c r="I401" s="3">
        <f>IF(NodesData[[#This Row],[Used]]&gt;0,1,0)</f>
        <v>0</v>
      </c>
      <c r="J401" s="18" t="str" cm="1">
        <f t="array" ref="J401">IF(NodesData[[#This Row],[Count]]&gt;1,",","") &amp;"{"&amp;twoRangesToJSON(NodesData[[#Headers],[id]:[main_class]],NodesData[[#This Row],[id]:[main_class]])&amp;"}"</f>
        <v>,{"id":"n3141A2F6_7ADC_4296_B76F_C77239AFF53E","label":"Strategic Performance Measurement System (Concept)","url":"https://open-measure.atlassian.net/wiki/spaces/DIC/pages/1540175","main_class":"Concept"}</v>
      </c>
    </row>
    <row r="402" spans="1:10" ht="27" thickTop="1" thickBot="1" x14ac:dyDescent="0.4">
      <c r="A402" s="3" t="str" cm="1">
        <f t="array" ref="A402">"n"&amp;SUBSTITUTE(CreateGuidString(),"-","_")</f>
        <v>n56425582_C083_4BF6_AAB4_F13170CD6800</v>
      </c>
      <c r="B402" s="6" t="str">
        <f>NodesData[[#This Row],[name]]&amp;" ("&amp;NodesData[[#This Row],[main_class]]&amp;")"</f>
        <v>Strict Discretionary Access Control (Concept)</v>
      </c>
      <c r="C402" s="17" t="s">
        <v>1187</v>
      </c>
      <c r="D402" s="3" t="s">
        <v>1409</v>
      </c>
      <c r="E402" s="10" t="s">
        <v>1186</v>
      </c>
      <c r="F402" s="3">
        <f t="shared" si="6"/>
        <v>400</v>
      </c>
      <c r="G402" s="3">
        <f>COUNTIF(NodesData[label],NodesData[[#This Row],[label]])</f>
        <v>1</v>
      </c>
      <c r="H402" s="3">
        <f>COUNTIF(EdgesData[from],NodesData[[#This Row],[id]])+COUNTIF(EdgesData[to],NodesData[[#This Row],[id]])</f>
        <v>0</v>
      </c>
      <c r="I402" s="3">
        <f>IF(NodesData[[#This Row],[Used]]&gt;0,1,0)</f>
        <v>0</v>
      </c>
      <c r="J402" s="18" t="str" cm="1">
        <f t="array" ref="J402">IF(NodesData[[#This Row],[Count]]&gt;1,",","") &amp;"{"&amp;twoRangesToJSON(NodesData[[#Headers],[id]:[main_class]],NodesData[[#This Row],[id]:[main_class]])&amp;"}"</f>
        <v>,{"id":"n56425582_C083_4BF6_AAB4_F13170CD6800","label":"Strict Discretionary Access Control (Concept)","url":"https://open-measure.atlassian.net/wiki/spaces/DIC/pages/1181909085","main_class":"Concept"}</v>
      </c>
    </row>
    <row r="403" spans="1:10" ht="27" thickTop="1" thickBot="1" x14ac:dyDescent="0.4">
      <c r="A403" s="3" t="str" cm="1">
        <f t="array" ref="A403">"n"&amp;SUBSTITUTE(CreateGuidString(),"-","_")</f>
        <v>nDBBA0702_C30C_4D2F_99BF_2AB294938D88</v>
      </c>
      <c r="B403" s="6" t="str">
        <f>NodesData[[#This Row],[name]]&amp;" ("&amp;NodesData[[#This Row],[main_class]]&amp;")"</f>
        <v>Step-Up Authentication (Concept)</v>
      </c>
      <c r="C403" s="17" t="s">
        <v>1183</v>
      </c>
      <c r="D403" s="3" t="s">
        <v>1409</v>
      </c>
      <c r="E403" s="10" t="s">
        <v>474</v>
      </c>
      <c r="F403" s="3">
        <f t="shared" si="6"/>
        <v>401</v>
      </c>
      <c r="G403" s="3">
        <f>COUNTIF(NodesData[label],NodesData[[#This Row],[label]])</f>
        <v>1</v>
      </c>
      <c r="H403" s="3">
        <f>COUNTIF(EdgesData[from],NodesData[[#This Row],[id]])+COUNTIF(EdgesData[to],NodesData[[#This Row],[id]])</f>
        <v>0</v>
      </c>
      <c r="I403" s="3">
        <f>IF(NodesData[[#This Row],[Used]]&gt;0,1,0)</f>
        <v>0</v>
      </c>
      <c r="J403" s="18" t="str" cm="1">
        <f t="array" ref="J403">IF(NodesData[[#This Row],[Count]]&gt;1,",","") &amp;"{"&amp;twoRangesToJSON(NodesData[[#Headers],[id]:[main_class]],NodesData[[#This Row],[id]:[main_class]])&amp;"}"</f>
        <v>,{"id":"nDBBA0702_C30C_4D2F_99BF_2AB294938D88","label":"Step-Up Authentication (Concept)","url":"https://open-measure.atlassian.net/wiki/spaces/DIC/pages/663257097/Step-Up+Authentication","main_class":"Concept"}</v>
      </c>
    </row>
    <row r="404" spans="1:10" ht="27" thickTop="1" thickBot="1" x14ac:dyDescent="0.4">
      <c r="A404" s="3" t="str" cm="1">
        <f t="array" ref="A404">"n"&amp;SUBSTITUTE(CreateGuidString(),"-","_")</f>
        <v>nFB9887BC_5A68_442B_97EC_FC9B3E340A0C</v>
      </c>
      <c r="B404" s="6" t="str">
        <f>NodesData[[#This Row],[name]]&amp;" ("&amp;NodesData[[#This Row],[main_class]]&amp;")"</f>
        <v>Strong Tranquility Property (Concept)</v>
      </c>
      <c r="C404" s="17" t="s">
        <v>1191</v>
      </c>
      <c r="D404" s="3" t="s">
        <v>1409</v>
      </c>
      <c r="E404" s="10" t="s">
        <v>1190</v>
      </c>
      <c r="F404" s="3">
        <f t="shared" si="6"/>
        <v>402</v>
      </c>
      <c r="G404" s="3">
        <f>COUNTIF(NodesData[label],NodesData[[#This Row],[label]])</f>
        <v>1</v>
      </c>
      <c r="H404" s="3">
        <f>COUNTIF(EdgesData[from],NodesData[[#This Row],[id]])+COUNTIF(EdgesData[to],NodesData[[#This Row],[id]])</f>
        <v>0</v>
      </c>
      <c r="I404" s="3">
        <f>IF(NodesData[[#This Row],[Used]]&gt;0,1,0)</f>
        <v>0</v>
      </c>
      <c r="J404" s="18" t="str" cm="1">
        <f t="array" ref="J404">IF(NodesData[[#This Row],[Count]]&gt;1,",","") &amp;"{"&amp;twoRangesToJSON(NodesData[[#Headers],[id]:[main_class]],NodesData[[#This Row],[id]:[main_class]])&amp;"}"</f>
        <v>,{"id":"nFB9887BC_5A68_442B_97EC_FC9B3E340A0C","label":"Strong Tranquility Property (Concept)","url":"https://open-measure.atlassian.net/wiki/spaces/DIC/pages/1177747756","main_class":"Concept"}</v>
      </c>
    </row>
    <row r="405" spans="1:10" ht="27" thickTop="1" thickBot="1" x14ac:dyDescent="0.4">
      <c r="A405" s="3" t="str" cm="1">
        <f t="array" ref="A405">"n"&amp;SUBSTITUTE(CreateGuidString(),"-","_")</f>
        <v>n07DBB351_DE0A_4EED_B10B_22E19CA18EC1</v>
      </c>
      <c r="B405" s="6" t="str">
        <f>NodesData[[#This Row],[name]]&amp;" ("&amp;NodesData[[#This Row],[main_class]]&amp;")"</f>
        <v>Subject (Concept)</v>
      </c>
      <c r="C405" s="17" t="s">
        <v>1193</v>
      </c>
      <c r="D405" s="3" t="s">
        <v>1409</v>
      </c>
      <c r="E405" s="10" t="s">
        <v>1192</v>
      </c>
      <c r="F405" s="3">
        <f t="shared" si="6"/>
        <v>403</v>
      </c>
      <c r="G405" s="3">
        <f>COUNTIF(NodesData[label],NodesData[[#This Row],[label]])</f>
        <v>1</v>
      </c>
      <c r="H405" s="3">
        <f>COUNTIF(EdgesData[from],NodesData[[#This Row],[id]])+COUNTIF(EdgesData[to],NodesData[[#This Row],[id]])</f>
        <v>0</v>
      </c>
      <c r="I405" s="3">
        <f>IF(NodesData[[#This Row],[Used]]&gt;0,1,0)</f>
        <v>0</v>
      </c>
      <c r="J405" s="18" t="str" cm="1">
        <f t="array" ref="J405">IF(NodesData[[#This Row],[Count]]&gt;1,",","") &amp;"{"&amp;twoRangesToJSON(NodesData[[#Headers],[id]:[main_class]],NodesData[[#This Row],[id]:[main_class]])&amp;"}"</f>
        <v>,{"id":"n07DBB351_DE0A_4EED_B10B_22E19CA18EC1","label":"Subject (Concept)","url":"https://open-measure.atlassian.net/wiki/spaces/DIC/pages/67600697","main_class":"Concept"}</v>
      </c>
    </row>
    <row r="406" spans="1:10" ht="27" thickTop="1" thickBot="1" x14ac:dyDescent="0.4">
      <c r="A406" s="3" t="str" cm="1">
        <f t="array" ref="A406">"n"&amp;SUBSTITUTE(CreateGuidString(),"-","_")</f>
        <v>nB9CA0398_7CC1_406A_8406_6BFBF16A2950</v>
      </c>
      <c r="B406" s="6" t="str">
        <f>NodesData[[#This Row],[name]]&amp;" ("&amp;NodesData[[#This Row],[main_class]]&amp;")"</f>
        <v>Subjective Indicator (Concept)</v>
      </c>
      <c r="C406" s="17" t="s">
        <v>1195</v>
      </c>
      <c r="D406" s="3" t="s">
        <v>1409</v>
      </c>
      <c r="E406" s="10" t="s">
        <v>1194</v>
      </c>
      <c r="F406" s="3">
        <f t="shared" si="6"/>
        <v>404</v>
      </c>
      <c r="G406" s="3">
        <f>COUNTIF(NodesData[label],NodesData[[#This Row],[label]])</f>
        <v>1</v>
      </c>
      <c r="H406" s="3">
        <f>COUNTIF(EdgesData[from],NodesData[[#This Row],[id]])+COUNTIF(EdgesData[to],NodesData[[#This Row],[id]])</f>
        <v>0</v>
      </c>
      <c r="I406" s="3">
        <f>IF(NodesData[[#This Row],[Used]]&gt;0,1,0)</f>
        <v>0</v>
      </c>
      <c r="J406" s="18" t="str" cm="1">
        <f t="array" ref="J406">IF(NodesData[[#This Row],[Count]]&gt;1,",","") &amp;"{"&amp;twoRangesToJSON(NodesData[[#Headers],[id]:[main_class]],NodesData[[#This Row],[id]:[main_class]])&amp;"}"</f>
        <v>,{"id":"nB9CA0398_7CC1_406A_8406_6BFBF16A2950","label":"Subjective Indicator (Concept)","url":"https://open-measure.atlassian.net/wiki/spaces/DIC/pages/2981920","main_class":"Concept"}</v>
      </c>
    </row>
    <row r="407" spans="1:10" ht="27" thickTop="1" thickBot="1" x14ac:dyDescent="0.4">
      <c r="A407" s="3" t="str" cm="1">
        <f t="array" ref="A407">"n"&amp;SUBSTITUTE(CreateGuidString(),"-","_")</f>
        <v>n25EDD279_0D9B_4C98_BEDC_FDD74C3E6F7D</v>
      </c>
      <c r="B407" s="6" t="str">
        <f>NodesData[[#This Row],[name]]&amp;" ("&amp;NodesData[[#This Row],[main_class]]&amp;")"</f>
        <v>Supply Chain Attack (Concept)</v>
      </c>
      <c r="C407" s="17" t="s">
        <v>1196</v>
      </c>
      <c r="D407" s="3" t="s">
        <v>1409</v>
      </c>
      <c r="E407" s="10" t="s">
        <v>481</v>
      </c>
      <c r="F407" s="3">
        <f t="shared" si="6"/>
        <v>405</v>
      </c>
      <c r="G407" s="3">
        <f>COUNTIF(NodesData[label],NodesData[[#This Row],[label]])</f>
        <v>1</v>
      </c>
      <c r="H407" s="3">
        <f>COUNTIF(EdgesData[from],NodesData[[#This Row],[id]])+COUNTIF(EdgesData[to],NodesData[[#This Row],[id]])</f>
        <v>0</v>
      </c>
      <c r="I407" s="3">
        <f>IF(NodesData[[#This Row],[Used]]&gt;0,1,0)</f>
        <v>0</v>
      </c>
      <c r="J407" s="18" t="str" cm="1">
        <f t="array" ref="J407">IF(NodesData[[#This Row],[Count]]&gt;1,",","") &amp;"{"&amp;twoRangesToJSON(NodesData[[#Headers],[id]:[main_class]],NodesData[[#This Row],[id]:[main_class]])&amp;"}"</f>
        <v>,{"id":"n25EDD279_0D9B_4C98_BEDC_FDD74C3E6F7D","label":"Supply Chain Attack (Concept)","url":"https://open-measure.atlassian.net/wiki/spaces/DIC/pages/1477869640/Supply+Chain+Attack","main_class":"Concept"}</v>
      </c>
    </row>
    <row r="408" spans="1:10" ht="27" thickTop="1" thickBot="1" x14ac:dyDescent="0.4">
      <c r="A408" s="3" t="str" cm="1">
        <f t="array" ref="A408">"n"&amp;SUBSTITUTE(CreateGuidString(),"-","_")</f>
        <v>nBD5CBACD_44C3_42B8_8657_D04282FD629C</v>
      </c>
      <c r="B408" s="6" t="str">
        <f>NodesData[[#This Row],[name]]&amp;" ("&amp;NodesData[[#This Row],[main_class]]&amp;")"</f>
        <v>Sybil Attack (Concept)</v>
      </c>
      <c r="C408" s="17" t="s">
        <v>1197</v>
      </c>
      <c r="D408" s="3" t="s">
        <v>1409</v>
      </c>
      <c r="E408" s="10" t="s">
        <v>482</v>
      </c>
      <c r="F408" s="3">
        <f t="shared" si="6"/>
        <v>406</v>
      </c>
      <c r="G408" s="3">
        <f>COUNTIF(NodesData[label],NodesData[[#This Row],[label]])</f>
        <v>1</v>
      </c>
      <c r="H408" s="3">
        <f>COUNTIF(EdgesData[from],NodesData[[#This Row],[id]])+COUNTIF(EdgesData[to],NodesData[[#This Row],[id]])</f>
        <v>0</v>
      </c>
      <c r="I408" s="3">
        <f>IF(NodesData[[#This Row],[Used]]&gt;0,1,0)</f>
        <v>0</v>
      </c>
      <c r="J408" s="18" t="str" cm="1">
        <f t="array" ref="J408">IF(NodesData[[#This Row],[Count]]&gt;1,",","") &amp;"{"&amp;twoRangesToJSON(NodesData[[#Headers],[id]:[main_class]],NodesData[[#This Row],[id]:[main_class]])&amp;"}"</f>
        <v>,{"id":"nBD5CBACD_44C3_42B8_8657_D04282FD629C","label":"Sybil Attack (Concept)","url":"https://open-measure.atlassian.net/wiki/spaces/DIC/pages/1254588545/Sybil+Attack","main_class":"Concept"}</v>
      </c>
    </row>
    <row r="409" spans="1:10" ht="27" thickTop="1" thickBot="1" x14ac:dyDescent="0.4">
      <c r="A409" s="3" t="str" cm="1">
        <f t="array" ref="A409">"n"&amp;SUBSTITUTE(CreateGuidString(),"-","_")</f>
        <v>n7A49CA54_DAB0_45CD_831D_17CF1DED7ECE</v>
      </c>
      <c r="B409" s="6" t="str">
        <f>NodesData[[#This Row],[name]]&amp;" ("&amp;NodesData[[#This Row],[main_class]]&amp;")"</f>
        <v>Synthetic Identity Fraud (Concept)</v>
      </c>
      <c r="C409" s="17" t="s">
        <v>1199</v>
      </c>
      <c r="D409" s="3" t="s">
        <v>1409</v>
      </c>
      <c r="E409" s="10" t="s">
        <v>1198</v>
      </c>
      <c r="F409" s="3">
        <f t="shared" si="6"/>
        <v>407</v>
      </c>
      <c r="G409" s="3">
        <f>COUNTIF(NodesData[label],NodesData[[#This Row],[label]])</f>
        <v>1</v>
      </c>
      <c r="H409" s="3">
        <f>COUNTIF(EdgesData[from],NodesData[[#This Row],[id]])+COUNTIF(EdgesData[to],NodesData[[#This Row],[id]])</f>
        <v>0</v>
      </c>
      <c r="I409" s="3">
        <f>IF(NodesData[[#This Row],[Used]]&gt;0,1,0)</f>
        <v>0</v>
      </c>
      <c r="J409" s="18" t="str" cm="1">
        <f t="array" ref="J409">IF(NodesData[[#This Row],[Count]]&gt;1,",","") &amp;"{"&amp;twoRangesToJSON(NodesData[[#Headers],[id]:[main_class]],NodesData[[#This Row],[id]:[main_class]])&amp;"}"</f>
        <v>,{"id":"n7A49CA54_DAB0_45CD_831D_17CF1DED7ECE","label":"Synthetic Identity Fraud (Concept)","url":"https://open-measure.atlassian.net/wiki/spaces/DIC/pages/794296433","main_class":"Concept"}</v>
      </c>
    </row>
    <row r="410" spans="1:10" ht="27" thickTop="1" thickBot="1" x14ac:dyDescent="0.4">
      <c r="A410" s="3" t="str" cm="1">
        <f t="array" ref="A410">"n"&amp;SUBSTITUTE(CreateGuidString(),"-","_")</f>
        <v>nE851188A_983E_4DC0_8C2D_44C595C0C43E</v>
      </c>
      <c r="B410" s="6" t="str">
        <f>NodesData[[#This Row],[name]]&amp;" ("&amp;NodesData[[#This Row],[main_class]]&amp;")"</f>
        <v>System (Concept)</v>
      </c>
      <c r="C410" s="17" t="s">
        <v>1200</v>
      </c>
      <c r="D410" s="3" t="s">
        <v>1409</v>
      </c>
      <c r="E410" s="10" t="s">
        <v>484</v>
      </c>
      <c r="F410" s="3">
        <f t="shared" si="6"/>
        <v>408</v>
      </c>
      <c r="G410" s="3">
        <f>COUNTIF(NodesData[label],NodesData[[#This Row],[label]])</f>
        <v>1</v>
      </c>
      <c r="H410" s="3">
        <f>COUNTIF(EdgesData[from],NodesData[[#This Row],[id]])+COUNTIF(EdgesData[to],NodesData[[#This Row],[id]])</f>
        <v>0</v>
      </c>
      <c r="I410" s="3">
        <f>IF(NodesData[[#This Row],[Used]]&gt;0,1,0)</f>
        <v>0</v>
      </c>
      <c r="J410" s="18" t="str" cm="1">
        <f t="array" ref="J410">IF(NodesData[[#This Row],[Count]]&gt;1,",","") &amp;"{"&amp;twoRangesToJSON(NodesData[[#Headers],[id]:[main_class]],NodesData[[#This Row],[id]:[main_class]])&amp;"}"</f>
        <v>,{"id":"nE851188A_983E_4DC0_8C2D_44C595C0C43E","label":"System (Concept)","url":"https://open-measure.atlassian.net/wiki/spaces/DIC/pages/5965562/System","main_class":"Concept"}</v>
      </c>
    </row>
    <row r="411" spans="1:10" ht="27" thickTop="1" thickBot="1" x14ac:dyDescent="0.4">
      <c r="A411" s="3" t="str" cm="1">
        <f t="array" ref="A411">"n"&amp;SUBSTITUTE(CreateGuidString(),"-","_")</f>
        <v>n60C2E2DC_8106_4C5D_AB3E_72E859444422</v>
      </c>
      <c r="B411" s="6" t="str">
        <f>NodesData[[#This Row],[name]]&amp;" ("&amp;NodesData[[#This Row],[main_class]]&amp;")"</f>
        <v>System Boundaries (Concept)</v>
      </c>
      <c r="C411" s="17" t="s">
        <v>1201</v>
      </c>
      <c r="D411" s="3" t="s">
        <v>1409</v>
      </c>
      <c r="E411" s="10" t="s">
        <v>485</v>
      </c>
      <c r="F411" s="3">
        <f t="shared" si="6"/>
        <v>409</v>
      </c>
      <c r="G411" s="3">
        <f>COUNTIF(NodesData[label],NodesData[[#This Row],[label]])</f>
        <v>1</v>
      </c>
      <c r="H411" s="3">
        <f>COUNTIF(EdgesData[from],NodesData[[#This Row],[id]])+COUNTIF(EdgesData[to],NodesData[[#This Row],[id]])</f>
        <v>0</v>
      </c>
      <c r="I411" s="3">
        <f>IF(NodesData[[#This Row],[Used]]&gt;0,1,0)</f>
        <v>0</v>
      </c>
      <c r="J411" s="18" t="str" cm="1">
        <f t="array" ref="J411">IF(NodesData[[#This Row],[Count]]&gt;1,",","") &amp;"{"&amp;twoRangesToJSON(NodesData[[#Headers],[id]:[main_class]],NodesData[[#This Row],[id]:[main_class]])&amp;"}"</f>
        <v>,{"id":"n60C2E2DC_8106_4C5D_AB3E_72E859444422","label":"System Boundaries (Concept)","url":"https://open-measure.atlassian.net/wiki/spaces/DIC/pages/446824644/System+Boundaries","main_class":"Concept"}</v>
      </c>
    </row>
    <row r="412" spans="1:10" ht="27" thickTop="1" thickBot="1" x14ac:dyDescent="0.4">
      <c r="A412" s="3" t="str" cm="1">
        <f t="array" ref="A412">"n"&amp;SUBSTITUTE(CreateGuidString(),"-","_")</f>
        <v>nE8754694_F541_4F31_B158_C51F0340C858</v>
      </c>
      <c r="B412" s="6" t="str">
        <f>NodesData[[#This Row],[name]]&amp;" ("&amp;NodesData[[#This Row],[main_class]]&amp;")"</f>
        <v>System for Cross-domain Identity Management (Concept)</v>
      </c>
      <c r="C412" s="17" t="s">
        <v>1203</v>
      </c>
      <c r="D412" s="3" t="s">
        <v>1409</v>
      </c>
      <c r="E412" s="10" t="s">
        <v>1202</v>
      </c>
      <c r="F412" s="3">
        <f t="shared" si="6"/>
        <v>410</v>
      </c>
      <c r="G412" s="3">
        <f>COUNTIF(NodesData[label],NodesData[[#This Row],[label]])</f>
        <v>1</v>
      </c>
      <c r="H412" s="3">
        <f>COUNTIF(EdgesData[from],NodesData[[#This Row],[id]])+COUNTIF(EdgesData[to],NodesData[[#This Row],[id]])</f>
        <v>0</v>
      </c>
      <c r="I412" s="3">
        <f>IF(NodesData[[#This Row],[Used]]&gt;0,1,0)</f>
        <v>0</v>
      </c>
      <c r="J412" s="18" t="str" cm="1">
        <f t="array" ref="J412">IF(NodesData[[#This Row],[Count]]&gt;1,",","") &amp;"{"&amp;twoRangesToJSON(NodesData[[#Headers],[id]:[main_class]],NodesData[[#This Row],[id]:[main_class]])&amp;"}"</f>
        <v>,{"id":"nE8754694_F541_4F31_B158_C51F0340C858","label":"System for Cross-domain Identity Management (Concept)","url":"https://open-measure.atlassian.net/wiki/spaces/DIC/pages/206372869","main_class":"Concept"}</v>
      </c>
    </row>
    <row r="413" spans="1:10" ht="27" thickTop="1" thickBot="1" x14ac:dyDescent="0.4">
      <c r="A413" s="3" t="str" cm="1">
        <f t="array" ref="A413">"n"&amp;SUBSTITUTE(CreateGuidString(),"-","_")</f>
        <v>n9F10493E_50EE_45FD_8412_E3E5D6A84C8E</v>
      </c>
      <c r="B413" s="6" t="str">
        <f>NodesData[[#This Row],[name]]&amp;" ("&amp;NodesData[[#This Row],[main_class]]&amp;")"</f>
        <v>System Owner (Concept)</v>
      </c>
      <c r="C413" s="17" t="s">
        <v>1205</v>
      </c>
      <c r="D413" s="3" t="s">
        <v>1409</v>
      </c>
      <c r="E413" s="10" t="s">
        <v>1204</v>
      </c>
      <c r="F413" s="3">
        <f t="shared" si="6"/>
        <v>411</v>
      </c>
      <c r="G413" s="3">
        <f>COUNTIF(NodesData[label],NodesData[[#This Row],[label]])</f>
        <v>1</v>
      </c>
      <c r="H413" s="3">
        <f>COUNTIF(EdgesData[from],NodesData[[#This Row],[id]])+COUNTIF(EdgesData[to],NodesData[[#This Row],[id]])</f>
        <v>0</v>
      </c>
      <c r="I413" s="3">
        <f>IF(NodesData[[#This Row],[Used]]&gt;0,1,0)</f>
        <v>0</v>
      </c>
      <c r="J413" s="18" t="str" cm="1">
        <f t="array" ref="J413">IF(NodesData[[#This Row],[Count]]&gt;1,",","") &amp;"{"&amp;twoRangesToJSON(NodesData[[#Headers],[id]:[main_class]],NodesData[[#This Row],[id]:[main_class]])&amp;"}"</f>
        <v>,{"id":"n9F10493E_50EE_45FD_8412_E3E5D6A84C8E","label":"System Owner (Concept)","url":"https://open-measure.atlassian.net/wiki/spaces/DIC/pages/1004961963","main_class":"Concept"}</v>
      </c>
    </row>
    <row r="414" spans="1:10" ht="27" thickTop="1" thickBot="1" x14ac:dyDescent="0.4">
      <c r="A414" s="3" t="str" cm="1">
        <f t="array" ref="A414">"n"&amp;SUBSTITUTE(CreateGuidString(),"-","_")</f>
        <v>nC9D02F3B_BF1C_4345_A30B_31FE9682363E</v>
      </c>
      <c r="B414" s="6" t="str">
        <f>NodesData[[#This Row],[name]]&amp;" ("&amp;NodesData[[#This Row],[main_class]]&amp;")"</f>
        <v>System Z (Concept)</v>
      </c>
      <c r="C414" s="17" t="s">
        <v>1207</v>
      </c>
      <c r="D414" s="3" t="s">
        <v>1409</v>
      </c>
      <c r="E414" s="10" t="s">
        <v>1206</v>
      </c>
      <c r="F414" s="3">
        <f t="shared" si="6"/>
        <v>412</v>
      </c>
      <c r="G414" s="3">
        <f>COUNTIF(NodesData[label],NodesData[[#This Row],[label]])</f>
        <v>1</v>
      </c>
      <c r="H414" s="3">
        <f>COUNTIF(EdgesData[from],NodesData[[#This Row],[id]])+COUNTIF(EdgesData[to],NodesData[[#This Row],[id]])</f>
        <v>0</v>
      </c>
      <c r="I414" s="3">
        <f>IF(NodesData[[#This Row],[Used]]&gt;0,1,0)</f>
        <v>0</v>
      </c>
      <c r="J414" s="18" t="str" cm="1">
        <f t="array" ref="J414">IF(NodesData[[#This Row],[Count]]&gt;1,",","") &amp;"{"&amp;twoRangesToJSON(NodesData[[#Headers],[id]:[main_class]],NodesData[[#This Row],[id]:[main_class]])&amp;"}"</f>
        <v>,{"id":"nC9D02F3B_BF1C_4345_A30B_31FE9682363E","label":"System Z (Concept)","url":"https://open-measure.atlassian.net/wiki/spaces/DIC/pages/1226571890","main_class":"Concept"}</v>
      </c>
    </row>
    <row r="415" spans="1:10" ht="13.9" thickTop="1" thickBot="1" x14ac:dyDescent="0.4">
      <c r="A415" s="3" t="str" cm="1">
        <f t="array" ref="A415">"n"&amp;SUBSTITUTE(CreateGuidString(),"-","_")</f>
        <v>nDF59FBD7_93B8_4CFF_93C2_01239C888FB0</v>
      </c>
      <c r="B415" s="6" t="str">
        <f>NodesData[[#This Row],[name]]&amp;" ("&amp;NodesData[[#This Row],[main_class]]&amp;")"</f>
        <v>TAN List OTP (Concept)</v>
      </c>
      <c r="C415" s="12"/>
      <c r="D415" s="3" t="s">
        <v>1409</v>
      </c>
      <c r="E415" s="10" t="s">
        <v>1370</v>
      </c>
      <c r="F415" s="3">
        <f t="shared" si="6"/>
        <v>413</v>
      </c>
      <c r="G415" s="3">
        <f>COUNTIF(NodesData[label],NodesData[[#This Row],[label]])</f>
        <v>1</v>
      </c>
      <c r="H415" s="3">
        <f>COUNTIF(EdgesData[from],NodesData[[#This Row],[id]])+COUNTIF(EdgesData[to],NodesData[[#This Row],[id]])</f>
        <v>0</v>
      </c>
      <c r="I415" s="3">
        <f>IF(NodesData[[#This Row],[Used]]&gt;0,1,0)</f>
        <v>0</v>
      </c>
      <c r="J415" s="18" t="str" cm="1">
        <f t="array" ref="J415">IF(NodesData[[#This Row],[Count]]&gt;1,",","") &amp;"{"&amp;twoRangesToJSON(NodesData[[#Headers],[id]:[main_class]],NodesData[[#This Row],[id]:[main_class]])&amp;"}"</f>
        <v>,{"id":"nDF59FBD7_93B8_4CFF_93C2_01239C888FB0","label":"TAN List OTP (Concept)","url":"","main_class":"Concept"}</v>
      </c>
    </row>
    <row r="416" spans="1:10" ht="27" thickTop="1" thickBot="1" x14ac:dyDescent="0.4">
      <c r="A416" s="3" t="str" cm="1">
        <f t="array" ref="A416">"n"&amp;SUBSTITUTE(CreateGuidString(),"-","_")</f>
        <v>n2FC4093B_40F8_4F62_BE74_5EA1445A2E1A</v>
      </c>
      <c r="B416" s="6" t="str">
        <f>NodesData[[#This Row],[name]]&amp;" ("&amp;NodesData[[#This Row],[main_class]]&amp;")"</f>
        <v>Task-Based Access Control (Concept)</v>
      </c>
      <c r="C416" s="17" t="s">
        <v>1209</v>
      </c>
      <c r="D416" s="3" t="s">
        <v>1409</v>
      </c>
      <c r="E416" s="10" t="s">
        <v>1208</v>
      </c>
      <c r="F416" s="3">
        <f t="shared" si="6"/>
        <v>414</v>
      </c>
      <c r="G416" s="3">
        <f>COUNTIF(NodesData[label],NodesData[[#This Row],[label]])</f>
        <v>1</v>
      </c>
      <c r="H416" s="3">
        <f>COUNTIF(EdgesData[from],NodesData[[#This Row],[id]])+COUNTIF(EdgesData[to],NodesData[[#This Row],[id]])</f>
        <v>0</v>
      </c>
      <c r="I416" s="3">
        <f>IF(NodesData[[#This Row],[Used]]&gt;0,1,0)</f>
        <v>0</v>
      </c>
      <c r="J416" s="18" t="str" cm="1">
        <f t="array" ref="J416">IF(NodesData[[#This Row],[Count]]&gt;1,",","") &amp;"{"&amp;twoRangesToJSON(NodesData[[#Headers],[id]:[main_class]],NodesData[[#This Row],[id]:[main_class]])&amp;"}"</f>
        <v>,{"id":"n2FC4093B_40F8_4F62_BE74_5EA1445A2E1A","label":"Task-Based Access Control (Concept)","url":"https://open-measure.atlassian.net/wiki/spaces/DIC/pages/1122631693","main_class":"Concept"}</v>
      </c>
    </row>
    <row r="417" spans="1:10" ht="27" thickTop="1" thickBot="1" x14ac:dyDescent="0.4">
      <c r="A417" s="3" t="str" cm="1">
        <f t="array" ref="A417">"n"&amp;SUBSTITUTE(CreateGuidString(),"-","_")</f>
        <v>nA13BFD86_B3F8_48E7_ACB2_804854324552</v>
      </c>
      <c r="B417" s="6" t="str">
        <f>NodesData[[#This Row],[name]]&amp;" ("&amp;NodesData[[#This Row],[main_class]]&amp;")"</f>
        <v>Strong Authentication (Concept)</v>
      </c>
      <c r="C417" s="17" t="s">
        <v>1189</v>
      </c>
      <c r="D417" s="3" t="s">
        <v>1409</v>
      </c>
      <c r="E417" s="10" t="s">
        <v>1188</v>
      </c>
      <c r="F417" s="3">
        <f t="shared" si="6"/>
        <v>415</v>
      </c>
      <c r="G417" s="3">
        <f>COUNTIF(NodesData[label],NodesData[[#This Row],[label]])</f>
        <v>1</v>
      </c>
      <c r="H417" s="3">
        <f>COUNTIF(EdgesData[from],NodesData[[#This Row],[id]])+COUNTIF(EdgesData[to],NodesData[[#This Row],[id]])</f>
        <v>0</v>
      </c>
      <c r="I417" s="3">
        <f>IF(NodesData[[#This Row],[Used]]&gt;0,1,0)</f>
        <v>0</v>
      </c>
      <c r="J417" s="18" t="str" cm="1">
        <f t="array" ref="J417">IF(NodesData[[#This Row],[Count]]&gt;1,",","") &amp;"{"&amp;twoRangesToJSON(NodesData[[#Headers],[id]:[main_class]],NodesData[[#This Row],[id]:[main_class]])&amp;"}"</f>
        <v>,{"id":"nA13BFD86_B3F8_48E7_ACB2_804854324552","label":"Strong Authentication (Concept)","url":"https://open-measure.atlassian.net/wiki/spaces/DIC/pages/81199126","main_class":"Concept"}</v>
      </c>
    </row>
    <row r="418" spans="1:10" ht="13.9" thickTop="1" thickBot="1" x14ac:dyDescent="0.4">
      <c r="A418" s="3" t="str" cm="1">
        <f t="array" ref="A418">"n"&amp;SUBSTITUTE(CreateGuidString(),"-","_")</f>
        <v>n70B1E7FB_FE5D_4C4D_A6F1_AE7754FB6842</v>
      </c>
      <c r="B418" s="6" t="str">
        <f>NodesData[[#This Row],[name]]&amp;" ("&amp;NodesData[[#This Row],[main_class]]&amp;")"</f>
        <v>Time Factor (Concept)</v>
      </c>
      <c r="C418" s="10"/>
      <c r="D418" s="3" t="s">
        <v>1409</v>
      </c>
      <c r="E418" s="10" t="s">
        <v>1339</v>
      </c>
      <c r="F418" s="3">
        <f t="shared" si="6"/>
        <v>416</v>
      </c>
      <c r="G418" s="3">
        <f>COUNTIF(NodesData[label],NodesData[[#This Row],[label]])</f>
        <v>1</v>
      </c>
      <c r="H418" s="3">
        <f>COUNTIF(EdgesData[from],NodesData[[#This Row],[id]])+COUNTIF(EdgesData[to],NodesData[[#This Row],[id]])</f>
        <v>0</v>
      </c>
      <c r="I418" s="3">
        <f>IF(NodesData[[#This Row],[Used]]&gt;0,1,0)</f>
        <v>0</v>
      </c>
      <c r="J418" s="18" t="str" cm="1">
        <f t="array" ref="J418">IF(NodesData[[#This Row],[Count]]&gt;1,",","") &amp;"{"&amp;twoRangesToJSON(NodesData[[#Headers],[id]:[main_class]],NodesData[[#This Row],[id]:[main_class]])&amp;"}"</f>
        <v>,{"id":"n70B1E7FB_FE5D_4C4D_A6F1_AE7754FB6842","label":"Time Factor (Concept)","url":"","main_class":"Concept"}</v>
      </c>
    </row>
    <row r="419" spans="1:10" ht="27" thickTop="1" thickBot="1" x14ac:dyDescent="0.4">
      <c r="A419" s="3" t="str" cm="1">
        <f t="array" ref="A419">"n"&amp;SUBSTITUTE(CreateGuidString(),"-","_")</f>
        <v>nFA27C296_FE0A_44C6_B8CE_F548D3DF0F42</v>
      </c>
      <c r="B419" s="6" t="str">
        <f>NodesData[[#This Row],[name]]&amp;" ("&amp;NodesData[[#This Row],[main_class]]&amp;")"</f>
        <v>Text Password Authentication (Concept)</v>
      </c>
      <c r="C419" s="22"/>
      <c r="D419" s="3" t="s">
        <v>1409</v>
      </c>
      <c r="E419" s="10" t="s">
        <v>1374</v>
      </c>
      <c r="F419" s="3">
        <f t="shared" si="6"/>
        <v>417</v>
      </c>
      <c r="G419" s="3">
        <f>COUNTIF(NodesData[label],NodesData[[#This Row],[label]])</f>
        <v>1</v>
      </c>
      <c r="H419" s="3">
        <f>COUNTIF(EdgesData[from],NodesData[[#This Row],[id]])+COUNTIF(EdgesData[to],NodesData[[#This Row],[id]])</f>
        <v>0</v>
      </c>
      <c r="I419" s="3">
        <f>IF(NodesData[[#This Row],[Used]]&gt;0,1,0)</f>
        <v>0</v>
      </c>
      <c r="J419" s="18" t="str" cm="1">
        <f t="array" ref="J419">IF(NodesData[[#This Row],[Count]]&gt;1,",","") &amp;"{"&amp;twoRangesToJSON(NodesData[[#Headers],[id]:[main_class]],NodesData[[#This Row],[id]:[main_class]])&amp;"}"</f>
        <v>,{"id":"nFA27C296_FE0A_44C6_B8CE_F548D3DF0F42","label":"Text Password Authentication (Concept)","url":"","main_class":"Concept"}</v>
      </c>
    </row>
    <row r="420" spans="1:10" ht="27" thickTop="1" thickBot="1" x14ac:dyDescent="0.4">
      <c r="A420" s="3" t="str" cm="1">
        <f t="array" ref="A420">"n"&amp;SUBSTITUTE(CreateGuidString(),"-","_")</f>
        <v>nCE016F13_9F58_45CA_976B_C943CD6C50EB</v>
      </c>
      <c r="B420" s="6" t="str">
        <f>NodesData[[#This Row],[name]]&amp;" ("&amp;NodesData[[#This Row],[main_class]]&amp;")"</f>
        <v>Token-Based Authentication (Concept)</v>
      </c>
      <c r="C420" s="22"/>
      <c r="D420" s="3" t="s">
        <v>1409</v>
      </c>
      <c r="E420" s="10" t="s">
        <v>1378</v>
      </c>
      <c r="F420" s="3">
        <f t="shared" si="6"/>
        <v>418</v>
      </c>
      <c r="G420" s="3">
        <f>COUNTIF(NodesData[label],NodesData[[#This Row],[label]])</f>
        <v>1</v>
      </c>
      <c r="H420" s="3">
        <f>COUNTIF(EdgesData[from],NodesData[[#This Row],[id]])+COUNTIF(EdgesData[to],NodesData[[#This Row],[id]])</f>
        <v>0</v>
      </c>
      <c r="I420" s="3">
        <f>IF(NodesData[[#This Row],[Used]]&gt;0,1,0)</f>
        <v>0</v>
      </c>
      <c r="J420" s="18" t="str" cm="1">
        <f t="array" ref="J420">IF(NodesData[[#This Row],[Count]]&gt;1,",","") &amp;"{"&amp;twoRangesToJSON(NodesData[[#Headers],[id]:[main_class]],NodesData[[#This Row],[id]:[main_class]])&amp;"}"</f>
        <v>,{"id":"nCE016F13_9F58_45CA_976B_C943CD6C50EB","label":"Token-Based Authentication (Concept)","url":"","main_class":"Concept"}</v>
      </c>
    </row>
    <row r="421" spans="1:10" ht="27" thickTop="1" thickBot="1" x14ac:dyDescent="0.4">
      <c r="A421" s="3" t="str" cm="1">
        <f t="array" ref="A421">"n"&amp;SUBSTITUTE(CreateGuidString(),"-","_")</f>
        <v>nDEADB7A7_69DE_41C9_9A91_91CD835727B5</v>
      </c>
      <c r="B421" s="6" t="str">
        <f>NodesData[[#This Row],[name]]&amp;" ("&amp;NodesData[[#This Row],[main_class]]&amp;")"</f>
        <v>Toxic Combinations (Concept)</v>
      </c>
      <c r="C421" s="17" t="s">
        <v>1212</v>
      </c>
      <c r="D421" s="3" t="s">
        <v>1409</v>
      </c>
      <c r="E421" s="10" t="s">
        <v>1211</v>
      </c>
      <c r="F421" s="3">
        <f t="shared" si="6"/>
        <v>419</v>
      </c>
      <c r="G421" s="3">
        <f>COUNTIF(NodesData[label],NodesData[[#This Row],[label]])</f>
        <v>1</v>
      </c>
      <c r="H421" s="3">
        <f>COUNTIF(EdgesData[from],NodesData[[#This Row],[id]])+COUNTIF(EdgesData[to],NodesData[[#This Row],[id]])</f>
        <v>0</v>
      </c>
      <c r="I421" s="3">
        <f>IF(NodesData[[#This Row],[Used]]&gt;0,1,0)</f>
        <v>0</v>
      </c>
      <c r="J421" s="18" t="str" cm="1">
        <f t="array" ref="J421">IF(NodesData[[#This Row],[Count]]&gt;1,",","") &amp;"{"&amp;twoRangesToJSON(NodesData[[#Headers],[id]:[main_class]],NodesData[[#This Row],[id]:[main_class]])&amp;"}"</f>
        <v>,{"id":"nDEADB7A7_69DE_41C9_9A91_91CD835727B5","label":"Toxic Combinations (Concept)","url":"https://open-measure.atlassian.net/wiki/spaces/DIC/pages/1130954862","main_class":"Concept"}</v>
      </c>
    </row>
    <row r="422" spans="1:10" ht="27" thickTop="1" thickBot="1" x14ac:dyDescent="0.4">
      <c r="A422" s="3" t="str" cm="1">
        <f t="array" ref="A422">"n"&amp;SUBSTITUTE(CreateGuidString(),"-","_")</f>
        <v>nF30C8BCD_4FC2_45A6_9D74_FD1FCB8F15F0</v>
      </c>
      <c r="B422" s="6" t="str">
        <f>NodesData[[#This Row],[name]]&amp;" ("&amp;NodesData[[#This Row],[main_class]]&amp;")"</f>
        <v>Toxic Right Rule (Definition) (Concept)</v>
      </c>
      <c r="C422" s="17" t="s">
        <v>1213</v>
      </c>
      <c r="D422" s="3" t="s">
        <v>1409</v>
      </c>
      <c r="E422" s="10" t="s">
        <v>497</v>
      </c>
      <c r="F422" s="3">
        <f t="shared" si="6"/>
        <v>420</v>
      </c>
      <c r="G422" s="3">
        <f>COUNTIF(NodesData[label],NodesData[[#This Row],[label]])</f>
        <v>1</v>
      </c>
      <c r="H422" s="3">
        <f>COUNTIF(EdgesData[from],NodesData[[#This Row],[id]])+COUNTIF(EdgesData[to],NodesData[[#This Row],[id]])</f>
        <v>0</v>
      </c>
      <c r="I422" s="3">
        <f>IF(NodesData[[#This Row],[Used]]&gt;0,1,0)</f>
        <v>0</v>
      </c>
      <c r="J422" s="18" t="str" cm="1">
        <f t="array" ref="J422">IF(NodesData[[#This Row],[Count]]&gt;1,",","") &amp;"{"&amp;twoRangesToJSON(NodesData[[#Headers],[id]:[main_class]],NodesData[[#This Row],[id]:[main_class]])&amp;"}"</f>
        <v>,{"id":"nF30C8BCD_4FC2_45A6_9D74_FD1FCB8F15F0","label":"Toxic Right Rule (Definition) (Concept)","url":"https://open-measure.atlassian.net/wiki/spaces/DIC/pages/360467","main_class":"Concept"}</v>
      </c>
    </row>
    <row r="423" spans="1:10" ht="27" thickTop="1" thickBot="1" x14ac:dyDescent="0.4">
      <c r="A423" s="3" t="str" cm="1">
        <f t="array" ref="A423">"n"&amp;SUBSTITUTE(CreateGuidString(),"-","_")</f>
        <v>n052EAC36_33B4_42E7_8FC0_872B3D37634E</v>
      </c>
      <c r="B423" s="6" t="str">
        <f>NodesData[[#This Row],[name]]&amp;" ("&amp;NodesData[[#This Row],[main_class]]&amp;")"</f>
        <v>Tranquil (Concept)</v>
      </c>
      <c r="C423" s="17" t="s">
        <v>1214</v>
      </c>
      <c r="D423" s="3" t="s">
        <v>1409</v>
      </c>
      <c r="E423" s="10" t="s">
        <v>498</v>
      </c>
      <c r="F423" s="3">
        <f t="shared" si="6"/>
        <v>421</v>
      </c>
      <c r="G423" s="3">
        <f>COUNTIF(NodesData[label],NodesData[[#This Row],[label]])</f>
        <v>1</v>
      </c>
      <c r="H423" s="3">
        <f>COUNTIF(EdgesData[from],NodesData[[#This Row],[id]])+COUNTIF(EdgesData[to],NodesData[[#This Row],[id]])</f>
        <v>0</v>
      </c>
      <c r="I423" s="3">
        <f>IF(NodesData[[#This Row],[Used]]&gt;0,1,0)</f>
        <v>0</v>
      </c>
      <c r="J423" s="18" t="str" cm="1">
        <f t="array" ref="J423">IF(NodesData[[#This Row],[Count]]&gt;1,",","") &amp;"{"&amp;twoRangesToJSON(NodesData[[#Headers],[id]:[main_class]],NodesData[[#This Row],[id]:[main_class]])&amp;"}"</f>
        <v>,{"id":"n052EAC36_33B4_42E7_8FC0_872B3D37634E","label":"Tranquil (Concept)","url":"https://open-measure.atlassian.net/wiki/spaces/DIC/pages/1237582070/Tranquil","main_class":"Concept"}</v>
      </c>
    </row>
    <row r="424" spans="1:10" ht="27" thickTop="1" thickBot="1" x14ac:dyDescent="0.4">
      <c r="A424" s="3" t="str" cm="1">
        <f t="array" ref="A424">"n"&amp;SUBSTITUTE(CreateGuidString(),"-","_")</f>
        <v>n43C42210_4278_4134_BD16_072164BCF947</v>
      </c>
      <c r="B424" s="6" t="str">
        <f>NodesData[[#This Row],[name]]&amp;" ("&amp;NodesData[[#This Row],[main_class]]&amp;")"</f>
        <v>Tranquility Principle (Concept)</v>
      </c>
      <c r="C424" s="17" t="s">
        <v>1216</v>
      </c>
      <c r="D424" s="3" t="s">
        <v>1409</v>
      </c>
      <c r="E424" s="10" t="s">
        <v>1215</v>
      </c>
      <c r="F424" s="3">
        <f t="shared" si="6"/>
        <v>422</v>
      </c>
      <c r="G424" s="3">
        <f>COUNTIF(NodesData[label],NodesData[[#This Row],[label]])</f>
        <v>1</v>
      </c>
      <c r="H424" s="3">
        <f>COUNTIF(EdgesData[from],NodesData[[#This Row],[id]])+COUNTIF(EdgesData[to],NodesData[[#This Row],[id]])</f>
        <v>0</v>
      </c>
      <c r="I424" s="3">
        <f>IF(NodesData[[#This Row],[Used]]&gt;0,1,0)</f>
        <v>0</v>
      </c>
      <c r="J424" s="18" t="str" cm="1">
        <f t="array" ref="J424">IF(NodesData[[#This Row],[Count]]&gt;1,",","") &amp;"{"&amp;twoRangesToJSON(NodesData[[#Headers],[id]:[main_class]],NodesData[[#This Row],[id]:[main_class]])&amp;"}"</f>
        <v>,{"id":"n43C42210_4278_4134_BD16_072164BCF947","label":"Tranquility Principle (Concept)","url":"https://open-measure.atlassian.net/wiki/spaces/DIC/pages/1237483759","main_class":"Concept"}</v>
      </c>
    </row>
    <row r="425" spans="1:10" ht="27" thickTop="1" thickBot="1" x14ac:dyDescent="0.4">
      <c r="A425" s="3" t="str" cm="1">
        <f t="array" ref="A425">"n"&amp;SUBSTITUTE(CreateGuidString(),"-","_")</f>
        <v>nE3C6EE6D_C0F6_4157_9D28_819BEE913534</v>
      </c>
      <c r="B425" s="6" t="str">
        <f>NodesData[[#This Row],[name]]&amp;" ("&amp;NodesData[[#This Row],[main_class]]&amp;")"</f>
        <v>Tranquility Property (Concept)</v>
      </c>
      <c r="C425" s="17" t="s">
        <v>1218</v>
      </c>
      <c r="D425" s="3" t="s">
        <v>1409</v>
      </c>
      <c r="E425" s="10" t="s">
        <v>1217</v>
      </c>
      <c r="F425" s="3">
        <f t="shared" si="6"/>
        <v>423</v>
      </c>
      <c r="G425" s="3">
        <f>COUNTIF(NodesData[label],NodesData[[#This Row],[label]])</f>
        <v>1</v>
      </c>
      <c r="H425" s="3">
        <f>COUNTIF(EdgesData[from],NodesData[[#This Row],[id]])+COUNTIF(EdgesData[to],NodesData[[#This Row],[id]])</f>
        <v>0</v>
      </c>
      <c r="I425" s="3">
        <f>IF(NodesData[[#This Row],[Used]]&gt;0,1,0)</f>
        <v>0</v>
      </c>
      <c r="J425" s="18" t="str" cm="1">
        <f t="array" ref="J425">IF(NodesData[[#This Row],[Count]]&gt;1,",","") &amp;"{"&amp;twoRangesToJSON(NodesData[[#Headers],[id]:[main_class]],NodesData[[#This Row],[id]:[main_class]])&amp;"}"</f>
        <v>,{"id":"nE3C6EE6D_C0F6_4157_9D28_819BEE913534","label":"Tranquility Property (Concept)","url":"https://open-measure.atlassian.net/wiki/spaces/DIC/pages/1181876587","main_class":"Concept"}</v>
      </c>
    </row>
    <row r="426" spans="1:10" ht="27" thickTop="1" thickBot="1" x14ac:dyDescent="0.4">
      <c r="A426" s="3" t="str" cm="1">
        <f t="array" ref="A426">"n"&amp;SUBSTITUTE(CreateGuidString(),"-","_")</f>
        <v>nB4766A95_E092_4E71_94D1_22B36574C9BC</v>
      </c>
      <c r="B426" s="6" t="str">
        <f>NodesData[[#This Row],[name]]&amp;" ("&amp;NodesData[[#This Row],[main_class]]&amp;")"</f>
        <v>Trust (Concept)</v>
      </c>
      <c r="C426" s="17" t="s">
        <v>1219</v>
      </c>
      <c r="D426" s="3" t="s">
        <v>1409</v>
      </c>
      <c r="E426" s="10" t="s">
        <v>501</v>
      </c>
      <c r="F426" s="3">
        <f t="shared" si="6"/>
        <v>424</v>
      </c>
      <c r="G426" s="3">
        <f>COUNTIF(NodesData[label],NodesData[[#This Row],[label]])</f>
        <v>1</v>
      </c>
      <c r="H426" s="3">
        <f>COUNTIF(EdgesData[from],NodesData[[#This Row],[id]])+COUNTIF(EdgesData[to],NodesData[[#This Row],[id]])</f>
        <v>0</v>
      </c>
      <c r="I426" s="3">
        <f>IF(NodesData[[#This Row],[Used]]&gt;0,1,0)</f>
        <v>0</v>
      </c>
      <c r="J426" s="18" t="str" cm="1">
        <f t="array" ref="J426">IF(NodesData[[#This Row],[Count]]&gt;1,",","") &amp;"{"&amp;twoRangesToJSON(NodesData[[#Headers],[id]:[main_class]],NodesData[[#This Row],[id]:[main_class]])&amp;"}"</f>
        <v>,{"id":"nB4766A95_E092_4E71_94D1_22B36574C9BC","label":"Trust (Concept)","url":"https://open-measure.atlassian.net/wiki/spaces/DIC/pages/1037926452/Trust","main_class":"Concept"}</v>
      </c>
    </row>
    <row r="427" spans="1:10" ht="27" thickTop="1" thickBot="1" x14ac:dyDescent="0.4">
      <c r="A427" s="3" t="str" cm="1">
        <f t="array" ref="A427">"n"&amp;SUBSTITUTE(CreateGuidString(),"-","_")</f>
        <v>n553BFE0C_9C5B_41B0_B194_3FC5C8732630</v>
      </c>
      <c r="B427" s="6" t="str">
        <f>NodesData[[#This Row],[name]]&amp;" ("&amp;NodesData[[#This Row],[main_class]]&amp;")"</f>
        <v>Trust Asymmetry (Concept)</v>
      </c>
      <c r="C427" s="17" t="s">
        <v>1221</v>
      </c>
      <c r="D427" s="3" t="s">
        <v>1409</v>
      </c>
      <c r="E427" s="10" t="s">
        <v>1220</v>
      </c>
      <c r="F427" s="3">
        <f t="shared" si="6"/>
        <v>425</v>
      </c>
      <c r="G427" s="3">
        <f>COUNTIF(NodesData[label],NodesData[[#This Row],[label]])</f>
        <v>1</v>
      </c>
      <c r="H427" s="3">
        <f>COUNTIF(EdgesData[from],NodesData[[#This Row],[id]])+COUNTIF(EdgesData[to],NodesData[[#This Row],[id]])</f>
        <v>0</v>
      </c>
      <c r="I427" s="3">
        <f>IF(NodesData[[#This Row],[Used]]&gt;0,1,0)</f>
        <v>0</v>
      </c>
      <c r="J427" s="18" t="str" cm="1">
        <f t="array" ref="J427">IF(NodesData[[#This Row],[Count]]&gt;1,",","") &amp;"{"&amp;twoRangesToJSON(NodesData[[#Headers],[id]:[main_class]],NodesData[[#This Row],[id]:[main_class]])&amp;"}"</f>
        <v>,{"id":"n553BFE0C_9C5B_41B0_B194_3FC5C8732630","label":"Trust Asymmetry (Concept)","url":"https://open-measure.atlassian.net/wiki/spaces/DIC/pages/1027048185","main_class":"Concept"}</v>
      </c>
    </row>
    <row r="428" spans="1:10" ht="27" thickTop="1" thickBot="1" x14ac:dyDescent="0.4">
      <c r="A428" s="3" t="str" cm="1">
        <f t="array" ref="A428">"n"&amp;SUBSTITUTE(CreateGuidString(),"-","_")</f>
        <v>n1A406A59_BEEA_4246_B4CA_814DDD03E572</v>
      </c>
      <c r="B428" s="6" t="str">
        <f>NodesData[[#This Row],[name]]&amp;" ("&amp;NodesData[[#This Row],[main_class]]&amp;")"</f>
        <v>Trust Composability (Concept)</v>
      </c>
      <c r="C428" s="17" t="s">
        <v>1223</v>
      </c>
      <c r="D428" s="3" t="s">
        <v>1409</v>
      </c>
      <c r="E428" s="10" t="s">
        <v>1222</v>
      </c>
      <c r="F428" s="3">
        <f t="shared" si="6"/>
        <v>426</v>
      </c>
      <c r="G428" s="3">
        <f>COUNTIF(NodesData[label],NodesData[[#This Row],[label]])</f>
        <v>1</v>
      </c>
      <c r="H428" s="3">
        <f>COUNTIF(EdgesData[from],NodesData[[#This Row],[id]])+COUNTIF(EdgesData[to],NodesData[[#This Row],[id]])</f>
        <v>0</v>
      </c>
      <c r="I428" s="3">
        <f>IF(NodesData[[#This Row],[Used]]&gt;0,1,0)</f>
        <v>0</v>
      </c>
      <c r="J428" s="18" t="str" cm="1">
        <f t="array" ref="J428">IF(NodesData[[#This Row],[Count]]&gt;1,",","") &amp;"{"&amp;twoRangesToJSON(NodesData[[#Headers],[id]:[main_class]],NodesData[[#This Row],[id]:[main_class]])&amp;"}"</f>
        <v>,{"id":"n1A406A59_BEEA_4246_B4CA_814DDD03E572","label":"Trust Composability (Concept)","url":"https://open-measure.atlassian.net/wiki/spaces/DIC/pages/1027048128","main_class":"Concept"}</v>
      </c>
    </row>
    <row r="429" spans="1:10" ht="27" thickTop="1" thickBot="1" x14ac:dyDescent="0.4">
      <c r="A429" s="3" t="str" cm="1">
        <f t="array" ref="A429">"n"&amp;SUBSTITUTE(CreateGuidString(),"-","_")</f>
        <v>nA0BB422E_6083_4742_9757_ADCC5095100A</v>
      </c>
      <c r="B429" s="6" t="str">
        <f>NodesData[[#This Row],[name]]&amp;" ("&amp;NodesData[[#This Row],[main_class]]&amp;")"</f>
        <v>Trust Personalization (Concept)</v>
      </c>
      <c r="C429" s="17" t="s">
        <v>1225</v>
      </c>
      <c r="D429" s="3" t="s">
        <v>1409</v>
      </c>
      <c r="E429" s="10" t="s">
        <v>1224</v>
      </c>
      <c r="F429" s="3">
        <f t="shared" si="6"/>
        <v>427</v>
      </c>
      <c r="G429" s="3">
        <f>COUNTIF(NodesData[label],NodesData[[#This Row],[label]])</f>
        <v>1</v>
      </c>
      <c r="H429" s="3">
        <f>COUNTIF(EdgesData[from],NodesData[[#This Row],[id]])+COUNTIF(EdgesData[to],NodesData[[#This Row],[id]])</f>
        <v>0</v>
      </c>
      <c r="I429" s="3">
        <f>IF(NodesData[[#This Row],[Used]]&gt;0,1,0)</f>
        <v>0</v>
      </c>
      <c r="J429" s="18" t="str" cm="1">
        <f t="array" ref="J429">IF(NodesData[[#This Row],[Count]]&gt;1,",","") &amp;"{"&amp;twoRangesToJSON(NodesData[[#Headers],[id]:[main_class]],NodesData[[#This Row],[id]:[main_class]])&amp;"}"</f>
        <v>,{"id":"nA0BB422E_6083_4742_9757_ADCC5095100A","label":"Trust Personalization (Concept)","url":"https://open-measure.atlassian.net/wiki/spaces/DIC/pages/1027048209","main_class":"Concept"}</v>
      </c>
    </row>
    <row r="430" spans="1:10" ht="27" thickTop="1" thickBot="1" x14ac:dyDescent="0.4">
      <c r="A430" s="3" t="str" cm="1">
        <f t="array" ref="A430">"n"&amp;SUBSTITUTE(CreateGuidString(),"-","_")</f>
        <v>n5E7E074A_919F_4BC5_A1A3_DA8F60E9C264</v>
      </c>
      <c r="B430" s="6" t="str">
        <f>NodesData[[#This Row],[name]]&amp;" ("&amp;NodesData[[#This Row],[main_class]]&amp;")"</f>
        <v>Trust Transitivity (Concept)</v>
      </c>
      <c r="C430" s="17" t="s">
        <v>1227</v>
      </c>
      <c r="D430" s="3" t="s">
        <v>1409</v>
      </c>
      <c r="E430" s="10" t="s">
        <v>1226</v>
      </c>
      <c r="F430" s="3">
        <f t="shared" si="6"/>
        <v>428</v>
      </c>
      <c r="G430" s="3">
        <f>COUNTIF(NodesData[label],NodesData[[#This Row],[label]])</f>
        <v>1</v>
      </c>
      <c r="H430" s="3">
        <f>COUNTIF(EdgesData[from],NodesData[[#This Row],[id]])+COUNTIF(EdgesData[to],NodesData[[#This Row],[id]])</f>
        <v>0</v>
      </c>
      <c r="I430" s="3">
        <f>IF(NodesData[[#This Row],[Used]]&gt;0,1,0)</f>
        <v>0</v>
      </c>
      <c r="J430" s="18" t="str" cm="1">
        <f t="array" ref="J430">IF(NodesData[[#This Row],[Count]]&gt;1,",","") &amp;"{"&amp;twoRangesToJSON(NodesData[[#Headers],[id]:[main_class]],NodesData[[#This Row],[id]:[main_class]])&amp;"}"</f>
        <v>,{"id":"n5E7E074A_919F_4BC5_A1A3_DA8F60E9C264","label":"Trust Transitivity (Concept)","url":"https://open-measure.atlassian.net/wiki/spaces/DIC/pages/1031242345","main_class":"Concept"}</v>
      </c>
    </row>
    <row r="431" spans="1:10" ht="27" thickTop="1" thickBot="1" x14ac:dyDescent="0.4">
      <c r="A431" s="3" t="str" cm="1">
        <f t="array" ref="A431">"n"&amp;SUBSTITUTE(CreateGuidString(),"-","_")</f>
        <v>n1C50207A_8A0C_4B0F_B85C_08915BD2A636</v>
      </c>
      <c r="B431" s="6" t="str">
        <f>NodesData[[#This Row],[name]]&amp;" ("&amp;NodesData[[#This Row],[main_class]]&amp;")"</f>
        <v>Typing Biometrics (Concept)</v>
      </c>
      <c r="C431" s="17" t="s">
        <v>1228</v>
      </c>
      <c r="D431" s="3" t="s">
        <v>1409</v>
      </c>
      <c r="E431" s="10" t="s">
        <v>507</v>
      </c>
      <c r="F431" s="3">
        <f t="shared" si="6"/>
        <v>429</v>
      </c>
      <c r="G431" s="3">
        <f>COUNTIF(NodesData[label],NodesData[[#This Row],[label]])</f>
        <v>1</v>
      </c>
      <c r="H431" s="3">
        <f>COUNTIF(EdgesData[from],NodesData[[#This Row],[id]])+COUNTIF(EdgesData[to],NodesData[[#This Row],[id]])</f>
        <v>0</v>
      </c>
      <c r="I431" s="3">
        <f>IF(NodesData[[#This Row],[Used]]&gt;0,1,0)</f>
        <v>0</v>
      </c>
      <c r="J431" s="18" t="str" cm="1">
        <f t="array" ref="J431">IF(NodesData[[#This Row],[Count]]&gt;1,",","") &amp;"{"&amp;twoRangesToJSON(NodesData[[#Headers],[id]:[main_class]],NodesData[[#This Row],[id]:[main_class]])&amp;"}"</f>
        <v>,{"id":"n1C50207A_8A0C_4B0F_B85C_08915BD2A636","label":"Typing Biometrics (Concept)","url":"https://open-measure.atlassian.net/wiki/spaces/DIC/pages/1417084929/Typing+Biometrics","main_class":"Concept"}</v>
      </c>
    </row>
    <row r="432" spans="1:10" ht="27" thickTop="1" thickBot="1" x14ac:dyDescent="0.4">
      <c r="A432" s="3" t="str" cm="1">
        <f t="array" ref="A432">"n"&amp;SUBSTITUTE(CreateGuidString(),"-","_")</f>
        <v>n90D4C41B_9445_49DA_B269_4B49B6A60C7E</v>
      </c>
      <c r="B432" s="6" t="str">
        <f>NodesData[[#This Row],[name]]&amp;" ("&amp;NodesData[[#This Row],[main_class]]&amp;")"</f>
        <v>Typology (Concept)</v>
      </c>
      <c r="C432" s="17" t="s">
        <v>1230</v>
      </c>
      <c r="D432" s="3" t="s">
        <v>1409</v>
      </c>
      <c r="E432" s="10" t="s">
        <v>1229</v>
      </c>
      <c r="F432" s="3">
        <f t="shared" si="6"/>
        <v>430</v>
      </c>
      <c r="G432" s="3">
        <f>COUNTIF(NodesData[label],NodesData[[#This Row],[label]])</f>
        <v>1</v>
      </c>
      <c r="H432" s="3">
        <f>COUNTIF(EdgesData[from],NodesData[[#This Row],[id]])+COUNTIF(EdgesData[to],NodesData[[#This Row],[id]])</f>
        <v>0</v>
      </c>
      <c r="I432" s="3">
        <f>IF(NodesData[[#This Row],[Used]]&gt;0,1,0)</f>
        <v>0</v>
      </c>
      <c r="J432" s="18" t="str" cm="1">
        <f t="array" ref="J432">IF(NodesData[[#This Row],[Count]]&gt;1,",","") &amp;"{"&amp;twoRangesToJSON(NodesData[[#Headers],[id]:[main_class]],NodesData[[#This Row],[id]:[main_class]])&amp;"}"</f>
        <v>,{"id":"n90D4C41B_9445_49DA_B269_4B49B6A60C7E","label":"Typology (Concept)","url":"https://open-measure.atlassian.net/wiki/spaces/DIC/pages/140673267","main_class":"Concept"}</v>
      </c>
    </row>
    <row r="433" spans="1:10" ht="27" thickTop="1" thickBot="1" x14ac:dyDescent="0.4">
      <c r="A433" s="3" t="str" cm="1">
        <f t="array" ref="A433">"n"&amp;SUBSTITUTE(CreateGuidString(),"-","_")</f>
        <v>n11FB71CB_13E6_47F8_B658_D429B885A9EB</v>
      </c>
      <c r="B433" s="6" t="str">
        <f>NodesData[[#This Row],[name]]&amp;" ("&amp;NodesData[[#This Row],[main_class]]&amp;")"</f>
        <v>Unanticipated User (Concept)</v>
      </c>
      <c r="C433" s="17" t="s">
        <v>1231</v>
      </c>
      <c r="D433" s="3" t="s">
        <v>1409</v>
      </c>
      <c r="E433" s="10" t="s">
        <v>509</v>
      </c>
      <c r="F433" s="3">
        <f t="shared" si="6"/>
        <v>431</v>
      </c>
      <c r="G433" s="3">
        <f>COUNTIF(NodesData[label],NodesData[[#This Row],[label]])</f>
        <v>1</v>
      </c>
      <c r="H433" s="3">
        <f>COUNTIF(EdgesData[from],NodesData[[#This Row],[id]])+COUNTIF(EdgesData[to],NodesData[[#This Row],[id]])</f>
        <v>0</v>
      </c>
      <c r="I433" s="3">
        <f>IF(NodesData[[#This Row],[Used]]&gt;0,1,0)</f>
        <v>0</v>
      </c>
      <c r="J433" s="18" t="str" cm="1">
        <f t="array" ref="J433">IF(NodesData[[#This Row],[Count]]&gt;1,",","") &amp;"{"&amp;twoRangesToJSON(NodesData[[#Headers],[id]:[main_class]],NodesData[[#This Row],[id]:[main_class]])&amp;"}"</f>
        <v>,{"id":"n11FB71CB_13E6_47F8_B658_D429B885A9EB","label":"Unanticipated User (Concept)","url":"https://open-measure.atlassian.net/wiki/spaces/DIC/pages/1027080193/Unanticipated+User","main_class":"Concept"}</v>
      </c>
    </row>
    <row r="434" spans="1:10" ht="27" thickTop="1" thickBot="1" x14ac:dyDescent="0.4">
      <c r="A434" s="3" t="str" cm="1">
        <f t="array" ref="A434">"n"&amp;SUBSTITUTE(CreateGuidString(),"-","_")</f>
        <v>n0287C3C8_0D10_4D1E_84E9_331B0D5D4C75</v>
      </c>
      <c r="B434" s="6" t="str">
        <f>NodesData[[#This Row],[name]]&amp;" ("&amp;NodesData[[#This Row],[main_class]]&amp;")"</f>
        <v>Touchstroke Recognition Authentication (Concept)</v>
      </c>
      <c r="C434" s="12"/>
      <c r="D434" s="3" t="s">
        <v>1409</v>
      </c>
      <c r="E434" s="10" t="s">
        <v>1357</v>
      </c>
      <c r="F434" s="3">
        <f t="shared" si="6"/>
        <v>432</v>
      </c>
      <c r="G434" s="3">
        <f>COUNTIF(NodesData[label],NodesData[[#This Row],[label]])</f>
        <v>1</v>
      </c>
      <c r="H434" s="3">
        <f>COUNTIF(EdgesData[from],NodesData[[#This Row],[id]])+COUNTIF(EdgesData[to],NodesData[[#This Row],[id]])</f>
        <v>0</v>
      </c>
      <c r="I434" s="3">
        <f>IF(NodesData[[#This Row],[Used]]&gt;0,1,0)</f>
        <v>0</v>
      </c>
      <c r="J434" s="18" t="str" cm="1">
        <f t="array" ref="J434">IF(NodesData[[#This Row],[Count]]&gt;1,",","") &amp;"{"&amp;twoRangesToJSON(NodesData[[#Headers],[id]:[main_class]],NodesData[[#This Row],[id]:[main_class]])&amp;"}"</f>
        <v>,{"id":"n0287C3C8_0D10_4D1E_84E9_331B0D5D4C75","label":"Touchstroke Recognition Authentication (Concept)","url":"","main_class":"Concept"}</v>
      </c>
    </row>
    <row r="435" spans="1:10" ht="27" thickTop="1" thickBot="1" x14ac:dyDescent="0.4">
      <c r="A435" s="3" t="str" cm="1">
        <f t="array" ref="A435">"n"&amp;SUBSTITUTE(CreateGuidString(),"-","_")</f>
        <v>nE572DDAA_2F4B_49DD_A12E_89D463AE0758</v>
      </c>
      <c r="B435" s="6" t="str">
        <f>NodesData[[#This Row],[name]]&amp;" ("&amp;NodesData[[#This Row],[main_class]]&amp;")"</f>
        <v>Unique ID Number (Concept)</v>
      </c>
      <c r="C435" s="17" t="s">
        <v>1233</v>
      </c>
      <c r="D435" s="3" t="s">
        <v>1409</v>
      </c>
      <c r="E435" s="10" t="s">
        <v>511</v>
      </c>
      <c r="F435" s="3">
        <f t="shared" si="6"/>
        <v>433</v>
      </c>
      <c r="G435" s="3">
        <f>COUNTIF(NodesData[label],NodesData[[#This Row],[label]])</f>
        <v>1</v>
      </c>
      <c r="H435" s="3">
        <f>COUNTIF(EdgesData[from],NodesData[[#This Row],[id]])+COUNTIF(EdgesData[to],NodesData[[#This Row],[id]])</f>
        <v>0</v>
      </c>
      <c r="I435" s="3">
        <f>IF(NodesData[[#This Row],[Used]]&gt;0,1,0)</f>
        <v>0</v>
      </c>
      <c r="J435" s="18" t="str" cm="1">
        <f t="array" ref="J435">IF(NodesData[[#This Row],[Count]]&gt;1,",","") &amp;"{"&amp;twoRangesToJSON(NodesData[[#Headers],[id]:[main_class]],NodesData[[#This Row],[id]:[main_class]])&amp;"}"</f>
        <v>,{"id":"nE572DDAA_2F4B_49DD_A12E_89D463AE0758","label":"Unique ID Number (Concept)","url":"https://open-measure.atlassian.net/wiki/spaces/DIC/pages/446955662/Unique+ID+Number","main_class":"Concept"}</v>
      </c>
    </row>
    <row r="436" spans="1:10" ht="27" thickTop="1" thickBot="1" x14ac:dyDescent="0.4">
      <c r="A436" s="3" t="str" cm="1">
        <f t="array" ref="A436">"n"&amp;SUBSTITUTE(CreateGuidString(),"-","_")</f>
        <v>nDE812962_2882_45D3_B12A_907ED7BC912F</v>
      </c>
      <c r="B436" s="6" t="str">
        <f>NodesData[[#This Row],[name]]&amp;" ("&amp;NodesData[[#This Row],[main_class]]&amp;")"</f>
        <v>Unprivileged Insider (Concept)</v>
      </c>
      <c r="C436" s="17" t="s">
        <v>1234</v>
      </c>
      <c r="D436" s="3" t="s">
        <v>1409</v>
      </c>
      <c r="E436" s="10" t="s">
        <v>513</v>
      </c>
      <c r="F436" s="3">
        <f t="shared" si="6"/>
        <v>434</v>
      </c>
      <c r="G436" s="3">
        <f>COUNTIF(NodesData[label],NodesData[[#This Row],[label]])</f>
        <v>1</v>
      </c>
      <c r="H436" s="3">
        <f>COUNTIF(EdgesData[from],NodesData[[#This Row],[id]])+COUNTIF(EdgesData[to],NodesData[[#This Row],[id]])</f>
        <v>0</v>
      </c>
      <c r="I436" s="3">
        <f>IF(NodesData[[#This Row],[Used]]&gt;0,1,0)</f>
        <v>0</v>
      </c>
      <c r="J436" s="18" t="str" cm="1">
        <f t="array" ref="J436">IF(NodesData[[#This Row],[Count]]&gt;1,",","") &amp;"{"&amp;twoRangesToJSON(NodesData[[#Headers],[id]:[main_class]],NodesData[[#This Row],[id]:[main_class]])&amp;"}"</f>
        <v>,{"id":"nDE812962_2882_45D3_B12A_907ED7BC912F","label":"Unprivileged Insider (Concept)","url":"https://open-measure.atlassian.net/wiki/spaces/DIC/pages/1477902414/Unprivileged+Insider","main_class":"Concept"}</v>
      </c>
    </row>
    <row r="437" spans="1:10" ht="27" thickTop="1" thickBot="1" x14ac:dyDescent="0.4">
      <c r="A437" s="3" t="str" cm="1">
        <f t="array" ref="A437">"n"&amp;SUBSTITUTE(CreateGuidString(),"-","_")</f>
        <v>n66597FEE_356D_4615_A253_157B2715EE45</v>
      </c>
      <c r="B437" s="6" t="str">
        <f>NodesData[[#This Row],[name]]&amp;" ("&amp;NodesData[[#This Row],[main_class]]&amp;")"</f>
        <v>User (Concept)</v>
      </c>
      <c r="C437" s="17" t="s">
        <v>1235</v>
      </c>
      <c r="D437" s="3" t="s">
        <v>1409</v>
      </c>
      <c r="E437" s="10" t="s">
        <v>514</v>
      </c>
      <c r="F437" s="3">
        <f t="shared" si="6"/>
        <v>435</v>
      </c>
      <c r="G437" s="3">
        <f>COUNTIF(NodesData[label],NodesData[[#This Row],[label]])</f>
        <v>1</v>
      </c>
      <c r="H437" s="3">
        <f>COUNTIF(EdgesData[from],NodesData[[#This Row],[id]])+COUNTIF(EdgesData[to],NodesData[[#This Row],[id]])</f>
        <v>0</v>
      </c>
      <c r="I437" s="3">
        <f>IF(NodesData[[#This Row],[Used]]&gt;0,1,0)</f>
        <v>0</v>
      </c>
      <c r="J437" s="18" t="str" cm="1">
        <f t="array" ref="J437">IF(NodesData[[#This Row],[Count]]&gt;1,",","") &amp;"{"&amp;twoRangesToJSON(NodesData[[#Headers],[id]:[main_class]],NodesData[[#This Row],[id]:[main_class]])&amp;"}"</f>
        <v>,{"id":"n66597FEE_356D_4615_A253_157B2715EE45","label":"User (Concept)","url":"https://open-measure.atlassian.net/wiki/spaces/DIC/pages/82839586/User","main_class":"Concept"}</v>
      </c>
    </row>
    <row r="438" spans="1:10" ht="27" thickTop="1" thickBot="1" x14ac:dyDescent="0.4">
      <c r="A438" s="3" t="str" cm="1">
        <f t="array" ref="A438">"n"&amp;SUBSTITUTE(CreateGuidString(),"-","_")</f>
        <v>n63A81622_BBAF_4B95_9071_9713EEED4940</v>
      </c>
      <c r="B438" s="6" t="str">
        <f>NodesData[[#This Row],[name]]&amp;" ("&amp;NodesData[[#This Row],[main_class]]&amp;")"</f>
        <v>User Account (Concept)</v>
      </c>
      <c r="C438" s="17" t="s">
        <v>1236</v>
      </c>
      <c r="D438" s="3" t="s">
        <v>1409</v>
      </c>
      <c r="E438" s="10" t="s">
        <v>515</v>
      </c>
      <c r="F438" s="3">
        <f t="shared" si="6"/>
        <v>436</v>
      </c>
      <c r="G438" s="3">
        <f>COUNTIF(NodesData[label],NodesData[[#This Row],[label]])</f>
        <v>1</v>
      </c>
      <c r="H438" s="3">
        <f>COUNTIF(EdgesData[from],NodesData[[#This Row],[id]])+COUNTIF(EdgesData[to],NodesData[[#This Row],[id]])</f>
        <v>0</v>
      </c>
      <c r="I438" s="3">
        <f>IF(NodesData[[#This Row],[Used]]&gt;0,1,0)</f>
        <v>0</v>
      </c>
      <c r="J438" s="18" t="str" cm="1">
        <f t="array" ref="J438">IF(NodesData[[#This Row],[Count]]&gt;1,",","") &amp;"{"&amp;twoRangesToJSON(NodesData[[#Headers],[id]:[main_class]],NodesData[[#This Row],[id]:[main_class]])&amp;"}"</f>
        <v>,{"id":"n63A81622_BBAF_4B95_9071_9713EEED4940","label":"User Account (Concept)","url":"https://open-measure.atlassian.net/wiki/spaces/DIC/pages/1428587273/User+Account","main_class":"Concept"}</v>
      </c>
    </row>
    <row r="439" spans="1:10" ht="40.15" thickTop="1" thickBot="1" x14ac:dyDescent="0.4">
      <c r="A439" s="3" t="str" cm="1">
        <f t="array" ref="A439">"n"&amp;SUBSTITUTE(CreateGuidString(),"-","_")</f>
        <v>nBE07905A_90C1_4EC8_A06E_53B9BA1818D9</v>
      </c>
      <c r="B439" s="6" t="str">
        <f>NodesData[[#This Row],[name]]&amp;" ("&amp;NodesData[[#This Row],[main_class]]&amp;")"</f>
        <v>User-Centric Identity Management System (Concept)</v>
      </c>
      <c r="C439" s="17" t="s">
        <v>1242</v>
      </c>
      <c r="D439" s="3" t="s">
        <v>1409</v>
      </c>
      <c r="E439" s="10" t="s">
        <v>516</v>
      </c>
      <c r="F439" s="3">
        <f t="shared" si="6"/>
        <v>437</v>
      </c>
      <c r="G439" s="3">
        <f>COUNTIF(NodesData[label],NodesData[[#This Row],[label]])</f>
        <v>1</v>
      </c>
      <c r="H439" s="3">
        <f>COUNTIF(EdgesData[from],NodesData[[#This Row],[id]])+COUNTIF(EdgesData[to],NodesData[[#This Row],[id]])</f>
        <v>0</v>
      </c>
      <c r="I439" s="3">
        <f>IF(NodesData[[#This Row],[Used]]&gt;0,1,0)</f>
        <v>0</v>
      </c>
      <c r="J439" s="18" t="str" cm="1">
        <f t="array" ref="J439">IF(NodesData[[#This Row],[Count]]&gt;1,",","") &amp;"{"&amp;twoRangesToJSON(NodesData[[#Headers],[id]:[main_class]],NodesData[[#This Row],[id]:[main_class]])&amp;"}"</f>
        <v>,{"id":"nBE07905A_90C1_4EC8_A06E_53B9BA1818D9","label":"User-Centric Identity Management System (Concept)","url":"https://open-measure.atlassian.net/wiki/spaces/DIC/pages/1323597878/User-Centric+Identity+Management+System","main_class":"Concept"}</v>
      </c>
    </row>
    <row r="440" spans="1:10" ht="27" thickTop="1" thickBot="1" x14ac:dyDescent="0.4">
      <c r="A440" s="3" t="str" cm="1">
        <f t="array" ref="A440">"n"&amp;SUBSTITUTE(CreateGuidString(),"-","_")</f>
        <v>n89FEF1F2_4D1F_466E_99D4_195AFA77D542</v>
      </c>
      <c r="B440" s="6" t="str">
        <f>NodesData[[#This Row],[name]]&amp;" ("&amp;NodesData[[#This Row],[main_class]]&amp;")"</f>
        <v>User De-Provisioning (Concept)</v>
      </c>
      <c r="C440" s="17" t="s">
        <v>1237</v>
      </c>
      <c r="D440" s="3" t="s">
        <v>1409</v>
      </c>
      <c r="E440" s="10" t="s">
        <v>517</v>
      </c>
      <c r="F440" s="3">
        <f t="shared" si="6"/>
        <v>438</v>
      </c>
      <c r="G440" s="3">
        <f>COUNTIF(NodesData[label],NodesData[[#This Row],[label]])</f>
        <v>1</v>
      </c>
      <c r="H440" s="3">
        <f>COUNTIF(EdgesData[from],NodesData[[#This Row],[id]])+COUNTIF(EdgesData[to],NodesData[[#This Row],[id]])</f>
        <v>0</v>
      </c>
      <c r="I440" s="3">
        <f>IF(NodesData[[#This Row],[Used]]&gt;0,1,0)</f>
        <v>0</v>
      </c>
      <c r="J440" s="18" t="str" cm="1">
        <f t="array" ref="J440">IF(NodesData[[#This Row],[Count]]&gt;1,",","") &amp;"{"&amp;twoRangesToJSON(NodesData[[#Headers],[id]:[main_class]],NodesData[[#This Row],[id]:[main_class]])&amp;"}"</f>
        <v>,{"id":"n89FEF1F2_4D1F_466E_99D4_195AFA77D542","label":"User De-Provisioning (Concept)","url":"https://open-measure.atlassian.net/wiki/spaces/DIC/pages/1146847344/User+De-Provisioning","main_class":"Concept"}</v>
      </c>
    </row>
    <row r="441" spans="1:10" ht="27" thickTop="1" thickBot="1" x14ac:dyDescent="0.4">
      <c r="A441" s="3" t="str" cm="1">
        <f t="array" ref="A441">"n"&amp;SUBSTITUTE(CreateGuidString(),"-","_")</f>
        <v>nB9B9724E_2391_4138_A0E9_1116A70977B7</v>
      </c>
      <c r="B441" s="6" t="str">
        <f>NodesData[[#This Row],[name]]&amp;" ("&amp;NodesData[[#This Row],[main_class]]&amp;")"</f>
        <v>User Entitlement Reviews (Concept)</v>
      </c>
      <c r="C441" s="17" t="s">
        <v>1239</v>
      </c>
      <c r="D441" s="3" t="s">
        <v>1409</v>
      </c>
      <c r="E441" s="10" t="s">
        <v>1238</v>
      </c>
      <c r="F441" s="3">
        <f t="shared" si="6"/>
        <v>439</v>
      </c>
      <c r="G441" s="3">
        <f>COUNTIF(NodesData[label],NodesData[[#This Row],[label]])</f>
        <v>1</v>
      </c>
      <c r="H441" s="3">
        <f>COUNTIF(EdgesData[from],NodesData[[#This Row],[id]])+COUNTIF(EdgesData[to],NodesData[[#This Row],[id]])</f>
        <v>0</v>
      </c>
      <c r="I441" s="3">
        <f>IF(NodesData[[#This Row],[Used]]&gt;0,1,0)</f>
        <v>0</v>
      </c>
      <c r="J441" s="18" t="str" cm="1">
        <f t="array" ref="J441">IF(NodesData[[#This Row],[Count]]&gt;1,",","") &amp;"{"&amp;twoRangesToJSON(NodesData[[#Headers],[id]:[main_class]],NodesData[[#This Row],[id]:[main_class]])&amp;"}"</f>
        <v>,{"id":"nB9B9724E_2391_4138_A0E9_1116A70977B7","label":"User Entitlement Reviews (Concept)","url":"https://open-measure.atlassian.net/wiki/spaces/DIC/pages/1121878257","main_class":"Concept"}</v>
      </c>
    </row>
    <row r="442" spans="1:10" ht="27" thickTop="1" thickBot="1" x14ac:dyDescent="0.4">
      <c r="A442" s="3" t="str" cm="1">
        <f t="array" ref="A442">"n"&amp;SUBSTITUTE(CreateGuidString(),"-","_")</f>
        <v>n8A27FFB8_9414_47A3_A992_CECD45301F4D</v>
      </c>
      <c r="B442" s="6" t="str">
        <f>NodesData[[#This Row],[name]]&amp;" ("&amp;NodesData[[#This Row],[main_class]]&amp;")"</f>
        <v>User ID (Acronym)</v>
      </c>
      <c r="C442" s="17" t="s">
        <v>1240</v>
      </c>
      <c r="D442" s="3" t="s">
        <v>1301</v>
      </c>
      <c r="E442" s="10" t="s">
        <v>519</v>
      </c>
      <c r="F442" s="3">
        <f t="shared" si="6"/>
        <v>440</v>
      </c>
      <c r="G442" s="3">
        <f>COUNTIF(NodesData[label],NodesData[[#This Row],[label]])</f>
        <v>1</v>
      </c>
      <c r="H442" s="3">
        <f>COUNTIF(EdgesData[from],NodesData[[#This Row],[id]])+COUNTIF(EdgesData[to],NodesData[[#This Row],[id]])</f>
        <v>0</v>
      </c>
      <c r="I442" s="3">
        <f>IF(NodesData[[#This Row],[Used]]&gt;0,1,0)</f>
        <v>0</v>
      </c>
      <c r="J442" s="18" t="str" cm="1">
        <f t="array" ref="J442">IF(NodesData[[#This Row],[Count]]&gt;1,",","") &amp;"{"&amp;twoRangesToJSON(NodesData[[#Headers],[id]:[main_class]],NodesData[[#This Row],[id]:[main_class]])&amp;"}"</f>
        <v>,{"id":"n8A27FFB8_9414_47A3_A992_CECD45301F4D","label":"User ID (Acronym)","url":"https://open-measure.atlassian.net/wiki/spaces/DIC/pages/1428652448/User+ID","main_class":"Acronym"}</v>
      </c>
    </row>
    <row r="443" spans="1:10" ht="27" thickTop="1" thickBot="1" x14ac:dyDescent="0.4">
      <c r="A443" s="3" t="str" cm="1">
        <f t="array" ref="A443">"n"&amp;SUBSTITUTE(CreateGuidString(),"-","_")</f>
        <v>nCCDF8F37_41AA_49CC_8F1B_F6DF3B2E8B3C</v>
      </c>
      <c r="B443" s="6" t="str">
        <f>NodesData[[#This Row],[name]]&amp;" ("&amp;NodesData[[#This Row],[main_class]]&amp;")"</f>
        <v>User Provisioning (Concept)</v>
      </c>
      <c r="C443" s="17" t="s">
        <v>1241</v>
      </c>
      <c r="D443" s="3" t="s">
        <v>1409</v>
      </c>
      <c r="E443" s="10" t="s">
        <v>521</v>
      </c>
      <c r="F443" s="3">
        <f t="shared" si="6"/>
        <v>441</v>
      </c>
      <c r="G443" s="3">
        <f>COUNTIF(NodesData[label],NodesData[[#This Row],[label]])</f>
        <v>1</v>
      </c>
      <c r="H443" s="3">
        <f>COUNTIF(EdgesData[from],NodesData[[#This Row],[id]])+COUNTIF(EdgesData[to],NodesData[[#This Row],[id]])</f>
        <v>0</v>
      </c>
      <c r="I443" s="3">
        <f>IF(NodesData[[#This Row],[Used]]&gt;0,1,0)</f>
        <v>0</v>
      </c>
      <c r="J443" s="18" t="str" cm="1">
        <f t="array" ref="J443">IF(NodesData[[#This Row],[Count]]&gt;1,",","") &amp;"{"&amp;twoRangesToJSON(NodesData[[#Headers],[id]:[main_class]],NodesData[[#This Row],[id]:[main_class]])&amp;"}"</f>
        <v>,{"id":"nCCDF8F37_41AA_49CC_8F1B_F6DF3B2E8B3C","label":"User Provisioning (Concept)","url":"https://open-measure.atlassian.net/wiki/spaces/DIC/pages/1147043973/User+Provisioning","main_class":"Concept"}</v>
      </c>
    </row>
    <row r="444" spans="1:10" ht="27" thickTop="1" thickBot="1" x14ac:dyDescent="0.4">
      <c r="A444" s="3" t="str" cm="1">
        <f t="array" ref="A444">"n"&amp;SUBSTITUTE(CreateGuidString(),"-","_")</f>
        <v>n9CB60978_0462_4E90_9AED_BAD401A573ED</v>
      </c>
      <c r="B444" s="6" t="str">
        <f>NodesData[[#This Row],[name]]&amp;" ("&amp;NodesData[[#This Row],[main_class]]&amp;")"</f>
        <v>Username (Concept)</v>
      </c>
      <c r="C444" s="17" t="s">
        <v>1243</v>
      </c>
      <c r="D444" s="3" t="s">
        <v>1409</v>
      </c>
      <c r="E444" s="10" t="s">
        <v>520</v>
      </c>
      <c r="F444" s="3">
        <f t="shared" si="6"/>
        <v>442</v>
      </c>
      <c r="G444" s="3">
        <f>COUNTIF(NodesData[label],NodesData[[#This Row],[label]])</f>
        <v>1</v>
      </c>
      <c r="H444" s="3">
        <f>COUNTIF(EdgesData[from],NodesData[[#This Row],[id]])+COUNTIF(EdgesData[to],NodesData[[#This Row],[id]])</f>
        <v>0</v>
      </c>
      <c r="I444" s="3">
        <f>IF(NodesData[[#This Row],[Used]]&gt;0,1,0)</f>
        <v>0</v>
      </c>
      <c r="J444" s="18" t="str" cm="1">
        <f t="array" ref="J444">IF(NodesData[[#This Row],[Count]]&gt;1,",","") &amp;"{"&amp;twoRangesToJSON(NodesData[[#Headers],[id]:[main_class]],NodesData[[#This Row],[id]:[main_class]])&amp;"}"</f>
        <v>,{"id":"n9CB60978_0462_4E90_9AED_BAD401A573ED","label":"Username (Concept)","url":"https://open-measure.atlassian.net/wiki/spaces/DIC/pages/1428652183/Username","main_class":"Concept"}</v>
      </c>
    </row>
    <row r="445" spans="1:10" ht="27" thickTop="1" thickBot="1" x14ac:dyDescent="0.4">
      <c r="A445" s="3" t="str" cm="1">
        <f t="array" ref="A445">"n"&amp;SUBSTITUTE(CreateGuidString(),"-","_")</f>
        <v>n1E35DBBD_C1F4_4989_AF99_1A80E3EB1BC6</v>
      </c>
      <c r="B445" s="6" t="str">
        <f>NodesData[[#This Row],[name]]&amp;" ("&amp;NodesData[[#This Row],[main_class]]&amp;")"</f>
        <v>Verifiable Claim (Concept)</v>
      </c>
      <c r="C445" s="17" t="s">
        <v>1244</v>
      </c>
      <c r="D445" s="3" t="s">
        <v>1409</v>
      </c>
      <c r="E445" s="10" t="s">
        <v>522</v>
      </c>
      <c r="F445" s="3">
        <f t="shared" si="6"/>
        <v>443</v>
      </c>
      <c r="G445" s="3">
        <f>COUNTIF(NodesData[label],NodesData[[#This Row],[label]])</f>
        <v>1</v>
      </c>
      <c r="H445" s="3">
        <f>COUNTIF(EdgesData[from],NodesData[[#This Row],[id]])+COUNTIF(EdgesData[to],NodesData[[#This Row],[id]])</f>
        <v>0</v>
      </c>
      <c r="I445" s="3">
        <f>IF(NodesData[[#This Row],[Used]]&gt;0,1,0)</f>
        <v>0</v>
      </c>
      <c r="J445" s="18" t="str" cm="1">
        <f t="array" ref="J445">IF(NodesData[[#This Row],[Count]]&gt;1,",","") &amp;"{"&amp;twoRangesToJSON(NodesData[[#Headers],[id]:[main_class]],NodesData[[#This Row],[id]:[main_class]])&amp;"}"</f>
        <v>,{"id":"n1E35DBBD_C1F4_4989_AF99_1A80E3EB1BC6","label":"Verifiable Claim (Concept)","url":"https://open-measure.atlassian.net/wiki/spaces/DIC/pages/1311146179/Verifiable+Claim","main_class":"Concept"}</v>
      </c>
    </row>
    <row r="446" spans="1:10" ht="27" thickTop="1" thickBot="1" x14ac:dyDescent="0.4">
      <c r="A446" s="3" t="str" cm="1">
        <f t="array" ref="A446">"n"&amp;SUBSTITUTE(CreateGuidString(),"-","_")</f>
        <v>n9F7B8B27_5E42_408D_A160_D7C8B4C85F68</v>
      </c>
      <c r="B446" s="6" t="str">
        <f>NodesData[[#This Row],[name]]&amp;" ("&amp;NodesData[[#This Row],[main_class]]&amp;")"</f>
        <v>Verification (Concept)</v>
      </c>
      <c r="C446" s="17" t="s">
        <v>1245</v>
      </c>
      <c r="D446" s="3" t="s">
        <v>1409</v>
      </c>
      <c r="E446" s="10" t="s">
        <v>523</v>
      </c>
      <c r="F446" s="3">
        <f t="shared" si="6"/>
        <v>444</v>
      </c>
      <c r="G446" s="3">
        <f>COUNTIF(NodesData[label],NodesData[[#This Row],[label]])</f>
        <v>1</v>
      </c>
      <c r="H446" s="3">
        <f>COUNTIF(EdgesData[from],NodesData[[#This Row],[id]])+COUNTIF(EdgesData[to],NodesData[[#This Row],[id]])</f>
        <v>0</v>
      </c>
      <c r="I446" s="3">
        <f>IF(NodesData[[#This Row],[Used]]&gt;0,1,0)</f>
        <v>0</v>
      </c>
      <c r="J446" s="18" t="str" cm="1">
        <f t="array" ref="J446">IF(NodesData[[#This Row],[Count]]&gt;1,",","") &amp;"{"&amp;twoRangesToJSON(NodesData[[#Headers],[id]:[main_class]],NodesData[[#This Row],[id]:[main_class]])&amp;"}"</f>
        <v>,{"id":"n9F7B8B27_5E42_408D_A160_D7C8B4C85F68","label":"Verification (Concept)","url":"https://open-measure.atlassian.net/wiki/spaces/DIC/pages/446988510/Verification","main_class":"Concept"}</v>
      </c>
    </row>
    <row r="447" spans="1:10" ht="27" thickTop="1" thickBot="1" x14ac:dyDescent="0.4">
      <c r="A447" s="3" t="str" cm="1">
        <f t="array" ref="A447">"n"&amp;SUBSTITUTE(CreateGuidString(),"-","_")</f>
        <v>n4EEE434E_2337_4F37_A7D1_8DD88E5C27D4</v>
      </c>
      <c r="B447" s="6" t="str">
        <f>NodesData[[#This Row],[name]]&amp;" ("&amp;NodesData[[#This Row],[main_class]]&amp;")"</f>
        <v>Virtual Directory (Concept)</v>
      </c>
      <c r="C447" s="17" t="s">
        <v>1247</v>
      </c>
      <c r="D447" s="3" t="s">
        <v>1409</v>
      </c>
      <c r="E447" s="10" t="s">
        <v>1246</v>
      </c>
      <c r="F447" s="3">
        <f t="shared" si="6"/>
        <v>445</v>
      </c>
      <c r="G447" s="3">
        <f>COUNTIF(NodesData[label],NodesData[[#This Row],[label]])</f>
        <v>1</v>
      </c>
      <c r="H447" s="3">
        <f>COUNTIF(EdgesData[from],NodesData[[#This Row],[id]])+COUNTIF(EdgesData[to],NodesData[[#This Row],[id]])</f>
        <v>0</v>
      </c>
      <c r="I447" s="3">
        <f>IF(NodesData[[#This Row],[Used]]&gt;0,1,0)</f>
        <v>0</v>
      </c>
      <c r="J447" s="18" t="str" cm="1">
        <f t="array" ref="J447">IF(NodesData[[#This Row],[Count]]&gt;1,",","") &amp;"{"&amp;twoRangesToJSON(NodesData[[#Headers],[id]:[main_class]],NodesData[[#This Row],[id]:[main_class]])&amp;"}"</f>
        <v>,{"id":"n4EEE434E_2337_4F37_A7D1_8DD88E5C27D4","label":"Virtual Directory (Concept)","url":"https://open-measure.atlassian.net/wiki/spaces/DIC/pages/834044330","main_class":"Concept"}</v>
      </c>
    </row>
    <row r="448" spans="1:10" ht="27" thickTop="1" thickBot="1" x14ac:dyDescent="0.4">
      <c r="A448" s="3" t="str" cm="1">
        <f t="array" ref="A448">"n"&amp;SUBSTITUTE(CreateGuidString(),"-","_")</f>
        <v>n52C4B136_B004_4D53_BEE0_2EF7CBD1F325</v>
      </c>
      <c r="B448" s="6" t="str">
        <f>NodesData[[#This Row],[name]]&amp;" ("&amp;NodesData[[#This Row],[main_class]]&amp;")"</f>
        <v>Virtual Private Network (Concept)</v>
      </c>
      <c r="C448" s="17" t="s">
        <v>1249</v>
      </c>
      <c r="D448" s="3" t="s">
        <v>1409</v>
      </c>
      <c r="E448" s="10" t="s">
        <v>1248</v>
      </c>
      <c r="F448" s="3">
        <f t="shared" si="6"/>
        <v>446</v>
      </c>
      <c r="G448" s="3">
        <f>COUNTIF(NodesData[label],NodesData[[#This Row],[label]])</f>
        <v>1</v>
      </c>
      <c r="H448" s="3">
        <f>COUNTIF(EdgesData[from],NodesData[[#This Row],[id]])+COUNTIF(EdgesData[to],NodesData[[#This Row],[id]])</f>
        <v>0</v>
      </c>
      <c r="I448" s="3">
        <f>IF(NodesData[[#This Row],[Used]]&gt;0,1,0)</f>
        <v>0</v>
      </c>
      <c r="J448" s="18" t="str" cm="1">
        <f t="array" ref="J448">IF(NodesData[[#This Row],[Count]]&gt;1,",","") &amp;"{"&amp;twoRangesToJSON(NodesData[[#Headers],[id]:[main_class]],NodesData[[#This Row],[id]:[main_class]])&amp;"}"</f>
        <v>,{"id":"n52C4B136_B004_4D53_BEE0_2EF7CBD1F325","label":"Virtual Private Network (Concept)","url":"https://open-measure.atlassian.net/wiki/spaces/DIC/pages/236748839","main_class":"Concept"}</v>
      </c>
    </row>
    <row r="449" spans="1:10" ht="27" thickTop="1" thickBot="1" x14ac:dyDescent="0.4">
      <c r="A449" s="3" t="str" cm="1">
        <f t="array" ref="A449">"n"&amp;SUBSTITUTE(CreateGuidString(),"-","_")</f>
        <v>n9A639392_510A_4D04_9622_D4CB69D47FD6</v>
      </c>
      <c r="B449" s="6" t="str">
        <f>NodesData[[#This Row],[name]]&amp;" ("&amp;NodesData[[#This Row],[main_class]]&amp;")"</f>
        <v>Virtual Risk and Security Site Review (Concept)</v>
      </c>
      <c r="C449" s="17" t="s">
        <v>1251</v>
      </c>
      <c r="D449" s="3" t="s">
        <v>1409</v>
      </c>
      <c r="E449" s="10" t="s">
        <v>1250</v>
      </c>
      <c r="F449" s="3">
        <f t="shared" si="6"/>
        <v>447</v>
      </c>
      <c r="G449" s="3">
        <f>COUNTIF(NodesData[label],NodesData[[#This Row],[label]])</f>
        <v>1</v>
      </c>
      <c r="H449" s="3">
        <f>COUNTIF(EdgesData[from],NodesData[[#This Row],[id]])+COUNTIF(EdgesData[to],NodesData[[#This Row],[id]])</f>
        <v>0</v>
      </c>
      <c r="I449" s="3">
        <f>IF(NodesData[[#This Row],[Used]]&gt;0,1,0)</f>
        <v>0</v>
      </c>
      <c r="J449" s="18" t="str" cm="1">
        <f t="array" ref="J449">IF(NodesData[[#This Row],[Count]]&gt;1,",","") &amp;"{"&amp;twoRangesToJSON(NodesData[[#Headers],[id]:[main_class]],NodesData[[#This Row],[id]:[main_class]])&amp;"}"</f>
        <v>,{"id":"n9A639392_510A_4D04_9622_D4CB69D47FD6","label":"Virtual Risk and Security Site Review (Concept)","url":"https://open-measure.atlassian.net/wiki/spaces/DIC/pages/542146561","main_class":"Concept"}</v>
      </c>
    </row>
    <row r="450" spans="1:10" ht="13.9" thickTop="1" thickBot="1" x14ac:dyDescent="0.4">
      <c r="A450" s="3" t="str" cm="1">
        <f t="array" ref="A450">"n"&amp;SUBSTITUTE(CreateGuidString(),"-","_")</f>
        <v>nC99B7962_F365_43F0_B2E7_8456F4784916</v>
      </c>
      <c r="B450" s="6" t="str">
        <f>NodesData[[#This Row],[name]]&amp;" ("&amp;NodesData[[#This Row],[main_class]]&amp;")"</f>
        <v>Voice OTP (Concept)</v>
      </c>
      <c r="C450" s="22"/>
      <c r="D450" s="3" t="s">
        <v>1409</v>
      </c>
      <c r="E450" s="10" t="s">
        <v>1371</v>
      </c>
      <c r="F450" s="3">
        <f t="shared" si="6"/>
        <v>448</v>
      </c>
      <c r="G450" s="3">
        <f>COUNTIF(NodesData[label],NodesData[[#This Row],[label]])</f>
        <v>1</v>
      </c>
      <c r="H450" s="3">
        <f>COUNTIF(EdgesData[from],NodesData[[#This Row],[id]])+COUNTIF(EdgesData[to],NodesData[[#This Row],[id]])</f>
        <v>0</v>
      </c>
      <c r="I450" s="3">
        <f>IF(NodesData[[#This Row],[Used]]&gt;0,1,0)</f>
        <v>0</v>
      </c>
      <c r="J450" s="18" t="str" cm="1">
        <f t="array" ref="J450">IF(NodesData[[#This Row],[Count]]&gt;1,",","") &amp;"{"&amp;twoRangesToJSON(NodesData[[#Headers],[id]:[main_class]],NodesData[[#This Row],[id]:[main_class]])&amp;"}"</f>
        <v>,{"id":"nC99B7962_F365_43F0_B2E7_8456F4784916","label":"Voice OTP (Concept)","url":"","main_class":"Concept"}</v>
      </c>
    </row>
    <row r="451" spans="1:10" ht="27" thickTop="1" thickBot="1" x14ac:dyDescent="0.4">
      <c r="A451" s="3" t="str" cm="1">
        <f t="array" ref="A451">"n"&amp;SUBSTITUTE(CreateGuidString(),"-","_")</f>
        <v>n6F503754_7655_4CAE_A59C_5B221F6C646C</v>
      </c>
      <c r="B451" s="6" t="str">
        <f>NodesData[[#This Row],[name]]&amp;" ("&amp;NodesData[[#This Row],[main_class]]&amp;")"</f>
        <v>Unauthorized Access (Concept)</v>
      </c>
      <c r="C451" s="17" t="s">
        <v>1232</v>
      </c>
      <c r="D451" s="3" t="s">
        <v>1409</v>
      </c>
      <c r="E451" s="10" t="s">
        <v>510</v>
      </c>
      <c r="F451" s="3">
        <f t="shared" si="6"/>
        <v>449</v>
      </c>
      <c r="G451" s="3">
        <f>COUNTIF(NodesData[label],NodesData[[#This Row],[label]])</f>
        <v>1</v>
      </c>
      <c r="H451" s="3">
        <f>COUNTIF(EdgesData[from],NodesData[[#This Row],[id]])+COUNTIF(EdgesData[to],NodesData[[#This Row],[id]])</f>
        <v>0</v>
      </c>
      <c r="I451" s="3">
        <f>IF(NodesData[[#This Row],[Used]]&gt;0,1,0)</f>
        <v>0</v>
      </c>
      <c r="J451" s="18" t="str" cm="1">
        <f t="array" ref="J451">IF(NodesData[[#This Row],[Count]]&gt;1,",","") &amp;"{"&amp;twoRangesToJSON(NodesData[[#Headers],[id]:[main_class]],NodesData[[#This Row],[id]:[main_class]])&amp;"}"</f>
        <v>,{"id":"n6F503754_7655_4CAE_A59C_5B221F6C646C","label":"Unauthorized Access (Concept)","url":"https://open-measure.atlassian.net/wiki/spaces/DIC/pages/1231126540/Unauthorized+Access","main_class":"Concept"}</v>
      </c>
    </row>
    <row r="452" spans="1:10" ht="27" thickTop="1" thickBot="1" x14ac:dyDescent="0.4">
      <c r="A452" s="3" t="str" cm="1">
        <f t="array" ref="A452">"n"&amp;SUBSTITUTE(CreateGuidString(),"-","_")</f>
        <v>n30499385_22BC_4543_80CD_18E0A5BF083F</v>
      </c>
      <c r="B452" s="6" t="str">
        <f>NodesData[[#This Row],[name]]&amp;" ("&amp;NodesData[[#This Row],[main_class]]&amp;")"</f>
        <v>VPN (Acronym)</v>
      </c>
      <c r="C452" s="17" t="s">
        <v>1253</v>
      </c>
      <c r="D452" s="3" t="s">
        <v>1301</v>
      </c>
      <c r="E452" s="10" t="s">
        <v>1252</v>
      </c>
      <c r="F452" s="3">
        <f t="shared" si="6"/>
        <v>450</v>
      </c>
      <c r="G452" s="3">
        <f>COUNTIF(NodesData[label],NodesData[[#This Row],[label]])</f>
        <v>1</v>
      </c>
      <c r="H452" s="3">
        <f>COUNTIF(EdgesData[from],NodesData[[#This Row],[id]])+COUNTIF(EdgesData[to],NodesData[[#This Row],[id]])</f>
        <v>0</v>
      </c>
      <c r="I452" s="3">
        <f>IF(NodesData[[#This Row],[Used]]&gt;0,1,0)</f>
        <v>0</v>
      </c>
      <c r="J452" s="18" t="str" cm="1">
        <f t="array" ref="J452">IF(NodesData[[#This Row],[Count]]&gt;1,",","") &amp;"{"&amp;twoRangesToJSON(NodesData[[#Headers],[id]:[main_class]],NodesData[[#This Row],[id]:[main_class]])&amp;"}"</f>
        <v>,{"id":"n30499385_22BC_4543_80CD_18E0A5BF083F","label":"VPN (Acronym)","url":"https://open-measure.atlassian.net/wiki/spaces/DIC/pages/234389605","main_class":"Acronym"}</v>
      </c>
    </row>
    <row r="453" spans="1:10" ht="27" thickTop="1" thickBot="1" x14ac:dyDescent="0.4">
      <c r="A453" s="3" t="str" cm="1">
        <f t="array" ref="A453">"n"&amp;SUBSTITUTE(CreateGuidString(),"-","_")</f>
        <v>n1BE1117E_6538_407F_A44E_6324B9FF4BE1</v>
      </c>
      <c r="B453" s="6" t="str">
        <f>NodesData[[#This Row],[name]]&amp;" ("&amp;NodesData[[#This Row],[main_class]]&amp;")"</f>
        <v>Voice Recognition Authentication (Concept)</v>
      </c>
      <c r="C453" s="12"/>
      <c r="D453" s="3" t="s">
        <v>1409</v>
      </c>
      <c r="E453" s="10" t="s">
        <v>1363</v>
      </c>
      <c r="F453" s="3">
        <f t="shared" ref="F453:F475" si="7">F452+1</f>
        <v>451</v>
      </c>
      <c r="G453" s="3">
        <f>COUNTIF(NodesData[label],NodesData[[#This Row],[label]])</f>
        <v>1</v>
      </c>
      <c r="H453" s="3">
        <f>COUNTIF(EdgesData[from],NodesData[[#This Row],[id]])+COUNTIF(EdgesData[to],NodesData[[#This Row],[id]])</f>
        <v>0</v>
      </c>
      <c r="I453" s="3">
        <f>IF(NodesData[[#This Row],[Used]]&gt;0,1,0)</f>
        <v>0</v>
      </c>
      <c r="J453" s="18" t="str" cm="1">
        <f t="array" ref="J453">IF(NodesData[[#This Row],[Count]]&gt;1,",","") &amp;"{"&amp;twoRangesToJSON(NodesData[[#Headers],[id]:[main_class]],NodesData[[#This Row],[id]:[main_class]])&amp;"}"</f>
        <v>,{"id":"n1BE1117E_6538_407F_A44E_6324B9FF4BE1","label":"Voice Recognition Authentication (Concept)","url":"","main_class":"Concept"}</v>
      </c>
    </row>
    <row r="454" spans="1:10" ht="27" thickTop="1" thickBot="1" x14ac:dyDescent="0.4">
      <c r="A454" s="3" t="str" cm="1">
        <f t="array" ref="A454">"n"&amp;SUBSTITUTE(CreateGuidString(),"-","_")</f>
        <v>n9A8C2B18_537D_4C40_8367_72930E0D75E0</v>
      </c>
      <c r="B454" s="6" t="str">
        <f>NodesData[[#This Row],[name]]&amp;" ("&amp;NodesData[[#This Row],[main_class]]&amp;")"</f>
        <v>Weak Tranquility Property (Concept)</v>
      </c>
      <c r="C454" s="17" t="s">
        <v>1257</v>
      </c>
      <c r="D454" s="3" t="s">
        <v>1409</v>
      </c>
      <c r="E454" s="10" t="s">
        <v>1256</v>
      </c>
      <c r="F454" s="3">
        <f t="shared" si="7"/>
        <v>452</v>
      </c>
      <c r="G454" s="3">
        <f>COUNTIF(NodesData[label],NodesData[[#This Row],[label]])</f>
        <v>1</v>
      </c>
      <c r="H454" s="3">
        <f>COUNTIF(EdgesData[from],NodesData[[#This Row],[id]])+COUNTIF(EdgesData[to],NodesData[[#This Row],[id]])</f>
        <v>0</v>
      </c>
      <c r="I454" s="3">
        <f>IF(NodesData[[#This Row],[Used]]&gt;0,1,0)</f>
        <v>0</v>
      </c>
      <c r="J454" s="18" t="str" cm="1">
        <f t="array" ref="J454">IF(NodesData[[#This Row],[Count]]&gt;1,",","") &amp;"{"&amp;twoRangesToJSON(NodesData[[#Headers],[id]:[main_class]],NodesData[[#This Row],[id]:[main_class]])&amp;"}"</f>
        <v>,{"id":"n9A8C2B18_537D_4C40_8367_72930E0D75E0","label":"Weak Tranquility Property (Concept)","url":"https://open-measure.atlassian.net/wiki/spaces/DIC/pages/1177845999","main_class":"Concept"}</v>
      </c>
    </row>
    <row r="455" spans="1:10" ht="27" thickTop="1" thickBot="1" x14ac:dyDescent="0.4">
      <c r="A455" s="3" t="str" cm="1">
        <f t="array" ref="A455">"n"&amp;SUBSTITUTE(CreateGuidString(),"-","_")</f>
        <v>n0A6F3362_3EBA_4979_B48F_77B4D83E438F</v>
      </c>
      <c r="B455" s="6" t="str">
        <f>NodesData[[#This Row],[name]]&amp;" ("&amp;NodesData[[#This Row],[main_class]]&amp;")"</f>
        <v>Web-based Single Sign-On (Concept)</v>
      </c>
      <c r="C455" s="17" t="s">
        <v>1259</v>
      </c>
      <c r="D455" s="3" t="s">
        <v>1409</v>
      </c>
      <c r="E455" s="10" t="s">
        <v>1258</v>
      </c>
      <c r="F455" s="3">
        <f t="shared" si="7"/>
        <v>453</v>
      </c>
      <c r="G455" s="3">
        <f>COUNTIF(NodesData[label],NodesData[[#This Row],[label]])</f>
        <v>1</v>
      </c>
      <c r="H455" s="3">
        <f>COUNTIF(EdgesData[from],NodesData[[#This Row],[id]])+COUNTIF(EdgesData[to],NodesData[[#This Row],[id]])</f>
        <v>0</v>
      </c>
      <c r="I455" s="3">
        <f>IF(NodesData[[#This Row],[Used]]&gt;0,1,0)</f>
        <v>0</v>
      </c>
      <c r="J455" s="18" t="str" cm="1">
        <f t="array" ref="J455">IF(NodesData[[#This Row],[Count]]&gt;1,",","") &amp;"{"&amp;twoRangesToJSON(NodesData[[#Headers],[id]:[main_class]],NodesData[[#This Row],[id]:[main_class]])&amp;"}"</f>
        <v>,{"id":"n0A6F3362_3EBA_4979_B48F_77B4D83E438F","label":"Web-based Single Sign-On (Concept)","url":"https://open-measure.atlassian.net/wiki/spaces/DIC/pages/75923587","main_class":"Concept"}</v>
      </c>
    </row>
    <row r="456" spans="1:10" ht="27" thickTop="1" thickBot="1" x14ac:dyDescent="0.4">
      <c r="A456" s="3" t="str" cm="1">
        <f t="array" ref="A456">"n"&amp;SUBSTITUTE(CreateGuidString(),"-","_")</f>
        <v>nF19C8188_C960_4A5E_991E_D10EB54EBB43</v>
      </c>
      <c r="B456" s="6" t="str">
        <f>NodesData[[#This Row],[name]]&amp;" ("&amp;NodesData[[#This Row],[main_class]]&amp;")"</f>
        <v>Windows (Non-Default) Local User Account (Concept)</v>
      </c>
      <c r="C456" s="17" t="s">
        <v>1261</v>
      </c>
      <c r="D456" s="3" t="s">
        <v>1409</v>
      </c>
      <c r="E456" s="10" t="s">
        <v>1260</v>
      </c>
      <c r="F456" s="3">
        <f t="shared" si="7"/>
        <v>454</v>
      </c>
      <c r="G456" s="3">
        <f>COUNTIF(NodesData[label],NodesData[[#This Row],[label]])</f>
        <v>1</v>
      </c>
      <c r="H456" s="3">
        <f>COUNTIF(EdgesData[from],NodesData[[#This Row],[id]])+COUNTIF(EdgesData[to],NodesData[[#This Row],[id]])</f>
        <v>0</v>
      </c>
      <c r="I456" s="3">
        <f>IF(NodesData[[#This Row],[Used]]&gt;0,1,0)</f>
        <v>0</v>
      </c>
      <c r="J456" s="18" t="str" cm="1">
        <f t="array" ref="J456">IF(NodesData[[#This Row],[Count]]&gt;1,",","") &amp;"{"&amp;twoRangesToJSON(NodesData[[#Headers],[id]:[main_class]],NodesData[[#This Row],[id]:[main_class]])&amp;"}"</f>
        <v>,{"id":"nF19C8188_C960_4A5E_991E_D10EB54EBB43","label":"Windows (Non-Default) Local User Account (Concept)","url":"https://open-measure.atlassian.net/wiki/spaces/DIC/pages/140673566","main_class":"Concept"}</v>
      </c>
    </row>
    <row r="457" spans="1:10" ht="27" thickTop="1" thickBot="1" x14ac:dyDescent="0.4">
      <c r="A457" s="3" t="str" cm="1">
        <f t="array" ref="A457">"n"&amp;SUBSTITUTE(CreateGuidString(),"-","_")</f>
        <v>n729CF5E8_F21C_4FEB_B9F6_94A9FC79767D</v>
      </c>
      <c r="B457" s="6" t="str">
        <f>NodesData[[#This Row],[name]]&amp;" ("&amp;NodesData[[#This Row],[main_class]]&amp;")"</f>
        <v>Windows Default Local System Account (Concept)</v>
      </c>
      <c r="C457" s="17" t="s">
        <v>1263</v>
      </c>
      <c r="D457" s="3" t="s">
        <v>1409</v>
      </c>
      <c r="E457" s="10" t="s">
        <v>1262</v>
      </c>
      <c r="F457" s="3">
        <f t="shared" si="7"/>
        <v>455</v>
      </c>
      <c r="G457" s="3">
        <f>COUNTIF(NodesData[label],NodesData[[#This Row],[label]])</f>
        <v>1</v>
      </c>
      <c r="H457" s="3">
        <f>COUNTIF(EdgesData[from],NodesData[[#This Row],[id]])+COUNTIF(EdgesData[to],NodesData[[#This Row],[id]])</f>
        <v>0</v>
      </c>
      <c r="I457" s="3">
        <f>IF(NodesData[[#This Row],[Used]]&gt;0,1,0)</f>
        <v>0</v>
      </c>
      <c r="J457" s="18" t="str" cm="1">
        <f t="array" ref="J457">IF(NodesData[[#This Row],[Count]]&gt;1,",","") &amp;"{"&amp;twoRangesToJSON(NodesData[[#Headers],[id]:[main_class]],NodesData[[#This Row],[id]:[main_class]])&amp;"}"</f>
        <v>,{"id":"n729CF5E8_F21C_4FEB_B9F6_94A9FC79767D","label":"Windows Default Local System Account (Concept)","url":"https://open-measure.atlassian.net/wiki/spaces/DIC/pages/140739507","main_class":"Concept"}</v>
      </c>
    </row>
    <row r="458" spans="1:10" ht="27" thickTop="1" thickBot="1" x14ac:dyDescent="0.4">
      <c r="A458" s="3" t="str" cm="1">
        <f t="array" ref="A458">"n"&amp;SUBSTITUTE(CreateGuidString(),"-","_")</f>
        <v>n29D7DF5C_3D62_487C_978C_26D3D4097074</v>
      </c>
      <c r="B458" s="6" t="str">
        <f>NodesData[[#This Row],[name]]&amp;" ("&amp;NodesData[[#This Row],[main_class]]&amp;")"</f>
        <v>Windows Default Local User Account (Concept)</v>
      </c>
      <c r="C458" s="17" t="s">
        <v>1265</v>
      </c>
      <c r="D458" s="3" t="s">
        <v>1409</v>
      </c>
      <c r="E458" s="10" t="s">
        <v>1264</v>
      </c>
      <c r="F458" s="3">
        <f t="shared" si="7"/>
        <v>456</v>
      </c>
      <c r="G458" s="3">
        <f>COUNTIF(NodesData[label],NodesData[[#This Row],[label]])</f>
        <v>1</v>
      </c>
      <c r="H458" s="3">
        <f>COUNTIF(EdgesData[from],NodesData[[#This Row],[id]])+COUNTIF(EdgesData[to],NodesData[[#This Row],[id]])</f>
        <v>0</v>
      </c>
      <c r="I458" s="3">
        <f>IF(NodesData[[#This Row],[Used]]&gt;0,1,0)</f>
        <v>0</v>
      </c>
      <c r="J458" s="18" t="str" cm="1">
        <f t="array" ref="J458">IF(NodesData[[#This Row],[Count]]&gt;1,",","") &amp;"{"&amp;twoRangesToJSON(NodesData[[#Headers],[id]:[main_class]],NodesData[[#This Row],[id]:[main_class]])&amp;"}"</f>
        <v>,{"id":"n29D7DF5C_3D62_487C_978C_26D3D4097074","label":"Windows Default Local User Account (Concept)","url":"https://open-measure.atlassian.net/wiki/spaces/DIC/pages/140673594","main_class":"Concept"}</v>
      </c>
    </row>
    <row r="459" spans="1:10" ht="27" thickTop="1" thickBot="1" x14ac:dyDescent="0.4">
      <c r="A459" s="3" t="str" cm="1">
        <f t="array" ref="A459">"n"&amp;SUBSTITUTE(CreateGuidString(),"-","_")</f>
        <v>nF6C4D297_671E_47C3_93E7_653210D74F76</v>
      </c>
      <c r="B459" s="6" t="str">
        <f>NodesData[[#This Row],[name]]&amp;" ("&amp;NodesData[[#This Row],[main_class]]&amp;")"</f>
        <v>Windows DefaultAccount Account (Concept)</v>
      </c>
      <c r="C459" s="17" t="s">
        <v>1267</v>
      </c>
      <c r="D459" s="3" t="s">
        <v>1409</v>
      </c>
      <c r="E459" s="10" t="s">
        <v>1266</v>
      </c>
      <c r="F459" s="3">
        <f t="shared" si="7"/>
        <v>457</v>
      </c>
      <c r="G459" s="3">
        <f>COUNTIF(NodesData[label],NodesData[[#This Row],[label]])</f>
        <v>1</v>
      </c>
      <c r="H459" s="3">
        <f>COUNTIF(EdgesData[from],NodesData[[#This Row],[id]])+COUNTIF(EdgesData[to],NodesData[[#This Row],[id]])</f>
        <v>0</v>
      </c>
      <c r="I459" s="3">
        <f>IF(NodesData[[#This Row],[Used]]&gt;0,1,0)</f>
        <v>0</v>
      </c>
      <c r="J459" s="18" t="str" cm="1">
        <f t="array" ref="J459">IF(NodesData[[#This Row],[Count]]&gt;1,",","") &amp;"{"&amp;twoRangesToJSON(NodesData[[#Headers],[id]:[main_class]],NodesData[[#This Row],[id]:[main_class]])&amp;"}"</f>
        <v>,{"id":"nF6C4D297_671E_47C3_93E7_653210D74F76","label":"Windows DefaultAccount Account (Concept)","url":"https://open-measure.atlassian.net/wiki/spaces/DIC/pages/140739482","main_class":"Concept"}</v>
      </c>
    </row>
    <row r="460" spans="1:10" ht="27" thickTop="1" thickBot="1" x14ac:dyDescent="0.4">
      <c r="A460" s="3" t="str" cm="1">
        <f t="array" ref="A460">"n"&amp;SUBSTITUTE(CreateGuidString(),"-","_")</f>
        <v>nBF9C05F4_E31C_4B4F_9BF3_587DC4BDCEF1</v>
      </c>
      <c r="B460" s="6" t="str">
        <f>NodesData[[#This Row],[name]]&amp;" ("&amp;NodesData[[#This Row],[main_class]]&amp;")"</f>
        <v>Windows Guest Account (Concept)</v>
      </c>
      <c r="C460" s="17" t="s">
        <v>1269</v>
      </c>
      <c r="D460" s="3" t="s">
        <v>1409</v>
      </c>
      <c r="E460" s="10" t="s">
        <v>1268</v>
      </c>
      <c r="F460" s="3">
        <f t="shared" si="7"/>
        <v>458</v>
      </c>
      <c r="G460" s="3">
        <f>COUNTIF(NodesData[label],NodesData[[#This Row],[label]])</f>
        <v>1</v>
      </c>
      <c r="H460" s="3">
        <f>COUNTIF(EdgesData[from],NodesData[[#This Row],[id]])+COUNTIF(EdgesData[to],NodesData[[#This Row],[id]])</f>
        <v>0</v>
      </c>
      <c r="I460" s="3">
        <f>IF(NodesData[[#This Row],[Used]]&gt;0,1,0)</f>
        <v>0</v>
      </c>
      <c r="J460" s="18" t="str" cm="1">
        <f t="array" ref="J460">IF(NodesData[[#This Row],[Count]]&gt;1,",","") &amp;"{"&amp;twoRangesToJSON(NodesData[[#Headers],[id]:[main_class]],NodesData[[#This Row],[id]:[main_class]])&amp;"}"</f>
        <v>,{"id":"nBF9C05F4_E31C_4B4F_9BF3_587DC4BDCEF1","label":"Windows Guest Account (Concept)","url":"https://open-measure.atlassian.net/wiki/spaces/DIC/pages/140673653","main_class":"Concept"}</v>
      </c>
    </row>
    <row r="461" spans="1:10" ht="27" thickTop="1" thickBot="1" x14ac:dyDescent="0.4">
      <c r="A461" s="3" t="str" cm="1">
        <f t="array" ref="A461">"n"&amp;SUBSTITUTE(CreateGuidString(),"-","_")</f>
        <v>nD91E9DAD_5C4B_4824_B077_D49F23F802A1</v>
      </c>
      <c r="B461" s="6" t="str">
        <f>NodesData[[#This Row],[name]]&amp;" ("&amp;NodesData[[#This Row],[main_class]]&amp;")"</f>
        <v>Windows HelpAssistant Account (Concept)</v>
      </c>
      <c r="C461" s="17" t="s">
        <v>1271</v>
      </c>
      <c r="D461" s="3" t="s">
        <v>1409</v>
      </c>
      <c r="E461" s="10" t="s">
        <v>1270</v>
      </c>
      <c r="F461" s="3">
        <f t="shared" si="7"/>
        <v>459</v>
      </c>
      <c r="G461" s="3">
        <f>COUNTIF(NodesData[label],NodesData[[#This Row],[label]])</f>
        <v>1</v>
      </c>
      <c r="H461" s="3">
        <f>COUNTIF(EdgesData[from],NodesData[[#This Row],[id]])+COUNTIF(EdgesData[to],NodesData[[#This Row],[id]])</f>
        <v>0</v>
      </c>
      <c r="I461" s="3">
        <f>IF(NodesData[[#This Row],[Used]]&gt;0,1,0)</f>
        <v>0</v>
      </c>
      <c r="J461" s="18" t="str" cm="1">
        <f t="array" ref="J461">IF(NodesData[[#This Row],[Count]]&gt;1,",","") &amp;"{"&amp;twoRangesToJSON(NodesData[[#Headers],[id]:[main_class]],NodesData[[#This Row],[id]:[main_class]])&amp;"}"</f>
        <v>,{"id":"nD91E9DAD_5C4B_4824_B077_D49F23F802A1","label":"Windows HelpAssistant Account (Concept)","url":"https://open-measure.atlassian.net/wiki/spaces/DIC/pages/140771901","main_class":"Concept"}</v>
      </c>
    </row>
    <row r="462" spans="1:10" ht="27" thickTop="1" thickBot="1" x14ac:dyDescent="0.4">
      <c r="A462" s="3" t="str" cm="1">
        <f t="array" ref="A462">"n"&amp;SUBSTITUTE(CreateGuidString(),"-","_")</f>
        <v>nC7666F4A_5280_429D_BC0C_4030C228A218</v>
      </c>
      <c r="B462" s="6" t="str">
        <f>NodesData[[#This Row],[name]]&amp;" ("&amp;NodesData[[#This Row],[main_class]]&amp;")"</f>
        <v>Windows Local Account (Concept)</v>
      </c>
      <c r="C462" s="17" t="s">
        <v>1273</v>
      </c>
      <c r="D462" s="3" t="s">
        <v>1409</v>
      </c>
      <c r="E462" s="10" t="s">
        <v>1272</v>
      </c>
      <c r="F462" s="3">
        <f t="shared" si="7"/>
        <v>460</v>
      </c>
      <c r="G462" s="3">
        <f>COUNTIF(NodesData[label],NodesData[[#This Row],[label]])</f>
        <v>1</v>
      </c>
      <c r="H462" s="3">
        <f>COUNTIF(EdgesData[from],NodesData[[#This Row],[id]])+COUNTIF(EdgesData[to],NodesData[[#This Row],[id]])</f>
        <v>0</v>
      </c>
      <c r="I462" s="3">
        <f>IF(NodesData[[#This Row],[Used]]&gt;0,1,0)</f>
        <v>0</v>
      </c>
      <c r="J462" s="18" t="str" cm="1">
        <f t="array" ref="J462">IF(NodesData[[#This Row],[Count]]&gt;1,",","") &amp;"{"&amp;twoRangesToJSON(NodesData[[#Headers],[id]:[main_class]],NodesData[[#This Row],[id]:[main_class]])&amp;"}"</f>
        <v>,{"id":"nC7666F4A_5280_429D_BC0C_4030C228A218","label":"Windows Local Account (Concept)","url":"https://open-measure.atlassian.net/wiki/spaces/DIC/pages/140772047","main_class":"Concept"}</v>
      </c>
    </row>
    <row r="463" spans="1:10" ht="27" thickTop="1" thickBot="1" x14ac:dyDescent="0.4">
      <c r="A463" s="3" t="str" cm="1">
        <f t="array" ref="A463">"n"&amp;SUBSTITUTE(CreateGuidString(),"-","_")</f>
        <v>n6F8A14D3_9F9F_4882_8365_1C0F62B687BD</v>
      </c>
      <c r="B463" s="6" t="str">
        <f>NodesData[[#This Row],[name]]&amp;" ("&amp;NodesData[[#This Row],[main_class]]&amp;")"</f>
        <v>Windows Local Administrator Account (Concept)</v>
      </c>
      <c r="C463" s="17" t="s">
        <v>1275</v>
      </c>
      <c r="D463" s="3" t="s">
        <v>1409</v>
      </c>
      <c r="E463" s="10" t="s">
        <v>1274</v>
      </c>
      <c r="F463" s="3">
        <f t="shared" si="7"/>
        <v>461</v>
      </c>
      <c r="G463" s="3">
        <f>COUNTIF(NodesData[label],NodesData[[#This Row],[label]])</f>
        <v>1</v>
      </c>
      <c r="H463" s="3">
        <f>COUNTIF(EdgesData[from],NodesData[[#This Row],[id]])+COUNTIF(EdgesData[to],NodesData[[#This Row],[id]])</f>
        <v>0</v>
      </c>
      <c r="I463" s="3">
        <f>IF(NodesData[[#This Row],[Used]]&gt;0,1,0)</f>
        <v>0</v>
      </c>
      <c r="J463" s="18" t="str" cm="1">
        <f t="array" ref="J463">IF(NodesData[[#This Row],[Count]]&gt;1,",","") &amp;"{"&amp;twoRangesToJSON(NodesData[[#Headers],[id]:[main_class]],NodesData[[#This Row],[id]:[main_class]])&amp;"}"</f>
        <v>,{"id":"n6F8A14D3_9F9F_4882_8365_1C0F62B687BD","label":"Windows Local Administrator Account (Concept)","url":"https://open-measure.atlassian.net/wiki/spaces/DIC/pages/140739277","main_class":"Concept"}</v>
      </c>
    </row>
    <row r="464" spans="1:10" ht="27" thickTop="1" thickBot="1" x14ac:dyDescent="0.4">
      <c r="A464" s="3" t="str" cm="1">
        <f t="array" ref="A464">"n"&amp;SUBSTITUTE(CreateGuidString(),"-","_")</f>
        <v>n0736D4BA_F3A5_45CD_85E7_C6809DCEC27F</v>
      </c>
      <c r="B464" s="6" t="str">
        <f>NodesData[[#This Row],[name]]&amp;" ("&amp;NodesData[[#This Row],[main_class]]&amp;")"</f>
        <v>Windows LOCAL SERVICE Account (Concept)</v>
      </c>
      <c r="C464" s="17" t="s">
        <v>1277</v>
      </c>
      <c r="D464" s="3" t="s">
        <v>1409</v>
      </c>
      <c r="E464" s="10" t="s">
        <v>1276</v>
      </c>
      <c r="F464" s="3">
        <f t="shared" si="7"/>
        <v>462</v>
      </c>
      <c r="G464" s="3">
        <f>COUNTIF(NodesData[label],NodesData[[#This Row],[label]])</f>
        <v>1</v>
      </c>
      <c r="H464" s="3">
        <f>COUNTIF(EdgesData[from],NodesData[[#This Row],[id]])+COUNTIF(EdgesData[to],NodesData[[#This Row],[id]])</f>
        <v>0</v>
      </c>
      <c r="I464" s="3">
        <f>IF(NodesData[[#This Row],[Used]]&gt;0,1,0)</f>
        <v>0</v>
      </c>
      <c r="J464" s="18" t="str" cm="1">
        <f t="array" ref="J464">IF(NodesData[[#This Row],[Count]]&gt;1,",","") &amp;"{"&amp;twoRangesToJSON(NodesData[[#Headers],[id]:[main_class]],NodesData[[#This Row],[id]:[main_class]])&amp;"}"</f>
        <v>,{"id":"n0736D4BA_F3A5_45CD_85E7_C6809DCEC27F","label":"Windows LOCAL SERVICE Account (Concept)","url":"https://open-measure.atlassian.net/wiki/spaces/DIC/pages/140673818","main_class":"Concept"}</v>
      </c>
    </row>
    <row r="465" spans="1:10" ht="27" thickTop="1" thickBot="1" x14ac:dyDescent="0.4">
      <c r="A465" s="3" t="str" cm="1">
        <f t="array" ref="A465">"n"&amp;SUBSTITUTE(CreateGuidString(),"-","_")</f>
        <v>nC934946E_E1EB_4270_9015_D981039BD840</v>
      </c>
      <c r="B465" s="6" t="str">
        <f>NodesData[[#This Row],[name]]&amp;" ("&amp;NodesData[[#This Row],[main_class]]&amp;")"</f>
        <v>Windows NETWORK SERVICE Account (Concept)</v>
      </c>
      <c r="C465" s="17" t="s">
        <v>1279</v>
      </c>
      <c r="D465" s="3" t="s">
        <v>1409</v>
      </c>
      <c r="E465" s="10" t="s">
        <v>1278</v>
      </c>
      <c r="F465" s="3">
        <f t="shared" si="7"/>
        <v>463</v>
      </c>
      <c r="G465" s="3">
        <f>COUNTIF(NodesData[label],NodesData[[#This Row],[label]])</f>
        <v>1</v>
      </c>
      <c r="H465" s="3">
        <f>COUNTIF(EdgesData[from],NodesData[[#This Row],[id]])+COUNTIF(EdgesData[to],NodesData[[#This Row],[id]])</f>
        <v>0</v>
      </c>
      <c r="I465" s="3">
        <f>IF(NodesData[[#This Row],[Used]]&gt;0,1,0)</f>
        <v>0</v>
      </c>
      <c r="J465" s="18" t="str" cm="1">
        <f t="array" ref="J465">IF(NodesData[[#This Row],[Count]]&gt;1,",","") &amp;"{"&amp;twoRangesToJSON(NodesData[[#Headers],[id]:[main_class]],NodesData[[#This Row],[id]:[main_class]])&amp;"}"</f>
        <v>,{"id":"nC934946E_E1EB_4270_9015_D981039BD840","label":"Windows NETWORK SERVICE Account (Concept)","url":"https://open-measure.atlassian.net/wiki/spaces/DIC/pages/140772011","main_class":"Concept"}</v>
      </c>
    </row>
    <row r="466" spans="1:10" ht="27" thickTop="1" thickBot="1" x14ac:dyDescent="0.4">
      <c r="A466" s="3" t="str" cm="1">
        <f t="array" ref="A466">"n"&amp;SUBSTITUTE(CreateGuidString(),"-","_")</f>
        <v>n728FA63F_2710_4D1E_B179_283153B97831</v>
      </c>
      <c r="B466" s="6" t="str">
        <f>NodesData[[#This Row],[name]]&amp;" ("&amp;NodesData[[#This Row],[main_class]]&amp;")"</f>
        <v>Windows Security Identifier (Concept)</v>
      </c>
      <c r="C466" s="17" t="s">
        <v>1281</v>
      </c>
      <c r="D466" s="3" t="s">
        <v>1409</v>
      </c>
      <c r="E466" s="10" t="s">
        <v>1280</v>
      </c>
      <c r="F466" s="3">
        <f t="shared" si="7"/>
        <v>464</v>
      </c>
      <c r="G466" s="3">
        <f>COUNTIF(NodesData[label],NodesData[[#This Row],[label]])</f>
        <v>1</v>
      </c>
      <c r="H466" s="3">
        <f>COUNTIF(EdgesData[from],NodesData[[#This Row],[id]])+COUNTIF(EdgesData[to],NodesData[[#This Row],[id]])</f>
        <v>0</v>
      </c>
      <c r="I466" s="3">
        <f>IF(NodesData[[#This Row],[Used]]&gt;0,1,0)</f>
        <v>0</v>
      </c>
      <c r="J466" s="18" t="str" cm="1">
        <f t="array" ref="J466">IF(NodesData[[#This Row],[Count]]&gt;1,",","") &amp;"{"&amp;twoRangesToJSON(NodesData[[#Headers],[id]:[main_class]],NodesData[[#This Row],[id]:[main_class]])&amp;"}"</f>
        <v>,{"id":"n728FA63F_2710_4D1E_B179_283153B97831","label":"Windows Security Identifier (Concept)","url":"https://open-measure.atlassian.net/wiki/spaces/DIC/pages/140706624","main_class":"Concept"}</v>
      </c>
    </row>
    <row r="467" spans="1:10" ht="27" thickTop="1" thickBot="1" x14ac:dyDescent="0.4">
      <c r="A467" s="3" t="str" cm="1">
        <f t="array" ref="A467">"n"&amp;SUBSTITUTE(CreateGuidString(),"-","_")</f>
        <v>n4477E01B_CC52_497A_A519_C305F102AE3D</v>
      </c>
      <c r="B467" s="6" t="str">
        <f>NodesData[[#This Row],[name]]&amp;" ("&amp;NodesData[[#This Row],[main_class]]&amp;")"</f>
        <v>Windows SYSTEM Account (Concept)</v>
      </c>
      <c r="C467" s="17" t="s">
        <v>1283</v>
      </c>
      <c r="D467" s="3" t="s">
        <v>1409</v>
      </c>
      <c r="E467" s="10" t="s">
        <v>1282</v>
      </c>
      <c r="F467" s="3">
        <f t="shared" si="7"/>
        <v>465</v>
      </c>
      <c r="G467" s="3">
        <f>COUNTIF(NodesData[label],NodesData[[#This Row],[label]])</f>
        <v>1</v>
      </c>
      <c r="H467" s="3">
        <f>COUNTIF(EdgesData[from],NodesData[[#This Row],[id]])+COUNTIF(EdgesData[to],NodesData[[#This Row],[id]])</f>
        <v>0</v>
      </c>
      <c r="I467" s="3">
        <f>IF(NodesData[[#This Row],[Used]]&gt;0,1,0)</f>
        <v>0</v>
      </c>
      <c r="J467" s="18" t="str" cm="1">
        <f t="array" ref="J467">IF(NodesData[[#This Row],[Count]]&gt;1,",","") &amp;"{"&amp;twoRangesToJSON(NodesData[[#Headers],[id]:[main_class]],NodesData[[#This Row],[id]:[main_class]])&amp;"}"</f>
        <v>,{"id":"n4477E01B_CC52_497A_A519_C305F102AE3D","label":"Windows SYSTEM Account (Concept)","url":"https://open-measure.atlassian.net/wiki/spaces/DIC/pages/140706700","main_class":"Concept"}</v>
      </c>
    </row>
    <row r="468" spans="1:10" ht="27" thickTop="1" thickBot="1" x14ac:dyDescent="0.4">
      <c r="A468" s="3" t="str" cm="1">
        <f t="array" ref="A468">"n"&amp;SUBSTITUTE(CreateGuidString(),"-","_")</f>
        <v>n5BD839AE_A236_42EA_A149_DD7B82105939</v>
      </c>
      <c r="B468" s="6" t="str">
        <f>NodesData[[#This Row],[name]]&amp;" ("&amp;NodesData[[#This Row],[main_class]]&amp;")"</f>
        <v>Worker (Concept)</v>
      </c>
      <c r="C468" s="17" t="s">
        <v>1285</v>
      </c>
      <c r="D468" s="3" t="s">
        <v>1409</v>
      </c>
      <c r="E468" s="10" t="s">
        <v>1284</v>
      </c>
      <c r="F468" s="3">
        <f t="shared" si="7"/>
        <v>466</v>
      </c>
      <c r="G468" s="3">
        <f>COUNTIF(NodesData[label],NodesData[[#This Row],[label]])</f>
        <v>1</v>
      </c>
      <c r="H468" s="3">
        <f>COUNTIF(EdgesData[from],NodesData[[#This Row],[id]])+COUNTIF(EdgesData[to],NodesData[[#This Row],[id]])</f>
        <v>0</v>
      </c>
      <c r="I468" s="3">
        <f>IF(NodesData[[#This Row],[Used]]&gt;0,1,0)</f>
        <v>0</v>
      </c>
      <c r="J468" s="18" t="str" cm="1">
        <f t="array" ref="J468">IF(NodesData[[#This Row],[Count]]&gt;1,",","") &amp;"{"&amp;twoRangesToJSON(NodesData[[#Headers],[id]:[main_class]],NodesData[[#This Row],[id]:[main_class]])&amp;"}"</f>
        <v>,{"id":"n5BD839AE_A236_42EA_A149_DD7B82105939","label":"Worker (Concept)","url":"https://open-measure.atlassian.net/wiki/spaces/DIC/pages/855638141","main_class":"Concept"}</v>
      </c>
    </row>
    <row r="469" spans="1:10" ht="27" thickTop="1" thickBot="1" x14ac:dyDescent="0.4">
      <c r="A469" s="3" t="str" cm="1">
        <f t="array" ref="A469">"n"&amp;SUBSTITUTE(CreateGuidString(),"-","_")</f>
        <v>nBA56D27B_ECC0_4568_9412_6A31674D51A2</v>
      </c>
      <c r="B469" s="6" t="str">
        <f>NodesData[[#This Row],[name]]&amp;" ("&amp;NodesData[[#This Row],[main_class]]&amp;")"</f>
        <v>Workflow-Sensitive Access Control (Concept)</v>
      </c>
      <c r="C469" s="17" t="s">
        <v>1287</v>
      </c>
      <c r="D469" s="3" t="s">
        <v>1409</v>
      </c>
      <c r="E469" s="10" t="s">
        <v>1286</v>
      </c>
      <c r="F469" s="3">
        <f t="shared" si="7"/>
        <v>467</v>
      </c>
      <c r="G469" s="3">
        <f>COUNTIF(NodesData[label],NodesData[[#This Row],[label]])</f>
        <v>1</v>
      </c>
      <c r="H469" s="3">
        <f>COUNTIF(EdgesData[from],NodesData[[#This Row],[id]])+COUNTIF(EdgesData[to],NodesData[[#This Row],[id]])</f>
        <v>0</v>
      </c>
      <c r="I469" s="3">
        <f>IF(NodesData[[#This Row],[Used]]&gt;0,1,0)</f>
        <v>0</v>
      </c>
      <c r="J469" s="18" t="str" cm="1">
        <f t="array" ref="J469">IF(NodesData[[#This Row],[Count]]&gt;1,",","") &amp;"{"&amp;twoRangesToJSON(NodesData[[#Headers],[id]:[main_class]],NodesData[[#This Row],[id]:[main_class]])&amp;"}"</f>
        <v>,{"id":"nBA56D27B_ECC0_4568_9412_6A31674D51A2","label":"Workflow-Sensitive Access Control (Concept)","url":"https://open-measure.atlassian.net/wiki/spaces/DIC/pages/814448722","main_class":"Concept"}</v>
      </c>
    </row>
    <row r="470" spans="1:10" ht="27" thickTop="1" thickBot="1" x14ac:dyDescent="0.4">
      <c r="A470" s="3" t="str" cm="1">
        <f t="array" ref="A470">"n"&amp;SUBSTITUTE(CreateGuidString(),"-","_")</f>
        <v>nF57B8B3B_5B0C_47D0_A2E4_49BA004BE437</v>
      </c>
      <c r="B470" s="6" t="str">
        <f>NodesData[[#This Row],[name]]&amp;" ("&amp;NodesData[[#This Row],[main_class]]&amp;")"</f>
        <v>Workforce (Concept)</v>
      </c>
      <c r="C470" s="17" t="s">
        <v>1289</v>
      </c>
      <c r="D470" s="3" t="s">
        <v>1409</v>
      </c>
      <c r="E470" s="10" t="s">
        <v>1288</v>
      </c>
      <c r="F470" s="3">
        <f t="shared" si="7"/>
        <v>468</v>
      </c>
      <c r="G470" s="3">
        <f>COUNTIF(NodesData[label],NodesData[[#This Row],[label]])</f>
        <v>1</v>
      </c>
      <c r="H470" s="3">
        <f>COUNTIF(EdgesData[from],NodesData[[#This Row],[id]])+COUNTIF(EdgesData[to],NodesData[[#This Row],[id]])</f>
        <v>0</v>
      </c>
      <c r="I470" s="3">
        <f>IF(NodesData[[#This Row],[Used]]&gt;0,1,0)</f>
        <v>0</v>
      </c>
      <c r="J470" s="18" t="str" cm="1">
        <f t="array" ref="J470">IF(NodesData[[#This Row],[Count]]&gt;1,",","") &amp;"{"&amp;twoRangesToJSON(NodesData[[#Headers],[id]:[main_class]],NodesData[[#This Row],[id]:[main_class]])&amp;"}"</f>
        <v>,{"id":"nF57B8B3B_5B0C_47D0_A2E4_49BA004BE437","label":"Workforce (Concept)","url":"https://open-measure.atlassian.net/wiki/spaces/DIC/pages/852492409","main_class":"Concept"}</v>
      </c>
    </row>
    <row r="471" spans="1:10" ht="27" thickTop="1" thickBot="1" x14ac:dyDescent="0.4">
      <c r="A471" s="3" t="str" cm="1">
        <f t="array" ref="A471">"n"&amp;SUBSTITUTE(CreateGuidString(),"-","_")</f>
        <v>n5E223B7D_9F4B_4E3A_9F61_11F5DC3A8C95</v>
      </c>
      <c r="B471" s="6" t="str">
        <f>NodesData[[#This Row],[name]]&amp;" ("&amp;NodesData[[#This Row],[main_class]]&amp;")"</f>
        <v>XACML (Acronym)</v>
      </c>
      <c r="C471" s="17" t="s">
        <v>1291</v>
      </c>
      <c r="D471" s="3" t="s">
        <v>1301</v>
      </c>
      <c r="E471" s="10" t="s">
        <v>1290</v>
      </c>
      <c r="F471" s="3">
        <f t="shared" si="7"/>
        <v>469</v>
      </c>
      <c r="G471" s="3">
        <f>COUNTIF(NodesData[label],NodesData[[#This Row],[label]])</f>
        <v>1</v>
      </c>
      <c r="H471" s="3">
        <f>COUNTIF(EdgesData[from],NodesData[[#This Row],[id]])+COUNTIF(EdgesData[to],NodesData[[#This Row],[id]])</f>
        <v>0</v>
      </c>
      <c r="I471" s="3">
        <f>IF(NodesData[[#This Row],[Used]]&gt;0,1,0)</f>
        <v>0</v>
      </c>
      <c r="J471" s="18" t="str" cm="1">
        <f t="array" ref="J471">IF(NodesData[[#This Row],[Count]]&gt;1,",","") &amp;"{"&amp;twoRangesToJSON(NodesData[[#Headers],[id]:[main_class]],NodesData[[#This Row],[id]:[main_class]])&amp;"}"</f>
        <v>,{"id":"n5E223B7D_9F4B_4E3A_9F61_11F5DC3A8C95","label":"XACML (Acronym)","url":"https://open-measure.atlassian.net/wiki/spaces/DIC/pages/1122631791","main_class":"Acronym"}</v>
      </c>
    </row>
    <row r="472" spans="1:10" ht="27" thickTop="1" thickBot="1" x14ac:dyDescent="0.4">
      <c r="A472" s="3" t="str" cm="1">
        <f t="array" ref="A472">"n"&amp;SUBSTITUTE(CreateGuidString(),"-","_")</f>
        <v>nE5880119_59A3_42AF_ABFE_46094AFBBA3C</v>
      </c>
      <c r="B472" s="6" t="str">
        <f>NodesData[[#This Row],[name]]&amp;" ("&amp;NodesData[[#This Row],[main_class]]&amp;")"</f>
        <v>Zero-Trust Access (Concept)</v>
      </c>
      <c r="C472" s="17" t="s">
        <v>1292</v>
      </c>
      <c r="D472" s="3" t="s">
        <v>1409</v>
      </c>
      <c r="E472" s="10" t="s">
        <v>547</v>
      </c>
      <c r="F472" s="3">
        <f t="shared" si="7"/>
        <v>470</v>
      </c>
      <c r="G472" s="3">
        <f>COUNTIF(NodesData[label],NodesData[[#This Row],[label]])</f>
        <v>1</v>
      </c>
      <c r="H472" s="3">
        <f>COUNTIF(EdgesData[from],NodesData[[#This Row],[id]])+COUNTIF(EdgesData[to],NodesData[[#This Row],[id]])</f>
        <v>0</v>
      </c>
      <c r="I472" s="3">
        <f>IF(NodesData[[#This Row],[Used]]&gt;0,1,0)</f>
        <v>0</v>
      </c>
      <c r="J472" s="18" t="str" cm="1">
        <f t="array" ref="J472">IF(NodesData[[#This Row],[Count]]&gt;1,",","") &amp;"{"&amp;twoRangesToJSON(NodesData[[#Headers],[id]:[main_class]],NodesData[[#This Row],[id]:[main_class]])&amp;"}"</f>
        <v>,{"id":"nE5880119_59A3_42AF_ABFE_46094AFBBA3C","label":"Zero-Trust Access (Concept)","url":"https://open-measure.atlassian.net/wiki/spaces/DIC/pages/234356891/Zero-Trust+Access","main_class":"Concept"}</v>
      </c>
    </row>
    <row r="473" spans="1:10" ht="27" thickTop="1" thickBot="1" x14ac:dyDescent="0.4">
      <c r="A473" s="3" t="str" cm="1">
        <f t="array" ref="A473">"n"&amp;SUBSTITUTE(CreateGuidString(),"-","_")</f>
        <v>n41F3354B_5B26_4175_A5D2_6C3F0E31B464</v>
      </c>
      <c r="B473" s="6" t="str">
        <f>NodesData[[#This Row],[name]]&amp;" ("&amp;NodesData[[#This Row],[main_class]]&amp;")"</f>
        <v>Zombie Account (Concept)</v>
      </c>
      <c r="C473" s="17" t="s">
        <v>1293</v>
      </c>
      <c r="D473" s="3" t="s">
        <v>1409</v>
      </c>
      <c r="E473" s="10" t="s">
        <v>548</v>
      </c>
      <c r="F473" s="3">
        <f t="shared" si="7"/>
        <v>471</v>
      </c>
      <c r="G473" s="3">
        <f>COUNTIF(NodesData[label],NodesData[[#This Row],[label]])</f>
        <v>1</v>
      </c>
      <c r="H473" s="3">
        <f>COUNTIF(EdgesData[from],NodesData[[#This Row],[id]])+COUNTIF(EdgesData[to],NodesData[[#This Row],[id]])</f>
        <v>0</v>
      </c>
      <c r="I473" s="3">
        <f>IF(NodesData[[#This Row],[Used]]&gt;0,1,0)</f>
        <v>0</v>
      </c>
      <c r="J473" s="18" t="str" cm="1">
        <f t="array" ref="J473">IF(NodesData[[#This Row],[Count]]&gt;1,",","") &amp;"{"&amp;twoRangesToJSON(NodesData[[#Headers],[id]:[main_class]],NodesData[[#This Row],[id]:[main_class]])&amp;"}"</f>
        <v>,{"id":"n41F3354B_5B26_4175_A5D2_6C3F0E31B464","label":"Zombie Account (Concept)","url":"https://open-measure.atlassian.net/wiki/spaces/DIC/pages/782893195/Zombie+Account","main_class":"Concept"}</v>
      </c>
    </row>
    <row r="474" spans="1:10" ht="27" thickTop="1" thickBot="1" x14ac:dyDescent="0.4">
      <c r="A474" s="3" t="str" cm="1">
        <f t="array" ref="A474">"n"&amp;SUBSTITUTE(CreateGuidString(),"-","_")</f>
        <v>n1728CB70_6E76_4773_8955_D5BF149B7762</v>
      </c>
      <c r="B474" s="6" t="str">
        <f>NodesData[[#This Row],[name]]&amp;" ("&amp;NodesData[[#This Row],[main_class]]&amp;")"</f>
        <v>ZTA (Acronym)</v>
      </c>
      <c r="C474" s="17" t="s">
        <v>1294</v>
      </c>
      <c r="D474" s="3" t="s">
        <v>1301</v>
      </c>
      <c r="E474" s="10" t="s">
        <v>549</v>
      </c>
      <c r="F474" s="3">
        <f t="shared" si="7"/>
        <v>472</v>
      </c>
      <c r="G474" s="3">
        <f>COUNTIF(NodesData[label],NodesData[[#This Row],[label]])</f>
        <v>1</v>
      </c>
      <c r="H474" s="3">
        <f>COUNTIF(EdgesData[from],NodesData[[#This Row],[id]])+COUNTIF(EdgesData[to],NodesData[[#This Row],[id]])</f>
        <v>0</v>
      </c>
      <c r="I474" s="3">
        <f>IF(NodesData[[#This Row],[Used]]&gt;0,1,0)</f>
        <v>0</v>
      </c>
      <c r="J474" s="18" t="str" cm="1">
        <f t="array" ref="J474">IF(NodesData[[#This Row],[Count]]&gt;1,",","") &amp;"{"&amp;twoRangesToJSON(NodesData[[#Headers],[id]:[main_class]],NodesData[[#This Row],[id]:[main_class]])&amp;"}"</f>
        <v>,{"id":"n1728CB70_6E76_4773_8955_D5BF149B7762","label":"ZTA (Acronym)","url":"https://open-measure.atlassian.net/wiki/spaces/DIC/pages/234389671/ZTA","main_class":"Acronym"}</v>
      </c>
    </row>
    <row r="475" spans="1:10" ht="27" thickTop="1" thickBot="1" x14ac:dyDescent="0.4">
      <c r="A475" s="3" t="str" cm="1">
        <f t="array" ref="A475">"n"&amp;SUBSTITUTE(CreateGuidString(),"-","_")</f>
        <v>n3FF81018_A37E_471E_82D9_021337C9A2F6</v>
      </c>
      <c r="B475" s="6" t="str">
        <f>NodesData[[#This Row],[name]]&amp;" ("&amp;NodesData[[#This Row],[main_class]]&amp;")"</f>
        <v>Weak Authentication (Concept)</v>
      </c>
      <c r="C475" s="17" t="s">
        <v>1255</v>
      </c>
      <c r="D475" s="3" t="s">
        <v>1409</v>
      </c>
      <c r="E475" s="10" t="s">
        <v>1254</v>
      </c>
      <c r="F475" s="3">
        <f t="shared" si="7"/>
        <v>473</v>
      </c>
      <c r="G475" s="3">
        <f>COUNTIF(NodesData[label],NodesData[[#This Row],[label]])</f>
        <v>1</v>
      </c>
      <c r="H475" s="3">
        <f>COUNTIF(EdgesData[from],NodesData[[#This Row],[id]])+COUNTIF(EdgesData[to],NodesData[[#This Row],[id]])</f>
        <v>0</v>
      </c>
      <c r="I475" s="3">
        <f>IF(NodesData[[#This Row],[Used]]&gt;0,1,0)</f>
        <v>0</v>
      </c>
      <c r="J475" s="18" t="str" cm="1">
        <f t="array" ref="J475">IF(NodesData[[#This Row],[Count]]&gt;1,",","") &amp;"{"&amp;twoRangesToJSON(NodesData[[#Headers],[id]:[main_class]],NodesData[[#This Row],[id]:[main_class]])&amp;"}"</f>
        <v>,{"id":"n3FF81018_A37E_471E_82D9_021337C9A2F6","label":"Weak Authentication (Concept)","url":"https://open-measure.atlassian.net/wiki/spaces/DIC/pages/81068120","main_class":"Concept"}</v>
      </c>
    </row>
    <row r="476" spans="1:10" ht="13.15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M55"/>
  <sheetViews>
    <sheetView topLeftCell="M1" zoomScale="120" zoomScaleNormal="120" workbookViewId="0">
      <selection activeCell="M8" sqref="M8"/>
    </sheetView>
  </sheetViews>
  <sheetFormatPr defaultRowHeight="13.25" customHeight="1" x14ac:dyDescent="0.35"/>
  <cols>
    <col min="1" max="1" width="42.33203125" style="3" bestFit="1" customWidth="1"/>
    <col min="2" max="2" width="34.796875" bestFit="1" customWidth="1"/>
    <col min="3" max="3" width="37.3984375" style="3" bestFit="1" customWidth="1"/>
    <col min="4" max="4" width="12.265625" style="3" customWidth="1"/>
    <col min="5" max="5" width="8.53125" style="4" customWidth="1"/>
    <col min="6" max="6" width="7.73046875" style="4" customWidth="1"/>
    <col min="7" max="10" width="7.73046875" style="3" customWidth="1"/>
    <col min="11" max="11" width="23.6640625" style="3" customWidth="1"/>
    <col min="12" max="12" width="9.06640625" style="3"/>
    <col min="13" max="13" width="220.19921875" style="3" bestFit="1" customWidth="1"/>
    <col min="14" max="16384" width="9.06640625" style="3"/>
  </cols>
  <sheetData>
    <row r="1" spans="1:13" ht="19.899999999999999" thickBot="1" x14ac:dyDescent="0.4">
      <c r="A1" s="2" t="s">
        <v>1308</v>
      </c>
    </row>
    <row r="2" spans="1:13" customFormat="1" ht="13.25" customHeight="1" thickTop="1" x14ac:dyDescent="0.35"/>
    <row r="3" spans="1:13" customFormat="1" ht="13.25" customHeight="1" thickBot="1" x14ac:dyDescent="0.4">
      <c r="C3" s="11"/>
      <c r="D3" s="11"/>
      <c r="E3" s="11"/>
      <c r="F3" s="11"/>
      <c r="G3" s="11"/>
      <c r="H3" s="11"/>
      <c r="I3" s="11"/>
      <c r="J3" s="11"/>
      <c r="K3" t="s">
        <v>34</v>
      </c>
    </row>
    <row r="4" spans="1:13" ht="38.25" customHeight="1" thickTop="1" x14ac:dyDescent="0.35">
      <c r="C4" s="10"/>
      <c r="D4" s="10"/>
      <c r="E4" s="10"/>
      <c r="F4" s="10"/>
      <c r="G4" s="10"/>
      <c r="H4" s="10"/>
      <c r="I4" s="10"/>
      <c r="J4" s="10"/>
      <c r="K4" s="9" t="s">
        <v>1394</v>
      </c>
    </row>
    <row r="6" spans="1:13" customFormat="1" ht="13.25" customHeight="1" thickBot="1" x14ac:dyDescent="0.4">
      <c r="A6" s="15" t="s">
        <v>1410</v>
      </c>
      <c r="B6" s="15" t="s">
        <v>1440</v>
      </c>
      <c r="C6" s="16" t="s">
        <v>1411</v>
      </c>
      <c r="D6" s="16" t="s">
        <v>1441</v>
      </c>
      <c r="E6" s="16" t="s">
        <v>1417</v>
      </c>
      <c r="F6" s="16" t="s">
        <v>33</v>
      </c>
      <c r="G6" t="s">
        <v>1303</v>
      </c>
      <c r="H6" t="s">
        <v>1302</v>
      </c>
      <c r="I6" t="s">
        <v>1210</v>
      </c>
      <c r="J6" t="s">
        <v>1301</v>
      </c>
      <c r="K6" t="s">
        <v>32</v>
      </c>
      <c r="L6" t="s">
        <v>1413</v>
      </c>
      <c r="M6" t="s">
        <v>1400</v>
      </c>
    </row>
    <row r="7" spans="1:13" ht="13.25" customHeight="1" thickTop="1" thickBot="1" x14ac:dyDescent="0.4">
      <c r="A7" s="3" t="str" cm="1">
        <f t="array" ref="A7">"n"&amp;SUBSTITUTE(CreateGuidString(),"-","_")</f>
        <v>nC6DF25C2_741E_4856_9BD6_5304C5FA6FC1</v>
      </c>
      <c r="B7" s="3" t="s">
        <v>1341</v>
      </c>
      <c r="C7" s="12" t="s">
        <v>1324</v>
      </c>
      <c r="D7" s="7" t="s">
        <v>1342</v>
      </c>
      <c r="E7" s="7"/>
      <c r="F7" s="12"/>
      <c r="G7" s="8"/>
      <c r="H7" s="8"/>
      <c r="I7" s="8"/>
      <c r="J7" s="8"/>
      <c r="K7" s="8"/>
      <c r="L7" s="8">
        <v>1</v>
      </c>
      <c r="M7" s="18" t="str" cm="1">
        <f t="array" ref="M7">IF(EdgesData[[#This Row],[Count]]&gt;1,",","") &amp;"{"&amp;twoRangesToJSON(EdgesData[[#Headers],[id]:[to]],EdgesData[[#This Row],[id]:[to]])&amp;"}"</f>
        <v>{"id":"nC6DF25C2_741E_4856_9BD6_5304C5FA6FC1","from":"n_arm","label":"ACRONYM","to":"n_access_rights_management"}</v>
      </c>
    </row>
    <row r="8" spans="1:13" ht="13.25" customHeight="1" thickTop="1" thickBot="1" x14ac:dyDescent="0.4">
      <c r="A8" s="7" t="str" cm="1">
        <f t="array" ref="A8">"n"&amp;SUBSTITUTE(CreateGuidString(),"-","_")</f>
        <v>n9F6F402D_3D5C_461F_AFDE_4F0C196303B7</v>
      </c>
      <c r="B8" s="23" t="s">
        <v>1393</v>
      </c>
      <c r="C8" s="22" t="s">
        <v>1319</v>
      </c>
      <c r="D8" s="7" t="s">
        <v>1380</v>
      </c>
      <c r="E8" s="7"/>
      <c r="F8" s="22"/>
      <c r="G8" s="24"/>
      <c r="H8" s="24"/>
      <c r="I8" s="24"/>
      <c r="J8" s="24"/>
      <c r="K8" s="24"/>
      <c r="L8" s="24">
        <f>L7+1</f>
        <v>2</v>
      </c>
      <c r="M8" s="18" t="str" cm="1">
        <f t="array" ref="M8">IF(EdgesData[[#This Row],[Count]]&gt;1,",","") &amp;"{"&amp;twoRangesToJSON(EdgesData[[#Headers],[id]:[to]],EdgesData[[#This Row],[id]:[to]])&amp;"}"</f>
        <v>,{"id":"n9F6F402D_3D5C_461F_AFDE_4F0C196303B7","from":"n_authentication_method","label":"HYPERONYM","to":"n_biometric_identification"}</v>
      </c>
    </row>
    <row r="9" spans="1:13" ht="13.25" customHeight="1" thickTop="1" thickBot="1" x14ac:dyDescent="0.4">
      <c r="A9" s="7" t="str" cm="1">
        <f t="array" ref="A9">"n"&amp;SUBSTITUTE(CreateGuidString(),"-","_")</f>
        <v>n0A33BA70_39FB_4321_8E65_954E97FA28BC</v>
      </c>
      <c r="B9" s="7" t="s">
        <v>1380</v>
      </c>
      <c r="C9" s="12" t="s">
        <v>1319</v>
      </c>
      <c r="D9" s="7" t="s">
        <v>1381</v>
      </c>
      <c r="E9" s="7"/>
      <c r="F9" s="12"/>
      <c r="G9" s="8"/>
      <c r="H9" s="8"/>
      <c r="I9" s="8"/>
      <c r="J9" s="8"/>
      <c r="K9" s="8"/>
      <c r="L9" s="8">
        <f t="shared" ref="L9:L54" si="0">L8+1</f>
        <v>3</v>
      </c>
      <c r="M9" s="18" t="str" cm="1">
        <f t="array" ref="M9">IF(EdgesData[[#This Row],[Count]]&gt;1,",","") &amp;"{"&amp;twoRangesToJSON(EdgesData[[#Headers],[id]:[to]],EdgesData[[#This Row],[id]:[to]])&amp;"}"</f>
        <v>,{"id":"n0A33BA70_39FB_4321_8E65_954E97FA28BC","from":"n_biometric_identification","label":"HYPERONYM","to":"n_brainwaves_authentication"}</v>
      </c>
    </row>
    <row r="10" spans="1:13" ht="13.25" customHeight="1" thickTop="1" thickBot="1" x14ac:dyDescent="0.4">
      <c r="A10" s="7" t="str" cm="1">
        <f t="array" ref="A10">"n"&amp;SUBSTITUTE(CreateGuidString(),"-","_")</f>
        <v>nD9B52123_31B8_47CF_9F9C_0495D042DA5A</v>
      </c>
      <c r="B10" s="23" t="s">
        <v>1393</v>
      </c>
      <c r="C10" s="22" t="s">
        <v>1319</v>
      </c>
      <c r="D10" s="7" t="s">
        <v>1381</v>
      </c>
      <c r="E10" s="7"/>
      <c r="F10" s="22"/>
      <c r="G10" s="24"/>
      <c r="H10" s="24"/>
      <c r="I10" s="24"/>
      <c r="J10" s="24"/>
      <c r="K10" s="24"/>
      <c r="L10" s="24">
        <f t="shared" si="0"/>
        <v>4</v>
      </c>
      <c r="M10" s="18" t="str" cm="1">
        <f t="array" ref="M10">IF(EdgesData[[#This Row],[Count]]&gt;1,",","") &amp;"{"&amp;twoRangesToJSON(EdgesData[[#Headers],[id]:[to]],EdgesData[[#This Row],[id]:[to]])&amp;"}"</f>
        <v>,{"id":"nD9B52123_31B8_47CF_9F9C_0495D042DA5A","from":"n_authentication_method","label":"HYPERONYM","to":"n_brainwaves_authentication"}</v>
      </c>
    </row>
    <row r="11" spans="1:13" ht="13.25" customHeight="1" thickTop="1" thickBot="1" x14ac:dyDescent="0.4">
      <c r="A11" s="7" t="str" cm="1">
        <f t="array" ref="A11">"n"&amp;SUBSTITUTE(CreateGuidString(),"-","_")</f>
        <v>nF485340B_A7D5_4223_AD73_6AEF5D2E5396</v>
      </c>
      <c r="B11" s="7" t="s">
        <v>1380</v>
      </c>
      <c r="C11" s="12" t="s">
        <v>1319</v>
      </c>
      <c r="D11" s="7" t="s">
        <v>1382</v>
      </c>
      <c r="E11" s="7"/>
      <c r="F11" s="12"/>
      <c r="G11" s="8"/>
      <c r="H11" s="8"/>
      <c r="I11" s="8"/>
      <c r="J11" s="8"/>
      <c r="K11" s="8"/>
      <c r="L11" s="8">
        <f t="shared" si="0"/>
        <v>5</v>
      </c>
      <c r="M11" s="18" t="str" cm="1">
        <f t="array" ref="M11">IF(EdgesData[[#This Row],[Count]]&gt;1,",","") &amp;"{"&amp;twoRangesToJSON(EdgesData[[#Headers],[id]:[to]],EdgesData[[#This Row],[id]:[to]])&amp;"}"</f>
        <v>,{"id":"nF485340B_A7D5_4223_AD73_6AEF5D2E5396","from":"n_biometric_identification","label":"HYPERONYM","to":"n_facial_recognition_authentication"}</v>
      </c>
    </row>
    <row r="12" spans="1:13" ht="13.25" customHeight="1" thickTop="1" thickBot="1" x14ac:dyDescent="0.4">
      <c r="A12" s="7" t="str" cm="1">
        <f t="array" ref="A12">"n"&amp;SUBSTITUTE(CreateGuidString(),"-","_")</f>
        <v>n494194CB_EDA4_41F7_B033_F7B517DA1AE7</v>
      </c>
      <c r="B12" s="23" t="s">
        <v>1393</v>
      </c>
      <c r="C12" s="22" t="s">
        <v>1319</v>
      </c>
      <c r="D12" s="7" t="s">
        <v>1382</v>
      </c>
      <c r="E12" s="7"/>
      <c r="F12" s="17"/>
      <c r="G12" s="5"/>
      <c r="H12" s="5"/>
      <c r="I12" s="5"/>
      <c r="J12" s="5"/>
      <c r="K12" s="5"/>
      <c r="L12" s="5">
        <f t="shared" si="0"/>
        <v>6</v>
      </c>
      <c r="M12" s="18" t="str" cm="1">
        <f t="array" ref="M12">IF(EdgesData[[#This Row],[Count]]&gt;1,",","") &amp;"{"&amp;twoRangesToJSON(EdgesData[[#Headers],[id]:[to]],EdgesData[[#This Row],[id]:[to]])&amp;"}"</f>
        <v>,{"id":"n494194CB_EDA4_41F7_B033_F7B517DA1AE7","from":"n_authentication_method","label":"HYPERONYM","to":"n_facial_recognition_authentication"}</v>
      </c>
    </row>
    <row r="13" spans="1:13" ht="13.25" customHeight="1" thickTop="1" thickBot="1" x14ac:dyDescent="0.4">
      <c r="A13" s="7" t="str" cm="1">
        <f t="array" ref="A13">"n"&amp;SUBSTITUTE(CreateGuidString(),"-","_")</f>
        <v>n4E13433D_38E5_4E4C_BE15_8A537E9E6501</v>
      </c>
      <c r="B13" s="7" t="s">
        <v>1380</v>
      </c>
      <c r="C13" s="12" t="s">
        <v>1319</v>
      </c>
      <c r="D13" s="7" t="s">
        <v>1383</v>
      </c>
      <c r="E13" s="7"/>
      <c r="F13" s="12"/>
      <c r="G13" s="8"/>
      <c r="H13" s="8"/>
      <c r="I13" s="8"/>
      <c r="J13" s="8"/>
      <c r="K13" s="8"/>
      <c r="L13" s="8">
        <f t="shared" si="0"/>
        <v>7</v>
      </c>
      <c r="M13" s="18" t="str" cm="1">
        <f t="array" ref="M13">IF(EdgesData[[#This Row],[Count]]&gt;1,",","") &amp;"{"&amp;twoRangesToJSON(EdgesData[[#Headers],[id]:[to]],EdgesData[[#This Row],[id]:[to]])&amp;"}"</f>
        <v>,{"id":"n4E13433D_38E5_4E4C_BE15_8A537E9E6501","from":"n_biometric_identification","label":"HYPERONYM","to":"n_fingerprint_recognition_authentication"}</v>
      </c>
    </row>
    <row r="14" spans="1:13" ht="13.25" customHeight="1" thickTop="1" thickBot="1" x14ac:dyDescent="0.4">
      <c r="A14" s="7" t="str" cm="1">
        <f t="array" ref="A14">"n"&amp;SUBSTITUTE(CreateGuidString(),"-","_")</f>
        <v>n37062A97_6DCB_4EA9_9141_8C5EB8B6D001</v>
      </c>
      <c r="B14" s="23" t="s">
        <v>1393</v>
      </c>
      <c r="C14" s="22" t="s">
        <v>1319</v>
      </c>
      <c r="D14" s="7" t="s">
        <v>1383</v>
      </c>
      <c r="E14" s="7"/>
      <c r="F14" s="17"/>
      <c r="G14" s="5"/>
      <c r="H14" s="5"/>
      <c r="I14" s="5"/>
      <c r="J14" s="5"/>
      <c r="K14" s="5"/>
      <c r="L14" s="5">
        <f t="shared" si="0"/>
        <v>8</v>
      </c>
      <c r="M14" s="18" t="str" cm="1">
        <f t="array" ref="M14">IF(EdgesData[[#This Row],[Count]]&gt;1,",","") &amp;"{"&amp;twoRangesToJSON(EdgesData[[#Headers],[id]:[to]],EdgesData[[#This Row],[id]:[to]])&amp;"}"</f>
        <v>,{"id":"n37062A97_6DCB_4EA9_9141_8C5EB8B6D001","from":"n_authentication_method","label":"HYPERONYM","to":"n_fingerprint_recognition_authentication"}</v>
      </c>
    </row>
    <row r="15" spans="1:13" ht="13.25" customHeight="1" thickTop="1" thickBot="1" x14ac:dyDescent="0.4">
      <c r="A15" s="7" t="str" cm="1">
        <f t="array" ref="A15">"n"&amp;SUBSTITUTE(CreateGuidString(),"-","_")</f>
        <v>n8DBCF994_16A8_4374_BE03_B099708CE889</v>
      </c>
      <c r="B15" s="7" t="s">
        <v>1380</v>
      </c>
      <c r="C15" s="12" t="s">
        <v>1319</v>
      </c>
      <c r="D15" s="7" t="s">
        <v>1384</v>
      </c>
      <c r="E15" s="7"/>
      <c r="F15" s="12"/>
      <c r="G15" s="8"/>
      <c r="H15" s="8"/>
      <c r="I15" s="8"/>
      <c r="J15" s="8"/>
      <c r="K15" s="8"/>
      <c r="L15" s="8">
        <f t="shared" si="0"/>
        <v>9</v>
      </c>
      <c r="M15" s="18" t="str" cm="1">
        <f t="array" ref="M15">IF(EdgesData[[#This Row],[Count]]&gt;1,",","") &amp;"{"&amp;twoRangesToJSON(EdgesData[[#Headers],[id]:[to]],EdgesData[[#This Row],[id]:[to]])&amp;"}"</f>
        <v>,{"id":"n8DBCF994_16A8_4374_BE03_B099708CE889","from":"n_biometric_identification","label":"HYPERONYM","to":"n_gait_recognition_authentication"}</v>
      </c>
    </row>
    <row r="16" spans="1:13" ht="13.25" customHeight="1" thickTop="1" thickBot="1" x14ac:dyDescent="0.4">
      <c r="A16" s="7" t="str" cm="1">
        <f t="array" ref="A16">"n"&amp;SUBSTITUTE(CreateGuidString(),"-","_")</f>
        <v>n34D11AE7_419D_4891_B8FF_9E659C827995</v>
      </c>
      <c r="B16" s="23" t="s">
        <v>1393</v>
      </c>
      <c r="C16" s="22" t="s">
        <v>1319</v>
      </c>
      <c r="D16" s="7" t="s">
        <v>1384</v>
      </c>
      <c r="E16" s="7"/>
      <c r="F16" s="17"/>
      <c r="G16" s="5"/>
      <c r="H16" s="5"/>
      <c r="I16" s="5"/>
      <c r="J16" s="5"/>
      <c r="K16" s="5"/>
      <c r="L16" s="5">
        <f t="shared" si="0"/>
        <v>10</v>
      </c>
      <c r="M16" s="18" t="str" cm="1">
        <f t="array" ref="M16">IF(EdgesData[[#This Row],[Count]]&gt;1,",","") &amp;"{"&amp;twoRangesToJSON(EdgesData[[#Headers],[id]:[to]],EdgesData[[#This Row],[id]:[to]])&amp;"}"</f>
        <v>,{"id":"n34D11AE7_419D_4891_B8FF_9E659C827995","from":"n_authentication_method","label":"HYPERONYM","to":"n_gait_recognition_authentication"}</v>
      </c>
    </row>
    <row r="17" spans="1:13" ht="13.25" customHeight="1" thickTop="1" thickBot="1" x14ac:dyDescent="0.4">
      <c r="A17" s="7" t="str" cm="1">
        <f t="array" ref="A17">"n"&amp;SUBSTITUTE(CreateGuidString(),"-","_")</f>
        <v>n2D2FB288_9AEA_4F7F_8D2D_F82603ABE04B</v>
      </c>
      <c r="B17" s="7" t="s">
        <v>1380</v>
      </c>
      <c r="C17" s="12" t="s">
        <v>1319</v>
      </c>
      <c r="D17" s="7" t="s">
        <v>1385</v>
      </c>
      <c r="E17" s="7"/>
      <c r="F17" s="22"/>
      <c r="G17" s="24"/>
      <c r="H17" s="24"/>
      <c r="I17" s="24"/>
      <c r="J17" s="24"/>
      <c r="K17" s="24"/>
      <c r="L17" s="24">
        <f t="shared" si="0"/>
        <v>11</v>
      </c>
      <c r="M17" s="18" t="str" cm="1">
        <f t="array" ref="M17">IF(EdgesData[[#This Row],[Count]]&gt;1,",","") &amp;"{"&amp;twoRangesToJSON(EdgesData[[#Headers],[id]:[to]],EdgesData[[#This Row],[id]:[to]])&amp;"}"</f>
        <v>,{"id":"n2D2FB288_9AEA_4F7F_8D2D_F82603ABE04B","from":"n_biometric_identification","label":"HYPERONYM","to":"n_hand_gestures_recognition_authentication"}</v>
      </c>
    </row>
    <row r="18" spans="1:13" ht="13.25" customHeight="1" thickTop="1" thickBot="1" x14ac:dyDescent="0.4">
      <c r="A18" s="7" t="str" cm="1">
        <f t="array" ref="A18">"n"&amp;SUBSTITUTE(CreateGuidString(),"-","_")</f>
        <v>n3BF63283_E29F_425D_84C4_EC4AE9D0A4E8</v>
      </c>
      <c r="B18" s="23" t="s">
        <v>1393</v>
      </c>
      <c r="C18" s="22" t="s">
        <v>1319</v>
      </c>
      <c r="D18" s="7" t="s">
        <v>1385</v>
      </c>
      <c r="E18" s="7"/>
      <c r="F18" s="17"/>
      <c r="G18" s="5"/>
      <c r="H18" s="5"/>
      <c r="I18" s="5"/>
      <c r="J18" s="5"/>
      <c r="K18" s="5"/>
      <c r="L18" s="5">
        <f t="shared" si="0"/>
        <v>12</v>
      </c>
      <c r="M18" s="18" t="str" cm="1">
        <f t="array" ref="M18">IF(EdgesData[[#This Row],[Count]]&gt;1,",","") &amp;"{"&amp;twoRangesToJSON(EdgesData[[#Headers],[id]:[to]],EdgesData[[#This Row],[id]:[to]])&amp;"}"</f>
        <v>,{"id":"n3BF63283_E29F_425D_84C4_EC4AE9D0A4E8","from":"n_authentication_method","label":"HYPERONYM","to":"n_hand_gestures_recognition_authentication"}</v>
      </c>
    </row>
    <row r="19" spans="1:13" ht="13.25" customHeight="1" thickTop="1" thickBot="1" x14ac:dyDescent="0.4">
      <c r="A19" s="7" t="str" cm="1">
        <f t="array" ref="A19">"n"&amp;SUBSTITUTE(CreateGuidString(),"-","_")</f>
        <v>nF7BFF8EB_FFE7_477B_A3CC_511C6C996AB6</v>
      </c>
      <c r="B19" s="7" t="s">
        <v>1380</v>
      </c>
      <c r="C19" s="12" t="s">
        <v>1319</v>
      </c>
      <c r="D19" s="7" t="s">
        <v>1386</v>
      </c>
      <c r="E19" s="7"/>
      <c r="F19" s="22"/>
      <c r="G19" s="24"/>
      <c r="H19" s="24"/>
      <c r="I19" s="24"/>
      <c r="J19" s="24"/>
      <c r="K19" s="24"/>
      <c r="L19" s="24">
        <f t="shared" si="0"/>
        <v>13</v>
      </c>
      <c r="M19" s="18" t="str" cm="1">
        <f t="array" ref="M19">IF(EdgesData[[#This Row],[Count]]&gt;1,",","") &amp;"{"&amp;twoRangesToJSON(EdgesData[[#Headers],[id]:[to]],EdgesData[[#This Row],[id]:[to]])&amp;"}"</f>
        <v>,{"id":"nF7BFF8EB_FFE7_477B_A3CC_511C6C996AB6","from":"n_biometric_identification","label":"HYPERONYM","to":"n_heartbeats_recognition_authentication"}</v>
      </c>
    </row>
    <row r="20" spans="1:13" ht="13.25" customHeight="1" thickTop="1" thickBot="1" x14ac:dyDescent="0.4">
      <c r="A20" s="7" t="str" cm="1">
        <f t="array" ref="A20">"n"&amp;SUBSTITUTE(CreateGuidString(),"-","_")</f>
        <v>n91C190D7_34C3_41A2_B23B_B4C1CBDDCB3F</v>
      </c>
      <c r="B20" s="23" t="s">
        <v>1393</v>
      </c>
      <c r="C20" s="22" t="s">
        <v>1319</v>
      </c>
      <c r="D20" s="7" t="s">
        <v>1386</v>
      </c>
      <c r="E20" s="7"/>
      <c r="F20" s="17"/>
      <c r="G20" s="5"/>
      <c r="H20" s="5"/>
      <c r="I20" s="5"/>
      <c r="J20" s="5"/>
      <c r="K20" s="5"/>
      <c r="L20" s="5">
        <f t="shared" si="0"/>
        <v>14</v>
      </c>
      <c r="M20" s="18" t="str" cm="1">
        <f t="array" ref="M20">IF(EdgesData[[#This Row],[Count]]&gt;1,",","") &amp;"{"&amp;twoRangesToJSON(EdgesData[[#Headers],[id]:[to]],EdgesData[[#This Row],[id]:[to]])&amp;"}"</f>
        <v>,{"id":"n91C190D7_34C3_41A2_B23B_B4C1CBDDCB3F","from":"n_authentication_method","label":"HYPERONYM","to":"n_heartbeats_recognition_authentication"}</v>
      </c>
    </row>
    <row r="21" spans="1:13" ht="13.25" customHeight="1" thickTop="1" thickBot="1" x14ac:dyDescent="0.4">
      <c r="A21" s="3" t="str" cm="1">
        <f t="array" ref="A21">"n"&amp;SUBSTITUTE(CreateGuidString(),"-","_")</f>
        <v>n85606779_F303_4D02_9732_17A18B648471</v>
      </c>
      <c r="B21" s="3" t="s">
        <v>4</v>
      </c>
      <c r="C21" s="3" t="s">
        <v>1319</v>
      </c>
      <c r="D21" s="3" t="s">
        <v>1333</v>
      </c>
      <c r="E21" s="3"/>
      <c r="F21" s="10"/>
      <c r="L21" s="3">
        <f t="shared" si="0"/>
        <v>15</v>
      </c>
      <c r="M21" s="18" t="str" cm="1">
        <f t="array" ref="M21">IF(EdgesData[[#This Row],[Count]]&gt;1,",","") &amp;"{"&amp;twoRangesToJSON(EdgesData[[#Headers],[id]:[to]],EdgesData[[#This Row],[id]:[to]])&amp;"}"</f>
        <v>,{"id":"n85606779_F303_4D02_9732_17A18B648471","from":"n_authentication_factor","label":"HYPERONYM","to":"n_inherence_factor"}</v>
      </c>
    </row>
    <row r="22" spans="1:13" ht="13.25" customHeight="1" thickTop="1" thickBot="1" x14ac:dyDescent="0.4">
      <c r="A22" s="7" t="str" cm="1">
        <f t="array" ref="A22">"n"&amp;SUBSTITUTE(CreateGuidString(),"-","_")</f>
        <v>n43CD52E2_A9F7_4E45_8525_7B1DAF6E83AB</v>
      </c>
      <c r="B22" s="7" t="s">
        <v>1380</v>
      </c>
      <c r="C22" s="12" t="s">
        <v>1319</v>
      </c>
      <c r="D22" s="7" t="s">
        <v>1387</v>
      </c>
      <c r="E22" s="7"/>
      <c r="F22" s="22"/>
      <c r="G22" s="24"/>
      <c r="H22" s="24"/>
      <c r="I22" s="24"/>
      <c r="J22" s="24"/>
      <c r="K22" s="24"/>
      <c r="L22" s="24">
        <f t="shared" si="0"/>
        <v>16</v>
      </c>
      <c r="M22" s="18" t="str" cm="1">
        <f t="array" ref="M22">IF(EdgesData[[#This Row],[Count]]&gt;1,",","") &amp;"{"&amp;twoRangesToJSON(EdgesData[[#Headers],[id]:[to]],EdgesData[[#This Row],[id]:[to]])&amp;"}"</f>
        <v>,{"id":"n43CD52E2_A9F7_4E45_8525_7B1DAF6E83AB","from":"n_biometric_identification","label":"HYPERONYM","to":"n_iris_recognition_authentication"}</v>
      </c>
    </row>
    <row r="23" spans="1:13" ht="13.25" customHeight="1" thickTop="1" thickBot="1" x14ac:dyDescent="0.4">
      <c r="A23" s="7" t="str" cm="1">
        <f t="array" ref="A23">"n"&amp;SUBSTITUTE(CreateGuidString(),"-","_")</f>
        <v>nB547A846_8913_4A20_BE65_E95EB575533B</v>
      </c>
      <c r="B23" s="23" t="s">
        <v>1393</v>
      </c>
      <c r="C23" s="22" t="s">
        <v>1319</v>
      </c>
      <c r="D23" s="7" t="s">
        <v>1387</v>
      </c>
      <c r="E23" s="7"/>
      <c r="F23" s="17"/>
      <c r="G23" s="5"/>
      <c r="H23" s="5"/>
      <c r="I23" s="5"/>
      <c r="J23" s="5"/>
      <c r="K23" s="5"/>
      <c r="L23" s="5">
        <f t="shared" si="0"/>
        <v>17</v>
      </c>
      <c r="M23" s="18" t="str" cm="1">
        <f t="array" ref="M23">IF(EdgesData[[#This Row],[Count]]&gt;1,",","") &amp;"{"&amp;twoRangesToJSON(EdgesData[[#Headers],[id]:[to]],EdgesData[[#This Row],[id]:[to]])&amp;"}"</f>
        <v>,{"id":"nB547A846_8913_4A20_BE65_E95EB575533B","from":"n_authentication_method","label":"HYPERONYM","to":"n_iris_recognition_authentication"}</v>
      </c>
    </row>
    <row r="24" spans="1:13" ht="13.25" customHeight="1" thickTop="1" thickBot="1" x14ac:dyDescent="0.4">
      <c r="A24" s="7" t="str" cm="1">
        <f t="array" ref="A24">"n"&amp;SUBSTITUTE(CreateGuidString(),"-","_")</f>
        <v>n0F96314A_9161_4692_B66B_08CAE97D8BB5</v>
      </c>
      <c r="B24" s="7" t="s">
        <v>1380</v>
      </c>
      <c r="C24" s="22" t="s">
        <v>1319</v>
      </c>
      <c r="D24" s="7" t="s">
        <v>1358</v>
      </c>
      <c r="E24" s="7"/>
      <c r="F24" s="22"/>
      <c r="G24" s="24"/>
      <c r="H24" s="24"/>
      <c r="I24" s="24"/>
      <c r="J24" s="24"/>
      <c r="K24" s="24"/>
      <c r="L24" s="24">
        <f t="shared" si="0"/>
        <v>18</v>
      </c>
      <c r="M24" s="18" t="str" cm="1">
        <f t="array" ref="M24">IF(EdgesData[[#This Row],[Count]]&gt;1,",","") &amp;"{"&amp;twoRangesToJSON(EdgesData[[#Headers],[id]:[to]],EdgesData[[#This Row],[id]:[to]])&amp;"}"</f>
        <v>,{"id":"n0F96314A_9161_4692_B66B_08CAE97D8BB5","from":"n_biometric_identification","label":"HYPERONYM","to":"n_keystroke_recognition_authentication"}</v>
      </c>
    </row>
    <row r="25" spans="1:13" ht="13.25" customHeight="1" thickTop="1" thickBot="1" x14ac:dyDescent="0.4">
      <c r="A25" s="7" t="str" cm="1">
        <f t="array" ref="A25">"n"&amp;SUBSTITUTE(CreateGuidString(),"-","_")</f>
        <v>nE1A402E7_EB06_4DAD_9446_7D44DD4AC13E</v>
      </c>
      <c r="B25" s="23" t="s">
        <v>1393</v>
      </c>
      <c r="C25" s="22" t="s">
        <v>1319</v>
      </c>
      <c r="D25" s="7" t="s">
        <v>1358</v>
      </c>
      <c r="E25" s="7"/>
      <c r="F25" s="22"/>
      <c r="G25" s="24"/>
      <c r="H25" s="24"/>
      <c r="I25" s="24"/>
      <c r="J25" s="24"/>
      <c r="K25" s="24"/>
      <c r="L25" s="24">
        <f t="shared" si="0"/>
        <v>19</v>
      </c>
      <c r="M25" s="18" t="str" cm="1">
        <f t="array" ref="M25">IF(EdgesData[[#This Row],[Count]]&gt;1,",","") &amp;"{"&amp;twoRangesToJSON(EdgesData[[#Headers],[id]:[to]],EdgesData[[#This Row],[id]:[to]])&amp;"}"</f>
        <v>,{"id":"nE1A402E7_EB06_4DAD_9446_7D44DD4AC13E","from":"n_authentication_method","label":"HYPERONYM","to":"n_keystroke_recognition_authentication"}</v>
      </c>
    </row>
    <row r="26" spans="1:13" ht="13.25" customHeight="1" thickTop="1" thickBot="1" x14ac:dyDescent="0.4">
      <c r="A26" s="3" t="str" cm="1">
        <f t="array" ref="A26">"n"&amp;SUBSTITUTE(CreateGuidString(),"-","_")</f>
        <v>nE5C92DCF_1C71_45C4_B519_4E271FA70EB4</v>
      </c>
      <c r="B26" s="3" t="s">
        <v>4</v>
      </c>
      <c r="C26" s="3" t="s">
        <v>1319</v>
      </c>
      <c r="D26" s="7" t="s">
        <v>6</v>
      </c>
      <c r="E26" s="7"/>
      <c r="F26" s="12"/>
      <c r="G26" s="8"/>
      <c r="H26" s="8"/>
      <c r="I26" s="8"/>
      <c r="J26" s="8"/>
      <c r="K26" s="8"/>
      <c r="L26" s="8">
        <f t="shared" si="0"/>
        <v>20</v>
      </c>
      <c r="M26" s="18" t="str" cm="1">
        <f t="array" ref="M26">IF(EdgesData[[#This Row],[Count]]&gt;1,",","") &amp;"{"&amp;twoRangesToJSON(EdgesData[[#Headers],[id]:[to]],EdgesData[[#This Row],[id]:[to]])&amp;"}"</f>
        <v>,{"id":"nE5C92DCF_1C71_45C4_B519_4E271FA70EB4","from":"n_authentication_factor","label":"HYPERONYM","to":"n_knowledge_factor"}</v>
      </c>
    </row>
    <row r="27" spans="1:13" ht="13.25" customHeight="1" thickTop="1" thickBot="1" x14ac:dyDescent="0.4">
      <c r="A27" s="7" t="str" cm="1">
        <f t="array" ref="A27">"n"&amp;SUBSTITUTE(CreateGuidString(),"-","_")</f>
        <v>n2365DC0C_A8BD_44F7_A2F6_46A19BE738CB</v>
      </c>
      <c r="B27" s="7" t="s">
        <v>1380</v>
      </c>
      <c r="C27" s="12" t="s">
        <v>1319</v>
      </c>
      <c r="D27" s="7" t="s">
        <v>1388</v>
      </c>
      <c r="E27" s="7"/>
      <c r="F27" s="22"/>
      <c r="G27" s="24"/>
      <c r="H27" s="24"/>
      <c r="I27" s="24"/>
      <c r="J27" s="24"/>
      <c r="K27" s="24"/>
      <c r="L27" s="24">
        <f t="shared" si="0"/>
        <v>21</v>
      </c>
      <c r="M27" s="18" t="str" cm="1">
        <f t="array" ref="M27">IF(EdgesData[[#This Row],[Count]]&gt;1,",","") &amp;"{"&amp;twoRangesToJSON(EdgesData[[#Headers],[id]:[to]],EdgesData[[#This Row],[id]:[to]])&amp;"}"</f>
        <v>,{"id":"n2365DC0C_A8BD_44F7_A2F6_46A19BE738CB","from":"n_biometric_identification","label":"HYPERONYM","to":"n_knuckleprint_recognition_authentication"}</v>
      </c>
    </row>
    <row r="28" spans="1:13" ht="13.25" customHeight="1" thickTop="1" thickBot="1" x14ac:dyDescent="0.4">
      <c r="A28" s="7" t="str" cm="1">
        <f t="array" ref="A28">"n"&amp;SUBSTITUTE(CreateGuidString(),"-","_")</f>
        <v>n98FD0DD3_14F5_4518_965D_9C3B98F2DD7D</v>
      </c>
      <c r="B28" s="23" t="s">
        <v>1393</v>
      </c>
      <c r="C28" s="22" t="s">
        <v>1319</v>
      </c>
      <c r="D28" s="7" t="s">
        <v>1388</v>
      </c>
      <c r="E28" s="7"/>
      <c r="F28" s="17"/>
      <c r="G28" s="5"/>
      <c r="H28" s="5"/>
      <c r="I28" s="5"/>
      <c r="J28" s="5"/>
      <c r="K28" s="5"/>
      <c r="L28" s="5">
        <f t="shared" si="0"/>
        <v>22</v>
      </c>
      <c r="M28" s="18" t="str" cm="1">
        <f t="array" ref="M28">IF(EdgesData[[#This Row],[Count]]&gt;1,",","") &amp;"{"&amp;twoRangesToJSON(EdgesData[[#Headers],[id]:[to]],EdgesData[[#This Row],[id]:[to]])&amp;"}"</f>
        <v>,{"id":"n98FD0DD3_14F5_4518_965D_9C3B98F2DD7D","from":"n_authentication_method","label":"HYPERONYM","to":"n_knuckleprint_recognition_authentication"}</v>
      </c>
    </row>
    <row r="29" spans="1:13" ht="13.25" customHeight="1" thickTop="1" thickBot="1" x14ac:dyDescent="0.4">
      <c r="A29" s="3" t="str" cm="1">
        <f t="array" ref="A29">"n"&amp;SUBSTITUTE(CreateGuidString(),"-","_")</f>
        <v>n0E4B7940_5FE5_4C9A_83B2_C5DC8BA405E1</v>
      </c>
      <c r="B29" s="3" t="s">
        <v>4</v>
      </c>
      <c r="C29" s="3" t="s">
        <v>1319</v>
      </c>
      <c r="D29" s="7" t="s">
        <v>1337</v>
      </c>
      <c r="E29" s="7"/>
      <c r="F29" s="12"/>
      <c r="G29" s="8"/>
      <c r="H29" s="8"/>
      <c r="I29" s="8"/>
      <c r="J29" s="8"/>
      <c r="K29" s="8"/>
      <c r="L29" s="8">
        <f t="shared" si="0"/>
        <v>23</v>
      </c>
      <c r="M29" s="18" t="str" cm="1">
        <f t="array" ref="M29">IF(EdgesData[[#This Row],[Count]]&gt;1,",","") &amp;"{"&amp;twoRangesToJSON(EdgesData[[#Headers],[id]:[to]],EdgesData[[#This Row],[id]:[to]])&amp;"}"</f>
        <v>,{"id":"n0E4B7940_5FE5_4C9A_83B2_C5DC8BA405E1","from":"n_authentication_factor","label":"HYPERONYM","to":"n_location_factor"}</v>
      </c>
    </row>
    <row r="30" spans="1:13" ht="13.25" customHeight="1" thickTop="1" thickBot="1" x14ac:dyDescent="0.4">
      <c r="A30" s="7" t="str" cm="1">
        <f t="array" ref="A30">"n"&amp;SUBSTITUTE(CreateGuidString(),"-","_")</f>
        <v>n8DAF74E0_9FA7_4DAE_A31B_A73969AAF55E</v>
      </c>
      <c r="B30" s="7" t="s">
        <v>1380</v>
      </c>
      <c r="C30" s="12" t="s">
        <v>1319</v>
      </c>
      <c r="D30" s="7" t="s">
        <v>1389</v>
      </c>
      <c r="E30" s="7"/>
      <c r="F30" s="22"/>
      <c r="G30" s="24"/>
      <c r="H30" s="24"/>
      <c r="I30" s="24"/>
      <c r="J30" s="24"/>
      <c r="K30" s="24"/>
      <c r="L30" s="24">
        <f t="shared" si="0"/>
        <v>24</v>
      </c>
      <c r="M30" s="18" t="str" cm="1">
        <f t="array" ref="M30">IF(EdgesData[[#This Row],[Count]]&gt;1,",","") &amp;"{"&amp;twoRangesToJSON(EdgesData[[#Headers],[id]:[to]],EdgesData[[#This Row],[id]:[to]])&amp;"}"</f>
        <v>,{"id":"n8DAF74E0_9FA7_4DAE_A31B_A73969AAF55E","from":"n_biometric_identification","label":"HYPERONYM","to":"n_multi_model_biometric_authentication"}</v>
      </c>
    </row>
    <row r="31" spans="1:13" ht="13.25" customHeight="1" thickTop="1" thickBot="1" x14ac:dyDescent="0.4">
      <c r="A31" s="7" t="str" cm="1">
        <f t="array" ref="A31">"n"&amp;SUBSTITUTE(CreateGuidString(),"-","_")</f>
        <v>n0CD9822A_23B1_495B_91B7_86DCD709961C</v>
      </c>
      <c r="B31" s="23" t="s">
        <v>1393</v>
      </c>
      <c r="C31" s="22" t="s">
        <v>1319</v>
      </c>
      <c r="D31" s="7" t="s">
        <v>1389</v>
      </c>
      <c r="E31" s="7"/>
      <c r="F31" s="17"/>
      <c r="G31" s="5"/>
      <c r="H31" s="5"/>
      <c r="I31" s="5"/>
      <c r="J31" s="5"/>
      <c r="K31" s="5"/>
      <c r="L31" s="5">
        <f t="shared" si="0"/>
        <v>25</v>
      </c>
      <c r="M31" s="18" t="str" cm="1">
        <f t="array" ref="M31">IF(EdgesData[[#This Row],[Count]]&gt;1,",","") &amp;"{"&amp;twoRangesToJSON(EdgesData[[#Headers],[id]:[to]],EdgesData[[#This Row],[id]:[to]])&amp;"}"</f>
        <v>,{"id":"n0CD9822A_23B1_495B_91B7_86DCD709961C","from":"n_authentication_method","label":"HYPERONYM","to":"n_multi_model_biometric_authentication"}</v>
      </c>
    </row>
    <row r="32" spans="1:13" ht="13.25" customHeight="1" thickTop="1" thickBot="1" x14ac:dyDescent="0.4">
      <c r="A32" s="7" t="str" cm="1">
        <f t="array" ref="A32">"n"&amp;SUBSTITUTE(CreateGuidString(),"-","_")</f>
        <v>nA4D1D146_DCFD_49C3_BD6E_A04BBB4E5AB6</v>
      </c>
      <c r="B32" s="7" t="s">
        <v>1380</v>
      </c>
      <c r="C32" s="12" t="s">
        <v>1319</v>
      </c>
      <c r="D32" s="7" t="s">
        <v>1390</v>
      </c>
      <c r="E32" s="7"/>
      <c r="F32" s="22"/>
      <c r="G32" s="24"/>
      <c r="H32" s="24"/>
      <c r="I32" s="24"/>
      <c r="J32" s="24"/>
      <c r="K32" s="24"/>
      <c r="L32" s="24">
        <f t="shared" si="0"/>
        <v>26</v>
      </c>
      <c r="M32" s="18" t="str" cm="1">
        <f t="array" ref="M32">IF(EdgesData[[#This Row],[Count]]&gt;1,",","") &amp;"{"&amp;twoRangesToJSON(EdgesData[[#Headers],[id]:[to]],EdgesData[[#This Row],[id]:[to]])&amp;"}"</f>
        <v>,{"id":"nA4D1D146_DCFD_49C3_BD6E_A04BBB4E5AB6","from":"n_biometric_identification","label":"HYPERONYM","to":"n_palmprint_recognition_authentication"}</v>
      </c>
    </row>
    <row r="33" spans="1:13" ht="13.25" customHeight="1" thickTop="1" thickBot="1" x14ac:dyDescent="0.4">
      <c r="A33" s="7" t="str" cm="1">
        <f t="array" ref="A33">"n"&amp;SUBSTITUTE(CreateGuidString(),"-","_")</f>
        <v>n27A46B22_6381_4ECA_87FA_01C922D5A74F</v>
      </c>
      <c r="B33" s="23" t="s">
        <v>1393</v>
      </c>
      <c r="C33" s="22" t="s">
        <v>1319</v>
      </c>
      <c r="D33" s="7" t="s">
        <v>1390</v>
      </c>
      <c r="E33" s="7"/>
      <c r="F33" s="17"/>
      <c r="G33" s="5"/>
      <c r="H33" s="5"/>
      <c r="I33" s="5"/>
      <c r="J33" s="5"/>
      <c r="K33" s="5"/>
      <c r="L33" s="5">
        <f t="shared" si="0"/>
        <v>27</v>
      </c>
      <c r="M33" s="18" t="str" cm="1">
        <f t="array" ref="M33">IF(EdgesData[[#This Row],[Count]]&gt;1,",","") &amp;"{"&amp;twoRangesToJSON(EdgesData[[#Headers],[id]:[to]],EdgesData[[#This Row],[id]:[to]])&amp;"}"</f>
        <v>,{"id":"n27A46B22_6381_4ECA_87FA_01C922D5A74F","from":"n_authentication_method","label":"HYPERONYM","to":"n_palmprint_recognition_authentication"}</v>
      </c>
    </row>
    <row r="34" spans="1:13" ht="13.25" customHeight="1" thickTop="1" thickBot="1" x14ac:dyDescent="0.4">
      <c r="A34" s="3" t="str" cm="1">
        <f t="array" ref="A34">"n"&amp;SUBSTITUTE(CreateGuidString(),"-","_")</f>
        <v>n8FB4C507_0BC5_482E_9CCE_294A3B9D2A4E</v>
      </c>
      <c r="B34" s="3" t="s">
        <v>4</v>
      </c>
      <c r="C34" s="3" t="s">
        <v>1319</v>
      </c>
      <c r="D34" s="7" t="s">
        <v>1335</v>
      </c>
      <c r="E34" s="7"/>
      <c r="F34" s="12"/>
      <c r="G34" s="8"/>
      <c r="H34" s="8"/>
      <c r="I34" s="8"/>
      <c r="J34" s="8"/>
      <c r="K34" s="8"/>
      <c r="L34" s="8">
        <f t="shared" si="0"/>
        <v>28</v>
      </c>
      <c r="M34" s="18" t="str" cm="1">
        <f t="array" ref="M34">IF(EdgesData[[#This Row],[Count]]&gt;1,",","") &amp;"{"&amp;twoRangesToJSON(EdgesData[[#Headers],[id]:[to]],EdgesData[[#This Row],[id]:[to]])&amp;"}"</f>
        <v>,{"id":"n8FB4C507_0BC5_482E_9CCE_294A3B9D2A4E","from":"n_authentication_factor","label":"HYPERONYM","to":"n_possession_factor"}</v>
      </c>
    </row>
    <row r="35" spans="1:13" ht="13.25" customHeight="1" thickTop="1" thickBot="1" x14ac:dyDescent="0.4">
      <c r="A35" s="3" t="str" cm="1">
        <f t="array" ref="A35">"n"&amp;SUBSTITUTE(CreateGuidString(),"-","_")</f>
        <v>nC0BFCB22_58C9_44F2_A052_5C6BA6E61C8D</v>
      </c>
      <c r="B35" s="3" t="s">
        <v>4</v>
      </c>
      <c r="C35" s="3" t="s">
        <v>1319</v>
      </c>
      <c r="D35" s="7" t="s">
        <v>1340</v>
      </c>
      <c r="E35" s="7"/>
      <c r="F35" s="12"/>
      <c r="G35" s="8"/>
      <c r="H35" s="8"/>
      <c r="I35" s="8"/>
      <c r="J35" s="8"/>
      <c r="K35" s="8"/>
      <c r="L35" s="8">
        <f t="shared" si="0"/>
        <v>29</v>
      </c>
      <c r="M35" s="18" t="str" cm="1">
        <f t="array" ref="M35">IF(EdgesData[[#This Row],[Count]]&gt;1,",","") &amp;"{"&amp;twoRangesToJSON(EdgesData[[#Headers],[id]:[to]],EdgesData[[#This Row],[id]:[to]])&amp;"}"</f>
        <v>,{"id":"nC0BFCB22_58C9_44F2_A052_5C6BA6E61C8D","from":"n_authentication_factor","label":"HYPERONYM","to":"n_time_factor"}</v>
      </c>
    </row>
    <row r="36" spans="1:13" ht="13.25" customHeight="1" thickTop="1" thickBot="1" x14ac:dyDescent="0.4">
      <c r="A36" s="7" t="str" cm="1">
        <f t="array" ref="A36">"n"&amp;SUBSTITUTE(CreateGuidString(),"-","_")</f>
        <v>n7A7F9238_B15F_4021_B85E_C9AFBD55828F</v>
      </c>
      <c r="B36" s="7" t="s">
        <v>1358</v>
      </c>
      <c r="C36" s="12" t="s">
        <v>1331</v>
      </c>
      <c r="D36" s="7" t="s">
        <v>1359</v>
      </c>
      <c r="E36" s="7"/>
      <c r="F36" s="12"/>
      <c r="G36" s="8"/>
      <c r="H36" s="8"/>
      <c r="I36" s="8"/>
      <c r="J36" s="8"/>
      <c r="K36" s="8"/>
      <c r="L36" s="8">
        <f t="shared" si="0"/>
        <v>30</v>
      </c>
      <c r="M36" s="18" t="str" cm="1">
        <f t="array" ref="M36">IF(EdgesData[[#This Row],[Count]]&gt;1,",","") &amp;"{"&amp;twoRangesToJSON(EdgesData[[#Headers],[id]:[to]],EdgesData[[#This Row],[id]:[to]])&amp;"}"</f>
        <v>,{"id":"n7A7F9238_B15F_4021_B85E_C9AFBD55828F","from":"n_keystroke_recognition_authentication","label":"SYNONYM","to":"n_touchstroke_recognition_authentication"}</v>
      </c>
    </row>
    <row r="37" spans="1:13" ht="13.25" customHeight="1" thickTop="1" thickBot="1" x14ac:dyDescent="0.4">
      <c r="A37" s="7" t="str" cm="1">
        <f t="array" ref="A37">"n"&amp;SUBSTITUTE(CreateGuidString(),"-","_")</f>
        <v>n22223F39_0B80_487F_A178_672DED5DC254</v>
      </c>
      <c r="B37" s="7" t="s">
        <v>1380</v>
      </c>
      <c r="C37" s="12" t="s">
        <v>1319</v>
      </c>
      <c r="D37" s="7" t="s">
        <v>1359</v>
      </c>
      <c r="E37" s="7"/>
      <c r="F37" s="22"/>
      <c r="G37" s="24"/>
      <c r="H37" s="24"/>
      <c r="I37" s="24"/>
      <c r="J37" s="24"/>
      <c r="K37" s="24"/>
      <c r="L37" s="24">
        <f t="shared" si="0"/>
        <v>31</v>
      </c>
      <c r="M37" s="18" t="str" cm="1">
        <f t="array" ref="M37">IF(EdgesData[[#This Row],[Count]]&gt;1,",","") &amp;"{"&amp;twoRangesToJSON(EdgesData[[#Headers],[id]:[to]],EdgesData[[#This Row],[id]:[to]])&amp;"}"</f>
        <v>,{"id":"n22223F39_0B80_487F_A178_672DED5DC254","from":"n_biometric_identification","label":"HYPERONYM","to":"n_touchstroke_recognition_authentication"}</v>
      </c>
    </row>
    <row r="38" spans="1:13" ht="13.25" customHeight="1" thickTop="1" thickBot="1" x14ac:dyDescent="0.4">
      <c r="A38" s="7" t="str" cm="1">
        <f t="array" ref="A38">"n"&amp;SUBSTITUTE(CreateGuidString(),"-","_")</f>
        <v>n43818EA0_35E1_4E79_AF18_57328065D6ED</v>
      </c>
      <c r="B38" s="23" t="s">
        <v>1393</v>
      </c>
      <c r="C38" s="22" t="s">
        <v>1319</v>
      </c>
      <c r="D38" s="7" t="s">
        <v>1359</v>
      </c>
      <c r="E38" s="7"/>
      <c r="F38" s="17"/>
      <c r="G38" s="5"/>
      <c r="H38" s="5"/>
      <c r="I38" s="5"/>
      <c r="J38" s="5"/>
      <c r="K38" s="5"/>
      <c r="L38" s="5">
        <f t="shared" si="0"/>
        <v>32</v>
      </c>
      <c r="M38" s="18" t="str" cm="1">
        <f t="array" ref="M38">IF(EdgesData[[#This Row],[Count]]&gt;1,",","") &amp;"{"&amp;twoRangesToJSON(EdgesData[[#Headers],[id]:[to]],EdgesData[[#This Row],[id]:[to]])&amp;"}"</f>
        <v>,{"id":"n43818EA0_35E1_4E79_AF18_57328065D6ED","from":"n_authentication_method","label":"HYPERONYM","to":"n_touchstroke_recognition_authentication"}</v>
      </c>
    </row>
    <row r="39" spans="1:13" ht="13.25" customHeight="1" thickTop="1" thickBot="1" x14ac:dyDescent="0.4">
      <c r="A39" s="7" t="str" cm="1">
        <f t="array" ref="A39">"n"&amp;SUBSTITUTE(CreateGuidString(),"-","_")</f>
        <v>nB9534BD4_926B_429E_BEA8_90AA012E8919</v>
      </c>
      <c r="B39" s="7" t="s">
        <v>1380</v>
      </c>
      <c r="C39" s="12" t="s">
        <v>1319</v>
      </c>
      <c r="D39" s="7" t="s">
        <v>1391</v>
      </c>
      <c r="E39" s="7"/>
      <c r="F39" s="22"/>
      <c r="G39" s="24"/>
      <c r="H39" s="24"/>
      <c r="I39" s="24"/>
      <c r="J39" s="24"/>
      <c r="K39" s="24"/>
      <c r="L39" s="24">
        <f t="shared" si="0"/>
        <v>33</v>
      </c>
      <c r="M39" s="18" t="str" cm="1">
        <f t="array" ref="M39">IF(EdgesData[[#This Row],[Count]]&gt;1,",","") &amp;"{"&amp;twoRangesToJSON(EdgesData[[#Headers],[id]:[to]],EdgesData[[#This Row],[id]:[to]])&amp;"}"</f>
        <v>,{"id":"nB9534BD4_926B_429E_BEA8_90AA012E8919","from":"n_biometric_identification","label":"HYPERONYM","to":"n_voice_recognition_authentication"}</v>
      </c>
    </row>
    <row r="40" spans="1:13" ht="13.25" customHeight="1" thickTop="1" thickBot="1" x14ac:dyDescent="0.4">
      <c r="A40" s="7" t="str" cm="1">
        <f t="array" ref="A40">"n"&amp;SUBSTITUTE(CreateGuidString(),"-","_")</f>
        <v>n98B50BF8_0610_495F_B47A_1C24A89323A8</v>
      </c>
      <c r="B40" s="23" t="s">
        <v>1393</v>
      </c>
      <c r="C40" s="22" t="s">
        <v>1319</v>
      </c>
      <c r="D40" s="7" t="s">
        <v>1391</v>
      </c>
      <c r="E40" s="7"/>
      <c r="F40" s="17"/>
      <c r="G40" s="5"/>
      <c r="H40" s="5"/>
      <c r="I40" s="5"/>
      <c r="J40" s="5"/>
      <c r="K40" s="5"/>
      <c r="L40" s="5">
        <f t="shared" si="0"/>
        <v>34</v>
      </c>
      <c r="M40" s="18" t="str" cm="1">
        <f t="array" ref="M40">IF(EdgesData[[#This Row],[Count]]&gt;1,",","") &amp;"{"&amp;twoRangesToJSON(EdgesData[[#Headers],[id]:[to]],EdgesData[[#This Row],[id]:[to]])&amp;"}"</f>
        <v>,{"id":"n98B50BF8_0610_495F_B47A_1C24A89323A8","from":"n_authentication_method","label":"HYPERONYM","to":"n_voice_recognition_authentication"}</v>
      </c>
    </row>
    <row r="41" spans="1:13" ht="13.25" customHeight="1" thickTop="1" thickBot="1" x14ac:dyDescent="0.4">
      <c r="A41" s="7" t="str" cm="1">
        <f t="array" ref="A41">"n"&amp;SUBSTITUTE(CreateGuidString(),"-","_")</f>
        <v>nB61A5B1D_A8ED_4C30_9719_2A82C166A326</v>
      </c>
      <c r="B41" s="7" t="s">
        <v>109</v>
      </c>
      <c r="C41" s="12" t="s">
        <v>1428</v>
      </c>
      <c r="D41" s="7" t="s">
        <v>1420</v>
      </c>
      <c r="E41" s="7"/>
      <c r="F41" s="12"/>
      <c r="G41" s="8"/>
      <c r="H41" s="8"/>
      <c r="I41" s="8"/>
      <c r="J41" s="8"/>
      <c r="K41" s="8"/>
      <c r="L41" s="8">
        <f t="shared" si="0"/>
        <v>35</v>
      </c>
      <c r="M41" s="18" t="str" cm="1">
        <f t="array" ref="M41">IF(EdgesData[[#This Row],[Count]]&gt;1,",","") &amp;"{"&amp;twoRangesToJSON(EdgesData[[#Headers],[id]:[to]],EdgesData[[#This Row],[id]:[to]])&amp;"}"</f>
        <v>,{"id":"nB61A5B1D_A8ED_4C30_9719_2A82C166A326","from":"Boundary Control","label":"is","to":"Control Class"}</v>
      </c>
    </row>
    <row r="42" spans="1:13" ht="13.25" customHeight="1" thickTop="1" thickBot="1" x14ac:dyDescent="0.4">
      <c r="A42" s="7" t="str" cm="1">
        <f t="array" ref="A42">"n"&amp;SUBSTITUTE(CreateGuidString(),"-","_")</f>
        <v>n4F6142F3_56EE_4621_AF5A_30DC760AADD9</v>
      </c>
      <c r="B42" s="7" t="s">
        <v>109</v>
      </c>
      <c r="C42" s="12" t="s">
        <v>1421</v>
      </c>
      <c r="D42" s="7" t="s">
        <v>484</v>
      </c>
      <c r="E42" s="7"/>
      <c r="F42" s="12"/>
      <c r="G42" s="8"/>
      <c r="H42" s="8"/>
      <c r="I42" s="8"/>
      <c r="J42" s="8"/>
      <c r="K42" s="8"/>
      <c r="L42" s="8">
        <f t="shared" si="0"/>
        <v>36</v>
      </c>
      <c r="M42" s="18" t="str" cm="1">
        <f t="array" ref="M42">IF(EdgesData[[#This Row],[Count]]&gt;1,",","") &amp;"{"&amp;twoRangesToJSON(EdgesData[[#Headers],[id]:[to]],EdgesData[[#This Row],[id]:[to]])&amp;"}"</f>
        <v>,{"id":"n4F6142F3_56EE_4621_AF5A_30DC760AADD9","from":"Boundary Control","label":"protects","to":"System"}</v>
      </c>
    </row>
    <row r="43" spans="1:13" ht="13.25" customHeight="1" thickTop="1" thickBot="1" x14ac:dyDescent="0.4">
      <c r="A43" s="7" t="str" cm="1">
        <f t="array" ref="A43">"n"&amp;SUBSTITUTE(CreateGuidString(),"-","_")</f>
        <v>n0BA056E1_13BD_45A3_A1FA_7A174A0EFFE4</v>
      </c>
      <c r="B43" s="7" t="s">
        <v>109</v>
      </c>
      <c r="C43" s="12" t="s">
        <v>1422</v>
      </c>
      <c r="D43" s="7" t="s">
        <v>1423</v>
      </c>
      <c r="E43" s="7"/>
      <c r="F43" s="12"/>
      <c r="G43" s="8"/>
      <c r="H43" s="8"/>
      <c r="I43" s="8"/>
      <c r="J43" s="8"/>
      <c r="K43" s="8"/>
      <c r="L43" s="8">
        <f t="shared" si="0"/>
        <v>37</v>
      </c>
      <c r="M43" s="18" t="str" cm="1">
        <f t="array" ref="M43">IF(EdgesData[[#This Row],[Count]]&gt;1,",","") &amp;"{"&amp;twoRangesToJSON(EdgesData[[#Headers],[id]:[to]],EdgesData[[#This Row],[id]:[to]])&amp;"}"</f>
        <v>,{"id":"n0BA056E1_13BD_45A3_A1FA_7A174A0EFFE4","from":"Boundary Control","label":"protects from","to":"External Threat Agents"}</v>
      </c>
    </row>
    <row r="44" spans="1:13" ht="13.25" customHeight="1" thickTop="1" thickBot="1" x14ac:dyDescent="0.4">
      <c r="A44" s="7" t="str" cm="1">
        <f t="array" ref="A44">"n"&amp;SUBSTITUTE(CreateGuidString(),"-","_")</f>
        <v>n20FA6A4E_9110_4312_8B2B_26151E5F0BEF</v>
      </c>
      <c r="B44" s="7" t="s">
        <v>1423</v>
      </c>
      <c r="C44" s="12" t="s">
        <v>1428</v>
      </c>
      <c r="D44" s="7" t="s">
        <v>1424</v>
      </c>
      <c r="E44" s="7"/>
      <c r="F44" s="12"/>
      <c r="G44" s="8"/>
      <c r="H44" s="8"/>
      <c r="I44" s="8"/>
      <c r="J44" s="8"/>
      <c r="K44" s="8"/>
      <c r="L44" s="8">
        <f t="shared" si="0"/>
        <v>38</v>
      </c>
      <c r="M44" s="18" t="str" cm="1">
        <f t="array" ref="M44">IF(EdgesData[[#This Row],[Count]]&gt;1,",","") &amp;"{"&amp;twoRangesToJSON(EdgesData[[#Headers],[id]:[to]],EdgesData[[#This Row],[id]:[to]])&amp;"}"</f>
        <v>,{"id":"n20FA6A4E_9110_4312_8B2B_26151E5F0BEF","from":"External Threat Agents","label":"is","to":"Threat Agent"}</v>
      </c>
    </row>
    <row r="45" spans="1:13" ht="13.25" customHeight="1" thickTop="1" thickBot="1" x14ac:dyDescent="0.4">
      <c r="A45" s="7" t="str" cm="1">
        <f t="array" ref="A45">"n"&amp;SUBSTITUTE(CreateGuidString(),"-","_")</f>
        <v>nB2F012C2_2120_43B2_9D79_1D500541A590</v>
      </c>
      <c r="B45" s="7" t="s">
        <v>291</v>
      </c>
      <c r="C45" s="12" t="s">
        <v>1425</v>
      </c>
      <c r="D45" s="7" t="s">
        <v>1426</v>
      </c>
      <c r="E45" s="7"/>
      <c r="F45" s="12"/>
      <c r="G45" s="8"/>
      <c r="H45" s="8"/>
      <c r="I45" s="8"/>
      <c r="J45" s="8"/>
      <c r="K45" s="8"/>
      <c r="L45" s="8">
        <f t="shared" si="0"/>
        <v>39</v>
      </c>
      <c r="M45" s="18" t="str" cm="1">
        <f t="array" ref="M45">IF(EdgesData[[#This Row],[Count]]&gt;1,",","") &amp;"{"&amp;twoRangesToJSON(EdgesData[[#Headers],[id]:[to]],EdgesData[[#This Row],[id]:[to]])&amp;"}"</f>
        <v>,{"id":"nB2F012C2_2120_43B2_9D79_1D500541A590","from":"IT System","label":"is composed of","to":"IT Component"}</v>
      </c>
    </row>
    <row r="46" spans="1:13" ht="13.25" customHeight="1" thickTop="1" thickBot="1" x14ac:dyDescent="0.4">
      <c r="A46" s="6" t="str" cm="1">
        <f t="array" ref="A46">"n"&amp;SUBSTITUTE(CreateGuidString(),"-","_")</f>
        <v>n95CDF464_6962_4A83_9C0A_008AEBA2F289</v>
      </c>
      <c r="B46" s="6" t="s">
        <v>1427</v>
      </c>
      <c r="C46" s="12" t="s">
        <v>1428</v>
      </c>
      <c r="D46" s="7" t="s">
        <v>1426</v>
      </c>
      <c r="E46" s="7"/>
      <c r="F46" s="12"/>
      <c r="G46" s="8"/>
      <c r="H46" s="8"/>
      <c r="I46" s="8"/>
      <c r="J46" s="8"/>
      <c r="K46" s="8"/>
      <c r="L46" s="8">
        <f t="shared" si="0"/>
        <v>40</v>
      </c>
      <c r="M46" s="18" t="str" cm="1">
        <f t="array" ref="M46">IF(EdgesData[[#This Row],[Count]]&gt;1,",","") &amp;"{"&amp;twoRangesToJSON(EdgesData[[#Headers],[id]:[to]],EdgesData[[#This Row],[id]:[to]])&amp;"}"</f>
        <v>,{"id":"n95CDF464_6962_4A83_9C0A_008AEBA2F289","from":"IT Hardware","label":"is","to":"IT Component"}</v>
      </c>
    </row>
    <row r="47" spans="1:13" ht="13.25" customHeight="1" thickTop="1" thickBot="1" x14ac:dyDescent="0.4">
      <c r="A47" s="7" t="str" cm="1">
        <f t="array" ref="A47">"n"&amp;SUBSTITUTE(CreateGuidString(),"-","_")</f>
        <v>n611EA642_AFF3_4ECF_85FF_3A7EF18F0B0D</v>
      </c>
      <c r="B47" s="7" t="s">
        <v>1429</v>
      </c>
      <c r="C47" s="12" t="s">
        <v>1428</v>
      </c>
      <c r="D47" s="7" t="s">
        <v>1426</v>
      </c>
      <c r="E47" s="7"/>
      <c r="F47" s="12"/>
      <c r="G47" s="8"/>
      <c r="H47" s="8"/>
      <c r="I47" s="8"/>
      <c r="J47" s="8"/>
      <c r="K47" s="8"/>
      <c r="L47" s="8">
        <f t="shared" si="0"/>
        <v>41</v>
      </c>
      <c r="M47" s="18" t="str" cm="1">
        <f t="array" ref="M47">IF(EdgesData[[#This Row],[Count]]&gt;1,",","") &amp;"{"&amp;twoRangesToJSON(EdgesData[[#Headers],[id]:[to]],EdgesData[[#This Row],[id]:[to]])&amp;"}"</f>
        <v>,{"id":"n611EA642_AFF3_4ECF_85FF_3A7EF18F0B0D","from":"IT Software","label":"is","to":"IT Component"}</v>
      </c>
    </row>
    <row r="48" spans="1:13" ht="13.25" customHeight="1" thickTop="1" thickBot="1" x14ac:dyDescent="0.4">
      <c r="A48" s="7" t="str" cm="1">
        <f t="array" ref="A48">"n"&amp;SUBSTITUTE(CreateGuidString(),"-","_")</f>
        <v>n458DB959_FB98_4269_958F_9D0876BCF696</v>
      </c>
      <c r="B48" s="7" t="s">
        <v>1430</v>
      </c>
      <c r="C48" s="12" t="s">
        <v>1428</v>
      </c>
      <c r="D48" s="7" t="s">
        <v>1426</v>
      </c>
      <c r="E48" s="7"/>
      <c r="F48" s="12"/>
      <c r="G48" s="8"/>
      <c r="H48" s="8"/>
      <c r="I48" s="8"/>
      <c r="J48" s="8"/>
      <c r="K48" s="8"/>
      <c r="L48" s="8">
        <f t="shared" si="0"/>
        <v>42</v>
      </c>
      <c r="M48" s="18" t="str" cm="1">
        <f t="array" ref="M48">IF(EdgesData[[#This Row],[Count]]&gt;1,",","") &amp;"{"&amp;twoRangesToJSON(EdgesData[[#Headers],[id]:[to]],EdgesData[[#This Row],[id]:[to]])&amp;"}"</f>
        <v>,{"id":"n458DB959_FB98_4269_958F_9D0876BCF696","from":"Data","label":"is","to":"IT Component"}</v>
      </c>
    </row>
    <row r="49" spans="1:13" ht="13.25" customHeight="1" thickTop="1" thickBot="1" x14ac:dyDescent="0.4">
      <c r="A49" s="7" t="str" cm="1">
        <f t="array" ref="A49">"n"&amp;SUBSTITUTE(CreateGuidString(),"-","_")</f>
        <v>nF4490A47_60E4_4D9F_BEFD_0E2BD19436B8</v>
      </c>
      <c r="B49" s="7" t="s">
        <v>1431</v>
      </c>
      <c r="C49" s="12" t="s">
        <v>1428</v>
      </c>
      <c r="D49" s="7" t="s">
        <v>1426</v>
      </c>
      <c r="E49" s="7"/>
      <c r="F49" s="12"/>
      <c r="G49" s="8"/>
      <c r="H49" s="8"/>
      <c r="I49" s="8"/>
      <c r="J49" s="8"/>
      <c r="K49" s="8"/>
      <c r="L49" s="8">
        <f t="shared" si="0"/>
        <v>43</v>
      </c>
      <c r="M49" s="18" t="str" cm="1">
        <f t="array" ref="M49">IF(EdgesData[[#This Row],[Count]]&gt;1,",","") &amp;"{"&amp;twoRangesToJSON(EdgesData[[#Headers],[id]:[to]],EdgesData[[#This Row],[id]:[to]])&amp;"}"</f>
        <v>,{"id":"nF4490A47_60E4_4D9F_BEFD_0E2BD19436B8","from":"Data Operation","label":"is","to":"IT Component"}</v>
      </c>
    </row>
    <row r="50" spans="1:13" ht="13.25" customHeight="1" thickTop="1" thickBot="1" x14ac:dyDescent="0.4">
      <c r="A50" s="7" t="str" cm="1">
        <f t="array" ref="A50">"n"&amp;SUBSTITUTE(CreateGuidString(),"-","_")</f>
        <v>nD32B562E_C099_4B0A_B418_553DE0D340DA</v>
      </c>
      <c r="B50" s="7" t="s">
        <v>291</v>
      </c>
      <c r="C50" s="12" t="s">
        <v>1432</v>
      </c>
      <c r="D50" s="7" t="s">
        <v>1433</v>
      </c>
      <c r="E50" s="7"/>
      <c r="F50" s="12"/>
      <c r="G50" s="8"/>
      <c r="H50" s="8"/>
      <c r="I50" s="8"/>
      <c r="J50" s="8"/>
      <c r="K50" s="8"/>
      <c r="L50" s="8">
        <f t="shared" si="0"/>
        <v>44</v>
      </c>
      <c r="M50" s="18" t="str" cm="1">
        <f t="array" ref="M50">IF(EdgesData[[#This Row],[Count]]&gt;1,",","") &amp;"{"&amp;twoRangesToJSON(EdgesData[[#Headers],[id]:[to]],EdgesData[[#This Row],[id]:[to]])&amp;"}"</f>
        <v>,{"id":"nD32B562E_C099_4B0A_B418_553DE0D340DA","from":"IT System","label":"has capability","to":"Capabilty to collect information"}</v>
      </c>
    </row>
    <row r="51" spans="1:13" ht="13.25" customHeight="1" thickTop="1" thickBot="1" x14ac:dyDescent="0.4">
      <c r="A51" s="7" t="str" cm="1">
        <f t="array" ref="A51">"n"&amp;SUBSTITUTE(CreateGuidString(),"-","_")</f>
        <v>nC06A04E2_94C1_4ABC_B30C_1056D91C0FB5</v>
      </c>
      <c r="B51" s="7" t="s">
        <v>291</v>
      </c>
      <c r="C51" s="12" t="s">
        <v>1432</v>
      </c>
      <c r="D51" s="7" t="s">
        <v>1434</v>
      </c>
      <c r="E51" s="7"/>
      <c r="F51" s="12"/>
      <c r="G51" s="8"/>
      <c r="H51" s="8"/>
      <c r="I51" s="8"/>
      <c r="J51" s="8"/>
      <c r="K51" s="8"/>
      <c r="L51" s="8">
        <f t="shared" si="0"/>
        <v>45</v>
      </c>
      <c r="M51" s="18" t="str" cm="1">
        <f t="array" ref="M51">IF(EdgesData[[#This Row],[Count]]&gt;1,",","") &amp;"{"&amp;twoRangesToJSON(EdgesData[[#Headers],[id]:[to]],EdgesData[[#This Row],[id]:[to]])&amp;"}"</f>
        <v>,{"id":"nC06A04E2_94C1_4ABC_B30C_1056D91C0FB5","from":"IT System","label":"has capability","to":"Capability to store information"}</v>
      </c>
    </row>
    <row r="52" spans="1:13" ht="13.25" customHeight="1" thickTop="1" thickBot="1" x14ac:dyDescent="0.4">
      <c r="A52" s="7" t="str" cm="1">
        <f t="array" ref="A52">"n"&amp;SUBSTITUTE(CreateGuidString(),"-","_")</f>
        <v>n409F124B_A978_44BC_BA34_331080592A27</v>
      </c>
      <c r="B52" s="7" t="s">
        <v>291</v>
      </c>
      <c r="C52" s="12" t="s">
        <v>1432</v>
      </c>
      <c r="D52" s="7" t="s">
        <v>1435</v>
      </c>
      <c r="E52" s="7"/>
      <c r="F52" s="12"/>
      <c r="G52" s="8"/>
      <c r="H52" s="8"/>
      <c r="I52" s="8"/>
      <c r="J52" s="8"/>
      <c r="K52" s="8"/>
      <c r="L52" s="8">
        <f t="shared" si="0"/>
        <v>46</v>
      </c>
      <c r="M52" s="18" t="str" cm="1">
        <f t="array" ref="M52">IF(EdgesData[[#This Row],[Count]]&gt;1,",","") &amp;"{"&amp;twoRangesToJSON(EdgesData[[#Headers],[id]:[to]],EdgesData[[#This Row],[id]:[to]])&amp;"}"</f>
        <v>,{"id":"n409F124B_A978_44BC_BA34_331080592A27","from":"IT System","label":"has capability","to":"Capability to transform information"}</v>
      </c>
    </row>
    <row r="53" spans="1:13" ht="13.25" customHeight="1" thickTop="1" thickBot="1" x14ac:dyDescent="0.4">
      <c r="A53" s="7" t="str" cm="1">
        <f t="array" ref="A53">"n"&amp;SUBSTITUTE(CreateGuidString(),"-","_")</f>
        <v>n24CFAAF3_7080_4315_8E65_54BE7333ADC0</v>
      </c>
      <c r="B53" s="7" t="s">
        <v>291</v>
      </c>
      <c r="C53" s="12" t="s">
        <v>1432</v>
      </c>
      <c r="D53" s="7" t="s">
        <v>1436</v>
      </c>
      <c r="E53" s="7"/>
      <c r="F53" s="12"/>
      <c r="G53" s="8"/>
      <c r="H53" s="8"/>
      <c r="I53" s="8"/>
      <c r="J53" s="8"/>
      <c r="K53" s="8"/>
      <c r="L53" s="8">
        <f t="shared" si="0"/>
        <v>47</v>
      </c>
      <c r="M53" s="18" t="str" cm="1">
        <f t="array" ref="M53">IF(EdgesData[[#This Row],[Count]]&gt;1,",","") &amp;"{"&amp;twoRangesToJSON(EdgesData[[#Headers],[id]:[to]],EdgesData[[#This Row],[id]:[to]])&amp;"}"</f>
        <v>,{"id":"n24CFAAF3_7080_4315_8E65_54BE7333ADC0","from":"IT System","label":"has capability","to":"Capability to transmit information"}</v>
      </c>
    </row>
    <row r="54" spans="1:13" ht="13.25" customHeight="1" thickTop="1" thickBot="1" x14ac:dyDescent="0.4">
      <c r="A54" s="7" t="str" cm="1">
        <f t="array" ref="A54">"n"&amp;SUBSTITUTE(CreateGuidString(),"-","_")</f>
        <v>n52EC6BA8_02AD_43BD_829A_6DF654CFD232</v>
      </c>
      <c r="B54" s="7" t="s">
        <v>291</v>
      </c>
      <c r="C54" s="12" t="s">
        <v>1437</v>
      </c>
      <c r="D54" s="7" t="s">
        <v>1438</v>
      </c>
      <c r="E54" s="7"/>
      <c r="F54" s="12"/>
      <c r="G54" s="8"/>
      <c r="H54" s="8"/>
      <c r="I54" s="8"/>
      <c r="J54" s="8"/>
      <c r="K54" s="8"/>
      <c r="L54" s="8">
        <f t="shared" si="0"/>
        <v>48</v>
      </c>
      <c r="M54" s="18" t="str" cm="1">
        <f t="array" ref="M54">IF(EdgesData[[#This Row],[Count]]&gt;1,",","") &amp;"{"&amp;twoRangesToJSON(EdgesData[[#Headers],[id]:[to]],EdgesData[[#This Row],[id]:[to]])&amp;"}"</f>
        <v>,{"id":"n52EC6BA8_02AD_43BD_829A_6DF654CFD232","from":"IT System","label":"regarded as","to":"Coherent Whole"}</v>
      </c>
    </row>
    <row r="55" spans="1:13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19" t="s">
        <v>2</v>
      </c>
    </row>
    <row r="4" spans="1:1" ht="16.149999999999999" thickTop="1" thickBot="1" x14ac:dyDescent="0.4">
      <c r="A4" s="20" t="s">
        <v>1399</v>
      </c>
    </row>
    <row r="5" spans="1:1" ht="15.75" thickTop="1" x14ac:dyDescent="0.35">
      <c r="A5" s="2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1310</v>
      </c>
      <c r="B4" t="s">
        <v>1332</v>
      </c>
      <c r="C4" t="s">
        <v>1315</v>
      </c>
      <c r="D4" t="s">
        <v>1316</v>
      </c>
      <c r="E4" t="s">
        <v>1317</v>
      </c>
      <c r="F4" t="s">
        <v>1318</v>
      </c>
    </row>
    <row r="5" spans="1:6" x14ac:dyDescent="0.35">
      <c r="A5" t="s">
        <v>1319</v>
      </c>
      <c r="B5" t="s">
        <v>1313</v>
      </c>
      <c r="C5" t="s">
        <v>1320</v>
      </c>
      <c r="D5" t="s">
        <v>1321</v>
      </c>
      <c r="E5" t="s">
        <v>1322</v>
      </c>
      <c r="F5" t="s">
        <v>1323</v>
      </c>
    </row>
    <row r="6" spans="1:6" x14ac:dyDescent="0.35">
      <c r="A6" t="s">
        <v>1324</v>
      </c>
      <c r="B6" t="s">
        <v>1313</v>
      </c>
    </row>
    <row r="7" spans="1:6" x14ac:dyDescent="0.35">
      <c r="A7" t="s">
        <v>1325</v>
      </c>
      <c r="B7" t="s">
        <v>1313</v>
      </c>
      <c r="C7" t="s">
        <v>1328</v>
      </c>
      <c r="D7" t="s">
        <v>1329</v>
      </c>
      <c r="E7" t="s">
        <v>1326</v>
      </c>
      <c r="F7" t="s">
        <v>1327</v>
      </c>
    </row>
    <row r="8" spans="1:6" x14ac:dyDescent="0.35">
      <c r="A8" t="s">
        <v>1330</v>
      </c>
      <c r="B8" t="s">
        <v>1314</v>
      </c>
    </row>
    <row r="9" spans="1:6" x14ac:dyDescent="0.35">
      <c r="A9" t="s">
        <v>1331</v>
      </c>
      <c r="B9" t="s">
        <v>1314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1312</v>
      </c>
    </row>
    <row r="3" spans="1:1" x14ac:dyDescent="0.35">
      <c r="A3" t="s">
        <v>1311</v>
      </c>
    </row>
    <row r="4" spans="1:1" x14ac:dyDescent="0.35">
      <c r="A4" t="s">
        <v>1313</v>
      </c>
    </row>
    <row r="5" spans="1:1" x14ac:dyDescent="0.35">
      <c r="A5" t="s">
        <v>1314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2021-07-10T05:44:21Z</dcterms:modified>
</cp:coreProperties>
</file>