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BD113715-5249-4200-B0FE-EBFBFB321534}" xr6:coauthVersionLast="47" xr6:coauthVersionMax="47" xr10:uidLastSave="{00000000-0000-0000-0000-000000000000}"/>
  <bookViews>
    <workbookView xWindow="-98" yWindow="-98" windowWidth="20715" windowHeight="13276" activeTab="2" xr2:uid="{00000000-000D-0000-FFFF-FFFF00000000}"/>
  </bookViews>
  <sheets>
    <sheet name="Export" sheetId="7" r:id="rId1"/>
    <sheet name="Preparation" sheetId="8" r:id="rId2"/>
    <sheet name="Nodes" sheetId="3" r:id="rId3"/>
    <sheet name="Relationships" sheetId="9" r:id="rId4"/>
    <sheet name="Finalize" sheetId="10" r:id="rId5"/>
    <sheet name="DIC Pages" sheetId="6" r:id="rId6"/>
    <sheet name="Sheet1" sheetId="4" r:id="rId7"/>
    <sheet name="Sheet2" sheetId="5" r:id="rId8"/>
    <sheet name="Sheet8" sheetId="11" r:id="rId9"/>
  </sheets>
  <functionGroups builtInGroupCount="19"/>
  <definedNames>
    <definedName name="FinalizeCypher">Table1012[Cypher]</definedName>
    <definedName name="NodesCypher" localSheetId="4">#REF!</definedName>
    <definedName name="NodesCypher" localSheetId="3">ConceptNodes9['[CYPHER']]</definedName>
    <definedName name="NodesCypher">#REF!</definedName>
    <definedName name="PreparationCypher" localSheetId="4">Finalize!$A$4</definedName>
    <definedName name="PreparationCypher">Preparation!$A$4</definedName>
    <definedName name="RelationshipsCypher">ConceptNodes9['[CYPHER']]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3" l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E103" i="3" s="1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E126" i="3" s="1"/>
  <c r="E127" i="3" s="1"/>
  <c r="E128" i="3" s="1"/>
  <c r="E129" i="3" s="1"/>
  <c r="E130" i="3" s="1"/>
  <c r="E131" i="3" s="1"/>
  <c r="E132" i="3" s="1"/>
  <c r="E133" i="3" s="1"/>
  <c r="E134" i="3" s="1"/>
  <c r="E135" i="3" s="1"/>
  <c r="E136" i="3" s="1"/>
  <c r="E137" i="3" s="1"/>
  <c r="E138" i="3" s="1"/>
  <c r="E139" i="3" s="1"/>
  <c r="E140" i="3" s="1"/>
  <c r="E141" i="3" s="1"/>
  <c r="E142" i="3" s="1"/>
  <c r="E143" i="3" s="1"/>
  <c r="E144" i="3" s="1"/>
  <c r="E145" i="3" s="1"/>
  <c r="E146" i="3" s="1"/>
  <c r="E147" i="3" s="1"/>
  <c r="E148" i="3" s="1"/>
  <c r="E149" i="3" s="1"/>
  <c r="E150" i="3" s="1"/>
  <c r="E151" i="3" s="1"/>
  <c r="E152" i="3" s="1"/>
  <c r="E153" i="3" s="1"/>
  <c r="E154" i="3" s="1"/>
  <c r="E155" i="3" s="1"/>
  <c r="E156" i="3" s="1"/>
  <c r="E157" i="3" s="1"/>
  <c r="E158" i="3" s="1"/>
  <c r="E159" i="3" s="1"/>
  <c r="E160" i="3" s="1"/>
  <c r="E161" i="3" s="1"/>
  <c r="E162" i="3" s="1"/>
  <c r="E163" i="3" s="1"/>
  <c r="E164" i="3" s="1"/>
  <c r="E165" i="3" s="1"/>
  <c r="E166" i="3" s="1"/>
  <c r="E167" i="3" s="1"/>
  <c r="E168" i="3" s="1"/>
  <c r="E169" i="3" s="1"/>
  <c r="E170" i="3" s="1"/>
  <c r="E171" i="3" s="1"/>
  <c r="E172" i="3" s="1"/>
  <c r="E173" i="3" s="1"/>
  <c r="E174" i="3" s="1"/>
  <c r="E175" i="3" s="1"/>
  <c r="E176" i="3" s="1"/>
  <c r="E177" i="3" s="1"/>
  <c r="E178" i="3" s="1"/>
  <c r="E179" i="3" s="1"/>
  <c r="E180" i="3" s="1"/>
  <c r="E181" i="3" s="1"/>
  <c r="E182" i="3" s="1"/>
  <c r="E183" i="3" s="1"/>
  <c r="E184" i="3" s="1"/>
  <c r="E185" i="3" s="1"/>
  <c r="E186" i="3" s="1"/>
  <c r="E187" i="3" s="1"/>
  <c r="E188" i="3" s="1"/>
  <c r="E189" i="3" s="1"/>
  <c r="E190" i="3" s="1"/>
  <c r="E191" i="3" s="1"/>
  <c r="E192" i="3" s="1"/>
  <c r="E193" i="3" s="1"/>
  <c r="E194" i="3" s="1"/>
  <c r="E195" i="3" s="1"/>
  <c r="E196" i="3" s="1"/>
  <c r="E197" i="3" s="1"/>
  <c r="E198" i="3" s="1"/>
  <c r="E199" i="3" s="1"/>
  <c r="E200" i="3" s="1"/>
  <c r="E201" i="3" s="1"/>
  <c r="E202" i="3" s="1"/>
  <c r="E203" i="3" s="1"/>
  <c r="E204" i="3" s="1"/>
  <c r="E205" i="3" s="1"/>
  <c r="E206" i="3" s="1"/>
  <c r="E207" i="3" s="1"/>
  <c r="E208" i="3" s="1"/>
  <c r="E209" i="3" s="1"/>
  <c r="E210" i="3" s="1"/>
  <c r="E211" i="3" s="1"/>
  <c r="E212" i="3" s="1"/>
  <c r="E213" i="3" s="1"/>
  <c r="E214" i="3" s="1"/>
  <c r="E215" i="3" s="1"/>
  <c r="E216" i="3" s="1"/>
  <c r="E217" i="3" s="1"/>
  <c r="E218" i="3" s="1"/>
  <c r="E219" i="3" s="1"/>
  <c r="E220" i="3" s="1"/>
  <c r="E221" i="3" s="1"/>
  <c r="E222" i="3" s="1"/>
  <c r="E223" i="3" s="1"/>
  <c r="E224" i="3" s="1"/>
  <c r="E225" i="3" s="1"/>
  <c r="E226" i="3" s="1"/>
  <c r="E227" i="3" s="1"/>
  <c r="E228" i="3" s="1"/>
  <c r="E229" i="3" s="1"/>
  <c r="E230" i="3" s="1"/>
  <c r="E231" i="3" s="1"/>
  <c r="E232" i="3" s="1"/>
  <c r="E233" i="3" s="1"/>
  <c r="E234" i="3" s="1"/>
  <c r="E235" i="3" s="1"/>
  <c r="E236" i="3" s="1"/>
  <c r="E237" i="3" s="1"/>
  <c r="E238" i="3" s="1"/>
  <c r="E239" i="3" s="1"/>
  <c r="E240" i="3" s="1"/>
  <c r="E241" i="3" s="1"/>
  <c r="E242" i="3" s="1"/>
  <c r="E243" i="3" s="1"/>
  <c r="E244" i="3" s="1"/>
  <c r="E245" i="3" s="1"/>
  <c r="E246" i="3" s="1"/>
  <c r="E247" i="3" s="1"/>
  <c r="E248" i="3" s="1"/>
  <c r="E249" i="3" s="1"/>
  <c r="E250" i="3" s="1"/>
  <c r="E251" i="3" s="1"/>
  <c r="E252" i="3" s="1"/>
  <c r="E253" i="3" s="1"/>
  <c r="E254" i="3" s="1"/>
  <c r="E255" i="3" s="1"/>
  <c r="E256" i="3" s="1"/>
  <c r="E257" i="3" s="1"/>
  <c r="E258" i="3" s="1"/>
  <c r="E259" i="3" s="1"/>
  <c r="E260" i="3" s="1"/>
  <c r="E261" i="3" s="1"/>
  <c r="E262" i="3" s="1"/>
  <c r="E263" i="3" s="1"/>
  <c r="E264" i="3" s="1"/>
  <c r="E265" i="3" s="1"/>
  <c r="E266" i="3" s="1"/>
  <c r="E267" i="3" s="1"/>
  <c r="E268" i="3" s="1"/>
  <c r="E269" i="3" s="1"/>
  <c r="E270" i="3" s="1"/>
  <c r="E271" i="3" s="1"/>
  <c r="E272" i="3" s="1"/>
  <c r="E273" i="3" s="1"/>
  <c r="E274" i="3" s="1"/>
  <c r="E275" i="3" s="1"/>
  <c r="E276" i="3" s="1"/>
  <c r="E277" i="3" s="1"/>
  <c r="E278" i="3" s="1"/>
  <c r="E279" i="3" s="1"/>
  <c r="E280" i="3" s="1"/>
  <c r="E281" i="3" s="1"/>
  <c r="E282" i="3" s="1"/>
  <c r="E283" i="3" s="1"/>
  <c r="E284" i="3" s="1"/>
  <c r="E285" i="3" s="1"/>
  <c r="E286" i="3" s="1"/>
  <c r="E287" i="3" s="1"/>
  <c r="E288" i="3" s="1"/>
  <c r="E289" i="3" s="1"/>
  <c r="E290" i="3" s="1"/>
  <c r="E291" i="3" s="1"/>
  <c r="E292" i="3" s="1"/>
  <c r="E293" i="3" s="1"/>
  <c r="E294" i="3" s="1"/>
  <c r="E295" i="3" s="1"/>
  <c r="E296" i="3" s="1"/>
  <c r="E297" i="3" s="1"/>
  <c r="E298" i="3" s="1"/>
  <c r="E299" i="3" s="1"/>
  <c r="E300" i="3" s="1"/>
  <c r="E301" i="3" s="1"/>
  <c r="E302" i="3" s="1"/>
  <c r="E303" i="3" s="1"/>
  <c r="E304" i="3" s="1"/>
  <c r="E305" i="3" s="1"/>
  <c r="E306" i="3" s="1"/>
  <c r="E307" i="3" s="1"/>
  <c r="E308" i="3" s="1"/>
  <c r="E309" i="3" s="1"/>
  <c r="E310" i="3" s="1"/>
  <c r="E311" i="3" s="1"/>
  <c r="E312" i="3" s="1"/>
  <c r="E313" i="3" s="1"/>
  <c r="E314" i="3" s="1"/>
  <c r="E315" i="3" s="1"/>
  <c r="E316" i="3" s="1"/>
  <c r="E317" i="3" s="1"/>
  <c r="E318" i="3" s="1"/>
  <c r="E319" i="3" s="1"/>
  <c r="E320" i="3" s="1"/>
  <c r="E321" i="3" s="1"/>
  <c r="E322" i="3" s="1"/>
  <c r="E323" i="3" s="1"/>
  <c r="E324" i="3" s="1"/>
  <c r="E325" i="3" s="1"/>
  <c r="E326" i="3" s="1"/>
  <c r="E327" i="3" s="1"/>
  <c r="E328" i="3" s="1"/>
  <c r="E329" i="3" s="1"/>
  <c r="E330" i="3" s="1"/>
  <c r="E331" i="3" s="1"/>
  <c r="E332" i="3" s="1"/>
  <c r="E333" i="3" s="1"/>
  <c r="E334" i="3" s="1"/>
  <c r="E335" i="3" s="1"/>
  <c r="E336" i="3" s="1"/>
  <c r="E337" i="3" s="1"/>
  <c r="E338" i="3" s="1"/>
  <c r="E339" i="3" s="1"/>
  <c r="E340" i="3" s="1"/>
  <c r="E341" i="3" s="1"/>
  <c r="E342" i="3" s="1"/>
  <c r="E343" i="3" s="1"/>
  <c r="E344" i="3" s="1"/>
  <c r="E345" i="3" s="1"/>
  <c r="E346" i="3" s="1"/>
  <c r="E347" i="3" s="1"/>
  <c r="E348" i="3" s="1"/>
  <c r="E349" i="3" s="1"/>
  <c r="E350" i="3" s="1"/>
  <c r="E351" i="3" s="1"/>
  <c r="E352" i="3" s="1"/>
  <c r="E353" i="3" s="1"/>
  <c r="E354" i="3" s="1"/>
  <c r="E355" i="3" s="1"/>
  <c r="E356" i="3" s="1"/>
  <c r="E357" i="3" s="1"/>
  <c r="E358" i="3" s="1"/>
  <c r="E359" i="3" s="1"/>
  <c r="E360" i="3" s="1"/>
  <c r="E361" i="3" s="1"/>
  <c r="E362" i="3" s="1"/>
  <c r="E363" i="3" s="1"/>
  <c r="E364" i="3" s="1"/>
  <c r="E365" i="3" s="1"/>
  <c r="E366" i="3" s="1"/>
  <c r="E367" i="3" s="1"/>
  <c r="E368" i="3" s="1"/>
  <c r="E369" i="3" s="1"/>
  <c r="E370" i="3" s="1"/>
  <c r="E371" i="3" s="1"/>
  <c r="E372" i="3" s="1"/>
  <c r="E373" i="3" s="1"/>
  <c r="E374" i="3" s="1"/>
  <c r="E375" i="3" s="1"/>
  <c r="E376" i="3" s="1"/>
  <c r="E377" i="3" s="1"/>
  <c r="E378" i="3" s="1"/>
  <c r="E379" i="3" s="1"/>
  <c r="E380" i="3" s="1"/>
  <c r="E381" i="3" s="1"/>
  <c r="E382" i="3" s="1"/>
  <c r="E383" i="3" s="1"/>
  <c r="E384" i="3" s="1"/>
  <c r="E385" i="3" s="1"/>
  <c r="E386" i="3" s="1"/>
  <c r="E387" i="3" s="1"/>
  <c r="E388" i="3" s="1"/>
  <c r="E389" i="3" s="1"/>
  <c r="E390" i="3" s="1"/>
  <c r="E391" i="3" s="1"/>
  <c r="E392" i="3" s="1"/>
  <c r="E393" i="3" s="1"/>
  <c r="E394" i="3" s="1"/>
  <c r="E395" i="3" s="1"/>
  <c r="E396" i="3" s="1"/>
  <c r="E397" i="3" s="1"/>
  <c r="E398" i="3" s="1"/>
  <c r="E399" i="3" s="1"/>
  <c r="E400" i="3" s="1"/>
  <c r="E401" i="3" s="1"/>
  <c r="E402" i="3" s="1"/>
  <c r="E403" i="3" s="1"/>
  <c r="E404" i="3" s="1"/>
  <c r="E405" i="3" s="1"/>
  <c r="E406" i="3" s="1"/>
  <c r="E407" i="3" s="1"/>
  <c r="E408" i="3" s="1"/>
  <c r="E409" i="3" s="1"/>
  <c r="E410" i="3" s="1"/>
  <c r="E411" i="3" s="1"/>
  <c r="E412" i="3" s="1"/>
  <c r="E413" i="3" s="1"/>
  <c r="E414" i="3" s="1"/>
  <c r="E415" i="3" s="1"/>
  <c r="E416" i="3" s="1"/>
  <c r="E417" i="3" s="1"/>
  <c r="E418" i="3" s="1"/>
  <c r="E419" i="3" s="1"/>
  <c r="E420" i="3" s="1"/>
  <c r="E421" i="3" s="1"/>
  <c r="E422" i="3" s="1"/>
  <c r="E423" i="3" s="1"/>
  <c r="E424" i="3" s="1"/>
  <c r="E425" i="3" s="1"/>
  <c r="E426" i="3" s="1"/>
  <c r="E427" i="3" s="1"/>
  <c r="E428" i="3" s="1"/>
  <c r="E429" i="3" s="1"/>
  <c r="E430" i="3" s="1"/>
  <c r="E431" i="3" s="1"/>
  <c r="E432" i="3" s="1"/>
  <c r="E433" i="3" s="1"/>
  <c r="E434" i="3" s="1"/>
  <c r="E435" i="3" s="1"/>
  <c r="E436" i="3" s="1"/>
  <c r="E437" i="3" s="1"/>
  <c r="E438" i="3" s="1"/>
  <c r="E439" i="3" s="1"/>
  <c r="E440" i="3" s="1"/>
  <c r="E441" i="3" s="1"/>
  <c r="E442" i="3" s="1"/>
  <c r="E443" i="3" s="1"/>
  <c r="E444" i="3" s="1"/>
  <c r="E445" i="3" s="1"/>
  <c r="E446" i="3" s="1"/>
  <c r="E447" i="3" s="1"/>
  <c r="E448" i="3" s="1"/>
  <c r="E449" i="3" s="1"/>
  <c r="E450" i="3" s="1"/>
  <c r="E451" i="3" s="1"/>
  <c r="E452" i="3" s="1"/>
  <c r="E453" i="3" s="1"/>
  <c r="E454" i="3" s="1"/>
  <c r="E455" i="3" s="1"/>
  <c r="E456" i="3" s="1"/>
  <c r="E457" i="3" s="1"/>
  <c r="E458" i="3" s="1"/>
  <c r="E459" i="3" s="1"/>
  <c r="E460" i="3" s="1"/>
  <c r="E461" i="3" s="1"/>
  <c r="E462" i="3" s="1"/>
  <c r="E463" i="3" s="1"/>
  <c r="E464" i="3" s="1"/>
  <c r="E465" i="3" s="1"/>
  <c r="E466" i="3" s="1"/>
  <c r="E467" i="3" s="1"/>
  <c r="E468" i="3" s="1"/>
  <c r="E469" i="3" s="1"/>
  <c r="E470" i="3" s="1"/>
  <c r="E471" i="3" s="1"/>
  <c r="E472" i="3" s="1"/>
  <c r="E473" i="3" s="1"/>
  <c r="E474" i="3" s="1"/>
  <c r="E475" i="3" s="1"/>
  <c r="E4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G174" i="3"/>
  <c r="H174" i="3" s="1"/>
  <c r="G221" i="3"/>
  <c r="H221" i="3" s="1"/>
  <c r="G245" i="3"/>
  <c r="H245" i="3" s="1"/>
  <c r="G260" i="3"/>
  <c r="H260" i="3" s="1"/>
  <c r="G320" i="3"/>
  <c r="H320" i="3" s="1"/>
  <c r="C18" i="7"/>
  <c r="K40" i="9"/>
  <c r="K39" i="9"/>
  <c r="K38" i="9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A42" i="3"/>
  <c r="G42" i="3" s="1"/>
  <c r="H42" i="3" s="1"/>
  <c r="A387" i="3"/>
  <c r="G387" i="3" s="1"/>
  <c r="H387" i="3" s="1"/>
  <c r="A420" i="3"/>
  <c r="G420" i="3" s="1"/>
  <c r="H420" i="3" s="1"/>
  <c r="A397" i="3"/>
  <c r="G397" i="3" s="1"/>
  <c r="H397" i="3" s="1"/>
  <c r="A385" i="3"/>
  <c r="G385" i="3" s="1"/>
  <c r="H385" i="3" s="1"/>
  <c r="A382" i="3"/>
  <c r="G382" i="3" s="1"/>
  <c r="H382" i="3" s="1"/>
  <c r="A302" i="3"/>
  <c r="G302" i="3" s="1"/>
  <c r="H302" i="3" s="1"/>
  <c r="A331" i="3"/>
  <c r="G331" i="3" s="1"/>
  <c r="H331" i="3" s="1"/>
  <c r="A419" i="3"/>
  <c r="G419" i="3" s="1"/>
  <c r="H419" i="3" s="1"/>
  <c r="A174" i="3"/>
  <c r="A306" i="3"/>
  <c r="G306" i="3" s="1"/>
  <c r="H306" i="3" s="1"/>
  <c r="A450" i="3"/>
  <c r="G450" i="3" s="1"/>
  <c r="H450" i="3" s="1"/>
  <c r="A415" i="3"/>
  <c r="G415" i="3" s="1"/>
  <c r="H415" i="3" s="1"/>
  <c r="A386" i="3"/>
  <c r="G386" i="3" s="1"/>
  <c r="H386" i="3" s="1"/>
  <c r="A390" i="3"/>
  <c r="G390" i="3" s="1"/>
  <c r="H390" i="3" s="1"/>
  <c r="A311" i="3"/>
  <c r="G311" i="3" s="1"/>
  <c r="H311" i="3" s="1"/>
  <c r="A134" i="3"/>
  <c r="G134" i="3" s="1"/>
  <c r="H134" i="3" s="1"/>
  <c r="A297" i="3"/>
  <c r="G297" i="3" s="1"/>
  <c r="H297" i="3" s="1"/>
  <c r="A82" i="3"/>
  <c r="G82" i="3" s="1"/>
  <c r="H82" i="3" s="1"/>
  <c r="A453" i="3"/>
  <c r="G453" i="3" s="1"/>
  <c r="H453" i="3" s="1"/>
  <c r="A301" i="3"/>
  <c r="G301" i="3" s="1"/>
  <c r="H301" i="3" s="1"/>
  <c r="A271" i="3"/>
  <c r="G271" i="3" s="1"/>
  <c r="H271" i="3" s="1"/>
  <c r="A267" i="3"/>
  <c r="G267" i="3" s="1"/>
  <c r="H267" i="3" s="1"/>
  <c r="A434" i="3"/>
  <c r="G434" i="3" s="1"/>
  <c r="H434" i="3" s="1"/>
  <c r="A246" i="3"/>
  <c r="G246" i="3" s="1"/>
  <c r="H246" i="3" s="1"/>
  <c r="A244" i="3"/>
  <c r="G244" i="3" s="1"/>
  <c r="H244" i="3" s="1"/>
  <c r="A213" i="3"/>
  <c r="G213" i="3" s="1"/>
  <c r="H213" i="3" s="1"/>
  <c r="A175" i="3"/>
  <c r="G175" i="3" s="1"/>
  <c r="H175" i="3" s="1"/>
  <c r="A171" i="3"/>
  <c r="G171" i="3" s="1"/>
  <c r="H171" i="3" s="1"/>
  <c r="A167" i="3"/>
  <c r="G167" i="3" s="1"/>
  <c r="H167" i="3" s="1"/>
  <c r="A172" i="3"/>
  <c r="G172" i="3" s="1"/>
  <c r="H172" i="3" s="1"/>
  <c r="A160" i="3"/>
  <c r="G160" i="3" s="1"/>
  <c r="H160" i="3" s="1"/>
  <c r="A75" i="3"/>
  <c r="G75" i="3" s="1"/>
  <c r="H75" i="3" s="1"/>
  <c r="A67" i="3"/>
  <c r="G67" i="3" s="1"/>
  <c r="H67" i="3" s="1"/>
  <c r="A59" i="3"/>
  <c r="G59" i="3" s="1"/>
  <c r="H59" i="3" s="1"/>
  <c r="A170" i="3"/>
  <c r="G170" i="3" s="1"/>
  <c r="H170" i="3" s="1"/>
  <c r="A299" i="3"/>
  <c r="G299" i="3" s="1"/>
  <c r="H299" i="3" s="1"/>
  <c r="A231" i="3"/>
  <c r="G231" i="3" s="1"/>
  <c r="H231" i="3" s="1"/>
  <c r="A418" i="3"/>
  <c r="G418" i="3" s="1"/>
  <c r="H418" i="3" s="1"/>
  <c r="A3" i="3"/>
  <c r="G3" i="3" s="1"/>
  <c r="H3" i="3" s="1"/>
  <c r="A4" i="3"/>
  <c r="G4" i="3" s="1"/>
  <c r="H4" i="3" s="1"/>
  <c r="A5" i="3"/>
  <c r="G5" i="3" s="1"/>
  <c r="H5" i="3" s="1"/>
  <c r="A6" i="3"/>
  <c r="G6" i="3" s="1"/>
  <c r="H6" i="3" s="1"/>
  <c r="A7" i="3"/>
  <c r="G7" i="3" s="1"/>
  <c r="H7" i="3" s="1"/>
  <c r="A8" i="3"/>
  <c r="G8" i="3" s="1"/>
  <c r="H8" i="3" s="1"/>
  <c r="A9" i="3"/>
  <c r="G9" i="3" s="1"/>
  <c r="H9" i="3" s="1"/>
  <c r="A10" i="3"/>
  <c r="G10" i="3" s="1"/>
  <c r="H10" i="3" s="1"/>
  <c r="A11" i="3"/>
  <c r="G11" i="3" s="1"/>
  <c r="H11" i="3" s="1"/>
  <c r="A12" i="3"/>
  <c r="G12" i="3" s="1"/>
  <c r="H12" i="3" s="1"/>
  <c r="A13" i="3"/>
  <c r="G13" i="3" s="1"/>
  <c r="H13" i="3" s="1"/>
  <c r="A14" i="3"/>
  <c r="G14" i="3" s="1"/>
  <c r="H14" i="3" s="1"/>
  <c r="A15" i="3"/>
  <c r="G15" i="3" s="1"/>
  <c r="H15" i="3" s="1"/>
  <c r="A16" i="3"/>
  <c r="G16" i="3" s="1"/>
  <c r="H16" i="3" s="1"/>
  <c r="A17" i="3"/>
  <c r="G17" i="3" s="1"/>
  <c r="H17" i="3" s="1"/>
  <c r="A18" i="3"/>
  <c r="G18" i="3" s="1"/>
  <c r="H18" i="3" s="1"/>
  <c r="A19" i="3"/>
  <c r="G19" i="3" s="1"/>
  <c r="H19" i="3" s="1"/>
  <c r="A20" i="3"/>
  <c r="G20" i="3" s="1"/>
  <c r="H20" i="3" s="1"/>
  <c r="A21" i="3"/>
  <c r="G21" i="3" s="1"/>
  <c r="H21" i="3" s="1"/>
  <c r="A22" i="3"/>
  <c r="G22" i="3" s="1"/>
  <c r="H22" i="3" s="1"/>
  <c r="A23" i="3"/>
  <c r="G23" i="3" s="1"/>
  <c r="H23" i="3" s="1"/>
  <c r="A24" i="3"/>
  <c r="G24" i="3" s="1"/>
  <c r="H24" i="3" s="1"/>
  <c r="A25" i="3"/>
  <c r="G25" i="3" s="1"/>
  <c r="H25" i="3" s="1"/>
  <c r="A26" i="3"/>
  <c r="G26" i="3" s="1"/>
  <c r="H26" i="3" s="1"/>
  <c r="A27" i="3"/>
  <c r="G27" i="3" s="1"/>
  <c r="H27" i="3" s="1"/>
  <c r="A28" i="3"/>
  <c r="G28" i="3" s="1"/>
  <c r="H28" i="3" s="1"/>
  <c r="A30" i="3"/>
  <c r="G30" i="3" s="1"/>
  <c r="H30" i="3" s="1"/>
  <c r="A31" i="3"/>
  <c r="G31" i="3" s="1"/>
  <c r="H31" i="3" s="1"/>
  <c r="A32" i="3"/>
  <c r="G32" i="3" s="1"/>
  <c r="H32" i="3" s="1"/>
  <c r="A29" i="3"/>
  <c r="G29" i="3" s="1"/>
  <c r="H29" i="3" s="1"/>
  <c r="A33" i="3"/>
  <c r="G33" i="3" s="1"/>
  <c r="H33" i="3" s="1"/>
  <c r="A34" i="3"/>
  <c r="G34" i="3" s="1"/>
  <c r="H34" i="3" s="1"/>
  <c r="A35" i="3"/>
  <c r="G35" i="3" s="1"/>
  <c r="H35" i="3" s="1"/>
  <c r="A36" i="3"/>
  <c r="G36" i="3" s="1"/>
  <c r="H36" i="3" s="1"/>
  <c r="A37" i="3"/>
  <c r="G37" i="3" s="1"/>
  <c r="H37" i="3" s="1"/>
  <c r="A38" i="3"/>
  <c r="G38" i="3" s="1"/>
  <c r="H38" i="3" s="1"/>
  <c r="A39" i="3"/>
  <c r="G39" i="3" s="1"/>
  <c r="H39" i="3" s="1"/>
  <c r="A40" i="3"/>
  <c r="G40" i="3" s="1"/>
  <c r="H40" i="3" s="1"/>
  <c r="A41" i="3"/>
  <c r="G41" i="3" s="1"/>
  <c r="H41" i="3" s="1"/>
  <c r="A43" i="3"/>
  <c r="G43" i="3" s="1"/>
  <c r="H43" i="3" s="1"/>
  <c r="A44" i="3"/>
  <c r="G44" i="3" s="1"/>
  <c r="H44" i="3" s="1"/>
  <c r="A45" i="3"/>
  <c r="G45" i="3" s="1"/>
  <c r="H45" i="3" s="1"/>
  <c r="A56" i="3"/>
  <c r="G56" i="3" s="1"/>
  <c r="H56" i="3" s="1"/>
  <c r="A46" i="3"/>
  <c r="G46" i="3" s="1"/>
  <c r="H46" i="3" s="1"/>
  <c r="A47" i="3"/>
  <c r="G47" i="3" s="1"/>
  <c r="H47" i="3" s="1"/>
  <c r="A48" i="3"/>
  <c r="G48" i="3" s="1"/>
  <c r="H48" i="3" s="1"/>
  <c r="A49" i="3"/>
  <c r="G49" i="3" s="1"/>
  <c r="H49" i="3" s="1"/>
  <c r="A50" i="3"/>
  <c r="G50" i="3" s="1"/>
  <c r="H50" i="3" s="1"/>
  <c r="A51" i="3"/>
  <c r="G51" i="3" s="1"/>
  <c r="H51" i="3" s="1"/>
  <c r="A52" i="3"/>
  <c r="G52" i="3" s="1"/>
  <c r="H52" i="3" s="1"/>
  <c r="A53" i="3"/>
  <c r="G53" i="3" s="1"/>
  <c r="H53" i="3" s="1"/>
  <c r="A54" i="3"/>
  <c r="G54" i="3" s="1"/>
  <c r="H54" i="3" s="1"/>
  <c r="A55" i="3"/>
  <c r="G55" i="3" s="1"/>
  <c r="H55" i="3" s="1"/>
  <c r="A57" i="3"/>
  <c r="G57" i="3" s="1"/>
  <c r="H57" i="3" s="1"/>
  <c r="A58" i="3"/>
  <c r="G58" i="3" s="1"/>
  <c r="H58" i="3" s="1"/>
  <c r="A61" i="3"/>
  <c r="G61" i="3" s="1"/>
  <c r="H61" i="3" s="1"/>
  <c r="A60" i="3"/>
  <c r="G60" i="3" s="1"/>
  <c r="H60" i="3" s="1"/>
  <c r="A62" i="3"/>
  <c r="G62" i="3" s="1"/>
  <c r="H62" i="3" s="1"/>
  <c r="A63" i="3"/>
  <c r="G63" i="3" s="1"/>
  <c r="H63" i="3" s="1"/>
  <c r="A64" i="3"/>
  <c r="G64" i="3" s="1"/>
  <c r="H64" i="3" s="1"/>
  <c r="A65" i="3"/>
  <c r="G65" i="3" s="1"/>
  <c r="H65" i="3" s="1"/>
  <c r="A66" i="3"/>
  <c r="G66" i="3" s="1"/>
  <c r="H66" i="3" s="1"/>
  <c r="A68" i="3"/>
  <c r="G68" i="3" s="1"/>
  <c r="H68" i="3" s="1"/>
  <c r="A69" i="3"/>
  <c r="G69" i="3" s="1"/>
  <c r="H69" i="3" s="1"/>
  <c r="A70" i="3"/>
  <c r="G70" i="3" s="1"/>
  <c r="H70" i="3" s="1"/>
  <c r="A71" i="3"/>
  <c r="G71" i="3" s="1"/>
  <c r="H71" i="3" s="1"/>
  <c r="A72" i="3"/>
  <c r="G72" i="3" s="1"/>
  <c r="H72" i="3" s="1"/>
  <c r="A73" i="3"/>
  <c r="G73" i="3" s="1"/>
  <c r="H73" i="3" s="1"/>
  <c r="A74" i="3"/>
  <c r="G74" i="3" s="1"/>
  <c r="H74" i="3" s="1"/>
  <c r="A76" i="3"/>
  <c r="G76" i="3" s="1"/>
  <c r="H76" i="3" s="1"/>
  <c r="A77" i="3"/>
  <c r="G77" i="3" s="1"/>
  <c r="H77" i="3" s="1"/>
  <c r="A78" i="3"/>
  <c r="G78" i="3" s="1"/>
  <c r="H78" i="3" s="1"/>
  <c r="A79" i="3"/>
  <c r="G79" i="3" s="1"/>
  <c r="H79" i="3" s="1"/>
  <c r="A80" i="3"/>
  <c r="G80" i="3" s="1"/>
  <c r="H80" i="3" s="1"/>
  <c r="A81" i="3"/>
  <c r="G81" i="3" s="1"/>
  <c r="H81" i="3" s="1"/>
  <c r="A91" i="3"/>
  <c r="G91" i="3" s="1"/>
  <c r="H91" i="3" s="1"/>
  <c r="A83" i="3"/>
  <c r="G83" i="3" s="1"/>
  <c r="H83" i="3" s="1"/>
  <c r="A84" i="3"/>
  <c r="G84" i="3" s="1"/>
  <c r="H84" i="3" s="1"/>
  <c r="A85" i="3"/>
  <c r="G85" i="3" s="1"/>
  <c r="H85" i="3" s="1"/>
  <c r="A86" i="3"/>
  <c r="G86" i="3" s="1"/>
  <c r="H86" i="3" s="1"/>
  <c r="A87" i="3"/>
  <c r="G87" i="3" s="1"/>
  <c r="H87" i="3" s="1"/>
  <c r="A88" i="3"/>
  <c r="G88" i="3" s="1"/>
  <c r="H88" i="3" s="1"/>
  <c r="A89" i="3"/>
  <c r="G89" i="3" s="1"/>
  <c r="H89" i="3" s="1"/>
  <c r="A90" i="3"/>
  <c r="G90" i="3" s="1"/>
  <c r="H90" i="3" s="1"/>
  <c r="A125" i="3"/>
  <c r="G125" i="3" s="1"/>
  <c r="H125" i="3" s="1"/>
  <c r="A92" i="3"/>
  <c r="G92" i="3" s="1"/>
  <c r="H92" i="3" s="1"/>
  <c r="A93" i="3"/>
  <c r="G93" i="3" s="1"/>
  <c r="H93" i="3" s="1"/>
  <c r="A94" i="3"/>
  <c r="G94" i="3" s="1"/>
  <c r="H94" i="3" s="1"/>
  <c r="A95" i="3"/>
  <c r="G95" i="3" s="1"/>
  <c r="H95" i="3" s="1"/>
  <c r="A96" i="3"/>
  <c r="G96" i="3" s="1"/>
  <c r="H96" i="3" s="1"/>
  <c r="A97" i="3"/>
  <c r="G97" i="3" s="1"/>
  <c r="H97" i="3" s="1"/>
  <c r="A98" i="3"/>
  <c r="G98" i="3" s="1"/>
  <c r="H98" i="3" s="1"/>
  <c r="A99" i="3"/>
  <c r="G99" i="3" s="1"/>
  <c r="H99" i="3" s="1"/>
  <c r="A100" i="3"/>
  <c r="G100" i="3" s="1"/>
  <c r="H100" i="3" s="1"/>
  <c r="A101" i="3"/>
  <c r="G101" i="3" s="1"/>
  <c r="H101" i="3" s="1"/>
  <c r="A102" i="3"/>
  <c r="G102" i="3" s="1"/>
  <c r="H102" i="3" s="1"/>
  <c r="A103" i="3"/>
  <c r="G103" i="3" s="1"/>
  <c r="H103" i="3" s="1"/>
  <c r="A104" i="3"/>
  <c r="G104" i="3" s="1"/>
  <c r="H104" i="3" s="1"/>
  <c r="A105" i="3"/>
  <c r="G105" i="3" s="1"/>
  <c r="H105" i="3" s="1"/>
  <c r="A106" i="3"/>
  <c r="G106" i="3" s="1"/>
  <c r="H106" i="3" s="1"/>
  <c r="A107" i="3"/>
  <c r="G107" i="3" s="1"/>
  <c r="H107" i="3" s="1"/>
  <c r="A108" i="3"/>
  <c r="G108" i="3" s="1"/>
  <c r="H108" i="3" s="1"/>
  <c r="A109" i="3"/>
  <c r="G109" i="3" s="1"/>
  <c r="H109" i="3" s="1"/>
  <c r="A110" i="3"/>
  <c r="G110" i="3" s="1"/>
  <c r="H110" i="3" s="1"/>
  <c r="A111" i="3"/>
  <c r="G111" i="3" s="1"/>
  <c r="H111" i="3" s="1"/>
  <c r="A112" i="3"/>
  <c r="G112" i="3" s="1"/>
  <c r="H112" i="3" s="1"/>
  <c r="A114" i="3"/>
  <c r="G114" i="3" s="1"/>
  <c r="H114" i="3" s="1"/>
  <c r="A115" i="3"/>
  <c r="G115" i="3" s="1"/>
  <c r="H115" i="3" s="1"/>
  <c r="A116" i="3"/>
  <c r="G116" i="3" s="1"/>
  <c r="H116" i="3" s="1"/>
  <c r="A113" i="3"/>
  <c r="G113" i="3" s="1"/>
  <c r="H113" i="3" s="1"/>
  <c r="A118" i="3"/>
  <c r="G118" i="3" s="1"/>
  <c r="H118" i="3" s="1"/>
  <c r="A119" i="3"/>
  <c r="G119" i="3" s="1"/>
  <c r="H119" i="3" s="1"/>
  <c r="A117" i="3"/>
  <c r="G117" i="3" s="1"/>
  <c r="H117" i="3" s="1"/>
  <c r="A120" i="3"/>
  <c r="G120" i="3" s="1"/>
  <c r="H120" i="3" s="1"/>
  <c r="A121" i="3"/>
  <c r="G121" i="3" s="1"/>
  <c r="H121" i="3" s="1"/>
  <c r="A122" i="3"/>
  <c r="G122" i="3" s="1"/>
  <c r="H122" i="3" s="1"/>
  <c r="A123" i="3"/>
  <c r="G123" i="3" s="1"/>
  <c r="H123" i="3" s="1"/>
  <c r="A124" i="3"/>
  <c r="G124" i="3" s="1"/>
  <c r="H124" i="3" s="1"/>
  <c r="A130" i="3"/>
  <c r="G130" i="3" s="1"/>
  <c r="H130" i="3" s="1"/>
  <c r="A126" i="3"/>
  <c r="G126" i="3" s="1"/>
  <c r="H126" i="3" s="1"/>
  <c r="A127" i="3"/>
  <c r="G127" i="3" s="1"/>
  <c r="H127" i="3" s="1"/>
  <c r="A128" i="3"/>
  <c r="G128" i="3" s="1"/>
  <c r="H128" i="3" s="1"/>
  <c r="A129" i="3"/>
  <c r="G129" i="3" s="1"/>
  <c r="H129" i="3" s="1"/>
  <c r="A151" i="3"/>
  <c r="G151" i="3" s="1"/>
  <c r="H151" i="3" s="1"/>
  <c r="A132" i="3"/>
  <c r="G132" i="3" s="1"/>
  <c r="H132" i="3" s="1"/>
  <c r="A131" i="3"/>
  <c r="G131" i="3" s="1"/>
  <c r="H131" i="3" s="1"/>
  <c r="A133" i="3"/>
  <c r="G133" i="3" s="1"/>
  <c r="H133" i="3" s="1"/>
  <c r="A135" i="3"/>
  <c r="G135" i="3" s="1"/>
  <c r="H135" i="3" s="1"/>
  <c r="A136" i="3"/>
  <c r="G136" i="3" s="1"/>
  <c r="H136" i="3" s="1"/>
  <c r="A137" i="3"/>
  <c r="G137" i="3" s="1"/>
  <c r="H137" i="3" s="1"/>
  <c r="A138" i="3"/>
  <c r="G138" i="3" s="1"/>
  <c r="H138" i="3" s="1"/>
  <c r="A139" i="3"/>
  <c r="G139" i="3" s="1"/>
  <c r="H139" i="3" s="1"/>
  <c r="A141" i="3"/>
  <c r="G141" i="3" s="1"/>
  <c r="H141" i="3" s="1"/>
  <c r="A142" i="3"/>
  <c r="G142" i="3" s="1"/>
  <c r="H142" i="3" s="1"/>
  <c r="A143" i="3"/>
  <c r="G143" i="3" s="1"/>
  <c r="H143" i="3" s="1"/>
  <c r="A140" i="3"/>
  <c r="G140" i="3" s="1"/>
  <c r="H140" i="3" s="1"/>
  <c r="A144" i="3"/>
  <c r="G144" i="3" s="1"/>
  <c r="H144" i="3" s="1"/>
  <c r="A145" i="3"/>
  <c r="G145" i="3" s="1"/>
  <c r="H145" i="3" s="1"/>
  <c r="A146" i="3"/>
  <c r="G146" i="3" s="1"/>
  <c r="H146" i="3" s="1"/>
  <c r="A147" i="3"/>
  <c r="G147" i="3" s="1"/>
  <c r="H147" i="3" s="1"/>
  <c r="A148" i="3"/>
  <c r="G148" i="3" s="1"/>
  <c r="H148" i="3" s="1"/>
  <c r="A149" i="3"/>
  <c r="G149" i="3" s="1"/>
  <c r="H149" i="3" s="1"/>
  <c r="A150" i="3"/>
  <c r="G150" i="3" s="1"/>
  <c r="H150" i="3" s="1"/>
  <c r="A152" i="3"/>
  <c r="G152" i="3" s="1"/>
  <c r="H152" i="3" s="1"/>
  <c r="A153" i="3"/>
  <c r="G153" i="3" s="1"/>
  <c r="H153" i="3" s="1"/>
  <c r="A154" i="3"/>
  <c r="G154" i="3" s="1"/>
  <c r="H154" i="3" s="1"/>
  <c r="A155" i="3"/>
  <c r="G155" i="3" s="1"/>
  <c r="H155" i="3" s="1"/>
  <c r="A156" i="3"/>
  <c r="G156" i="3" s="1"/>
  <c r="H156" i="3" s="1"/>
  <c r="A157" i="3"/>
  <c r="G157" i="3" s="1"/>
  <c r="H157" i="3" s="1"/>
  <c r="A158" i="3"/>
  <c r="G158" i="3" s="1"/>
  <c r="H158" i="3" s="1"/>
  <c r="A159" i="3"/>
  <c r="G159" i="3" s="1"/>
  <c r="H159" i="3" s="1"/>
  <c r="A161" i="3"/>
  <c r="G161" i="3" s="1"/>
  <c r="H161" i="3" s="1"/>
  <c r="A162" i="3"/>
  <c r="G162" i="3" s="1"/>
  <c r="H162" i="3" s="1"/>
  <c r="A163" i="3"/>
  <c r="G163" i="3" s="1"/>
  <c r="H163" i="3" s="1"/>
  <c r="A164" i="3"/>
  <c r="G164" i="3" s="1"/>
  <c r="H164" i="3" s="1"/>
  <c r="A165" i="3"/>
  <c r="G165" i="3" s="1"/>
  <c r="H165" i="3" s="1"/>
  <c r="A166" i="3"/>
  <c r="G166" i="3" s="1"/>
  <c r="H166" i="3" s="1"/>
  <c r="A168" i="3"/>
  <c r="G168" i="3" s="1"/>
  <c r="H168" i="3" s="1"/>
  <c r="A169" i="3"/>
  <c r="G169" i="3" s="1"/>
  <c r="H169" i="3" s="1"/>
  <c r="A173" i="3"/>
  <c r="G173" i="3" s="1"/>
  <c r="H173" i="3" s="1"/>
  <c r="A176" i="3"/>
  <c r="G176" i="3" s="1"/>
  <c r="H176" i="3" s="1"/>
  <c r="A177" i="3"/>
  <c r="G177" i="3" s="1"/>
  <c r="H177" i="3" s="1"/>
  <c r="A178" i="3"/>
  <c r="G178" i="3" s="1"/>
  <c r="H178" i="3" s="1"/>
  <c r="A179" i="3"/>
  <c r="G179" i="3" s="1"/>
  <c r="H179" i="3" s="1"/>
  <c r="A180" i="3"/>
  <c r="G180" i="3" s="1"/>
  <c r="H180" i="3" s="1"/>
  <c r="A181" i="3"/>
  <c r="G181" i="3" s="1"/>
  <c r="H181" i="3" s="1"/>
  <c r="A182" i="3"/>
  <c r="G182" i="3" s="1"/>
  <c r="H182" i="3" s="1"/>
  <c r="A183" i="3"/>
  <c r="G183" i="3" s="1"/>
  <c r="H183" i="3" s="1"/>
  <c r="A184" i="3"/>
  <c r="G184" i="3" s="1"/>
  <c r="H184" i="3" s="1"/>
  <c r="A185" i="3"/>
  <c r="G185" i="3" s="1"/>
  <c r="H185" i="3" s="1"/>
  <c r="A186" i="3"/>
  <c r="G186" i="3" s="1"/>
  <c r="H186" i="3" s="1"/>
  <c r="A187" i="3"/>
  <c r="G187" i="3" s="1"/>
  <c r="H187" i="3" s="1"/>
  <c r="A188" i="3"/>
  <c r="G188" i="3" s="1"/>
  <c r="H188" i="3" s="1"/>
  <c r="A189" i="3"/>
  <c r="G189" i="3" s="1"/>
  <c r="H189" i="3" s="1"/>
  <c r="A190" i="3"/>
  <c r="G190" i="3" s="1"/>
  <c r="H190" i="3" s="1"/>
  <c r="A191" i="3"/>
  <c r="G191" i="3" s="1"/>
  <c r="H191" i="3" s="1"/>
  <c r="A192" i="3"/>
  <c r="G192" i="3" s="1"/>
  <c r="H192" i="3" s="1"/>
  <c r="A193" i="3"/>
  <c r="G193" i="3" s="1"/>
  <c r="H193" i="3" s="1"/>
  <c r="A195" i="3"/>
  <c r="G195" i="3" s="1"/>
  <c r="H195" i="3" s="1"/>
  <c r="A196" i="3"/>
  <c r="G196" i="3" s="1"/>
  <c r="H196" i="3" s="1"/>
  <c r="A198" i="3"/>
  <c r="G198" i="3" s="1"/>
  <c r="H198" i="3" s="1"/>
  <c r="A199" i="3"/>
  <c r="G199" i="3" s="1"/>
  <c r="H199" i="3" s="1"/>
  <c r="A200" i="3"/>
  <c r="G200" i="3" s="1"/>
  <c r="H200" i="3" s="1"/>
  <c r="A201" i="3"/>
  <c r="G201" i="3" s="1"/>
  <c r="H201" i="3" s="1"/>
  <c r="A202" i="3"/>
  <c r="G202" i="3" s="1"/>
  <c r="H202" i="3" s="1"/>
  <c r="A203" i="3"/>
  <c r="G203" i="3" s="1"/>
  <c r="H203" i="3" s="1"/>
  <c r="A204" i="3"/>
  <c r="G204" i="3" s="1"/>
  <c r="H204" i="3" s="1"/>
  <c r="A205" i="3"/>
  <c r="G205" i="3" s="1"/>
  <c r="H205" i="3" s="1"/>
  <c r="A206" i="3"/>
  <c r="G206" i="3" s="1"/>
  <c r="H206" i="3" s="1"/>
  <c r="A207" i="3"/>
  <c r="G207" i="3" s="1"/>
  <c r="H207" i="3" s="1"/>
  <c r="A208" i="3"/>
  <c r="G208" i="3" s="1"/>
  <c r="H208" i="3" s="1"/>
  <c r="A194" i="3"/>
  <c r="G194" i="3" s="1"/>
  <c r="H194" i="3" s="1"/>
  <c r="A197" i="3"/>
  <c r="G197" i="3" s="1"/>
  <c r="H197" i="3" s="1"/>
  <c r="A209" i="3"/>
  <c r="G209" i="3" s="1"/>
  <c r="H209" i="3" s="1"/>
  <c r="A210" i="3"/>
  <c r="G210" i="3" s="1"/>
  <c r="H210" i="3" s="1"/>
  <c r="A211" i="3"/>
  <c r="G211" i="3" s="1"/>
  <c r="H211" i="3" s="1"/>
  <c r="A212" i="3"/>
  <c r="G212" i="3" s="1"/>
  <c r="H212" i="3" s="1"/>
  <c r="A214" i="3"/>
  <c r="G214" i="3" s="1"/>
  <c r="H214" i="3" s="1"/>
  <c r="A215" i="3"/>
  <c r="G215" i="3" s="1"/>
  <c r="H215" i="3" s="1"/>
  <c r="A216" i="3"/>
  <c r="G216" i="3" s="1"/>
  <c r="H216" i="3" s="1"/>
  <c r="A217" i="3"/>
  <c r="G217" i="3" s="1"/>
  <c r="H217" i="3" s="1"/>
  <c r="A218" i="3"/>
  <c r="G218" i="3" s="1"/>
  <c r="H218" i="3" s="1"/>
  <c r="A219" i="3"/>
  <c r="G219" i="3" s="1"/>
  <c r="H219" i="3" s="1"/>
  <c r="A220" i="3"/>
  <c r="G220" i="3" s="1"/>
  <c r="H220" i="3" s="1"/>
  <c r="A222" i="3"/>
  <c r="G222" i="3" s="1"/>
  <c r="H222" i="3" s="1"/>
  <c r="A223" i="3"/>
  <c r="G223" i="3" s="1"/>
  <c r="H223" i="3" s="1"/>
  <c r="A224" i="3"/>
  <c r="G224" i="3" s="1"/>
  <c r="H224" i="3" s="1"/>
  <c r="A225" i="3"/>
  <c r="G225" i="3" s="1"/>
  <c r="H225" i="3" s="1"/>
  <c r="A226" i="3"/>
  <c r="G226" i="3" s="1"/>
  <c r="H226" i="3" s="1"/>
  <c r="A227" i="3"/>
  <c r="G227" i="3" s="1"/>
  <c r="H227" i="3" s="1"/>
  <c r="A228" i="3"/>
  <c r="G228" i="3" s="1"/>
  <c r="H228" i="3" s="1"/>
  <c r="A229" i="3"/>
  <c r="G229" i="3" s="1"/>
  <c r="H229" i="3" s="1"/>
  <c r="A230" i="3"/>
  <c r="G230" i="3" s="1"/>
  <c r="H230" i="3" s="1"/>
  <c r="A232" i="3"/>
  <c r="G232" i="3" s="1"/>
  <c r="H232" i="3" s="1"/>
  <c r="A233" i="3"/>
  <c r="G233" i="3" s="1"/>
  <c r="H233" i="3" s="1"/>
  <c r="A234" i="3"/>
  <c r="G234" i="3" s="1"/>
  <c r="H234" i="3" s="1"/>
  <c r="A235" i="3"/>
  <c r="G235" i="3" s="1"/>
  <c r="H235" i="3" s="1"/>
  <c r="A236" i="3"/>
  <c r="G236" i="3" s="1"/>
  <c r="H236" i="3" s="1"/>
  <c r="A237" i="3"/>
  <c r="G237" i="3" s="1"/>
  <c r="H237" i="3" s="1"/>
  <c r="A238" i="3"/>
  <c r="G238" i="3" s="1"/>
  <c r="H238" i="3" s="1"/>
  <c r="A239" i="3"/>
  <c r="G239" i="3" s="1"/>
  <c r="H239" i="3" s="1"/>
  <c r="A240" i="3"/>
  <c r="G240" i="3" s="1"/>
  <c r="H240" i="3" s="1"/>
  <c r="A241" i="3"/>
  <c r="G241" i="3" s="1"/>
  <c r="H241" i="3" s="1"/>
  <c r="A242" i="3"/>
  <c r="G242" i="3" s="1"/>
  <c r="H242" i="3" s="1"/>
  <c r="A243" i="3"/>
  <c r="G243" i="3" s="1"/>
  <c r="H243" i="3" s="1"/>
  <c r="A247" i="3"/>
  <c r="G247" i="3" s="1"/>
  <c r="H247" i="3" s="1"/>
  <c r="A248" i="3"/>
  <c r="G248" i="3" s="1"/>
  <c r="H248" i="3" s="1"/>
  <c r="A249" i="3"/>
  <c r="G249" i="3" s="1"/>
  <c r="H249" i="3" s="1"/>
  <c r="A250" i="3"/>
  <c r="G250" i="3" s="1"/>
  <c r="H250" i="3" s="1"/>
  <c r="A251" i="3"/>
  <c r="G251" i="3" s="1"/>
  <c r="H251" i="3" s="1"/>
  <c r="A252" i="3"/>
  <c r="G252" i="3" s="1"/>
  <c r="H252" i="3" s="1"/>
  <c r="A253" i="3"/>
  <c r="G253" i="3" s="1"/>
  <c r="H253" i="3" s="1"/>
  <c r="A254" i="3"/>
  <c r="G254" i="3" s="1"/>
  <c r="H254" i="3" s="1"/>
  <c r="A255" i="3"/>
  <c r="G255" i="3" s="1"/>
  <c r="H255" i="3" s="1"/>
  <c r="A256" i="3"/>
  <c r="G256" i="3" s="1"/>
  <c r="H256" i="3" s="1"/>
  <c r="A257" i="3"/>
  <c r="G257" i="3" s="1"/>
  <c r="H257" i="3" s="1"/>
  <c r="A258" i="3"/>
  <c r="G258" i="3" s="1"/>
  <c r="H258" i="3" s="1"/>
  <c r="A259" i="3"/>
  <c r="G259" i="3" s="1"/>
  <c r="H259" i="3" s="1"/>
  <c r="A261" i="3"/>
  <c r="G261" i="3" s="1"/>
  <c r="H261" i="3" s="1"/>
  <c r="A262" i="3"/>
  <c r="G262" i="3" s="1"/>
  <c r="H262" i="3" s="1"/>
  <c r="A263" i="3"/>
  <c r="G263" i="3" s="1"/>
  <c r="H263" i="3" s="1"/>
  <c r="A264" i="3"/>
  <c r="G264" i="3" s="1"/>
  <c r="H264" i="3" s="1"/>
  <c r="A265" i="3"/>
  <c r="G265" i="3" s="1"/>
  <c r="H265" i="3" s="1"/>
  <c r="A266" i="3"/>
  <c r="G266" i="3" s="1"/>
  <c r="H266" i="3" s="1"/>
  <c r="A268" i="3"/>
  <c r="G268" i="3" s="1"/>
  <c r="H268" i="3" s="1"/>
  <c r="A269" i="3"/>
  <c r="G269" i="3" s="1"/>
  <c r="H269" i="3" s="1"/>
  <c r="A270" i="3"/>
  <c r="G270" i="3" s="1"/>
  <c r="H270" i="3" s="1"/>
  <c r="A277" i="3"/>
  <c r="G277" i="3" s="1"/>
  <c r="H277" i="3" s="1"/>
  <c r="A272" i="3"/>
  <c r="G272" i="3" s="1"/>
  <c r="H272" i="3" s="1"/>
  <c r="A273" i="3"/>
  <c r="G273" i="3" s="1"/>
  <c r="H273" i="3" s="1"/>
  <c r="A274" i="3"/>
  <c r="G274" i="3" s="1"/>
  <c r="H274" i="3" s="1"/>
  <c r="A275" i="3"/>
  <c r="G275" i="3" s="1"/>
  <c r="H275" i="3" s="1"/>
  <c r="A276" i="3"/>
  <c r="G276" i="3" s="1"/>
  <c r="H276" i="3" s="1"/>
  <c r="A280" i="3"/>
  <c r="G280" i="3" s="1"/>
  <c r="H280" i="3" s="1"/>
  <c r="A278" i="3"/>
  <c r="G278" i="3" s="1"/>
  <c r="H278" i="3" s="1"/>
  <c r="A279" i="3"/>
  <c r="G279" i="3" s="1"/>
  <c r="H279" i="3" s="1"/>
  <c r="A281" i="3"/>
  <c r="G281" i="3" s="1"/>
  <c r="H281" i="3" s="1"/>
  <c r="A282" i="3"/>
  <c r="G282" i="3" s="1"/>
  <c r="H282" i="3" s="1"/>
  <c r="A283" i="3"/>
  <c r="G283" i="3" s="1"/>
  <c r="H283" i="3" s="1"/>
  <c r="A284" i="3"/>
  <c r="G284" i="3" s="1"/>
  <c r="H284" i="3" s="1"/>
  <c r="A285" i="3"/>
  <c r="G285" i="3" s="1"/>
  <c r="H285" i="3" s="1"/>
  <c r="A286" i="3"/>
  <c r="G286" i="3" s="1"/>
  <c r="H286" i="3" s="1"/>
  <c r="A287" i="3"/>
  <c r="G287" i="3" s="1"/>
  <c r="H287" i="3" s="1"/>
  <c r="A288" i="3"/>
  <c r="G288" i="3" s="1"/>
  <c r="H288" i="3" s="1"/>
  <c r="A289" i="3"/>
  <c r="G289" i="3" s="1"/>
  <c r="H289" i="3" s="1"/>
  <c r="A290" i="3"/>
  <c r="G290" i="3" s="1"/>
  <c r="H290" i="3" s="1"/>
  <c r="A291" i="3"/>
  <c r="G291" i="3" s="1"/>
  <c r="H291" i="3" s="1"/>
  <c r="A292" i="3"/>
  <c r="G292" i="3" s="1"/>
  <c r="H292" i="3" s="1"/>
  <c r="A293" i="3"/>
  <c r="G293" i="3" s="1"/>
  <c r="H293" i="3" s="1"/>
  <c r="A294" i="3"/>
  <c r="G294" i="3" s="1"/>
  <c r="H294" i="3" s="1"/>
  <c r="A295" i="3"/>
  <c r="G295" i="3" s="1"/>
  <c r="H295" i="3" s="1"/>
  <c r="A296" i="3"/>
  <c r="G296" i="3" s="1"/>
  <c r="H296" i="3" s="1"/>
  <c r="A298" i="3"/>
  <c r="G298" i="3" s="1"/>
  <c r="H298" i="3" s="1"/>
  <c r="A300" i="3"/>
  <c r="G300" i="3" s="1"/>
  <c r="H300" i="3" s="1"/>
  <c r="A303" i="3"/>
  <c r="G303" i="3" s="1"/>
  <c r="H303" i="3" s="1"/>
  <c r="A304" i="3"/>
  <c r="G304" i="3" s="1"/>
  <c r="H304" i="3" s="1"/>
  <c r="A305" i="3"/>
  <c r="G305" i="3" s="1"/>
  <c r="H305" i="3" s="1"/>
  <c r="A310" i="3"/>
  <c r="G310" i="3" s="1"/>
  <c r="H310" i="3" s="1"/>
  <c r="A307" i="3"/>
  <c r="G307" i="3" s="1"/>
  <c r="H307" i="3" s="1"/>
  <c r="A308" i="3"/>
  <c r="G308" i="3" s="1"/>
  <c r="H308" i="3" s="1"/>
  <c r="A309" i="3"/>
  <c r="G309" i="3" s="1"/>
  <c r="H309" i="3" s="1"/>
  <c r="A312" i="3"/>
  <c r="G312" i="3" s="1"/>
  <c r="H312" i="3" s="1"/>
  <c r="A313" i="3"/>
  <c r="G313" i="3" s="1"/>
  <c r="H313" i="3" s="1"/>
  <c r="A314" i="3"/>
  <c r="G314" i="3" s="1"/>
  <c r="H314" i="3" s="1"/>
  <c r="A315" i="3"/>
  <c r="G315" i="3" s="1"/>
  <c r="H315" i="3" s="1"/>
  <c r="A316" i="3"/>
  <c r="G316" i="3" s="1"/>
  <c r="H316" i="3" s="1"/>
  <c r="A317" i="3"/>
  <c r="G317" i="3" s="1"/>
  <c r="H317" i="3" s="1"/>
  <c r="A318" i="3"/>
  <c r="G318" i="3" s="1"/>
  <c r="H318" i="3" s="1"/>
  <c r="A319" i="3"/>
  <c r="G319" i="3" s="1"/>
  <c r="H319" i="3" s="1"/>
  <c r="A321" i="3"/>
  <c r="G321" i="3" s="1"/>
  <c r="H321" i="3" s="1"/>
  <c r="A322" i="3"/>
  <c r="G322" i="3" s="1"/>
  <c r="H322" i="3" s="1"/>
  <c r="A323" i="3"/>
  <c r="G323" i="3" s="1"/>
  <c r="H323" i="3" s="1"/>
  <c r="A324" i="3"/>
  <c r="G324" i="3" s="1"/>
  <c r="H324" i="3" s="1"/>
  <c r="A325" i="3"/>
  <c r="G325" i="3" s="1"/>
  <c r="H325" i="3" s="1"/>
  <c r="A326" i="3"/>
  <c r="G326" i="3" s="1"/>
  <c r="H326" i="3" s="1"/>
  <c r="A327" i="3"/>
  <c r="G327" i="3" s="1"/>
  <c r="H327" i="3" s="1"/>
  <c r="A328" i="3"/>
  <c r="G328" i="3" s="1"/>
  <c r="H328" i="3" s="1"/>
  <c r="A329" i="3"/>
  <c r="G329" i="3" s="1"/>
  <c r="H329" i="3" s="1"/>
  <c r="A330" i="3"/>
  <c r="G330" i="3" s="1"/>
  <c r="H330" i="3" s="1"/>
  <c r="A336" i="3"/>
  <c r="G336" i="3" s="1"/>
  <c r="H336" i="3" s="1"/>
  <c r="A332" i="3"/>
  <c r="G332" i="3" s="1"/>
  <c r="H332" i="3" s="1"/>
  <c r="A333" i="3"/>
  <c r="G333" i="3" s="1"/>
  <c r="H333" i="3" s="1"/>
  <c r="A334" i="3"/>
  <c r="G334" i="3" s="1"/>
  <c r="H334" i="3" s="1"/>
  <c r="A335" i="3"/>
  <c r="G335" i="3" s="1"/>
  <c r="H335" i="3" s="1"/>
  <c r="A339" i="3"/>
  <c r="G339" i="3" s="1"/>
  <c r="H339" i="3" s="1"/>
  <c r="A337" i="3"/>
  <c r="G337" i="3" s="1"/>
  <c r="H337" i="3" s="1"/>
  <c r="A338" i="3"/>
  <c r="G338" i="3" s="1"/>
  <c r="H338" i="3" s="1"/>
  <c r="A348" i="3"/>
  <c r="G348" i="3" s="1"/>
  <c r="H348" i="3" s="1"/>
  <c r="A340" i="3"/>
  <c r="G340" i="3" s="1"/>
  <c r="H340" i="3" s="1"/>
  <c r="A341" i="3"/>
  <c r="G341" i="3" s="1"/>
  <c r="H341" i="3" s="1"/>
  <c r="A342" i="3"/>
  <c r="G342" i="3" s="1"/>
  <c r="H342" i="3" s="1"/>
  <c r="A343" i="3"/>
  <c r="G343" i="3" s="1"/>
  <c r="H343" i="3" s="1"/>
  <c r="A344" i="3"/>
  <c r="G344" i="3" s="1"/>
  <c r="H344" i="3" s="1"/>
  <c r="A345" i="3"/>
  <c r="G345" i="3" s="1"/>
  <c r="H345" i="3" s="1"/>
  <c r="A346" i="3"/>
  <c r="G346" i="3" s="1"/>
  <c r="H346" i="3" s="1"/>
  <c r="A347" i="3"/>
  <c r="G347" i="3" s="1"/>
  <c r="H347" i="3" s="1"/>
  <c r="A375" i="3"/>
  <c r="G375" i="3" s="1"/>
  <c r="H375" i="3" s="1"/>
  <c r="A349" i="3"/>
  <c r="G349" i="3" s="1"/>
  <c r="H349" i="3" s="1"/>
  <c r="A351" i="3"/>
  <c r="G351" i="3" s="1"/>
  <c r="H351" i="3" s="1"/>
  <c r="A352" i="3"/>
  <c r="G352" i="3" s="1"/>
  <c r="H352" i="3" s="1"/>
  <c r="A353" i="3"/>
  <c r="G353" i="3" s="1"/>
  <c r="H353" i="3" s="1"/>
  <c r="A354" i="3"/>
  <c r="G354" i="3" s="1"/>
  <c r="H354" i="3" s="1"/>
  <c r="A355" i="3"/>
  <c r="G355" i="3" s="1"/>
  <c r="H355" i="3" s="1"/>
  <c r="A356" i="3"/>
  <c r="G356" i="3" s="1"/>
  <c r="H356" i="3" s="1"/>
  <c r="A350" i="3"/>
  <c r="G350" i="3" s="1"/>
  <c r="H350" i="3" s="1"/>
  <c r="A357" i="3"/>
  <c r="G357" i="3" s="1"/>
  <c r="H357" i="3" s="1"/>
  <c r="A358" i="3"/>
  <c r="G358" i="3" s="1"/>
  <c r="H358" i="3" s="1"/>
  <c r="A359" i="3"/>
  <c r="G359" i="3" s="1"/>
  <c r="H359" i="3" s="1"/>
  <c r="A360" i="3"/>
  <c r="G360" i="3" s="1"/>
  <c r="H360" i="3" s="1"/>
  <c r="A361" i="3"/>
  <c r="G361" i="3" s="1"/>
  <c r="H361" i="3" s="1"/>
  <c r="A362" i="3"/>
  <c r="G362" i="3" s="1"/>
  <c r="H362" i="3" s="1"/>
  <c r="A363" i="3"/>
  <c r="G363" i="3" s="1"/>
  <c r="H363" i="3" s="1"/>
  <c r="A364" i="3"/>
  <c r="G364" i="3" s="1"/>
  <c r="H364" i="3" s="1"/>
  <c r="A365" i="3"/>
  <c r="G365" i="3" s="1"/>
  <c r="H365" i="3" s="1"/>
  <c r="A366" i="3"/>
  <c r="G366" i="3" s="1"/>
  <c r="H366" i="3" s="1"/>
  <c r="A367" i="3"/>
  <c r="G367" i="3" s="1"/>
  <c r="H367" i="3" s="1"/>
  <c r="A368" i="3"/>
  <c r="G368" i="3" s="1"/>
  <c r="H368" i="3" s="1"/>
  <c r="A369" i="3"/>
  <c r="G369" i="3" s="1"/>
  <c r="H369" i="3" s="1"/>
  <c r="A370" i="3"/>
  <c r="G370" i="3" s="1"/>
  <c r="H370" i="3" s="1"/>
  <c r="A371" i="3"/>
  <c r="G371" i="3" s="1"/>
  <c r="H371" i="3" s="1"/>
  <c r="A372" i="3"/>
  <c r="G372" i="3" s="1"/>
  <c r="H372" i="3" s="1"/>
  <c r="A373" i="3"/>
  <c r="G373" i="3" s="1"/>
  <c r="H373" i="3" s="1"/>
  <c r="A374" i="3"/>
  <c r="G374" i="3" s="1"/>
  <c r="H374" i="3" s="1"/>
  <c r="A376" i="3"/>
  <c r="G376" i="3" s="1"/>
  <c r="H376" i="3" s="1"/>
  <c r="A377" i="3"/>
  <c r="G377" i="3" s="1"/>
  <c r="H377" i="3" s="1"/>
  <c r="A378" i="3"/>
  <c r="G378" i="3" s="1"/>
  <c r="H378" i="3" s="1"/>
  <c r="A379" i="3"/>
  <c r="G379" i="3" s="1"/>
  <c r="H379" i="3" s="1"/>
  <c r="A380" i="3"/>
  <c r="G380" i="3" s="1"/>
  <c r="H380" i="3" s="1"/>
  <c r="A381" i="3"/>
  <c r="G381" i="3" s="1"/>
  <c r="H381" i="3" s="1"/>
  <c r="A383" i="3"/>
  <c r="G383" i="3" s="1"/>
  <c r="H383" i="3" s="1"/>
  <c r="A384" i="3"/>
  <c r="G384" i="3" s="1"/>
  <c r="H384" i="3" s="1"/>
  <c r="A400" i="3"/>
  <c r="G400" i="3" s="1"/>
  <c r="H400" i="3" s="1"/>
  <c r="A388" i="3"/>
  <c r="G388" i="3" s="1"/>
  <c r="H388" i="3" s="1"/>
  <c r="A389" i="3"/>
  <c r="G389" i="3" s="1"/>
  <c r="H389" i="3" s="1"/>
  <c r="A391" i="3"/>
  <c r="G391" i="3" s="1"/>
  <c r="H391" i="3" s="1"/>
  <c r="A392" i="3"/>
  <c r="G392" i="3" s="1"/>
  <c r="H392" i="3" s="1"/>
  <c r="A393" i="3"/>
  <c r="G393" i="3" s="1"/>
  <c r="H393" i="3" s="1"/>
  <c r="A394" i="3"/>
  <c r="G394" i="3" s="1"/>
  <c r="H394" i="3" s="1"/>
  <c r="A395" i="3"/>
  <c r="G395" i="3" s="1"/>
  <c r="H395" i="3" s="1"/>
  <c r="A396" i="3"/>
  <c r="G396" i="3" s="1"/>
  <c r="H396" i="3" s="1"/>
  <c r="A398" i="3"/>
  <c r="G398" i="3" s="1"/>
  <c r="H398" i="3" s="1"/>
  <c r="A399" i="3"/>
  <c r="G399" i="3" s="1"/>
  <c r="H399" i="3" s="1"/>
  <c r="A403" i="3"/>
  <c r="G403" i="3" s="1"/>
  <c r="H403" i="3" s="1"/>
  <c r="A401" i="3"/>
  <c r="G401" i="3" s="1"/>
  <c r="H401" i="3" s="1"/>
  <c r="A402" i="3"/>
  <c r="G402" i="3" s="1"/>
  <c r="H402" i="3" s="1"/>
  <c r="A417" i="3"/>
  <c r="G417" i="3" s="1"/>
  <c r="H417" i="3" s="1"/>
  <c r="A404" i="3"/>
  <c r="G404" i="3" s="1"/>
  <c r="H404" i="3" s="1"/>
  <c r="A405" i="3"/>
  <c r="G405" i="3" s="1"/>
  <c r="H405" i="3" s="1"/>
  <c r="A406" i="3"/>
  <c r="G406" i="3" s="1"/>
  <c r="H406" i="3" s="1"/>
  <c r="A407" i="3"/>
  <c r="G407" i="3" s="1"/>
  <c r="H407" i="3" s="1"/>
  <c r="A408" i="3"/>
  <c r="G408" i="3" s="1"/>
  <c r="H408" i="3" s="1"/>
  <c r="A409" i="3"/>
  <c r="G409" i="3" s="1"/>
  <c r="H409" i="3" s="1"/>
  <c r="A410" i="3"/>
  <c r="G410" i="3" s="1"/>
  <c r="H410" i="3" s="1"/>
  <c r="A411" i="3"/>
  <c r="G411" i="3" s="1"/>
  <c r="H411" i="3" s="1"/>
  <c r="A412" i="3"/>
  <c r="G412" i="3" s="1"/>
  <c r="H412" i="3" s="1"/>
  <c r="A413" i="3"/>
  <c r="G413" i="3" s="1"/>
  <c r="H413" i="3" s="1"/>
  <c r="A414" i="3"/>
  <c r="G414" i="3" s="1"/>
  <c r="H414" i="3" s="1"/>
  <c r="A416" i="3"/>
  <c r="G416" i="3" s="1"/>
  <c r="H416" i="3" s="1"/>
  <c r="A421" i="3"/>
  <c r="G421" i="3" s="1"/>
  <c r="H421" i="3" s="1"/>
  <c r="A422" i="3"/>
  <c r="G422" i="3" s="1"/>
  <c r="H422" i="3" s="1"/>
  <c r="A423" i="3"/>
  <c r="G423" i="3" s="1"/>
  <c r="H423" i="3" s="1"/>
  <c r="A424" i="3"/>
  <c r="G424" i="3" s="1"/>
  <c r="H424" i="3" s="1"/>
  <c r="A425" i="3"/>
  <c r="G425" i="3" s="1"/>
  <c r="H425" i="3" s="1"/>
  <c r="A426" i="3"/>
  <c r="G426" i="3" s="1"/>
  <c r="H426" i="3" s="1"/>
  <c r="A427" i="3"/>
  <c r="G427" i="3" s="1"/>
  <c r="H427" i="3" s="1"/>
  <c r="A428" i="3"/>
  <c r="G428" i="3" s="1"/>
  <c r="H428" i="3" s="1"/>
  <c r="A429" i="3"/>
  <c r="G429" i="3" s="1"/>
  <c r="H429" i="3" s="1"/>
  <c r="A430" i="3"/>
  <c r="G430" i="3" s="1"/>
  <c r="H430" i="3" s="1"/>
  <c r="A431" i="3"/>
  <c r="G431" i="3" s="1"/>
  <c r="H431" i="3" s="1"/>
  <c r="A432" i="3"/>
  <c r="G432" i="3" s="1"/>
  <c r="H432" i="3" s="1"/>
  <c r="A433" i="3"/>
  <c r="G433" i="3" s="1"/>
  <c r="H433" i="3" s="1"/>
  <c r="A451" i="3"/>
  <c r="G451" i="3" s="1"/>
  <c r="H451" i="3" s="1"/>
  <c r="A435" i="3"/>
  <c r="G435" i="3" s="1"/>
  <c r="H435" i="3" s="1"/>
  <c r="A436" i="3"/>
  <c r="G436" i="3" s="1"/>
  <c r="H436" i="3" s="1"/>
  <c r="A437" i="3"/>
  <c r="G437" i="3" s="1"/>
  <c r="H437" i="3" s="1"/>
  <c r="A438" i="3"/>
  <c r="G438" i="3" s="1"/>
  <c r="H438" i="3" s="1"/>
  <c r="A440" i="3"/>
  <c r="G440" i="3" s="1"/>
  <c r="H440" i="3" s="1"/>
  <c r="A441" i="3"/>
  <c r="G441" i="3" s="1"/>
  <c r="H441" i="3" s="1"/>
  <c r="A442" i="3"/>
  <c r="G442" i="3" s="1"/>
  <c r="H442" i="3" s="1"/>
  <c r="A443" i="3"/>
  <c r="G443" i="3" s="1"/>
  <c r="H443" i="3" s="1"/>
  <c r="A439" i="3"/>
  <c r="G439" i="3" s="1"/>
  <c r="H439" i="3" s="1"/>
  <c r="A444" i="3"/>
  <c r="G444" i="3" s="1"/>
  <c r="H444" i="3" s="1"/>
  <c r="A445" i="3"/>
  <c r="G445" i="3" s="1"/>
  <c r="H445" i="3" s="1"/>
  <c r="A446" i="3"/>
  <c r="G446" i="3" s="1"/>
  <c r="H446" i="3" s="1"/>
  <c r="A447" i="3"/>
  <c r="G447" i="3" s="1"/>
  <c r="H447" i="3" s="1"/>
  <c r="A448" i="3"/>
  <c r="G448" i="3" s="1"/>
  <c r="H448" i="3" s="1"/>
  <c r="A449" i="3"/>
  <c r="G449" i="3" s="1"/>
  <c r="H449" i="3" s="1"/>
  <c r="A452" i="3"/>
  <c r="G452" i="3" s="1"/>
  <c r="H452" i="3" s="1"/>
  <c r="A475" i="3"/>
  <c r="G475" i="3" s="1"/>
  <c r="H475" i="3" s="1"/>
  <c r="A454" i="3"/>
  <c r="G454" i="3" s="1"/>
  <c r="H454" i="3" s="1"/>
  <c r="A455" i="3"/>
  <c r="G455" i="3" s="1"/>
  <c r="H455" i="3" s="1"/>
  <c r="A456" i="3"/>
  <c r="G456" i="3" s="1"/>
  <c r="H456" i="3" s="1"/>
  <c r="A457" i="3"/>
  <c r="G457" i="3" s="1"/>
  <c r="H457" i="3" s="1"/>
  <c r="A458" i="3"/>
  <c r="G458" i="3" s="1"/>
  <c r="H458" i="3" s="1"/>
  <c r="A459" i="3"/>
  <c r="G459" i="3" s="1"/>
  <c r="H459" i="3" s="1"/>
  <c r="A460" i="3"/>
  <c r="G460" i="3" s="1"/>
  <c r="H460" i="3" s="1"/>
  <c r="A461" i="3"/>
  <c r="G461" i="3" s="1"/>
  <c r="H461" i="3" s="1"/>
  <c r="A462" i="3"/>
  <c r="G462" i="3" s="1"/>
  <c r="H462" i="3" s="1"/>
  <c r="A463" i="3"/>
  <c r="G463" i="3" s="1"/>
  <c r="H463" i="3" s="1"/>
  <c r="A464" i="3"/>
  <c r="G464" i="3" s="1"/>
  <c r="H464" i="3" s="1"/>
  <c r="A465" i="3"/>
  <c r="G465" i="3" s="1"/>
  <c r="H465" i="3" s="1"/>
  <c r="A466" i="3"/>
  <c r="G466" i="3" s="1"/>
  <c r="H466" i="3" s="1"/>
  <c r="A467" i="3"/>
  <c r="G467" i="3" s="1"/>
  <c r="H467" i="3" s="1"/>
  <c r="A468" i="3"/>
  <c r="G468" i="3" s="1"/>
  <c r="H468" i="3" s="1"/>
  <c r="A469" i="3"/>
  <c r="G469" i="3" s="1"/>
  <c r="H469" i="3" s="1"/>
  <c r="A470" i="3"/>
  <c r="G470" i="3" s="1"/>
  <c r="H470" i="3" s="1"/>
  <c r="A471" i="3"/>
  <c r="G471" i="3" s="1"/>
  <c r="H471" i="3" s="1"/>
  <c r="A472" i="3"/>
  <c r="G472" i="3" s="1"/>
  <c r="H472" i="3" s="1"/>
  <c r="A473" i="3"/>
  <c r="G473" i="3" s="1"/>
  <c r="H473" i="3" s="1"/>
  <c r="A474" i="3"/>
  <c r="G474" i="3" s="1"/>
  <c r="H474" i="3" s="1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I161" i="3" a="1"/>
  <c r="C477" i="6" a="1"/>
  <c r="C464" i="6" a="1"/>
  <c r="C359" i="6" a="1"/>
  <c r="C140" i="6" a="1"/>
  <c r="C196" i="6" a="1"/>
  <c r="C29" i="6" a="1"/>
  <c r="C107" i="6" a="1"/>
  <c r="C78" i="6" a="1"/>
  <c r="C458" i="6" a="1"/>
  <c r="C441" i="6" a="1"/>
  <c r="C349" i="6" a="1"/>
  <c r="C116" i="6" a="1"/>
  <c r="C186" i="6" a="1"/>
  <c r="C111" i="6" a="1"/>
  <c r="C60" i="6" a="1"/>
  <c r="C487" i="6" a="1"/>
  <c r="C472" i="6" a="1"/>
  <c r="C363" i="6" a="1"/>
  <c r="C145" i="6" a="1"/>
  <c r="C200" i="6" a="1"/>
  <c r="C36" i="6" a="1"/>
  <c r="C119" i="6" a="1"/>
  <c r="C109" i="6" a="1"/>
  <c r="C401" i="6" a="1"/>
  <c r="C39" i="6" a="1"/>
  <c r="C386" i="6" a="1"/>
  <c r="C462" i="6" a="1"/>
  <c r="C511" i="6" a="1"/>
  <c r="C495" i="6" a="1"/>
  <c r="C215" i="6" a="1"/>
  <c r="C105" i="6" a="1"/>
  <c r="C399" i="6" a="1"/>
  <c r="C383" i="6" a="1"/>
  <c r="C319" i="6" a="1"/>
  <c r="C455" i="6" a="1"/>
  <c r="C147" i="6" a="1"/>
  <c r="C431" i="6" a="1"/>
  <c r="C62" i="6" a="1"/>
  <c r="C89" i="6" a="1"/>
  <c r="C377" i="6" a="1"/>
  <c r="C364" i="6" a="1"/>
  <c r="C308" i="6" a="1"/>
  <c r="C294" i="6" a="1"/>
  <c r="C126" i="6" a="1"/>
  <c r="C280" i="6" a="1"/>
  <c r="C41" i="6" a="1"/>
  <c r="C406" i="6" a="1"/>
  <c r="C390" i="6" a="1"/>
  <c r="C323" i="6" a="1"/>
  <c r="C484" i="6" a="1"/>
  <c r="C155" i="6" a="1"/>
  <c r="C494" i="6" a="1"/>
  <c r="C261" i="6" a="1"/>
  <c r="C121" i="6" a="1"/>
  <c r="C297" i="6" a="1"/>
  <c r="C17" i="6" a="1"/>
  <c r="C459" i="6" a="1"/>
  <c r="C220" i="6" a="1"/>
  <c r="C174" i="6" a="1"/>
  <c r="C433" i="6" a="1"/>
  <c r="C94" i="6" a="1"/>
  <c r="C417" i="6" a="1"/>
  <c r="C175" i="6" a="1"/>
  <c r="C368" i="6" a="1"/>
  <c r="C392" i="6" a="1"/>
  <c r="C290" i="6" a="1"/>
  <c r="C20" i="6" a="1"/>
  <c r="C496" i="6" a="1"/>
  <c r="C279" i="6" a="1"/>
  <c r="C248" i="6" a="1"/>
  <c r="C391" i="6" a="1"/>
  <c r="C314" i="6" a="1"/>
  <c r="C138" i="6" a="1"/>
  <c r="C54" i="6" a="1"/>
  <c r="C292" i="6" a="1"/>
  <c r="C274" i="6" a="1"/>
  <c r="C435" i="6" a="1"/>
  <c r="C295" i="6" a="1"/>
  <c r="C415" i="6" a="1"/>
  <c r="C189" i="6" a="1"/>
  <c r="C159" i="6" a="1"/>
  <c r="C306" i="6" a="1"/>
  <c r="C394" i="6" a="1"/>
  <c r="C521" i="6" a="1"/>
  <c r="C76" i="6" a="1"/>
  <c r="C353" i="6" a="1"/>
  <c r="C287" i="6" a="1"/>
  <c r="C480" i="6" a="1"/>
  <c r="C153" i="6" a="1"/>
  <c r="C45" i="6" a="1"/>
  <c r="C139" i="6" a="1"/>
  <c r="C457" i="6" a="1"/>
  <c r="C132" i="6" a="1"/>
  <c r="C26" i="6" a="1"/>
  <c r="C520" i="6" a="1"/>
  <c r="C378" i="6" a="1"/>
  <c r="C209" i="6" a="1"/>
  <c r="C137" i="6" a="1"/>
  <c r="C468" i="6" a="1"/>
  <c r="C449" i="6" a="1"/>
  <c r="C456" i="6" a="1"/>
  <c r="C237" i="6" a="1"/>
  <c r="C265" i="6" a="1"/>
  <c r="C447" i="6" a="1"/>
  <c r="C193" i="6" a="1"/>
  <c r="C340" i="6" a="1"/>
  <c r="C381" i="6" a="1"/>
  <c r="C67" i="6" a="1"/>
  <c r="C185" i="6" a="1"/>
  <c r="C330" i="6" a="1"/>
  <c r="C302" i="6" a="1"/>
  <c r="C374" i="6" a="1"/>
  <c r="C250" i="6" a="1"/>
  <c r="C460" i="6" a="1"/>
  <c r="C249" i="6" a="1"/>
  <c r="C212" i="6" a="1"/>
  <c r="C510" i="6" a="1"/>
  <c r="C502" i="6" a="1"/>
  <c r="C136" i="6" a="1"/>
  <c r="C310" i="6" a="1"/>
  <c r="C305" i="6" a="1"/>
  <c r="C11" i="6" a="1"/>
  <c r="C436" i="6" a="1"/>
  <c r="C403" i="6" a="1"/>
  <c r="C410" i="6" a="1"/>
  <c r="C173" i="6" a="1"/>
  <c r="C176" i="6" a="1"/>
  <c r="C519" i="6" a="1"/>
  <c r="C414" i="6" a="1"/>
  <c r="C398" i="6" a="1"/>
  <c r="C327" i="6" a="1"/>
  <c r="C69" i="6" a="1"/>
  <c r="C160" i="6" a="1"/>
  <c r="C31" i="6" a="1"/>
  <c r="C278" i="6" a="1"/>
  <c r="C152" i="6" a="1"/>
  <c r="C395" i="6" a="1"/>
  <c r="C379" i="6" a="1"/>
  <c r="C317" i="6" a="1"/>
  <c r="C439" i="6" a="1"/>
  <c r="C143" i="6" a="1"/>
  <c r="C400" i="6" a="1"/>
  <c r="C57" i="6" a="1"/>
  <c r="C422" i="6" a="1"/>
  <c r="C405" i="6" a="1"/>
  <c r="C331" i="6" a="1"/>
  <c r="C77" i="6" a="1"/>
  <c r="C169" i="6" a="1"/>
  <c r="C47" i="6" a="1"/>
  <c r="C293" i="6" a="1"/>
  <c r="C38" i="6" a="1"/>
  <c r="C329" i="6" a="1"/>
  <c r="C289" i="6" a="1"/>
  <c r="C321" i="6" a="1"/>
  <c r="C65" i="6" a="1"/>
  <c r="C239" i="6" a="1"/>
  <c r="C504" i="6" a="1"/>
  <c r="C66" i="6" a="1"/>
  <c r="C334" i="6" a="1"/>
  <c r="C348" i="6" a="1"/>
  <c r="C467" i="6" a="1"/>
  <c r="C443" i="6" a="1"/>
  <c r="C256" i="6" a="1"/>
  <c r="C83" i="6" a="1"/>
  <c r="C231" i="6" a="1"/>
  <c r="C214" i="6" a="1"/>
  <c r="C23" i="6" a="1"/>
  <c r="C338" i="6" a="1"/>
  <c r="C448" i="6" a="1"/>
  <c r="C366" i="6" a="1"/>
  <c r="C243" i="6" a="1"/>
  <c r="C501" i="6" a="1"/>
  <c r="C201" i="6" a="1"/>
  <c r="C478" i="6" a="1"/>
  <c r="C352" i="6" a="1"/>
  <c r="C475" i="6" a="1"/>
  <c r="C474" i="6" a="1"/>
  <c r="C263" i="6" a="1"/>
  <c r="C90" i="6" a="1"/>
  <c r="C226" i="6" a="1"/>
  <c r="C228" i="6" a="1"/>
  <c r="C82" i="6" a="1"/>
  <c r="C272" i="6" a="1"/>
  <c r="C117" i="6" a="1"/>
  <c r="C259" i="6" a="1"/>
  <c r="C59" i="6" a="1"/>
  <c r="C134" i="6" a="1"/>
  <c r="C347" i="6" a="1"/>
  <c r="C44" i="6" a="1"/>
  <c r="C156" i="6" a="1"/>
  <c r="C493" i="6" a="1"/>
  <c r="C385" i="6" a="1"/>
  <c r="C213" i="6" a="1"/>
  <c r="C146" i="6" a="1"/>
  <c r="C491" i="6" a="1"/>
  <c r="C367" i="6" a="1"/>
  <c r="C203" i="6" a="1"/>
  <c r="C127" i="6" a="1"/>
  <c r="C513" i="6" a="1"/>
  <c r="C262" i="6" a="1"/>
  <c r="C253" i="6" a="1"/>
  <c r="C217" i="6" a="1"/>
  <c r="C304" i="6" a="1"/>
  <c r="C271" i="6" a="1"/>
  <c r="C5" i="6" a="1"/>
  <c r="C32" i="6" a="1"/>
  <c r="C14" i="6" a="1"/>
  <c r="C50" i="6" a="1"/>
  <c r="C118" i="6" a="1"/>
  <c r="C191" i="6" a="1"/>
  <c r="C325" i="6" a="1"/>
  <c r="C421" i="6" a="1"/>
  <c r="C451" i="6" a="1"/>
  <c r="C15" i="6" a="1"/>
  <c r="C10" i="6" a="1"/>
  <c r="C503" i="6" a="1"/>
  <c r="C284" i="6" a="1"/>
  <c r="C252" i="6" a="1"/>
  <c r="C70" i="6" a="1"/>
  <c r="C479" i="6" a="1"/>
  <c r="C266" i="6" a="1"/>
  <c r="C232" i="6" a="1"/>
  <c r="C373" i="6" a="1"/>
  <c r="C307" i="6" a="1"/>
  <c r="C122" i="6" a="1"/>
  <c r="C37" i="6" a="1"/>
  <c r="C141" i="6" a="1"/>
  <c r="C124" i="6" a="1"/>
  <c r="C208" i="6" a="1"/>
  <c r="C322" i="6" a="1"/>
  <c r="C336" i="6" a="1"/>
  <c r="C197" i="6" a="1"/>
  <c r="C419" i="6" a="1"/>
  <c r="C516" i="6" a="1"/>
  <c r="C356" i="6" a="1"/>
  <c r="C481" i="6" a="1"/>
  <c r="C517" i="6" a="1"/>
  <c r="C269" i="6" a="1"/>
  <c r="C98" i="6" a="1"/>
  <c r="C236" i="6" a="1"/>
  <c r="C283" i="6" a="1"/>
  <c r="C144" i="6" a="1"/>
  <c r="C345" i="6" a="1"/>
  <c r="C463" i="6" a="1"/>
  <c r="C427" i="6" a="1"/>
  <c r="C251" i="6" a="1"/>
  <c r="C79" i="6" a="1"/>
  <c r="C216" i="6" a="1"/>
  <c r="C206" i="6" a="1"/>
  <c r="C360" i="6" a="1"/>
  <c r="C488" i="6" a="1"/>
  <c r="C299" i="6" a="1"/>
  <c r="C276" i="6" a="1"/>
  <c r="C106" i="6" a="1"/>
  <c r="C244" i="6" a="1"/>
  <c r="C21" i="6" a="1"/>
  <c r="C27" i="6" a="1"/>
  <c r="C73" i="6" a="1"/>
  <c r="C93" i="6" a="1"/>
  <c r="C470" i="6" a="1"/>
  <c r="C64" i="6" a="1"/>
  <c r="C267" i="6" a="1"/>
  <c r="C389" i="6" a="1"/>
  <c r="C150" i="6" a="1"/>
  <c r="C500" i="6" a="1"/>
  <c r="C316" i="6" a="1"/>
  <c r="C407" i="6" a="1"/>
  <c r="C270" i="6" a="1"/>
  <c r="C219" i="6" a="1"/>
  <c r="C268" i="6" a="1"/>
  <c r="C161" i="6" a="1"/>
  <c r="C234" i="6" a="1"/>
  <c r="C489" i="6" a="1"/>
  <c r="C490" i="6" a="1"/>
  <c r="C382" i="6" a="1"/>
  <c r="C167" i="6" a="1"/>
  <c r="C211" i="6" a="1"/>
  <c r="C58" i="6" a="1"/>
  <c r="C142" i="6" a="1"/>
  <c r="C506" i="6" a="1"/>
  <c r="C320" i="6" a="1"/>
  <c r="C412" i="6" a="1"/>
  <c r="C277" i="6" a="1"/>
  <c r="C223" i="6" a="1"/>
  <c r="C281" i="6" a="1"/>
  <c r="C168" i="6" a="1"/>
  <c r="C246" i="6" a="1"/>
  <c r="C358" i="6" a="1"/>
  <c r="C102" i="6" a="1"/>
  <c r="C350" i="6" a="1"/>
  <c r="C86" i="6" a="1"/>
  <c r="C434" i="6" a="1"/>
  <c r="C74" i="6" a="1"/>
  <c r="C108" i="6" a="1"/>
  <c r="C171" i="6" a="1"/>
  <c r="C68" i="6" a="1"/>
  <c r="C380" i="6" a="1"/>
  <c r="C311" i="6" a="1"/>
  <c r="C130" i="6" a="1"/>
  <c r="C46" i="6" a="1"/>
  <c r="C362" i="6" a="1"/>
  <c r="C301" i="6" a="1"/>
  <c r="C110" i="6" a="1"/>
  <c r="C25" i="6" a="1"/>
  <c r="C376" i="6" a="1"/>
  <c r="C423" i="6" a="1"/>
  <c r="C371" i="6" a="1"/>
  <c r="C51" i="6" a="1"/>
  <c r="C288" i="6" a="1"/>
  <c r="C260" i="6" a="1"/>
  <c r="C370" i="6" a="1"/>
  <c r="C440" i="6" a="1"/>
  <c r="C9" i="6" a="1"/>
  <c r="C40" i="6" a="1"/>
  <c r="C97" i="6" a="1"/>
  <c r="C384" i="6" a="1"/>
  <c r="C225" i="6" a="1"/>
  <c r="C339" i="6" a="1"/>
  <c r="C483" i="6" a="1"/>
  <c r="C342" i="6" a="1"/>
  <c r="C507" i="6" a="1"/>
  <c r="C372" i="6" a="1"/>
  <c r="C205" i="6" a="1"/>
  <c r="C131" i="6" a="1"/>
  <c r="C473" i="6" a="1"/>
  <c r="C357" i="6" a="1"/>
  <c r="C194" i="6" a="1"/>
  <c r="C99" i="6" a="1"/>
  <c r="C486" i="6" a="1"/>
  <c r="C162" i="6" a="1"/>
  <c r="C53" i="6" a="1"/>
  <c r="C181" i="6" a="1"/>
  <c r="C34" i="6" a="1"/>
  <c r="C18" i="6" a="1"/>
  <c r="C337" i="6" a="1"/>
  <c r="C509" i="6" a="1"/>
  <c r="C313" i="6" a="1"/>
  <c r="C190" i="6" a="1"/>
  <c r="C12" i="6" a="1"/>
  <c r="C452" i="6" a="1"/>
  <c r="C245" i="6" a="1"/>
  <c r="C204" i="6" a="1"/>
  <c r="C514" i="6" a="1"/>
  <c r="C432" i="6" a="1"/>
  <c r="C235" i="6" a="1"/>
  <c r="C187" i="6" a="1"/>
  <c r="C344" i="6" a="1"/>
  <c r="C411" i="6" a="1"/>
  <c r="C75" i="6" a="1"/>
  <c r="C199" i="6" a="1"/>
  <c r="C229" i="6" a="1"/>
  <c r="C221" i="6" a="1"/>
  <c r="C33" i="6" a="1"/>
  <c r="C49" i="6" a="1"/>
  <c r="C48" i="6" a="1"/>
  <c r="C332" i="6" a="1"/>
  <c r="C88" i="6" a="1"/>
  <c r="C388" i="6" a="1"/>
  <c r="C282" i="6" a="1"/>
  <c r="C444" i="6" a="1"/>
  <c r="C420" i="6" a="1"/>
  <c r="C177" i="6" a="1"/>
  <c r="C397" i="6" a="1"/>
  <c r="C157" i="6" a="1"/>
  <c r="C298" i="6" a="1"/>
  <c r="C273" i="6" a="1"/>
  <c r="C149" i="6" a="1"/>
  <c r="C238" i="6" a="1"/>
  <c r="C120" i="6" a="1"/>
  <c r="C16" i="6" a="1"/>
  <c r="C100" i="6" a="1"/>
  <c r="C469" i="6" a="1"/>
  <c r="C192" i="6" a="1"/>
  <c r="C485" i="6" a="1"/>
  <c r="C375" i="6" a="1"/>
  <c r="C125" i="6" a="1"/>
  <c r="C202" i="6" a="1"/>
  <c r="C497" i="6" a="1"/>
  <c r="C326" i="6" a="1"/>
  <c r="C207" i="6" a="1"/>
  <c r="C505" i="6" a="1"/>
  <c r="C71" i="6" a="1"/>
  <c r="C30" i="6" a="1"/>
  <c r="C242" i="6" a="1"/>
  <c r="C133" i="6" a="1"/>
  <c r="C286" i="6" a="1"/>
  <c r="C429" i="6" a="1"/>
  <c r="C87" i="6" a="1"/>
  <c r="C409" i="6" a="1"/>
  <c r="C55" i="6" a="1"/>
  <c r="C346" i="6" a="1"/>
  <c r="C52" i="6" a="1"/>
  <c r="C404" i="6" a="1"/>
  <c r="C135" i="6" a="1"/>
  <c r="C430" i="6" a="1"/>
  <c r="C63" i="6" a="1"/>
  <c r="C438" i="6" a="1"/>
  <c r="C361" i="6" a="1"/>
  <c r="C396" i="6" a="1"/>
  <c r="C413" i="6" a="1"/>
  <c r="C96" i="6" a="1"/>
  <c r="C515" i="6" a="1"/>
  <c r="C424" i="6" a="1"/>
  <c r="C335" i="6" a="1"/>
  <c r="C84" i="6" a="1"/>
  <c r="C324" i="6" a="1"/>
  <c r="C258" i="6" a="1"/>
  <c r="C183" i="6" a="1"/>
  <c r="C257" i="6" a="1"/>
  <c r="C72" i="6" a="1"/>
  <c r="C128" i="6" a="1"/>
  <c r="C222" i="6" a="1"/>
  <c r="C42" i="6" a="1"/>
  <c r="C408" i="6" a="1"/>
  <c r="C114" i="6" a="1"/>
  <c r="C7" i="6" a="1"/>
  <c r="C426" i="6" a="1"/>
  <c r="C103" i="6" a="1"/>
  <c r="C13" i="6" a="1"/>
  <c r="C19" i="6" a="1"/>
  <c r="C285" i="6" a="1"/>
  <c r="C255" i="6" a="1"/>
  <c r="C264" i="6" a="1"/>
  <c r="C512" i="6" a="1"/>
  <c r="C233" i="6" a="1"/>
  <c r="C418" i="6" a="1"/>
  <c r="C113" i="6" a="1"/>
  <c r="C461" i="6" a="1"/>
  <c r="C188" i="6" a="1"/>
  <c r="C442" i="6" a="1"/>
  <c r="C178" i="6" a="1"/>
  <c r="C453" i="6" a="1"/>
  <c r="C24" i="6" a="1"/>
  <c r="C240" i="6" a="1"/>
  <c r="C450" i="6" a="1"/>
  <c r="C498" i="6" a="1"/>
  <c r="C476" i="6" a="1"/>
  <c r="C393" i="6" a="1"/>
  <c r="C318" i="6" a="1"/>
  <c r="C8" i="6" a="1"/>
  <c r="C28" i="6" a="1"/>
  <c r="C365" i="6" a="1"/>
  <c r="C354" i="6" a="1"/>
  <c r="C518" i="6" a="1"/>
  <c r="C210" i="6" a="1"/>
  <c r="C466" i="6" a="1"/>
  <c r="C343" i="6" a="1"/>
  <c r="C35" i="6" a="1"/>
  <c r="C333" i="6" a="1"/>
  <c r="C300" i="6" a="1"/>
  <c r="C112" i="6" a="1"/>
  <c r="C148" i="6" a="1"/>
  <c r="C165" i="6" a="1"/>
  <c r="C56" i="6" a="1"/>
  <c r="C129" i="6" a="1"/>
  <c r="C465" i="6" a="1"/>
  <c r="C195" i="6" a="1"/>
  <c r="C198" i="6" a="1"/>
  <c r="C315" i="6" a="1"/>
  <c r="C341" i="6" a="1"/>
  <c r="C101" i="6" a="1"/>
  <c r="C154" i="6" a="1"/>
  <c r="C115" i="6" a="1"/>
  <c r="C275" i="6" a="1"/>
  <c r="C180" i="6" a="1"/>
  <c r="C437" i="6" a="1"/>
  <c r="C387" i="6" a="1"/>
  <c r="C158" i="6" a="1"/>
  <c r="C508" i="6" a="1"/>
  <c r="C227" i="6" a="1"/>
  <c r="C499" i="6" a="1"/>
  <c r="C218" i="6" a="1"/>
  <c r="C328" i="6" a="1"/>
  <c r="C312" i="6" a="1"/>
  <c r="C164" i="6" a="1"/>
  <c r="C163" i="6" a="1"/>
  <c r="C445" i="6" a="1"/>
  <c r="C123" i="6" a="1"/>
  <c r="C425" i="6" a="1"/>
  <c r="C80" i="6" a="1"/>
  <c r="C355" i="6" a="1"/>
  <c r="C91" i="6" a="1"/>
  <c r="C471" i="6" a="1"/>
  <c r="C182" i="6" a="1"/>
  <c r="C254" i="6" a="1"/>
  <c r="C151" i="6" a="1"/>
  <c r="C230" i="6" a="1"/>
  <c r="C369" i="6" a="1"/>
  <c r="C247" i="6" a="1"/>
  <c r="C241" i="6" a="1"/>
  <c r="C303" i="6" a="1"/>
  <c r="C492" i="6" a="1"/>
  <c r="C291" i="6" a="1"/>
  <c r="C482" i="6" a="1"/>
  <c r="C92" i="6" a="1"/>
  <c r="C104" i="6" a="1"/>
  <c r="C85" i="6" a="1"/>
  <c r="C81" i="6" a="1"/>
  <c r="C454" i="6" a="1"/>
  <c r="C184" i="6" a="1"/>
  <c r="C309" i="6" a="1"/>
  <c r="C416" i="6" a="1"/>
  <c r="C166" i="6" a="1"/>
  <c r="C296" i="6" a="1"/>
  <c r="C428" i="6" a="1"/>
  <c r="C402" i="6" a="1"/>
  <c r="C351" i="6" a="1"/>
  <c r="C22" i="6" a="1"/>
  <c r="C43" i="6" a="1"/>
  <c r="C61" i="6" a="1"/>
  <c r="C6" i="6" a="1"/>
  <c r="C95" i="6" a="1"/>
  <c r="C446" i="6" a="1"/>
  <c r="C170" i="6" a="1"/>
  <c r="C179" i="6" a="1"/>
  <c r="C172" i="6" a="1"/>
  <c r="C224" i="6" a="1"/>
  <c r="I160" i="3" a="1"/>
  <c r="I154" i="3" a="1"/>
  <c r="I148" i="3" a="1"/>
  <c r="I3" i="3" a="1"/>
  <c r="I17" i="3" a="1"/>
  <c r="I33" i="3" a="1"/>
  <c r="I49" i="3" a="1"/>
  <c r="I65" i="3" a="1"/>
  <c r="I81" i="3" a="1"/>
  <c r="I97" i="3" a="1"/>
  <c r="I113" i="3" a="1"/>
  <c r="I129" i="3" a="1"/>
  <c r="I145" i="3" a="1"/>
  <c r="I176" i="3" a="1"/>
  <c r="I184" i="3" a="1"/>
  <c r="I192" i="3" a="1"/>
  <c r="I20" i="3" a="1"/>
  <c r="I36" i="3" a="1"/>
  <c r="I52" i="3" a="1"/>
  <c r="I68" i="3" a="1"/>
  <c r="I84" i="3" a="1"/>
  <c r="I100" i="3" a="1"/>
  <c r="I116" i="3" a="1"/>
  <c r="I132" i="3" a="1"/>
  <c r="I164" i="3" a="1"/>
  <c r="I10" i="3" a="1"/>
  <c r="I26" i="3" a="1"/>
  <c r="I42" i="3" a="1"/>
  <c r="I58" i="3" a="1"/>
  <c r="I74" i="3" a="1"/>
  <c r="I90" i="3" a="1"/>
  <c r="I106" i="3" a="1"/>
  <c r="I122" i="3" a="1"/>
  <c r="I138" i="3" a="1"/>
  <c r="I170" i="3" a="1"/>
  <c r="I179" i="3" a="1"/>
  <c r="I187" i="3" a="1"/>
  <c r="I48" i="3" a="1"/>
  <c r="I112" i="3" a="1"/>
  <c r="I191" i="3" a="1"/>
  <c r="I205" i="3" a="1"/>
  <c r="I221" i="3" a="1"/>
  <c r="I237" i="3" a="1"/>
  <c r="I40" i="3" a="1"/>
  <c r="I104" i="3" a="1"/>
  <c r="I168" i="3" a="1"/>
  <c r="I208" i="3" a="1"/>
  <c r="I224" i="3" a="1"/>
  <c r="I240" i="3" a="1"/>
  <c r="I249" i="3" a="1"/>
  <c r="I257" i="3" a="1"/>
  <c r="I265" i="3" a="1"/>
  <c r="I273" i="3" a="1"/>
  <c r="I11" i="3" a="1"/>
  <c r="I75" i="3" a="1"/>
  <c r="I139" i="3" a="1"/>
  <c r="I201" i="3" a="1"/>
  <c r="I217" i="3" a="1"/>
  <c r="I233" i="3" a="1"/>
  <c r="I99" i="3" a="1"/>
  <c r="I246" i="3" a="1"/>
  <c r="I262" i="3" a="1"/>
  <c r="I278" i="3" a="1"/>
  <c r="I295" i="3" a="1"/>
  <c r="I311" i="3" a="1"/>
  <c r="I327" i="3" a="1"/>
  <c r="I343" i="3" a="1"/>
  <c r="I67" i="3" a="1"/>
  <c r="I282" i="3" a="1"/>
  <c r="I298" i="3" a="1"/>
  <c r="I314" i="3" a="1"/>
  <c r="I330" i="3" a="1"/>
  <c r="I346" i="3" a="1"/>
  <c r="I358" i="3" a="1"/>
  <c r="I366" i="3" a="1"/>
  <c r="I374" i="3" a="1"/>
  <c r="I120" i="3" a="1"/>
  <c r="I236" i="3" a="1"/>
  <c r="I256" i="3" a="1"/>
  <c r="I272" i="3" a="1"/>
  <c r="I288" i="3" a="1"/>
  <c r="I304" i="3" a="1"/>
  <c r="I320" i="3" a="1"/>
  <c r="I336" i="3" a="1"/>
  <c r="I352" i="3" a="1"/>
  <c r="I297" i="3" a="1"/>
  <c r="I359" i="3" a="1"/>
  <c r="I385" i="3" a="1"/>
  <c r="I401" i="3" a="1"/>
  <c r="I417" i="3" a="1"/>
  <c r="I433" i="3" a="1"/>
  <c r="I449" i="3" a="1"/>
  <c r="I357" i="3" a="1"/>
  <c r="I408" i="3" a="1"/>
  <c r="I448" i="3" a="1"/>
  <c r="I473" i="3" a="1"/>
  <c r="I310" i="3" a="1"/>
  <c r="I361" i="3" a="1"/>
  <c r="I386" i="3" a="1"/>
  <c r="I402" i="3" a="1"/>
  <c r="I418" i="3" a="1"/>
  <c r="I434" i="3" a="1"/>
  <c r="I450" i="3" a="1"/>
  <c r="I460" i="3" a="1"/>
  <c r="I468" i="3" a="1"/>
  <c r="I228" i="3" a="1"/>
  <c r="I384" i="3" a="1"/>
  <c r="I424" i="3" a="1"/>
  <c r="I463" i="3" a="1"/>
  <c r="I281" i="3" a="1"/>
  <c r="I345" i="3" a="1"/>
  <c r="I379" i="3" a="1"/>
  <c r="I395" i="3" a="1"/>
  <c r="I411" i="3" a="1"/>
  <c r="I427" i="3" a="1"/>
  <c r="I443" i="3" a="1"/>
  <c r="I400" i="3" a="1"/>
  <c r="I457" i="3" a="1"/>
  <c r="I6" i="3" a="1"/>
  <c r="I22" i="3" a="1"/>
  <c r="I38" i="3" a="1"/>
  <c r="I54" i="3" a="1"/>
  <c r="I70" i="3" a="1"/>
  <c r="I86" i="3" a="1"/>
  <c r="I102" i="3" a="1"/>
  <c r="I118" i="3" a="1"/>
  <c r="I134" i="3" a="1"/>
  <c r="I150" i="3" a="1"/>
  <c r="I166" i="3" a="1"/>
  <c r="I178" i="3" a="1"/>
  <c r="I186" i="3" a="1"/>
  <c r="I7" i="3" a="1"/>
  <c r="I23" i="3" a="1"/>
  <c r="I39" i="3" a="1"/>
  <c r="I55" i="3" a="1"/>
  <c r="I71" i="3" a="1"/>
  <c r="I87" i="3" a="1"/>
  <c r="I103" i="3" a="1"/>
  <c r="I119" i="3" a="1"/>
  <c r="I135" i="3" a="1"/>
  <c r="I151" i="3" a="1"/>
  <c r="I167" i="3" a="1"/>
  <c r="I13" i="3" a="1"/>
  <c r="I29" i="3" a="1"/>
  <c r="I45" i="3" a="1"/>
  <c r="I61" i="3" a="1"/>
  <c r="I77" i="3" a="1"/>
  <c r="I93" i="3" a="1"/>
  <c r="I109" i="3" a="1"/>
  <c r="I125" i="3" a="1"/>
  <c r="I141" i="3" a="1"/>
  <c r="I157" i="3" a="1"/>
  <c r="I173" i="3" a="1"/>
  <c r="I181" i="3" a="1"/>
  <c r="I189" i="3" a="1"/>
  <c r="I59" i="3" a="1"/>
  <c r="I123" i="3" a="1"/>
  <c r="I194" i="3" a="1"/>
  <c r="I210" i="3" a="1"/>
  <c r="I226" i="3" a="1"/>
  <c r="I242" i="3" a="1"/>
  <c r="I51" i="3" a="1"/>
  <c r="I115" i="3" a="1"/>
  <c r="I195" i="3" a="1"/>
  <c r="I211" i="3" a="1"/>
  <c r="I227" i="3" a="1"/>
  <c r="I243" i="3" a="1"/>
  <c r="I251" i="3" a="1"/>
  <c r="I259" i="3" a="1"/>
  <c r="I267" i="3" a="1"/>
  <c r="I275" i="3" a="1"/>
  <c r="I32" i="3" a="1"/>
  <c r="I96" i="3" a="1"/>
  <c r="I171" i="3" a="1"/>
  <c r="I206" i="3" a="1"/>
  <c r="I222" i="3" a="1"/>
  <c r="I238" i="3" a="1"/>
  <c r="I199" i="3" a="1"/>
  <c r="I250" i="3" a="1"/>
  <c r="I266" i="3" a="1"/>
  <c r="I284" i="3" a="1"/>
  <c r="I300" i="3" a="1"/>
  <c r="I316" i="3" a="1"/>
  <c r="I332" i="3" a="1"/>
  <c r="I348" i="3" a="1"/>
  <c r="I152" i="3" a="1"/>
  <c r="I285" i="3" a="1"/>
  <c r="I301" i="3" a="1"/>
  <c r="I317" i="3" a="1"/>
  <c r="I333" i="3" a="1"/>
  <c r="I349" i="3" a="1"/>
  <c r="I360" i="3" a="1"/>
  <c r="I368" i="3" a="1"/>
  <c r="I376" i="3" a="1"/>
  <c r="I163" i="3" a="1"/>
  <c r="I244" i="3" a="1"/>
  <c r="I260" i="3" a="1"/>
  <c r="I276" i="3" a="1"/>
  <c r="I291" i="3" a="1"/>
  <c r="I307" i="3" a="1"/>
  <c r="I323" i="3" a="1"/>
  <c r="I339" i="3" a="1"/>
  <c r="I196" i="3" a="1"/>
  <c r="I318" i="3" a="1"/>
  <c r="I367" i="3" a="1"/>
  <c r="I389" i="3" a="1"/>
  <c r="I405" i="3" a="1"/>
  <c r="I421" i="3" a="1"/>
  <c r="I437" i="3" a="1"/>
  <c r="I453" i="3" a="1"/>
  <c r="I373" i="3" a="1"/>
  <c r="I416" i="3" a="1"/>
  <c r="I455" i="3" a="1"/>
  <c r="I88" i="3" a="1"/>
  <c r="I321" i="3" a="1"/>
  <c r="I369" i="3" a="1"/>
  <c r="I390" i="3" a="1"/>
  <c r="I406" i="3" a="1"/>
  <c r="I422" i="3" a="1"/>
  <c r="I438" i="3" a="1"/>
  <c r="I454" i="3" a="1"/>
  <c r="I462" i="3" a="1"/>
  <c r="I470" i="3" a="1"/>
  <c r="I305" i="3" a="1"/>
  <c r="I392" i="3" a="1"/>
  <c r="I436" i="3" a="1"/>
  <c r="I469" i="3" a="1"/>
  <c r="I302" i="3" a="1"/>
  <c r="I355" i="3" a="1"/>
  <c r="I383" i="3" a="1"/>
  <c r="I399" i="3" a="1"/>
  <c r="I415" i="3" a="1"/>
  <c r="I431" i="3" a="1"/>
  <c r="I447" i="3" a="1"/>
  <c r="I420" i="3" a="1"/>
  <c r="I465" i="3" a="1"/>
  <c r="I9" i="3" a="1"/>
  <c r="I25" i="3" a="1"/>
  <c r="I41" i="3" a="1"/>
  <c r="I57" i="3" a="1"/>
  <c r="I73" i="3" a="1"/>
  <c r="I89" i="3" a="1"/>
  <c r="I105" i="3" a="1"/>
  <c r="I121" i="3" a="1"/>
  <c r="I137" i="3" a="1"/>
  <c r="I153" i="3" a="1"/>
  <c r="I169" i="3" a="1"/>
  <c r="I180" i="3" a="1"/>
  <c r="I188" i="3" a="1"/>
  <c r="I12" i="3" a="1"/>
  <c r="I28" i="3" a="1"/>
  <c r="I44" i="3" a="1"/>
  <c r="I60" i="3" a="1"/>
  <c r="I76" i="3" a="1"/>
  <c r="I92" i="3" a="1"/>
  <c r="I108" i="3" a="1"/>
  <c r="I124" i="3" a="1"/>
  <c r="I140" i="3" a="1"/>
  <c r="I156" i="3" a="1"/>
  <c r="I172" i="3" a="1"/>
  <c r="I18" i="3" a="1"/>
  <c r="I34" i="3" a="1"/>
  <c r="I50" i="3" a="1"/>
  <c r="I66" i="3" a="1"/>
  <c r="I82" i="3" a="1"/>
  <c r="I98" i="3" a="1"/>
  <c r="I114" i="3" a="1"/>
  <c r="I130" i="3" a="1"/>
  <c r="I146" i="3" a="1"/>
  <c r="I162" i="3" a="1"/>
  <c r="I175" i="3" a="1"/>
  <c r="I183" i="3" a="1"/>
  <c r="I16" i="3" a="1"/>
  <c r="I80" i="3" a="1"/>
  <c r="I144" i="3" a="1"/>
  <c r="I197" i="3" a="1"/>
  <c r="I213" i="3" a="1"/>
  <c r="I229" i="3" a="1"/>
  <c r="I8" i="3" a="1"/>
  <c r="I72" i="3" a="1"/>
  <c r="I136" i="3" a="1"/>
  <c r="I200" i="3" a="1"/>
  <c r="I216" i="3" a="1"/>
  <c r="I232" i="3" a="1"/>
  <c r="I245" i="3" a="1"/>
  <c r="I253" i="3" a="1"/>
  <c r="I261" i="3" a="1"/>
  <c r="I269" i="3" a="1"/>
  <c r="I277" i="3" a="1"/>
  <c r="I43" i="3" a="1"/>
  <c r="I107" i="3" a="1"/>
  <c r="I193" i="3" a="1"/>
  <c r="I209" i="3" a="1"/>
  <c r="I225" i="3" a="1"/>
  <c r="I241" i="3" a="1"/>
  <c r="I220" i="3" a="1"/>
  <c r="I254" i="3" a="1"/>
  <c r="I270" i="3" a="1"/>
  <c r="I287" i="3" a="1"/>
  <c r="I303" i="3" a="1"/>
  <c r="I319" i="3" a="1"/>
  <c r="I335" i="3" a="1"/>
  <c r="I351" i="3" a="1"/>
  <c r="I212" i="3" a="1"/>
  <c r="I290" i="3" a="1"/>
  <c r="I306" i="3" a="1"/>
  <c r="I322" i="3" a="1"/>
  <c r="I338" i="3" a="1"/>
  <c r="I354" i="3" a="1"/>
  <c r="I362" i="3" a="1"/>
  <c r="I370" i="3" a="1"/>
  <c r="I378" i="3" a="1"/>
  <c r="I204" i="3" a="1"/>
  <c r="I248" i="3" a="1"/>
  <c r="I264" i="3" a="1"/>
  <c r="I280" i="3" a="1"/>
  <c r="I296" i="3" a="1"/>
  <c r="I312" i="3" a="1"/>
  <c r="I328" i="3" a="1"/>
  <c r="I344" i="3" a="1"/>
  <c r="I239" i="3" a="1"/>
  <c r="I329" i="3" a="1"/>
  <c r="I375" i="3" a="1"/>
  <c r="I393" i="3" a="1"/>
  <c r="I409" i="3" a="1"/>
  <c r="I425" i="3" a="1"/>
  <c r="I441" i="3" a="1"/>
  <c r="I294" i="3" a="1"/>
  <c r="I388" i="3" a="1"/>
  <c r="I428" i="3" a="1"/>
  <c r="I461" i="3" a="1"/>
  <c r="I207" i="3" a="1"/>
  <c r="I342" i="3" a="1"/>
  <c r="I377" i="3" a="1"/>
  <c r="I394" i="3" a="1"/>
  <c r="I410" i="3" a="1"/>
  <c r="I426" i="3" a="1"/>
  <c r="I442" i="3" a="1"/>
  <c r="I456" i="3" a="1"/>
  <c r="I464" i="3" a="1"/>
  <c r="I472" i="3" a="1"/>
  <c r="I337" i="3" a="1"/>
  <c r="I404" i="3" a="1"/>
  <c r="I452" i="3" a="1"/>
  <c r="I475" i="3" a="1"/>
  <c r="I313" i="3" a="1"/>
  <c r="I363" i="3" a="1"/>
  <c r="I387" i="3" a="1"/>
  <c r="I403" i="3" a="1"/>
  <c r="I419" i="3" a="1"/>
  <c r="I435" i="3" a="1"/>
  <c r="I451" i="3" a="1"/>
  <c r="I432" i="3" a="1"/>
  <c r="I471" i="3" a="1"/>
  <c r="I4" i="3" a="1"/>
  <c r="I14" i="3" a="1"/>
  <c r="I30" i="3" a="1"/>
  <c r="I46" i="3" a="1"/>
  <c r="I62" i="3" a="1"/>
  <c r="I78" i="3" a="1"/>
  <c r="I94" i="3" a="1"/>
  <c r="I110" i="3" a="1"/>
  <c r="I126" i="3" a="1"/>
  <c r="I142" i="3" a="1"/>
  <c r="I158" i="3" a="1"/>
  <c r="I174" i="3" a="1"/>
  <c r="I182" i="3" a="1"/>
  <c r="I190" i="3" a="1"/>
  <c r="I15" i="3" a="1"/>
  <c r="I31" i="3" a="1"/>
  <c r="I47" i="3" a="1"/>
  <c r="I63" i="3" a="1"/>
  <c r="I79" i="3" a="1"/>
  <c r="I95" i="3" a="1"/>
  <c r="I111" i="3" a="1"/>
  <c r="I127" i="3" a="1"/>
  <c r="I143" i="3" a="1"/>
  <c r="I159" i="3" a="1"/>
  <c r="I5" i="3" a="1"/>
  <c r="I21" i="3" a="1"/>
  <c r="I37" i="3" a="1"/>
  <c r="I53" i="3" a="1"/>
  <c r="I69" i="3" a="1"/>
  <c r="I85" i="3" a="1"/>
  <c r="I101" i="3" a="1"/>
  <c r="I117" i="3" a="1"/>
  <c r="I133" i="3" a="1"/>
  <c r="I149" i="3" a="1"/>
  <c r="I165" i="3" a="1"/>
  <c r="I177" i="3" a="1"/>
  <c r="I185" i="3" a="1"/>
  <c r="I27" i="3" a="1"/>
  <c r="I91" i="3" a="1"/>
  <c r="I155" i="3" a="1"/>
  <c r="I202" i="3" a="1"/>
  <c r="I218" i="3" a="1"/>
  <c r="I234" i="3" a="1"/>
  <c r="I19" i="3" a="1"/>
  <c r="I83" i="3" a="1"/>
  <c r="I147" i="3" a="1"/>
  <c r="I203" i="3" a="1"/>
  <c r="I219" i="3" a="1"/>
  <c r="I235" i="3" a="1"/>
  <c r="I247" i="3" a="1"/>
  <c r="I255" i="3" a="1"/>
  <c r="I263" i="3" a="1"/>
  <c r="I271" i="3" a="1"/>
  <c r="I279" i="3" a="1"/>
  <c r="I64" i="3" a="1"/>
  <c r="I128" i="3" a="1"/>
  <c r="I198" i="3" a="1"/>
  <c r="I214" i="3" a="1"/>
  <c r="I230" i="3" a="1"/>
  <c r="I56" i="3" a="1"/>
  <c r="I231" i="3" a="1"/>
  <c r="I258" i="3" a="1"/>
  <c r="I274" i="3" a="1"/>
  <c r="I292" i="3" a="1"/>
  <c r="I308" i="3" a="1"/>
  <c r="I324" i="3" a="1"/>
  <c r="I340" i="3" a="1"/>
  <c r="I24" i="3" a="1"/>
  <c r="I223" i="3" a="1"/>
  <c r="I293" i="3" a="1"/>
  <c r="I309" i="3" a="1"/>
  <c r="I325" i="3" a="1"/>
  <c r="I341" i="3" a="1"/>
  <c r="I356" i="3" a="1"/>
  <c r="I364" i="3" a="1"/>
  <c r="I372" i="3" a="1"/>
  <c r="I35" i="3" a="1"/>
  <c r="I215" i="3" a="1"/>
  <c r="I252" i="3" a="1"/>
  <c r="I268" i="3" a="1"/>
  <c r="I283" i="3" a="1"/>
  <c r="I299" i="3" a="1"/>
  <c r="I315" i="3" a="1"/>
  <c r="I331" i="3" a="1"/>
  <c r="I347" i="3" a="1"/>
  <c r="I286" i="3" a="1"/>
  <c r="I350" i="3" a="1"/>
  <c r="I381" i="3" a="1"/>
  <c r="I397" i="3" a="1"/>
  <c r="I413" i="3" a="1"/>
  <c r="I429" i="3" a="1"/>
  <c r="I445" i="3" a="1"/>
  <c r="I326" i="3" a="1"/>
  <c r="I396" i="3" a="1"/>
  <c r="I440" i="3" a="1"/>
  <c r="I467" i="3" a="1"/>
  <c r="I289" i="3" a="1"/>
  <c r="I353" i="3" a="1"/>
  <c r="I382" i="3" a="1"/>
  <c r="I398" i="3" a="1"/>
  <c r="I414" i="3" a="1"/>
  <c r="I430" i="3" a="1"/>
  <c r="I446" i="3" a="1"/>
  <c r="I458" i="3" a="1"/>
  <c r="I466" i="3" a="1"/>
  <c r="I474" i="3" a="1"/>
  <c r="I365" i="3" a="1"/>
  <c r="I412" i="3" a="1"/>
  <c r="I459" i="3" a="1"/>
  <c r="I131" i="3" a="1"/>
  <c r="I334" i="3" a="1"/>
  <c r="I371" i="3" a="1"/>
  <c r="I391" i="3" a="1"/>
  <c r="I407" i="3" a="1"/>
  <c r="I423" i="3" a="1"/>
  <c r="I439" i="3" a="1"/>
  <c r="I380" i="3" a="1"/>
  <c r="I444" i="3" a="1"/>
  <c r="I161" i="3" l="1"/>
  <c r="I160" i="3"/>
  <c r="I154" i="3"/>
  <c r="I148" i="3"/>
  <c r="I471" i="3"/>
  <c r="I465" i="3"/>
  <c r="I457" i="3"/>
  <c r="I444" i="3"/>
  <c r="I432" i="3"/>
  <c r="I420" i="3"/>
  <c r="I400" i="3"/>
  <c r="I380" i="3"/>
  <c r="I451" i="3"/>
  <c r="I447" i="3"/>
  <c r="I443" i="3"/>
  <c r="I439" i="3"/>
  <c r="I435" i="3"/>
  <c r="I431" i="3"/>
  <c r="I427" i="3"/>
  <c r="I423" i="3"/>
  <c r="I419" i="3"/>
  <c r="I415" i="3"/>
  <c r="I411" i="3"/>
  <c r="I407" i="3"/>
  <c r="I403" i="3"/>
  <c r="I399" i="3"/>
  <c r="I395" i="3"/>
  <c r="I391" i="3"/>
  <c r="I387" i="3"/>
  <c r="I383" i="3"/>
  <c r="I379" i="3"/>
  <c r="I371" i="3"/>
  <c r="I363" i="3"/>
  <c r="I355" i="3"/>
  <c r="I345" i="3"/>
  <c r="I334" i="3"/>
  <c r="I313" i="3"/>
  <c r="I302" i="3"/>
  <c r="I281" i="3"/>
  <c r="I131" i="3"/>
  <c r="I475" i="3"/>
  <c r="I469" i="3"/>
  <c r="I463" i="3"/>
  <c r="I459" i="3"/>
  <c r="I452" i="3"/>
  <c r="I436" i="3"/>
  <c r="I424" i="3"/>
  <c r="I412" i="3"/>
  <c r="I404" i="3"/>
  <c r="I392" i="3"/>
  <c r="I384" i="3"/>
  <c r="I365" i="3"/>
  <c r="I337" i="3"/>
  <c r="I305" i="3"/>
  <c r="I228" i="3"/>
  <c r="I474" i="3"/>
  <c r="I472" i="3"/>
  <c r="I470" i="3"/>
  <c r="I468" i="3"/>
  <c r="I466" i="3"/>
  <c r="I464" i="3"/>
  <c r="I462" i="3"/>
  <c r="I460" i="3"/>
  <c r="I458" i="3"/>
  <c r="I456" i="3"/>
  <c r="I454" i="3"/>
  <c r="I450" i="3"/>
  <c r="I446" i="3"/>
  <c r="I442" i="3"/>
  <c r="I438" i="3"/>
  <c r="I434" i="3"/>
  <c r="I430" i="3"/>
  <c r="I426" i="3"/>
  <c r="I422" i="3"/>
  <c r="I418" i="3"/>
  <c r="I414" i="3"/>
  <c r="I410" i="3"/>
  <c r="I406" i="3"/>
  <c r="I402" i="3"/>
  <c r="I398" i="3"/>
  <c r="I394" i="3"/>
  <c r="I390" i="3"/>
  <c r="I386" i="3"/>
  <c r="I382" i="3"/>
  <c r="I377" i="3"/>
  <c r="I369" i="3"/>
  <c r="I361" i="3"/>
  <c r="I353" i="3"/>
  <c r="I342" i="3"/>
  <c r="I321" i="3"/>
  <c r="I310" i="3"/>
  <c r="I289" i="3"/>
  <c r="I207" i="3"/>
  <c r="I88" i="3"/>
  <c r="I473" i="3"/>
  <c r="I467" i="3"/>
  <c r="I461" i="3"/>
  <c r="I455" i="3"/>
  <c r="I448" i="3"/>
  <c r="I440" i="3"/>
  <c r="I428" i="3"/>
  <c r="I416" i="3"/>
  <c r="I408" i="3"/>
  <c r="I396" i="3"/>
  <c r="I388" i="3"/>
  <c r="I373" i="3"/>
  <c r="I357" i="3"/>
  <c r="I326" i="3"/>
  <c r="I294" i="3"/>
  <c r="I453" i="3"/>
  <c r="I449" i="3"/>
  <c r="I445" i="3"/>
  <c r="I441" i="3"/>
  <c r="I437" i="3"/>
  <c r="I433" i="3"/>
  <c r="I429" i="3"/>
  <c r="I425" i="3"/>
  <c r="I421" i="3"/>
  <c r="I417" i="3"/>
  <c r="I413" i="3"/>
  <c r="I409" i="3"/>
  <c r="I405" i="3"/>
  <c r="I401" i="3"/>
  <c r="I397" i="3"/>
  <c r="I393" i="3"/>
  <c r="I389" i="3"/>
  <c r="I385" i="3"/>
  <c r="I381" i="3"/>
  <c r="I375" i="3"/>
  <c r="I367" i="3"/>
  <c r="I359" i="3"/>
  <c r="I350" i="3"/>
  <c r="I329" i="3"/>
  <c r="I318" i="3"/>
  <c r="I297" i="3"/>
  <c r="I286" i="3"/>
  <c r="I239" i="3"/>
  <c r="I196" i="3"/>
  <c r="I352" i="3"/>
  <c r="I347" i="3"/>
  <c r="I344" i="3"/>
  <c r="I339" i="3"/>
  <c r="I336" i="3"/>
  <c r="I331" i="3"/>
  <c r="I328" i="3"/>
  <c r="I323" i="3"/>
  <c r="I320" i="3"/>
  <c r="I315" i="3"/>
  <c r="I312" i="3"/>
  <c r="I307" i="3"/>
  <c r="I304" i="3"/>
  <c r="I299" i="3"/>
  <c r="I296" i="3"/>
  <c r="I291" i="3"/>
  <c r="I288" i="3"/>
  <c r="I283" i="3"/>
  <c r="I280" i="3"/>
  <c r="I276" i="3"/>
  <c r="I272" i="3"/>
  <c r="I268" i="3"/>
  <c r="I264" i="3"/>
  <c r="I260" i="3"/>
  <c r="I256" i="3"/>
  <c r="I252" i="3"/>
  <c r="I248" i="3"/>
  <c r="I244" i="3"/>
  <c r="I236" i="3"/>
  <c r="I215" i="3"/>
  <c r="I204" i="3"/>
  <c r="I163" i="3"/>
  <c r="I120" i="3"/>
  <c r="I35" i="3"/>
  <c r="I378" i="3"/>
  <c r="I376" i="3"/>
  <c r="I374" i="3"/>
  <c r="I372" i="3"/>
  <c r="I370" i="3"/>
  <c r="I368" i="3"/>
  <c r="I366" i="3"/>
  <c r="I364" i="3"/>
  <c r="I362" i="3"/>
  <c r="I360" i="3"/>
  <c r="I358" i="3"/>
  <c r="I356" i="3"/>
  <c r="I354" i="3"/>
  <c r="I349" i="3"/>
  <c r="I346" i="3"/>
  <c r="I341" i="3"/>
  <c r="I338" i="3"/>
  <c r="I333" i="3"/>
  <c r="I330" i="3"/>
  <c r="I325" i="3"/>
  <c r="I322" i="3"/>
  <c r="I317" i="3"/>
  <c r="I314" i="3"/>
  <c r="I309" i="3"/>
  <c r="I306" i="3"/>
  <c r="I301" i="3"/>
  <c r="I298" i="3"/>
  <c r="I293" i="3"/>
  <c r="I290" i="3"/>
  <c r="I285" i="3"/>
  <c r="I282" i="3"/>
  <c r="I223" i="3"/>
  <c r="I212" i="3"/>
  <c r="I152" i="3"/>
  <c r="I67" i="3"/>
  <c r="I24" i="3"/>
  <c r="I351" i="3"/>
  <c r="I348" i="3"/>
  <c r="I343" i="3"/>
  <c r="I340" i="3"/>
  <c r="I335" i="3"/>
  <c r="I332" i="3"/>
  <c r="I327" i="3"/>
  <c r="I324" i="3"/>
  <c r="I319" i="3"/>
  <c r="I316" i="3"/>
  <c r="I311" i="3"/>
  <c r="I308" i="3"/>
  <c r="I303" i="3"/>
  <c r="I300" i="3"/>
  <c r="I295" i="3"/>
  <c r="I292" i="3"/>
  <c r="I287" i="3"/>
  <c r="I284" i="3"/>
  <c r="I278" i="3"/>
  <c r="I274" i="3"/>
  <c r="I270" i="3"/>
  <c r="I266" i="3"/>
  <c r="I262" i="3"/>
  <c r="I258" i="3"/>
  <c r="I254" i="3"/>
  <c r="I250" i="3"/>
  <c r="I246" i="3"/>
  <c r="I231" i="3"/>
  <c r="I220" i="3"/>
  <c r="I199" i="3"/>
  <c r="I99" i="3"/>
  <c r="I56" i="3"/>
  <c r="I241" i="3"/>
  <c r="I238" i="3"/>
  <c r="I233" i="3"/>
  <c r="I230" i="3"/>
  <c r="I225" i="3"/>
  <c r="I222" i="3"/>
  <c r="I217" i="3"/>
  <c r="I214" i="3"/>
  <c r="I209" i="3"/>
  <c r="I206" i="3"/>
  <c r="I201" i="3"/>
  <c r="I198" i="3"/>
  <c r="I193" i="3"/>
  <c r="I171" i="3"/>
  <c r="I139" i="3"/>
  <c r="I128" i="3"/>
  <c r="I107" i="3"/>
  <c r="I96" i="3"/>
  <c r="I75" i="3"/>
  <c r="I64" i="3"/>
  <c r="I43" i="3"/>
  <c r="I32" i="3"/>
  <c r="I11" i="3"/>
  <c r="I279" i="3"/>
  <c r="I277" i="3"/>
  <c r="I275" i="3"/>
  <c r="I273" i="3"/>
  <c r="I271" i="3"/>
  <c r="I269" i="3"/>
  <c r="I267" i="3"/>
  <c r="I265" i="3"/>
  <c r="I263" i="3"/>
  <c r="I261" i="3"/>
  <c r="I259" i="3"/>
  <c r="I257" i="3"/>
  <c r="I255" i="3"/>
  <c r="I253" i="3"/>
  <c r="I251" i="3"/>
  <c r="I249" i="3"/>
  <c r="I247" i="3"/>
  <c r="I245" i="3"/>
  <c r="I243" i="3"/>
  <c r="I240" i="3"/>
  <c r="I235" i="3"/>
  <c r="I232" i="3"/>
  <c r="I227" i="3"/>
  <c r="I224" i="3"/>
  <c r="I219" i="3"/>
  <c r="I216" i="3"/>
  <c r="I211" i="3"/>
  <c r="I208" i="3"/>
  <c r="I203" i="3"/>
  <c r="I200" i="3"/>
  <c r="I195" i="3"/>
  <c r="I168" i="3"/>
  <c r="I147" i="3"/>
  <c r="I136" i="3"/>
  <c r="I115" i="3"/>
  <c r="I104" i="3"/>
  <c r="I83" i="3"/>
  <c r="I72" i="3"/>
  <c r="I51" i="3"/>
  <c r="I40" i="3"/>
  <c r="I19" i="3"/>
  <c r="I8" i="3"/>
  <c r="I242" i="3"/>
  <c r="I237" i="3"/>
  <c r="I234" i="3"/>
  <c r="I229" i="3"/>
  <c r="I226" i="3"/>
  <c r="I221" i="3"/>
  <c r="I218" i="3"/>
  <c r="I213" i="3"/>
  <c r="I210" i="3"/>
  <c r="I205" i="3"/>
  <c r="I202" i="3"/>
  <c r="I197" i="3"/>
  <c r="I194" i="3"/>
  <c r="I191" i="3"/>
  <c r="I155" i="3"/>
  <c r="I144" i="3"/>
  <c r="I123" i="3"/>
  <c r="I112" i="3"/>
  <c r="I91" i="3"/>
  <c r="I80" i="3"/>
  <c r="I59" i="3"/>
  <c r="I48" i="3"/>
  <c r="I27" i="3"/>
  <c r="I16" i="3"/>
  <c r="I189" i="3"/>
  <c r="I187" i="3"/>
  <c r="I185" i="3"/>
  <c r="I183" i="3"/>
  <c r="I181" i="3"/>
  <c r="I179" i="3"/>
  <c r="I177" i="3"/>
  <c r="I175" i="3"/>
  <c r="I173" i="3"/>
  <c r="I170" i="3"/>
  <c r="I165" i="3"/>
  <c r="I162" i="3"/>
  <c r="I157" i="3"/>
  <c r="I149" i="3"/>
  <c r="I146" i="3"/>
  <c r="I141" i="3"/>
  <c r="I138" i="3"/>
  <c r="I133" i="3"/>
  <c r="I130" i="3"/>
  <c r="I125" i="3"/>
  <c r="I122" i="3"/>
  <c r="I117" i="3"/>
  <c r="I114" i="3"/>
  <c r="I109" i="3"/>
  <c r="I106" i="3"/>
  <c r="I101" i="3"/>
  <c r="I98" i="3"/>
  <c r="I93" i="3"/>
  <c r="I90" i="3"/>
  <c r="I85" i="3"/>
  <c r="I82" i="3"/>
  <c r="I77" i="3"/>
  <c r="I74" i="3"/>
  <c r="I69" i="3"/>
  <c r="I66" i="3"/>
  <c r="I61" i="3"/>
  <c r="I58" i="3"/>
  <c r="I53" i="3"/>
  <c r="I50" i="3"/>
  <c r="I45" i="3"/>
  <c r="I42" i="3"/>
  <c r="I37" i="3"/>
  <c r="I34" i="3"/>
  <c r="I29" i="3"/>
  <c r="I26" i="3"/>
  <c r="I21" i="3"/>
  <c r="I18" i="3"/>
  <c r="I13" i="3"/>
  <c r="I10" i="3"/>
  <c r="I5" i="3"/>
  <c r="I172" i="3"/>
  <c r="I167" i="3"/>
  <c r="I164" i="3"/>
  <c r="I159" i="3"/>
  <c r="I156" i="3"/>
  <c r="I151" i="3"/>
  <c r="I143" i="3"/>
  <c r="I140" i="3"/>
  <c r="I135" i="3"/>
  <c r="I132" i="3"/>
  <c r="I127" i="3"/>
  <c r="I124" i="3"/>
  <c r="I119" i="3"/>
  <c r="I116" i="3"/>
  <c r="I111" i="3"/>
  <c r="I108" i="3"/>
  <c r="I103" i="3"/>
  <c r="I100" i="3"/>
  <c r="I95" i="3"/>
  <c r="I92" i="3"/>
  <c r="I87" i="3"/>
  <c r="I84" i="3"/>
  <c r="I79" i="3"/>
  <c r="I76" i="3"/>
  <c r="I71" i="3"/>
  <c r="I68" i="3"/>
  <c r="I63" i="3"/>
  <c r="I60" i="3"/>
  <c r="I55" i="3"/>
  <c r="I52" i="3"/>
  <c r="I47" i="3"/>
  <c r="I44" i="3"/>
  <c r="I39" i="3"/>
  <c r="I36" i="3"/>
  <c r="I31" i="3"/>
  <c r="I28" i="3"/>
  <c r="I23" i="3"/>
  <c r="I20" i="3"/>
  <c r="I15" i="3"/>
  <c r="I12" i="3"/>
  <c r="I7" i="3"/>
  <c r="I192" i="3"/>
  <c r="I190" i="3"/>
  <c r="I188" i="3"/>
  <c r="I186" i="3"/>
  <c r="I184" i="3"/>
  <c r="I182" i="3"/>
  <c r="I180" i="3"/>
  <c r="I178" i="3"/>
  <c r="I176" i="3"/>
  <c r="I174" i="3"/>
  <c r="I169" i="3"/>
  <c r="I166" i="3"/>
  <c r="I158" i="3"/>
  <c r="I153" i="3"/>
  <c r="I150" i="3"/>
  <c r="I145" i="3"/>
  <c r="I142" i="3"/>
  <c r="I137" i="3"/>
  <c r="I134" i="3"/>
  <c r="I129" i="3"/>
  <c r="I126" i="3"/>
  <c r="I121" i="3"/>
  <c r="I118" i="3"/>
  <c r="I113" i="3"/>
  <c r="I110" i="3"/>
  <c r="I105" i="3"/>
  <c r="I102" i="3"/>
  <c r="I97" i="3"/>
  <c r="I94" i="3"/>
  <c r="I89" i="3"/>
  <c r="I86" i="3"/>
  <c r="I81" i="3"/>
  <c r="I78" i="3"/>
  <c r="I73" i="3"/>
  <c r="I70" i="3"/>
  <c r="I65" i="3"/>
  <c r="I62" i="3"/>
  <c r="I57" i="3"/>
  <c r="I54" i="3"/>
  <c r="I49" i="3"/>
  <c r="I46" i="3"/>
  <c r="I41" i="3"/>
  <c r="I38" i="3"/>
  <c r="I33" i="3"/>
  <c r="I30" i="3"/>
  <c r="I25" i="3"/>
  <c r="I22" i="3"/>
  <c r="I17" i="3"/>
  <c r="I14" i="3"/>
  <c r="I9" i="3"/>
  <c r="I6" i="3"/>
  <c r="I3" i="3"/>
  <c r="I4" i="3"/>
  <c r="C166" i="6"/>
  <c r="C515" i="6"/>
  <c r="C396" i="6"/>
  <c r="C224" i="6"/>
  <c r="C84" i="6"/>
  <c r="C465" i="6"/>
  <c r="C361" i="6"/>
  <c r="C19" i="6"/>
  <c r="C198" i="6"/>
  <c r="C176" i="6"/>
  <c r="C96" i="6"/>
  <c r="C444" i="6"/>
  <c r="C438" i="6"/>
  <c r="C173" i="6"/>
  <c r="C158" i="6"/>
  <c r="C282" i="6"/>
  <c r="C416" i="6"/>
  <c r="C410" i="6"/>
  <c r="C129" i="6"/>
  <c r="C388" i="6"/>
  <c r="C63" i="6"/>
  <c r="C403" i="6"/>
  <c r="C172" i="6"/>
  <c r="C88" i="6"/>
  <c r="C335" i="6"/>
  <c r="C436" i="6"/>
  <c r="C413" i="6"/>
  <c r="C332" i="6"/>
  <c r="C430" i="6"/>
  <c r="C11" i="6"/>
  <c r="C13" i="6"/>
  <c r="C48" i="6"/>
  <c r="C195" i="6"/>
  <c r="C305" i="6"/>
  <c r="C56" i="6"/>
  <c r="C49" i="6"/>
  <c r="C135" i="6"/>
  <c r="C310" i="6"/>
  <c r="C387" i="6"/>
  <c r="C33" i="6"/>
  <c r="C309" i="6"/>
  <c r="C136" i="6"/>
  <c r="C165" i="6"/>
  <c r="C221" i="6"/>
  <c r="C404" i="6"/>
  <c r="C502" i="6"/>
  <c r="C179" i="6"/>
  <c r="C229" i="6"/>
  <c r="C424" i="6"/>
  <c r="C510" i="6"/>
  <c r="C148" i="6"/>
  <c r="C199" i="6"/>
  <c r="C52" i="6"/>
  <c r="C212" i="6"/>
  <c r="C103" i="6"/>
  <c r="C75" i="6"/>
  <c r="C184" i="6"/>
  <c r="C249" i="6"/>
  <c r="C112" i="6"/>
  <c r="C411" i="6"/>
  <c r="C346" i="6"/>
  <c r="C460" i="6"/>
  <c r="C437" i="6"/>
  <c r="C344" i="6"/>
  <c r="C454" i="6"/>
  <c r="C250" i="6"/>
  <c r="C300" i="6"/>
  <c r="C187" i="6"/>
  <c r="C55" i="6"/>
  <c r="C374" i="6"/>
  <c r="C170" i="6"/>
  <c r="C235" i="6"/>
  <c r="C81" i="6"/>
  <c r="C302" i="6"/>
  <c r="C333" i="6"/>
  <c r="C432" i="6"/>
  <c r="C409" i="6"/>
  <c r="C330" i="6"/>
  <c r="C426" i="6"/>
  <c r="C514" i="6"/>
  <c r="C85" i="6"/>
  <c r="C185" i="6"/>
  <c r="C35" i="6"/>
  <c r="C204" i="6"/>
  <c r="C87" i="6"/>
  <c r="C67" i="6"/>
  <c r="C180" i="6"/>
  <c r="C245" i="6"/>
  <c r="C104" i="6"/>
  <c r="C381" i="6"/>
  <c r="C343" i="6"/>
  <c r="C452" i="6"/>
  <c r="C429" i="6"/>
  <c r="C340" i="6"/>
  <c r="C446" i="6"/>
  <c r="C12" i="6"/>
  <c r="C419" i="6"/>
  <c r="C193" i="6"/>
  <c r="C92" i="6"/>
  <c r="C190" i="6"/>
  <c r="C197" i="6"/>
  <c r="C447" i="6"/>
  <c r="C466" i="6"/>
  <c r="C313" i="6"/>
  <c r="C336" i="6"/>
  <c r="C265" i="6"/>
  <c r="C286" i="6"/>
  <c r="C509" i="6"/>
  <c r="C322" i="6"/>
  <c r="C237" i="6"/>
  <c r="C7" i="6"/>
  <c r="C337" i="6"/>
  <c r="C208" i="6"/>
  <c r="C456" i="6"/>
  <c r="C482" i="6"/>
  <c r="C18" i="6"/>
  <c r="C124" i="6"/>
  <c r="C449" i="6"/>
  <c r="C210" i="6"/>
  <c r="C34" i="6"/>
  <c r="C141" i="6"/>
  <c r="C468" i="6"/>
  <c r="C133" i="6"/>
  <c r="C181" i="6"/>
  <c r="C37" i="6"/>
  <c r="C137" i="6"/>
  <c r="C275" i="6"/>
  <c r="C53" i="6"/>
  <c r="C122" i="6"/>
  <c r="C209" i="6"/>
  <c r="C291" i="6"/>
  <c r="C162" i="6"/>
  <c r="C307" i="6"/>
  <c r="C378" i="6"/>
  <c r="C518" i="6"/>
  <c r="C486" i="6"/>
  <c r="C373" i="6"/>
  <c r="C520" i="6"/>
  <c r="C242" i="6"/>
  <c r="C99" i="6"/>
  <c r="C232" i="6"/>
  <c r="C26" i="6"/>
  <c r="C95" i="6"/>
  <c r="C194" i="6"/>
  <c r="C266" i="6"/>
  <c r="C132" i="6"/>
  <c r="C492" i="6"/>
  <c r="C357" i="6"/>
  <c r="C479" i="6"/>
  <c r="C457" i="6"/>
  <c r="C354" i="6"/>
  <c r="C473" i="6"/>
  <c r="C70" i="6"/>
  <c r="C139" i="6"/>
  <c r="C30" i="6"/>
  <c r="C131" i="6"/>
  <c r="C252" i="6"/>
  <c r="C45" i="6"/>
  <c r="C114" i="6"/>
  <c r="C205" i="6"/>
  <c r="C284" i="6"/>
  <c r="C153" i="6"/>
  <c r="C303" i="6"/>
  <c r="C372" i="6"/>
  <c r="C503" i="6"/>
  <c r="C480" i="6"/>
  <c r="C365" i="6"/>
  <c r="C507" i="6"/>
  <c r="C10" i="6"/>
  <c r="C287" i="6"/>
  <c r="C71" i="6"/>
  <c r="C342" i="6"/>
  <c r="C15" i="6"/>
  <c r="C353" i="6"/>
  <c r="C115" i="6"/>
  <c r="C483" i="6"/>
  <c r="C451" i="6"/>
  <c r="C76" i="6"/>
  <c r="C241" i="6"/>
  <c r="C339" i="6"/>
  <c r="C421" i="6"/>
  <c r="C521" i="6"/>
  <c r="C28" i="6"/>
  <c r="C225" i="6"/>
  <c r="C325" i="6"/>
  <c r="C394" i="6"/>
  <c r="C505" i="6"/>
  <c r="C384" i="6"/>
  <c r="C191" i="6"/>
  <c r="C306" i="6"/>
  <c r="C6" i="6"/>
  <c r="C97" i="6"/>
  <c r="C118" i="6"/>
  <c r="C159" i="6"/>
  <c r="C247" i="6"/>
  <c r="C40" i="6"/>
  <c r="C50" i="6"/>
  <c r="C189" i="6"/>
  <c r="C8" i="6"/>
  <c r="C9" i="6"/>
  <c r="C14" i="6"/>
  <c r="C415" i="6"/>
  <c r="C207" i="6"/>
  <c r="C440" i="6"/>
  <c r="C32" i="6"/>
  <c r="C295" i="6"/>
  <c r="C408" i="6"/>
  <c r="C370" i="6"/>
  <c r="C5" i="6"/>
  <c r="C435" i="6"/>
  <c r="C369" i="6"/>
  <c r="C260" i="6"/>
  <c r="C271" i="6"/>
  <c r="C274" i="6"/>
  <c r="C318" i="6"/>
  <c r="C288" i="6"/>
  <c r="C304" i="6"/>
  <c r="C292" i="6"/>
  <c r="C326" i="6"/>
  <c r="C51" i="6"/>
  <c r="C217" i="6"/>
  <c r="C54" i="6"/>
  <c r="C154" i="6"/>
  <c r="C371" i="6"/>
  <c r="C253" i="6"/>
  <c r="C138" i="6"/>
  <c r="C230" i="6"/>
  <c r="C423" i="6"/>
  <c r="C262" i="6"/>
  <c r="C314" i="6"/>
  <c r="C393" i="6"/>
  <c r="C376" i="6"/>
  <c r="C513" i="6"/>
  <c r="C391" i="6"/>
  <c r="C497" i="6"/>
  <c r="C25" i="6"/>
  <c r="C127" i="6"/>
  <c r="C248" i="6"/>
  <c r="C42" i="6"/>
  <c r="C110" i="6"/>
  <c r="C203" i="6"/>
  <c r="C279" i="6"/>
  <c r="C151" i="6"/>
  <c r="C301" i="6"/>
  <c r="C367" i="6"/>
  <c r="C496" i="6"/>
  <c r="C476" i="6"/>
  <c r="C362" i="6"/>
  <c r="C491" i="6"/>
  <c r="C20" i="6"/>
  <c r="C202" i="6"/>
  <c r="C46" i="6"/>
  <c r="C146" i="6"/>
  <c r="C290" i="6"/>
  <c r="C61" i="6"/>
  <c r="C130" i="6"/>
  <c r="C213" i="6"/>
  <c r="C392" i="6"/>
  <c r="C254" i="6"/>
  <c r="C311" i="6"/>
  <c r="C385" i="6"/>
  <c r="C368" i="6"/>
  <c r="C498" i="6"/>
  <c r="C380" i="6"/>
  <c r="C493" i="6"/>
  <c r="C175" i="6"/>
  <c r="C125" i="6"/>
  <c r="C68" i="6"/>
  <c r="C156" i="6"/>
  <c r="C417" i="6"/>
  <c r="C101" i="6"/>
  <c r="C171" i="6"/>
  <c r="C44" i="6"/>
  <c r="C94" i="6"/>
  <c r="C182" i="6"/>
  <c r="C108" i="6"/>
  <c r="C347" i="6"/>
  <c r="C433" i="6"/>
  <c r="C450" i="6"/>
  <c r="C74" i="6"/>
  <c r="C134" i="6"/>
  <c r="C174" i="6"/>
  <c r="C375" i="6"/>
  <c r="C434" i="6"/>
  <c r="C59" i="6"/>
  <c r="C220" i="6"/>
  <c r="C222" i="6"/>
  <c r="C86" i="6"/>
  <c r="C259" i="6"/>
  <c r="C459" i="6"/>
  <c r="C471" i="6"/>
  <c r="C350" i="6"/>
  <c r="C117" i="6"/>
  <c r="C17" i="6"/>
  <c r="C240" i="6"/>
  <c r="C102" i="6"/>
  <c r="C272" i="6"/>
  <c r="C297" i="6"/>
  <c r="C485" i="6"/>
  <c r="C358" i="6"/>
  <c r="C82" i="6"/>
  <c r="C121" i="6"/>
  <c r="C43" i="6"/>
  <c r="C246" i="6"/>
  <c r="C228" i="6"/>
  <c r="C261" i="6"/>
  <c r="C91" i="6"/>
  <c r="C168" i="6"/>
  <c r="C226" i="6"/>
  <c r="C494" i="6"/>
  <c r="C24" i="6"/>
  <c r="C281" i="6"/>
  <c r="C90" i="6"/>
  <c r="C155" i="6"/>
  <c r="C192" i="6"/>
  <c r="C223" i="6"/>
  <c r="C263" i="6"/>
  <c r="C484" i="6"/>
  <c r="C128" i="6"/>
  <c r="C277" i="6"/>
  <c r="C474" i="6"/>
  <c r="C323" i="6"/>
  <c r="C355" i="6"/>
  <c r="C412" i="6"/>
  <c r="C475" i="6"/>
  <c r="C390" i="6"/>
  <c r="C453" i="6"/>
  <c r="C320" i="6"/>
  <c r="C352" i="6"/>
  <c r="C406" i="6"/>
  <c r="C469" i="6"/>
  <c r="C506" i="6"/>
  <c r="C478" i="6"/>
  <c r="C41" i="6"/>
  <c r="C22" i="6"/>
  <c r="C142" i="6"/>
  <c r="C201" i="6"/>
  <c r="C280" i="6"/>
  <c r="C80" i="6"/>
  <c r="C58" i="6"/>
  <c r="C501" i="6"/>
  <c r="C126" i="6"/>
  <c r="C178" i="6"/>
  <c r="C211" i="6"/>
  <c r="C243" i="6"/>
  <c r="C294" i="6"/>
  <c r="C100" i="6"/>
  <c r="C167" i="6"/>
  <c r="C366" i="6"/>
  <c r="C308" i="6"/>
  <c r="C341" i="6"/>
  <c r="C382" i="6"/>
  <c r="C448" i="6"/>
  <c r="C364" i="6"/>
  <c r="C425" i="6"/>
  <c r="C490" i="6"/>
  <c r="C338" i="6"/>
  <c r="C377" i="6"/>
  <c r="C442" i="6"/>
  <c r="C489" i="6"/>
  <c r="C23" i="6"/>
  <c r="C89" i="6"/>
  <c r="C16" i="6"/>
  <c r="C234" i="6"/>
  <c r="C214" i="6"/>
  <c r="C62" i="6"/>
  <c r="C72" i="6"/>
  <c r="C161" i="6"/>
  <c r="C231" i="6"/>
  <c r="C431" i="6"/>
  <c r="C123" i="6"/>
  <c r="C268" i="6"/>
  <c r="C83" i="6"/>
  <c r="C147" i="6"/>
  <c r="C188" i="6"/>
  <c r="C219" i="6"/>
  <c r="C256" i="6"/>
  <c r="C455" i="6"/>
  <c r="C120" i="6"/>
  <c r="C270" i="6"/>
  <c r="C443" i="6"/>
  <c r="C319" i="6"/>
  <c r="C351" i="6"/>
  <c r="C407" i="6"/>
  <c r="C467" i="6"/>
  <c r="C383" i="6"/>
  <c r="C445" i="6"/>
  <c r="C316" i="6"/>
  <c r="C348" i="6"/>
  <c r="C399" i="6"/>
  <c r="C461" i="6"/>
  <c r="C500" i="6"/>
  <c r="C334" i="6"/>
  <c r="C105" i="6"/>
  <c r="C238" i="6"/>
  <c r="C150" i="6"/>
  <c r="C66" i="6"/>
  <c r="C215" i="6"/>
  <c r="C257" i="6"/>
  <c r="C389" i="6"/>
  <c r="C504" i="6"/>
  <c r="C495" i="6"/>
  <c r="C163" i="6"/>
  <c r="C267" i="6"/>
  <c r="C239" i="6"/>
  <c r="C511" i="6"/>
  <c r="C113" i="6"/>
  <c r="C64" i="6"/>
  <c r="C65" i="6"/>
  <c r="C462" i="6"/>
  <c r="C149" i="6"/>
  <c r="C470" i="6"/>
  <c r="C321" i="6"/>
  <c r="C386" i="6"/>
  <c r="C402" i="6"/>
  <c r="C93" i="6"/>
  <c r="C289" i="6"/>
  <c r="C39" i="6"/>
  <c r="C164" i="6"/>
  <c r="C73" i="6"/>
  <c r="C329" i="6"/>
  <c r="C401" i="6"/>
  <c r="C418" i="6"/>
  <c r="C27" i="6"/>
  <c r="C38" i="6"/>
  <c r="C109" i="6"/>
  <c r="C273" i="6"/>
  <c r="C21" i="6"/>
  <c r="C293" i="6"/>
  <c r="C119" i="6"/>
  <c r="C183" i="6"/>
  <c r="C244" i="6"/>
  <c r="C47" i="6"/>
  <c r="C36" i="6"/>
  <c r="C312" i="6"/>
  <c r="C106" i="6"/>
  <c r="C169" i="6"/>
  <c r="C200" i="6"/>
  <c r="C233" i="6"/>
  <c r="C276" i="6"/>
  <c r="C77" i="6"/>
  <c r="C145" i="6"/>
  <c r="C298" i="6"/>
  <c r="C299" i="6"/>
  <c r="C331" i="6"/>
  <c r="C363" i="6"/>
  <c r="C428" i="6"/>
  <c r="C488" i="6"/>
  <c r="C405" i="6"/>
  <c r="C472" i="6"/>
  <c r="C328" i="6"/>
  <c r="C360" i="6"/>
  <c r="C422" i="6"/>
  <c r="C487" i="6"/>
  <c r="C512" i="6"/>
  <c r="C206" i="6"/>
  <c r="C57" i="6"/>
  <c r="C60" i="6"/>
  <c r="C157" i="6"/>
  <c r="C216" i="6"/>
  <c r="C400" i="6"/>
  <c r="C111" i="6"/>
  <c r="C258" i="6"/>
  <c r="C79" i="6"/>
  <c r="C143" i="6"/>
  <c r="C186" i="6"/>
  <c r="C218" i="6"/>
  <c r="C251" i="6"/>
  <c r="C439" i="6"/>
  <c r="C116" i="6"/>
  <c r="C264" i="6"/>
  <c r="C427" i="6"/>
  <c r="C317" i="6"/>
  <c r="C349" i="6"/>
  <c r="C397" i="6"/>
  <c r="C463" i="6"/>
  <c r="C379" i="6"/>
  <c r="C441" i="6"/>
  <c r="C315" i="6"/>
  <c r="C345" i="6"/>
  <c r="C395" i="6"/>
  <c r="C458" i="6"/>
  <c r="C499" i="6"/>
  <c r="C144" i="6"/>
  <c r="C152" i="6"/>
  <c r="C78" i="6"/>
  <c r="C255" i="6"/>
  <c r="C283" i="6"/>
  <c r="C278" i="6"/>
  <c r="C107" i="6"/>
  <c r="C177" i="6"/>
  <c r="C236" i="6"/>
  <c r="C31" i="6"/>
  <c r="C29" i="6"/>
  <c r="C296" i="6"/>
  <c r="C98" i="6"/>
  <c r="C160" i="6"/>
  <c r="C196" i="6"/>
  <c r="C227" i="6"/>
  <c r="C269" i="6"/>
  <c r="C69" i="6"/>
  <c r="C140" i="6"/>
  <c r="C285" i="6"/>
  <c r="C517" i="6"/>
  <c r="C327" i="6"/>
  <c r="C359" i="6"/>
  <c r="C420" i="6"/>
  <c r="C481" i="6"/>
  <c r="C398" i="6"/>
  <c r="C464" i="6"/>
  <c r="C324" i="6"/>
  <c r="C356" i="6"/>
  <c r="C414" i="6"/>
  <c r="C477" i="6"/>
  <c r="C508" i="6"/>
  <c r="C516" i="6"/>
  <c r="C519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<sst xmlns="http://schemas.openxmlformats.org/spreadsheetml/2006/main" count="2101" uniqueCount="1420">
  <si>
    <t>Authentication Factor</t>
  </si>
  <si>
    <t>Access Granularity</t>
  </si>
  <si>
    <t>Cypher</t>
  </si>
  <si>
    <t>Nodes</t>
  </si>
  <si>
    <t>n_authentication_factor</t>
  </si>
  <si>
    <t>Knowledge Factor</t>
  </si>
  <si>
    <t>n_knowledge_factor</t>
  </si>
  <si>
    <t>Password Spraying Attack</t>
  </si>
  <si>
    <t>Account Takeover</t>
  </si>
  <si>
    <t>MATCH (n) DETACH DELETE n;</t>
  </si>
  <si>
    <t>CREATE CONSTRAINT concept_id_unique IF NOT EXISTS ON (concept:Concept) ASSERT concept.id IS UNIQUE;</t>
  </si>
  <si>
    <t>CREATE (n_access_granularity:Concept {id:'n_access_granularity', name:'Access Granularity'});</t>
  </si>
  <si>
    <t>CREATE (n_account_takeover:Concept {id:'n_account_takeover', name:'Account Takeover'});</t>
  </si>
  <si>
    <t>CREATE (n_authentication_factor:Concept {id:'n_authentication_factor', name:'Authentication Factor'});</t>
  </si>
  <si>
    <t>CREATE (n_authentication_method:Concept {id:'n_authentication_method', name:'Authentication Method'});</t>
  </si>
  <si>
    <t>CREATE (n_inherence_factor:Concept {id:'n_inherence_factor', name:'Inherence Factor'});</t>
  </si>
  <si>
    <t>CREATE (n_knowledge_factor:Concept {id:'n_knowledge_factor', name:'Knowledge Factor'});</t>
  </si>
  <si>
    <t>CREATE (n_location_factor:Concept {id:'n_location_factor', name:'Location Factor'});</t>
  </si>
  <si>
    <t>CREATE (n_password_spraying_attack:Concept {id:'n_password_spraying_attack', name:'Password Spraying Attack'});</t>
  </si>
  <si>
    <t>CREATE (n_possession_factor:Concept {id:'n_possession_factor', name:'Possession Factor'});</t>
  </si>
  <si>
    <t>CREATE (n_time_factor:Concept {id:'n_time_factor', name:'Time Factor'});</t>
  </si>
  <si>
    <t>CREATE (n_entity:Concept {id:'n_entity', name:'Entity'});</t>
  </si>
  <si>
    <t>CREATE (n_identity:Concept {id:'n_identity', name:'Identity'});</t>
  </si>
  <si>
    <t>CREATE (n_identity_attribute:Concept {id:'n_identity_attribute', name:'Identity Attribute'});</t>
  </si>
  <si>
    <t>MATCH (a {id:'n_authentication_factor'}), (b {id:'n_knowledge_factor'}) WITH a,b CREATE (a)-[r:HYPERONYM {name: a.name + ' → ' + b.name}]-&gt;(b);</t>
  </si>
  <si>
    <t>MATCH (a {id:'n_authentication_factor'}), (b {id:'n_inherence_factor'}) WITH a,b CREATE (a)-[r:HYPERONYM {name: a.name + ' → ' + b.name}]-&gt;(b);</t>
  </si>
  <si>
    <t>MATCH (a {id:'n_authentication_factor'}), (b {id:'n_location_factor'}) WITH a,b CREATE (a)-[r:HYPERONYM {name: a.name + ' → ' + b.name}]-&gt;(b);</t>
  </si>
  <si>
    <t>MATCH (a {id:'n_authentication_factor'}), (b {id:'n_possession_factor'}) WITH a,b CREATE (a)-[r:HYPERONYM {name: a.name + ' → ' + b.name}]-&gt;(b);</t>
  </si>
  <si>
    <t>MATCH (a {id:'n_authentication_factor'}), (b {id:'n_time_factor'}) WITH a,b CREATE (a)-[r:HYPERONYM {name: a.name + ' → ' + b.name}]-&gt;(b);</t>
  </si>
  <si>
    <t>MATCH (a {id:'n_identity'}), (b {id:'n_identity_attribute'}) WITH a,b CREATE (a)-[r:HOLONYM {name: a.name + ' → ' + b.name}]-&gt;(b);</t>
  </si>
  <si>
    <t>MATCH(a)&lt;-[:HYPERONYM]-(b)-[:HYPERONYM]-&gt;(c) WITH(a),(c) MERGE(a)-[:COHYPONYM]-(c);</t>
  </si>
  <si>
    <t>Column1</t>
  </si>
  <si>
    <t>Column2</t>
  </si>
  <si>
    <t>[URL]</t>
  </si>
  <si>
    <t>[CYPHER]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</si>
  <si>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</si>
  <si>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</si>
  <si>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</si>
  <si>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</si>
  <si>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</si>
  <si>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</si>
  <si>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</si>
  <si>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</si>
  <si>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</si>
  <si>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</si>
  <si>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</si>
  <si>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</si>
  <si>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</si>
  <si>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</si>
  <si>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</si>
  <si>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</si>
  <si>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</si>
  <si>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</si>
  <si>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</si>
  <si>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</si>
  <si>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</si>
  <si>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</si>
  <si>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</si>
  <si>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</si>
  <si>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</si>
  <si>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</si>
  <si>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</si>
  <si>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</si>
  <si>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</si>
  <si>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</si>
  <si>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</si>
  <si>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</si>
  <si>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</si>
  <si>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</si>
  <si>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</si>
  <si>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</si>
  <si>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</si>
  <si>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</si>
  <si>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</si>
  <si>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</si>
  <si>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</si>
  <si>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</si>
  <si>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</si>
  <si>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</si>
  <si>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</si>
  <si>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</si>
  <si>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</si>
  <si>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</si>
  <si>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</si>
  <si>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</si>
  <si>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</si>
  <si>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</si>
  <si>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</si>
  <si>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</si>
  <si>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</si>
  <si>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</si>
  <si>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</si>
  <si>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</si>
  <si>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</si>
  <si>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</si>
  <si>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</si>
  <si>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</si>
  <si>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</si>
  <si>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</si>
  <si>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</si>
  <si>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</si>
  <si>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</si>
  <si>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</si>
  <si>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</si>
  <si>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</si>
  <si>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</si>
  <si>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</si>
  <si>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</si>
  <si>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</si>
  <si>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</si>
  <si>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</si>
  <si>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</si>
  <si>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</si>
  <si>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</si>
  <si>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</si>
  <si>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</si>
  <si>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</si>
  <si>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</si>
  <si>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</si>
  <si>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</si>
  <si>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</si>
  <si>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</si>
  <si>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</si>
  <si>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</si>
  <si>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</si>
  <si>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</si>
  <si>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</si>
  <si>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</si>
  <si>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</si>
  <si>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</si>
  <si>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</si>
  <si>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</si>
  <si>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</si>
  <si>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</si>
  <si>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</si>
  <si>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</si>
  <si>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</si>
  <si>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</si>
  <si>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</si>
  <si>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</si>
  <si>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</si>
  <si>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</si>
  <si>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</si>
  <si>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</si>
  <si>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</si>
  <si>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</si>
  <si>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</si>
  <si>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</si>
  <si>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</si>
  <si>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</si>
  <si>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</si>
  <si>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</si>
  <si>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</si>
  <si>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</si>
  <si>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</si>
  <si>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</si>
  <si>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</si>
  <si>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</si>
  <si>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</si>
  <si>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</si>
  <si>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</si>
  <si>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</si>
  <si>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</si>
  <si>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</si>
  <si>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</si>
  <si>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</si>
  <si>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</si>
  <si>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</si>
  <si>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</si>
  <si>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</si>
  <si>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</si>
  <si>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</si>
  <si>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</si>
  <si>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</si>
  <si>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</si>
  <si>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</si>
  <si>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</si>
  <si>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</si>
  <si>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</si>
  <si>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</si>
  <si>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</si>
  <si>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</si>
  <si>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</si>
  <si>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</si>
  <si>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</si>
  <si>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</si>
  <si>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</si>
  <si>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</si>
  <si>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</si>
  <si>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</si>
  <si>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</si>
  <si>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</si>
  <si>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</si>
  <si>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</si>
  <si>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</si>
  <si>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</si>
  <si>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</si>
  <si>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</si>
  <si>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</si>
  <si>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</si>
  <si>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</si>
  <si>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</si>
  <si>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</si>
  <si>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</si>
  <si>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</si>
  <si>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</si>
  <si>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</si>
  <si>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</si>
  <si>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</si>
  <si>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</si>
  <si>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</si>
  <si>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</si>
  <si>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</si>
  <si>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</si>
  <si>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</si>
  <si>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</si>
  <si>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</si>
  <si>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</si>
  <si>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</si>
  <si>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</si>
  <si>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</si>
  <si>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</si>
  <si>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</si>
  <si>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</si>
  <si>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</si>
  <si>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</si>
  <si>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</si>
  <si>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</si>
  <si>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</si>
  <si>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</si>
  <si>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</si>
  <si>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</si>
  <si>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</si>
  <si>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</si>
  <si>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</si>
  <si>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</si>
  <si>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</si>
  <si>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</si>
  <si>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</si>
  <si>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</si>
  <si>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</si>
  <si>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</si>
  <si>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</si>
  <si>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</si>
  <si>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</si>
  <si>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</si>
  <si>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</si>
  <si>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</si>
  <si>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</si>
  <si>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</si>
  <si>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</si>
  <si>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</si>
  <si>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</si>
  <si>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</si>
  <si>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</si>
  <si>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</si>
  <si>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</si>
  <si>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</si>
  <si>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</si>
  <si>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</si>
  <si>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</si>
  <si>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</si>
  <si>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</si>
  <si>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</si>
  <si>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</si>
  <si>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</si>
  <si>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</si>
  <si>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</si>
  <si>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</si>
  <si>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</si>
  <si>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</si>
  <si>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</si>
  <si>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</si>
  <si>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</si>
  <si>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</si>
  <si>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</si>
  <si>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</si>
  <si>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</si>
  <si>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</si>
  <si>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</si>
  <si>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</si>
  <si>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</si>
  <si>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</si>
  <si>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</si>
  <si>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</si>
  <si>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</si>
  <si>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</si>
  <si>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</si>
  <si>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</si>
  <si>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</si>
  <si>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</si>
  <si>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</si>
  <si>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</si>
  <si>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</si>
  <si>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</si>
  <si>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</si>
  <si>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</si>
  <si>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</si>
  <si>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</si>
  <si>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</si>
  <si>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</si>
  <si>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</si>
  <si>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</si>
  <si>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</si>
  <si>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</si>
  <si>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</si>
  <si>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</si>
  <si>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</si>
  <si>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</si>
  <si>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</si>
  <si>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</si>
  <si>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</si>
  <si>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</si>
  <si>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</si>
  <si>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</si>
  <si>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</si>
  <si>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</si>
  <si>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</si>
  <si>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</si>
  <si>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</si>
  <si>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</si>
  <si>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</si>
  <si>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</si>
  <si>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</si>
  <si>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</si>
  <si>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</si>
  <si>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</si>
  <si>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</si>
  <si>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</si>
  <si>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</si>
  <si>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</si>
  <si>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</si>
  <si>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</si>
  <si>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</si>
  <si>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</si>
  <si>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</si>
  <si>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</si>
  <si>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</si>
  <si>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</si>
  <si>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</si>
  <si>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</si>
  <si>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</si>
  <si>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</si>
  <si>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</si>
  <si>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</si>
  <si>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</si>
  <si>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</si>
  <si>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</si>
  <si>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</si>
  <si>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</si>
  <si>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</si>
  <si>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</si>
  <si>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</si>
  <si>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</si>
  <si>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</si>
  <si>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</si>
  <si>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</si>
  <si>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</si>
  <si>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</si>
  <si>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</si>
  <si>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</si>
  <si>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</si>
  <si>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</si>
  <si>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</si>
  <si>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</si>
  <si>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</si>
  <si>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</si>
  <si>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</si>
  <si>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</si>
  <si>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</si>
  <si>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</si>
  <si>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</si>
  <si>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</si>
  <si>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</si>
  <si>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</si>
  <si>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</si>
  <si>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</si>
  <si>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</si>
  <si>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</si>
  <si>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</si>
  <si>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</si>
  <si>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</si>
  <si>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</si>
  <si>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</si>
  <si>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</si>
  <si>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</si>
  <si>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</si>
  <si>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</si>
  <si>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</si>
  <si>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</si>
  <si>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</si>
  <si>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</si>
  <si>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</si>
  <si>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</si>
  <si>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</si>
  <si>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</si>
  <si>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</si>
  <si>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</si>
  <si>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</si>
  <si>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</si>
  <si>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</si>
  <si>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</si>
  <si>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</si>
  <si>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</si>
  <si>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</si>
  <si>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</si>
  <si>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</si>
  <si>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</si>
  <si>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</si>
  <si>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</si>
  <si>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</si>
  <si>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</si>
  <si>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</si>
  <si>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</si>
  <si>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</si>
  <si>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</si>
  <si>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</si>
  <si>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</si>
  <si>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</si>
  <si>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</si>
  <si>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</si>
  <si>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</si>
  <si>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</si>
  <si>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</si>
  <si>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</si>
  <si>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</si>
  <si>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</si>
  <si>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</si>
  <si>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</si>
  <si>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</si>
  <si>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</si>
  <si>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</si>
  <si>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</si>
  <si>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</si>
  <si>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</si>
  <si>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</si>
  <si>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</si>
  <si>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</si>
  <si>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</si>
  <si>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</si>
  <si>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</si>
  <si>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</si>
  <si>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</si>
  <si>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</si>
  <si>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</si>
  <si>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</si>
  <si>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</si>
  <si>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</si>
  <si>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</si>
  <si>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</si>
  <si>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</si>
  <si>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</si>
  <si>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</si>
  <si>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</si>
  <si>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</si>
  <si>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</si>
  <si>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</si>
  <si>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</si>
  <si>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</si>
  <si>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</si>
  <si>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</si>
  <si>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</si>
  <si>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</si>
  <si>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</si>
  <si>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</si>
  <si>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</si>
  <si>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</si>
  <si>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</si>
  <si>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</si>
  <si>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</si>
  <si>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</si>
  <si>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</si>
  <si>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</si>
  <si>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</si>
  <si>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</si>
  <si>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</si>
  <si>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</si>
  <si>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</si>
  <si>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</si>
  <si>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</si>
  <si>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</si>
  <si>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</si>
  <si>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</si>
  <si>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</si>
  <si>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</si>
  <si>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</si>
  <si>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</si>
  <si>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</si>
  <si>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</si>
  <si>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</si>
  <si>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</si>
  <si>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</si>
  <si>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</si>
  <si>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</si>
  <si>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</si>
  <si>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</si>
  <si>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</si>
  <si>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</si>
  <si>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</si>
  <si>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</si>
  <si>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</si>
  <si>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</si>
  <si>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</si>
  <si>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</si>
  <si>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</si>
  <si>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</si>
  <si>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</si>
  <si>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</si>
  <si>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</si>
  <si>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</si>
  <si>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</si>
  <si>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</si>
  <si>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</si>
  <si>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</si>
  <si>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</si>
  <si>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</si>
  <si>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</si>
  <si>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</si>
  <si>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</si>
  <si>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</si>
  <si>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</si>
  <si>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</si>
  <si>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</si>
  <si>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</si>
  <si>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</si>
  <si>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</si>
  <si>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</si>
  <si>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</si>
  <si>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</si>
  <si>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</si>
  <si>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</si>
  <si>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</si>
  <si>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</si>
  <si>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</si>
  <si>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</si>
  <si>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</si>
  <si>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</si>
  <si>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</si>
  <si>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</si>
  <si>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</si>
  <si>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</si>
  <si>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</si>
  <si>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</si>
  <si>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</si>
  <si>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</si>
  <si>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</si>
  <si>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</si>
  <si>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</si>
  <si>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</si>
  <si>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</si>
  <si>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</si>
  <si>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</si>
  <si>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</si>
  <si>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</si>
  <si>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</si>
  <si>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</si>
  <si>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</si>
  <si>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</si>
  <si>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</si>
  <si>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</si>
  <si>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</si>
  <si>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</si>
  <si>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</si>
  <si>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</si>
  <si>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</si>
  <si>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</si>
  <si>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</si>
  <si>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</si>
  <si>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</si>
  <si>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</si>
  <si>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</si>
  <si>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</si>
  <si>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</si>
  <si>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</si>
  <si>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</si>
  <si>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</si>
  <si>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</si>
  <si>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</si>
  <si>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</si>
  <si>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</si>
  <si>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</si>
  <si>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</si>
  <si>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</si>
  <si>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</si>
  <si>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</si>
  <si>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</si>
  <si>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</si>
  <si>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</si>
  <si>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</si>
  <si>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</si>
  <si>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</si>
  <si>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</si>
  <si>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</si>
  <si>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</si>
  <si>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</si>
  <si>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</si>
  <si>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</si>
  <si>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</si>
  <si>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</si>
  <si>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</si>
  <si>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</si>
  <si>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</si>
  <si>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</si>
  <si>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</si>
  <si>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</si>
  <si>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</si>
  <si>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</si>
  <si>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</si>
  <si>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</si>
  <si>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</si>
  <si>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</si>
  <si>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</si>
  <si>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</si>
  <si>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</si>
  <si>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</si>
  <si>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</si>
  <si>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</si>
  <si>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</si>
  <si>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</si>
  <si>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</si>
  <si>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</si>
  <si>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</si>
  <si>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</si>
  <si>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</si>
  <si>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</si>
  <si>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</si>
  <si>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</si>
  <si>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</si>
  <si>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</si>
  <si>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</si>
  <si>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</si>
  <si>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</si>
  <si>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</si>
  <si>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</si>
  <si>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</si>
  <si>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</si>
  <si>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</si>
  <si>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</si>
  <si>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</si>
  <si>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</si>
  <si>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</si>
  <si>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</si>
  <si>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</si>
  <si>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</si>
  <si>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</si>
  <si>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</si>
  <si>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</si>
  <si>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</si>
  <si>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</si>
  <si>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</si>
  <si>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</si>
  <si>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</si>
  <si>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</si>
  <si>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</si>
  <si>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</si>
  <si>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</si>
  <si>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</si>
  <si>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</si>
  <si>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</si>
  <si>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</si>
  <si>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</si>
  <si>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</si>
  <si>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</si>
  <si>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</si>
  <si>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</si>
  <si>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</si>
  <si>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</si>
  <si>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</si>
  <si>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</si>
  <si>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</si>
  <si>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</si>
  <si>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</si>
  <si>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</si>
  <si>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</si>
  <si>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</si>
  <si>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</si>
  <si>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</si>
  <si>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</si>
  <si>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</si>
  <si>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</si>
  <si>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</si>
  <si>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</si>
  <si>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</si>
  <si>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</si>
  <si>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</si>
  <si>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</si>
  <si>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</si>
  <si>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</si>
  <si>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</si>
  <si>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</si>
  <si>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</si>
  <si>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</si>
  <si>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</si>
  <si>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</si>
  <si>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</si>
  <si>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</si>
  <si>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</si>
  <si>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</si>
  <si>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</si>
  <si>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</si>
  <si>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</si>
  <si>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</si>
  <si>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</si>
  <si>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</si>
  <si>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</si>
  <si>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</si>
  <si>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</si>
  <si>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</si>
  <si>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</si>
  <si>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</si>
  <si>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</si>
  <si>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</si>
  <si>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</si>
  <si>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</si>
  <si>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</si>
  <si>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</si>
  <si>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</si>
  <si>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</si>
  <si>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</si>
  <si>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</si>
  <si>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</si>
  <si>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</si>
  <si>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</si>
  <si>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</si>
  <si>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</si>
  <si>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</si>
  <si>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</si>
  <si>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</si>
  <si>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</si>
  <si>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</si>
  <si>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</si>
  <si>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</si>
  <si>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</si>
  <si>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</si>
  <si>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</si>
  <si>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</si>
  <si>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</si>
  <si>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</si>
  <si>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</si>
  <si>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</si>
  <si>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</si>
  <si>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</si>
  <si>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</si>
  <si>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</si>
  <si>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</si>
  <si>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</si>
  <si>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</si>
  <si>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</si>
  <si>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</si>
  <si>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</si>
  <si>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</si>
  <si>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</si>
  <si>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</si>
  <si>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</si>
  <si>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</si>
  <si>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</si>
  <si>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</si>
  <si>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</si>
  <si>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</si>
  <si>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</si>
  <si>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</si>
  <si>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</si>
  <si>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</si>
  <si>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</si>
  <si>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</si>
  <si>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</si>
  <si>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</si>
  <si>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</si>
  <si>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</si>
  <si>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</si>
  <si>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</si>
  <si>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</si>
  <si>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</si>
  <si>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</si>
  <si>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</si>
  <si>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</si>
  <si>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</si>
  <si>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</si>
  <si>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</si>
  <si>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</si>
  <si>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</si>
  <si>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</si>
  <si>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</si>
  <si>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</si>
  <si>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</si>
  <si>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</si>
  <si>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</si>
  <si>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</si>
  <si>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</si>
  <si>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</si>
  <si>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</si>
  <si>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</si>
  <si>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</si>
  <si>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</si>
  <si>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</si>
  <si>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</si>
  <si>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</si>
  <si>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</si>
  <si>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</si>
  <si>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</si>
  <si>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</si>
  <si>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</si>
  <si>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</si>
  <si>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</si>
  <si>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</si>
  <si>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</si>
  <si>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</si>
  <si>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</si>
  <si>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</si>
  <si>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</si>
  <si>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</si>
  <si>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</si>
  <si>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</si>
  <si>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</si>
  <si>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</si>
  <si>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</si>
  <si>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</si>
  <si>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</si>
  <si>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</si>
  <si>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</si>
  <si>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</si>
  <si>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</si>
  <si>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</si>
  <si>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</si>
  <si>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</si>
  <si>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</si>
  <si>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</si>
  <si>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</si>
  <si>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</si>
  <si>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</si>
  <si>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</si>
  <si>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</si>
  <si>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</si>
  <si>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</si>
  <si>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</si>
  <si>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</si>
  <si>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</si>
  <si>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</si>
  <si>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</si>
  <si>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</si>
  <si>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</si>
  <si>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</si>
  <si>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</si>
  <si>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</si>
  <si>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</si>
  <si>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</si>
  <si>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</si>
  <si>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</si>
  <si>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</si>
  <si>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</si>
  <si>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</si>
  <si>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</si>
  <si>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</si>
  <si>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</si>
  <si>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</si>
  <si>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</si>
  <si>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</si>
  <si>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</si>
  <si>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</si>
  <si>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</si>
  <si>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</si>
  <si>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</si>
  <si>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</si>
  <si>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</si>
  <si>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</si>
  <si>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</si>
  <si>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</si>
  <si>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</si>
  <si>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</si>
  <si>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</si>
  <si>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</si>
  <si>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</si>
  <si>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</si>
  <si>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</si>
  <si>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</si>
  <si>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</si>
  <si>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</si>
  <si>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</si>
  <si>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</si>
  <si>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</si>
  <si>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</si>
  <si>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</si>
  <si>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</si>
  <si>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</si>
  <si>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</si>
  <si>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</si>
  <si>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</si>
  <si>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</si>
  <si>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</si>
  <si>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</si>
  <si>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</si>
  <si>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</si>
  <si>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</si>
  <si>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</si>
  <si>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</si>
  <si>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</si>
  <si>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</si>
  <si>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</si>
  <si>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</si>
  <si>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</si>
  <si>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</si>
  <si>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</si>
  <si>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</si>
  <si>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</si>
  <si>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</si>
  <si>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</si>
  <si>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</si>
  <si>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</si>
  <si>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</si>
  <si>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</si>
  <si>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</si>
  <si>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</si>
  <si>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</si>
  <si>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</si>
  <si>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</si>
  <si>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</si>
  <si>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</si>
  <si>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</si>
  <si>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</si>
  <si>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</si>
  <si>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</si>
  <si>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</si>
  <si>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</si>
  <si>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</si>
  <si>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</si>
  <si>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</si>
  <si>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</si>
  <si>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</si>
  <si>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</si>
  <si>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</si>
  <si>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</si>
  <si>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</si>
  <si>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</si>
  <si>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</si>
  <si>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</si>
  <si>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</si>
  <si>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</si>
  <si>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</si>
  <si>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</si>
  <si>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</si>
  <si>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</si>
  <si>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</si>
  <si>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</si>
  <si>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</si>
  <si>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</si>
  <si>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</si>
  <si>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</si>
  <si>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</si>
  <si>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</si>
  <si>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</si>
  <si>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</si>
  <si>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</si>
  <si>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</si>
  <si>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</si>
  <si>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</si>
  <si>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</si>
  <si>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</si>
  <si>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</si>
  <si>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</si>
  <si>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</si>
  <si>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</si>
  <si>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</si>
  <si>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</si>
  <si>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</si>
  <si>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</si>
  <si>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</si>
  <si>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</si>
  <si>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</si>
  <si>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</si>
  <si>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</si>
  <si>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</si>
  <si>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</si>
  <si>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</si>
  <si>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</si>
  <si>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</si>
  <si>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</si>
  <si>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</si>
  <si>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</si>
  <si>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</si>
  <si>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</si>
  <si>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</si>
  <si>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</si>
  <si>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</si>
  <si>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</si>
  <si>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</si>
  <si>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</si>
  <si>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</si>
  <si>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</si>
  <si>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</si>
  <si>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</si>
  <si>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</si>
  <si>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</si>
  <si>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</si>
  <si>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</si>
  <si>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</si>
  <si>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</si>
  <si>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</si>
  <si>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</si>
  <si>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</si>
  <si>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</si>
  <si>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</si>
  <si>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</si>
  <si>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</si>
  <si>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</si>
  <si>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</si>
  <si>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</si>
  <si>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</si>
  <si>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</si>
  <si>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</si>
  <si>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</si>
  <si>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</si>
  <si>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</si>
  <si>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</si>
  <si>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</si>
  <si>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</si>
  <si>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</si>
  <si>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</si>
  <si>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</si>
  <si>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</si>
  <si>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</si>
  <si>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</si>
  <si>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</si>
  <si>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</si>
  <si>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</si>
  <si>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</si>
  <si>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</si>
  <si>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</si>
  <si>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</si>
  <si>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</si>
  <si>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</si>
  <si>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</si>
  <si>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</si>
  <si>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</si>
  <si>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</si>
  <si>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</si>
  <si>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</si>
  <si>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</si>
  <si>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</si>
  <si>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</si>
  <si>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</si>
  <si>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</si>
  <si>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</si>
  <si>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</si>
  <si>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</si>
  <si>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</si>
  <si>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</si>
  <si>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</si>
  <si>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</si>
  <si>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</si>
  <si>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</si>
  <si>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</si>
  <si>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</si>
  <si>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</si>
  <si>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</si>
  <si>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</si>
  <si>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</si>
  <si>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</si>
  <si>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</si>
  <si>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</si>
  <si>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</si>
  <si>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</si>
  <si>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</si>
  <si>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</si>
  <si>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</si>
  <si>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</si>
  <si>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</si>
  <si>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</si>
  <si>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</si>
  <si>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</si>
  <si>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</si>
  <si>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</si>
  <si>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</si>
  <si>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</si>
  <si>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</si>
  <si>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</si>
  <si>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</si>
  <si>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</si>
  <si>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</si>
  <si>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</si>
  <si>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</si>
  <si>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</si>
  <si>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</si>
  <si>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</si>
  <si>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</si>
  <si>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</si>
  <si>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</si>
  <si>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</si>
  <si>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</si>
  <si>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</si>
  <si>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</si>
  <si>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</si>
  <si>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</si>
  <si>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</si>
  <si>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</si>
  <si>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</si>
  <si>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</si>
  <si>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</si>
  <si>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</si>
  <si>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</si>
  <si>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</si>
  <si>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</si>
  <si>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</si>
  <si>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</si>
  <si>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</si>
  <si>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</si>
  <si>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</si>
  <si>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</si>
  <si>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</si>
  <si>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</si>
  <si>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</si>
  <si>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</si>
  <si>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</si>
  <si>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</si>
  <si>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</si>
  <si>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</si>
  <si>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</si>
  <si>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</si>
  <si>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</si>
  <si>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</si>
  <si>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</si>
  <si>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</si>
  <si>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</si>
  <si>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</si>
  <si>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</si>
  <si>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</si>
  <si>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</si>
  <si>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</si>
  <si>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</si>
  <si>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</si>
  <si>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</si>
  <si>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</si>
  <si>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</si>
  <si>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</si>
  <si>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</si>
  <si>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</si>
  <si>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</si>
  <si>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</si>
  <si>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</si>
  <si>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</si>
  <si>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</si>
  <si>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</si>
  <si>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</si>
  <si>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</si>
  <si>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</si>
  <si>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</si>
  <si>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</si>
  <si>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</si>
  <si>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</si>
  <si>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</si>
  <si>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</si>
  <si>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</si>
  <si>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</si>
  <si>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</si>
  <si>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</si>
  <si>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</si>
  <si>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</si>
  <si>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</si>
  <si>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</si>
  <si>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</si>
  <si>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</si>
  <si>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</si>
  <si>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</si>
  <si>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</si>
  <si>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</si>
  <si>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</si>
  <si>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</si>
  <si>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</si>
  <si>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</si>
  <si>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</si>
  <si>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</si>
  <si>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</si>
  <si>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</si>
  <si>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</si>
  <si>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</si>
  <si>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</si>
  <si>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</si>
  <si>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</si>
  <si>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</si>
  <si>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</si>
  <si>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</si>
  <si>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</si>
  <si>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</si>
  <si>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</si>
  <si>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</si>
  <si>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</si>
  <si>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</si>
  <si>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</si>
  <si>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</si>
  <si>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</si>
  <si>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</si>
  <si>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</si>
  <si>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</si>
  <si>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</si>
  <si>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</si>
  <si>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</si>
  <si>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</si>
  <si>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</si>
  <si>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</si>
  <si>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</si>
  <si>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</si>
  <si>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</si>
  <si>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</si>
  <si>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</si>
  <si>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</si>
  <si>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</si>
  <si>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</si>
  <si>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</si>
  <si>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</si>
  <si>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</si>
  <si>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</si>
  <si>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Term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</si>
  <si>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</si>
  <si>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</si>
  <si>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</si>
  <si>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</si>
  <si>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</si>
  <si>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</si>
  <si>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</si>
  <si>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</si>
  <si>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</si>
  <si>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</si>
  <si>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</si>
  <si>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</si>
  <si>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</si>
  <si>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</si>
  <si>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</si>
  <si>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</si>
  <si>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</si>
  <si>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</si>
  <si>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</si>
  <si>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</si>
  <si>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</si>
  <si>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</si>
  <si>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</si>
  <si>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</si>
  <si>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</si>
  <si>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</si>
  <si>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</si>
  <si>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</si>
  <si>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</si>
  <si>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</si>
  <si>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</si>
  <si>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</si>
  <si>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</si>
  <si>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</si>
  <si>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</si>
  <si>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</si>
  <si>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</si>
  <si>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</si>
  <si>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</si>
  <si>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</si>
  <si>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</si>
  <si>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</si>
  <si>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</si>
  <si>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</si>
  <si>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</si>
  <si>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</si>
  <si>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</si>
  <si>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</si>
  <si>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</si>
  <si>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</si>
  <si>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</si>
  <si>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</si>
  <si>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</si>
  <si>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</si>
  <si>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</si>
  <si>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</si>
  <si>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</si>
  <si>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</si>
  <si>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</si>
  <si>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</si>
  <si>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</si>
  <si>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</si>
  <si>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</si>
  <si>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</si>
  <si>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</si>
  <si>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</si>
  <si>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</si>
  <si>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</si>
  <si>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</si>
  <si>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</si>
  <si>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</si>
  <si>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</si>
  <si>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</si>
  <si>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</si>
  <si>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</si>
  <si>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</si>
  <si>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</si>
  <si>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</si>
  <si>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</si>
  <si>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</si>
  <si>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</si>
  <si>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</si>
  <si>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</si>
  <si>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</si>
  <si>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</si>
  <si>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</si>
  <si>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</si>
  <si>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</si>
  <si>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</si>
  <si>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</si>
  <si>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</si>
  <si>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DictionaryEntry</t>
  </si>
  <si>
    <t>[LABELS]</t>
  </si>
  <si>
    <t>Export Cypher</t>
  </si>
  <si>
    <t>Cypher Ranges</t>
  </si>
  <si>
    <t>PreparationCypher</t>
  </si>
  <si>
    <t>NodesCypher</t>
  </si>
  <si>
    <t>Relationships</t>
  </si>
  <si>
    <t>J'utilise plus la label Concept!</t>
  </si>
  <si>
    <t>[A_ID]</t>
  </si>
  <si>
    <t>[B_ID]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</si>
  <si>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</si>
  <si>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</si>
  <si>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</si>
  <si>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</si>
  <si>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</si>
  <si>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</si>
  <si>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</si>
  <si>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</si>
  <si>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</si>
  <si>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</si>
  <si>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</si>
  <si>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</si>
  <si>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</si>
  <si>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</si>
  <si>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</si>
  <si>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</si>
  <si>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</si>
  <si>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</si>
  <si>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</si>
  <si>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</si>
  <si>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</si>
  <si>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</si>
  <si>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</si>
  <si>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n_inherence_factor</t>
  </si>
  <si>
    <t>Inherence Factor</t>
  </si>
  <si>
    <t>n_possession_factor</t>
  </si>
  <si>
    <t>Possession Factor</t>
  </si>
  <si>
    <t>n_location_factor</t>
  </si>
  <si>
    <t>Location Factor</t>
  </si>
  <si>
    <t>Time Factor</t>
  </si>
  <si>
    <t>n_time_factor</t>
  </si>
  <si>
    <t>n_arm</t>
  </si>
  <si>
    <t>n_access_rights_management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</si>
  <si>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</si>
  <si>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</si>
  <si>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</si>
  <si>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</si>
  <si>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</si>
  <si>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</si>
  <si>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</si>
  <si>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</si>
  <si>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</si>
  <si>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</si>
  <si>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</si>
  <si>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</si>
  <si>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</si>
  <si>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</si>
  <si>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</si>
  <si>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n_keystroke_recognition_authentication</t>
  </si>
  <si>
    <t>n_touchstroke_recognition_authentication</t>
  </si>
  <si>
    <t>Knuckleprint Recognition Authentication</t>
  </si>
  <si>
    <t>Multi-Model Biometric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</si>
  <si>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</si>
  <si>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</si>
  <si>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</si>
  <si>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</si>
  <si>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</si>
  <si>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</si>
  <si>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</si>
  <si>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</si>
  <si>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</si>
  <si>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</si>
  <si>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</si>
  <si>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</si>
  <si>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</si>
  <si>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</si>
  <si>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</si>
  <si>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</si>
  <si>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</si>
  <si>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</si>
  <si>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n_biometric_identification</t>
  </si>
  <si>
    <t>n_brainwaves_authentication</t>
  </si>
  <si>
    <t>n_facial_recognition_authentication</t>
  </si>
  <si>
    <t>n_fingerprint_recognition_authentication</t>
  </si>
  <si>
    <t>n_gait_recognition_authentication</t>
  </si>
  <si>
    <t>n_hand_gestures_recognition_authentication</t>
  </si>
  <si>
    <t>n_heartbeats_recognition_authentication</t>
  </si>
  <si>
    <t>n_iris_recognition_authentication</t>
  </si>
  <si>
    <t>n_knuckleprint_recognition_authentication</t>
  </si>
  <si>
    <t>n_multi_model_biometric_authentication</t>
  </si>
  <si>
    <t>n_palmprint_recognition_authentication</t>
  </si>
  <si>
    <t>n_voice_recognition_authentication</t>
  </si>
  <si>
    <t>Authentication Method</t>
  </si>
  <si>
    <t>n_authentication_method</t>
  </si>
  <si>
    <t>MATCH (a {id:'[A_ID]'}), (b {id:'[B_ID]'}) WITH a,b CREATE (a)-[r:[TYPE] {name: a.name + ' → ' + b.name}]-&gt;(b);</t>
  </si>
  <si>
    <t>RelationshipsCypher</t>
  </si>
  <si>
    <t>FinalizeCypher</t>
  </si>
  <si>
    <t>MATCH (n) DETACH DELETE (n);</t>
  </si>
  <si>
    <t>CREATE CONSTRAINT concept_id_unique IF NOT EXISTS ON (concept:Concept) ASSERT concept.id IS UNIQUE;</t>
  </si>
  <si>
    <t>MATCH (a)&lt;-[:HYPERONYM]-(b)-[:HYPERONYM]-&gt;(c) WITH(a),(c) MERGE(a)-[:COHYPONYM]-(c);</t>
  </si>
  <si>
    <t>JSON</t>
  </si>
  <si>
    <t>Push 2 Cloud</t>
  </si>
  <si>
    <t>bin\neo4j-admin push-to-cloud --bolt-uri &lt;bolt url for Neo4j Aura database&gt;  --database &lt;database&gt; --overwrite</t>
  </si>
  <si>
    <t>https://console.neo4j.io/#import-instructions</t>
  </si>
  <si>
    <t>neo4j+s://86d737dc.databases.neo4j.io</t>
  </si>
  <si>
    <t>DB URL</t>
  </si>
  <si>
    <t>bin\neo4j-admin push-to-cloud --bolt-uri [URL]  --database [DB] --overwrite</t>
  </si>
  <si>
    <t>DB</t>
  </si>
  <si>
    <t>neo4j</t>
  </si>
  <si>
    <t>Concept</t>
  </si>
  <si>
    <t>id</t>
  </si>
  <si>
    <t>label</t>
  </si>
  <si>
    <t>url</t>
  </si>
  <si>
    <t>Count</t>
  </si>
  <si>
    <t>Duplicate</t>
  </si>
  <si>
    <t>Export</t>
  </si>
  <si>
    <t>Used</t>
  </si>
  <si>
    <t>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</si>
</sst>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2"/>
      <color rgb="FF00B050"/>
      <name val="Consolas"/>
      <family val="3"/>
    </font>
    <font>
      <b/>
      <sz val="15"/>
      <color theme="3"/>
      <name val="Calibri"/>
      <family val="2"/>
      <scheme val="minor"/>
    </font>
    <font>
      <b/>
      <sz val="10"/>
      <color theme="0"/>
      <name val="Arial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FF0000"/>
      <name val="Arial"/>
      <family val="2"/>
    </font>
    <font>
      <sz val="10"/>
      <color rgb="FF00B050"/>
      <name val="Consolas"/>
      <family val="3"/>
    </font>
    <font>
      <b/>
      <sz val="10"/>
      <color rgb="FF000000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1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0" fontId="10" fillId="2" borderId="1">
      <alignment vertical="center" wrapText="1"/>
    </xf>
    <xf numFmtId="0" fontId="4" fillId="0" borderId="2" applyNumberFormat="0" applyFill="0" applyAlignment="0" applyProtection="0"/>
    <xf numFmtId="0" fontId="6" fillId="0" borderId="0" applyNumberFormat="0" applyFill="0" applyBorder="0" applyAlignment="0" applyProtection="0"/>
    <xf numFmtId="0" fontId="12" fillId="4" borderId="6" applyNumberFormat="0" applyAlignment="0" applyProtection="0"/>
    <xf numFmtId="0" fontId="13" fillId="4" borderId="5" applyNumberFormat="0" applyAlignment="0" applyProtection="0"/>
  </cellStyleXfs>
  <cellXfs count="32">
    <xf numFmtId="0" fontId="0" fillId="0" borderId="0" xfId="0" applyFont="1" applyAlignment="1">
      <alignment wrapText="1"/>
    </xf>
    <xf numFmtId="0" fontId="10" fillId="2" borderId="1" xfId="1">
      <alignment vertical="center" wrapText="1"/>
    </xf>
    <xf numFmtId="0" fontId="4" fillId="0" borderId="2" xfId="2" applyAlignment="1">
      <alignment vertical="top"/>
    </xf>
    <xf numFmtId="0" fontId="0" fillId="0" borderId="0" xfId="0" applyFont="1" applyAlignment="1">
      <alignment vertical="top"/>
    </xf>
    <xf numFmtId="0" fontId="1" fillId="0" borderId="0" xfId="0" applyFont="1" applyAlignment="1">
      <alignment vertical="top" wrapText="1"/>
    </xf>
    <xf numFmtId="0" fontId="2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0" fillId="0" borderId="0" xfId="0" applyFont="1" applyBorder="1" applyAlignment="1">
      <alignment vertical="top"/>
    </xf>
    <xf numFmtId="0" fontId="10" fillId="2" borderId="4" xfId="1" applyBorder="1" applyAlignment="1">
      <alignment vertical="top" wrapText="1"/>
    </xf>
    <xf numFmtId="49" fontId="0" fillId="0" borderId="0" xfId="0" applyNumberFormat="1" applyFont="1" applyAlignment="1">
      <alignment vertical="top"/>
    </xf>
    <xf numFmtId="49" fontId="0" fillId="0" borderId="0" xfId="0" applyNumberFormat="1" applyFont="1" applyAlignment="1">
      <alignment wrapText="1"/>
    </xf>
    <xf numFmtId="49" fontId="0" fillId="0" borderId="0" xfId="0" applyNumberFormat="1" applyFont="1" applyBorder="1" applyAlignment="1">
      <alignment vertical="top"/>
    </xf>
    <xf numFmtId="0" fontId="6" fillId="0" borderId="0" xfId="3" applyAlignment="1">
      <alignment horizontal="left" vertical="center" wrapText="1" indent="2"/>
    </xf>
    <xf numFmtId="0" fontId="7" fillId="0" borderId="0" xfId="0" applyFont="1" applyAlignment="1">
      <alignment wrapText="1"/>
    </xf>
    <xf numFmtId="0" fontId="2" fillId="0" borderId="0" xfId="0" applyFont="1" applyAlignment="1">
      <alignment wrapText="1"/>
    </xf>
    <xf numFmtId="49" fontId="2" fillId="0" borderId="0" xfId="0" applyNumberFormat="1" applyFont="1" applyAlignment="1">
      <alignment wrapText="1"/>
    </xf>
    <xf numFmtId="0" fontId="2" fillId="0" borderId="0" xfId="0" applyNumberFormat="1" applyFont="1" applyAlignment="1">
      <alignment vertical="top"/>
    </xf>
    <xf numFmtId="49" fontId="2" fillId="0" borderId="0" xfId="0" applyNumberFormat="1" applyFont="1" applyAlignment="1">
      <alignment vertical="top"/>
    </xf>
    <xf numFmtId="0" fontId="10" fillId="2" borderId="1" xfId="1" applyNumberFormat="1" applyBorder="1" applyAlignment="1">
      <alignment vertical="top" wrapText="1"/>
    </xf>
    <xf numFmtId="0" fontId="5" fillId="3" borderId="3" xfId="0" applyFont="1" applyFill="1" applyBorder="1"/>
    <xf numFmtId="0" fontId="3" fillId="2" borderId="4" xfId="1" applyNumberFormat="1" applyFont="1" applyFill="1" applyBorder="1" applyAlignment="1">
      <alignment vertical="center" wrapText="1"/>
    </xf>
    <xf numFmtId="0" fontId="9" fillId="0" borderId="0" xfId="0" applyFont="1" applyAlignment="1">
      <alignment wrapText="1"/>
    </xf>
    <xf numFmtId="49" fontId="2" fillId="0" borderId="0" xfId="0" applyNumberFormat="1" applyFont="1" applyBorder="1" applyAlignment="1">
      <alignment vertical="top"/>
    </xf>
    <xf numFmtId="0" fontId="2" fillId="0" borderId="0" xfId="0" applyNumberFormat="1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11" fillId="0" borderId="0" xfId="0" applyFont="1" applyAlignment="1">
      <alignment wrapText="1"/>
    </xf>
    <xf numFmtId="49" fontId="4" fillId="0" borderId="2" xfId="2" applyNumberFormat="1" applyAlignment="1">
      <alignment vertical="top"/>
    </xf>
    <xf numFmtId="0" fontId="4" fillId="0" borderId="2" xfId="2" applyAlignment="1">
      <alignment wrapText="1"/>
    </xf>
    <xf numFmtId="0" fontId="4" fillId="0" borderId="2" xfId="2" applyAlignment="1">
      <alignment vertical="top" wrapText="1"/>
    </xf>
    <xf numFmtId="0" fontId="13" fillId="4" borderId="5" xfId="5" applyAlignment="1">
      <alignment wrapText="1"/>
    </xf>
    <xf numFmtId="0" fontId="12" fillId="4" borderId="6" xfId="4" applyAlignment="1">
      <alignment wrapText="1"/>
    </xf>
  </cellXfs>
  <cellStyles count="6">
    <cellStyle name="Calculation" xfId="5" builtinId="22"/>
    <cellStyle name="Code" xfId="1" xr:uid="{B93AEFB8-F3F9-49FB-BF1F-F0FA07A64ED7}"/>
    <cellStyle name="Heading 1" xfId="2" builtinId="16"/>
    <cellStyle name="Hyperlink" xfId="3" builtinId="8"/>
    <cellStyle name="Normal" xfId="0" builtinId="0"/>
    <cellStyle name="Output" xfId="4" builtinId="21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onsolas"/>
        <family val="3"/>
        <scheme val="none"/>
      </font>
      <numFmt numFmtId="0" formatCode="General"/>
      <fill>
        <patternFill patternType="solid">
          <fgColor indexed="64"/>
          <bgColor theme="1" tint="0.24994659260841701"/>
        </patternFill>
      </fill>
      <alignment horizontal="general" vertical="center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/>
        <vertical/>
        <horizontal/>
      </border>
    </dxf>
    <dxf>
      <border outline="0">
        <top style="thick">
          <color rgb="FF00B050"/>
        </top>
      </border>
    </dxf>
    <dxf>
      <border outline="0">
        <top style="medium">
          <color rgb="FF000000"/>
        </top>
        <bottom style="thick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onsolas"/>
        <family val="3"/>
        <scheme val="none"/>
      </font>
      <fill>
        <patternFill patternType="solid">
          <fgColor rgb="FF000000"/>
          <bgColor rgb="FF404040"/>
        </patternFill>
      </fill>
      <alignment horizontal="general" vertical="center" textRotation="0" wrapText="1" indent="0" justifyLastLine="0" shrinkToFit="0" readingOrder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</dxf>
    <dxf>
      <alignment horizontal="general" vertical="top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/>
        <vertical/>
        <horizontal/>
      </border>
    </dxf>
    <dxf>
      <border outline="0">
        <bottom style="thick">
          <color rgb="FF00B050"/>
        </bottom>
      </border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onsolas"/>
        <family val="3"/>
        <scheme val="none"/>
      </font>
      <numFmt numFmtId="0" formatCode="General"/>
      <fill>
        <patternFill patternType="solid">
          <fgColor indexed="64"/>
          <bgColor theme="1" tint="0.24994659260841701"/>
        </patternFill>
      </fill>
      <alignment horizontal="general" vertical="center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/>
        <vertical/>
        <horizontal/>
      </border>
    </dxf>
    <dxf>
      <border outline="0">
        <top style="thick">
          <color rgb="FF00B050"/>
        </top>
      </border>
    </dxf>
    <dxf>
      <border outline="0">
        <top style="medium">
          <color theme="1"/>
        </top>
        <bottom style="thick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onsolas"/>
        <family val="3"/>
        <scheme val="none"/>
      </font>
      <fill>
        <patternFill patternType="solid">
          <fgColor indexed="64"/>
          <bgColor theme="1" tint="0.24994659260841701"/>
        </patternFill>
      </fill>
      <alignment horizontal="general" vertical="center" textRotation="0" wrapText="1" indent="0" justifyLastLine="0" shrinkToFit="0" readingOrder="0"/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1</xdr:row>
          <xdr:rowOff>152400</xdr:rowOff>
        </xdr:from>
        <xdr:to>
          <xdr:col>2</xdr:col>
          <xdr:colOff>1152525</xdr:colOff>
          <xdr:row>4</xdr:row>
          <xdr:rowOff>61913</xdr:rowOff>
        </xdr:to>
        <xdr:sp macro="" textlink="">
          <xdr:nvSpPr>
            <xdr:cNvPr id="5121" name="cbExportCypher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2262188</xdr:colOff>
          <xdr:row>0</xdr:row>
          <xdr:rowOff>85725</xdr:rowOff>
        </xdr:from>
        <xdr:to>
          <xdr:col>0</xdr:col>
          <xdr:colOff>3048000</xdr:colOff>
          <xdr:row>0</xdr:row>
          <xdr:rowOff>357188</xdr:rowOff>
        </xdr:to>
        <xdr:sp macro="" textlink="">
          <xdr:nvSpPr>
            <xdr:cNvPr id="6145" name="buttonExportNode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48A6A8C-DCF9-498F-AB73-C3C3FACC1E2F}" name="ExportRanges" displayName="ExportRanges" ref="A3:A7" totalsRowShown="0">
  <autoFilter ref="A3:A7" xr:uid="{C48A6A8C-DCF9-498F-AB73-C3C3FACC1E2F}"/>
  <tableColumns count="1">
    <tableColumn id="1" xr3:uid="{26C71F89-C525-4F0D-BA01-65BDC2229C13}" name="Cypher Ranges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FAA7FDD-CF5C-41D5-BFC1-F99979C624F7}" name="Table10" displayName="Table10" ref="A3:B5" totalsRowShown="0" headerRowDxfId="39" dataDxfId="37" headerRowBorderDxfId="38" tableBorderDxfId="36" totalsRowBorderDxfId="35" dataCellStyle="Code">
  <autoFilter ref="A3:B5" xr:uid="{9FAA7FDD-CF5C-41D5-BFC1-F99979C624F7}"/>
  <tableColumns count="2">
    <tableColumn id="1" xr3:uid="{08A547A8-9249-46A7-82C8-C0E1E2980208}" name="Cypher" dataDxfId="34" dataCellStyle="Code"/>
    <tableColumn id="2" xr3:uid="{E5E06A2F-78A1-4A8F-8B88-CF5B436A2EBF}" name="Column1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2:I475" totalsRowShown="0" dataDxfId="33">
  <autoFilter ref="A2:I475" xr:uid="{5C9712D2-CCDA-4E9C-B304-04B7352F99F1}"/>
  <sortState xmlns:xlrd2="http://schemas.microsoft.com/office/spreadsheetml/2017/richdata2" ref="A39:D475">
    <sortCondition ref="A2:A475"/>
  </sortState>
  <tableColumns count="9">
    <tableColumn id="1" xr3:uid="{38A4B09F-ECF8-4DA9-83A8-DC2D5A4A1659}" name="id" dataDxfId="32">
      <calculatedColumnFormula>SUBSTITUTE(SUBSTITUTE("n_"&amp;LOWER(SUBSTITUTE(SUBSTITUTE(SUBSTITUTE(NodesData[[#This Row],[label]]," ","_"),"/","_"),"-","_")),"__","_"),"__","_")</calculatedColumnFormula>
    </tableColumn>
    <tableColumn id="2" xr3:uid="{75902A03-A6A4-4A68-BF33-287E59355791}" name="label" dataDxfId="31"/>
    <tableColumn id="8" xr3:uid="{334909EF-6768-4210-A03B-B3B2782F8DF1}" name="url" dataDxfId="30"/>
    <tableColumn id="6" xr3:uid="{5F81452C-EBC1-4691-934B-3F740BF2A1BB}" name="group" dataDxfId="29"/>
    <tableColumn id="11" xr3:uid="{907A7948-8F54-4E82-9B0F-870FE9A0B7B3}" name="Count" dataDxfId="28"/>
    <tableColumn id="10" xr3:uid="{B774E45E-2AB4-4553-8C8E-4D51610E0848}" name="Duplicate" dataDxfId="27">
      <calculatedColumnFormula>COUNTIF(NodesData[label],NodesData[[#This Row],[label]])</calculatedColumnFormula>
    </tableColumn>
    <tableColumn id="9" xr3:uid="{D2A872DA-BB1A-46DE-9053-BBA0FBCDCEC7}" name="Used" dataDxfId="26">
      <calculatedColumnFormula>COUNTIF(ConceptNodes9['[A_ID']],NodesData[[#This Row],[id]])+COUNTIF(ConceptNodes9['[B_ID']],NodesData[[#This Row],[id]])</calculatedColumnFormula>
    </tableColumn>
    <tableColumn id="7" xr3:uid="{FE0FE230-4B35-4249-AE8B-DD65900C69CD}" name="Export" dataDxfId="25">
      <calculatedColumnFormula>IF(NodesData[[#This Row],[Used]]&gt;0,1,0)</calculatedColumnFormula>
    </tableColumn>
    <tableColumn id="4" xr3:uid="{2BA73281-1EB8-402E-94A1-CA9EC2E77D2D}" name="JSON" dataDxfId="24" dataCellStyle="Code">
      <calculatedColumnFormula array="1">IF(NodesData[[#This Row],[Count]]&gt;1,",","") &amp;"{"&amp;twoRangesToJSON(NodesData[[#Headers],[id]:[url]],NodesData[[#This Row],[id]:[url]])&amp;"}"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F42FDD-B7D8-4A97-B5B3-59E7B71EA1C4}" name="ConceptNodes9" displayName="ConceptNodes9" ref="A6:K40" totalsRowShown="0" dataDxfId="23">
  <autoFilter ref="A6:K40" xr:uid="{5C9712D2-CCDA-4E9C-B304-04B7352F99F1}">
    <filterColumn colId="0">
      <filters>
        <filter val="n_authentication_factor"/>
      </filters>
    </filterColumn>
  </autoFilter>
  <sortState xmlns:xlrd2="http://schemas.microsoft.com/office/spreadsheetml/2017/richdata2" ref="A7:K40">
    <sortCondition ref="C6:C40"/>
  </sortState>
  <tableColumns count="11">
    <tableColumn id="1" xr3:uid="{4B9AB91E-1586-438B-A101-0AACB47B1DB1}" name="[A_ID]" dataDxfId="22"/>
    <tableColumn id="2" xr3:uid="{F32D567F-6D9F-415F-A574-E18B2BD7C925}" name="[TYPE]" dataDxfId="21"/>
    <tableColumn id="13" xr3:uid="{FA4D7977-E657-413D-AACF-13A3DB8ED2FB}" name="[B_ID]" dataDxfId="20"/>
    <tableColumn id="8" xr3:uid="{2D53BA81-6CCF-475A-9812-9491091707D5}" name="[URL]" dataDxfId="19"/>
    <tableColumn id="6" xr3:uid="{CEA50991-AC9D-4136-A28B-B8480B0972E7}" name="[LABELS]" dataDxfId="18"/>
    <tableColumn id="14" xr3:uid="{7EFE256F-8EDD-4B67-9260-8D6791231065}" name="DictionaryEntry" dataDxfId="17"/>
    <tableColumn id="12" xr3:uid="{BB7C7ED4-E307-4280-AC46-85E5C4400348}" name="Term" dataDxfId="16"/>
    <tableColumn id="11" xr3:uid="{991B20B9-EEAF-4382-9777-9D87992CEA96}" name="Acronym" dataDxfId="15"/>
    <tableColumn id="10" xr3:uid="{332E48AA-6B09-476C-A08E-61B67BDDA5C3}" name="Column2" dataDxfId="14"/>
    <tableColumn id="9" xr3:uid="{97568E11-9C79-4365-810D-FD279D00D012}" name="Column1" dataDxfId="13"/>
    <tableColumn id="4" xr3:uid="{C79F205F-6FBE-4883-B263-0D9F725A451F}" name="[CYPHER]" dataDxfId="12" dataCellStyle="Code">
      <calculatedColumnFormula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91122-E055-4F71-A3C7-94AB298F34B8}" name="Table410" displayName="Table410" ref="K3:K4" totalsRowShown="0" dataDxfId="11" tableBorderDxfId="10" dataCellStyle="Code">
  <autoFilter ref="K3:K4" xr:uid="{D212CC64-9287-45BF-8464-736646FE2AB1}"/>
  <tableColumns count="1">
    <tableColumn id="1" xr3:uid="{2D185599-FE4B-4F5D-B692-14C18F6DA4B9}" name="[CYPHER]" dataDxfId="9" dataCellStyle="Cod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3C84D40-3AAA-44E0-BE8A-DB1ECC28C7BA}" name="Table1012" displayName="Table1012" ref="A3:A5" totalsRowShown="0" headerRowDxfId="8" dataDxfId="6" headerRowBorderDxfId="7" tableBorderDxfId="5" totalsRowBorderDxfId="4" dataCellStyle="Code">
  <autoFilter ref="A3:A5" xr:uid="{9FAA7FDD-CF5C-41D5-BFC1-F99979C624F7}"/>
  <tableColumns count="1">
    <tableColumn id="1" xr3:uid="{4EF665A7-1D3B-4E32-9505-6A80D147F089}" name="Cypher" dataDxfId="3" dataCellStyle="Code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2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1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0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5F4550E-0A23-45E4-87DC-5C44ABF48E95}" name="Table2" displayName="Table2" ref="A2:C29" totalsRowShown="0" dataCellStyle="Code">
  <autoFilter ref="A2:C29" xr:uid="{15F4550E-0A23-45E4-87DC-5C44ABF48E95}"/>
  <tableColumns count="3">
    <tableColumn id="3" xr3:uid="{EE37C2F0-8A9A-40BD-BDF2-B3135F51D6A2}" name="Column2"/>
    <tableColumn id="2" xr3:uid="{015C6251-0BB4-4878-A243-206EA81A286D}" name="Column1"/>
    <tableColumn id="1" xr3:uid="{7AFA30E9-210E-4E45-9CDC-2DE9971E421D}" name="Cypher" dataCellStyle="Code"/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4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7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:C18"/>
  <sheetViews>
    <sheetView workbookViewId="0">
      <selection activeCell="C23" sqref="C23"/>
    </sheetView>
  </sheetViews>
  <sheetFormatPr defaultRowHeight="12.75" x14ac:dyDescent="0.35"/>
  <cols>
    <col min="1" max="1" width="34.33203125" customWidth="1"/>
    <col min="3" max="3" width="91.06640625" customWidth="1"/>
  </cols>
  <sheetData>
    <row r="1" spans="1:3" x14ac:dyDescent="0.35">
      <c r="A1" t="s">
        <v>1304</v>
      </c>
    </row>
    <row r="3" spans="1:3" x14ac:dyDescent="0.35">
      <c r="A3" t="s">
        <v>1305</v>
      </c>
    </row>
    <row r="4" spans="1:3" x14ac:dyDescent="0.35">
      <c r="A4" t="s">
        <v>1306</v>
      </c>
    </row>
    <row r="5" spans="1:3" x14ac:dyDescent="0.35">
      <c r="A5" t="s">
        <v>1307</v>
      </c>
    </row>
    <row r="6" spans="1:3" x14ac:dyDescent="0.35">
      <c r="A6" s="15" t="s">
        <v>1397</v>
      </c>
    </row>
    <row r="7" spans="1:3" x14ac:dyDescent="0.35">
      <c r="A7" s="15" t="s">
        <v>1398</v>
      </c>
    </row>
    <row r="10" spans="1:3" ht="13.15" x14ac:dyDescent="0.4">
      <c r="C10" s="26" t="s">
        <v>1403</v>
      </c>
    </row>
    <row r="11" spans="1:3" x14ac:dyDescent="0.35">
      <c r="C11" s="15" t="s">
        <v>1405</v>
      </c>
    </row>
    <row r="12" spans="1:3" x14ac:dyDescent="0.35">
      <c r="C12" t="s">
        <v>1404</v>
      </c>
    </row>
    <row r="13" spans="1:3" x14ac:dyDescent="0.35">
      <c r="C13" s="15" t="s">
        <v>1408</v>
      </c>
    </row>
    <row r="15" spans="1:3" x14ac:dyDescent="0.35">
      <c r="B15" s="15" t="s">
        <v>1407</v>
      </c>
      <c r="C15" s="15" t="s">
        <v>1406</v>
      </c>
    </row>
    <row r="16" spans="1:3" x14ac:dyDescent="0.35">
      <c r="B16" s="15" t="s">
        <v>1409</v>
      </c>
      <c r="C16" s="15" t="s">
        <v>1410</v>
      </c>
    </row>
    <row r="18" spans="3:3" x14ac:dyDescent="0.35">
      <c r="C18" t="str">
        <f>SUBSTITUTE(SUBSTITUTE(C13,"[URL]",C15),"[DB]",C16)</f>
        <v>bin\neo4j-admin push-to-cloud --bolt-uri neo4j+s://86d737dc.databases.neo4j.io  --database neo4j --overwrite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bExportCypher">
          <controlPr defaultSize="0" autoLine="0" r:id="rId5">
            <anchor moveWithCells="1">
              <from>
                <xdr:col>2</xdr:col>
                <xdr:colOff>114300</xdr:colOff>
                <xdr:row>1</xdr:row>
                <xdr:rowOff>152400</xdr:rowOff>
              </from>
              <to>
                <xdr:col>2</xdr:col>
                <xdr:colOff>1152525</xdr:colOff>
                <xdr:row>4</xdr:row>
                <xdr:rowOff>61913</xdr:rowOff>
              </to>
            </anchor>
          </controlPr>
        </control>
      </mc:Choice>
      <mc:Fallback>
        <control shapeId="5121" r:id="rId4" name="cbExportCypher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2B64C-92DB-4DE1-9520-56220DBA24B4}">
  <sheetPr codeName="Sheet6"/>
  <dimension ref="A3:B5"/>
  <sheetViews>
    <sheetView workbookViewId="0">
      <selection activeCell="A6" sqref="A6"/>
    </sheetView>
  </sheetViews>
  <sheetFormatPr defaultRowHeight="12.75" x14ac:dyDescent="0.35"/>
  <cols>
    <col min="1" max="1" width="129.06640625" customWidth="1"/>
    <col min="2" max="2" width="35.33203125" customWidth="1"/>
  </cols>
  <sheetData>
    <row r="3" spans="1:2" ht="13.5" thickBot="1" x14ac:dyDescent="0.45">
      <c r="A3" s="20" t="s">
        <v>2</v>
      </c>
      <c r="B3" t="s">
        <v>31</v>
      </c>
    </row>
    <row r="4" spans="1:2" ht="16.149999999999999" thickTop="1" thickBot="1" x14ac:dyDescent="0.4">
      <c r="A4" s="21" t="s">
        <v>1399</v>
      </c>
    </row>
    <row r="5" spans="1:2" ht="15.75" thickTop="1" x14ac:dyDescent="0.35">
      <c r="A5" s="21" t="s">
        <v>1400</v>
      </c>
      <c r="B5" s="22" t="s">
        <v>1309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/>
  <dimension ref="A1:J476"/>
  <sheetViews>
    <sheetView tabSelected="1" topLeftCell="F148" zoomScale="120" zoomScaleNormal="120" workbookViewId="0">
      <selection activeCell="I160" sqref="I160"/>
    </sheetView>
  </sheetViews>
  <sheetFormatPr defaultRowHeight="13.25" customHeight="1" x14ac:dyDescent="0.35"/>
  <cols>
    <col min="1" max="1" width="43.19921875" style="3" customWidth="1"/>
    <col min="2" max="2" width="27.265625" style="10" customWidth="1"/>
    <col min="3" max="3" width="10.46484375" customWidth="1"/>
    <col min="4" max="4" width="7.19921875" customWidth="1"/>
    <col min="5" max="5" width="8.1328125" customWidth="1"/>
    <col min="6" max="6" width="7.3984375" style="3" bestFit="1" customWidth="1"/>
    <col min="7" max="7" width="8.53125" style="4" customWidth="1"/>
    <col min="8" max="8" width="8.19921875" style="4" bestFit="1" customWidth="1"/>
    <col min="9" max="9" width="106.19921875" style="4" customWidth="1"/>
    <col min="10" max="10" width="8.53125" style="4" customWidth="1"/>
    <col min="11" max="11" width="60" style="3" customWidth="1"/>
    <col min="12" max="16384" width="9.06640625" style="3"/>
  </cols>
  <sheetData>
    <row r="1" spans="1:10" s="2" customFormat="1" ht="31.9" customHeight="1" thickBot="1" x14ac:dyDescent="0.65">
      <c r="A1" s="2" t="s">
        <v>3</v>
      </c>
      <c r="B1" s="27"/>
      <c r="C1" s="28"/>
      <c r="D1" s="28"/>
      <c r="E1" s="28"/>
      <c r="G1" s="29"/>
      <c r="H1" s="29"/>
      <c r="I1" s="29"/>
      <c r="J1" s="29"/>
    </row>
    <row r="2" spans="1:10" customFormat="1" ht="13.25" customHeight="1" thickTop="1" thickBot="1" x14ac:dyDescent="0.5">
      <c r="A2" t="s">
        <v>1412</v>
      </c>
      <c r="B2" s="11" t="s">
        <v>1413</v>
      </c>
      <c r="C2" s="16" t="s">
        <v>1414</v>
      </c>
      <c r="D2" t="s">
        <v>1419</v>
      </c>
      <c r="E2" s="30" t="s">
        <v>1415</v>
      </c>
      <c r="F2" s="30" t="s">
        <v>1416</v>
      </c>
      <c r="G2" s="30" t="s">
        <v>1418</v>
      </c>
      <c r="H2" s="30" t="s">
        <v>1417</v>
      </c>
      <c r="I2" s="31" t="s">
        <v>1402</v>
      </c>
    </row>
    <row r="3" spans="1:10" ht="13.25" customHeight="1" thickTop="1" thickBot="1" x14ac:dyDescent="0.4">
      <c r="A3" s="3" t="str">
        <f>SUBSTITUTE(SUBSTITUTE("n_"&amp;LOWER(SUBSTITUTE(SUBSTITUTE(SUBSTITUTE(NodesData[[#This Row],[label]]," ","_"),"/","_"),"-","_")),"__","_"),"__","_")</f>
        <v>n_4_eyes_principle</v>
      </c>
      <c r="B3" s="10" t="s">
        <v>35</v>
      </c>
      <c r="C3" s="10" t="s">
        <v>553</v>
      </c>
      <c r="D3" s="3" t="s">
        <v>1411</v>
      </c>
      <c r="E3" s="3">
        <v>1</v>
      </c>
      <c r="F3">
        <f>COUNTIF(NodesData[label],NodesData[[#This Row],[label]])</f>
        <v>1</v>
      </c>
      <c r="G3">
        <f>COUNTIF(ConceptNodes9['[A_ID']],NodesData[[#This Row],[id]])+COUNTIF(ConceptNodes9['[B_ID']],NodesData[[#This Row],[id]])</f>
        <v>0</v>
      </c>
      <c r="H3">
        <f>IF(NodesData[[#This Row],[Used]]&gt;0,1,0)</f>
        <v>0</v>
      </c>
      <c r="I3" s="19" t="str" cm="1">
        <f t="array" ref="I3">IF(NodesData[[#This Row],[Count]]&gt;1,",","") &amp;"{"&amp;twoRangesToJSON(NodesData[[#Headers],[id]:[url]],NodesData[[#This Row],[id]:[url]])&amp;"}"</f>
        <v>{"id":"n_4_eyes_principle","label":"4-Eyes Principle","url":"https://open-measure.atlassian.net/wiki/spaces/DIC/pages/805175450/4-Eyes+Principle"}</v>
      </c>
      <c r="J3" s="3"/>
    </row>
    <row r="4" spans="1:10" ht="13.25" customHeight="1" thickTop="1" thickBot="1" x14ac:dyDescent="0.4">
      <c r="A4" s="3" t="str">
        <f>SUBSTITUTE(SUBSTITUTE("n_"&amp;LOWER(SUBSTITUTE(SUBSTITUTE(SUBSTITUTE(NodesData[[#This Row],[label]]," ","_"),"/","_"),"-","_")),"__","_"),"__","_")</f>
        <v>n_access</v>
      </c>
      <c r="B4" s="10" t="s">
        <v>37</v>
      </c>
      <c r="C4" s="10" t="s">
        <v>554</v>
      </c>
      <c r="D4" s="3" t="s">
        <v>1411</v>
      </c>
      <c r="E4" s="3">
        <f>E3+1</f>
        <v>2</v>
      </c>
      <c r="F4" s="3">
        <f>COUNTIF(NodesData[label],NodesData[[#This Row],[label]])</f>
        <v>1</v>
      </c>
      <c r="G4" s="3">
        <f>COUNTIF(ConceptNodes9['[A_ID']],NodesData[[#This Row],[id]])+COUNTIF(ConceptNodes9['[B_ID']],NodesData[[#This Row],[id]])</f>
        <v>0</v>
      </c>
      <c r="H4" s="3">
        <f>IF(NodesData[[#This Row],[Used]]&gt;0,1,0)</f>
        <v>0</v>
      </c>
      <c r="I4" s="19" t="str" cm="1">
        <f t="array" ref="I4">IF(NodesData[[#This Row],[Count]]&gt;1,",","") &amp;"{"&amp;twoRangesToJSON(NodesData[[#Headers],[id]:[url]],NodesData[[#This Row],[id]:[url]])&amp;"}"</f>
        <v>,{"id":"n_access","label":"Access","url":"https://open-measure.atlassian.net/wiki/spaces/DIC/pages/123962347/Access"}</v>
      </c>
      <c r="J4" s="3"/>
    </row>
    <row r="5" spans="1:10" ht="13.25" customHeight="1" thickTop="1" thickBot="1" x14ac:dyDescent="0.4">
      <c r="A5" s="3" t="str">
        <f>SUBSTITUTE(SUBSTITUTE("n_"&amp;LOWER(SUBSTITUTE(SUBSTITUTE(SUBSTITUTE(NodesData[[#This Row],[label]]," ","_"),"/","_"),"-","_")),"__","_"),"__","_")</f>
        <v>n_access_audit</v>
      </c>
      <c r="B5" s="10" t="s">
        <v>555</v>
      </c>
      <c r="C5" s="10" t="s">
        <v>556</v>
      </c>
      <c r="D5" s="3" t="s">
        <v>1411</v>
      </c>
      <c r="E5" s="3">
        <f t="shared" ref="E5:E68" si="0">E4+1</f>
        <v>3</v>
      </c>
      <c r="F5" s="3">
        <f>COUNTIF(NodesData[label],NodesData[[#This Row],[label]])</f>
        <v>1</v>
      </c>
      <c r="G5" s="3">
        <f>COUNTIF(ConceptNodes9['[A_ID']],NodesData[[#This Row],[id]])+COUNTIF(ConceptNodes9['[B_ID']],NodesData[[#This Row],[id]])</f>
        <v>0</v>
      </c>
      <c r="H5" s="3">
        <f>IF(NodesData[[#This Row],[Used]]&gt;0,1,0)</f>
        <v>0</v>
      </c>
      <c r="I5" s="19" t="str" cm="1">
        <f t="array" ref="I5">IF(NodesData[[#This Row],[Count]]&gt;1,",","") &amp;"{"&amp;twoRangesToJSON(NodesData[[#Headers],[id]:[url]],NodesData[[#This Row],[id]:[url]])&amp;"}"</f>
        <v>,{"id":"n_access_audit","label":"Access Audit","url":"https://open-measure.atlassian.net/wiki/spaces/DIC/pages/1121878227"}</v>
      </c>
      <c r="J5" s="3"/>
    </row>
    <row r="6" spans="1:10" ht="13.25" customHeight="1" thickTop="1" thickBot="1" x14ac:dyDescent="0.4">
      <c r="A6" s="3" t="str">
        <f>SUBSTITUTE(SUBSTITUTE("n_"&amp;LOWER(SUBSTITUTE(SUBSTITUTE(SUBSTITUTE(NodesData[[#This Row],[label]]," ","_"),"/","_"),"-","_")),"__","_"),"__","_")</f>
        <v>n_access_continuum</v>
      </c>
      <c r="B6" s="10" t="s">
        <v>39</v>
      </c>
      <c r="C6" s="10" t="s">
        <v>557</v>
      </c>
      <c r="D6" s="3" t="s">
        <v>1411</v>
      </c>
      <c r="E6" s="3">
        <f t="shared" si="0"/>
        <v>4</v>
      </c>
      <c r="F6" s="3">
        <f>COUNTIF(NodesData[label],NodesData[[#This Row],[label]])</f>
        <v>1</v>
      </c>
      <c r="G6" s="3">
        <f>COUNTIF(ConceptNodes9['[A_ID']],NodesData[[#This Row],[id]])+COUNTIF(ConceptNodes9['[B_ID']],NodesData[[#This Row],[id]])</f>
        <v>0</v>
      </c>
      <c r="H6" s="3">
        <f>IF(NodesData[[#This Row],[Used]]&gt;0,1,0)</f>
        <v>0</v>
      </c>
      <c r="I6" s="19" t="str" cm="1">
        <f t="array" ref="I6">IF(NodesData[[#This Row],[Count]]&gt;1,",","") &amp;"{"&amp;twoRangesToJSON(NodesData[[#Headers],[id]:[url]],NodesData[[#This Row],[id]:[url]])&amp;"}"</f>
        <v>,{"id":"n_access_continuum","label":"Access Continuum","url":"https://open-measure.atlassian.net/wiki/spaces/DIC/pages/1034223816/Access+Continuum"}</v>
      </c>
      <c r="J6" s="3"/>
    </row>
    <row r="7" spans="1:10" ht="13.25" customHeight="1" thickTop="1" thickBot="1" x14ac:dyDescent="0.4">
      <c r="A7" s="3" t="str">
        <f>SUBSTITUTE(SUBSTITUTE("n_"&amp;LOWER(SUBSTITUTE(SUBSTITUTE(SUBSTITUTE(NodesData[[#This Row],[label]]," ","_"),"/","_"),"-","_")),"__","_"),"__","_")</f>
        <v>n_access_control</v>
      </c>
      <c r="B7" s="12" t="s">
        <v>558</v>
      </c>
      <c r="C7" s="12" t="s">
        <v>559</v>
      </c>
      <c r="D7" s="3" t="s">
        <v>1411</v>
      </c>
      <c r="E7" s="3">
        <f t="shared" si="0"/>
        <v>5</v>
      </c>
      <c r="F7" s="3">
        <f>COUNTIF(NodesData[label],NodesData[[#This Row],[label]])</f>
        <v>1</v>
      </c>
      <c r="G7" s="3">
        <f>COUNTIF(ConceptNodes9['[A_ID']],NodesData[[#This Row],[id]])+COUNTIF(ConceptNodes9['[B_ID']],NodesData[[#This Row],[id]])</f>
        <v>0</v>
      </c>
      <c r="H7" s="3">
        <f>IF(NodesData[[#This Row],[Used]]&gt;0,1,0)</f>
        <v>0</v>
      </c>
      <c r="I7" s="19" t="str" cm="1">
        <f t="array" ref="I7">IF(NodesData[[#This Row],[Count]]&gt;1,",","") &amp;"{"&amp;twoRangesToJSON(NodesData[[#Headers],[id]:[url]],NodesData[[#This Row],[id]:[url]])&amp;"}"</f>
        <v>,{"id":"n_access_control","label":"Access Control","url":"https://open-measure.atlassian.net/wiki/spaces/DIC/pages/427163781"}</v>
      </c>
      <c r="J7" s="3"/>
    </row>
    <row r="8" spans="1:10" ht="13.25" customHeight="1" thickTop="1" thickBot="1" x14ac:dyDescent="0.4">
      <c r="A8" s="17" t="str">
        <f>SUBSTITUTE(SUBSTITUTE("n_"&amp;LOWER(SUBSTITUTE(SUBSTITUTE(SUBSTITUTE(NodesData[[#This Row],[label]]," ","_"),"/","_"),"-","_")),"__","_"),"__","_")</f>
        <v>n_access_control_list</v>
      </c>
      <c r="B8" s="18" t="s">
        <v>560</v>
      </c>
      <c r="C8" s="18" t="s">
        <v>561</v>
      </c>
      <c r="D8" s="3" t="s">
        <v>1411</v>
      </c>
      <c r="E8" s="3">
        <f t="shared" si="0"/>
        <v>6</v>
      </c>
      <c r="F8" s="3">
        <f>COUNTIF(NodesData[label],NodesData[[#This Row],[label]])</f>
        <v>1</v>
      </c>
      <c r="G8" s="3">
        <f>COUNTIF(ConceptNodes9['[A_ID']],NodesData[[#This Row],[id]])+COUNTIF(ConceptNodes9['[B_ID']],NodesData[[#This Row],[id]])</f>
        <v>0</v>
      </c>
      <c r="H8" s="3">
        <f>IF(NodesData[[#This Row],[Used]]&gt;0,1,0)</f>
        <v>0</v>
      </c>
      <c r="I8" s="19" t="str" cm="1">
        <f t="array" ref="I8">IF(NodesData[[#This Row],[Count]]&gt;1,",","") &amp;"{"&amp;twoRangesToJSON(NodesData[[#Headers],[id]:[url]],NodesData[[#This Row],[id]:[url]])&amp;"}"</f>
        <v>,{"id":"n_access_control_list","label":"Access Control List","url":"https://open-measure.atlassian.net/wiki/spaces/DIC/pages/822345754"}</v>
      </c>
      <c r="J8" s="3"/>
    </row>
    <row r="9" spans="1:10" ht="13.25" customHeight="1" thickTop="1" thickBot="1" x14ac:dyDescent="0.4">
      <c r="A9" s="17" t="str">
        <f>SUBSTITUTE(SUBSTITUTE("n_"&amp;LOWER(SUBSTITUTE(SUBSTITUTE(SUBSTITUTE(NodesData[[#This Row],[label]]," ","_"),"/","_"),"-","_")),"__","_"),"__","_")</f>
        <v>n_access_control_mechanism</v>
      </c>
      <c r="B9" s="18" t="s">
        <v>562</v>
      </c>
      <c r="C9" s="18" t="s">
        <v>563</v>
      </c>
      <c r="D9" s="3" t="s">
        <v>1411</v>
      </c>
      <c r="E9" s="3">
        <f t="shared" si="0"/>
        <v>7</v>
      </c>
      <c r="F9" s="3">
        <f>COUNTIF(NodesData[label],NodesData[[#This Row],[label]])</f>
        <v>1</v>
      </c>
      <c r="G9" s="3">
        <f>COUNTIF(ConceptNodes9['[A_ID']],NodesData[[#This Row],[id]])+COUNTIF(ConceptNodes9['[B_ID']],NodesData[[#This Row],[id]])</f>
        <v>0</v>
      </c>
      <c r="H9" s="3">
        <f>IF(NodesData[[#This Row],[Used]]&gt;0,1,0)</f>
        <v>0</v>
      </c>
      <c r="I9" s="19" t="str" cm="1">
        <f t="array" ref="I9">IF(NodesData[[#This Row],[Count]]&gt;1,",","") &amp;"{"&amp;twoRangesToJSON(NodesData[[#Headers],[id]:[url]],NodesData[[#This Row],[id]:[url]])&amp;"}"</f>
        <v>,{"id":"n_access_control_mechanism","label":"Access Control Mechanism","url":"https://open-measure.atlassian.net/wiki/spaces/DIC/pages/67633606"}</v>
      </c>
      <c r="J9" s="3"/>
    </row>
    <row r="10" spans="1:10" ht="13.25" customHeight="1" thickTop="1" thickBot="1" x14ac:dyDescent="0.4">
      <c r="A10" s="17" t="str">
        <f>SUBSTITUTE(SUBSTITUTE("n_"&amp;LOWER(SUBSTITUTE(SUBSTITUTE(SUBSTITUTE(NodesData[[#This Row],[label]]," ","_"),"/","_"),"-","_")),"__","_"),"__","_")</f>
        <v>n_access_control_model</v>
      </c>
      <c r="B10" s="18" t="s">
        <v>564</v>
      </c>
      <c r="C10" s="18" t="s">
        <v>565</v>
      </c>
      <c r="D10" s="3" t="s">
        <v>1411</v>
      </c>
      <c r="E10" s="3">
        <f t="shared" si="0"/>
        <v>8</v>
      </c>
      <c r="F10" s="3">
        <f>COUNTIF(NodesData[label],NodesData[[#This Row],[label]])</f>
        <v>1</v>
      </c>
      <c r="G10" s="3">
        <f>COUNTIF(ConceptNodes9['[A_ID']],NodesData[[#This Row],[id]])+COUNTIF(ConceptNodes9['[B_ID']],NodesData[[#This Row],[id]])</f>
        <v>0</v>
      </c>
      <c r="H10" s="3">
        <f>IF(NodesData[[#This Row],[Used]]&gt;0,1,0)</f>
        <v>0</v>
      </c>
      <c r="I10" s="19" t="str" cm="1">
        <f t="array" ref="I10">IF(NodesData[[#This Row],[Count]]&gt;1,",","") &amp;"{"&amp;twoRangesToJSON(NodesData[[#Headers],[id]:[url]],NodesData[[#This Row],[id]:[url]])&amp;"}"</f>
        <v>,{"id":"n_access_control_model","label":"Access Control Model","url":"https://open-measure.atlassian.net/wiki/spaces/DIC/pages/67699193"}</v>
      </c>
      <c r="J10" s="3"/>
    </row>
    <row r="11" spans="1:10" ht="13.25" customHeight="1" thickTop="1" thickBot="1" x14ac:dyDescent="0.4">
      <c r="A11" s="17" t="str">
        <f>SUBSTITUTE(SUBSTITUTE("n_"&amp;LOWER(SUBSTITUTE(SUBSTITUTE(SUBSTITUTE(NodesData[[#This Row],[label]]," ","_"),"/","_"),"-","_")),"__","_"),"__","_")</f>
        <v>n_access_control_policy</v>
      </c>
      <c r="B11" s="18" t="s">
        <v>566</v>
      </c>
      <c r="C11" s="18" t="s">
        <v>567</v>
      </c>
      <c r="D11" s="3" t="s">
        <v>1411</v>
      </c>
      <c r="E11" s="3">
        <f t="shared" si="0"/>
        <v>9</v>
      </c>
      <c r="F11" s="3">
        <f>COUNTIF(NodesData[label],NodesData[[#This Row],[label]])</f>
        <v>1</v>
      </c>
      <c r="G11" s="3">
        <f>COUNTIF(ConceptNodes9['[A_ID']],NodesData[[#This Row],[id]])+COUNTIF(ConceptNodes9['[B_ID']],NodesData[[#This Row],[id]])</f>
        <v>0</v>
      </c>
      <c r="H11" s="3">
        <f>IF(NodesData[[#This Row],[Used]]&gt;0,1,0)</f>
        <v>0</v>
      </c>
      <c r="I11" s="19" t="str" cm="1">
        <f t="array" ref="I11">IF(NodesData[[#This Row],[Count]]&gt;1,",","") &amp;"{"&amp;twoRangesToJSON(NodesData[[#Headers],[id]:[url]],NodesData[[#This Row],[id]:[url]])&amp;"}"</f>
        <v>,{"id":"n_access_control_policy","label":"Access Control Policy","url":"https://open-measure.atlassian.net/wiki/spaces/DIC/pages/67633597"}</v>
      </c>
      <c r="J11" s="3"/>
    </row>
    <row r="12" spans="1:10" ht="13.25" customHeight="1" thickTop="1" thickBot="1" x14ac:dyDescent="0.4">
      <c r="A12" s="17" t="str">
        <f>SUBSTITUTE(SUBSTITUTE("n_"&amp;LOWER(SUBSTITUTE(SUBSTITUTE(SUBSTITUTE(NodesData[[#This Row],[label]]," ","_"),"/","_"),"-","_")),"__","_"),"__","_")</f>
        <v>n_access_granularity</v>
      </c>
      <c r="B12" s="18" t="s">
        <v>1</v>
      </c>
      <c r="C12" s="18" t="s">
        <v>568</v>
      </c>
      <c r="D12" s="3" t="s">
        <v>1411</v>
      </c>
      <c r="E12" s="3">
        <f t="shared" si="0"/>
        <v>10</v>
      </c>
      <c r="F12" s="3">
        <f>COUNTIF(NodesData[label],NodesData[[#This Row],[label]])</f>
        <v>1</v>
      </c>
      <c r="G12" s="3">
        <f>COUNTIF(ConceptNodes9['[A_ID']],NodesData[[#This Row],[id]])+COUNTIF(ConceptNodes9['[B_ID']],NodesData[[#This Row],[id]])</f>
        <v>0</v>
      </c>
      <c r="H12" s="3">
        <f>IF(NodesData[[#This Row],[Used]]&gt;0,1,0)</f>
        <v>0</v>
      </c>
      <c r="I12" s="19" t="str" cm="1">
        <f t="array" ref="I12">IF(NodesData[[#This Row],[Count]]&gt;1,",","") &amp;"{"&amp;twoRangesToJSON(NodesData[[#Headers],[id]:[url]],NodesData[[#This Row],[id]:[url]])&amp;"}"</f>
        <v>,{"id":"n_access_granularity","label":"Access Granularity","url":"https://open-measure.atlassian.net/wiki/spaces/DIC/pages/1006632974"}</v>
      </c>
      <c r="J12" s="3"/>
    </row>
    <row r="13" spans="1:10" ht="13.25" customHeight="1" thickTop="1" thickBot="1" x14ac:dyDescent="0.4">
      <c r="A13" s="17" t="str">
        <f>SUBSTITUTE(SUBSTITUTE("n_"&amp;LOWER(SUBSTITUTE(SUBSTITUTE(SUBSTITUTE(NodesData[[#This Row],[label]]," ","_"),"/","_"),"-","_")),"__","_"),"__","_")</f>
        <v>n_access_privilege</v>
      </c>
      <c r="B13" s="18" t="s">
        <v>569</v>
      </c>
      <c r="C13" s="18" t="s">
        <v>570</v>
      </c>
      <c r="D13" s="3" t="s">
        <v>1411</v>
      </c>
      <c r="E13" s="3">
        <f t="shared" si="0"/>
        <v>11</v>
      </c>
      <c r="F13" s="3">
        <f>COUNTIF(NodesData[label],NodesData[[#This Row],[label]])</f>
        <v>1</v>
      </c>
      <c r="G13" s="3">
        <f>COUNTIF(ConceptNodes9['[A_ID']],NodesData[[#This Row],[id]])+COUNTIF(ConceptNodes9['[B_ID']],NodesData[[#This Row],[id]])</f>
        <v>0</v>
      </c>
      <c r="H13" s="3">
        <f>IF(NodesData[[#This Row],[Used]]&gt;0,1,0)</f>
        <v>0</v>
      </c>
      <c r="I13" s="19" t="str" cm="1">
        <f t="array" ref="I13">IF(NodesData[[#This Row],[Count]]&gt;1,",","") &amp;"{"&amp;twoRangesToJSON(NodesData[[#Headers],[id]:[url]],NodesData[[#This Row],[id]:[url]])&amp;"}"</f>
        <v>,{"id":"n_access_privilege","label":"Access Privilege","url":"https://open-measure.atlassian.net/wiki/spaces/DIC/pages/1122631723"}</v>
      </c>
      <c r="J13" s="3"/>
    </row>
    <row r="14" spans="1:10" ht="13.25" customHeight="1" thickTop="1" thickBot="1" x14ac:dyDescent="0.4">
      <c r="A14" s="17" t="str">
        <f>SUBSTITUTE(SUBSTITUTE("n_"&amp;LOWER(SUBSTITUTE(SUBSTITUTE(SUBSTITUTE(NodesData[[#This Row],[label]]," ","_"),"/","_"),"-","_")),"__","_"),"__","_")</f>
        <v>n_access_right</v>
      </c>
      <c r="B14" s="18" t="s">
        <v>571</v>
      </c>
      <c r="C14" s="18" t="s">
        <v>572</v>
      </c>
      <c r="D14" s="3" t="s">
        <v>1411</v>
      </c>
      <c r="E14" s="3">
        <f t="shared" si="0"/>
        <v>12</v>
      </c>
      <c r="F14" s="3">
        <f>COUNTIF(NodesData[label],NodesData[[#This Row],[label]])</f>
        <v>1</v>
      </c>
      <c r="G14" s="3">
        <f>COUNTIF(ConceptNodes9['[A_ID']],NodesData[[#This Row],[id]])+COUNTIF(ConceptNodes9['[B_ID']],NodesData[[#This Row],[id]])</f>
        <v>0</v>
      </c>
      <c r="H14" s="3">
        <f>IF(NodesData[[#This Row],[Used]]&gt;0,1,0)</f>
        <v>0</v>
      </c>
      <c r="I14" s="19" t="str" cm="1">
        <f t="array" ref="I14">IF(NodesData[[#This Row],[Count]]&gt;1,",","") &amp;"{"&amp;twoRangesToJSON(NodesData[[#Headers],[id]:[url]],NodesData[[#This Row],[id]:[url]])&amp;"}"</f>
        <v>,{"id":"n_access_right","label":"Access Right","url":"https://open-measure.atlassian.net/wiki/spaces/DIC/pages/1122599013"}</v>
      </c>
      <c r="J14" s="3"/>
    </row>
    <row r="15" spans="1:10" ht="13.25" customHeight="1" thickTop="1" thickBot="1" x14ac:dyDescent="0.4">
      <c r="A15" s="17" t="str">
        <f>SUBSTITUTE(SUBSTITUTE("n_"&amp;LOWER(SUBSTITUTE(SUBSTITUTE(SUBSTITUTE(NodesData[[#This Row],[label]]," ","_"),"/","_"),"-","_")),"__","_"),"__","_")</f>
        <v>n_access_rights_management</v>
      </c>
      <c r="B15" s="18" t="s">
        <v>573</v>
      </c>
      <c r="C15" s="18" t="s">
        <v>574</v>
      </c>
      <c r="D15" s="3" t="s">
        <v>1411</v>
      </c>
      <c r="E15" s="3">
        <f t="shared" si="0"/>
        <v>13</v>
      </c>
      <c r="F15" s="3">
        <f>COUNTIF(NodesData[label],NodesData[[#This Row],[label]])</f>
        <v>1</v>
      </c>
      <c r="G15" s="3">
        <f>COUNTIF(ConceptNodes9['[A_ID']],NodesData[[#This Row],[id]])+COUNTIF(ConceptNodes9['[B_ID']],NodesData[[#This Row],[id]])</f>
        <v>1</v>
      </c>
      <c r="H15" s="3">
        <f>IF(NodesData[[#This Row],[Used]]&gt;0,1,0)</f>
        <v>1</v>
      </c>
      <c r="I15" s="19" t="str" cm="1">
        <f t="array" ref="I15">IF(NodesData[[#This Row],[Count]]&gt;1,",","") &amp;"{"&amp;twoRangesToJSON(NodesData[[#Headers],[id]:[url]],NodesData[[#This Row],[id]:[url]])&amp;"}"</f>
        <v>,{"id":"n_access_rights_management","label":"Access Rights Management","url":"https://open-measure.atlassian.net/wiki/spaces/DIC/pages/1704003"}</v>
      </c>
      <c r="J15" s="3"/>
    </row>
    <row r="16" spans="1:10" ht="13.25" customHeight="1" thickTop="1" thickBot="1" x14ac:dyDescent="0.4">
      <c r="A16" s="17" t="str">
        <f>SUBSTITUTE(SUBSTITUTE("n_"&amp;LOWER(SUBSTITUTE(SUBSTITUTE(SUBSTITUTE(NodesData[[#This Row],[label]]," ","_"),"/","_"),"-","_")),"__","_"),"__","_")</f>
        <v>n_access_token</v>
      </c>
      <c r="B16" s="18" t="s">
        <v>49</v>
      </c>
      <c r="C16" s="18" t="s">
        <v>575</v>
      </c>
      <c r="D16" s="3" t="s">
        <v>1411</v>
      </c>
      <c r="E16" s="3">
        <f t="shared" si="0"/>
        <v>14</v>
      </c>
      <c r="F16" s="3">
        <f>COUNTIF(NodesData[label],NodesData[[#This Row],[label]])</f>
        <v>1</v>
      </c>
      <c r="G16" s="3">
        <f>COUNTIF(ConceptNodes9['[A_ID']],NodesData[[#This Row],[id]])+COUNTIF(ConceptNodes9['[B_ID']],NodesData[[#This Row],[id]])</f>
        <v>0</v>
      </c>
      <c r="H16" s="3">
        <f>IF(NodesData[[#This Row],[Used]]&gt;0,1,0)</f>
        <v>0</v>
      </c>
      <c r="I16" s="19" t="str" cm="1">
        <f t="array" ref="I16">IF(NodesData[[#This Row],[Count]]&gt;1,",","") &amp;"{"&amp;twoRangesToJSON(NodesData[[#Headers],[id]:[url]],NodesData[[#This Row],[id]:[url]])&amp;"}"</f>
        <v>,{"id":"n_access_token","label":"Access Token","url":"https://open-measure.atlassian.net/wiki/spaces/DIC/pages/1600684040/Access+Token"}</v>
      </c>
      <c r="J16" s="3"/>
    </row>
    <row r="17" spans="1:10" ht="13.25" customHeight="1" thickTop="1" thickBot="1" x14ac:dyDescent="0.4">
      <c r="A17" s="17" t="str">
        <f>SUBSTITUTE(SUBSTITUTE("n_"&amp;LOWER(SUBSTITUTE(SUBSTITUTE(SUBSTITUTE(NodesData[[#This Row],[label]]," ","_"),"/","_"),"-","_")),"__","_"),"__","_")</f>
        <v>n_account</v>
      </c>
      <c r="B17" s="18" t="s">
        <v>50</v>
      </c>
      <c r="C17" s="18" t="s">
        <v>576</v>
      </c>
      <c r="D17" s="3" t="s">
        <v>1411</v>
      </c>
      <c r="E17" s="3">
        <f t="shared" si="0"/>
        <v>15</v>
      </c>
      <c r="F17" s="3">
        <f>COUNTIF(NodesData[label],NodesData[[#This Row],[label]])</f>
        <v>1</v>
      </c>
      <c r="G17" s="3">
        <f>COUNTIF(ConceptNodes9['[A_ID']],NodesData[[#This Row],[id]])+COUNTIF(ConceptNodes9['[B_ID']],NodesData[[#This Row],[id]])</f>
        <v>0</v>
      </c>
      <c r="H17" s="3">
        <f>IF(NodesData[[#This Row],[Used]]&gt;0,1,0)</f>
        <v>0</v>
      </c>
      <c r="I17" s="19" t="str" cm="1">
        <f t="array" ref="I17">IF(NodesData[[#This Row],[Count]]&gt;1,",","") &amp;"{"&amp;twoRangesToJSON(NodesData[[#Headers],[id]:[url]],NodesData[[#This Row],[id]:[url]])&amp;"}"</f>
        <v>,{"id":"n_account","label":"Account","url":"https://open-measure.atlassian.net/wiki/spaces/DIC/pages/461308120/Account"}</v>
      </c>
      <c r="J17" s="3"/>
    </row>
    <row r="18" spans="1:10" ht="13.25" customHeight="1" thickTop="1" thickBot="1" x14ac:dyDescent="0.4">
      <c r="A18" s="17" t="str">
        <f>SUBSTITUTE(SUBSTITUTE("n_"&amp;LOWER(SUBSTITUTE(SUBSTITUTE(SUBSTITUTE(NodesData[[#This Row],[label]]," ","_"),"/","_"),"-","_")),"__","_"),"__","_")</f>
        <v>n_account_lockout_policy</v>
      </c>
      <c r="B18" s="18" t="s">
        <v>577</v>
      </c>
      <c r="C18" s="18" t="s">
        <v>578</v>
      </c>
      <c r="D18" s="3" t="s">
        <v>1411</v>
      </c>
      <c r="E18" s="3">
        <f t="shared" si="0"/>
        <v>16</v>
      </c>
      <c r="F18" s="3">
        <f>COUNTIF(NodesData[label],NodesData[[#This Row],[label]])</f>
        <v>1</v>
      </c>
      <c r="G18" s="3">
        <f>COUNTIF(ConceptNodes9['[A_ID']],NodesData[[#This Row],[id]])+COUNTIF(ConceptNodes9['[B_ID']],NodesData[[#This Row],[id]])</f>
        <v>0</v>
      </c>
      <c r="H18" s="3">
        <f>IF(NodesData[[#This Row],[Used]]&gt;0,1,0)</f>
        <v>0</v>
      </c>
      <c r="I18" s="19" t="str" cm="1">
        <f t="array" ref="I18">IF(NodesData[[#This Row],[Count]]&gt;1,",","") &amp;"{"&amp;twoRangesToJSON(NodesData[[#Headers],[id]:[url]],NodesData[[#This Row],[id]:[url]])&amp;"}"</f>
        <v>,{"id":"n_account_lockout_policy","label":"Account Lockout Policy","url":"https://open-measure.atlassian.net/wiki/spaces/DIC/pages/67699360"}</v>
      </c>
      <c r="J18" s="3"/>
    </row>
    <row r="19" spans="1:10" ht="13.25" customHeight="1" thickTop="1" thickBot="1" x14ac:dyDescent="0.4">
      <c r="A19" s="17" t="str">
        <f>SUBSTITUTE(SUBSTITUTE("n_"&amp;LOWER(SUBSTITUTE(SUBSTITUTE(SUBSTITUTE(NodesData[[#This Row],[label]]," ","_"),"/","_"),"-","_")),"__","_"),"__","_")</f>
        <v>n_account_management</v>
      </c>
      <c r="B19" s="18" t="s">
        <v>579</v>
      </c>
      <c r="C19" s="18" t="s">
        <v>580</v>
      </c>
      <c r="D19" s="3" t="s">
        <v>1411</v>
      </c>
      <c r="E19" s="3">
        <f t="shared" si="0"/>
        <v>17</v>
      </c>
      <c r="F19" s="3">
        <f>COUNTIF(NodesData[label],NodesData[[#This Row],[label]])</f>
        <v>1</v>
      </c>
      <c r="G19" s="3">
        <f>COUNTIF(ConceptNodes9['[A_ID']],NodesData[[#This Row],[id]])+COUNTIF(ConceptNodes9['[B_ID']],NodesData[[#This Row],[id]])</f>
        <v>0</v>
      </c>
      <c r="H19" s="3">
        <f>IF(NodesData[[#This Row],[Used]]&gt;0,1,0)</f>
        <v>0</v>
      </c>
      <c r="I19" s="19" t="str" cm="1">
        <f t="array" ref="I19">IF(NodesData[[#This Row],[Count]]&gt;1,",","") &amp;"{"&amp;twoRangesToJSON(NodesData[[#Headers],[id]:[url]],NodesData[[#This Row],[id]:[url]])&amp;"}"</f>
        <v>,{"id":"n_account_management","label":"Account Management","url":"https://open-measure.atlassian.net/wiki/spaces/DIC/pages/1146847331"}</v>
      </c>
      <c r="J19" s="3"/>
    </row>
    <row r="20" spans="1:10" ht="13.25" customHeight="1" thickTop="1" thickBot="1" x14ac:dyDescent="0.4">
      <c r="A20" s="17" t="str">
        <f>SUBSTITUTE(SUBSTITUTE("n_"&amp;LOWER(SUBSTITUTE(SUBSTITUTE(SUBSTITUTE(NodesData[[#This Row],[label]]," ","_"),"/","_"),"-","_")),"__","_"),"__","_")</f>
        <v>n_account_takeover</v>
      </c>
      <c r="B20" s="18" t="s">
        <v>8</v>
      </c>
      <c r="C20" s="18" t="s">
        <v>581</v>
      </c>
      <c r="D20" s="3" t="s">
        <v>1411</v>
      </c>
      <c r="E20" s="3">
        <f t="shared" si="0"/>
        <v>18</v>
      </c>
      <c r="F20" s="3">
        <f>COUNTIF(NodesData[label],NodesData[[#This Row],[label]])</f>
        <v>1</v>
      </c>
      <c r="G20" s="3">
        <f>COUNTIF(ConceptNodes9['[A_ID']],NodesData[[#This Row],[id]])+COUNTIF(ConceptNodes9['[B_ID']],NodesData[[#This Row],[id]])</f>
        <v>0</v>
      </c>
      <c r="H20" s="3">
        <f>IF(NodesData[[#This Row],[Used]]&gt;0,1,0)</f>
        <v>0</v>
      </c>
      <c r="I20" s="19" t="str" cm="1">
        <f t="array" ref="I20">IF(NodesData[[#This Row],[Count]]&gt;1,",","") &amp;"{"&amp;twoRangesToJSON(NodesData[[#Headers],[id]:[url]],NodesData[[#This Row],[id]:[url]])&amp;"}"</f>
        <v>,{"id":"n_account_takeover","label":"Account Takeover","url":"https://open-measure.atlassian.net/wiki/spaces/DIC/pages/1079050286/Account+Takeover"}</v>
      </c>
      <c r="J20" s="3"/>
    </row>
    <row r="21" spans="1:10" ht="13.25" customHeight="1" thickTop="1" thickBot="1" x14ac:dyDescent="0.4">
      <c r="A21" s="17" t="str">
        <f>SUBSTITUTE(SUBSTITUTE("n_"&amp;LOWER(SUBSTITUTE(SUBSTITUTE(SUBSTITUTE(NodesData[[#This Row],[label]]," ","_"),"/","_"),"-","_")),"__","_"),"__","_")</f>
        <v>n_accountability</v>
      </c>
      <c r="B21" s="18" t="s">
        <v>1295</v>
      </c>
      <c r="C21" s="18" t="s">
        <v>582</v>
      </c>
      <c r="D21" s="3" t="s">
        <v>1411</v>
      </c>
      <c r="E21" s="3">
        <f t="shared" si="0"/>
        <v>19</v>
      </c>
      <c r="F21" s="3">
        <f>COUNTIF(NodesData[label],NodesData[[#This Row],[label]])</f>
        <v>1</v>
      </c>
      <c r="G21" s="3">
        <f>COUNTIF(ConceptNodes9['[A_ID']],NodesData[[#This Row],[id]])+COUNTIF(ConceptNodes9['[B_ID']],NodesData[[#This Row],[id]])</f>
        <v>0</v>
      </c>
      <c r="H21" s="3">
        <f>IF(NodesData[[#This Row],[Used]]&gt;0,1,0)</f>
        <v>0</v>
      </c>
      <c r="I21" s="19" t="str" cm="1">
        <f t="array" ref="I21">IF(NodesData[[#This Row],[Count]]&gt;1,",","") &amp;"{"&amp;twoRangesToJSON(NodesData[[#Headers],[id]:[url]],NodesData[[#This Row],[id]:[url]])&amp;"}"</f>
        <v>,{"id":"n_accountability","label":"Accountability","url":"https://open-measure.atlassian.net/wiki/spaces/DIC/pages/425623718"}</v>
      </c>
      <c r="J21" s="3"/>
    </row>
    <row r="22" spans="1:10" ht="13.25" customHeight="1" thickTop="1" thickBot="1" x14ac:dyDescent="0.4">
      <c r="A22" s="17" t="str">
        <f>SUBSTITUTE(SUBSTITUTE("n_"&amp;LOWER(SUBSTITUTE(SUBSTITUTE(SUBSTITUTE(NodesData[[#This Row],[label]]," ","_"),"/","_"),"-","_")),"__","_"),"__","_")</f>
        <v>n_accreditation</v>
      </c>
      <c r="B22" s="18" t="s">
        <v>583</v>
      </c>
      <c r="C22" s="18" t="s">
        <v>584</v>
      </c>
      <c r="D22" s="3" t="s">
        <v>1411</v>
      </c>
      <c r="E22" s="3">
        <f t="shared" si="0"/>
        <v>20</v>
      </c>
      <c r="F22" s="3">
        <f>COUNTIF(NodesData[label],NodesData[[#This Row],[label]])</f>
        <v>1</v>
      </c>
      <c r="G22" s="3">
        <f>COUNTIF(ConceptNodes9['[A_ID']],NodesData[[#This Row],[id]])+COUNTIF(ConceptNodes9['[B_ID']],NodesData[[#This Row],[id]])</f>
        <v>0</v>
      </c>
      <c r="H22" s="3">
        <f>IF(NodesData[[#This Row],[Used]]&gt;0,1,0)</f>
        <v>0</v>
      </c>
      <c r="I22" s="19" t="str" cm="1">
        <f t="array" ref="I22">IF(NodesData[[#This Row],[Count]]&gt;1,",","") &amp;"{"&amp;twoRangesToJSON(NodesData[[#Headers],[id]:[url]],NodesData[[#This Row],[id]:[url]])&amp;"}"</f>
        <v>,{"id":"n_accreditation","label":"Accreditation","url":"https://open-measure.atlassian.net/wiki/spaces/DIC/pages/446955580"}</v>
      </c>
      <c r="J22" s="3"/>
    </row>
    <row r="23" spans="1:10" ht="13.25" customHeight="1" thickTop="1" thickBot="1" x14ac:dyDescent="0.4">
      <c r="A23" s="17" t="str">
        <f>SUBSTITUTE(SUBSTITUTE("n_"&amp;LOWER(SUBSTITUTE(SUBSTITUTE(SUBSTITUTE(NodesData[[#This Row],[label]]," ","_"),"/","_"),"-","_")),"__","_"),"__","_")</f>
        <v>n_active_impersonation_attack</v>
      </c>
      <c r="B23" s="18" t="s">
        <v>585</v>
      </c>
      <c r="C23" s="18" t="s">
        <v>586</v>
      </c>
      <c r="D23" s="3" t="s">
        <v>1411</v>
      </c>
      <c r="E23" s="3">
        <f t="shared" si="0"/>
        <v>21</v>
      </c>
      <c r="F23" s="3">
        <f>COUNTIF(NodesData[label],NodesData[[#This Row],[label]])</f>
        <v>1</v>
      </c>
      <c r="G23" s="3">
        <f>COUNTIF(ConceptNodes9['[A_ID']],NodesData[[#This Row],[id]])+COUNTIF(ConceptNodes9['[B_ID']],NodesData[[#This Row],[id]])</f>
        <v>0</v>
      </c>
      <c r="H23" s="3">
        <f>IF(NodesData[[#This Row],[Used]]&gt;0,1,0)</f>
        <v>0</v>
      </c>
      <c r="I23" s="19" t="str" cm="1">
        <f t="array" ref="I23">IF(NodesData[[#This Row],[Count]]&gt;1,",","") &amp;"{"&amp;twoRangesToJSON(NodesData[[#Headers],[id]:[url]],NodesData[[#This Row],[id]:[url]])&amp;"}"</f>
        <v>,{"id":"n_active_impersonation_attack","label":"Active Impersonation Attack","url":"https://open-measure.atlassian.net/wiki/spaces/DIC/pages/974454812"}</v>
      </c>
      <c r="J23" s="3"/>
    </row>
    <row r="24" spans="1:10" ht="13.25" customHeight="1" thickTop="1" thickBot="1" x14ac:dyDescent="0.4">
      <c r="A24" s="17" t="str">
        <f>SUBSTITUTE(SUBSTITUTE("n_"&amp;LOWER(SUBSTITUTE(SUBSTITUTE(SUBSTITUTE(NodesData[[#This Row],[label]]," ","_"),"/","_"),"-","_")),"__","_"),"__","_")</f>
        <v>n_ap</v>
      </c>
      <c r="B24" s="18" t="s">
        <v>59</v>
      </c>
      <c r="C24" s="18" t="s">
        <v>587</v>
      </c>
      <c r="D24" s="3" t="s">
        <v>1301</v>
      </c>
      <c r="E24" s="3">
        <f t="shared" si="0"/>
        <v>22</v>
      </c>
      <c r="F24" s="3">
        <f>COUNTIF(NodesData[label],NodesData[[#This Row],[label]])</f>
        <v>1</v>
      </c>
      <c r="G24" s="3">
        <f>COUNTIF(ConceptNodes9['[A_ID']],NodesData[[#This Row],[id]])+COUNTIF(ConceptNodes9['[B_ID']],NodesData[[#This Row],[id]])</f>
        <v>0</v>
      </c>
      <c r="H24" s="3">
        <f>IF(NodesData[[#This Row],[Used]]&gt;0,1,0)</f>
        <v>0</v>
      </c>
      <c r="I24" s="19" t="str" cm="1">
        <f t="array" ref="I24">IF(NodesData[[#This Row],[Count]]&gt;1,",","") &amp;"{"&amp;twoRangesToJSON(NodesData[[#Headers],[id]:[url]],NodesData[[#This Row],[id]:[url]])&amp;"}"</f>
        <v>,{"id":"n_ap","label":"AP","url":"https://open-measure.atlassian.net/wiki/spaces/DIC/pages/81101665/AP"}</v>
      </c>
      <c r="J24" s="3"/>
    </row>
    <row r="25" spans="1:10" ht="13.25" customHeight="1" thickTop="1" thickBot="1" x14ac:dyDescent="0.4">
      <c r="A25" s="17" t="str">
        <f>SUBSTITUTE(SUBSTITUTE("n_"&amp;LOWER(SUBSTITUTE(SUBSTITUTE(SUBSTITUTE(NodesData[[#This Row],[label]]," ","_"),"/","_"),"-","_")),"__","_"),"__","_")</f>
        <v>n_applicant</v>
      </c>
      <c r="B25" s="18" t="s">
        <v>588</v>
      </c>
      <c r="C25" s="18" t="s">
        <v>589</v>
      </c>
      <c r="D25" s="3" t="s">
        <v>1411</v>
      </c>
      <c r="E25" s="3">
        <f t="shared" si="0"/>
        <v>23</v>
      </c>
      <c r="F25" s="3">
        <f>COUNTIF(NodesData[label],NodesData[[#This Row],[label]])</f>
        <v>1</v>
      </c>
      <c r="G25" s="3">
        <f>COUNTIF(ConceptNodes9['[A_ID']],NodesData[[#This Row],[id]])+COUNTIF(ConceptNodes9['[B_ID']],NodesData[[#This Row],[id]])</f>
        <v>0</v>
      </c>
      <c r="H25" s="3">
        <f>IF(NodesData[[#This Row],[Used]]&gt;0,1,0)</f>
        <v>0</v>
      </c>
      <c r="I25" s="19" t="str" cm="1">
        <f t="array" ref="I25">IF(NodesData[[#This Row],[Count]]&gt;1,",","") &amp;"{"&amp;twoRangesToJSON(NodesData[[#Headers],[id]:[url]],NodesData[[#This Row],[id]:[url]])&amp;"}"</f>
        <v>,{"id":"n_applicant","label":"Applicant","url":"https://open-measure.atlassian.net/wiki/spaces/DIC/pages/848625750"}</v>
      </c>
      <c r="J25" s="3"/>
    </row>
    <row r="26" spans="1:10" ht="13.25" customHeight="1" thickTop="1" thickBot="1" x14ac:dyDescent="0.4">
      <c r="A26" s="17" t="str">
        <f>SUBSTITUTE(SUBSTITUTE("n_"&amp;LOWER(SUBSTITUTE(SUBSTITUTE(SUBSTITUTE(NodesData[[#This Row],[label]]," ","_"),"/","_"),"-","_")),"__","_"),"__","_")</f>
        <v>n_application</v>
      </c>
      <c r="B26" s="18" t="s">
        <v>61</v>
      </c>
      <c r="C26" s="18" t="s">
        <v>590</v>
      </c>
      <c r="D26" s="3" t="s">
        <v>1411</v>
      </c>
      <c r="E26" s="3">
        <f t="shared" si="0"/>
        <v>24</v>
      </c>
      <c r="F26" s="3">
        <f>COUNTIF(NodesData[label],NodesData[[#This Row],[label]])</f>
        <v>1</v>
      </c>
      <c r="G26" s="3">
        <f>COUNTIF(ConceptNodes9['[A_ID']],NodesData[[#This Row],[id]])+COUNTIF(ConceptNodes9['[B_ID']],NodesData[[#This Row],[id]])</f>
        <v>0</v>
      </c>
      <c r="H26" s="3">
        <f>IF(NodesData[[#This Row],[Used]]&gt;0,1,0)</f>
        <v>0</v>
      </c>
      <c r="I26" s="19" t="str" cm="1">
        <f t="array" ref="I26">IF(NodesData[[#This Row],[Count]]&gt;1,",","") &amp;"{"&amp;twoRangesToJSON(NodesData[[#Headers],[id]:[url]],NodesData[[#This Row],[id]:[url]])&amp;"}"</f>
        <v>,{"id":"n_application","label":"Application","url":"https://open-measure.atlassian.net/wiki/spaces/DIC/pages/5965602/Application"}</v>
      </c>
      <c r="J26" s="3"/>
    </row>
    <row r="27" spans="1:10" ht="13.25" customHeight="1" thickTop="1" thickBot="1" x14ac:dyDescent="0.4">
      <c r="A27" s="17" t="str">
        <f>SUBSTITUTE(SUBSTITUTE("n_"&amp;LOWER(SUBSTITUTE(SUBSTITUTE(SUBSTITUTE(NodesData[[#This Row],[label]]," ","_"),"/","_"),"-","_")),"__","_"),"__","_")</f>
        <v>n_application_administrator</v>
      </c>
      <c r="B27" s="18" t="s">
        <v>591</v>
      </c>
      <c r="C27" s="18" t="s">
        <v>592</v>
      </c>
      <c r="D27" s="3" t="s">
        <v>1411</v>
      </c>
      <c r="E27" s="3">
        <f t="shared" si="0"/>
        <v>25</v>
      </c>
      <c r="F27" s="3">
        <f>COUNTIF(NodesData[label],NodesData[[#This Row],[label]])</f>
        <v>1</v>
      </c>
      <c r="G27" s="3">
        <f>COUNTIF(ConceptNodes9['[A_ID']],NodesData[[#This Row],[id]])+COUNTIF(ConceptNodes9['[B_ID']],NodesData[[#This Row],[id]])</f>
        <v>0</v>
      </c>
      <c r="H27" s="3">
        <f>IF(NodesData[[#This Row],[Used]]&gt;0,1,0)</f>
        <v>0</v>
      </c>
      <c r="I27" s="19" t="str" cm="1">
        <f t="array" ref="I27">IF(NodesData[[#This Row],[Count]]&gt;1,",","") &amp;"{"&amp;twoRangesToJSON(NodesData[[#Headers],[id]:[url]],NodesData[[#This Row],[id]:[url]])&amp;"}"</f>
        <v>,{"id":"n_application_administrator","label":"Application Administrator","url":"https://open-measure.atlassian.net/wiki/spaces/DIC/pages/274236090"}</v>
      </c>
      <c r="J27" s="3"/>
    </row>
    <row r="28" spans="1:10" ht="13.25" customHeight="1" thickTop="1" thickBot="1" x14ac:dyDescent="0.4">
      <c r="A28" s="17" t="str">
        <f>SUBSTITUTE(SUBSTITUTE("n_"&amp;LOWER(SUBSTITUTE(SUBSTITUTE(SUBSTITUTE(NodesData[[#This Row],[label]]," ","_"),"/","_"),"-","_")),"__","_"),"__","_")</f>
        <v>n_application_instance</v>
      </c>
      <c r="B28" s="18" t="s">
        <v>593</v>
      </c>
      <c r="C28" s="18" t="s">
        <v>594</v>
      </c>
      <c r="D28" s="3" t="s">
        <v>1411</v>
      </c>
      <c r="E28" s="3">
        <f t="shared" si="0"/>
        <v>26</v>
      </c>
      <c r="F28" s="3">
        <f>COUNTIF(NodesData[label],NodesData[[#This Row],[label]])</f>
        <v>1</v>
      </c>
      <c r="G28" s="3">
        <f>COUNTIF(ConceptNodes9['[A_ID']],NodesData[[#This Row],[id]])+COUNTIF(ConceptNodes9['[B_ID']],NodesData[[#This Row],[id]])</f>
        <v>0</v>
      </c>
      <c r="H28" s="3">
        <f>IF(NodesData[[#This Row],[Used]]&gt;0,1,0)</f>
        <v>0</v>
      </c>
      <c r="I28" s="19" t="str" cm="1">
        <f t="array" ref="I28">IF(NodesData[[#This Row],[Count]]&gt;1,",","") &amp;"{"&amp;twoRangesToJSON(NodesData[[#Headers],[id]:[url]],NodesData[[#This Row],[id]:[url]])&amp;"}"</f>
        <v>,{"id":"n_application_instance","label":"Application Instance","url":"https://open-measure.atlassian.net/wiki/spaces/DIC/pages/834044036"}</v>
      </c>
      <c r="J28" s="3"/>
    </row>
    <row r="29" spans="1:10" ht="13.25" customHeight="1" thickTop="1" thickBot="1" x14ac:dyDescent="0.4">
      <c r="A29" s="17" t="str">
        <f>SUBSTITUTE(SUBSTITUTE("n_"&amp;LOWER(SUBSTITUTE(SUBSTITUTE(SUBSTITUTE(NodesData[[#This Row],[label]]," ","_"),"/","_"),"-","_")),"__","_"),"__","_")</f>
        <v>n_application_level_policy</v>
      </c>
      <c r="B29" s="18" t="s">
        <v>599</v>
      </c>
      <c r="C29" s="18" t="s">
        <v>600</v>
      </c>
      <c r="D29" s="3" t="s">
        <v>1411</v>
      </c>
      <c r="E29" s="3">
        <f t="shared" si="0"/>
        <v>27</v>
      </c>
      <c r="F29" s="3">
        <f>COUNTIF(NodesData[label],NodesData[[#This Row],[label]])</f>
        <v>1</v>
      </c>
      <c r="G29" s="3">
        <f>COUNTIF(ConceptNodes9['[A_ID']],NodesData[[#This Row],[id]])+COUNTIF(ConceptNodes9['[B_ID']],NodesData[[#This Row],[id]])</f>
        <v>0</v>
      </c>
      <c r="H29" s="3">
        <f>IF(NodesData[[#This Row],[Used]]&gt;0,1,0)</f>
        <v>0</v>
      </c>
      <c r="I29" s="19" t="str" cm="1">
        <f t="array" ref="I29">IF(NodesData[[#This Row],[Count]]&gt;1,",","") &amp;"{"&amp;twoRangesToJSON(NodesData[[#Headers],[id]:[url]],NodesData[[#This Row],[id]:[url]])&amp;"}"</f>
        <v>,{"id":"n_application_level_policy","label":"Application-Level Policy","url":"https://open-measure.atlassian.net/wiki/spaces/DIC/pages/1122631854"}</v>
      </c>
      <c r="J29" s="3"/>
    </row>
    <row r="30" spans="1:10" ht="13.25" customHeight="1" thickTop="1" thickBot="1" x14ac:dyDescent="0.4">
      <c r="A30" s="17" t="str">
        <f>SUBSTITUTE(SUBSTITUTE("n_"&amp;LOWER(SUBSTITUTE(SUBSTITUTE(SUBSTITUTE(NodesData[[#This Row],[label]]," ","_"),"/","_"),"-","_")),"__","_"),"__","_")</f>
        <v>n_application_multiplexing</v>
      </c>
      <c r="B30" s="18" t="s">
        <v>65</v>
      </c>
      <c r="C30" s="18" t="s">
        <v>595</v>
      </c>
      <c r="D30" s="3" t="s">
        <v>1411</v>
      </c>
      <c r="E30" s="3">
        <f t="shared" si="0"/>
        <v>28</v>
      </c>
      <c r="F30" s="3">
        <f>COUNTIF(NodesData[label],NodesData[[#This Row],[label]])</f>
        <v>1</v>
      </c>
      <c r="G30" s="3">
        <f>COUNTIF(ConceptNodes9['[A_ID']],NodesData[[#This Row],[id]])+COUNTIF(ConceptNodes9['[B_ID']],NodesData[[#This Row],[id]])</f>
        <v>0</v>
      </c>
      <c r="H30" s="3">
        <f>IF(NodesData[[#This Row],[Used]]&gt;0,1,0)</f>
        <v>0</v>
      </c>
      <c r="I30" s="19" t="str" cm="1">
        <f t="array" ref="I30">IF(NodesData[[#This Row],[Count]]&gt;1,",","") &amp;"{"&amp;twoRangesToJSON(NodesData[[#Headers],[id]:[url]],NodesData[[#This Row],[id]:[url]])&amp;"}"</f>
        <v>,{"id":"n_application_multiplexing","label":"Application Multiplexing","url":"https://open-measure.atlassian.net/wiki/spaces/DIC/pages/1658355721/Application+Multiplexing"}</v>
      </c>
      <c r="J30" s="3"/>
    </row>
    <row r="31" spans="1:10" ht="13.25" customHeight="1" thickTop="1" thickBot="1" x14ac:dyDescent="0.4">
      <c r="A31" s="17" t="str">
        <f>SUBSTITUTE(SUBSTITUTE("n_"&amp;LOWER(SUBSTITUTE(SUBSTITUTE(SUBSTITUTE(NodesData[[#This Row],[label]]," ","_"),"/","_"),"-","_")),"__","_"),"__","_")</f>
        <v>n_application_package</v>
      </c>
      <c r="B31" s="18" t="s">
        <v>596</v>
      </c>
      <c r="C31" s="18" t="s">
        <v>597</v>
      </c>
      <c r="D31" s="3" t="s">
        <v>1411</v>
      </c>
      <c r="E31" s="3">
        <f t="shared" si="0"/>
        <v>29</v>
      </c>
      <c r="F31" s="3">
        <f>COUNTIF(NodesData[label],NodesData[[#This Row],[label]])</f>
        <v>1</v>
      </c>
      <c r="G31" s="3">
        <f>COUNTIF(ConceptNodes9['[A_ID']],NodesData[[#This Row],[id]])+COUNTIF(ConceptNodes9['[B_ID']],NodesData[[#This Row],[id]])</f>
        <v>0</v>
      </c>
      <c r="H31" s="3">
        <f>IF(NodesData[[#This Row],[Used]]&gt;0,1,0)</f>
        <v>0</v>
      </c>
      <c r="I31" s="19" t="str" cm="1">
        <f t="array" ref="I31">IF(NodesData[[#This Row],[Count]]&gt;1,",","") &amp;"{"&amp;twoRangesToJSON(NodesData[[#Headers],[id]:[url]],NodesData[[#This Row],[id]:[url]])&amp;"}"</f>
        <v>,{"id":"n_application_package","label":"Application Package","url":"https://open-measure.atlassian.net/wiki/spaces/DIC/pages/5932704"}</v>
      </c>
      <c r="J31" s="3"/>
    </row>
    <row r="32" spans="1:10" ht="13.25" customHeight="1" thickTop="1" thickBot="1" x14ac:dyDescent="0.4">
      <c r="A32" s="17" t="str">
        <f>SUBSTITUTE(SUBSTITUTE("n_"&amp;LOWER(SUBSTITUTE(SUBSTITUTE(SUBSTITUTE(NodesData[[#This Row],[label]]," ","_"),"/","_"),"-","_")),"__","_"),"__","_")</f>
        <v>n_application_program</v>
      </c>
      <c r="B32" s="18" t="s">
        <v>67</v>
      </c>
      <c r="C32" s="18" t="s">
        <v>598</v>
      </c>
      <c r="D32" s="3" t="s">
        <v>1411</v>
      </c>
      <c r="E32" s="3">
        <f t="shared" si="0"/>
        <v>30</v>
      </c>
      <c r="F32" s="3">
        <f>COUNTIF(NodesData[label],NodesData[[#This Row],[label]])</f>
        <v>1</v>
      </c>
      <c r="G32" s="3">
        <f>COUNTIF(ConceptNodes9['[A_ID']],NodesData[[#This Row],[id]])+COUNTIF(ConceptNodes9['[B_ID']],NodesData[[#This Row],[id]])</f>
        <v>0</v>
      </c>
      <c r="H32" s="3">
        <f>IF(NodesData[[#This Row],[Used]]&gt;0,1,0)</f>
        <v>0</v>
      </c>
      <c r="I32" s="19" t="str" cm="1">
        <f t="array" ref="I32">IF(NodesData[[#This Row],[Count]]&gt;1,",","") &amp;"{"&amp;twoRangesToJSON(NodesData[[#Headers],[id]:[url]],NodesData[[#This Row],[id]:[url]])&amp;"}"</f>
        <v>,{"id":"n_application_program","label":"Application Program","url":"https://open-measure.atlassian.net/wiki/spaces/DIC/pages/6030793/Application+Program"}</v>
      </c>
      <c r="J32" s="3"/>
    </row>
    <row r="33" spans="1:10" ht="13.25" customHeight="1" thickTop="1" thickBot="1" x14ac:dyDescent="0.4">
      <c r="A33" s="17" t="str">
        <f>SUBSTITUTE(SUBSTITUTE("n_"&amp;LOWER(SUBSTITUTE(SUBSTITUTE(SUBSTITUTE(NodesData[[#This Row],[label]]," ","_"),"/","_"),"-","_")),"__","_"),"__","_")</f>
        <v>n_archive</v>
      </c>
      <c r="B33" s="18" t="s">
        <v>601</v>
      </c>
      <c r="C33" s="18" t="s">
        <v>602</v>
      </c>
      <c r="D33" s="3" t="s">
        <v>1411</v>
      </c>
      <c r="E33" s="3">
        <f t="shared" si="0"/>
        <v>31</v>
      </c>
      <c r="F33" s="3">
        <f>COUNTIF(NodesData[label],NodesData[[#This Row],[label]])</f>
        <v>1</v>
      </c>
      <c r="G33" s="3">
        <f>COUNTIF(ConceptNodes9['[A_ID']],NodesData[[#This Row],[id]])+COUNTIF(ConceptNodes9['[B_ID']],NodesData[[#This Row],[id]])</f>
        <v>0</v>
      </c>
      <c r="H33" s="3">
        <f>IF(NodesData[[#This Row],[Used]]&gt;0,1,0)</f>
        <v>0</v>
      </c>
      <c r="I33" s="19" t="str" cm="1">
        <f t="array" ref="I33">IF(NodesData[[#This Row],[Count]]&gt;1,",","") &amp;"{"&amp;twoRangesToJSON(NodesData[[#Headers],[id]:[url]],NodesData[[#This Row],[id]:[url]])&amp;"}"</f>
        <v>,{"id":"n_archive","label":"Archive","url":"https://open-measure.atlassian.net/wiki/spaces/DIC/pages/425197720"}</v>
      </c>
      <c r="J33" s="3"/>
    </row>
    <row r="34" spans="1:10" ht="13.25" customHeight="1" thickTop="1" thickBot="1" x14ac:dyDescent="0.4">
      <c r="A34" s="17" t="str">
        <f>SUBSTITUTE(SUBSTITUTE("n_"&amp;LOWER(SUBSTITUTE(SUBSTITUTE(SUBSTITUTE(NodesData[[#This Row],[label]]," ","_"),"/","_"),"-","_")),"__","_"),"__","_")</f>
        <v>n_arm</v>
      </c>
      <c r="B34" s="18" t="s">
        <v>69</v>
      </c>
      <c r="C34" s="18" t="s">
        <v>603</v>
      </c>
      <c r="D34" s="3" t="s">
        <v>1301</v>
      </c>
      <c r="E34" s="3">
        <f t="shared" si="0"/>
        <v>32</v>
      </c>
      <c r="F34" s="3">
        <f>COUNTIF(NodesData[label],NodesData[[#This Row],[label]])</f>
        <v>1</v>
      </c>
      <c r="G34" s="3">
        <f>COUNTIF(ConceptNodes9['[A_ID']],NodesData[[#This Row],[id]])+COUNTIF(ConceptNodes9['[B_ID']],NodesData[[#This Row],[id]])</f>
        <v>1</v>
      </c>
      <c r="H34" s="3">
        <f>IF(NodesData[[#This Row],[Used]]&gt;0,1,0)</f>
        <v>1</v>
      </c>
      <c r="I34" s="19" t="str" cm="1">
        <f t="array" ref="I34">IF(NodesData[[#This Row],[Count]]&gt;1,",","") &amp;"{"&amp;twoRangesToJSON(NodesData[[#Headers],[id]:[url]],NodesData[[#This Row],[id]:[url]])&amp;"}"</f>
        <v>,{"id":"n_arm","label":"ARM","url":"https://open-measure.atlassian.net/wiki/spaces/DIC/pages/1703994/ARM"}</v>
      </c>
      <c r="J34" s="3"/>
    </row>
    <row r="35" spans="1:10" ht="13.25" customHeight="1" thickTop="1" thickBot="1" x14ac:dyDescent="0.4">
      <c r="A35" s="17" t="str">
        <f>SUBSTITUTE(SUBSTITUTE("n_"&amp;LOWER(SUBSTITUTE(SUBSTITUTE(SUBSTITUTE(NodesData[[#This Row],[label]]," ","_"),"/","_"),"-","_")),"__","_"),"__","_")</f>
        <v>n_asset_custody</v>
      </c>
      <c r="B35" s="18" t="s">
        <v>604</v>
      </c>
      <c r="C35" s="18" t="s">
        <v>605</v>
      </c>
      <c r="D35" s="3" t="s">
        <v>1411</v>
      </c>
      <c r="E35" s="3">
        <f t="shared" si="0"/>
        <v>33</v>
      </c>
      <c r="F35" s="3">
        <f>COUNTIF(NodesData[label],NodesData[[#This Row],[label]])</f>
        <v>1</v>
      </c>
      <c r="G35" s="3">
        <f>COUNTIF(ConceptNodes9['[A_ID']],NodesData[[#This Row],[id]])+COUNTIF(ConceptNodes9['[B_ID']],NodesData[[#This Row],[id]])</f>
        <v>0</v>
      </c>
      <c r="H35" s="3">
        <f>IF(NodesData[[#This Row],[Used]]&gt;0,1,0)</f>
        <v>0</v>
      </c>
      <c r="I35" s="19" t="str" cm="1">
        <f t="array" ref="I35">IF(NodesData[[#This Row],[Count]]&gt;1,",","") &amp;"{"&amp;twoRangesToJSON(NodesData[[#Headers],[id]:[url]],NodesData[[#This Row],[id]:[url]])&amp;"}"</f>
        <v>,{"id":"n_asset_custody","label":"Asset Custody","url":"https://open-measure.atlassian.net/wiki/spaces/DIC/pages/1094516867"}</v>
      </c>
      <c r="J35" s="3"/>
    </row>
    <row r="36" spans="1:10" ht="13.25" customHeight="1" thickTop="1" thickBot="1" x14ac:dyDescent="0.4">
      <c r="A36" s="17" t="str">
        <f>SUBSTITUTE(SUBSTITUTE("n_"&amp;LOWER(SUBSTITUTE(SUBSTITUTE(SUBSTITUTE(NodesData[[#This Row],[label]]," ","_"),"/","_"),"-","_")),"__","_"),"__","_")</f>
        <v>n_attestation</v>
      </c>
      <c r="B36" s="18" t="s">
        <v>71</v>
      </c>
      <c r="C36" s="18" t="s">
        <v>606</v>
      </c>
      <c r="D36" s="3" t="s">
        <v>1411</v>
      </c>
      <c r="E36" s="3">
        <f t="shared" si="0"/>
        <v>34</v>
      </c>
      <c r="F36" s="3">
        <f>COUNTIF(NodesData[label],NodesData[[#This Row],[label]])</f>
        <v>1</v>
      </c>
      <c r="G36" s="3">
        <f>COUNTIF(ConceptNodes9['[A_ID']],NodesData[[#This Row],[id]])+COUNTIF(ConceptNodes9['[B_ID']],NodesData[[#This Row],[id]])</f>
        <v>0</v>
      </c>
      <c r="H36" s="3">
        <f>IF(NodesData[[#This Row],[Used]]&gt;0,1,0)</f>
        <v>0</v>
      </c>
      <c r="I36" s="19" t="str" cm="1">
        <f t="array" ref="I36">IF(NodesData[[#This Row],[Count]]&gt;1,",","") &amp;"{"&amp;twoRangesToJSON(NodesData[[#Headers],[id]:[url]],NodesData[[#This Row],[id]:[url]])&amp;"}"</f>
        <v>,{"id":"n_attestation","label":"Attestation","url":"https://open-measure.atlassian.net/wiki/spaces/DIC/pages/1323368851/Attestation"}</v>
      </c>
      <c r="J36" s="3"/>
    </row>
    <row r="37" spans="1:10" ht="13.25" customHeight="1" thickTop="1" thickBot="1" x14ac:dyDescent="0.4">
      <c r="A37" s="17" t="str">
        <f>SUBSTITUTE(SUBSTITUTE("n_"&amp;LOWER(SUBSTITUTE(SUBSTITUTE(SUBSTITUTE(NodesData[[#This Row],[label]]," ","_"),"/","_"),"-","_")),"__","_"),"__","_")</f>
        <v>n_attribute</v>
      </c>
      <c r="B37" s="18" t="s">
        <v>1296</v>
      </c>
      <c r="C37" s="18" t="s">
        <v>607</v>
      </c>
      <c r="D37" s="3" t="s">
        <v>1411</v>
      </c>
      <c r="E37" s="3">
        <f t="shared" si="0"/>
        <v>35</v>
      </c>
      <c r="F37" s="3">
        <f>COUNTIF(NodesData[label],NodesData[[#This Row],[label]])</f>
        <v>1</v>
      </c>
      <c r="G37" s="3">
        <f>COUNTIF(ConceptNodes9['[A_ID']],NodesData[[#This Row],[id]])+COUNTIF(ConceptNodes9['[B_ID']],NodesData[[#This Row],[id]])</f>
        <v>0</v>
      </c>
      <c r="H37" s="3">
        <f>IF(NodesData[[#This Row],[Used]]&gt;0,1,0)</f>
        <v>0</v>
      </c>
      <c r="I37" s="19" t="str" cm="1">
        <f t="array" ref="I37">IF(NodesData[[#This Row],[Count]]&gt;1,",","") &amp;"{"&amp;twoRangesToJSON(NodesData[[#Headers],[id]:[url]],NodesData[[#This Row],[id]:[url]])&amp;"}"</f>
        <v>,{"id":"n_attribute","label":"Attribute","url":"https://open-measure.atlassian.net/wiki/spaces/DIC/pages/409174161"}</v>
      </c>
      <c r="J37" s="3"/>
    </row>
    <row r="38" spans="1:10" ht="13.25" customHeight="1" thickTop="1" thickBot="1" x14ac:dyDescent="0.4">
      <c r="A38" s="17" t="str">
        <f>SUBSTITUTE(SUBSTITUTE("n_"&amp;LOWER(SUBSTITUTE(SUBSTITUTE(SUBSTITUTE(NodesData[[#This Row],[label]]," ","_"),"/","_"),"-","_")),"__","_"),"__","_")</f>
        <v>n_attribute_provider</v>
      </c>
      <c r="B38" s="18" t="s">
        <v>608</v>
      </c>
      <c r="C38" s="18" t="s">
        <v>609</v>
      </c>
      <c r="D38" s="3" t="s">
        <v>1411</v>
      </c>
      <c r="E38" s="3">
        <f t="shared" si="0"/>
        <v>36</v>
      </c>
      <c r="F38" s="3">
        <f>COUNTIF(NodesData[label],NodesData[[#This Row],[label]])</f>
        <v>1</v>
      </c>
      <c r="G38" s="3">
        <f>COUNTIF(ConceptNodes9['[A_ID']],NodesData[[#This Row],[id]])+COUNTIF(ConceptNodes9['[B_ID']],NodesData[[#This Row],[id]])</f>
        <v>0</v>
      </c>
      <c r="H38" s="3">
        <f>IF(NodesData[[#This Row],[Used]]&gt;0,1,0)</f>
        <v>0</v>
      </c>
      <c r="I38" s="19" t="str" cm="1">
        <f t="array" ref="I38">IF(NodesData[[#This Row],[Count]]&gt;1,",","") &amp;"{"&amp;twoRangesToJSON(NodesData[[#Headers],[id]:[url]],NodesData[[#This Row],[id]:[url]])&amp;"}"</f>
        <v>,{"id":"n_attribute_provider","label":"Attribute Provider","url":"https://open-measure.atlassian.net/wiki/spaces/DIC/pages/81101655"}</v>
      </c>
      <c r="J38" s="3"/>
    </row>
    <row r="39" spans="1:10" ht="13.25" customHeight="1" thickTop="1" thickBot="1" x14ac:dyDescent="0.4">
      <c r="A39" s="17" t="str">
        <f>SUBSTITUTE(SUBSTITUTE("n_"&amp;LOWER(SUBSTITUTE(SUBSTITUTE(SUBSTITUTE(NodesData[[#This Row],[label]]," ","_"),"/","_"),"-","_")),"__","_"),"__","_")</f>
        <v>n_authenticated_users</v>
      </c>
      <c r="B39" s="18" t="s">
        <v>610</v>
      </c>
      <c r="C39" s="18" t="s">
        <v>611</v>
      </c>
      <c r="D39" s="3" t="s">
        <v>1411</v>
      </c>
      <c r="E39" s="3">
        <f t="shared" si="0"/>
        <v>37</v>
      </c>
      <c r="F39" s="3">
        <f>COUNTIF(NodesData[label],NodesData[[#This Row],[label]])</f>
        <v>1</v>
      </c>
      <c r="G39" s="3">
        <f>COUNTIF(ConceptNodes9['[A_ID']],NodesData[[#This Row],[id]])+COUNTIF(ConceptNodes9['[B_ID']],NodesData[[#This Row],[id]])</f>
        <v>0</v>
      </c>
      <c r="H39" s="3">
        <f>IF(NodesData[[#This Row],[Used]]&gt;0,1,0)</f>
        <v>0</v>
      </c>
      <c r="I39" s="19" t="str" cm="1">
        <f t="array" ref="I39">IF(NodesData[[#This Row],[Count]]&gt;1,",","") &amp;"{"&amp;twoRangesToJSON(NodesData[[#Headers],[id]:[url]],NodesData[[#This Row],[id]:[url]])&amp;"}"</f>
        <v>,{"id":"n_authenticated_users","label":"Authenticated Users","url":"https://open-measure.atlassian.net/wiki/spaces/DIC/pages/966492169"}</v>
      </c>
      <c r="J39" s="3"/>
    </row>
    <row r="40" spans="1:10" ht="13.25" customHeight="1" thickTop="1" thickBot="1" x14ac:dyDescent="0.4">
      <c r="A40" s="17" t="str">
        <f>SUBSTITUTE(SUBSTITUTE("n_"&amp;LOWER(SUBSTITUTE(SUBSTITUTE(SUBSTITUTE(NodesData[[#This Row],[label]]," ","_"),"/","_"),"-","_")),"__","_"),"__","_")</f>
        <v>n_authentication</v>
      </c>
      <c r="B40" s="18" t="s">
        <v>612</v>
      </c>
      <c r="C40" s="18" t="s">
        <v>613</v>
      </c>
      <c r="D40" s="3" t="s">
        <v>1411</v>
      </c>
      <c r="E40" s="3">
        <f t="shared" si="0"/>
        <v>38</v>
      </c>
      <c r="F40" s="3">
        <f>COUNTIF(NodesData[label],NodesData[[#This Row],[label]])</f>
        <v>1</v>
      </c>
      <c r="G40" s="3">
        <f>COUNTIF(ConceptNodes9['[A_ID']],NodesData[[#This Row],[id]])+COUNTIF(ConceptNodes9['[B_ID']],NodesData[[#This Row],[id]])</f>
        <v>0</v>
      </c>
      <c r="H40" s="3">
        <f>IF(NodesData[[#This Row],[Used]]&gt;0,1,0)</f>
        <v>0</v>
      </c>
      <c r="I40" s="19" t="str" cm="1">
        <f t="array" ref="I40">IF(NodesData[[#This Row],[Count]]&gt;1,",","") &amp;"{"&amp;twoRangesToJSON(NodesData[[#Headers],[id]:[url]],NodesData[[#This Row],[id]:[url]])&amp;"}"</f>
        <v>,{"id":"n_authentication","label":"Authentication","url":"https://open-measure.atlassian.net/wiki/spaces/DIC/pages/61177884"}</v>
      </c>
      <c r="J40" s="3"/>
    </row>
    <row r="41" spans="1:10" ht="13.25" customHeight="1" thickTop="1" thickBot="1" x14ac:dyDescent="0.4">
      <c r="A41" s="17" t="str">
        <f>SUBSTITUTE(SUBSTITUTE("n_"&amp;LOWER(SUBSTITUTE(SUBSTITUTE(SUBSTITUTE(NodesData[[#This Row],[label]]," ","_"),"/","_"),"-","_")),"__","_"),"__","_")</f>
        <v>n_authentication_factor</v>
      </c>
      <c r="B41" s="18" t="s">
        <v>0</v>
      </c>
      <c r="C41" s="18" t="s">
        <v>614</v>
      </c>
      <c r="D41" s="3" t="s">
        <v>1411</v>
      </c>
      <c r="E41" s="3">
        <f t="shared" si="0"/>
        <v>39</v>
      </c>
      <c r="F41" s="3">
        <f>COUNTIF(NodesData[label],NodesData[[#This Row],[label]])</f>
        <v>1</v>
      </c>
      <c r="G41" s="3">
        <f>COUNTIF(ConceptNodes9['[A_ID']],NodesData[[#This Row],[id]])+COUNTIF(ConceptNodes9['[B_ID']],NodesData[[#This Row],[id]])</f>
        <v>5</v>
      </c>
      <c r="H41" s="3">
        <f>IF(NodesData[[#This Row],[Used]]&gt;0,1,0)</f>
        <v>1</v>
      </c>
      <c r="I41" s="19" t="str" cm="1">
        <f t="array" ref="I41">IF(NodesData[[#This Row],[Count]]&gt;1,",","") &amp;"{"&amp;twoRangesToJSON(NodesData[[#Headers],[id]:[url]],NodesData[[#This Row],[id]:[url]])&amp;"}"</f>
        <v>,{"id":"n_authentication_factor","label":"Authentication Factor","url":"https://open-measure.atlassian.net/wiki/spaces/DIC/pages/81199158"}</v>
      </c>
      <c r="J41" s="3"/>
    </row>
    <row r="42" spans="1:10" ht="13.25" customHeight="1" thickTop="1" thickBot="1" x14ac:dyDescent="0.4">
      <c r="A42" s="24" t="str">
        <f>SUBSTITUTE(SUBSTITUTE("n_"&amp;LOWER(SUBSTITUTE(SUBSTITUTE(SUBSTITUTE(NodesData[[#This Row],[label]]," ","_"),"/","_"),"-","_")),"__","_"),"__","_")</f>
        <v>n_authentication_method</v>
      </c>
      <c r="B42" s="23" t="s">
        <v>1394</v>
      </c>
      <c r="C42" s="23"/>
      <c r="D42" s="3" t="s">
        <v>1411</v>
      </c>
      <c r="E42" s="3">
        <f t="shared" si="0"/>
        <v>40</v>
      </c>
      <c r="F42" s="3">
        <f>COUNTIF(NodesData[label],NodesData[[#This Row],[label]])</f>
        <v>1</v>
      </c>
      <c r="G42" s="3">
        <f>COUNTIF(ConceptNodes9['[A_ID']],NodesData[[#This Row],[id]])+COUNTIF(ConceptNodes9['[B_ID']],NodesData[[#This Row],[id]])</f>
        <v>14</v>
      </c>
      <c r="H42" s="3">
        <f>IF(NodesData[[#This Row],[Used]]&gt;0,1,0)</f>
        <v>1</v>
      </c>
      <c r="I42" s="19" t="str" cm="1">
        <f t="array" ref="I42">IF(NodesData[[#This Row],[Count]]&gt;1,",","") &amp;"{"&amp;twoRangesToJSON(NodesData[[#Headers],[id]:[url]],NodesData[[#This Row],[id]:[url]])&amp;"}"</f>
        <v>,{"id":"n_authentication_method","label":"Authentication Method","url":""}</v>
      </c>
      <c r="J42" s="3"/>
    </row>
    <row r="43" spans="1:10" ht="13.25" customHeight="1" thickTop="1" thickBot="1" x14ac:dyDescent="0.4">
      <c r="A43" s="17" t="str">
        <f>SUBSTITUTE(SUBSTITUTE("n_"&amp;LOWER(SUBSTITUTE(SUBSTITUTE(SUBSTITUTE(NodesData[[#This Row],[label]]," ","_"),"/","_"),"-","_")),"__","_"),"__","_")</f>
        <v>n_authenticator</v>
      </c>
      <c r="B43" s="18" t="s">
        <v>615</v>
      </c>
      <c r="C43" s="18" t="s">
        <v>616</v>
      </c>
      <c r="D43" s="3" t="s">
        <v>1411</v>
      </c>
      <c r="E43" s="3">
        <f t="shared" si="0"/>
        <v>41</v>
      </c>
      <c r="F43" s="3">
        <f>COUNTIF(NodesData[label],NodesData[[#This Row],[label]])</f>
        <v>1</v>
      </c>
      <c r="G43" s="3">
        <f>COUNTIF(ConceptNodes9['[A_ID']],NodesData[[#This Row],[id]])+COUNTIF(ConceptNodes9['[B_ID']],NodesData[[#This Row],[id]])</f>
        <v>0</v>
      </c>
      <c r="H43" s="3">
        <f>IF(NodesData[[#This Row],[Used]]&gt;0,1,0)</f>
        <v>0</v>
      </c>
      <c r="I43" s="19" t="str" cm="1">
        <f t="array" ref="I43">IF(NodesData[[#This Row],[Count]]&gt;1,",","") &amp;"{"&amp;twoRangesToJSON(NodesData[[#Headers],[id]:[url]],NodesData[[#This Row],[id]:[url]])&amp;"}"</f>
        <v>,{"id":"n_authenticator","label":"Authenticator","url":"https://open-measure.atlassian.net/wiki/spaces/DIC/pages/848724060"}</v>
      </c>
      <c r="J43" s="3"/>
    </row>
    <row r="44" spans="1:10" ht="13.25" customHeight="1" thickTop="1" thickBot="1" x14ac:dyDescent="0.4">
      <c r="A44" s="17" t="str">
        <f>SUBSTITUTE(SUBSTITUTE("n_"&amp;LOWER(SUBSTITUTE(SUBSTITUTE(SUBSTITUTE(NodesData[[#This Row],[label]]," ","_"),"/","_"),"-","_")),"__","_"),"__","_")</f>
        <v>n_authority</v>
      </c>
      <c r="B44" s="18" t="s">
        <v>617</v>
      </c>
      <c r="C44" s="18" t="s">
        <v>618</v>
      </c>
      <c r="D44" s="3" t="s">
        <v>1411</v>
      </c>
      <c r="E44" s="3">
        <f t="shared" si="0"/>
        <v>42</v>
      </c>
      <c r="F44" s="3">
        <f>COUNTIF(NodesData[label],NodesData[[#This Row],[label]])</f>
        <v>1</v>
      </c>
      <c r="G44" s="3">
        <f>COUNTIF(ConceptNodes9['[A_ID']],NodesData[[#This Row],[id]])+COUNTIF(ConceptNodes9['[B_ID']],NodesData[[#This Row],[id]])</f>
        <v>0</v>
      </c>
      <c r="H44" s="3">
        <f>IF(NodesData[[#This Row],[Used]]&gt;0,1,0)</f>
        <v>0</v>
      </c>
      <c r="I44" s="19" t="str" cm="1">
        <f t="array" ref="I44">IF(NodesData[[#This Row],[Count]]&gt;1,",","") &amp;"{"&amp;twoRangesToJSON(NodesData[[#Headers],[id]:[url]],NodesData[[#This Row],[id]:[url]])&amp;"}"</f>
        <v>,{"id":"n_authority","label":"Authority","url":"https://open-measure.atlassian.net/wiki/spaces/DIC/pages/998178905"}</v>
      </c>
      <c r="J44" s="3"/>
    </row>
    <row r="45" spans="1:10" ht="13.25" customHeight="1" thickTop="1" thickBot="1" x14ac:dyDescent="0.4">
      <c r="A45" s="17" t="str">
        <f>SUBSTITUTE(SUBSTITUTE("n_"&amp;LOWER(SUBSTITUTE(SUBSTITUTE(SUBSTITUTE(NodesData[[#This Row],[label]]," ","_"),"/","_"),"-","_")),"__","_"),"__","_")</f>
        <v>n_authorization</v>
      </c>
      <c r="B45" s="18" t="s">
        <v>619</v>
      </c>
      <c r="C45" s="18" t="s">
        <v>620</v>
      </c>
      <c r="D45" s="3" t="s">
        <v>1411</v>
      </c>
      <c r="E45" s="3">
        <f t="shared" si="0"/>
        <v>43</v>
      </c>
      <c r="F45" s="3">
        <f>COUNTIF(NodesData[label],NodesData[[#This Row],[label]])</f>
        <v>1</v>
      </c>
      <c r="G45" s="3">
        <f>COUNTIF(ConceptNodes9['[A_ID']],NodesData[[#This Row],[id]])+COUNTIF(ConceptNodes9['[B_ID']],NodesData[[#This Row],[id]])</f>
        <v>0</v>
      </c>
      <c r="H45" s="3">
        <f>IF(NodesData[[#This Row],[Used]]&gt;0,1,0)</f>
        <v>0</v>
      </c>
      <c r="I45" s="19" t="str" cm="1">
        <f t="array" ref="I45">IF(NodesData[[#This Row],[Count]]&gt;1,",","") &amp;"{"&amp;twoRangesToJSON(NodesData[[#Headers],[id]:[url]],NodesData[[#This Row],[id]:[url]])&amp;"}"</f>
        <v>,{"id":"n_authorization","label":"Authorization","url":"https://open-measure.atlassian.net/wiki/spaces/DIC/pages/60882993"}</v>
      </c>
      <c r="J45" s="3"/>
    </row>
    <row r="46" spans="1:10" ht="13.25" customHeight="1" thickTop="1" thickBot="1" x14ac:dyDescent="0.4">
      <c r="A46" s="17" t="str">
        <f>SUBSTITUTE(SUBSTITUTE("n_"&amp;LOWER(SUBSTITUTE(SUBSTITUTE(SUBSTITUTE(NodesData[[#This Row],[label]]," ","_"),"/","_"),"-","_")),"__","_"),"__","_")</f>
        <v>n_awareness</v>
      </c>
      <c r="B46" s="18" t="s">
        <v>622</v>
      </c>
      <c r="C46" s="18" t="s">
        <v>623</v>
      </c>
      <c r="D46" s="3" t="s">
        <v>1411</v>
      </c>
      <c r="E46" s="3">
        <f t="shared" si="0"/>
        <v>44</v>
      </c>
      <c r="F46" s="3">
        <f>COUNTIF(NodesData[label],NodesData[[#This Row],[label]])</f>
        <v>1</v>
      </c>
      <c r="G46" s="3">
        <f>COUNTIF(ConceptNodes9['[A_ID']],NodesData[[#This Row],[id]])+COUNTIF(ConceptNodes9['[B_ID']],NodesData[[#This Row],[id]])</f>
        <v>0</v>
      </c>
      <c r="H46" s="3">
        <f>IF(NodesData[[#This Row],[Used]]&gt;0,1,0)</f>
        <v>0</v>
      </c>
      <c r="I46" s="19" t="str" cm="1">
        <f t="array" ref="I46">IF(NodesData[[#This Row],[Count]]&gt;1,",","") &amp;"{"&amp;twoRangesToJSON(NodesData[[#Headers],[id]:[url]],NodesData[[#This Row],[id]:[url]])&amp;"}"</f>
        <v>,{"id":"n_awareness","label":"Awareness","url":"https://open-measure.atlassian.net/wiki/spaces/DIC/pages/1311472"}</v>
      </c>
      <c r="J46" s="3"/>
    </row>
    <row r="47" spans="1:10" ht="13.25" customHeight="1" thickTop="1" thickBot="1" x14ac:dyDescent="0.4">
      <c r="A47" s="17" t="str">
        <f>SUBSTITUTE(SUBSTITUTE("n_"&amp;LOWER(SUBSTITUTE(SUBSTITUTE(SUBSTITUTE(NodesData[[#This Row],[label]]," ","_"),"/","_"),"-","_")),"__","_"),"__","_")</f>
        <v>n_aws_account_root_user</v>
      </c>
      <c r="B47" s="18" t="s">
        <v>624</v>
      </c>
      <c r="C47" s="18" t="s">
        <v>625</v>
      </c>
      <c r="D47" s="3" t="s">
        <v>1411</v>
      </c>
      <c r="E47" s="3">
        <f t="shared" si="0"/>
        <v>45</v>
      </c>
      <c r="F47" s="3">
        <f>COUNTIF(NodesData[label],NodesData[[#This Row],[label]])</f>
        <v>1</v>
      </c>
      <c r="G47" s="3">
        <f>COUNTIF(ConceptNodes9['[A_ID']],NodesData[[#This Row],[id]])+COUNTIF(ConceptNodes9['[B_ID']],NodesData[[#This Row],[id]])</f>
        <v>0</v>
      </c>
      <c r="H47" s="3">
        <f>IF(NodesData[[#This Row],[Used]]&gt;0,1,0)</f>
        <v>0</v>
      </c>
      <c r="I47" s="19" t="str" cm="1">
        <f t="array" ref="I47">IF(NodesData[[#This Row],[Count]]&gt;1,",","") &amp;"{"&amp;twoRangesToJSON(NodesData[[#Headers],[id]:[url]],NodesData[[#This Row],[id]:[url]])&amp;"}"</f>
        <v>,{"id":"n_aws_account_root_user","label":"AWS Account Root User","url":"https://open-measure.atlassian.net/wiki/spaces/DIC/pages/998277774"}</v>
      </c>
      <c r="J47" s="3"/>
    </row>
    <row r="48" spans="1:10" ht="13.25" customHeight="1" thickTop="1" thickBot="1" x14ac:dyDescent="0.4">
      <c r="A48" s="17" t="str">
        <f>SUBSTITUTE(SUBSTITUTE("n_"&amp;LOWER(SUBSTITUTE(SUBSTITUTE(SUBSTITUTE(NodesData[[#This Row],[label]]," ","_"),"/","_"),"-","_")),"__","_"),"__","_")</f>
        <v>n_aws_acl</v>
      </c>
      <c r="B48" s="18" t="s">
        <v>626</v>
      </c>
      <c r="C48" s="18" t="s">
        <v>627</v>
      </c>
      <c r="D48" s="3" t="s">
        <v>1301</v>
      </c>
      <c r="E48" s="3">
        <f t="shared" si="0"/>
        <v>46</v>
      </c>
      <c r="F48" s="3">
        <f>COUNTIF(NodesData[label],NodesData[[#This Row],[label]])</f>
        <v>1</v>
      </c>
      <c r="G48" s="3">
        <f>COUNTIF(ConceptNodes9['[A_ID']],NodesData[[#This Row],[id]])+COUNTIF(ConceptNodes9['[B_ID']],NodesData[[#This Row],[id]])</f>
        <v>0</v>
      </c>
      <c r="H48" s="3">
        <f>IF(NodesData[[#This Row],[Used]]&gt;0,1,0)</f>
        <v>0</v>
      </c>
      <c r="I48" s="19" t="str" cm="1">
        <f t="array" ref="I48">IF(NodesData[[#This Row],[Count]]&gt;1,",","") &amp;"{"&amp;twoRangesToJSON(NodesData[[#Headers],[id]:[url]],NodesData[[#This Row],[id]:[url]])&amp;"}"</f>
        <v>,{"id":"n_aws_acl","label":"AWS ACL","url":"https://open-measure.atlassian.net/wiki/spaces/DIC/pages/998245198"}</v>
      </c>
      <c r="J48" s="3"/>
    </row>
    <row r="49" spans="1:10" ht="13.25" customHeight="1" thickTop="1" thickBot="1" x14ac:dyDescent="0.4">
      <c r="A49" s="17" t="str">
        <f>SUBSTITUTE(SUBSTITUTE("n_"&amp;LOWER(SUBSTITUTE(SUBSTITUTE(SUBSTITUTE(NodesData[[#This Row],[label]]," ","_"),"/","_"),"-","_")),"__","_"),"__","_")</f>
        <v>n_aws_iam</v>
      </c>
      <c r="B49" s="18" t="s">
        <v>628</v>
      </c>
      <c r="C49" s="18" t="s">
        <v>629</v>
      </c>
      <c r="D49" s="3" t="s">
        <v>1301</v>
      </c>
      <c r="E49" s="3">
        <f t="shared" si="0"/>
        <v>47</v>
      </c>
      <c r="F49" s="3">
        <f>COUNTIF(NodesData[label],NodesData[[#This Row],[label]])</f>
        <v>1</v>
      </c>
      <c r="G49" s="3">
        <f>COUNTIF(ConceptNodes9['[A_ID']],NodesData[[#This Row],[id]])+COUNTIF(ConceptNodes9['[B_ID']],NodesData[[#This Row],[id]])</f>
        <v>0</v>
      </c>
      <c r="H49" s="3">
        <f>IF(NodesData[[#This Row],[Used]]&gt;0,1,0)</f>
        <v>0</v>
      </c>
      <c r="I49" s="19" t="str" cm="1">
        <f t="array" ref="I49">IF(NodesData[[#This Row],[Count]]&gt;1,",","") &amp;"{"&amp;twoRangesToJSON(NodesData[[#Headers],[id]:[url]],NodesData[[#This Row],[id]:[url]])&amp;"}"</f>
        <v>,{"id":"n_aws_iam","label":"AWS IAM","url":"https://open-measure.atlassian.net/wiki/spaces/DIC/pages/998277876"}</v>
      </c>
      <c r="J49" s="3"/>
    </row>
    <row r="50" spans="1:10" ht="13.25" customHeight="1" thickTop="1" thickBot="1" x14ac:dyDescent="0.4">
      <c r="A50" s="17" t="str">
        <f>SUBSTITUTE(SUBSTITUTE("n_"&amp;LOWER(SUBSTITUTE(SUBSTITUTE(SUBSTITUTE(NodesData[[#This Row],[label]]," ","_"),"/","_"),"-","_")),"__","_"),"__","_")</f>
        <v>n_aws_iam_group</v>
      </c>
      <c r="B50" s="18" t="s">
        <v>630</v>
      </c>
      <c r="C50" s="18" t="s">
        <v>631</v>
      </c>
      <c r="D50" s="3" t="s">
        <v>1301</v>
      </c>
      <c r="E50" s="3">
        <f t="shared" si="0"/>
        <v>48</v>
      </c>
      <c r="F50" s="3">
        <f>COUNTIF(NodesData[label],NodesData[[#This Row],[label]])</f>
        <v>1</v>
      </c>
      <c r="G50" s="3">
        <f>COUNTIF(ConceptNodes9['[A_ID']],NodesData[[#This Row],[id]])+COUNTIF(ConceptNodes9['[B_ID']],NodesData[[#This Row],[id]])</f>
        <v>0</v>
      </c>
      <c r="H50" s="3">
        <f>IF(NodesData[[#This Row],[Used]]&gt;0,1,0)</f>
        <v>0</v>
      </c>
      <c r="I50" s="19" t="str" cm="1">
        <f t="array" ref="I50">IF(NodesData[[#This Row],[Count]]&gt;1,",","") &amp;"{"&amp;twoRangesToJSON(NodesData[[#Headers],[id]:[url]],NodesData[[#This Row],[id]:[url]])&amp;"}"</f>
        <v>,{"id":"n_aws_iam_group","label":"AWS IAM Group","url":"https://open-measure.atlassian.net/wiki/spaces/DIC/pages/998277805"}</v>
      </c>
      <c r="J50" s="3"/>
    </row>
    <row r="51" spans="1:10" ht="13.25" customHeight="1" thickTop="1" thickBot="1" x14ac:dyDescent="0.4">
      <c r="A51" s="17" t="str">
        <f>SUBSTITUTE(SUBSTITUTE("n_"&amp;LOWER(SUBSTITUTE(SUBSTITUTE(SUBSTITUTE(NodesData[[#This Row],[label]]," ","_"),"/","_"),"-","_")),"__","_"),"__","_")</f>
        <v>n_aws_iam_policy</v>
      </c>
      <c r="B51" s="18" t="s">
        <v>632</v>
      </c>
      <c r="C51" s="18" t="s">
        <v>633</v>
      </c>
      <c r="D51" s="3" t="s">
        <v>1301</v>
      </c>
      <c r="E51" s="3">
        <f t="shared" si="0"/>
        <v>49</v>
      </c>
      <c r="F51" s="3">
        <f>COUNTIF(NodesData[label],NodesData[[#This Row],[label]])</f>
        <v>1</v>
      </c>
      <c r="G51" s="3">
        <f>COUNTIF(ConceptNodes9['[A_ID']],NodesData[[#This Row],[id]])+COUNTIF(ConceptNodes9['[B_ID']],NodesData[[#This Row],[id]])</f>
        <v>0</v>
      </c>
      <c r="H51" s="3">
        <f>IF(NodesData[[#This Row],[Used]]&gt;0,1,0)</f>
        <v>0</v>
      </c>
      <c r="I51" s="19" t="str" cm="1">
        <f t="array" ref="I51">IF(NodesData[[#This Row],[Count]]&gt;1,",","") &amp;"{"&amp;twoRangesToJSON(NodesData[[#Headers],[id]:[url]],NodesData[[#This Row],[id]:[url]])&amp;"}"</f>
        <v>,{"id":"n_aws_iam_policy","label":"AWS IAM Policy","url":"https://open-measure.atlassian.net/wiki/spaces/DIC/pages/998277852"}</v>
      </c>
      <c r="J51" s="3"/>
    </row>
    <row r="52" spans="1:10" ht="13.25" customHeight="1" thickTop="1" thickBot="1" x14ac:dyDescent="0.4">
      <c r="A52" s="17" t="str">
        <f>SUBSTITUTE(SUBSTITUTE("n_"&amp;LOWER(SUBSTITUTE(SUBSTITUTE(SUBSTITUTE(NodesData[[#This Row],[label]]," ","_"),"/","_"),"-","_")),"__","_"),"__","_")</f>
        <v>n_aws_iam_principal</v>
      </c>
      <c r="B52" s="18" t="s">
        <v>634</v>
      </c>
      <c r="C52" s="18" t="s">
        <v>635</v>
      </c>
      <c r="D52" s="3" t="s">
        <v>1301</v>
      </c>
      <c r="E52" s="3">
        <f t="shared" si="0"/>
        <v>50</v>
      </c>
      <c r="F52" s="3">
        <f>COUNTIF(NodesData[label],NodesData[[#This Row],[label]])</f>
        <v>1</v>
      </c>
      <c r="G52" s="3">
        <f>COUNTIF(ConceptNodes9['[A_ID']],NodesData[[#This Row],[id]])+COUNTIF(ConceptNodes9['[B_ID']],NodesData[[#This Row],[id]])</f>
        <v>0</v>
      </c>
      <c r="H52" s="3">
        <f>IF(NodesData[[#This Row],[Used]]&gt;0,1,0)</f>
        <v>0</v>
      </c>
      <c r="I52" s="19" t="str" cm="1">
        <f t="array" ref="I52">IF(NodesData[[#This Row],[Count]]&gt;1,",","") &amp;"{"&amp;twoRangesToJSON(NodesData[[#Headers],[id]:[url]],NodesData[[#This Row],[id]:[url]])&amp;"}"</f>
        <v>,{"id":"n_aws_iam_principal","label":"AWS IAM Principal","url":"https://open-measure.atlassian.net/wiki/spaces/DIC/pages/1071251573"}</v>
      </c>
      <c r="J52" s="3"/>
    </row>
    <row r="53" spans="1:10" ht="13.25" customHeight="1" thickTop="1" thickBot="1" x14ac:dyDescent="0.4">
      <c r="A53" s="17" t="str">
        <f>SUBSTITUTE(SUBSTITUTE("n_"&amp;LOWER(SUBSTITUTE(SUBSTITUTE(SUBSTITUTE(NodesData[[#This Row],[label]]," ","_"),"/","_"),"-","_")),"__","_"),"__","_")</f>
        <v>n_aws_iam_role</v>
      </c>
      <c r="B53" s="18" t="s">
        <v>636</v>
      </c>
      <c r="C53" s="18" t="s">
        <v>637</v>
      </c>
      <c r="D53" s="3" t="s">
        <v>1301</v>
      </c>
      <c r="E53" s="3">
        <f t="shared" si="0"/>
        <v>51</v>
      </c>
      <c r="F53" s="3">
        <f>COUNTIF(NodesData[label],NodesData[[#This Row],[label]])</f>
        <v>1</v>
      </c>
      <c r="G53" s="3">
        <f>COUNTIF(ConceptNodes9['[A_ID']],NodesData[[#This Row],[id]])+COUNTIF(ConceptNodes9['[B_ID']],NodesData[[#This Row],[id]])</f>
        <v>0</v>
      </c>
      <c r="H53" s="3">
        <f>IF(NodesData[[#This Row],[Used]]&gt;0,1,0)</f>
        <v>0</v>
      </c>
      <c r="I53" s="19" t="str" cm="1">
        <f t="array" ref="I53">IF(NodesData[[#This Row],[Count]]&gt;1,",","") &amp;"{"&amp;twoRangesToJSON(NodesData[[#Headers],[id]:[url]],NodesData[[#This Row],[id]:[url]])&amp;"}"</f>
        <v>,{"id":"n_aws_iam_role","label":"AWS IAM Role","url":"https://open-measure.atlassian.net/wiki/spaces/DIC/pages/998245151"}</v>
      </c>
      <c r="J53" s="3"/>
    </row>
    <row r="54" spans="1:10" ht="13.25" customHeight="1" thickTop="1" thickBot="1" x14ac:dyDescent="0.4">
      <c r="A54" s="17" t="str">
        <f>SUBSTITUTE(SUBSTITUTE("n_"&amp;LOWER(SUBSTITUTE(SUBSTITUTE(SUBSTITUTE(NodesData[[#This Row],[label]]," ","_"),"/","_"),"-","_")),"__","_"),"__","_")</f>
        <v>n_aws_iam_temporary_security_credentials</v>
      </c>
      <c r="B54" s="18" t="s">
        <v>638</v>
      </c>
      <c r="C54" s="18" t="s">
        <v>639</v>
      </c>
      <c r="D54" s="3" t="s">
        <v>1301</v>
      </c>
      <c r="E54" s="3">
        <f t="shared" si="0"/>
        <v>52</v>
      </c>
      <c r="F54" s="3">
        <f>COUNTIF(NodesData[label],NodesData[[#This Row],[label]])</f>
        <v>1</v>
      </c>
      <c r="G54" s="3">
        <f>COUNTIF(ConceptNodes9['[A_ID']],NodesData[[#This Row],[id]])+COUNTIF(ConceptNodes9['[B_ID']],NodesData[[#This Row],[id]])</f>
        <v>0</v>
      </c>
      <c r="H54" s="3">
        <f>IF(NodesData[[#This Row],[Used]]&gt;0,1,0)</f>
        <v>0</v>
      </c>
      <c r="I54" s="19" t="str" cm="1">
        <f t="array" ref="I54">IF(NodesData[[#This Row],[Count]]&gt;1,",","") &amp;"{"&amp;twoRangesToJSON(NodesData[[#Headers],[id]:[url]],NodesData[[#This Row],[id]:[url]])&amp;"}"</f>
        <v>,{"id":"n_aws_iam_temporary_security_credentials","label":"AWS IAM Temporary Security Credentials","url":"https://open-measure.atlassian.net/wiki/spaces/DIC/pages/998277835"}</v>
      </c>
      <c r="J54" s="3"/>
    </row>
    <row r="55" spans="1:10" ht="13.25" customHeight="1" thickTop="1" thickBot="1" x14ac:dyDescent="0.4">
      <c r="A55" s="17" t="str">
        <f>SUBSTITUTE(SUBSTITUTE("n_"&amp;LOWER(SUBSTITUTE(SUBSTITUTE(SUBSTITUTE(NodesData[[#This Row],[label]]," ","_"),"/","_"),"-","_")),"__","_"),"__","_")</f>
        <v>n_aws_iam_user</v>
      </c>
      <c r="B55" s="18" t="s">
        <v>640</v>
      </c>
      <c r="C55" s="18" t="s">
        <v>641</v>
      </c>
      <c r="D55" s="3" t="s">
        <v>1301</v>
      </c>
      <c r="E55" s="3">
        <f t="shared" si="0"/>
        <v>53</v>
      </c>
      <c r="F55" s="3">
        <f>COUNTIF(NodesData[label],NodesData[[#This Row],[label]])</f>
        <v>1</v>
      </c>
      <c r="G55" s="3">
        <f>COUNTIF(ConceptNodes9['[A_ID']],NodesData[[#This Row],[id]])+COUNTIF(ConceptNodes9['[B_ID']],NodesData[[#This Row],[id]])</f>
        <v>0</v>
      </c>
      <c r="H55" s="3">
        <f>IF(NodesData[[#This Row],[Used]]&gt;0,1,0)</f>
        <v>0</v>
      </c>
      <c r="I55" s="19" t="str" cm="1">
        <f t="array" ref="I55">IF(NodesData[[#This Row],[Count]]&gt;1,",","") &amp;"{"&amp;twoRangesToJSON(NodesData[[#Headers],[id]:[url]],NodesData[[#This Row],[id]:[url]])&amp;"}"</f>
        <v>,{"id":"n_aws_iam_user","label":"AWS IAM User","url":"https://open-measure.atlassian.net/wiki/spaces/DIC/pages/998245125"}</v>
      </c>
      <c r="J55" s="3"/>
    </row>
    <row r="56" spans="1:10" ht="13.25" customHeight="1" thickTop="1" thickBot="1" x14ac:dyDescent="0.4">
      <c r="A56" s="17" t="str">
        <f>SUBSTITUTE(SUBSTITUTE("n_"&amp;LOWER(SUBSTITUTE(SUBSTITUTE(SUBSTITUTE(NodesData[[#This Row],[label]]," ","_"),"/","_"),"-","_")),"__","_"),"__","_")</f>
        <v>n_authorization_externalization</v>
      </c>
      <c r="B56" s="18" t="s">
        <v>80</v>
      </c>
      <c r="C56" s="18" t="s">
        <v>621</v>
      </c>
      <c r="D56" s="3" t="s">
        <v>1411</v>
      </c>
      <c r="E56" s="3">
        <f t="shared" si="0"/>
        <v>54</v>
      </c>
      <c r="F56" s="3">
        <f>COUNTIF(NodesData[label],NodesData[[#This Row],[label]])</f>
        <v>1</v>
      </c>
      <c r="G56" s="3">
        <f>COUNTIF(ConceptNodes9['[A_ID']],NodesData[[#This Row],[id]])+COUNTIF(ConceptNodes9['[B_ID']],NodesData[[#This Row],[id]])</f>
        <v>0</v>
      </c>
      <c r="H56" s="3">
        <f>IF(NodesData[[#This Row],[Used]]&gt;0,1,0)</f>
        <v>0</v>
      </c>
      <c r="I56" s="19" t="str" cm="1">
        <f t="array" ref="I56">IF(NodesData[[#This Row],[Count]]&gt;1,",","") &amp;"{"&amp;twoRangesToJSON(NodesData[[#Headers],[id]:[url]],NodesData[[#This Row],[id]:[url]])&amp;"}"</f>
        <v>,{"id":"n_authorization_externalization","label":"Authorization Externalization","url":"https://open-measure.atlassian.net/wiki/spaces/DIC/pages/1137573936/Authorization+Externalization"}</v>
      </c>
      <c r="J56" s="3"/>
    </row>
    <row r="57" spans="1:10" ht="13.25" customHeight="1" thickTop="1" thickBot="1" x14ac:dyDescent="0.4">
      <c r="A57" s="17" t="str">
        <f>SUBSTITUTE(SUBSTITUTE("n_"&amp;LOWER(SUBSTITUTE(SUBSTITUTE(SUBSTITUTE(NodesData[[#This Row],[label]]," ","_"),"/","_"),"-","_")),"__","_"),"__","_")</f>
        <v>n_bankid</v>
      </c>
      <c r="B57" s="18" t="s">
        <v>642</v>
      </c>
      <c r="C57" s="18" t="s">
        <v>643</v>
      </c>
      <c r="D57" s="3" t="s">
        <v>1301</v>
      </c>
      <c r="E57" s="3">
        <f t="shared" si="0"/>
        <v>55</v>
      </c>
      <c r="F57" s="3">
        <f>COUNTIF(NodesData[label],NodesData[[#This Row],[label]])</f>
        <v>1</v>
      </c>
      <c r="G57" s="3">
        <f>COUNTIF(ConceptNodes9['[A_ID']],NodesData[[#This Row],[id]])+COUNTIF(ConceptNodes9['[B_ID']],NodesData[[#This Row],[id]])</f>
        <v>0</v>
      </c>
      <c r="H57" s="3">
        <f>IF(NodesData[[#This Row],[Used]]&gt;0,1,0)</f>
        <v>0</v>
      </c>
      <c r="I57" s="19" t="str" cm="1">
        <f t="array" ref="I57">IF(NodesData[[#This Row],[Count]]&gt;1,",","") &amp;"{"&amp;twoRangesToJSON(NodesData[[#Headers],[id]:[url]],NodesData[[#This Row],[id]:[url]])&amp;"}"</f>
        <v>,{"id":"n_bankid","label":"BankID","url":"https://open-measure.atlassian.net/wiki/spaces/DIC/pages/797933843"}</v>
      </c>
      <c r="J57" s="3"/>
    </row>
    <row r="58" spans="1:10" ht="13.25" customHeight="1" thickTop="1" thickBot="1" x14ac:dyDescent="0.4">
      <c r="A58" s="17" t="str">
        <f>SUBSTITUTE(SUBSTITUTE("n_"&amp;LOWER(SUBSTITUTE(SUBSTITUTE(SUBSTITUTE(NodesData[[#This Row],[label]]," ","_"),"/","_"),"-","_")),"__","_"),"__","_")</f>
        <v>n_basic_z_rule</v>
      </c>
      <c r="B58" s="18" t="s">
        <v>644</v>
      </c>
      <c r="C58" s="18" t="s">
        <v>645</v>
      </c>
      <c r="D58" s="3" t="s">
        <v>1411</v>
      </c>
      <c r="E58" s="3">
        <f t="shared" si="0"/>
        <v>56</v>
      </c>
      <c r="F58" s="3">
        <f>COUNTIF(NodesData[label],NodesData[[#This Row],[label]])</f>
        <v>1</v>
      </c>
      <c r="G58" s="3">
        <f>COUNTIF(ConceptNodes9['[A_ID']],NodesData[[#This Row],[id]])+COUNTIF(ConceptNodes9['[B_ID']],NodesData[[#This Row],[id]])</f>
        <v>0</v>
      </c>
      <c r="H58" s="3">
        <f>IF(NodesData[[#This Row],[Used]]&gt;0,1,0)</f>
        <v>0</v>
      </c>
      <c r="I58" s="19" t="str" cm="1">
        <f t="array" ref="I58">IF(NodesData[[#This Row],[Count]]&gt;1,",","") &amp;"{"&amp;twoRangesToJSON(NodesData[[#Headers],[id]:[url]],NodesData[[#This Row],[id]:[url]])&amp;"}"</f>
        <v>,{"id":"n_basic_z_rule","label":"Basic Z Rule","url":"https://open-measure.atlassian.net/wiki/spaces/DIC/pages/1228079157"}</v>
      </c>
      <c r="J58" s="3"/>
    </row>
    <row r="59" spans="1:10" ht="13.25" customHeight="1" thickTop="1" thickBot="1" x14ac:dyDescent="0.4">
      <c r="A59" s="7" t="str">
        <f>SUBSTITUTE(SUBSTITUTE("n_"&amp;LOWER(SUBSTITUTE(SUBSTITUTE(SUBSTITUTE(NodesData[[#This Row],[label]]," ","_"),"/","_"),"-","_")),"__","_"),"__","_")</f>
        <v>n_back_end_authentication</v>
      </c>
      <c r="B59" s="12" t="s">
        <v>1348</v>
      </c>
      <c r="C59" s="12"/>
      <c r="D59" s="3" t="s">
        <v>1411</v>
      </c>
      <c r="E59" s="3">
        <f t="shared" si="0"/>
        <v>57</v>
      </c>
      <c r="F59" s="3">
        <f>COUNTIF(NodesData[label],NodesData[[#This Row],[label]])</f>
        <v>1</v>
      </c>
      <c r="G59" s="3">
        <f>COUNTIF(ConceptNodes9['[A_ID']],NodesData[[#This Row],[id]])+COUNTIF(ConceptNodes9['[B_ID']],NodesData[[#This Row],[id]])</f>
        <v>0</v>
      </c>
      <c r="H59" s="3">
        <f>IF(NodesData[[#This Row],[Used]]&gt;0,1,0)</f>
        <v>0</v>
      </c>
      <c r="I59" s="19" t="str" cm="1">
        <f t="array" ref="I59">IF(NodesData[[#This Row],[Count]]&gt;1,",","") &amp;"{"&amp;twoRangesToJSON(NodesData[[#Headers],[id]:[url]],NodesData[[#This Row],[id]:[url]])&amp;"}"</f>
        <v>,{"id":"n_back_end_authentication","label":"Back-end Authentication","url":""}</v>
      </c>
      <c r="J59" s="3"/>
    </row>
    <row r="60" spans="1:10" ht="13.25" customHeight="1" thickTop="1" thickBot="1" x14ac:dyDescent="0.4">
      <c r="A60" s="17" t="str">
        <f>SUBSTITUTE(SUBSTITUTE("n_"&amp;LOWER(SUBSTITUTE(SUBSTITUTE(SUBSTITUTE(NodesData[[#This Row],[label]]," ","_"),"/","_"),"-","_")),"__","_"),"__","_")</f>
        <v>n_bell_lapadula_model</v>
      </c>
      <c r="B60" s="18" t="s">
        <v>102</v>
      </c>
      <c r="C60" s="18" t="s">
        <v>647</v>
      </c>
      <c r="D60" s="3" t="s">
        <v>1411</v>
      </c>
      <c r="E60" s="3">
        <f t="shared" si="0"/>
        <v>58</v>
      </c>
      <c r="F60" s="3">
        <f>COUNTIF(NodesData[label],NodesData[[#This Row],[label]])</f>
        <v>1</v>
      </c>
      <c r="G60" s="3">
        <f>COUNTIF(ConceptNodes9['[A_ID']],NodesData[[#This Row],[id]])+COUNTIF(ConceptNodes9['[B_ID']],NodesData[[#This Row],[id]])</f>
        <v>0</v>
      </c>
      <c r="H60" s="3">
        <f>IF(NodesData[[#This Row],[Used]]&gt;0,1,0)</f>
        <v>0</v>
      </c>
      <c r="I60" s="19" t="str" cm="1">
        <f t="array" ref="I60">IF(NodesData[[#This Row],[Count]]&gt;1,",","") &amp;"{"&amp;twoRangesToJSON(NodesData[[#Headers],[id]:[url]],NodesData[[#This Row],[id]:[url]])&amp;"}"</f>
        <v>,{"id":"n_bell_lapadula_model","label":"Bell-LaPadula Model","url":"https://open-measure.atlassian.net/wiki/spaces/DIC/pages/1237549087/Bell-LaPadula+Model"}</v>
      </c>
      <c r="J60" s="3"/>
    </row>
    <row r="61" spans="1:10" ht="13.25" customHeight="1" thickTop="1" thickBot="1" x14ac:dyDescent="0.4">
      <c r="A61" s="17" t="str">
        <f>SUBSTITUTE(SUBSTITUTE("n_"&amp;LOWER(SUBSTITUTE(SUBSTITUTE(SUBSTITUTE(NodesData[[#This Row],[label]]," ","_"),"/","_"),"-","_")),"__","_"),"__","_")</f>
        <v>n_behavioral_authentication</v>
      </c>
      <c r="B61" s="18" t="s">
        <v>100</v>
      </c>
      <c r="C61" s="18" t="s">
        <v>646</v>
      </c>
      <c r="D61" s="3" t="s">
        <v>1411</v>
      </c>
      <c r="E61" s="3">
        <f t="shared" si="0"/>
        <v>59</v>
      </c>
      <c r="F61" s="3">
        <f>COUNTIF(NodesData[label],NodesData[[#This Row],[label]])</f>
        <v>1</v>
      </c>
      <c r="G61" s="3">
        <f>COUNTIF(ConceptNodes9['[A_ID']],NodesData[[#This Row],[id]])+COUNTIF(ConceptNodes9['[B_ID']],NodesData[[#This Row],[id]])</f>
        <v>0</v>
      </c>
      <c r="H61" s="3">
        <f>IF(NodesData[[#This Row],[Used]]&gt;0,1,0)</f>
        <v>0</v>
      </c>
      <c r="I61" s="19" t="str" cm="1">
        <f t="array" ref="I61">IF(NodesData[[#This Row],[Count]]&gt;1,",","") &amp;"{"&amp;twoRangesToJSON(NodesData[[#Headers],[id]:[url]],NodesData[[#This Row],[id]:[url]])&amp;"}"</f>
        <v>,{"id":"n_behavioral_authentication","label":"Behavioral Authentication","url":"https://open-measure.atlassian.net/wiki/spaces/DIC/pages/1673527501/Behavioral+Authentication"}</v>
      </c>
      <c r="J61" s="3"/>
    </row>
    <row r="62" spans="1:10" ht="13.25" customHeight="1" thickTop="1" thickBot="1" x14ac:dyDescent="0.4">
      <c r="A62" s="17" t="str">
        <f>SUBSTITUTE(SUBSTITUTE("n_"&amp;LOWER(SUBSTITUTE(SUBSTITUTE(SUBSTITUTE(NodesData[[#This Row],[label]]," ","_"),"/","_"),"-","_")),"__","_"),"__","_")</f>
        <v>n_biometric_identification</v>
      </c>
      <c r="B62" s="18" t="s">
        <v>648</v>
      </c>
      <c r="C62" s="18" t="s">
        <v>649</v>
      </c>
      <c r="D62" s="3" t="s">
        <v>1411</v>
      </c>
      <c r="E62" s="3">
        <f t="shared" si="0"/>
        <v>60</v>
      </c>
      <c r="F62" s="3">
        <f>COUNTIF(NodesData[label],NodesData[[#This Row],[label]])</f>
        <v>1</v>
      </c>
      <c r="G62" s="3">
        <f>COUNTIF(ConceptNodes9['[A_ID']],NodesData[[#This Row],[id]])+COUNTIF(ConceptNodes9['[B_ID']],NodesData[[#This Row],[id]])</f>
        <v>14</v>
      </c>
      <c r="H62" s="3">
        <f>IF(NodesData[[#This Row],[Used]]&gt;0,1,0)</f>
        <v>1</v>
      </c>
      <c r="I62" s="19" t="str" cm="1">
        <f t="array" ref="I62">IF(NodesData[[#This Row],[Count]]&gt;1,",","") &amp;"{"&amp;twoRangesToJSON(NodesData[[#Headers],[id]:[url]],NodesData[[#This Row],[id]:[url]])&amp;"}"</f>
        <v>,{"id":"n_biometric_identification","label":"Biometric Identification","url":"https://open-measure.atlassian.net/wiki/spaces/DIC/pages/409174210"}</v>
      </c>
      <c r="J62" s="3"/>
    </row>
    <row r="63" spans="1:10" ht="13.25" customHeight="1" thickTop="1" thickBot="1" x14ac:dyDescent="0.4">
      <c r="A63" s="17" t="str">
        <f>SUBSTITUTE(SUBSTITUTE("n_"&amp;LOWER(SUBSTITUTE(SUBSTITUTE(SUBSTITUTE(NodesData[[#This Row],[label]]," ","_"),"/","_"),"-","_")),"__","_"),"__","_")</f>
        <v>n_biometrics</v>
      </c>
      <c r="B63" s="18" t="s">
        <v>650</v>
      </c>
      <c r="C63" s="18" t="s">
        <v>651</v>
      </c>
      <c r="D63" s="3" t="s">
        <v>1411</v>
      </c>
      <c r="E63" s="3">
        <f t="shared" si="0"/>
        <v>61</v>
      </c>
      <c r="F63" s="3">
        <f>COUNTIF(NodesData[label],NodesData[[#This Row],[label]])</f>
        <v>1</v>
      </c>
      <c r="G63" s="3">
        <f>COUNTIF(ConceptNodes9['[A_ID']],NodesData[[#This Row],[id]])+COUNTIF(ConceptNodes9['[B_ID']],NodesData[[#This Row],[id]])</f>
        <v>0</v>
      </c>
      <c r="H63" s="3">
        <f>IF(NodesData[[#This Row],[Used]]&gt;0,1,0)</f>
        <v>0</v>
      </c>
      <c r="I63" s="19" t="str" cm="1">
        <f t="array" ref="I63">IF(NodesData[[#This Row],[Count]]&gt;1,",","") &amp;"{"&amp;twoRangesToJSON(NodesData[[#Headers],[id]:[url]],NodesData[[#This Row],[id]:[url]])&amp;"}"</f>
        <v>,{"id":"n_biometrics","label":"Biometrics","url":"https://open-measure.atlassian.net/wiki/spaces/DIC/pages/409010581"}</v>
      </c>
      <c r="J63" s="3"/>
    </row>
    <row r="64" spans="1:10" ht="13.25" customHeight="1" thickTop="1" thickBot="1" x14ac:dyDescent="0.4">
      <c r="A64" s="17" t="str">
        <f>SUBSTITUTE(SUBSTITUTE("n_"&amp;LOWER(SUBSTITUTE(SUBSTITUTE(SUBSTITUTE(NodesData[[#This Row],[label]]," ","_"),"/","_"),"-","_")),"__","_"),"__","_")</f>
        <v>n_birth_certificate</v>
      </c>
      <c r="B64" s="18" t="s">
        <v>652</v>
      </c>
      <c r="C64" s="18" t="s">
        <v>653</v>
      </c>
      <c r="D64" s="3" t="s">
        <v>1411</v>
      </c>
      <c r="E64" s="3">
        <f t="shared" si="0"/>
        <v>62</v>
      </c>
      <c r="F64" s="3">
        <f>COUNTIF(NodesData[label],NodesData[[#This Row],[label]])</f>
        <v>1</v>
      </c>
      <c r="G64" s="3">
        <f>COUNTIF(ConceptNodes9['[A_ID']],NodesData[[#This Row],[id]])+COUNTIF(ConceptNodes9['[B_ID']],NodesData[[#This Row],[id]])</f>
        <v>0</v>
      </c>
      <c r="H64" s="3">
        <f>IF(NodesData[[#This Row],[Used]]&gt;0,1,0)</f>
        <v>0</v>
      </c>
      <c r="I64" s="19" t="str" cm="1">
        <f t="array" ref="I64">IF(NodesData[[#This Row],[Count]]&gt;1,",","") &amp;"{"&amp;twoRangesToJSON(NodesData[[#Headers],[id]:[url]],NodesData[[#This Row],[id]:[url]])&amp;"}"</f>
        <v>,{"id":"n_birth_certificate","label":"Birth Certificate","url":"https://open-measure.atlassian.net/wiki/spaces/DIC/pages/1031209441"}</v>
      </c>
      <c r="J64" s="3"/>
    </row>
    <row r="65" spans="1:10" ht="13.25" customHeight="1" thickTop="1" thickBot="1" x14ac:dyDescent="0.4">
      <c r="A65" s="17" t="str">
        <f>SUBSTITUTE(SUBSTITUTE("n_"&amp;LOWER(SUBSTITUTE(SUBSTITUTE(SUBSTITUTE(NodesData[[#This Row],[label]]," ","_"),"/","_"),"-","_")),"__","_"),"__","_")</f>
        <v>n_blast_radius</v>
      </c>
      <c r="B65" s="18" t="s">
        <v>654</v>
      </c>
      <c r="C65" s="18" t="s">
        <v>655</v>
      </c>
      <c r="D65" s="3" t="s">
        <v>1411</v>
      </c>
      <c r="E65" s="3">
        <f t="shared" si="0"/>
        <v>63</v>
      </c>
      <c r="F65" s="3">
        <f>COUNTIF(NodesData[label],NodesData[[#This Row],[label]])</f>
        <v>1</v>
      </c>
      <c r="G65" s="3">
        <f>COUNTIF(ConceptNodes9['[A_ID']],NodesData[[#This Row],[id]])+COUNTIF(ConceptNodes9['[B_ID']],NodesData[[#This Row],[id]])</f>
        <v>0</v>
      </c>
      <c r="H65" s="3">
        <f>IF(NodesData[[#This Row],[Used]]&gt;0,1,0)</f>
        <v>0</v>
      </c>
      <c r="I65" s="19" t="str" cm="1">
        <f t="array" ref="I65">IF(NodesData[[#This Row],[Count]]&gt;1,",","") &amp;"{"&amp;twoRangesToJSON(NodesData[[#Headers],[id]:[url]],NodesData[[#This Row],[id]:[url]])&amp;"}"</f>
        <v>,{"id":"n_blast_radius","label":"Blast Radius","url":"https://open-measure.atlassian.net/wiki/spaces/DIC/pages/794492970"}</v>
      </c>
      <c r="J65" s="3"/>
    </row>
    <row r="66" spans="1:10" ht="13.25" customHeight="1" thickTop="1" thickBot="1" x14ac:dyDescent="0.4">
      <c r="A66" s="17" t="str">
        <f>SUBSTITUTE(SUBSTITUTE("n_"&amp;LOWER(SUBSTITUTE(SUBSTITUTE(SUBSTITUTE(NodesData[[#This Row],[label]]," ","_"),"/","_"),"-","_")),"__","_"),"__","_")</f>
        <v>n_boundary_control</v>
      </c>
      <c r="B66" s="18" t="s">
        <v>109</v>
      </c>
      <c r="C66" s="18" t="s">
        <v>656</v>
      </c>
      <c r="D66" s="3" t="s">
        <v>1411</v>
      </c>
      <c r="E66" s="3">
        <f t="shared" si="0"/>
        <v>64</v>
      </c>
      <c r="F66" s="3">
        <f>COUNTIF(NodesData[label],NodesData[[#This Row],[label]])</f>
        <v>1</v>
      </c>
      <c r="G66" s="3">
        <f>COUNTIF(ConceptNodes9['[A_ID']],NodesData[[#This Row],[id]])+COUNTIF(ConceptNodes9['[B_ID']],NodesData[[#This Row],[id]])</f>
        <v>0</v>
      </c>
      <c r="H66" s="3">
        <f>IF(NodesData[[#This Row],[Used]]&gt;0,1,0)</f>
        <v>0</v>
      </c>
      <c r="I66" s="19" t="str" cm="1">
        <f t="array" ref="I66">IF(NodesData[[#This Row],[Count]]&gt;1,",","") &amp;"{"&amp;twoRangesToJSON(NodesData[[#Headers],[id]:[url]],NodesData[[#This Row],[id]:[url]])&amp;"}"</f>
        <v>,{"id":"n_boundary_control","label":"Boundary Control","url":"https://open-measure.atlassian.net/wiki/spaces/DIC/pages/1571389777/Boundary+Control"}</v>
      </c>
      <c r="J66" s="3"/>
    </row>
    <row r="67" spans="1:10" ht="13.25" customHeight="1" thickTop="1" thickBot="1" x14ac:dyDescent="0.4">
      <c r="A67" s="7" t="str">
        <f>SUBSTITUTE(SUBSTITUTE("n_"&amp;LOWER(SUBSTITUTE(SUBSTITUTE(SUBSTITUTE(NodesData[[#This Row],[label]]," ","_"),"/","_"),"-","_")),"__","_"),"__","_")</f>
        <v>n_biometric_authentication</v>
      </c>
      <c r="B67" s="12" t="s">
        <v>1349</v>
      </c>
      <c r="C67" s="12"/>
      <c r="D67" s="3" t="s">
        <v>1411</v>
      </c>
      <c r="E67" s="3">
        <f t="shared" si="0"/>
        <v>65</v>
      </c>
      <c r="F67" s="3">
        <f>COUNTIF(NodesData[label],NodesData[[#This Row],[label]])</f>
        <v>1</v>
      </c>
      <c r="G67" s="3">
        <f>COUNTIF(ConceptNodes9['[A_ID']],NodesData[[#This Row],[id]])+COUNTIF(ConceptNodes9['[B_ID']],NodesData[[#This Row],[id]])</f>
        <v>0</v>
      </c>
      <c r="H67" s="3">
        <f>IF(NodesData[[#This Row],[Used]]&gt;0,1,0)</f>
        <v>0</v>
      </c>
      <c r="I67" s="19" t="str" cm="1">
        <f t="array" ref="I67">IF(NodesData[[#This Row],[Count]]&gt;1,",","") &amp;"{"&amp;twoRangesToJSON(NodesData[[#Headers],[id]:[url]],NodesData[[#This Row],[id]:[url]])&amp;"}"</f>
        <v>,{"id":"n_biometric_authentication","label":"Biometric Authentication","url":""}</v>
      </c>
      <c r="J67" s="3"/>
    </row>
    <row r="68" spans="1:10" ht="13.25" customHeight="1" thickTop="1" thickBot="1" x14ac:dyDescent="0.4">
      <c r="A68" s="17" t="str">
        <f>SUBSTITUTE(SUBSTITUTE("n_"&amp;LOWER(SUBSTITUTE(SUBSTITUTE(SUBSTITUTE(NodesData[[#This Row],[label]]," ","_"),"/","_"),"-","_")),"__","_"),"__","_")</f>
        <v>n_broker</v>
      </c>
      <c r="B68" s="18" t="s">
        <v>657</v>
      </c>
      <c r="C68" s="18" t="s">
        <v>658</v>
      </c>
      <c r="D68" s="3" t="s">
        <v>1411</v>
      </c>
      <c r="E68" s="3">
        <f t="shared" si="0"/>
        <v>66</v>
      </c>
      <c r="F68" s="3">
        <f>COUNTIF(NodesData[label],NodesData[[#This Row],[label]])</f>
        <v>1</v>
      </c>
      <c r="G68" s="3">
        <f>COUNTIF(ConceptNodes9['[A_ID']],NodesData[[#This Row],[id]])+COUNTIF(ConceptNodes9['[B_ID']],NodesData[[#This Row],[id]])</f>
        <v>0</v>
      </c>
      <c r="H68" s="3">
        <f>IF(NodesData[[#This Row],[Used]]&gt;0,1,0)</f>
        <v>0</v>
      </c>
      <c r="I68" s="19" t="str" cm="1">
        <f t="array" ref="I68">IF(NodesData[[#This Row],[Count]]&gt;1,",","") &amp;"{"&amp;twoRangesToJSON(NodesData[[#Headers],[id]:[url]],NodesData[[#This Row],[id]:[url]])&amp;"}"</f>
        <v>,{"id":"n_broker","label":"Broker","url":"https://open-measure.atlassian.net/wiki/spaces/DIC/pages/81101750"}</v>
      </c>
      <c r="J68" s="3"/>
    </row>
    <row r="69" spans="1:10" ht="13.25" customHeight="1" thickTop="1" thickBot="1" x14ac:dyDescent="0.4">
      <c r="A69" s="17" t="str">
        <f>SUBSTITUTE(SUBSTITUTE("n_"&amp;LOWER(SUBSTITUTE(SUBSTITUTE(SUBSTITUTE(NodesData[[#This Row],[label]]," ","_"),"/","_"),"-","_")),"__","_"),"__","_")</f>
        <v>n_brute_force_attack</v>
      </c>
      <c r="B69" s="18" t="s">
        <v>111</v>
      </c>
      <c r="C69" s="18" t="s">
        <v>659</v>
      </c>
      <c r="D69" s="3" t="s">
        <v>1411</v>
      </c>
      <c r="E69" s="3">
        <f t="shared" ref="E69:E132" si="1">E68+1</f>
        <v>67</v>
      </c>
      <c r="F69" s="3">
        <f>COUNTIF(NodesData[label],NodesData[[#This Row],[label]])</f>
        <v>1</v>
      </c>
      <c r="G69" s="3">
        <f>COUNTIF(ConceptNodes9['[A_ID']],NodesData[[#This Row],[id]])+COUNTIF(ConceptNodes9['[B_ID']],NodesData[[#This Row],[id]])</f>
        <v>0</v>
      </c>
      <c r="H69" s="3">
        <f>IF(NodesData[[#This Row],[Used]]&gt;0,1,0)</f>
        <v>0</v>
      </c>
      <c r="I69" s="19" t="str" cm="1">
        <f t="array" ref="I69">IF(NodesData[[#This Row],[Count]]&gt;1,",","") &amp;"{"&amp;twoRangesToJSON(NodesData[[#Headers],[id]:[url]],NodesData[[#This Row],[id]:[url]])&amp;"}"</f>
        <v>,{"id":"n_brute_force_attack","label":"Brute Force Attack","url":"https://open-measure.atlassian.net/wiki/spaces/DIC/pages/1348763687/Brute+Force+Attack"}</v>
      </c>
      <c r="J69" s="3"/>
    </row>
    <row r="70" spans="1:10" ht="13.25" customHeight="1" thickTop="1" thickBot="1" x14ac:dyDescent="0.4">
      <c r="A70" s="17" t="str">
        <f>SUBSTITUTE(SUBSTITUTE("n_"&amp;LOWER(SUBSTITUTE(SUBSTITUTE(SUBSTITUTE(NodesData[[#This Row],[label]]," ","_"),"/","_"),"-","_")),"__","_"),"__","_")</f>
        <v>n_built_in</v>
      </c>
      <c r="B70" s="18" t="s">
        <v>660</v>
      </c>
      <c r="C70" s="18" t="s">
        <v>661</v>
      </c>
      <c r="D70" s="3" t="s">
        <v>1411</v>
      </c>
      <c r="E70" s="3">
        <f t="shared" si="1"/>
        <v>68</v>
      </c>
      <c r="F70" s="3">
        <f>COUNTIF(NodesData[label],NodesData[[#This Row],[label]])</f>
        <v>1</v>
      </c>
      <c r="G70" s="3">
        <f>COUNTIF(ConceptNodes9['[A_ID']],NodesData[[#This Row],[id]])+COUNTIF(ConceptNodes9['[B_ID']],NodesData[[#This Row],[id]])</f>
        <v>0</v>
      </c>
      <c r="H70" s="3">
        <f>IF(NodesData[[#This Row],[Used]]&gt;0,1,0)</f>
        <v>0</v>
      </c>
      <c r="I70" s="19" t="str" cm="1">
        <f t="array" ref="I70">IF(NodesData[[#This Row],[Count]]&gt;1,",","") &amp;"{"&amp;twoRangesToJSON(NodesData[[#Headers],[id]:[url]],NodesData[[#This Row],[id]:[url]])&amp;"}"</f>
        <v>,{"id":"n_built_in","label":"Built-in","url":"https://open-measure.atlassian.net/wiki/spaces/DIC/pages/140772106"}</v>
      </c>
      <c r="J70" s="3"/>
    </row>
    <row r="71" spans="1:10" ht="13.25" customHeight="1" thickTop="1" thickBot="1" x14ac:dyDescent="0.4">
      <c r="A71" s="17" t="str">
        <f>SUBSTITUTE(SUBSTITUTE("n_"&amp;LOWER(SUBSTITUTE(SUBSTITUTE(SUBSTITUTE(NodesData[[#This Row],[label]]," ","_"),"/","_"),"-","_")),"__","_"),"__","_")</f>
        <v>n_bzr</v>
      </c>
      <c r="B71" s="18" t="s">
        <v>113</v>
      </c>
      <c r="C71" s="18" t="s">
        <v>662</v>
      </c>
      <c r="D71" s="3" t="s">
        <v>1301</v>
      </c>
      <c r="E71" s="3">
        <f t="shared" si="1"/>
        <v>69</v>
      </c>
      <c r="F71" s="3">
        <f>COUNTIF(NodesData[label],NodesData[[#This Row],[label]])</f>
        <v>1</v>
      </c>
      <c r="G71" s="3">
        <f>COUNTIF(ConceptNodes9['[A_ID']],NodesData[[#This Row],[id]])+COUNTIF(ConceptNodes9['[B_ID']],NodesData[[#This Row],[id]])</f>
        <v>0</v>
      </c>
      <c r="H71" s="3">
        <f>IF(NodesData[[#This Row],[Used]]&gt;0,1,0)</f>
        <v>0</v>
      </c>
      <c r="I71" s="19" t="str" cm="1">
        <f t="array" ref="I71">IF(NodesData[[#This Row],[Count]]&gt;1,",","") &amp;"{"&amp;twoRangesToJSON(NodesData[[#Headers],[id]:[url]],NodesData[[#This Row],[id]:[url]])&amp;"}"</f>
        <v>,{"id":"n_bzr","label":"BZR","url":"https://open-measure.atlassian.net/wiki/spaces/DIC/pages/1228079170/BZR"}</v>
      </c>
      <c r="J71" s="3"/>
    </row>
    <row r="72" spans="1:10" ht="13.25" customHeight="1" thickTop="1" thickBot="1" x14ac:dyDescent="0.4">
      <c r="A72" s="17" t="str">
        <f>SUBSTITUTE(SUBSTITUTE("n_"&amp;LOWER(SUBSTITUTE(SUBSTITUTE(SUBSTITUTE(NodesData[[#This Row],[label]]," ","_"),"/","_"),"-","_")),"__","_"),"__","_")</f>
        <v>n_cached_credential</v>
      </c>
      <c r="B72" s="18" t="s">
        <v>114</v>
      </c>
      <c r="C72" s="18" t="s">
        <v>663</v>
      </c>
      <c r="D72" s="3" t="s">
        <v>1411</v>
      </c>
      <c r="E72" s="3">
        <f t="shared" si="1"/>
        <v>70</v>
      </c>
      <c r="F72" s="3">
        <f>COUNTIF(NodesData[label],NodesData[[#This Row],[label]])</f>
        <v>1</v>
      </c>
      <c r="G72" s="3">
        <f>COUNTIF(ConceptNodes9['[A_ID']],NodesData[[#This Row],[id]])+COUNTIF(ConceptNodes9['[B_ID']],NodesData[[#This Row],[id]])</f>
        <v>0</v>
      </c>
      <c r="H72" s="3">
        <f>IF(NodesData[[#This Row],[Used]]&gt;0,1,0)</f>
        <v>0</v>
      </c>
      <c r="I72" s="19" t="str" cm="1">
        <f t="array" ref="I72">IF(NodesData[[#This Row],[Count]]&gt;1,",","") &amp;"{"&amp;twoRangesToJSON(NodesData[[#Headers],[id]:[url]],NodesData[[#This Row],[id]:[url]])&amp;"}"</f>
        <v>,{"id":"n_cached_credential","label":"Cached Credential","url":"https://open-measure.atlassian.net/wiki/spaces/DIC/pages/1254588417/Cached+Credential"}</v>
      </c>
      <c r="J72" s="3"/>
    </row>
    <row r="73" spans="1:10" ht="13.25" customHeight="1" thickTop="1" thickBot="1" x14ac:dyDescent="0.4">
      <c r="A73" s="17" t="str">
        <f>SUBSTITUTE(SUBSTITUTE("n_"&amp;LOWER(SUBSTITUTE(SUBSTITUTE(SUBSTITUTE(NodesData[[#This Row],[label]]," ","_"),"/","_"),"-","_")),"__","_"),"__","_")</f>
        <v>n_cdd</v>
      </c>
      <c r="B73" s="18" t="s">
        <v>118</v>
      </c>
      <c r="C73" s="18" t="s">
        <v>664</v>
      </c>
      <c r="D73" s="3" t="s">
        <v>1301</v>
      </c>
      <c r="E73" s="3">
        <f t="shared" si="1"/>
        <v>71</v>
      </c>
      <c r="F73" s="3">
        <f>COUNTIF(NodesData[label],NodesData[[#This Row],[label]])</f>
        <v>1</v>
      </c>
      <c r="G73" s="3">
        <f>COUNTIF(ConceptNodes9['[A_ID']],NodesData[[#This Row],[id]])+COUNTIF(ConceptNodes9['[B_ID']],NodesData[[#This Row],[id]])</f>
        <v>0</v>
      </c>
      <c r="H73" s="3">
        <f>IF(NodesData[[#This Row],[Used]]&gt;0,1,0)</f>
        <v>0</v>
      </c>
      <c r="I73" s="19" t="str" cm="1">
        <f t="array" ref="I73">IF(NodesData[[#This Row],[Count]]&gt;1,",","") &amp;"{"&amp;twoRangesToJSON(NodesData[[#Headers],[id]:[url]],NodesData[[#This Row],[id]:[url]])&amp;"}"</f>
        <v>,{"id":"n_cdd","label":"CDD","url":"https://open-measure.atlassian.net/wiki/spaces/DIC/pages/442466346/CDD"}</v>
      </c>
      <c r="J73" s="3"/>
    </row>
    <row r="74" spans="1:10" ht="13.25" customHeight="1" thickTop="1" thickBot="1" x14ac:dyDescent="0.4">
      <c r="A74" s="17" t="str">
        <f>SUBSTITUTE(SUBSTITUTE("n_"&amp;LOWER(SUBSTITUTE(SUBSTITUTE(SUBSTITUTE(NodesData[[#This Row],[label]]," ","_"),"/","_"),"-","_")),"__","_"),"__","_")</f>
        <v>n_centralized_identity_management_system</v>
      </c>
      <c r="B74" s="18" t="s">
        <v>665</v>
      </c>
      <c r="C74" s="18" t="s">
        <v>666</v>
      </c>
      <c r="D74" s="3" t="s">
        <v>1411</v>
      </c>
      <c r="E74" s="3">
        <f t="shared" si="1"/>
        <v>72</v>
      </c>
      <c r="F74" s="3">
        <f>COUNTIF(NodesData[label],NodesData[[#This Row],[label]])</f>
        <v>1</v>
      </c>
      <c r="G74" s="3">
        <f>COUNTIF(ConceptNodes9['[A_ID']],NodesData[[#This Row],[id]])+COUNTIF(ConceptNodes9['[B_ID']],NodesData[[#This Row],[id]])</f>
        <v>0</v>
      </c>
      <c r="H74" s="3">
        <f>IF(NodesData[[#This Row],[Used]]&gt;0,1,0)</f>
        <v>0</v>
      </c>
      <c r="I74" s="19" t="str" cm="1">
        <f t="array" ref="I74">IF(NodesData[[#This Row],[Count]]&gt;1,",","") &amp;"{"&amp;twoRangesToJSON(NodesData[[#Headers],[id]:[url]],NodesData[[#This Row],[id]:[url]])&amp;"}"</f>
        <v>,{"id":"n_centralized_identity_management_system","label":"Centralized Identity Management System","url":"https://open-measure.atlassian.net/wiki/spaces/DIC/pages/1152483641"}</v>
      </c>
      <c r="J74" s="3"/>
    </row>
    <row r="75" spans="1:10" ht="13.25" customHeight="1" thickTop="1" thickBot="1" x14ac:dyDescent="0.4">
      <c r="A75" s="7" t="str">
        <f>SUBSTITUTE(SUBSTITUTE("n_"&amp;LOWER(SUBSTITUTE(SUBSTITUTE(SUBSTITUTE(NodesData[[#This Row],[label]]," ","_"),"/","_"),"-","_")),"__","_"),"__","_")</f>
        <v>n_brainwaves_authentication</v>
      </c>
      <c r="B75" s="12" t="s">
        <v>1350</v>
      </c>
      <c r="C75" s="12"/>
      <c r="D75" s="3" t="s">
        <v>1411</v>
      </c>
      <c r="E75" s="3">
        <f t="shared" si="1"/>
        <v>73</v>
      </c>
      <c r="F75" s="3">
        <f>COUNTIF(NodesData[label],NodesData[[#This Row],[label]])</f>
        <v>1</v>
      </c>
      <c r="G75" s="3">
        <f>COUNTIF(ConceptNodes9['[A_ID']],NodesData[[#This Row],[id]])+COUNTIF(ConceptNodes9['[B_ID']],NodesData[[#This Row],[id]])</f>
        <v>2</v>
      </c>
      <c r="H75" s="3">
        <f>IF(NodesData[[#This Row],[Used]]&gt;0,1,0)</f>
        <v>1</v>
      </c>
      <c r="I75" s="19" t="str" cm="1">
        <f t="array" ref="I75">IF(NodesData[[#This Row],[Count]]&gt;1,",","") &amp;"{"&amp;twoRangesToJSON(NodesData[[#Headers],[id]:[url]],NodesData[[#This Row],[id]:[url]])&amp;"}"</f>
        <v>,{"id":"n_brainwaves_authentication","label":"Brainwaves Authentication","url":""}</v>
      </c>
      <c r="J75" s="3"/>
    </row>
    <row r="76" spans="1:10" ht="13.25" customHeight="1" thickTop="1" thickBot="1" x14ac:dyDescent="0.4">
      <c r="A76" s="17" t="str">
        <f>SUBSTITUTE(SUBSTITUTE("n_"&amp;LOWER(SUBSTITUTE(SUBSTITUTE(SUBSTITUTE(NodesData[[#This Row],[label]]," ","_"),"/","_"),"-","_")),"__","_"),"__","_")</f>
        <v>n_certification</v>
      </c>
      <c r="B76" s="18" t="s">
        <v>667</v>
      </c>
      <c r="C76" s="18" t="s">
        <v>668</v>
      </c>
      <c r="D76" s="3" t="s">
        <v>1411</v>
      </c>
      <c r="E76" s="3">
        <f t="shared" si="1"/>
        <v>74</v>
      </c>
      <c r="F76" s="3">
        <f>COUNTIF(NodesData[label],NodesData[[#This Row],[label]])</f>
        <v>1</v>
      </c>
      <c r="G76" s="3">
        <f>COUNTIF(ConceptNodes9['[A_ID']],NodesData[[#This Row],[id]])+COUNTIF(ConceptNodes9['[B_ID']],NodesData[[#This Row],[id]])</f>
        <v>0</v>
      </c>
      <c r="H76" s="3">
        <f>IF(NodesData[[#This Row],[Used]]&gt;0,1,0)</f>
        <v>0</v>
      </c>
      <c r="I76" s="19" t="str" cm="1">
        <f t="array" ref="I76">IF(NodesData[[#This Row],[Count]]&gt;1,",","") &amp;"{"&amp;twoRangesToJSON(NodesData[[#Headers],[id]:[url]],NodesData[[#This Row],[id]:[url]])&amp;"}"</f>
        <v>,{"id":"n_certification","label":"Certification","url":"https://open-measure.atlassian.net/wiki/spaces/DIC/pages/823459864"}</v>
      </c>
      <c r="J76" s="3"/>
    </row>
    <row r="77" spans="1:10" ht="13.25" customHeight="1" thickTop="1" thickBot="1" x14ac:dyDescent="0.4">
      <c r="A77" s="17" t="str">
        <f>SUBSTITUTE(SUBSTITUTE("n_"&amp;LOWER(SUBSTITUTE(SUBSTITUTE(SUBSTITUTE(NodesData[[#This Row],[label]]," ","_"),"/","_"),"-","_")),"__","_"),"__","_")</f>
        <v>n_ciba</v>
      </c>
      <c r="B77" s="18" t="s">
        <v>121</v>
      </c>
      <c r="C77" s="18" t="s">
        <v>669</v>
      </c>
      <c r="D77" s="3" t="s">
        <v>1301</v>
      </c>
      <c r="E77" s="3">
        <f t="shared" si="1"/>
        <v>75</v>
      </c>
      <c r="F77" s="3">
        <f>COUNTIF(NodesData[label],NodesData[[#This Row],[label]])</f>
        <v>1</v>
      </c>
      <c r="G77" s="3">
        <f>COUNTIF(ConceptNodes9['[A_ID']],NodesData[[#This Row],[id]])+COUNTIF(ConceptNodes9['[B_ID']],NodesData[[#This Row],[id]])</f>
        <v>0</v>
      </c>
      <c r="H77" s="3">
        <f>IF(NodesData[[#This Row],[Used]]&gt;0,1,0)</f>
        <v>0</v>
      </c>
      <c r="I77" s="19" t="str" cm="1">
        <f t="array" ref="I77">IF(NodesData[[#This Row],[Count]]&gt;1,",","") &amp;"{"&amp;twoRangesToJSON(NodesData[[#Headers],[id]:[url]],NodesData[[#This Row],[id]:[url]])&amp;"}"</f>
        <v>,{"id":"n_ciba","label":"CIBA","url":"https://open-measure.atlassian.net/wiki/spaces/DIC/pages/1290076214/CIBA"}</v>
      </c>
      <c r="J77" s="3"/>
    </row>
    <row r="78" spans="1:10" ht="13.25" customHeight="1" thickTop="1" thickBot="1" x14ac:dyDescent="0.4">
      <c r="A78" s="17" t="str">
        <f>SUBSTITUTE(SUBSTITUTE("n_"&amp;LOWER(SUBSTITUTE(SUBSTITUTE(SUBSTITUTE(NodesData[[#This Row],[label]]," ","_"),"/","_"),"-","_")),"__","_"),"__","_")</f>
        <v>n_claim</v>
      </c>
      <c r="B78" s="18" t="s">
        <v>122</v>
      </c>
      <c r="C78" s="18" t="s">
        <v>670</v>
      </c>
      <c r="D78" s="3" t="s">
        <v>1411</v>
      </c>
      <c r="E78" s="3">
        <f t="shared" si="1"/>
        <v>76</v>
      </c>
      <c r="F78" s="3">
        <f>COUNTIF(NodesData[label],NodesData[[#This Row],[label]])</f>
        <v>1</v>
      </c>
      <c r="G78" s="3">
        <f>COUNTIF(ConceptNodes9['[A_ID']],NodesData[[#This Row],[id]])+COUNTIF(ConceptNodes9['[B_ID']],NodesData[[#This Row],[id]])</f>
        <v>0</v>
      </c>
      <c r="H78" s="3">
        <f>IF(NodesData[[#This Row],[Used]]&gt;0,1,0)</f>
        <v>0</v>
      </c>
      <c r="I78" s="19" t="str" cm="1">
        <f t="array" ref="I78">IF(NodesData[[#This Row],[Count]]&gt;1,",","") &amp;"{"&amp;twoRangesToJSON(NodesData[[#Headers],[id]:[url]],NodesData[[#This Row],[id]:[url]])&amp;"}"</f>
        <v>,{"id":"n_claim","label":"Claim","url":"https://open-measure.atlassian.net/wiki/spaces/DIC/pages/1323499650/Claim"}</v>
      </c>
      <c r="J78" s="3"/>
    </row>
    <row r="79" spans="1:10" ht="13.25" customHeight="1" thickTop="1" thickBot="1" x14ac:dyDescent="0.4">
      <c r="A79" s="17" t="str">
        <f>SUBSTITUTE(SUBSTITUTE("n_"&amp;LOWER(SUBSTITUTE(SUBSTITUTE(SUBSTITUTE(NodesData[[#This Row],[label]]," ","_"),"/","_"),"-","_")),"__","_"),"__","_")</f>
        <v>n_claim_registry_model</v>
      </c>
      <c r="B79" s="18" t="s">
        <v>124</v>
      </c>
      <c r="C79" s="18" t="s">
        <v>671</v>
      </c>
      <c r="D79" s="3" t="s">
        <v>1411</v>
      </c>
      <c r="E79" s="3">
        <f t="shared" si="1"/>
        <v>77</v>
      </c>
      <c r="F79" s="3">
        <f>COUNTIF(NodesData[label],NodesData[[#This Row],[label]])</f>
        <v>1</v>
      </c>
      <c r="G79" s="3">
        <f>COUNTIF(ConceptNodes9['[A_ID']],NodesData[[#This Row],[id]])+COUNTIF(ConceptNodes9['[B_ID']],NodesData[[#This Row],[id]])</f>
        <v>0</v>
      </c>
      <c r="H79" s="3">
        <f>IF(NodesData[[#This Row],[Used]]&gt;0,1,0)</f>
        <v>0</v>
      </c>
      <c r="I79" s="19" t="str" cm="1">
        <f t="array" ref="I79">IF(NodesData[[#This Row],[Count]]&gt;1,",","") &amp;"{"&amp;twoRangesToJSON(NodesData[[#Headers],[id]:[url]],NodesData[[#This Row],[id]:[url]])&amp;"}"</f>
        <v>,{"id":"n_claim_registry_model","label":"Claim Registry Model","url":"https://open-measure.atlassian.net/wiki/spaces/DIC/pages/1309605928/Claim+Registry+Model"}</v>
      </c>
      <c r="J79" s="3"/>
    </row>
    <row r="80" spans="1:10" ht="13.25" customHeight="1" thickTop="1" thickBot="1" x14ac:dyDescent="0.4">
      <c r="A80" s="17" t="str">
        <f>SUBSTITUTE(SUBSTITUTE("n_"&amp;LOWER(SUBSTITUTE(SUBSTITUTE(SUBSTITUTE(NodesData[[#This Row],[label]]," ","_"),"/","_"),"-","_")),"__","_"),"__","_")</f>
        <v>n_claimant</v>
      </c>
      <c r="B80" s="18" t="s">
        <v>672</v>
      </c>
      <c r="C80" s="18" t="s">
        <v>673</v>
      </c>
      <c r="D80" s="3" t="s">
        <v>1411</v>
      </c>
      <c r="E80" s="3">
        <f t="shared" si="1"/>
        <v>78</v>
      </c>
      <c r="F80" s="3">
        <f>COUNTIF(NodesData[label],NodesData[[#This Row],[label]])</f>
        <v>1</v>
      </c>
      <c r="G80" s="3">
        <f>COUNTIF(ConceptNodes9['[A_ID']],NodesData[[#This Row],[id]])+COUNTIF(ConceptNodes9['[B_ID']],NodesData[[#This Row],[id]])</f>
        <v>0</v>
      </c>
      <c r="H80" s="3">
        <f>IF(NodesData[[#This Row],[Used]]&gt;0,1,0)</f>
        <v>0</v>
      </c>
      <c r="I80" s="19" t="str" cm="1">
        <f t="array" ref="I80">IF(NodesData[[#This Row],[Count]]&gt;1,",","") &amp;"{"&amp;twoRangesToJSON(NodesData[[#Headers],[id]:[url]],NodesData[[#This Row],[id]:[url]])&amp;"}"</f>
        <v>,{"id":"n_claimant","label":"Claimant","url":"https://open-measure.atlassian.net/wiki/spaces/DIC/pages/848363630"}</v>
      </c>
      <c r="J80" s="3"/>
    </row>
    <row r="81" spans="1:10" ht="13.25" customHeight="1" thickTop="1" thickBot="1" x14ac:dyDescent="0.4">
      <c r="A81" s="17" t="str">
        <f>SUBSTITUTE(SUBSTITUTE("n_"&amp;LOWER(SUBSTITUTE(SUBSTITUTE(SUBSTITUTE(NodesData[[#This Row],[label]]," ","_"),"/","_"),"-","_")),"__","_"),"__","_")</f>
        <v>n_classification</v>
      </c>
      <c r="B81" s="18" t="s">
        <v>674</v>
      </c>
      <c r="C81" s="18" t="s">
        <v>675</v>
      </c>
      <c r="D81" s="3" t="s">
        <v>1411</v>
      </c>
      <c r="E81" s="3">
        <f t="shared" si="1"/>
        <v>79</v>
      </c>
      <c r="F81" s="3">
        <f>COUNTIF(NodesData[label],NodesData[[#This Row],[label]])</f>
        <v>1</v>
      </c>
      <c r="G81" s="3">
        <f>COUNTIF(ConceptNodes9['[A_ID']],NodesData[[#This Row],[id]])+COUNTIF(ConceptNodes9['[B_ID']],NodesData[[#This Row],[id]])</f>
        <v>0</v>
      </c>
      <c r="H81" s="3">
        <f>IF(NodesData[[#This Row],[Used]]&gt;0,1,0)</f>
        <v>0</v>
      </c>
      <c r="I81" s="19" t="str" cm="1">
        <f t="array" ref="I81">IF(NodesData[[#This Row],[Count]]&gt;1,",","") &amp;"{"&amp;twoRangesToJSON(NodesData[[#Headers],[id]:[url]],NodesData[[#This Row],[id]:[url]])&amp;"}"</f>
        <v>,{"id":"n_classification","label":"Classification","url":"https://open-measure.atlassian.net/wiki/spaces/DIC/pages/140771387"}</v>
      </c>
      <c r="J81" s="3"/>
    </row>
    <row r="82" spans="1:10" ht="13.25" customHeight="1" thickTop="1" thickBot="1" x14ac:dyDescent="0.4">
      <c r="A82" s="7" t="str">
        <f>SUBSTITUTE(SUBSTITUTE("n_"&amp;LOWER(SUBSTITUTE(SUBSTITUTE(SUBSTITUTE(NodesData[[#This Row],[label]]," ","_"),"/","_"),"-","_")),"__","_"),"__","_")</f>
        <v>n_certificate_based_authentication</v>
      </c>
      <c r="B82" s="12" t="s">
        <v>1366</v>
      </c>
      <c r="C82" s="12"/>
      <c r="D82" s="3" t="s">
        <v>1411</v>
      </c>
      <c r="E82" s="3">
        <f t="shared" si="1"/>
        <v>80</v>
      </c>
      <c r="F82" s="3">
        <f>COUNTIF(NodesData[label],NodesData[[#This Row],[label]])</f>
        <v>1</v>
      </c>
      <c r="G82" s="3">
        <f>COUNTIF(ConceptNodes9['[A_ID']],NodesData[[#This Row],[id]])+COUNTIF(ConceptNodes9['[B_ID']],NodesData[[#This Row],[id]])</f>
        <v>0</v>
      </c>
      <c r="H82" s="3">
        <f>IF(NodesData[[#This Row],[Used]]&gt;0,1,0)</f>
        <v>0</v>
      </c>
      <c r="I82" s="19" t="str" cm="1">
        <f t="array" ref="I82">IF(NodesData[[#This Row],[Count]]&gt;1,",","") &amp;"{"&amp;twoRangesToJSON(NodesData[[#Headers],[id]:[url]],NodesData[[#This Row],[id]:[url]])&amp;"}"</f>
        <v>,{"id":"n_certificate_based_authentication","label":"Certificate-based Authentication","url":""}</v>
      </c>
      <c r="J82" s="3"/>
    </row>
    <row r="83" spans="1:10" ht="13.25" customHeight="1" thickTop="1" thickBot="1" x14ac:dyDescent="0.4">
      <c r="A83" s="17" t="str">
        <f>SUBSTITUTE(SUBSTITUTE("n_"&amp;LOWER(SUBSTITUTE(SUBSTITUTE(SUBSTITUTE(NodesData[[#This Row],[label]]," ","_"),"/","_"),"-","_")),"__","_"),"__","_")</f>
        <v>n_cloud_identity_management_system</v>
      </c>
      <c r="B83" s="18" t="s">
        <v>677</v>
      </c>
      <c r="C83" s="18" t="s">
        <v>678</v>
      </c>
      <c r="D83" s="3" t="s">
        <v>1411</v>
      </c>
      <c r="E83" s="3">
        <f t="shared" si="1"/>
        <v>81</v>
      </c>
      <c r="F83" s="3">
        <f>COUNTIF(NodesData[label],NodesData[[#This Row],[label]])</f>
        <v>1</v>
      </c>
      <c r="G83" s="3">
        <f>COUNTIF(ConceptNodes9['[A_ID']],NodesData[[#This Row],[id]])+COUNTIF(ConceptNodes9['[B_ID']],NodesData[[#This Row],[id]])</f>
        <v>0</v>
      </c>
      <c r="H83" s="3">
        <f>IF(NodesData[[#This Row],[Used]]&gt;0,1,0)</f>
        <v>0</v>
      </c>
      <c r="I83" s="19" t="str" cm="1">
        <f t="array" ref="I83">IF(NodesData[[#This Row],[Count]]&gt;1,",","") &amp;"{"&amp;twoRangesToJSON(NodesData[[#Headers],[id]:[url]],NodesData[[#This Row],[id]:[url]])&amp;"}"</f>
        <v>,{"id":"n_cloud_identity_management_system","label":"Cloud Identity Management System","url":"https://open-measure.atlassian.net/wiki/spaces/DIC/pages/1152516136"}</v>
      </c>
      <c r="J83" s="3"/>
    </row>
    <row r="84" spans="1:10" ht="13.25" customHeight="1" thickTop="1" thickBot="1" x14ac:dyDescent="0.4">
      <c r="A84" s="17" t="str">
        <f>SUBSTITUTE(SUBSTITUTE("n_"&amp;LOWER(SUBSTITUTE(SUBSTITUTE(SUBSTITUTE(NodesData[[#This Row],[label]]," ","_"),"/","_"),"-","_")),"__","_"),"__","_")</f>
        <v>n_cloud_idms</v>
      </c>
      <c r="B84" s="18" t="s">
        <v>679</v>
      </c>
      <c r="C84" s="18" t="s">
        <v>680</v>
      </c>
      <c r="D84" s="3" t="s">
        <v>1301</v>
      </c>
      <c r="E84" s="3">
        <f t="shared" si="1"/>
        <v>82</v>
      </c>
      <c r="F84" s="3">
        <f>COUNTIF(NodesData[label],NodesData[[#This Row],[label]])</f>
        <v>1</v>
      </c>
      <c r="G84" s="3">
        <f>COUNTIF(ConceptNodes9['[A_ID']],NodesData[[#This Row],[id]])+COUNTIF(ConceptNodes9['[B_ID']],NodesData[[#This Row],[id]])</f>
        <v>0</v>
      </c>
      <c r="H84" s="3">
        <f>IF(NodesData[[#This Row],[Used]]&gt;0,1,0)</f>
        <v>0</v>
      </c>
      <c r="I84" s="19" t="str" cm="1">
        <f t="array" ref="I84">IF(NodesData[[#This Row],[Count]]&gt;1,",","") &amp;"{"&amp;twoRangesToJSON(NodesData[[#Headers],[id]:[url]],NodesData[[#This Row],[id]:[url]])&amp;"}"</f>
        <v>,{"id":"n_cloud_idms","label":"Cloud IdMS","url":"https://open-measure.atlassian.net/wiki/spaces/DIC/pages/1152516118"}</v>
      </c>
      <c r="J84" s="3"/>
    </row>
    <row r="85" spans="1:10" ht="13.25" customHeight="1" thickTop="1" thickBot="1" x14ac:dyDescent="0.4">
      <c r="A85" s="17" t="str">
        <f>SUBSTITUTE(SUBSTITUTE("n_"&amp;LOWER(SUBSTITUTE(SUBSTITUTE(SUBSTITUTE(NodesData[[#This Row],[label]]," ","_"),"/","_"),"-","_")),"__","_"),"__","_")</f>
        <v>n_cloud_service_consumers</v>
      </c>
      <c r="B85" s="18" t="s">
        <v>681</v>
      </c>
      <c r="C85" s="18" t="s">
        <v>682</v>
      </c>
      <c r="D85" s="3" t="s">
        <v>1411</v>
      </c>
      <c r="E85" s="3">
        <f t="shared" si="1"/>
        <v>83</v>
      </c>
      <c r="F85" s="3">
        <f>COUNTIF(NodesData[label],NodesData[[#This Row],[label]])</f>
        <v>1</v>
      </c>
      <c r="G85" s="3">
        <f>COUNTIF(ConceptNodes9['[A_ID']],NodesData[[#This Row],[id]])+COUNTIF(ConceptNodes9['[B_ID']],NodesData[[#This Row],[id]])</f>
        <v>0</v>
      </c>
      <c r="H85" s="3">
        <f>IF(NodesData[[#This Row],[Used]]&gt;0,1,0)</f>
        <v>0</v>
      </c>
      <c r="I85" s="19" t="str" cm="1">
        <f t="array" ref="I85">IF(NodesData[[#This Row],[Count]]&gt;1,",","") &amp;"{"&amp;twoRangesToJSON(NodesData[[#Headers],[id]:[url]],NodesData[[#This Row],[id]:[url]])&amp;"}"</f>
        <v>,{"id":"n_cloud_service_consumers","label":"Cloud Service Consumers","url":"https://open-measure.atlassian.net/wiki/spaces/DIC/pages/1147043959"}</v>
      </c>
      <c r="J85" s="3"/>
    </row>
    <row r="86" spans="1:10" ht="13.25" customHeight="1" thickTop="1" thickBot="1" x14ac:dyDescent="0.4">
      <c r="A86" s="17" t="str">
        <f>SUBSTITUTE(SUBSTITUTE("n_"&amp;LOWER(SUBSTITUTE(SUBSTITUTE(SUBSTITUTE(NodesData[[#This Row],[label]]," ","_"),"/","_"),"-","_")),"__","_"),"__","_")</f>
        <v>n_cloud_service_provider</v>
      </c>
      <c r="B86" s="18" t="s">
        <v>683</v>
      </c>
      <c r="C86" s="18" t="s">
        <v>684</v>
      </c>
      <c r="D86" s="3" t="s">
        <v>1411</v>
      </c>
      <c r="E86" s="3">
        <f t="shared" si="1"/>
        <v>84</v>
      </c>
      <c r="F86" s="3">
        <f>COUNTIF(NodesData[label],NodesData[[#This Row],[label]])</f>
        <v>1</v>
      </c>
      <c r="G86" s="3">
        <f>COUNTIF(ConceptNodes9['[A_ID']],NodesData[[#This Row],[id]])+COUNTIF(ConceptNodes9['[B_ID']],NodesData[[#This Row],[id]])</f>
        <v>0</v>
      </c>
      <c r="H86" s="3">
        <f>IF(NodesData[[#This Row],[Used]]&gt;0,1,0)</f>
        <v>0</v>
      </c>
      <c r="I86" s="19" t="str" cm="1">
        <f t="array" ref="I86">IF(NodesData[[#This Row],[Count]]&gt;1,",","") &amp;"{"&amp;twoRangesToJSON(NodesData[[#Headers],[id]:[url]],NodesData[[#This Row],[id]:[url]])&amp;"}"</f>
        <v>,{"id":"n_cloud_service_provider","label":"Cloud Service Provider","url":"https://open-measure.atlassian.net/wiki/spaces/DIC/pages/206307528"}</v>
      </c>
      <c r="J86" s="3"/>
    </row>
    <row r="87" spans="1:10" ht="13.25" customHeight="1" thickTop="1" thickBot="1" x14ac:dyDescent="0.4">
      <c r="A87" s="17" t="str">
        <f>SUBSTITUTE(SUBSTITUTE("n_"&amp;LOWER(SUBSTITUTE(SUBSTITUTE(SUBSTITUTE(NodesData[[#This Row],[label]]," ","_"),"/","_"),"-","_")),"__","_"),"__","_")</f>
        <v>n_cloud_service_user</v>
      </c>
      <c r="B87" s="18" t="s">
        <v>131</v>
      </c>
      <c r="C87" s="18" t="s">
        <v>685</v>
      </c>
      <c r="D87" s="3" t="s">
        <v>1411</v>
      </c>
      <c r="E87" s="3">
        <f t="shared" si="1"/>
        <v>85</v>
      </c>
      <c r="F87" s="3">
        <f>COUNTIF(NodesData[label],NodesData[[#This Row],[label]])</f>
        <v>1</v>
      </c>
      <c r="G87" s="3">
        <f>COUNTIF(ConceptNodes9['[A_ID']],NodesData[[#This Row],[id]])+COUNTIF(ConceptNodes9['[B_ID']],NodesData[[#This Row],[id]])</f>
        <v>0</v>
      </c>
      <c r="H87" s="3">
        <f>IF(NodesData[[#This Row],[Used]]&gt;0,1,0)</f>
        <v>0</v>
      </c>
      <c r="I87" s="19" t="str" cm="1">
        <f t="array" ref="I87">IF(NodesData[[#This Row],[Count]]&gt;1,",","") &amp;"{"&amp;twoRangesToJSON(NodesData[[#Headers],[id]:[url]],NodesData[[#This Row],[id]:[url]])&amp;"}"</f>
        <v>,{"id":"n_cloud_service_user","label":"Cloud Service User","url":"https://open-measure.atlassian.net/wiki/spaces/DIC/pages/206766142/Cloud+Service+User"}</v>
      </c>
      <c r="J87" s="3"/>
    </row>
    <row r="88" spans="1:10" ht="13.25" customHeight="1" thickTop="1" thickBot="1" x14ac:dyDescent="0.4">
      <c r="A88" s="17" t="str">
        <f>SUBSTITUTE(SUBSTITUTE("n_"&amp;LOWER(SUBSTITUTE(SUBSTITUTE(SUBSTITUTE(NodesData[[#This Row],[label]]," ","_"),"/","_"),"-","_")),"__","_"),"__","_")</f>
        <v>n_commission_error</v>
      </c>
      <c r="B88" s="18" t="s">
        <v>686</v>
      </c>
      <c r="C88" s="18" t="s">
        <v>687</v>
      </c>
      <c r="D88" s="3" t="s">
        <v>1411</v>
      </c>
      <c r="E88" s="3">
        <f t="shared" si="1"/>
        <v>86</v>
      </c>
      <c r="F88" s="3">
        <f>COUNTIF(NodesData[label],NodesData[[#This Row],[label]])</f>
        <v>1</v>
      </c>
      <c r="G88" s="3">
        <f>COUNTIF(ConceptNodes9['[A_ID']],NodesData[[#This Row],[id]])+COUNTIF(ConceptNodes9['[B_ID']],NodesData[[#This Row],[id]])</f>
        <v>0</v>
      </c>
      <c r="H88" s="3">
        <f>IF(NodesData[[#This Row],[Used]]&gt;0,1,0)</f>
        <v>0</v>
      </c>
      <c r="I88" s="19" t="str" cm="1">
        <f t="array" ref="I88">IF(NodesData[[#This Row],[Count]]&gt;1,",","") &amp;"{"&amp;twoRangesToJSON(NodesData[[#Headers],[id]:[url]],NodesData[[#This Row],[id]:[url]])&amp;"}"</f>
        <v>,{"id":"n_commission_error","label":"Commission Error","url":"https://open-measure.atlassian.net/wiki/spaces/DIC/pages/998277125"}</v>
      </c>
      <c r="J88" s="3"/>
    </row>
    <row r="89" spans="1:10" ht="13.25" customHeight="1" thickTop="1" thickBot="1" x14ac:dyDescent="0.4">
      <c r="A89" s="17" t="str">
        <f>SUBSTITUTE(SUBSTITUTE("n_"&amp;LOWER(SUBSTITUTE(SUBSTITUTE(SUBSTITUTE(NodesData[[#This Row],[label]]," ","_"),"/","_"),"-","_")),"__","_"),"__","_")</f>
        <v>n_compromised_identity</v>
      </c>
      <c r="B89" s="18" t="s">
        <v>688</v>
      </c>
      <c r="C89" s="18" t="s">
        <v>689</v>
      </c>
      <c r="D89" s="3" t="s">
        <v>1411</v>
      </c>
      <c r="E89" s="3">
        <f t="shared" si="1"/>
        <v>87</v>
      </c>
      <c r="F89" s="3">
        <f>COUNTIF(NodesData[label],NodesData[[#This Row],[label]])</f>
        <v>1</v>
      </c>
      <c r="G89" s="3">
        <f>COUNTIF(ConceptNodes9['[A_ID']],NodesData[[#This Row],[id]])+COUNTIF(ConceptNodes9['[B_ID']],NodesData[[#This Row],[id]])</f>
        <v>0</v>
      </c>
      <c r="H89" s="3">
        <f>IF(NodesData[[#This Row],[Used]]&gt;0,1,0)</f>
        <v>0</v>
      </c>
      <c r="I89" s="19" t="str" cm="1">
        <f t="array" ref="I89">IF(NodesData[[#This Row],[Count]]&gt;1,",","") &amp;"{"&amp;twoRangesToJSON(NodesData[[#Headers],[id]:[url]],NodesData[[#This Row],[id]:[url]])&amp;"}"</f>
        <v>,{"id":"n_compromised_identity","label":"Compromised Identity","url":"https://open-measure.atlassian.net/wiki/spaces/DIC/pages/461307985"}</v>
      </c>
      <c r="J89" s="3"/>
    </row>
    <row r="90" spans="1:10" ht="13.25" customHeight="1" thickTop="1" thickBot="1" x14ac:dyDescent="0.4">
      <c r="A90" s="17" t="str">
        <f>SUBSTITUTE(SUBSTITUTE("n_"&amp;LOWER(SUBSTITUTE(SUBSTITUTE(SUBSTITUTE(NodesData[[#This Row],[label]]," ","_"),"/","_"),"-","_")),"__","_"),"__","_")</f>
        <v>n_concurrent_impersonation_attack</v>
      </c>
      <c r="B90" s="18" t="s">
        <v>690</v>
      </c>
      <c r="C90" s="18" t="s">
        <v>691</v>
      </c>
      <c r="D90" s="3" t="s">
        <v>1411</v>
      </c>
      <c r="E90" s="3">
        <f t="shared" si="1"/>
        <v>88</v>
      </c>
      <c r="F90" s="3">
        <f>COUNTIF(NodesData[label],NodesData[[#This Row],[label]])</f>
        <v>1</v>
      </c>
      <c r="G90" s="3">
        <f>COUNTIF(ConceptNodes9['[A_ID']],NodesData[[#This Row],[id]])+COUNTIF(ConceptNodes9['[B_ID']],NodesData[[#This Row],[id]])</f>
        <v>0</v>
      </c>
      <c r="H90" s="3">
        <f>IF(NodesData[[#This Row],[Used]]&gt;0,1,0)</f>
        <v>0</v>
      </c>
      <c r="I90" s="19" t="str" cm="1">
        <f t="array" ref="I90">IF(NodesData[[#This Row],[Count]]&gt;1,",","") &amp;"{"&amp;twoRangesToJSON(NodesData[[#Headers],[id]:[url]],NodesData[[#This Row],[id]:[url]])&amp;"}"</f>
        <v>,{"id":"n_concurrent_impersonation_attack","label":"Concurrent Impersonation Attack","url":"https://open-measure.atlassian.net/wiki/spaces/DIC/pages/974454827"}</v>
      </c>
      <c r="J90" s="3"/>
    </row>
    <row r="91" spans="1:10" ht="13.25" customHeight="1" thickTop="1" thickBot="1" x14ac:dyDescent="0.4">
      <c r="A91" s="17" t="str">
        <f>SUBSTITUTE(SUBSTITUTE("n_"&amp;LOWER(SUBSTITUTE(SUBSTITUTE(SUBSTITUTE(NodesData[[#This Row],[label]]," ","_"),"/","_"),"-","_")),"__","_"),"__","_")</f>
        <v>n_client_initiated_backchannel_authentication</v>
      </c>
      <c r="B91" s="18" t="s">
        <v>126</v>
      </c>
      <c r="C91" s="18" t="s">
        <v>676</v>
      </c>
      <c r="D91" s="3" t="s">
        <v>1411</v>
      </c>
      <c r="E91" s="3">
        <f t="shared" si="1"/>
        <v>89</v>
      </c>
      <c r="F91" s="3">
        <f>COUNTIF(NodesData[label],NodesData[[#This Row],[label]])</f>
        <v>1</v>
      </c>
      <c r="G91" s="3">
        <f>COUNTIF(ConceptNodes9['[A_ID']],NodesData[[#This Row],[id]])+COUNTIF(ConceptNodes9['[B_ID']],NodesData[[#This Row],[id]])</f>
        <v>0</v>
      </c>
      <c r="H91" s="3">
        <f>IF(NodesData[[#This Row],[Used]]&gt;0,1,0)</f>
        <v>0</v>
      </c>
      <c r="I91" s="19" t="str" cm="1">
        <f t="array" ref="I91">IF(NodesData[[#This Row],[Count]]&gt;1,",","") &amp;"{"&amp;twoRangesToJSON(NodesData[[#Headers],[id]:[url]],NodesData[[#This Row],[id]:[url]])&amp;"}"</f>
        <v>,{"id":"n_client_initiated_backchannel_authentication","label":"Client Initiated Backchannel Authentication","url":"https://open-measure.atlassian.net/wiki/spaces/DIC/pages/1290076229/Client+Initiated+Backchannel+Authentication"}</v>
      </c>
      <c r="J91" s="3"/>
    </row>
    <row r="92" spans="1:10" ht="13.25" customHeight="1" thickTop="1" thickBot="1" x14ac:dyDescent="0.4">
      <c r="A92" s="17" t="str">
        <f>SUBSTITUTE(SUBSTITUTE("n_"&amp;LOWER(SUBSTITUTE(SUBSTITUTE(SUBSTITUTE(NodesData[[#This Row],[label]]," ","_"),"/","_"),"-","_")),"__","_"),"__","_")</f>
        <v>n_control_party</v>
      </c>
      <c r="B92" s="18" t="s">
        <v>694</v>
      </c>
      <c r="C92" s="18" t="s">
        <v>695</v>
      </c>
      <c r="D92" s="3" t="s">
        <v>1411</v>
      </c>
      <c r="E92" s="3">
        <f t="shared" si="1"/>
        <v>90</v>
      </c>
      <c r="F92" s="3">
        <f>COUNTIF(NodesData[label],NodesData[[#This Row],[label]])</f>
        <v>1</v>
      </c>
      <c r="G92" s="3">
        <f>COUNTIF(ConceptNodes9['[A_ID']],NodesData[[#This Row],[id]])+COUNTIF(ConceptNodes9['[B_ID']],NodesData[[#This Row],[id]])</f>
        <v>0</v>
      </c>
      <c r="H92" s="3">
        <f>IF(NodesData[[#This Row],[Used]]&gt;0,1,0)</f>
        <v>0</v>
      </c>
      <c r="I92" s="19" t="str" cm="1">
        <f t="array" ref="I92">IF(NodesData[[#This Row],[Count]]&gt;1,",","") &amp;"{"&amp;twoRangesToJSON(NodesData[[#Headers],[id]:[url]],NodesData[[#This Row],[id]:[url]])&amp;"}"</f>
        <v>,{"id":"n_control_party","label":"Control Party","url":"https://open-measure.atlassian.net/wiki/spaces/DIC/pages/82838169"}</v>
      </c>
      <c r="J92" s="3"/>
    </row>
    <row r="93" spans="1:10" ht="13.25" customHeight="1" thickTop="1" thickBot="1" x14ac:dyDescent="0.4">
      <c r="A93" s="17" t="str">
        <f>SUBSTITUTE(SUBSTITUTE("n_"&amp;LOWER(SUBSTITUTE(SUBSTITUTE(SUBSTITUTE(NodesData[[#This Row],[label]]," ","_"),"/","_"),"-","_")),"__","_"),"__","_")</f>
        <v>n_core_identity</v>
      </c>
      <c r="B93" s="18" t="s">
        <v>696</v>
      </c>
      <c r="C93" s="18" t="s">
        <v>697</v>
      </c>
      <c r="D93" s="3" t="s">
        <v>1411</v>
      </c>
      <c r="E93" s="3">
        <f t="shared" si="1"/>
        <v>91</v>
      </c>
      <c r="F93" s="3">
        <f>COUNTIF(NodesData[label],NodesData[[#This Row],[label]])</f>
        <v>1</v>
      </c>
      <c r="G93" s="3">
        <f>COUNTIF(ConceptNodes9['[A_ID']],NodesData[[#This Row],[id]])+COUNTIF(ConceptNodes9['[B_ID']],NodesData[[#This Row],[id]])</f>
        <v>0</v>
      </c>
      <c r="H93" s="3">
        <f>IF(NodesData[[#This Row],[Used]]&gt;0,1,0)</f>
        <v>0</v>
      </c>
      <c r="I93" s="19" t="str" cm="1">
        <f t="array" ref="I93">IF(NodesData[[#This Row],[Count]]&gt;1,",","") &amp;"{"&amp;twoRangesToJSON(NodesData[[#Headers],[id]:[url]],NodesData[[#This Row],[id]:[url]])&amp;"}"</f>
        <v>,{"id":"n_core_identity","label":"Core Identity","url":"https://open-measure.atlassian.net/wiki/spaces/DIC/pages/138346642"}</v>
      </c>
      <c r="J93" s="3"/>
    </row>
    <row r="94" spans="1:10" ht="13.25" customHeight="1" thickTop="1" thickBot="1" x14ac:dyDescent="0.4">
      <c r="A94" s="17" t="str">
        <f>SUBSTITUTE(SUBSTITUTE("n_"&amp;LOWER(SUBSTITUTE(SUBSTITUTE(SUBSTITUTE(NodesData[[#This Row],[label]]," ","_"),"/","_"),"-","_")),"__","_"),"__","_")</f>
        <v>n_credential</v>
      </c>
      <c r="B94" s="18" t="s">
        <v>147</v>
      </c>
      <c r="C94" s="18" t="s">
        <v>698</v>
      </c>
      <c r="D94" s="3" t="s">
        <v>1411</v>
      </c>
      <c r="E94" s="3">
        <f t="shared" si="1"/>
        <v>92</v>
      </c>
      <c r="F94" s="3">
        <f>COUNTIF(NodesData[label],NodesData[[#This Row],[label]])</f>
        <v>1</v>
      </c>
      <c r="G94" s="3">
        <f>COUNTIF(ConceptNodes9['[A_ID']],NodesData[[#This Row],[id]])+COUNTIF(ConceptNodes9['[B_ID']],NodesData[[#This Row],[id]])</f>
        <v>0</v>
      </c>
      <c r="H94" s="3">
        <f>IF(NodesData[[#This Row],[Used]]&gt;0,1,0)</f>
        <v>0</v>
      </c>
      <c r="I94" s="19" t="str" cm="1">
        <f t="array" ref="I94">IF(NodesData[[#This Row],[Count]]&gt;1,",","") &amp;"{"&amp;twoRangesToJSON(NodesData[[#Headers],[id]:[url]],NodesData[[#This Row],[id]:[url]])&amp;"}"</f>
        <v>,{"id":"n_credential","label":"Credential","url":"https://open-measure.atlassian.net/wiki/spaces/DIC/pages/67633343/Credential"}</v>
      </c>
      <c r="J94" s="3"/>
    </row>
    <row r="95" spans="1:10" ht="13.25" customHeight="1" thickTop="1" thickBot="1" x14ac:dyDescent="0.4">
      <c r="A95" s="17" t="str">
        <f>SUBSTITUTE(SUBSTITUTE("n_"&amp;LOWER(SUBSTITUTE(SUBSTITUTE(SUBSTITUTE(NodesData[[#This Row],[label]]," ","_"),"/","_"),"-","_")),"__","_"),"__","_")</f>
        <v>n_credential_harvesting</v>
      </c>
      <c r="B95" s="18" t="s">
        <v>148</v>
      </c>
      <c r="C95" s="18" t="s">
        <v>699</v>
      </c>
      <c r="D95" s="3" t="s">
        <v>1411</v>
      </c>
      <c r="E95" s="3">
        <f t="shared" si="1"/>
        <v>93</v>
      </c>
      <c r="F95" s="3">
        <f>COUNTIF(NodesData[label],NodesData[[#This Row],[label]])</f>
        <v>1</v>
      </c>
      <c r="G95" s="3">
        <f>COUNTIF(ConceptNodes9['[A_ID']],NodesData[[#This Row],[id]])+COUNTIF(ConceptNodes9['[B_ID']],NodesData[[#This Row],[id]])</f>
        <v>0</v>
      </c>
      <c r="H95" s="3">
        <f>IF(NodesData[[#This Row],[Used]]&gt;0,1,0)</f>
        <v>0</v>
      </c>
      <c r="I95" s="19" t="str" cm="1">
        <f t="array" ref="I95">IF(NodesData[[#This Row],[Count]]&gt;1,",","") &amp;"{"&amp;twoRangesToJSON(NodesData[[#Headers],[id]:[url]],NodesData[[#This Row],[id]:[url]])&amp;"}"</f>
        <v>,{"id":"n_credential_harvesting","label":"Credential Harvesting","url":"https://open-measure.atlassian.net/wiki/spaces/DIC/pages/1254719498/Credential+Harvesting"}</v>
      </c>
      <c r="J95" s="3"/>
    </row>
    <row r="96" spans="1:10" ht="13.25" customHeight="1" thickTop="1" thickBot="1" x14ac:dyDescent="0.4">
      <c r="A96" s="17" t="str">
        <f>SUBSTITUTE(SUBSTITUTE("n_"&amp;LOWER(SUBSTITUTE(SUBSTITUTE(SUBSTITUTE(NodesData[[#This Row],[label]]," ","_"),"/","_"),"-","_")),"__","_"),"__","_")</f>
        <v>n_credential_service_provider</v>
      </c>
      <c r="B96" s="18" t="s">
        <v>700</v>
      </c>
      <c r="C96" s="18" t="s">
        <v>701</v>
      </c>
      <c r="D96" s="3" t="s">
        <v>1411</v>
      </c>
      <c r="E96" s="3">
        <f t="shared" si="1"/>
        <v>94</v>
      </c>
      <c r="F96" s="3">
        <f>COUNTIF(NodesData[label],NodesData[[#This Row],[label]])</f>
        <v>1</v>
      </c>
      <c r="G96" s="3">
        <f>COUNTIF(ConceptNodes9['[A_ID']],NodesData[[#This Row],[id]])+COUNTIF(ConceptNodes9['[B_ID']],NodesData[[#This Row],[id]])</f>
        <v>0</v>
      </c>
      <c r="H96" s="3">
        <f>IF(NodesData[[#This Row],[Used]]&gt;0,1,0)</f>
        <v>0</v>
      </c>
      <c r="I96" s="19" t="str" cm="1">
        <f t="array" ref="I96">IF(NodesData[[#This Row],[Count]]&gt;1,",","") &amp;"{"&amp;twoRangesToJSON(NodesData[[#Headers],[id]:[url]],NodesData[[#This Row],[id]:[url]])&amp;"}"</f>
        <v>,{"id":"n_credential_service_provider","label":"Credential Service Provider","url":"https://open-measure.atlassian.net/wiki/spaces/DIC/pages/82870977"}</v>
      </c>
      <c r="J96" s="3"/>
    </row>
    <row r="97" spans="1:10" ht="13.25" customHeight="1" thickTop="1" thickBot="1" x14ac:dyDescent="0.4">
      <c r="A97" s="17" t="str">
        <f>SUBSTITUTE(SUBSTITUTE("n_"&amp;LOWER(SUBSTITUTE(SUBSTITUTE(SUBSTITUTE(NodesData[[#This Row],[label]]," ","_"),"/","_"),"-","_")),"__","_"),"__","_")</f>
        <v>n_credential_stuffing</v>
      </c>
      <c r="B97" s="18" t="s">
        <v>150</v>
      </c>
      <c r="C97" s="18" t="s">
        <v>702</v>
      </c>
      <c r="D97" s="3" t="s">
        <v>1411</v>
      </c>
      <c r="E97" s="3">
        <f t="shared" si="1"/>
        <v>95</v>
      </c>
      <c r="F97" s="3">
        <f>COUNTIF(NodesData[label],NodesData[[#This Row],[label]])</f>
        <v>1</v>
      </c>
      <c r="G97" s="3">
        <f>COUNTIF(ConceptNodes9['[A_ID']],NodesData[[#This Row],[id]])+COUNTIF(ConceptNodes9['[B_ID']],NodesData[[#This Row],[id]])</f>
        <v>0</v>
      </c>
      <c r="H97" s="3">
        <f>IF(NodesData[[#This Row],[Used]]&gt;0,1,0)</f>
        <v>0</v>
      </c>
      <c r="I97" s="19" t="str" cm="1">
        <f t="array" ref="I97">IF(NodesData[[#This Row],[Count]]&gt;1,",","") &amp;"{"&amp;twoRangesToJSON(NodesData[[#Headers],[id]:[url]],NodesData[[#This Row],[id]:[url]])&amp;"}"</f>
        <v>,{"id":"n_credential_stuffing","label":"Credential Stuffing","url":"https://open-measure.atlassian.net/wiki/spaces/DIC/pages/1348862053/Credential+Stuffing"}</v>
      </c>
      <c r="J97" s="3"/>
    </row>
    <row r="98" spans="1:10" ht="13.25" customHeight="1" thickTop="1" thickBot="1" x14ac:dyDescent="0.4">
      <c r="A98" s="17" t="str">
        <f>SUBSTITUTE(SUBSTITUTE("n_"&amp;LOWER(SUBSTITUTE(SUBSTITUTE(SUBSTITUTE(NodesData[[#This Row],[label]]," ","_"),"/","_"),"-","_")),"__","_"),"__","_")</f>
        <v>n_credential_theft</v>
      </c>
      <c r="B98" s="18" t="s">
        <v>703</v>
      </c>
      <c r="C98" s="18" t="s">
        <v>704</v>
      </c>
      <c r="D98" s="3" t="s">
        <v>1411</v>
      </c>
      <c r="E98" s="3">
        <f t="shared" si="1"/>
        <v>96</v>
      </c>
      <c r="F98" s="3">
        <f>COUNTIF(NodesData[label],NodesData[[#This Row],[label]])</f>
        <v>1</v>
      </c>
      <c r="G98" s="3">
        <f>COUNTIF(ConceptNodes9['[A_ID']],NodesData[[#This Row],[id]])+COUNTIF(ConceptNodes9['[B_ID']],NodesData[[#This Row],[id]])</f>
        <v>0</v>
      </c>
      <c r="H98" s="3">
        <f>IF(NodesData[[#This Row],[Used]]&gt;0,1,0)</f>
        <v>0</v>
      </c>
      <c r="I98" s="19" t="str" cm="1">
        <f t="array" ref="I98">IF(NodesData[[#This Row],[Count]]&gt;1,",","") &amp;"{"&amp;twoRangesToJSON(NodesData[[#Headers],[id]:[url]],NodesData[[#This Row],[id]:[url]])&amp;"}"</f>
        <v>,{"id":"n_credential_theft","label":"Credential Theft","url":"https://open-measure.atlassian.net/wiki/spaces/DIC/pages/461340725"}</v>
      </c>
      <c r="J98" s="3"/>
    </row>
    <row r="99" spans="1:10" ht="13.25" customHeight="1" thickTop="1" thickBot="1" x14ac:dyDescent="0.4">
      <c r="A99" s="17" t="str">
        <f>SUBSTITUTE(SUBSTITUTE("n_"&amp;LOWER(SUBSTITUTE(SUBSTITUTE(SUBSTITUTE(NodesData[[#This Row],[label]]," ","_"),"/","_"),"-","_")),"__","_"),"__","_")</f>
        <v>n_cryptographic_key</v>
      </c>
      <c r="B99" s="18" t="s">
        <v>705</v>
      </c>
      <c r="C99" s="18" t="s">
        <v>706</v>
      </c>
      <c r="D99" s="3" t="s">
        <v>1411</v>
      </c>
      <c r="E99" s="3">
        <f t="shared" si="1"/>
        <v>97</v>
      </c>
      <c r="F99" s="3">
        <f>COUNTIF(NodesData[label],NodesData[[#This Row],[label]])</f>
        <v>1</v>
      </c>
      <c r="G99" s="3">
        <f>COUNTIF(ConceptNodes9['[A_ID']],NodesData[[#This Row],[id]])+COUNTIF(ConceptNodes9['[B_ID']],NodesData[[#This Row],[id]])</f>
        <v>0</v>
      </c>
      <c r="H99" s="3">
        <f>IF(NodesData[[#This Row],[Used]]&gt;0,1,0)</f>
        <v>0</v>
      </c>
      <c r="I99" s="19" t="str" cm="1">
        <f t="array" ref="I99">IF(NodesData[[#This Row],[Count]]&gt;1,",","") &amp;"{"&amp;twoRangesToJSON(NodesData[[#Headers],[id]:[url]],NodesData[[#This Row],[id]:[url]])&amp;"}"</f>
        <v>,{"id":"n_cryptographic_key","label":"Cryptographic Key","url":"https://open-measure.atlassian.net/wiki/spaces/DIC/pages/427130918"}</v>
      </c>
      <c r="J99" s="3"/>
    </row>
    <row r="100" spans="1:10" ht="13.25" customHeight="1" thickTop="1" thickBot="1" x14ac:dyDescent="0.4">
      <c r="A100" s="17" t="str">
        <f>SUBSTITUTE(SUBSTITUTE("n_"&amp;LOWER(SUBSTITUTE(SUBSTITUTE(SUBSTITUTE(NodesData[[#This Row],[label]]," ","_"),"/","_"),"-","_")),"__","_"),"__","_")</f>
        <v>n_csc</v>
      </c>
      <c r="B100" s="18" t="s">
        <v>153</v>
      </c>
      <c r="C100" s="18" t="s">
        <v>707</v>
      </c>
      <c r="D100" s="3" t="s">
        <v>1301</v>
      </c>
      <c r="E100" s="3">
        <f t="shared" si="1"/>
        <v>98</v>
      </c>
      <c r="F100" s="3">
        <f>COUNTIF(NodesData[label],NodesData[[#This Row],[label]])</f>
        <v>1</v>
      </c>
      <c r="G100" s="3">
        <f>COUNTIF(ConceptNodes9['[A_ID']],NodesData[[#This Row],[id]])+COUNTIF(ConceptNodes9['[B_ID']],NodesData[[#This Row],[id]])</f>
        <v>0</v>
      </c>
      <c r="H100" s="3">
        <f>IF(NodesData[[#This Row],[Used]]&gt;0,1,0)</f>
        <v>0</v>
      </c>
      <c r="I100" s="19" t="str" cm="1">
        <f t="array" ref="I100">IF(NodesData[[#This Row],[Count]]&gt;1,",","") &amp;"{"&amp;twoRangesToJSON(NodesData[[#Headers],[id]:[url]],NodesData[[#This Row],[id]:[url]])&amp;"}"</f>
        <v>,{"id":"n_csc","label":"CSC","url":"https://open-measure.atlassian.net/wiki/spaces/DIC/pages/1152516162/CSC"}</v>
      </c>
      <c r="J100" s="3"/>
    </row>
    <row r="101" spans="1:10" ht="13.25" customHeight="1" thickTop="1" thickBot="1" x14ac:dyDescent="0.4">
      <c r="A101" s="17" t="str">
        <f>SUBSTITUTE(SUBSTITUTE("n_"&amp;LOWER(SUBSTITUTE(SUBSTITUTE(SUBSTITUTE(NodesData[[#This Row],[label]]," ","_"),"/","_"),"-","_")),"__","_"),"__","_")</f>
        <v>n_csp</v>
      </c>
      <c r="B101" s="18" t="s">
        <v>154</v>
      </c>
      <c r="C101" s="18" t="s">
        <v>708</v>
      </c>
      <c r="D101" s="3" t="s">
        <v>1301</v>
      </c>
      <c r="E101" s="3">
        <f t="shared" si="1"/>
        <v>99</v>
      </c>
      <c r="F101" s="3">
        <f>COUNTIF(NodesData[label],NodesData[[#This Row],[label]])</f>
        <v>1</v>
      </c>
      <c r="G101" s="3">
        <f>COUNTIF(ConceptNodes9['[A_ID']],NodesData[[#This Row],[id]])+COUNTIF(ConceptNodes9['[B_ID']],NodesData[[#This Row],[id]])</f>
        <v>0</v>
      </c>
      <c r="H101" s="3">
        <f>IF(NodesData[[#This Row],[Used]]&gt;0,1,0)</f>
        <v>0</v>
      </c>
      <c r="I101" s="19" t="str" cm="1">
        <f t="array" ref="I101">IF(NodesData[[#This Row],[Count]]&gt;1,",","") &amp;"{"&amp;twoRangesToJSON(NodesData[[#Headers],[id]:[url]],NodesData[[#This Row],[id]:[url]])&amp;"}"</f>
        <v>,{"id":"n_csp","label":"CSP","url":"https://open-measure.atlassian.net/wiki/spaces/DIC/pages/82903984/CSP"}</v>
      </c>
      <c r="J101" s="3"/>
    </row>
    <row r="102" spans="1:10" ht="13.25" customHeight="1" thickTop="1" thickBot="1" x14ac:dyDescent="0.4">
      <c r="A102" s="17" t="str">
        <f>SUBSTITUTE(SUBSTITUTE("n_"&amp;LOWER(SUBSTITUTE(SUBSTITUTE(SUBSTITUTE(NodesData[[#This Row],[label]]," ","_"),"/","_"),"-","_")),"__","_"),"__","_")</f>
        <v>n_csu</v>
      </c>
      <c r="B102" s="18" t="s">
        <v>155</v>
      </c>
      <c r="C102" s="18" t="s">
        <v>709</v>
      </c>
      <c r="D102" s="3" t="s">
        <v>1301</v>
      </c>
      <c r="E102" s="3">
        <f t="shared" si="1"/>
        <v>100</v>
      </c>
      <c r="F102" s="3">
        <f>COUNTIF(NodesData[label],NodesData[[#This Row],[label]])</f>
        <v>1</v>
      </c>
      <c r="G102" s="3">
        <f>COUNTIF(ConceptNodes9['[A_ID']],NodesData[[#This Row],[id]])+COUNTIF(ConceptNodes9['[B_ID']],NodesData[[#This Row],[id]])</f>
        <v>0</v>
      </c>
      <c r="H102" s="3">
        <f>IF(NodesData[[#This Row],[Used]]&gt;0,1,0)</f>
        <v>0</v>
      </c>
      <c r="I102" s="19" t="str" cm="1">
        <f t="array" ref="I102">IF(NodesData[[#This Row],[Count]]&gt;1,",","") &amp;"{"&amp;twoRangesToJSON(NodesData[[#Headers],[id]:[url]],NodesData[[#This Row],[id]:[url]])&amp;"}"</f>
        <v>,{"id":"n_csu","label":"CSU","url":"https://open-measure.atlassian.net/wiki/spaces/DIC/pages/206667867/CSU"}</v>
      </c>
      <c r="J102" s="3"/>
    </row>
    <row r="103" spans="1:10" ht="13.25" customHeight="1" thickTop="1" thickBot="1" x14ac:dyDescent="0.4">
      <c r="A103" s="17" t="str">
        <f>SUBSTITUTE(SUBSTITUTE("n_"&amp;LOWER(SUBSTITUTE(SUBSTITUTE(SUBSTITUTE(NodesData[[#This Row],[label]]," ","_"),"/","_"),"-","_")),"__","_"),"__","_")</f>
        <v>n_customer_due_diligence</v>
      </c>
      <c r="B103" s="18" t="s">
        <v>710</v>
      </c>
      <c r="C103" s="18" t="s">
        <v>711</v>
      </c>
      <c r="D103" s="3" t="s">
        <v>1411</v>
      </c>
      <c r="E103" s="3">
        <f t="shared" si="1"/>
        <v>101</v>
      </c>
      <c r="F103" s="3">
        <f>COUNTIF(NodesData[label],NodesData[[#This Row],[label]])</f>
        <v>1</v>
      </c>
      <c r="G103" s="3">
        <f>COUNTIF(ConceptNodes9['[A_ID']],NodesData[[#This Row],[id]])+COUNTIF(ConceptNodes9['[B_ID']],NodesData[[#This Row],[id]])</f>
        <v>0</v>
      </c>
      <c r="H103" s="3">
        <f>IF(NodesData[[#This Row],[Used]]&gt;0,1,0)</f>
        <v>0</v>
      </c>
      <c r="I103" s="19" t="str" cm="1">
        <f t="array" ref="I103">IF(NodesData[[#This Row],[Count]]&gt;1,",","") &amp;"{"&amp;twoRangesToJSON(NodesData[[#Headers],[id]:[url]],NodesData[[#This Row],[id]:[url]])&amp;"}"</f>
        <v>,{"id":"n_customer_due_diligence","label":"Customer Due Diligence","url":"https://open-measure.atlassian.net/wiki/spaces/DIC/pages/414482448"}</v>
      </c>
      <c r="J103" s="3"/>
    </row>
    <row r="104" spans="1:10" ht="13.25" customHeight="1" thickTop="1" thickBot="1" x14ac:dyDescent="0.4">
      <c r="A104" s="17" t="str">
        <f>SUBSTITUTE(SUBSTITUTE("n_"&amp;LOWER(SUBSTITUTE(SUBSTITUTE(SUBSTITUTE(NodesData[[#This Row],[label]]," ","_"),"/","_"),"-","_")),"__","_"),"__","_")</f>
        <v>n_customer_identification</v>
      </c>
      <c r="B104" s="18" t="s">
        <v>712</v>
      </c>
      <c r="C104" s="18" t="s">
        <v>713</v>
      </c>
      <c r="D104" s="3" t="s">
        <v>1411</v>
      </c>
      <c r="E104" s="3">
        <f t="shared" si="1"/>
        <v>102</v>
      </c>
      <c r="F104" s="3">
        <f>COUNTIF(NodesData[label],NodesData[[#This Row],[label]])</f>
        <v>1</v>
      </c>
      <c r="G104" s="3">
        <f>COUNTIF(ConceptNodes9['[A_ID']],NodesData[[#This Row],[id]])+COUNTIF(ConceptNodes9['[B_ID']],NodesData[[#This Row],[id]])</f>
        <v>0</v>
      </c>
      <c r="H104" s="3">
        <f>IF(NodesData[[#This Row],[Used]]&gt;0,1,0)</f>
        <v>0</v>
      </c>
      <c r="I104" s="19" t="str" cm="1">
        <f t="array" ref="I104">IF(NodesData[[#This Row],[Count]]&gt;1,",","") &amp;"{"&amp;twoRangesToJSON(NodesData[[#Headers],[id]:[url]],NodesData[[#This Row],[id]:[url]])&amp;"}"</f>
        <v>,{"id":"n_customer_identification","label":"Customer Identification","url":"https://open-measure.atlassian.net/wiki/spaces/DIC/pages/414548006"}</v>
      </c>
      <c r="J104" s="3"/>
    </row>
    <row r="105" spans="1:10" ht="13.25" customHeight="1" thickTop="1" thickBot="1" x14ac:dyDescent="0.4">
      <c r="A105" s="17" t="str">
        <f>SUBSTITUTE(SUBSTITUTE("n_"&amp;LOWER(SUBSTITUTE(SUBSTITUTE(SUBSTITUTE(NodesData[[#This Row],[label]]," ","_"),"/","_"),"-","_")),"__","_"),"__","_")</f>
        <v>n_customer_identity</v>
      </c>
      <c r="B105" s="18" t="s">
        <v>714</v>
      </c>
      <c r="C105" s="18" t="s">
        <v>715</v>
      </c>
      <c r="D105" s="3" t="s">
        <v>1411</v>
      </c>
      <c r="E105" s="3">
        <f t="shared" si="1"/>
        <v>103</v>
      </c>
      <c r="F105" s="3">
        <f>COUNTIF(NodesData[label],NodesData[[#This Row],[label]])</f>
        <v>1</v>
      </c>
      <c r="G105" s="3">
        <f>COUNTIF(ConceptNodes9['[A_ID']],NodesData[[#This Row],[id]])+COUNTIF(ConceptNodes9['[B_ID']],NodesData[[#This Row],[id]])</f>
        <v>0</v>
      </c>
      <c r="H105" s="3">
        <f>IF(NodesData[[#This Row],[Used]]&gt;0,1,0)</f>
        <v>0</v>
      </c>
      <c r="I105" s="19" t="str" cm="1">
        <f t="array" ref="I105">IF(NodesData[[#This Row],[Count]]&gt;1,",","") &amp;"{"&amp;twoRangesToJSON(NodesData[[#Headers],[id]:[url]],NodesData[[#This Row],[id]:[url]])&amp;"}"</f>
        <v>,{"id":"n_customer_identity","label":"Customer Identity","url":"https://open-measure.atlassian.net/wiki/spaces/DIC/pages/138444875"}</v>
      </c>
      <c r="J105" s="3"/>
    </row>
    <row r="106" spans="1:10" ht="13.25" customHeight="1" thickTop="1" thickBot="1" x14ac:dyDescent="0.4">
      <c r="A106" s="17" t="str">
        <f>SUBSTITUTE(SUBSTITUTE("n_"&amp;LOWER(SUBSTITUTE(SUBSTITUTE(SUBSTITUTE(NodesData[[#This Row],[label]]," ","_"),"/","_"),"-","_")),"__","_"),"__","_")</f>
        <v>n_customer_identity_verification</v>
      </c>
      <c r="B106" s="18" t="s">
        <v>716</v>
      </c>
      <c r="C106" s="18" t="s">
        <v>717</v>
      </c>
      <c r="D106" s="3" t="s">
        <v>1411</v>
      </c>
      <c r="E106" s="3">
        <f t="shared" si="1"/>
        <v>104</v>
      </c>
      <c r="F106" s="3">
        <f>COUNTIF(NodesData[label],NodesData[[#This Row],[label]])</f>
        <v>1</v>
      </c>
      <c r="G106" s="3">
        <f>COUNTIF(ConceptNodes9['[A_ID']],NodesData[[#This Row],[id]])+COUNTIF(ConceptNodes9['[B_ID']],NodesData[[#This Row],[id]])</f>
        <v>0</v>
      </c>
      <c r="H106" s="3">
        <f>IF(NodesData[[#This Row],[Used]]&gt;0,1,0)</f>
        <v>0</v>
      </c>
      <c r="I106" s="19" t="str" cm="1">
        <f t="array" ref="I106">IF(NodesData[[#This Row],[Count]]&gt;1,",","") &amp;"{"&amp;twoRangesToJSON(NodesData[[#Headers],[id]:[url]],NodesData[[#This Row],[id]:[url]])&amp;"}"</f>
        <v>,{"id":"n_customer_identity_verification","label":"Customer Identity Verification","url":"https://open-measure.atlassian.net/wiki/spaces/DIC/pages/409010717"}</v>
      </c>
      <c r="J106" s="3"/>
    </row>
    <row r="107" spans="1:10" ht="13.25" customHeight="1" thickTop="1" thickBot="1" x14ac:dyDescent="0.4">
      <c r="A107" s="17" t="str">
        <f>SUBSTITUTE(SUBSTITUTE("n_"&amp;LOWER(SUBSTITUTE(SUBSTITUTE(SUBSTITUTE(NodesData[[#This Row],[label]]," ","_"),"/","_"),"-","_")),"__","_"),"__","_")</f>
        <v>n_customer_on_boarding</v>
      </c>
      <c r="B107" s="18" t="s">
        <v>718</v>
      </c>
      <c r="C107" s="18" t="s">
        <v>719</v>
      </c>
      <c r="D107" s="3" t="s">
        <v>1411</v>
      </c>
      <c r="E107" s="3">
        <f t="shared" si="1"/>
        <v>105</v>
      </c>
      <c r="F107" s="3">
        <f>COUNTIF(NodesData[label],NodesData[[#This Row],[label]])</f>
        <v>1</v>
      </c>
      <c r="G107" s="3">
        <f>COUNTIF(ConceptNodes9['[A_ID']],NodesData[[#This Row],[id]])+COUNTIF(ConceptNodes9['[B_ID']],NodesData[[#This Row],[id]])</f>
        <v>0</v>
      </c>
      <c r="H107" s="3">
        <f>IF(NodesData[[#This Row],[Used]]&gt;0,1,0)</f>
        <v>0</v>
      </c>
      <c r="I107" s="19" t="str" cm="1">
        <f t="array" ref="I107">IF(NodesData[[#This Row],[Count]]&gt;1,",","") &amp;"{"&amp;twoRangesToJSON(NodesData[[#Headers],[id]:[url]],NodesData[[#This Row],[id]:[url]])&amp;"}"</f>
        <v>,{"id":"n_customer_on_boarding","label":"Customer On-Boarding","url":"https://open-measure.atlassian.net/wiki/spaces/DIC/pages/408944928"}</v>
      </c>
      <c r="J107" s="3"/>
    </row>
    <row r="108" spans="1:10" ht="13.25" customHeight="1" thickTop="1" thickBot="1" x14ac:dyDescent="0.4">
      <c r="A108" s="17" t="str">
        <f>SUBSTITUTE(SUBSTITUTE("n_"&amp;LOWER(SUBSTITUTE(SUBSTITUTE(SUBSTITUTE(NodesData[[#This Row],[label]]," ","_"),"/","_"),"-","_")),"__","_"),"__","_")</f>
        <v>n_customer_privacy_and_consent_management</v>
      </c>
      <c r="B108" s="18" t="s">
        <v>720</v>
      </c>
      <c r="C108" s="18" t="s">
        <v>721</v>
      </c>
      <c r="D108" s="3" t="s">
        <v>1411</v>
      </c>
      <c r="E108" s="3">
        <f t="shared" si="1"/>
        <v>106</v>
      </c>
      <c r="F108" s="3">
        <f>COUNTIF(NodesData[label],NodesData[[#This Row],[label]])</f>
        <v>1</v>
      </c>
      <c r="G108" s="3">
        <f>COUNTIF(ConceptNodes9['[A_ID']],NodesData[[#This Row],[id]])+COUNTIF(ConceptNodes9['[B_ID']],NodesData[[#This Row],[id]])</f>
        <v>0</v>
      </c>
      <c r="H108" s="3">
        <f>IF(NodesData[[#This Row],[Used]]&gt;0,1,0)</f>
        <v>0</v>
      </c>
      <c r="I108" s="19" t="str" cm="1">
        <f t="array" ref="I108">IF(NodesData[[#This Row],[Count]]&gt;1,",","") &amp;"{"&amp;twoRangesToJSON(NodesData[[#Headers],[id]:[url]],NodesData[[#This Row],[id]:[url]])&amp;"}"</f>
        <v>,{"id":"n_customer_privacy_and_consent_management","label":"Customer Privacy and Consent Management","url":"https://open-measure.atlassian.net/wiki/spaces/DIC/pages/797900801"}</v>
      </c>
      <c r="J108" s="3"/>
    </row>
    <row r="109" spans="1:10" ht="13.25" customHeight="1" thickTop="1" thickBot="1" x14ac:dyDescent="0.4">
      <c r="A109" s="17" t="str">
        <f>SUBSTITUTE(SUBSTITUTE("n_"&amp;LOWER(SUBSTITUTE(SUBSTITUTE(SUBSTITUTE(NodesData[[#This Row],[label]]," ","_"),"/","_"),"-","_")),"__","_"),"__","_")</f>
        <v>n_cyber_sabotage</v>
      </c>
      <c r="B109" s="18" t="s">
        <v>162</v>
      </c>
      <c r="C109" s="18" t="s">
        <v>722</v>
      </c>
      <c r="D109" s="3" t="s">
        <v>1411</v>
      </c>
      <c r="E109" s="3">
        <f t="shared" si="1"/>
        <v>107</v>
      </c>
      <c r="F109" s="3">
        <f>COUNTIF(NodesData[label],NodesData[[#This Row],[label]])</f>
        <v>1</v>
      </c>
      <c r="G109" s="3">
        <f>COUNTIF(ConceptNodes9['[A_ID']],NodesData[[#This Row],[id]])+COUNTIF(ConceptNodes9['[B_ID']],NodesData[[#This Row],[id]])</f>
        <v>0</v>
      </c>
      <c r="H109" s="3">
        <f>IF(NodesData[[#This Row],[Used]]&gt;0,1,0)</f>
        <v>0</v>
      </c>
      <c r="I109" s="19" t="str" cm="1">
        <f t="array" ref="I109">IF(NodesData[[#This Row],[Count]]&gt;1,",","") &amp;"{"&amp;twoRangesToJSON(NodesData[[#Headers],[id]:[url]],NodesData[[#This Row],[id]:[url]])&amp;"}"</f>
        <v>,{"id":"n_cyber_sabotage","label":"Cyber-sabotage","url":"https://open-measure.atlassian.net/wiki/spaces/DIC/pages/1451982933/Cyber-sabotage"}</v>
      </c>
      <c r="J109" s="3"/>
    </row>
    <row r="110" spans="1:10" ht="13.25" customHeight="1" thickTop="1" thickBot="1" x14ac:dyDescent="0.4">
      <c r="A110" s="17" t="str">
        <f>SUBSTITUTE(SUBSTITUTE("n_"&amp;LOWER(SUBSTITUTE(SUBSTITUTE(SUBSTITUTE(NodesData[[#This Row],[label]]," ","_"),"/","_"),"-","_")),"__","_"),"__","_")</f>
        <v>n_dac</v>
      </c>
      <c r="B110" s="18" t="s">
        <v>163</v>
      </c>
      <c r="C110" s="18" t="s">
        <v>723</v>
      </c>
      <c r="D110" s="3" t="s">
        <v>1301</v>
      </c>
      <c r="E110" s="3">
        <f t="shared" si="1"/>
        <v>108</v>
      </c>
      <c r="F110" s="3">
        <f>COUNTIF(NodesData[label],NodesData[[#This Row],[label]])</f>
        <v>1</v>
      </c>
      <c r="G110" s="3">
        <f>COUNTIF(ConceptNodes9['[A_ID']],NodesData[[#This Row],[id]])+COUNTIF(ConceptNodes9['[B_ID']],NodesData[[#This Row],[id]])</f>
        <v>0</v>
      </c>
      <c r="H110" s="3">
        <f>IF(NodesData[[#This Row],[Used]]&gt;0,1,0)</f>
        <v>0</v>
      </c>
      <c r="I110" s="19" t="str" cm="1">
        <f t="array" ref="I110">IF(NodesData[[#This Row],[Count]]&gt;1,",","") &amp;"{"&amp;twoRangesToJSON(NodesData[[#Headers],[id]:[url]],NodesData[[#This Row],[id]:[url]])&amp;"}"</f>
        <v>,{"id":"n_dac","label":"DAC","url":"https://open-measure.atlassian.net/wiki/spaces/DIC/pages/1177845938/DAC"}</v>
      </c>
      <c r="J110" s="3"/>
    </row>
    <row r="111" spans="1:10" ht="13.25" customHeight="1" thickTop="1" thickBot="1" x14ac:dyDescent="0.4">
      <c r="A111" s="17" t="str">
        <f>SUBSTITUTE(SUBSTITUTE("n_"&amp;LOWER(SUBSTITUTE(SUBSTITUTE(SUBSTITUTE(NodesData[[#This Row],[label]]," ","_"),"/","_"),"-","_")),"__","_"),"__","_")</f>
        <v>n_data_anonymization</v>
      </c>
      <c r="B111" s="18" t="s">
        <v>164</v>
      </c>
      <c r="C111" s="18" t="s">
        <v>724</v>
      </c>
      <c r="D111" s="3" t="s">
        <v>1411</v>
      </c>
      <c r="E111" s="3">
        <f t="shared" si="1"/>
        <v>109</v>
      </c>
      <c r="F111" s="3">
        <f>COUNTIF(NodesData[label],NodesData[[#This Row],[label]])</f>
        <v>1</v>
      </c>
      <c r="G111" s="3">
        <f>COUNTIF(ConceptNodes9['[A_ID']],NodesData[[#This Row],[id]])+COUNTIF(ConceptNodes9['[B_ID']],NodesData[[#This Row],[id]])</f>
        <v>0</v>
      </c>
      <c r="H111" s="3">
        <f>IF(NodesData[[#This Row],[Used]]&gt;0,1,0)</f>
        <v>0</v>
      </c>
      <c r="I111" s="19" t="str" cm="1">
        <f t="array" ref="I111">IF(NodesData[[#This Row],[Count]]&gt;1,",","") &amp;"{"&amp;twoRangesToJSON(NodesData[[#Headers],[id]:[url]],NodesData[[#This Row],[id]:[url]])&amp;"}"</f>
        <v>,{"id":"n_data_anonymization","label":"Data Anonymization","url":"https://open-measure.atlassian.net/wiki/spaces/DIC/pages/1267400850/Data+Anonymization"}</v>
      </c>
      <c r="J111" s="3"/>
    </row>
    <row r="112" spans="1:10" ht="13.25" customHeight="1" thickTop="1" thickBot="1" x14ac:dyDescent="0.4">
      <c r="A112" s="17" t="str">
        <f>SUBSTITUTE(SUBSTITUTE("n_"&amp;LOWER(SUBSTITUTE(SUBSTITUTE(SUBSTITUTE(NodesData[[#This Row],[label]]," ","_"),"/","_"),"-","_")),"__","_"),"__","_")</f>
        <v>n_data_custodian</v>
      </c>
      <c r="B112" s="18" t="s">
        <v>725</v>
      </c>
      <c r="C112" s="18" t="s">
        <v>726</v>
      </c>
      <c r="D112" s="3" t="s">
        <v>1411</v>
      </c>
      <c r="E112" s="3">
        <f t="shared" si="1"/>
        <v>110</v>
      </c>
      <c r="F112" s="3">
        <f>COUNTIF(NodesData[label],NodesData[[#This Row],[label]])</f>
        <v>1</v>
      </c>
      <c r="G112" s="3">
        <f>COUNTIF(ConceptNodes9['[A_ID']],NodesData[[#This Row],[id]])+COUNTIF(ConceptNodes9['[B_ID']],NodesData[[#This Row],[id]])</f>
        <v>0</v>
      </c>
      <c r="H112" s="3">
        <f>IF(NodesData[[#This Row],[Used]]&gt;0,1,0)</f>
        <v>0</v>
      </c>
      <c r="I112" s="19" t="str" cm="1">
        <f t="array" ref="I112">IF(NodesData[[#This Row],[Count]]&gt;1,",","") &amp;"{"&amp;twoRangesToJSON(NodesData[[#Headers],[id]:[url]],NodesData[[#This Row],[id]:[url]])&amp;"}"</f>
        <v>,{"id":"n_data_custodian","label":"Data Custodian","url":"https://open-measure.atlassian.net/wiki/spaces/DIC/pages/998244454"}</v>
      </c>
      <c r="J112" s="3"/>
    </row>
    <row r="113" spans="1:10" ht="13.25" customHeight="1" thickTop="1" thickBot="1" x14ac:dyDescent="0.4">
      <c r="A113" s="17" t="str">
        <f>SUBSTITUTE(SUBSTITUTE("n_"&amp;LOWER(SUBSTITUTE(SUBSTITUTE(SUBSTITUTE(NodesData[[#This Row],[label]]," ","_"),"/","_"),"-","_")),"__","_"),"__","_")</f>
        <v>n_data_level_policy</v>
      </c>
      <c r="B113" s="18" t="s">
        <v>733</v>
      </c>
      <c r="C113" s="18" t="s">
        <v>734</v>
      </c>
      <c r="D113" s="3" t="s">
        <v>1411</v>
      </c>
      <c r="E113" s="3">
        <f t="shared" si="1"/>
        <v>111</v>
      </c>
      <c r="F113" s="3">
        <f>COUNTIF(NodesData[label],NodesData[[#This Row],[label]])</f>
        <v>1</v>
      </c>
      <c r="G113" s="3">
        <f>COUNTIF(ConceptNodes9['[A_ID']],NodesData[[#This Row],[id]])+COUNTIF(ConceptNodes9['[B_ID']],NodesData[[#This Row],[id]])</f>
        <v>0</v>
      </c>
      <c r="H113" s="3">
        <f>IF(NodesData[[#This Row],[Used]]&gt;0,1,0)</f>
        <v>0</v>
      </c>
      <c r="I113" s="19" t="str" cm="1">
        <f t="array" ref="I113">IF(NodesData[[#This Row],[Count]]&gt;1,",","") &amp;"{"&amp;twoRangesToJSON(NodesData[[#Headers],[id]:[url]],NodesData[[#This Row],[id]:[url]])&amp;"}"</f>
        <v>,{"id":"n_data_level_policy","label":"Data-Level Policy","url":"https://open-measure.atlassian.net/wiki/spaces/DIC/pages/1132331029"}</v>
      </c>
      <c r="J113" s="3"/>
    </row>
    <row r="114" spans="1:10" ht="13.25" customHeight="1" thickTop="1" thickBot="1" x14ac:dyDescent="0.4">
      <c r="A114" s="17" t="str">
        <f>SUBSTITUTE(SUBSTITUTE("n_"&amp;LOWER(SUBSTITUTE(SUBSTITUTE(SUBSTITUTE(NodesData[[#This Row],[label]]," ","_"),"/","_"),"-","_")),"__","_"),"__","_")</f>
        <v>n_data_lineage</v>
      </c>
      <c r="B114" s="18" t="s">
        <v>727</v>
      </c>
      <c r="C114" s="18" t="s">
        <v>728</v>
      </c>
      <c r="D114" s="3" t="s">
        <v>1411</v>
      </c>
      <c r="E114" s="3">
        <f t="shared" si="1"/>
        <v>112</v>
      </c>
      <c r="F114" s="3">
        <f>COUNTIF(NodesData[label],NodesData[[#This Row],[label]])</f>
        <v>1</v>
      </c>
      <c r="G114" s="3">
        <f>COUNTIF(ConceptNodes9['[A_ID']],NodesData[[#This Row],[id]])+COUNTIF(ConceptNodes9['[B_ID']],NodesData[[#This Row],[id]])</f>
        <v>0</v>
      </c>
      <c r="H114" s="3">
        <f>IF(NodesData[[#This Row],[Used]]&gt;0,1,0)</f>
        <v>0</v>
      </c>
      <c r="I114" s="19" t="str" cm="1">
        <f t="array" ref="I114">IF(NodesData[[#This Row],[Count]]&gt;1,",","") &amp;"{"&amp;twoRangesToJSON(NodesData[[#Headers],[id]:[url]],NodesData[[#This Row],[id]:[url]])&amp;"}"</f>
        <v>,{"id":"n_data_lineage","label":"Data Lineage","url":"https://open-measure.atlassian.net/wiki/spaces/DIC/pages/508330028"}</v>
      </c>
      <c r="J114" s="3"/>
    </row>
    <row r="115" spans="1:10" ht="13.25" customHeight="1" thickTop="1" thickBot="1" x14ac:dyDescent="0.4">
      <c r="A115" s="17" t="str">
        <f>SUBSTITUTE(SUBSTITUTE("n_"&amp;LOWER(SUBSTITUTE(SUBSTITUTE(SUBSTITUTE(NodesData[[#This Row],[label]]," ","_"),"/","_"),"-","_")),"__","_"),"__","_")</f>
        <v>n_data_obfuscation</v>
      </c>
      <c r="B115" s="18" t="s">
        <v>729</v>
      </c>
      <c r="C115" s="18" t="s">
        <v>730</v>
      </c>
      <c r="D115" s="3" t="s">
        <v>1411</v>
      </c>
      <c r="E115" s="3">
        <f t="shared" si="1"/>
        <v>113</v>
      </c>
      <c r="F115" s="3">
        <f>COUNTIF(NodesData[label],NodesData[[#This Row],[label]])</f>
        <v>1</v>
      </c>
      <c r="G115" s="3">
        <f>COUNTIF(ConceptNodes9['[A_ID']],NodesData[[#This Row],[id]])+COUNTIF(ConceptNodes9['[B_ID']],NodesData[[#This Row],[id]])</f>
        <v>0</v>
      </c>
      <c r="H115" s="3">
        <f>IF(NodesData[[#This Row],[Used]]&gt;0,1,0)</f>
        <v>0</v>
      </c>
      <c r="I115" s="19" t="str" cm="1">
        <f t="array" ref="I115">IF(NodesData[[#This Row],[Count]]&gt;1,",","") &amp;"{"&amp;twoRangesToJSON(NodesData[[#Headers],[id]:[url]],NodesData[[#This Row],[id]:[url]])&amp;"}"</f>
        <v>,{"id":"n_data_obfuscation","label":"Data Obfuscation","url":"https://open-measure.atlassian.net/wiki/spaces/DIC/pages/1027048097"}</v>
      </c>
      <c r="J115" s="3"/>
    </row>
    <row r="116" spans="1:10" ht="13.25" customHeight="1" thickTop="1" thickBot="1" x14ac:dyDescent="0.4">
      <c r="A116" s="17" t="str">
        <f>SUBSTITUTE(SUBSTITUTE("n_"&amp;LOWER(SUBSTITUTE(SUBSTITUTE(SUBSTITUTE(NodesData[[#This Row],[label]]," ","_"),"/","_"),"-","_")),"__","_"),"__","_")</f>
        <v>n_data_owner</v>
      </c>
      <c r="B116" s="18" t="s">
        <v>731</v>
      </c>
      <c r="C116" s="18" t="s">
        <v>732</v>
      </c>
      <c r="D116" s="3" t="s">
        <v>1411</v>
      </c>
      <c r="E116" s="3">
        <f t="shared" si="1"/>
        <v>114</v>
      </c>
      <c r="F116" s="3">
        <f>COUNTIF(NodesData[label],NodesData[[#This Row],[label]])</f>
        <v>1</v>
      </c>
      <c r="G116" s="3">
        <f>COUNTIF(ConceptNodes9['[A_ID']],NodesData[[#This Row],[id]])+COUNTIF(ConceptNodes9['[B_ID']],NodesData[[#This Row],[id]])</f>
        <v>0</v>
      </c>
      <c r="H116" s="3">
        <f>IF(NodesData[[#This Row],[Used]]&gt;0,1,0)</f>
        <v>0</v>
      </c>
      <c r="I116" s="19" t="str" cm="1">
        <f t="array" ref="I116">IF(NodesData[[#This Row],[Count]]&gt;1,",","") &amp;"{"&amp;twoRangesToJSON(NodesData[[#Headers],[id]:[url]],NodesData[[#This Row],[id]:[url]])&amp;"}"</f>
        <v>,{"id":"n_data_owner","label":"Data Owner","url":"https://open-measure.atlassian.net/wiki/spaces/DIC/pages/998179040"}</v>
      </c>
      <c r="J116" s="3"/>
    </row>
    <row r="117" spans="1:10" ht="13.25" customHeight="1" thickTop="1" thickBot="1" x14ac:dyDescent="0.4">
      <c r="A117" s="17" t="str">
        <f>SUBSTITUTE(SUBSTITUTE("n_"&amp;LOWER(SUBSTITUTE(SUBSTITUTE(SUBSTITUTE(NodesData[[#This Row],[label]]," ","_"),"/","_"),"-","_")),"__","_"),"__","_")</f>
        <v>n_de_duplication</v>
      </c>
      <c r="B117" s="18" t="s">
        <v>739</v>
      </c>
      <c r="C117" s="18" t="s">
        <v>740</v>
      </c>
      <c r="D117" s="3" t="s">
        <v>1411</v>
      </c>
      <c r="E117" s="3">
        <f t="shared" si="1"/>
        <v>115</v>
      </c>
      <c r="F117" s="3">
        <f>COUNTIF(NodesData[label],NodesData[[#This Row],[label]])</f>
        <v>1</v>
      </c>
      <c r="G117" s="3">
        <f>COUNTIF(ConceptNodes9['[A_ID']],NodesData[[#This Row],[id]])+COUNTIF(ConceptNodes9['[B_ID']],NodesData[[#This Row],[id]])</f>
        <v>0</v>
      </c>
      <c r="H117" s="3">
        <f>IF(NodesData[[#This Row],[Used]]&gt;0,1,0)</f>
        <v>0</v>
      </c>
      <c r="I117" s="19" t="str" cm="1">
        <f t="array" ref="I117">IF(NodesData[[#This Row],[Count]]&gt;1,",","") &amp;"{"&amp;twoRangesToJSON(NodesData[[#Headers],[id]:[url]],NodesData[[#This Row],[id]:[url]])&amp;"}"</f>
        <v>,{"id":"n_de_duplication","label":"De-duplication","url":"https://open-measure.atlassian.net/wiki/spaces/DIC/pages/408977837"}</v>
      </c>
      <c r="J117" s="3"/>
    </row>
    <row r="118" spans="1:10" ht="13.25" customHeight="1" thickTop="1" thickBot="1" x14ac:dyDescent="0.4">
      <c r="A118" s="17" t="str">
        <f>SUBSTITUTE(SUBSTITUTE("n_"&amp;LOWER(SUBSTITUTE(SUBSTITUTE(SUBSTITUTE(NodesData[[#This Row],[label]]," ","_"),"/","_"),"-","_")),"__","_"),"__","_")</f>
        <v>n_death_certificate</v>
      </c>
      <c r="B118" s="18" t="s">
        <v>735</v>
      </c>
      <c r="C118" s="18" t="s">
        <v>736</v>
      </c>
      <c r="D118" s="3" t="s">
        <v>1411</v>
      </c>
      <c r="E118" s="3">
        <f t="shared" si="1"/>
        <v>116</v>
      </c>
      <c r="F118" s="3">
        <f>COUNTIF(NodesData[label],NodesData[[#This Row],[label]])</f>
        <v>1</v>
      </c>
      <c r="G118" s="3">
        <f>COUNTIF(ConceptNodes9['[A_ID']],NodesData[[#This Row],[id]])+COUNTIF(ConceptNodes9['[B_ID']],NodesData[[#This Row],[id]])</f>
        <v>0</v>
      </c>
      <c r="H118" s="3">
        <f>IF(NodesData[[#This Row],[Used]]&gt;0,1,0)</f>
        <v>0</v>
      </c>
      <c r="I118" s="19" t="str" cm="1">
        <f t="array" ref="I118">IF(NodesData[[#This Row],[Count]]&gt;1,",","") &amp;"{"&amp;twoRangesToJSON(NodesData[[#Headers],[id]:[url]],NodesData[[#This Row],[id]:[url]])&amp;"}"</f>
        <v>,{"id":"n_death_certificate","label":"Death Certificate","url":"https://open-measure.atlassian.net/wiki/spaces/DIC/pages/1031242134"}</v>
      </c>
      <c r="J118" s="3"/>
    </row>
    <row r="119" spans="1:10" ht="13.25" customHeight="1" thickTop="1" thickBot="1" x14ac:dyDescent="0.4">
      <c r="A119" s="17" t="str">
        <f>SUBSTITUTE(SUBSTITUTE("n_"&amp;LOWER(SUBSTITUTE(SUBSTITUTE(SUBSTITUTE(NodesData[[#This Row],[label]]," ","_"),"/","_"),"-","_")),"__","_"),"__","_")</f>
        <v>n_decentralized_identifier</v>
      </c>
      <c r="B119" s="18" t="s">
        <v>737</v>
      </c>
      <c r="C119" s="18" t="s">
        <v>738</v>
      </c>
      <c r="D119" s="3" t="s">
        <v>1411</v>
      </c>
      <c r="E119" s="3">
        <f t="shared" si="1"/>
        <v>117</v>
      </c>
      <c r="F119" s="3">
        <f>COUNTIF(NodesData[label],NodesData[[#This Row],[label]])</f>
        <v>1</v>
      </c>
      <c r="G119" s="3">
        <f>COUNTIF(ConceptNodes9['[A_ID']],NodesData[[#This Row],[id]])+COUNTIF(ConceptNodes9['[B_ID']],NodesData[[#This Row],[id]])</f>
        <v>0</v>
      </c>
      <c r="H119" s="3">
        <f>IF(NodesData[[#This Row],[Used]]&gt;0,1,0)</f>
        <v>0</v>
      </c>
      <c r="I119" s="19" t="str" cm="1">
        <f t="array" ref="I119">IF(NodesData[[#This Row],[Count]]&gt;1,",","") &amp;"{"&amp;twoRangesToJSON(NodesData[[#Headers],[id]:[url]],NodesData[[#This Row],[id]:[url]])&amp;"}"</f>
        <v>,{"id":"n_decentralized_identifier","label":"Decentralized Identifier","url":"https://open-measure.atlassian.net/wiki/spaces/DIC/pages/782893122"}</v>
      </c>
      <c r="J119" s="3"/>
    </row>
    <row r="120" spans="1:10" ht="13.25" customHeight="1" thickTop="1" thickBot="1" x14ac:dyDescent="0.4">
      <c r="A120" s="17" t="str">
        <f>SUBSTITUTE(SUBSTITUTE("n_"&amp;LOWER(SUBSTITUTE(SUBSTITUTE(SUBSTITUTE(NodesData[[#This Row],[label]]," ","_"),"/","_"),"-","_")),"__","_"),"__","_")</f>
        <v>n_deprovisioning</v>
      </c>
      <c r="B120" s="18" t="s">
        <v>741</v>
      </c>
      <c r="C120" s="18" t="s">
        <v>742</v>
      </c>
      <c r="D120" s="3" t="s">
        <v>1411</v>
      </c>
      <c r="E120" s="3">
        <f t="shared" si="1"/>
        <v>118</v>
      </c>
      <c r="F120" s="3">
        <f>COUNTIF(NodesData[label],NodesData[[#This Row],[label]])</f>
        <v>1</v>
      </c>
      <c r="G120" s="3">
        <f>COUNTIF(ConceptNodes9['[A_ID']],NodesData[[#This Row],[id]])+COUNTIF(ConceptNodes9['[B_ID']],NodesData[[#This Row],[id]])</f>
        <v>0</v>
      </c>
      <c r="H120" s="3">
        <f>IF(NodesData[[#This Row],[Used]]&gt;0,1,0)</f>
        <v>0</v>
      </c>
      <c r="I120" s="19" t="str" cm="1">
        <f t="array" ref="I120">IF(NodesData[[#This Row],[Count]]&gt;1,",","") &amp;"{"&amp;twoRangesToJSON(NodesData[[#Headers],[id]:[url]],NodesData[[#This Row],[id]:[url]])&amp;"}"</f>
        <v>,{"id":"n_deprovisioning","label":"Deprovisioning","url":"https://open-measure.atlassian.net/wiki/spaces/DIC/pages/62193665"}</v>
      </c>
      <c r="J120" s="3"/>
    </row>
    <row r="121" spans="1:10" ht="13.25" customHeight="1" thickTop="1" thickBot="1" x14ac:dyDescent="0.4">
      <c r="A121" s="17" t="str">
        <f>SUBSTITUTE(SUBSTITUTE("n_"&amp;LOWER(SUBSTITUTE(SUBSTITUTE(SUBSTITUTE(NodesData[[#This Row],[label]]," ","_"),"/","_"),"-","_")),"__","_"),"__","_")</f>
        <v>n_did</v>
      </c>
      <c r="B121" s="18" t="s">
        <v>175</v>
      </c>
      <c r="C121" s="18" t="s">
        <v>743</v>
      </c>
      <c r="D121" s="3" t="s">
        <v>1301</v>
      </c>
      <c r="E121" s="3">
        <f t="shared" si="1"/>
        <v>119</v>
      </c>
      <c r="F121" s="3">
        <f>COUNTIF(NodesData[label],NodesData[[#This Row],[label]])</f>
        <v>1</v>
      </c>
      <c r="G121" s="3">
        <f>COUNTIF(ConceptNodes9['[A_ID']],NodesData[[#This Row],[id]])+COUNTIF(ConceptNodes9['[B_ID']],NodesData[[#This Row],[id]])</f>
        <v>0</v>
      </c>
      <c r="H121" s="3">
        <f>IF(NodesData[[#This Row],[Used]]&gt;0,1,0)</f>
        <v>0</v>
      </c>
      <c r="I121" s="19" t="str" cm="1">
        <f t="array" ref="I121">IF(NodesData[[#This Row],[Count]]&gt;1,",","") &amp;"{"&amp;twoRangesToJSON(NodesData[[#Headers],[id]:[url]],NodesData[[#This Row],[id]:[url]])&amp;"}"</f>
        <v>,{"id":"n_did","label":"DID","url":"https://open-measure.atlassian.net/wiki/spaces/DIC/pages/782925889/DID"}</v>
      </c>
      <c r="J121" s="3"/>
    </row>
    <row r="122" spans="1:10" ht="13.25" customHeight="1" thickTop="1" thickBot="1" x14ac:dyDescent="0.4">
      <c r="A122" s="17" t="str">
        <f>SUBSTITUTE(SUBSTITUTE("n_"&amp;LOWER(SUBSTITUTE(SUBSTITUTE(SUBSTITUTE(NodesData[[#This Row],[label]]," ","_"),"/","_"),"-","_")),"__","_"),"__","_")</f>
        <v>n_digital_continuity</v>
      </c>
      <c r="B122" s="18" t="s">
        <v>744</v>
      </c>
      <c r="C122" s="18" t="s">
        <v>745</v>
      </c>
      <c r="D122" s="3" t="s">
        <v>1411</v>
      </c>
      <c r="E122" s="3">
        <f t="shared" si="1"/>
        <v>120</v>
      </c>
      <c r="F122" s="3">
        <f>COUNTIF(NodesData[label],NodesData[[#This Row],[label]])</f>
        <v>1</v>
      </c>
      <c r="G122" s="3">
        <f>COUNTIF(ConceptNodes9['[A_ID']],NodesData[[#This Row],[id]])+COUNTIF(ConceptNodes9['[B_ID']],NodesData[[#This Row],[id]])</f>
        <v>0</v>
      </c>
      <c r="H122" s="3">
        <f>IF(NodesData[[#This Row],[Used]]&gt;0,1,0)</f>
        <v>0</v>
      </c>
      <c r="I122" s="19" t="str" cm="1">
        <f t="array" ref="I122">IF(NodesData[[#This Row],[Count]]&gt;1,",","") &amp;"{"&amp;twoRangesToJSON(NodesData[[#Headers],[id]:[url]],NodesData[[#This Row],[id]:[url]])&amp;"}"</f>
        <v>,{"id":"n_digital_continuity","label":"Digital Continuity","url":"https://open-measure.atlassian.net/wiki/spaces/DIC/pages/458326308"}</v>
      </c>
      <c r="J122" s="3"/>
    </row>
    <row r="123" spans="1:10" ht="13.25" customHeight="1" thickTop="1" thickBot="1" x14ac:dyDescent="0.4">
      <c r="A123" s="17" t="str">
        <f>SUBSTITUTE(SUBSTITUTE("n_"&amp;LOWER(SUBSTITUTE(SUBSTITUTE(SUBSTITUTE(NodesData[[#This Row],[label]]," ","_"),"/","_"),"-","_")),"__","_"),"__","_")</f>
        <v>n_digital_identification_system</v>
      </c>
      <c r="B123" s="18" t="s">
        <v>177</v>
      </c>
      <c r="C123" s="18" t="s">
        <v>746</v>
      </c>
      <c r="D123" s="3" t="s">
        <v>1411</v>
      </c>
      <c r="E123" s="3">
        <f t="shared" si="1"/>
        <v>121</v>
      </c>
      <c r="F123" s="3">
        <f>COUNTIF(NodesData[label],NodesData[[#This Row],[label]])</f>
        <v>1</v>
      </c>
      <c r="G123" s="3">
        <f>COUNTIF(ConceptNodes9['[A_ID']],NodesData[[#This Row],[id]])+COUNTIF(ConceptNodes9['[B_ID']],NodesData[[#This Row],[id]])</f>
        <v>0</v>
      </c>
      <c r="H123" s="3">
        <f>IF(NodesData[[#This Row],[Used]]&gt;0,1,0)</f>
        <v>0</v>
      </c>
      <c r="I123" s="19" t="str" cm="1">
        <f t="array" ref="I123">IF(NodesData[[#This Row],[Count]]&gt;1,",","") &amp;"{"&amp;twoRangesToJSON(NodesData[[#Headers],[id]:[url]],NodesData[[#This Row],[id]:[url]])&amp;"}"</f>
        <v>,{"id":"n_digital_identification_system","label":"Digital Identification System","url":"https://open-measure.atlassian.net/wiki/spaces/DIC/pages/419561482/Digital+Identification+System"}</v>
      </c>
      <c r="J123" s="3"/>
    </row>
    <row r="124" spans="1:10" ht="13.25" customHeight="1" thickTop="1" thickBot="1" x14ac:dyDescent="0.4">
      <c r="A124" s="17" t="str">
        <f>SUBSTITUTE(SUBSTITUTE("n_"&amp;LOWER(SUBSTITUTE(SUBSTITUTE(SUBSTITUTE(NodesData[[#This Row],[label]]," ","_"),"/","_"),"-","_")),"__","_"),"__","_")</f>
        <v>n_digital_identity</v>
      </c>
      <c r="B124" s="18" t="s">
        <v>178</v>
      </c>
      <c r="C124" s="18" t="s">
        <v>747</v>
      </c>
      <c r="D124" s="3" t="s">
        <v>1411</v>
      </c>
      <c r="E124" s="3">
        <f t="shared" si="1"/>
        <v>122</v>
      </c>
      <c r="F124" s="3">
        <f>COUNTIF(NodesData[label],NodesData[[#This Row],[label]])</f>
        <v>1</v>
      </c>
      <c r="G124" s="3">
        <f>COUNTIF(ConceptNodes9['[A_ID']],NodesData[[#This Row],[id]])+COUNTIF(ConceptNodes9['[B_ID']],NodesData[[#This Row],[id]])</f>
        <v>0</v>
      </c>
      <c r="H124" s="3">
        <f>IF(NodesData[[#This Row],[Used]]&gt;0,1,0)</f>
        <v>0</v>
      </c>
      <c r="I124" s="19" t="str" cm="1">
        <f t="array" ref="I124">IF(NodesData[[#This Row],[Count]]&gt;1,",","") &amp;"{"&amp;twoRangesToJSON(NodesData[[#Headers],[id]:[url]],NodesData[[#This Row],[id]:[url]])&amp;"}"</f>
        <v>,{"id":"n_digital_identity","label":"Digital Identity","url":"https://open-measure.atlassian.net/wiki/spaces/DIC/pages/419528705/Digital+Identity"}</v>
      </c>
      <c r="J124" s="3"/>
    </row>
    <row r="125" spans="1:10" ht="13.25" customHeight="1" thickTop="1" thickBot="1" x14ac:dyDescent="0.4">
      <c r="A125" s="17" t="str">
        <f>SUBSTITUTE(SUBSTITUTE("n_"&amp;LOWER(SUBSTITUTE(SUBSTITUTE(SUBSTITUTE(NodesData[[#This Row],[label]]," ","_"),"/","_"),"-","_")),"__","_"),"__","_")</f>
        <v>n_continuous_authentication</v>
      </c>
      <c r="B125" s="18" t="s">
        <v>692</v>
      </c>
      <c r="C125" s="18" t="s">
        <v>693</v>
      </c>
      <c r="D125" s="3" t="s">
        <v>1411</v>
      </c>
      <c r="E125" s="3">
        <f t="shared" si="1"/>
        <v>123</v>
      </c>
      <c r="F125" s="3">
        <f>COUNTIF(NodesData[label],NodesData[[#This Row],[label]])</f>
        <v>1</v>
      </c>
      <c r="G125" s="3">
        <f>COUNTIF(ConceptNodes9['[A_ID']],NodesData[[#This Row],[id]])+COUNTIF(ConceptNodes9['[B_ID']],NodesData[[#This Row],[id]])</f>
        <v>0</v>
      </c>
      <c r="H125" s="3">
        <f>IF(NodesData[[#This Row],[Used]]&gt;0,1,0)</f>
        <v>0</v>
      </c>
      <c r="I125" s="19" t="str" cm="1">
        <f t="array" ref="I125">IF(NodesData[[#This Row],[Count]]&gt;1,",","") &amp;"{"&amp;twoRangesToJSON(NodesData[[#Headers],[id]:[url]],NodesData[[#This Row],[id]:[url]])&amp;"}"</f>
        <v>,{"id":"n_continuous_authentication","label":"Continuous Authentication","url":"https://open-measure.atlassian.net/wiki/spaces/DIC/pages/877297665"}</v>
      </c>
      <c r="J125" s="3"/>
    </row>
    <row r="126" spans="1:10" ht="13.25" customHeight="1" thickTop="1" thickBot="1" x14ac:dyDescent="0.4">
      <c r="A126" s="17" t="str">
        <f>SUBSTITUTE(SUBSTITUTE("n_"&amp;LOWER(SUBSTITUTE(SUBSTITUTE(SUBSTITUTE(NodesData[[#This Row],[label]]," ","_"),"/","_"),"-","_")),"__","_"),"__","_")</f>
        <v>n_digital_triangulation</v>
      </c>
      <c r="B126" s="18" t="s">
        <v>749</v>
      </c>
      <c r="C126" s="18" t="s">
        <v>750</v>
      </c>
      <c r="D126" s="3" t="s">
        <v>1411</v>
      </c>
      <c r="E126" s="3">
        <f t="shared" si="1"/>
        <v>124</v>
      </c>
      <c r="F126" s="3">
        <f>COUNTIF(NodesData[label],NodesData[[#This Row],[label]])</f>
        <v>1</v>
      </c>
      <c r="G126" s="3">
        <f>COUNTIF(ConceptNodes9['[A_ID']],NodesData[[#This Row],[id]])+COUNTIF(ConceptNodes9['[B_ID']],NodesData[[#This Row],[id]])</f>
        <v>0</v>
      </c>
      <c r="H126" s="3">
        <f>IF(NodesData[[#This Row],[Used]]&gt;0,1,0)</f>
        <v>0</v>
      </c>
      <c r="I126" s="19" t="str" cm="1">
        <f t="array" ref="I126">IF(NodesData[[#This Row],[Count]]&gt;1,",","") &amp;"{"&amp;twoRangesToJSON(NodesData[[#Headers],[id]:[url]],NodesData[[#This Row],[id]:[url]])&amp;"}"</f>
        <v>,{"id":"n_digital_triangulation","label":"Digital Triangulation","url":"https://open-measure.atlassian.net/wiki/spaces/DIC/pages/796983391"}</v>
      </c>
      <c r="J126" s="3"/>
    </row>
    <row r="127" spans="1:10" ht="13.25" customHeight="1" thickTop="1" thickBot="1" x14ac:dyDescent="0.4">
      <c r="A127" s="17" t="str">
        <f>SUBSTITUTE(SUBSTITUTE("n_"&amp;LOWER(SUBSTITUTE(SUBSTITUTE(SUBSTITUTE(NodesData[[#This Row],[label]]," ","_"),"/","_"),"-","_")),"__","_"),"__","_")</f>
        <v>n_discretionary_access_control</v>
      </c>
      <c r="B127" s="18" t="s">
        <v>751</v>
      </c>
      <c r="C127" s="18" t="s">
        <v>752</v>
      </c>
      <c r="D127" s="3" t="s">
        <v>1411</v>
      </c>
      <c r="E127" s="3">
        <f t="shared" si="1"/>
        <v>125</v>
      </c>
      <c r="F127" s="3">
        <f>COUNTIF(NodesData[label],NodesData[[#This Row],[label]])</f>
        <v>1</v>
      </c>
      <c r="G127" s="3">
        <f>COUNTIF(ConceptNodes9['[A_ID']],NodesData[[#This Row],[id]])+COUNTIF(ConceptNodes9['[B_ID']],NodesData[[#This Row],[id]])</f>
        <v>0</v>
      </c>
      <c r="H127" s="3">
        <f>IF(NodesData[[#This Row],[Used]]&gt;0,1,0)</f>
        <v>0</v>
      </c>
      <c r="I127" s="19" t="str" cm="1">
        <f t="array" ref="I127">IF(NodesData[[#This Row],[Count]]&gt;1,",","") &amp;"{"&amp;twoRangesToJSON(NodesData[[#Headers],[id]:[url]],NodesData[[#This Row],[id]:[url]])&amp;"}"</f>
        <v>,{"id":"n_discretionary_access_control","label":"Discretionary Access Control","url":"https://open-measure.atlassian.net/wiki/spaces/DIC/pages/1181876315"}</v>
      </c>
      <c r="J127" s="3"/>
    </row>
    <row r="128" spans="1:10" ht="13.25" customHeight="1" thickTop="1" thickBot="1" x14ac:dyDescent="0.4">
      <c r="A128" s="17" t="str">
        <f>SUBSTITUTE(SUBSTITUTE("n_"&amp;LOWER(SUBSTITUTE(SUBSTITUTE(SUBSTITUTE(NodesData[[#This Row],[label]]," ","_"),"/","_"),"-","_")),"__","_"),"__","_")</f>
        <v>n_distributed_identity</v>
      </c>
      <c r="B128" s="18" t="s">
        <v>753</v>
      </c>
      <c r="C128" s="18" t="s">
        <v>754</v>
      </c>
      <c r="D128" s="3" t="s">
        <v>1411</v>
      </c>
      <c r="E128" s="3">
        <f t="shared" si="1"/>
        <v>126</v>
      </c>
      <c r="F128" s="3">
        <f>COUNTIF(NodesData[label],NodesData[[#This Row],[label]])</f>
        <v>1</v>
      </c>
      <c r="G128" s="3">
        <f>COUNTIF(ConceptNodes9['[A_ID']],NodesData[[#This Row],[id]])+COUNTIF(ConceptNodes9['[B_ID']],NodesData[[#This Row],[id]])</f>
        <v>0</v>
      </c>
      <c r="H128" s="3">
        <f>IF(NodesData[[#This Row],[Used]]&gt;0,1,0)</f>
        <v>0</v>
      </c>
      <c r="I128" s="19" t="str" cm="1">
        <f t="array" ref="I128">IF(NodesData[[#This Row],[Count]]&gt;1,",","") &amp;"{"&amp;twoRangesToJSON(NodesData[[#Headers],[id]:[url]],NodesData[[#This Row],[id]:[url]])&amp;"}"</f>
        <v>,{"id":"n_distributed_identity","label":"Distributed Identity","url":"https://open-measure.atlassian.net/wiki/spaces/DIC/pages/810287202"}</v>
      </c>
      <c r="J128" s="3"/>
    </row>
    <row r="129" spans="1:10" ht="13.25" customHeight="1" thickTop="1" thickBot="1" x14ac:dyDescent="0.4">
      <c r="A129" s="17" t="str">
        <f>SUBSTITUTE(SUBSTITUTE("n_"&amp;LOWER(SUBSTITUTE(SUBSTITUTE(SUBSTITUTE(NodesData[[#This Row],[label]]," ","_"),"/","_"),"-","_")),"__","_"),"__","_")</f>
        <v>n_distributed_ledger_technology</v>
      </c>
      <c r="B129" s="18" t="s">
        <v>755</v>
      </c>
      <c r="C129" s="18" t="s">
        <v>756</v>
      </c>
      <c r="D129" s="3" t="s">
        <v>1411</v>
      </c>
      <c r="E129" s="3">
        <f t="shared" si="1"/>
        <v>127</v>
      </c>
      <c r="F129" s="3">
        <f>COUNTIF(NodesData[label],NodesData[[#This Row],[label]])</f>
        <v>1</v>
      </c>
      <c r="G129" s="3">
        <f>COUNTIF(ConceptNodes9['[A_ID']],NodesData[[#This Row],[id]])+COUNTIF(ConceptNodes9['[B_ID']],NodesData[[#This Row],[id]])</f>
        <v>0</v>
      </c>
      <c r="H129" s="3">
        <f>IF(NodesData[[#This Row],[Used]]&gt;0,1,0)</f>
        <v>0</v>
      </c>
      <c r="I129" s="19" t="str" cm="1">
        <f t="array" ref="I129">IF(NodesData[[#This Row],[Count]]&gt;1,",","") &amp;"{"&amp;twoRangesToJSON(NodesData[[#Headers],[id]:[url]],NodesData[[#This Row],[id]:[url]])&amp;"}"</f>
        <v>,{"id":"n_distributed_ledger_technology","label":"Distributed Ledger Technology","url":"https://open-measure.atlassian.net/wiki/spaces/DIC/pages/419594251"}</v>
      </c>
      <c r="J129" s="3"/>
    </row>
    <row r="130" spans="1:10" ht="13.25" customHeight="1" thickTop="1" thickBot="1" x14ac:dyDescent="0.4">
      <c r="A130" s="17" t="str">
        <f>SUBSTITUTE(SUBSTITUTE("n_"&amp;LOWER(SUBSTITUTE(SUBSTITUTE(SUBSTITUTE(NodesData[[#This Row],[label]]," ","_"),"/","_"),"-","_")),"__","_"),"__","_")</f>
        <v>n_digital_identity_authenticity</v>
      </c>
      <c r="B130" s="18" t="s">
        <v>179</v>
      </c>
      <c r="C130" s="18" t="s">
        <v>748</v>
      </c>
      <c r="D130" s="3" t="s">
        <v>1411</v>
      </c>
      <c r="E130" s="3">
        <f t="shared" si="1"/>
        <v>128</v>
      </c>
      <c r="F130" s="3">
        <f>COUNTIF(NodesData[label],NodesData[[#This Row],[label]])</f>
        <v>1</v>
      </c>
      <c r="G130" s="3">
        <f>COUNTIF(ConceptNodes9['[A_ID']],NodesData[[#This Row],[id]])+COUNTIF(ConceptNodes9['[B_ID']],NodesData[[#This Row],[id]])</f>
        <v>0</v>
      </c>
      <c r="H130" s="3">
        <f>IF(NodesData[[#This Row],[Used]]&gt;0,1,0)</f>
        <v>0</v>
      </c>
      <c r="I130" s="19" t="str" cm="1">
        <f t="array" ref="I130">IF(NodesData[[#This Row],[Count]]&gt;1,",","") &amp;"{"&amp;twoRangesToJSON(NodesData[[#Headers],[id]:[url]],NodesData[[#This Row],[id]:[url]])&amp;"}"</f>
        <v>,{"id":"n_digital_identity_authenticity","label":"Digital Identity Authenticity","url":"https://open-measure.atlassian.net/wiki/spaces/DIC/pages/1270153304/Digital+Identity+Authenticity"}</v>
      </c>
      <c r="J130" s="3"/>
    </row>
    <row r="131" spans="1:10" ht="13.25" customHeight="1" thickTop="1" thickBot="1" x14ac:dyDescent="0.4">
      <c r="A131" s="17" t="str">
        <f>SUBSTITUTE(SUBSTITUTE("n_"&amp;LOWER(SUBSTITUTE(SUBSTITUTE(SUBSTITUTE(NodesData[[#This Row],[label]]," ","_"),"/","_"),"-","_")),"__","_"),"__","_")</f>
        <v>n_e_identity</v>
      </c>
      <c r="B131" s="18" t="s">
        <v>761</v>
      </c>
      <c r="C131" s="18" t="s">
        <v>762</v>
      </c>
      <c r="D131" s="3" t="s">
        <v>1301</v>
      </c>
      <c r="E131" s="3">
        <f t="shared" si="1"/>
        <v>129</v>
      </c>
      <c r="F131" s="3">
        <f>COUNTIF(NodesData[label],NodesData[[#This Row],[label]])</f>
        <v>1</v>
      </c>
      <c r="G131" s="3">
        <f>COUNTIF(ConceptNodes9['[A_ID']],NodesData[[#This Row],[id]])+COUNTIF(ConceptNodes9['[B_ID']],NodesData[[#This Row],[id]])</f>
        <v>0</v>
      </c>
      <c r="H131" s="3">
        <f>IF(NodesData[[#This Row],[Used]]&gt;0,1,0)</f>
        <v>0</v>
      </c>
      <c r="I131" s="19" t="str" cm="1">
        <f t="array" ref="I131">IF(NodesData[[#This Row],[Count]]&gt;1,",","") &amp;"{"&amp;twoRangesToJSON(NodesData[[#Headers],[id]:[url]],NodesData[[#This Row],[id]:[url]])&amp;"}"</f>
        <v>,{"id":"n_e_identity","label":"e-Identity","url":"https://open-measure.atlassian.net/wiki/spaces/DIC/pages/82903896"}</v>
      </c>
      <c r="J131" s="3"/>
    </row>
    <row r="132" spans="1:10" ht="13.25" customHeight="1" thickTop="1" thickBot="1" x14ac:dyDescent="0.4">
      <c r="A132" s="17" t="str">
        <f>SUBSTITUTE(SUBSTITUTE("n_"&amp;LOWER(SUBSTITUTE(SUBSTITUTE(SUBSTITUTE(NodesData[[#This Row],[label]]," ","_"),"/","_"),"-","_")),"__","_"),"__","_")</f>
        <v>n_ecs</v>
      </c>
      <c r="B132" s="18" t="s">
        <v>759</v>
      </c>
      <c r="C132" s="18" t="s">
        <v>760</v>
      </c>
      <c r="D132" s="3" t="s">
        <v>1301</v>
      </c>
      <c r="E132" s="3">
        <f t="shared" si="1"/>
        <v>130</v>
      </c>
      <c r="F132" s="3">
        <f>COUNTIF(NodesData[label],NodesData[[#This Row],[label]])</f>
        <v>1</v>
      </c>
      <c r="G132" s="3">
        <f>COUNTIF(ConceptNodes9['[A_ID']],NodesData[[#This Row],[id]])+COUNTIF(ConceptNodes9['[B_ID']],NodesData[[#This Row],[id]])</f>
        <v>0</v>
      </c>
      <c r="H132" s="3">
        <f>IF(NodesData[[#This Row],[Used]]&gt;0,1,0)</f>
        <v>0</v>
      </c>
      <c r="I132" s="19" t="str" cm="1">
        <f t="array" ref="I132">IF(NodesData[[#This Row],[Count]]&gt;1,",","") &amp;"{"&amp;twoRangesToJSON(NodesData[[#Headers],[id]:[url]],NodesData[[#This Row],[id]:[url]])&amp;"}"</f>
        <v>,{"id":"n_ecs","label":"ECS","url":"https://open-measure.atlassian.net/wiki/spaces/DIC/pages/206766113"}</v>
      </c>
      <c r="J132" s="3"/>
    </row>
    <row r="133" spans="1:10" ht="13.25" customHeight="1" thickTop="1" thickBot="1" x14ac:dyDescent="0.4">
      <c r="A133" s="17" t="str">
        <f>SUBSTITUTE(SUBSTITUTE("n_"&amp;LOWER(SUBSTITUTE(SUBSTITUTE(SUBSTITUTE(NodesData[[#This Row],[label]]," ","_"),"/","_"),"-","_")),"__","_"),"__","_")</f>
        <v>n_eidm</v>
      </c>
      <c r="B133" s="18" t="s">
        <v>763</v>
      </c>
      <c r="C133" s="18" t="s">
        <v>764</v>
      </c>
      <c r="D133" s="3" t="s">
        <v>1301</v>
      </c>
      <c r="E133" s="3">
        <f t="shared" ref="E133:E196" si="2">E132+1</f>
        <v>131</v>
      </c>
      <c r="F133" s="3">
        <f>COUNTIF(NodesData[label],NodesData[[#This Row],[label]])</f>
        <v>1</v>
      </c>
      <c r="G133" s="3">
        <f>COUNTIF(ConceptNodes9['[A_ID']],NodesData[[#This Row],[id]])+COUNTIF(ConceptNodes9['[B_ID']],NodesData[[#This Row],[id]])</f>
        <v>0</v>
      </c>
      <c r="H133" s="3">
        <f>IF(NodesData[[#This Row],[Used]]&gt;0,1,0)</f>
        <v>0</v>
      </c>
      <c r="I133" s="19" t="str" cm="1">
        <f t="array" ref="I133">IF(NodesData[[#This Row],[Count]]&gt;1,",","") &amp;"{"&amp;twoRangesToJSON(NodesData[[#Headers],[id]:[url]],NodesData[[#This Row],[id]:[url]])&amp;"}"</f>
        <v>,{"id":"n_eidm","label":"EIdM","url":"https://open-measure.atlassian.net/wiki/spaces/DIC/pages/61964467"}</v>
      </c>
      <c r="J133" s="3"/>
    </row>
    <row r="134" spans="1:10" ht="13.25" customHeight="1" thickTop="1" thickBot="1" x14ac:dyDescent="0.4">
      <c r="A134" s="7" t="str">
        <f>SUBSTITUTE(SUBSTITUTE("n_"&amp;LOWER(SUBSTITUTE(SUBSTITUTE(SUBSTITUTE(NodesData[[#This Row],[label]]," ","_"),"/","_"),"-","_")),"__","_"),"__","_")</f>
        <v>n_email_otp</v>
      </c>
      <c r="B134" s="12" t="s">
        <v>1367</v>
      </c>
      <c r="C134" s="12"/>
      <c r="D134" s="3" t="s">
        <v>1411</v>
      </c>
      <c r="E134" s="3">
        <f t="shared" si="2"/>
        <v>132</v>
      </c>
      <c r="F134" s="3">
        <f>COUNTIF(NodesData[label],NodesData[[#This Row],[label]])</f>
        <v>1</v>
      </c>
      <c r="G134" s="3">
        <f>COUNTIF(ConceptNodes9['[A_ID']],NodesData[[#This Row],[id]])+COUNTIF(ConceptNodes9['[B_ID']],NodesData[[#This Row],[id]])</f>
        <v>0</v>
      </c>
      <c r="H134" s="3">
        <f>IF(NodesData[[#This Row],[Used]]&gt;0,1,0)</f>
        <v>0</v>
      </c>
      <c r="I134" s="19" t="str" cm="1">
        <f t="array" ref="I134">IF(NodesData[[#This Row],[Count]]&gt;1,",","") &amp;"{"&amp;twoRangesToJSON(NodesData[[#Headers],[id]:[url]],NodesData[[#This Row],[id]:[url]])&amp;"}"</f>
        <v>,{"id":"n_email_otp","label":"Email OTP","url":""}</v>
      </c>
      <c r="J134" s="3"/>
    </row>
    <row r="135" spans="1:10" ht="13.25" customHeight="1" thickTop="1" thickBot="1" x14ac:dyDescent="0.4">
      <c r="A135" s="17" t="str">
        <f>SUBSTITUTE(SUBSTITUTE("n_"&amp;LOWER(SUBSTITUTE(SUBSTITUTE(SUBSTITUTE(NodesData[[#This Row],[label]]," ","_"),"/","_"),"-","_")),"__","_"),"__","_")</f>
        <v>n_employee</v>
      </c>
      <c r="B135" s="18" t="s">
        <v>765</v>
      </c>
      <c r="C135" s="18" t="s">
        <v>766</v>
      </c>
      <c r="D135" s="3" t="s">
        <v>1411</v>
      </c>
      <c r="E135" s="3">
        <f t="shared" si="2"/>
        <v>133</v>
      </c>
      <c r="F135" s="3">
        <f>COUNTIF(NodesData[label],NodesData[[#This Row],[label]])</f>
        <v>1</v>
      </c>
      <c r="G135" s="3">
        <f>COUNTIF(ConceptNodes9['[A_ID']],NodesData[[#This Row],[id]])+COUNTIF(ConceptNodes9['[B_ID']],NodesData[[#This Row],[id]])</f>
        <v>0</v>
      </c>
      <c r="H135" s="3">
        <f>IF(NodesData[[#This Row],[Used]]&gt;0,1,0)</f>
        <v>0</v>
      </c>
      <c r="I135" s="19" t="str" cm="1">
        <f t="array" ref="I135">IF(NodesData[[#This Row],[Count]]&gt;1,",","") &amp;"{"&amp;twoRangesToJSON(NodesData[[#Headers],[id]:[url]],NodesData[[#This Row],[id]:[url]])&amp;"}"</f>
        <v>,{"id":"n_employee","label":"Employee","url":"https://open-measure.atlassian.net/wiki/spaces/DIC/pages/1031209232"}</v>
      </c>
      <c r="J135" s="3"/>
    </row>
    <row r="136" spans="1:10" ht="13.25" customHeight="1" thickTop="1" thickBot="1" x14ac:dyDescent="0.4">
      <c r="A136" s="17" t="str">
        <f>SUBSTITUTE(SUBSTITUTE("n_"&amp;LOWER(SUBSTITUTE(SUBSTITUTE(SUBSTITUTE(NodesData[[#This Row],[label]]," ","_"),"/","_"),"-","_")),"__","_"),"__","_")</f>
        <v>n_enterprise_cloud_subscriber</v>
      </c>
      <c r="B136" s="18" t="s">
        <v>767</v>
      </c>
      <c r="C136" s="18" t="s">
        <v>768</v>
      </c>
      <c r="D136" s="3" t="s">
        <v>1411</v>
      </c>
      <c r="E136" s="3">
        <f t="shared" si="2"/>
        <v>134</v>
      </c>
      <c r="F136" s="3">
        <f>COUNTIF(NodesData[label],NodesData[[#This Row],[label]])</f>
        <v>1</v>
      </c>
      <c r="G136" s="3">
        <f>COUNTIF(ConceptNodes9['[A_ID']],NodesData[[#This Row],[id]])+COUNTIF(ConceptNodes9['[B_ID']],NodesData[[#This Row],[id]])</f>
        <v>0</v>
      </c>
      <c r="H136" s="3">
        <f>IF(NodesData[[#This Row],[Used]]&gt;0,1,0)</f>
        <v>0</v>
      </c>
      <c r="I136" s="19" t="str" cm="1">
        <f t="array" ref="I136">IF(NodesData[[#This Row],[Count]]&gt;1,",","") &amp;"{"&amp;twoRangesToJSON(NodesData[[#Headers],[id]:[url]],NodesData[[#This Row],[id]:[url]])&amp;"}"</f>
        <v>,{"id":"n_enterprise_cloud_subscriber","label":"Enterprise Cloud Subscriber","url":"https://open-measure.atlassian.net/wiki/spaces/DIC/pages/206766092"}</v>
      </c>
      <c r="J136" s="3"/>
    </row>
    <row r="137" spans="1:10" ht="13.25" customHeight="1" thickTop="1" thickBot="1" x14ac:dyDescent="0.4">
      <c r="A137" s="17" t="str">
        <f>SUBSTITUTE(SUBSTITUTE("n_"&amp;LOWER(SUBSTITUTE(SUBSTITUTE(SUBSTITUTE(NodesData[[#This Row],[label]]," ","_"),"/","_"),"-","_")),"__","_"),"__","_")</f>
        <v>n_enterprise_identity_management</v>
      </c>
      <c r="B137" s="18" t="s">
        <v>769</v>
      </c>
      <c r="C137" s="18" t="s">
        <v>770</v>
      </c>
      <c r="D137" s="3" t="s">
        <v>1411</v>
      </c>
      <c r="E137" s="3">
        <f t="shared" si="2"/>
        <v>135</v>
      </c>
      <c r="F137" s="3">
        <f>COUNTIF(NodesData[label],NodesData[[#This Row],[label]])</f>
        <v>1</v>
      </c>
      <c r="G137" s="3">
        <f>COUNTIF(ConceptNodes9['[A_ID']],NodesData[[#This Row],[id]])+COUNTIF(ConceptNodes9['[B_ID']],NodesData[[#This Row],[id]])</f>
        <v>0</v>
      </c>
      <c r="H137" s="3">
        <f>IF(NodesData[[#This Row],[Used]]&gt;0,1,0)</f>
        <v>0</v>
      </c>
      <c r="I137" s="19" t="str" cm="1">
        <f t="array" ref="I137">IF(NodesData[[#This Row],[Count]]&gt;1,",","") &amp;"{"&amp;twoRangesToJSON(NodesData[[#Headers],[id]:[url]],NodesData[[#This Row],[id]:[url]])&amp;"}"</f>
        <v>,{"id":"n_enterprise_identity_management","label":"Enterprise Identity Management","url":"https://open-measure.atlassian.net/wiki/spaces/DIC/pages/62455952"}</v>
      </c>
      <c r="J137" s="3"/>
    </row>
    <row r="138" spans="1:10" ht="13.25" customHeight="1" thickTop="1" thickBot="1" x14ac:dyDescent="0.4">
      <c r="A138" s="17" t="str">
        <f>SUBSTITUTE(SUBSTITUTE("n_"&amp;LOWER(SUBSTITUTE(SUBSTITUTE(SUBSTITUTE(NodesData[[#This Row],[label]]," ","_"),"/","_"),"-","_")),"__","_"),"__","_")</f>
        <v>n_enterprise_single_sign_on</v>
      </c>
      <c r="B138" s="18" t="s">
        <v>771</v>
      </c>
      <c r="C138" s="18" t="s">
        <v>772</v>
      </c>
      <c r="D138" s="3" t="s">
        <v>1411</v>
      </c>
      <c r="E138" s="3">
        <f t="shared" si="2"/>
        <v>136</v>
      </c>
      <c r="F138" s="3">
        <f>COUNTIF(NodesData[label],NodesData[[#This Row],[label]])</f>
        <v>1</v>
      </c>
      <c r="G138" s="3">
        <f>COUNTIF(ConceptNodes9['[A_ID']],NodesData[[#This Row],[id]])+COUNTIF(ConceptNodes9['[B_ID']],NodesData[[#This Row],[id]])</f>
        <v>0</v>
      </c>
      <c r="H138" s="3">
        <f>IF(NodesData[[#This Row],[Used]]&gt;0,1,0)</f>
        <v>0</v>
      </c>
      <c r="I138" s="19" t="str" cm="1">
        <f t="array" ref="I138">IF(NodesData[[#This Row],[Count]]&gt;1,",","") &amp;"{"&amp;twoRangesToJSON(NodesData[[#Headers],[id]:[url]],NodesData[[#This Row],[id]:[url]])&amp;"}"</f>
        <v>,{"id":"n_enterprise_single_sign_on","label":"Enterprise Single Sign-On","url":"https://open-measure.atlassian.net/wiki/spaces/DIC/pages/76021801"}</v>
      </c>
      <c r="J138" s="3"/>
    </row>
    <row r="139" spans="1:10" ht="13.25" customHeight="1" thickTop="1" thickBot="1" x14ac:dyDescent="0.4">
      <c r="A139" s="17" t="str">
        <f>SUBSTITUTE(SUBSTITUTE("n_"&amp;LOWER(SUBSTITUTE(SUBSTITUTE(SUBSTITUTE(NodesData[[#This Row],[label]]," ","_"),"/","_"),"-","_")),"__","_"),"__","_")</f>
        <v>n_entitlement</v>
      </c>
      <c r="B139" s="18" t="s">
        <v>773</v>
      </c>
      <c r="C139" s="18" t="s">
        <v>774</v>
      </c>
      <c r="D139" s="3" t="s">
        <v>1411</v>
      </c>
      <c r="E139" s="3">
        <f t="shared" si="2"/>
        <v>137</v>
      </c>
      <c r="F139" s="3">
        <f>COUNTIF(NodesData[label],NodesData[[#This Row],[label]])</f>
        <v>1</v>
      </c>
      <c r="G139" s="3">
        <f>COUNTIF(ConceptNodes9['[A_ID']],NodesData[[#This Row],[id]])+COUNTIF(ConceptNodes9['[B_ID']],NodesData[[#This Row],[id]])</f>
        <v>0</v>
      </c>
      <c r="H139" s="3">
        <f>IF(NodesData[[#This Row],[Used]]&gt;0,1,0)</f>
        <v>0</v>
      </c>
      <c r="I139" s="19" t="str" cm="1">
        <f t="array" ref="I139">IF(NodesData[[#This Row],[Count]]&gt;1,",","") &amp;"{"&amp;twoRangesToJSON(NodesData[[#Headers],[id]:[url]],NodesData[[#This Row],[id]:[url]])&amp;"}"</f>
        <v>,{"id":"n_entitlement","label":"Entitlement","url":"https://open-measure.atlassian.net/wiki/spaces/DIC/pages/1121878049"}</v>
      </c>
      <c r="J139" s="3"/>
    </row>
    <row r="140" spans="1:10" ht="13.25" customHeight="1" thickTop="1" thickBot="1" x14ac:dyDescent="0.4">
      <c r="A140" s="17" t="str">
        <f>SUBSTITUTE(SUBSTITUTE("n_"&amp;LOWER(SUBSTITUTE(SUBSTITUTE(SUBSTITUTE(NodesData[[#This Row],[label]]," ","_"),"/","_"),"-","_")),"__","_"),"__","_")</f>
        <v>n_entitlement_based_access_control</v>
      </c>
      <c r="B140" s="18" t="s">
        <v>781</v>
      </c>
      <c r="C140" s="18" t="s">
        <v>782</v>
      </c>
      <c r="D140" s="3" t="s">
        <v>1411</v>
      </c>
      <c r="E140" s="3">
        <f t="shared" si="2"/>
        <v>138</v>
      </c>
      <c r="F140" s="3">
        <f>COUNTIF(NodesData[label],NodesData[[#This Row],[label]])</f>
        <v>1</v>
      </c>
      <c r="G140" s="3">
        <f>COUNTIF(ConceptNodes9['[A_ID']],NodesData[[#This Row],[id]])+COUNTIF(ConceptNodes9['[B_ID']],NodesData[[#This Row],[id]])</f>
        <v>0</v>
      </c>
      <c r="H140" s="3">
        <f>IF(NodesData[[#This Row],[Used]]&gt;0,1,0)</f>
        <v>0</v>
      </c>
      <c r="I140" s="19" t="str" cm="1">
        <f t="array" ref="I140">IF(NodesData[[#This Row],[Count]]&gt;1,",","") &amp;"{"&amp;twoRangesToJSON(NodesData[[#Headers],[id]:[url]],NodesData[[#This Row],[id]:[url]])&amp;"}"</f>
        <v>,{"id":"n_entitlement_based_access_control","label":"Entitlement-Based Access Control","url":"https://open-measure.atlassian.net/wiki/spaces/DIC/pages/1122566173"}</v>
      </c>
      <c r="J140" s="3"/>
    </row>
    <row r="141" spans="1:10" ht="13.25" customHeight="1" thickTop="1" thickBot="1" x14ac:dyDescent="0.4">
      <c r="A141" s="17" t="str">
        <f>SUBSTITUTE(SUBSTITUTE("n_"&amp;LOWER(SUBSTITUTE(SUBSTITUTE(SUBSTITUTE(NodesData[[#This Row],[label]]," ","_"),"/","_"),"-","_")),"__","_"),"__","_")</f>
        <v>n_entitlement_management</v>
      </c>
      <c r="B141" s="18" t="s">
        <v>775</v>
      </c>
      <c r="C141" s="18" t="s">
        <v>776</v>
      </c>
      <c r="D141" s="3" t="s">
        <v>1411</v>
      </c>
      <c r="E141" s="3">
        <f t="shared" si="2"/>
        <v>139</v>
      </c>
      <c r="F141" s="3">
        <f>COUNTIF(NodesData[label],NodesData[[#This Row],[label]])</f>
        <v>1</v>
      </c>
      <c r="G141" s="3">
        <f>COUNTIF(ConceptNodes9['[A_ID']],NodesData[[#This Row],[id]])+COUNTIF(ConceptNodes9['[B_ID']],NodesData[[#This Row],[id]])</f>
        <v>0</v>
      </c>
      <c r="H141" s="3">
        <f>IF(NodesData[[#This Row],[Used]]&gt;0,1,0)</f>
        <v>0</v>
      </c>
      <c r="I141" s="19" t="str" cm="1">
        <f t="array" ref="I141">IF(NodesData[[#This Row],[Count]]&gt;1,",","") &amp;"{"&amp;twoRangesToJSON(NodesData[[#Headers],[id]:[url]],NodesData[[#This Row],[id]:[url]])&amp;"}"</f>
        <v>,{"id":"n_entitlement_management","label":"Entitlement Management","url":"https://open-measure.atlassian.net/wiki/spaces/DIC/pages/1122566465"}</v>
      </c>
      <c r="J141" s="3"/>
    </row>
    <row r="142" spans="1:10" ht="13.25" customHeight="1" thickTop="1" thickBot="1" x14ac:dyDescent="0.4">
      <c r="A142" s="17" t="str">
        <f>SUBSTITUTE(SUBSTITUTE("n_"&amp;LOWER(SUBSTITUTE(SUBSTITUTE(SUBSTITUTE(NodesData[[#This Row],[label]]," ","_"),"/","_"),"-","_")),"__","_"),"__","_")</f>
        <v>n_entitlement_management_process</v>
      </c>
      <c r="B142" s="18" t="s">
        <v>777</v>
      </c>
      <c r="C142" s="18" t="s">
        <v>778</v>
      </c>
      <c r="D142" s="3" t="s">
        <v>1411</v>
      </c>
      <c r="E142" s="3">
        <f t="shared" si="2"/>
        <v>140</v>
      </c>
      <c r="F142" s="3">
        <f>COUNTIF(NodesData[label],NodesData[[#This Row],[label]])</f>
        <v>1</v>
      </c>
      <c r="G142" s="3">
        <f>COUNTIF(ConceptNodes9['[A_ID']],NodesData[[#This Row],[id]])+COUNTIF(ConceptNodes9['[B_ID']],NodesData[[#This Row],[id]])</f>
        <v>0</v>
      </c>
      <c r="H142" s="3">
        <f>IF(NodesData[[#This Row],[Used]]&gt;0,1,0)</f>
        <v>0</v>
      </c>
      <c r="I142" s="19" t="str" cm="1">
        <f t="array" ref="I142">IF(NodesData[[#This Row],[Count]]&gt;1,",","") &amp;"{"&amp;twoRangesToJSON(NodesData[[#Headers],[id]:[url]],NodesData[[#This Row],[id]:[url]])&amp;"}"</f>
        <v>,{"id":"n_entitlement_management_process","label":"Entitlement Management Process","url":"https://open-measure.atlassian.net/wiki/spaces/DIC/pages/1121910973"}</v>
      </c>
      <c r="J142" s="3"/>
    </row>
    <row r="143" spans="1:10" ht="13.25" customHeight="1" thickTop="1" thickBot="1" x14ac:dyDescent="0.4">
      <c r="A143" s="17" t="str">
        <f>SUBSTITUTE(SUBSTITUTE("n_"&amp;LOWER(SUBSTITUTE(SUBSTITUTE(SUBSTITUTE(NodesData[[#This Row],[label]]," ","_"),"/","_"),"-","_")),"__","_"),"__","_")</f>
        <v>n_entitlement_management_solution</v>
      </c>
      <c r="B143" s="18" t="s">
        <v>779</v>
      </c>
      <c r="C143" s="18" t="s">
        <v>780</v>
      </c>
      <c r="D143" s="3" t="s">
        <v>1411</v>
      </c>
      <c r="E143" s="3">
        <f t="shared" si="2"/>
        <v>141</v>
      </c>
      <c r="F143" s="3">
        <f>COUNTIF(NodesData[label],NodesData[[#This Row],[label]])</f>
        <v>1</v>
      </c>
      <c r="G143" s="3">
        <f>COUNTIF(ConceptNodes9['[A_ID']],NodesData[[#This Row],[id]])+COUNTIF(ConceptNodes9['[B_ID']],NodesData[[#This Row],[id]])</f>
        <v>0</v>
      </c>
      <c r="H143" s="3">
        <f>IF(NodesData[[#This Row],[Used]]&gt;0,1,0)</f>
        <v>0</v>
      </c>
      <c r="I143" s="19" t="str" cm="1">
        <f t="array" ref="I143">IF(NodesData[[#This Row],[Count]]&gt;1,",","") &amp;"{"&amp;twoRangesToJSON(NodesData[[#Headers],[id]:[url]],NodesData[[#This Row],[id]:[url]])&amp;"}"</f>
        <v>,{"id":"n_entitlement_management_solution","label":"Entitlement Management Solution","url":"https://open-measure.atlassian.net/wiki/spaces/DIC/pages/1122631800"}</v>
      </c>
      <c r="J143" s="3"/>
    </row>
    <row r="144" spans="1:10" ht="13.25" customHeight="1" thickTop="1" thickBot="1" x14ac:dyDescent="0.4">
      <c r="A144" s="17" t="str">
        <f>SUBSTITUTE(SUBSTITUTE("n_"&amp;LOWER(SUBSTITUTE(SUBSTITUTE(SUBSTITUTE(NodesData[[#This Row],[label]]," ","_"),"/","_"),"-","_")),"__","_"),"__","_")</f>
        <v>n_entity</v>
      </c>
      <c r="B144" s="18" t="s">
        <v>783</v>
      </c>
      <c r="C144" s="18" t="s">
        <v>784</v>
      </c>
      <c r="D144" s="3" t="s">
        <v>1411</v>
      </c>
      <c r="E144" s="3">
        <f t="shared" si="2"/>
        <v>142</v>
      </c>
      <c r="F144" s="3">
        <f>COUNTIF(NodesData[label],NodesData[[#This Row],[label]])</f>
        <v>1</v>
      </c>
      <c r="G144" s="3">
        <f>COUNTIF(ConceptNodes9['[A_ID']],NodesData[[#This Row],[id]])+COUNTIF(ConceptNodes9['[B_ID']],NodesData[[#This Row],[id]])</f>
        <v>0</v>
      </c>
      <c r="H144" s="3">
        <f>IF(NodesData[[#This Row],[Used]]&gt;0,1,0)</f>
        <v>0</v>
      </c>
      <c r="I144" s="19" t="str" cm="1">
        <f t="array" ref="I144">IF(NodesData[[#This Row],[Count]]&gt;1,",","") &amp;"{"&amp;twoRangesToJSON(NodesData[[#Headers],[id]:[url]],NodesData[[#This Row],[id]:[url]])&amp;"}"</f>
        <v>,{"id":"n_entity","label":"Entity","url":"https://open-measure.atlassian.net/wiki/spaces/DIC/pages/123830932"}</v>
      </c>
      <c r="J144" s="3"/>
    </row>
    <row r="145" spans="1:10" ht="13.25" customHeight="1" thickTop="1" thickBot="1" x14ac:dyDescent="0.4">
      <c r="A145" s="17" t="str">
        <f>SUBSTITUTE(SUBSTITUTE("n_"&amp;LOWER(SUBSTITUTE(SUBSTITUTE(SUBSTITUTE(NodesData[[#This Row],[label]]," ","_"),"/","_"),"-","_")),"__","_"),"__","_")</f>
        <v>n_esso</v>
      </c>
      <c r="B145" s="18" t="s">
        <v>785</v>
      </c>
      <c r="C145" s="18" t="s">
        <v>786</v>
      </c>
      <c r="D145" s="3" t="s">
        <v>1301</v>
      </c>
      <c r="E145" s="3">
        <f t="shared" si="2"/>
        <v>143</v>
      </c>
      <c r="F145" s="3">
        <f>COUNTIF(NodesData[label],NodesData[[#This Row],[label]])</f>
        <v>1</v>
      </c>
      <c r="G145" s="3">
        <f>COUNTIF(ConceptNodes9['[A_ID']],NodesData[[#This Row],[id]])+COUNTIF(ConceptNodes9['[B_ID']],NodesData[[#This Row],[id]])</f>
        <v>0</v>
      </c>
      <c r="H145" s="3">
        <f>IF(NodesData[[#This Row],[Used]]&gt;0,1,0)</f>
        <v>0</v>
      </c>
      <c r="I145" s="19" t="str" cm="1">
        <f t="array" ref="I145">IF(NodesData[[#This Row],[Count]]&gt;1,",","") &amp;"{"&amp;twoRangesToJSON(NodesData[[#Headers],[id]:[url]],NodesData[[#This Row],[id]:[url]])&amp;"}"</f>
        <v>,{"id":"n_esso","label":"ESSO","url":"https://open-measure.atlassian.net/wiki/spaces/DIC/pages/75956266"}</v>
      </c>
      <c r="J145" s="3"/>
    </row>
    <row r="146" spans="1:10" ht="13.25" customHeight="1" thickTop="1" thickBot="1" x14ac:dyDescent="0.4">
      <c r="A146" s="17" t="str">
        <f>SUBSTITUTE(SUBSTITUTE("n_"&amp;LOWER(SUBSTITUTE(SUBSTITUTE(SUBSTITUTE(NodesData[[#This Row],[label]]," ","_"),"/","_"),"-","_")),"__","_"),"__","_")</f>
        <v>n_excessive_privilege_abuse</v>
      </c>
      <c r="B146" s="18" t="s">
        <v>787</v>
      </c>
      <c r="C146" s="18" t="s">
        <v>788</v>
      </c>
      <c r="D146" s="3" t="s">
        <v>1411</v>
      </c>
      <c r="E146" s="3">
        <f t="shared" si="2"/>
        <v>144</v>
      </c>
      <c r="F146" s="3">
        <f>COUNTIF(NodesData[label],NodesData[[#This Row],[label]])</f>
        <v>1</v>
      </c>
      <c r="G146" s="3">
        <f>COUNTIF(ConceptNodes9['[A_ID']],NodesData[[#This Row],[id]])+COUNTIF(ConceptNodes9['[B_ID']],NodesData[[#This Row],[id]])</f>
        <v>0</v>
      </c>
      <c r="H146" s="3">
        <f>IF(NodesData[[#This Row],[Used]]&gt;0,1,0)</f>
        <v>0</v>
      </c>
      <c r="I146" s="19" t="str" cm="1">
        <f t="array" ref="I146">IF(NodesData[[#This Row],[Count]]&gt;1,",","") &amp;"{"&amp;twoRangesToJSON(NodesData[[#Headers],[id]:[url]],NodesData[[#This Row],[id]:[url]])&amp;"}"</f>
        <v>,{"id":"n_excessive_privilege_abuse","label":"Excessive Privilege Abuse","url":"https://open-measure.atlassian.net/wiki/spaces/DIC/pages/1104904275"}</v>
      </c>
      <c r="J146" s="3"/>
    </row>
    <row r="147" spans="1:10" ht="13.25" customHeight="1" thickTop="1" thickBot="1" x14ac:dyDescent="0.4">
      <c r="A147" s="17" t="str">
        <f>SUBSTITUTE(SUBSTITUTE("n_"&amp;LOWER(SUBSTITUTE(SUBSTITUTE(SUBSTITUTE(NodesData[[#This Row],[label]]," ","_"),"/","_"),"-","_")),"__","_"),"__","_")</f>
        <v>n_expanded_password_system</v>
      </c>
      <c r="B147" s="18" t="s">
        <v>789</v>
      </c>
      <c r="C147" s="18" t="s">
        <v>790</v>
      </c>
      <c r="D147" s="3" t="s">
        <v>1411</v>
      </c>
      <c r="E147" s="3">
        <f t="shared" si="2"/>
        <v>145</v>
      </c>
      <c r="F147" s="3">
        <f>COUNTIF(NodesData[label],NodesData[[#This Row],[label]])</f>
        <v>1</v>
      </c>
      <c r="G147" s="3">
        <f>COUNTIF(ConceptNodes9['[A_ID']],NodesData[[#This Row],[id]])+COUNTIF(ConceptNodes9['[B_ID']],NodesData[[#This Row],[id]])</f>
        <v>0</v>
      </c>
      <c r="H147" s="3">
        <f>IF(NodesData[[#This Row],[Used]]&gt;0,1,0)</f>
        <v>0</v>
      </c>
      <c r="I147" s="19" t="str" cm="1">
        <f t="array" ref="I147">IF(NodesData[[#This Row],[Count]]&gt;1,",","") &amp;"{"&amp;twoRangesToJSON(NodesData[[#Headers],[id]:[url]],NodesData[[#This Row],[id]:[url]])&amp;"}"</f>
        <v>,{"id":"n_expanded_password_system","label":"Expanded Password System","url":"https://open-measure.atlassian.net/wiki/spaces/DIC/pages/446824885"}</v>
      </c>
      <c r="J147" s="3"/>
    </row>
    <row r="148" spans="1:10" ht="13.25" customHeight="1" thickTop="1" thickBot="1" x14ac:dyDescent="0.4">
      <c r="A148" s="17" t="str">
        <f>SUBSTITUTE(SUBSTITUTE("n_"&amp;LOWER(SUBSTITUTE(SUBSTITUTE(SUBSTITUTE(NodesData[[#This Row],[label]]," ","_"),"/","_"),"-","_")),"__","_"),"__","_")</f>
        <v>n_exploited_identity</v>
      </c>
      <c r="B148" s="18" t="s">
        <v>791</v>
      </c>
      <c r="C148" s="18" t="s">
        <v>792</v>
      </c>
      <c r="D148" s="3" t="s">
        <v>1411</v>
      </c>
      <c r="E148" s="3">
        <f t="shared" si="2"/>
        <v>146</v>
      </c>
      <c r="F148" s="3">
        <f>COUNTIF(NodesData[label],NodesData[[#This Row],[label]])</f>
        <v>1</v>
      </c>
      <c r="G148" s="3">
        <f>COUNTIF(ConceptNodes9['[A_ID']],NodesData[[#This Row],[id]])+COUNTIF(ConceptNodes9['[B_ID']],NodesData[[#This Row],[id]])</f>
        <v>0</v>
      </c>
      <c r="H148" s="3">
        <f>IF(NodesData[[#This Row],[Used]]&gt;0,1,0)</f>
        <v>0</v>
      </c>
      <c r="I148" s="19" t="str" cm="1">
        <f t="array" ref="I148">IF(NodesData[[#This Row],[Count]]&gt;1,",","") &amp;"{"&amp;twoRangesToJSON(NodesData[[#Headers],[id]:[url]],NodesData[[#This Row],[id]:[url]])&amp;"}"</f>
        <v>,{"id":"n_exploited_identity","label":"Exploited Identity","url":"https://open-measure.atlassian.net/wiki/spaces/DIC/pages/461275380"}</v>
      </c>
      <c r="J148" s="3"/>
    </row>
    <row r="149" spans="1:10" ht="13.25" customHeight="1" thickTop="1" thickBot="1" x14ac:dyDescent="0.4">
      <c r="A149" s="17" t="str">
        <f>SUBSTITUTE(SUBSTITUTE("n_"&amp;LOWER(SUBSTITUTE(SUBSTITUTE(SUBSTITUTE(NodesData[[#This Row],[label]]," ","_"),"/","_"),"-","_")),"__","_"),"__","_")</f>
        <v>n_extended_enterprise</v>
      </c>
      <c r="B149" s="18" t="s">
        <v>793</v>
      </c>
      <c r="C149" s="18" t="s">
        <v>794</v>
      </c>
      <c r="D149" s="3" t="s">
        <v>1411</v>
      </c>
      <c r="E149" s="3">
        <f t="shared" si="2"/>
        <v>147</v>
      </c>
      <c r="F149" s="3">
        <f>COUNTIF(NodesData[label],NodesData[[#This Row],[label]])</f>
        <v>1</v>
      </c>
      <c r="G149" s="3">
        <f>COUNTIF(ConceptNodes9['[A_ID']],NodesData[[#This Row],[id]])+COUNTIF(ConceptNodes9['[B_ID']],NodesData[[#This Row],[id]])</f>
        <v>0</v>
      </c>
      <c r="H149" s="3">
        <f>IF(NodesData[[#This Row],[Used]]&gt;0,1,0)</f>
        <v>0</v>
      </c>
      <c r="I149" s="19" t="str" cm="1">
        <f t="array" ref="I149">IF(NodesData[[#This Row],[Count]]&gt;1,",","") &amp;"{"&amp;twoRangesToJSON(NodesData[[#Headers],[id]:[url]],NodesData[[#This Row],[id]:[url]])&amp;"}"</f>
        <v>,{"id":"n_extended_enterprise","label":"Extended Enterprise","url":"https://open-measure.atlassian.net/wiki/spaces/DIC/pages/82870848"}</v>
      </c>
      <c r="J149" s="3"/>
    </row>
    <row r="150" spans="1:10" ht="13.25" customHeight="1" thickTop="1" thickBot="1" x14ac:dyDescent="0.4">
      <c r="A150" s="17" t="str">
        <f>SUBSTITUTE(SUBSTITUTE("n_"&amp;LOWER(SUBSTITUTE(SUBSTITUTE(SUBSTITUTE(NodesData[[#This Row],[label]]," ","_"),"/","_"),"-","_")),"__","_"),"__","_")</f>
        <v>n_extensible_access_control_markup_language</v>
      </c>
      <c r="B150" s="18" t="s">
        <v>795</v>
      </c>
      <c r="C150" s="18" t="s">
        <v>796</v>
      </c>
      <c r="D150" s="3" t="s">
        <v>1411</v>
      </c>
      <c r="E150" s="3">
        <f t="shared" si="2"/>
        <v>148</v>
      </c>
      <c r="F150" s="3">
        <f>COUNTIF(NodesData[label],NodesData[[#This Row],[label]])</f>
        <v>1</v>
      </c>
      <c r="G150" s="3">
        <f>COUNTIF(ConceptNodes9['[A_ID']],NodesData[[#This Row],[id]])+COUNTIF(ConceptNodes9['[B_ID']],NodesData[[#This Row],[id]])</f>
        <v>0</v>
      </c>
      <c r="H150" s="3">
        <f>IF(NodesData[[#This Row],[Used]]&gt;0,1,0)</f>
        <v>0</v>
      </c>
      <c r="I150" s="19" t="str" cm="1">
        <f t="array" ref="I150">IF(NodesData[[#This Row],[Count]]&gt;1,",","") &amp;"{"&amp;twoRangesToJSON(NodesData[[#Headers],[id]:[url]],NodesData[[#This Row],[id]:[url]])&amp;"}"</f>
        <v>,{"id":"n_extensible_access_control_markup_language","label":"Extensible Access Control Markup Language","url":"https://open-measure.atlassian.net/wiki/spaces/DIC/pages/1121878505"}</v>
      </c>
      <c r="J150" s="3"/>
    </row>
    <row r="151" spans="1:10" ht="13.25" customHeight="1" thickTop="1" thickBot="1" x14ac:dyDescent="0.4">
      <c r="A151" s="17" t="str">
        <f>SUBSTITUTE(SUBSTITUTE("n_"&amp;LOWER(SUBSTITUTE(SUBSTITUTE(SUBSTITUTE(NodesData[[#This Row],[label]]," ","_"),"/","_"),"-","_")),"__","_"),"__","_")</f>
        <v>n_dual_authorization</v>
      </c>
      <c r="B151" s="18" t="s">
        <v>757</v>
      </c>
      <c r="C151" s="18" t="s">
        <v>758</v>
      </c>
      <c r="D151" s="3" t="s">
        <v>1411</v>
      </c>
      <c r="E151" s="3">
        <f t="shared" si="2"/>
        <v>149</v>
      </c>
      <c r="F151" s="3">
        <f>COUNTIF(NodesData[label],NodesData[[#This Row],[label]])</f>
        <v>1</v>
      </c>
      <c r="G151" s="3">
        <f>COUNTIF(ConceptNodes9['[A_ID']],NodesData[[#This Row],[id]])+COUNTIF(ConceptNodes9['[B_ID']],NodesData[[#This Row],[id]])</f>
        <v>0</v>
      </c>
      <c r="H151" s="3">
        <f>IF(NodesData[[#This Row],[Used]]&gt;0,1,0)</f>
        <v>0</v>
      </c>
      <c r="I151" s="19" t="str" cm="1">
        <f t="array" ref="I151">IF(NodesData[[#This Row],[Count]]&gt;1,",","") &amp;"{"&amp;twoRangesToJSON(NodesData[[#Headers],[id]:[url]],NodesData[[#This Row],[id]:[url]])&amp;"}"</f>
        <v>,{"id":"n_dual_authorization","label":"Dual Authorization","url":"https://open-measure.atlassian.net/wiki/spaces/DIC/pages/806584322"}</v>
      </c>
      <c r="J151" s="3"/>
    </row>
    <row r="152" spans="1:10" ht="13.25" customHeight="1" thickTop="1" thickBot="1" x14ac:dyDescent="0.4">
      <c r="A152" s="17" t="str">
        <f>SUBSTITUTE(SUBSTITUTE("n_"&amp;LOWER(SUBSTITUTE(SUBSTITUTE(SUBSTITUTE(NodesData[[#This Row],[label]]," ","_"),"/","_"),"-","_")),"__","_"),"__","_")</f>
        <v>n_fake_digital_identity</v>
      </c>
      <c r="B152" s="18" t="s">
        <v>208</v>
      </c>
      <c r="C152" s="18" t="s">
        <v>797</v>
      </c>
      <c r="D152" s="3" t="s">
        <v>1411</v>
      </c>
      <c r="E152" s="3">
        <f t="shared" si="2"/>
        <v>150</v>
      </c>
      <c r="F152" s="3">
        <f>COUNTIF(NodesData[label],NodesData[[#This Row],[label]])</f>
        <v>1</v>
      </c>
      <c r="G152" s="3">
        <f>COUNTIF(ConceptNodes9['[A_ID']],NodesData[[#This Row],[id]])+COUNTIF(ConceptNodes9['[B_ID']],NodesData[[#This Row],[id]])</f>
        <v>0</v>
      </c>
      <c r="H152" s="3">
        <f>IF(NodesData[[#This Row],[Used]]&gt;0,1,0)</f>
        <v>0</v>
      </c>
      <c r="I152" s="19" t="str" cm="1">
        <f t="array" ref="I152">IF(NodesData[[#This Row],[Count]]&gt;1,",","") &amp;"{"&amp;twoRangesToJSON(NodesData[[#Headers],[id]:[url]],NodesData[[#This Row],[id]:[url]])&amp;"}"</f>
        <v>,{"id":"n_fake_digital_identity","label":"Fake Digital Identity","url":"https://open-measure.atlassian.net/wiki/spaces/DIC/pages/1267433567/Fake+Digital+Identity"}</v>
      </c>
      <c r="J152" s="3"/>
    </row>
    <row r="153" spans="1:10" ht="13.25" customHeight="1" thickTop="1" thickBot="1" x14ac:dyDescent="0.4">
      <c r="A153" s="17" t="str">
        <f>SUBSTITUTE(SUBSTITUTE("n_"&amp;LOWER(SUBSTITUTE(SUBSTITUTE(SUBSTITUTE(NodesData[[#This Row],[label]]," ","_"),"/","_"),"-","_")),"__","_"),"__","_")</f>
        <v>n_fapi</v>
      </c>
      <c r="B153" s="18" t="s">
        <v>209</v>
      </c>
      <c r="C153" s="18" t="s">
        <v>798</v>
      </c>
      <c r="D153" s="3" t="s">
        <v>1301</v>
      </c>
      <c r="E153" s="3">
        <f t="shared" si="2"/>
        <v>151</v>
      </c>
      <c r="F153" s="3">
        <f>COUNTIF(NodesData[label],NodesData[[#This Row],[label]])</f>
        <v>1</v>
      </c>
      <c r="G153" s="3">
        <f>COUNTIF(ConceptNodes9['[A_ID']],NodesData[[#This Row],[id]])+COUNTIF(ConceptNodes9['[B_ID']],NodesData[[#This Row],[id]])</f>
        <v>0</v>
      </c>
      <c r="H153" s="3">
        <f>IF(NodesData[[#This Row],[Used]]&gt;0,1,0)</f>
        <v>0</v>
      </c>
      <c r="I153" s="19" t="str" cm="1">
        <f t="array" ref="I153">IF(NodesData[[#This Row],[Count]]&gt;1,",","") &amp;"{"&amp;twoRangesToJSON(NodesData[[#Headers],[id]:[url]],NodesData[[#This Row],[id]:[url]])&amp;"}"</f>
        <v>,{"id":"n_fapi","label":"FAPI","url":"https://open-measure.atlassian.net/wiki/spaces/DIC/pages/1290141697/FAPI"}</v>
      </c>
      <c r="J153" s="3"/>
    </row>
    <row r="154" spans="1:10" ht="13.25" customHeight="1" thickTop="1" thickBot="1" x14ac:dyDescent="0.4">
      <c r="A154" s="17" t="str">
        <f>SUBSTITUTE(SUBSTITUTE("n_"&amp;LOWER(SUBSTITUTE(SUBSTITUTE(SUBSTITUTE(NodesData[[#This Row],[label]]," ","_"),"/","_"),"-","_")),"__","_"),"__","_")</f>
        <v>n_federated_identity_management</v>
      </c>
      <c r="B154" s="18" t="s">
        <v>799</v>
      </c>
      <c r="C154" s="18" t="s">
        <v>800</v>
      </c>
      <c r="D154" s="3" t="s">
        <v>1411</v>
      </c>
      <c r="E154" s="3">
        <f t="shared" si="2"/>
        <v>152</v>
      </c>
      <c r="F154" s="3">
        <f>COUNTIF(NodesData[label],NodesData[[#This Row],[label]])</f>
        <v>1</v>
      </c>
      <c r="G154" s="3">
        <f>COUNTIF(ConceptNodes9['[A_ID']],NodesData[[#This Row],[id]])+COUNTIF(ConceptNodes9['[B_ID']],NodesData[[#This Row],[id]])</f>
        <v>0</v>
      </c>
      <c r="H154" s="3">
        <f>IF(NodesData[[#This Row],[Used]]&gt;0,1,0)</f>
        <v>0</v>
      </c>
      <c r="I154" s="19" t="str" cm="1">
        <f t="array" ref="I154">IF(NodesData[[#This Row],[Count]]&gt;1,",","") &amp;"{"&amp;twoRangesToJSON(NodesData[[#Headers],[id]:[url]],NodesData[[#This Row],[id]:[url]])&amp;"}"</f>
        <v>,{"id":"n_federated_identity_management","label":"Federated Identity Management","url":"https://open-measure.atlassian.net/wiki/spaces/DIC/pages/331579598"}</v>
      </c>
      <c r="J154" s="3"/>
    </row>
    <row r="155" spans="1:10" ht="13.25" customHeight="1" thickTop="1" thickBot="1" x14ac:dyDescent="0.4">
      <c r="A155" s="17" t="str">
        <f>SUBSTITUTE(SUBSTITUTE("n_"&amp;LOWER(SUBSTITUTE(SUBSTITUTE(SUBSTITUTE(NodesData[[#This Row],[label]]," ","_"),"/","_"),"-","_")),"__","_"),"__","_")</f>
        <v>n_federated_identity_management_system</v>
      </c>
      <c r="B155" s="18" t="s">
        <v>801</v>
      </c>
      <c r="C155" s="18" t="s">
        <v>802</v>
      </c>
      <c r="D155" s="3" t="s">
        <v>1411</v>
      </c>
      <c r="E155" s="3">
        <f t="shared" si="2"/>
        <v>153</v>
      </c>
      <c r="F155" s="3">
        <f>COUNTIF(NodesData[label],NodesData[[#This Row],[label]])</f>
        <v>1</v>
      </c>
      <c r="G155" s="3">
        <f>COUNTIF(ConceptNodes9['[A_ID']],NodesData[[#This Row],[id]])+COUNTIF(ConceptNodes9['[B_ID']],NodesData[[#This Row],[id]])</f>
        <v>0</v>
      </c>
      <c r="H155" s="3">
        <f>IF(NodesData[[#This Row],[Used]]&gt;0,1,0)</f>
        <v>0</v>
      </c>
      <c r="I155" s="19" t="str" cm="1">
        <f t="array" ref="I155">IF(NodesData[[#This Row],[Count]]&gt;1,",","") &amp;"{"&amp;twoRangesToJSON(NodesData[[#Headers],[id]:[url]],NodesData[[#This Row],[id]:[url]])&amp;"}"</f>
        <v>,{"id":"n_federated_identity_management_system","label":"Federated Identity Management System","url":"https://open-measure.atlassian.net/wiki/spaces/DIC/pages/1152483703"}</v>
      </c>
      <c r="J155" s="3"/>
    </row>
    <row r="156" spans="1:10" ht="13.25" customHeight="1" thickTop="1" thickBot="1" x14ac:dyDescent="0.4">
      <c r="A156" s="17" t="str">
        <f>SUBSTITUTE(SUBSTITUTE("n_"&amp;LOWER(SUBSTITUTE(SUBSTITUTE(SUBSTITUTE(NodesData[[#This Row],[label]]," ","_"),"/","_"),"-","_")),"__","_"),"__","_")</f>
        <v>n_federated_sso</v>
      </c>
      <c r="B156" s="18" t="s">
        <v>803</v>
      </c>
      <c r="C156" s="18" t="s">
        <v>804</v>
      </c>
      <c r="D156" s="3" t="s">
        <v>1411</v>
      </c>
      <c r="E156" s="3">
        <f t="shared" si="2"/>
        <v>154</v>
      </c>
      <c r="F156" s="3">
        <f>COUNTIF(NodesData[label],NodesData[[#This Row],[label]])</f>
        <v>1</v>
      </c>
      <c r="G156" s="3">
        <f>COUNTIF(ConceptNodes9['[A_ID']],NodesData[[#This Row],[id]])+COUNTIF(ConceptNodes9['[B_ID']],NodesData[[#This Row],[id]])</f>
        <v>0</v>
      </c>
      <c r="H156" s="3">
        <f>IF(NodesData[[#This Row],[Used]]&gt;0,1,0)</f>
        <v>0</v>
      </c>
      <c r="I156" s="19" t="str" cm="1">
        <f t="array" ref="I156">IF(NodesData[[#This Row],[Count]]&gt;1,",","") &amp;"{"&amp;twoRangesToJSON(NodesData[[#Headers],[id]:[url]],NodesData[[#This Row],[id]:[url]])&amp;"}"</f>
        <v>,{"id":"n_federated_sso","label":"Federated SSO","url":"https://open-measure.atlassian.net/wiki/spaces/DIC/pages/75890786"}</v>
      </c>
      <c r="J156" s="3"/>
    </row>
    <row r="157" spans="1:10" ht="13.25" customHeight="1" thickTop="1" thickBot="1" x14ac:dyDescent="0.4">
      <c r="A157" s="17" t="str">
        <f>SUBSTITUTE(SUBSTITUTE("n_"&amp;LOWER(SUBSTITUTE(SUBSTITUTE(SUBSTITUTE(NodesData[[#This Row],[label]]," ","_"),"/","_"),"-","_")),"__","_"),"__","_")</f>
        <v>n_federation_bridge</v>
      </c>
      <c r="B157" s="18" t="s">
        <v>805</v>
      </c>
      <c r="C157" s="18" t="s">
        <v>806</v>
      </c>
      <c r="D157" s="3" t="s">
        <v>1411</v>
      </c>
      <c r="E157" s="3">
        <f t="shared" si="2"/>
        <v>155</v>
      </c>
      <c r="F157" s="3">
        <f>COUNTIF(NodesData[label],NodesData[[#This Row],[label]])</f>
        <v>1</v>
      </c>
      <c r="G157" s="3">
        <f>COUNTIF(ConceptNodes9['[A_ID']],NodesData[[#This Row],[id]])+COUNTIF(ConceptNodes9['[B_ID']],NodesData[[#This Row],[id]])</f>
        <v>0</v>
      </c>
      <c r="H157" s="3">
        <f>IF(NodesData[[#This Row],[Used]]&gt;0,1,0)</f>
        <v>0</v>
      </c>
      <c r="I157" s="19" t="str" cm="1">
        <f t="array" ref="I157">IF(NodesData[[#This Row],[Count]]&gt;1,",","") &amp;"{"&amp;twoRangesToJSON(NodesData[[#Headers],[id]:[url]],NodesData[[#This Row],[id]:[url]])&amp;"}"</f>
        <v>,{"id":"n_federation_bridge","label":"Federation Bridge","url":"https://open-measure.atlassian.net/wiki/spaces/DIC/pages/763035693"}</v>
      </c>
      <c r="J157" s="3"/>
    </row>
    <row r="158" spans="1:10" ht="13.25" customHeight="1" thickTop="1" thickBot="1" x14ac:dyDescent="0.4">
      <c r="A158" s="17" t="str">
        <f>SUBSTITUTE(SUBSTITUTE("n_"&amp;LOWER(SUBSTITUTE(SUBSTITUTE(SUBSTITUTE(NodesData[[#This Row],[label]]," ","_"),"/","_"),"-","_")),"__","_"),"__","_")</f>
        <v>n_fim</v>
      </c>
      <c r="B158" s="18" t="s">
        <v>807</v>
      </c>
      <c r="C158" s="18" t="s">
        <v>808</v>
      </c>
      <c r="D158" s="3" t="s">
        <v>1301</v>
      </c>
      <c r="E158" s="3">
        <f t="shared" si="2"/>
        <v>156</v>
      </c>
      <c r="F158" s="3">
        <f>COUNTIF(NodesData[label],NodesData[[#This Row],[label]])</f>
        <v>1</v>
      </c>
      <c r="G158" s="3">
        <f>COUNTIF(ConceptNodes9['[A_ID']],NodesData[[#This Row],[id]])+COUNTIF(ConceptNodes9['[B_ID']],NodesData[[#This Row],[id]])</f>
        <v>0</v>
      </c>
      <c r="H158" s="3">
        <f>IF(NodesData[[#This Row],[Used]]&gt;0,1,0)</f>
        <v>0</v>
      </c>
      <c r="I158" s="19" t="str" cm="1">
        <f t="array" ref="I158">IF(NodesData[[#This Row],[Count]]&gt;1,",","") &amp;"{"&amp;twoRangesToJSON(NodesData[[#Headers],[id]:[url]],NodesData[[#This Row],[id]:[url]])&amp;"}"</f>
        <v>,{"id":"n_fim","label":"FIM","url":"https://open-measure.atlassian.net/wiki/spaces/DIC/pages/331579618"}</v>
      </c>
      <c r="J158" s="3"/>
    </row>
    <row r="159" spans="1:10" ht="13.25" customHeight="1" thickTop="1" thickBot="1" x14ac:dyDescent="0.4">
      <c r="A159" s="17" t="str">
        <f>SUBSTITUTE(SUBSTITUTE("n_"&amp;LOWER(SUBSTITUTE(SUBSTITUTE(SUBSTITUTE(NodesData[[#This Row],[label]]," ","_"),"/","_"),"-","_")),"__","_"),"__","_")</f>
        <v>n_financial_grade_api</v>
      </c>
      <c r="B159" s="18" t="s">
        <v>215</v>
      </c>
      <c r="C159" s="18" t="s">
        <v>809</v>
      </c>
      <c r="D159" s="3" t="s">
        <v>1411</v>
      </c>
      <c r="E159" s="3">
        <f t="shared" si="2"/>
        <v>157</v>
      </c>
      <c r="F159" s="3">
        <f>COUNTIF(NodesData[label],NodesData[[#This Row],[label]])</f>
        <v>1</v>
      </c>
      <c r="G159" s="3">
        <f>COUNTIF(ConceptNodes9['[A_ID']],NodesData[[#This Row],[id]])+COUNTIF(ConceptNodes9['[B_ID']],NodesData[[#This Row],[id]])</f>
        <v>0</v>
      </c>
      <c r="H159" s="3">
        <f>IF(NodesData[[#This Row],[Used]]&gt;0,1,0)</f>
        <v>0</v>
      </c>
      <c r="I159" s="19" t="str" cm="1">
        <f t="array" ref="I159">IF(NodesData[[#This Row],[Count]]&gt;1,",","") &amp;"{"&amp;twoRangesToJSON(NodesData[[#Headers],[id]:[url]],NodesData[[#This Row],[id]:[url]])&amp;"}"</f>
        <v>,{"id":"n_financial_grade_api","label":"Financial-grade API","url":"https://open-measure.atlassian.net/wiki/spaces/DIC/pages/1290207237/Financial-grade+API"}</v>
      </c>
      <c r="J159" s="3"/>
    </row>
    <row r="160" spans="1:10" ht="13.25" customHeight="1" thickTop="1" thickBot="1" x14ac:dyDescent="0.4">
      <c r="A160" s="7" t="str">
        <f>SUBSTITUTE(SUBSTITUTE("n_"&amp;LOWER(SUBSTITUTE(SUBSTITUTE(SUBSTITUTE(NodesData[[#This Row],[label]]," ","_"),"/","_"),"-","_")),"__","_"),"__","_")</f>
        <v>n_facial_recognition_authentication</v>
      </c>
      <c r="B160" s="12" t="s">
        <v>1351</v>
      </c>
      <c r="C160" s="12"/>
      <c r="D160" s="3" t="s">
        <v>1411</v>
      </c>
      <c r="E160" s="3">
        <f t="shared" si="2"/>
        <v>158</v>
      </c>
      <c r="F160" s="3">
        <f>COUNTIF(NodesData[label],NodesData[[#This Row],[label]])</f>
        <v>1</v>
      </c>
      <c r="G160" s="3">
        <f>COUNTIF(ConceptNodes9['[A_ID']],NodesData[[#This Row],[id]])+COUNTIF(ConceptNodes9['[B_ID']],NodesData[[#This Row],[id]])</f>
        <v>2</v>
      </c>
      <c r="H160" s="3">
        <f>IF(NodesData[[#This Row],[Used]]&gt;0,1,0)</f>
        <v>1</v>
      </c>
      <c r="I160" s="19" t="str" cm="1">
        <f t="array" ref="I160">IF(NodesData[[#This Row],[Count]]&gt;1,",","") &amp;"{"&amp;twoRangesToJSON(NodesData[[#Headers],[id]:[url]],NodesData[[#This Row],[id]:[url]])&amp;"}"</f>
        <v>,{"id":"n_facial_recognition_authentication","label":"Facial Recognition Authentication","url":""}</v>
      </c>
      <c r="J160" s="3"/>
    </row>
    <row r="161" spans="1:10" ht="13.25" customHeight="1" thickTop="1" thickBot="1" x14ac:dyDescent="0.4">
      <c r="A161" s="17" t="str">
        <f>SUBSTITUTE(SUBSTITUTE("n_"&amp;LOWER(SUBSTITUTE(SUBSTITUTE(SUBSTITUTE(NodesData[[#This Row],[label]]," ","_"),"/","_"),"-","_")),"__","_"),"__","_")</f>
        <v>n_fintech</v>
      </c>
      <c r="B161" s="18" t="s">
        <v>216</v>
      </c>
      <c r="C161" s="18" t="s">
        <v>810</v>
      </c>
      <c r="D161" s="3" t="s">
        <v>1301</v>
      </c>
      <c r="E161" s="3">
        <f t="shared" si="2"/>
        <v>159</v>
      </c>
      <c r="F161" s="3">
        <f>COUNTIF(NodesData[label],NodesData[[#This Row],[label]])</f>
        <v>1</v>
      </c>
      <c r="G161" s="3">
        <f>COUNTIF(ConceptNodes9['[A_ID']],NodesData[[#This Row],[id]])+COUNTIF(ConceptNodes9['[B_ID']],NodesData[[#This Row],[id]])</f>
        <v>0</v>
      </c>
      <c r="H161" s="3">
        <f>IF(NodesData[[#This Row],[Used]]&gt;0,1,0)</f>
        <v>0</v>
      </c>
      <c r="I161" s="19" t="str" cm="1">
        <f t="array" ref="I161">IF(NodesData[[#This Row],[Count]]&gt;1,",","") &amp;"{"&amp;twoRangesToJSON(NodesData[[#Headers],[id]:[url]],NodesData[[#This Row],[id]:[url]])&amp;"}"</f>
        <v>,{"id":"n_fintech","label":"FinTech","url":"https://open-measure.atlassian.net/wiki/spaces/DIC/pages/1378091043/FinTech"}</v>
      </c>
      <c r="J161" s="3"/>
    </row>
    <row r="162" spans="1:10" ht="13.25" customHeight="1" thickTop="1" thickBot="1" x14ac:dyDescent="0.4">
      <c r="A162" s="17" t="str">
        <f>SUBSTITUTE(SUBSTITUTE("n_"&amp;LOWER(SUBSTITUTE(SUBSTITUTE(SUBSTITUTE(NodesData[[#This Row],[label]]," ","_"),"/","_"),"-","_")),"__","_"),"__","_")</f>
        <v>n_flexibility</v>
      </c>
      <c r="B162" s="18" t="s">
        <v>811</v>
      </c>
      <c r="C162" s="18" t="s">
        <v>812</v>
      </c>
      <c r="D162" s="3" t="s">
        <v>1411</v>
      </c>
      <c r="E162" s="3">
        <f t="shared" si="2"/>
        <v>160</v>
      </c>
      <c r="F162" s="3">
        <f>COUNTIF(NodesData[label],NodesData[[#This Row],[label]])</f>
        <v>1</v>
      </c>
      <c r="G162" s="3">
        <f>COUNTIF(ConceptNodes9['[A_ID']],NodesData[[#This Row],[id]])+COUNTIF(ConceptNodes9['[B_ID']],NodesData[[#This Row],[id]])</f>
        <v>0</v>
      </c>
      <c r="H162" s="3">
        <f>IF(NodesData[[#This Row],[Used]]&gt;0,1,0)</f>
        <v>0</v>
      </c>
      <c r="I162" s="19" t="str" cm="1">
        <f t="array" ref="I162">IF(NodesData[[#This Row],[Count]]&gt;1,",","") &amp;"{"&amp;twoRangesToJSON(NodesData[[#Headers],[id]:[url]],NodesData[[#This Row],[id]:[url]])&amp;"}"</f>
        <v>,{"id":"n_flexibility","label":"Flexibility","url":"https://open-measure.atlassian.net/wiki/spaces/DIC/pages/438698048"}</v>
      </c>
      <c r="J162" s="3"/>
    </row>
    <row r="163" spans="1:10" ht="13.25" customHeight="1" thickTop="1" thickBot="1" x14ac:dyDescent="0.4">
      <c r="A163" s="17" t="str">
        <f>SUBSTITUTE(SUBSTITUTE("n_"&amp;LOWER(SUBSTITUTE(SUBSTITUTE(SUBSTITUTE(NodesData[[#This Row],[label]]," ","_"),"/","_"),"-","_")),"__","_"),"__","_")</f>
        <v>n_flow_analysis</v>
      </c>
      <c r="B163" s="18" t="s">
        <v>813</v>
      </c>
      <c r="C163" s="18" t="s">
        <v>814</v>
      </c>
      <c r="D163" s="3" t="s">
        <v>1411</v>
      </c>
      <c r="E163" s="3">
        <f t="shared" si="2"/>
        <v>161</v>
      </c>
      <c r="F163" s="3">
        <f>COUNTIF(NodesData[label],NodesData[[#This Row],[label]])</f>
        <v>1</v>
      </c>
      <c r="G163" s="3">
        <f>COUNTIF(ConceptNodes9['[A_ID']],NodesData[[#This Row],[id]])+COUNTIF(ConceptNodes9['[B_ID']],NodesData[[#This Row],[id]])</f>
        <v>0</v>
      </c>
      <c r="H163" s="3">
        <f>IF(NodesData[[#This Row],[Used]]&gt;0,1,0)</f>
        <v>0</v>
      </c>
      <c r="I163" s="19" t="str" cm="1">
        <f t="array" ref="I163">IF(NodesData[[#This Row],[Count]]&gt;1,",","") &amp;"{"&amp;twoRangesToJSON(NodesData[[#Headers],[id]:[url]],NodesData[[#This Row],[id]:[url]])&amp;"}"</f>
        <v>,{"id":"n_flow_analysis","label":"Flow Analysis","url":"https://open-measure.atlassian.net/wiki/spaces/DIC/pages/1223884872"}</v>
      </c>
      <c r="J163" s="3"/>
    </row>
    <row r="164" spans="1:10" ht="13.25" customHeight="1" thickTop="1" thickBot="1" x14ac:dyDescent="0.4">
      <c r="A164" s="17" t="str">
        <f>SUBSTITUTE(SUBSTITUTE("n_"&amp;LOWER(SUBSTITUTE(SUBSTITUTE(SUBSTITUTE(NodesData[[#This Row],[label]]," ","_"),"/","_"),"-","_")),"__","_"),"__","_")</f>
        <v>n_forged_identity</v>
      </c>
      <c r="B164" s="18" t="s">
        <v>815</v>
      </c>
      <c r="C164" s="18" t="s">
        <v>816</v>
      </c>
      <c r="D164" s="3" t="s">
        <v>1411</v>
      </c>
      <c r="E164" s="3">
        <f t="shared" si="2"/>
        <v>162</v>
      </c>
      <c r="F164" s="3">
        <f>COUNTIF(NodesData[label],NodesData[[#This Row],[label]])</f>
        <v>1</v>
      </c>
      <c r="G164" s="3">
        <f>COUNTIF(ConceptNodes9['[A_ID']],NodesData[[#This Row],[id]])+COUNTIF(ConceptNodes9['[B_ID']],NodesData[[#This Row],[id]])</f>
        <v>0</v>
      </c>
      <c r="H164" s="3">
        <f>IF(NodesData[[#This Row],[Used]]&gt;0,1,0)</f>
        <v>0</v>
      </c>
      <c r="I164" s="19" t="str" cm="1">
        <f t="array" ref="I164">IF(NodesData[[#This Row],[Count]]&gt;1,",","") &amp;"{"&amp;twoRangesToJSON(NodesData[[#Headers],[id]:[url]],NodesData[[#This Row],[id]:[url]])&amp;"}"</f>
        <v>,{"id":"n_forged_identity","label":"Forged Identity","url":"https://open-measure.atlassian.net/wiki/spaces/DIC/pages/1173585921"}</v>
      </c>
      <c r="J164" s="3"/>
    </row>
    <row r="165" spans="1:10" ht="13.25" customHeight="1" thickTop="1" thickBot="1" x14ac:dyDescent="0.4">
      <c r="A165" s="17" t="str">
        <f>SUBSTITUTE(SUBSTITUTE("n_"&amp;LOWER(SUBSTITUTE(SUBSTITUTE(SUBSTITUTE(NodesData[[#This Row],[label]]," ","_"),"/","_"),"-","_")),"__","_"),"__","_")</f>
        <v>n_formal_verification</v>
      </c>
      <c r="B165" s="18" t="s">
        <v>817</v>
      </c>
      <c r="C165" s="18" t="s">
        <v>818</v>
      </c>
      <c r="D165" s="3" t="s">
        <v>1411</v>
      </c>
      <c r="E165" s="3">
        <f t="shared" si="2"/>
        <v>163</v>
      </c>
      <c r="F165" s="3">
        <f>COUNTIF(NodesData[label],NodesData[[#This Row],[label]])</f>
        <v>1</v>
      </c>
      <c r="G165" s="3">
        <f>COUNTIF(ConceptNodes9['[A_ID']],NodesData[[#This Row],[id]])+COUNTIF(ConceptNodes9['[B_ID']],NodesData[[#This Row],[id]])</f>
        <v>0</v>
      </c>
      <c r="H165" s="3">
        <f>IF(NodesData[[#This Row],[Used]]&gt;0,1,0)</f>
        <v>0</v>
      </c>
      <c r="I165" s="19" t="str" cm="1">
        <f t="array" ref="I165">IF(NodesData[[#This Row],[Count]]&gt;1,",","") &amp;"{"&amp;twoRangesToJSON(NodesData[[#Headers],[id]:[url]],NodesData[[#This Row],[id]:[url]])&amp;"}"</f>
        <v>,{"id":"n_formal_verification","label":"Formal Verification","url":"https://open-measure.atlassian.net/wiki/spaces/DIC/pages/1226833964"}</v>
      </c>
      <c r="J165" s="3"/>
    </row>
    <row r="166" spans="1:10" ht="13.25" customHeight="1" thickTop="1" thickBot="1" x14ac:dyDescent="0.4">
      <c r="A166" s="17" t="str">
        <f>SUBSTITUTE(SUBSTITUTE("n_"&amp;LOWER(SUBSTITUTE(SUBSTITUTE(SUBSTITUTE(NodesData[[#This Row],[label]]," ","_"),"/","_"),"-","_")),"__","_"),"__","_")</f>
        <v>n_foundational_identification_system</v>
      </c>
      <c r="B166" s="18" t="s">
        <v>222</v>
      </c>
      <c r="C166" s="18" t="s">
        <v>819</v>
      </c>
      <c r="D166" s="3" t="s">
        <v>1411</v>
      </c>
      <c r="E166" s="3">
        <f t="shared" si="2"/>
        <v>164</v>
      </c>
      <c r="F166" s="3">
        <f>COUNTIF(NodesData[label],NodesData[[#This Row],[label]])</f>
        <v>1</v>
      </c>
      <c r="G166" s="3">
        <f>COUNTIF(ConceptNodes9['[A_ID']],NodesData[[#This Row],[id]])+COUNTIF(ConceptNodes9['[B_ID']],NodesData[[#This Row],[id]])</f>
        <v>0</v>
      </c>
      <c r="H166" s="3">
        <f>IF(NodesData[[#This Row],[Used]]&gt;0,1,0)</f>
        <v>0</v>
      </c>
      <c r="I166" s="19" t="str" cm="1">
        <f t="array" ref="I166">IF(NodesData[[#This Row],[Count]]&gt;1,",","") &amp;"{"&amp;twoRangesToJSON(NodesData[[#Headers],[id]:[url]],NodesData[[#This Row],[id]:[url]])&amp;"}"</f>
        <v>,{"id":"n_foundational_identification_system","label":"Foundational Identification System","url":"https://open-measure.atlassian.net/wiki/spaces/DIC/pages/419561522/Foundational+Identification+System"}</v>
      </c>
      <c r="J166" s="3"/>
    </row>
    <row r="167" spans="1:10" ht="13.25" customHeight="1" thickTop="1" thickBot="1" x14ac:dyDescent="0.4">
      <c r="A167" s="7" t="str">
        <f>SUBSTITUTE(SUBSTITUTE("n_"&amp;LOWER(SUBSTITUTE(SUBSTITUTE(SUBSTITUTE(NodesData[[#This Row],[label]]," ","_"),"/","_"),"-","_")),"__","_"),"__","_")</f>
        <v>n_fingerprint_recognition_authentication</v>
      </c>
      <c r="B167" s="12" t="s">
        <v>1353</v>
      </c>
      <c r="C167" s="12"/>
      <c r="D167" s="3" t="s">
        <v>1411</v>
      </c>
      <c r="E167" s="3">
        <f t="shared" si="2"/>
        <v>165</v>
      </c>
      <c r="F167" s="3">
        <f>COUNTIF(NodesData[label],NodesData[[#This Row],[label]])</f>
        <v>1</v>
      </c>
      <c r="G167" s="3">
        <f>COUNTIF(ConceptNodes9['[A_ID']],NodesData[[#This Row],[id]])+COUNTIF(ConceptNodes9['[B_ID']],NodesData[[#This Row],[id]])</f>
        <v>2</v>
      </c>
      <c r="H167" s="3">
        <f>IF(NodesData[[#This Row],[Used]]&gt;0,1,0)</f>
        <v>1</v>
      </c>
      <c r="I167" s="19" t="str" cm="1">
        <f t="array" ref="I167">IF(NodesData[[#This Row],[Count]]&gt;1,",","") &amp;"{"&amp;twoRangesToJSON(NodesData[[#Headers],[id]:[url]],NodesData[[#This Row],[id]:[url]])&amp;"}"</f>
        <v>,{"id":"n_fingerprint_recognition_authentication","label":"Fingerprint Recognition Authentication","url":""}</v>
      </c>
      <c r="J167" s="3"/>
    </row>
    <row r="168" spans="1:10" ht="13.25" customHeight="1" thickTop="1" thickBot="1" x14ac:dyDescent="0.4">
      <c r="A168" s="17" t="str">
        <f>SUBSTITUTE(SUBSTITUTE("n_"&amp;LOWER(SUBSTITUTE(SUBSTITUTE(SUBSTITUTE(NodesData[[#This Row],[label]]," ","_"),"/","_"),"-","_")),"__","_"),"__","_")</f>
        <v>n_functional_identification_system</v>
      </c>
      <c r="B168" s="18" t="s">
        <v>820</v>
      </c>
      <c r="C168" s="18" t="s">
        <v>821</v>
      </c>
      <c r="D168" s="3" t="s">
        <v>1411</v>
      </c>
      <c r="E168" s="3">
        <f t="shared" si="2"/>
        <v>166</v>
      </c>
      <c r="F168" s="3">
        <f>COUNTIF(NodesData[label],NodesData[[#This Row],[label]])</f>
        <v>1</v>
      </c>
      <c r="G168" s="3">
        <f>COUNTIF(ConceptNodes9['[A_ID']],NodesData[[#This Row],[id]])+COUNTIF(ConceptNodes9['[B_ID']],NodesData[[#This Row],[id]])</f>
        <v>0</v>
      </c>
      <c r="H168" s="3">
        <f>IF(NodesData[[#This Row],[Used]]&gt;0,1,0)</f>
        <v>0</v>
      </c>
      <c r="I168" s="19" t="str" cm="1">
        <f t="array" ref="I168">IF(NodesData[[#This Row],[Count]]&gt;1,",","") &amp;"{"&amp;twoRangesToJSON(NodesData[[#Headers],[id]:[url]],NodesData[[#This Row],[id]:[url]])&amp;"}"</f>
        <v>,{"id":"n_functional_identification_system","label":"Functional Identification System","url":"https://open-measure.atlassian.net/wiki/spaces/DIC/pages/419528747"}</v>
      </c>
      <c r="J168" s="3"/>
    </row>
    <row r="169" spans="1:10" ht="13.25" customHeight="1" thickTop="1" thickBot="1" x14ac:dyDescent="0.4">
      <c r="A169" s="17" t="str">
        <f>SUBSTITUTE(SUBSTITUTE("n_"&amp;LOWER(SUBSTITUTE(SUBSTITUTE(SUBSTITUTE(NodesData[[#This Row],[label]]," ","_"),"/","_"),"-","_")),"__","_"),"__","_")</f>
        <v>n_functional_system</v>
      </c>
      <c r="B169" s="18" t="s">
        <v>822</v>
      </c>
      <c r="C169" s="18" t="s">
        <v>823</v>
      </c>
      <c r="D169" s="3" t="s">
        <v>1411</v>
      </c>
      <c r="E169" s="3">
        <f t="shared" si="2"/>
        <v>167</v>
      </c>
      <c r="F169" s="3">
        <f>COUNTIF(NodesData[label],NodesData[[#This Row],[label]])</f>
        <v>1</v>
      </c>
      <c r="G169" s="3">
        <f>COUNTIF(ConceptNodes9['[A_ID']],NodesData[[#This Row],[id]])+COUNTIF(ConceptNodes9['[B_ID']],NodesData[[#This Row],[id]])</f>
        <v>0</v>
      </c>
      <c r="H169" s="3">
        <f>IF(NodesData[[#This Row],[Used]]&gt;0,1,0)</f>
        <v>0</v>
      </c>
      <c r="I169" s="19" t="str" cm="1">
        <f t="array" ref="I169">IF(NodesData[[#This Row],[Count]]&gt;1,",","") &amp;"{"&amp;twoRangesToJSON(NodesData[[#Headers],[id]:[url]],NodesData[[#This Row],[id]:[url]])&amp;"}"</f>
        <v>,{"id":"n_functional_system","label":"Functional System","url":"https://open-measure.atlassian.net/wiki/spaces/DIC/pages/1229619254"}</v>
      </c>
      <c r="J169" s="3"/>
    </row>
    <row r="170" spans="1:10" ht="13.25" customHeight="1" thickTop="1" thickBot="1" x14ac:dyDescent="0.4">
      <c r="A170" s="7" t="str">
        <f>SUBSTITUTE(SUBSTITUTE("n_"&amp;LOWER(SUBSTITUTE(SUBSTITUTE(SUBSTITUTE(NodesData[[#This Row],[label]]," ","_"),"/","_"),"-","_")),"__","_"),"__","_")</f>
        <v>n_front_end_authentication</v>
      </c>
      <c r="B170" s="12" t="s">
        <v>1347</v>
      </c>
      <c r="C170" s="12"/>
      <c r="D170" s="3" t="s">
        <v>1411</v>
      </c>
      <c r="E170" s="3">
        <f t="shared" si="2"/>
        <v>168</v>
      </c>
      <c r="F170" s="3">
        <f>COUNTIF(NodesData[label],NodesData[[#This Row],[label]])</f>
        <v>1</v>
      </c>
      <c r="G170" s="3">
        <f>COUNTIF(ConceptNodes9['[A_ID']],NodesData[[#This Row],[id]])+COUNTIF(ConceptNodes9['[B_ID']],NodesData[[#This Row],[id]])</f>
        <v>0</v>
      </c>
      <c r="H170" s="3">
        <f>IF(NodesData[[#This Row],[Used]]&gt;0,1,0)</f>
        <v>0</v>
      </c>
      <c r="I170" s="19" t="str" cm="1">
        <f t="array" ref="I170">IF(NodesData[[#This Row],[Count]]&gt;1,",","") &amp;"{"&amp;twoRangesToJSON(NodesData[[#Headers],[id]:[url]],NodesData[[#This Row],[id]:[url]])&amp;"}"</f>
        <v>,{"id":"n_front_end_authentication","label":"Front-end Authentication","url":""}</v>
      </c>
      <c r="J170" s="3"/>
    </row>
    <row r="171" spans="1:10" ht="13.25" customHeight="1" thickTop="1" thickBot="1" x14ac:dyDescent="0.4">
      <c r="A171" s="7" t="str">
        <f>SUBSTITUTE(SUBSTITUTE("n_"&amp;LOWER(SUBSTITUTE(SUBSTITUTE(SUBSTITUTE(NodesData[[#This Row],[label]]," ","_"),"/","_"),"-","_")),"__","_"),"__","_")</f>
        <v>n_gait_recognition_authentication</v>
      </c>
      <c r="B171" s="12" t="s">
        <v>1354</v>
      </c>
      <c r="C171" s="12"/>
      <c r="D171" s="3" t="s">
        <v>1411</v>
      </c>
      <c r="E171" s="3">
        <f t="shared" si="2"/>
        <v>169</v>
      </c>
      <c r="F171" s="3">
        <f>COUNTIF(NodesData[label],NodesData[[#This Row],[label]])</f>
        <v>1</v>
      </c>
      <c r="G171" s="3">
        <f>COUNTIF(ConceptNodes9['[A_ID']],NodesData[[#This Row],[id]])+COUNTIF(ConceptNodes9['[B_ID']],NodesData[[#This Row],[id]])</f>
        <v>2</v>
      </c>
      <c r="H171" s="3">
        <f>IF(NodesData[[#This Row],[Used]]&gt;0,1,0)</f>
        <v>1</v>
      </c>
      <c r="I171" s="19" t="str" cm="1">
        <f t="array" ref="I171">IF(NodesData[[#This Row],[Count]]&gt;1,",","") &amp;"{"&amp;twoRangesToJSON(NodesData[[#Headers],[id]:[url]],NodesData[[#This Row],[id]:[url]])&amp;"}"</f>
        <v>,{"id":"n_gait_recognition_authentication","label":"Gait Recognition Authentication","url":""}</v>
      </c>
      <c r="J171" s="3"/>
    </row>
    <row r="172" spans="1:10" ht="13.25" customHeight="1" thickTop="1" thickBot="1" x14ac:dyDescent="0.4">
      <c r="A172" s="7" t="str">
        <f>SUBSTITUTE(SUBSTITUTE("n_"&amp;LOWER(SUBSTITUTE(SUBSTITUTE(SUBSTITUTE(NodesData[[#This Row],[label]]," ","_"),"/","_"),"-","_")),"__","_"),"__","_")</f>
        <v>n_geo_localization_authentication</v>
      </c>
      <c r="B172" s="12" t="s">
        <v>1352</v>
      </c>
      <c r="C172" s="12"/>
      <c r="D172" s="3" t="s">
        <v>1411</v>
      </c>
      <c r="E172" s="3">
        <f t="shared" si="2"/>
        <v>170</v>
      </c>
      <c r="F172" s="3">
        <f>COUNTIF(NodesData[label],NodesData[[#This Row],[label]])</f>
        <v>1</v>
      </c>
      <c r="G172" s="3">
        <f>COUNTIF(ConceptNodes9['[A_ID']],NodesData[[#This Row],[id]])+COUNTIF(ConceptNodes9['[B_ID']],NodesData[[#This Row],[id]])</f>
        <v>0</v>
      </c>
      <c r="H172" s="3">
        <f>IF(NodesData[[#This Row],[Used]]&gt;0,1,0)</f>
        <v>0</v>
      </c>
      <c r="I172" s="19" t="str" cm="1">
        <f t="array" ref="I172">IF(NodesData[[#This Row],[Count]]&gt;1,",","") &amp;"{"&amp;twoRangesToJSON(NodesData[[#Headers],[id]:[url]],NodesData[[#This Row],[id]:[url]])&amp;"}"</f>
        <v>,{"id":"n_geo_localization_authentication","label":"Geo-localization Authentication","url":""}</v>
      </c>
      <c r="J172" s="3"/>
    </row>
    <row r="173" spans="1:10" ht="13.25" customHeight="1" thickTop="1" thickBot="1" x14ac:dyDescent="0.4">
      <c r="A173" s="17" t="str">
        <f>SUBSTITUTE(SUBSTITUTE("n_"&amp;LOWER(SUBSTITUTE(SUBSTITUTE(SUBSTITUTE(NodesData[[#This Row],[label]]," ","_"),"/","_"),"-","_")),"__","_"),"__","_")</f>
        <v>n_guest_account</v>
      </c>
      <c r="B173" s="18" t="s">
        <v>824</v>
      </c>
      <c r="C173" s="18" t="s">
        <v>825</v>
      </c>
      <c r="D173" s="3" t="s">
        <v>1411</v>
      </c>
      <c r="E173" s="3">
        <f t="shared" si="2"/>
        <v>171</v>
      </c>
      <c r="F173" s="3">
        <f>COUNTIF(NodesData[label],NodesData[[#This Row],[label]])</f>
        <v>1</v>
      </c>
      <c r="G173" s="3">
        <f>COUNTIF(ConceptNodes9['[A_ID']],NodesData[[#This Row],[id]])+COUNTIF(ConceptNodes9['[B_ID']],NodesData[[#This Row],[id]])</f>
        <v>0</v>
      </c>
      <c r="H173" s="3">
        <f>IF(NodesData[[#This Row],[Used]]&gt;0,1,0)</f>
        <v>0</v>
      </c>
      <c r="I173" s="19" t="str" cm="1">
        <f t="array" ref="I173">IF(NodesData[[#This Row],[Count]]&gt;1,",","") &amp;"{"&amp;twoRangesToJSON(NodesData[[#Headers],[id]:[url]],NodesData[[#This Row],[id]:[url]])&amp;"}"</f>
        <v>,{"id":"n_guest_account","label":"Guest Account","url":"https://open-measure.atlassian.net/wiki/spaces/DIC/pages/966557699"}</v>
      </c>
      <c r="J173" s="3"/>
    </row>
    <row r="174" spans="1:10" ht="13.25" customHeight="1" thickTop="1" thickBot="1" x14ac:dyDescent="0.4">
      <c r="A174" s="24" t="str">
        <f>SUBSTITUTE(SUBSTITUTE("n_"&amp;LOWER(SUBSTITUTE(SUBSTITUTE(SUBSTITUTE(NodesData[[#This Row],[label]]," ","_"),"/","_"),"-","_")),"__","_"),"__","_")</f>
        <v>n_graphical_password_based_authentication</v>
      </c>
      <c r="B174" s="23" t="s">
        <v>1375</v>
      </c>
      <c r="C174" s="23"/>
      <c r="D174" s="3" t="s">
        <v>1411</v>
      </c>
      <c r="E174" s="3">
        <f t="shared" si="2"/>
        <v>172</v>
      </c>
      <c r="F174" s="3">
        <f>COUNTIF(NodesData[label],NodesData[[#This Row],[label]])</f>
        <v>1</v>
      </c>
      <c r="G174" s="3">
        <f>COUNTIF(ConceptNodes9['[A_ID']],NodesData[[#This Row],[id]])+COUNTIF(ConceptNodes9['[B_ID']],NodesData[[#This Row],[id]])</f>
        <v>0</v>
      </c>
      <c r="H174" s="3">
        <f>IF(NodesData[[#This Row],[Used]]&gt;0,1,0)</f>
        <v>0</v>
      </c>
      <c r="I174" s="19" t="str" cm="1">
        <f t="array" ref="I174">IF(NodesData[[#This Row],[Count]]&gt;1,",","") &amp;"{"&amp;twoRangesToJSON(NodesData[[#Headers],[id]:[url]],NodesData[[#This Row],[id]:[url]])&amp;"}"</f>
        <v>,{"id":"n_graphical_password_based_authentication","label":"Graphical Password-Based Authentication","url":""}</v>
      </c>
      <c r="J174" s="3"/>
    </row>
    <row r="175" spans="1:10" ht="13.25" customHeight="1" thickTop="1" thickBot="1" x14ac:dyDescent="0.4">
      <c r="A175" s="7" t="str">
        <f>SUBSTITUTE(SUBSTITUTE("n_"&amp;LOWER(SUBSTITUTE(SUBSTITUTE(SUBSTITUTE(NodesData[[#This Row],[label]]," ","_"),"/","_"),"-","_")),"__","_"),"__","_")</f>
        <v>n_hand_gestures_recognition_authentication</v>
      </c>
      <c r="B175" s="12" t="s">
        <v>1355</v>
      </c>
      <c r="C175" s="12"/>
      <c r="D175" s="3" t="s">
        <v>1411</v>
      </c>
      <c r="E175" s="3">
        <f t="shared" si="2"/>
        <v>173</v>
      </c>
      <c r="F175" s="3">
        <f>COUNTIF(NodesData[label],NodesData[[#This Row],[label]])</f>
        <v>1</v>
      </c>
      <c r="G175" s="3">
        <f>COUNTIF(ConceptNodes9['[A_ID']],NodesData[[#This Row],[id]])+COUNTIF(ConceptNodes9['[B_ID']],NodesData[[#This Row],[id]])</f>
        <v>2</v>
      </c>
      <c r="H175" s="3">
        <f>IF(NodesData[[#This Row],[Used]]&gt;0,1,0)</f>
        <v>1</v>
      </c>
      <c r="I175" s="19" t="str" cm="1">
        <f t="array" ref="I175">IF(NodesData[[#This Row],[Count]]&gt;1,",","") &amp;"{"&amp;twoRangesToJSON(NodesData[[#Headers],[id]:[url]],NodesData[[#This Row],[id]:[url]])&amp;"}"</f>
        <v>,{"id":"n_hand_gestures_recognition_authentication","label":"Hand Gestures Recognition Authentication","url":""}</v>
      </c>
      <c r="J175" s="3"/>
    </row>
    <row r="176" spans="1:10" ht="13.25" customHeight="1" thickTop="1" thickBot="1" x14ac:dyDescent="0.4">
      <c r="A176" s="17" t="str">
        <f>SUBSTITUTE(SUBSTITUTE("n_"&amp;LOWER(SUBSTITUTE(SUBSTITUTE(SUBSTITUTE(NodesData[[#This Row],[label]]," ","_"),"/","_"),"-","_")),"__","_"),"__","_")</f>
        <v>n_high_water_mark_principle</v>
      </c>
      <c r="B176" s="18" t="s">
        <v>826</v>
      </c>
      <c r="C176" s="18" t="s">
        <v>827</v>
      </c>
      <c r="D176" s="3" t="s">
        <v>1411</v>
      </c>
      <c r="E176" s="3">
        <f t="shared" si="2"/>
        <v>174</v>
      </c>
      <c r="F176" s="3">
        <f>COUNTIF(NodesData[label],NodesData[[#This Row],[label]])</f>
        <v>1</v>
      </c>
      <c r="G176" s="3">
        <f>COUNTIF(ConceptNodes9['[A_ID']],NodesData[[#This Row],[id]])+COUNTIF(ConceptNodes9['[B_ID']],NodesData[[#This Row],[id]])</f>
        <v>0</v>
      </c>
      <c r="H176" s="3">
        <f>IF(NodesData[[#This Row],[Used]]&gt;0,1,0)</f>
        <v>0</v>
      </c>
      <c r="I176" s="19" t="str" cm="1">
        <f t="array" ref="I176">IF(NodesData[[#This Row],[Count]]&gt;1,",","") &amp;"{"&amp;twoRangesToJSON(NodesData[[#Headers],[id]:[url]],NodesData[[#This Row],[id]:[url]])&amp;"}"</f>
        <v>,{"id":"n_high_water_mark_principle","label":"High Water Mark Principle","url":"https://open-measure.atlassian.net/wiki/spaces/DIC/pages/1177846011"}</v>
      </c>
      <c r="J176" s="3"/>
    </row>
    <row r="177" spans="1:10" ht="13.25" customHeight="1" thickTop="1" thickBot="1" x14ac:dyDescent="0.4">
      <c r="A177" s="17" t="str">
        <f>SUBSTITUTE(SUBSTITUTE("n_"&amp;LOWER(SUBSTITUTE(SUBSTITUTE(SUBSTITUTE(NodesData[[#This Row],[label]]," ","_"),"/","_"),"-","_")),"__","_"),"__","_")</f>
        <v>n_human_error</v>
      </c>
      <c r="B177" s="18" t="s">
        <v>828</v>
      </c>
      <c r="C177" s="18" t="s">
        <v>829</v>
      </c>
      <c r="D177" s="3" t="s">
        <v>1411</v>
      </c>
      <c r="E177" s="3">
        <f t="shared" si="2"/>
        <v>175</v>
      </c>
      <c r="F177" s="3">
        <f>COUNTIF(NodesData[label],NodesData[[#This Row],[label]])</f>
        <v>1</v>
      </c>
      <c r="G177" s="3">
        <f>COUNTIF(ConceptNodes9['[A_ID']],NodesData[[#This Row],[id]])+COUNTIF(ConceptNodes9['[B_ID']],NodesData[[#This Row],[id]])</f>
        <v>0</v>
      </c>
      <c r="H177" s="3">
        <f>IF(NodesData[[#This Row],[Used]]&gt;0,1,0)</f>
        <v>0</v>
      </c>
      <c r="I177" s="19" t="str" cm="1">
        <f t="array" ref="I177">IF(NodesData[[#This Row],[Count]]&gt;1,",","") &amp;"{"&amp;twoRangesToJSON(NodesData[[#Headers],[id]:[url]],NodesData[[#This Row],[id]:[url]])&amp;"}"</f>
        <v>,{"id":"n_human_error","label":"Human Error","url":"https://open-measure.atlassian.net/wiki/spaces/DIC/pages/998047786"}</v>
      </c>
      <c r="J177" s="3"/>
    </row>
    <row r="178" spans="1:10" ht="13.25" customHeight="1" thickTop="1" thickBot="1" x14ac:dyDescent="0.4">
      <c r="A178" s="17" t="str">
        <f>SUBSTITUTE(SUBSTITUTE("n_"&amp;LOWER(SUBSTITUTE(SUBSTITUTE(SUBSTITUTE(NodesData[[#This Row],[label]]," ","_"),"/","_"),"-","_")),"__","_"),"__","_")</f>
        <v>n_human_reliability</v>
      </c>
      <c r="B178" s="18" t="s">
        <v>830</v>
      </c>
      <c r="C178" s="18" t="s">
        <v>831</v>
      </c>
      <c r="D178" s="3" t="s">
        <v>1411</v>
      </c>
      <c r="E178" s="3">
        <f t="shared" si="2"/>
        <v>176</v>
      </c>
      <c r="F178" s="3">
        <f>COUNTIF(NodesData[label],NodesData[[#This Row],[label]])</f>
        <v>1</v>
      </c>
      <c r="G178" s="3">
        <f>COUNTIF(ConceptNodes9['[A_ID']],NodesData[[#This Row],[id]])+COUNTIF(ConceptNodes9['[B_ID']],NodesData[[#This Row],[id]])</f>
        <v>0</v>
      </c>
      <c r="H178" s="3">
        <f>IF(NodesData[[#This Row],[Used]]&gt;0,1,0)</f>
        <v>0</v>
      </c>
      <c r="I178" s="19" t="str" cm="1">
        <f t="array" ref="I178">IF(NodesData[[#This Row],[Count]]&gt;1,",","") &amp;"{"&amp;twoRangesToJSON(NodesData[[#Headers],[id]:[url]],NodesData[[#This Row],[id]:[url]])&amp;"}"</f>
        <v>,{"id":"n_human_reliability","label":"Human Reliability","url":"https://open-measure.atlassian.net/wiki/spaces/DIC/pages/998277156"}</v>
      </c>
      <c r="J178" s="3"/>
    </row>
    <row r="179" spans="1:10" ht="13.25" customHeight="1" thickTop="1" thickBot="1" x14ac:dyDescent="0.4">
      <c r="A179" s="17" t="str">
        <f>SUBSTITUTE(SUBSTITUTE("n_"&amp;LOWER(SUBSTITUTE(SUBSTITUTE(SUBSTITUTE(NodesData[[#This Row],[label]]," ","_"),"/","_"),"-","_")),"__","_"),"__","_")</f>
        <v>n_iag</v>
      </c>
      <c r="B179" s="18" t="s">
        <v>231</v>
      </c>
      <c r="C179" s="18" t="s">
        <v>832</v>
      </c>
      <c r="D179" s="3" t="s">
        <v>1301</v>
      </c>
      <c r="E179" s="3">
        <f t="shared" si="2"/>
        <v>177</v>
      </c>
      <c r="F179" s="3">
        <f>COUNTIF(NodesData[label],NodesData[[#This Row],[label]])</f>
        <v>1</v>
      </c>
      <c r="G179" s="3">
        <f>COUNTIF(ConceptNodes9['[A_ID']],NodesData[[#This Row],[id]])+COUNTIF(ConceptNodes9['[B_ID']],NodesData[[#This Row],[id]])</f>
        <v>0</v>
      </c>
      <c r="H179" s="3">
        <f>IF(NodesData[[#This Row],[Used]]&gt;0,1,0)</f>
        <v>0</v>
      </c>
      <c r="I179" s="19" t="str" cm="1">
        <f t="array" ref="I179">IF(NodesData[[#This Row],[Count]]&gt;1,",","") &amp;"{"&amp;twoRangesToJSON(NodesData[[#Headers],[id]:[url]],NodesData[[#This Row],[id]:[url]])&amp;"}"</f>
        <v>,{"id":"n_iag","label":"IAG","url":"https://open-measure.atlassian.net/wiki/spaces/DIC/pages/1572865/IAG"}</v>
      </c>
      <c r="J179" s="3"/>
    </row>
    <row r="180" spans="1:10" ht="13.25" customHeight="1" thickTop="1" thickBot="1" x14ac:dyDescent="0.4">
      <c r="A180" s="17" t="str">
        <f>SUBSTITUTE(SUBSTITUTE("n_"&amp;LOWER(SUBSTITUTE(SUBSTITUTE(SUBSTITUTE(NodesData[[#This Row],[label]]," ","_"),"/","_"),"-","_")),"__","_"),"__","_")</f>
        <v>n_iam</v>
      </c>
      <c r="B180" s="18" t="s">
        <v>232</v>
      </c>
      <c r="C180" s="18" t="s">
        <v>833</v>
      </c>
      <c r="D180" s="3" t="s">
        <v>1301</v>
      </c>
      <c r="E180" s="3">
        <f t="shared" si="2"/>
        <v>178</v>
      </c>
      <c r="F180" s="3">
        <f>COUNTIF(NodesData[label],NodesData[[#This Row],[label]])</f>
        <v>1</v>
      </c>
      <c r="G180" s="3">
        <f>COUNTIF(ConceptNodes9['[A_ID']],NodesData[[#This Row],[id]])+COUNTIF(ConceptNodes9['[B_ID']],NodesData[[#This Row],[id]])</f>
        <v>0</v>
      </c>
      <c r="H180" s="3">
        <f>IF(NodesData[[#This Row],[Used]]&gt;0,1,0)</f>
        <v>0</v>
      </c>
      <c r="I180" s="19" t="str" cm="1">
        <f t="array" ref="I180">IF(NodesData[[#This Row],[Count]]&gt;1,",","") &amp;"{"&amp;twoRangesToJSON(NodesData[[#Headers],[id]:[url]],NodesData[[#This Row],[id]:[url]])&amp;"}"</f>
        <v>,{"id":"n_iam","label":"IAM","url":"https://open-measure.atlassian.net/wiki/spaces/DIC/pages/1081356/IAM"}</v>
      </c>
      <c r="J180" s="3"/>
    </row>
    <row r="181" spans="1:10" ht="13.25" customHeight="1" thickTop="1" thickBot="1" x14ac:dyDescent="0.4">
      <c r="A181" s="17" t="str">
        <f>SUBSTITUTE(SUBSTITUTE("n_"&amp;LOWER(SUBSTITUTE(SUBSTITUTE(SUBSTITUTE(NodesData[[#This Row],[label]]," ","_"),"/","_"),"-","_")),"__","_"),"__","_")</f>
        <v>n_iam_arn</v>
      </c>
      <c r="B181" s="18" t="s">
        <v>834</v>
      </c>
      <c r="C181" s="18" t="s">
        <v>835</v>
      </c>
      <c r="D181" s="3" t="s">
        <v>1301</v>
      </c>
      <c r="E181" s="3">
        <f t="shared" si="2"/>
        <v>179</v>
      </c>
      <c r="F181" s="3">
        <f>COUNTIF(NodesData[label],NodesData[[#This Row],[label]])</f>
        <v>1</v>
      </c>
      <c r="G181" s="3">
        <f>COUNTIF(ConceptNodes9['[A_ID']],NodesData[[#This Row],[id]])+COUNTIF(ConceptNodes9['[B_ID']],NodesData[[#This Row],[id]])</f>
        <v>0</v>
      </c>
      <c r="H181" s="3">
        <f>IF(NodesData[[#This Row],[Used]]&gt;0,1,0)</f>
        <v>0</v>
      </c>
      <c r="I181" s="19" t="str" cm="1">
        <f t="array" ref="I181">IF(NodesData[[#This Row],[Count]]&gt;1,",","") &amp;"{"&amp;twoRangesToJSON(NodesData[[#Headers],[id]:[url]],NodesData[[#This Row],[id]:[url]])&amp;"}"</f>
        <v>,{"id":"n_iam_arn","label":"IAM ARN","url":"https://open-measure.atlassian.net/wiki/spaces/DIC/pages/1037926677"}</v>
      </c>
      <c r="J181" s="3"/>
    </row>
    <row r="182" spans="1:10" ht="13.25" customHeight="1" thickTop="1" thickBot="1" x14ac:dyDescent="0.4">
      <c r="A182" s="17" t="str">
        <f>SUBSTITUTE(SUBSTITUTE("n_"&amp;LOWER(SUBSTITUTE(SUBSTITUTE(SUBSTITUTE(NodesData[[#This Row],[label]]," ","_"),"/","_"),"-","_")),"__","_"),"__","_")</f>
        <v>n_iam_management</v>
      </c>
      <c r="B182" s="18" t="s">
        <v>836</v>
      </c>
      <c r="C182" s="18" t="s">
        <v>837</v>
      </c>
      <c r="D182" s="3" t="s">
        <v>1411</v>
      </c>
      <c r="E182" s="3">
        <f t="shared" si="2"/>
        <v>180</v>
      </c>
      <c r="F182" s="3">
        <f>COUNTIF(NodesData[label],NodesData[[#This Row],[label]])</f>
        <v>1</v>
      </c>
      <c r="G182" s="3">
        <f>COUNTIF(ConceptNodes9['[A_ID']],NodesData[[#This Row],[id]])+COUNTIF(ConceptNodes9['[B_ID']],NodesData[[#This Row],[id]])</f>
        <v>0</v>
      </c>
      <c r="H182" s="3">
        <f>IF(NodesData[[#This Row],[Used]]&gt;0,1,0)</f>
        <v>0</v>
      </c>
      <c r="I182" s="19" t="str" cm="1">
        <f t="array" ref="I182">IF(NodesData[[#This Row],[Count]]&gt;1,",","") &amp;"{"&amp;twoRangesToJSON(NodesData[[#Headers],[id]:[url]],NodesData[[#This Row],[id]:[url]])&amp;"}"</f>
        <v>,{"id":"n_iam_management","label":"IAM Management","url":"https://open-measure.atlassian.net/wiki/spaces/DIC/pages/82838735"}</v>
      </c>
      <c r="J182" s="3"/>
    </row>
    <row r="183" spans="1:10" ht="13.25" customHeight="1" thickTop="1" thickBot="1" x14ac:dyDescent="0.4">
      <c r="A183" s="17" t="str">
        <f>SUBSTITUTE(SUBSTITUTE("n_"&amp;LOWER(SUBSTITUTE(SUBSTITUTE(SUBSTITUTE(NodesData[[#This Row],[label]]," ","_"),"/","_"),"-","_")),"__","_"),"__","_")</f>
        <v>n_iap</v>
      </c>
      <c r="B183" s="18" t="s">
        <v>838</v>
      </c>
      <c r="C183" s="18" t="s">
        <v>839</v>
      </c>
      <c r="D183" s="3" t="s">
        <v>1301</v>
      </c>
      <c r="E183" s="3">
        <f t="shared" si="2"/>
        <v>181</v>
      </c>
      <c r="F183" s="3">
        <f>COUNTIF(NodesData[label],NodesData[[#This Row],[label]])</f>
        <v>1</v>
      </c>
      <c r="G183" s="3">
        <f>COUNTIF(ConceptNodes9['[A_ID']],NodesData[[#This Row],[id]])+COUNTIF(ConceptNodes9['[B_ID']],NodesData[[#This Row],[id]])</f>
        <v>0</v>
      </c>
      <c r="H183" s="3">
        <f>IF(NodesData[[#This Row],[Used]]&gt;0,1,0)</f>
        <v>0</v>
      </c>
      <c r="I183" s="19" t="str" cm="1">
        <f t="array" ref="I183">IF(NodesData[[#This Row],[Count]]&gt;1,",","") &amp;"{"&amp;twoRangesToJSON(NodesData[[#Headers],[id]:[url]],NodesData[[#This Row],[id]:[url]])&amp;"}"</f>
        <v>,{"id":"n_iap","label":"IAP","url":"https://open-measure.atlassian.net/wiki/spaces/DIC/pages/234487971"}</v>
      </c>
      <c r="J183" s="3"/>
    </row>
    <row r="184" spans="1:10" ht="13.25" customHeight="1" thickTop="1" thickBot="1" x14ac:dyDescent="0.4">
      <c r="A184" s="17" t="str">
        <f>SUBSTITUTE(SUBSTITUTE("n_"&amp;LOWER(SUBSTITUTE(SUBSTITUTE(SUBSTITUTE(NodesData[[#This Row],[label]]," ","_"),"/","_"),"-","_")),"__","_"),"__","_")</f>
        <v>n_idaas</v>
      </c>
      <c r="B184" s="18" t="s">
        <v>840</v>
      </c>
      <c r="C184" s="18" t="s">
        <v>841</v>
      </c>
      <c r="D184" s="3" t="s">
        <v>1301</v>
      </c>
      <c r="E184" s="3">
        <f t="shared" si="2"/>
        <v>182</v>
      </c>
      <c r="F184" s="3">
        <f>COUNTIF(NodesData[label],NodesData[[#This Row],[label]])</f>
        <v>1</v>
      </c>
      <c r="G184" s="3">
        <f>COUNTIF(ConceptNodes9['[A_ID']],NodesData[[#This Row],[id]])+COUNTIF(ConceptNodes9['[B_ID']],NodesData[[#This Row],[id]])</f>
        <v>0</v>
      </c>
      <c r="H184" s="3">
        <f>IF(NodesData[[#This Row],[Used]]&gt;0,1,0)</f>
        <v>0</v>
      </c>
      <c r="I184" s="19" t="str" cm="1">
        <f t="array" ref="I184">IF(NodesData[[#This Row],[Count]]&gt;1,",","") &amp;"{"&amp;twoRangesToJSON(NodesData[[#Headers],[id]:[url]],NodesData[[#This Row],[id]:[url]])&amp;"}"</f>
        <v>,{"id":"n_idaas","label":"IDaaS","url":"https://open-measure.atlassian.net/wiki/spaces/DIC/pages/1149468857"}</v>
      </c>
      <c r="J184" s="3"/>
    </row>
    <row r="185" spans="1:10" ht="13.25" customHeight="1" thickTop="1" thickBot="1" x14ac:dyDescent="0.4">
      <c r="A185" s="17" t="str">
        <f>SUBSTITUTE(SUBSTITUTE("n_"&amp;LOWER(SUBSTITUTE(SUBSTITUTE(SUBSTITUTE(NodesData[[#This Row],[label]]," ","_"),"/","_"),"-","_")),"__","_"),"__","_")</f>
        <v>n_ideal_type</v>
      </c>
      <c r="B185" s="18" t="s">
        <v>842</v>
      </c>
      <c r="C185" s="18" t="s">
        <v>843</v>
      </c>
      <c r="D185" s="3" t="s">
        <v>1411</v>
      </c>
      <c r="E185" s="3">
        <f t="shared" si="2"/>
        <v>183</v>
      </c>
      <c r="F185" s="3">
        <f>COUNTIF(NodesData[label],NodesData[[#This Row],[label]])</f>
        <v>1</v>
      </c>
      <c r="G185" s="3">
        <f>COUNTIF(ConceptNodes9['[A_ID']],NodesData[[#This Row],[id]])+COUNTIF(ConceptNodes9['[B_ID']],NodesData[[#This Row],[id]])</f>
        <v>0</v>
      </c>
      <c r="H185" s="3">
        <f>IF(NodesData[[#This Row],[Used]]&gt;0,1,0)</f>
        <v>0</v>
      </c>
      <c r="I185" s="19" t="str" cm="1">
        <f t="array" ref="I185">IF(NodesData[[#This Row],[Count]]&gt;1,",","") &amp;"{"&amp;twoRangesToJSON(NodesData[[#Headers],[id]:[url]],NodesData[[#This Row],[id]:[url]])&amp;"}"</f>
        <v>,{"id":"n_ideal_type","label":"Ideal Type","url":"https://open-measure.atlassian.net/wiki/spaces/DIC/pages/149356545"}</v>
      </c>
      <c r="J185" s="3"/>
    </row>
    <row r="186" spans="1:10" ht="13.25" customHeight="1" thickTop="1" thickBot="1" x14ac:dyDescent="0.4">
      <c r="A186" s="17" t="str">
        <f>SUBSTITUTE(SUBSTITUTE("n_"&amp;LOWER(SUBSTITUTE(SUBSTITUTE(SUBSTITUTE(NodesData[[#This Row],[label]]," ","_"),"/","_"),"-","_")),"__","_"),"__","_")</f>
        <v>n_identification</v>
      </c>
      <c r="B186" s="18" t="s">
        <v>844</v>
      </c>
      <c r="C186" s="18" t="s">
        <v>845</v>
      </c>
      <c r="D186" s="3" t="s">
        <v>1411</v>
      </c>
      <c r="E186" s="3">
        <f t="shared" si="2"/>
        <v>184</v>
      </c>
      <c r="F186" s="3">
        <f>COUNTIF(NodesData[label],NodesData[[#This Row],[label]])</f>
        <v>1</v>
      </c>
      <c r="G186" s="3">
        <f>COUNTIF(ConceptNodes9['[A_ID']],NodesData[[#This Row],[id]])+COUNTIF(ConceptNodes9['[B_ID']],NodesData[[#This Row],[id]])</f>
        <v>0</v>
      </c>
      <c r="H186" s="3">
        <f>IF(NodesData[[#This Row],[Used]]&gt;0,1,0)</f>
        <v>0</v>
      </c>
      <c r="I186" s="19" t="str" cm="1">
        <f t="array" ref="I186">IF(NodesData[[#This Row],[Count]]&gt;1,",","") &amp;"{"&amp;twoRangesToJSON(NodesData[[#Headers],[id]:[url]],NodesData[[#This Row],[id]:[url]])&amp;"}"</f>
        <v>,{"id":"n_identification","label":"Identification","url":"https://open-measure.atlassian.net/wiki/spaces/DIC/pages/419659837"}</v>
      </c>
      <c r="J186" s="3"/>
    </row>
    <row r="187" spans="1:10" ht="13.25" customHeight="1" thickTop="1" thickBot="1" x14ac:dyDescent="0.4">
      <c r="A187" s="17" t="str">
        <f>SUBSTITUTE(SUBSTITUTE("n_"&amp;LOWER(SUBSTITUTE(SUBSTITUTE(SUBSTITUTE(NodesData[[#This Row],[label]]," ","_"),"/","_"),"-","_")),"__","_"),"__","_")</f>
        <v>n_identification_system</v>
      </c>
      <c r="B187" s="18" t="s">
        <v>846</v>
      </c>
      <c r="C187" s="18" t="s">
        <v>847</v>
      </c>
      <c r="D187" s="3" t="s">
        <v>1411</v>
      </c>
      <c r="E187" s="3">
        <f t="shared" si="2"/>
        <v>185</v>
      </c>
      <c r="F187" s="3">
        <f>COUNTIF(NodesData[label],NodesData[[#This Row],[label]])</f>
        <v>1</v>
      </c>
      <c r="G187" s="3">
        <f>COUNTIF(ConceptNodes9['[A_ID']],NodesData[[#This Row],[id]])+COUNTIF(ConceptNodes9['[B_ID']],NodesData[[#This Row],[id]])</f>
        <v>0</v>
      </c>
      <c r="H187" s="3">
        <f>IF(NodesData[[#This Row],[Used]]&gt;0,1,0)</f>
        <v>0</v>
      </c>
      <c r="I187" s="19" t="str" cm="1">
        <f t="array" ref="I187">IF(NodesData[[#This Row],[Count]]&gt;1,",","") &amp;"{"&amp;twoRangesToJSON(NodesData[[#Headers],[id]:[url]],NodesData[[#This Row],[id]:[url]])&amp;"}"</f>
        <v>,{"id":"n_identification_system","label":"Identification System","url":"https://open-measure.atlassian.net/wiki/spaces/DIC/pages/419758113"}</v>
      </c>
      <c r="J187" s="3"/>
    </row>
    <row r="188" spans="1:10" ht="13.25" customHeight="1" thickTop="1" thickBot="1" x14ac:dyDescent="0.4">
      <c r="A188" s="17" t="str">
        <f>SUBSTITUTE(SUBSTITUTE("n_"&amp;LOWER(SUBSTITUTE(SUBSTITUTE(SUBSTITUTE(NodesData[[#This Row],[label]]," ","_"),"/","_"),"-","_")),"__","_"),"__","_")</f>
        <v>n_identifier</v>
      </c>
      <c r="B188" s="18" t="s">
        <v>848</v>
      </c>
      <c r="C188" s="18" t="s">
        <v>849</v>
      </c>
      <c r="D188" s="3" t="s">
        <v>1411</v>
      </c>
      <c r="E188" s="3">
        <f t="shared" si="2"/>
        <v>186</v>
      </c>
      <c r="F188" s="3">
        <f>COUNTIF(NodesData[label],NodesData[[#This Row],[label]])</f>
        <v>1</v>
      </c>
      <c r="G188" s="3">
        <f>COUNTIF(ConceptNodes9['[A_ID']],NodesData[[#This Row],[id]])+COUNTIF(ConceptNodes9['[B_ID']],NodesData[[#This Row],[id]])</f>
        <v>0</v>
      </c>
      <c r="H188" s="3">
        <f>IF(NodesData[[#This Row],[Used]]&gt;0,1,0)</f>
        <v>0</v>
      </c>
      <c r="I188" s="19" t="str" cm="1">
        <f t="array" ref="I188">IF(NodesData[[#This Row],[Count]]&gt;1,",","") &amp;"{"&amp;twoRangesToJSON(NodesData[[#Headers],[id]:[url]],NodesData[[#This Row],[id]:[url]])&amp;"}"</f>
        <v>,{"id":"n_identifier","label":"Identifier","url":"https://open-measure.atlassian.net/wiki/spaces/DIC/pages/435322922"}</v>
      </c>
      <c r="J188" s="3"/>
    </row>
    <row r="189" spans="1:10" ht="13.25" customHeight="1" thickTop="1" thickBot="1" x14ac:dyDescent="0.4">
      <c r="A189" s="17" t="str">
        <f>SUBSTITUTE(SUBSTITUTE("n_"&amp;LOWER(SUBSTITUTE(SUBSTITUTE(SUBSTITUTE(NodesData[[#This Row],[label]]," ","_"),"/","_"),"-","_")),"__","_"),"__","_")</f>
        <v>n_identifier_registry_model</v>
      </c>
      <c r="B189" s="18" t="s">
        <v>241</v>
      </c>
      <c r="C189" s="18" t="s">
        <v>850</v>
      </c>
      <c r="D189" s="3" t="s">
        <v>1411</v>
      </c>
      <c r="E189" s="3">
        <f t="shared" si="2"/>
        <v>187</v>
      </c>
      <c r="F189" s="3">
        <f>COUNTIF(NodesData[label],NodesData[[#This Row],[label]])</f>
        <v>1</v>
      </c>
      <c r="G189" s="3">
        <f>COUNTIF(ConceptNodes9['[A_ID']],NodesData[[#This Row],[id]])+COUNTIF(ConceptNodes9['[B_ID']],NodesData[[#This Row],[id]])</f>
        <v>0</v>
      </c>
      <c r="H189" s="3">
        <f>IF(NodesData[[#This Row],[Used]]&gt;0,1,0)</f>
        <v>0</v>
      </c>
      <c r="I189" s="19" t="str" cm="1">
        <f t="array" ref="I189">IF(NodesData[[#This Row],[Count]]&gt;1,",","") &amp;"{"&amp;twoRangesToJSON(NodesData[[#Headers],[id]:[url]],NodesData[[#This Row],[id]:[url]])&amp;"}"</f>
        <v>,{"id":"n_identifier_registry_model","label":"Identifier Registry Model","url":"https://open-measure.atlassian.net/wiki/spaces/DIC/pages/1311113273/Identifier+Registry+Model"}</v>
      </c>
      <c r="J189" s="3"/>
    </row>
    <row r="190" spans="1:10" ht="13.25" customHeight="1" thickTop="1" thickBot="1" x14ac:dyDescent="0.4">
      <c r="A190" s="17" t="str">
        <f>SUBSTITUTE(SUBSTITUTE("n_"&amp;LOWER(SUBSTITUTE(SUBSTITUTE(SUBSTITUTE(NodesData[[#This Row],[label]]," ","_"),"/","_"),"-","_")),"__","_"),"__","_")</f>
        <v>n_identity</v>
      </c>
      <c r="B190" s="18" t="s">
        <v>851</v>
      </c>
      <c r="C190" s="18" t="s">
        <v>852</v>
      </c>
      <c r="D190" s="3" t="s">
        <v>1411</v>
      </c>
      <c r="E190" s="3">
        <f t="shared" si="2"/>
        <v>188</v>
      </c>
      <c r="F190" s="3">
        <f>COUNTIF(NodesData[label],NodesData[[#This Row],[label]])</f>
        <v>1</v>
      </c>
      <c r="G190" s="3">
        <f>COUNTIF(ConceptNodes9['[A_ID']],NodesData[[#This Row],[id]])+COUNTIF(ConceptNodes9['[B_ID']],NodesData[[#This Row],[id]])</f>
        <v>0</v>
      </c>
      <c r="H190" s="3">
        <f>IF(NodesData[[#This Row],[Used]]&gt;0,1,0)</f>
        <v>0</v>
      </c>
      <c r="I190" s="19" t="str" cm="1">
        <f t="array" ref="I190">IF(NodesData[[#This Row],[Count]]&gt;1,",","") &amp;"{"&amp;twoRangesToJSON(NodesData[[#Headers],[id]:[url]],NodesData[[#This Row],[id]:[url]])&amp;"}"</f>
        <v>,{"id":"n_identity","label":"Identity","url":"https://open-measure.atlassian.net/wiki/spaces/DIC/pages/67600948"}</v>
      </c>
      <c r="J190" s="3"/>
    </row>
    <row r="191" spans="1:10" ht="13.25" customHeight="1" thickTop="1" thickBot="1" x14ac:dyDescent="0.4">
      <c r="A191" s="17" t="str">
        <f>SUBSTITUTE(SUBSTITUTE("n_"&amp;LOWER(SUBSTITUTE(SUBSTITUTE(SUBSTITUTE(NodesData[[#This Row],[label]]," ","_"),"/","_"),"-","_")),"__","_"),"__","_")</f>
        <v>n_identity_aggregation</v>
      </c>
      <c r="B191" s="18" t="s">
        <v>243</v>
      </c>
      <c r="C191" s="18" t="s">
        <v>853</v>
      </c>
      <c r="D191" s="3" t="s">
        <v>1411</v>
      </c>
      <c r="E191" s="3">
        <f t="shared" si="2"/>
        <v>189</v>
      </c>
      <c r="F191" s="3">
        <f>COUNTIF(NodesData[label],NodesData[[#This Row],[label]])</f>
        <v>1</v>
      </c>
      <c r="G191" s="3">
        <f>COUNTIF(ConceptNodes9['[A_ID']],NodesData[[#This Row],[id]])+COUNTIF(ConceptNodes9['[B_ID']],NodesData[[#This Row],[id]])</f>
        <v>0</v>
      </c>
      <c r="H191" s="3">
        <f>IF(NodesData[[#This Row],[Used]]&gt;0,1,0)</f>
        <v>0</v>
      </c>
      <c r="I191" s="19" t="str" cm="1">
        <f t="array" ref="I191">IF(NodesData[[#This Row],[Count]]&gt;1,",","") &amp;"{"&amp;twoRangesToJSON(NodesData[[#Headers],[id]:[url]],NodesData[[#This Row],[id]:[url]])&amp;"}"</f>
        <v>,{"id":"n_identity_aggregation","label":"Identity Aggregation","url":"https://open-measure.atlassian.net/wiki/spaces/DIC/pages/1600618542/Identity+Aggregation"}</v>
      </c>
      <c r="J191" s="3"/>
    </row>
    <row r="192" spans="1:10" ht="13.25" customHeight="1" thickTop="1" thickBot="1" x14ac:dyDescent="0.4">
      <c r="A192" s="17" t="str">
        <f>SUBSTITUTE(SUBSTITUTE("n_"&amp;LOWER(SUBSTITUTE(SUBSTITUTE(SUBSTITUTE(NodesData[[#This Row],[label]]," ","_"),"/","_"),"-","_")),"__","_"),"__","_")</f>
        <v>n_identity_and_access_governance</v>
      </c>
      <c r="B192" s="18" t="s">
        <v>244</v>
      </c>
      <c r="C192" s="18" t="s">
        <v>854</v>
      </c>
      <c r="D192" s="3" t="s">
        <v>1411</v>
      </c>
      <c r="E192" s="3">
        <f t="shared" si="2"/>
        <v>190</v>
      </c>
      <c r="F192" s="3">
        <f>COUNTIF(NodesData[label],NodesData[[#This Row],[label]])</f>
        <v>1</v>
      </c>
      <c r="G192" s="3">
        <f>COUNTIF(ConceptNodes9['[A_ID']],NodesData[[#This Row],[id]])+COUNTIF(ConceptNodes9['[B_ID']],NodesData[[#This Row],[id]])</f>
        <v>0</v>
      </c>
      <c r="H192" s="3">
        <f>IF(NodesData[[#This Row],[Used]]&gt;0,1,0)</f>
        <v>0</v>
      </c>
      <c r="I192" s="19" t="str" cm="1">
        <f t="array" ref="I192">IF(NodesData[[#This Row],[Count]]&gt;1,",","") &amp;"{"&amp;twoRangesToJSON(NodesData[[#Headers],[id]:[url]],NodesData[[#This Row],[id]:[url]])&amp;"}"</f>
        <v>,{"id":"n_identity_and_access_governance","label":"Identity and Access Governance","url":"https://open-measure.atlassian.net/wiki/spaces/DIC/pages/1458176007/Identity+and+Access+Governance"}</v>
      </c>
      <c r="J192" s="3"/>
    </row>
    <row r="193" spans="1:10" ht="13.25" customHeight="1" thickTop="1" thickBot="1" x14ac:dyDescent="0.4">
      <c r="A193" s="17" t="str">
        <f>SUBSTITUTE(SUBSTITUTE("n_"&amp;LOWER(SUBSTITUTE(SUBSTITUTE(SUBSTITUTE(NodesData[[#This Row],[label]]," ","_"),"/","_"),"-","_")),"__","_"),"__","_")</f>
        <v>n_identity_and_access_management</v>
      </c>
      <c r="B193" s="18" t="s">
        <v>245</v>
      </c>
      <c r="C193" s="18" t="s">
        <v>855</v>
      </c>
      <c r="D193" s="3" t="s">
        <v>1411</v>
      </c>
      <c r="E193" s="3">
        <f t="shared" si="2"/>
        <v>191</v>
      </c>
      <c r="F193" s="3">
        <f>COUNTIF(NodesData[label],NodesData[[#This Row],[label]])</f>
        <v>1</v>
      </c>
      <c r="G193" s="3">
        <f>COUNTIF(ConceptNodes9['[A_ID']],NodesData[[#This Row],[id]])+COUNTIF(ConceptNodes9['[B_ID']],NodesData[[#This Row],[id]])</f>
        <v>0</v>
      </c>
      <c r="H193" s="3">
        <f>IF(NodesData[[#This Row],[Used]]&gt;0,1,0)</f>
        <v>0</v>
      </c>
      <c r="I193" s="19" t="str" cm="1">
        <f t="array" ref="I193">IF(NodesData[[#This Row],[Count]]&gt;1,",","") &amp;"{"&amp;twoRangesToJSON(NodesData[[#Headers],[id]:[url]],NodesData[[#This Row],[id]:[url]])&amp;"}"</f>
        <v>,{"id":"n_identity_and_access_management","label":"Identity and Access Management","url":"https://open-measure.atlassian.net/wiki/spaces/DIC/pages/1409143/Identity+and+Access+Management"}</v>
      </c>
      <c r="J193" s="3"/>
    </row>
    <row r="194" spans="1:10" ht="13.25" customHeight="1" thickTop="1" thickBot="1" x14ac:dyDescent="0.4">
      <c r="A194" s="17" t="str">
        <f>SUBSTITUTE(SUBSTITUTE("n_"&amp;LOWER(SUBSTITUTE(SUBSTITUTE(SUBSTITUTE(NodesData[[#This Row],[label]]," ","_"),"/","_"),"-","_")),"__","_"),"__","_")</f>
        <v>n_identity_as_a_service</v>
      </c>
      <c r="B194" s="18" t="s">
        <v>877</v>
      </c>
      <c r="C194" s="18" t="s">
        <v>878</v>
      </c>
      <c r="D194" s="3" t="s">
        <v>1411</v>
      </c>
      <c r="E194" s="3">
        <f t="shared" si="2"/>
        <v>192</v>
      </c>
      <c r="F194" s="3">
        <f>COUNTIF(NodesData[label],NodesData[[#This Row],[label]])</f>
        <v>1</v>
      </c>
      <c r="G194" s="3">
        <f>COUNTIF(ConceptNodes9['[A_ID']],NodesData[[#This Row],[id]])+COUNTIF(ConceptNodes9['[B_ID']],NodesData[[#This Row],[id]])</f>
        <v>0</v>
      </c>
      <c r="H194" s="3">
        <f>IF(NodesData[[#This Row],[Used]]&gt;0,1,0)</f>
        <v>0</v>
      </c>
      <c r="I194" s="19" t="str" cm="1">
        <f t="array" ref="I194">IF(NodesData[[#This Row],[Count]]&gt;1,",","") &amp;"{"&amp;twoRangesToJSON(NodesData[[#Headers],[id]:[url]],NodesData[[#This Row],[id]:[url]])&amp;"}"</f>
        <v>,{"id":"n_identity_as_a_service","label":"Identity-as-a-Service","url":"https://open-measure.atlassian.net/wiki/spaces/DIC/pages/1152516217"}</v>
      </c>
      <c r="J194" s="3"/>
    </row>
    <row r="195" spans="1:10" ht="13.25" customHeight="1" thickTop="1" thickBot="1" x14ac:dyDescent="0.4">
      <c r="A195" s="17" t="str">
        <f>SUBSTITUTE(SUBSTITUTE("n_"&amp;LOWER(SUBSTITUTE(SUBSTITUTE(SUBSTITUTE(NodesData[[#This Row],[label]]," ","_"),"/","_"),"-","_")),"__","_"),"__","_")</f>
        <v>n_identity_assurance</v>
      </c>
      <c r="B195" s="18" t="s">
        <v>247</v>
      </c>
      <c r="C195" s="18" t="s">
        <v>856</v>
      </c>
      <c r="D195" s="3" t="s">
        <v>1411</v>
      </c>
      <c r="E195" s="3">
        <f t="shared" si="2"/>
        <v>193</v>
      </c>
      <c r="F195" s="3">
        <f>COUNTIF(NodesData[label],NodesData[[#This Row],[label]])</f>
        <v>1</v>
      </c>
      <c r="G195" s="3">
        <f>COUNTIF(ConceptNodes9['[A_ID']],NodesData[[#This Row],[id]])+COUNTIF(ConceptNodes9['[B_ID']],NodesData[[#This Row],[id]])</f>
        <v>0</v>
      </c>
      <c r="H195" s="3">
        <f>IF(NodesData[[#This Row],[Used]]&gt;0,1,0)</f>
        <v>0</v>
      </c>
      <c r="I195" s="19" t="str" cm="1">
        <f t="array" ref="I195">IF(NodesData[[#This Row],[Count]]&gt;1,",","") &amp;"{"&amp;twoRangesToJSON(NodesData[[#Headers],[id]:[url]],NodesData[[#This Row],[id]:[url]])&amp;"}"</f>
        <v>,{"id":"n_identity_assurance","label":"Identity Assurance","url":"https://open-measure.atlassian.net/wiki/spaces/DIC/pages/1600749655/Identity+Assurance"}</v>
      </c>
      <c r="J195" s="3"/>
    </row>
    <row r="196" spans="1:10" ht="13.25" customHeight="1" thickTop="1" thickBot="1" x14ac:dyDescent="0.4">
      <c r="A196" s="17" t="str">
        <f>SUBSTITUTE(SUBSTITUTE("n_"&amp;LOWER(SUBSTITUTE(SUBSTITUTE(SUBSTITUTE(NodesData[[#This Row],[label]]," ","_"),"/","_"),"-","_")),"__","_"),"__","_")</f>
        <v>n_identity_attribute</v>
      </c>
      <c r="B196" s="18" t="s">
        <v>857</v>
      </c>
      <c r="C196" s="18" t="s">
        <v>858</v>
      </c>
      <c r="D196" s="3" t="s">
        <v>1411</v>
      </c>
      <c r="E196" s="3">
        <f t="shared" si="2"/>
        <v>194</v>
      </c>
      <c r="F196" s="3">
        <f>COUNTIF(NodesData[label],NodesData[[#This Row],[label]])</f>
        <v>1</v>
      </c>
      <c r="G196" s="3">
        <f>COUNTIF(ConceptNodes9['[A_ID']],NodesData[[#This Row],[id]])+COUNTIF(ConceptNodes9['[B_ID']],NodesData[[#This Row],[id]])</f>
        <v>0</v>
      </c>
      <c r="H196" s="3">
        <f>IF(NodesData[[#This Row],[Used]]&gt;0,1,0)</f>
        <v>0</v>
      </c>
      <c r="I196" s="19" t="str" cm="1">
        <f t="array" ref="I196">IF(NodesData[[#This Row],[Count]]&gt;1,",","") &amp;"{"&amp;twoRangesToJSON(NodesData[[#Headers],[id]:[url]],NodesData[[#This Row],[id]:[url]])&amp;"}"</f>
        <v>,{"id":"n_identity_attribute","label":"Identity Attribute","url":"https://open-measure.atlassian.net/wiki/spaces/DIC/pages/82903275"}</v>
      </c>
      <c r="J196" s="3"/>
    </row>
    <row r="197" spans="1:10" ht="13.25" customHeight="1" thickTop="1" thickBot="1" x14ac:dyDescent="0.4">
      <c r="A197" s="17" t="str">
        <f>SUBSTITUTE(SUBSTITUTE("n_"&amp;LOWER(SUBSTITUTE(SUBSTITUTE(SUBSTITUTE(NodesData[[#This Row],[label]]," ","_"),"/","_"),"-","_")),"__","_"),"__","_")</f>
        <v>n_identity_aware_proxy</v>
      </c>
      <c r="B197" s="18" t="s">
        <v>879</v>
      </c>
      <c r="C197" s="18" t="s">
        <v>880</v>
      </c>
      <c r="D197" s="3" t="s">
        <v>1411</v>
      </c>
      <c r="E197" s="3">
        <f t="shared" ref="E197:E260" si="3">E196+1</f>
        <v>195</v>
      </c>
      <c r="F197" s="3">
        <f>COUNTIF(NodesData[label],NodesData[[#This Row],[label]])</f>
        <v>1</v>
      </c>
      <c r="G197" s="3">
        <f>COUNTIF(ConceptNodes9['[A_ID']],NodesData[[#This Row],[id]])+COUNTIF(ConceptNodes9['[B_ID']],NodesData[[#This Row],[id]])</f>
        <v>0</v>
      </c>
      <c r="H197" s="3">
        <f>IF(NodesData[[#This Row],[Used]]&gt;0,1,0)</f>
        <v>0</v>
      </c>
      <c r="I197" s="19" t="str" cm="1">
        <f t="array" ref="I197">IF(NodesData[[#This Row],[Count]]&gt;1,",","") &amp;"{"&amp;twoRangesToJSON(NodesData[[#Headers],[id]:[url]],NodesData[[#This Row],[id]:[url]])&amp;"}"</f>
        <v>,{"id":"n_identity_aware_proxy","label":"Identity-Aware Proxy","url":"https://open-measure.atlassian.net/wiki/spaces/DIC/pages/236748873"}</v>
      </c>
      <c r="J197" s="3"/>
    </row>
    <row r="198" spans="1:10" ht="13.25" customHeight="1" thickTop="1" thickBot="1" x14ac:dyDescent="0.4">
      <c r="A198" s="17" t="str">
        <f>SUBSTITUTE(SUBSTITUTE("n_"&amp;LOWER(SUBSTITUTE(SUBSTITUTE(SUBSTITUTE(NodesData[[#This Row],[label]]," ","_"),"/","_"),"-","_")),"__","_"),"__","_")</f>
        <v>n_identity_establishment</v>
      </c>
      <c r="B198" s="18" t="s">
        <v>250</v>
      </c>
      <c r="C198" s="18" t="s">
        <v>859</v>
      </c>
      <c r="D198" s="3" t="s">
        <v>1411</v>
      </c>
      <c r="E198" s="3">
        <f t="shared" si="3"/>
        <v>196</v>
      </c>
      <c r="F198" s="3">
        <f>COUNTIF(NodesData[label],NodesData[[#This Row],[label]])</f>
        <v>1</v>
      </c>
      <c r="G198" s="3">
        <f>COUNTIF(ConceptNodes9['[A_ID']],NodesData[[#This Row],[id]])+COUNTIF(ConceptNodes9['[B_ID']],NodesData[[#This Row],[id]])</f>
        <v>0</v>
      </c>
      <c r="H198" s="3">
        <f>IF(NodesData[[#This Row],[Used]]&gt;0,1,0)</f>
        <v>0</v>
      </c>
      <c r="I198" s="19" t="str" cm="1">
        <f t="array" ref="I198">IF(NodesData[[#This Row],[Count]]&gt;1,",","") &amp;"{"&amp;twoRangesToJSON(NodesData[[#Headers],[id]:[url]],NodesData[[#This Row],[id]:[url]])&amp;"}"</f>
        <v>,{"id":"n_identity_establishment","label":"Identity Establishment","url":"https://open-measure.atlassian.net/wiki/spaces/DIC/pages/123896632/Identity+Establishment"}</v>
      </c>
      <c r="J198" s="3"/>
    </row>
    <row r="199" spans="1:10" ht="13.25" customHeight="1" thickTop="1" thickBot="1" x14ac:dyDescent="0.4">
      <c r="A199" s="17" t="str">
        <f>SUBSTITUTE(SUBSTITUTE("n_"&amp;LOWER(SUBSTITUTE(SUBSTITUTE(SUBSTITUTE(NodesData[[#This Row],[label]]," ","_"),"/","_"),"-","_")),"__","_"),"__","_")</f>
        <v>n_identity_federation</v>
      </c>
      <c r="B199" s="18" t="s">
        <v>251</v>
      </c>
      <c r="C199" s="18" t="s">
        <v>860</v>
      </c>
      <c r="D199" s="3" t="s">
        <v>1411</v>
      </c>
      <c r="E199" s="3">
        <f t="shared" si="3"/>
        <v>197</v>
      </c>
      <c r="F199" s="3">
        <f>COUNTIF(NodesData[label],NodesData[[#This Row],[label]])</f>
        <v>1</v>
      </c>
      <c r="G199" s="3">
        <f>COUNTIF(ConceptNodes9['[A_ID']],NodesData[[#This Row],[id]])+COUNTIF(ConceptNodes9['[B_ID']],NodesData[[#This Row],[id]])</f>
        <v>0</v>
      </c>
      <c r="H199" s="3">
        <f>IF(NodesData[[#This Row],[Used]]&gt;0,1,0)</f>
        <v>0</v>
      </c>
      <c r="I199" s="19" t="str" cm="1">
        <f t="array" ref="I199">IF(NodesData[[#This Row],[Count]]&gt;1,",","") &amp;"{"&amp;twoRangesToJSON(NodesData[[#Headers],[id]:[url]],NodesData[[#This Row],[id]:[url]])&amp;"}"</f>
        <v>,{"id":"n_identity_federation","label":"Identity Federation","url":"https://open-measure.atlassian.net/wiki/spaces/DIC/pages/336035929/Identity+Federation"}</v>
      </c>
      <c r="J199" s="3"/>
    </row>
    <row r="200" spans="1:10" ht="13.25" customHeight="1" thickTop="1" thickBot="1" x14ac:dyDescent="0.4">
      <c r="A200" s="17" t="str">
        <f>SUBSTITUTE(SUBSTITUTE("n_"&amp;LOWER(SUBSTITUTE(SUBSTITUTE(SUBSTITUTE(NodesData[[#This Row],[label]]," ","_"),"/","_"),"-","_")),"__","_"),"__","_")</f>
        <v>n_identity_guardian</v>
      </c>
      <c r="B200" s="18" t="s">
        <v>252</v>
      </c>
      <c r="C200" s="18" t="s">
        <v>861</v>
      </c>
      <c r="D200" s="3" t="s">
        <v>1411</v>
      </c>
      <c r="E200" s="3">
        <f t="shared" si="3"/>
        <v>198</v>
      </c>
      <c r="F200" s="3">
        <f>COUNTIF(NodesData[label],NodesData[[#This Row],[label]])</f>
        <v>1</v>
      </c>
      <c r="G200" s="3">
        <f>COUNTIF(ConceptNodes9['[A_ID']],NodesData[[#This Row],[id]])+COUNTIF(ConceptNodes9['[B_ID']],NodesData[[#This Row],[id]])</f>
        <v>0</v>
      </c>
      <c r="H200" s="3">
        <f>IF(NodesData[[#This Row],[Used]]&gt;0,1,0)</f>
        <v>0</v>
      </c>
      <c r="I200" s="19" t="str" cm="1">
        <f t="array" ref="I200">IF(NodesData[[#This Row],[Count]]&gt;1,",","") &amp;"{"&amp;twoRangesToJSON(NodesData[[#Headers],[id]:[url]],NodesData[[#This Row],[id]:[url]])&amp;"}"</f>
        <v>,{"id":"n_identity_guardian","label":"Identity Guardian","url":"https://open-measure.atlassian.net/wiki/spaces/DIC/pages/1323597918/Identity+Guardian"}</v>
      </c>
      <c r="J200" s="3"/>
    </row>
    <row r="201" spans="1:10" ht="13.25" customHeight="1" thickTop="1" thickBot="1" x14ac:dyDescent="0.4">
      <c r="A201" s="17" t="str">
        <f>SUBSTITUTE(SUBSTITUTE("n_"&amp;LOWER(SUBSTITUTE(SUBSTITUTE(SUBSTITUTE(NodesData[[#This Row],[label]]," ","_"),"/","_"),"-","_")),"__","_"),"__","_")</f>
        <v>n_identity_lifecycle</v>
      </c>
      <c r="B201" s="18" t="s">
        <v>862</v>
      </c>
      <c r="C201" s="18" t="s">
        <v>863</v>
      </c>
      <c r="D201" s="3" t="s">
        <v>1411</v>
      </c>
      <c r="E201" s="3">
        <f t="shared" si="3"/>
        <v>199</v>
      </c>
      <c r="F201" s="3">
        <f>COUNTIF(NodesData[label],NodesData[[#This Row],[label]])</f>
        <v>1</v>
      </c>
      <c r="G201" s="3">
        <f>COUNTIF(ConceptNodes9['[A_ID']],NodesData[[#This Row],[id]])+COUNTIF(ConceptNodes9['[B_ID']],NodesData[[#This Row],[id]])</f>
        <v>0</v>
      </c>
      <c r="H201" s="3">
        <f>IF(NodesData[[#This Row],[Used]]&gt;0,1,0)</f>
        <v>0</v>
      </c>
      <c r="I201" s="19" t="str" cm="1">
        <f t="array" ref="I201">IF(NodesData[[#This Row],[Count]]&gt;1,",","") &amp;"{"&amp;twoRangesToJSON(NodesData[[#Headers],[id]:[url]],NodesData[[#This Row],[id]:[url]])&amp;"}"</f>
        <v>,{"id":"n_identity_lifecycle","label":"Identity Lifecycle","url":"https://open-measure.atlassian.net/wiki/spaces/DIC/pages/67600436"}</v>
      </c>
      <c r="J201" s="3"/>
    </row>
    <row r="202" spans="1:10" ht="13.25" customHeight="1" thickTop="1" thickBot="1" x14ac:dyDescent="0.4">
      <c r="A202" s="17" t="str">
        <f>SUBSTITUTE(SUBSTITUTE("n_"&amp;LOWER(SUBSTITUTE(SUBSTITUTE(SUBSTITUTE(NodesData[[#This Row],[label]]," ","_"),"/","_"),"-","_")),"__","_"),"__","_")</f>
        <v>n_identity_management</v>
      </c>
      <c r="B202" s="18" t="s">
        <v>864</v>
      </c>
      <c r="C202" s="18" t="s">
        <v>865</v>
      </c>
      <c r="D202" s="3" t="s">
        <v>1411</v>
      </c>
      <c r="E202" s="3">
        <f t="shared" si="3"/>
        <v>200</v>
      </c>
      <c r="F202" s="3">
        <f>COUNTIF(NodesData[label],NodesData[[#This Row],[label]])</f>
        <v>1</v>
      </c>
      <c r="G202" s="3">
        <f>COUNTIF(ConceptNodes9['[A_ID']],NodesData[[#This Row],[id]])+COUNTIF(ConceptNodes9['[B_ID']],NodesData[[#This Row],[id]])</f>
        <v>0</v>
      </c>
      <c r="H202" s="3">
        <f>IF(NodesData[[#This Row],[Used]]&gt;0,1,0)</f>
        <v>0</v>
      </c>
      <c r="I202" s="19" t="str" cm="1">
        <f t="array" ref="I202">IF(NodesData[[#This Row],[Count]]&gt;1,",","") &amp;"{"&amp;twoRangesToJSON(NodesData[[#Headers],[id]:[url]],NodesData[[#This Row],[id]:[url]])&amp;"}"</f>
        <v>,{"id":"n_identity_management","label":"Identity Management","url":"https://open-measure.atlassian.net/wiki/spaces/DIC/pages/1122533530"}</v>
      </c>
      <c r="J202" s="3"/>
    </row>
    <row r="203" spans="1:10" ht="13.25" customHeight="1" thickTop="1" thickBot="1" x14ac:dyDescent="0.4">
      <c r="A203" s="17" t="str">
        <f>SUBSTITUTE(SUBSTITUTE("n_"&amp;LOWER(SUBSTITUTE(SUBSTITUTE(SUBSTITUTE(NodesData[[#This Row],[label]]," ","_"),"/","_"),"-","_")),"__","_"),"__","_")</f>
        <v>n_identity_management_system</v>
      </c>
      <c r="B203" s="18" t="s">
        <v>866</v>
      </c>
      <c r="C203" s="18" t="s">
        <v>867</v>
      </c>
      <c r="D203" s="3" t="s">
        <v>1411</v>
      </c>
      <c r="E203" s="3">
        <f t="shared" si="3"/>
        <v>201</v>
      </c>
      <c r="F203" s="3">
        <f>COUNTIF(NodesData[label],NodesData[[#This Row],[label]])</f>
        <v>1</v>
      </c>
      <c r="G203" s="3">
        <f>COUNTIF(ConceptNodes9['[A_ID']],NodesData[[#This Row],[id]])+COUNTIF(ConceptNodes9['[B_ID']],NodesData[[#This Row],[id]])</f>
        <v>0</v>
      </c>
      <c r="H203" s="3">
        <f>IF(NodesData[[#This Row],[Used]]&gt;0,1,0)</f>
        <v>0</v>
      </c>
      <c r="I203" s="19" t="str" cm="1">
        <f t="array" ref="I203">IF(NodesData[[#This Row],[Count]]&gt;1,",","") &amp;"{"&amp;twoRangesToJSON(NodesData[[#Headers],[id]:[url]],NodesData[[#This Row],[id]:[url]])&amp;"}"</f>
        <v>,{"id":"n_identity_management_system","label":"Identity Management System","url":"https://open-measure.atlassian.net/wiki/spaces/DIC/pages/1146847286"}</v>
      </c>
      <c r="J203" s="3"/>
    </row>
    <row r="204" spans="1:10" ht="13.25" customHeight="1" thickTop="1" thickBot="1" x14ac:dyDescent="0.4">
      <c r="A204" s="17" t="str">
        <f>SUBSTITUTE(SUBSTITUTE("n_"&amp;LOWER(SUBSTITUTE(SUBSTITUTE(SUBSTITUTE(NodesData[[#This Row],[label]]," ","_"),"/","_"),"-","_")),"__","_"),"__","_")</f>
        <v>n_identity_portability</v>
      </c>
      <c r="B204" s="18" t="s">
        <v>256</v>
      </c>
      <c r="C204" s="18" t="s">
        <v>868</v>
      </c>
      <c r="D204" s="3" t="s">
        <v>1411</v>
      </c>
      <c r="E204" s="3">
        <f t="shared" si="3"/>
        <v>202</v>
      </c>
      <c r="F204" s="3">
        <f>COUNTIF(NodesData[label],NodesData[[#This Row],[label]])</f>
        <v>1</v>
      </c>
      <c r="G204" s="3">
        <f>COUNTIF(ConceptNodes9['[A_ID']],NodesData[[#This Row],[id]])+COUNTIF(ConceptNodes9['[B_ID']],NodesData[[#This Row],[id]])</f>
        <v>0</v>
      </c>
      <c r="H204" s="3">
        <f>IF(NodesData[[#This Row],[Used]]&gt;0,1,0)</f>
        <v>0</v>
      </c>
      <c r="I204" s="19" t="str" cm="1">
        <f t="array" ref="I204">IF(NodesData[[#This Row],[Count]]&gt;1,",","") &amp;"{"&amp;twoRangesToJSON(NodesData[[#Headers],[id]:[url]],NodesData[[#This Row],[id]:[url]])&amp;"}"</f>
        <v>,{"id":"n_identity_portability","label":"Identity Portability","url":"https://open-measure.atlassian.net/wiki/spaces/DIC/pages/1323434004/Identity+Portability"}</v>
      </c>
      <c r="J204" s="3"/>
    </row>
    <row r="205" spans="1:10" ht="13.25" customHeight="1" thickTop="1" thickBot="1" x14ac:dyDescent="0.4">
      <c r="A205" s="17" t="str">
        <f>SUBSTITUTE(SUBSTITUTE("n_"&amp;LOWER(SUBSTITUTE(SUBSTITUTE(SUBSTITUTE(NodesData[[#This Row],[label]]," ","_"),"/","_"),"-","_")),"__","_"),"__","_")</f>
        <v>n_identity_proofing</v>
      </c>
      <c r="B205" s="18" t="s">
        <v>869</v>
      </c>
      <c r="C205" s="18" t="s">
        <v>870</v>
      </c>
      <c r="D205" s="3" t="s">
        <v>1411</v>
      </c>
      <c r="E205" s="3">
        <f t="shared" si="3"/>
        <v>203</v>
      </c>
      <c r="F205" s="3">
        <f>COUNTIF(NodesData[label],NodesData[[#This Row],[label]])</f>
        <v>1</v>
      </c>
      <c r="G205" s="3">
        <f>COUNTIF(ConceptNodes9['[A_ID']],NodesData[[#This Row],[id]])+COUNTIF(ConceptNodes9['[B_ID']],NodesData[[#This Row],[id]])</f>
        <v>0</v>
      </c>
      <c r="H205" s="3">
        <f>IF(NodesData[[#This Row],[Used]]&gt;0,1,0)</f>
        <v>0</v>
      </c>
      <c r="I205" s="19" t="str" cm="1">
        <f t="array" ref="I205">IF(NodesData[[#This Row],[Count]]&gt;1,",","") &amp;"{"&amp;twoRangesToJSON(NodesData[[#Headers],[id]:[url]],NodesData[[#This Row],[id]:[url]])&amp;"}"</f>
        <v>,{"id":"n_identity_proofing","label":"Identity Proofing","url":"https://open-measure.atlassian.net/wiki/spaces/DIC/pages/858522094"}</v>
      </c>
      <c r="J205" s="3"/>
    </row>
    <row r="206" spans="1:10" ht="13.25" customHeight="1" thickTop="1" thickBot="1" x14ac:dyDescent="0.4">
      <c r="A206" s="17" t="str">
        <f>SUBSTITUTE(SUBSTITUTE("n_"&amp;LOWER(SUBSTITUTE(SUBSTITUTE(SUBSTITUTE(NodesData[[#This Row],[label]]," ","_"),"/","_"),"-","_")),"__","_"),"__","_")</f>
        <v>n_identity_propagation</v>
      </c>
      <c r="B206" s="18" t="s">
        <v>871</v>
      </c>
      <c r="C206" s="18" t="s">
        <v>872</v>
      </c>
      <c r="D206" s="3" t="s">
        <v>1411</v>
      </c>
      <c r="E206" s="3">
        <f t="shared" si="3"/>
        <v>204</v>
      </c>
      <c r="F206" s="3">
        <f>COUNTIF(NodesData[label],NodesData[[#This Row],[label]])</f>
        <v>1</v>
      </c>
      <c r="G206" s="3">
        <f>COUNTIF(ConceptNodes9['[A_ID']],NodesData[[#This Row],[id]])+COUNTIF(ConceptNodes9['[B_ID']],NodesData[[#This Row],[id]])</f>
        <v>0</v>
      </c>
      <c r="H206" s="3">
        <f>IF(NodesData[[#This Row],[Used]]&gt;0,1,0)</f>
        <v>0</v>
      </c>
      <c r="I206" s="19" t="str" cm="1">
        <f t="array" ref="I206">IF(NodesData[[#This Row],[Count]]&gt;1,",","") &amp;"{"&amp;twoRangesToJSON(NodesData[[#Headers],[id]:[url]],NodesData[[#This Row],[id]:[url]])&amp;"}"</f>
        <v>,{"id":"n_identity_propagation","label":"Identity Propagation","url":"https://open-measure.atlassian.net/wiki/spaces/DIC/pages/810254353"}</v>
      </c>
      <c r="J206" s="3"/>
    </row>
    <row r="207" spans="1:10" ht="13.25" customHeight="1" thickTop="1" thickBot="1" x14ac:dyDescent="0.4">
      <c r="A207" s="17" t="str">
        <f>SUBSTITUTE(SUBSTITUTE("n_"&amp;LOWER(SUBSTITUTE(SUBSTITUTE(SUBSTITUTE(NodesData[[#This Row],[label]]," ","_"),"/","_"),"-","_")),"__","_"),"__","_")</f>
        <v>n_identity_provider</v>
      </c>
      <c r="B207" s="18" t="s">
        <v>873</v>
      </c>
      <c r="C207" s="18" t="s">
        <v>874</v>
      </c>
      <c r="D207" s="3" t="s">
        <v>1411</v>
      </c>
      <c r="E207" s="3">
        <f t="shared" si="3"/>
        <v>205</v>
      </c>
      <c r="F207" s="3">
        <f>COUNTIF(NodesData[label],NodesData[[#This Row],[label]])</f>
        <v>1</v>
      </c>
      <c r="G207" s="3">
        <f>COUNTIF(ConceptNodes9['[A_ID']],NodesData[[#This Row],[id]])+COUNTIF(ConceptNodes9['[B_ID']],NodesData[[#This Row],[id]])</f>
        <v>0</v>
      </c>
      <c r="H207" s="3">
        <f>IF(NodesData[[#This Row],[Used]]&gt;0,1,0)</f>
        <v>0</v>
      </c>
      <c r="I207" s="19" t="str" cm="1">
        <f t="array" ref="I207">IF(NodesData[[#This Row],[Count]]&gt;1,",","") &amp;"{"&amp;twoRangesToJSON(NodesData[[#Headers],[id]:[url]],NodesData[[#This Row],[id]:[url]])&amp;"}"</f>
        <v>,{"id":"n_identity_provider","label":"Identity Provider","url":"https://open-measure.atlassian.net/wiki/spaces/DIC/pages/82838020"}</v>
      </c>
      <c r="J207" s="3"/>
    </row>
    <row r="208" spans="1:10" ht="13.25" customHeight="1" thickTop="1" thickBot="1" x14ac:dyDescent="0.4">
      <c r="A208" s="17" t="str">
        <f>SUBSTITUTE(SUBSTITUTE("n_"&amp;LOWER(SUBSTITUTE(SUBSTITUTE(SUBSTITUTE(NodesData[[#This Row],[label]]," ","_"),"/","_"),"-","_")),"__","_"),"__","_")</f>
        <v>n_identity_repository</v>
      </c>
      <c r="B208" s="18" t="s">
        <v>875</v>
      </c>
      <c r="C208" s="18" t="s">
        <v>876</v>
      </c>
      <c r="D208" s="3" t="s">
        <v>1411</v>
      </c>
      <c r="E208" s="3">
        <f t="shared" si="3"/>
        <v>206</v>
      </c>
      <c r="F208" s="3">
        <f>COUNTIF(NodesData[label],NodesData[[#This Row],[label]])</f>
        <v>1</v>
      </c>
      <c r="G208" s="3">
        <f>COUNTIF(ConceptNodes9['[A_ID']],NodesData[[#This Row],[id]])+COUNTIF(ConceptNodes9['[B_ID']],NodesData[[#This Row],[id]])</f>
        <v>0</v>
      </c>
      <c r="H208" s="3">
        <f>IF(NodesData[[#This Row],[Used]]&gt;0,1,0)</f>
        <v>0</v>
      </c>
      <c r="I208" s="19" t="str" cm="1">
        <f t="array" ref="I208">IF(NodesData[[#This Row],[Count]]&gt;1,",","") &amp;"{"&amp;twoRangesToJSON(NodesData[[#Headers],[id]:[url]],NodesData[[#This Row],[id]:[url]])&amp;"}"</f>
        <v>,{"id":"n_identity_repository","label":"Identity Repository","url":"https://open-measure.atlassian.net/wiki/spaces/DIC/pages/1117913089"}</v>
      </c>
      <c r="J208" s="3"/>
    </row>
    <row r="209" spans="1:10" ht="13.25" customHeight="1" thickTop="1" thickBot="1" x14ac:dyDescent="0.4">
      <c r="A209" s="17" t="str">
        <f>SUBSTITUTE(SUBSTITUTE("n_"&amp;LOWER(SUBSTITUTE(SUBSTITUTE(SUBSTITUTE(NodesData[[#This Row],[label]]," ","_"),"/","_"),"-","_")),"__","_"),"__","_")</f>
        <v>n_idms</v>
      </c>
      <c r="B209" s="18" t="s">
        <v>881</v>
      </c>
      <c r="C209" s="18" t="s">
        <v>882</v>
      </c>
      <c r="D209" s="3" t="s">
        <v>1301</v>
      </c>
      <c r="E209" s="3">
        <f t="shared" si="3"/>
        <v>207</v>
      </c>
      <c r="F209" s="3">
        <f>COUNTIF(NodesData[label],NodesData[[#This Row],[label]])</f>
        <v>1</v>
      </c>
      <c r="G209" s="3">
        <f>COUNTIF(ConceptNodes9['[A_ID']],NodesData[[#This Row],[id]])+COUNTIF(ConceptNodes9['[B_ID']],NodesData[[#This Row],[id]])</f>
        <v>0</v>
      </c>
      <c r="H209" s="3">
        <f>IF(NodesData[[#This Row],[Used]]&gt;0,1,0)</f>
        <v>0</v>
      </c>
      <c r="I209" s="19" t="str" cm="1">
        <f t="array" ref="I209">IF(NodesData[[#This Row],[Count]]&gt;1,",","") &amp;"{"&amp;twoRangesToJSON(NodesData[[#Headers],[id]:[url]],NodesData[[#This Row],[id]:[url]])&amp;"}"</f>
        <v>,{"id":"n_idms","label":"IdMS","url":"https://open-measure.atlassian.net/wiki/spaces/DIC/pages/1147043904"}</v>
      </c>
      <c r="J209" s="3"/>
    </row>
    <row r="210" spans="1:10" ht="13.25" customHeight="1" thickTop="1" thickBot="1" x14ac:dyDescent="0.4">
      <c r="A210" s="17" t="str">
        <f>SUBSTITUTE(SUBSTITUTE("n_"&amp;LOWER(SUBSTITUTE(SUBSTITUTE(SUBSTITUTE(NodesData[[#This Row],[label]]," ","_"),"/","_"),"-","_")),"__","_"),"__","_")</f>
        <v>n_idp</v>
      </c>
      <c r="B210" s="18" t="s">
        <v>883</v>
      </c>
      <c r="C210" s="18" t="s">
        <v>884</v>
      </c>
      <c r="D210" s="3" t="s">
        <v>1301</v>
      </c>
      <c r="E210" s="3">
        <f t="shared" si="3"/>
        <v>208</v>
      </c>
      <c r="F210" s="3">
        <f>COUNTIF(NodesData[label],NodesData[[#This Row],[label]])</f>
        <v>1</v>
      </c>
      <c r="G210" s="3">
        <f>COUNTIF(ConceptNodes9['[A_ID']],NodesData[[#This Row],[id]])+COUNTIF(ConceptNodes9['[B_ID']],NodesData[[#This Row],[id]])</f>
        <v>0</v>
      </c>
      <c r="H210" s="3">
        <f>IF(NodesData[[#This Row],[Used]]&gt;0,1,0)</f>
        <v>0</v>
      </c>
      <c r="I210" s="19" t="str" cm="1">
        <f t="array" ref="I210">IF(NodesData[[#This Row],[Count]]&gt;1,",","") &amp;"{"&amp;twoRangesToJSON(NodesData[[#Headers],[id]:[url]],NodesData[[#This Row],[id]:[url]])&amp;"}"</f>
        <v>,{"id":"n_idp","label":"IdP","url":"https://open-measure.atlassian.net/wiki/spaces/DIC/pages/81101362"}</v>
      </c>
      <c r="J210" s="3"/>
    </row>
    <row r="211" spans="1:10" ht="13.25" customHeight="1" thickTop="1" thickBot="1" x14ac:dyDescent="0.4">
      <c r="A211" s="17" t="str">
        <f>SUBSTITUTE(SUBSTITUTE("n_"&amp;LOWER(SUBSTITUTE(SUBSTITUTE(SUBSTITUTE(NodesData[[#This Row],[label]]," ","_"),"/","_"),"-","_")),"__","_"),"__","_")</f>
        <v>n_img</v>
      </c>
      <c r="B211" s="18" t="s">
        <v>885</v>
      </c>
      <c r="C211" s="18" t="s">
        <v>886</v>
      </c>
      <c r="D211" s="3" t="s">
        <v>1301</v>
      </c>
      <c r="E211" s="3">
        <f t="shared" si="3"/>
        <v>209</v>
      </c>
      <c r="F211" s="3">
        <f>COUNTIF(NodesData[label],NodesData[[#This Row],[label]])</f>
        <v>1</v>
      </c>
      <c r="G211" s="3">
        <f>COUNTIF(ConceptNodes9['[A_ID']],NodesData[[#This Row],[id]])+COUNTIF(ConceptNodes9['[B_ID']],NodesData[[#This Row],[id]])</f>
        <v>0</v>
      </c>
      <c r="H211" s="3">
        <f>IF(NodesData[[#This Row],[Used]]&gt;0,1,0)</f>
        <v>0</v>
      </c>
      <c r="I211" s="19" t="str" cm="1">
        <f t="array" ref="I211">IF(NodesData[[#This Row],[Count]]&gt;1,",","") &amp;"{"&amp;twoRangesToJSON(NodesData[[#Headers],[id]:[url]],NodesData[[#This Row],[id]:[url]])&amp;"}"</f>
        <v>,{"id":"n_img","label":"IMG","url":"https://open-measure.atlassian.net/wiki/spaces/DIC/pages/107708597"}</v>
      </c>
      <c r="J211" s="3"/>
    </row>
    <row r="212" spans="1:10" ht="13.25" customHeight="1" thickTop="1" thickBot="1" x14ac:dyDescent="0.4">
      <c r="A212" s="17" t="str">
        <f>SUBSTITUTE(SUBSTITUTE("n_"&amp;LOWER(SUBSTITUTE(SUBSTITUTE(SUBSTITUTE(NodesData[[#This Row],[label]]," ","_"),"/","_"),"-","_")),"__","_"),"__","_")</f>
        <v>n_impersonation</v>
      </c>
      <c r="B212" s="18" t="s">
        <v>887</v>
      </c>
      <c r="C212" s="18" t="s">
        <v>888</v>
      </c>
      <c r="D212" s="3" t="s">
        <v>1411</v>
      </c>
      <c r="E212" s="3">
        <f t="shared" si="3"/>
        <v>210</v>
      </c>
      <c r="F212" s="3">
        <f>COUNTIF(NodesData[label],NodesData[[#This Row],[label]])</f>
        <v>1</v>
      </c>
      <c r="G212" s="3">
        <f>COUNTIF(ConceptNodes9['[A_ID']],NodesData[[#This Row],[id]])+COUNTIF(ConceptNodes9['[B_ID']],NodesData[[#This Row],[id]])</f>
        <v>0</v>
      </c>
      <c r="H212" s="3">
        <f>IF(NodesData[[#This Row],[Used]]&gt;0,1,0)</f>
        <v>0</v>
      </c>
      <c r="I212" s="19" t="str" cm="1">
        <f t="array" ref="I212">IF(NodesData[[#This Row],[Count]]&gt;1,",","") &amp;"{"&amp;twoRangesToJSON(NodesData[[#Headers],[id]:[url]],NodesData[[#This Row],[id]:[url]])&amp;"}"</f>
        <v>,{"id":"n_impersonation","label":"Impersonation","url":"https://open-measure.atlassian.net/wiki/spaces/DIC/pages/974323719"}</v>
      </c>
      <c r="J212" s="3"/>
    </row>
    <row r="213" spans="1:10" ht="13.25" customHeight="1" thickTop="1" thickBot="1" x14ac:dyDescent="0.4">
      <c r="A213" s="7" t="str">
        <f>SUBSTITUTE(SUBSTITUTE("n_"&amp;LOWER(SUBSTITUTE(SUBSTITUTE(SUBSTITUTE(NodesData[[#This Row],[label]]," ","_"),"/","_"),"-","_")),"__","_"),"__","_")</f>
        <v>n_heartbeats_recognition_authentication</v>
      </c>
      <c r="B213" s="12" t="s">
        <v>1356</v>
      </c>
      <c r="C213" s="12"/>
      <c r="D213" s="3" t="s">
        <v>1411</v>
      </c>
      <c r="E213" s="3">
        <f t="shared" si="3"/>
        <v>211</v>
      </c>
      <c r="F213" s="3">
        <f>COUNTIF(NodesData[label],NodesData[[#This Row],[label]])</f>
        <v>1</v>
      </c>
      <c r="G213" s="3">
        <f>COUNTIF(ConceptNodes9['[A_ID']],NodesData[[#This Row],[id]])+COUNTIF(ConceptNodes9['[B_ID']],NodesData[[#This Row],[id]])</f>
        <v>2</v>
      </c>
      <c r="H213" s="3">
        <f>IF(NodesData[[#This Row],[Used]]&gt;0,1,0)</f>
        <v>1</v>
      </c>
      <c r="I213" s="19" t="str" cm="1">
        <f t="array" ref="I213">IF(NodesData[[#This Row],[Count]]&gt;1,",","") &amp;"{"&amp;twoRangesToJSON(NodesData[[#Headers],[id]:[url]],NodesData[[#This Row],[id]:[url]])&amp;"}"</f>
        <v>,{"id":"n_heartbeats_recognition_authentication","label":"Heartbeats Recognition Authentication","url":""}</v>
      </c>
      <c r="J213" s="3"/>
    </row>
    <row r="214" spans="1:10" ht="13.25" customHeight="1" thickTop="1" thickBot="1" x14ac:dyDescent="0.4">
      <c r="A214" s="17" t="str">
        <f>SUBSTITUTE(SUBSTITUTE("n_"&amp;LOWER(SUBSTITUTE(SUBSTITUTE(SUBSTITUTE(NodesData[[#This Row],[label]]," ","_"),"/","_"),"-","_")),"__","_"),"__","_")</f>
        <v>n_information</v>
      </c>
      <c r="B214" s="18" t="s">
        <v>889</v>
      </c>
      <c r="C214" s="18" t="s">
        <v>890</v>
      </c>
      <c r="D214" s="3" t="s">
        <v>1411</v>
      </c>
      <c r="E214" s="3">
        <f t="shared" si="3"/>
        <v>212</v>
      </c>
      <c r="F214" s="3">
        <f>COUNTIF(NodesData[label],NodesData[[#This Row],[label]])</f>
        <v>1</v>
      </c>
      <c r="G214" s="3">
        <f>COUNTIF(ConceptNodes9['[A_ID']],NodesData[[#This Row],[id]])+COUNTIF(ConceptNodes9['[B_ID']],NodesData[[#This Row],[id]])</f>
        <v>0</v>
      </c>
      <c r="H214" s="3">
        <f>IF(NodesData[[#This Row],[Used]]&gt;0,1,0)</f>
        <v>0</v>
      </c>
      <c r="I214" s="19" t="str" cm="1">
        <f t="array" ref="I214">IF(NodesData[[#This Row],[Count]]&gt;1,",","") &amp;"{"&amp;twoRangesToJSON(NodesData[[#Headers],[id]:[url]],NodesData[[#This Row],[id]:[url]])&amp;"}"</f>
        <v>,{"id":"n_information","label":"Information","url":"https://open-measure.atlassian.net/wiki/spaces/DIC/pages/1027342618"}</v>
      </c>
      <c r="J214" s="3"/>
    </row>
    <row r="215" spans="1:10" ht="13.25" customHeight="1" thickTop="1" thickBot="1" x14ac:dyDescent="0.4">
      <c r="A215" s="17" t="str">
        <f>SUBSTITUTE(SUBSTITUTE("n_"&amp;LOWER(SUBSTITUTE(SUBSTITUTE(SUBSTITUTE(NodesData[[#This Row],[label]]," ","_"),"/","_"),"-","_")),"__","_"),"__","_")</f>
        <v>n_information_asset</v>
      </c>
      <c r="B215" s="18" t="s">
        <v>891</v>
      </c>
      <c r="C215" s="18" t="s">
        <v>892</v>
      </c>
      <c r="D215" s="3" t="s">
        <v>1411</v>
      </c>
      <c r="E215" s="3">
        <f t="shared" si="3"/>
        <v>213</v>
      </c>
      <c r="F215" s="3">
        <f>COUNTIF(NodesData[label],NodesData[[#This Row],[label]])</f>
        <v>1</v>
      </c>
      <c r="G215" s="3">
        <f>COUNTIF(ConceptNodes9['[A_ID']],NodesData[[#This Row],[id]])+COUNTIF(ConceptNodes9['[B_ID']],NodesData[[#This Row],[id]])</f>
        <v>0</v>
      </c>
      <c r="H215" s="3">
        <f>IF(NodesData[[#This Row],[Used]]&gt;0,1,0)</f>
        <v>0</v>
      </c>
      <c r="I215" s="19" t="str" cm="1">
        <f t="array" ref="I215">IF(NodesData[[#This Row],[Count]]&gt;1,",","") &amp;"{"&amp;twoRangesToJSON(NodesData[[#Headers],[id]:[url]],NodesData[[#This Row],[id]:[url]])&amp;"}"</f>
        <v>,{"id":"n_information_asset","label":"Information Asset","url":"https://open-measure.atlassian.net/wiki/spaces/DIC/pages/455508212"}</v>
      </c>
      <c r="J215" s="3"/>
    </row>
    <row r="216" spans="1:10" ht="13.25" customHeight="1" thickTop="1" thickBot="1" x14ac:dyDescent="0.4">
      <c r="A216" s="17" t="str">
        <f>SUBSTITUTE(SUBSTITUTE("n_"&amp;LOWER(SUBSTITUTE(SUBSTITUTE(SUBSTITUTE(NodesData[[#This Row],[label]]," ","_"),"/","_"),"-","_")),"__","_"),"__","_")</f>
        <v>n_information_custodian</v>
      </c>
      <c r="B216" s="18" t="s">
        <v>893</v>
      </c>
      <c r="C216" s="18" t="s">
        <v>894</v>
      </c>
      <c r="D216" s="3" t="s">
        <v>1411</v>
      </c>
      <c r="E216" s="3">
        <f t="shared" si="3"/>
        <v>214</v>
      </c>
      <c r="F216" s="3">
        <f>COUNTIF(NodesData[label],NodesData[[#This Row],[label]])</f>
        <v>1</v>
      </c>
      <c r="G216" s="3">
        <f>COUNTIF(ConceptNodes9['[A_ID']],NodesData[[#This Row],[id]])+COUNTIF(ConceptNodes9['[B_ID']],NodesData[[#This Row],[id]])</f>
        <v>0</v>
      </c>
      <c r="H216" s="3">
        <f>IF(NodesData[[#This Row],[Used]]&gt;0,1,0)</f>
        <v>0</v>
      </c>
      <c r="I216" s="19" t="str" cm="1">
        <f t="array" ref="I216">IF(NodesData[[#This Row],[Count]]&gt;1,",","") &amp;"{"&amp;twoRangesToJSON(NodesData[[#Headers],[id]:[url]],NodesData[[#This Row],[id]:[url]])&amp;"}"</f>
        <v>,{"id":"n_information_custodian","label":"Information Custodian","url":"https://open-measure.atlassian.net/wiki/spaces/DIC/pages/1004896257"}</v>
      </c>
      <c r="J216" s="3"/>
    </row>
    <row r="217" spans="1:10" ht="13.25" customHeight="1" thickTop="1" thickBot="1" x14ac:dyDescent="0.4">
      <c r="A217" s="17" t="str">
        <f>SUBSTITUTE(SUBSTITUTE("n_"&amp;LOWER(SUBSTITUTE(SUBSTITUTE(SUBSTITUTE(NodesData[[#This Row],[label]]," ","_"),"/","_"),"-","_")),"__","_"),"__","_")</f>
        <v>n_information_flow_policy</v>
      </c>
      <c r="B217" s="18" t="s">
        <v>895</v>
      </c>
      <c r="C217" s="18" t="s">
        <v>896</v>
      </c>
      <c r="D217" s="3" t="s">
        <v>1411</v>
      </c>
      <c r="E217" s="3">
        <f t="shared" si="3"/>
        <v>215</v>
      </c>
      <c r="F217" s="3">
        <f>COUNTIF(NodesData[label],NodesData[[#This Row],[label]])</f>
        <v>1</v>
      </c>
      <c r="G217" s="3">
        <f>COUNTIF(ConceptNodes9['[A_ID']],NodesData[[#This Row],[id]])+COUNTIF(ConceptNodes9['[B_ID']],NodesData[[#This Row],[id]])</f>
        <v>0</v>
      </c>
      <c r="H217" s="3">
        <f>IF(NodesData[[#This Row],[Used]]&gt;0,1,0)</f>
        <v>0</v>
      </c>
      <c r="I217" s="19" t="str" cm="1">
        <f t="array" ref="I217">IF(NodesData[[#This Row],[Count]]&gt;1,",","") &amp;"{"&amp;twoRangesToJSON(NodesData[[#Headers],[id]:[url]],NodesData[[#This Row],[id]:[url]])&amp;"}"</f>
        <v>,{"id":"n_information_flow_policy","label":"Information Flow Policy","url":"https://open-measure.atlassian.net/wiki/spaces/DIC/pages/1177714758"}</v>
      </c>
      <c r="J217" s="3"/>
    </row>
    <row r="218" spans="1:10" ht="13.25" customHeight="1" thickTop="1" thickBot="1" x14ac:dyDescent="0.4">
      <c r="A218" s="17" t="str">
        <f>SUBSTITUTE(SUBSTITUTE("n_"&amp;LOWER(SUBSTITUTE(SUBSTITUTE(SUBSTITUTE(NodesData[[#This Row],[label]]," ","_"),"/","_"),"-","_")),"__","_"),"__","_")</f>
        <v>n_information_owner</v>
      </c>
      <c r="B218" s="18" t="s">
        <v>897</v>
      </c>
      <c r="C218" s="18" t="s">
        <v>898</v>
      </c>
      <c r="D218" s="3" t="s">
        <v>1411</v>
      </c>
      <c r="E218" s="3">
        <f t="shared" si="3"/>
        <v>216</v>
      </c>
      <c r="F218" s="3">
        <f>COUNTIF(NodesData[label],NodesData[[#This Row],[label]])</f>
        <v>1</v>
      </c>
      <c r="G218" s="3">
        <f>COUNTIF(ConceptNodes9['[A_ID']],NodesData[[#This Row],[id]])+COUNTIF(ConceptNodes9['[B_ID']],NodesData[[#This Row],[id]])</f>
        <v>0</v>
      </c>
      <c r="H218" s="3">
        <f>IF(NodesData[[#This Row],[Used]]&gt;0,1,0)</f>
        <v>0</v>
      </c>
      <c r="I218" s="19" t="str" cm="1">
        <f t="array" ref="I218">IF(NodesData[[#This Row],[Count]]&gt;1,",","") &amp;"{"&amp;twoRangesToJSON(NodesData[[#Headers],[id]:[url]],NodesData[[#This Row],[id]:[url]])&amp;"}"</f>
        <v>,{"id":"n_information_owner","label":"Information Owner","url":"https://open-measure.atlassian.net/wiki/spaces/DIC/pages/998113409"}</v>
      </c>
      <c r="J218" s="3"/>
    </row>
    <row r="219" spans="1:10" ht="13.25" customHeight="1" thickTop="1" thickBot="1" x14ac:dyDescent="0.4">
      <c r="A219" s="17" t="str">
        <f>SUBSTITUTE(SUBSTITUTE("n_"&amp;LOWER(SUBSTITUTE(SUBSTITUTE(SUBSTITUTE(NodesData[[#This Row],[label]]," ","_"),"/","_"),"-","_")),"__","_"),"__","_")</f>
        <v>n_information_security_domain</v>
      </c>
      <c r="B219" s="18" t="s">
        <v>277</v>
      </c>
      <c r="C219" s="18" t="s">
        <v>899</v>
      </c>
      <c r="D219" s="3" t="s">
        <v>1411</v>
      </c>
      <c r="E219" s="3">
        <f t="shared" si="3"/>
        <v>217</v>
      </c>
      <c r="F219" s="3">
        <f>COUNTIF(NodesData[label],NodesData[[#This Row],[label]])</f>
        <v>1</v>
      </c>
      <c r="G219" s="3">
        <f>COUNTIF(ConceptNodes9['[A_ID']],NodesData[[#This Row],[id]])+COUNTIF(ConceptNodes9['[B_ID']],NodesData[[#This Row],[id]])</f>
        <v>0</v>
      </c>
      <c r="H219" s="3">
        <f>IF(NodesData[[#This Row],[Used]]&gt;0,1,0)</f>
        <v>0</v>
      </c>
      <c r="I219" s="19" t="str" cm="1">
        <f t="array" ref="I219">IF(NodesData[[#This Row],[Count]]&gt;1,",","") &amp;"{"&amp;twoRangesToJSON(NodesData[[#Headers],[id]:[url]],NodesData[[#This Row],[id]:[url]])&amp;"}"</f>
        <v>,{"id":"n_information_security_domain","label":"Information Security Domain","url":"https://open-measure.atlassian.net/wiki/spaces/DIC/pages/438698009/Information+Security+Domain"}</v>
      </c>
      <c r="J219" s="3"/>
    </row>
    <row r="220" spans="1:10" ht="13.25" customHeight="1" thickTop="1" thickBot="1" x14ac:dyDescent="0.4">
      <c r="A220" s="17" t="str">
        <f>SUBSTITUTE(SUBSTITUTE("n_"&amp;LOWER(SUBSTITUTE(SUBSTITUTE(SUBSTITUTE(NodesData[[#This Row],[label]]," ","_"),"/","_"),"-","_")),"__","_"),"__","_")</f>
        <v>n_information_system</v>
      </c>
      <c r="B220" s="18" t="s">
        <v>278</v>
      </c>
      <c r="C220" s="18" t="s">
        <v>900</v>
      </c>
      <c r="D220" s="3" t="s">
        <v>1411</v>
      </c>
      <c r="E220" s="3">
        <f t="shared" si="3"/>
        <v>218</v>
      </c>
      <c r="F220" s="3">
        <f>COUNTIF(NodesData[label],NodesData[[#This Row],[label]])</f>
        <v>1</v>
      </c>
      <c r="G220" s="3">
        <f>COUNTIF(ConceptNodes9['[A_ID']],NodesData[[#This Row],[id]])+COUNTIF(ConceptNodes9['[B_ID']],NodesData[[#This Row],[id]])</f>
        <v>0</v>
      </c>
      <c r="H220" s="3">
        <f>IF(NodesData[[#This Row],[Used]]&gt;0,1,0)</f>
        <v>0</v>
      </c>
      <c r="I220" s="19" t="str" cm="1">
        <f t="array" ref="I220">IF(NodesData[[#This Row],[Count]]&gt;1,",","") &amp;"{"&amp;twoRangesToJSON(NodesData[[#Headers],[id]:[url]],NodesData[[#This Row],[id]:[url]])&amp;"}"</f>
        <v>,{"id":"n_information_system","label":"Information System","url":"https://open-measure.atlassian.net/wiki/spaces/DIC/pages/1031241830/Information+System"}</v>
      </c>
      <c r="J220" s="3"/>
    </row>
    <row r="221" spans="1:10" ht="13.25" customHeight="1" thickTop="1" thickBot="1" x14ac:dyDescent="0.4">
      <c r="A221" s="6" t="s">
        <v>1335</v>
      </c>
      <c r="B221" s="10" t="s">
        <v>1336</v>
      </c>
      <c r="C221" s="10"/>
      <c r="D221" s="3" t="s">
        <v>1411</v>
      </c>
      <c r="E221" s="3">
        <f t="shared" si="3"/>
        <v>219</v>
      </c>
      <c r="F221" s="3">
        <f>COUNTIF(NodesData[label],NodesData[[#This Row],[label]])</f>
        <v>1</v>
      </c>
      <c r="G221" s="3">
        <f>COUNTIF(ConceptNodes9['[A_ID']],NodesData[[#This Row],[id]])+COUNTIF(ConceptNodes9['[B_ID']],NodesData[[#This Row],[id]])</f>
        <v>1</v>
      </c>
      <c r="H221" s="3">
        <f>IF(NodesData[[#This Row],[Used]]&gt;0,1,0)</f>
        <v>1</v>
      </c>
      <c r="I221" s="19" t="str" cm="1">
        <f t="array" ref="I221">IF(NodesData[[#This Row],[Count]]&gt;1,",","") &amp;"{"&amp;twoRangesToJSON(NodesData[[#Headers],[id]:[url]],NodesData[[#This Row],[id]:[url]])&amp;"}"</f>
        <v>,{"id":"n_inherence_factor","label":"Inherence Factor","url":""}</v>
      </c>
      <c r="J221" s="3"/>
    </row>
    <row r="222" spans="1:10" ht="13.25" customHeight="1" thickTop="1" thickBot="1" x14ac:dyDescent="0.4">
      <c r="A222" s="17" t="str">
        <f>SUBSTITUTE(SUBSTITUTE("n_"&amp;LOWER(SUBSTITUTE(SUBSTITUTE(SUBSTITUTE(NodesData[[#This Row],[label]]," ","_"),"/","_"),"-","_")),"__","_"),"__","_")</f>
        <v>n_inside_attacker</v>
      </c>
      <c r="B222" s="18" t="s">
        <v>280</v>
      </c>
      <c r="C222" s="18" t="s">
        <v>901</v>
      </c>
      <c r="D222" s="3" t="s">
        <v>1411</v>
      </c>
      <c r="E222" s="3">
        <f t="shared" si="3"/>
        <v>220</v>
      </c>
      <c r="F222" s="3">
        <f>COUNTIF(NodesData[label],NodesData[[#This Row],[label]])</f>
        <v>1</v>
      </c>
      <c r="G222" s="3">
        <f>COUNTIF(ConceptNodes9['[A_ID']],NodesData[[#This Row],[id]])+COUNTIF(ConceptNodes9['[B_ID']],NodesData[[#This Row],[id]])</f>
        <v>0</v>
      </c>
      <c r="H222" s="3">
        <f>IF(NodesData[[#This Row],[Used]]&gt;0,1,0)</f>
        <v>0</v>
      </c>
      <c r="I222" s="19" t="str" cm="1">
        <f t="array" ref="I222">IF(NodesData[[#This Row],[Count]]&gt;1,",","") &amp;"{"&amp;twoRangesToJSON(NodesData[[#Headers],[id]:[url]],NodesData[[#This Row],[id]:[url]])&amp;"}"</f>
        <v>,{"id":"n_inside_attacker","label":"Inside Attacker","url":"https://open-measure.atlassian.net/wiki/spaces/DIC/pages/1477869651/Inside+Attacker"}</v>
      </c>
      <c r="J222" s="3"/>
    </row>
    <row r="223" spans="1:10" ht="13.25" customHeight="1" thickTop="1" thickBot="1" x14ac:dyDescent="0.4">
      <c r="A223" s="17" t="str">
        <f>SUBSTITUTE(SUBSTITUTE("n_"&amp;LOWER(SUBSTITUTE(SUBSTITUTE(SUBSTITUTE(NodesData[[#This Row],[label]]," ","_"),"/","_"),"-","_")),"__","_"),"__","_")</f>
        <v>n_insider</v>
      </c>
      <c r="B223" s="18" t="s">
        <v>281</v>
      </c>
      <c r="C223" s="18" t="s">
        <v>902</v>
      </c>
      <c r="D223" s="3" t="s">
        <v>1411</v>
      </c>
      <c r="E223" s="3">
        <f t="shared" si="3"/>
        <v>221</v>
      </c>
      <c r="F223" s="3">
        <f>COUNTIF(NodesData[label],NodesData[[#This Row],[label]])</f>
        <v>1</v>
      </c>
      <c r="G223" s="3">
        <f>COUNTIF(ConceptNodes9['[A_ID']],NodesData[[#This Row],[id]])+COUNTIF(ConceptNodes9['[B_ID']],NodesData[[#This Row],[id]])</f>
        <v>0</v>
      </c>
      <c r="H223" s="3">
        <f>IF(NodesData[[#This Row],[Used]]&gt;0,1,0)</f>
        <v>0</v>
      </c>
      <c r="I223" s="19" t="str" cm="1">
        <f t="array" ref="I223">IF(NodesData[[#This Row],[Count]]&gt;1,",","") &amp;"{"&amp;twoRangesToJSON(NodesData[[#Headers],[id]:[url]],NodesData[[#This Row],[id]:[url]])&amp;"}"</f>
        <v>,{"id":"n_insider","label":"Insider","url":"https://open-measure.atlassian.net/wiki/spaces/DIC/pages/1451884782/Insider"}</v>
      </c>
      <c r="J223" s="3"/>
    </row>
    <row r="224" spans="1:10" ht="13.25" customHeight="1" thickTop="1" thickBot="1" x14ac:dyDescent="0.4">
      <c r="A224" s="17" t="str">
        <f>SUBSTITUTE(SUBSTITUTE("n_"&amp;LOWER(SUBSTITUTE(SUBSTITUTE(SUBSTITUTE(NodesData[[#This Row],[label]]," ","_"),"/","_"),"-","_")),"__","_"),"__","_")</f>
        <v>n_insider_attack</v>
      </c>
      <c r="B224" s="18" t="s">
        <v>282</v>
      </c>
      <c r="C224" s="18" t="s">
        <v>903</v>
      </c>
      <c r="D224" s="3" t="s">
        <v>1411</v>
      </c>
      <c r="E224" s="3">
        <f t="shared" si="3"/>
        <v>222</v>
      </c>
      <c r="F224" s="3">
        <f>COUNTIF(NodesData[label],NodesData[[#This Row],[label]])</f>
        <v>1</v>
      </c>
      <c r="G224" s="3">
        <f>COUNTIF(ConceptNodes9['[A_ID']],NodesData[[#This Row],[id]])+COUNTIF(ConceptNodes9['[B_ID']],NodesData[[#This Row],[id]])</f>
        <v>0</v>
      </c>
      <c r="H224" s="3">
        <f>IF(NodesData[[#This Row],[Used]]&gt;0,1,0)</f>
        <v>0</v>
      </c>
      <c r="I224" s="19" t="str" cm="1">
        <f t="array" ref="I224">IF(NodesData[[#This Row],[Count]]&gt;1,",","") &amp;"{"&amp;twoRangesToJSON(NodesData[[#Headers],[id]:[url]],NodesData[[#This Row],[id]:[url]])&amp;"}"</f>
        <v>,{"id":"n_insider_attack","label":"Insider Attack","url":"https://open-measure.atlassian.net/wiki/spaces/DIC/pages/1478459402/Insider+Attack"}</v>
      </c>
      <c r="J224" s="3"/>
    </row>
    <row r="225" spans="1:10" ht="13.25" customHeight="1" thickTop="1" thickBot="1" x14ac:dyDescent="0.4">
      <c r="A225" s="17" t="str">
        <f>SUBSTITUTE(SUBSTITUTE("n_"&amp;LOWER(SUBSTITUTE(SUBSTITUTE(SUBSTITUTE(NodesData[[#This Row],[label]]," ","_"),"/","_"),"-","_")),"__","_"),"__","_")</f>
        <v>n_insider_threat</v>
      </c>
      <c r="B225" s="18" t="s">
        <v>283</v>
      </c>
      <c r="C225" s="18" t="s">
        <v>904</v>
      </c>
      <c r="D225" s="3" t="s">
        <v>1411</v>
      </c>
      <c r="E225" s="3">
        <f t="shared" si="3"/>
        <v>223</v>
      </c>
      <c r="F225" s="3">
        <f>COUNTIF(NodesData[label],NodesData[[#This Row],[label]])</f>
        <v>1</v>
      </c>
      <c r="G225" s="3">
        <f>COUNTIF(ConceptNodes9['[A_ID']],NodesData[[#This Row],[id]])+COUNTIF(ConceptNodes9['[B_ID']],NodesData[[#This Row],[id]])</f>
        <v>0</v>
      </c>
      <c r="H225" s="3">
        <f>IF(NodesData[[#This Row],[Used]]&gt;0,1,0)</f>
        <v>0</v>
      </c>
      <c r="I225" s="19" t="str" cm="1">
        <f t="array" ref="I225">IF(NodesData[[#This Row],[Count]]&gt;1,",","") &amp;"{"&amp;twoRangesToJSON(NodesData[[#Headers],[id]:[url]],NodesData[[#This Row],[id]:[url]])&amp;"}"</f>
        <v>,{"id":"n_insider_threat","label":"Insider Threat","url":"https://open-measure.atlassian.net/wiki/spaces/DIC/pages/1451098397/Insider+Threat"}</v>
      </c>
      <c r="J225" s="3"/>
    </row>
    <row r="226" spans="1:10" ht="13.25" customHeight="1" thickTop="1" thickBot="1" x14ac:dyDescent="0.4">
      <c r="A226" s="17" t="str">
        <f>SUBSTITUTE(SUBSTITUTE("n_"&amp;LOWER(SUBSTITUTE(SUBSTITUTE(SUBSTITUTE(NodesData[[#This Row],[label]]," ","_"),"/","_"),"-","_")),"__","_"),"__","_")</f>
        <v>n_insufficient_granularity_of_access_control</v>
      </c>
      <c r="B226" s="18" t="s">
        <v>905</v>
      </c>
      <c r="C226" s="18" t="s">
        <v>906</v>
      </c>
      <c r="D226" s="3" t="s">
        <v>1411</v>
      </c>
      <c r="E226" s="3">
        <f t="shared" si="3"/>
        <v>224</v>
      </c>
      <c r="F226" s="3">
        <f>COUNTIF(NodesData[label],NodesData[[#This Row],[label]])</f>
        <v>1</v>
      </c>
      <c r="G226" s="3">
        <f>COUNTIF(ConceptNodes9['[A_ID']],NodesData[[#This Row],[id]])+COUNTIF(ConceptNodes9['[B_ID']],NodesData[[#This Row],[id]])</f>
        <v>0</v>
      </c>
      <c r="H226" s="3">
        <f>IF(NodesData[[#This Row],[Used]]&gt;0,1,0)</f>
        <v>0</v>
      </c>
      <c r="I226" s="19" t="str" cm="1">
        <f t="array" ref="I226">IF(NodesData[[#This Row],[Count]]&gt;1,",","") &amp;"{"&amp;twoRangesToJSON(NodesData[[#Headers],[id]:[url]],NodesData[[#This Row],[id]:[url]])&amp;"}"</f>
        <v>,{"id":"n_insufficient_granularity_of_access_control","label":"Insufficient Granularity of Access Control","url":"https://open-measure.atlassian.net/wiki/spaces/DIC/pages/822476843"}</v>
      </c>
      <c r="J226" s="3"/>
    </row>
    <row r="227" spans="1:10" ht="13.25" customHeight="1" thickTop="1" thickBot="1" x14ac:dyDescent="0.4">
      <c r="A227" s="17" t="str">
        <f>SUBSTITUTE(SUBSTITUTE("n_"&amp;LOWER(SUBSTITUTE(SUBSTITUTE(SUBSTITUTE(NodesData[[#This Row],[label]]," ","_"),"/","_"),"-","_")),"__","_"),"__","_")</f>
        <v>n_intentional_error</v>
      </c>
      <c r="B227" s="18" t="s">
        <v>907</v>
      </c>
      <c r="C227" s="18" t="s">
        <v>908</v>
      </c>
      <c r="D227" s="3" t="s">
        <v>1411</v>
      </c>
      <c r="E227" s="3">
        <f t="shared" si="3"/>
        <v>225</v>
      </c>
      <c r="F227" s="3">
        <f>COUNTIF(NodesData[label],NodesData[[#This Row],[label]])</f>
        <v>1</v>
      </c>
      <c r="G227" s="3">
        <f>COUNTIF(ConceptNodes9['[A_ID']],NodesData[[#This Row],[id]])+COUNTIF(ConceptNodes9['[B_ID']],NodesData[[#This Row],[id]])</f>
        <v>0</v>
      </c>
      <c r="H227" s="3">
        <f>IF(NodesData[[#This Row],[Used]]&gt;0,1,0)</f>
        <v>0</v>
      </c>
      <c r="I227" s="19" t="str" cm="1">
        <f t="array" ref="I227">IF(NodesData[[#This Row],[Count]]&gt;1,",","") &amp;"{"&amp;twoRangesToJSON(NodesData[[#Headers],[id]:[url]],NodesData[[#This Row],[id]:[url]])&amp;"}"</f>
        <v>,{"id":"n_intentional_error","label":"Intentional Error","url":"https://open-measure.atlassian.net/wiki/spaces/DIC/pages/998277141"}</v>
      </c>
      <c r="J227" s="3"/>
    </row>
    <row r="228" spans="1:10" ht="13.25" customHeight="1" thickTop="1" thickBot="1" x14ac:dyDescent="0.4">
      <c r="A228" s="17" t="str">
        <f>SUBSTITUTE(SUBSTITUTE("n_"&amp;LOWER(SUBSTITUTE(SUBSTITUTE(SUBSTITUTE(NodesData[[#This Row],[label]]," ","_"),"/","_"),"-","_")),"__","_"),"__","_")</f>
        <v>n_interested_party</v>
      </c>
      <c r="B228" s="18" t="s">
        <v>909</v>
      </c>
      <c r="C228" s="18" t="s">
        <v>910</v>
      </c>
      <c r="D228" s="3" t="s">
        <v>1411</v>
      </c>
      <c r="E228" s="3">
        <f t="shared" si="3"/>
        <v>226</v>
      </c>
      <c r="F228" s="3">
        <f>COUNTIF(NodesData[label],NodesData[[#This Row],[label]])</f>
        <v>1</v>
      </c>
      <c r="G228" s="3">
        <f>COUNTIF(ConceptNodes9['[A_ID']],NodesData[[#This Row],[id]])+COUNTIF(ConceptNodes9['[B_ID']],NodesData[[#This Row],[id]])</f>
        <v>0</v>
      </c>
      <c r="H228" s="3">
        <f>IF(NodesData[[#This Row],[Used]]&gt;0,1,0)</f>
        <v>0</v>
      </c>
      <c r="I228" s="19" t="str" cm="1">
        <f t="array" ref="I228">IF(NodesData[[#This Row],[Count]]&gt;1,",","") &amp;"{"&amp;twoRangesToJSON(NodesData[[#Headers],[id]:[url]],NodesData[[#This Row],[id]:[url]])&amp;"}"</f>
        <v>,{"id":"n_interested_party","label":"Interested Party","url":"https://open-measure.atlassian.net/wiki/spaces/DIC/pages/1311417"}</v>
      </c>
      <c r="J228" s="3"/>
    </row>
    <row r="229" spans="1:10" ht="13.25" customHeight="1" thickTop="1" thickBot="1" x14ac:dyDescent="0.4">
      <c r="A229" s="17" t="str">
        <f>SUBSTITUTE(SUBSTITUTE("n_"&amp;LOWER(SUBSTITUTE(SUBSTITUTE(SUBSTITUTE(NodesData[[#This Row],[label]]," ","_"),"/","_"),"-","_")),"__","_"),"__","_")</f>
        <v>n_interoperability</v>
      </c>
      <c r="B229" s="18" t="s">
        <v>911</v>
      </c>
      <c r="C229" s="18" t="s">
        <v>912</v>
      </c>
      <c r="D229" s="3" t="s">
        <v>1411</v>
      </c>
      <c r="E229" s="3">
        <f t="shared" si="3"/>
        <v>227</v>
      </c>
      <c r="F229" s="3">
        <f>COUNTIF(NodesData[label],NodesData[[#This Row],[label]])</f>
        <v>1</v>
      </c>
      <c r="G229" s="3">
        <f>COUNTIF(ConceptNodes9['[A_ID']],NodesData[[#This Row],[id]])+COUNTIF(ConceptNodes9['[B_ID']],NodesData[[#This Row],[id]])</f>
        <v>0</v>
      </c>
      <c r="H229" s="3">
        <f>IF(NodesData[[#This Row],[Used]]&gt;0,1,0)</f>
        <v>0</v>
      </c>
      <c r="I229" s="19" t="str" cm="1">
        <f t="array" ref="I229">IF(NodesData[[#This Row],[Count]]&gt;1,",","") &amp;"{"&amp;twoRangesToJSON(NodesData[[#Headers],[id]:[url]],NodesData[[#This Row],[id]:[url]])&amp;"}"</f>
        <v>,{"id":"n_interoperability","label":"Interoperability","url":"https://open-measure.atlassian.net/wiki/spaces/DIC/pages/442466314"}</v>
      </c>
      <c r="J229" s="3"/>
    </row>
    <row r="230" spans="1:10" ht="13.25" customHeight="1" thickTop="1" thickBot="1" x14ac:dyDescent="0.4">
      <c r="A230" s="17" t="str">
        <f>SUBSTITUTE(SUBSTITUTE("n_"&amp;LOWER(SUBSTITUTE(SUBSTITUTE(SUBSTITUTE(NodesData[[#This Row],[label]]," ","_"),"/","_"),"-","_")),"__","_"),"__","_")</f>
        <v>n_interval_scale</v>
      </c>
      <c r="B230" s="18" t="s">
        <v>913</v>
      </c>
      <c r="C230" s="18" t="s">
        <v>914</v>
      </c>
      <c r="D230" s="3" t="s">
        <v>1411</v>
      </c>
      <c r="E230" s="3">
        <f t="shared" si="3"/>
        <v>228</v>
      </c>
      <c r="F230" s="3">
        <f>COUNTIF(NodesData[label],NodesData[[#This Row],[label]])</f>
        <v>1</v>
      </c>
      <c r="G230" s="3">
        <f>COUNTIF(ConceptNodes9['[A_ID']],NodesData[[#This Row],[id]])+COUNTIF(ConceptNodes9['[B_ID']],NodesData[[#This Row],[id]])</f>
        <v>0</v>
      </c>
      <c r="H230" s="3">
        <f>IF(NodesData[[#This Row],[Used]]&gt;0,1,0)</f>
        <v>0</v>
      </c>
      <c r="I230" s="19" t="str" cm="1">
        <f t="array" ref="I230">IF(NodesData[[#This Row],[Count]]&gt;1,",","") &amp;"{"&amp;twoRangesToJSON(NodesData[[#Headers],[id]:[url]],NodesData[[#This Row],[id]:[url]])&amp;"}"</f>
        <v>,{"id":"n_interval_scale","label":"Interval Scale","url":"https://open-measure.atlassian.net/wiki/spaces/DIC/pages/11567191"}</v>
      </c>
      <c r="J230" s="3"/>
    </row>
    <row r="231" spans="1:10" ht="13.25" customHeight="1" thickTop="1" thickBot="1" x14ac:dyDescent="0.4">
      <c r="A231" s="6" t="str">
        <f>SUBSTITUTE(SUBSTITUTE("n_"&amp;LOWER(SUBSTITUTE(SUBSTITUTE(SUBSTITUTE(NodesData[[#This Row],[label]]," ","_"),"/","_"),"-","_")),"__","_"),"__","_")</f>
        <v>n_in_band_authentication</v>
      </c>
      <c r="B231" s="10" t="s">
        <v>1345</v>
      </c>
      <c r="C231" s="10"/>
      <c r="D231" s="3" t="s">
        <v>1411</v>
      </c>
      <c r="E231" s="3">
        <f t="shared" si="3"/>
        <v>229</v>
      </c>
      <c r="F231" s="3">
        <f>COUNTIF(NodesData[label],NodesData[[#This Row],[label]])</f>
        <v>1</v>
      </c>
      <c r="G231" s="3">
        <f>COUNTIF(ConceptNodes9['[A_ID']],NodesData[[#This Row],[id]])+COUNTIF(ConceptNodes9['[B_ID']],NodesData[[#This Row],[id]])</f>
        <v>0</v>
      </c>
      <c r="H231" s="3">
        <f>IF(NodesData[[#This Row],[Used]]&gt;0,1,0)</f>
        <v>0</v>
      </c>
      <c r="I231" s="19" t="str" cm="1">
        <f t="array" ref="I231">IF(NodesData[[#This Row],[Count]]&gt;1,",","") &amp;"{"&amp;twoRangesToJSON(NodesData[[#Headers],[id]:[url]],NodesData[[#This Row],[id]:[url]])&amp;"}"</f>
        <v>,{"id":"n_in_band_authentication","label":"In-band Authentication","url":""}</v>
      </c>
      <c r="J231" s="3"/>
    </row>
    <row r="232" spans="1:10" ht="13.25" customHeight="1" thickTop="1" thickBot="1" x14ac:dyDescent="0.4">
      <c r="A232" s="17" t="str">
        <f>SUBSTITUTE(SUBSTITUTE("n_"&amp;LOWER(SUBSTITUTE(SUBSTITUTE(SUBSTITUTE(NodesData[[#This Row],[label]]," ","_"),"/","_"),"-","_")),"__","_"),"__","_")</f>
        <v>n_isolated_identity_management_system</v>
      </c>
      <c r="B232" s="18" t="s">
        <v>915</v>
      </c>
      <c r="C232" s="18" t="s">
        <v>916</v>
      </c>
      <c r="D232" s="3" t="s">
        <v>1411</v>
      </c>
      <c r="E232" s="3">
        <f t="shared" si="3"/>
        <v>230</v>
      </c>
      <c r="F232" s="3">
        <f>COUNTIF(NodesData[label],NodesData[[#This Row],[label]])</f>
        <v>1</v>
      </c>
      <c r="G232" s="3">
        <f>COUNTIF(ConceptNodes9['[A_ID']],NodesData[[#This Row],[id]])+COUNTIF(ConceptNodes9['[B_ID']],NodesData[[#This Row],[id]])</f>
        <v>0</v>
      </c>
      <c r="H232" s="3">
        <f>IF(NodesData[[#This Row],[Used]]&gt;0,1,0)</f>
        <v>0</v>
      </c>
      <c r="I232" s="19" t="str" cm="1">
        <f t="array" ref="I232">IF(NodesData[[#This Row],[Count]]&gt;1,",","") &amp;"{"&amp;twoRangesToJSON(NodesData[[#Headers],[id]:[url]],NodesData[[#This Row],[id]:[url]])&amp;"}"</f>
        <v>,{"id":"n_isolated_identity_management_system","label":"Isolated Identity Management System","url":"https://open-measure.atlassian.net/wiki/spaces/DIC/pages/1152483625"}</v>
      </c>
      <c r="J232" s="3"/>
    </row>
    <row r="233" spans="1:10" ht="13.25" customHeight="1" thickTop="1" thickBot="1" x14ac:dyDescent="0.4">
      <c r="A233" s="17" t="str">
        <f>SUBSTITUTE(SUBSTITUTE("n_"&amp;LOWER(SUBSTITUTE(SUBSTITUTE(SUBSTITUTE(NodesData[[#This Row],[label]]," ","_"),"/","_"),"-","_")),"__","_"),"__","_")</f>
        <v>n_it_asset_scope</v>
      </c>
      <c r="B233" s="18" t="s">
        <v>917</v>
      </c>
      <c r="C233" s="18" t="s">
        <v>918</v>
      </c>
      <c r="D233" s="3" t="s">
        <v>1411</v>
      </c>
      <c r="E233" s="3">
        <f t="shared" si="3"/>
        <v>231</v>
      </c>
      <c r="F233" s="3">
        <f>COUNTIF(NodesData[label],NodesData[[#This Row],[label]])</f>
        <v>1</v>
      </c>
      <c r="G233" s="3">
        <f>COUNTIF(ConceptNodes9['[A_ID']],NodesData[[#This Row],[id]])+COUNTIF(ConceptNodes9['[B_ID']],NodesData[[#This Row],[id]])</f>
        <v>0</v>
      </c>
      <c r="H233" s="3">
        <f>IF(NodesData[[#This Row],[Used]]&gt;0,1,0)</f>
        <v>0</v>
      </c>
      <c r="I233" s="19" t="str" cm="1">
        <f t="array" ref="I233">IF(NodesData[[#This Row],[Count]]&gt;1,",","") &amp;"{"&amp;twoRangesToJSON(NodesData[[#Headers],[id]:[url]],NodesData[[#This Row],[id]:[url]])&amp;"}"</f>
        <v>,{"id":"n_it_asset_scope","label":"IT Asset Scope","url":"https://open-measure.atlassian.net/wiki/spaces/DIC/pages/720902"}</v>
      </c>
      <c r="J233" s="3"/>
    </row>
    <row r="234" spans="1:10" ht="13.25" customHeight="1" thickTop="1" thickBot="1" x14ac:dyDescent="0.4">
      <c r="A234" s="17" t="str">
        <f>SUBSTITUTE(SUBSTITUTE("n_"&amp;LOWER(SUBSTITUTE(SUBSTITUTE(SUBSTITUTE(NodesData[[#This Row],[label]]," ","_"),"/","_"),"-","_")),"__","_"),"__","_")</f>
        <v>n_it_system</v>
      </c>
      <c r="B234" s="18" t="s">
        <v>291</v>
      </c>
      <c r="C234" s="18" t="s">
        <v>919</v>
      </c>
      <c r="D234" s="3" t="s">
        <v>1411</v>
      </c>
      <c r="E234" s="3">
        <f t="shared" si="3"/>
        <v>232</v>
      </c>
      <c r="F234" s="3">
        <f>COUNTIF(NodesData[label],NodesData[[#This Row],[label]])</f>
        <v>1</v>
      </c>
      <c r="G234" s="3">
        <f>COUNTIF(ConceptNodes9['[A_ID']],NodesData[[#This Row],[id]])+COUNTIF(ConceptNodes9['[B_ID']],NodesData[[#This Row],[id]])</f>
        <v>0</v>
      </c>
      <c r="H234" s="3">
        <f>IF(NodesData[[#This Row],[Used]]&gt;0,1,0)</f>
        <v>0</v>
      </c>
      <c r="I234" s="19" t="str" cm="1">
        <f t="array" ref="I234">IF(NodesData[[#This Row],[Count]]&gt;1,",","") &amp;"{"&amp;twoRangesToJSON(NodesData[[#Headers],[id]:[url]],NodesData[[#This Row],[id]:[url]])&amp;"}"</f>
        <v>,{"id":"n_it_system","label":"IT System","url":"https://open-measure.atlassian.net/wiki/spaces/DIC/pages/1569095803/IT+System"}</v>
      </c>
      <c r="J234" s="3"/>
    </row>
    <row r="235" spans="1:10" ht="13.25" customHeight="1" thickTop="1" thickBot="1" x14ac:dyDescent="0.4">
      <c r="A235" s="17" t="str">
        <f>SUBSTITUTE(SUBSTITUTE("n_"&amp;LOWER(SUBSTITUTE(SUBSTITUTE(SUBSTITUTE(NodesData[[#This Row],[label]]," ","_"),"/","_"),"-","_")),"__","_"),"__","_")</f>
        <v>n_jml</v>
      </c>
      <c r="B235" s="18" t="s">
        <v>920</v>
      </c>
      <c r="C235" s="18" t="s">
        <v>921</v>
      </c>
      <c r="D235" s="3" t="s">
        <v>1301</v>
      </c>
      <c r="E235" s="3">
        <f t="shared" si="3"/>
        <v>233</v>
      </c>
      <c r="F235" s="3">
        <f>COUNTIF(NodesData[label],NodesData[[#This Row],[label]])</f>
        <v>1</v>
      </c>
      <c r="G235" s="3">
        <f>COUNTIF(ConceptNodes9['[A_ID']],NodesData[[#This Row],[id]])+COUNTIF(ConceptNodes9['[B_ID']],NodesData[[#This Row],[id]])</f>
        <v>0</v>
      </c>
      <c r="H235" s="3">
        <f>IF(NodesData[[#This Row],[Used]]&gt;0,1,0)</f>
        <v>0</v>
      </c>
      <c r="I235" s="19" t="str" cm="1">
        <f t="array" ref="I235">IF(NodesData[[#This Row],[Count]]&gt;1,",","") &amp;"{"&amp;twoRangesToJSON(NodesData[[#Headers],[id]:[url]],NodesData[[#This Row],[id]:[url]])&amp;"}"</f>
        <v>,{"id":"n_jml","label":"JML","url":"https://open-measure.atlassian.net/wiki/spaces/DIC/pages/858488984"}</v>
      </c>
      <c r="J235" s="3"/>
    </row>
    <row r="236" spans="1:10" ht="13.25" customHeight="1" thickTop="1" thickBot="1" x14ac:dyDescent="0.4">
      <c r="A236" s="17" t="str">
        <f>SUBSTITUTE(SUBSTITUTE("n_"&amp;LOWER(SUBSTITUTE(SUBSTITUTE(SUBSTITUTE(NodesData[[#This Row],[label]]," ","_"),"/","_"),"-","_")),"__","_"),"__","_")</f>
        <v>n_joiner</v>
      </c>
      <c r="B236" s="18" t="s">
        <v>922</v>
      </c>
      <c r="C236" s="18" t="s">
        <v>923</v>
      </c>
      <c r="D236" s="3" t="s">
        <v>1411</v>
      </c>
      <c r="E236" s="3">
        <f t="shared" si="3"/>
        <v>234</v>
      </c>
      <c r="F236" s="3">
        <f>COUNTIF(NodesData[label],NodesData[[#This Row],[label]])</f>
        <v>1</v>
      </c>
      <c r="G236" s="3">
        <f>COUNTIF(ConceptNodes9['[A_ID']],NodesData[[#This Row],[id]])+COUNTIF(ConceptNodes9['[B_ID']],NodesData[[#This Row],[id]])</f>
        <v>0</v>
      </c>
      <c r="H236" s="3">
        <f>IF(NodesData[[#This Row],[Used]]&gt;0,1,0)</f>
        <v>0</v>
      </c>
      <c r="I236" s="19" t="str" cm="1">
        <f t="array" ref="I236">IF(NodesData[[#This Row],[Count]]&gt;1,",","") &amp;"{"&amp;twoRangesToJSON(NodesData[[#Headers],[id]:[url]],NodesData[[#This Row],[id]:[url]])&amp;"}"</f>
        <v>,{"id":"n_joiner","label":"Joiner","url":"https://open-measure.atlassian.net/wiki/spaces/DIC/pages/855506953"}</v>
      </c>
      <c r="J236" s="3"/>
    </row>
    <row r="237" spans="1:10" ht="13.25" customHeight="1" thickTop="1" thickBot="1" x14ac:dyDescent="0.4">
      <c r="A237" s="17" t="str">
        <f>SUBSTITUTE(SUBSTITUTE("n_"&amp;LOWER(SUBSTITUTE(SUBSTITUTE(SUBSTITUTE(NodesData[[#This Row],[label]]," ","_"),"/","_"),"-","_")),"__","_"),"__","_")</f>
        <v>n_joiner_hire_date</v>
      </c>
      <c r="B237" s="18" t="s">
        <v>924</v>
      </c>
      <c r="C237" s="18" t="s">
        <v>925</v>
      </c>
      <c r="D237" s="3" t="s">
        <v>1411</v>
      </c>
      <c r="E237" s="3">
        <f t="shared" si="3"/>
        <v>235</v>
      </c>
      <c r="F237" s="3">
        <f>COUNTIF(NodesData[label],NodesData[[#This Row],[label]])</f>
        <v>1</v>
      </c>
      <c r="G237" s="3">
        <f>COUNTIF(ConceptNodes9['[A_ID']],NodesData[[#This Row],[id]])+COUNTIF(ConceptNodes9['[B_ID']],NodesData[[#This Row],[id]])</f>
        <v>0</v>
      </c>
      <c r="H237" s="3">
        <f>IF(NodesData[[#This Row],[Used]]&gt;0,1,0)</f>
        <v>0</v>
      </c>
      <c r="I237" s="19" t="str" cm="1">
        <f t="array" ref="I237">IF(NodesData[[#This Row],[Count]]&gt;1,",","") &amp;"{"&amp;twoRangesToJSON(NodesData[[#Headers],[id]:[url]],NodesData[[#This Row],[id]:[url]])&amp;"}"</f>
        <v>,{"id":"n_joiner_hire_date","label":"Joiner Hire Date","url":"https://open-measure.atlassian.net/wiki/spaces/DIC/pages/858456203"}</v>
      </c>
      <c r="J237" s="3"/>
    </row>
    <row r="238" spans="1:10" ht="13.25" customHeight="1" thickTop="1" thickBot="1" x14ac:dyDescent="0.4">
      <c r="A238" s="17" t="str">
        <f>SUBSTITUTE(SUBSTITUTE("n_"&amp;LOWER(SUBSTITUTE(SUBSTITUTE(SUBSTITUTE(NodesData[[#This Row],[label]]," ","_"),"/","_"),"-","_")),"__","_"),"__","_")</f>
        <v>n_joiner_lead_time</v>
      </c>
      <c r="B238" s="18" t="s">
        <v>926</v>
      </c>
      <c r="C238" s="18" t="s">
        <v>927</v>
      </c>
      <c r="D238" s="3" t="s">
        <v>1411</v>
      </c>
      <c r="E238" s="3">
        <f t="shared" si="3"/>
        <v>236</v>
      </c>
      <c r="F238" s="3">
        <f>COUNTIF(NodesData[label],NodesData[[#This Row],[label]])</f>
        <v>1</v>
      </c>
      <c r="G238" s="3">
        <f>COUNTIF(ConceptNodes9['[A_ID']],NodesData[[#This Row],[id]])+COUNTIF(ConceptNodes9['[B_ID']],NodesData[[#This Row],[id]])</f>
        <v>0</v>
      </c>
      <c r="H238" s="3">
        <f>IF(NodesData[[#This Row],[Used]]&gt;0,1,0)</f>
        <v>0</v>
      </c>
      <c r="I238" s="19" t="str" cm="1">
        <f t="array" ref="I238">IF(NodesData[[#This Row],[Count]]&gt;1,",","") &amp;"{"&amp;twoRangesToJSON(NodesData[[#Headers],[id]:[url]],NodesData[[#This Row],[id]:[url]])&amp;"}"</f>
        <v>,{"id":"n_joiner_lead_time","label":"Joiner Lead Time","url":"https://open-measure.atlassian.net/wiki/spaces/DIC/pages/852492379"}</v>
      </c>
      <c r="J238" s="3"/>
    </row>
    <row r="239" spans="1:10" ht="13.25" customHeight="1" thickTop="1" thickBot="1" x14ac:dyDescent="0.4">
      <c r="A239" s="17" t="str">
        <f>SUBSTITUTE(SUBSTITUTE("n_"&amp;LOWER(SUBSTITUTE(SUBSTITUTE(SUBSTITUTE(NodesData[[#This Row],[label]]," ","_"),"/","_"),"-","_")),"__","_"),"__","_")</f>
        <v>n_joiner_process</v>
      </c>
      <c r="B239" s="18" t="s">
        <v>928</v>
      </c>
      <c r="C239" s="18" t="s">
        <v>929</v>
      </c>
      <c r="D239" s="3" t="s">
        <v>1411</v>
      </c>
      <c r="E239" s="3">
        <f t="shared" si="3"/>
        <v>237</v>
      </c>
      <c r="F239" s="3">
        <f>COUNTIF(NodesData[label],NodesData[[#This Row],[label]])</f>
        <v>1</v>
      </c>
      <c r="G239" s="3">
        <f>COUNTIF(ConceptNodes9['[A_ID']],NodesData[[#This Row],[id]])+COUNTIF(ConceptNodes9['[B_ID']],NodesData[[#This Row],[id]])</f>
        <v>0</v>
      </c>
      <c r="H239" s="3">
        <f>IF(NodesData[[#This Row],[Used]]&gt;0,1,0)</f>
        <v>0</v>
      </c>
      <c r="I239" s="19" t="str" cm="1">
        <f t="array" ref="I239">IF(NodesData[[#This Row],[Count]]&gt;1,",","") &amp;"{"&amp;twoRangesToJSON(NodesData[[#Headers],[id]:[url]],NodesData[[#This Row],[id]:[url]])&amp;"}"</f>
        <v>,{"id":"n_joiner_process","label":"Joiner Process","url":"https://open-measure.atlassian.net/wiki/spaces/DIC/pages/858521641"}</v>
      </c>
      <c r="J239" s="3"/>
    </row>
    <row r="240" spans="1:10" ht="13.25" customHeight="1" thickTop="1" thickBot="1" x14ac:dyDescent="0.4">
      <c r="A240" s="17" t="str">
        <f>SUBSTITUTE(SUBSTITUTE("n_"&amp;LOWER(SUBSTITUTE(SUBSTITUTE(SUBSTITUTE(NodesData[[#This Row],[label]]," ","_"),"/","_"),"-","_")),"__","_"),"__","_")</f>
        <v>n_joiner_start_date</v>
      </c>
      <c r="B240" s="18" t="s">
        <v>930</v>
      </c>
      <c r="C240" s="18" t="s">
        <v>931</v>
      </c>
      <c r="D240" s="3" t="s">
        <v>1411</v>
      </c>
      <c r="E240" s="3">
        <f t="shared" si="3"/>
        <v>238</v>
      </c>
      <c r="F240" s="3">
        <f>COUNTIF(NodesData[label],NodesData[[#This Row],[label]])</f>
        <v>1</v>
      </c>
      <c r="G240" s="3">
        <f>COUNTIF(ConceptNodes9['[A_ID']],NodesData[[#This Row],[id]])+COUNTIF(ConceptNodes9['[B_ID']],NodesData[[#This Row],[id]])</f>
        <v>0</v>
      </c>
      <c r="H240" s="3">
        <f>IF(NodesData[[#This Row],[Used]]&gt;0,1,0)</f>
        <v>0</v>
      </c>
      <c r="I240" s="19" t="str" cm="1">
        <f t="array" ref="I240">IF(NodesData[[#This Row],[Count]]&gt;1,",","") &amp;"{"&amp;twoRangesToJSON(NodesData[[#Headers],[id]:[url]],NodesData[[#This Row],[id]:[url]])&amp;"}"</f>
        <v>,{"id":"n_joiner_start_date","label":"Joiner Start Date","url":"https://open-measure.atlassian.net/wiki/spaces/DIC/pages/852492338"}</v>
      </c>
      <c r="J240" s="3"/>
    </row>
    <row r="241" spans="1:10" ht="13.25" customHeight="1" thickTop="1" thickBot="1" x14ac:dyDescent="0.4">
      <c r="A241" s="17" t="str">
        <f>SUBSTITUTE(SUBSTITUTE("n_"&amp;LOWER(SUBSTITUTE(SUBSTITUTE(SUBSTITUTE(NodesData[[#This Row],[label]]," ","_"),"/","_"),"-","_")),"__","_"),"__","_")</f>
        <v>n_key_criteria_type</v>
      </c>
      <c r="B241" s="18" t="s">
        <v>932</v>
      </c>
      <c r="C241" s="18" t="s">
        <v>933</v>
      </c>
      <c r="D241" s="3" t="s">
        <v>1411</v>
      </c>
      <c r="E241" s="3">
        <f t="shared" si="3"/>
        <v>239</v>
      </c>
      <c r="F241" s="3">
        <f>COUNTIF(NodesData[label],NodesData[[#This Row],[label]])</f>
        <v>1</v>
      </c>
      <c r="G241" s="3">
        <f>COUNTIF(ConceptNodes9['[A_ID']],NodesData[[#This Row],[id]])+COUNTIF(ConceptNodes9['[B_ID']],NodesData[[#This Row],[id]])</f>
        <v>0</v>
      </c>
      <c r="H241" s="3">
        <f>IF(NodesData[[#This Row],[Used]]&gt;0,1,0)</f>
        <v>0</v>
      </c>
      <c r="I241" s="19" t="str" cm="1">
        <f t="array" ref="I241">IF(NodesData[[#This Row],[Count]]&gt;1,",","") &amp;"{"&amp;twoRangesToJSON(NodesData[[#Headers],[id]:[url]],NodesData[[#This Row],[id]:[url]])&amp;"}"</f>
        <v>,{"id":"n_key_criteria_type","label":"Key Criteria Type","url":"https://open-measure.atlassian.net/wiki/spaces/DIC/pages/140706011"}</v>
      </c>
      <c r="J241" s="3"/>
    </row>
    <row r="242" spans="1:10" ht="13.25" customHeight="1" thickTop="1" thickBot="1" x14ac:dyDescent="0.4">
      <c r="A242" s="17" t="str">
        <f>SUBSTITUTE(SUBSTITUTE("n_"&amp;LOWER(SUBSTITUTE(SUBSTITUTE(SUBSTITUTE(NodesData[[#This Row],[label]]," ","_"),"/","_"),"-","_")),"__","_"),"__","_")</f>
        <v>n_key_information</v>
      </c>
      <c r="B242" s="18" t="s">
        <v>934</v>
      </c>
      <c r="C242" s="18" t="s">
        <v>935</v>
      </c>
      <c r="D242" s="3" t="s">
        <v>1411</v>
      </c>
      <c r="E242" s="3">
        <f t="shared" si="3"/>
        <v>240</v>
      </c>
      <c r="F242" s="3">
        <f>COUNTIF(NodesData[label],NodesData[[#This Row],[label]])</f>
        <v>1</v>
      </c>
      <c r="G242" s="3">
        <f>COUNTIF(ConceptNodes9['[A_ID']],NodesData[[#This Row],[id]])+COUNTIF(ConceptNodes9['[B_ID']],NodesData[[#This Row],[id]])</f>
        <v>0</v>
      </c>
      <c r="H242" s="3">
        <f>IF(NodesData[[#This Row],[Used]]&gt;0,1,0)</f>
        <v>0</v>
      </c>
      <c r="I242" s="19" t="str" cm="1">
        <f t="array" ref="I242">IF(NodesData[[#This Row],[Count]]&gt;1,",","") &amp;"{"&amp;twoRangesToJSON(NodesData[[#Headers],[id]:[url]],NodesData[[#This Row],[id]:[url]])&amp;"}"</f>
        <v>,{"id":"n_key_information","label":"Key Information","url":"https://open-measure.atlassian.net/wiki/spaces/DIC/pages/425623701"}</v>
      </c>
      <c r="J242" s="3"/>
    </row>
    <row r="243" spans="1:10" ht="13.25" customHeight="1" thickTop="1" thickBot="1" x14ac:dyDescent="0.4">
      <c r="A243" s="17" t="str">
        <f>SUBSTITUTE(SUBSTITUTE("n_"&amp;LOWER(SUBSTITUTE(SUBSTITUTE(SUBSTITUTE(NodesData[[#This Row],[label]]," ","_"),"/","_"),"-","_")),"__","_"),"__","_")</f>
        <v>n_keying_material</v>
      </c>
      <c r="B243" s="18" t="s">
        <v>936</v>
      </c>
      <c r="C243" s="18" t="s">
        <v>937</v>
      </c>
      <c r="D243" s="3" t="s">
        <v>1411</v>
      </c>
      <c r="E243" s="3">
        <f t="shared" si="3"/>
        <v>241</v>
      </c>
      <c r="F243" s="3">
        <f>COUNTIF(NodesData[label],NodesData[[#This Row],[label]])</f>
        <v>1</v>
      </c>
      <c r="G243" s="3">
        <f>COUNTIF(ConceptNodes9['[A_ID']],NodesData[[#This Row],[id]])+COUNTIF(ConceptNodes9['[B_ID']],NodesData[[#This Row],[id]])</f>
        <v>0</v>
      </c>
      <c r="H243" s="3">
        <f>IF(NodesData[[#This Row],[Used]]&gt;0,1,0)</f>
        <v>0</v>
      </c>
      <c r="I243" s="19" t="str" cm="1">
        <f t="array" ref="I243">IF(NodesData[[#This Row],[Count]]&gt;1,",","") &amp;"{"&amp;twoRangesToJSON(NodesData[[#Headers],[id]:[url]],NodesData[[#This Row],[id]:[url]])&amp;"}"</f>
        <v>,{"id":"n_keying_material","label":"Keying Material","url":"https://open-measure.atlassian.net/wiki/spaces/DIC/pages/427163745"}</v>
      </c>
      <c r="J243" s="3"/>
    </row>
    <row r="244" spans="1:10" ht="13.25" customHeight="1" thickTop="1" thickBot="1" x14ac:dyDescent="0.4">
      <c r="A244" s="7" t="str">
        <f>SUBSTITUTE(SUBSTITUTE("n_"&amp;LOWER(SUBSTITUTE(SUBSTITUTE(SUBSTITUTE(NodesData[[#This Row],[label]]," ","_"),"/","_"),"-","_")),"__","_"),"__","_")</f>
        <v>n_iris_recognition_authentication</v>
      </c>
      <c r="B244" s="12" t="s">
        <v>1357</v>
      </c>
      <c r="C244" s="12"/>
      <c r="D244" s="3" t="s">
        <v>1411</v>
      </c>
      <c r="E244" s="3">
        <f t="shared" si="3"/>
        <v>242</v>
      </c>
      <c r="F244" s="3">
        <f>COUNTIF(NodesData[label],NodesData[[#This Row],[label]])</f>
        <v>1</v>
      </c>
      <c r="G244" s="3">
        <f>COUNTIF(ConceptNodes9['[A_ID']],NodesData[[#This Row],[id]])+COUNTIF(ConceptNodes9['[B_ID']],NodesData[[#This Row],[id]])</f>
        <v>2</v>
      </c>
      <c r="H244" s="3">
        <f>IF(NodesData[[#This Row],[Used]]&gt;0,1,0)</f>
        <v>1</v>
      </c>
      <c r="I244" s="19" t="str" cm="1">
        <f t="array" ref="I244">IF(NodesData[[#This Row],[Count]]&gt;1,",","") &amp;"{"&amp;twoRangesToJSON(NodesData[[#Headers],[id]:[url]],NodesData[[#This Row],[id]:[url]])&amp;"}"</f>
        <v>,{"id":"n_iris_recognition_authentication","label":"Iris Recognition Authentication","url":""}</v>
      </c>
      <c r="J244" s="3"/>
    </row>
    <row r="245" spans="1:10" ht="13.25" customHeight="1" thickTop="1" thickBot="1" x14ac:dyDescent="0.4">
      <c r="A245" s="6" t="s">
        <v>6</v>
      </c>
      <c r="B245" s="10" t="s">
        <v>5</v>
      </c>
      <c r="C245" s="10"/>
      <c r="D245" s="3" t="s">
        <v>1411</v>
      </c>
      <c r="E245" s="3">
        <f t="shared" si="3"/>
        <v>243</v>
      </c>
      <c r="F245" s="3">
        <f>COUNTIF(NodesData[label],NodesData[[#This Row],[label]])</f>
        <v>1</v>
      </c>
      <c r="G245" s="3">
        <f>COUNTIF(ConceptNodes9['[A_ID']],NodesData[[#This Row],[id]])+COUNTIF(ConceptNodes9['[B_ID']],NodesData[[#This Row],[id]])</f>
        <v>1</v>
      </c>
      <c r="H245" s="3">
        <f>IF(NodesData[[#This Row],[Used]]&gt;0,1,0)</f>
        <v>1</v>
      </c>
      <c r="I245" s="19" t="str" cm="1">
        <f t="array" ref="I245">IF(NodesData[[#This Row],[Count]]&gt;1,",","") &amp;"{"&amp;twoRangesToJSON(NodesData[[#Headers],[id]:[url]],NodesData[[#This Row],[id]:[url]])&amp;"}"</f>
        <v>,{"id":"n_knowledge_factor","label":"Knowledge Factor","url":""}</v>
      </c>
      <c r="J245" s="3"/>
    </row>
    <row r="246" spans="1:10" ht="13.25" customHeight="1" thickTop="1" thickBot="1" x14ac:dyDescent="0.4">
      <c r="A246" s="7" t="str">
        <f>SUBSTITUTE(SUBSTITUTE("n_"&amp;LOWER(SUBSTITUTE(SUBSTITUTE(SUBSTITUTE(NodesData[[#This Row],[label]]," ","_"),"/","_"),"-","_")),"__","_"),"__","_")</f>
        <v>n_keystroke_recognition_authentication</v>
      </c>
      <c r="B246" s="12" t="s">
        <v>1358</v>
      </c>
      <c r="C246" s="12"/>
      <c r="D246" s="3" t="s">
        <v>1411</v>
      </c>
      <c r="E246" s="3">
        <f t="shared" si="3"/>
        <v>244</v>
      </c>
      <c r="F246" s="3">
        <f>COUNTIF(NodesData[label],NodesData[[#This Row],[label]])</f>
        <v>1</v>
      </c>
      <c r="G246" s="3">
        <f>COUNTIF(ConceptNodes9['[A_ID']],NodesData[[#This Row],[id]])+COUNTIF(ConceptNodes9['[B_ID']],NodesData[[#This Row],[id]])</f>
        <v>3</v>
      </c>
      <c r="H246" s="3">
        <f>IF(NodesData[[#This Row],[Used]]&gt;0,1,0)</f>
        <v>1</v>
      </c>
      <c r="I246" s="19" t="str" cm="1">
        <f t="array" ref="I246">IF(NodesData[[#This Row],[Count]]&gt;1,",","") &amp;"{"&amp;twoRangesToJSON(NodesData[[#Headers],[id]:[url]],NodesData[[#This Row],[id]:[url]])&amp;"}"</f>
        <v>,{"id":"n_keystroke_recognition_authentication","label":"Keystroke Recognition Authentication","url":""}</v>
      </c>
      <c r="J246" s="3"/>
    </row>
    <row r="247" spans="1:10" ht="13.25" customHeight="1" thickTop="1" thickBot="1" x14ac:dyDescent="0.4">
      <c r="A247" s="17" t="str">
        <f>SUBSTITUTE(SUBSTITUTE("n_"&amp;LOWER(SUBSTITUTE(SUBSTITUTE(SUBSTITUTE(NodesData[[#This Row],[label]]," ","_"),"/","_"),"-","_")),"__","_"),"__","_")</f>
        <v>n_kyc</v>
      </c>
      <c r="B247" s="18" t="s">
        <v>938</v>
      </c>
      <c r="C247" s="18" t="s">
        <v>939</v>
      </c>
      <c r="D247" s="3" t="s">
        <v>1301</v>
      </c>
      <c r="E247" s="3">
        <f t="shared" si="3"/>
        <v>245</v>
      </c>
      <c r="F247" s="3">
        <f>COUNTIF(NodesData[label],NodesData[[#This Row],[label]])</f>
        <v>1</v>
      </c>
      <c r="G247" s="3">
        <f>COUNTIF(ConceptNodes9['[A_ID']],NodesData[[#This Row],[id]])+COUNTIF(ConceptNodes9['[B_ID']],NodesData[[#This Row],[id]])</f>
        <v>0</v>
      </c>
      <c r="H247" s="3">
        <f>IF(NodesData[[#This Row],[Used]]&gt;0,1,0)</f>
        <v>0</v>
      </c>
      <c r="I247" s="19" t="str" cm="1">
        <f t="array" ref="I247">IF(NodesData[[#This Row],[Count]]&gt;1,",","") &amp;"{"&amp;twoRangesToJSON(NodesData[[#Headers],[id]:[url]],NodesData[[#This Row],[id]:[url]])&amp;"}"</f>
        <v>,{"id":"n_kyc","label":"KYC","url":"https://open-measure.atlassian.net/wiki/spaces/DIC/pages/442499114"}</v>
      </c>
      <c r="J247" s="3"/>
    </row>
    <row r="248" spans="1:10" ht="13.25" customHeight="1" thickTop="1" thickBot="1" x14ac:dyDescent="0.4">
      <c r="A248" s="17" t="str">
        <f>SUBSTITUTE(SUBSTITUTE("n_"&amp;LOWER(SUBSTITUTE(SUBSTITUTE(SUBSTITUTE(NodesData[[#This Row],[label]]," ","_"),"/","_"),"-","_")),"__","_"),"__","_")</f>
        <v>n_kyc_registry</v>
      </c>
      <c r="B248" s="18" t="s">
        <v>940</v>
      </c>
      <c r="C248" s="18" t="s">
        <v>941</v>
      </c>
      <c r="D248" s="3" t="s">
        <v>1411</v>
      </c>
      <c r="E248" s="3">
        <f t="shared" si="3"/>
        <v>246</v>
      </c>
      <c r="F248" s="3">
        <f>COUNTIF(NodesData[label],NodesData[[#This Row],[label]])</f>
        <v>1</v>
      </c>
      <c r="G248" s="3">
        <f>COUNTIF(ConceptNodes9['[A_ID']],NodesData[[#This Row],[id]])+COUNTIF(ConceptNodes9['[B_ID']],NodesData[[#This Row],[id]])</f>
        <v>0</v>
      </c>
      <c r="H248" s="3">
        <f>IF(NodesData[[#This Row],[Used]]&gt;0,1,0)</f>
        <v>0</v>
      </c>
      <c r="I248" s="19" t="str" cm="1">
        <f t="array" ref="I248">IF(NodesData[[#This Row],[Count]]&gt;1,",","") &amp;"{"&amp;twoRangesToJSON(NodesData[[#Headers],[id]:[url]],NodesData[[#This Row],[id]:[url]])&amp;"}"</f>
        <v>,{"id":"n_kyc_registry","label":"KYC Registry","url":"https://open-measure.atlassian.net/wiki/spaces/DIC/pages/442400811"}</v>
      </c>
      <c r="J248" s="3"/>
    </row>
    <row r="249" spans="1:10" ht="13.25" customHeight="1" thickTop="1" thickBot="1" x14ac:dyDescent="0.4">
      <c r="A249" s="17" t="str">
        <f>SUBSTITUTE(SUBSTITUTE("n_"&amp;LOWER(SUBSTITUTE(SUBSTITUTE(SUBSTITUTE(NodesData[[#This Row],[label]]," ","_"),"/","_"),"-","_")),"__","_"),"__","_")</f>
        <v>n_lattice_based_access_control</v>
      </c>
      <c r="B249" s="18" t="s">
        <v>942</v>
      </c>
      <c r="C249" s="18" t="s">
        <v>943</v>
      </c>
      <c r="D249" s="3" t="s">
        <v>1411</v>
      </c>
      <c r="E249" s="3">
        <f t="shared" si="3"/>
        <v>247</v>
      </c>
      <c r="F249" s="3">
        <f>COUNTIF(NodesData[label],NodesData[[#This Row],[label]])</f>
        <v>1</v>
      </c>
      <c r="G249" s="3">
        <f>COUNTIF(ConceptNodes9['[A_ID']],NodesData[[#This Row],[id]])+COUNTIF(ConceptNodes9['[B_ID']],NodesData[[#This Row],[id]])</f>
        <v>0</v>
      </c>
      <c r="H249" s="3">
        <f>IF(NodesData[[#This Row],[Used]]&gt;0,1,0)</f>
        <v>0</v>
      </c>
      <c r="I249" s="19" t="str" cm="1">
        <f t="array" ref="I249">IF(NodesData[[#This Row],[Count]]&gt;1,",","") &amp;"{"&amp;twoRangesToJSON(NodesData[[#Headers],[id]:[url]],NodesData[[#This Row],[id]:[url]])&amp;"}"</f>
        <v>,{"id":"n_lattice_based_access_control","label":"Lattice-Based Access Control","url":"https://open-measure.atlassian.net/wiki/spaces/DIC/pages/1177681925"}</v>
      </c>
      <c r="J249" s="3"/>
    </row>
    <row r="250" spans="1:10" ht="13.25" customHeight="1" thickTop="1" thickBot="1" x14ac:dyDescent="0.4">
      <c r="A250" s="17" t="str">
        <f>SUBSTITUTE(SUBSTITUTE("n_"&amp;LOWER(SUBSTITUTE(SUBSTITUTE(SUBSTITUTE(NodesData[[#This Row],[label]]," ","_"),"/","_"),"-","_")),"__","_"),"__","_")</f>
        <v>n_layers_architectural_pattern</v>
      </c>
      <c r="B250" s="18" t="s">
        <v>944</v>
      </c>
      <c r="C250" s="18" t="s">
        <v>945</v>
      </c>
      <c r="D250" s="3" t="s">
        <v>1411</v>
      </c>
      <c r="E250" s="3">
        <f t="shared" si="3"/>
        <v>248</v>
      </c>
      <c r="F250" s="3">
        <f>COUNTIF(NodesData[label],NodesData[[#This Row],[label]])</f>
        <v>1</v>
      </c>
      <c r="G250" s="3">
        <f>COUNTIF(ConceptNodes9['[A_ID']],NodesData[[#This Row],[id]])+COUNTIF(ConceptNodes9['[B_ID']],NodesData[[#This Row],[id]])</f>
        <v>0</v>
      </c>
      <c r="H250" s="3">
        <f>IF(NodesData[[#This Row],[Used]]&gt;0,1,0)</f>
        <v>0</v>
      </c>
      <c r="I250" s="19" t="str" cm="1">
        <f t="array" ref="I250">IF(NodesData[[#This Row],[Count]]&gt;1,",","") &amp;"{"&amp;twoRangesToJSON(NodesData[[#Headers],[id]:[url]],NodesData[[#This Row],[id]:[url]])&amp;"}"</f>
        <v>,{"id":"n_layers_architectural_pattern","label":"Layers Architectural Pattern","url":"https://open-measure.atlassian.net/wiki/spaces/DIC/pages/1181843548"}</v>
      </c>
      <c r="J250" s="3"/>
    </row>
    <row r="251" spans="1:10" ht="13.25" customHeight="1" thickTop="1" thickBot="1" x14ac:dyDescent="0.4">
      <c r="A251" s="17" t="str">
        <f>SUBSTITUTE(SUBSTITUTE("n_"&amp;LOWER(SUBSTITUTE(SUBSTITUTE(SUBSTITUTE(NodesData[[#This Row],[label]]," ","_"),"/","_"),"-","_")),"__","_"),"__","_")</f>
        <v>n_lbac</v>
      </c>
      <c r="B251" s="18" t="s">
        <v>946</v>
      </c>
      <c r="C251" s="18" t="s">
        <v>947</v>
      </c>
      <c r="D251" s="3" t="s">
        <v>1301</v>
      </c>
      <c r="E251" s="3">
        <f t="shared" si="3"/>
        <v>249</v>
      </c>
      <c r="F251" s="3">
        <f>COUNTIF(NodesData[label],NodesData[[#This Row],[label]])</f>
        <v>1</v>
      </c>
      <c r="G251" s="3">
        <f>COUNTIF(ConceptNodes9['[A_ID']],NodesData[[#This Row],[id]])+COUNTIF(ConceptNodes9['[B_ID']],NodesData[[#This Row],[id]])</f>
        <v>0</v>
      </c>
      <c r="H251" s="3">
        <f>IF(NodesData[[#This Row],[Used]]&gt;0,1,0)</f>
        <v>0</v>
      </c>
      <c r="I251" s="19" t="str" cm="1">
        <f t="array" ref="I251">IF(NodesData[[#This Row],[Count]]&gt;1,",","") &amp;"{"&amp;twoRangesToJSON(NodesData[[#Headers],[id]:[url]],NodesData[[#This Row],[id]:[url]])&amp;"}"</f>
        <v>,{"id":"n_lbac","label":"LBAC","url":"https://open-measure.atlassian.net/wiki/spaces/DIC/pages/1177780225"}</v>
      </c>
      <c r="J251" s="3"/>
    </row>
    <row r="252" spans="1:10" ht="13.25" customHeight="1" thickTop="1" thickBot="1" x14ac:dyDescent="0.4">
      <c r="A252" s="17" t="str">
        <f>SUBSTITUTE(SUBSTITUTE("n_"&amp;LOWER(SUBSTITUTE(SUBSTITUTE(SUBSTITUTE(NodesData[[#This Row],[label]]," ","_"),"/","_"),"-","_")),"__","_"),"__","_")</f>
        <v>n_leading_indicator</v>
      </c>
      <c r="B252" s="18" t="s">
        <v>948</v>
      </c>
      <c r="C252" s="18" t="s">
        <v>949</v>
      </c>
      <c r="D252" s="3" t="s">
        <v>1411</v>
      </c>
      <c r="E252" s="3">
        <f t="shared" si="3"/>
        <v>250</v>
      </c>
      <c r="F252" s="3">
        <f>COUNTIF(NodesData[label],NodesData[[#This Row],[label]])</f>
        <v>1</v>
      </c>
      <c r="G252" s="3">
        <f>COUNTIF(ConceptNodes9['[A_ID']],NodesData[[#This Row],[id]])+COUNTIF(ConceptNodes9['[B_ID']],NodesData[[#This Row],[id]])</f>
        <v>0</v>
      </c>
      <c r="H252" s="3">
        <f>IF(NodesData[[#This Row],[Used]]&gt;0,1,0)</f>
        <v>0</v>
      </c>
      <c r="I252" s="19" t="str" cm="1">
        <f t="array" ref="I252">IF(NodesData[[#This Row],[Count]]&gt;1,",","") &amp;"{"&amp;twoRangesToJSON(NodesData[[#Headers],[id]:[url]],NodesData[[#This Row],[id]:[url]])&amp;"}"</f>
        <v>,{"id":"n_leading_indicator","label":"Leading Indicator","url":"https://open-measure.atlassian.net/wiki/spaces/DIC/pages/49250375"}</v>
      </c>
      <c r="J252" s="3"/>
    </row>
    <row r="253" spans="1:10" ht="13.25" customHeight="1" thickTop="1" thickBot="1" x14ac:dyDescent="0.4">
      <c r="A253" s="17" t="str">
        <f>SUBSTITUTE(SUBSTITUTE("n_"&amp;LOWER(SUBSTITUTE(SUBSTITUTE(SUBSTITUTE(NodesData[[#This Row],[label]]," ","_"),"/","_"),"-","_")),"__","_"),"__","_")</f>
        <v>n_least_privilege</v>
      </c>
      <c r="B253" s="18" t="s">
        <v>950</v>
      </c>
      <c r="C253" s="18" t="s">
        <v>951</v>
      </c>
      <c r="D253" s="3" t="s">
        <v>1411</v>
      </c>
      <c r="E253" s="3">
        <f t="shared" si="3"/>
        <v>251</v>
      </c>
      <c r="F253" s="3">
        <f>COUNTIF(NodesData[label],NodesData[[#This Row],[label]])</f>
        <v>1</v>
      </c>
      <c r="G253" s="3">
        <f>COUNTIF(ConceptNodes9['[A_ID']],NodesData[[#This Row],[id]])+COUNTIF(ConceptNodes9['[B_ID']],NodesData[[#This Row],[id]])</f>
        <v>0</v>
      </c>
      <c r="H253" s="3">
        <f>IF(NodesData[[#This Row],[Used]]&gt;0,1,0)</f>
        <v>0</v>
      </c>
      <c r="I253" s="19" t="str" cm="1">
        <f t="array" ref="I253">IF(NodesData[[#This Row],[Count]]&gt;1,",","") &amp;"{"&amp;twoRangesToJSON(NodesData[[#Headers],[id]:[url]],NodesData[[#This Row],[id]:[url]])&amp;"}"</f>
        <v>,{"id":"n_least_privilege","label":"Least Privilege","url":"https://open-measure.atlassian.net/wiki/spaces/DIC/pages/1006698533"}</v>
      </c>
      <c r="J253" s="3"/>
    </row>
    <row r="254" spans="1:10" ht="13.25" customHeight="1" thickTop="1" thickBot="1" x14ac:dyDescent="0.4">
      <c r="A254" s="17" t="str">
        <f>SUBSTITUTE(SUBSTITUTE("n_"&amp;LOWER(SUBSTITUTE(SUBSTITUTE(SUBSTITUTE(NodesData[[#This Row],[label]]," ","_"),"/","_"),"-","_")),"__","_"),"__","_")</f>
        <v>n_legal_entity_identifier</v>
      </c>
      <c r="B254" s="18" t="s">
        <v>952</v>
      </c>
      <c r="C254" s="18" t="s">
        <v>953</v>
      </c>
      <c r="D254" s="3" t="s">
        <v>1411</v>
      </c>
      <c r="E254" s="3">
        <f t="shared" si="3"/>
        <v>252</v>
      </c>
      <c r="F254" s="3">
        <f>COUNTIF(NodesData[label],NodesData[[#This Row],[label]])</f>
        <v>1</v>
      </c>
      <c r="G254" s="3">
        <f>COUNTIF(ConceptNodes9['[A_ID']],NodesData[[#This Row],[id]])+COUNTIF(ConceptNodes9['[B_ID']],NodesData[[#This Row],[id]])</f>
        <v>0</v>
      </c>
      <c r="H254" s="3">
        <f>IF(NodesData[[#This Row],[Used]]&gt;0,1,0)</f>
        <v>0</v>
      </c>
      <c r="I254" s="19" t="str" cm="1">
        <f t="array" ref="I254">IF(NodesData[[#This Row],[Count]]&gt;1,",","") &amp;"{"&amp;twoRangesToJSON(NodesData[[#Headers],[id]:[url]],NodesData[[#This Row],[id]:[url]])&amp;"}"</f>
        <v>,{"id":"n_legal_entity_identifier","label":"Legal Entity Identifier","url":"https://open-measure.atlassian.net/wiki/spaces/DIC/pages/442466361"}</v>
      </c>
      <c r="J254" s="3"/>
    </row>
    <row r="255" spans="1:10" ht="13.25" customHeight="1" thickTop="1" thickBot="1" x14ac:dyDescent="0.4">
      <c r="A255" s="17" t="str">
        <f>SUBSTITUTE(SUBSTITUTE("n_"&amp;LOWER(SUBSTITUTE(SUBSTITUTE(SUBSTITUTE(NodesData[[#This Row],[label]]," ","_"),"/","_"),"-","_")),"__","_"),"__","_")</f>
        <v>n_legitimate_privilege_abuse</v>
      </c>
      <c r="B255" s="18" t="s">
        <v>954</v>
      </c>
      <c r="C255" s="18" t="s">
        <v>955</v>
      </c>
      <c r="D255" s="3" t="s">
        <v>1411</v>
      </c>
      <c r="E255" s="3">
        <f t="shared" si="3"/>
        <v>253</v>
      </c>
      <c r="F255" s="3">
        <f>COUNTIF(NodesData[label],NodesData[[#This Row],[label]])</f>
        <v>1</v>
      </c>
      <c r="G255" s="3">
        <f>COUNTIF(ConceptNodes9['[A_ID']],NodesData[[#This Row],[id]])+COUNTIF(ConceptNodes9['[B_ID']],NodesData[[#This Row],[id]])</f>
        <v>0</v>
      </c>
      <c r="H255" s="3">
        <f>IF(NodesData[[#This Row],[Used]]&gt;0,1,0)</f>
        <v>0</v>
      </c>
      <c r="I255" s="19" t="str" cm="1">
        <f t="array" ref="I255">IF(NodesData[[#This Row],[Count]]&gt;1,",","") &amp;"{"&amp;twoRangesToJSON(NodesData[[#Headers],[id]:[url]],NodesData[[#This Row],[id]:[url]])&amp;"}"</f>
        <v>,{"id":"n_legitimate_privilege_abuse","label":"Legitimate Privilege Abuse","url":"https://open-measure.atlassian.net/wiki/spaces/DIC/pages/1104936974"}</v>
      </c>
      <c r="J255" s="3"/>
    </row>
    <row r="256" spans="1:10" ht="13.25" customHeight="1" thickTop="1" thickBot="1" x14ac:dyDescent="0.4">
      <c r="A256" s="17" t="str">
        <f>SUBSTITUTE(SUBSTITUTE("n_"&amp;LOWER(SUBSTITUTE(SUBSTITUTE(SUBSTITUTE(NodesData[[#This Row],[label]]," ","_"),"/","_"),"-","_")),"__","_"),"__","_")</f>
        <v>n_lei</v>
      </c>
      <c r="B256" s="18" t="s">
        <v>956</v>
      </c>
      <c r="C256" s="18" t="s">
        <v>957</v>
      </c>
      <c r="D256" s="3" t="s">
        <v>1301</v>
      </c>
      <c r="E256" s="3">
        <f t="shared" si="3"/>
        <v>254</v>
      </c>
      <c r="F256" s="3">
        <f>COUNTIF(NodesData[label],NodesData[[#This Row],[label]])</f>
        <v>1</v>
      </c>
      <c r="G256" s="3">
        <f>COUNTIF(ConceptNodes9['[A_ID']],NodesData[[#This Row],[id]])+COUNTIF(ConceptNodes9['[B_ID']],NodesData[[#This Row],[id]])</f>
        <v>0</v>
      </c>
      <c r="H256" s="3">
        <f>IF(NodesData[[#This Row],[Used]]&gt;0,1,0)</f>
        <v>0</v>
      </c>
      <c r="I256" s="19" t="str" cm="1">
        <f t="array" ref="I256">IF(NodesData[[#This Row],[Count]]&gt;1,",","") &amp;"{"&amp;twoRangesToJSON(NodesData[[#Headers],[id]:[url]],NodesData[[#This Row],[id]:[url]])&amp;"}"</f>
        <v>,{"id":"n_lei","label":"LEI","url":"https://open-measure.atlassian.net/wiki/spaces/DIC/pages/442368033"}</v>
      </c>
      <c r="J256" s="3"/>
    </row>
    <row r="257" spans="1:10" ht="13.25" customHeight="1" thickTop="1" thickBot="1" x14ac:dyDescent="0.4">
      <c r="A257" s="17" t="str">
        <f>SUBSTITUTE(SUBSTITUTE("n_"&amp;LOWER(SUBSTITUTE(SUBSTITUTE(SUBSTITUTE(NodesData[[#This Row],[label]]," ","_"),"/","_"),"-","_")),"__","_"),"__","_")</f>
        <v>n_levels_of_assurance</v>
      </c>
      <c r="B257" s="18" t="s">
        <v>958</v>
      </c>
      <c r="C257" s="18" t="s">
        <v>959</v>
      </c>
      <c r="D257" s="3" t="s">
        <v>1411</v>
      </c>
      <c r="E257" s="3">
        <f t="shared" si="3"/>
        <v>255</v>
      </c>
      <c r="F257" s="3">
        <f>COUNTIF(NodesData[label],NodesData[[#This Row],[label]])</f>
        <v>1</v>
      </c>
      <c r="G257" s="3">
        <f>COUNTIF(ConceptNodes9['[A_ID']],NodesData[[#This Row],[id]])+COUNTIF(ConceptNodes9['[B_ID']],NodesData[[#This Row],[id]])</f>
        <v>0</v>
      </c>
      <c r="H257" s="3">
        <f>IF(NodesData[[#This Row],[Used]]&gt;0,1,0)</f>
        <v>0</v>
      </c>
      <c r="I257" s="19" t="str" cm="1">
        <f t="array" ref="I257">IF(NodesData[[#This Row],[Count]]&gt;1,",","") &amp;"{"&amp;twoRangesToJSON(NodesData[[#Headers],[id]:[url]],NodesData[[#This Row],[id]:[url]])&amp;"}"</f>
        <v>,{"id":"n_levels_of_assurance","label":"Levels of Assurance","url":"https://open-measure.atlassian.net/wiki/spaces/DIC/pages/442466381"}</v>
      </c>
      <c r="J257" s="3"/>
    </row>
    <row r="258" spans="1:10" ht="13.25" customHeight="1" thickTop="1" thickBot="1" x14ac:dyDescent="0.4">
      <c r="A258" s="17" t="str">
        <f>SUBSTITUTE(SUBSTITUTE("n_"&amp;LOWER(SUBSTITUTE(SUBSTITUTE(SUBSTITUTE(NodesData[[#This Row],[label]]," ","_"),"/","_"),"-","_")),"__","_"),"__","_")</f>
        <v>n_liberal_discretionary_access_control</v>
      </c>
      <c r="B258" s="18" t="s">
        <v>960</v>
      </c>
      <c r="C258" s="18" t="s">
        <v>961</v>
      </c>
      <c r="D258" s="3" t="s">
        <v>1411</v>
      </c>
      <c r="E258" s="3">
        <f t="shared" si="3"/>
        <v>256</v>
      </c>
      <c r="F258" s="3">
        <f>COUNTIF(NodesData[label],NodesData[[#This Row],[label]])</f>
        <v>1</v>
      </c>
      <c r="G258" s="3">
        <f>COUNTIF(ConceptNodes9['[A_ID']],NodesData[[#This Row],[id]])+COUNTIF(ConceptNodes9['[B_ID']],NodesData[[#This Row],[id]])</f>
        <v>0</v>
      </c>
      <c r="H258" s="3">
        <f>IF(NodesData[[#This Row],[Used]]&gt;0,1,0)</f>
        <v>0</v>
      </c>
      <c r="I258" s="19" t="str" cm="1">
        <f t="array" ref="I258">IF(NodesData[[#This Row],[Count]]&gt;1,",","") &amp;"{"&amp;twoRangesToJSON(NodesData[[#Headers],[id]:[url]],NodesData[[#This Row],[id]:[url]])&amp;"}"</f>
        <v>,{"id":"n_liberal_discretionary_access_control","label":"Liberal Discretionary Access Control","url":"https://open-measure.atlassian.net/wiki/spaces/DIC/pages/1177845957"}</v>
      </c>
      <c r="J258" s="3"/>
    </row>
    <row r="259" spans="1:10" ht="13.25" customHeight="1" thickTop="1" thickBot="1" x14ac:dyDescent="0.4">
      <c r="A259" s="17" t="str">
        <f>SUBSTITUTE(SUBSTITUTE("n_"&amp;LOWER(SUBSTITUTE(SUBSTITUTE(SUBSTITUTE(NodesData[[#This Row],[label]]," ","_"),"/","_"),"-","_")),"__","_"),"__","_")</f>
        <v>n_loa</v>
      </c>
      <c r="B259" s="18" t="s">
        <v>962</v>
      </c>
      <c r="C259" s="18" t="s">
        <v>963</v>
      </c>
      <c r="D259" s="3" t="s">
        <v>1301</v>
      </c>
      <c r="E259" s="3">
        <f t="shared" si="3"/>
        <v>257</v>
      </c>
      <c r="F259" s="3">
        <f>COUNTIF(NodesData[label],NodesData[[#This Row],[label]])</f>
        <v>1</v>
      </c>
      <c r="G259" s="3">
        <f>COUNTIF(ConceptNodes9['[A_ID']],NodesData[[#This Row],[id]])+COUNTIF(ConceptNodes9['[B_ID']],NodesData[[#This Row],[id]])</f>
        <v>0</v>
      </c>
      <c r="H259" s="3">
        <f>IF(NodesData[[#This Row],[Used]]&gt;0,1,0)</f>
        <v>0</v>
      </c>
      <c r="I259" s="19" t="str" cm="1">
        <f t="array" ref="I259">IF(NodesData[[#This Row],[Count]]&gt;1,",","") &amp;"{"&amp;twoRangesToJSON(NodesData[[#Headers],[id]:[url]],NodesData[[#This Row],[id]:[url]])&amp;"}"</f>
        <v>,{"id":"n_loa","label":"LOA","url":"https://open-measure.atlassian.net/wiki/spaces/DIC/pages/442400912"}</v>
      </c>
      <c r="J259" s="3"/>
    </row>
    <row r="260" spans="1:10" ht="13.25" customHeight="1" thickTop="1" thickBot="1" x14ac:dyDescent="0.4">
      <c r="A260" s="6" t="s">
        <v>1339</v>
      </c>
      <c r="B260" s="10" t="s">
        <v>1340</v>
      </c>
      <c r="C260" s="10"/>
      <c r="D260" s="3" t="s">
        <v>1411</v>
      </c>
      <c r="E260" s="3">
        <f t="shared" si="3"/>
        <v>258</v>
      </c>
      <c r="F260" s="3">
        <f>COUNTIF(NodesData[label],NodesData[[#This Row],[label]])</f>
        <v>1</v>
      </c>
      <c r="G260" s="3">
        <f>COUNTIF(ConceptNodes9['[A_ID']],NodesData[[#This Row],[id]])+COUNTIF(ConceptNodes9['[B_ID']],NodesData[[#This Row],[id]])</f>
        <v>1</v>
      </c>
      <c r="H260" s="3">
        <f>IF(NodesData[[#This Row],[Used]]&gt;0,1,0)</f>
        <v>1</v>
      </c>
      <c r="I260" s="19" t="str" cm="1">
        <f t="array" ref="I260">IF(NodesData[[#This Row],[Count]]&gt;1,",","") &amp;"{"&amp;twoRangesToJSON(NodesData[[#Headers],[id]:[url]],NodesData[[#This Row],[id]:[url]])&amp;"}"</f>
        <v>,{"id":"n_location_factor","label":"Location Factor","url":""}</v>
      </c>
      <c r="J260" s="3"/>
    </row>
    <row r="261" spans="1:10" ht="13.25" customHeight="1" thickTop="1" thickBot="1" x14ac:dyDescent="0.4">
      <c r="A261" s="17" t="str">
        <f>SUBSTITUTE(SUBSTITUTE("n_"&amp;LOWER(SUBSTITUTE(SUBSTITUTE(SUBSTITUTE(NodesData[[#This Row],[label]]," ","_"),"/","_"),"-","_")),"__","_"),"__","_")</f>
        <v>n_logic_bomb</v>
      </c>
      <c r="B261" s="18" t="s">
        <v>315</v>
      </c>
      <c r="C261" s="18" t="s">
        <v>964</v>
      </c>
      <c r="D261" s="3" t="s">
        <v>1411</v>
      </c>
      <c r="E261" s="3">
        <f t="shared" ref="E261:E324" si="4">E260+1</f>
        <v>259</v>
      </c>
      <c r="F261" s="3">
        <f>COUNTIF(NodesData[label],NodesData[[#This Row],[label]])</f>
        <v>1</v>
      </c>
      <c r="G261" s="3">
        <f>COUNTIF(ConceptNodes9['[A_ID']],NodesData[[#This Row],[id]])+COUNTIF(ConceptNodes9['[B_ID']],NodesData[[#This Row],[id]])</f>
        <v>0</v>
      </c>
      <c r="H261" s="3">
        <f>IF(NodesData[[#This Row],[Used]]&gt;0,1,0)</f>
        <v>0</v>
      </c>
      <c r="I261" s="19" t="str" cm="1">
        <f t="array" ref="I261">IF(NodesData[[#This Row],[Count]]&gt;1,",","") &amp;"{"&amp;twoRangesToJSON(NodesData[[#Headers],[id]:[url]],NodesData[[#This Row],[id]:[url]])&amp;"}"</f>
        <v>,{"id":"n_logic_bomb","label":"Logic Bomb","url":"https://open-measure.atlassian.net/wiki/spaces/DIC/pages/1452048577/Logic+Bomb"}</v>
      </c>
      <c r="J261" s="3"/>
    </row>
    <row r="262" spans="1:10" ht="13.25" customHeight="1" thickTop="1" thickBot="1" x14ac:dyDescent="0.4">
      <c r="A262" s="17" t="str">
        <f>SUBSTITUTE(SUBSTITUTE("n_"&amp;LOWER(SUBSTITUTE(SUBSTITUTE(SUBSTITUTE(NodesData[[#This Row],[label]]," ","_"),"/","_"),"-","_")),"__","_"),"__","_")</f>
        <v>n_login</v>
      </c>
      <c r="B262" s="18" t="s">
        <v>316</v>
      </c>
      <c r="C262" s="18" t="s">
        <v>965</v>
      </c>
      <c r="D262" s="3" t="s">
        <v>1411</v>
      </c>
      <c r="E262" s="3">
        <f t="shared" si="4"/>
        <v>260</v>
      </c>
      <c r="F262" s="3">
        <f>COUNTIF(NodesData[label],NodesData[[#This Row],[label]])</f>
        <v>1</v>
      </c>
      <c r="G262" s="3">
        <f>COUNTIF(ConceptNodes9['[A_ID']],NodesData[[#This Row],[id]])+COUNTIF(ConceptNodes9['[B_ID']],NodesData[[#This Row],[id]])</f>
        <v>0</v>
      </c>
      <c r="H262" s="3">
        <f>IF(NodesData[[#This Row],[Used]]&gt;0,1,0)</f>
        <v>0</v>
      </c>
      <c r="I262" s="19" t="str" cm="1">
        <f t="array" ref="I262">IF(NodesData[[#This Row],[Count]]&gt;1,",","") &amp;"{"&amp;twoRangesToJSON(NodesData[[#Headers],[id]:[url]],NodesData[[#This Row],[id]:[url]])&amp;"}"</f>
        <v>,{"id":"n_login","label":"Login","url":"https://open-measure.atlassian.net/wiki/spaces/DIC/pages/1440153606/Login"}</v>
      </c>
      <c r="J262" s="3"/>
    </row>
    <row r="263" spans="1:10" ht="13.25" customHeight="1" thickTop="1" thickBot="1" x14ac:dyDescent="0.4">
      <c r="A263" s="17" t="str">
        <f>SUBSTITUTE(SUBSTITUTE("n_"&amp;LOWER(SUBSTITUTE(SUBSTITUTE(SUBSTITUTE(NodesData[[#This Row],[label]]," ","_"),"/","_"),"-","_")),"__","_"),"__","_")</f>
        <v>n_login_id</v>
      </c>
      <c r="B263" s="18" t="s">
        <v>317</v>
      </c>
      <c r="C263" s="18" t="s">
        <v>966</v>
      </c>
      <c r="D263" s="3" t="s">
        <v>1301</v>
      </c>
      <c r="E263" s="3">
        <f t="shared" si="4"/>
        <v>261</v>
      </c>
      <c r="F263" s="3">
        <f>COUNTIF(NodesData[label],NodesData[[#This Row],[label]])</f>
        <v>1</v>
      </c>
      <c r="G263" s="3">
        <f>COUNTIF(ConceptNodes9['[A_ID']],NodesData[[#This Row],[id]])+COUNTIF(ConceptNodes9['[B_ID']],NodesData[[#This Row],[id]])</f>
        <v>0</v>
      </c>
      <c r="H263" s="3">
        <f>IF(NodesData[[#This Row],[Used]]&gt;0,1,0)</f>
        <v>0</v>
      </c>
      <c r="I263" s="19" t="str" cm="1">
        <f t="array" ref="I263">IF(NodesData[[#This Row],[Count]]&gt;1,",","") &amp;"{"&amp;twoRangesToJSON(NodesData[[#Headers],[id]:[url]],NodesData[[#This Row],[id]:[url]])&amp;"}"</f>
        <v>,{"id":"n_login_id","label":"Login ID","url":"https://open-measure.atlassian.net/wiki/spaces/DIC/pages/1428685307/Login+ID"}</v>
      </c>
      <c r="J263" s="3"/>
    </row>
    <row r="264" spans="1:10" ht="13.25" customHeight="1" thickTop="1" thickBot="1" x14ac:dyDescent="0.4">
      <c r="A264" s="17" t="str">
        <f>SUBSTITUTE(SUBSTITUTE("n_"&amp;LOWER(SUBSTITUTE(SUBSTITUTE(SUBSTITUTE(NodesData[[#This Row],[label]]," ","_"),"/","_"),"-","_")),"__","_"),"__","_")</f>
        <v>n_login_name</v>
      </c>
      <c r="B264" s="18" t="s">
        <v>318</v>
      </c>
      <c r="C264" s="18" t="s">
        <v>967</v>
      </c>
      <c r="D264" s="3" t="s">
        <v>1411</v>
      </c>
      <c r="E264" s="3">
        <f t="shared" si="4"/>
        <v>262</v>
      </c>
      <c r="F264" s="3">
        <f>COUNTIF(NodesData[label],NodesData[[#This Row],[label]])</f>
        <v>1</v>
      </c>
      <c r="G264" s="3">
        <f>COUNTIF(ConceptNodes9['[A_ID']],NodesData[[#This Row],[id]])+COUNTIF(ConceptNodes9['[B_ID']],NodesData[[#This Row],[id]])</f>
        <v>0</v>
      </c>
      <c r="H264" s="3">
        <f>IF(NodesData[[#This Row],[Used]]&gt;0,1,0)</f>
        <v>0</v>
      </c>
      <c r="I264" s="19" t="str" cm="1">
        <f t="array" ref="I264">IF(NodesData[[#This Row],[Count]]&gt;1,",","") &amp;"{"&amp;twoRangesToJSON(NodesData[[#Headers],[id]:[url]],NodesData[[#This Row],[id]:[url]])&amp;"}"</f>
        <v>,{"id":"n_login_name","label":"Login Name","url":"https://open-measure.atlassian.net/wiki/spaces/DIC/pages/1428685365/Login+Name"}</v>
      </c>
      <c r="J264" s="3"/>
    </row>
    <row r="265" spans="1:10" ht="13.25" customHeight="1" thickTop="1" thickBot="1" x14ac:dyDescent="0.4">
      <c r="A265" s="17" t="str">
        <f>SUBSTITUTE(SUBSTITUTE("n_"&amp;LOWER(SUBSTITUTE(SUBSTITUTE(SUBSTITUTE(NodesData[[#This Row],[label]]," ","_"),"/","_"),"-","_")),"__","_"),"__","_")</f>
        <v>n_mechanism</v>
      </c>
      <c r="B265" s="18" t="s">
        <v>968</v>
      </c>
      <c r="C265" s="18" t="s">
        <v>969</v>
      </c>
      <c r="D265" s="3" t="s">
        <v>1411</v>
      </c>
      <c r="E265" s="3">
        <f t="shared" si="4"/>
        <v>263</v>
      </c>
      <c r="F265" s="3">
        <f>COUNTIF(NodesData[label],NodesData[[#This Row],[label]])</f>
        <v>1</v>
      </c>
      <c r="G265" s="3">
        <f>COUNTIF(ConceptNodes9['[A_ID']],NodesData[[#This Row],[id]])+COUNTIF(ConceptNodes9['[B_ID']],NodesData[[#This Row],[id]])</f>
        <v>0</v>
      </c>
      <c r="H265" s="3">
        <f>IF(NodesData[[#This Row],[Used]]&gt;0,1,0)</f>
        <v>0</v>
      </c>
      <c r="I265" s="19" t="str" cm="1">
        <f t="array" ref="I265">IF(NodesData[[#This Row],[Count]]&gt;1,",","") &amp;"{"&amp;twoRangesToJSON(NodesData[[#Headers],[id]:[url]],NodesData[[#This Row],[id]:[url]])&amp;"}"</f>
        <v>,{"id":"n_mechanism","label":"Mechanism","url":"https://open-measure.atlassian.net/wiki/spaces/DIC/pages/67699227"}</v>
      </c>
      <c r="J265" s="3"/>
    </row>
    <row r="266" spans="1:10" ht="13.25" customHeight="1" thickTop="1" thickBot="1" x14ac:dyDescent="0.4">
      <c r="A266" s="17" t="str">
        <f>SUBSTITUTE(SUBSTITUTE("n_"&amp;LOWER(SUBSTITUTE(SUBSTITUTE(SUBSTITUTE(NodesData[[#This Row],[label]]," ","_"),"/","_"),"-","_")),"__","_"),"__","_")</f>
        <v>n_metadirectory</v>
      </c>
      <c r="B266" s="18" t="s">
        <v>970</v>
      </c>
      <c r="C266" s="18" t="s">
        <v>971</v>
      </c>
      <c r="D266" s="3" t="s">
        <v>1411</v>
      </c>
      <c r="E266" s="3">
        <f t="shared" si="4"/>
        <v>264</v>
      </c>
      <c r="F266" s="3">
        <f>COUNTIF(NodesData[label],NodesData[[#This Row],[label]])</f>
        <v>1</v>
      </c>
      <c r="G266" s="3">
        <f>COUNTIF(ConceptNodes9['[A_ID']],NodesData[[#This Row],[id]])+COUNTIF(ConceptNodes9['[B_ID']],NodesData[[#This Row],[id]])</f>
        <v>0</v>
      </c>
      <c r="H266" s="3">
        <f>IF(NodesData[[#This Row],[Used]]&gt;0,1,0)</f>
        <v>0</v>
      </c>
      <c r="I266" s="19" t="str" cm="1">
        <f t="array" ref="I266">IF(NodesData[[#This Row],[Count]]&gt;1,",","") &amp;"{"&amp;twoRangesToJSON(NodesData[[#Headers],[id]:[url]],NodesData[[#This Row],[id]:[url]])&amp;"}"</f>
        <v>,{"id":"n_metadirectory","label":"Metadirectory","url":"https://open-measure.atlassian.net/wiki/spaces/DIC/pages/834044288"}</v>
      </c>
      <c r="J266" s="3"/>
    </row>
    <row r="267" spans="1:10" ht="13.25" customHeight="1" thickTop="1" thickBot="1" x14ac:dyDescent="0.4">
      <c r="A267" s="7" t="str">
        <f>SUBSTITUTE(SUBSTITUTE("n_"&amp;LOWER(SUBSTITUTE(SUBSTITUTE(SUBSTITUTE(NodesData[[#This Row],[label]]," ","_"),"/","_"),"-","_")),"__","_"),"__","_")</f>
        <v>n_knuckleprint_recognition_authentication</v>
      </c>
      <c r="B267" s="12" t="s">
        <v>1362</v>
      </c>
      <c r="C267" s="12"/>
      <c r="D267" s="3" t="s">
        <v>1411</v>
      </c>
      <c r="E267" s="3">
        <f t="shared" si="4"/>
        <v>265</v>
      </c>
      <c r="F267" s="3">
        <f>COUNTIF(NodesData[label],NodesData[[#This Row],[label]])</f>
        <v>1</v>
      </c>
      <c r="G267" s="3">
        <f>COUNTIF(ConceptNodes9['[A_ID']],NodesData[[#This Row],[id]])+COUNTIF(ConceptNodes9['[B_ID']],NodesData[[#This Row],[id]])</f>
        <v>2</v>
      </c>
      <c r="H267" s="3">
        <f>IF(NodesData[[#This Row],[Used]]&gt;0,1,0)</f>
        <v>1</v>
      </c>
      <c r="I267" s="19" t="str" cm="1">
        <f t="array" ref="I267">IF(NodesData[[#This Row],[Count]]&gt;1,",","") &amp;"{"&amp;twoRangesToJSON(NodesData[[#Headers],[id]:[url]],NodesData[[#This Row],[id]:[url]])&amp;"}"</f>
        <v>,{"id":"n_knuckleprint_recognition_authentication","label":"Knuckleprint Recognition Authentication","url":""}</v>
      </c>
      <c r="J267" s="3"/>
    </row>
    <row r="268" spans="1:10" ht="13.25" customHeight="1" thickTop="1" thickBot="1" x14ac:dyDescent="0.4">
      <c r="A268" s="17" t="str">
        <f>SUBSTITUTE(SUBSTITUTE("n_"&amp;LOWER(SUBSTITUTE(SUBSTITUTE(SUBSTITUTE(NodesData[[#This Row],[label]]," ","_"),"/","_"),"-","_")),"__","_"),"__","_")</f>
        <v>n_multidomain_single_sign_on</v>
      </c>
      <c r="B268" s="18" t="s">
        <v>972</v>
      </c>
      <c r="C268" s="18" t="s">
        <v>973</v>
      </c>
      <c r="D268" s="3" t="s">
        <v>1411</v>
      </c>
      <c r="E268" s="3">
        <f t="shared" si="4"/>
        <v>266</v>
      </c>
      <c r="F268" s="3">
        <f>COUNTIF(NodesData[label],NodesData[[#This Row],[label]])</f>
        <v>1</v>
      </c>
      <c r="G268" s="3">
        <f>COUNTIF(ConceptNodes9['[A_ID']],NodesData[[#This Row],[id]])+COUNTIF(ConceptNodes9['[B_ID']],NodesData[[#This Row],[id]])</f>
        <v>0</v>
      </c>
      <c r="H268" s="3">
        <f>IF(NodesData[[#This Row],[Used]]&gt;0,1,0)</f>
        <v>0</v>
      </c>
      <c r="I268" s="19" t="str" cm="1">
        <f t="array" ref="I268">IF(NodesData[[#This Row],[Count]]&gt;1,",","") &amp;"{"&amp;twoRangesToJSON(NodesData[[#Headers],[id]:[url]],NodesData[[#This Row],[id]:[url]])&amp;"}"</f>
        <v>,{"id":"n_multidomain_single_sign_on","label":"Multidomain Single Sign-On","url":"https://open-measure.atlassian.net/wiki/spaces/DIC/pages/75890760"}</v>
      </c>
      <c r="J268" s="3"/>
    </row>
    <row r="269" spans="1:10" ht="13.25" customHeight="1" thickTop="1" thickBot="1" x14ac:dyDescent="0.4">
      <c r="A269" s="17" t="str">
        <f>SUBSTITUTE(SUBSTITUTE("n_"&amp;LOWER(SUBSTITUTE(SUBSTITUTE(SUBSTITUTE(NodesData[[#This Row],[label]]," ","_"),"/","_"),"-","_")),"__","_"),"__","_")</f>
        <v>n_multilevel_security</v>
      </c>
      <c r="B269" s="18" t="s">
        <v>974</v>
      </c>
      <c r="C269" s="18" t="s">
        <v>975</v>
      </c>
      <c r="D269" s="3" t="s">
        <v>1411</v>
      </c>
      <c r="E269" s="3">
        <f t="shared" si="4"/>
        <v>267</v>
      </c>
      <c r="F269" s="3">
        <f>COUNTIF(NodesData[label],NodesData[[#This Row],[label]])</f>
        <v>1</v>
      </c>
      <c r="G269" s="3">
        <f>COUNTIF(ConceptNodes9['[A_ID']],NodesData[[#This Row],[id]])+COUNTIF(ConceptNodes9['[B_ID']],NodesData[[#This Row],[id]])</f>
        <v>0</v>
      </c>
      <c r="H269" s="3">
        <f>IF(NodesData[[#This Row],[Used]]&gt;0,1,0)</f>
        <v>0</v>
      </c>
      <c r="I269" s="19" t="str" cm="1">
        <f t="array" ref="I269">IF(NodesData[[#This Row],[Count]]&gt;1,",","") &amp;"{"&amp;twoRangesToJSON(NodesData[[#Headers],[id]:[url]],NodesData[[#This Row],[id]:[url]])&amp;"}"</f>
        <v>,{"id":"n_multilevel_security","label":"Multilevel Security","url":"https://open-measure.atlassian.net/wiki/spaces/DIC/pages/1031241799"}</v>
      </c>
      <c r="J269" s="3"/>
    </row>
    <row r="270" spans="1:10" ht="13.25" customHeight="1" thickTop="1" thickBot="1" x14ac:dyDescent="0.4">
      <c r="A270" s="17" t="str">
        <f>SUBSTITUTE(SUBSTITUTE("n_"&amp;LOWER(SUBSTITUTE(SUBSTITUTE(SUBSTITUTE(NodesData[[#This Row],[label]]," ","_"),"/","_"),"-","_")),"__","_"),"__","_")</f>
        <v>n_multiple_accounts</v>
      </c>
      <c r="B270" s="18" t="s">
        <v>335</v>
      </c>
      <c r="C270" s="18" t="s">
        <v>976</v>
      </c>
      <c r="D270" s="3" t="s">
        <v>1411</v>
      </c>
      <c r="E270" s="3">
        <f t="shared" si="4"/>
        <v>268</v>
      </c>
      <c r="F270" s="3">
        <f>COUNTIF(NodesData[label],NodesData[[#This Row],[label]])</f>
        <v>1</v>
      </c>
      <c r="G270" s="3">
        <f>COUNTIF(ConceptNodes9['[A_ID']],NodesData[[#This Row],[id]])+COUNTIF(ConceptNodes9['[B_ID']],NodesData[[#This Row],[id]])</f>
        <v>0</v>
      </c>
      <c r="H270" s="3">
        <f>IF(NodesData[[#This Row],[Used]]&gt;0,1,0)</f>
        <v>0</v>
      </c>
      <c r="I270" s="19" t="str" cm="1">
        <f t="array" ref="I270">IF(NodesData[[#This Row],[Count]]&gt;1,",","") &amp;"{"&amp;twoRangesToJSON(NodesData[[#Headers],[id]:[url]],NodesData[[#This Row],[id]:[url]])&amp;"}"</f>
        <v>,{"id":"n_multiple_accounts","label":"Multiple Accounts","url":"https://open-measure.atlassian.net/wiki/spaces/DIC/pages/1600684160/Multiple+Accounts"}</v>
      </c>
      <c r="J270" s="3"/>
    </row>
    <row r="271" spans="1:10" ht="13.25" customHeight="1" thickTop="1" thickBot="1" x14ac:dyDescent="0.4">
      <c r="A271" s="7" t="str">
        <f>SUBSTITUTE(SUBSTITUTE("n_"&amp;LOWER(SUBSTITUTE(SUBSTITUTE(SUBSTITUTE(NodesData[[#This Row],[label]]," ","_"),"/","_"),"-","_")),"__","_"),"__","_")</f>
        <v>n_multi_model_biometric_authentication</v>
      </c>
      <c r="B271" s="12" t="s">
        <v>1363</v>
      </c>
      <c r="C271" s="12"/>
      <c r="D271" s="3" t="s">
        <v>1411</v>
      </c>
      <c r="E271" s="3">
        <f t="shared" si="4"/>
        <v>269</v>
      </c>
      <c r="F271" s="3">
        <f>COUNTIF(NodesData[label],NodesData[[#This Row],[label]])</f>
        <v>1</v>
      </c>
      <c r="G271" s="3">
        <f>COUNTIF(ConceptNodes9['[A_ID']],NodesData[[#This Row],[id]])+COUNTIF(ConceptNodes9['[B_ID']],NodesData[[#This Row],[id]])</f>
        <v>2</v>
      </c>
      <c r="H271" s="3">
        <f>IF(NodesData[[#This Row],[Used]]&gt;0,1,0)</f>
        <v>1</v>
      </c>
      <c r="I271" s="19" t="str" cm="1">
        <f t="array" ref="I271">IF(NodesData[[#This Row],[Count]]&gt;1,",","") &amp;"{"&amp;twoRangesToJSON(NodesData[[#Headers],[id]:[url]],NodesData[[#This Row],[id]:[url]])&amp;"}"</f>
        <v>,{"id":"n_multi_model_biometric_authentication","label":"Multi-Model Biometric Authentication","url":""}</v>
      </c>
      <c r="J271" s="3"/>
    </row>
    <row r="272" spans="1:10" ht="13.25" customHeight="1" thickTop="1" thickBot="1" x14ac:dyDescent="0.4">
      <c r="A272" s="17" t="str">
        <f>SUBSTITUTE(SUBSTITUTE("n_"&amp;LOWER(SUBSTITUTE(SUBSTITUTE(SUBSTITUTE(NodesData[[#This Row],[label]]," ","_"),"/","_"),"-","_")),"__","_"),"__","_")</f>
        <v>n_need_to_know</v>
      </c>
      <c r="B272" s="18" t="s">
        <v>337</v>
      </c>
      <c r="C272" s="18" t="s">
        <v>979</v>
      </c>
      <c r="D272" s="3" t="s">
        <v>1411</v>
      </c>
      <c r="E272" s="3">
        <f t="shared" si="4"/>
        <v>270</v>
      </c>
      <c r="F272" s="3">
        <f>COUNTIF(NodesData[label],NodesData[[#This Row],[label]])</f>
        <v>1</v>
      </c>
      <c r="G272" s="3">
        <f>COUNTIF(ConceptNodes9['[A_ID']],NodesData[[#This Row],[id]])+COUNTIF(ConceptNodes9['[B_ID']],NodesData[[#This Row],[id]])</f>
        <v>0</v>
      </c>
      <c r="H272" s="3">
        <f>IF(NodesData[[#This Row],[Used]]&gt;0,1,0)</f>
        <v>0</v>
      </c>
      <c r="I272" s="19" t="str" cm="1">
        <f t="array" ref="I272">IF(NodesData[[#This Row],[Count]]&gt;1,",","") &amp;"{"&amp;twoRangesToJSON(NodesData[[#Headers],[id]:[url]],NodesData[[#This Row],[id]:[url]])&amp;"}"</f>
        <v>,{"id":"n_need_to_know","label":"Need-to-Know","url":"https://open-measure.atlassian.net/wiki/spaces/DIC/pages/1474592794/Need-to-Know"}</v>
      </c>
      <c r="J272" s="3"/>
    </row>
    <row r="273" spans="1:10" ht="13.25" customHeight="1" thickTop="1" thickBot="1" x14ac:dyDescent="0.4">
      <c r="A273" s="17" t="str">
        <f>SUBSTITUTE(SUBSTITUTE("n_"&amp;LOWER(SUBSTITUTE(SUBSTITUTE(SUBSTITUTE(NodesData[[#This Row],[label]]," ","_"),"/","_"),"-","_")),"__","_"),"__","_")</f>
        <v>n_new_joiner</v>
      </c>
      <c r="B273" s="18" t="s">
        <v>980</v>
      </c>
      <c r="C273" s="18" t="s">
        <v>981</v>
      </c>
      <c r="D273" s="3" t="s">
        <v>1411</v>
      </c>
      <c r="E273" s="3">
        <f t="shared" si="4"/>
        <v>271</v>
      </c>
      <c r="F273" s="3">
        <f>COUNTIF(NodesData[label],NodesData[[#This Row],[label]])</f>
        <v>1</v>
      </c>
      <c r="G273" s="3">
        <f>COUNTIF(ConceptNodes9['[A_ID']],NodesData[[#This Row],[id]])+COUNTIF(ConceptNodes9['[B_ID']],NodesData[[#This Row],[id]])</f>
        <v>0</v>
      </c>
      <c r="H273" s="3">
        <f>IF(NodesData[[#This Row],[Used]]&gt;0,1,0)</f>
        <v>0</v>
      </c>
      <c r="I273" s="19" t="str" cm="1">
        <f t="array" ref="I273">IF(NodesData[[#This Row],[Count]]&gt;1,",","") &amp;"{"&amp;twoRangesToJSON(NodesData[[#Headers],[id]:[url]],NodesData[[#This Row],[id]:[url]])&amp;"}"</f>
        <v>,{"id":"n_new_joiner","label":"New Joiner","url":"https://open-measure.atlassian.net/wiki/spaces/DIC/pages/858456124"}</v>
      </c>
      <c r="J273" s="3"/>
    </row>
    <row r="274" spans="1:10" ht="13.25" customHeight="1" thickTop="1" thickBot="1" x14ac:dyDescent="0.4">
      <c r="A274" s="17" t="str">
        <f>SUBSTITUTE(SUBSTITUTE("n_"&amp;LOWER(SUBSTITUTE(SUBSTITUTE(SUBSTITUTE(NodesData[[#This Row],[label]]," ","_"),"/","_"),"-","_")),"__","_"),"__","_")</f>
        <v>n_no_tranquility_property</v>
      </c>
      <c r="B274" s="18" t="s">
        <v>982</v>
      </c>
      <c r="C274" s="18" t="s">
        <v>983</v>
      </c>
      <c r="D274" s="3" t="s">
        <v>1411</v>
      </c>
      <c r="E274" s="3">
        <f t="shared" si="4"/>
        <v>272</v>
      </c>
      <c r="F274" s="3">
        <f>COUNTIF(NodesData[label],NodesData[[#This Row],[label]])</f>
        <v>1</v>
      </c>
      <c r="G274" s="3">
        <f>COUNTIF(ConceptNodes9['[A_ID']],NodesData[[#This Row],[id]])+COUNTIF(ConceptNodes9['[B_ID']],NodesData[[#This Row],[id]])</f>
        <v>0</v>
      </c>
      <c r="H274" s="3">
        <f>IF(NodesData[[#This Row],[Used]]&gt;0,1,0)</f>
        <v>0</v>
      </c>
      <c r="I274" s="19" t="str" cm="1">
        <f t="array" ref="I274">IF(NodesData[[#This Row],[Count]]&gt;1,",","") &amp;"{"&amp;twoRangesToJSON(NodesData[[#Headers],[id]:[url]],NodesData[[#This Row],[id]:[url]])&amp;"}"</f>
        <v>,{"id":"n_no_tranquility_property","label":"No Tranquility Property","url":"https://open-measure.atlassian.net/wiki/spaces/DIC/pages/1237483723"}</v>
      </c>
      <c r="J274" s="3"/>
    </row>
    <row r="275" spans="1:10" ht="13.25" customHeight="1" thickTop="1" thickBot="1" x14ac:dyDescent="0.4">
      <c r="A275" s="17" t="str">
        <f>SUBSTITUTE(SUBSTITUTE("n_"&amp;LOWER(SUBSTITUTE(SUBSTITUTE(SUBSTITUTE(NodesData[[#This Row],[label]]," ","_"),"/","_"),"-","_")),"__","_"),"__","_")</f>
        <v>n_nonworker</v>
      </c>
      <c r="B275" s="18" t="s">
        <v>984</v>
      </c>
      <c r="C275" s="18" t="s">
        <v>985</v>
      </c>
      <c r="D275" s="3" t="s">
        <v>1411</v>
      </c>
      <c r="E275" s="3">
        <f t="shared" si="4"/>
        <v>273</v>
      </c>
      <c r="F275" s="3">
        <f>COUNTIF(NodesData[label],NodesData[[#This Row],[label]])</f>
        <v>1</v>
      </c>
      <c r="G275" s="3">
        <f>COUNTIF(ConceptNodes9['[A_ID']],NodesData[[#This Row],[id]])+COUNTIF(ConceptNodes9['[B_ID']],NodesData[[#This Row],[id]])</f>
        <v>0</v>
      </c>
      <c r="H275" s="3">
        <f>IF(NodesData[[#This Row],[Used]]&gt;0,1,0)</f>
        <v>0</v>
      </c>
      <c r="I275" s="19" t="str" cm="1">
        <f t="array" ref="I275">IF(NodesData[[#This Row],[Count]]&gt;1,",","") &amp;"{"&amp;twoRangesToJSON(NodesData[[#Headers],[id]:[url]],NodesData[[#This Row],[id]:[url]])&amp;"}"</f>
        <v>,{"id":"n_nonworker","label":"Nonworker","url":"https://open-measure.atlassian.net/wiki/spaces/DIC/pages/858554692"}</v>
      </c>
      <c r="J275" s="3"/>
    </row>
    <row r="276" spans="1:10" ht="13.25" customHeight="1" thickTop="1" thickBot="1" x14ac:dyDescent="0.4">
      <c r="A276" s="17" t="str">
        <f>SUBSTITUTE(SUBSTITUTE("n_"&amp;LOWER(SUBSTITUTE(SUBSTITUTE(SUBSTITUTE(NodesData[[#This Row],[label]]," ","_"),"/","_"),"-","_")),"__","_"),"__","_")</f>
        <v>n_numerical_identity</v>
      </c>
      <c r="B276" s="18" t="s">
        <v>342</v>
      </c>
      <c r="C276" s="18" t="s">
        <v>986</v>
      </c>
      <c r="D276" s="3" t="s">
        <v>1411</v>
      </c>
      <c r="E276" s="3">
        <f t="shared" si="4"/>
        <v>274</v>
      </c>
      <c r="F276" s="3">
        <f>COUNTIF(NodesData[label],NodesData[[#This Row],[label]])</f>
        <v>1</v>
      </c>
      <c r="G276" s="3">
        <f>COUNTIF(ConceptNodes9['[A_ID']],NodesData[[#This Row],[id]])+COUNTIF(ConceptNodes9['[B_ID']],NodesData[[#This Row],[id]])</f>
        <v>0</v>
      </c>
      <c r="H276" s="3">
        <f>IF(NodesData[[#This Row],[Used]]&gt;0,1,0)</f>
        <v>0</v>
      </c>
      <c r="I276" s="19" t="str" cm="1">
        <f t="array" ref="I276">IF(NodesData[[#This Row],[Count]]&gt;1,",","") &amp;"{"&amp;twoRangesToJSON(NodesData[[#Headers],[id]:[url]],NodesData[[#This Row],[id]:[url]])&amp;"}"</f>
        <v>,{"id":"n_numerical_identity","label":"Numerical Identity","url":"https://open-measure.atlassian.net/wiki/spaces/DIC/pages/1323336029/Numerical+Identity"}</v>
      </c>
      <c r="J276" s="3"/>
    </row>
    <row r="277" spans="1:10" ht="13.25" customHeight="1" thickTop="1" thickBot="1" x14ac:dyDescent="0.4">
      <c r="A277" s="17" t="str">
        <f>SUBSTITUTE(SUBSTITUTE("n_"&amp;LOWER(SUBSTITUTE(SUBSTITUTE(SUBSTITUTE(NodesData[[#This Row],[label]]," ","_"),"/","_"),"-","_")),"__","_"),"__","_")</f>
        <v>n_mutual_authentication</v>
      </c>
      <c r="B277" s="18" t="s">
        <v>977</v>
      </c>
      <c r="C277" s="18" t="s">
        <v>978</v>
      </c>
      <c r="D277" s="3" t="s">
        <v>1411</v>
      </c>
      <c r="E277" s="3">
        <f t="shared" si="4"/>
        <v>275</v>
      </c>
      <c r="F277" s="3">
        <f>COUNTIF(NodesData[label],NodesData[[#This Row],[label]])</f>
        <v>1</v>
      </c>
      <c r="G277" s="3">
        <f>COUNTIF(ConceptNodes9['[A_ID']],NodesData[[#This Row],[id]])+COUNTIF(ConceptNodes9['[B_ID']],NodesData[[#This Row],[id]])</f>
        <v>0</v>
      </c>
      <c r="H277" s="3">
        <f>IF(NodesData[[#This Row],[Used]]&gt;0,1,0)</f>
        <v>0</v>
      </c>
      <c r="I277" s="19" t="str" cm="1">
        <f t="array" ref="I277">IF(NodesData[[#This Row],[Count]]&gt;1,",","") &amp;"{"&amp;twoRangesToJSON(NodesData[[#Headers],[id]:[url]],NodesData[[#This Row],[id]:[url]])&amp;"}"</f>
        <v>,{"id":"n_mutual_authentication","label":"Mutual Authentication","url":"https://open-measure.atlassian.net/wiki/spaces/DIC/pages/998244664"}</v>
      </c>
      <c r="J277" s="3"/>
    </row>
    <row r="278" spans="1:10" ht="13.25" customHeight="1" thickTop="1" thickBot="1" x14ac:dyDescent="0.4">
      <c r="A278" s="17" t="str">
        <f>SUBSTITUTE(SUBSTITUTE("n_"&amp;LOWER(SUBSTITUTE(SUBSTITUTE(SUBSTITUTE(NodesData[[#This Row],[label]]," ","_"),"/","_"),"-","_")),"__","_"),"__","_")</f>
        <v>n_object</v>
      </c>
      <c r="B278" s="18" t="s">
        <v>989</v>
      </c>
      <c r="C278" s="18" t="s">
        <v>990</v>
      </c>
      <c r="D278" s="3" t="s">
        <v>1411</v>
      </c>
      <c r="E278" s="3">
        <f t="shared" si="4"/>
        <v>276</v>
      </c>
      <c r="F278" s="3">
        <f>COUNTIF(NodesData[label],NodesData[[#This Row],[label]])</f>
        <v>1</v>
      </c>
      <c r="G278" s="3">
        <f>COUNTIF(ConceptNodes9['[A_ID']],NodesData[[#This Row],[id]])+COUNTIF(ConceptNodes9['[B_ID']],NodesData[[#This Row],[id]])</f>
        <v>0</v>
      </c>
      <c r="H278" s="3">
        <f>IF(NodesData[[#This Row],[Used]]&gt;0,1,0)</f>
        <v>0</v>
      </c>
      <c r="I278" s="19" t="str" cm="1">
        <f t="array" ref="I278">IF(NodesData[[#This Row],[Count]]&gt;1,",","") &amp;"{"&amp;twoRangesToJSON(NodesData[[#Headers],[id]:[url]],NodesData[[#This Row],[id]:[url]])&amp;"}"</f>
        <v>,{"id":"n_object","label":"Object","url":"https://open-measure.atlassian.net/wiki/spaces/DIC/pages/67568133"}</v>
      </c>
      <c r="J278" s="3"/>
    </row>
    <row r="279" spans="1:10" ht="13.25" customHeight="1" thickTop="1" thickBot="1" x14ac:dyDescent="0.4">
      <c r="A279" s="17" t="str">
        <f>SUBSTITUTE(SUBSTITUTE("n_"&amp;LOWER(SUBSTITUTE(SUBSTITUTE(SUBSTITUTE(NodesData[[#This Row],[label]]," ","_"),"/","_"),"-","_")),"__","_"),"__","_")</f>
        <v>n_omission_error</v>
      </c>
      <c r="B279" s="18" t="s">
        <v>991</v>
      </c>
      <c r="C279" s="18" t="s">
        <v>992</v>
      </c>
      <c r="D279" s="3" t="s">
        <v>1411</v>
      </c>
      <c r="E279" s="3">
        <f t="shared" si="4"/>
        <v>277</v>
      </c>
      <c r="F279" s="3">
        <f>COUNTIF(NodesData[label],NodesData[[#This Row],[label]])</f>
        <v>1</v>
      </c>
      <c r="G279" s="3">
        <f>COUNTIF(ConceptNodes9['[A_ID']],NodesData[[#This Row],[id]])+COUNTIF(ConceptNodes9['[B_ID']],NodesData[[#This Row],[id]])</f>
        <v>0</v>
      </c>
      <c r="H279" s="3">
        <f>IF(NodesData[[#This Row],[Used]]&gt;0,1,0)</f>
        <v>0</v>
      </c>
      <c r="I279" s="19" t="str" cm="1">
        <f t="array" ref="I279">IF(NodesData[[#This Row],[Count]]&gt;1,",","") &amp;"{"&amp;twoRangesToJSON(NodesData[[#Headers],[id]:[url]],NodesData[[#This Row],[id]:[url]])&amp;"}"</f>
        <v>,{"id":"n_omission_error","label":"Omission Error","url":"https://open-measure.atlassian.net/wiki/spaces/DIC/pages/998244357"}</v>
      </c>
      <c r="J279" s="3"/>
    </row>
    <row r="280" spans="1:10" ht="13.25" customHeight="1" thickTop="1" thickBot="1" x14ac:dyDescent="0.4">
      <c r="A280" s="17" t="str">
        <f>SUBSTITUTE(SUBSTITUTE("n_"&amp;LOWER(SUBSTITUTE(SUBSTITUTE(SUBSTITUTE(NodesData[[#This Row],[label]]," ","_"),"/","_"),"-","_")),"__","_"),"__","_")</f>
        <v>n_oauth</v>
      </c>
      <c r="B280" s="18" t="s">
        <v>987</v>
      </c>
      <c r="C280" s="18" t="s">
        <v>988</v>
      </c>
      <c r="D280" s="3" t="s">
        <v>1301</v>
      </c>
      <c r="E280" s="3">
        <f t="shared" si="4"/>
        <v>278</v>
      </c>
      <c r="F280" s="3">
        <f>COUNTIF(NodesData[label],NodesData[[#This Row],[label]])</f>
        <v>1</v>
      </c>
      <c r="G280" s="3">
        <f>COUNTIF(ConceptNodes9['[A_ID']],NodesData[[#This Row],[id]])+COUNTIF(ConceptNodes9['[B_ID']],NodesData[[#This Row],[id]])</f>
        <v>0</v>
      </c>
      <c r="H280" s="3">
        <f>IF(NodesData[[#This Row],[Used]]&gt;0,1,0)</f>
        <v>0</v>
      </c>
      <c r="I280" s="19" t="str" cm="1">
        <f t="array" ref="I280">IF(NodesData[[#This Row],[Count]]&gt;1,",","") &amp;"{"&amp;twoRangesToJSON(NodesData[[#Headers],[id]:[url]],NodesData[[#This Row],[id]:[url]])&amp;"}"</f>
        <v>,{"id":"n_oauth","label":"OAuth","url":"https://open-measure.atlassian.net/wiki/spaces/DIC/pages/446825168"}</v>
      </c>
      <c r="J280" s="3"/>
    </row>
    <row r="281" spans="1:10" ht="13.25" customHeight="1" thickTop="1" thickBot="1" x14ac:dyDescent="0.4">
      <c r="A281" s="17" t="str">
        <f>SUBSTITUTE(SUBSTITUTE("n_"&amp;LOWER(SUBSTITUTE(SUBSTITUTE(SUBSTITUTE(NodesData[[#This Row],[label]]," ","_"),"/","_"),"-","_")),"__","_"),"__","_")</f>
        <v>n_opa</v>
      </c>
      <c r="B281" s="18" t="s">
        <v>993</v>
      </c>
      <c r="C281" s="18" t="s">
        <v>994</v>
      </c>
      <c r="D281" s="3" t="s">
        <v>1301</v>
      </c>
      <c r="E281" s="3">
        <f t="shared" si="4"/>
        <v>279</v>
      </c>
      <c r="F281" s="3">
        <f>COUNTIF(NodesData[label],NodesData[[#This Row],[label]])</f>
        <v>1</v>
      </c>
      <c r="G281" s="3">
        <f>COUNTIF(ConceptNodes9['[A_ID']],NodesData[[#This Row],[id]])+COUNTIF(ConceptNodes9['[B_ID']],NodesData[[#This Row],[id]])</f>
        <v>0</v>
      </c>
      <c r="H281" s="3">
        <f>IF(NodesData[[#This Row],[Used]]&gt;0,1,0)</f>
        <v>0</v>
      </c>
      <c r="I281" s="19" t="str" cm="1">
        <f t="array" ref="I281">IF(NodesData[[#This Row],[Count]]&gt;1,",","") &amp;"{"&amp;twoRangesToJSON(NodesData[[#Headers],[id]:[url]],NodesData[[#This Row],[id]:[url]])&amp;"}"</f>
        <v>,{"id":"n_opa","label":"OPA","url":"https://open-measure.atlassian.net/wiki/spaces/DIC/pages/1142358051"}</v>
      </c>
      <c r="J281" s="3"/>
    </row>
    <row r="282" spans="1:10" ht="13.25" customHeight="1" thickTop="1" thickBot="1" x14ac:dyDescent="0.4">
      <c r="A282" s="17" t="str">
        <f>SUBSTITUTE(SUBSTITUTE("n_"&amp;LOWER(SUBSTITUTE(SUBSTITUTE(SUBSTITUTE(NodesData[[#This Row],[label]]," ","_"),"/","_"),"-","_")),"__","_"),"__","_")</f>
        <v>n_open_policy_agent</v>
      </c>
      <c r="B282" s="18" t="s">
        <v>995</v>
      </c>
      <c r="C282" s="18" t="s">
        <v>996</v>
      </c>
      <c r="D282" s="3" t="s">
        <v>1411</v>
      </c>
      <c r="E282" s="3">
        <f t="shared" si="4"/>
        <v>280</v>
      </c>
      <c r="F282" s="3">
        <f>COUNTIF(NodesData[label],NodesData[[#This Row],[label]])</f>
        <v>1</v>
      </c>
      <c r="G282" s="3">
        <f>COUNTIF(ConceptNodes9['[A_ID']],NodesData[[#This Row],[id]])+COUNTIF(ConceptNodes9['[B_ID']],NodesData[[#This Row],[id]])</f>
        <v>0</v>
      </c>
      <c r="H282" s="3">
        <f>IF(NodesData[[#This Row],[Used]]&gt;0,1,0)</f>
        <v>0</v>
      </c>
      <c r="I282" s="19" t="str" cm="1">
        <f t="array" ref="I282">IF(NodesData[[#This Row],[Count]]&gt;1,",","") &amp;"{"&amp;twoRangesToJSON(NodesData[[#Headers],[id]:[url]],NodesData[[#This Row],[id]:[url]])&amp;"}"</f>
        <v>,{"id":"n_open_policy_agent","label":"Open Policy Agent","url":"https://open-measure.atlassian.net/wiki/spaces/DIC/pages/1142259761"}</v>
      </c>
      <c r="J282" s="3"/>
    </row>
    <row r="283" spans="1:10" ht="13.25" customHeight="1" thickTop="1" thickBot="1" x14ac:dyDescent="0.4">
      <c r="A283" s="17" t="str">
        <f>SUBSTITUTE(SUBSTITUTE("n_"&amp;LOWER(SUBSTITUTE(SUBSTITUTE(SUBSTITUTE(NodesData[[#This Row],[label]]," ","_"),"/","_"),"-","_")),"__","_"),"__","_")</f>
        <v>n_operational_definition</v>
      </c>
      <c r="B283" s="18" t="s">
        <v>997</v>
      </c>
      <c r="C283" s="18" t="s">
        <v>998</v>
      </c>
      <c r="D283" s="3" t="s">
        <v>1411</v>
      </c>
      <c r="E283" s="3">
        <f t="shared" si="4"/>
        <v>281</v>
      </c>
      <c r="F283" s="3">
        <f>COUNTIF(NodesData[label],NodesData[[#This Row],[label]])</f>
        <v>1</v>
      </c>
      <c r="G283" s="3">
        <f>COUNTIF(ConceptNodes9['[A_ID']],NodesData[[#This Row],[id]])+COUNTIF(ConceptNodes9['[B_ID']],NodesData[[#This Row],[id]])</f>
        <v>0</v>
      </c>
      <c r="H283" s="3">
        <f>IF(NodesData[[#This Row],[Used]]&gt;0,1,0)</f>
        <v>0</v>
      </c>
      <c r="I283" s="19" t="str" cm="1">
        <f t="array" ref="I283">IF(NodesData[[#This Row],[Count]]&gt;1,",","") &amp;"{"&amp;twoRangesToJSON(NodesData[[#Headers],[id]:[url]],NodesData[[#This Row],[id]:[url]])&amp;"}"</f>
        <v>,{"id":"n_operational_definition","label":"Operational Definition","url":"https://open-measure.atlassian.net/wiki/spaces/DIC/pages/3211353"}</v>
      </c>
      <c r="J283" s="3"/>
    </row>
    <row r="284" spans="1:10" ht="13.25" customHeight="1" thickTop="1" thickBot="1" x14ac:dyDescent="0.4">
      <c r="A284" s="17" t="str">
        <f>SUBSTITUTE(SUBSTITUTE("n_"&amp;LOWER(SUBSTITUTE(SUBSTITUTE(SUBSTITUTE(NodesData[[#This Row],[label]]," ","_"),"/","_"),"-","_")),"__","_"),"__","_")</f>
        <v>n_operational_taxonomic_unit</v>
      </c>
      <c r="B284" s="18" t="s">
        <v>999</v>
      </c>
      <c r="C284" s="18" t="s">
        <v>1000</v>
      </c>
      <c r="D284" s="3" t="s">
        <v>1411</v>
      </c>
      <c r="E284" s="3">
        <f t="shared" si="4"/>
        <v>282</v>
      </c>
      <c r="F284" s="3">
        <f>COUNTIF(NodesData[label],NodesData[[#This Row],[label]])</f>
        <v>1</v>
      </c>
      <c r="G284" s="3">
        <f>COUNTIF(ConceptNodes9['[A_ID']],NodesData[[#This Row],[id]])+COUNTIF(ConceptNodes9['[B_ID']],NodesData[[#This Row],[id]])</f>
        <v>0</v>
      </c>
      <c r="H284" s="3">
        <f>IF(NodesData[[#This Row],[Used]]&gt;0,1,0)</f>
        <v>0</v>
      </c>
      <c r="I284" s="19" t="str" cm="1">
        <f t="array" ref="I284">IF(NodesData[[#This Row],[Count]]&gt;1,",","") &amp;"{"&amp;twoRangesToJSON(NodesData[[#Headers],[id]:[url]],NodesData[[#This Row],[id]:[url]])&amp;"}"</f>
        <v>,{"id":"n_operational_taxonomic_unit","label":"Operational Taxonomic Unit","url":"https://open-measure.atlassian.net/wiki/spaces/DIC/pages/148439181"}</v>
      </c>
      <c r="J284" s="3"/>
    </row>
    <row r="285" spans="1:10" ht="13.25" customHeight="1" thickTop="1" thickBot="1" x14ac:dyDescent="0.4">
      <c r="A285" s="17" t="str">
        <f>SUBSTITUTE(SUBSTITUTE("n_"&amp;LOWER(SUBSTITUTE(SUBSTITUTE(SUBSTITUTE(NodesData[[#This Row],[label]]," ","_"),"/","_"),"-","_")),"__","_"),"__","_")</f>
        <v>n_ordinal_scale</v>
      </c>
      <c r="B285" s="18" t="s">
        <v>1001</v>
      </c>
      <c r="C285" s="18" t="s">
        <v>1002</v>
      </c>
      <c r="D285" s="3" t="s">
        <v>1411</v>
      </c>
      <c r="E285" s="3">
        <f t="shared" si="4"/>
        <v>283</v>
      </c>
      <c r="F285" s="3">
        <f>COUNTIF(NodesData[label],NodesData[[#This Row],[label]])</f>
        <v>1</v>
      </c>
      <c r="G285" s="3">
        <f>COUNTIF(ConceptNodes9['[A_ID']],NodesData[[#This Row],[id]])+COUNTIF(ConceptNodes9['[B_ID']],NodesData[[#This Row],[id]])</f>
        <v>0</v>
      </c>
      <c r="H285" s="3">
        <f>IF(NodesData[[#This Row],[Used]]&gt;0,1,0)</f>
        <v>0</v>
      </c>
      <c r="I285" s="19" t="str" cm="1">
        <f t="array" ref="I285">IF(NodesData[[#This Row],[Count]]&gt;1,",","") &amp;"{"&amp;twoRangesToJSON(NodesData[[#Headers],[id]:[url]],NodesData[[#This Row],[id]:[url]])&amp;"}"</f>
        <v>,{"id":"n_ordinal_scale","label":"Ordinal Scale","url":"https://open-measure.atlassian.net/wiki/spaces/DIC/pages/5932838"}</v>
      </c>
      <c r="J285" s="3"/>
    </row>
    <row r="286" spans="1:10" ht="13.25" customHeight="1" thickTop="1" thickBot="1" x14ac:dyDescent="0.4">
      <c r="A286" s="17" t="str">
        <f>SUBSTITUTE(SUBSTITUTE("n_"&amp;LOWER(SUBSTITUTE(SUBSTITUTE(SUBSTITUTE(NodesData[[#This Row],[label]]," ","_"),"/","_"),"-","_")),"__","_"),"__","_")</f>
        <v>n_organization_context</v>
      </c>
      <c r="B286" s="18" t="s">
        <v>1297</v>
      </c>
      <c r="C286" s="18" t="s">
        <v>1003</v>
      </c>
      <c r="D286" s="3" t="s">
        <v>1411</v>
      </c>
      <c r="E286" s="3">
        <f t="shared" si="4"/>
        <v>284</v>
      </c>
      <c r="F286" s="3">
        <f>COUNTIF(NodesData[label],NodesData[[#This Row],[label]])</f>
        <v>1</v>
      </c>
      <c r="G286" s="3">
        <f>COUNTIF(ConceptNodes9['[A_ID']],NodesData[[#This Row],[id]])+COUNTIF(ConceptNodes9['[B_ID']],NodesData[[#This Row],[id]])</f>
        <v>0</v>
      </c>
      <c r="H286" s="3">
        <f>IF(NodesData[[#This Row],[Used]]&gt;0,1,0)</f>
        <v>0</v>
      </c>
      <c r="I286" s="19" t="str" cm="1">
        <f t="array" ref="I286">IF(NodesData[[#This Row],[Count]]&gt;1,",","") &amp;"{"&amp;twoRangesToJSON(NodesData[[#Headers],[id]:[url]],NodesData[[#This Row],[id]:[url]])&amp;"}"</f>
        <v>,{"id":"n_organization_context","label":"Organization Context","url":"https://open-measure.atlassian.net/wiki/spaces/DIC/pages/1311403"}</v>
      </c>
      <c r="J286" s="3"/>
    </row>
    <row r="287" spans="1:10" ht="13.25" customHeight="1" thickTop="1" thickBot="1" x14ac:dyDescent="0.4">
      <c r="A287" s="17" t="str">
        <f>SUBSTITUTE(SUBSTITUTE("n_"&amp;LOWER(SUBSTITUTE(SUBSTITUTE(SUBSTITUTE(NodesData[[#This Row],[label]]," ","_"),"/","_"),"-","_")),"__","_"),"__","_")</f>
        <v>n_organization_scope</v>
      </c>
      <c r="B287" s="18" t="s">
        <v>1298</v>
      </c>
      <c r="C287" s="18" t="s">
        <v>1004</v>
      </c>
      <c r="D287" s="3" t="s">
        <v>1411</v>
      </c>
      <c r="E287" s="3">
        <f t="shared" si="4"/>
        <v>285</v>
      </c>
      <c r="F287" s="3">
        <f>COUNTIF(NodesData[label],NodesData[[#This Row],[label]])</f>
        <v>1</v>
      </c>
      <c r="G287" s="3">
        <f>COUNTIF(ConceptNodes9['[A_ID']],NodesData[[#This Row],[id]])+COUNTIF(ConceptNodes9['[B_ID']],NodesData[[#This Row],[id]])</f>
        <v>0</v>
      </c>
      <c r="H287" s="3">
        <f>IF(NodesData[[#This Row],[Used]]&gt;0,1,0)</f>
        <v>0</v>
      </c>
      <c r="I287" s="19" t="str" cm="1">
        <f t="array" ref="I287">IF(NodesData[[#This Row],[Count]]&gt;1,",","") &amp;"{"&amp;twoRangesToJSON(NodesData[[#Headers],[id]:[url]],NodesData[[#This Row],[id]:[url]])&amp;"}"</f>
        <v>,{"id":"n_organization_scope","label":"Organization Scope","url":"https://open-measure.atlassian.net/wiki/spaces/DIC/pages/557057"}</v>
      </c>
      <c r="J287" s="3"/>
    </row>
    <row r="288" spans="1:10" ht="13.25" customHeight="1" thickTop="1" thickBot="1" x14ac:dyDescent="0.4">
      <c r="A288" s="17" t="str">
        <f>SUBSTITUTE(SUBSTITUTE("n_"&amp;LOWER(SUBSTITUTE(SUBSTITUTE(SUBSTITUTE(NodesData[[#This Row],[label]]," ","_"),"/","_"),"-","_")),"__","_"),"__","_")</f>
        <v>n_orphan</v>
      </c>
      <c r="B288" s="18" t="s">
        <v>1005</v>
      </c>
      <c r="C288" s="18" t="s">
        <v>1006</v>
      </c>
      <c r="D288" s="3" t="s">
        <v>1411</v>
      </c>
      <c r="E288" s="3">
        <f t="shared" si="4"/>
        <v>286</v>
      </c>
      <c r="F288" s="3">
        <f>COUNTIF(NodesData[label],NodesData[[#This Row],[label]])</f>
        <v>1</v>
      </c>
      <c r="G288" s="3">
        <f>COUNTIF(ConceptNodes9['[A_ID']],NodesData[[#This Row],[id]])+COUNTIF(ConceptNodes9['[B_ID']],NodesData[[#This Row],[id]])</f>
        <v>0</v>
      </c>
      <c r="H288" s="3">
        <f>IF(NodesData[[#This Row],[Used]]&gt;0,1,0)</f>
        <v>0</v>
      </c>
      <c r="I288" s="19" t="str" cm="1">
        <f t="array" ref="I288">IF(NodesData[[#This Row],[Count]]&gt;1,",","") &amp;"{"&amp;twoRangesToJSON(NodesData[[#Headers],[id]:[url]],NodesData[[#This Row],[id]:[url]])&amp;"}"</f>
        <v>,{"id":"n_orphan","label":"Orphan","url":"https://open-measure.atlassian.net/wiki/spaces/DIC/pages/1061650550"}</v>
      </c>
      <c r="J288" s="3"/>
    </row>
    <row r="289" spans="1:10" ht="13.25" customHeight="1" thickTop="1" thickBot="1" x14ac:dyDescent="0.4">
      <c r="A289" s="17" t="str">
        <f>SUBSTITUTE(SUBSTITUTE("n_"&amp;LOWER(SUBSTITUTE(SUBSTITUTE(SUBSTITUTE(NodesData[[#This Row],[label]]," ","_"),"/","_"),"-","_")),"__","_"),"__","_")</f>
        <v>n_orphan_account</v>
      </c>
      <c r="B289" s="18" t="s">
        <v>359</v>
      </c>
      <c r="C289" s="18" t="s">
        <v>1007</v>
      </c>
      <c r="D289" s="3" t="s">
        <v>1411</v>
      </c>
      <c r="E289" s="3">
        <f t="shared" si="4"/>
        <v>287</v>
      </c>
      <c r="F289" s="3">
        <f>COUNTIF(NodesData[label],NodesData[[#This Row],[label]])</f>
        <v>1</v>
      </c>
      <c r="G289" s="3">
        <f>COUNTIF(ConceptNodes9['[A_ID']],NodesData[[#This Row],[id]])+COUNTIF(ConceptNodes9['[B_ID']],NodesData[[#This Row],[id]])</f>
        <v>0</v>
      </c>
      <c r="H289" s="3">
        <f>IF(NodesData[[#This Row],[Used]]&gt;0,1,0)</f>
        <v>0</v>
      </c>
      <c r="I289" s="19" t="str" cm="1">
        <f t="array" ref="I289">IF(NodesData[[#This Row],[Count]]&gt;1,",","") &amp;"{"&amp;twoRangesToJSON(NodesData[[#Headers],[id]:[url]],NodesData[[#This Row],[id]:[url]])&amp;"}"</f>
        <v>,{"id":"n_orphan_account","label":"Orphan Account","url":"https://open-measure.atlassian.net/wiki/spaces/DIC/pages/1062207530/Orphan+Account"}</v>
      </c>
      <c r="J289" s="3"/>
    </row>
    <row r="290" spans="1:10" ht="13.25" customHeight="1" thickTop="1" thickBot="1" x14ac:dyDescent="0.4">
      <c r="A290" s="17" t="str">
        <f>SUBSTITUTE(SUBSTITUTE("n_"&amp;LOWER(SUBSTITUTE(SUBSTITUTE(SUBSTITUTE(NodesData[[#This Row],[label]]," ","_"),"/","_"),"-","_")),"__","_"),"__","_")</f>
        <v>n_orphan_file</v>
      </c>
      <c r="B290" s="18" t="s">
        <v>1008</v>
      </c>
      <c r="C290" s="18" t="s">
        <v>1009</v>
      </c>
      <c r="D290" s="3" t="s">
        <v>1411</v>
      </c>
      <c r="E290" s="3">
        <f t="shared" si="4"/>
        <v>288</v>
      </c>
      <c r="F290" s="3">
        <f>COUNTIF(NodesData[label],NodesData[[#This Row],[label]])</f>
        <v>1</v>
      </c>
      <c r="G290" s="3">
        <f>COUNTIF(ConceptNodes9['[A_ID']],NodesData[[#This Row],[id]])+COUNTIF(ConceptNodes9['[B_ID']],NodesData[[#This Row],[id]])</f>
        <v>0</v>
      </c>
      <c r="H290" s="3">
        <f>IF(NodesData[[#This Row],[Used]]&gt;0,1,0)</f>
        <v>0</v>
      </c>
      <c r="I290" s="19" t="str" cm="1">
        <f t="array" ref="I290">IF(NodesData[[#This Row],[Count]]&gt;1,",","") &amp;"{"&amp;twoRangesToJSON(NodesData[[#Headers],[id]:[url]],NodesData[[#This Row],[id]:[url]])&amp;"}"</f>
        <v>,{"id":"n_orphan_file","label":"Orphan File","url":"https://open-measure.atlassian.net/wiki/spaces/DIC/pages/1061748965"}</v>
      </c>
      <c r="J290" s="3"/>
    </row>
    <row r="291" spans="1:10" ht="13.25" customHeight="1" thickTop="1" thickBot="1" x14ac:dyDescent="0.4">
      <c r="A291" s="17" t="str">
        <f>SUBSTITUTE(SUBSTITUTE("n_"&amp;LOWER(SUBSTITUTE(SUBSTITUTE(SUBSTITUTE(NodesData[[#This Row],[label]]," ","_"),"/","_"),"-","_")),"__","_"),"__","_")</f>
        <v>n_orphan_object</v>
      </c>
      <c r="B291" s="18" t="s">
        <v>1010</v>
      </c>
      <c r="C291" s="18" t="s">
        <v>1011</v>
      </c>
      <c r="D291" s="3" t="s">
        <v>1411</v>
      </c>
      <c r="E291" s="3">
        <f t="shared" si="4"/>
        <v>289</v>
      </c>
      <c r="F291" s="3">
        <f>COUNTIF(NodesData[label],NodesData[[#This Row],[label]])</f>
        <v>1</v>
      </c>
      <c r="G291" s="3">
        <f>COUNTIF(ConceptNodes9['[A_ID']],NodesData[[#This Row],[id]])+COUNTIF(ConceptNodes9['[B_ID']],NodesData[[#This Row],[id]])</f>
        <v>0</v>
      </c>
      <c r="H291" s="3">
        <f>IF(NodesData[[#This Row],[Used]]&gt;0,1,0)</f>
        <v>0</v>
      </c>
      <c r="I291" s="19" t="str" cm="1">
        <f t="array" ref="I291">IF(NodesData[[#This Row],[Count]]&gt;1,",","") &amp;"{"&amp;twoRangesToJSON(NodesData[[#Headers],[id]:[url]],NodesData[[#This Row],[id]:[url]])&amp;"}"</f>
        <v>,{"id":"n_orphan_object","label":"Orphan Object","url":"https://open-measure.atlassian.net/wiki/spaces/DIC/pages/1061650653"}</v>
      </c>
      <c r="J291" s="3"/>
    </row>
    <row r="292" spans="1:10" ht="13.25" customHeight="1" thickTop="1" thickBot="1" x14ac:dyDescent="0.4">
      <c r="A292" s="17" t="str">
        <f>SUBSTITUTE(SUBSTITUTE("n_"&amp;LOWER(SUBSTITUTE(SUBSTITUTE(SUBSTITUTE(NodesData[[#This Row],[label]]," ","_"),"/","_"),"-","_")),"__","_"),"__","_")</f>
        <v>n_orphan_process</v>
      </c>
      <c r="B292" s="18" t="s">
        <v>1012</v>
      </c>
      <c r="C292" s="18" t="s">
        <v>1013</v>
      </c>
      <c r="D292" s="3" t="s">
        <v>1411</v>
      </c>
      <c r="E292" s="3">
        <f t="shared" si="4"/>
        <v>290</v>
      </c>
      <c r="F292" s="3">
        <f>COUNTIF(NodesData[label],NodesData[[#This Row],[label]])</f>
        <v>1</v>
      </c>
      <c r="G292" s="3">
        <f>COUNTIF(ConceptNodes9['[A_ID']],NodesData[[#This Row],[id]])+COUNTIF(ConceptNodes9['[B_ID']],NodesData[[#This Row],[id]])</f>
        <v>0</v>
      </c>
      <c r="H292" s="3">
        <f>IF(NodesData[[#This Row],[Used]]&gt;0,1,0)</f>
        <v>0</v>
      </c>
      <c r="I292" s="19" t="str" cm="1">
        <f t="array" ref="I292">IF(NodesData[[#This Row],[Count]]&gt;1,",","") &amp;"{"&amp;twoRangesToJSON(NodesData[[#Headers],[id]:[url]],NodesData[[#This Row],[id]:[url]])&amp;"}"</f>
        <v>,{"id":"n_orphan_process","label":"Orphan Process","url":"https://open-measure.atlassian.net/wiki/spaces/DIC/pages/1061748925"}</v>
      </c>
      <c r="J292" s="3"/>
    </row>
    <row r="293" spans="1:10" ht="13.25" customHeight="1" thickTop="1" thickBot="1" x14ac:dyDescent="0.4">
      <c r="A293" s="17" t="str">
        <f>SUBSTITUTE(SUBSTITUTE("n_"&amp;LOWER(SUBSTITUTE(SUBSTITUTE(SUBSTITUTE(NodesData[[#This Row],[label]]," ","_"),"/","_"),"-","_")),"__","_"),"__","_")</f>
        <v>n_orphan_product</v>
      </c>
      <c r="B293" s="18" t="s">
        <v>1014</v>
      </c>
      <c r="C293" s="18" t="s">
        <v>1015</v>
      </c>
      <c r="D293" s="3" t="s">
        <v>1411</v>
      </c>
      <c r="E293" s="3">
        <f t="shared" si="4"/>
        <v>291</v>
      </c>
      <c r="F293" s="3">
        <f>COUNTIF(NodesData[label],NodesData[[#This Row],[label]])</f>
        <v>1</v>
      </c>
      <c r="G293" s="3">
        <f>COUNTIF(ConceptNodes9['[A_ID']],NodesData[[#This Row],[id]])+COUNTIF(ConceptNodes9['[B_ID']],NodesData[[#This Row],[id]])</f>
        <v>0</v>
      </c>
      <c r="H293" s="3">
        <f>IF(NodesData[[#This Row],[Used]]&gt;0,1,0)</f>
        <v>0</v>
      </c>
      <c r="I293" s="19" t="str" cm="1">
        <f t="array" ref="I293">IF(NodesData[[#This Row],[Count]]&gt;1,",","") &amp;"{"&amp;twoRangesToJSON(NodesData[[#Headers],[id]:[url]],NodesData[[#This Row],[id]:[url]])&amp;"}"</f>
        <v>,{"id":"n_orphan_product","label":"Orphan Product","url":"https://open-measure.atlassian.net/wiki/spaces/DIC/pages/1061749016"}</v>
      </c>
      <c r="J293" s="3"/>
    </row>
    <row r="294" spans="1:10" ht="13.25" customHeight="1" thickTop="1" thickBot="1" x14ac:dyDescent="0.4">
      <c r="A294" s="17" t="str">
        <f>SUBSTITUTE(SUBSTITUTE("n_"&amp;LOWER(SUBSTITUTE(SUBSTITUTE(SUBSTITUTE(NodesData[[#This Row],[label]]," ","_"),"/","_"),"-","_")),"__","_"),"__","_")</f>
        <v>n_orphan_role</v>
      </c>
      <c r="B294" s="18" t="s">
        <v>1016</v>
      </c>
      <c r="C294" s="18" t="s">
        <v>1017</v>
      </c>
      <c r="D294" s="3" t="s">
        <v>1411</v>
      </c>
      <c r="E294" s="3">
        <f t="shared" si="4"/>
        <v>292</v>
      </c>
      <c r="F294" s="3">
        <f>COUNTIF(NodesData[label],NodesData[[#This Row],[label]])</f>
        <v>1</v>
      </c>
      <c r="G294" s="3">
        <f>COUNTIF(ConceptNodes9['[A_ID']],NodesData[[#This Row],[id]])+COUNTIF(ConceptNodes9['[B_ID']],NodesData[[#This Row],[id]])</f>
        <v>0</v>
      </c>
      <c r="H294" s="3">
        <f>IF(NodesData[[#This Row],[Used]]&gt;0,1,0)</f>
        <v>0</v>
      </c>
      <c r="I294" s="19" t="str" cm="1">
        <f t="array" ref="I294">IF(NodesData[[#This Row],[Count]]&gt;1,",","") &amp;"{"&amp;twoRangesToJSON(NodesData[[#Headers],[id]:[url]],NodesData[[#This Row],[id]:[url]])&amp;"}"</f>
        <v>,{"id":"n_orphan_role","label":"Orphan Role","url":"https://open-measure.atlassian.net/wiki/spaces/DIC/pages/1063845889"}</v>
      </c>
      <c r="J294" s="3"/>
    </row>
    <row r="295" spans="1:10" ht="13.25" customHeight="1" thickTop="1" thickBot="1" x14ac:dyDescent="0.4">
      <c r="A295" s="17" t="str">
        <f>SUBSTITUTE(SUBSTITUTE("n_"&amp;LOWER(SUBSTITUTE(SUBSTITUTE(SUBSTITUTE(NodesData[[#This Row],[label]]," ","_"),"/","_"),"-","_")),"__","_"),"__","_")</f>
        <v>n_orphan_routes_apis</v>
      </c>
      <c r="B295" s="18" t="s">
        <v>1018</v>
      </c>
      <c r="C295" s="18" t="s">
        <v>1019</v>
      </c>
      <c r="D295" s="3" t="s">
        <v>1411</v>
      </c>
      <c r="E295" s="3">
        <f t="shared" si="4"/>
        <v>293</v>
      </c>
      <c r="F295" s="3">
        <f>COUNTIF(NodesData[label],NodesData[[#This Row],[label]])</f>
        <v>1</v>
      </c>
      <c r="G295" s="3">
        <f>COUNTIF(ConceptNodes9['[A_ID']],NodesData[[#This Row],[id]])+COUNTIF(ConceptNodes9['[B_ID']],NodesData[[#This Row],[id]])</f>
        <v>0</v>
      </c>
      <c r="H295" s="3">
        <f>IF(NodesData[[#This Row],[Used]]&gt;0,1,0)</f>
        <v>0</v>
      </c>
      <c r="I295" s="19" t="str" cm="1">
        <f t="array" ref="I295">IF(NodesData[[#This Row],[Count]]&gt;1,",","") &amp;"{"&amp;twoRangesToJSON(NodesData[[#Headers],[id]:[url]],NodesData[[#This Row],[id]:[url]])&amp;"}"</f>
        <v>,{"id":"n_orphan_routes_apis","label":"Orphan Routes / APIs","url":"https://open-measure.atlassian.net/wiki/spaces/DIC/pages/1061650689"}</v>
      </c>
      <c r="J295" s="3"/>
    </row>
    <row r="296" spans="1:10" ht="13.25" customHeight="1" thickTop="1" thickBot="1" x14ac:dyDescent="0.4">
      <c r="A296" s="17" t="str">
        <f>SUBSTITUTE(SUBSTITUTE("n_"&amp;LOWER(SUBSTITUTE(SUBSTITUTE(SUBSTITUTE(NodesData[[#This Row],[label]]," ","_"),"/","_"),"-","_")),"__","_"),"__","_")</f>
        <v>n_orphan_system</v>
      </c>
      <c r="B296" s="18" t="s">
        <v>1020</v>
      </c>
      <c r="C296" s="18" t="s">
        <v>1021</v>
      </c>
      <c r="D296" s="3" t="s">
        <v>1411</v>
      </c>
      <c r="E296" s="3">
        <f t="shared" si="4"/>
        <v>294</v>
      </c>
      <c r="F296" s="3">
        <f>COUNTIF(NodesData[label],NodesData[[#This Row],[label]])</f>
        <v>1</v>
      </c>
      <c r="G296" s="3">
        <f>COUNTIF(ConceptNodes9['[A_ID']],NodesData[[#This Row],[id]])+COUNTIF(ConceptNodes9['[B_ID']],NodesData[[#This Row],[id]])</f>
        <v>0</v>
      </c>
      <c r="H296" s="3">
        <f>IF(NodesData[[#This Row],[Used]]&gt;0,1,0)</f>
        <v>0</v>
      </c>
      <c r="I296" s="19" t="str" cm="1">
        <f t="array" ref="I296">IF(NodesData[[#This Row],[Count]]&gt;1,",","") &amp;"{"&amp;twoRangesToJSON(NodesData[[#Headers],[id]:[url]],NodesData[[#This Row],[id]:[url]])&amp;"}"</f>
        <v>,{"id":"n_orphan_system","label":"Orphan System","url":"https://open-measure.atlassian.net/wiki/spaces/DIC/pages/1061748885"}</v>
      </c>
      <c r="J296" s="3"/>
    </row>
    <row r="297" spans="1:10" ht="13.25" customHeight="1" thickTop="1" thickBot="1" x14ac:dyDescent="0.4">
      <c r="A297" s="7" t="str">
        <f>SUBSTITUTE(SUBSTITUTE("n_"&amp;LOWER(SUBSTITUTE(SUBSTITUTE(SUBSTITUTE(NodesData[[#This Row],[label]]," ","_"),"/","_"),"-","_")),"__","_"),"__","_")</f>
        <v>n_one_time_passcode_authentication</v>
      </c>
      <c r="B297" s="12" t="s">
        <v>1368</v>
      </c>
      <c r="C297" s="12"/>
      <c r="D297" s="3" t="s">
        <v>1411</v>
      </c>
      <c r="E297" s="3">
        <f t="shared" si="4"/>
        <v>295</v>
      </c>
      <c r="F297" s="3">
        <f>COUNTIF(NodesData[label],NodesData[[#This Row],[label]])</f>
        <v>1</v>
      </c>
      <c r="G297" s="3">
        <f>COUNTIF(ConceptNodes9['[A_ID']],NodesData[[#This Row],[id]])+COUNTIF(ConceptNodes9['[B_ID']],NodesData[[#This Row],[id]])</f>
        <v>0</v>
      </c>
      <c r="H297" s="3">
        <f>IF(NodesData[[#This Row],[Used]]&gt;0,1,0)</f>
        <v>0</v>
      </c>
      <c r="I297" s="19" t="str" cm="1">
        <f t="array" ref="I297">IF(NodesData[[#This Row],[Count]]&gt;1,",","") &amp;"{"&amp;twoRangesToJSON(NodesData[[#Headers],[id]:[url]],NodesData[[#This Row],[id]:[url]])&amp;"}"</f>
        <v>,{"id":"n_one_time_passcode_authentication","label":"One-Time Passcode Authentication","url":""}</v>
      </c>
      <c r="J297" s="3"/>
    </row>
    <row r="298" spans="1:10" ht="13.25" customHeight="1" thickTop="1" thickBot="1" x14ac:dyDescent="0.4">
      <c r="A298" s="17" t="str">
        <f>SUBSTITUTE(SUBSTITUTE("n_"&amp;LOWER(SUBSTITUTE(SUBSTITUTE(SUBSTITUTE(NodesData[[#This Row],[label]]," ","_"),"/","_"),"-","_")),"__","_"),"__","_")</f>
        <v>n_outsider</v>
      </c>
      <c r="B298" s="18" t="s">
        <v>369</v>
      </c>
      <c r="C298" s="18" t="s">
        <v>1022</v>
      </c>
      <c r="D298" s="3" t="s">
        <v>1411</v>
      </c>
      <c r="E298" s="3">
        <f t="shared" si="4"/>
        <v>296</v>
      </c>
      <c r="F298" s="3">
        <f>COUNTIF(NodesData[label],NodesData[[#This Row],[label]])</f>
        <v>1</v>
      </c>
      <c r="G298" s="3">
        <f>COUNTIF(ConceptNodes9['[A_ID']],NodesData[[#This Row],[id]])+COUNTIF(ConceptNodes9['[B_ID']],NodesData[[#This Row],[id]])</f>
        <v>0</v>
      </c>
      <c r="H298" s="3">
        <f>IF(NodesData[[#This Row],[Used]]&gt;0,1,0)</f>
        <v>0</v>
      </c>
      <c r="I298" s="19" t="str" cm="1">
        <f t="array" ref="I298">IF(NodesData[[#This Row],[Count]]&gt;1,",","") &amp;"{"&amp;twoRangesToJSON(NodesData[[#Headers],[id]:[url]],NodesData[[#This Row],[id]:[url]])&amp;"}"</f>
        <v>,{"id":"n_outsider","label":"Outsider","url":"https://open-measure.atlassian.net/wiki/spaces/DIC/pages/1472692289/Outsider"}</v>
      </c>
      <c r="J298" s="3"/>
    </row>
    <row r="299" spans="1:10" ht="13.25" customHeight="1" thickTop="1" thickBot="1" x14ac:dyDescent="0.4">
      <c r="A299" s="7" t="str">
        <f>SUBSTITUTE(SUBSTITUTE("n_"&amp;LOWER(SUBSTITUTE(SUBSTITUTE(SUBSTITUTE(NodesData[[#This Row],[label]]," ","_"),"/","_"),"-","_")),"__","_"),"__","_")</f>
        <v>n_out_of_band_authentication</v>
      </c>
      <c r="B299" s="12" t="s">
        <v>1346</v>
      </c>
      <c r="C299" s="12"/>
      <c r="D299" s="3" t="s">
        <v>1411</v>
      </c>
      <c r="E299" s="3">
        <f t="shared" si="4"/>
        <v>297</v>
      </c>
      <c r="F299" s="3">
        <f>COUNTIF(NodesData[label],NodesData[[#This Row],[label]])</f>
        <v>1</v>
      </c>
      <c r="G299" s="3">
        <f>COUNTIF(ConceptNodes9['[A_ID']],NodesData[[#This Row],[id]])+COUNTIF(ConceptNodes9['[B_ID']],NodesData[[#This Row],[id]])</f>
        <v>0</v>
      </c>
      <c r="H299" s="3">
        <f>IF(NodesData[[#This Row],[Used]]&gt;0,1,0)</f>
        <v>0</v>
      </c>
      <c r="I299" s="19" t="str" cm="1">
        <f t="array" ref="I299">IF(NodesData[[#This Row],[Count]]&gt;1,",","") &amp;"{"&amp;twoRangesToJSON(NodesData[[#Headers],[id]:[url]],NodesData[[#This Row],[id]:[url]])&amp;"}"</f>
        <v>,{"id":"n_out_of_band_authentication","label":"Out-of-band Authentication","url":""}</v>
      </c>
      <c r="J299" s="3"/>
    </row>
    <row r="300" spans="1:10" ht="13.25" customHeight="1" thickTop="1" thickBot="1" x14ac:dyDescent="0.4">
      <c r="A300" s="17" t="str">
        <f>SUBSTITUTE(SUBSTITUTE("n_"&amp;LOWER(SUBSTITUTE(SUBSTITUTE(SUBSTITUTE(NodesData[[#This Row],[label]]," ","_"),"/","_"),"-","_")),"__","_"),"__","_")</f>
        <v>n_passive_impersonation_attack</v>
      </c>
      <c r="B300" s="18" t="s">
        <v>1023</v>
      </c>
      <c r="C300" s="18" t="s">
        <v>1024</v>
      </c>
      <c r="D300" s="3" t="s">
        <v>1411</v>
      </c>
      <c r="E300" s="3">
        <f t="shared" si="4"/>
        <v>298</v>
      </c>
      <c r="F300" s="3">
        <f>COUNTIF(NodesData[label],NodesData[[#This Row],[label]])</f>
        <v>1</v>
      </c>
      <c r="G300" s="3">
        <f>COUNTIF(ConceptNodes9['[A_ID']],NodesData[[#This Row],[id]])+COUNTIF(ConceptNodes9['[B_ID']],NodesData[[#This Row],[id]])</f>
        <v>0</v>
      </c>
      <c r="H300" s="3">
        <f>IF(NodesData[[#This Row],[Used]]&gt;0,1,0)</f>
        <v>0</v>
      </c>
      <c r="I300" s="19" t="str" cm="1">
        <f t="array" ref="I300">IF(NodesData[[#This Row],[Count]]&gt;1,",","") &amp;"{"&amp;twoRangesToJSON(NodesData[[#Headers],[id]:[url]],NodesData[[#This Row],[id]:[url]])&amp;"}"</f>
        <v>,{"id":"n_passive_impersonation_attack","label":"Passive Impersonation Attack","url":"https://open-measure.atlassian.net/wiki/spaces/DIC/pages/974323764"}</v>
      </c>
      <c r="J300" s="3"/>
    </row>
    <row r="301" spans="1:10" ht="13.25" customHeight="1" thickTop="1" thickBot="1" x14ac:dyDescent="0.4">
      <c r="A301" s="7" t="str">
        <f>SUBSTITUTE(SUBSTITUTE("n_"&amp;LOWER(SUBSTITUTE(SUBSTITUTE(SUBSTITUTE(NodesData[[#This Row],[label]]," ","_"),"/","_"),"-","_")),"__","_"),"__","_")</f>
        <v>n_palmprint_recognition_authentication</v>
      </c>
      <c r="B301" s="12" t="s">
        <v>1364</v>
      </c>
      <c r="C301" s="12"/>
      <c r="D301" s="3" t="s">
        <v>1411</v>
      </c>
      <c r="E301" s="3">
        <f t="shared" si="4"/>
        <v>299</v>
      </c>
      <c r="F301" s="3">
        <f>COUNTIF(NodesData[label],NodesData[[#This Row],[label]])</f>
        <v>1</v>
      </c>
      <c r="G301" s="3">
        <f>COUNTIF(ConceptNodes9['[A_ID']],NodesData[[#This Row],[id]])+COUNTIF(ConceptNodes9['[B_ID']],NodesData[[#This Row],[id]])</f>
        <v>2</v>
      </c>
      <c r="H301" s="3">
        <f>IF(NodesData[[#This Row],[Used]]&gt;0,1,0)</f>
        <v>1</v>
      </c>
      <c r="I301" s="19" t="str" cm="1">
        <f t="array" ref="I301">IF(NodesData[[#This Row],[Count]]&gt;1,",","") &amp;"{"&amp;twoRangesToJSON(NodesData[[#Headers],[id]:[url]],NodesData[[#This Row],[id]:[url]])&amp;"}"</f>
        <v>,{"id":"n_palmprint_recognition_authentication","label":"Palmprint Recognition Authentication","url":""}</v>
      </c>
      <c r="J301" s="3"/>
    </row>
    <row r="302" spans="1:10" ht="13.25" customHeight="1" thickTop="1" thickBot="1" x14ac:dyDescent="0.4">
      <c r="A302" s="24" t="str">
        <f>SUBSTITUTE(SUBSTITUTE("n_"&amp;LOWER(SUBSTITUTE(SUBSTITUTE(SUBSTITUTE(NodesData[[#This Row],[label]]," ","_"),"/","_"),"-","_")),"__","_"),"__","_")</f>
        <v>n_passphrase_authentication</v>
      </c>
      <c r="B302" s="23" t="s">
        <v>1378</v>
      </c>
      <c r="C302" s="23"/>
      <c r="D302" s="3" t="s">
        <v>1411</v>
      </c>
      <c r="E302" s="3">
        <f t="shared" si="4"/>
        <v>300</v>
      </c>
      <c r="F302" s="3">
        <f>COUNTIF(NodesData[label],NodesData[[#This Row],[label]])</f>
        <v>1</v>
      </c>
      <c r="G302" s="3">
        <f>COUNTIF(ConceptNodes9['[A_ID']],NodesData[[#This Row],[id]])+COUNTIF(ConceptNodes9['[B_ID']],NodesData[[#This Row],[id]])</f>
        <v>0</v>
      </c>
      <c r="H302" s="3">
        <f>IF(NodesData[[#This Row],[Used]]&gt;0,1,0)</f>
        <v>0</v>
      </c>
      <c r="I302" s="19" t="str" cm="1">
        <f t="array" ref="I302">IF(NodesData[[#This Row],[Count]]&gt;1,",","") &amp;"{"&amp;twoRangesToJSON(NodesData[[#Headers],[id]:[url]],NodesData[[#This Row],[id]:[url]])&amp;"}"</f>
        <v>,{"id":"n_passphrase_authentication","label":"Passphrase Authentication","url":""}</v>
      </c>
      <c r="J302" s="3"/>
    </row>
    <row r="303" spans="1:10" ht="13.25" customHeight="1" thickTop="1" thickBot="1" x14ac:dyDescent="0.4">
      <c r="A303" s="17" t="str">
        <f>SUBSTITUTE(SUBSTITUTE("n_"&amp;LOWER(SUBSTITUTE(SUBSTITUTE(SUBSTITUTE(NodesData[[#This Row],[label]]," ","_"),"/","_"),"-","_")),"__","_"),"__","_")</f>
        <v>n_password_guessing_attack</v>
      </c>
      <c r="B303" s="18" t="s">
        <v>373</v>
      </c>
      <c r="C303" s="18" t="s">
        <v>1025</v>
      </c>
      <c r="D303" s="3" t="s">
        <v>1411</v>
      </c>
      <c r="E303" s="3">
        <f t="shared" si="4"/>
        <v>301</v>
      </c>
      <c r="F303" s="3">
        <f>COUNTIF(NodesData[label],NodesData[[#This Row],[label]])</f>
        <v>1</v>
      </c>
      <c r="G303" s="3">
        <f>COUNTIF(ConceptNodes9['[A_ID']],NodesData[[#This Row],[id]])+COUNTIF(ConceptNodes9['[B_ID']],NodesData[[#This Row],[id]])</f>
        <v>0</v>
      </c>
      <c r="H303" s="3">
        <f>IF(NodesData[[#This Row],[Used]]&gt;0,1,0)</f>
        <v>0</v>
      </c>
      <c r="I303" s="19" t="str" cm="1">
        <f t="array" ref="I303">IF(NodesData[[#This Row],[Count]]&gt;1,",","") &amp;"{"&amp;twoRangesToJSON(NodesData[[#Headers],[id]:[url]],NodesData[[#This Row],[id]:[url]])&amp;"}"</f>
        <v>,{"id":"n_password_guessing_attack","label":"Password Guessing Attack","url":"https://open-measure.atlassian.net/wiki/spaces/DIC/pages/1428652394/Password+Guessing+Attack"}</v>
      </c>
      <c r="J303" s="3"/>
    </row>
    <row r="304" spans="1:10" ht="13.25" customHeight="1" thickTop="1" thickBot="1" x14ac:dyDescent="0.4">
      <c r="A304" s="17" t="str">
        <f>SUBSTITUTE(SUBSTITUTE("n_"&amp;LOWER(SUBSTITUTE(SUBSTITUTE(SUBSTITUTE(NodesData[[#This Row],[label]]," ","_"),"/","_"),"-","_")),"__","_"),"__","_")</f>
        <v>n_password_rotation</v>
      </c>
      <c r="B304" s="18" t="s">
        <v>1026</v>
      </c>
      <c r="C304" s="18" t="s">
        <v>1027</v>
      </c>
      <c r="D304" s="3" t="s">
        <v>1411</v>
      </c>
      <c r="E304" s="3">
        <f t="shared" si="4"/>
        <v>302</v>
      </c>
      <c r="F304" s="3">
        <f>COUNTIF(NodesData[label],NodesData[[#This Row],[label]])</f>
        <v>1</v>
      </c>
      <c r="G304" s="3">
        <f>COUNTIF(ConceptNodes9['[A_ID']],NodesData[[#This Row],[id]])+COUNTIF(ConceptNodes9['[B_ID']],NodesData[[#This Row],[id]])</f>
        <v>0</v>
      </c>
      <c r="H304" s="3">
        <f>IF(NodesData[[#This Row],[Used]]&gt;0,1,0)</f>
        <v>0</v>
      </c>
      <c r="I304" s="19" t="str" cm="1">
        <f t="array" ref="I304">IF(NodesData[[#This Row],[Count]]&gt;1,",","") &amp;"{"&amp;twoRangesToJSON(NodesData[[#Headers],[id]:[url]],NodesData[[#This Row],[id]:[url]])&amp;"}"</f>
        <v>,{"id":"n_password_rotation","label":"Password Rotation","url":"https://open-measure.atlassian.net/wiki/spaces/DIC/pages/1027048058"}</v>
      </c>
      <c r="J304" s="3"/>
    </row>
    <row r="305" spans="1:10" ht="13.25" customHeight="1" thickTop="1" thickBot="1" x14ac:dyDescent="0.4">
      <c r="A305" s="17" t="str">
        <f>SUBSTITUTE(SUBSTITUTE("n_"&amp;LOWER(SUBSTITUTE(SUBSTITUTE(SUBSTITUTE(NodesData[[#This Row],[label]]," ","_"),"/","_"),"-","_")),"__","_"),"__","_")</f>
        <v>n_password_spraying_attack</v>
      </c>
      <c r="B305" s="18" t="s">
        <v>7</v>
      </c>
      <c r="C305" s="18" t="s">
        <v>1028</v>
      </c>
      <c r="D305" s="3" t="s">
        <v>1411</v>
      </c>
      <c r="E305" s="3">
        <f t="shared" si="4"/>
        <v>303</v>
      </c>
      <c r="F305" s="3">
        <f>COUNTIF(NodesData[label],NodesData[[#This Row],[label]])</f>
        <v>1</v>
      </c>
      <c r="G305" s="3">
        <f>COUNTIF(ConceptNodes9['[A_ID']],NodesData[[#This Row],[id]])+COUNTIF(ConceptNodes9['[B_ID']],NodesData[[#This Row],[id]])</f>
        <v>0</v>
      </c>
      <c r="H305" s="3">
        <f>IF(NodesData[[#This Row],[Used]]&gt;0,1,0)</f>
        <v>0</v>
      </c>
      <c r="I305" s="19" t="str" cm="1">
        <f t="array" ref="I305">IF(NodesData[[#This Row],[Count]]&gt;1,",","") &amp;"{"&amp;twoRangesToJSON(NodesData[[#Headers],[id]:[url]],NodesData[[#This Row],[id]:[url]])&amp;"}"</f>
        <v>,{"id":"n_password_spraying_attack","label":"Password Spraying Attack","url":"https://open-measure.atlassian.net/wiki/spaces/DIC/pages/1348730921/Password+Spraying+Attack"}</v>
      </c>
      <c r="J305" s="3"/>
    </row>
    <row r="306" spans="1:10" ht="13.25" customHeight="1" thickTop="1" thickBot="1" x14ac:dyDescent="0.4">
      <c r="A306" s="24" t="str">
        <f>SUBSTITUTE(SUBSTITUTE("n_"&amp;LOWER(SUBSTITUTE(SUBSTITUTE(SUBSTITUTE(NodesData[[#This Row],[label]]," ","_"),"/","_"),"-","_")),"__","_"),"__","_")</f>
        <v>n_password_based_authentication</v>
      </c>
      <c r="B306" s="23" t="s">
        <v>1374</v>
      </c>
      <c r="C306" s="23"/>
      <c r="D306" s="3" t="s">
        <v>1411</v>
      </c>
      <c r="E306" s="3">
        <f t="shared" si="4"/>
        <v>304</v>
      </c>
      <c r="F306" s="3">
        <f>COUNTIF(NodesData[label],NodesData[[#This Row],[label]])</f>
        <v>1</v>
      </c>
      <c r="G306" s="3">
        <f>COUNTIF(ConceptNodes9['[A_ID']],NodesData[[#This Row],[id]])+COUNTIF(ConceptNodes9['[B_ID']],NodesData[[#This Row],[id]])</f>
        <v>0</v>
      </c>
      <c r="H306" s="3">
        <f>IF(NodesData[[#This Row],[Used]]&gt;0,1,0)</f>
        <v>0</v>
      </c>
      <c r="I306" s="19" t="str" cm="1">
        <f t="array" ref="I306">IF(NodesData[[#This Row],[Count]]&gt;1,",","") &amp;"{"&amp;twoRangesToJSON(NodesData[[#Headers],[id]:[url]],NodesData[[#This Row],[id]:[url]])&amp;"}"</f>
        <v>,{"id":"n_password_based_authentication","label":"Password-Based Authentication","url":""}</v>
      </c>
      <c r="J306" s="3"/>
    </row>
    <row r="307" spans="1:10" ht="13.25" customHeight="1" thickTop="1" thickBot="1" x14ac:dyDescent="0.4">
      <c r="A307" s="17" t="str">
        <f>SUBSTITUTE(SUBSTITUTE("n_"&amp;LOWER(SUBSTITUTE(SUBSTITUTE(SUBSTITUTE(NodesData[[#This Row],[label]]," ","_"),"/","_"),"-","_")),"__","_"),"__","_")</f>
        <v>n_people</v>
      </c>
      <c r="B307" s="18" t="s">
        <v>1299</v>
      </c>
      <c r="C307" s="18" t="s">
        <v>1030</v>
      </c>
      <c r="D307" s="3" t="s">
        <v>1411</v>
      </c>
      <c r="E307" s="3">
        <f t="shared" si="4"/>
        <v>305</v>
      </c>
      <c r="F307" s="3">
        <f>COUNTIF(NodesData[label],NodesData[[#This Row],[label]])</f>
        <v>1</v>
      </c>
      <c r="G307" s="3">
        <f>COUNTIF(ConceptNodes9['[A_ID']],NodesData[[#This Row],[id]])+COUNTIF(ConceptNodes9['[B_ID']],NodesData[[#This Row],[id]])</f>
        <v>0</v>
      </c>
      <c r="H307" s="3">
        <f>IF(NodesData[[#This Row],[Used]]&gt;0,1,0)</f>
        <v>0</v>
      </c>
      <c r="I307" s="19" t="str" cm="1">
        <f t="array" ref="I307">IF(NodesData[[#This Row],[Count]]&gt;1,",","") &amp;"{"&amp;twoRangesToJSON(NodesData[[#Headers],[id]:[url]],NodesData[[#This Row],[id]:[url]])&amp;"}"</f>
        <v>,{"id":"n_people","label":"People","url":"https://open-measure.atlassian.net/wiki/spaces/DIC/pages/1409753"}</v>
      </c>
      <c r="J307" s="3"/>
    </row>
    <row r="308" spans="1:10" ht="13.25" customHeight="1" thickTop="1" thickBot="1" x14ac:dyDescent="0.4">
      <c r="A308" s="17" t="str">
        <f>SUBSTITUTE(SUBSTITUTE("n_"&amp;LOWER(SUBSTITUTE(SUBSTITUTE(SUBSTITUTE(NodesData[[#This Row],[label]]," ","_"),"/","_"),"-","_")),"__","_"),"__","_")</f>
        <v>n_permission</v>
      </c>
      <c r="B308" s="18" t="s">
        <v>1031</v>
      </c>
      <c r="C308" s="18" t="s">
        <v>1032</v>
      </c>
      <c r="D308" s="3" t="s">
        <v>1411</v>
      </c>
      <c r="E308" s="3">
        <f t="shared" si="4"/>
        <v>306</v>
      </c>
      <c r="F308" s="3">
        <f>COUNTIF(NodesData[label],NodesData[[#This Row],[label]])</f>
        <v>1</v>
      </c>
      <c r="G308" s="3">
        <f>COUNTIF(ConceptNodes9['[A_ID']],NodesData[[#This Row],[id]])+COUNTIF(ConceptNodes9['[B_ID']],NodesData[[#This Row],[id]])</f>
        <v>0</v>
      </c>
      <c r="H308" s="3">
        <f>IF(NodesData[[#This Row],[Used]]&gt;0,1,0)</f>
        <v>0</v>
      </c>
      <c r="I308" s="19" t="str" cm="1">
        <f t="array" ref="I308">IF(NodesData[[#This Row],[Count]]&gt;1,",","") &amp;"{"&amp;twoRangesToJSON(NodesData[[#Headers],[id]:[url]],NodesData[[#This Row],[id]:[url]])&amp;"}"</f>
        <v>,{"id":"n_permission","label":"Permission","url":"https://open-measure.atlassian.net/wiki/spaces/DIC/pages/67699129"}</v>
      </c>
      <c r="J308" s="3"/>
    </row>
    <row r="309" spans="1:10" ht="13.25" customHeight="1" thickTop="1" thickBot="1" x14ac:dyDescent="0.4">
      <c r="A309" s="17" t="str">
        <f>SUBSTITUTE(SUBSTITUTE("n_"&amp;LOWER(SUBSTITUTE(SUBSTITUTE(SUBSTITUTE(NodesData[[#This Row],[label]]," ","_"),"/","_"),"-","_")),"__","_"),"__","_")</f>
        <v>n_persona</v>
      </c>
      <c r="B309" s="18" t="s">
        <v>380</v>
      </c>
      <c r="C309" s="18" t="s">
        <v>1033</v>
      </c>
      <c r="D309" s="3" t="s">
        <v>1411</v>
      </c>
      <c r="E309" s="3">
        <f t="shared" si="4"/>
        <v>307</v>
      </c>
      <c r="F309" s="3">
        <f>COUNTIF(NodesData[label],NodesData[[#This Row],[label]])</f>
        <v>1</v>
      </c>
      <c r="G309" s="3">
        <f>COUNTIF(ConceptNodes9['[A_ID']],NodesData[[#This Row],[id]])+COUNTIF(ConceptNodes9['[B_ID']],NodesData[[#This Row],[id]])</f>
        <v>0</v>
      </c>
      <c r="H309" s="3">
        <f>IF(NodesData[[#This Row],[Used]]&gt;0,1,0)</f>
        <v>0</v>
      </c>
      <c r="I309" s="19" t="str" cm="1">
        <f t="array" ref="I309">IF(NodesData[[#This Row],[Count]]&gt;1,",","") &amp;"{"&amp;twoRangesToJSON(NodesData[[#Headers],[id]:[url]],NodesData[[#This Row],[id]:[url]])&amp;"}"</f>
        <v>,{"id":"n_persona","label":"Persona","url":"https://open-measure.atlassian.net/wiki/spaces/DIC/pages/1323499709/Persona"}</v>
      </c>
      <c r="J309" s="3"/>
    </row>
    <row r="310" spans="1:10" ht="13.25" customHeight="1" thickTop="1" thickBot="1" x14ac:dyDescent="0.4">
      <c r="A310" s="17" t="str">
        <f>SUBSTITUTE(SUBSTITUTE("n_"&amp;LOWER(SUBSTITUTE(SUBSTITUTE(SUBSTITUTE(NodesData[[#This Row],[label]]," ","_"),"/","_"),"-","_")),"__","_"),"__","_")</f>
        <v>n_passwordless_authentication</v>
      </c>
      <c r="B310" s="18" t="s">
        <v>374</v>
      </c>
      <c r="C310" s="18" t="s">
        <v>1029</v>
      </c>
      <c r="D310" s="3" t="s">
        <v>1411</v>
      </c>
      <c r="E310" s="3">
        <f t="shared" si="4"/>
        <v>308</v>
      </c>
      <c r="F310" s="3">
        <f>COUNTIF(NodesData[label],NodesData[[#This Row],[label]])</f>
        <v>1</v>
      </c>
      <c r="G310" s="3">
        <f>COUNTIF(ConceptNodes9['[A_ID']],NodesData[[#This Row],[id]])+COUNTIF(ConceptNodes9['[B_ID']],NodesData[[#This Row],[id]])</f>
        <v>0</v>
      </c>
      <c r="H310" s="3">
        <f>IF(NodesData[[#This Row],[Used]]&gt;0,1,0)</f>
        <v>0</v>
      </c>
      <c r="I310" s="19" t="str" cm="1">
        <f t="array" ref="I310">IF(NodesData[[#This Row],[Count]]&gt;1,",","") &amp;"{"&amp;twoRangesToJSON(NodesData[[#Headers],[id]:[url]],NodesData[[#This Row],[id]:[url]])&amp;"}"</f>
        <v>,{"id":"n_passwordless_authentication","label":"Passwordless Authentication","url":"https://open-measure.atlassian.net/wiki/spaces/DIC/pages/1677164566/Passwordless+Authentication"}</v>
      </c>
      <c r="J310" s="3"/>
    </row>
    <row r="311" spans="1:10" ht="13.25" customHeight="1" thickTop="1" thickBot="1" x14ac:dyDescent="0.4">
      <c r="A311" s="7" t="str">
        <f>SUBSTITUTE(SUBSTITUTE("n_"&amp;LOWER(SUBSTITUTE(SUBSTITUTE(SUBSTITUTE(NodesData[[#This Row],[label]]," ","_"),"/","_"),"-","_")),"__","_"),"__","_")</f>
        <v>n_physical_token_otp</v>
      </c>
      <c r="B311" s="12" t="s">
        <v>1369</v>
      </c>
      <c r="C311" s="12"/>
      <c r="D311" s="3" t="s">
        <v>1411</v>
      </c>
      <c r="E311" s="3">
        <f t="shared" si="4"/>
        <v>309</v>
      </c>
      <c r="F311" s="3">
        <f>COUNTIF(NodesData[label],NodesData[[#This Row],[label]])</f>
        <v>1</v>
      </c>
      <c r="G311" s="3">
        <f>COUNTIF(ConceptNodes9['[A_ID']],NodesData[[#This Row],[id]])+COUNTIF(ConceptNodes9['[B_ID']],NodesData[[#This Row],[id]])</f>
        <v>0</v>
      </c>
      <c r="H311" s="3">
        <f>IF(NodesData[[#This Row],[Used]]&gt;0,1,0)</f>
        <v>0</v>
      </c>
      <c r="I311" s="19" t="str" cm="1">
        <f t="array" ref="I311">IF(NodesData[[#This Row],[Count]]&gt;1,",","") &amp;"{"&amp;twoRangesToJSON(NodesData[[#Headers],[id]:[url]],NodesData[[#This Row],[id]:[url]])&amp;"}"</f>
        <v>,{"id":"n_physical_token_otp","label":"Physical Token OTP","url":""}</v>
      </c>
      <c r="J311" s="3"/>
    </row>
    <row r="312" spans="1:10" ht="13.25" customHeight="1" thickTop="1" thickBot="1" x14ac:dyDescent="0.4">
      <c r="A312" s="17" t="str">
        <f>SUBSTITUTE(SUBSTITUTE("n_"&amp;LOWER(SUBSTITUTE(SUBSTITUTE(SUBSTITUTE(NodesData[[#This Row],[label]]," ","_"),"/","_"),"-","_")),"__","_"),"__","_")</f>
        <v>n_pms</v>
      </c>
      <c r="B312" s="18" t="s">
        <v>1034</v>
      </c>
      <c r="C312" s="18" t="s">
        <v>1035</v>
      </c>
      <c r="D312" s="3" t="s">
        <v>1301</v>
      </c>
      <c r="E312" s="3">
        <f t="shared" si="4"/>
        <v>310</v>
      </c>
      <c r="F312" s="3">
        <f>COUNTIF(NodesData[label],NodesData[[#This Row],[label]])</f>
        <v>1</v>
      </c>
      <c r="G312" s="3">
        <f>COUNTIF(ConceptNodes9['[A_ID']],NodesData[[#This Row],[id]])+COUNTIF(ConceptNodes9['[B_ID']],NodesData[[#This Row],[id]])</f>
        <v>0</v>
      </c>
      <c r="H312" s="3">
        <f>IF(NodesData[[#This Row],[Used]]&gt;0,1,0)</f>
        <v>0</v>
      </c>
      <c r="I312" s="19" t="str" cm="1">
        <f t="array" ref="I312">IF(NodesData[[#This Row],[Count]]&gt;1,",","") &amp;"{"&amp;twoRangesToJSON(NodesData[[#Headers],[id]:[url]],NodesData[[#This Row],[id]:[url]])&amp;"}"</f>
        <v>,{"id":"n_pms","label":"PMS","url":"https://open-measure.atlassian.net/wiki/spaces/DIC/pages/1572948"}</v>
      </c>
      <c r="J312" s="3"/>
    </row>
    <row r="313" spans="1:10" ht="13.25" customHeight="1" thickTop="1" thickBot="1" x14ac:dyDescent="0.4">
      <c r="A313" s="17" t="str">
        <f>SUBSTITUTE(SUBSTITUTE("n_"&amp;LOWER(SUBSTITUTE(SUBSTITUTE(SUBSTITUTE(NodesData[[#This Row],[label]]," ","_"),"/","_"),"-","_")),"__","_"),"__","_")</f>
        <v>n_policy</v>
      </c>
      <c r="B313" s="18" t="s">
        <v>1036</v>
      </c>
      <c r="C313" s="18" t="s">
        <v>1037</v>
      </c>
      <c r="D313" s="3" t="s">
        <v>1411</v>
      </c>
      <c r="E313" s="3">
        <f t="shared" si="4"/>
        <v>311</v>
      </c>
      <c r="F313" s="3">
        <f>COUNTIF(NodesData[label],NodesData[[#This Row],[label]])</f>
        <v>1</v>
      </c>
      <c r="G313" s="3">
        <f>COUNTIF(ConceptNodes9['[A_ID']],NodesData[[#This Row],[id]])+COUNTIF(ConceptNodes9['[B_ID']],NodesData[[#This Row],[id]])</f>
        <v>0</v>
      </c>
      <c r="H313" s="3">
        <f>IF(NodesData[[#This Row],[Used]]&gt;0,1,0)</f>
        <v>0</v>
      </c>
      <c r="I313" s="19" t="str" cm="1">
        <f t="array" ref="I313">IF(NodesData[[#This Row],[Count]]&gt;1,",","") &amp;"{"&amp;twoRangesToJSON(NodesData[[#Headers],[id]:[url]],NodesData[[#This Row],[id]:[url]])&amp;"}"</f>
        <v>,{"id":"n_policy","label":"Policy","url":"https://open-measure.atlassian.net/wiki/spaces/DIC/pages/67568272"}</v>
      </c>
      <c r="J313" s="3"/>
    </row>
    <row r="314" spans="1:10" ht="13.25" customHeight="1" thickTop="1" thickBot="1" x14ac:dyDescent="0.4">
      <c r="A314" s="17" t="str">
        <f>SUBSTITUTE(SUBSTITUTE("n_"&amp;LOWER(SUBSTITUTE(SUBSTITUTE(SUBSTITUTE(NodesData[[#This Row],[label]]," ","_"),"/","_"),"-","_")),"__","_"),"__","_")</f>
        <v>n_policy_analysis</v>
      </c>
      <c r="B314" s="18" t="s">
        <v>1038</v>
      </c>
      <c r="C314" s="18" t="s">
        <v>1039</v>
      </c>
      <c r="D314" s="3" t="s">
        <v>1411</v>
      </c>
      <c r="E314" s="3">
        <f t="shared" si="4"/>
        <v>312</v>
      </c>
      <c r="F314" s="3">
        <f>COUNTIF(NodesData[label],NodesData[[#This Row],[label]])</f>
        <v>1</v>
      </c>
      <c r="G314" s="3">
        <f>COUNTIF(ConceptNodes9['[A_ID']],NodesData[[#This Row],[id]])+COUNTIF(ConceptNodes9['[B_ID']],NodesData[[#This Row],[id]])</f>
        <v>0</v>
      </c>
      <c r="H314" s="3">
        <f>IF(NodesData[[#This Row],[Used]]&gt;0,1,0)</f>
        <v>0</v>
      </c>
      <c r="I314" s="19" t="str" cm="1">
        <f t="array" ref="I314">IF(NodesData[[#This Row],[Count]]&gt;1,",","") &amp;"{"&amp;twoRangesToJSON(NodesData[[#Headers],[id]:[url]],NodesData[[#This Row],[id]:[url]])&amp;"}"</f>
        <v>,{"id":"n_policy_analysis","label":"Policy Analysis","url":"https://open-measure.atlassian.net/wiki/spaces/DIC/pages/1104904334"}</v>
      </c>
      <c r="J314" s="3"/>
    </row>
    <row r="315" spans="1:10" ht="13.25" customHeight="1" thickTop="1" thickBot="1" x14ac:dyDescent="0.4">
      <c r="A315" s="17" t="str">
        <f>SUBSTITUTE(SUBSTITUTE("n_"&amp;LOWER(SUBSTITUTE(SUBSTITUTE(SUBSTITUTE(NodesData[[#This Row],[label]]," ","_"),"/","_"),"-","_")),"__","_"),"__","_")</f>
        <v>n_policy_centralization</v>
      </c>
      <c r="B315" s="18" t="s">
        <v>1040</v>
      </c>
      <c r="C315" s="18" t="s">
        <v>1041</v>
      </c>
      <c r="D315" s="3" t="s">
        <v>1411</v>
      </c>
      <c r="E315" s="3">
        <f t="shared" si="4"/>
        <v>313</v>
      </c>
      <c r="F315" s="3">
        <f>COUNTIF(NodesData[label],NodesData[[#This Row],[label]])</f>
        <v>1</v>
      </c>
      <c r="G315" s="3">
        <f>COUNTIF(ConceptNodes9['[A_ID']],NodesData[[#This Row],[id]])+COUNTIF(ConceptNodes9['[B_ID']],NodesData[[#This Row],[id]])</f>
        <v>0</v>
      </c>
      <c r="H315" s="3">
        <f>IF(NodesData[[#This Row],[Used]]&gt;0,1,0)</f>
        <v>0</v>
      </c>
      <c r="I315" s="19" t="str" cm="1">
        <f t="array" ref="I315">IF(NodesData[[#This Row],[Count]]&gt;1,",","") &amp;"{"&amp;twoRangesToJSON(NodesData[[#Headers],[id]:[url]],NodesData[[#This Row],[id]:[url]])&amp;"}"</f>
        <v>,{"id":"n_policy_centralization","label":"Policy Centralization","url":"https://open-measure.atlassian.net/wiki/spaces/DIC/pages/1132331103"}</v>
      </c>
      <c r="J315" s="3"/>
    </row>
    <row r="316" spans="1:10" ht="13.25" customHeight="1" thickTop="1" thickBot="1" x14ac:dyDescent="0.4">
      <c r="A316" s="17" t="str">
        <f>SUBSTITUTE(SUBSTITUTE("n_"&amp;LOWER(SUBSTITUTE(SUBSTITUTE(SUBSTITUTE(NodesData[[#This Row],[label]]," ","_"),"/","_"),"-","_")),"__","_"),"__","_")</f>
        <v>n_policy_interoperability</v>
      </c>
      <c r="B316" s="18" t="s">
        <v>1042</v>
      </c>
      <c r="C316" s="18" t="s">
        <v>1043</v>
      </c>
      <c r="D316" s="3" t="s">
        <v>1411</v>
      </c>
      <c r="E316" s="3">
        <f t="shared" si="4"/>
        <v>314</v>
      </c>
      <c r="F316" s="3">
        <f>COUNTIF(NodesData[label],NodesData[[#This Row],[label]])</f>
        <v>1</v>
      </c>
      <c r="G316" s="3">
        <f>COUNTIF(ConceptNodes9['[A_ID']],NodesData[[#This Row],[id]])+COUNTIF(ConceptNodes9['[B_ID']],NodesData[[#This Row],[id]])</f>
        <v>0</v>
      </c>
      <c r="H316" s="3">
        <f>IF(NodesData[[#This Row],[Used]]&gt;0,1,0)</f>
        <v>0</v>
      </c>
      <c r="I316" s="19" t="str" cm="1">
        <f t="array" ref="I316">IF(NodesData[[#This Row],[Count]]&gt;1,",","") &amp;"{"&amp;twoRangesToJSON(NodesData[[#Headers],[id]:[url]],NodesData[[#This Row],[id]:[url]])&amp;"}"</f>
        <v>,{"id":"n_policy_interoperability","label":"Policy Interoperability","url":"https://open-measure.atlassian.net/wiki/spaces/DIC/pages/1132331086"}</v>
      </c>
      <c r="J316" s="3"/>
    </row>
    <row r="317" spans="1:10" ht="13.25" customHeight="1" thickTop="1" thickBot="1" x14ac:dyDescent="0.4">
      <c r="A317" s="17" t="str">
        <f>SUBSTITUTE(SUBSTITUTE("n_"&amp;LOWER(SUBSTITUTE(SUBSTITUTE(SUBSTITUTE(NodesData[[#This Row],[label]]," ","_"),"/","_"),"-","_")),"__","_"),"__","_")</f>
        <v>n_policy_manageability</v>
      </c>
      <c r="B317" s="18" t="s">
        <v>1044</v>
      </c>
      <c r="C317" s="18" t="s">
        <v>1045</v>
      </c>
      <c r="D317" s="3" t="s">
        <v>1411</v>
      </c>
      <c r="E317" s="3">
        <f t="shared" si="4"/>
        <v>315</v>
      </c>
      <c r="F317" s="3">
        <f>COUNTIF(NodesData[label],NodesData[[#This Row],[label]])</f>
        <v>1</v>
      </c>
      <c r="G317" s="3">
        <f>COUNTIF(ConceptNodes9['[A_ID']],NodesData[[#This Row],[id]])+COUNTIF(ConceptNodes9['[B_ID']],NodesData[[#This Row],[id]])</f>
        <v>0</v>
      </c>
      <c r="H317" s="3">
        <f>IF(NodesData[[#This Row],[Used]]&gt;0,1,0)</f>
        <v>0</v>
      </c>
      <c r="I317" s="19" t="str" cm="1">
        <f t="array" ref="I317">IF(NodesData[[#This Row],[Count]]&gt;1,",","") &amp;"{"&amp;twoRangesToJSON(NodesData[[#Headers],[id]:[url]],NodesData[[#This Row],[id]:[url]])&amp;"}"</f>
        <v>,{"id":"n_policy_manageability","label":"Policy Manageability","url":"https://open-measure.atlassian.net/wiki/spaces/DIC/pages/1122631903"}</v>
      </c>
      <c r="J317" s="3"/>
    </row>
    <row r="318" spans="1:10" ht="13.25" customHeight="1" thickTop="1" thickBot="1" x14ac:dyDescent="0.4">
      <c r="A318" s="17" t="str">
        <f>SUBSTITUTE(SUBSTITUTE("n_"&amp;LOWER(SUBSTITUTE(SUBSTITUTE(SUBSTITUTE(NodesData[[#This Row],[label]]," ","_"),"/","_"),"-","_")),"__","_"),"__","_")</f>
        <v>n_policy_mining</v>
      </c>
      <c r="B318" s="18" t="s">
        <v>1046</v>
      </c>
      <c r="C318" s="18" t="s">
        <v>1047</v>
      </c>
      <c r="D318" s="3" t="s">
        <v>1411</v>
      </c>
      <c r="E318" s="3">
        <f t="shared" si="4"/>
        <v>316</v>
      </c>
      <c r="F318" s="3">
        <f>COUNTIF(NodesData[label],NodesData[[#This Row],[label]])</f>
        <v>1</v>
      </c>
      <c r="G318" s="3">
        <f>COUNTIF(ConceptNodes9['[A_ID']],NodesData[[#This Row],[id]])+COUNTIF(ConceptNodes9['[B_ID']],NodesData[[#This Row],[id]])</f>
        <v>0</v>
      </c>
      <c r="H318" s="3">
        <f>IF(NodesData[[#This Row],[Used]]&gt;0,1,0)</f>
        <v>0</v>
      </c>
      <c r="I318" s="19" t="str" cm="1">
        <f t="array" ref="I318">IF(NodesData[[#This Row],[Count]]&gt;1,",","") &amp;"{"&amp;twoRangesToJSON(NodesData[[#Headers],[id]:[url]],NodesData[[#This Row],[id]:[url]])&amp;"}"</f>
        <v>,{"id":"n_policy_mining","label":"Policy Mining","url":"https://open-measure.atlassian.net/wiki/spaces/DIC/pages/1105068063"}</v>
      </c>
      <c r="J318" s="3"/>
    </row>
    <row r="319" spans="1:10" ht="13.25" customHeight="1" thickTop="1" thickBot="1" x14ac:dyDescent="0.4">
      <c r="A319" s="17" t="str">
        <f>SUBSTITUTE(SUBSTITUTE("n_"&amp;LOWER(SUBSTITUTE(SUBSTITUTE(SUBSTITUTE(NodesData[[#This Row],[label]]," ","_"),"/","_"),"-","_")),"__","_"),"__","_")</f>
        <v>n_policy_modeling</v>
      </c>
      <c r="B319" s="18" t="s">
        <v>1048</v>
      </c>
      <c r="C319" s="18" t="s">
        <v>1049</v>
      </c>
      <c r="D319" s="3" t="s">
        <v>1411</v>
      </c>
      <c r="E319" s="3">
        <f t="shared" si="4"/>
        <v>317</v>
      </c>
      <c r="F319" s="3">
        <f>COUNTIF(NodesData[label],NodesData[[#This Row],[label]])</f>
        <v>1</v>
      </c>
      <c r="G319" s="3">
        <f>COUNTIF(ConceptNodes9['[A_ID']],NodesData[[#This Row],[id]])+COUNTIF(ConceptNodes9['[B_ID']],NodesData[[#This Row],[id]])</f>
        <v>0</v>
      </c>
      <c r="H319" s="3">
        <f>IF(NodesData[[#This Row],[Used]]&gt;0,1,0)</f>
        <v>0</v>
      </c>
      <c r="I319" s="19" t="str" cm="1">
        <f t="array" ref="I319">IF(NodesData[[#This Row],[Count]]&gt;1,",","") &amp;"{"&amp;twoRangesToJSON(NodesData[[#Headers],[id]:[url]],NodesData[[#This Row],[id]:[url]])&amp;"}"</f>
        <v>,{"id":"n_policy_modeling","label":"Policy Modeling","url":"https://open-measure.atlassian.net/wiki/spaces/DIC/pages/1130987523"}</v>
      </c>
      <c r="J319" s="3"/>
    </row>
    <row r="320" spans="1:10" ht="13.25" customHeight="1" thickTop="1" thickBot="1" x14ac:dyDescent="0.4">
      <c r="A320" s="6" t="s">
        <v>1337</v>
      </c>
      <c r="B320" s="10" t="s">
        <v>1338</v>
      </c>
      <c r="C320" s="10"/>
      <c r="D320" s="3" t="s">
        <v>1411</v>
      </c>
      <c r="E320" s="3">
        <f t="shared" si="4"/>
        <v>318</v>
      </c>
      <c r="F320" s="3">
        <f>COUNTIF(NodesData[label],NodesData[[#This Row],[label]])</f>
        <v>1</v>
      </c>
      <c r="G320" s="3">
        <f>COUNTIF(ConceptNodes9['[A_ID']],NodesData[[#This Row],[id]])+COUNTIF(ConceptNodes9['[B_ID']],NodesData[[#This Row],[id]])</f>
        <v>1</v>
      </c>
      <c r="H320" s="3">
        <f>IF(NodesData[[#This Row],[Used]]&gt;0,1,0)</f>
        <v>1</v>
      </c>
      <c r="I320" s="19" t="str" cm="1">
        <f t="array" ref="I320">IF(NodesData[[#This Row],[Count]]&gt;1,",","") &amp;"{"&amp;twoRangesToJSON(NodesData[[#Headers],[id]:[url]],NodesData[[#This Row],[id]:[url]])&amp;"}"</f>
        <v>,{"id":"n_possession_factor","label":"Possession Factor","url":""}</v>
      </c>
      <c r="J320" s="3"/>
    </row>
    <row r="321" spans="1:10" ht="13.25" customHeight="1" thickTop="1" thickBot="1" x14ac:dyDescent="0.4">
      <c r="A321" s="17" t="str">
        <f>SUBSTITUTE(SUBSTITUTE("n_"&amp;LOWER(SUBSTITUTE(SUBSTITUTE(SUBSTITUTE(NodesData[[#This Row],[label]]," ","_"),"/","_"),"-","_")),"__","_"),"__","_")</f>
        <v>n_pre_approval</v>
      </c>
      <c r="B321" s="18" t="s">
        <v>1050</v>
      </c>
      <c r="C321" s="18" t="s">
        <v>1051</v>
      </c>
      <c r="D321" s="3" t="s">
        <v>1411</v>
      </c>
      <c r="E321" s="3">
        <f t="shared" si="4"/>
        <v>319</v>
      </c>
      <c r="F321" s="3">
        <f>COUNTIF(NodesData[label],NodesData[[#This Row],[label]])</f>
        <v>1</v>
      </c>
      <c r="G321" s="3">
        <f>COUNTIF(ConceptNodes9['[A_ID']],NodesData[[#This Row],[id]])+COUNTIF(ConceptNodes9['[B_ID']],NodesData[[#This Row],[id]])</f>
        <v>0</v>
      </c>
      <c r="H321" s="3">
        <f>IF(NodesData[[#This Row],[Used]]&gt;0,1,0)</f>
        <v>0</v>
      </c>
      <c r="I321" s="19" t="str" cm="1">
        <f t="array" ref="I321">IF(NodesData[[#This Row],[Count]]&gt;1,",","") &amp;"{"&amp;twoRangesToJSON(NodesData[[#Headers],[id]:[url]],NodesData[[#This Row],[id]:[url]])&amp;"}"</f>
        <v>,{"id":"n_pre_approval","label":"Pre-approval","url":"https://open-measure.atlassian.net/wiki/spaces/DIC/pages/1094549649"}</v>
      </c>
      <c r="J321" s="3"/>
    </row>
    <row r="322" spans="1:10" ht="13.25" customHeight="1" thickTop="1" thickBot="1" x14ac:dyDescent="0.4">
      <c r="A322" s="17" t="str">
        <f>SUBSTITUTE(SUBSTITUTE("n_"&amp;LOWER(SUBSTITUTE(SUBSTITUTE(SUBSTITUTE(NodesData[[#This Row],[label]]," ","_"),"/","_"),"-","_")),"__","_"),"__","_")</f>
        <v>n_principal</v>
      </c>
      <c r="B322" s="18" t="s">
        <v>1052</v>
      </c>
      <c r="C322" s="18" t="s">
        <v>1053</v>
      </c>
      <c r="D322" s="3" t="s">
        <v>1411</v>
      </c>
      <c r="E322" s="3">
        <f t="shared" si="4"/>
        <v>320</v>
      </c>
      <c r="F322" s="3">
        <f>COUNTIF(NodesData[label],NodesData[[#This Row],[label]])</f>
        <v>1</v>
      </c>
      <c r="G322" s="3">
        <f>COUNTIF(ConceptNodes9['[A_ID']],NodesData[[#This Row],[id]])+COUNTIF(ConceptNodes9['[B_ID']],NodesData[[#This Row],[id]])</f>
        <v>0</v>
      </c>
      <c r="H322" s="3">
        <f>IF(NodesData[[#This Row],[Used]]&gt;0,1,0)</f>
        <v>0</v>
      </c>
      <c r="I322" s="19" t="str" cm="1">
        <f t="array" ref="I322">IF(NodesData[[#This Row],[Count]]&gt;1,",","") &amp;"{"&amp;twoRangesToJSON(NodesData[[#Headers],[id]:[url]],NodesData[[#This Row],[id]:[url]])&amp;"}"</f>
        <v>,{"id":"n_principal","label":"Principal","url":"https://open-measure.atlassian.net/wiki/spaces/DIC/pages/67699046"}</v>
      </c>
      <c r="J322" s="3"/>
    </row>
    <row r="323" spans="1:10" ht="13.25" customHeight="1" thickTop="1" thickBot="1" x14ac:dyDescent="0.4">
      <c r="A323" s="17" t="str">
        <f>SUBSTITUTE(SUBSTITUTE("n_"&amp;LOWER(SUBSTITUTE(SUBSTITUTE(SUBSTITUTE(NodesData[[#This Row],[label]]," ","_"),"/","_"),"-","_")),"__","_"),"__","_")</f>
        <v>n_private_key_loss</v>
      </c>
      <c r="B323" s="18" t="s">
        <v>394</v>
      </c>
      <c r="C323" s="18" t="s">
        <v>1054</v>
      </c>
      <c r="D323" s="3" t="s">
        <v>1411</v>
      </c>
      <c r="E323" s="3">
        <f t="shared" si="4"/>
        <v>321</v>
      </c>
      <c r="F323" s="3">
        <f>COUNTIF(NodesData[label],NodesData[[#This Row],[label]])</f>
        <v>1</v>
      </c>
      <c r="G323" s="3">
        <f>COUNTIF(ConceptNodes9['[A_ID']],NodesData[[#This Row],[id]])+COUNTIF(ConceptNodes9['[B_ID']],NodesData[[#This Row],[id]])</f>
        <v>0</v>
      </c>
      <c r="H323" s="3">
        <f>IF(NodesData[[#This Row],[Used]]&gt;0,1,0)</f>
        <v>0</v>
      </c>
      <c r="I323" s="19" t="str" cm="1">
        <f t="array" ref="I323">IF(NodesData[[#This Row],[Count]]&gt;1,",","") &amp;"{"&amp;twoRangesToJSON(NodesData[[#Headers],[id]:[url]],NodesData[[#This Row],[id]:[url]])&amp;"}"</f>
        <v>,{"id":"n_private_key_loss","label":"Private Key Loss","url":"https://open-measure.atlassian.net/wiki/spaces/DIC/pages/1323434264/Private+Key+Loss"}</v>
      </c>
      <c r="J323" s="3"/>
    </row>
    <row r="324" spans="1:10" ht="13.25" customHeight="1" thickTop="1" thickBot="1" x14ac:dyDescent="0.4">
      <c r="A324" s="17" t="str">
        <f>SUBSTITUTE(SUBSTITUTE("n_"&amp;LOWER(SUBSTITUTE(SUBSTITUTE(SUBSTITUTE(NodesData[[#This Row],[label]]," ","_"),"/","_"),"-","_")),"__","_"),"__","_")</f>
        <v>n_privilege</v>
      </c>
      <c r="B324" s="18" t="s">
        <v>1055</v>
      </c>
      <c r="C324" s="18" t="s">
        <v>1056</v>
      </c>
      <c r="D324" s="3" t="s">
        <v>1411</v>
      </c>
      <c r="E324" s="3">
        <f t="shared" si="4"/>
        <v>322</v>
      </c>
      <c r="F324" s="3">
        <f>COUNTIF(NodesData[label],NodesData[[#This Row],[label]])</f>
        <v>1</v>
      </c>
      <c r="G324" s="3">
        <f>COUNTIF(ConceptNodes9['[A_ID']],NodesData[[#This Row],[id]])+COUNTIF(ConceptNodes9['[B_ID']],NodesData[[#This Row],[id]])</f>
        <v>0</v>
      </c>
      <c r="H324" s="3">
        <f>IF(NodesData[[#This Row],[Used]]&gt;0,1,0)</f>
        <v>0</v>
      </c>
      <c r="I324" s="19" t="str" cm="1">
        <f t="array" ref="I324">IF(NodesData[[#This Row],[Count]]&gt;1,",","") &amp;"{"&amp;twoRangesToJSON(NodesData[[#Headers],[id]:[url]],NodesData[[#This Row],[id]:[url]])&amp;"}"</f>
        <v>,{"id":"n_privilege","label":"Privilege","url":"https://open-measure.atlassian.net/wiki/spaces/DIC/pages/67568310"}</v>
      </c>
      <c r="J324" s="3"/>
    </row>
    <row r="325" spans="1:10" ht="13.25" customHeight="1" thickTop="1" thickBot="1" x14ac:dyDescent="0.4">
      <c r="A325" s="17" t="str">
        <f>SUBSTITUTE(SUBSTITUTE("n_"&amp;LOWER(SUBSTITUTE(SUBSTITUTE(SUBSTITUTE(NodesData[[#This Row],[label]]," ","_"),"/","_"),"-","_")),"__","_"),"__","_")</f>
        <v>n_privilege_abuse</v>
      </c>
      <c r="B325" s="18" t="s">
        <v>396</v>
      </c>
      <c r="C325" s="18" t="s">
        <v>1057</v>
      </c>
      <c r="D325" s="3" t="s">
        <v>1411</v>
      </c>
      <c r="E325" s="3">
        <f t="shared" ref="E325:E388" si="5">E324+1</f>
        <v>323</v>
      </c>
      <c r="F325" s="3">
        <f>COUNTIF(NodesData[label],NodesData[[#This Row],[label]])</f>
        <v>1</v>
      </c>
      <c r="G325" s="3">
        <f>COUNTIF(ConceptNodes9['[A_ID']],NodesData[[#This Row],[id]])+COUNTIF(ConceptNodes9['[B_ID']],NodesData[[#This Row],[id]])</f>
        <v>0</v>
      </c>
      <c r="H325" s="3">
        <f>IF(NodesData[[#This Row],[Used]]&gt;0,1,0)</f>
        <v>0</v>
      </c>
      <c r="I325" s="19" t="str" cm="1">
        <f t="array" ref="I325">IF(NodesData[[#This Row],[Count]]&gt;1,",","") &amp;"{"&amp;twoRangesToJSON(NodesData[[#Headers],[id]:[url]],NodesData[[#This Row],[id]:[url]])&amp;"}"</f>
        <v>,{"id":"n_privilege_abuse","label":"Privilege Abuse","url":"https://open-measure.atlassian.net/wiki/spaces/DIC/pages/814449037/Privilege+Abuse"}</v>
      </c>
      <c r="J325" s="3"/>
    </row>
    <row r="326" spans="1:10" ht="13.25" customHeight="1" thickTop="1" thickBot="1" x14ac:dyDescent="0.4">
      <c r="A326" s="17" t="str">
        <f>SUBSTITUTE(SUBSTITUTE("n_"&amp;LOWER(SUBSTITUTE(SUBSTITUTE(SUBSTITUTE(NodesData[[#This Row],[label]]," ","_"),"/","_"),"-","_")),"__","_"),"__","_")</f>
        <v>n_privilege_chaining</v>
      </c>
      <c r="B326" s="18" t="s">
        <v>1058</v>
      </c>
      <c r="C326" s="18" t="s">
        <v>1059</v>
      </c>
      <c r="D326" s="3" t="s">
        <v>1411</v>
      </c>
      <c r="E326" s="3">
        <f t="shared" si="5"/>
        <v>324</v>
      </c>
      <c r="F326" s="3">
        <f>COUNTIF(NodesData[label],NodesData[[#This Row],[label]])</f>
        <v>1</v>
      </c>
      <c r="G326" s="3">
        <f>COUNTIF(ConceptNodes9['[A_ID']],NodesData[[#This Row],[id]])+COUNTIF(ConceptNodes9['[B_ID']],NodesData[[#This Row],[id]])</f>
        <v>0</v>
      </c>
      <c r="H326" s="3">
        <f>IF(NodesData[[#This Row],[Used]]&gt;0,1,0)</f>
        <v>0</v>
      </c>
      <c r="I326" s="19" t="str" cm="1">
        <f t="array" ref="I326">IF(NodesData[[#This Row],[Count]]&gt;1,",","") &amp;"{"&amp;twoRangesToJSON(NodesData[[#Headers],[id]:[url]],NodesData[[#This Row],[id]:[url]])&amp;"}"</f>
        <v>,{"id":"n_privilege_chaining","label":"Privilege Chaining","url":"https://open-measure.atlassian.net/wiki/spaces/DIC/pages/473890861"}</v>
      </c>
      <c r="J326" s="3"/>
    </row>
    <row r="327" spans="1:10" ht="13.25" customHeight="1" thickTop="1" thickBot="1" x14ac:dyDescent="0.4">
      <c r="A327" s="17" t="str">
        <f>SUBSTITUTE(SUBSTITUTE("n_"&amp;LOWER(SUBSTITUTE(SUBSTITUTE(SUBSTITUTE(NodesData[[#This Row],[label]]," ","_"),"/","_"),"-","_")),"__","_"),"__","_")</f>
        <v>n_privilege_escalation</v>
      </c>
      <c r="B327" s="18" t="s">
        <v>1060</v>
      </c>
      <c r="C327" s="18" t="s">
        <v>1061</v>
      </c>
      <c r="D327" s="3" t="s">
        <v>1411</v>
      </c>
      <c r="E327" s="3">
        <f t="shared" si="5"/>
        <v>325</v>
      </c>
      <c r="F327" s="3">
        <f>COUNTIF(NodesData[label],NodesData[[#This Row],[label]])</f>
        <v>1</v>
      </c>
      <c r="G327" s="3">
        <f>COUNTIF(ConceptNodes9['[A_ID']],NodesData[[#This Row],[id]])+COUNTIF(ConceptNodes9['[B_ID']],NodesData[[#This Row],[id]])</f>
        <v>0</v>
      </c>
      <c r="H327" s="3">
        <f>IF(NodesData[[#This Row],[Used]]&gt;0,1,0)</f>
        <v>0</v>
      </c>
      <c r="I327" s="19" t="str" cm="1">
        <f t="array" ref="I327">IF(NodesData[[#This Row],[Count]]&gt;1,",","") &amp;"{"&amp;twoRangesToJSON(NodesData[[#Headers],[id]:[url]],NodesData[[#This Row],[id]:[url]])&amp;"}"</f>
        <v>,{"id":"n_privilege_escalation","label":"Privilege Escalation","url":"https://open-measure.atlassian.net/wiki/spaces/DIC/pages/810320380"}</v>
      </c>
      <c r="J327" s="3"/>
    </row>
    <row r="328" spans="1:10" ht="13.25" customHeight="1" thickTop="1" thickBot="1" x14ac:dyDescent="0.4">
      <c r="A328" s="17" t="str">
        <f>SUBSTITUTE(SUBSTITUTE("n_"&amp;LOWER(SUBSTITUTE(SUBSTITUTE(SUBSTITUTE(NodesData[[#This Row],[label]]," ","_"),"/","_"),"-","_")),"__","_"),"__","_")</f>
        <v>n_privileged_identity</v>
      </c>
      <c r="B328" s="18" t="s">
        <v>1062</v>
      </c>
      <c r="C328" s="18" t="s">
        <v>1063</v>
      </c>
      <c r="D328" s="3" t="s">
        <v>1411</v>
      </c>
      <c r="E328" s="3">
        <f t="shared" si="5"/>
        <v>326</v>
      </c>
      <c r="F328" s="3">
        <f>COUNTIF(NodesData[label],NodesData[[#This Row],[label]])</f>
        <v>1</v>
      </c>
      <c r="G328" s="3">
        <f>COUNTIF(ConceptNodes9['[A_ID']],NodesData[[#This Row],[id]])+COUNTIF(ConceptNodes9['[B_ID']],NodesData[[#This Row],[id]])</f>
        <v>0</v>
      </c>
      <c r="H328" s="3">
        <f>IF(NodesData[[#This Row],[Used]]&gt;0,1,0)</f>
        <v>0</v>
      </c>
      <c r="I328" s="19" t="str" cm="1">
        <f t="array" ref="I328">IF(NodesData[[#This Row],[Count]]&gt;1,",","") &amp;"{"&amp;twoRangesToJSON(NodesData[[#Headers],[id]:[url]],NodesData[[#This Row],[id]:[url]])&amp;"}"</f>
        <v>,{"id":"n_privileged_identity","label":"Privileged Identity","url":"https://open-measure.atlassian.net/wiki/spaces/DIC/pages/138346661"}</v>
      </c>
      <c r="J328" s="3"/>
    </row>
    <row r="329" spans="1:10" ht="13.25" customHeight="1" thickTop="1" thickBot="1" x14ac:dyDescent="0.4">
      <c r="A329" s="17" t="str">
        <f>SUBSTITUTE(SUBSTITUTE("n_"&amp;LOWER(SUBSTITUTE(SUBSTITUTE(SUBSTITUTE(NodesData[[#This Row],[label]]," ","_"),"/","_"),"-","_")),"__","_"),"__","_")</f>
        <v>n_privileged_insider</v>
      </c>
      <c r="B329" s="18" t="s">
        <v>399</v>
      </c>
      <c r="C329" s="18" t="s">
        <v>1064</v>
      </c>
      <c r="D329" s="3" t="s">
        <v>1411</v>
      </c>
      <c r="E329" s="3">
        <f t="shared" si="5"/>
        <v>327</v>
      </c>
      <c r="F329" s="3">
        <f>COUNTIF(NodesData[label],NodesData[[#This Row],[label]])</f>
        <v>1</v>
      </c>
      <c r="G329" s="3">
        <f>COUNTIF(ConceptNodes9['[A_ID']],NodesData[[#This Row],[id]])+COUNTIF(ConceptNodes9['[B_ID']],NodesData[[#This Row],[id]])</f>
        <v>0</v>
      </c>
      <c r="H329" s="3">
        <f>IF(NodesData[[#This Row],[Used]]&gt;0,1,0)</f>
        <v>0</v>
      </c>
      <c r="I329" s="19" t="str" cm="1">
        <f t="array" ref="I329">IF(NodesData[[#This Row],[Count]]&gt;1,",","") &amp;"{"&amp;twoRangesToJSON(NodesData[[#Headers],[id]:[url]],NodesData[[#This Row],[id]:[url]])&amp;"}"</f>
        <v>,{"id":"n_privileged_insider","label":"Privileged Insider","url":"https://open-measure.atlassian.net/wiki/spaces/DIC/pages/1477902403/Privileged+Insider"}</v>
      </c>
      <c r="J329" s="3"/>
    </row>
    <row r="330" spans="1:10" ht="13.25" customHeight="1" thickTop="1" thickBot="1" x14ac:dyDescent="0.4">
      <c r="A330" s="17" t="str">
        <f>SUBSTITUTE(SUBSTITUTE("n_"&amp;LOWER(SUBSTITUTE(SUBSTITUTE(SUBSTITUTE(NodesData[[#This Row],[label]]," ","_"),"/","_"),"-","_")),"__","_"),"__","_")</f>
        <v>n_provisioning</v>
      </c>
      <c r="B330" s="18" t="s">
        <v>1065</v>
      </c>
      <c r="C330" s="18" t="s">
        <v>1066</v>
      </c>
      <c r="D330" s="3" t="s">
        <v>1411</v>
      </c>
      <c r="E330" s="3">
        <f t="shared" si="5"/>
        <v>328</v>
      </c>
      <c r="F330" s="3">
        <f>COUNTIF(NodesData[label],NodesData[[#This Row],[label]])</f>
        <v>1</v>
      </c>
      <c r="G330" s="3">
        <f>COUNTIF(ConceptNodes9['[A_ID']],NodesData[[#This Row],[id]])+COUNTIF(ConceptNodes9['[B_ID']],NodesData[[#This Row],[id]])</f>
        <v>0</v>
      </c>
      <c r="H330" s="3">
        <f>IF(NodesData[[#This Row],[Used]]&gt;0,1,0)</f>
        <v>0</v>
      </c>
      <c r="I330" s="19" t="str" cm="1">
        <f t="array" ref="I330">IF(NodesData[[#This Row],[Count]]&gt;1,",","") &amp;"{"&amp;twoRangesToJSON(NodesData[[#Headers],[id]:[url]],NodesData[[#This Row],[id]:[url]])&amp;"}"</f>
        <v>,{"id":"n_provisioning","label":"Provisioning","url":"https://open-measure.atlassian.net/wiki/spaces/DIC/pages/61964289"}</v>
      </c>
      <c r="J330" s="3"/>
    </row>
    <row r="331" spans="1:10" ht="13.25" customHeight="1" thickTop="1" thickBot="1" x14ac:dyDescent="0.4">
      <c r="A331" s="24" t="str">
        <f>SUBSTITUTE(SUBSTITUTE("n_"&amp;LOWER(SUBSTITUTE(SUBSTITUTE(SUBSTITUTE(NodesData[[#This Row],[label]]," ","_"),"/","_"),"-","_")),"__","_"),"__","_")</f>
        <v>n_personal_identification_number_authentication</v>
      </c>
      <c r="B331" s="23" t="s">
        <v>1377</v>
      </c>
      <c r="C331" s="23"/>
      <c r="D331" s="3" t="s">
        <v>1411</v>
      </c>
      <c r="E331" s="3">
        <f t="shared" si="5"/>
        <v>329</v>
      </c>
      <c r="F331" s="3">
        <f>COUNTIF(NodesData[label],NodesData[[#This Row],[label]])</f>
        <v>1</v>
      </c>
      <c r="G331" s="3">
        <f>COUNTIF(ConceptNodes9['[A_ID']],NodesData[[#This Row],[id]])+COUNTIF(ConceptNodes9['[B_ID']],NodesData[[#This Row],[id]])</f>
        <v>0</v>
      </c>
      <c r="H331" s="3">
        <f>IF(NodesData[[#This Row],[Used]]&gt;0,1,0)</f>
        <v>0</v>
      </c>
      <c r="I331" s="19" t="str" cm="1">
        <f t="array" ref="I331">IF(NodesData[[#This Row],[Count]]&gt;1,",","") &amp;"{"&amp;twoRangesToJSON(NodesData[[#Headers],[id]:[url]],NodesData[[#This Row],[id]:[url]])&amp;"}"</f>
        <v>,{"id":"n_personal_identification_number_authentication","label":"Personal Identification Number Authentication","url":""}</v>
      </c>
      <c r="J331" s="3"/>
    </row>
    <row r="332" spans="1:10" ht="13.25" customHeight="1" thickTop="1" thickBot="1" x14ac:dyDescent="0.4">
      <c r="A332" s="17" t="str">
        <f>SUBSTITUTE(SUBSTITUTE("n_"&amp;LOWER(SUBSTITUTE(SUBSTITUTE(SUBSTITUTE(NodesData[[#This Row],[label]]," ","_"),"/","_"),"-","_")),"__","_"),"__","_")</f>
        <v>n_qualitative_identity</v>
      </c>
      <c r="B332" s="18" t="s">
        <v>408</v>
      </c>
      <c r="C332" s="18" t="s">
        <v>1068</v>
      </c>
      <c r="D332" s="3" t="s">
        <v>1411</v>
      </c>
      <c r="E332" s="3">
        <f t="shared" si="5"/>
        <v>330</v>
      </c>
      <c r="F332" s="3">
        <f>COUNTIF(NodesData[label],NodesData[[#This Row],[label]])</f>
        <v>1</v>
      </c>
      <c r="G332" s="3">
        <f>COUNTIF(ConceptNodes9['[A_ID']],NodesData[[#This Row],[id]])+COUNTIF(ConceptNodes9['[B_ID']],NodesData[[#This Row],[id]])</f>
        <v>0</v>
      </c>
      <c r="H332" s="3">
        <f>IF(NodesData[[#This Row],[Used]]&gt;0,1,0)</f>
        <v>0</v>
      </c>
      <c r="I332" s="19" t="str" cm="1">
        <f t="array" ref="I332">IF(NodesData[[#This Row],[Count]]&gt;1,",","") &amp;"{"&amp;twoRangesToJSON(NodesData[[#Headers],[id]:[url]],NodesData[[#This Row],[id]:[url]])&amp;"}"</f>
        <v>,{"id":"n_qualitative_identity","label":"Qualitative Identity","url":"https://open-measure.atlassian.net/wiki/spaces/DIC/pages/1323598109/Qualitative+Identity"}</v>
      </c>
      <c r="J332" s="3"/>
    </row>
    <row r="333" spans="1:10" ht="13.25" customHeight="1" thickTop="1" thickBot="1" x14ac:dyDescent="0.4">
      <c r="A333" s="17" t="str">
        <f>SUBSTITUTE(SUBSTITUTE("n_"&amp;LOWER(SUBSTITUTE(SUBSTITUTE(SUBSTITUTE(NodesData[[#This Row],[label]]," ","_"),"/","_"),"-","_")),"__","_"),"__","_")</f>
        <v>n_ra</v>
      </c>
      <c r="B333" s="18" t="s">
        <v>1069</v>
      </c>
      <c r="C333" s="18" t="s">
        <v>1070</v>
      </c>
      <c r="D333" s="3" t="s">
        <v>1301</v>
      </c>
      <c r="E333" s="3">
        <f t="shared" si="5"/>
        <v>331</v>
      </c>
      <c r="F333" s="3">
        <f>COUNTIF(NodesData[label],NodesData[[#This Row],[label]])</f>
        <v>1</v>
      </c>
      <c r="G333" s="3">
        <f>COUNTIF(ConceptNodes9['[A_ID']],NodesData[[#This Row],[id]])+COUNTIF(ConceptNodes9['[B_ID']],NodesData[[#This Row],[id]])</f>
        <v>0</v>
      </c>
      <c r="H333" s="3">
        <f>IF(NodesData[[#This Row],[Used]]&gt;0,1,0)</f>
        <v>0</v>
      </c>
      <c r="I333" s="19" t="str" cm="1">
        <f t="array" ref="I333">IF(NodesData[[#This Row],[Count]]&gt;1,",","") &amp;"{"&amp;twoRangesToJSON(NodesData[[#Headers],[id]:[url]],NodesData[[#This Row],[id]:[url]])&amp;"}"</f>
        <v>,{"id":"n_ra","label":"RA","url":"https://open-measure.atlassian.net/wiki/spaces/DIC/pages/82903928"}</v>
      </c>
      <c r="J333" s="3"/>
    </row>
    <row r="334" spans="1:10" ht="13.25" customHeight="1" thickTop="1" thickBot="1" x14ac:dyDescent="0.4">
      <c r="A334" s="17" t="str">
        <f>SUBSTITUTE(SUBSTITUTE("n_"&amp;LOWER(SUBSTITUTE(SUBSTITUTE(SUBSTITUTE(NodesData[[#This Row],[label]]," ","_"),"/","_"),"-","_")),"__","_"),"__","_")</f>
        <v>n_ratio_scale</v>
      </c>
      <c r="B334" s="18" t="s">
        <v>1071</v>
      </c>
      <c r="C334" s="18" t="s">
        <v>1072</v>
      </c>
      <c r="D334" s="3" t="s">
        <v>1411</v>
      </c>
      <c r="E334" s="3">
        <f t="shared" si="5"/>
        <v>332</v>
      </c>
      <c r="F334" s="3">
        <f>COUNTIF(NodesData[label],NodesData[[#This Row],[label]])</f>
        <v>1</v>
      </c>
      <c r="G334" s="3">
        <f>COUNTIF(ConceptNodes9['[A_ID']],NodesData[[#This Row],[id]])+COUNTIF(ConceptNodes9['[B_ID']],NodesData[[#This Row],[id]])</f>
        <v>0</v>
      </c>
      <c r="H334" s="3">
        <f>IF(NodesData[[#This Row],[Used]]&gt;0,1,0)</f>
        <v>0</v>
      </c>
      <c r="I334" s="19" t="str" cm="1">
        <f t="array" ref="I334">IF(NodesData[[#This Row],[Count]]&gt;1,",","") &amp;"{"&amp;twoRangesToJSON(NodesData[[#Headers],[id]:[url]],NodesData[[#This Row],[id]:[url]])&amp;"}"</f>
        <v>,{"id":"n_ratio_scale","label":"Ratio Scale","url":"https://open-measure.atlassian.net/wiki/spaces/DIC/pages/11567198"}</v>
      </c>
      <c r="J334" s="3"/>
    </row>
    <row r="335" spans="1:10" ht="13.25" customHeight="1" thickTop="1" thickBot="1" x14ac:dyDescent="0.4">
      <c r="A335" s="17" t="str">
        <f>SUBSTITUTE(SUBSTITUTE("n_"&amp;LOWER(SUBSTITUTE(SUBSTITUTE(SUBSTITUTE(NodesData[[#This Row],[label]]," ","_"),"/","_"),"-","_")),"__","_"),"__","_")</f>
        <v>n_rba</v>
      </c>
      <c r="B335" s="18" t="s">
        <v>1073</v>
      </c>
      <c r="C335" s="18" t="s">
        <v>1074</v>
      </c>
      <c r="D335" s="3" t="s">
        <v>1301</v>
      </c>
      <c r="E335" s="3">
        <f t="shared" si="5"/>
        <v>333</v>
      </c>
      <c r="F335" s="3">
        <f>COUNTIF(NodesData[label],NodesData[[#This Row],[label]])</f>
        <v>1</v>
      </c>
      <c r="G335" s="3">
        <f>COUNTIF(ConceptNodes9['[A_ID']],NodesData[[#This Row],[id]])+COUNTIF(ConceptNodes9['[B_ID']],NodesData[[#This Row],[id]])</f>
        <v>0</v>
      </c>
      <c r="H335" s="3">
        <f>IF(NodesData[[#This Row],[Used]]&gt;0,1,0)</f>
        <v>0</v>
      </c>
      <c r="I335" s="19" t="str" cm="1">
        <f t="array" ref="I335">IF(NodesData[[#This Row],[Count]]&gt;1,",","") &amp;"{"&amp;twoRangesToJSON(NodesData[[#Headers],[id]:[url]],NodesData[[#This Row],[id]:[url]])&amp;"}"</f>
        <v>,{"id":"n_rba","label":"RBA","url":"https://open-measure.atlassian.net/wiki/spaces/DIC/pages/408944908"}</v>
      </c>
      <c r="J335" s="3"/>
    </row>
    <row r="336" spans="1:10" ht="13.25" customHeight="1" thickTop="1" thickBot="1" x14ac:dyDescent="0.4">
      <c r="A336" s="17" t="str">
        <f>SUBSTITUTE(SUBSTITUTE("n_"&amp;LOWER(SUBSTITUTE(SUBSTITUTE(SUBSTITUTE(NodesData[[#This Row],[label]]," ","_"),"/","_"),"-","_")),"__","_"),"__","_")</f>
        <v>n_qr_code_authentication</v>
      </c>
      <c r="B336" s="18" t="s">
        <v>406</v>
      </c>
      <c r="C336" s="18" t="s">
        <v>1067</v>
      </c>
      <c r="D336" s="3" t="s">
        <v>1411</v>
      </c>
      <c r="E336" s="3">
        <f t="shared" si="5"/>
        <v>334</v>
      </c>
      <c r="F336" s="3">
        <f>COUNTIF(NodesData[label],NodesData[[#This Row],[label]])</f>
        <v>1</v>
      </c>
      <c r="G336" s="3">
        <f>COUNTIF(ConceptNodes9['[A_ID']],NodesData[[#This Row],[id]])+COUNTIF(ConceptNodes9['[B_ID']],NodesData[[#This Row],[id]])</f>
        <v>0</v>
      </c>
      <c r="H336" s="3">
        <f>IF(NodesData[[#This Row],[Used]]&gt;0,1,0)</f>
        <v>0</v>
      </c>
      <c r="I336" s="19" t="str" cm="1">
        <f t="array" ref="I336">IF(NodesData[[#This Row],[Count]]&gt;1,",","") &amp;"{"&amp;twoRangesToJSON(NodesData[[#Headers],[id]:[url]],NodesData[[#This Row],[id]:[url]])&amp;"}"</f>
        <v>,{"id":"n_qr_code_authentication","label":"QR Code Authentication","url":"https://open-measure.atlassian.net/wiki/spaces/DIC/pages/1677164768/QR+Code+Authentication"}</v>
      </c>
      <c r="J336" s="3"/>
    </row>
    <row r="337" spans="1:10" ht="13.25" customHeight="1" thickTop="1" thickBot="1" x14ac:dyDescent="0.4">
      <c r="A337" s="17" t="str">
        <f>SUBSTITUTE(SUBSTITUTE("n_"&amp;LOWER(SUBSTITUTE(SUBSTITUTE(SUBSTITUTE(NodesData[[#This Row],[label]]," ","_"),"/","_"),"-","_")),"__","_"),"__","_")</f>
        <v>n_recertification</v>
      </c>
      <c r="B337" s="18" t="s">
        <v>1077</v>
      </c>
      <c r="C337" s="18" t="s">
        <v>1078</v>
      </c>
      <c r="D337" s="3" t="s">
        <v>1411</v>
      </c>
      <c r="E337" s="3">
        <f t="shared" si="5"/>
        <v>335</v>
      </c>
      <c r="F337" s="3">
        <f>COUNTIF(NodesData[label],NodesData[[#This Row],[label]])</f>
        <v>1</v>
      </c>
      <c r="G337" s="3">
        <f>COUNTIF(ConceptNodes9['[A_ID']],NodesData[[#This Row],[id]])+COUNTIF(ConceptNodes9['[B_ID']],NodesData[[#This Row],[id]])</f>
        <v>0</v>
      </c>
      <c r="H337" s="3">
        <f>IF(NodesData[[#This Row],[Used]]&gt;0,1,0)</f>
        <v>0</v>
      </c>
      <c r="I337" s="19" t="str" cm="1">
        <f t="array" ref="I337">IF(NodesData[[#This Row],[Count]]&gt;1,",","") &amp;"{"&amp;twoRangesToJSON(NodesData[[#Headers],[id]:[url]],NodesData[[#This Row],[id]:[url]])&amp;"}"</f>
        <v>,{"id":"n_recertification","label":"Recertification","url":"https://open-measure.atlassian.net/wiki/spaces/DIC/pages/107840129"}</v>
      </c>
      <c r="J337" s="3"/>
    </row>
    <row r="338" spans="1:10" ht="13.25" customHeight="1" thickTop="1" thickBot="1" x14ac:dyDescent="0.4">
      <c r="A338" s="17" t="str">
        <f>SUBSTITUTE(SUBSTITUTE("n_"&amp;LOWER(SUBSTITUTE(SUBSTITUTE(SUBSTITUTE(NodesData[[#This Row],[label]]," ","_"),"/","_"),"-","_")),"__","_"),"__","_")</f>
        <v>n_reference_monitor</v>
      </c>
      <c r="B338" s="18" t="s">
        <v>1079</v>
      </c>
      <c r="C338" s="18" t="s">
        <v>1080</v>
      </c>
      <c r="D338" s="3" t="s">
        <v>1411</v>
      </c>
      <c r="E338" s="3">
        <f t="shared" si="5"/>
        <v>336</v>
      </c>
      <c r="F338" s="3">
        <f>COUNTIF(NodesData[label],NodesData[[#This Row],[label]])</f>
        <v>1</v>
      </c>
      <c r="G338" s="3">
        <f>COUNTIF(ConceptNodes9['[A_ID']],NodesData[[#This Row],[id]])+COUNTIF(ConceptNodes9['[B_ID']],NodesData[[#This Row],[id]])</f>
        <v>0</v>
      </c>
      <c r="H338" s="3">
        <f>IF(NodesData[[#This Row],[Used]]&gt;0,1,0)</f>
        <v>0</v>
      </c>
      <c r="I338" s="19" t="str" cm="1">
        <f t="array" ref="I338">IF(NodesData[[#This Row],[Count]]&gt;1,",","") &amp;"{"&amp;twoRangesToJSON(NodesData[[#Headers],[id]:[url]],NodesData[[#This Row],[id]:[url]])&amp;"}"</f>
        <v>,{"id":"n_reference_monitor","label":"Reference Monitor","url":"https://open-measure.atlassian.net/wiki/spaces/DIC/pages/123962234"}</v>
      </c>
      <c r="J338" s="3"/>
    </row>
    <row r="339" spans="1:10" ht="13.25" customHeight="1" thickTop="1" thickBot="1" x14ac:dyDescent="0.4">
      <c r="A339" s="17" t="str">
        <f>SUBSTITUTE(SUBSTITUTE("n_"&amp;LOWER(SUBSTITUTE(SUBSTITUTE(SUBSTITUTE(NodesData[[#This Row],[label]]," ","_"),"/","_"),"-","_")),"__","_"),"__","_")</f>
        <v>n_re_authentication</v>
      </c>
      <c r="B339" s="18" t="s">
        <v>1075</v>
      </c>
      <c r="C339" s="18" t="s">
        <v>1076</v>
      </c>
      <c r="D339" s="3" t="s">
        <v>1411</v>
      </c>
      <c r="E339" s="3">
        <f t="shared" si="5"/>
        <v>337</v>
      </c>
      <c r="F339" s="3">
        <f>COUNTIF(NodesData[label],NodesData[[#This Row],[label]])</f>
        <v>1</v>
      </c>
      <c r="G339" s="3">
        <f>COUNTIF(ConceptNodes9['[A_ID']],NodesData[[#This Row],[id]])+COUNTIF(ConceptNodes9['[B_ID']],NodesData[[#This Row],[id]])</f>
        <v>0</v>
      </c>
      <c r="H339" s="3">
        <f>IF(NodesData[[#This Row],[Used]]&gt;0,1,0)</f>
        <v>0</v>
      </c>
      <c r="I339" s="19" t="str" cm="1">
        <f t="array" ref="I339">IF(NodesData[[#This Row],[Count]]&gt;1,",","") &amp;"{"&amp;twoRangesToJSON(NodesData[[#Headers],[id]:[url]],NodesData[[#This Row],[id]:[url]])&amp;"}"</f>
        <v>,{"id":"n_re_authentication","label":"Re-authentication","url":"https://open-measure.atlassian.net/wiki/spaces/DIC/pages/873201665"}</v>
      </c>
      <c r="J339" s="3"/>
    </row>
    <row r="340" spans="1:10" ht="13.25" customHeight="1" thickTop="1" thickBot="1" x14ac:dyDescent="0.4">
      <c r="A340" s="17" t="str">
        <f>SUBSTITUTE(SUBSTITUTE("n_"&amp;LOWER(SUBSTITUTE(SUBSTITUTE(SUBSTITUTE(NodesData[[#This Row],[label]]," ","_"),"/","_"),"-","_")),"__","_"),"__","_")</f>
        <v>n_rejoiner</v>
      </c>
      <c r="B340" s="18" t="s">
        <v>1083</v>
      </c>
      <c r="C340" s="18" t="s">
        <v>1084</v>
      </c>
      <c r="D340" s="3" t="s">
        <v>1411</v>
      </c>
      <c r="E340" s="3">
        <f t="shared" si="5"/>
        <v>338</v>
      </c>
      <c r="F340" s="3">
        <f>COUNTIF(NodesData[label],NodesData[[#This Row],[label]])</f>
        <v>1</v>
      </c>
      <c r="G340" s="3">
        <f>COUNTIF(ConceptNodes9['[A_ID']],NodesData[[#This Row],[id]])+COUNTIF(ConceptNodes9['[B_ID']],NodesData[[#This Row],[id]])</f>
        <v>0</v>
      </c>
      <c r="H340" s="3">
        <f>IF(NodesData[[#This Row],[Used]]&gt;0,1,0)</f>
        <v>0</v>
      </c>
      <c r="I340" s="19" t="str" cm="1">
        <f t="array" ref="I340">IF(NodesData[[#This Row],[Count]]&gt;1,",","") &amp;"{"&amp;twoRangesToJSON(NodesData[[#Headers],[id]:[url]],NodesData[[#This Row],[id]:[url]])&amp;"}"</f>
        <v>,{"id":"n_rejoiner","label":"Rejoiner","url":"https://open-measure.atlassian.net/wiki/spaces/DIC/pages/858521682"}</v>
      </c>
      <c r="J340" s="3"/>
    </row>
    <row r="341" spans="1:10" ht="13.25" customHeight="1" thickTop="1" thickBot="1" x14ac:dyDescent="0.4">
      <c r="A341" s="17" t="str">
        <f>SUBSTITUTE(SUBSTITUTE("n_"&amp;LOWER(SUBSTITUTE(SUBSTITUTE(SUBSTITUTE(NodesData[[#This Row],[label]]," ","_"),"/","_"),"-","_")),"__","_"),"__","_")</f>
        <v>n_relying_party</v>
      </c>
      <c r="B341" s="18" t="s">
        <v>1085</v>
      </c>
      <c r="C341" s="18" t="s">
        <v>1086</v>
      </c>
      <c r="D341" s="3" t="s">
        <v>1411</v>
      </c>
      <c r="E341" s="3">
        <f t="shared" si="5"/>
        <v>339</v>
      </c>
      <c r="F341" s="3">
        <f>COUNTIF(NodesData[label],NodesData[[#This Row],[label]])</f>
        <v>1</v>
      </c>
      <c r="G341" s="3">
        <f>COUNTIF(ConceptNodes9['[A_ID']],NodesData[[#This Row],[id]])+COUNTIF(ConceptNodes9['[B_ID']],NodesData[[#This Row],[id]])</f>
        <v>0</v>
      </c>
      <c r="H341" s="3">
        <f>IF(NodesData[[#This Row],[Used]]&gt;0,1,0)</f>
        <v>0</v>
      </c>
      <c r="I341" s="19" t="str" cm="1">
        <f t="array" ref="I341">IF(NodesData[[#This Row],[Count]]&gt;1,",","") &amp;"{"&amp;twoRangesToJSON(NodesData[[#Headers],[id]:[url]],NodesData[[#This Row],[id]:[url]])&amp;"}"</f>
        <v>,{"id":"n_relying_party","label":"Relying Party","url":"https://open-measure.atlassian.net/wiki/spaces/DIC/pages/67699423"}</v>
      </c>
      <c r="J341" s="3"/>
    </row>
    <row r="342" spans="1:10" ht="13.25" customHeight="1" thickTop="1" thickBot="1" x14ac:dyDescent="0.4">
      <c r="A342" s="17" t="str">
        <f>SUBSTITUTE(SUBSTITUTE("n_"&amp;LOWER(SUBSTITUTE(SUBSTITUTE(SUBSTITUTE(NodesData[[#This Row],[label]]," ","_"),"/","_"),"-","_")),"__","_"),"__","_")</f>
        <v>n_remote_identity_proofing</v>
      </c>
      <c r="B342" s="18" t="s">
        <v>1087</v>
      </c>
      <c r="C342" s="18" t="s">
        <v>1088</v>
      </c>
      <c r="D342" s="3" t="s">
        <v>1411</v>
      </c>
      <c r="E342" s="3">
        <f t="shared" si="5"/>
        <v>340</v>
      </c>
      <c r="F342" s="3">
        <f>COUNTIF(NodesData[label],NodesData[[#This Row],[label]])</f>
        <v>1</v>
      </c>
      <c r="G342" s="3">
        <f>COUNTIF(ConceptNodes9['[A_ID']],NodesData[[#This Row],[id]])+COUNTIF(ConceptNodes9['[B_ID']],NodesData[[#This Row],[id]])</f>
        <v>0</v>
      </c>
      <c r="H342" s="3">
        <f>IF(NodesData[[#This Row],[Used]]&gt;0,1,0)</f>
        <v>0</v>
      </c>
      <c r="I342" s="19" t="str" cm="1">
        <f t="array" ref="I342">IF(NodesData[[#This Row],[Count]]&gt;1,",","") &amp;"{"&amp;twoRangesToJSON(NodesData[[#Headers],[id]:[url]],NodesData[[#This Row],[id]:[url]])&amp;"}"</f>
        <v>,{"id":"n_remote_identity_proofing","label":"Remote Identity Proofing","url":"https://open-measure.atlassian.net/wiki/spaces/DIC/pages/427130881"}</v>
      </c>
      <c r="J342" s="3"/>
    </row>
    <row r="343" spans="1:10" ht="13.25" customHeight="1" thickTop="1" thickBot="1" x14ac:dyDescent="0.4">
      <c r="A343" s="17" t="str">
        <f>SUBSTITUTE(SUBSTITUTE("n_"&amp;LOWER(SUBSTITUTE(SUBSTITUTE(SUBSTITUTE(NodesData[[#This Row],[label]]," ","_"),"/","_"),"-","_")),"__","_"),"__","_")</f>
        <v>n_repeatability</v>
      </c>
      <c r="B343" s="18" t="s">
        <v>1089</v>
      </c>
      <c r="C343" s="18" t="s">
        <v>1090</v>
      </c>
      <c r="D343" s="3" t="s">
        <v>1411</v>
      </c>
      <c r="E343" s="3">
        <f t="shared" si="5"/>
        <v>341</v>
      </c>
      <c r="F343" s="3">
        <f>COUNTIF(NodesData[label],NodesData[[#This Row],[label]])</f>
        <v>1</v>
      </c>
      <c r="G343" s="3">
        <f>COUNTIF(ConceptNodes9['[A_ID']],NodesData[[#This Row],[id]])+COUNTIF(ConceptNodes9['[B_ID']],NodesData[[#This Row],[id]])</f>
        <v>0</v>
      </c>
      <c r="H343" s="3">
        <f>IF(NodesData[[#This Row],[Used]]&gt;0,1,0)</f>
        <v>0</v>
      </c>
      <c r="I343" s="19" t="str" cm="1">
        <f t="array" ref="I343">IF(NodesData[[#This Row],[Count]]&gt;1,",","") &amp;"{"&amp;twoRangesToJSON(NodesData[[#Headers],[id]:[url]],NodesData[[#This Row],[id]:[url]])&amp;"}"</f>
        <v>,{"id":"n_repeatability","label":"Repeatability","url":"https://open-measure.atlassian.net/wiki/spaces/DIC/pages/2589003"}</v>
      </c>
      <c r="J343" s="3"/>
    </row>
    <row r="344" spans="1:10" ht="13.25" customHeight="1" thickTop="1" thickBot="1" x14ac:dyDescent="0.4">
      <c r="A344" s="17" t="str">
        <f>SUBSTITUTE(SUBSTITUTE("n_"&amp;LOWER(SUBSTITUTE(SUBSTITUTE(SUBSTITUTE(NodesData[[#This Row],[label]]," ","_"),"/","_"),"-","_")),"__","_"),"__","_")</f>
        <v>n_representation_target</v>
      </c>
      <c r="B344" s="18" t="s">
        <v>1091</v>
      </c>
      <c r="C344" s="18" t="s">
        <v>1092</v>
      </c>
      <c r="D344" s="3" t="s">
        <v>1411</v>
      </c>
      <c r="E344" s="3">
        <f t="shared" si="5"/>
        <v>342</v>
      </c>
      <c r="F344" s="3">
        <f>COUNTIF(NodesData[label],NodesData[[#This Row],[label]])</f>
        <v>1</v>
      </c>
      <c r="G344" s="3">
        <f>COUNTIF(ConceptNodes9['[A_ID']],NodesData[[#This Row],[id]])+COUNTIF(ConceptNodes9['[B_ID']],NodesData[[#This Row],[id]])</f>
        <v>0</v>
      </c>
      <c r="H344" s="3">
        <f>IF(NodesData[[#This Row],[Used]]&gt;0,1,0)</f>
        <v>0</v>
      </c>
      <c r="I344" s="19" t="str" cm="1">
        <f t="array" ref="I344">IF(NodesData[[#This Row],[Count]]&gt;1,",","") &amp;"{"&amp;twoRangesToJSON(NodesData[[#Headers],[id]:[url]],NodesData[[#This Row],[id]:[url]])&amp;"}"</f>
        <v>,{"id":"n_representation_target","label":"Representation Target","url":"https://open-measure.atlassian.net/wiki/spaces/DIC/pages/11141464"}</v>
      </c>
      <c r="J344" s="3"/>
    </row>
    <row r="345" spans="1:10" ht="13.25" customHeight="1" thickTop="1" thickBot="1" x14ac:dyDescent="0.4">
      <c r="A345" s="17" t="str">
        <f>SUBSTITUTE(SUBSTITUTE("n_"&amp;LOWER(SUBSTITUTE(SUBSTITUTE(SUBSTITUTE(NodesData[[#This Row],[label]]," ","_"),"/","_"),"-","_")),"__","_"),"__","_")</f>
        <v>n_reproducibility</v>
      </c>
      <c r="B345" s="18" t="s">
        <v>1093</v>
      </c>
      <c r="C345" s="18" t="s">
        <v>1094</v>
      </c>
      <c r="D345" s="3" t="s">
        <v>1411</v>
      </c>
      <c r="E345" s="3">
        <f t="shared" si="5"/>
        <v>343</v>
      </c>
      <c r="F345" s="3">
        <f>COUNTIF(NodesData[label],NodesData[[#This Row],[label]])</f>
        <v>1</v>
      </c>
      <c r="G345" s="3">
        <f>COUNTIF(ConceptNodes9['[A_ID']],NodesData[[#This Row],[id]])+COUNTIF(ConceptNodes9['[B_ID']],NodesData[[#This Row],[id]])</f>
        <v>0</v>
      </c>
      <c r="H345" s="3">
        <f>IF(NodesData[[#This Row],[Used]]&gt;0,1,0)</f>
        <v>0</v>
      </c>
      <c r="I345" s="19" t="str" cm="1">
        <f t="array" ref="I345">IF(NodesData[[#This Row],[Count]]&gt;1,",","") &amp;"{"&amp;twoRangesToJSON(NodesData[[#Headers],[id]:[url]],NodesData[[#This Row],[id]:[url]])&amp;"}"</f>
        <v>,{"id":"n_reproducibility","label":"Reproducibility","url":"https://open-measure.atlassian.net/wiki/spaces/DIC/pages/2588994"}</v>
      </c>
      <c r="J345" s="3"/>
    </row>
    <row r="346" spans="1:10" ht="13.25" customHeight="1" thickTop="1" thickBot="1" x14ac:dyDescent="0.4">
      <c r="A346" s="17" t="str">
        <f>SUBSTITUTE(SUBSTITUTE("n_"&amp;LOWER(SUBSTITUTE(SUBSTITUTE(SUBSTITUTE(NodesData[[#This Row],[label]]," ","_"),"/","_"),"-","_")),"__","_"),"__","_")</f>
        <v>n_revocation</v>
      </c>
      <c r="B346" s="18" t="s">
        <v>1095</v>
      </c>
      <c r="C346" s="18" t="s">
        <v>1096</v>
      </c>
      <c r="D346" s="3" t="s">
        <v>1411</v>
      </c>
      <c r="E346" s="3">
        <f t="shared" si="5"/>
        <v>344</v>
      </c>
      <c r="F346" s="3">
        <f>COUNTIF(NodesData[label],NodesData[[#This Row],[label]])</f>
        <v>1</v>
      </c>
      <c r="G346" s="3">
        <f>COUNTIF(ConceptNodes9['[A_ID']],NodesData[[#This Row],[id]])+COUNTIF(ConceptNodes9['[B_ID']],NodesData[[#This Row],[id]])</f>
        <v>0</v>
      </c>
      <c r="H346" s="3">
        <f>IF(NodesData[[#This Row],[Used]]&gt;0,1,0)</f>
        <v>0</v>
      </c>
      <c r="I346" s="19" t="str" cm="1">
        <f t="array" ref="I346">IF(NodesData[[#This Row],[Count]]&gt;1,",","") &amp;"{"&amp;twoRangesToJSON(NodesData[[#Headers],[id]:[url]],NodesData[[#This Row],[id]:[url]])&amp;"}"</f>
        <v>,{"id":"n_revocation","label":"Revocation","url":"https://open-measure.atlassian.net/wiki/spaces/DIC/pages/67698769"}</v>
      </c>
      <c r="J346" s="3"/>
    </row>
    <row r="347" spans="1:10" ht="13.25" customHeight="1" thickTop="1" thickBot="1" x14ac:dyDescent="0.4">
      <c r="A347" s="17" t="str">
        <f>SUBSTITUTE(SUBSTITUTE("n_"&amp;LOWER(SUBSTITUTE(SUBSTITUTE(SUBSTITUTE(NodesData[[#This Row],[label]]," ","_"),"/","_"),"-","_")),"__","_"),"__","_")</f>
        <v>n_ridp</v>
      </c>
      <c r="B347" s="18" t="s">
        <v>1097</v>
      </c>
      <c r="C347" s="18" t="s">
        <v>1098</v>
      </c>
      <c r="D347" s="3" t="s">
        <v>1301</v>
      </c>
      <c r="E347" s="3">
        <f t="shared" si="5"/>
        <v>345</v>
      </c>
      <c r="F347" s="3">
        <f>COUNTIF(NodesData[label],NodesData[[#This Row],[label]])</f>
        <v>1</v>
      </c>
      <c r="G347" s="3">
        <f>COUNTIF(ConceptNodes9['[A_ID']],NodesData[[#This Row],[id]])+COUNTIF(ConceptNodes9['[B_ID']],NodesData[[#This Row],[id]])</f>
        <v>0</v>
      </c>
      <c r="H347" s="3">
        <f>IF(NodesData[[#This Row],[Used]]&gt;0,1,0)</f>
        <v>0</v>
      </c>
      <c r="I347" s="19" t="str" cm="1">
        <f t="array" ref="I347">IF(NodesData[[#This Row],[Count]]&gt;1,",","") &amp;"{"&amp;twoRangesToJSON(NodesData[[#Headers],[id]:[url]],NodesData[[#This Row],[id]:[url]])&amp;"}"</f>
        <v>,{"id":"n_ridp","label":"RIDP","url":"https://open-measure.atlassian.net/wiki/spaces/DIC/pages/425623561"}</v>
      </c>
      <c r="J347" s="3"/>
    </row>
    <row r="348" spans="1:10" ht="13.25" customHeight="1" thickTop="1" thickBot="1" x14ac:dyDescent="0.4">
      <c r="A348" s="17" t="str">
        <f>SUBSTITUTE(SUBSTITUTE("n_"&amp;LOWER(SUBSTITUTE(SUBSTITUTE(SUBSTITUTE(NodesData[[#This Row],[label]]," ","_"),"/","_"),"-","_")),"__","_"),"__","_")</f>
        <v>n_registration_authority</v>
      </c>
      <c r="B348" s="18" t="s">
        <v>1081</v>
      </c>
      <c r="C348" s="18" t="s">
        <v>1082</v>
      </c>
      <c r="D348" s="3" t="s">
        <v>1411</v>
      </c>
      <c r="E348" s="3">
        <f t="shared" si="5"/>
        <v>346</v>
      </c>
      <c r="F348" s="3">
        <f>COUNTIF(NodesData[label],NodesData[[#This Row],[label]])</f>
        <v>1</v>
      </c>
      <c r="G348" s="3">
        <f>COUNTIF(ConceptNodes9['[A_ID']],NodesData[[#This Row],[id]])+COUNTIF(ConceptNodes9['[B_ID']],NodesData[[#This Row],[id]])</f>
        <v>0</v>
      </c>
      <c r="H348" s="3">
        <f>IF(NodesData[[#This Row],[Used]]&gt;0,1,0)</f>
        <v>0</v>
      </c>
      <c r="I348" s="19" t="str" cm="1">
        <f t="array" ref="I348">IF(NodesData[[#This Row],[Count]]&gt;1,",","") &amp;"{"&amp;twoRangesToJSON(NodesData[[#Headers],[id]:[url]],NodesData[[#This Row],[id]:[url]])&amp;"}"</f>
        <v>,{"id":"n_registration_authority","label":"Registration Authority","url":"https://open-measure.atlassian.net/wiki/spaces/DIC/pages/82870985"}</v>
      </c>
      <c r="J348" s="3"/>
    </row>
    <row r="349" spans="1:10" ht="13.25" customHeight="1" thickTop="1" thickBot="1" x14ac:dyDescent="0.4">
      <c r="A349" s="17" t="str">
        <f>SUBSTITUTE(SUBSTITUTE("n_"&amp;LOWER(SUBSTITUTE(SUBSTITUTE(SUBSTITUTE(NodesData[[#This Row],[label]]," ","_"),"/","_"),"-","_")),"__","_"),"__","_")</f>
        <v>n_role</v>
      </c>
      <c r="B349" s="18" t="s">
        <v>1101</v>
      </c>
      <c r="C349" s="18" t="s">
        <v>1102</v>
      </c>
      <c r="D349" s="3" t="s">
        <v>1411</v>
      </c>
      <c r="E349" s="3">
        <f t="shared" si="5"/>
        <v>347</v>
      </c>
      <c r="F349" s="3">
        <f>COUNTIF(NodesData[label],NodesData[[#This Row],[label]])</f>
        <v>1</v>
      </c>
      <c r="G349" s="3">
        <f>COUNTIF(ConceptNodes9['[A_ID']],NodesData[[#This Row],[id]])+COUNTIF(ConceptNodes9['[B_ID']],NodesData[[#This Row],[id]])</f>
        <v>0</v>
      </c>
      <c r="H349" s="3">
        <f>IF(NodesData[[#This Row],[Used]]&gt;0,1,0)</f>
        <v>0</v>
      </c>
      <c r="I349" s="19" t="str" cm="1">
        <f t="array" ref="I349">IF(NodesData[[#This Row],[Count]]&gt;1,",","") &amp;"{"&amp;twoRangesToJSON(NodesData[[#Headers],[id]:[url]],NodesData[[#This Row],[id]:[url]])&amp;"}"</f>
        <v>,{"id":"n_role","label":"Role","url":"https://open-measure.atlassian.net/wiki/spaces/DIC/pages/86442069"}</v>
      </c>
      <c r="J349" s="3"/>
    </row>
    <row r="350" spans="1:10" ht="13.25" customHeight="1" thickTop="1" thickBot="1" x14ac:dyDescent="0.4">
      <c r="A350" s="17" t="str">
        <f>SUBSTITUTE(SUBSTITUTE("n_"&amp;LOWER(SUBSTITUTE(SUBSTITUTE(SUBSTITUTE(NodesData[[#This Row],[label]]," ","_"),"/","_"),"-","_")),"__","_"),"__","_")</f>
        <v>n_role_based_access_control</v>
      </c>
      <c r="B350" s="18" t="s">
        <v>1115</v>
      </c>
      <c r="C350" s="18" t="s">
        <v>1116</v>
      </c>
      <c r="D350" s="3" t="s">
        <v>1411</v>
      </c>
      <c r="E350" s="3">
        <f t="shared" si="5"/>
        <v>348</v>
      </c>
      <c r="F350" s="3">
        <f>COUNTIF(NodesData[label],NodesData[[#This Row],[label]])</f>
        <v>1</v>
      </c>
      <c r="G350" s="3">
        <f>COUNTIF(ConceptNodes9['[A_ID']],NodesData[[#This Row],[id]])+COUNTIF(ConceptNodes9['[B_ID']],NodesData[[#This Row],[id]])</f>
        <v>0</v>
      </c>
      <c r="H350" s="3">
        <f>IF(NodesData[[#This Row],[Used]]&gt;0,1,0)</f>
        <v>0</v>
      </c>
      <c r="I350" s="19" t="str" cm="1">
        <f t="array" ref="I350">IF(NodesData[[#This Row],[Count]]&gt;1,",","") &amp;"{"&amp;twoRangesToJSON(NodesData[[#Headers],[id]:[url]],NodesData[[#This Row],[id]:[url]])&amp;"}"</f>
        <v>,{"id":"n_role_based_access_control","label":"Role-Based Access Control","url":"https://open-measure.atlassian.net/wiki/spaces/DIC/pages/1122566198"}</v>
      </c>
      <c r="J350" s="3"/>
    </row>
    <row r="351" spans="1:10" ht="13.25" customHeight="1" thickTop="1" thickBot="1" x14ac:dyDescent="0.4">
      <c r="A351" s="17" t="str">
        <f>SUBSTITUTE(SUBSTITUTE("n_"&amp;LOWER(SUBSTITUTE(SUBSTITUTE(SUBSTITUTE(NodesData[[#This Row],[label]]," ","_"),"/","_"),"-","_")),"__","_"),"__","_")</f>
        <v>n_role_bloating</v>
      </c>
      <c r="B351" s="18" t="s">
        <v>1103</v>
      </c>
      <c r="C351" s="18" t="s">
        <v>1104</v>
      </c>
      <c r="D351" s="3" t="s">
        <v>1411</v>
      </c>
      <c r="E351" s="3">
        <f t="shared" si="5"/>
        <v>349</v>
      </c>
      <c r="F351" s="3">
        <f>COUNTIF(NodesData[label],NodesData[[#This Row],[label]])</f>
        <v>1</v>
      </c>
      <c r="G351" s="3">
        <f>COUNTIF(ConceptNodes9['[A_ID']],NodesData[[#This Row],[id]])+COUNTIF(ConceptNodes9['[B_ID']],NodesData[[#This Row],[id]])</f>
        <v>0</v>
      </c>
      <c r="H351" s="3">
        <f>IF(NodesData[[#This Row],[Used]]&gt;0,1,0)</f>
        <v>0</v>
      </c>
      <c r="I351" s="19" t="str" cm="1">
        <f t="array" ref="I351">IF(NodesData[[#This Row],[Count]]&gt;1,",","") &amp;"{"&amp;twoRangesToJSON(NodesData[[#Headers],[id]:[url]],NodesData[[#This Row],[id]:[url]])&amp;"}"</f>
        <v>,{"id":"n_role_bloating","label":"Role Bloating","url":"https://open-measure.atlassian.net/wiki/spaces/DIC/pages/814514401"}</v>
      </c>
      <c r="J351" s="3"/>
    </row>
    <row r="352" spans="1:10" ht="13.25" customHeight="1" thickTop="1" thickBot="1" x14ac:dyDescent="0.4">
      <c r="A352" s="17" t="str">
        <f>SUBSTITUTE(SUBSTITUTE("n_"&amp;LOWER(SUBSTITUTE(SUBSTITUTE(SUBSTITUTE(NodesData[[#This Row],[label]]," ","_"),"/","_"),"-","_")),"__","_"),"__","_")</f>
        <v>n_role_capacity</v>
      </c>
      <c r="B352" s="18" t="s">
        <v>1105</v>
      </c>
      <c r="C352" s="18" t="s">
        <v>1106</v>
      </c>
      <c r="D352" s="3" t="s">
        <v>1411</v>
      </c>
      <c r="E352" s="3">
        <f t="shared" si="5"/>
        <v>350</v>
      </c>
      <c r="F352" s="3">
        <f>COUNTIF(NodesData[label],NodesData[[#This Row],[label]])</f>
        <v>1</v>
      </c>
      <c r="G352" s="3">
        <f>COUNTIF(ConceptNodes9['[A_ID']],NodesData[[#This Row],[id]])+COUNTIF(ConceptNodes9['[B_ID']],NodesData[[#This Row],[id]])</f>
        <v>0</v>
      </c>
      <c r="H352" s="3">
        <f>IF(NodesData[[#This Row],[Used]]&gt;0,1,0)</f>
        <v>0</v>
      </c>
      <c r="I352" s="19" t="str" cm="1">
        <f t="array" ref="I352">IF(NodesData[[#This Row],[Count]]&gt;1,",","") &amp;"{"&amp;twoRangesToJSON(NodesData[[#Headers],[id]:[url]],NodesData[[#This Row],[id]:[url]])&amp;"}"</f>
        <v>,{"id":"n_role_capacity","label":"Role Capacity","url":"https://open-measure.atlassian.net/wiki/spaces/DIC/pages/1164902443"}</v>
      </c>
      <c r="J352" s="3"/>
    </row>
    <row r="353" spans="1:10" ht="13.25" customHeight="1" thickTop="1" thickBot="1" x14ac:dyDescent="0.4">
      <c r="A353" s="17" t="str">
        <f>SUBSTITUTE(SUBSTITUTE("n_"&amp;LOWER(SUBSTITUTE(SUBSTITUTE(SUBSTITUTE(NodesData[[#This Row],[label]]," ","_"),"/","_"),"-","_")),"__","_"),"__","_")</f>
        <v>n_role_cardinality</v>
      </c>
      <c r="B353" s="18" t="s">
        <v>1107</v>
      </c>
      <c r="C353" s="18" t="s">
        <v>1108</v>
      </c>
      <c r="D353" s="3" t="s">
        <v>1411</v>
      </c>
      <c r="E353" s="3">
        <f t="shared" si="5"/>
        <v>351</v>
      </c>
      <c r="F353" s="3">
        <f>COUNTIF(NodesData[label],NodesData[[#This Row],[label]])</f>
        <v>1</v>
      </c>
      <c r="G353" s="3">
        <f>COUNTIF(ConceptNodes9['[A_ID']],NodesData[[#This Row],[id]])+COUNTIF(ConceptNodes9['[B_ID']],NodesData[[#This Row],[id]])</f>
        <v>0</v>
      </c>
      <c r="H353" s="3">
        <f>IF(NodesData[[#This Row],[Used]]&gt;0,1,0)</f>
        <v>0</v>
      </c>
      <c r="I353" s="19" t="str" cm="1">
        <f t="array" ref="I353">IF(NodesData[[#This Row],[Count]]&gt;1,",","") &amp;"{"&amp;twoRangesToJSON(NodesData[[#Headers],[id]:[url]],NodesData[[#This Row],[id]:[url]])&amp;"}"</f>
        <v>,{"id":"n_role_cardinality","label":"Role Cardinality","url":"https://open-measure.atlassian.net/wiki/spaces/DIC/pages/1164869655"}</v>
      </c>
      <c r="J353" s="3"/>
    </row>
    <row r="354" spans="1:10" ht="13.25" customHeight="1" thickTop="1" thickBot="1" x14ac:dyDescent="0.4">
      <c r="A354" s="17" t="str">
        <f>SUBSTITUTE(SUBSTITUTE("n_"&amp;LOWER(SUBSTITUTE(SUBSTITUTE(SUBSTITUTE(NodesData[[#This Row],[label]]," ","_"),"/","_"),"-","_")),"__","_"),"__","_")</f>
        <v>n_role_cardinality_activation_control</v>
      </c>
      <c r="B354" s="18" t="s">
        <v>1109</v>
      </c>
      <c r="C354" s="18" t="s">
        <v>1110</v>
      </c>
      <c r="D354" s="3" t="s">
        <v>1411</v>
      </c>
      <c r="E354" s="3">
        <f t="shared" si="5"/>
        <v>352</v>
      </c>
      <c r="F354" s="3">
        <f>COUNTIF(NodesData[label],NodesData[[#This Row],[label]])</f>
        <v>1</v>
      </c>
      <c r="G354" s="3">
        <f>COUNTIF(ConceptNodes9['[A_ID']],NodesData[[#This Row],[id]])+COUNTIF(ConceptNodes9['[B_ID']],NodesData[[#This Row],[id]])</f>
        <v>0</v>
      </c>
      <c r="H354" s="3">
        <f>IF(NodesData[[#This Row],[Used]]&gt;0,1,0)</f>
        <v>0</v>
      </c>
      <c r="I354" s="19" t="str" cm="1">
        <f t="array" ref="I354">IF(NodesData[[#This Row],[Count]]&gt;1,",","") &amp;"{"&amp;twoRangesToJSON(NodesData[[#Headers],[id]:[url]],NodesData[[#This Row],[id]:[url]])&amp;"}"</f>
        <v>,{"id":"n_role_cardinality_activation_control","label":"Role Cardinality Activation Control","url":"https://open-measure.atlassian.net/wiki/spaces/DIC/pages/1164902498"}</v>
      </c>
      <c r="J354" s="3"/>
    </row>
    <row r="355" spans="1:10" ht="13.25" customHeight="1" thickTop="1" thickBot="1" x14ac:dyDescent="0.4">
      <c r="A355" s="17" t="str">
        <f>SUBSTITUTE(SUBSTITUTE("n_"&amp;LOWER(SUBSTITUTE(SUBSTITUTE(SUBSTITUTE(NodesData[[#This Row],[label]]," ","_"),"/","_"),"-","_")),"__","_"),"__","_")</f>
        <v>n_role_explosion</v>
      </c>
      <c r="B355" s="18" t="s">
        <v>1111</v>
      </c>
      <c r="C355" s="18" t="s">
        <v>1112</v>
      </c>
      <c r="D355" s="3" t="s">
        <v>1411</v>
      </c>
      <c r="E355" s="3">
        <f t="shared" si="5"/>
        <v>353</v>
      </c>
      <c r="F355" s="3">
        <f>COUNTIF(NodesData[label],NodesData[[#This Row],[label]])</f>
        <v>1</v>
      </c>
      <c r="G355" s="3">
        <f>COUNTIF(ConceptNodes9['[A_ID']],NodesData[[#This Row],[id]])+COUNTIF(ConceptNodes9['[B_ID']],NodesData[[#This Row],[id]])</f>
        <v>0</v>
      </c>
      <c r="H355" s="3">
        <f>IF(NodesData[[#This Row],[Used]]&gt;0,1,0)</f>
        <v>0</v>
      </c>
      <c r="I355" s="19" t="str" cm="1">
        <f t="array" ref="I355">IF(NodesData[[#This Row],[Count]]&gt;1,",","") &amp;"{"&amp;twoRangesToJSON(NodesData[[#Headers],[id]:[url]],NodesData[[#This Row],[id]:[url]])&amp;"}"</f>
        <v>,{"id":"n_role_explosion","label":"Role Explosion","url":"https://open-measure.atlassian.net/wiki/spaces/DIC/pages/1152483772"}</v>
      </c>
      <c r="J355" s="3"/>
    </row>
    <row r="356" spans="1:10" ht="13.25" customHeight="1" thickTop="1" thickBot="1" x14ac:dyDescent="0.4">
      <c r="A356" s="17" t="str">
        <f>SUBSTITUTE(SUBSTITUTE("n_"&amp;LOWER(SUBSTITUTE(SUBSTITUTE(SUBSTITUTE(NodesData[[#This Row],[label]]," ","_"),"/","_"),"-","_")),"__","_"),"__","_")</f>
        <v>n_role_management</v>
      </c>
      <c r="B356" s="18" t="s">
        <v>1113</v>
      </c>
      <c r="C356" s="18" t="s">
        <v>1114</v>
      </c>
      <c r="D356" s="3" t="s">
        <v>1411</v>
      </c>
      <c r="E356" s="3">
        <f t="shared" si="5"/>
        <v>354</v>
      </c>
      <c r="F356" s="3">
        <f>COUNTIF(NodesData[label],NodesData[[#This Row],[label]])</f>
        <v>1</v>
      </c>
      <c r="G356" s="3">
        <f>COUNTIF(ConceptNodes9['[A_ID']],NodesData[[#This Row],[id]])+COUNTIF(ConceptNodes9['[B_ID']],NodesData[[#This Row],[id]])</f>
        <v>0</v>
      </c>
      <c r="H356" s="3">
        <f>IF(NodesData[[#This Row],[Used]]&gt;0,1,0)</f>
        <v>0</v>
      </c>
      <c r="I356" s="19" t="str" cm="1">
        <f t="array" ref="I356">IF(NodesData[[#This Row],[Count]]&gt;1,",","") &amp;"{"&amp;twoRangesToJSON(NodesData[[#Headers],[id]:[url]],NodesData[[#This Row],[id]:[url]])&amp;"}"</f>
        <v>,{"id":"n_role_management","label":"Role Management","url":"https://open-measure.atlassian.net/wiki/spaces/DIC/pages/1130921985"}</v>
      </c>
      <c r="J356" s="3"/>
    </row>
    <row r="357" spans="1:10" ht="13.25" customHeight="1" thickTop="1" thickBot="1" x14ac:dyDescent="0.4">
      <c r="A357" s="17" t="str">
        <f>SUBSTITUTE(SUBSTITUTE("n_"&amp;LOWER(SUBSTITUTE(SUBSTITUTE(SUBSTITUTE(NodesData[[#This Row],[label]]," ","_"),"/","_"),"-","_")),"__","_"),"__","_")</f>
        <v>n_rp</v>
      </c>
      <c r="B357" s="18" t="s">
        <v>1117</v>
      </c>
      <c r="C357" s="18" t="s">
        <v>1118</v>
      </c>
      <c r="D357" s="3" t="s">
        <v>1301</v>
      </c>
      <c r="E357" s="3">
        <f t="shared" si="5"/>
        <v>355</v>
      </c>
      <c r="F357" s="3">
        <f>COUNTIF(NodesData[label],NodesData[[#This Row],[label]])</f>
        <v>1</v>
      </c>
      <c r="G357" s="3">
        <f>COUNTIF(ConceptNodes9['[A_ID']],NodesData[[#This Row],[id]])+COUNTIF(ConceptNodes9['[B_ID']],NodesData[[#This Row],[id]])</f>
        <v>0</v>
      </c>
      <c r="H357" s="3">
        <f>IF(NodesData[[#This Row],[Used]]&gt;0,1,0)</f>
        <v>0</v>
      </c>
      <c r="I357" s="19" t="str" cm="1">
        <f t="array" ref="I357">IF(NodesData[[#This Row],[Count]]&gt;1,",","") &amp;"{"&amp;twoRangesToJSON(NodesData[[#Headers],[id]:[url]],NodesData[[#This Row],[id]:[url]])&amp;"}"</f>
        <v>,{"id":"n_rp","label":"RP","url":"https://open-measure.atlassian.net/wiki/spaces/DIC/pages/82903488"}</v>
      </c>
      <c r="J357" s="3"/>
    </row>
    <row r="358" spans="1:10" ht="13.25" customHeight="1" thickTop="1" thickBot="1" x14ac:dyDescent="0.4">
      <c r="A358" s="17" t="str">
        <f>SUBSTITUTE(SUBSTITUTE("n_"&amp;LOWER(SUBSTITUTE(SUBSTITUTE(SUBSTITUTE(NodesData[[#This Row],[label]]," ","_"),"/","_"),"-","_")),"__","_"),"__","_")</f>
        <v>n_sam_database</v>
      </c>
      <c r="B358" s="18" t="s">
        <v>437</v>
      </c>
      <c r="C358" s="18" t="s">
        <v>1119</v>
      </c>
      <c r="D358" s="3" t="s">
        <v>1411</v>
      </c>
      <c r="E358" s="3">
        <f t="shared" si="5"/>
        <v>356</v>
      </c>
      <c r="F358" s="3">
        <f>COUNTIF(NodesData[label],NodesData[[#This Row],[label]])</f>
        <v>1</v>
      </c>
      <c r="G358" s="3">
        <f>COUNTIF(ConceptNodes9['[A_ID']],NodesData[[#This Row],[id]])+COUNTIF(ConceptNodes9['[B_ID']],NodesData[[#This Row],[id]])</f>
        <v>0</v>
      </c>
      <c r="H358" s="3">
        <f>IF(NodesData[[#This Row],[Used]]&gt;0,1,0)</f>
        <v>0</v>
      </c>
      <c r="I358" s="19" t="str" cm="1">
        <f t="array" ref="I358">IF(NodesData[[#This Row],[Count]]&gt;1,",","") &amp;"{"&amp;twoRangesToJSON(NodesData[[#Headers],[id]:[url]],NodesData[[#This Row],[id]:[url]])&amp;"}"</f>
        <v>,{"id":"n_sam_database","label":"SAM Database","url":"https://open-measure.atlassian.net/wiki/spaces/DIC/pages/140739068/SAM+Database"}</v>
      </c>
      <c r="J358" s="3"/>
    </row>
    <row r="359" spans="1:10" ht="13.25" customHeight="1" thickTop="1" thickBot="1" x14ac:dyDescent="0.4">
      <c r="A359" s="17" t="str">
        <f>SUBSTITUTE(SUBSTITUTE("n_"&amp;LOWER(SUBSTITUTE(SUBSTITUTE(SUBSTITUTE(NodesData[[#This Row],[label]]," ","_"),"/","_"),"-","_")),"__","_"),"__","_")</f>
        <v>n_saml</v>
      </c>
      <c r="B359" s="18" t="s">
        <v>438</v>
      </c>
      <c r="C359" s="18" t="s">
        <v>1120</v>
      </c>
      <c r="D359" s="3" t="s">
        <v>1301</v>
      </c>
      <c r="E359" s="3">
        <f t="shared" si="5"/>
        <v>357</v>
      </c>
      <c r="F359" s="3">
        <f>COUNTIF(NodesData[label],NodesData[[#This Row],[label]])</f>
        <v>1</v>
      </c>
      <c r="G359" s="3">
        <f>COUNTIF(ConceptNodes9['[A_ID']],NodesData[[#This Row],[id]])+COUNTIF(ConceptNodes9['[B_ID']],NodesData[[#This Row],[id]])</f>
        <v>0</v>
      </c>
      <c r="H359" s="3">
        <f>IF(NodesData[[#This Row],[Used]]&gt;0,1,0)</f>
        <v>0</v>
      </c>
      <c r="I359" s="19" t="str" cm="1">
        <f t="array" ref="I359">IF(NodesData[[#This Row],[Count]]&gt;1,",","") &amp;"{"&amp;twoRangesToJSON(NodesData[[#Headers],[id]:[url]],NodesData[[#This Row],[id]:[url]])&amp;"}"</f>
        <v>,{"id":"n_saml","label":"SAML","url":"https://open-measure.atlassian.net/wiki/spaces/DIC/pages/1428586729/SAML"}</v>
      </c>
      <c r="J359" s="3"/>
    </row>
    <row r="360" spans="1:10" ht="13.25" customHeight="1" thickTop="1" thickBot="1" x14ac:dyDescent="0.4">
      <c r="A360" s="17" t="str">
        <f>SUBSTITUTE(SUBSTITUTE("n_"&amp;LOWER(SUBSTITUTE(SUBSTITUTE(SUBSTITUTE(NodesData[[#This Row],[label]]," ","_"),"/","_"),"-","_")),"__","_"),"__","_")</f>
        <v>n_scim</v>
      </c>
      <c r="B360" s="18" t="s">
        <v>1121</v>
      </c>
      <c r="C360" s="18" t="s">
        <v>1122</v>
      </c>
      <c r="D360" s="3" t="s">
        <v>1301</v>
      </c>
      <c r="E360" s="3">
        <f t="shared" si="5"/>
        <v>358</v>
      </c>
      <c r="F360" s="3">
        <f>COUNTIF(NodesData[label],NodesData[[#This Row],[label]])</f>
        <v>1</v>
      </c>
      <c r="G360" s="3">
        <f>COUNTIF(ConceptNodes9['[A_ID']],NodesData[[#This Row],[id]])+COUNTIF(ConceptNodes9['[B_ID']],NodesData[[#This Row],[id]])</f>
        <v>0</v>
      </c>
      <c r="H360" s="3">
        <f>IF(NodesData[[#This Row],[Used]]&gt;0,1,0)</f>
        <v>0</v>
      </c>
      <c r="I360" s="19" t="str" cm="1">
        <f t="array" ref="I360">IF(NodesData[[#This Row],[Count]]&gt;1,",","") &amp;"{"&amp;twoRangesToJSON(NodesData[[#Headers],[id]:[url]],NodesData[[#This Row],[id]:[url]])&amp;"}"</f>
        <v>,{"id":"n_scim","label":"SCIM","url":"https://open-measure.atlassian.net/wiki/spaces/DIC/pages/206307343"}</v>
      </c>
      <c r="J360" s="3"/>
    </row>
    <row r="361" spans="1:10" ht="13.25" customHeight="1" thickTop="1" thickBot="1" x14ac:dyDescent="0.4">
      <c r="A361" s="17" t="str">
        <f>SUBSTITUTE(SUBSTITUTE("n_"&amp;LOWER(SUBSTITUTE(SUBSTITUTE(SUBSTITUTE(NodesData[[#This Row],[label]]," ","_"),"/","_"),"-","_")),"__","_"),"__","_")</f>
        <v>n_scim_1.0</v>
      </c>
      <c r="B361" s="18" t="s">
        <v>1123</v>
      </c>
      <c r="C361" s="18" t="s">
        <v>1124</v>
      </c>
      <c r="D361" s="3" t="s">
        <v>1301</v>
      </c>
      <c r="E361" s="3">
        <f t="shared" si="5"/>
        <v>359</v>
      </c>
      <c r="F361" s="3">
        <f>COUNTIF(NodesData[label],NodesData[[#This Row],[label]])</f>
        <v>1</v>
      </c>
      <c r="G361" s="3">
        <f>COUNTIF(ConceptNodes9['[A_ID']],NodesData[[#This Row],[id]])+COUNTIF(ConceptNodes9['[B_ID']],NodesData[[#This Row],[id]])</f>
        <v>0</v>
      </c>
      <c r="H361" s="3">
        <f>IF(NodesData[[#This Row],[Used]]&gt;0,1,0)</f>
        <v>0</v>
      </c>
      <c r="I361" s="19" t="str" cm="1">
        <f t="array" ref="I361">IF(NodesData[[#This Row],[Count]]&gt;1,",","") &amp;"{"&amp;twoRangesToJSON(NodesData[[#Headers],[id]:[url]],NodesData[[#This Row],[id]:[url]])&amp;"}"</f>
        <v>,{"id":"n_scim_1.0","label":"SCIM 1.0","url":"https://open-measure.atlassian.net/wiki/spaces/DIC/pages/206372879"}</v>
      </c>
      <c r="J361" s="3"/>
    </row>
    <row r="362" spans="1:10" ht="13.25" customHeight="1" thickTop="1" thickBot="1" x14ac:dyDescent="0.4">
      <c r="A362" s="17" t="str">
        <f>SUBSTITUTE(SUBSTITUTE("n_"&amp;LOWER(SUBSTITUTE(SUBSTITUTE(SUBSTITUTE(NodesData[[#This Row],[label]]," ","_"),"/","_"),"-","_")),"__","_"),"__","_")</f>
        <v>n_scim_1.1</v>
      </c>
      <c r="B362" s="18" t="s">
        <v>1125</v>
      </c>
      <c r="C362" s="18" t="s">
        <v>1126</v>
      </c>
      <c r="D362" s="3" t="s">
        <v>1301</v>
      </c>
      <c r="E362" s="3">
        <f t="shared" si="5"/>
        <v>360</v>
      </c>
      <c r="F362" s="3">
        <f>COUNTIF(NodesData[label],NodesData[[#This Row],[label]])</f>
        <v>1</v>
      </c>
      <c r="G362" s="3">
        <f>COUNTIF(ConceptNodes9['[A_ID']],NodesData[[#This Row],[id]])+COUNTIF(ConceptNodes9['[B_ID']],NodesData[[#This Row],[id]])</f>
        <v>0</v>
      </c>
      <c r="H362" s="3">
        <f>IF(NodesData[[#This Row],[Used]]&gt;0,1,0)</f>
        <v>0</v>
      </c>
      <c r="I362" s="19" t="str" cm="1">
        <f t="array" ref="I362">IF(NodesData[[#This Row],[Count]]&gt;1,",","") &amp;"{"&amp;twoRangesToJSON(NodesData[[#Headers],[id]:[url]],NodesData[[#This Row],[id]:[url]])&amp;"}"</f>
        <v>,{"id":"n_scim_1.1","label":"SCIM 1.1","url":"https://open-measure.atlassian.net/wiki/spaces/DIC/pages/206307350"}</v>
      </c>
      <c r="J362" s="3"/>
    </row>
    <row r="363" spans="1:10" ht="13.25" customHeight="1" thickTop="1" thickBot="1" x14ac:dyDescent="0.4">
      <c r="A363" s="17" t="str">
        <f>SUBSTITUTE(SUBSTITUTE("n_"&amp;LOWER(SUBSTITUTE(SUBSTITUTE(SUBSTITUTE(NodesData[[#This Row],[label]]," ","_"),"/","_"),"-","_")),"__","_"),"__","_")</f>
        <v>n_scim_2.0</v>
      </c>
      <c r="B363" s="18" t="s">
        <v>1127</v>
      </c>
      <c r="C363" s="18" t="s">
        <v>1128</v>
      </c>
      <c r="D363" s="3" t="s">
        <v>1301</v>
      </c>
      <c r="E363" s="3">
        <f t="shared" si="5"/>
        <v>361</v>
      </c>
      <c r="F363" s="3">
        <f>COUNTIF(NodesData[label],NodesData[[#This Row],[label]])</f>
        <v>1</v>
      </c>
      <c r="G363" s="3">
        <f>COUNTIF(ConceptNodes9['[A_ID']],NodesData[[#This Row],[id]])+COUNTIF(ConceptNodes9['[B_ID']],NodesData[[#This Row],[id]])</f>
        <v>0</v>
      </c>
      <c r="H363" s="3">
        <f>IF(NodesData[[#This Row],[Used]]&gt;0,1,0)</f>
        <v>0</v>
      </c>
      <c r="I363" s="19" t="str" cm="1">
        <f t="array" ref="I363">IF(NodesData[[#This Row],[Count]]&gt;1,",","") &amp;"{"&amp;twoRangesToJSON(NodesData[[#Headers],[id]:[url]],NodesData[[#This Row],[id]:[url]])&amp;"}"</f>
        <v>,{"id":"n_scim_2.0","label":"SCIM 2.0","url":"https://open-measure.atlassian.net/wiki/spaces/DIC/pages/206307373"}</v>
      </c>
      <c r="J363" s="3"/>
    </row>
    <row r="364" spans="1:10" ht="13.25" customHeight="1" thickTop="1" thickBot="1" x14ac:dyDescent="0.4">
      <c r="A364" s="17" t="str">
        <f>SUBSTITUTE(SUBSTITUTE("n_"&amp;LOWER(SUBSTITUTE(SUBSTITUTE(SUBSTITUTE(NodesData[[#This Row],[label]]," ","_"),"/","_"),"-","_")),"__","_"),"__","_")</f>
        <v>n_scoping</v>
      </c>
      <c r="B364" s="18" t="s">
        <v>1129</v>
      </c>
      <c r="C364" s="18" t="s">
        <v>1130</v>
      </c>
      <c r="D364" s="3" t="s">
        <v>1411</v>
      </c>
      <c r="E364" s="3">
        <f t="shared" si="5"/>
        <v>362</v>
      </c>
      <c r="F364" s="3">
        <f>COUNTIF(NodesData[label],NodesData[[#This Row],[label]])</f>
        <v>1</v>
      </c>
      <c r="G364" s="3">
        <f>COUNTIF(ConceptNodes9['[A_ID']],NodesData[[#This Row],[id]])+COUNTIF(ConceptNodes9['[B_ID']],NodesData[[#This Row],[id]])</f>
        <v>0</v>
      </c>
      <c r="H364" s="3">
        <f>IF(NodesData[[#This Row],[Used]]&gt;0,1,0)</f>
        <v>0</v>
      </c>
      <c r="I364" s="19" t="str" cm="1">
        <f t="array" ref="I364">IF(NodesData[[#This Row],[Count]]&gt;1,",","") &amp;"{"&amp;twoRangesToJSON(NodesData[[#Headers],[id]:[url]],NodesData[[#This Row],[id]:[url]])&amp;"}"</f>
        <v>,{"id":"n_scoping","label":"Scoping","url":"https://open-measure.atlassian.net/wiki/spaces/DIC/pages/1376383"}</v>
      </c>
      <c r="J364" s="3"/>
    </row>
    <row r="365" spans="1:10" ht="13.25" customHeight="1" thickTop="1" thickBot="1" x14ac:dyDescent="0.4">
      <c r="A365" s="17" t="str">
        <f>SUBSTITUTE(SUBSTITUTE("n_"&amp;LOWER(SUBSTITUTE(SUBSTITUTE(SUBSTITUTE(NodesData[[#This Row],[label]]," ","_"),"/","_"),"-","_")),"__","_"),"__","_")</f>
        <v>n_sd</v>
      </c>
      <c r="B365" s="18" t="s">
        <v>1131</v>
      </c>
      <c r="C365" s="18" t="s">
        <v>1132</v>
      </c>
      <c r="D365" s="3" t="s">
        <v>1301</v>
      </c>
      <c r="E365" s="3">
        <f t="shared" si="5"/>
        <v>363</v>
      </c>
      <c r="F365" s="3">
        <f>COUNTIF(NodesData[label],NodesData[[#This Row],[label]])</f>
        <v>1</v>
      </c>
      <c r="G365" s="3">
        <f>COUNTIF(ConceptNodes9['[A_ID']],NodesData[[#This Row],[id]])+COUNTIF(ConceptNodes9['[B_ID']],NodesData[[#This Row],[id]])</f>
        <v>0</v>
      </c>
      <c r="H365" s="3">
        <f>IF(NodesData[[#This Row],[Used]]&gt;0,1,0)</f>
        <v>0</v>
      </c>
      <c r="I365" s="19" t="str" cm="1">
        <f t="array" ref="I365">IF(NodesData[[#This Row],[Count]]&gt;1,",","") &amp;"{"&amp;twoRangesToJSON(NodesData[[#Headers],[id]:[url]],NodesData[[#This Row],[id]:[url]])&amp;"}"</f>
        <v>,{"id":"n_sd","label":"SD","url":"https://open-measure.atlassian.net/wiki/spaces/DIC/pages/5931115"}</v>
      </c>
      <c r="J365" s="3"/>
    </row>
    <row r="366" spans="1:10" ht="13.25" customHeight="1" thickTop="1" thickBot="1" x14ac:dyDescent="0.4">
      <c r="A366" s="17" t="str">
        <f>SUBSTITUTE(SUBSTITUTE("n_"&amp;LOWER(SUBSTITUTE(SUBSTITUTE(SUBSTITUTE(NodesData[[#This Row],[label]]," ","_"),"/","_"),"-","_")),"__","_"),"__","_")</f>
        <v>n_sdp</v>
      </c>
      <c r="B366" s="18" t="s">
        <v>1133</v>
      </c>
      <c r="C366" s="18" t="s">
        <v>1134</v>
      </c>
      <c r="D366" s="3" t="s">
        <v>1301</v>
      </c>
      <c r="E366" s="3">
        <f t="shared" si="5"/>
        <v>364</v>
      </c>
      <c r="F366" s="3">
        <f>COUNTIF(NodesData[label],NodesData[[#This Row],[label]])</f>
        <v>1</v>
      </c>
      <c r="G366" s="3">
        <f>COUNTIF(ConceptNodes9['[A_ID']],NodesData[[#This Row],[id]])+COUNTIF(ConceptNodes9['[B_ID']],NodesData[[#This Row],[id]])</f>
        <v>0</v>
      </c>
      <c r="H366" s="3">
        <f>IF(NodesData[[#This Row],[Used]]&gt;0,1,0)</f>
        <v>0</v>
      </c>
      <c r="I366" s="19" t="str" cm="1">
        <f t="array" ref="I366">IF(NodesData[[#This Row],[Count]]&gt;1,",","") &amp;"{"&amp;twoRangesToJSON(NodesData[[#Headers],[id]:[url]],NodesData[[#This Row],[id]:[url]])&amp;"}"</f>
        <v>,{"id":"n_sdp","label":"SDP","url":"https://open-measure.atlassian.net/wiki/spaces/DIC/pages/234356901"}</v>
      </c>
      <c r="J366" s="3"/>
    </row>
    <row r="367" spans="1:10" ht="13.25" customHeight="1" thickTop="1" thickBot="1" x14ac:dyDescent="0.4">
      <c r="A367" s="17" t="str">
        <f>SUBSTITUTE(SUBSTITUTE("n_"&amp;LOWER(SUBSTITUTE(SUBSTITUTE(SUBSTITUTE(NodesData[[#This Row],[label]]," ","_"),"/","_"),"-","_")),"__","_"),"__","_")</f>
        <v>n_secure_production_identity_framework_for_everyone</v>
      </c>
      <c r="B367" s="18" t="s">
        <v>1135</v>
      </c>
      <c r="C367" s="18" t="s">
        <v>1136</v>
      </c>
      <c r="D367" s="3" t="s">
        <v>1411</v>
      </c>
      <c r="E367" s="3">
        <f t="shared" si="5"/>
        <v>365</v>
      </c>
      <c r="F367" s="3">
        <f>COUNTIF(NodesData[label],NodesData[[#This Row],[label]])</f>
        <v>1</v>
      </c>
      <c r="G367" s="3">
        <f>COUNTIF(ConceptNodes9['[A_ID']],NodesData[[#This Row],[id]])+COUNTIF(ConceptNodes9['[B_ID']],NodesData[[#This Row],[id]])</f>
        <v>0</v>
      </c>
      <c r="H367" s="3">
        <f>IF(NodesData[[#This Row],[Used]]&gt;0,1,0)</f>
        <v>0</v>
      </c>
      <c r="I367" s="19" t="str" cm="1">
        <f t="array" ref="I367">IF(NodesData[[#This Row],[Count]]&gt;1,",","") &amp;"{"&amp;twoRangesToJSON(NodesData[[#Headers],[id]:[url]],NodesData[[#This Row],[id]:[url]])&amp;"}"</f>
        <v>,{"id":"n_secure_production_identity_framework_for_everyone","label":"Secure Production Identity Framework for Everyone","url":"https://open-measure.atlassian.net/wiki/spaces/DIC/pages/1142390785"}</v>
      </c>
      <c r="J367" s="3"/>
    </row>
    <row r="368" spans="1:10" ht="13.25" customHeight="1" thickTop="1" thickBot="1" x14ac:dyDescent="0.4">
      <c r="A368" s="17" t="str">
        <f>SUBSTITUTE(SUBSTITUTE("n_"&amp;LOWER(SUBSTITUTE(SUBSTITUTE(SUBSTITUTE(NodesData[[#This Row],[label]]," ","_"),"/","_"),"-","_")),"__","_"),"__","_")</f>
        <v>n_secure_system</v>
      </c>
      <c r="B368" s="18" t="s">
        <v>1137</v>
      </c>
      <c r="C368" s="18" t="s">
        <v>1138</v>
      </c>
      <c r="D368" s="3" t="s">
        <v>1411</v>
      </c>
      <c r="E368" s="3">
        <f t="shared" si="5"/>
        <v>366</v>
      </c>
      <c r="F368" s="3">
        <f>COUNTIF(NodesData[label],NodesData[[#This Row],[label]])</f>
        <v>1</v>
      </c>
      <c r="G368" s="3">
        <f>COUNTIF(ConceptNodes9['[A_ID']],NodesData[[#This Row],[id]])+COUNTIF(ConceptNodes9['[B_ID']],NodesData[[#This Row],[id]])</f>
        <v>0</v>
      </c>
      <c r="H368" s="3">
        <f>IF(NodesData[[#This Row],[Used]]&gt;0,1,0)</f>
        <v>0</v>
      </c>
      <c r="I368" s="19" t="str" cm="1">
        <f t="array" ref="I368">IF(NodesData[[#This Row],[Count]]&gt;1,",","") &amp;"{"&amp;twoRangesToJSON(NodesData[[#Headers],[id]:[url]],NodesData[[#This Row],[id]:[url]])&amp;"}"</f>
        <v>,{"id":"n_secure_system","label":"Secure System","url":"https://open-measure.atlassian.net/wiki/spaces/DIC/pages/1230831633"}</v>
      </c>
      <c r="J368" s="3"/>
    </row>
    <row r="369" spans="1:10" ht="13.25" customHeight="1" thickTop="1" thickBot="1" x14ac:dyDescent="0.4">
      <c r="A369" s="17" t="str">
        <f>SUBSTITUTE(SUBSTITUTE("n_"&amp;LOWER(SUBSTITUTE(SUBSTITUTE(SUBSTITUTE(NodesData[[#This Row],[label]]," ","_"),"/","_"),"-","_")),"__","_"),"__","_")</f>
        <v>n_security</v>
      </c>
      <c r="B369" s="18" t="s">
        <v>1139</v>
      </c>
      <c r="C369" s="18" t="s">
        <v>1140</v>
      </c>
      <c r="D369" s="3" t="s">
        <v>1411</v>
      </c>
      <c r="E369" s="3">
        <f t="shared" si="5"/>
        <v>367</v>
      </c>
      <c r="F369" s="3">
        <f>COUNTIF(NodesData[label],NodesData[[#This Row],[label]])</f>
        <v>1</v>
      </c>
      <c r="G369" s="3">
        <f>COUNTIF(ConceptNodes9['[A_ID']],NodesData[[#This Row],[id]])+COUNTIF(ConceptNodes9['[B_ID']],NodesData[[#This Row],[id]])</f>
        <v>0</v>
      </c>
      <c r="H369" s="3">
        <f>IF(NodesData[[#This Row],[Used]]&gt;0,1,0)</f>
        <v>0</v>
      </c>
      <c r="I369" s="19" t="str" cm="1">
        <f t="array" ref="I369">IF(NodesData[[#This Row],[Count]]&gt;1,",","") &amp;"{"&amp;twoRangesToJSON(NodesData[[#Headers],[id]:[url]],NodesData[[#This Row],[id]:[url]])&amp;"}"</f>
        <v>,{"id":"n_security","label":"Security","url":"https://open-measure.atlassian.net/wiki/spaces/DIC/pages/1231159321"}</v>
      </c>
      <c r="J369" s="3"/>
    </row>
    <row r="370" spans="1:10" ht="13.25" customHeight="1" thickTop="1" thickBot="1" x14ac:dyDescent="0.4">
      <c r="A370" s="17" t="str">
        <f>SUBSTITUTE(SUBSTITUTE("n_"&amp;LOWER(SUBSTITUTE(SUBSTITUTE(SUBSTITUTE(NodesData[[#This Row],[label]]," ","_"),"/","_"),"-","_")),"__","_"),"__","_")</f>
        <v>n_security_accounts_manager</v>
      </c>
      <c r="B370" s="18" t="s">
        <v>1141</v>
      </c>
      <c r="C370" s="18" t="s">
        <v>1142</v>
      </c>
      <c r="D370" s="3" t="s">
        <v>1411</v>
      </c>
      <c r="E370" s="3">
        <f t="shared" si="5"/>
        <v>368</v>
      </c>
      <c r="F370" s="3">
        <f>COUNTIF(NodesData[label],NodesData[[#This Row],[label]])</f>
        <v>1</v>
      </c>
      <c r="G370" s="3">
        <f>COUNTIF(ConceptNodes9['[A_ID']],NodesData[[#This Row],[id]])+COUNTIF(ConceptNodes9['[B_ID']],NodesData[[#This Row],[id]])</f>
        <v>0</v>
      </c>
      <c r="H370" s="3">
        <f>IF(NodesData[[#This Row],[Used]]&gt;0,1,0)</f>
        <v>0</v>
      </c>
      <c r="I370" s="19" t="str" cm="1">
        <f t="array" ref="I370">IF(NodesData[[#This Row],[Count]]&gt;1,",","") &amp;"{"&amp;twoRangesToJSON(NodesData[[#Headers],[id]:[url]],NodesData[[#This Row],[id]:[url]])&amp;"}"</f>
        <v>,{"id":"n_security_accounts_manager","label":"Security Accounts Manager","url":"https://open-measure.atlassian.net/wiki/spaces/DIC/pages/140673497"}</v>
      </c>
      <c r="J370" s="3"/>
    </row>
    <row r="371" spans="1:10" ht="13.25" customHeight="1" thickTop="1" thickBot="1" x14ac:dyDescent="0.4">
      <c r="A371" s="17" t="str">
        <f>SUBSTITUTE(SUBSTITUTE("n_"&amp;LOWER(SUBSTITUTE(SUBSTITUTE(SUBSTITUTE(NodesData[[#This Row],[label]]," ","_"),"/","_"),"-","_")),"__","_"),"__","_")</f>
        <v>n_security_assertion_markup_language</v>
      </c>
      <c r="B371" s="18" t="s">
        <v>451</v>
      </c>
      <c r="C371" s="18" t="s">
        <v>1143</v>
      </c>
      <c r="D371" s="3" t="s">
        <v>1411</v>
      </c>
      <c r="E371" s="3">
        <f t="shared" si="5"/>
        <v>369</v>
      </c>
      <c r="F371" s="3">
        <f>COUNTIF(NodesData[label],NodesData[[#This Row],[label]])</f>
        <v>1</v>
      </c>
      <c r="G371" s="3">
        <f>COUNTIF(ConceptNodes9['[A_ID']],NodesData[[#This Row],[id]])+COUNTIF(ConceptNodes9['[B_ID']],NodesData[[#This Row],[id]])</f>
        <v>0</v>
      </c>
      <c r="H371" s="3">
        <f>IF(NodesData[[#This Row],[Used]]&gt;0,1,0)</f>
        <v>0</v>
      </c>
      <c r="I371" s="19" t="str" cm="1">
        <f t="array" ref="I371">IF(NodesData[[#This Row],[Count]]&gt;1,",","") &amp;"{"&amp;twoRangesToJSON(NodesData[[#Headers],[id]:[url]],NodesData[[#This Row],[id]:[url]])&amp;"}"</f>
        <v>,{"id":"n_security_assertion_markup_language","label":"Security Assertion Markup Language","url":"https://open-measure.atlassian.net/wiki/spaces/DIC/pages/1428619445/Security+Assertion+Markup+Language"}</v>
      </c>
      <c r="J371" s="3"/>
    </row>
    <row r="372" spans="1:10" ht="13.25" customHeight="1" thickTop="1" thickBot="1" x14ac:dyDescent="0.4">
      <c r="A372" s="17" t="str">
        <f>SUBSTITUTE(SUBSTITUTE("n_"&amp;LOWER(SUBSTITUTE(SUBSTITUTE(SUBSTITUTE(NodesData[[#This Row],[label]]," ","_"),"/","_"),"-","_")),"__","_"),"__","_")</f>
        <v>n_security_clearance_level</v>
      </c>
      <c r="B372" s="18" t="s">
        <v>1144</v>
      </c>
      <c r="C372" s="18" t="s">
        <v>1145</v>
      </c>
      <c r="D372" s="3" t="s">
        <v>1411</v>
      </c>
      <c r="E372" s="3">
        <f t="shared" si="5"/>
        <v>370</v>
      </c>
      <c r="F372" s="3">
        <f>COUNTIF(NodesData[label],NodesData[[#This Row],[label]])</f>
        <v>1</v>
      </c>
      <c r="G372" s="3">
        <f>COUNTIF(ConceptNodes9['[A_ID']],NodesData[[#This Row],[id]])+COUNTIF(ConceptNodes9['[B_ID']],NodesData[[#This Row],[id]])</f>
        <v>0</v>
      </c>
      <c r="H372" s="3">
        <f>IF(NodesData[[#This Row],[Used]]&gt;0,1,0)</f>
        <v>0</v>
      </c>
      <c r="I372" s="19" t="str" cm="1">
        <f t="array" ref="I372">IF(NodesData[[#This Row],[Count]]&gt;1,",","") &amp;"{"&amp;twoRangesToJSON(NodesData[[#Headers],[id]:[url]],NodesData[[#This Row],[id]:[url]])&amp;"}"</f>
        <v>,{"id":"n_security_clearance_level","label":"Security Clearance Level","url":"https://open-measure.atlassian.net/wiki/spaces/DIC/pages/1177747653"}</v>
      </c>
      <c r="J372" s="3"/>
    </row>
    <row r="373" spans="1:10" ht="13.25" customHeight="1" thickTop="1" thickBot="1" x14ac:dyDescent="0.4">
      <c r="A373" s="17" t="str">
        <f>SUBSTITUTE(SUBSTITUTE("n_"&amp;LOWER(SUBSTITUTE(SUBSTITUTE(SUBSTITUTE(NodesData[[#This Row],[label]]," ","_"),"/","_"),"-","_")),"__","_"),"__","_")</f>
        <v>n_security_compartment</v>
      </c>
      <c r="B373" s="18" t="s">
        <v>1146</v>
      </c>
      <c r="C373" s="18" t="s">
        <v>1147</v>
      </c>
      <c r="D373" s="3" t="s">
        <v>1411</v>
      </c>
      <c r="E373" s="3">
        <f t="shared" si="5"/>
        <v>371</v>
      </c>
      <c r="F373" s="3">
        <f>COUNTIF(NodesData[label],NodesData[[#This Row],[label]])</f>
        <v>1</v>
      </c>
      <c r="G373" s="3">
        <f>COUNTIF(ConceptNodes9['[A_ID']],NodesData[[#This Row],[id]])+COUNTIF(ConceptNodes9['[B_ID']],NodesData[[#This Row],[id]])</f>
        <v>0</v>
      </c>
      <c r="H373" s="3">
        <f>IF(NodesData[[#This Row],[Used]]&gt;0,1,0)</f>
        <v>0</v>
      </c>
      <c r="I373" s="19" t="str" cm="1">
        <f t="array" ref="I373">IF(NodesData[[#This Row],[Count]]&gt;1,",","") &amp;"{"&amp;twoRangesToJSON(NodesData[[#Headers],[id]:[url]],NodesData[[#This Row],[id]:[url]])&amp;"}"</f>
        <v>,{"id":"n_security_compartment","label":"Security Compartment","url":"https://open-measure.atlassian.net/wiki/spaces/DIC/pages/1181843719"}</v>
      </c>
      <c r="J373" s="3"/>
    </row>
    <row r="374" spans="1:10" ht="13.25" customHeight="1" thickTop="1" thickBot="1" x14ac:dyDescent="0.4">
      <c r="A374" s="17" t="str">
        <f>SUBSTITUTE(SUBSTITUTE("n_"&amp;LOWER(SUBSTITUTE(SUBSTITUTE(SUBSTITUTE(NodesData[[#This Row],[label]]," ","_"),"/","_"),"-","_")),"__","_"),"__","_")</f>
        <v>n_security_label</v>
      </c>
      <c r="B374" s="18" t="s">
        <v>1148</v>
      </c>
      <c r="C374" s="18" t="s">
        <v>1149</v>
      </c>
      <c r="D374" s="3" t="s">
        <v>1411</v>
      </c>
      <c r="E374" s="3">
        <f t="shared" si="5"/>
        <v>372</v>
      </c>
      <c r="F374" s="3">
        <f>COUNTIF(NodesData[label],NodesData[[#This Row],[label]])</f>
        <v>1</v>
      </c>
      <c r="G374" s="3">
        <f>COUNTIF(ConceptNodes9['[A_ID']],NodesData[[#This Row],[id]])+COUNTIF(ConceptNodes9['[B_ID']],NodesData[[#This Row],[id]])</f>
        <v>0</v>
      </c>
      <c r="H374" s="3">
        <f>IF(NodesData[[#This Row],[Used]]&gt;0,1,0)</f>
        <v>0</v>
      </c>
      <c r="I374" s="19" t="str" cm="1">
        <f t="array" ref="I374">IF(NodesData[[#This Row],[Count]]&gt;1,",","") &amp;"{"&amp;twoRangesToJSON(NodesData[[#Headers],[id]:[url]],NodesData[[#This Row],[id]:[url]])&amp;"}"</f>
        <v>,{"id":"n_security_label","label":"Security Label","url":"https://open-measure.atlassian.net/wiki/spaces/DIC/pages/1177747630"}</v>
      </c>
      <c r="J374" s="3"/>
    </row>
    <row r="375" spans="1:10" ht="13.25" customHeight="1" thickTop="1" thickBot="1" x14ac:dyDescent="0.4">
      <c r="A375" s="17" t="str">
        <f>SUBSTITUTE(SUBSTITUTE("n_"&amp;LOWER(SUBSTITUTE(SUBSTITUTE(SUBSTITUTE(NodesData[[#This Row],[label]]," ","_"),"/","_"),"-","_")),"__","_"),"__","_")</f>
        <v>n_risk_based_authentication</v>
      </c>
      <c r="B375" s="18" t="s">
        <v>1099</v>
      </c>
      <c r="C375" s="18" t="s">
        <v>1100</v>
      </c>
      <c r="D375" s="3" t="s">
        <v>1411</v>
      </c>
      <c r="E375" s="3">
        <f t="shared" si="5"/>
        <v>373</v>
      </c>
      <c r="F375" s="3">
        <f>COUNTIF(NodesData[label],NodesData[[#This Row],[label]])</f>
        <v>1</v>
      </c>
      <c r="G375" s="3">
        <f>COUNTIF(ConceptNodes9['[A_ID']],NodesData[[#This Row],[id]])+COUNTIF(ConceptNodes9['[B_ID']],NodesData[[#This Row],[id]])</f>
        <v>0</v>
      </c>
      <c r="H375" s="3">
        <f>IF(NodesData[[#This Row],[Used]]&gt;0,1,0)</f>
        <v>0</v>
      </c>
      <c r="I375" s="19" t="str" cm="1">
        <f t="array" ref="I375">IF(NodesData[[#This Row],[Count]]&gt;1,",","") &amp;"{"&amp;twoRangesToJSON(NodesData[[#Headers],[id]:[url]],NodesData[[#This Row],[id]:[url]])&amp;"}"</f>
        <v>,{"id":"n_risk_based_authentication","label":"Risk-Based Authentication","url":"https://open-measure.atlassian.net/wiki/spaces/DIC/pages/795836567"}</v>
      </c>
      <c r="J375" s="3"/>
    </row>
    <row r="376" spans="1:10" ht="13.25" customHeight="1" thickTop="1" thickBot="1" x14ac:dyDescent="0.4">
      <c r="A376" s="17" t="str">
        <f>SUBSTITUTE(SUBSTITUTE("n_"&amp;LOWER(SUBSTITUTE(SUBSTITUTE(SUBSTITUTE(NodesData[[#This Row],[label]]," ","_"),"/","_"),"-","_")),"__","_"),"__","_")</f>
        <v>n_segregation_of_duties</v>
      </c>
      <c r="B376" s="18" t="s">
        <v>1150</v>
      </c>
      <c r="C376" s="18" t="s">
        <v>1151</v>
      </c>
      <c r="D376" s="3" t="s">
        <v>1411</v>
      </c>
      <c r="E376" s="3">
        <f t="shared" si="5"/>
        <v>374</v>
      </c>
      <c r="F376" s="3">
        <f>COUNTIF(NodesData[label],NodesData[[#This Row],[label]])</f>
        <v>1</v>
      </c>
      <c r="G376" s="3">
        <f>COUNTIF(ConceptNodes9['[A_ID']],NodesData[[#This Row],[id]])+COUNTIF(ConceptNodes9['[B_ID']],NodesData[[#This Row],[id]])</f>
        <v>0</v>
      </c>
      <c r="H376" s="3">
        <f>IF(NodesData[[#This Row],[Used]]&gt;0,1,0)</f>
        <v>0</v>
      </c>
      <c r="I376" s="19" t="str" cm="1">
        <f t="array" ref="I376">IF(NodesData[[#This Row],[Count]]&gt;1,",","") &amp;"{"&amp;twoRangesToJSON(NodesData[[#Headers],[id]:[url]],NodesData[[#This Row],[id]:[url]])&amp;"}"</f>
        <v>,{"id":"n_segregation_of_duties","label":"Segregation of Duties","url":"https://open-measure.atlassian.net/wiki/spaces/DIC/pages/1071185955"}</v>
      </c>
      <c r="J376" s="3"/>
    </row>
    <row r="377" spans="1:10" ht="13.25" customHeight="1" thickTop="1" thickBot="1" x14ac:dyDescent="0.4">
      <c r="A377" s="17" t="str">
        <f>SUBSTITUTE(SUBSTITUTE("n_"&amp;LOWER(SUBSTITUTE(SUBSTITUTE(SUBSTITUTE(NodesData[[#This Row],[label]]," ","_"),"/","_"),"-","_")),"__","_"),"__","_")</f>
        <v>n_self_sovereign_identity</v>
      </c>
      <c r="B377" s="18" t="s">
        <v>456</v>
      </c>
      <c r="C377" s="18" t="s">
        <v>1152</v>
      </c>
      <c r="D377" s="3" t="s">
        <v>1411</v>
      </c>
      <c r="E377" s="3">
        <f t="shared" si="5"/>
        <v>375</v>
      </c>
      <c r="F377" s="3">
        <f>COUNTIF(NodesData[label],NodesData[[#This Row],[label]])</f>
        <v>1</v>
      </c>
      <c r="G377" s="3">
        <f>COUNTIF(ConceptNodes9['[A_ID']],NodesData[[#This Row],[id]])+COUNTIF(ConceptNodes9['[B_ID']],NodesData[[#This Row],[id]])</f>
        <v>0</v>
      </c>
      <c r="H377" s="3">
        <f>IF(NodesData[[#This Row],[Used]]&gt;0,1,0)</f>
        <v>0</v>
      </c>
      <c r="I377" s="19" t="str" cm="1">
        <f t="array" ref="I377">IF(NodesData[[#This Row],[Count]]&gt;1,",","") &amp;"{"&amp;twoRangesToJSON(NodesData[[#Headers],[id]:[url]],NodesData[[#This Row],[id]:[url]])&amp;"}"</f>
        <v>,{"id":"n_self_sovereign_identity","label":"Self-Sovereign Identity","url":"https://open-measure.atlassian.net/wiki/spaces/DIC/pages/446955653/Self-Sovereign+Identity"}</v>
      </c>
      <c r="J377" s="3"/>
    </row>
    <row r="378" spans="1:10" ht="13.25" customHeight="1" thickTop="1" thickBot="1" x14ac:dyDescent="0.4">
      <c r="A378" s="17" t="str">
        <f>SUBSTITUTE(SUBSTITUTE("n_"&amp;LOWER(SUBSTITUTE(SUBSTITUTE(SUBSTITUTE(NodesData[[#This Row],[label]]," ","_"),"/","_"),"-","_")),"__","_"),"__","_")</f>
        <v>n_semantic_differential</v>
      </c>
      <c r="B378" s="18" t="s">
        <v>1153</v>
      </c>
      <c r="C378" s="18" t="s">
        <v>1154</v>
      </c>
      <c r="D378" s="3" t="s">
        <v>1411</v>
      </c>
      <c r="E378" s="3">
        <f t="shared" si="5"/>
        <v>376</v>
      </c>
      <c r="F378" s="3">
        <f>COUNTIF(NodesData[label],NodesData[[#This Row],[label]])</f>
        <v>1</v>
      </c>
      <c r="G378" s="3">
        <f>COUNTIF(ConceptNodes9['[A_ID']],NodesData[[#This Row],[id]])+COUNTIF(ConceptNodes9['[B_ID']],NodesData[[#This Row],[id]])</f>
        <v>0</v>
      </c>
      <c r="H378" s="3">
        <f>IF(NodesData[[#This Row],[Used]]&gt;0,1,0)</f>
        <v>0</v>
      </c>
      <c r="I378" s="19" t="str" cm="1">
        <f t="array" ref="I378">IF(NodesData[[#This Row],[Count]]&gt;1,",","") &amp;"{"&amp;twoRangesToJSON(NodesData[[#Headers],[id]:[url]],NodesData[[#This Row],[id]:[url]])&amp;"}"</f>
        <v>,{"id":"n_semantic_differential","label":"Semantic Differential","url":"https://open-measure.atlassian.net/wiki/spaces/DIC/pages/6029526"}</v>
      </c>
      <c r="J378" s="3"/>
    </row>
    <row r="379" spans="1:10" ht="13.25" customHeight="1" thickTop="1" thickBot="1" x14ac:dyDescent="0.4">
      <c r="A379" s="17" t="str">
        <f>SUBSTITUTE(SUBSTITUTE("n_"&amp;LOWER(SUBSTITUTE(SUBSTITUTE(SUBSTITUTE(NodesData[[#This Row],[label]]," ","_"),"/","_"),"-","_")),"__","_"),"__","_")</f>
        <v>n_service_account</v>
      </c>
      <c r="B379" s="18" t="s">
        <v>1155</v>
      </c>
      <c r="C379" s="18" t="s">
        <v>1156</v>
      </c>
      <c r="D379" s="3" t="s">
        <v>1411</v>
      </c>
      <c r="E379" s="3">
        <f t="shared" si="5"/>
        <v>377</v>
      </c>
      <c r="F379" s="3">
        <f>COUNTIF(NodesData[label],NodesData[[#This Row],[label]])</f>
        <v>1</v>
      </c>
      <c r="G379" s="3">
        <f>COUNTIF(ConceptNodes9['[A_ID']],NodesData[[#This Row],[id]])+COUNTIF(ConceptNodes9['[B_ID']],NodesData[[#This Row],[id]])</f>
        <v>0</v>
      </c>
      <c r="H379" s="3">
        <f>IF(NodesData[[#This Row],[Used]]&gt;0,1,0)</f>
        <v>0</v>
      </c>
      <c r="I379" s="19" t="str" cm="1">
        <f t="array" ref="I379">IF(NodesData[[#This Row],[Count]]&gt;1,",","") &amp;"{"&amp;twoRangesToJSON(NodesData[[#Headers],[id]:[url]],NodesData[[#This Row],[id]:[url]])&amp;"}"</f>
        <v>,{"id":"n_service_account","label":"Service Account","url":"https://open-measure.atlassian.net/wiki/spaces/DIC/pages/805142555"}</v>
      </c>
      <c r="J379" s="3"/>
    </row>
    <row r="380" spans="1:10" ht="13.25" customHeight="1" thickTop="1" thickBot="1" x14ac:dyDescent="0.4">
      <c r="A380" s="17" t="str">
        <f>SUBSTITUTE(SUBSTITUTE("n_"&amp;LOWER(SUBSTITUTE(SUBSTITUTE(SUBSTITUTE(NodesData[[#This Row],[label]]," ","_"),"/","_"),"-","_")),"__","_"),"__","_")</f>
        <v>n_service_centric_identity_management_system</v>
      </c>
      <c r="B380" s="18" t="s">
        <v>459</v>
      </c>
      <c r="C380" s="18" t="s">
        <v>1157</v>
      </c>
      <c r="D380" s="3" t="s">
        <v>1411</v>
      </c>
      <c r="E380" s="3">
        <f t="shared" si="5"/>
        <v>378</v>
      </c>
      <c r="F380" s="3">
        <f>COUNTIF(NodesData[label],NodesData[[#This Row],[label]])</f>
        <v>1</v>
      </c>
      <c r="G380" s="3">
        <f>COUNTIF(ConceptNodes9['[A_ID']],NodesData[[#This Row],[id]])+COUNTIF(ConceptNodes9['[B_ID']],NodesData[[#This Row],[id]])</f>
        <v>0</v>
      </c>
      <c r="H380" s="3">
        <f>IF(NodesData[[#This Row],[Used]]&gt;0,1,0)</f>
        <v>0</v>
      </c>
      <c r="I380" s="19" t="str" cm="1">
        <f t="array" ref="I380">IF(NodesData[[#This Row],[Count]]&gt;1,",","") &amp;"{"&amp;twoRangesToJSON(NodesData[[#Headers],[id]:[url]],NodesData[[#This Row],[id]:[url]])&amp;"}"</f>
        <v>,{"id":"n_service_centric_identity_management_system","label":"Service-Centric Identity Management System","url":"https://open-measure.atlassian.net/wiki/spaces/DIC/pages/1313538143/Service-Centric+Identity+Management+System"}</v>
      </c>
      <c r="J380" s="3"/>
    </row>
    <row r="381" spans="1:10" ht="13.25" customHeight="1" thickTop="1" thickBot="1" x14ac:dyDescent="0.4">
      <c r="A381" s="17" t="str">
        <f>SUBSTITUTE(SUBSTITUTE("n_"&amp;LOWER(SUBSTITUTE(SUBSTITUTE(SUBSTITUTE(NodesData[[#This Row],[label]]," ","_"),"/","_"),"-","_")),"__","_"),"__","_")</f>
        <v>n_session</v>
      </c>
      <c r="B381" s="18" t="s">
        <v>1158</v>
      </c>
      <c r="C381" s="18" t="s">
        <v>1159</v>
      </c>
      <c r="D381" s="3" t="s">
        <v>1411</v>
      </c>
      <c r="E381" s="3">
        <f t="shared" si="5"/>
        <v>379</v>
      </c>
      <c r="F381" s="3">
        <f>COUNTIF(NodesData[label],NodesData[[#This Row],[label]])</f>
        <v>1</v>
      </c>
      <c r="G381" s="3">
        <f>COUNTIF(ConceptNodes9['[A_ID']],NodesData[[#This Row],[id]])+COUNTIF(ConceptNodes9['[B_ID']],NodesData[[#This Row],[id]])</f>
        <v>0</v>
      </c>
      <c r="H381" s="3">
        <f>IF(NodesData[[#This Row],[Used]]&gt;0,1,0)</f>
        <v>0</v>
      </c>
      <c r="I381" s="19" t="str" cm="1">
        <f t="array" ref="I381">IF(NodesData[[#This Row],[Count]]&gt;1,",","") &amp;"{"&amp;twoRangesToJSON(NodesData[[#Headers],[id]:[url]],NodesData[[#This Row],[id]:[url]])&amp;"}"</f>
        <v>,{"id":"n_session","label":"Session","url":"https://open-measure.atlassian.net/wiki/spaces/DIC/pages/881197061"}</v>
      </c>
      <c r="J381" s="3"/>
    </row>
    <row r="382" spans="1:10" ht="13.25" customHeight="1" thickTop="1" thickBot="1" x14ac:dyDescent="0.4">
      <c r="A382" s="24" t="str">
        <f>SUBSTITUTE(SUBSTITUTE("n_"&amp;LOWER(SUBSTITUTE(SUBSTITUTE(SUBSTITUTE(NodesData[[#This Row],[label]]," ","_"),"/","_"),"-","_")),"__","_"),"__","_")</f>
        <v>n_security_question_authentication</v>
      </c>
      <c r="B382" s="23" t="s">
        <v>1379</v>
      </c>
      <c r="C382" s="23"/>
      <c r="D382" s="3" t="s">
        <v>1411</v>
      </c>
      <c r="E382" s="3">
        <f t="shared" si="5"/>
        <v>380</v>
      </c>
      <c r="F382" s="3">
        <f>COUNTIF(NodesData[label],NodesData[[#This Row],[label]])</f>
        <v>1</v>
      </c>
      <c r="G382" s="3">
        <f>COUNTIF(ConceptNodes9['[A_ID']],NodesData[[#This Row],[id]])+COUNTIF(ConceptNodes9['[B_ID']],NodesData[[#This Row],[id]])</f>
        <v>0</v>
      </c>
      <c r="H382" s="3">
        <f>IF(NodesData[[#This Row],[Used]]&gt;0,1,0)</f>
        <v>0</v>
      </c>
      <c r="I382" s="19" t="str" cm="1">
        <f t="array" ref="I382">IF(NodesData[[#This Row],[Count]]&gt;1,",","") &amp;"{"&amp;twoRangesToJSON(NodesData[[#Headers],[id]:[url]],NodesData[[#This Row],[id]:[url]])&amp;"}"</f>
        <v>,{"id":"n_security_question_authentication","label":"Security Question Authentication","url":""}</v>
      </c>
      <c r="J382" s="3"/>
    </row>
    <row r="383" spans="1:10" ht="13.25" customHeight="1" thickTop="1" thickBot="1" x14ac:dyDescent="0.4">
      <c r="A383" s="17" t="str">
        <f>SUBSTITUTE(SUBSTITUTE("n_"&amp;LOWER(SUBSTITUTE(SUBSTITUTE(SUBSTITUTE(NodesData[[#This Row],[label]]," ","_"),"/","_"),"-","_")),"__","_"),"__","_")</f>
        <v>n_single_login</v>
      </c>
      <c r="B383" s="18" t="s">
        <v>1160</v>
      </c>
      <c r="C383" s="18" t="s">
        <v>1161</v>
      </c>
      <c r="D383" s="3" t="s">
        <v>1411</v>
      </c>
      <c r="E383" s="3">
        <f t="shared" si="5"/>
        <v>381</v>
      </c>
      <c r="F383" s="3">
        <f>COUNTIF(NodesData[label],NodesData[[#This Row],[label]])</f>
        <v>1</v>
      </c>
      <c r="G383" s="3">
        <f>COUNTIF(ConceptNodes9['[A_ID']],NodesData[[#This Row],[id]])+COUNTIF(ConceptNodes9['[B_ID']],NodesData[[#This Row],[id]])</f>
        <v>0</v>
      </c>
      <c r="H383" s="3">
        <f>IF(NodesData[[#This Row],[Used]]&gt;0,1,0)</f>
        <v>0</v>
      </c>
      <c r="I383" s="19" t="str" cm="1">
        <f t="array" ref="I383">IF(NodesData[[#This Row],[Count]]&gt;1,",","") &amp;"{"&amp;twoRangesToJSON(NodesData[[#Headers],[id]:[url]],NodesData[[#This Row],[id]:[url]])&amp;"}"</f>
        <v>,{"id":"n_single_login","label":"Single Login","url":"https://open-measure.atlassian.net/wiki/spaces/DIC/pages/78741548"}</v>
      </c>
      <c r="J383" s="3"/>
    </row>
    <row r="384" spans="1:10" ht="13.25" customHeight="1" thickTop="1" thickBot="1" x14ac:dyDescent="0.4">
      <c r="A384" s="17" t="str">
        <f>SUBSTITUTE(SUBSTITUTE("n_"&amp;LOWER(SUBSTITUTE(SUBSTITUTE(SUBSTITUTE(NodesData[[#This Row],[label]]," ","_"),"/","_"),"-","_")),"__","_"),"__","_")</f>
        <v>n_single_sign_on</v>
      </c>
      <c r="B384" s="18" t="s">
        <v>1162</v>
      </c>
      <c r="C384" s="18" t="s">
        <v>1163</v>
      </c>
      <c r="D384" s="3" t="s">
        <v>1411</v>
      </c>
      <c r="E384" s="3">
        <f t="shared" si="5"/>
        <v>382</v>
      </c>
      <c r="F384" s="3">
        <f>COUNTIF(NodesData[label],NodesData[[#This Row],[label]])</f>
        <v>2</v>
      </c>
      <c r="G384" s="3">
        <f>COUNTIF(ConceptNodes9['[A_ID']],NodesData[[#This Row],[id]])+COUNTIF(ConceptNodes9['[B_ID']],NodesData[[#This Row],[id]])</f>
        <v>0</v>
      </c>
      <c r="H384" s="3">
        <f>IF(NodesData[[#This Row],[Used]]&gt;0,1,0)</f>
        <v>0</v>
      </c>
      <c r="I384" s="19" t="str" cm="1">
        <f t="array" ref="I384">IF(NodesData[[#This Row],[Count]]&gt;1,",","") &amp;"{"&amp;twoRangesToJSON(NodesData[[#Headers],[id]:[url]],NodesData[[#This Row],[id]:[url]])&amp;"}"</f>
        <v>,{"id":"n_single_sign_on","label":"Single Sign-On","url":"https://open-measure.atlassian.net/wiki/spaces/DIC/pages/75956255"}</v>
      </c>
      <c r="J384" s="3"/>
    </row>
    <row r="385" spans="1:10" ht="13.25" customHeight="1" thickTop="1" thickBot="1" x14ac:dyDescent="0.4">
      <c r="A385" s="24" t="str">
        <f>SUBSTITUTE(SUBSTITUTE("n_"&amp;LOWER(SUBSTITUTE(SUBSTITUTE(SUBSTITUTE(NodesData[[#This Row],[label]]," ","_"),"/","_"),"-","_")),"__","_"),"__","_")</f>
        <v>n_single_sign_on</v>
      </c>
      <c r="B385" s="23" t="s">
        <v>1162</v>
      </c>
      <c r="C385" s="23"/>
      <c r="D385" s="3" t="s">
        <v>1411</v>
      </c>
      <c r="E385" s="3">
        <f t="shared" si="5"/>
        <v>383</v>
      </c>
      <c r="F385" s="3">
        <f>COUNTIF(NodesData[label],NodesData[[#This Row],[label]])</f>
        <v>2</v>
      </c>
      <c r="G385" s="3">
        <f>COUNTIF(ConceptNodes9['[A_ID']],NodesData[[#This Row],[id]])+COUNTIF(ConceptNodes9['[B_ID']],NodesData[[#This Row],[id]])</f>
        <v>0</v>
      </c>
      <c r="H385" s="3">
        <f>IF(NodesData[[#This Row],[Used]]&gt;0,1,0)</f>
        <v>0</v>
      </c>
      <c r="I385" s="19" t="str" cm="1">
        <f t="array" ref="I385">IF(NodesData[[#This Row],[Count]]&gt;1,",","") &amp;"{"&amp;twoRangesToJSON(NodesData[[#Headers],[id]:[url]],NodesData[[#This Row],[id]:[url]])&amp;"}"</f>
        <v>,{"id":"n_single_sign_on","label":"Single Sign-On","url":""}</v>
      </c>
      <c r="J385" s="3"/>
    </row>
    <row r="386" spans="1:10" ht="13.25" customHeight="1" thickTop="1" thickBot="1" x14ac:dyDescent="0.4">
      <c r="A386" s="7" t="str">
        <f>SUBSTITUTE(SUBSTITUTE("n_"&amp;LOWER(SUBSTITUTE(SUBSTITUTE(SUBSTITUTE(NodesData[[#This Row],[label]]," ","_"),"/","_"),"-","_")),"__","_"),"__","_")</f>
        <v>n_sms_otp</v>
      </c>
      <c r="B386" s="12" t="s">
        <v>1371</v>
      </c>
      <c r="C386" s="12"/>
      <c r="D386" s="3" t="s">
        <v>1411</v>
      </c>
      <c r="E386" s="3">
        <f t="shared" si="5"/>
        <v>384</v>
      </c>
      <c r="F386" s="3">
        <f>COUNTIF(NodesData[label],NodesData[[#This Row],[label]])</f>
        <v>1</v>
      </c>
      <c r="G386" s="3">
        <f>COUNTIF(ConceptNodes9['[A_ID']],NodesData[[#This Row],[id]])+COUNTIF(ConceptNodes9['[B_ID']],NodesData[[#This Row],[id]])</f>
        <v>0</v>
      </c>
      <c r="H386" s="3">
        <f>IF(NodesData[[#This Row],[Used]]&gt;0,1,0)</f>
        <v>0</v>
      </c>
      <c r="I386" s="19" t="str" cm="1">
        <f t="array" ref="I386">IF(NodesData[[#This Row],[Count]]&gt;1,",","") &amp;"{"&amp;twoRangesToJSON(NodesData[[#Headers],[id]:[url]],NodesData[[#This Row],[id]:[url]])&amp;"}"</f>
        <v>,{"id":"n_sms_otp","label":"SMS OTP","url":""}</v>
      </c>
      <c r="J386" s="3"/>
    </row>
    <row r="387" spans="1:10" ht="13.25" customHeight="1" thickTop="1" thickBot="1" x14ac:dyDescent="0.4">
      <c r="A387" s="24" t="str">
        <f>SUBSTITUTE(SUBSTITUTE("n_"&amp;LOWER(SUBSTITUTE(SUBSTITUTE(SUBSTITUTE(NodesData[[#This Row],[label]]," ","_"),"/","_"),"-","_")),"__","_"),"__","_")</f>
        <v>n_session_authentication</v>
      </c>
      <c r="B387" s="23" t="s">
        <v>1381</v>
      </c>
      <c r="C387" s="23"/>
      <c r="D387" s="3" t="s">
        <v>1411</v>
      </c>
      <c r="E387" s="3">
        <f t="shared" si="5"/>
        <v>385</v>
      </c>
      <c r="F387" s="3">
        <f>COUNTIF(NodesData[label],NodesData[[#This Row],[label]])</f>
        <v>1</v>
      </c>
      <c r="G387" s="3">
        <f>COUNTIF(ConceptNodes9['[A_ID']],NodesData[[#This Row],[id]])+COUNTIF(ConceptNodes9['[B_ID']],NodesData[[#This Row],[id]])</f>
        <v>0</v>
      </c>
      <c r="H387" s="3">
        <f>IF(NodesData[[#This Row],[Used]]&gt;0,1,0)</f>
        <v>0</v>
      </c>
      <c r="I387" s="19" t="str" cm="1">
        <f t="array" ref="I387">IF(NodesData[[#This Row],[Count]]&gt;1,",","") &amp;"{"&amp;twoRangesToJSON(NodesData[[#Headers],[id]:[url]],NodesData[[#This Row],[id]:[url]])&amp;"}"</f>
        <v>,{"id":"n_session_authentication","label":"Session Authentication","url":""}</v>
      </c>
      <c r="J387" s="3"/>
    </row>
    <row r="388" spans="1:10" ht="13.25" customHeight="1" thickTop="1" thickBot="1" x14ac:dyDescent="0.4">
      <c r="A388" s="17" t="str">
        <f>SUBSTITUTE(SUBSTITUTE("n_"&amp;LOWER(SUBSTITUTE(SUBSTITUTE(SUBSTITUTE(NodesData[[#This Row],[label]]," ","_"),"/","_"),"-","_")),"__","_"),"__","_")</f>
        <v>n_social_honeypot</v>
      </c>
      <c r="B388" s="18" t="s">
        <v>464</v>
      </c>
      <c r="C388" s="18" t="s">
        <v>1165</v>
      </c>
      <c r="D388" s="3" t="s">
        <v>1411</v>
      </c>
      <c r="E388" s="3">
        <f t="shared" si="5"/>
        <v>386</v>
      </c>
      <c r="F388" s="3">
        <f>COUNTIF(NodesData[label],NodesData[[#This Row],[label]])</f>
        <v>1</v>
      </c>
      <c r="G388" s="3">
        <f>COUNTIF(ConceptNodes9['[A_ID']],NodesData[[#This Row],[id]])+COUNTIF(ConceptNodes9['[B_ID']],NodesData[[#This Row],[id]])</f>
        <v>0</v>
      </c>
      <c r="H388" s="3">
        <f>IF(NodesData[[#This Row],[Used]]&gt;0,1,0)</f>
        <v>0</v>
      </c>
      <c r="I388" s="19" t="str" cm="1">
        <f t="array" ref="I388">IF(NodesData[[#This Row],[Count]]&gt;1,",","") &amp;"{"&amp;twoRangesToJSON(NodesData[[#Headers],[id]:[url]],NodesData[[#This Row],[id]:[url]])&amp;"}"</f>
        <v>,{"id":"n_social_honeypot","label":"Social Honeypot","url":"https://open-measure.atlassian.net/wiki/spaces/DIC/pages/1270055026/Social+Honeypot"}</v>
      </c>
      <c r="J388" s="3"/>
    </row>
    <row r="389" spans="1:10" ht="13.25" customHeight="1" thickTop="1" thickBot="1" x14ac:dyDescent="0.4">
      <c r="A389" s="17" t="str">
        <f>SUBSTITUTE(SUBSTITUTE("n_"&amp;LOWER(SUBSTITUTE(SUBSTITUTE(SUBSTITUTE(NodesData[[#This Row],[label]]," ","_"),"/","_"),"-","_")),"__","_"),"__","_")</f>
        <v>n_sod</v>
      </c>
      <c r="B389" s="18" t="s">
        <v>1166</v>
      </c>
      <c r="C389" s="18" t="s">
        <v>1167</v>
      </c>
      <c r="D389" s="3" t="s">
        <v>1301</v>
      </c>
      <c r="E389" s="3">
        <f t="shared" ref="E389:E452" si="6">E388+1</f>
        <v>387</v>
      </c>
      <c r="F389" s="3">
        <f>COUNTIF(NodesData[label],NodesData[[#This Row],[label]])</f>
        <v>1</v>
      </c>
      <c r="G389" s="3">
        <f>COUNTIF(ConceptNodes9['[A_ID']],NodesData[[#This Row],[id]])+COUNTIF(ConceptNodes9['[B_ID']],NodesData[[#This Row],[id]])</f>
        <v>0</v>
      </c>
      <c r="H389" s="3">
        <f>IF(NodesData[[#This Row],[Used]]&gt;0,1,0)</f>
        <v>0</v>
      </c>
      <c r="I389" s="19" t="str" cm="1">
        <f t="array" ref="I389">IF(NodesData[[#This Row],[Count]]&gt;1,",","") &amp;"{"&amp;twoRangesToJSON(NodesData[[#Headers],[id]:[url]],NodesData[[#This Row],[id]:[url]])&amp;"}"</f>
        <v>,{"id":"n_sod","label":"SoD","url":"https://open-measure.atlassian.net/wiki/spaces/DIC/pages/1071317018"}</v>
      </c>
      <c r="J389" s="3"/>
    </row>
    <row r="390" spans="1:10" ht="13.25" customHeight="1" thickTop="1" thickBot="1" x14ac:dyDescent="0.4">
      <c r="A390" s="7" t="str">
        <f>SUBSTITUTE(SUBSTITUTE("n_"&amp;LOWER(SUBSTITUTE(SUBSTITUTE(SUBSTITUTE(NodesData[[#This Row],[label]]," ","_"),"/","_"),"-","_")),"__","_"),"__","_")</f>
        <v>n_software_app_otp</v>
      </c>
      <c r="B390" s="12" t="s">
        <v>1370</v>
      </c>
      <c r="C390" s="12"/>
      <c r="D390" s="3" t="s">
        <v>1411</v>
      </c>
      <c r="E390" s="3">
        <f t="shared" si="6"/>
        <v>388</v>
      </c>
      <c r="F390" s="3">
        <f>COUNTIF(NodesData[label],NodesData[[#This Row],[label]])</f>
        <v>1</v>
      </c>
      <c r="G390" s="3">
        <f>COUNTIF(ConceptNodes9['[A_ID']],NodesData[[#This Row],[id]])+COUNTIF(ConceptNodes9['[B_ID']],NodesData[[#This Row],[id]])</f>
        <v>0</v>
      </c>
      <c r="H390" s="3">
        <f>IF(NodesData[[#This Row],[Used]]&gt;0,1,0)</f>
        <v>0</v>
      </c>
      <c r="I390" s="19" t="str" cm="1">
        <f t="array" ref="I390">IF(NodesData[[#This Row],[Count]]&gt;1,",","") &amp;"{"&amp;twoRangesToJSON(NodesData[[#Headers],[id]:[url]],NodesData[[#This Row],[id]:[url]])&amp;"}"</f>
        <v>,{"id":"n_software_app_otp","label":"Software / App OTP","url":""}</v>
      </c>
      <c r="J390" s="3"/>
    </row>
    <row r="391" spans="1:10" ht="13.25" customHeight="1" thickTop="1" thickBot="1" x14ac:dyDescent="0.4">
      <c r="A391" s="17" t="str">
        <f>SUBSTITUTE(SUBSTITUTE("n_"&amp;LOWER(SUBSTITUTE(SUBSTITUTE(SUBSTITUTE(NodesData[[#This Row],[label]]," ","_"),"/","_"),"-","_")),"__","_"),"__","_")</f>
        <v>n_software_defined_perimeter</v>
      </c>
      <c r="B391" s="18" t="s">
        <v>1168</v>
      </c>
      <c r="C391" s="18" t="s">
        <v>1169</v>
      </c>
      <c r="D391" s="3" t="s">
        <v>1411</v>
      </c>
      <c r="E391" s="3">
        <f t="shared" si="6"/>
        <v>389</v>
      </c>
      <c r="F391" s="3">
        <f>COUNTIF(NodesData[label],NodesData[[#This Row],[label]])</f>
        <v>1</v>
      </c>
      <c r="G391" s="3">
        <f>COUNTIF(ConceptNodes9['[A_ID']],NodesData[[#This Row],[id]])+COUNTIF(ConceptNodes9['[B_ID']],NodesData[[#This Row],[id]])</f>
        <v>0</v>
      </c>
      <c r="H391" s="3">
        <f>IF(NodesData[[#This Row],[Used]]&gt;0,1,0)</f>
        <v>0</v>
      </c>
      <c r="I391" s="19" t="str" cm="1">
        <f t="array" ref="I391">IF(NodesData[[#This Row],[Count]]&gt;1,",","") &amp;"{"&amp;twoRangesToJSON(NodesData[[#Headers],[id]:[url]],NodesData[[#This Row],[id]:[url]])&amp;"}"</f>
        <v>,{"id":"n_software_defined_perimeter","label":"Software-Defined Perimeter","url":"https://open-measure.atlassian.net/wiki/spaces/DIC/pages/234487981"}</v>
      </c>
      <c r="J391" s="3"/>
    </row>
    <row r="392" spans="1:10" ht="13.25" customHeight="1" thickTop="1" thickBot="1" x14ac:dyDescent="0.4">
      <c r="A392" s="17" t="str">
        <f>SUBSTITUTE(SUBSTITUTE("n_"&amp;LOWER(SUBSTITUTE(SUBSTITUTE(SUBSTITUTE(NodesData[[#This Row],[label]]," ","_"),"/","_"),"-","_")),"__","_"),"__","_")</f>
        <v>n_spiffe</v>
      </c>
      <c r="B392" s="18" t="s">
        <v>1170</v>
      </c>
      <c r="C392" s="18" t="s">
        <v>1171</v>
      </c>
      <c r="D392" s="3" t="s">
        <v>1301</v>
      </c>
      <c r="E392" s="3">
        <f t="shared" si="6"/>
        <v>390</v>
      </c>
      <c r="F392" s="3">
        <f>COUNTIF(NodesData[label],NodesData[[#This Row],[label]])</f>
        <v>1</v>
      </c>
      <c r="G392" s="3">
        <f>COUNTIF(ConceptNodes9['[A_ID']],NodesData[[#This Row],[id]])+COUNTIF(ConceptNodes9['[B_ID']],NodesData[[#This Row],[id]])</f>
        <v>0</v>
      </c>
      <c r="H392" s="3">
        <f>IF(NodesData[[#This Row],[Used]]&gt;0,1,0)</f>
        <v>0</v>
      </c>
      <c r="I392" s="19" t="str" cm="1">
        <f t="array" ref="I392">IF(NodesData[[#This Row],[Count]]&gt;1,",","") &amp;"{"&amp;twoRangesToJSON(NodesData[[#Headers],[id]:[url]],NodesData[[#This Row],[id]:[url]])&amp;"}"</f>
        <v>,{"id":"n_spiffe","label":"SPIFFE","url":"https://open-measure.atlassian.net/wiki/spaces/DIC/pages/1142292486"}</v>
      </c>
      <c r="J392" s="3"/>
    </row>
    <row r="393" spans="1:10" ht="13.25" customHeight="1" thickTop="1" thickBot="1" x14ac:dyDescent="0.4">
      <c r="A393" s="17" t="str">
        <f>SUBSTITUTE(SUBSTITUTE("n_"&amp;LOWER(SUBSTITUTE(SUBSTITUTE(SUBSTITUTE(NodesData[[#This Row],[label]]," ","_"),"/","_"),"-","_")),"__","_"),"__","_")</f>
        <v>n_spms</v>
      </c>
      <c r="B393" s="18" t="s">
        <v>1172</v>
      </c>
      <c r="C393" s="18" t="s">
        <v>1173</v>
      </c>
      <c r="D393" s="3" t="s">
        <v>1301</v>
      </c>
      <c r="E393" s="3">
        <f t="shared" si="6"/>
        <v>391</v>
      </c>
      <c r="F393" s="3">
        <f>COUNTIF(NodesData[label],NodesData[[#This Row],[label]])</f>
        <v>1</v>
      </c>
      <c r="G393" s="3">
        <f>COUNTIF(ConceptNodes9['[A_ID']],NodesData[[#This Row],[id]])+COUNTIF(ConceptNodes9['[B_ID']],NodesData[[#This Row],[id]])</f>
        <v>0</v>
      </c>
      <c r="H393" s="3">
        <f>IF(NodesData[[#This Row],[Used]]&gt;0,1,0)</f>
        <v>0</v>
      </c>
      <c r="I393" s="19" t="str" cm="1">
        <f t="array" ref="I393">IF(NodesData[[#This Row],[Count]]&gt;1,",","") &amp;"{"&amp;twoRangesToJSON(NodesData[[#Headers],[id]:[url]],NodesData[[#This Row],[id]:[url]])&amp;"}"</f>
        <v>,{"id":"n_spms","label":"SPMS","url":"https://open-measure.atlassian.net/wiki/spaces/DIC/pages/1605648"}</v>
      </c>
      <c r="J393" s="3"/>
    </row>
    <row r="394" spans="1:10" ht="13.25" customHeight="1" thickTop="1" thickBot="1" x14ac:dyDescent="0.4">
      <c r="A394" s="17" t="str">
        <f>SUBSTITUTE(SUBSTITUTE("n_"&amp;LOWER(SUBSTITUTE(SUBSTITUTE(SUBSTITUTE(NodesData[[#This Row],[label]]," ","_"),"/","_"),"-","_")),"__","_"),"__","_")</f>
        <v>n_ssh_key</v>
      </c>
      <c r="B394" s="18" t="s">
        <v>1174</v>
      </c>
      <c r="C394" s="18" t="s">
        <v>1175</v>
      </c>
      <c r="D394" s="3" t="s">
        <v>1301</v>
      </c>
      <c r="E394" s="3">
        <f t="shared" si="6"/>
        <v>392</v>
      </c>
      <c r="F394" s="3">
        <f>COUNTIF(NodesData[label],NodesData[[#This Row],[label]])</f>
        <v>1</v>
      </c>
      <c r="G394" s="3">
        <f>COUNTIF(ConceptNodes9['[A_ID']],NodesData[[#This Row],[id]])+COUNTIF(ConceptNodes9['[B_ID']],NodesData[[#This Row],[id]])</f>
        <v>0</v>
      </c>
      <c r="H394" s="3">
        <f>IF(NodesData[[#This Row],[Used]]&gt;0,1,0)</f>
        <v>0</v>
      </c>
      <c r="I394" s="19" t="str" cm="1">
        <f t="array" ref="I394">IF(NodesData[[#This Row],[Count]]&gt;1,",","") &amp;"{"&amp;twoRangesToJSON(NodesData[[#Headers],[id]:[url]],NodesData[[#This Row],[id]:[url]])&amp;"}"</f>
        <v>,{"id":"n_ssh_key","label":"SSH Key","url":"https://open-measure.atlassian.net/wiki/spaces/DIC/pages/1027342899"}</v>
      </c>
      <c r="J394" s="3"/>
    </row>
    <row r="395" spans="1:10" ht="13.25" customHeight="1" thickTop="1" thickBot="1" x14ac:dyDescent="0.4">
      <c r="A395" s="17" t="str">
        <f>SUBSTITUTE(SUBSTITUTE("n_"&amp;LOWER(SUBSTITUTE(SUBSTITUTE(SUBSTITUTE(NodesData[[#This Row],[label]]," ","_"),"/","_"),"-","_")),"__","_"),"__","_")</f>
        <v>n_ssi</v>
      </c>
      <c r="B395" s="18" t="s">
        <v>470</v>
      </c>
      <c r="C395" s="18" t="s">
        <v>1176</v>
      </c>
      <c r="D395" s="3" t="s">
        <v>1301</v>
      </c>
      <c r="E395" s="3">
        <f t="shared" si="6"/>
        <v>393</v>
      </c>
      <c r="F395" s="3">
        <f>COUNTIF(NodesData[label],NodesData[[#This Row],[label]])</f>
        <v>1</v>
      </c>
      <c r="G395" s="3">
        <f>COUNTIF(ConceptNodes9['[A_ID']],NodesData[[#This Row],[id]])+COUNTIF(ConceptNodes9['[B_ID']],NodesData[[#This Row],[id]])</f>
        <v>0</v>
      </c>
      <c r="H395" s="3">
        <f>IF(NodesData[[#This Row],[Used]]&gt;0,1,0)</f>
        <v>0</v>
      </c>
      <c r="I395" s="19" t="str" cm="1">
        <f t="array" ref="I395">IF(NodesData[[#This Row],[Count]]&gt;1,",","") &amp;"{"&amp;twoRangesToJSON(NodesData[[#Headers],[id]:[url]],NodesData[[#This Row],[id]:[url]])&amp;"}"</f>
        <v>,{"id":"n_ssi","label":"SSI","url":"https://open-measure.atlassian.net/wiki/spaces/DIC/pages/1311113221/SSI"}</v>
      </c>
      <c r="J395" s="3"/>
    </row>
    <row r="396" spans="1:10" ht="13.25" customHeight="1" thickTop="1" thickBot="1" x14ac:dyDescent="0.4">
      <c r="A396" s="17" t="str">
        <f>SUBSTITUTE(SUBSTITUTE("n_"&amp;LOWER(SUBSTITUTE(SUBSTITUTE(SUBSTITUTE(NodesData[[#This Row],[label]]," ","_"),"/","_"),"-","_")),"__","_"),"__","_")</f>
        <v>n_sso</v>
      </c>
      <c r="B396" s="18" t="s">
        <v>1177</v>
      </c>
      <c r="C396" s="18" t="s">
        <v>1178</v>
      </c>
      <c r="D396" s="3" t="s">
        <v>1301</v>
      </c>
      <c r="E396" s="3">
        <f t="shared" si="6"/>
        <v>394</v>
      </c>
      <c r="F396" s="3">
        <f>COUNTIF(NodesData[label],NodesData[[#This Row],[label]])</f>
        <v>2</v>
      </c>
      <c r="G396" s="3">
        <f>COUNTIF(ConceptNodes9['[A_ID']],NodesData[[#This Row],[id]])+COUNTIF(ConceptNodes9['[B_ID']],NodesData[[#This Row],[id]])</f>
        <v>0</v>
      </c>
      <c r="H396" s="3">
        <f>IF(NodesData[[#This Row],[Used]]&gt;0,1,0)</f>
        <v>0</v>
      </c>
      <c r="I396" s="19" t="str" cm="1">
        <f t="array" ref="I396">IF(NodesData[[#This Row],[Count]]&gt;1,",","") &amp;"{"&amp;twoRangesToJSON(NodesData[[#Headers],[id]:[url]],NodesData[[#This Row],[id]:[url]])&amp;"}"</f>
        <v>,{"id":"n_sso","label":"SSO","url":"https://open-measure.atlassian.net/wiki/spaces/DIC/pages/75956237"}</v>
      </c>
      <c r="J396" s="3"/>
    </row>
    <row r="397" spans="1:10" ht="13.25" customHeight="1" thickTop="1" thickBot="1" x14ac:dyDescent="0.4">
      <c r="A397" s="24" t="str">
        <f>SUBSTITUTE(SUBSTITUTE("n_"&amp;LOWER(SUBSTITUTE(SUBSTITUTE(SUBSTITUTE(NodesData[[#This Row],[label]]," ","_"),"/","_"),"-","_")),"__","_"),"__","_")</f>
        <v>n_sso</v>
      </c>
      <c r="B397" s="23" t="s">
        <v>1177</v>
      </c>
      <c r="C397" s="23"/>
      <c r="D397" s="3" t="s">
        <v>1411</v>
      </c>
      <c r="E397" s="3">
        <f t="shared" si="6"/>
        <v>395</v>
      </c>
      <c r="F397" s="3">
        <f>COUNTIF(NodesData[label],NodesData[[#This Row],[label]])</f>
        <v>2</v>
      </c>
      <c r="G397" s="3">
        <f>COUNTIF(ConceptNodes9['[A_ID']],NodesData[[#This Row],[id]])+COUNTIF(ConceptNodes9['[B_ID']],NodesData[[#This Row],[id]])</f>
        <v>0</v>
      </c>
      <c r="H397" s="3">
        <f>IF(NodesData[[#This Row],[Used]]&gt;0,1,0)</f>
        <v>0</v>
      </c>
      <c r="I397" s="19" t="str" cm="1">
        <f t="array" ref="I397">IF(NodesData[[#This Row],[Count]]&gt;1,",","") &amp;"{"&amp;twoRangesToJSON(NodesData[[#Headers],[id]:[url]],NodesData[[#This Row],[id]:[url]])&amp;"}"</f>
        <v>,{"id":"n_sso","label":"SSO","url":""}</v>
      </c>
      <c r="J397" s="3"/>
    </row>
    <row r="398" spans="1:10" ht="13.25" customHeight="1" thickTop="1" thickBot="1" x14ac:dyDescent="0.4">
      <c r="A398" s="17" t="str">
        <f>SUBSTITUTE(SUBSTITUTE("n_"&amp;LOWER(SUBSTITUTE(SUBSTITUTE(SUBSTITUTE(NodesData[[#This Row],[label]]," ","_"),"/","_"),"-","_")),"__","_"),"__","_")</f>
        <v>n_stability_of_access_decision_factors</v>
      </c>
      <c r="B398" s="18" t="s">
        <v>1179</v>
      </c>
      <c r="C398" s="18" t="s">
        <v>1180</v>
      </c>
      <c r="D398" s="3" t="s">
        <v>1411</v>
      </c>
      <c r="E398" s="3">
        <f t="shared" si="6"/>
        <v>396</v>
      </c>
      <c r="F398" s="3">
        <f>COUNTIF(NodesData[label],NodesData[[#This Row],[label]])</f>
        <v>1</v>
      </c>
      <c r="G398" s="3">
        <f>COUNTIF(ConceptNodes9['[A_ID']],NodesData[[#This Row],[id]])+COUNTIF(ConceptNodes9['[B_ID']],NodesData[[#This Row],[id]])</f>
        <v>0</v>
      </c>
      <c r="H398" s="3">
        <f>IF(NodesData[[#This Row],[Used]]&gt;0,1,0)</f>
        <v>0</v>
      </c>
      <c r="I398" s="19" t="str" cm="1">
        <f t="array" ref="I398">IF(NodesData[[#This Row],[Count]]&gt;1,",","") &amp;"{"&amp;twoRangesToJSON(NodesData[[#Headers],[id]:[url]],NodesData[[#This Row],[id]:[url]])&amp;"}"</f>
        <v>,{"id":"n_stability_of_access_decision_factors","label":"Stability of Access Decision Factors","url":"https://open-measure.atlassian.net/wiki/spaces/DIC/pages/998244645"}</v>
      </c>
      <c r="J398" s="3"/>
    </row>
    <row r="399" spans="1:10" ht="13.25" customHeight="1" thickTop="1" thickBot="1" x14ac:dyDescent="0.4">
      <c r="A399" s="17" t="str">
        <f>SUBSTITUTE(SUBSTITUTE("n_"&amp;LOWER(SUBSTITUTE(SUBSTITUTE(SUBSTITUTE(NodesData[[#This Row],[label]]," ","_"),"/","_"),"-","_")),"__","_"),"__","_")</f>
        <v>n_stakeholder</v>
      </c>
      <c r="B399" s="18" t="s">
        <v>1181</v>
      </c>
      <c r="C399" s="18" t="s">
        <v>1182</v>
      </c>
      <c r="D399" s="3" t="s">
        <v>1411</v>
      </c>
      <c r="E399" s="3">
        <f t="shared" si="6"/>
        <v>397</v>
      </c>
      <c r="F399" s="3">
        <f>COUNTIF(NodesData[label],NodesData[[#This Row],[label]])</f>
        <v>1</v>
      </c>
      <c r="G399" s="3">
        <f>COUNTIF(ConceptNodes9['[A_ID']],NodesData[[#This Row],[id]])+COUNTIF(ConceptNodes9['[B_ID']],NodesData[[#This Row],[id]])</f>
        <v>0</v>
      </c>
      <c r="H399" s="3">
        <f>IF(NodesData[[#This Row],[Used]]&gt;0,1,0)</f>
        <v>0</v>
      </c>
      <c r="I399" s="19" t="str" cm="1">
        <f t="array" ref="I399">IF(NodesData[[#This Row],[Count]]&gt;1,",","") &amp;"{"&amp;twoRangesToJSON(NodesData[[#Headers],[id]:[url]],NodesData[[#This Row],[id]:[url]])&amp;"}"</f>
        <v>,{"id":"n_stakeholder","label":"Stakeholder","url":"https://open-measure.atlassian.net/wiki/spaces/DIC/pages/1311763"}</v>
      </c>
      <c r="J399" s="3"/>
    </row>
    <row r="400" spans="1:10" ht="13.25" customHeight="1" thickTop="1" thickBot="1" x14ac:dyDescent="0.4">
      <c r="A400" s="17" t="str">
        <f>SUBSTITUTE(SUBSTITUTE("n_"&amp;LOWER(SUBSTITUTE(SUBSTITUTE(SUBSTITUTE(NodesData[[#This Row],[label]]," ","_"),"/","_"),"-","_")),"__","_"),"__","_")</f>
        <v>n_social_authentication</v>
      </c>
      <c r="B400" s="18" t="s">
        <v>463</v>
      </c>
      <c r="C400" s="18" t="s">
        <v>1164</v>
      </c>
      <c r="D400" s="3" t="s">
        <v>1411</v>
      </c>
      <c r="E400" s="3">
        <f t="shared" si="6"/>
        <v>398</v>
      </c>
      <c r="F400" s="3">
        <f>COUNTIF(NodesData[label],NodesData[[#This Row],[label]])</f>
        <v>1</v>
      </c>
      <c r="G400" s="3">
        <f>COUNTIF(ConceptNodes9['[A_ID']],NodesData[[#This Row],[id]])+COUNTIF(ConceptNodes9['[B_ID']],NodesData[[#This Row],[id]])</f>
        <v>0</v>
      </c>
      <c r="H400" s="3">
        <f>IF(NodesData[[#This Row],[Used]]&gt;0,1,0)</f>
        <v>0</v>
      </c>
      <c r="I400" s="19" t="str" cm="1">
        <f t="array" ref="I400">IF(NodesData[[#This Row],[Count]]&gt;1,",","") &amp;"{"&amp;twoRangesToJSON(NodesData[[#Headers],[id]:[url]],NodesData[[#This Row],[id]:[url]])&amp;"}"</f>
        <v>,{"id":"n_social_authentication","label":"Social Authentication","url":"https://open-measure.atlassian.net/wiki/spaces/DIC/pages/1600684200/Social+Authentication"}</v>
      </c>
      <c r="J400" s="3"/>
    </row>
    <row r="401" spans="1:10" ht="13.25" customHeight="1" thickTop="1" thickBot="1" x14ac:dyDescent="0.4">
      <c r="A401" s="17" t="str">
        <f>SUBSTITUTE(SUBSTITUTE("n_"&amp;LOWER(SUBSTITUTE(SUBSTITUTE(SUBSTITUTE(NodesData[[#This Row],[label]]," ","_"),"/","_"),"-","_")),"__","_"),"__","_")</f>
        <v>n_strategic_performance_measurement_system</v>
      </c>
      <c r="B401" s="18" t="s">
        <v>1184</v>
      </c>
      <c r="C401" s="18" t="s">
        <v>1185</v>
      </c>
      <c r="D401" s="3" t="s">
        <v>1411</v>
      </c>
      <c r="E401" s="3">
        <f t="shared" si="6"/>
        <v>399</v>
      </c>
      <c r="F401" s="3">
        <f>COUNTIF(NodesData[label],NodesData[[#This Row],[label]])</f>
        <v>1</v>
      </c>
      <c r="G401" s="3">
        <f>COUNTIF(ConceptNodes9['[A_ID']],NodesData[[#This Row],[id]])+COUNTIF(ConceptNodes9['[B_ID']],NodesData[[#This Row],[id]])</f>
        <v>0</v>
      </c>
      <c r="H401" s="3">
        <f>IF(NodesData[[#This Row],[Used]]&gt;0,1,0)</f>
        <v>0</v>
      </c>
      <c r="I401" s="19" t="str" cm="1">
        <f t="array" ref="I401">IF(NodesData[[#This Row],[Count]]&gt;1,",","") &amp;"{"&amp;twoRangesToJSON(NodesData[[#Headers],[id]:[url]],NodesData[[#This Row],[id]:[url]])&amp;"}"</f>
        <v>,{"id":"n_strategic_performance_measurement_system","label":"Strategic Performance Measurement System","url":"https://open-measure.atlassian.net/wiki/spaces/DIC/pages/1540175"}</v>
      </c>
      <c r="J401" s="3"/>
    </row>
    <row r="402" spans="1:10" ht="13.25" customHeight="1" thickTop="1" thickBot="1" x14ac:dyDescent="0.4">
      <c r="A402" s="17" t="str">
        <f>SUBSTITUTE(SUBSTITUTE("n_"&amp;LOWER(SUBSTITUTE(SUBSTITUTE(SUBSTITUTE(NodesData[[#This Row],[label]]," ","_"),"/","_"),"-","_")),"__","_"),"__","_")</f>
        <v>n_strict_discretionary_access_control</v>
      </c>
      <c r="B402" s="18" t="s">
        <v>1186</v>
      </c>
      <c r="C402" s="18" t="s">
        <v>1187</v>
      </c>
      <c r="D402" s="3" t="s">
        <v>1411</v>
      </c>
      <c r="E402" s="3">
        <f t="shared" si="6"/>
        <v>400</v>
      </c>
      <c r="F402" s="3">
        <f>COUNTIF(NodesData[label],NodesData[[#This Row],[label]])</f>
        <v>1</v>
      </c>
      <c r="G402" s="3">
        <f>COUNTIF(ConceptNodes9['[A_ID']],NodesData[[#This Row],[id]])+COUNTIF(ConceptNodes9['[B_ID']],NodesData[[#This Row],[id]])</f>
        <v>0</v>
      </c>
      <c r="H402" s="3">
        <f>IF(NodesData[[#This Row],[Used]]&gt;0,1,0)</f>
        <v>0</v>
      </c>
      <c r="I402" s="19" t="str" cm="1">
        <f t="array" ref="I402">IF(NodesData[[#This Row],[Count]]&gt;1,",","") &amp;"{"&amp;twoRangesToJSON(NodesData[[#Headers],[id]:[url]],NodesData[[#This Row],[id]:[url]])&amp;"}"</f>
        <v>,{"id":"n_strict_discretionary_access_control","label":"Strict Discretionary Access Control","url":"https://open-measure.atlassian.net/wiki/spaces/DIC/pages/1181909085"}</v>
      </c>
      <c r="J402" s="3"/>
    </row>
    <row r="403" spans="1:10" ht="13.25" customHeight="1" thickTop="1" thickBot="1" x14ac:dyDescent="0.4">
      <c r="A403" s="17" t="str">
        <f>SUBSTITUTE(SUBSTITUTE("n_"&amp;LOWER(SUBSTITUTE(SUBSTITUTE(SUBSTITUTE(NodesData[[#This Row],[label]]," ","_"),"/","_"),"-","_")),"__","_"),"__","_")</f>
        <v>n_step_up_authentication</v>
      </c>
      <c r="B403" s="18" t="s">
        <v>474</v>
      </c>
      <c r="C403" s="18" t="s">
        <v>1183</v>
      </c>
      <c r="D403" s="3" t="s">
        <v>1411</v>
      </c>
      <c r="E403" s="3">
        <f t="shared" si="6"/>
        <v>401</v>
      </c>
      <c r="F403" s="3">
        <f>COUNTIF(NodesData[label],NodesData[[#This Row],[label]])</f>
        <v>1</v>
      </c>
      <c r="G403" s="3">
        <f>COUNTIF(ConceptNodes9['[A_ID']],NodesData[[#This Row],[id]])+COUNTIF(ConceptNodes9['[B_ID']],NodesData[[#This Row],[id]])</f>
        <v>0</v>
      </c>
      <c r="H403" s="3">
        <f>IF(NodesData[[#This Row],[Used]]&gt;0,1,0)</f>
        <v>0</v>
      </c>
      <c r="I403" s="19" t="str" cm="1">
        <f t="array" ref="I403">IF(NodesData[[#This Row],[Count]]&gt;1,",","") &amp;"{"&amp;twoRangesToJSON(NodesData[[#Headers],[id]:[url]],NodesData[[#This Row],[id]:[url]])&amp;"}"</f>
        <v>,{"id":"n_step_up_authentication","label":"Step-Up Authentication","url":"https://open-measure.atlassian.net/wiki/spaces/DIC/pages/663257097/Step-Up+Authentication"}</v>
      </c>
      <c r="J403" s="3"/>
    </row>
    <row r="404" spans="1:10" ht="13.25" customHeight="1" thickTop="1" thickBot="1" x14ac:dyDescent="0.4">
      <c r="A404" s="17" t="str">
        <f>SUBSTITUTE(SUBSTITUTE("n_"&amp;LOWER(SUBSTITUTE(SUBSTITUTE(SUBSTITUTE(NodesData[[#This Row],[label]]," ","_"),"/","_"),"-","_")),"__","_"),"__","_")</f>
        <v>n_strong_tranquility_property</v>
      </c>
      <c r="B404" s="18" t="s">
        <v>1190</v>
      </c>
      <c r="C404" s="18" t="s">
        <v>1191</v>
      </c>
      <c r="D404" s="3" t="s">
        <v>1411</v>
      </c>
      <c r="E404" s="3">
        <f t="shared" si="6"/>
        <v>402</v>
      </c>
      <c r="F404" s="3">
        <f>COUNTIF(NodesData[label],NodesData[[#This Row],[label]])</f>
        <v>1</v>
      </c>
      <c r="G404" s="3">
        <f>COUNTIF(ConceptNodes9['[A_ID']],NodesData[[#This Row],[id]])+COUNTIF(ConceptNodes9['[B_ID']],NodesData[[#This Row],[id]])</f>
        <v>0</v>
      </c>
      <c r="H404" s="3">
        <f>IF(NodesData[[#This Row],[Used]]&gt;0,1,0)</f>
        <v>0</v>
      </c>
      <c r="I404" s="19" t="str" cm="1">
        <f t="array" ref="I404">IF(NodesData[[#This Row],[Count]]&gt;1,",","") &amp;"{"&amp;twoRangesToJSON(NodesData[[#Headers],[id]:[url]],NodesData[[#This Row],[id]:[url]])&amp;"}"</f>
        <v>,{"id":"n_strong_tranquility_property","label":"Strong Tranquility Property","url":"https://open-measure.atlassian.net/wiki/spaces/DIC/pages/1177747756"}</v>
      </c>
      <c r="J404" s="3"/>
    </row>
    <row r="405" spans="1:10" ht="13.25" customHeight="1" thickTop="1" thickBot="1" x14ac:dyDescent="0.4">
      <c r="A405" s="17" t="str">
        <f>SUBSTITUTE(SUBSTITUTE("n_"&amp;LOWER(SUBSTITUTE(SUBSTITUTE(SUBSTITUTE(NodesData[[#This Row],[label]]," ","_"),"/","_"),"-","_")),"__","_"),"__","_")</f>
        <v>n_subject</v>
      </c>
      <c r="B405" s="18" t="s">
        <v>1192</v>
      </c>
      <c r="C405" s="18" t="s">
        <v>1193</v>
      </c>
      <c r="D405" s="3" t="s">
        <v>1411</v>
      </c>
      <c r="E405" s="3">
        <f t="shared" si="6"/>
        <v>403</v>
      </c>
      <c r="F405" s="3">
        <f>COUNTIF(NodesData[label],NodesData[[#This Row],[label]])</f>
        <v>1</v>
      </c>
      <c r="G405" s="3">
        <f>COUNTIF(ConceptNodes9['[A_ID']],NodesData[[#This Row],[id]])+COUNTIF(ConceptNodes9['[B_ID']],NodesData[[#This Row],[id]])</f>
        <v>0</v>
      </c>
      <c r="H405" s="3">
        <f>IF(NodesData[[#This Row],[Used]]&gt;0,1,0)</f>
        <v>0</v>
      </c>
      <c r="I405" s="19" t="str" cm="1">
        <f t="array" ref="I405">IF(NodesData[[#This Row],[Count]]&gt;1,",","") &amp;"{"&amp;twoRangesToJSON(NodesData[[#Headers],[id]:[url]],NodesData[[#This Row],[id]:[url]])&amp;"}"</f>
        <v>,{"id":"n_subject","label":"Subject","url":"https://open-measure.atlassian.net/wiki/spaces/DIC/pages/67600697"}</v>
      </c>
      <c r="J405" s="3"/>
    </row>
    <row r="406" spans="1:10" ht="13.25" customHeight="1" thickTop="1" thickBot="1" x14ac:dyDescent="0.4">
      <c r="A406" s="17" t="str">
        <f>SUBSTITUTE(SUBSTITUTE("n_"&amp;LOWER(SUBSTITUTE(SUBSTITUTE(SUBSTITUTE(NodesData[[#This Row],[label]]," ","_"),"/","_"),"-","_")),"__","_"),"__","_")</f>
        <v>n_subjective_indicator</v>
      </c>
      <c r="B406" s="18" t="s">
        <v>1194</v>
      </c>
      <c r="C406" s="18" t="s">
        <v>1195</v>
      </c>
      <c r="D406" s="3" t="s">
        <v>1411</v>
      </c>
      <c r="E406" s="3">
        <f t="shared" si="6"/>
        <v>404</v>
      </c>
      <c r="F406" s="3">
        <f>COUNTIF(NodesData[label],NodesData[[#This Row],[label]])</f>
        <v>1</v>
      </c>
      <c r="G406" s="3">
        <f>COUNTIF(ConceptNodes9['[A_ID']],NodesData[[#This Row],[id]])+COUNTIF(ConceptNodes9['[B_ID']],NodesData[[#This Row],[id]])</f>
        <v>0</v>
      </c>
      <c r="H406" s="3">
        <f>IF(NodesData[[#This Row],[Used]]&gt;0,1,0)</f>
        <v>0</v>
      </c>
      <c r="I406" s="19" t="str" cm="1">
        <f t="array" ref="I406">IF(NodesData[[#This Row],[Count]]&gt;1,",","") &amp;"{"&amp;twoRangesToJSON(NodesData[[#Headers],[id]:[url]],NodesData[[#This Row],[id]:[url]])&amp;"}"</f>
        <v>,{"id":"n_subjective_indicator","label":"Subjective Indicator","url":"https://open-measure.atlassian.net/wiki/spaces/DIC/pages/2981920"}</v>
      </c>
      <c r="J406" s="3"/>
    </row>
    <row r="407" spans="1:10" ht="13.25" customHeight="1" thickTop="1" thickBot="1" x14ac:dyDescent="0.4">
      <c r="A407" s="17" t="str">
        <f>SUBSTITUTE(SUBSTITUTE("n_"&amp;LOWER(SUBSTITUTE(SUBSTITUTE(SUBSTITUTE(NodesData[[#This Row],[label]]," ","_"),"/","_"),"-","_")),"__","_"),"__","_")</f>
        <v>n_supply_chain_attack</v>
      </c>
      <c r="B407" s="18" t="s">
        <v>481</v>
      </c>
      <c r="C407" s="18" t="s">
        <v>1196</v>
      </c>
      <c r="D407" s="3" t="s">
        <v>1411</v>
      </c>
      <c r="E407" s="3">
        <f t="shared" si="6"/>
        <v>405</v>
      </c>
      <c r="F407" s="3">
        <f>COUNTIF(NodesData[label],NodesData[[#This Row],[label]])</f>
        <v>1</v>
      </c>
      <c r="G407" s="3">
        <f>COUNTIF(ConceptNodes9['[A_ID']],NodesData[[#This Row],[id]])+COUNTIF(ConceptNodes9['[B_ID']],NodesData[[#This Row],[id]])</f>
        <v>0</v>
      </c>
      <c r="H407" s="3">
        <f>IF(NodesData[[#This Row],[Used]]&gt;0,1,0)</f>
        <v>0</v>
      </c>
      <c r="I407" s="19" t="str" cm="1">
        <f t="array" ref="I407">IF(NodesData[[#This Row],[Count]]&gt;1,",","") &amp;"{"&amp;twoRangesToJSON(NodesData[[#Headers],[id]:[url]],NodesData[[#This Row],[id]:[url]])&amp;"}"</f>
        <v>,{"id":"n_supply_chain_attack","label":"Supply Chain Attack","url":"https://open-measure.atlassian.net/wiki/spaces/DIC/pages/1477869640/Supply+Chain+Attack"}</v>
      </c>
      <c r="J407" s="3"/>
    </row>
    <row r="408" spans="1:10" ht="13.25" customHeight="1" thickTop="1" thickBot="1" x14ac:dyDescent="0.4">
      <c r="A408" s="17" t="str">
        <f>SUBSTITUTE(SUBSTITUTE("n_"&amp;LOWER(SUBSTITUTE(SUBSTITUTE(SUBSTITUTE(NodesData[[#This Row],[label]]," ","_"),"/","_"),"-","_")),"__","_"),"__","_")</f>
        <v>n_sybil_attack</v>
      </c>
      <c r="B408" s="18" t="s">
        <v>482</v>
      </c>
      <c r="C408" s="18" t="s">
        <v>1197</v>
      </c>
      <c r="D408" s="3" t="s">
        <v>1411</v>
      </c>
      <c r="E408" s="3">
        <f t="shared" si="6"/>
        <v>406</v>
      </c>
      <c r="F408" s="3">
        <f>COUNTIF(NodesData[label],NodesData[[#This Row],[label]])</f>
        <v>1</v>
      </c>
      <c r="G408" s="3">
        <f>COUNTIF(ConceptNodes9['[A_ID']],NodesData[[#This Row],[id]])+COUNTIF(ConceptNodes9['[B_ID']],NodesData[[#This Row],[id]])</f>
        <v>0</v>
      </c>
      <c r="H408" s="3">
        <f>IF(NodesData[[#This Row],[Used]]&gt;0,1,0)</f>
        <v>0</v>
      </c>
      <c r="I408" s="19" t="str" cm="1">
        <f t="array" ref="I408">IF(NodesData[[#This Row],[Count]]&gt;1,",","") &amp;"{"&amp;twoRangesToJSON(NodesData[[#Headers],[id]:[url]],NodesData[[#This Row],[id]:[url]])&amp;"}"</f>
        <v>,{"id":"n_sybil_attack","label":"Sybil Attack","url":"https://open-measure.atlassian.net/wiki/spaces/DIC/pages/1254588545/Sybil+Attack"}</v>
      </c>
      <c r="J408" s="3"/>
    </row>
    <row r="409" spans="1:10" ht="13.25" customHeight="1" thickTop="1" thickBot="1" x14ac:dyDescent="0.4">
      <c r="A409" s="17" t="str">
        <f>SUBSTITUTE(SUBSTITUTE("n_"&amp;LOWER(SUBSTITUTE(SUBSTITUTE(SUBSTITUTE(NodesData[[#This Row],[label]]," ","_"),"/","_"),"-","_")),"__","_"),"__","_")</f>
        <v>n_synthetic_identity_fraud</v>
      </c>
      <c r="B409" s="18" t="s">
        <v>1198</v>
      </c>
      <c r="C409" s="18" t="s">
        <v>1199</v>
      </c>
      <c r="D409" s="3" t="s">
        <v>1411</v>
      </c>
      <c r="E409" s="3">
        <f t="shared" si="6"/>
        <v>407</v>
      </c>
      <c r="F409" s="3">
        <f>COUNTIF(NodesData[label],NodesData[[#This Row],[label]])</f>
        <v>1</v>
      </c>
      <c r="G409" s="3">
        <f>COUNTIF(ConceptNodes9['[A_ID']],NodesData[[#This Row],[id]])+COUNTIF(ConceptNodes9['[B_ID']],NodesData[[#This Row],[id]])</f>
        <v>0</v>
      </c>
      <c r="H409" s="3">
        <f>IF(NodesData[[#This Row],[Used]]&gt;0,1,0)</f>
        <v>0</v>
      </c>
      <c r="I409" s="19" t="str" cm="1">
        <f t="array" ref="I409">IF(NodesData[[#This Row],[Count]]&gt;1,",","") &amp;"{"&amp;twoRangesToJSON(NodesData[[#Headers],[id]:[url]],NodesData[[#This Row],[id]:[url]])&amp;"}"</f>
        <v>,{"id":"n_synthetic_identity_fraud","label":"Synthetic Identity Fraud","url":"https://open-measure.atlassian.net/wiki/spaces/DIC/pages/794296433"}</v>
      </c>
      <c r="J409" s="3"/>
    </row>
    <row r="410" spans="1:10" ht="13.25" customHeight="1" thickTop="1" thickBot="1" x14ac:dyDescent="0.4">
      <c r="A410" s="17" t="str">
        <f>SUBSTITUTE(SUBSTITUTE("n_"&amp;LOWER(SUBSTITUTE(SUBSTITUTE(SUBSTITUTE(NodesData[[#This Row],[label]]," ","_"),"/","_"),"-","_")),"__","_"),"__","_")</f>
        <v>n_system</v>
      </c>
      <c r="B410" s="18" t="s">
        <v>484</v>
      </c>
      <c r="C410" s="18" t="s">
        <v>1200</v>
      </c>
      <c r="D410" s="3" t="s">
        <v>1411</v>
      </c>
      <c r="E410" s="3">
        <f t="shared" si="6"/>
        <v>408</v>
      </c>
      <c r="F410" s="3">
        <f>COUNTIF(NodesData[label],NodesData[[#This Row],[label]])</f>
        <v>1</v>
      </c>
      <c r="G410" s="3">
        <f>COUNTIF(ConceptNodes9['[A_ID']],NodesData[[#This Row],[id]])+COUNTIF(ConceptNodes9['[B_ID']],NodesData[[#This Row],[id]])</f>
        <v>0</v>
      </c>
      <c r="H410" s="3">
        <f>IF(NodesData[[#This Row],[Used]]&gt;0,1,0)</f>
        <v>0</v>
      </c>
      <c r="I410" s="19" t="str" cm="1">
        <f t="array" ref="I410">IF(NodesData[[#This Row],[Count]]&gt;1,",","") &amp;"{"&amp;twoRangesToJSON(NodesData[[#Headers],[id]:[url]],NodesData[[#This Row],[id]:[url]])&amp;"}"</f>
        <v>,{"id":"n_system","label":"System","url":"https://open-measure.atlassian.net/wiki/spaces/DIC/pages/5965562/System"}</v>
      </c>
      <c r="J410" s="3"/>
    </row>
    <row r="411" spans="1:10" ht="13.25" customHeight="1" thickTop="1" thickBot="1" x14ac:dyDescent="0.4">
      <c r="A411" s="17" t="str">
        <f>SUBSTITUTE(SUBSTITUTE("n_"&amp;LOWER(SUBSTITUTE(SUBSTITUTE(SUBSTITUTE(NodesData[[#This Row],[label]]," ","_"),"/","_"),"-","_")),"__","_"),"__","_")</f>
        <v>n_system_boundaries</v>
      </c>
      <c r="B411" s="18" t="s">
        <v>485</v>
      </c>
      <c r="C411" s="18" t="s">
        <v>1201</v>
      </c>
      <c r="D411" s="3" t="s">
        <v>1411</v>
      </c>
      <c r="E411" s="3">
        <f t="shared" si="6"/>
        <v>409</v>
      </c>
      <c r="F411" s="3">
        <f>COUNTIF(NodesData[label],NodesData[[#This Row],[label]])</f>
        <v>1</v>
      </c>
      <c r="G411" s="3">
        <f>COUNTIF(ConceptNodes9['[A_ID']],NodesData[[#This Row],[id]])+COUNTIF(ConceptNodes9['[B_ID']],NodesData[[#This Row],[id]])</f>
        <v>0</v>
      </c>
      <c r="H411" s="3">
        <f>IF(NodesData[[#This Row],[Used]]&gt;0,1,0)</f>
        <v>0</v>
      </c>
      <c r="I411" s="19" t="str" cm="1">
        <f t="array" ref="I411">IF(NodesData[[#This Row],[Count]]&gt;1,",","") &amp;"{"&amp;twoRangesToJSON(NodesData[[#Headers],[id]:[url]],NodesData[[#This Row],[id]:[url]])&amp;"}"</f>
        <v>,{"id":"n_system_boundaries","label":"System Boundaries","url":"https://open-measure.atlassian.net/wiki/spaces/DIC/pages/446824644/System+Boundaries"}</v>
      </c>
      <c r="J411" s="3"/>
    </row>
    <row r="412" spans="1:10" ht="13.25" customHeight="1" thickTop="1" thickBot="1" x14ac:dyDescent="0.4">
      <c r="A412" s="17" t="str">
        <f>SUBSTITUTE(SUBSTITUTE("n_"&amp;LOWER(SUBSTITUTE(SUBSTITUTE(SUBSTITUTE(NodesData[[#This Row],[label]]," ","_"),"/","_"),"-","_")),"__","_"),"__","_")</f>
        <v>n_system_for_cross_domain_identity_management</v>
      </c>
      <c r="B412" s="18" t="s">
        <v>1202</v>
      </c>
      <c r="C412" s="18" t="s">
        <v>1203</v>
      </c>
      <c r="D412" s="3" t="s">
        <v>1411</v>
      </c>
      <c r="E412" s="3">
        <f t="shared" si="6"/>
        <v>410</v>
      </c>
      <c r="F412" s="3">
        <f>COUNTIF(NodesData[label],NodesData[[#This Row],[label]])</f>
        <v>1</v>
      </c>
      <c r="G412" s="3">
        <f>COUNTIF(ConceptNodes9['[A_ID']],NodesData[[#This Row],[id]])+COUNTIF(ConceptNodes9['[B_ID']],NodesData[[#This Row],[id]])</f>
        <v>0</v>
      </c>
      <c r="H412" s="3">
        <f>IF(NodesData[[#This Row],[Used]]&gt;0,1,0)</f>
        <v>0</v>
      </c>
      <c r="I412" s="19" t="str" cm="1">
        <f t="array" ref="I412">IF(NodesData[[#This Row],[Count]]&gt;1,",","") &amp;"{"&amp;twoRangesToJSON(NodesData[[#Headers],[id]:[url]],NodesData[[#This Row],[id]:[url]])&amp;"}"</f>
        <v>,{"id":"n_system_for_cross_domain_identity_management","label":"System for Cross-domain Identity Management","url":"https://open-measure.atlassian.net/wiki/spaces/DIC/pages/206372869"}</v>
      </c>
      <c r="J412" s="3"/>
    </row>
    <row r="413" spans="1:10" ht="13.25" customHeight="1" thickTop="1" thickBot="1" x14ac:dyDescent="0.4">
      <c r="A413" s="17" t="str">
        <f>SUBSTITUTE(SUBSTITUTE("n_"&amp;LOWER(SUBSTITUTE(SUBSTITUTE(SUBSTITUTE(NodesData[[#This Row],[label]]," ","_"),"/","_"),"-","_")),"__","_"),"__","_")</f>
        <v>n_system_owner</v>
      </c>
      <c r="B413" s="18" t="s">
        <v>1204</v>
      </c>
      <c r="C413" s="18" t="s">
        <v>1205</v>
      </c>
      <c r="D413" s="3" t="s">
        <v>1411</v>
      </c>
      <c r="E413" s="3">
        <f t="shared" si="6"/>
        <v>411</v>
      </c>
      <c r="F413" s="3">
        <f>COUNTIF(NodesData[label],NodesData[[#This Row],[label]])</f>
        <v>1</v>
      </c>
      <c r="G413" s="3">
        <f>COUNTIF(ConceptNodes9['[A_ID']],NodesData[[#This Row],[id]])+COUNTIF(ConceptNodes9['[B_ID']],NodesData[[#This Row],[id]])</f>
        <v>0</v>
      </c>
      <c r="H413" s="3">
        <f>IF(NodesData[[#This Row],[Used]]&gt;0,1,0)</f>
        <v>0</v>
      </c>
      <c r="I413" s="19" t="str" cm="1">
        <f t="array" ref="I413">IF(NodesData[[#This Row],[Count]]&gt;1,",","") &amp;"{"&amp;twoRangesToJSON(NodesData[[#Headers],[id]:[url]],NodesData[[#This Row],[id]:[url]])&amp;"}"</f>
        <v>,{"id":"n_system_owner","label":"System Owner","url":"https://open-measure.atlassian.net/wiki/spaces/DIC/pages/1004961963"}</v>
      </c>
      <c r="J413" s="3"/>
    </row>
    <row r="414" spans="1:10" ht="13.25" customHeight="1" thickTop="1" thickBot="1" x14ac:dyDescent="0.4">
      <c r="A414" s="17" t="str">
        <f>SUBSTITUTE(SUBSTITUTE("n_"&amp;LOWER(SUBSTITUTE(SUBSTITUTE(SUBSTITUTE(NodesData[[#This Row],[label]]," ","_"),"/","_"),"-","_")),"__","_"),"__","_")</f>
        <v>n_system_z</v>
      </c>
      <c r="B414" s="18" t="s">
        <v>1206</v>
      </c>
      <c r="C414" s="18" t="s">
        <v>1207</v>
      </c>
      <c r="D414" s="3" t="s">
        <v>1411</v>
      </c>
      <c r="E414" s="3">
        <f t="shared" si="6"/>
        <v>412</v>
      </c>
      <c r="F414" s="3">
        <f>COUNTIF(NodesData[label],NodesData[[#This Row],[label]])</f>
        <v>1</v>
      </c>
      <c r="G414" s="3">
        <f>COUNTIF(ConceptNodes9['[A_ID']],NodesData[[#This Row],[id]])+COUNTIF(ConceptNodes9['[B_ID']],NodesData[[#This Row],[id]])</f>
        <v>0</v>
      </c>
      <c r="H414" s="3">
        <f>IF(NodesData[[#This Row],[Used]]&gt;0,1,0)</f>
        <v>0</v>
      </c>
      <c r="I414" s="19" t="str" cm="1">
        <f t="array" ref="I414">IF(NodesData[[#This Row],[Count]]&gt;1,",","") &amp;"{"&amp;twoRangesToJSON(NodesData[[#Headers],[id]:[url]],NodesData[[#This Row],[id]:[url]])&amp;"}"</f>
        <v>,{"id":"n_system_z","label":"System Z","url":"https://open-measure.atlassian.net/wiki/spaces/DIC/pages/1226571890"}</v>
      </c>
      <c r="J414" s="3"/>
    </row>
    <row r="415" spans="1:10" ht="13.25" customHeight="1" thickTop="1" thickBot="1" x14ac:dyDescent="0.4">
      <c r="A415" s="7" t="str">
        <f>SUBSTITUTE(SUBSTITUTE("n_"&amp;LOWER(SUBSTITUTE(SUBSTITUTE(SUBSTITUTE(NodesData[[#This Row],[label]]," ","_"),"/","_"),"-","_")),"__","_"),"__","_")</f>
        <v>n_tan_list_otp</v>
      </c>
      <c r="B415" s="23" t="s">
        <v>1372</v>
      </c>
      <c r="C415" s="12"/>
      <c r="D415" s="3" t="s">
        <v>1411</v>
      </c>
      <c r="E415" s="3">
        <f t="shared" si="6"/>
        <v>413</v>
      </c>
      <c r="F415" s="3">
        <f>COUNTIF(NodesData[label],NodesData[[#This Row],[label]])</f>
        <v>1</v>
      </c>
      <c r="G415" s="3">
        <f>COUNTIF(ConceptNodes9['[A_ID']],NodesData[[#This Row],[id]])+COUNTIF(ConceptNodes9['[B_ID']],NodesData[[#This Row],[id]])</f>
        <v>0</v>
      </c>
      <c r="H415" s="3">
        <f>IF(NodesData[[#This Row],[Used]]&gt;0,1,0)</f>
        <v>0</v>
      </c>
      <c r="I415" s="19" t="str" cm="1">
        <f t="array" ref="I415">IF(NodesData[[#This Row],[Count]]&gt;1,",","") &amp;"{"&amp;twoRangesToJSON(NodesData[[#Headers],[id]:[url]],NodesData[[#This Row],[id]:[url]])&amp;"}"</f>
        <v>,{"id":"n_tan_list_otp","label":"TAN List OTP","url":""}</v>
      </c>
      <c r="J415" s="3"/>
    </row>
    <row r="416" spans="1:10" ht="13.25" customHeight="1" thickTop="1" thickBot="1" x14ac:dyDescent="0.4">
      <c r="A416" s="17" t="str">
        <f>SUBSTITUTE(SUBSTITUTE("n_"&amp;LOWER(SUBSTITUTE(SUBSTITUTE(SUBSTITUTE(NodesData[[#This Row],[label]]," ","_"),"/","_"),"-","_")),"__","_"),"__","_")</f>
        <v>n_task_based_access_control</v>
      </c>
      <c r="B416" s="18" t="s">
        <v>1208</v>
      </c>
      <c r="C416" s="18" t="s">
        <v>1209</v>
      </c>
      <c r="D416" s="3" t="s">
        <v>1411</v>
      </c>
      <c r="E416" s="3">
        <f t="shared" si="6"/>
        <v>414</v>
      </c>
      <c r="F416" s="3">
        <f>COUNTIF(NodesData[label],NodesData[[#This Row],[label]])</f>
        <v>1</v>
      </c>
      <c r="G416" s="3">
        <f>COUNTIF(ConceptNodes9['[A_ID']],NodesData[[#This Row],[id]])+COUNTIF(ConceptNodes9['[B_ID']],NodesData[[#This Row],[id]])</f>
        <v>0</v>
      </c>
      <c r="H416" s="3">
        <f>IF(NodesData[[#This Row],[Used]]&gt;0,1,0)</f>
        <v>0</v>
      </c>
      <c r="I416" s="19" t="str" cm="1">
        <f t="array" ref="I416">IF(NodesData[[#This Row],[Count]]&gt;1,",","") &amp;"{"&amp;twoRangesToJSON(NodesData[[#Headers],[id]:[url]],NodesData[[#This Row],[id]:[url]])&amp;"}"</f>
        <v>,{"id":"n_task_based_access_control","label":"Task-Based Access Control","url":"https://open-measure.atlassian.net/wiki/spaces/DIC/pages/1122631693"}</v>
      </c>
      <c r="J416" s="3"/>
    </row>
    <row r="417" spans="1:10" ht="13.25" customHeight="1" thickTop="1" thickBot="1" x14ac:dyDescent="0.4">
      <c r="A417" s="17" t="str">
        <f>SUBSTITUTE(SUBSTITUTE("n_"&amp;LOWER(SUBSTITUTE(SUBSTITUTE(SUBSTITUTE(NodesData[[#This Row],[label]]," ","_"),"/","_"),"-","_")),"__","_"),"__","_")</f>
        <v>n_strong_authentication</v>
      </c>
      <c r="B417" s="18" t="s">
        <v>1188</v>
      </c>
      <c r="C417" s="18" t="s">
        <v>1189</v>
      </c>
      <c r="D417" s="3" t="s">
        <v>1411</v>
      </c>
      <c r="E417" s="3">
        <f t="shared" si="6"/>
        <v>415</v>
      </c>
      <c r="F417" s="3">
        <f>COUNTIF(NodesData[label],NodesData[[#This Row],[label]])</f>
        <v>1</v>
      </c>
      <c r="G417" s="3">
        <f>COUNTIF(ConceptNodes9['[A_ID']],NodesData[[#This Row],[id]])+COUNTIF(ConceptNodes9['[B_ID']],NodesData[[#This Row],[id]])</f>
        <v>0</v>
      </c>
      <c r="H417" s="3">
        <f>IF(NodesData[[#This Row],[Used]]&gt;0,1,0)</f>
        <v>0</v>
      </c>
      <c r="I417" s="19" t="str" cm="1">
        <f t="array" ref="I417">IF(NodesData[[#This Row],[Count]]&gt;1,",","") &amp;"{"&amp;twoRangesToJSON(NodesData[[#Headers],[id]:[url]],NodesData[[#This Row],[id]:[url]])&amp;"}"</f>
        <v>,{"id":"n_strong_authentication","label":"Strong Authentication","url":"https://open-measure.atlassian.net/wiki/spaces/DIC/pages/81199126"}</v>
      </c>
      <c r="J417" s="3"/>
    </row>
    <row r="418" spans="1:10" ht="13.25" customHeight="1" thickTop="1" thickBot="1" x14ac:dyDescent="0.4">
      <c r="A418" s="6" t="str">
        <f>SUBSTITUTE(SUBSTITUTE("n_"&amp;LOWER(SUBSTITUTE(SUBSTITUTE(SUBSTITUTE(NodesData[[#This Row],[label]]," ","_"),"/","_"),"-","_")),"__","_"),"__","_")</f>
        <v>n_time_factor</v>
      </c>
      <c r="B418" s="10" t="s">
        <v>1341</v>
      </c>
      <c r="C418" s="10"/>
      <c r="D418" s="3" t="s">
        <v>1411</v>
      </c>
      <c r="E418" s="3">
        <f t="shared" si="6"/>
        <v>416</v>
      </c>
      <c r="F418" s="3">
        <f>COUNTIF(NodesData[label],NodesData[[#This Row],[label]])</f>
        <v>1</v>
      </c>
      <c r="G418" s="3">
        <f>COUNTIF(ConceptNodes9['[A_ID']],NodesData[[#This Row],[id]])+COUNTIF(ConceptNodes9['[B_ID']],NodesData[[#This Row],[id]])</f>
        <v>1</v>
      </c>
      <c r="H418" s="3">
        <f>IF(NodesData[[#This Row],[Used]]&gt;0,1,0)</f>
        <v>1</v>
      </c>
      <c r="I418" s="19" t="str" cm="1">
        <f t="array" ref="I418">IF(NodesData[[#This Row],[Count]]&gt;1,",","") &amp;"{"&amp;twoRangesToJSON(NodesData[[#Headers],[id]:[url]],NodesData[[#This Row],[id]:[url]])&amp;"}"</f>
        <v>,{"id":"n_time_factor","label":"Time Factor","url":""}</v>
      </c>
      <c r="J418" s="3"/>
    </row>
    <row r="419" spans="1:10" ht="13.25" customHeight="1" thickTop="1" thickBot="1" x14ac:dyDescent="0.4">
      <c r="A419" s="24" t="str">
        <f>SUBSTITUTE(SUBSTITUTE("n_"&amp;LOWER(SUBSTITUTE(SUBSTITUTE(SUBSTITUTE(NodesData[[#This Row],[label]]," ","_"),"/","_"),"-","_")),"__","_"),"__","_")</f>
        <v>n_text_password_authentication</v>
      </c>
      <c r="B419" s="23" t="s">
        <v>1376</v>
      </c>
      <c r="C419" s="23"/>
      <c r="D419" s="3" t="s">
        <v>1411</v>
      </c>
      <c r="E419" s="3">
        <f t="shared" si="6"/>
        <v>417</v>
      </c>
      <c r="F419" s="3">
        <f>COUNTIF(NodesData[label],NodesData[[#This Row],[label]])</f>
        <v>1</v>
      </c>
      <c r="G419" s="3">
        <f>COUNTIF(ConceptNodes9['[A_ID']],NodesData[[#This Row],[id]])+COUNTIF(ConceptNodes9['[B_ID']],NodesData[[#This Row],[id]])</f>
        <v>0</v>
      </c>
      <c r="H419" s="3">
        <f>IF(NodesData[[#This Row],[Used]]&gt;0,1,0)</f>
        <v>0</v>
      </c>
      <c r="I419" s="19" t="str" cm="1">
        <f t="array" ref="I419">IF(NodesData[[#This Row],[Count]]&gt;1,",","") &amp;"{"&amp;twoRangesToJSON(NodesData[[#Headers],[id]:[url]],NodesData[[#This Row],[id]:[url]])&amp;"}"</f>
        <v>,{"id":"n_text_password_authentication","label":"Text Password Authentication","url":""}</v>
      </c>
      <c r="J419" s="3"/>
    </row>
    <row r="420" spans="1:10" ht="13.25" customHeight="1" thickTop="1" thickBot="1" x14ac:dyDescent="0.4">
      <c r="A420" s="24" t="str">
        <f>SUBSTITUTE(SUBSTITUTE("n_"&amp;LOWER(SUBSTITUTE(SUBSTITUTE(SUBSTITUTE(NodesData[[#This Row],[label]]," ","_"),"/","_"),"-","_")),"__","_"),"__","_")</f>
        <v>n_token_based_authentication</v>
      </c>
      <c r="B420" s="23" t="s">
        <v>1380</v>
      </c>
      <c r="C420" s="23"/>
      <c r="D420" s="3" t="s">
        <v>1411</v>
      </c>
      <c r="E420" s="3">
        <f t="shared" si="6"/>
        <v>418</v>
      </c>
      <c r="F420" s="3">
        <f>COUNTIF(NodesData[label],NodesData[[#This Row],[label]])</f>
        <v>1</v>
      </c>
      <c r="G420" s="3">
        <f>COUNTIF(ConceptNodes9['[A_ID']],NodesData[[#This Row],[id]])+COUNTIF(ConceptNodes9['[B_ID']],NodesData[[#This Row],[id]])</f>
        <v>0</v>
      </c>
      <c r="H420" s="3">
        <f>IF(NodesData[[#This Row],[Used]]&gt;0,1,0)</f>
        <v>0</v>
      </c>
      <c r="I420" s="19" t="str" cm="1">
        <f t="array" ref="I420">IF(NodesData[[#This Row],[Count]]&gt;1,",","") &amp;"{"&amp;twoRangesToJSON(NodesData[[#Headers],[id]:[url]],NodesData[[#This Row],[id]:[url]])&amp;"}"</f>
        <v>,{"id":"n_token_based_authentication","label":"Token-Based Authentication","url":""}</v>
      </c>
      <c r="J420" s="3"/>
    </row>
    <row r="421" spans="1:10" ht="13.25" customHeight="1" thickTop="1" thickBot="1" x14ac:dyDescent="0.4">
      <c r="A421" s="17" t="str">
        <f>SUBSTITUTE(SUBSTITUTE("n_"&amp;LOWER(SUBSTITUTE(SUBSTITUTE(SUBSTITUTE(NodesData[[#This Row],[label]]," ","_"),"/","_"),"-","_")),"__","_"),"__","_")</f>
        <v>n_toxic_combinations</v>
      </c>
      <c r="B421" s="18" t="s">
        <v>1211</v>
      </c>
      <c r="C421" s="18" t="s">
        <v>1212</v>
      </c>
      <c r="D421" s="3" t="s">
        <v>1411</v>
      </c>
      <c r="E421" s="3">
        <f t="shared" si="6"/>
        <v>419</v>
      </c>
      <c r="F421" s="3">
        <f>COUNTIF(NodesData[label],NodesData[[#This Row],[label]])</f>
        <v>1</v>
      </c>
      <c r="G421" s="3">
        <f>COUNTIF(ConceptNodes9['[A_ID']],NodesData[[#This Row],[id]])+COUNTIF(ConceptNodes9['[B_ID']],NodesData[[#This Row],[id]])</f>
        <v>0</v>
      </c>
      <c r="H421" s="3">
        <f>IF(NodesData[[#This Row],[Used]]&gt;0,1,0)</f>
        <v>0</v>
      </c>
      <c r="I421" s="19" t="str" cm="1">
        <f t="array" ref="I421">IF(NodesData[[#This Row],[Count]]&gt;1,",","") &amp;"{"&amp;twoRangesToJSON(NodesData[[#Headers],[id]:[url]],NodesData[[#This Row],[id]:[url]])&amp;"}"</f>
        <v>,{"id":"n_toxic_combinations","label":"Toxic Combinations","url":"https://open-measure.atlassian.net/wiki/spaces/DIC/pages/1130954862"}</v>
      </c>
      <c r="J421" s="3"/>
    </row>
    <row r="422" spans="1:10" ht="13.25" customHeight="1" thickTop="1" thickBot="1" x14ac:dyDescent="0.4">
      <c r="A422" s="17" t="str">
        <f>SUBSTITUTE(SUBSTITUTE("n_"&amp;LOWER(SUBSTITUTE(SUBSTITUTE(SUBSTITUTE(NodesData[[#This Row],[label]]," ","_"),"/","_"),"-","_")),"__","_"),"__","_")</f>
        <v>n_toxic_right_rule_(definition)</v>
      </c>
      <c r="B422" s="18" t="s">
        <v>497</v>
      </c>
      <c r="C422" s="18" t="s">
        <v>1213</v>
      </c>
      <c r="D422" s="3" t="s">
        <v>1411</v>
      </c>
      <c r="E422" s="3">
        <f t="shared" si="6"/>
        <v>420</v>
      </c>
      <c r="F422" s="3">
        <f>COUNTIF(NodesData[label],NodesData[[#This Row],[label]])</f>
        <v>1</v>
      </c>
      <c r="G422" s="3">
        <f>COUNTIF(ConceptNodes9['[A_ID']],NodesData[[#This Row],[id]])+COUNTIF(ConceptNodes9['[B_ID']],NodesData[[#This Row],[id]])</f>
        <v>0</v>
      </c>
      <c r="H422" s="3">
        <f>IF(NodesData[[#This Row],[Used]]&gt;0,1,0)</f>
        <v>0</v>
      </c>
      <c r="I422" s="19" t="str" cm="1">
        <f t="array" ref="I422">IF(NodesData[[#This Row],[Count]]&gt;1,",","") &amp;"{"&amp;twoRangesToJSON(NodesData[[#Headers],[id]:[url]],NodesData[[#This Row],[id]:[url]])&amp;"}"</f>
        <v>,{"id":"n_toxic_right_rule_(definition)","label":"Toxic Right Rule (Definition)","url":"https://open-measure.atlassian.net/wiki/spaces/DIC/pages/360467"}</v>
      </c>
      <c r="J422" s="3"/>
    </row>
    <row r="423" spans="1:10" ht="13.25" customHeight="1" thickTop="1" thickBot="1" x14ac:dyDescent="0.4">
      <c r="A423" s="17" t="str">
        <f>SUBSTITUTE(SUBSTITUTE("n_"&amp;LOWER(SUBSTITUTE(SUBSTITUTE(SUBSTITUTE(NodesData[[#This Row],[label]]," ","_"),"/","_"),"-","_")),"__","_"),"__","_")</f>
        <v>n_tranquil</v>
      </c>
      <c r="B423" s="18" t="s">
        <v>498</v>
      </c>
      <c r="C423" s="18" t="s">
        <v>1214</v>
      </c>
      <c r="D423" s="3" t="s">
        <v>1411</v>
      </c>
      <c r="E423" s="3">
        <f t="shared" si="6"/>
        <v>421</v>
      </c>
      <c r="F423" s="3">
        <f>COUNTIF(NodesData[label],NodesData[[#This Row],[label]])</f>
        <v>1</v>
      </c>
      <c r="G423" s="3">
        <f>COUNTIF(ConceptNodes9['[A_ID']],NodesData[[#This Row],[id]])+COUNTIF(ConceptNodes9['[B_ID']],NodesData[[#This Row],[id]])</f>
        <v>0</v>
      </c>
      <c r="H423" s="3">
        <f>IF(NodesData[[#This Row],[Used]]&gt;0,1,0)</f>
        <v>0</v>
      </c>
      <c r="I423" s="19" t="str" cm="1">
        <f t="array" ref="I423">IF(NodesData[[#This Row],[Count]]&gt;1,",","") &amp;"{"&amp;twoRangesToJSON(NodesData[[#Headers],[id]:[url]],NodesData[[#This Row],[id]:[url]])&amp;"}"</f>
        <v>,{"id":"n_tranquil","label":"Tranquil","url":"https://open-measure.atlassian.net/wiki/spaces/DIC/pages/1237582070/Tranquil"}</v>
      </c>
      <c r="J423" s="3"/>
    </row>
    <row r="424" spans="1:10" ht="13.25" customHeight="1" thickTop="1" thickBot="1" x14ac:dyDescent="0.4">
      <c r="A424" s="17" t="str">
        <f>SUBSTITUTE(SUBSTITUTE("n_"&amp;LOWER(SUBSTITUTE(SUBSTITUTE(SUBSTITUTE(NodesData[[#This Row],[label]]," ","_"),"/","_"),"-","_")),"__","_"),"__","_")</f>
        <v>n_tranquility_principle</v>
      </c>
      <c r="B424" s="18" t="s">
        <v>1215</v>
      </c>
      <c r="C424" s="18" t="s">
        <v>1216</v>
      </c>
      <c r="D424" s="3" t="s">
        <v>1411</v>
      </c>
      <c r="E424" s="3">
        <f t="shared" si="6"/>
        <v>422</v>
      </c>
      <c r="F424" s="3">
        <f>COUNTIF(NodesData[label],NodesData[[#This Row],[label]])</f>
        <v>1</v>
      </c>
      <c r="G424" s="3">
        <f>COUNTIF(ConceptNodes9['[A_ID']],NodesData[[#This Row],[id]])+COUNTIF(ConceptNodes9['[B_ID']],NodesData[[#This Row],[id]])</f>
        <v>0</v>
      </c>
      <c r="H424" s="3">
        <f>IF(NodesData[[#This Row],[Used]]&gt;0,1,0)</f>
        <v>0</v>
      </c>
      <c r="I424" s="19" t="str" cm="1">
        <f t="array" ref="I424">IF(NodesData[[#This Row],[Count]]&gt;1,",","") &amp;"{"&amp;twoRangesToJSON(NodesData[[#Headers],[id]:[url]],NodesData[[#This Row],[id]:[url]])&amp;"}"</f>
        <v>,{"id":"n_tranquility_principle","label":"Tranquility Principle","url":"https://open-measure.atlassian.net/wiki/spaces/DIC/pages/1237483759"}</v>
      </c>
      <c r="J424" s="3"/>
    </row>
    <row r="425" spans="1:10" ht="13.25" customHeight="1" thickTop="1" thickBot="1" x14ac:dyDescent="0.4">
      <c r="A425" s="17" t="str">
        <f>SUBSTITUTE(SUBSTITUTE("n_"&amp;LOWER(SUBSTITUTE(SUBSTITUTE(SUBSTITUTE(NodesData[[#This Row],[label]]," ","_"),"/","_"),"-","_")),"__","_"),"__","_")</f>
        <v>n_tranquility_property</v>
      </c>
      <c r="B425" s="18" t="s">
        <v>1217</v>
      </c>
      <c r="C425" s="18" t="s">
        <v>1218</v>
      </c>
      <c r="D425" s="3" t="s">
        <v>1411</v>
      </c>
      <c r="E425" s="3">
        <f t="shared" si="6"/>
        <v>423</v>
      </c>
      <c r="F425" s="3">
        <f>COUNTIF(NodesData[label],NodesData[[#This Row],[label]])</f>
        <v>1</v>
      </c>
      <c r="G425" s="3">
        <f>COUNTIF(ConceptNodes9['[A_ID']],NodesData[[#This Row],[id]])+COUNTIF(ConceptNodes9['[B_ID']],NodesData[[#This Row],[id]])</f>
        <v>0</v>
      </c>
      <c r="H425" s="3">
        <f>IF(NodesData[[#This Row],[Used]]&gt;0,1,0)</f>
        <v>0</v>
      </c>
      <c r="I425" s="19" t="str" cm="1">
        <f t="array" ref="I425">IF(NodesData[[#This Row],[Count]]&gt;1,",","") &amp;"{"&amp;twoRangesToJSON(NodesData[[#Headers],[id]:[url]],NodesData[[#This Row],[id]:[url]])&amp;"}"</f>
        <v>,{"id":"n_tranquility_property","label":"Tranquility Property","url":"https://open-measure.atlassian.net/wiki/spaces/DIC/pages/1181876587"}</v>
      </c>
      <c r="J425" s="3"/>
    </row>
    <row r="426" spans="1:10" ht="13.25" customHeight="1" thickTop="1" thickBot="1" x14ac:dyDescent="0.4">
      <c r="A426" s="17" t="str">
        <f>SUBSTITUTE(SUBSTITUTE("n_"&amp;LOWER(SUBSTITUTE(SUBSTITUTE(SUBSTITUTE(NodesData[[#This Row],[label]]," ","_"),"/","_"),"-","_")),"__","_"),"__","_")</f>
        <v>n_trust</v>
      </c>
      <c r="B426" s="18" t="s">
        <v>501</v>
      </c>
      <c r="C426" s="18" t="s">
        <v>1219</v>
      </c>
      <c r="D426" s="3" t="s">
        <v>1411</v>
      </c>
      <c r="E426" s="3">
        <f t="shared" si="6"/>
        <v>424</v>
      </c>
      <c r="F426" s="3">
        <f>COUNTIF(NodesData[label],NodesData[[#This Row],[label]])</f>
        <v>1</v>
      </c>
      <c r="G426" s="3">
        <f>COUNTIF(ConceptNodes9['[A_ID']],NodesData[[#This Row],[id]])+COUNTIF(ConceptNodes9['[B_ID']],NodesData[[#This Row],[id]])</f>
        <v>0</v>
      </c>
      <c r="H426" s="3">
        <f>IF(NodesData[[#This Row],[Used]]&gt;0,1,0)</f>
        <v>0</v>
      </c>
      <c r="I426" s="19" t="str" cm="1">
        <f t="array" ref="I426">IF(NodesData[[#This Row],[Count]]&gt;1,",","") &amp;"{"&amp;twoRangesToJSON(NodesData[[#Headers],[id]:[url]],NodesData[[#This Row],[id]:[url]])&amp;"}"</f>
        <v>,{"id":"n_trust","label":"Trust","url":"https://open-measure.atlassian.net/wiki/spaces/DIC/pages/1037926452/Trust"}</v>
      </c>
      <c r="J426" s="3"/>
    </row>
    <row r="427" spans="1:10" ht="13.25" customHeight="1" thickTop="1" thickBot="1" x14ac:dyDescent="0.4">
      <c r="A427" s="17" t="str">
        <f>SUBSTITUTE(SUBSTITUTE("n_"&amp;LOWER(SUBSTITUTE(SUBSTITUTE(SUBSTITUTE(NodesData[[#This Row],[label]]," ","_"),"/","_"),"-","_")),"__","_"),"__","_")</f>
        <v>n_trust_asymmetry</v>
      </c>
      <c r="B427" s="18" t="s">
        <v>1220</v>
      </c>
      <c r="C427" s="18" t="s">
        <v>1221</v>
      </c>
      <c r="D427" s="3" t="s">
        <v>1411</v>
      </c>
      <c r="E427" s="3">
        <f t="shared" si="6"/>
        <v>425</v>
      </c>
      <c r="F427" s="3">
        <f>COUNTIF(NodesData[label],NodesData[[#This Row],[label]])</f>
        <v>1</v>
      </c>
      <c r="G427" s="3">
        <f>COUNTIF(ConceptNodes9['[A_ID']],NodesData[[#This Row],[id]])+COUNTIF(ConceptNodes9['[B_ID']],NodesData[[#This Row],[id]])</f>
        <v>0</v>
      </c>
      <c r="H427" s="3">
        <f>IF(NodesData[[#This Row],[Used]]&gt;0,1,0)</f>
        <v>0</v>
      </c>
      <c r="I427" s="19" t="str" cm="1">
        <f t="array" ref="I427">IF(NodesData[[#This Row],[Count]]&gt;1,",","") &amp;"{"&amp;twoRangesToJSON(NodesData[[#Headers],[id]:[url]],NodesData[[#This Row],[id]:[url]])&amp;"}"</f>
        <v>,{"id":"n_trust_asymmetry","label":"Trust Asymmetry","url":"https://open-measure.atlassian.net/wiki/spaces/DIC/pages/1027048185"}</v>
      </c>
      <c r="J427" s="3"/>
    </row>
    <row r="428" spans="1:10" ht="13.25" customHeight="1" thickTop="1" thickBot="1" x14ac:dyDescent="0.4">
      <c r="A428" s="17" t="str">
        <f>SUBSTITUTE(SUBSTITUTE("n_"&amp;LOWER(SUBSTITUTE(SUBSTITUTE(SUBSTITUTE(NodesData[[#This Row],[label]]," ","_"),"/","_"),"-","_")),"__","_"),"__","_")</f>
        <v>n_trust_composability</v>
      </c>
      <c r="B428" s="18" t="s">
        <v>1222</v>
      </c>
      <c r="C428" s="18" t="s">
        <v>1223</v>
      </c>
      <c r="D428" s="3" t="s">
        <v>1411</v>
      </c>
      <c r="E428" s="3">
        <f t="shared" si="6"/>
        <v>426</v>
      </c>
      <c r="F428" s="3">
        <f>COUNTIF(NodesData[label],NodesData[[#This Row],[label]])</f>
        <v>1</v>
      </c>
      <c r="G428" s="3">
        <f>COUNTIF(ConceptNodes9['[A_ID']],NodesData[[#This Row],[id]])+COUNTIF(ConceptNodes9['[B_ID']],NodesData[[#This Row],[id]])</f>
        <v>0</v>
      </c>
      <c r="H428" s="3">
        <f>IF(NodesData[[#This Row],[Used]]&gt;0,1,0)</f>
        <v>0</v>
      </c>
      <c r="I428" s="19" t="str" cm="1">
        <f t="array" ref="I428">IF(NodesData[[#This Row],[Count]]&gt;1,",","") &amp;"{"&amp;twoRangesToJSON(NodesData[[#Headers],[id]:[url]],NodesData[[#This Row],[id]:[url]])&amp;"}"</f>
        <v>,{"id":"n_trust_composability","label":"Trust Composability","url":"https://open-measure.atlassian.net/wiki/spaces/DIC/pages/1027048128"}</v>
      </c>
      <c r="J428" s="3"/>
    </row>
    <row r="429" spans="1:10" ht="13.25" customHeight="1" thickTop="1" thickBot="1" x14ac:dyDescent="0.4">
      <c r="A429" s="17" t="str">
        <f>SUBSTITUTE(SUBSTITUTE("n_"&amp;LOWER(SUBSTITUTE(SUBSTITUTE(SUBSTITUTE(NodesData[[#This Row],[label]]," ","_"),"/","_"),"-","_")),"__","_"),"__","_")</f>
        <v>n_trust_personalization</v>
      </c>
      <c r="B429" s="18" t="s">
        <v>1224</v>
      </c>
      <c r="C429" s="18" t="s">
        <v>1225</v>
      </c>
      <c r="D429" s="3" t="s">
        <v>1411</v>
      </c>
      <c r="E429" s="3">
        <f t="shared" si="6"/>
        <v>427</v>
      </c>
      <c r="F429" s="3">
        <f>COUNTIF(NodesData[label],NodesData[[#This Row],[label]])</f>
        <v>1</v>
      </c>
      <c r="G429" s="3">
        <f>COUNTIF(ConceptNodes9['[A_ID']],NodesData[[#This Row],[id]])+COUNTIF(ConceptNodes9['[B_ID']],NodesData[[#This Row],[id]])</f>
        <v>0</v>
      </c>
      <c r="H429" s="3">
        <f>IF(NodesData[[#This Row],[Used]]&gt;0,1,0)</f>
        <v>0</v>
      </c>
      <c r="I429" s="19" t="str" cm="1">
        <f t="array" ref="I429">IF(NodesData[[#This Row],[Count]]&gt;1,",","") &amp;"{"&amp;twoRangesToJSON(NodesData[[#Headers],[id]:[url]],NodesData[[#This Row],[id]:[url]])&amp;"}"</f>
        <v>,{"id":"n_trust_personalization","label":"Trust Personalization","url":"https://open-measure.atlassian.net/wiki/spaces/DIC/pages/1027048209"}</v>
      </c>
      <c r="J429" s="3"/>
    </row>
    <row r="430" spans="1:10" ht="13.25" customHeight="1" thickTop="1" thickBot="1" x14ac:dyDescent="0.4">
      <c r="A430" s="17" t="str">
        <f>SUBSTITUTE(SUBSTITUTE("n_"&amp;LOWER(SUBSTITUTE(SUBSTITUTE(SUBSTITUTE(NodesData[[#This Row],[label]]," ","_"),"/","_"),"-","_")),"__","_"),"__","_")</f>
        <v>n_trust_transitivity</v>
      </c>
      <c r="B430" s="18" t="s">
        <v>1226</v>
      </c>
      <c r="C430" s="18" t="s">
        <v>1227</v>
      </c>
      <c r="D430" s="3" t="s">
        <v>1411</v>
      </c>
      <c r="E430" s="3">
        <f t="shared" si="6"/>
        <v>428</v>
      </c>
      <c r="F430" s="3">
        <f>COUNTIF(NodesData[label],NodesData[[#This Row],[label]])</f>
        <v>1</v>
      </c>
      <c r="G430" s="3">
        <f>COUNTIF(ConceptNodes9['[A_ID']],NodesData[[#This Row],[id]])+COUNTIF(ConceptNodes9['[B_ID']],NodesData[[#This Row],[id]])</f>
        <v>0</v>
      </c>
      <c r="H430" s="3">
        <f>IF(NodesData[[#This Row],[Used]]&gt;0,1,0)</f>
        <v>0</v>
      </c>
      <c r="I430" s="19" t="str" cm="1">
        <f t="array" ref="I430">IF(NodesData[[#This Row],[Count]]&gt;1,",","") &amp;"{"&amp;twoRangesToJSON(NodesData[[#Headers],[id]:[url]],NodesData[[#This Row],[id]:[url]])&amp;"}"</f>
        <v>,{"id":"n_trust_transitivity","label":"Trust Transitivity","url":"https://open-measure.atlassian.net/wiki/spaces/DIC/pages/1031242345"}</v>
      </c>
      <c r="J430" s="3"/>
    </row>
    <row r="431" spans="1:10" ht="13.25" customHeight="1" thickTop="1" thickBot="1" x14ac:dyDescent="0.4">
      <c r="A431" s="17" t="str">
        <f>SUBSTITUTE(SUBSTITUTE("n_"&amp;LOWER(SUBSTITUTE(SUBSTITUTE(SUBSTITUTE(NodesData[[#This Row],[label]]," ","_"),"/","_"),"-","_")),"__","_"),"__","_")</f>
        <v>n_typing_biometrics</v>
      </c>
      <c r="B431" s="18" t="s">
        <v>507</v>
      </c>
      <c r="C431" s="18" t="s">
        <v>1228</v>
      </c>
      <c r="D431" s="3" t="s">
        <v>1411</v>
      </c>
      <c r="E431" s="3">
        <f t="shared" si="6"/>
        <v>429</v>
      </c>
      <c r="F431" s="3">
        <f>COUNTIF(NodesData[label],NodesData[[#This Row],[label]])</f>
        <v>1</v>
      </c>
      <c r="G431" s="3">
        <f>COUNTIF(ConceptNodes9['[A_ID']],NodesData[[#This Row],[id]])+COUNTIF(ConceptNodes9['[B_ID']],NodesData[[#This Row],[id]])</f>
        <v>0</v>
      </c>
      <c r="H431" s="3">
        <f>IF(NodesData[[#This Row],[Used]]&gt;0,1,0)</f>
        <v>0</v>
      </c>
      <c r="I431" s="19" t="str" cm="1">
        <f t="array" ref="I431">IF(NodesData[[#This Row],[Count]]&gt;1,",","") &amp;"{"&amp;twoRangesToJSON(NodesData[[#Headers],[id]:[url]],NodesData[[#This Row],[id]:[url]])&amp;"}"</f>
        <v>,{"id":"n_typing_biometrics","label":"Typing Biometrics","url":"https://open-measure.atlassian.net/wiki/spaces/DIC/pages/1417084929/Typing+Biometrics"}</v>
      </c>
      <c r="J431" s="3"/>
    </row>
    <row r="432" spans="1:10" ht="13.25" customHeight="1" thickTop="1" thickBot="1" x14ac:dyDescent="0.4">
      <c r="A432" s="17" t="str">
        <f>SUBSTITUTE(SUBSTITUTE("n_"&amp;LOWER(SUBSTITUTE(SUBSTITUTE(SUBSTITUTE(NodesData[[#This Row],[label]]," ","_"),"/","_"),"-","_")),"__","_"),"__","_")</f>
        <v>n_typology</v>
      </c>
      <c r="B432" s="18" t="s">
        <v>1229</v>
      </c>
      <c r="C432" s="18" t="s">
        <v>1230</v>
      </c>
      <c r="D432" s="3" t="s">
        <v>1411</v>
      </c>
      <c r="E432" s="3">
        <f t="shared" si="6"/>
        <v>430</v>
      </c>
      <c r="F432" s="3">
        <f>COUNTIF(NodesData[label],NodesData[[#This Row],[label]])</f>
        <v>1</v>
      </c>
      <c r="G432" s="3">
        <f>COUNTIF(ConceptNodes9['[A_ID']],NodesData[[#This Row],[id]])+COUNTIF(ConceptNodes9['[B_ID']],NodesData[[#This Row],[id]])</f>
        <v>0</v>
      </c>
      <c r="H432" s="3">
        <f>IF(NodesData[[#This Row],[Used]]&gt;0,1,0)</f>
        <v>0</v>
      </c>
      <c r="I432" s="19" t="str" cm="1">
        <f t="array" ref="I432">IF(NodesData[[#This Row],[Count]]&gt;1,",","") &amp;"{"&amp;twoRangesToJSON(NodesData[[#Headers],[id]:[url]],NodesData[[#This Row],[id]:[url]])&amp;"}"</f>
        <v>,{"id":"n_typology","label":"Typology","url":"https://open-measure.atlassian.net/wiki/spaces/DIC/pages/140673267"}</v>
      </c>
      <c r="J432" s="3"/>
    </row>
    <row r="433" spans="1:10" ht="13.25" customHeight="1" thickTop="1" thickBot="1" x14ac:dyDescent="0.4">
      <c r="A433" s="17" t="str">
        <f>SUBSTITUTE(SUBSTITUTE("n_"&amp;LOWER(SUBSTITUTE(SUBSTITUTE(SUBSTITUTE(NodesData[[#This Row],[label]]," ","_"),"/","_"),"-","_")),"__","_"),"__","_")</f>
        <v>n_unanticipated_user</v>
      </c>
      <c r="B433" s="18" t="s">
        <v>509</v>
      </c>
      <c r="C433" s="18" t="s">
        <v>1231</v>
      </c>
      <c r="D433" s="3" t="s">
        <v>1411</v>
      </c>
      <c r="E433" s="3">
        <f t="shared" si="6"/>
        <v>431</v>
      </c>
      <c r="F433" s="3">
        <f>COUNTIF(NodesData[label],NodesData[[#This Row],[label]])</f>
        <v>1</v>
      </c>
      <c r="G433" s="3">
        <f>COUNTIF(ConceptNodes9['[A_ID']],NodesData[[#This Row],[id]])+COUNTIF(ConceptNodes9['[B_ID']],NodesData[[#This Row],[id]])</f>
        <v>0</v>
      </c>
      <c r="H433" s="3">
        <f>IF(NodesData[[#This Row],[Used]]&gt;0,1,0)</f>
        <v>0</v>
      </c>
      <c r="I433" s="19" t="str" cm="1">
        <f t="array" ref="I433">IF(NodesData[[#This Row],[Count]]&gt;1,",","") &amp;"{"&amp;twoRangesToJSON(NodesData[[#Headers],[id]:[url]],NodesData[[#This Row],[id]:[url]])&amp;"}"</f>
        <v>,{"id":"n_unanticipated_user","label":"Unanticipated User","url":"https://open-measure.atlassian.net/wiki/spaces/DIC/pages/1027080193/Unanticipated+User"}</v>
      </c>
      <c r="J433" s="3"/>
    </row>
    <row r="434" spans="1:10" ht="13.25" customHeight="1" thickTop="1" thickBot="1" x14ac:dyDescent="0.4">
      <c r="A434" s="7" t="str">
        <f>SUBSTITUTE(SUBSTITUTE("n_"&amp;LOWER(SUBSTITUTE(SUBSTITUTE(SUBSTITUTE(NodesData[[#This Row],[label]]," ","_"),"/","_"),"-","_")),"__","_"),"__","_")</f>
        <v>n_touchstroke_recognition_authentication</v>
      </c>
      <c r="B434" s="12" t="s">
        <v>1359</v>
      </c>
      <c r="C434" s="12"/>
      <c r="D434" s="3" t="s">
        <v>1411</v>
      </c>
      <c r="E434" s="3">
        <f t="shared" si="6"/>
        <v>432</v>
      </c>
      <c r="F434" s="3">
        <f>COUNTIF(NodesData[label],NodesData[[#This Row],[label]])</f>
        <v>1</v>
      </c>
      <c r="G434" s="3">
        <f>COUNTIF(ConceptNodes9['[A_ID']],NodesData[[#This Row],[id]])+COUNTIF(ConceptNodes9['[B_ID']],NodesData[[#This Row],[id]])</f>
        <v>3</v>
      </c>
      <c r="H434" s="3">
        <f>IF(NodesData[[#This Row],[Used]]&gt;0,1,0)</f>
        <v>1</v>
      </c>
      <c r="I434" s="19" t="str" cm="1">
        <f t="array" ref="I434">IF(NodesData[[#This Row],[Count]]&gt;1,",","") &amp;"{"&amp;twoRangesToJSON(NodesData[[#Headers],[id]:[url]],NodesData[[#This Row],[id]:[url]])&amp;"}"</f>
        <v>,{"id":"n_touchstroke_recognition_authentication","label":"Touchstroke Recognition Authentication","url":""}</v>
      </c>
      <c r="J434" s="3"/>
    </row>
    <row r="435" spans="1:10" ht="13.25" customHeight="1" thickTop="1" thickBot="1" x14ac:dyDescent="0.4">
      <c r="A435" s="17" t="str">
        <f>SUBSTITUTE(SUBSTITUTE("n_"&amp;LOWER(SUBSTITUTE(SUBSTITUTE(SUBSTITUTE(NodesData[[#This Row],[label]]," ","_"),"/","_"),"-","_")),"__","_"),"__","_")</f>
        <v>n_unique_id_number</v>
      </c>
      <c r="B435" s="18" t="s">
        <v>511</v>
      </c>
      <c r="C435" s="18" t="s">
        <v>1233</v>
      </c>
      <c r="D435" s="3" t="s">
        <v>1411</v>
      </c>
      <c r="E435" s="3">
        <f t="shared" si="6"/>
        <v>433</v>
      </c>
      <c r="F435" s="3">
        <f>COUNTIF(NodesData[label],NodesData[[#This Row],[label]])</f>
        <v>1</v>
      </c>
      <c r="G435" s="3">
        <f>COUNTIF(ConceptNodes9['[A_ID']],NodesData[[#This Row],[id]])+COUNTIF(ConceptNodes9['[B_ID']],NodesData[[#This Row],[id]])</f>
        <v>0</v>
      </c>
      <c r="H435" s="3">
        <f>IF(NodesData[[#This Row],[Used]]&gt;0,1,0)</f>
        <v>0</v>
      </c>
      <c r="I435" s="19" t="str" cm="1">
        <f t="array" ref="I435">IF(NodesData[[#This Row],[Count]]&gt;1,",","") &amp;"{"&amp;twoRangesToJSON(NodesData[[#Headers],[id]:[url]],NodesData[[#This Row],[id]:[url]])&amp;"}"</f>
        <v>,{"id":"n_unique_id_number","label":"Unique ID Number","url":"https://open-measure.atlassian.net/wiki/spaces/DIC/pages/446955662/Unique+ID+Number"}</v>
      </c>
      <c r="J435" s="3"/>
    </row>
    <row r="436" spans="1:10" ht="13.25" customHeight="1" thickTop="1" thickBot="1" x14ac:dyDescent="0.4">
      <c r="A436" s="17" t="str">
        <f>SUBSTITUTE(SUBSTITUTE("n_"&amp;LOWER(SUBSTITUTE(SUBSTITUTE(SUBSTITUTE(NodesData[[#This Row],[label]]," ","_"),"/","_"),"-","_")),"__","_"),"__","_")</f>
        <v>n_unprivileged_insider</v>
      </c>
      <c r="B436" s="18" t="s">
        <v>513</v>
      </c>
      <c r="C436" s="18" t="s">
        <v>1234</v>
      </c>
      <c r="D436" s="3" t="s">
        <v>1411</v>
      </c>
      <c r="E436" s="3">
        <f t="shared" si="6"/>
        <v>434</v>
      </c>
      <c r="F436" s="3">
        <f>COUNTIF(NodesData[label],NodesData[[#This Row],[label]])</f>
        <v>1</v>
      </c>
      <c r="G436" s="3">
        <f>COUNTIF(ConceptNodes9['[A_ID']],NodesData[[#This Row],[id]])+COUNTIF(ConceptNodes9['[B_ID']],NodesData[[#This Row],[id]])</f>
        <v>0</v>
      </c>
      <c r="H436" s="3">
        <f>IF(NodesData[[#This Row],[Used]]&gt;0,1,0)</f>
        <v>0</v>
      </c>
      <c r="I436" s="19" t="str" cm="1">
        <f t="array" ref="I436">IF(NodesData[[#This Row],[Count]]&gt;1,",","") &amp;"{"&amp;twoRangesToJSON(NodesData[[#Headers],[id]:[url]],NodesData[[#This Row],[id]:[url]])&amp;"}"</f>
        <v>,{"id":"n_unprivileged_insider","label":"Unprivileged Insider","url":"https://open-measure.atlassian.net/wiki/spaces/DIC/pages/1477902414/Unprivileged+Insider"}</v>
      </c>
      <c r="J436" s="3"/>
    </row>
    <row r="437" spans="1:10" ht="13.25" customHeight="1" thickTop="1" thickBot="1" x14ac:dyDescent="0.4">
      <c r="A437" s="17" t="str">
        <f>SUBSTITUTE(SUBSTITUTE("n_"&amp;LOWER(SUBSTITUTE(SUBSTITUTE(SUBSTITUTE(NodesData[[#This Row],[label]]," ","_"),"/","_"),"-","_")),"__","_"),"__","_")</f>
        <v>n_user</v>
      </c>
      <c r="B437" s="18" t="s">
        <v>514</v>
      </c>
      <c r="C437" s="18" t="s">
        <v>1235</v>
      </c>
      <c r="D437" s="3" t="s">
        <v>1411</v>
      </c>
      <c r="E437" s="3">
        <f t="shared" si="6"/>
        <v>435</v>
      </c>
      <c r="F437" s="3">
        <f>COUNTIF(NodesData[label],NodesData[[#This Row],[label]])</f>
        <v>1</v>
      </c>
      <c r="G437" s="3">
        <f>COUNTIF(ConceptNodes9['[A_ID']],NodesData[[#This Row],[id]])+COUNTIF(ConceptNodes9['[B_ID']],NodesData[[#This Row],[id]])</f>
        <v>0</v>
      </c>
      <c r="H437" s="3">
        <f>IF(NodesData[[#This Row],[Used]]&gt;0,1,0)</f>
        <v>0</v>
      </c>
      <c r="I437" s="19" t="str" cm="1">
        <f t="array" ref="I437">IF(NodesData[[#This Row],[Count]]&gt;1,",","") &amp;"{"&amp;twoRangesToJSON(NodesData[[#Headers],[id]:[url]],NodesData[[#This Row],[id]:[url]])&amp;"}"</f>
        <v>,{"id":"n_user","label":"User","url":"https://open-measure.atlassian.net/wiki/spaces/DIC/pages/82839586/User"}</v>
      </c>
      <c r="J437" s="3"/>
    </row>
    <row r="438" spans="1:10" ht="13.25" customHeight="1" thickTop="1" thickBot="1" x14ac:dyDescent="0.4">
      <c r="A438" s="17" t="str">
        <f>SUBSTITUTE(SUBSTITUTE("n_"&amp;LOWER(SUBSTITUTE(SUBSTITUTE(SUBSTITUTE(NodesData[[#This Row],[label]]," ","_"),"/","_"),"-","_")),"__","_"),"__","_")</f>
        <v>n_user_account</v>
      </c>
      <c r="B438" s="18" t="s">
        <v>515</v>
      </c>
      <c r="C438" s="18" t="s">
        <v>1236</v>
      </c>
      <c r="D438" s="3" t="s">
        <v>1411</v>
      </c>
      <c r="E438" s="3">
        <f t="shared" si="6"/>
        <v>436</v>
      </c>
      <c r="F438" s="3">
        <f>COUNTIF(NodesData[label],NodesData[[#This Row],[label]])</f>
        <v>1</v>
      </c>
      <c r="G438" s="3">
        <f>COUNTIF(ConceptNodes9['[A_ID']],NodesData[[#This Row],[id]])+COUNTIF(ConceptNodes9['[B_ID']],NodesData[[#This Row],[id]])</f>
        <v>0</v>
      </c>
      <c r="H438" s="3">
        <f>IF(NodesData[[#This Row],[Used]]&gt;0,1,0)</f>
        <v>0</v>
      </c>
      <c r="I438" s="19" t="str" cm="1">
        <f t="array" ref="I438">IF(NodesData[[#This Row],[Count]]&gt;1,",","") &amp;"{"&amp;twoRangesToJSON(NodesData[[#Headers],[id]:[url]],NodesData[[#This Row],[id]:[url]])&amp;"}"</f>
        <v>,{"id":"n_user_account","label":"User Account","url":"https://open-measure.atlassian.net/wiki/spaces/DIC/pages/1428587273/User+Account"}</v>
      </c>
      <c r="J438" s="3"/>
    </row>
    <row r="439" spans="1:10" ht="13.25" customHeight="1" thickTop="1" thickBot="1" x14ac:dyDescent="0.4">
      <c r="A439" s="17" t="str">
        <f>SUBSTITUTE(SUBSTITUTE("n_"&amp;LOWER(SUBSTITUTE(SUBSTITUTE(SUBSTITUTE(NodesData[[#This Row],[label]]," ","_"),"/","_"),"-","_")),"__","_"),"__","_")</f>
        <v>n_user_centric_identity_management_system</v>
      </c>
      <c r="B439" s="18" t="s">
        <v>516</v>
      </c>
      <c r="C439" s="18" t="s">
        <v>1242</v>
      </c>
      <c r="D439" s="3" t="s">
        <v>1411</v>
      </c>
      <c r="E439" s="3">
        <f t="shared" si="6"/>
        <v>437</v>
      </c>
      <c r="F439" s="3">
        <f>COUNTIF(NodesData[label],NodesData[[#This Row],[label]])</f>
        <v>1</v>
      </c>
      <c r="G439" s="3">
        <f>COUNTIF(ConceptNodes9['[A_ID']],NodesData[[#This Row],[id]])+COUNTIF(ConceptNodes9['[B_ID']],NodesData[[#This Row],[id]])</f>
        <v>0</v>
      </c>
      <c r="H439" s="3">
        <f>IF(NodesData[[#This Row],[Used]]&gt;0,1,0)</f>
        <v>0</v>
      </c>
      <c r="I439" s="19" t="str" cm="1">
        <f t="array" ref="I439">IF(NodesData[[#This Row],[Count]]&gt;1,",","") &amp;"{"&amp;twoRangesToJSON(NodesData[[#Headers],[id]:[url]],NodesData[[#This Row],[id]:[url]])&amp;"}"</f>
        <v>,{"id":"n_user_centric_identity_management_system","label":"User-Centric Identity Management System","url":"https://open-measure.atlassian.net/wiki/spaces/DIC/pages/1323597878/User-Centric+Identity+Management+System"}</v>
      </c>
      <c r="J439" s="3"/>
    </row>
    <row r="440" spans="1:10" ht="13.25" customHeight="1" thickTop="1" thickBot="1" x14ac:dyDescent="0.4">
      <c r="A440" s="17" t="str">
        <f>SUBSTITUTE(SUBSTITUTE("n_"&amp;LOWER(SUBSTITUTE(SUBSTITUTE(SUBSTITUTE(NodesData[[#This Row],[label]]," ","_"),"/","_"),"-","_")),"__","_"),"__","_")</f>
        <v>n_user_de_provisioning</v>
      </c>
      <c r="B440" s="18" t="s">
        <v>517</v>
      </c>
      <c r="C440" s="18" t="s">
        <v>1237</v>
      </c>
      <c r="D440" s="3" t="s">
        <v>1411</v>
      </c>
      <c r="E440" s="3">
        <f t="shared" si="6"/>
        <v>438</v>
      </c>
      <c r="F440" s="3">
        <f>COUNTIF(NodesData[label],NodesData[[#This Row],[label]])</f>
        <v>1</v>
      </c>
      <c r="G440" s="3">
        <f>COUNTIF(ConceptNodes9['[A_ID']],NodesData[[#This Row],[id]])+COUNTIF(ConceptNodes9['[B_ID']],NodesData[[#This Row],[id]])</f>
        <v>0</v>
      </c>
      <c r="H440" s="3">
        <f>IF(NodesData[[#This Row],[Used]]&gt;0,1,0)</f>
        <v>0</v>
      </c>
      <c r="I440" s="19" t="str" cm="1">
        <f t="array" ref="I440">IF(NodesData[[#This Row],[Count]]&gt;1,",","") &amp;"{"&amp;twoRangesToJSON(NodesData[[#Headers],[id]:[url]],NodesData[[#This Row],[id]:[url]])&amp;"}"</f>
        <v>,{"id":"n_user_de_provisioning","label":"User De-Provisioning","url":"https://open-measure.atlassian.net/wiki/spaces/DIC/pages/1146847344/User+De-Provisioning"}</v>
      </c>
      <c r="J440" s="3"/>
    </row>
    <row r="441" spans="1:10" ht="13.25" customHeight="1" thickTop="1" thickBot="1" x14ac:dyDescent="0.4">
      <c r="A441" s="17" t="str">
        <f>SUBSTITUTE(SUBSTITUTE("n_"&amp;LOWER(SUBSTITUTE(SUBSTITUTE(SUBSTITUTE(NodesData[[#This Row],[label]]," ","_"),"/","_"),"-","_")),"__","_"),"__","_")</f>
        <v>n_user_entitlement_reviews</v>
      </c>
      <c r="B441" s="18" t="s">
        <v>1238</v>
      </c>
      <c r="C441" s="18" t="s">
        <v>1239</v>
      </c>
      <c r="D441" s="3" t="s">
        <v>1411</v>
      </c>
      <c r="E441" s="3">
        <f t="shared" si="6"/>
        <v>439</v>
      </c>
      <c r="F441" s="3">
        <f>COUNTIF(NodesData[label],NodesData[[#This Row],[label]])</f>
        <v>1</v>
      </c>
      <c r="G441" s="3">
        <f>COUNTIF(ConceptNodes9['[A_ID']],NodesData[[#This Row],[id]])+COUNTIF(ConceptNodes9['[B_ID']],NodesData[[#This Row],[id]])</f>
        <v>0</v>
      </c>
      <c r="H441" s="3">
        <f>IF(NodesData[[#This Row],[Used]]&gt;0,1,0)</f>
        <v>0</v>
      </c>
      <c r="I441" s="19" t="str" cm="1">
        <f t="array" ref="I441">IF(NodesData[[#This Row],[Count]]&gt;1,",","") &amp;"{"&amp;twoRangesToJSON(NodesData[[#Headers],[id]:[url]],NodesData[[#This Row],[id]:[url]])&amp;"}"</f>
        <v>,{"id":"n_user_entitlement_reviews","label":"User Entitlement Reviews","url":"https://open-measure.atlassian.net/wiki/spaces/DIC/pages/1121878257"}</v>
      </c>
      <c r="J441" s="3"/>
    </row>
    <row r="442" spans="1:10" ht="13.25" customHeight="1" thickTop="1" thickBot="1" x14ac:dyDescent="0.4">
      <c r="A442" s="17" t="str">
        <f>SUBSTITUTE(SUBSTITUTE("n_"&amp;LOWER(SUBSTITUTE(SUBSTITUTE(SUBSTITUTE(NodesData[[#This Row],[label]]," ","_"),"/","_"),"-","_")),"__","_"),"__","_")</f>
        <v>n_user_id</v>
      </c>
      <c r="B442" s="18" t="s">
        <v>519</v>
      </c>
      <c r="C442" s="18" t="s">
        <v>1240</v>
      </c>
      <c r="D442" s="3" t="s">
        <v>1301</v>
      </c>
      <c r="E442" s="3">
        <f t="shared" si="6"/>
        <v>440</v>
      </c>
      <c r="F442" s="3">
        <f>COUNTIF(NodesData[label],NodesData[[#This Row],[label]])</f>
        <v>1</v>
      </c>
      <c r="G442" s="3">
        <f>COUNTIF(ConceptNodes9['[A_ID']],NodesData[[#This Row],[id]])+COUNTIF(ConceptNodes9['[B_ID']],NodesData[[#This Row],[id]])</f>
        <v>0</v>
      </c>
      <c r="H442" s="3">
        <f>IF(NodesData[[#This Row],[Used]]&gt;0,1,0)</f>
        <v>0</v>
      </c>
      <c r="I442" s="19" t="str" cm="1">
        <f t="array" ref="I442">IF(NodesData[[#This Row],[Count]]&gt;1,",","") &amp;"{"&amp;twoRangesToJSON(NodesData[[#Headers],[id]:[url]],NodesData[[#This Row],[id]:[url]])&amp;"}"</f>
        <v>,{"id":"n_user_id","label":"User ID","url":"https://open-measure.atlassian.net/wiki/spaces/DIC/pages/1428652448/User+ID"}</v>
      </c>
      <c r="J442" s="3"/>
    </row>
    <row r="443" spans="1:10" ht="13.25" customHeight="1" thickTop="1" thickBot="1" x14ac:dyDescent="0.4">
      <c r="A443" s="17" t="str">
        <f>SUBSTITUTE(SUBSTITUTE("n_"&amp;LOWER(SUBSTITUTE(SUBSTITUTE(SUBSTITUTE(NodesData[[#This Row],[label]]," ","_"),"/","_"),"-","_")),"__","_"),"__","_")</f>
        <v>n_user_provisioning</v>
      </c>
      <c r="B443" s="18" t="s">
        <v>521</v>
      </c>
      <c r="C443" s="18" t="s">
        <v>1241</v>
      </c>
      <c r="D443" s="3" t="s">
        <v>1411</v>
      </c>
      <c r="E443" s="3">
        <f t="shared" si="6"/>
        <v>441</v>
      </c>
      <c r="F443" s="3">
        <f>COUNTIF(NodesData[label],NodesData[[#This Row],[label]])</f>
        <v>1</v>
      </c>
      <c r="G443" s="3">
        <f>COUNTIF(ConceptNodes9['[A_ID']],NodesData[[#This Row],[id]])+COUNTIF(ConceptNodes9['[B_ID']],NodesData[[#This Row],[id]])</f>
        <v>0</v>
      </c>
      <c r="H443" s="3">
        <f>IF(NodesData[[#This Row],[Used]]&gt;0,1,0)</f>
        <v>0</v>
      </c>
      <c r="I443" s="19" t="str" cm="1">
        <f t="array" ref="I443">IF(NodesData[[#This Row],[Count]]&gt;1,",","") &amp;"{"&amp;twoRangesToJSON(NodesData[[#Headers],[id]:[url]],NodesData[[#This Row],[id]:[url]])&amp;"}"</f>
        <v>,{"id":"n_user_provisioning","label":"User Provisioning","url":"https://open-measure.atlassian.net/wiki/spaces/DIC/pages/1147043973/User+Provisioning"}</v>
      </c>
      <c r="J443" s="3"/>
    </row>
    <row r="444" spans="1:10" ht="13.25" customHeight="1" thickTop="1" thickBot="1" x14ac:dyDescent="0.4">
      <c r="A444" s="17" t="str">
        <f>SUBSTITUTE(SUBSTITUTE("n_"&amp;LOWER(SUBSTITUTE(SUBSTITUTE(SUBSTITUTE(NodesData[[#This Row],[label]]," ","_"),"/","_"),"-","_")),"__","_"),"__","_")</f>
        <v>n_username</v>
      </c>
      <c r="B444" s="18" t="s">
        <v>520</v>
      </c>
      <c r="C444" s="18" t="s">
        <v>1243</v>
      </c>
      <c r="D444" s="3" t="s">
        <v>1411</v>
      </c>
      <c r="E444" s="3">
        <f t="shared" si="6"/>
        <v>442</v>
      </c>
      <c r="F444" s="3">
        <f>COUNTIF(NodesData[label],NodesData[[#This Row],[label]])</f>
        <v>1</v>
      </c>
      <c r="G444" s="3">
        <f>COUNTIF(ConceptNodes9['[A_ID']],NodesData[[#This Row],[id]])+COUNTIF(ConceptNodes9['[B_ID']],NodesData[[#This Row],[id]])</f>
        <v>0</v>
      </c>
      <c r="H444" s="3">
        <f>IF(NodesData[[#This Row],[Used]]&gt;0,1,0)</f>
        <v>0</v>
      </c>
      <c r="I444" s="19" t="str" cm="1">
        <f t="array" ref="I444">IF(NodesData[[#This Row],[Count]]&gt;1,",","") &amp;"{"&amp;twoRangesToJSON(NodesData[[#Headers],[id]:[url]],NodesData[[#This Row],[id]:[url]])&amp;"}"</f>
        <v>,{"id":"n_username","label":"Username","url":"https://open-measure.atlassian.net/wiki/spaces/DIC/pages/1428652183/Username"}</v>
      </c>
      <c r="J444" s="3"/>
    </row>
    <row r="445" spans="1:10" ht="13.25" customHeight="1" thickTop="1" thickBot="1" x14ac:dyDescent="0.4">
      <c r="A445" s="17" t="str">
        <f>SUBSTITUTE(SUBSTITUTE("n_"&amp;LOWER(SUBSTITUTE(SUBSTITUTE(SUBSTITUTE(NodesData[[#This Row],[label]]," ","_"),"/","_"),"-","_")),"__","_"),"__","_")</f>
        <v>n_verifiable_claim</v>
      </c>
      <c r="B445" s="18" t="s">
        <v>522</v>
      </c>
      <c r="C445" s="18" t="s">
        <v>1244</v>
      </c>
      <c r="D445" s="3" t="s">
        <v>1411</v>
      </c>
      <c r="E445" s="3">
        <f t="shared" si="6"/>
        <v>443</v>
      </c>
      <c r="F445" s="3">
        <f>COUNTIF(NodesData[label],NodesData[[#This Row],[label]])</f>
        <v>1</v>
      </c>
      <c r="G445" s="3">
        <f>COUNTIF(ConceptNodes9['[A_ID']],NodesData[[#This Row],[id]])+COUNTIF(ConceptNodes9['[B_ID']],NodesData[[#This Row],[id]])</f>
        <v>0</v>
      </c>
      <c r="H445" s="3">
        <f>IF(NodesData[[#This Row],[Used]]&gt;0,1,0)</f>
        <v>0</v>
      </c>
      <c r="I445" s="19" t="str" cm="1">
        <f t="array" ref="I445">IF(NodesData[[#This Row],[Count]]&gt;1,",","") &amp;"{"&amp;twoRangesToJSON(NodesData[[#Headers],[id]:[url]],NodesData[[#This Row],[id]:[url]])&amp;"}"</f>
        <v>,{"id":"n_verifiable_claim","label":"Verifiable Claim","url":"https://open-measure.atlassian.net/wiki/spaces/DIC/pages/1311146179/Verifiable+Claim"}</v>
      </c>
      <c r="J445" s="3"/>
    </row>
    <row r="446" spans="1:10" ht="13.25" customHeight="1" thickTop="1" thickBot="1" x14ac:dyDescent="0.4">
      <c r="A446" s="17" t="str">
        <f>SUBSTITUTE(SUBSTITUTE("n_"&amp;LOWER(SUBSTITUTE(SUBSTITUTE(SUBSTITUTE(NodesData[[#This Row],[label]]," ","_"),"/","_"),"-","_")),"__","_"),"__","_")</f>
        <v>n_verification</v>
      </c>
      <c r="B446" s="18" t="s">
        <v>523</v>
      </c>
      <c r="C446" s="18" t="s">
        <v>1245</v>
      </c>
      <c r="D446" s="3" t="s">
        <v>1411</v>
      </c>
      <c r="E446" s="3">
        <f t="shared" si="6"/>
        <v>444</v>
      </c>
      <c r="F446" s="3">
        <f>COUNTIF(NodesData[label],NodesData[[#This Row],[label]])</f>
        <v>1</v>
      </c>
      <c r="G446" s="3">
        <f>COUNTIF(ConceptNodes9['[A_ID']],NodesData[[#This Row],[id]])+COUNTIF(ConceptNodes9['[B_ID']],NodesData[[#This Row],[id]])</f>
        <v>0</v>
      </c>
      <c r="H446" s="3">
        <f>IF(NodesData[[#This Row],[Used]]&gt;0,1,0)</f>
        <v>0</v>
      </c>
      <c r="I446" s="19" t="str" cm="1">
        <f t="array" ref="I446">IF(NodesData[[#This Row],[Count]]&gt;1,",","") &amp;"{"&amp;twoRangesToJSON(NodesData[[#Headers],[id]:[url]],NodesData[[#This Row],[id]:[url]])&amp;"}"</f>
        <v>,{"id":"n_verification","label":"Verification","url":"https://open-measure.atlassian.net/wiki/spaces/DIC/pages/446988510/Verification"}</v>
      </c>
      <c r="J446" s="3"/>
    </row>
    <row r="447" spans="1:10" ht="13.25" customHeight="1" thickTop="1" thickBot="1" x14ac:dyDescent="0.4">
      <c r="A447" s="17" t="str">
        <f>SUBSTITUTE(SUBSTITUTE("n_"&amp;LOWER(SUBSTITUTE(SUBSTITUTE(SUBSTITUTE(NodesData[[#This Row],[label]]," ","_"),"/","_"),"-","_")),"__","_"),"__","_")</f>
        <v>n_virtual_directory</v>
      </c>
      <c r="B447" s="18" t="s">
        <v>1246</v>
      </c>
      <c r="C447" s="18" t="s">
        <v>1247</v>
      </c>
      <c r="D447" s="3" t="s">
        <v>1411</v>
      </c>
      <c r="E447" s="3">
        <f t="shared" si="6"/>
        <v>445</v>
      </c>
      <c r="F447" s="3">
        <f>COUNTIF(NodesData[label],NodesData[[#This Row],[label]])</f>
        <v>1</v>
      </c>
      <c r="G447" s="3">
        <f>COUNTIF(ConceptNodes9['[A_ID']],NodesData[[#This Row],[id]])+COUNTIF(ConceptNodes9['[B_ID']],NodesData[[#This Row],[id]])</f>
        <v>0</v>
      </c>
      <c r="H447" s="3">
        <f>IF(NodesData[[#This Row],[Used]]&gt;0,1,0)</f>
        <v>0</v>
      </c>
      <c r="I447" s="19" t="str" cm="1">
        <f t="array" ref="I447">IF(NodesData[[#This Row],[Count]]&gt;1,",","") &amp;"{"&amp;twoRangesToJSON(NodesData[[#Headers],[id]:[url]],NodesData[[#This Row],[id]:[url]])&amp;"}"</f>
        <v>,{"id":"n_virtual_directory","label":"Virtual Directory","url":"https://open-measure.atlassian.net/wiki/spaces/DIC/pages/834044330"}</v>
      </c>
      <c r="J447" s="3"/>
    </row>
    <row r="448" spans="1:10" ht="13.25" customHeight="1" thickTop="1" thickBot="1" x14ac:dyDescent="0.4">
      <c r="A448" s="17" t="str">
        <f>SUBSTITUTE(SUBSTITUTE("n_"&amp;LOWER(SUBSTITUTE(SUBSTITUTE(SUBSTITUTE(NodesData[[#This Row],[label]]," ","_"),"/","_"),"-","_")),"__","_"),"__","_")</f>
        <v>n_virtual_private_network</v>
      </c>
      <c r="B448" s="18" t="s">
        <v>1248</v>
      </c>
      <c r="C448" s="18" t="s">
        <v>1249</v>
      </c>
      <c r="D448" s="3" t="s">
        <v>1411</v>
      </c>
      <c r="E448" s="3">
        <f t="shared" si="6"/>
        <v>446</v>
      </c>
      <c r="F448" s="3">
        <f>COUNTIF(NodesData[label],NodesData[[#This Row],[label]])</f>
        <v>1</v>
      </c>
      <c r="G448" s="3">
        <f>COUNTIF(ConceptNodes9['[A_ID']],NodesData[[#This Row],[id]])+COUNTIF(ConceptNodes9['[B_ID']],NodesData[[#This Row],[id]])</f>
        <v>0</v>
      </c>
      <c r="H448" s="3">
        <f>IF(NodesData[[#This Row],[Used]]&gt;0,1,0)</f>
        <v>0</v>
      </c>
      <c r="I448" s="19" t="str" cm="1">
        <f t="array" ref="I448">IF(NodesData[[#This Row],[Count]]&gt;1,",","") &amp;"{"&amp;twoRangesToJSON(NodesData[[#Headers],[id]:[url]],NodesData[[#This Row],[id]:[url]])&amp;"}"</f>
        <v>,{"id":"n_virtual_private_network","label":"Virtual Private Network","url":"https://open-measure.atlassian.net/wiki/spaces/DIC/pages/236748839"}</v>
      </c>
      <c r="J448" s="3"/>
    </row>
    <row r="449" spans="1:10" ht="13.25" customHeight="1" thickTop="1" thickBot="1" x14ac:dyDescent="0.4">
      <c r="A449" s="17" t="str">
        <f>SUBSTITUTE(SUBSTITUTE("n_"&amp;LOWER(SUBSTITUTE(SUBSTITUTE(SUBSTITUTE(NodesData[[#This Row],[label]]," ","_"),"/","_"),"-","_")),"__","_"),"__","_")</f>
        <v>n_virtual_risk_and_security_site_review</v>
      </c>
      <c r="B449" s="18" t="s">
        <v>1250</v>
      </c>
      <c r="C449" s="18" t="s">
        <v>1251</v>
      </c>
      <c r="D449" s="3" t="s">
        <v>1411</v>
      </c>
      <c r="E449" s="3">
        <f t="shared" si="6"/>
        <v>447</v>
      </c>
      <c r="F449" s="3">
        <f>COUNTIF(NodesData[label],NodesData[[#This Row],[label]])</f>
        <v>1</v>
      </c>
      <c r="G449" s="3">
        <f>COUNTIF(ConceptNodes9['[A_ID']],NodesData[[#This Row],[id]])+COUNTIF(ConceptNodes9['[B_ID']],NodesData[[#This Row],[id]])</f>
        <v>0</v>
      </c>
      <c r="H449" s="3">
        <f>IF(NodesData[[#This Row],[Used]]&gt;0,1,0)</f>
        <v>0</v>
      </c>
      <c r="I449" s="19" t="str" cm="1">
        <f t="array" ref="I449">IF(NodesData[[#This Row],[Count]]&gt;1,",","") &amp;"{"&amp;twoRangesToJSON(NodesData[[#Headers],[id]:[url]],NodesData[[#This Row],[id]:[url]])&amp;"}"</f>
        <v>,{"id":"n_virtual_risk_and_security_site_review","label":"Virtual Risk and Security Site Review","url":"https://open-measure.atlassian.net/wiki/spaces/DIC/pages/542146561"}</v>
      </c>
      <c r="J449" s="3"/>
    </row>
    <row r="450" spans="1:10" ht="13.25" customHeight="1" thickTop="1" thickBot="1" x14ac:dyDescent="0.4">
      <c r="A450" s="24" t="str">
        <f>SUBSTITUTE(SUBSTITUTE("n_"&amp;LOWER(SUBSTITUTE(SUBSTITUTE(SUBSTITUTE(NodesData[[#This Row],[label]]," ","_"),"/","_"),"-","_")),"__","_"),"__","_")</f>
        <v>n_voice_otp</v>
      </c>
      <c r="B450" s="23" t="s">
        <v>1373</v>
      </c>
      <c r="C450" s="23"/>
      <c r="D450" s="3" t="s">
        <v>1411</v>
      </c>
      <c r="E450" s="3">
        <f t="shared" si="6"/>
        <v>448</v>
      </c>
      <c r="F450" s="3">
        <f>COUNTIF(NodesData[label],NodesData[[#This Row],[label]])</f>
        <v>1</v>
      </c>
      <c r="G450" s="3">
        <f>COUNTIF(ConceptNodes9['[A_ID']],NodesData[[#This Row],[id]])+COUNTIF(ConceptNodes9['[B_ID']],NodesData[[#This Row],[id]])</f>
        <v>0</v>
      </c>
      <c r="H450" s="3">
        <f>IF(NodesData[[#This Row],[Used]]&gt;0,1,0)</f>
        <v>0</v>
      </c>
      <c r="I450" s="19" t="str" cm="1">
        <f t="array" ref="I450">IF(NodesData[[#This Row],[Count]]&gt;1,",","") &amp;"{"&amp;twoRangesToJSON(NodesData[[#Headers],[id]:[url]],NodesData[[#This Row],[id]:[url]])&amp;"}"</f>
        <v>,{"id":"n_voice_otp","label":"Voice OTP","url":""}</v>
      </c>
      <c r="J450" s="3"/>
    </row>
    <row r="451" spans="1:10" ht="13.25" customHeight="1" thickTop="1" thickBot="1" x14ac:dyDescent="0.4">
      <c r="A451" s="17" t="str">
        <f>SUBSTITUTE(SUBSTITUTE("n_"&amp;LOWER(SUBSTITUTE(SUBSTITUTE(SUBSTITUTE(NodesData[[#This Row],[label]]," ","_"),"/","_"),"-","_")),"__","_"),"__","_")</f>
        <v>n_unauthorized_access</v>
      </c>
      <c r="B451" s="18" t="s">
        <v>510</v>
      </c>
      <c r="C451" s="18" t="s">
        <v>1232</v>
      </c>
      <c r="D451" s="3" t="s">
        <v>1411</v>
      </c>
      <c r="E451" s="3">
        <f t="shared" si="6"/>
        <v>449</v>
      </c>
      <c r="F451" s="3">
        <f>COUNTIF(NodesData[label],NodesData[[#This Row],[label]])</f>
        <v>1</v>
      </c>
      <c r="G451" s="3">
        <f>COUNTIF(ConceptNodes9['[A_ID']],NodesData[[#This Row],[id]])+COUNTIF(ConceptNodes9['[B_ID']],NodesData[[#This Row],[id]])</f>
        <v>0</v>
      </c>
      <c r="H451" s="3">
        <f>IF(NodesData[[#This Row],[Used]]&gt;0,1,0)</f>
        <v>0</v>
      </c>
      <c r="I451" s="19" t="str" cm="1">
        <f t="array" ref="I451">IF(NodesData[[#This Row],[Count]]&gt;1,",","") &amp;"{"&amp;twoRangesToJSON(NodesData[[#Headers],[id]:[url]],NodesData[[#This Row],[id]:[url]])&amp;"}"</f>
        <v>,{"id":"n_unauthorized_access","label":"Unauthorized Access","url":"https://open-measure.atlassian.net/wiki/spaces/DIC/pages/1231126540/Unauthorized+Access"}</v>
      </c>
      <c r="J451" s="3"/>
    </row>
    <row r="452" spans="1:10" ht="13.25" customHeight="1" thickTop="1" thickBot="1" x14ac:dyDescent="0.4">
      <c r="A452" s="17" t="str">
        <f>SUBSTITUTE(SUBSTITUTE("n_"&amp;LOWER(SUBSTITUTE(SUBSTITUTE(SUBSTITUTE(NodesData[[#This Row],[label]]," ","_"),"/","_"),"-","_")),"__","_"),"__","_")</f>
        <v>n_vpn</v>
      </c>
      <c r="B452" s="18" t="s">
        <v>1252</v>
      </c>
      <c r="C452" s="18" t="s">
        <v>1253</v>
      </c>
      <c r="D452" s="3" t="s">
        <v>1301</v>
      </c>
      <c r="E452" s="3">
        <f t="shared" si="6"/>
        <v>450</v>
      </c>
      <c r="F452" s="3">
        <f>COUNTIF(NodesData[label],NodesData[[#This Row],[label]])</f>
        <v>1</v>
      </c>
      <c r="G452" s="3">
        <f>COUNTIF(ConceptNodes9['[A_ID']],NodesData[[#This Row],[id]])+COUNTIF(ConceptNodes9['[B_ID']],NodesData[[#This Row],[id]])</f>
        <v>0</v>
      </c>
      <c r="H452" s="3">
        <f>IF(NodesData[[#This Row],[Used]]&gt;0,1,0)</f>
        <v>0</v>
      </c>
      <c r="I452" s="19" t="str" cm="1">
        <f t="array" ref="I452">IF(NodesData[[#This Row],[Count]]&gt;1,",","") &amp;"{"&amp;twoRangesToJSON(NodesData[[#Headers],[id]:[url]],NodesData[[#This Row],[id]:[url]])&amp;"}"</f>
        <v>,{"id":"n_vpn","label":"VPN","url":"https://open-measure.atlassian.net/wiki/spaces/DIC/pages/234389605"}</v>
      </c>
      <c r="J452" s="3"/>
    </row>
    <row r="453" spans="1:10" ht="13.25" customHeight="1" thickTop="1" thickBot="1" x14ac:dyDescent="0.4">
      <c r="A453" s="7" t="str">
        <f>SUBSTITUTE(SUBSTITUTE("n_"&amp;LOWER(SUBSTITUTE(SUBSTITUTE(SUBSTITUTE(NodesData[[#This Row],[label]]," ","_"),"/","_"),"-","_")),"__","_"),"__","_")</f>
        <v>n_voice_recognition_authentication</v>
      </c>
      <c r="B453" s="12" t="s">
        <v>1365</v>
      </c>
      <c r="C453" s="12"/>
      <c r="D453" s="3" t="s">
        <v>1411</v>
      </c>
      <c r="E453" s="3">
        <f t="shared" ref="E453:E475" si="7">E452+1</f>
        <v>451</v>
      </c>
      <c r="F453" s="3">
        <f>COUNTIF(NodesData[label],NodesData[[#This Row],[label]])</f>
        <v>1</v>
      </c>
      <c r="G453" s="3">
        <f>COUNTIF(ConceptNodes9['[A_ID']],NodesData[[#This Row],[id]])+COUNTIF(ConceptNodes9['[B_ID']],NodesData[[#This Row],[id]])</f>
        <v>2</v>
      </c>
      <c r="H453" s="3">
        <f>IF(NodesData[[#This Row],[Used]]&gt;0,1,0)</f>
        <v>1</v>
      </c>
      <c r="I453" s="19" t="str" cm="1">
        <f t="array" ref="I453">IF(NodesData[[#This Row],[Count]]&gt;1,",","") &amp;"{"&amp;twoRangesToJSON(NodesData[[#Headers],[id]:[url]],NodesData[[#This Row],[id]:[url]])&amp;"}"</f>
        <v>,{"id":"n_voice_recognition_authentication","label":"Voice Recognition Authentication","url":""}</v>
      </c>
      <c r="J453" s="3"/>
    </row>
    <row r="454" spans="1:10" ht="13.25" customHeight="1" thickTop="1" thickBot="1" x14ac:dyDescent="0.4">
      <c r="A454" s="17" t="str">
        <f>SUBSTITUTE(SUBSTITUTE("n_"&amp;LOWER(SUBSTITUTE(SUBSTITUTE(SUBSTITUTE(NodesData[[#This Row],[label]]," ","_"),"/","_"),"-","_")),"__","_"),"__","_")</f>
        <v>n_weak_tranquility_property</v>
      </c>
      <c r="B454" s="18" t="s">
        <v>1256</v>
      </c>
      <c r="C454" s="18" t="s">
        <v>1257</v>
      </c>
      <c r="D454" s="3" t="s">
        <v>1411</v>
      </c>
      <c r="E454" s="3">
        <f t="shared" si="7"/>
        <v>452</v>
      </c>
      <c r="F454" s="3">
        <f>COUNTIF(NodesData[label],NodesData[[#This Row],[label]])</f>
        <v>1</v>
      </c>
      <c r="G454" s="3">
        <f>COUNTIF(ConceptNodes9['[A_ID']],NodesData[[#This Row],[id]])+COUNTIF(ConceptNodes9['[B_ID']],NodesData[[#This Row],[id]])</f>
        <v>0</v>
      </c>
      <c r="H454" s="3">
        <f>IF(NodesData[[#This Row],[Used]]&gt;0,1,0)</f>
        <v>0</v>
      </c>
      <c r="I454" s="19" t="str" cm="1">
        <f t="array" ref="I454">IF(NodesData[[#This Row],[Count]]&gt;1,",","") &amp;"{"&amp;twoRangesToJSON(NodesData[[#Headers],[id]:[url]],NodesData[[#This Row],[id]:[url]])&amp;"}"</f>
        <v>,{"id":"n_weak_tranquility_property","label":"Weak Tranquility Property","url":"https://open-measure.atlassian.net/wiki/spaces/DIC/pages/1177845999"}</v>
      </c>
      <c r="J454" s="3"/>
    </row>
    <row r="455" spans="1:10" ht="13.25" customHeight="1" thickTop="1" thickBot="1" x14ac:dyDescent="0.4">
      <c r="A455" s="17" t="str">
        <f>SUBSTITUTE(SUBSTITUTE("n_"&amp;LOWER(SUBSTITUTE(SUBSTITUTE(SUBSTITUTE(NodesData[[#This Row],[label]]," ","_"),"/","_"),"-","_")),"__","_"),"__","_")</f>
        <v>n_web_based_single_sign_on</v>
      </c>
      <c r="B455" s="18" t="s">
        <v>1258</v>
      </c>
      <c r="C455" s="18" t="s">
        <v>1259</v>
      </c>
      <c r="D455" s="3" t="s">
        <v>1411</v>
      </c>
      <c r="E455" s="3">
        <f t="shared" si="7"/>
        <v>453</v>
      </c>
      <c r="F455" s="3">
        <f>COUNTIF(NodesData[label],NodesData[[#This Row],[label]])</f>
        <v>1</v>
      </c>
      <c r="G455" s="3">
        <f>COUNTIF(ConceptNodes9['[A_ID']],NodesData[[#This Row],[id]])+COUNTIF(ConceptNodes9['[B_ID']],NodesData[[#This Row],[id]])</f>
        <v>0</v>
      </c>
      <c r="H455" s="3">
        <f>IF(NodesData[[#This Row],[Used]]&gt;0,1,0)</f>
        <v>0</v>
      </c>
      <c r="I455" s="19" t="str" cm="1">
        <f t="array" ref="I455">IF(NodesData[[#This Row],[Count]]&gt;1,",","") &amp;"{"&amp;twoRangesToJSON(NodesData[[#Headers],[id]:[url]],NodesData[[#This Row],[id]:[url]])&amp;"}"</f>
        <v>,{"id":"n_web_based_single_sign_on","label":"Web-based Single Sign-On","url":"https://open-measure.atlassian.net/wiki/spaces/DIC/pages/75923587"}</v>
      </c>
      <c r="J455" s="3"/>
    </row>
    <row r="456" spans="1:10" ht="13.25" customHeight="1" thickTop="1" thickBot="1" x14ac:dyDescent="0.4">
      <c r="A456" s="17" t="str">
        <f>SUBSTITUTE(SUBSTITUTE("n_"&amp;LOWER(SUBSTITUTE(SUBSTITUTE(SUBSTITUTE(NodesData[[#This Row],[label]]," ","_"),"/","_"),"-","_")),"__","_"),"__","_")</f>
        <v>n_windows_(non_default)_local_user_account</v>
      </c>
      <c r="B456" s="18" t="s">
        <v>1260</v>
      </c>
      <c r="C456" s="18" t="s">
        <v>1261</v>
      </c>
      <c r="D456" s="3" t="s">
        <v>1411</v>
      </c>
      <c r="E456" s="3">
        <f t="shared" si="7"/>
        <v>454</v>
      </c>
      <c r="F456" s="3">
        <f>COUNTIF(NodesData[label],NodesData[[#This Row],[label]])</f>
        <v>1</v>
      </c>
      <c r="G456" s="3">
        <f>COUNTIF(ConceptNodes9['[A_ID']],NodesData[[#This Row],[id]])+COUNTIF(ConceptNodes9['[B_ID']],NodesData[[#This Row],[id]])</f>
        <v>0</v>
      </c>
      <c r="H456" s="3">
        <f>IF(NodesData[[#This Row],[Used]]&gt;0,1,0)</f>
        <v>0</v>
      </c>
      <c r="I456" s="19" t="str" cm="1">
        <f t="array" ref="I456">IF(NodesData[[#This Row],[Count]]&gt;1,",","") &amp;"{"&amp;twoRangesToJSON(NodesData[[#Headers],[id]:[url]],NodesData[[#This Row],[id]:[url]])&amp;"}"</f>
        <v>,{"id":"n_windows_(non_default)_local_user_account","label":"Windows (Non-Default) Local User Account","url":"https://open-measure.atlassian.net/wiki/spaces/DIC/pages/140673566"}</v>
      </c>
      <c r="J456" s="3"/>
    </row>
    <row r="457" spans="1:10" ht="13.25" customHeight="1" thickTop="1" thickBot="1" x14ac:dyDescent="0.4">
      <c r="A457" s="17" t="str">
        <f>SUBSTITUTE(SUBSTITUTE("n_"&amp;LOWER(SUBSTITUTE(SUBSTITUTE(SUBSTITUTE(NodesData[[#This Row],[label]]," ","_"),"/","_"),"-","_")),"__","_"),"__","_")</f>
        <v>n_windows_default_local_system_account</v>
      </c>
      <c r="B457" s="18" t="s">
        <v>1262</v>
      </c>
      <c r="C457" s="18" t="s">
        <v>1263</v>
      </c>
      <c r="D457" s="3" t="s">
        <v>1411</v>
      </c>
      <c r="E457" s="3">
        <f t="shared" si="7"/>
        <v>455</v>
      </c>
      <c r="F457" s="3">
        <f>COUNTIF(NodesData[label],NodesData[[#This Row],[label]])</f>
        <v>1</v>
      </c>
      <c r="G457" s="3">
        <f>COUNTIF(ConceptNodes9['[A_ID']],NodesData[[#This Row],[id]])+COUNTIF(ConceptNodes9['[B_ID']],NodesData[[#This Row],[id]])</f>
        <v>0</v>
      </c>
      <c r="H457" s="3">
        <f>IF(NodesData[[#This Row],[Used]]&gt;0,1,0)</f>
        <v>0</v>
      </c>
      <c r="I457" s="19" t="str" cm="1">
        <f t="array" ref="I457">IF(NodesData[[#This Row],[Count]]&gt;1,",","") &amp;"{"&amp;twoRangesToJSON(NodesData[[#Headers],[id]:[url]],NodesData[[#This Row],[id]:[url]])&amp;"}"</f>
        <v>,{"id":"n_windows_default_local_system_account","label":"Windows Default Local System Account","url":"https://open-measure.atlassian.net/wiki/spaces/DIC/pages/140739507"}</v>
      </c>
      <c r="J457" s="3"/>
    </row>
    <row r="458" spans="1:10" ht="13.25" customHeight="1" thickTop="1" thickBot="1" x14ac:dyDescent="0.4">
      <c r="A458" s="17" t="str">
        <f>SUBSTITUTE(SUBSTITUTE("n_"&amp;LOWER(SUBSTITUTE(SUBSTITUTE(SUBSTITUTE(NodesData[[#This Row],[label]]," ","_"),"/","_"),"-","_")),"__","_"),"__","_")</f>
        <v>n_windows_default_local_user_account</v>
      </c>
      <c r="B458" s="18" t="s">
        <v>1264</v>
      </c>
      <c r="C458" s="18" t="s">
        <v>1265</v>
      </c>
      <c r="D458" s="3" t="s">
        <v>1411</v>
      </c>
      <c r="E458" s="3">
        <f t="shared" si="7"/>
        <v>456</v>
      </c>
      <c r="F458" s="3">
        <f>COUNTIF(NodesData[label],NodesData[[#This Row],[label]])</f>
        <v>1</v>
      </c>
      <c r="G458" s="3">
        <f>COUNTIF(ConceptNodes9['[A_ID']],NodesData[[#This Row],[id]])+COUNTIF(ConceptNodes9['[B_ID']],NodesData[[#This Row],[id]])</f>
        <v>0</v>
      </c>
      <c r="H458" s="3">
        <f>IF(NodesData[[#This Row],[Used]]&gt;0,1,0)</f>
        <v>0</v>
      </c>
      <c r="I458" s="19" t="str" cm="1">
        <f t="array" ref="I458">IF(NodesData[[#This Row],[Count]]&gt;1,",","") &amp;"{"&amp;twoRangesToJSON(NodesData[[#Headers],[id]:[url]],NodesData[[#This Row],[id]:[url]])&amp;"}"</f>
        <v>,{"id":"n_windows_default_local_user_account","label":"Windows Default Local User Account","url":"https://open-measure.atlassian.net/wiki/spaces/DIC/pages/140673594"}</v>
      </c>
      <c r="J458" s="3"/>
    </row>
    <row r="459" spans="1:10" ht="13.25" customHeight="1" thickTop="1" thickBot="1" x14ac:dyDescent="0.4">
      <c r="A459" s="17" t="str">
        <f>SUBSTITUTE(SUBSTITUTE("n_"&amp;LOWER(SUBSTITUTE(SUBSTITUTE(SUBSTITUTE(NodesData[[#This Row],[label]]," ","_"),"/","_"),"-","_")),"__","_"),"__","_")</f>
        <v>n_windows_defaultaccount_account</v>
      </c>
      <c r="B459" s="18" t="s">
        <v>1266</v>
      </c>
      <c r="C459" s="18" t="s">
        <v>1267</v>
      </c>
      <c r="D459" s="3" t="s">
        <v>1411</v>
      </c>
      <c r="E459" s="3">
        <f t="shared" si="7"/>
        <v>457</v>
      </c>
      <c r="F459" s="3">
        <f>COUNTIF(NodesData[label],NodesData[[#This Row],[label]])</f>
        <v>1</v>
      </c>
      <c r="G459" s="3">
        <f>COUNTIF(ConceptNodes9['[A_ID']],NodesData[[#This Row],[id]])+COUNTIF(ConceptNodes9['[B_ID']],NodesData[[#This Row],[id]])</f>
        <v>0</v>
      </c>
      <c r="H459" s="3">
        <f>IF(NodesData[[#This Row],[Used]]&gt;0,1,0)</f>
        <v>0</v>
      </c>
      <c r="I459" s="19" t="str" cm="1">
        <f t="array" ref="I459">IF(NodesData[[#This Row],[Count]]&gt;1,",","") &amp;"{"&amp;twoRangesToJSON(NodesData[[#Headers],[id]:[url]],NodesData[[#This Row],[id]:[url]])&amp;"}"</f>
        <v>,{"id":"n_windows_defaultaccount_account","label":"Windows DefaultAccount Account","url":"https://open-measure.atlassian.net/wiki/spaces/DIC/pages/140739482"}</v>
      </c>
      <c r="J459" s="3"/>
    </row>
    <row r="460" spans="1:10" ht="13.25" customHeight="1" thickTop="1" thickBot="1" x14ac:dyDescent="0.4">
      <c r="A460" s="17" t="str">
        <f>SUBSTITUTE(SUBSTITUTE("n_"&amp;LOWER(SUBSTITUTE(SUBSTITUTE(SUBSTITUTE(NodesData[[#This Row],[label]]," ","_"),"/","_"),"-","_")),"__","_"),"__","_")</f>
        <v>n_windows_guest_account</v>
      </c>
      <c r="B460" s="18" t="s">
        <v>1268</v>
      </c>
      <c r="C460" s="18" t="s">
        <v>1269</v>
      </c>
      <c r="D460" s="3" t="s">
        <v>1411</v>
      </c>
      <c r="E460" s="3">
        <f t="shared" si="7"/>
        <v>458</v>
      </c>
      <c r="F460" s="3">
        <f>COUNTIF(NodesData[label],NodesData[[#This Row],[label]])</f>
        <v>1</v>
      </c>
      <c r="G460" s="3">
        <f>COUNTIF(ConceptNodes9['[A_ID']],NodesData[[#This Row],[id]])+COUNTIF(ConceptNodes9['[B_ID']],NodesData[[#This Row],[id]])</f>
        <v>0</v>
      </c>
      <c r="H460" s="3">
        <f>IF(NodesData[[#This Row],[Used]]&gt;0,1,0)</f>
        <v>0</v>
      </c>
      <c r="I460" s="19" t="str" cm="1">
        <f t="array" ref="I460">IF(NodesData[[#This Row],[Count]]&gt;1,",","") &amp;"{"&amp;twoRangesToJSON(NodesData[[#Headers],[id]:[url]],NodesData[[#This Row],[id]:[url]])&amp;"}"</f>
        <v>,{"id":"n_windows_guest_account","label":"Windows Guest Account","url":"https://open-measure.atlassian.net/wiki/spaces/DIC/pages/140673653"}</v>
      </c>
      <c r="J460" s="3"/>
    </row>
    <row r="461" spans="1:10" ht="13.25" customHeight="1" thickTop="1" thickBot="1" x14ac:dyDescent="0.4">
      <c r="A461" s="17" t="str">
        <f>SUBSTITUTE(SUBSTITUTE("n_"&amp;LOWER(SUBSTITUTE(SUBSTITUTE(SUBSTITUTE(NodesData[[#This Row],[label]]," ","_"),"/","_"),"-","_")),"__","_"),"__","_")</f>
        <v>n_windows_helpassistant_account</v>
      </c>
      <c r="B461" s="18" t="s">
        <v>1270</v>
      </c>
      <c r="C461" s="18" t="s">
        <v>1271</v>
      </c>
      <c r="D461" s="3" t="s">
        <v>1411</v>
      </c>
      <c r="E461" s="3">
        <f t="shared" si="7"/>
        <v>459</v>
      </c>
      <c r="F461" s="3">
        <f>COUNTIF(NodesData[label],NodesData[[#This Row],[label]])</f>
        <v>1</v>
      </c>
      <c r="G461" s="3">
        <f>COUNTIF(ConceptNodes9['[A_ID']],NodesData[[#This Row],[id]])+COUNTIF(ConceptNodes9['[B_ID']],NodesData[[#This Row],[id]])</f>
        <v>0</v>
      </c>
      <c r="H461" s="3">
        <f>IF(NodesData[[#This Row],[Used]]&gt;0,1,0)</f>
        <v>0</v>
      </c>
      <c r="I461" s="19" t="str" cm="1">
        <f t="array" ref="I461">IF(NodesData[[#This Row],[Count]]&gt;1,",","") &amp;"{"&amp;twoRangesToJSON(NodesData[[#Headers],[id]:[url]],NodesData[[#This Row],[id]:[url]])&amp;"}"</f>
        <v>,{"id":"n_windows_helpassistant_account","label":"Windows HelpAssistant Account","url":"https://open-measure.atlassian.net/wiki/spaces/DIC/pages/140771901"}</v>
      </c>
      <c r="J461" s="3"/>
    </row>
    <row r="462" spans="1:10" ht="13.25" customHeight="1" thickTop="1" thickBot="1" x14ac:dyDescent="0.4">
      <c r="A462" s="17" t="str">
        <f>SUBSTITUTE(SUBSTITUTE("n_"&amp;LOWER(SUBSTITUTE(SUBSTITUTE(SUBSTITUTE(NodesData[[#This Row],[label]]," ","_"),"/","_"),"-","_")),"__","_"),"__","_")</f>
        <v>n_windows_local_account</v>
      </c>
      <c r="B462" s="18" t="s">
        <v>1272</v>
      </c>
      <c r="C462" s="18" t="s">
        <v>1273</v>
      </c>
      <c r="D462" s="3" t="s">
        <v>1411</v>
      </c>
      <c r="E462" s="3">
        <f t="shared" si="7"/>
        <v>460</v>
      </c>
      <c r="F462" s="3">
        <f>COUNTIF(NodesData[label],NodesData[[#This Row],[label]])</f>
        <v>1</v>
      </c>
      <c r="G462" s="3">
        <f>COUNTIF(ConceptNodes9['[A_ID']],NodesData[[#This Row],[id]])+COUNTIF(ConceptNodes9['[B_ID']],NodesData[[#This Row],[id]])</f>
        <v>0</v>
      </c>
      <c r="H462" s="3">
        <f>IF(NodesData[[#This Row],[Used]]&gt;0,1,0)</f>
        <v>0</v>
      </c>
      <c r="I462" s="19" t="str" cm="1">
        <f t="array" ref="I462">IF(NodesData[[#This Row],[Count]]&gt;1,",","") &amp;"{"&amp;twoRangesToJSON(NodesData[[#Headers],[id]:[url]],NodesData[[#This Row],[id]:[url]])&amp;"}"</f>
        <v>,{"id":"n_windows_local_account","label":"Windows Local Account","url":"https://open-measure.atlassian.net/wiki/spaces/DIC/pages/140772047"}</v>
      </c>
      <c r="J462" s="3"/>
    </row>
    <row r="463" spans="1:10" ht="13.25" customHeight="1" thickTop="1" thickBot="1" x14ac:dyDescent="0.4">
      <c r="A463" s="17" t="str">
        <f>SUBSTITUTE(SUBSTITUTE("n_"&amp;LOWER(SUBSTITUTE(SUBSTITUTE(SUBSTITUTE(NodesData[[#This Row],[label]]," ","_"),"/","_"),"-","_")),"__","_"),"__","_")</f>
        <v>n_windows_local_administrator_account</v>
      </c>
      <c r="B463" s="18" t="s">
        <v>1274</v>
      </c>
      <c r="C463" s="18" t="s">
        <v>1275</v>
      </c>
      <c r="D463" s="3" t="s">
        <v>1411</v>
      </c>
      <c r="E463" s="3">
        <f t="shared" si="7"/>
        <v>461</v>
      </c>
      <c r="F463" s="3">
        <f>COUNTIF(NodesData[label],NodesData[[#This Row],[label]])</f>
        <v>1</v>
      </c>
      <c r="G463" s="3">
        <f>COUNTIF(ConceptNodes9['[A_ID']],NodesData[[#This Row],[id]])+COUNTIF(ConceptNodes9['[B_ID']],NodesData[[#This Row],[id]])</f>
        <v>0</v>
      </c>
      <c r="H463" s="3">
        <f>IF(NodesData[[#This Row],[Used]]&gt;0,1,0)</f>
        <v>0</v>
      </c>
      <c r="I463" s="19" t="str" cm="1">
        <f t="array" ref="I463">IF(NodesData[[#This Row],[Count]]&gt;1,",","") &amp;"{"&amp;twoRangesToJSON(NodesData[[#Headers],[id]:[url]],NodesData[[#This Row],[id]:[url]])&amp;"}"</f>
        <v>,{"id":"n_windows_local_administrator_account","label":"Windows Local Administrator Account","url":"https://open-measure.atlassian.net/wiki/spaces/DIC/pages/140739277"}</v>
      </c>
      <c r="J463" s="3"/>
    </row>
    <row r="464" spans="1:10" ht="13.25" customHeight="1" thickTop="1" thickBot="1" x14ac:dyDescent="0.4">
      <c r="A464" s="17" t="str">
        <f>SUBSTITUTE(SUBSTITUTE("n_"&amp;LOWER(SUBSTITUTE(SUBSTITUTE(SUBSTITUTE(NodesData[[#This Row],[label]]," ","_"),"/","_"),"-","_")),"__","_"),"__","_")</f>
        <v>n_windows_local_service_account</v>
      </c>
      <c r="B464" s="18" t="s">
        <v>1276</v>
      </c>
      <c r="C464" s="18" t="s">
        <v>1277</v>
      </c>
      <c r="D464" s="3" t="s">
        <v>1411</v>
      </c>
      <c r="E464" s="3">
        <f t="shared" si="7"/>
        <v>462</v>
      </c>
      <c r="F464" s="3">
        <f>COUNTIF(NodesData[label],NodesData[[#This Row],[label]])</f>
        <v>1</v>
      </c>
      <c r="G464" s="3">
        <f>COUNTIF(ConceptNodes9['[A_ID']],NodesData[[#This Row],[id]])+COUNTIF(ConceptNodes9['[B_ID']],NodesData[[#This Row],[id]])</f>
        <v>0</v>
      </c>
      <c r="H464" s="3">
        <f>IF(NodesData[[#This Row],[Used]]&gt;0,1,0)</f>
        <v>0</v>
      </c>
      <c r="I464" s="19" t="str" cm="1">
        <f t="array" ref="I464">IF(NodesData[[#This Row],[Count]]&gt;1,",","") &amp;"{"&amp;twoRangesToJSON(NodesData[[#Headers],[id]:[url]],NodesData[[#This Row],[id]:[url]])&amp;"}"</f>
        <v>,{"id":"n_windows_local_service_account","label":"Windows LOCAL SERVICE Account","url":"https://open-measure.atlassian.net/wiki/spaces/DIC/pages/140673818"}</v>
      </c>
      <c r="J464" s="3"/>
    </row>
    <row r="465" spans="1:10" ht="13.25" customHeight="1" thickTop="1" thickBot="1" x14ac:dyDescent="0.4">
      <c r="A465" s="17" t="str">
        <f>SUBSTITUTE(SUBSTITUTE("n_"&amp;LOWER(SUBSTITUTE(SUBSTITUTE(SUBSTITUTE(NodesData[[#This Row],[label]]," ","_"),"/","_"),"-","_")),"__","_"),"__","_")</f>
        <v>n_windows_network_service_account</v>
      </c>
      <c r="B465" s="18" t="s">
        <v>1278</v>
      </c>
      <c r="C465" s="18" t="s">
        <v>1279</v>
      </c>
      <c r="D465" s="3" t="s">
        <v>1411</v>
      </c>
      <c r="E465" s="3">
        <f t="shared" si="7"/>
        <v>463</v>
      </c>
      <c r="F465" s="3">
        <f>COUNTIF(NodesData[label],NodesData[[#This Row],[label]])</f>
        <v>1</v>
      </c>
      <c r="G465" s="3">
        <f>COUNTIF(ConceptNodes9['[A_ID']],NodesData[[#This Row],[id]])+COUNTIF(ConceptNodes9['[B_ID']],NodesData[[#This Row],[id]])</f>
        <v>0</v>
      </c>
      <c r="H465" s="3">
        <f>IF(NodesData[[#This Row],[Used]]&gt;0,1,0)</f>
        <v>0</v>
      </c>
      <c r="I465" s="19" t="str" cm="1">
        <f t="array" ref="I465">IF(NodesData[[#This Row],[Count]]&gt;1,",","") &amp;"{"&amp;twoRangesToJSON(NodesData[[#Headers],[id]:[url]],NodesData[[#This Row],[id]:[url]])&amp;"}"</f>
        <v>,{"id":"n_windows_network_service_account","label":"Windows NETWORK SERVICE Account","url":"https://open-measure.atlassian.net/wiki/spaces/DIC/pages/140772011"}</v>
      </c>
      <c r="J465" s="3"/>
    </row>
    <row r="466" spans="1:10" ht="13.25" customHeight="1" thickTop="1" thickBot="1" x14ac:dyDescent="0.4">
      <c r="A466" s="17" t="str">
        <f>SUBSTITUTE(SUBSTITUTE("n_"&amp;LOWER(SUBSTITUTE(SUBSTITUTE(SUBSTITUTE(NodesData[[#This Row],[label]]," ","_"),"/","_"),"-","_")),"__","_"),"__","_")</f>
        <v>n_windows_security_identifier</v>
      </c>
      <c r="B466" s="18" t="s">
        <v>1280</v>
      </c>
      <c r="C466" s="18" t="s">
        <v>1281</v>
      </c>
      <c r="D466" s="3" t="s">
        <v>1411</v>
      </c>
      <c r="E466" s="3">
        <f t="shared" si="7"/>
        <v>464</v>
      </c>
      <c r="F466" s="3">
        <f>COUNTIF(NodesData[label],NodesData[[#This Row],[label]])</f>
        <v>1</v>
      </c>
      <c r="G466" s="3">
        <f>COUNTIF(ConceptNodes9['[A_ID']],NodesData[[#This Row],[id]])+COUNTIF(ConceptNodes9['[B_ID']],NodesData[[#This Row],[id]])</f>
        <v>0</v>
      </c>
      <c r="H466" s="3">
        <f>IF(NodesData[[#This Row],[Used]]&gt;0,1,0)</f>
        <v>0</v>
      </c>
      <c r="I466" s="19" t="str" cm="1">
        <f t="array" ref="I466">IF(NodesData[[#This Row],[Count]]&gt;1,",","") &amp;"{"&amp;twoRangesToJSON(NodesData[[#Headers],[id]:[url]],NodesData[[#This Row],[id]:[url]])&amp;"}"</f>
        <v>,{"id":"n_windows_security_identifier","label":"Windows Security Identifier","url":"https://open-measure.atlassian.net/wiki/spaces/DIC/pages/140706624"}</v>
      </c>
      <c r="J466" s="3"/>
    </row>
    <row r="467" spans="1:10" ht="13.25" customHeight="1" thickTop="1" thickBot="1" x14ac:dyDescent="0.4">
      <c r="A467" s="17" t="str">
        <f>SUBSTITUTE(SUBSTITUTE("n_"&amp;LOWER(SUBSTITUTE(SUBSTITUTE(SUBSTITUTE(NodesData[[#This Row],[label]]," ","_"),"/","_"),"-","_")),"__","_"),"__","_")</f>
        <v>n_windows_system_account</v>
      </c>
      <c r="B467" s="18" t="s">
        <v>1282</v>
      </c>
      <c r="C467" s="18" t="s">
        <v>1283</v>
      </c>
      <c r="D467" s="3" t="s">
        <v>1411</v>
      </c>
      <c r="E467" s="3">
        <f t="shared" si="7"/>
        <v>465</v>
      </c>
      <c r="F467" s="3">
        <f>COUNTIF(NodesData[label],NodesData[[#This Row],[label]])</f>
        <v>1</v>
      </c>
      <c r="G467" s="3">
        <f>COUNTIF(ConceptNodes9['[A_ID']],NodesData[[#This Row],[id]])+COUNTIF(ConceptNodes9['[B_ID']],NodesData[[#This Row],[id]])</f>
        <v>0</v>
      </c>
      <c r="H467" s="3">
        <f>IF(NodesData[[#This Row],[Used]]&gt;0,1,0)</f>
        <v>0</v>
      </c>
      <c r="I467" s="19" t="str" cm="1">
        <f t="array" ref="I467">IF(NodesData[[#This Row],[Count]]&gt;1,",","") &amp;"{"&amp;twoRangesToJSON(NodesData[[#Headers],[id]:[url]],NodesData[[#This Row],[id]:[url]])&amp;"}"</f>
        <v>,{"id":"n_windows_system_account","label":"Windows SYSTEM Account","url":"https://open-measure.atlassian.net/wiki/spaces/DIC/pages/140706700"}</v>
      </c>
      <c r="J467" s="3"/>
    </row>
    <row r="468" spans="1:10" ht="13.25" customHeight="1" thickTop="1" thickBot="1" x14ac:dyDescent="0.4">
      <c r="A468" s="17" t="str">
        <f>SUBSTITUTE(SUBSTITUTE("n_"&amp;LOWER(SUBSTITUTE(SUBSTITUTE(SUBSTITUTE(NodesData[[#This Row],[label]]," ","_"),"/","_"),"-","_")),"__","_"),"__","_")</f>
        <v>n_worker</v>
      </c>
      <c r="B468" s="18" t="s">
        <v>1284</v>
      </c>
      <c r="C468" s="18" t="s">
        <v>1285</v>
      </c>
      <c r="D468" s="3" t="s">
        <v>1411</v>
      </c>
      <c r="E468" s="3">
        <f t="shared" si="7"/>
        <v>466</v>
      </c>
      <c r="F468" s="3">
        <f>COUNTIF(NodesData[label],NodesData[[#This Row],[label]])</f>
        <v>1</v>
      </c>
      <c r="G468" s="3">
        <f>COUNTIF(ConceptNodes9['[A_ID']],NodesData[[#This Row],[id]])+COUNTIF(ConceptNodes9['[B_ID']],NodesData[[#This Row],[id]])</f>
        <v>0</v>
      </c>
      <c r="H468" s="3">
        <f>IF(NodesData[[#This Row],[Used]]&gt;0,1,0)</f>
        <v>0</v>
      </c>
      <c r="I468" s="19" t="str" cm="1">
        <f t="array" ref="I468">IF(NodesData[[#This Row],[Count]]&gt;1,",","") &amp;"{"&amp;twoRangesToJSON(NodesData[[#Headers],[id]:[url]],NodesData[[#This Row],[id]:[url]])&amp;"}"</f>
        <v>,{"id":"n_worker","label":"Worker","url":"https://open-measure.atlassian.net/wiki/spaces/DIC/pages/855638141"}</v>
      </c>
      <c r="J468" s="3"/>
    </row>
    <row r="469" spans="1:10" ht="13.25" customHeight="1" thickTop="1" thickBot="1" x14ac:dyDescent="0.4">
      <c r="A469" s="17" t="str">
        <f>SUBSTITUTE(SUBSTITUTE("n_"&amp;LOWER(SUBSTITUTE(SUBSTITUTE(SUBSTITUTE(NodesData[[#This Row],[label]]," ","_"),"/","_"),"-","_")),"__","_"),"__","_")</f>
        <v>n_workflow_sensitive_access_control</v>
      </c>
      <c r="B469" s="18" t="s">
        <v>1286</v>
      </c>
      <c r="C469" s="18" t="s">
        <v>1287</v>
      </c>
      <c r="D469" s="3" t="s">
        <v>1411</v>
      </c>
      <c r="E469" s="3">
        <f t="shared" si="7"/>
        <v>467</v>
      </c>
      <c r="F469" s="3">
        <f>COUNTIF(NodesData[label],NodesData[[#This Row],[label]])</f>
        <v>1</v>
      </c>
      <c r="G469" s="3">
        <f>COUNTIF(ConceptNodes9['[A_ID']],NodesData[[#This Row],[id]])+COUNTIF(ConceptNodes9['[B_ID']],NodesData[[#This Row],[id]])</f>
        <v>0</v>
      </c>
      <c r="H469" s="3">
        <f>IF(NodesData[[#This Row],[Used]]&gt;0,1,0)</f>
        <v>0</v>
      </c>
      <c r="I469" s="19" t="str" cm="1">
        <f t="array" ref="I469">IF(NodesData[[#This Row],[Count]]&gt;1,",","") &amp;"{"&amp;twoRangesToJSON(NodesData[[#Headers],[id]:[url]],NodesData[[#This Row],[id]:[url]])&amp;"}"</f>
        <v>,{"id":"n_workflow_sensitive_access_control","label":"Workflow-Sensitive Access Control","url":"https://open-measure.atlassian.net/wiki/spaces/DIC/pages/814448722"}</v>
      </c>
      <c r="J469" s="3"/>
    </row>
    <row r="470" spans="1:10" ht="13.25" customHeight="1" thickTop="1" thickBot="1" x14ac:dyDescent="0.4">
      <c r="A470" s="17" t="str">
        <f>SUBSTITUTE(SUBSTITUTE("n_"&amp;LOWER(SUBSTITUTE(SUBSTITUTE(SUBSTITUTE(NodesData[[#This Row],[label]]," ","_"),"/","_"),"-","_")),"__","_"),"__","_")</f>
        <v>n_workforce</v>
      </c>
      <c r="B470" s="18" t="s">
        <v>1288</v>
      </c>
      <c r="C470" s="18" t="s">
        <v>1289</v>
      </c>
      <c r="D470" s="3" t="s">
        <v>1411</v>
      </c>
      <c r="E470" s="3">
        <f t="shared" si="7"/>
        <v>468</v>
      </c>
      <c r="F470" s="3">
        <f>COUNTIF(NodesData[label],NodesData[[#This Row],[label]])</f>
        <v>1</v>
      </c>
      <c r="G470" s="3">
        <f>COUNTIF(ConceptNodes9['[A_ID']],NodesData[[#This Row],[id]])+COUNTIF(ConceptNodes9['[B_ID']],NodesData[[#This Row],[id]])</f>
        <v>0</v>
      </c>
      <c r="H470" s="3">
        <f>IF(NodesData[[#This Row],[Used]]&gt;0,1,0)</f>
        <v>0</v>
      </c>
      <c r="I470" s="19" t="str" cm="1">
        <f t="array" ref="I470">IF(NodesData[[#This Row],[Count]]&gt;1,",","") &amp;"{"&amp;twoRangesToJSON(NodesData[[#Headers],[id]:[url]],NodesData[[#This Row],[id]:[url]])&amp;"}"</f>
        <v>,{"id":"n_workforce","label":"Workforce","url":"https://open-measure.atlassian.net/wiki/spaces/DIC/pages/852492409"}</v>
      </c>
      <c r="J470" s="3"/>
    </row>
    <row r="471" spans="1:10" ht="13.25" customHeight="1" thickTop="1" thickBot="1" x14ac:dyDescent="0.4">
      <c r="A471" s="17" t="str">
        <f>SUBSTITUTE(SUBSTITUTE("n_"&amp;LOWER(SUBSTITUTE(SUBSTITUTE(SUBSTITUTE(NodesData[[#This Row],[label]]," ","_"),"/","_"),"-","_")),"__","_"),"__","_")</f>
        <v>n_xacml</v>
      </c>
      <c r="B471" s="18" t="s">
        <v>1290</v>
      </c>
      <c r="C471" s="18" t="s">
        <v>1291</v>
      </c>
      <c r="D471" s="3" t="s">
        <v>1301</v>
      </c>
      <c r="E471" s="3">
        <f t="shared" si="7"/>
        <v>469</v>
      </c>
      <c r="F471" s="3">
        <f>COUNTIF(NodesData[label],NodesData[[#This Row],[label]])</f>
        <v>1</v>
      </c>
      <c r="G471" s="3">
        <f>COUNTIF(ConceptNodes9['[A_ID']],NodesData[[#This Row],[id]])+COUNTIF(ConceptNodes9['[B_ID']],NodesData[[#This Row],[id]])</f>
        <v>0</v>
      </c>
      <c r="H471" s="3">
        <f>IF(NodesData[[#This Row],[Used]]&gt;0,1,0)</f>
        <v>0</v>
      </c>
      <c r="I471" s="19" t="str" cm="1">
        <f t="array" ref="I471">IF(NodesData[[#This Row],[Count]]&gt;1,",","") &amp;"{"&amp;twoRangesToJSON(NodesData[[#Headers],[id]:[url]],NodesData[[#This Row],[id]:[url]])&amp;"}"</f>
        <v>,{"id":"n_xacml","label":"XACML","url":"https://open-measure.atlassian.net/wiki/spaces/DIC/pages/1122631791"}</v>
      </c>
      <c r="J471" s="3"/>
    </row>
    <row r="472" spans="1:10" ht="13.25" customHeight="1" thickTop="1" thickBot="1" x14ac:dyDescent="0.4">
      <c r="A472" s="17" t="str">
        <f>SUBSTITUTE(SUBSTITUTE("n_"&amp;LOWER(SUBSTITUTE(SUBSTITUTE(SUBSTITUTE(NodesData[[#This Row],[label]]," ","_"),"/","_"),"-","_")),"__","_"),"__","_")</f>
        <v>n_zero_trust_access</v>
      </c>
      <c r="B472" s="18" t="s">
        <v>547</v>
      </c>
      <c r="C472" s="18" t="s">
        <v>1292</v>
      </c>
      <c r="D472" s="3" t="s">
        <v>1411</v>
      </c>
      <c r="E472" s="3">
        <f t="shared" si="7"/>
        <v>470</v>
      </c>
      <c r="F472" s="3">
        <f>COUNTIF(NodesData[label],NodesData[[#This Row],[label]])</f>
        <v>1</v>
      </c>
      <c r="G472" s="3">
        <f>COUNTIF(ConceptNodes9['[A_ID']],NodesData[[#This Row],[id]])+COUNTIF(ConceptNodes9['[B_ID']],NodesData[[#This Row],[id]])</f>
        <v>0</v>
      </c>
      <c r="H472" s="3">
        <f>IF(NodesData[[#This Row],[Used]]&gt;0,1,0)</f>
        <v>0</v>
      </c>
      <c r="I472" s="19" t="str" cm="1">
        <f t="array" ref="I472">IF(NodesData[[#This Row],[Count]]&gt;1,",","") &amp;"{"&amp;twoRangesToJSON(NodesData[[#Headers],[id]:[url]],NodesData[[#This Row],[id]:[url]])&amp;"}"</f>
        <v>,{"id":"n_zero_trust_access","label":"Zero-Trust Access","url":"https://open-measure.atlassian.net/wiki/spaces/DIC/pages/234356891/Zero-Trust+Access"}</v>
      </c>
      <c r="J472" s="3"/>
    </row>
    <row r="473" spans="1:10" ht="13.25" customHeight="1" thickTop="1" thickBot="1" x14ac:dyDescent="0.4">
      <c r="A473" s="17" t="str">
        <f>SUBSTITUTE(SUBSTITUTE("n_"&amp;LOWER(SUBSTITUTE(SUBSTITUTE(SUBSTITUTE(NodesData[[#This Row],[label]]," ","_"),"/","_"),"-","_")),"__","_"),"__","_")</f>
        <v>n_zombie_account</v>
      </c>
      <c r="B473" s="18" t="s">
        <v>548</v>
      </c>
      <c r="C473" s="18" t="s">
        <v>1293</v>
      </c>
      <c r="D473" s="3" t="s">
        <v>1411</v>
      </c>
      <c r="E473" s="3">
        <f t="shared" si="7"/>
        <v>471</v>
      </c>
      <c r="F473" s="3">
        <f>COUNTIF(NodesData[label],NodesData[[#This Row],[label]])</f>
        <v>1</v>
      </c>
      <c r="G473" s="3">
        <f>COUNTIF(ConceptNodes9['[A_ID']],NodesData[[#This Row],[id]])+COUNTIF(ConceptNodes9['[B_ID']],NodesData[[#This Row],[id]])</f>
        <v>0</v>
      </c>
      <c r="H473" s="3">
        <f>IF(NodesData[[#This Row],[Used]]&gt;0,1,0)</f>
        <v>0</v>
      </c>
      <c r="I473" s="19" t="str" cm="1">
        <f t="array" ref="I473">IF(NodesData[[#This Row],[Count]]&gt;1,",","") &amp;"{"&amp;twoRangesToJSON(NodesData[[#Headers],[id]:[url]],NodesData[[#This Row],[id]:[url]])&amp;"}"</f>
        <v>,{"id":"n_zombie_account","label":"Zombie Account","url":"https://open-measure.atlassian.net/wiki/spaces/DIC/pages/782893195/Zombie+Account"}</v>
      </c>
      <c r="J473" s="3"/>
    </row>
    <row r="474" spans="1:10" ht="13.25" customHeight="1" thickTop="1" thickBot="1" x14ac:dyDescent="0.4">
      <c r="A474" s="17" t="str">
        <f>SUBSTITUTE(SUBSTITUTE("n_"&amp;LOWER(SUBSTITUTE(SUBSTITUTE(SUBSTITUTE(NodesData[[#This Row],[label]]," ","_"),"/","_"),"-","_")),"__","_"),"__","_")</f>
        <v>n_zta</v>
      </c>
      <c r="B474" s="18" t="s">
        <v>549</v>
      </c>
      <c r="C474" s="18" t="s">
        <v>1294</v>
      </c>
      <c r="D474" s="3" t="s">
        <v>1301</v>
      </c>
      <c r="E474" s="3">
        <f t="shared" si="7"/>
        <v>472</v>
      </c>
      <c r="F474" s="3">
        <f>COUNTIF(NodesData[label],NodesData[[#This Row],[label]])</f>
        <v>1</v>
      </c>
      <c r="G474" s="3">
        <f>COUNTIF(ConceptNodes9['[A_ID']],NodesData[[#This Row],[id]])+COUNTIF(ConceptNodes9['[B_ID']],NodesData[[#This Row],[id]])</f>
        <v>0</v>
      </c>
      <c r="H474" s="3">
        <f>IF(NodesData[[#This Row],[Used]]&gt;0,1,0)</f>
        <v>0</v>
      </c>
      <c r="I474" s="19" t="str" cm="1">
        <f t="array" ref="I474">IF(NodesData[[#This Row],[Count]]&gt;1,",","") &amp;"{"&amp;twoRangesToJSON(NodesData[[#Headers],[id]:[url]],NodesData[[#This Row],[id]:[url]])&amp;"}"</f>
        <v>,{"id":"n_zta","label":"ZTA","url":"https://open-measure.atlassian.net/wiki/spaces/DIC/pages/234389671/ZTA"}</v>
      </c>
      <c r="J474" s="3"/>
    </row>
    <row r="475" spans="1:10" ht="13.25" customHeight="1" thickTop="1" thickBot="1" x14ac:dyDescent="0.4">
      <c r="A475" s="17" t="str">
        <f>SUBSTITUTE(SUBSTITUTE("n_"&amp;LOWER(SUBSTITUTE(SUBSTITUTE(SUBSTITUTE(NodesData[[#This Row],[label]]," ","_"),"/","_"),"-","_")),"__","_"),"__","_")</f>
        <v>n_weak_authentication</v>
      </c>
      <c r="B475" s="18" t="s">
        <v>1254</v>
      </c>
      <c r="C475" s="18" t="s">
        <v>1255</v>
      </c>
      <c r="D475" s="3" t="s">
        <v>1411</v>
      </c>
      <c r="E475" s="3">
        <f t="shared" si="7"/>
        <v>473</v>
      </c>
      <c r="F475" s="3">
        <f>COUNTIF(NodesData[label],NodesData[[#This Row],[label]])</f>
        <v>1</v>
      </c>
      <c r="G475" s="3">
        <f>COUNTIF(ConceptNodes9['[A_ID']],NodesData[[#This Row],[id]])+COUNTIF(ConceptNodes9['[B_ID']],NodesData[[#This Row],[id]])</f>
        <v>0</v>
      </c>
      <c r="H475" s="3">
        <f>IF(NodesData[[#This Row],[Used]]&gt;0,1,0)</f>
        <v>0</v>
      </c>
      <c r="I475" s="19" t="str" cm="1">
        <f t="array" ref="I475">IF(NodesData[[#This Row],[Count]]&gt;1,",","") &amp;"{"&amp;twoRangesToJSON(NodesData[[#Headers],[id]:[url]],NodesData[[#This Row],[id]:[url]])&amp;"}"</f>
        <v>,{"id":"n_weak_authentication","label":"Weak Authentication","url":"https://open-measure.atlassian.net/wiki/spaces/DIC/pages/81068120"}</v>
      </c>
      <c r="J475" s="3"/>
    </row>
    <row r="476" spans="1:10" ht="13.25" customHeight="1" thickTop="1" x14ac:dyDescent="0.35"/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buttonExportNodes">
          <controlPr defaultSize="0" autoLine="0" r:id="rId5">
            <anchor moveWithCells="1">
              <from>
                <xdr:col>0</xdr:col>
                <xdr:colOff>2262188</xdr:colOff>
                <xdr:row>0</xdr:row>
                <xdr:rowOff>85725</xdr:rowOff>
              </from>
              <to>
                <xdr:col>0</xdr:col>
                <xdr:colOff>3048000</xdr:colOff>
                <xdr:row>0</xdr:row>
                <xdr:rowOff>357188</xdr:rowOff>
              </to>
            </anchor>
          </controlPr>
        </control>
      </mc:Choice>
      <mc:Fallback>
        <control shapeId="6145" r:id="rId4" name="buttonExportNodes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B84DF-EBF3-4684-BBDC-91101DC0A93E}">
  <sheetPr codeName="Sheet7"/>
  <dimension ref="A1:K41"/>
  <sheetViews>
    <sheetView zoomScale="120" zoomScaleNormal="120" workbookViewId="0">
      <selection activeCell="K21" sqref="K21"/>
    </sheetView>
  </sheetViews>
  <sheetFormatPr defaultRowHeight="13.25" customHeight="1" x14ac:dyDescent="0.35"/>
  <cols>
    <col min="1" max="1" width="33.19921875" style="3" bestFit="1" customWidth="1"/>
    <col min="2" max="2" width="12.265625" style="10" bestFit="1" customWidth="1"/>
    <col min="3" max="3" width="34.796875" bestFit="1" customWidth="1"/>
    <col min="4" max="4" width="12.265625" style="3" bestFit="1" customWidth="1"/>
    <col min="5" max="5" width="8.53125" style="4" customWidth="1"/>
    <col min="6" max="6" width="7.73046875" style="4" customWidth="1"/>
    <col min="7" max="10" width="7.73046875" style="3" customWidth="1"/>
    <col min="11" max="11" width="141.1328125" style="3" customWidth="1"/>
    <col min="12" max="16384" width="9.06640625" style="3"/>
  </cols>
  <sheetData>
    <row r="1" spans="1:11" ht="19.899999999999999" thickBot="1" x14ac:dyDescent="0.4">
      <c r="A1" s="2" t="s">
        <v>1308</v>
      </c>
    </row>
    <row r="2" spans="1:11" customFormat="1" ht="13.25" customHeight="1" thickTop="1" x14ac:dyDescent="0.35">
      <c r="B2" s="11"/>
    </row>
    <row r="3" spans="1:11" customFormat="1" ht="13.25" customHeight="1" thickBot="1" x14ac:dyDescent="0.4">
      <c r="B3" s="10"/>
      <c r="D3" s="11"/>
      <c r="E3" s="11"/>
      <c r="F3" s="11"/>
      <c r="G3" s="11"/>
      <c r="H3" s="11"/>
      <c r="I3" s="11"/>
      <c r="J3" s="11"/>
      <c r="K3" t="s">
        <v>34</v>
      </c>
    </row>
    <row r="4" spans="1:11" ht="38.25" customHeight="1" thickTop="1" x14ac:dyDescent="0.35">
      <c r="D4" s="10"/>
      <c r="E4" s="10"/>
      <c r="F4" s="10"/>
      <c r="G4" s="10"/>
      <c r="H4" s="10"/>
      <c r="I4" s="10"/>
      <c r="J4" s="10"/>
      <c r="K4" s="9" t="s">
        <v>1396</v>
      </c>
    </row>
    <row r="6" spans="1:11" customFormat="1" ht="13.25" customHeight="1" thickBot="1" x14ac:dyDescent="0.4">
      <c r="A6" s="15" t="s">
        <v>1310</v>
      </c>
      <c r="B6" s="16" t="s">
        <v>1312</v>
      </c>
      <c r="C6" s="16" t="s">
        <v>1311</v>
      </c>
      <c r="D6" s="16" t="s">
        <v>33</v>
      </c>
      <c r="E6" t="s">
        <v>1303</v>
      </c>
      <c r="F6" t="s">
        <v>1302</v>
      </c>
      <c r="G6" t="s">
        <v>1210</v>
      </c>
      <c r="H6" t="s">
        <v>1301</v>
      </c>
      <c r="I6" t="s">
        <v>32</v>
      </c>
      <c r="J6" t="s">
        <v>31</v>
      </c>
      <c r="K6" t="s">
        <v>34</v>
      </c>
    </row>
    <row r="7" spans="1:11" ht="13.25" hidden="1" customHeight="1" thickTop="1" thickBot="1" x14ac:dyDescent="0.4">
      <c r="A7" s="3" t="s">
        <v>1343</v>
      </c>
      <c r="B7" s="12" t="s">
        <v>1326</v>
      </c>
      <c r="C7" s="7" t="s">
        <v>1344</v>
      </c>
      <c r="D7" s="12"/>
      <c r="E7" s="8"/>
      <c r="F7" s="8"/>
      <c r="G7" s="8"/>
      <c r="H7" s="8"/>
      <c r="I7" s="8"/>
      <c r="J7" s="8"/>
      <c r="K7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{id:'n_arm'}), (b {id:'n_access_rights_management'}) WITH a,b CREATE (a)-[r:ACRONYM {name: a.name + ' → ' + b.name}]-&gt;(b);</v>
      </c>
    </row>
    <row r="8" spans="1:11" ht="13.25" hidden="1" customHeight="1" thickTop="1" thickBot="1" x14ac:dyDescent="0.4">
      <c r="A8" s="24" t="s">
        <v>1395</v>
      </c>
      <c r="B8" s="23" t="s">
        <v>1321</v>
      </c>
      <c r="C8" s="7" t="s">
        <v>1382</v>
      </c>
      <c r="D8" s="23"/>
      <c r="E8" s="25"/>
      <c r="F8" s="25"/>
      <c r="G8" s="25"/>
      <c r="H8" s="25"/>
      <c r="I8" s="25"/>
      <c r="J8" s="25"/>
      <c r="K8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{id:'n_biometric_identification'}) WITH a,b CREATE (a)-[r:HYPERONYM {name: a.name + ' → ' + b.name}]-&gt;(b);</v>
      </c>
    </row>
    <row r="9" spans="1:11" ht="13.25" hidden="1" customHeight="1" thickTop="1" thickBot="1" x14ac:dyDescent="0.4">
      <c r="A9" s="7" t="s">
        <v>1382</v>
      </c>
      <c r="B9" s="12" t="s">
        <v>1321</v>
      </c>
      <c r="C9" s="7" t="s">
        <v>1383</v>
      </c>
      <c r="D9" s="12"/>
      <c r="E9" s="8"/>
      <c r="F9" s="8"/>
      <c r="G9" s="8"/>
      <c r="H9" s="8"/>
      <c r="I9" s="8"/>
      <c r="J9" s="8"/>
      <c r="K9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{id:'n_brainwaves_authentication'}) WITH a,b CREATE (a)-[r:HYPERONYM {name: a.name + ' → ' + b.name}]-&gt;(b);</v>
      </c>
    </row>
    <row r="10" spans="1:11" ht="13.25" hidden="1" customHeight="1" thickTop="1" thickBot="1" x14ac:dyDescent="0.4">
      <c r="A10" s="24" t="s">
        <v>1395</v>
      </c>
      <c r="B10" s="23" t="s">
        <v>1321</v>
      </c>
      <c r="C10" s="7" t="s">
        <v>1383</v>
      </c>
      <c r="D10" s="23"/>
      <c r="E10" s="25"/>
      <c r="F10" s="25"/>
      <c r="G10" s="25"/>
      <c r="H10" s="25"/>
      <c r="I10" s="25"/>
      <c r="J10" s="25"/>
      <c r="K10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{id:'n_brainwaves_authentication'}) WITH a,b CREATE (a)-[r:HYPERONYM {name: a.name + ' → ' + b.name}]-&gt;(b);</v>
      </c>
    </row>
    <row r="11" spans="1:11" ht="13.25" hidden="1" customHeight="1" thickTop="1" thickBot="1" x14ac:dyDescent="0.4">
      <c r="A11" s="7" t="s">
        <v>1382</v>
      </c>
      <c r="B11" s="12" t="s">
        <v>1321</v>
      </c>
      <c r="C11" s="7" t="s">
        <v>1384</v>
      </c>
      <c r="D11" s="12"/>
      <c r="E11" s="8"/>
      <c r="F11" s="8"/>
      <c r="G11" s="8"/>
      <c r="H11" s="8"/>
      <c r="I11" s="8"/>
      <c r="J11" s="8"/>
      <c r="K11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{id:'n_facial_recognition_authentication'}) WITH a,b CREATE (a)-[r:HYPERONYM {name: a.name + ' → ' + b.name}]-&gt;(b);</v>
      </c>
    </row>
    <row r="12" spans="1:11" ht="13.25" hidden="1" customHeight="1" thickTop="1" thickBot="1" x14ac:dyDescent="0.4">
      <c r="A12" s="24" t="s">
        <v>1395</v>
      </c>
      <c r="B12" s="23" t="s">
        <v>1321</v>
      </c>
      <c r="C12" s="7" t="s">
        <v>1384</v>
      </c>
      <c r="D12" s="18"/>
      <c r="E12" s="5"/>
      <c r="F12" s="5"/>
      <c r="G12" s="5"/>
      <c r="H12" s="5"/>
      <c r="I12" s="5"/>
      <c r="J12" s="5"/>
      <c r="K12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{id:'n_facial_recognition_authentication'}) WITH a,b CREATE (a)-[r:HYPERONYM {name: a.name + ' → ' + b.name}]-&gt;(b);</v>
      </c>
    </row>
    <row r="13" spans="1:11" ht="13.25" hidden="1" customHeight="1" thickTop="1" thickBot="1" x14ac:dyDescent="0.4">
      <c r="A13" s="7" t="s">
        <v>1382</v>
      </c>
      <c r="B13" s="12" t="s">
        <v>1321</v>
      </c>
      <c r="C13" s="7" t="s">
        <v>1385</v>
      </c>
      <c r="D13" s="12"/>
      <c r="E13" s="8"/>
      <c r="F13" s="8"/>
      <c r="G13" s="8"/>
      <c r="H13" s="8"/>
      <c r="I13" s="8"/>
      <c r="J13" s="8"/>
      <c r="K13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{id:'n_fingerprint_recognition_authentication'}) WITH a,b CREATE (a)-[r:HYPERONYM {name: a.name + ' → ' + b.name}]-&gt;(b);</v>
      </c>
    </row>
    <row r="14" spans="1:11" ht="13.25" hidden="1" customHeight="1" thickTop="1" thickBot="1" x14ac:dyDescent="0.4">
      <c r="A14" s="24" t="s">
        <v>1395</v>
      </c>
      <c r="B14" s="23" t="s">
        <v>1321</v>
      </c>
      <c r="C14" s="7" t="s">
        <v>1385</v>
      </c>
      <c r="D14" s="18"/>
      <c r="E14" s="5"/>
      <c r="F14" s="5"/>
      <c r="G14" s="5"/>
      <c r="H14" s="5"/>
      <c r="I14" s="5"/>
      <c r="J14" s="5"/>
      <c r="K14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{id:'n_fingerprint_recognition_authentication'}) WITH a,b CREATE (a)-[r:HYPERONYM {name: a.name + ' → ' + b.name}]-&gt;(b);</v>
      </c>
    </row>
    <row r="15" spans="1:11" ht="13.25" hidden="1" customHeight="1" thickTop="1" thickBot="1" x14ac:dyDescent="0.4">
      <c r="A15" s="7" t="s">
        <v>1382</v>
      </c>
      <c r="B15" s="12" t="s">
        <v>1321</v>
      </c>
      <c r="C15" s="7" t="s">
        <v>1386</v>
      </c>
      <c r="D15" s="12"/>
      <c r="E15" s="8"/>
      <c r="F15" s="8"/>
      <c r="G15" s="8"/>
      <c r="H15" s="8"/>
      <c r="I15" s="8"/>
      <c r="J15" s="8"/>
      <c r="K15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{id:'n_gait_recognition_authentication'}) WITH a,b CREATE (a)-[r:HYPERONYM {name: a.name + ' → ' + b.name}]-&gt;(b);</v>
      </c>
    </row>
    <row r="16" spans="1:11" ht="13.25" hidden="1" customHeight="1" thickTop="1" thickBot="1" x14ac:dyDescent="0.4">
      <c r="A16" s="24" t="s">
        <v>1395</v>
      </c>
      <c r="B16" s="23" t="s">
        <v>1321</v>
      </c>
      <c r="C16" s="7" t="s">
        <v>1386</v>
      </c>
      <c r="D16" s="18"/>
      <c r="E16" s="5"/>
      <c r="F16" s="5"/>
      <c r="G16" s="5"/>
      <c r="H16" s="5"/>
      <c r="I16" s="5"/>
      <c r="J16" s="5"/>
      <c r="K16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{id:'n_gait_recognition_authentication'}) WITH a,b CREATE (a)-[r:HYPERONYM {name: a.name + ' → ' + b.name}]-&gt;(b);</v>
      </c>
    </row>
    <row r="17" spans="1:11" ht="13.25" hidden="1" customHeight="1" thickTop="1" thickBot="1" x14ac:dyDescent="0.4">
      <c r="A17" s="7" t="s">
        <v>1382</v>
      </c>
      <c r="B17" s="12" t="s">
        <v>1321</v>
      </c>
      <c r="C17" s="7" t="s">
        <v>1387</v>
      </c>
      <c r="D17" s="23"/>
      <c r="E17" s="25"/>
      <c r="F17" s="25"/>
      <c r="G17" s="25"/>
      <c r="H17" s="25"/>
      <c r="I17" s="25"/>
      <c r="J17" s="25"/>
      <c r="K17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{id:'n_hand_gestures_recognition_authentication'}) WITH a,b CREATE (a)-[r:HYPERONYM {name: a.name + ' → ' + b.name}]-&gt;(b);</v>
      </c>
    </row>
    <row r="18" spans="1:11" ht="13.25" hidden="1" customHeight="1" thickTop="1" thickBot="1" x14ac:dyDescent="0.4">
      <c r="A18" s="24" t="s">
        <v>1395</v>
      </c>
      <c r="B18" s="23" t="s">
        <v>1321</v>
      </c>
      <c r="C18" s="7" t="s">
        <v>1387</v>
      </c>
      <c r="D18" s="18"/>
      <c r="E18" s="5"/>
      <c r="F18" s="5"/>
      <c r="G18" s="5"/>
      <c r="H18" s="5"/>
      <c r="I18" s="5"/>
      <c r="J18" s="5"/>
      <c r="K18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{id:'n_hand_gestures_recognition_authentication'}) WITH a,b CREATE (a)-[r:HYPERONYM {name: a.name + ' → ' + b.name}]-&gt;(b);</v>
      </c>
    </row>
    <row r="19" spans="1:11" ht="13.25" hidden="1" customHeight="1" thickTop="1" thickBot="1" x14ac:dyDescent="0.4">
      <c r="A19" s="7" t="s">
        <v>1382</v>
      </c>
      <c r="B19" s="12" t="s">
        <v>1321</v>
      </c>
      <c r="C19" s="7" t="s">
        <v>1388</v>
      </c>
      <c r="D19" s="23"/>
      <c r="E19" s="25"/>
      <c r="F19" s="25"/>
      <c r="G19" s="25"/>
      <c r="H19" s="25"/>
      <c r="I19" s="25"/>
      <c r="J19" s="25"/>
      <c r="K19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{id:'n_heartbeats_recognition_authentication'}) WITH a,b CREATE (a)-[r:HYPERONYM {name: a.name + ' → ' + b.name}]-&gt;(b);</v>
      </c>
    </row>
    <row r="20" spans="1:11" ht="13.25" hidden="1" customHeight="1" thickTop="1" thickBot="1" x14ac:dyDescent="0.4">
      <c r="A20" s="24" t="s">
        <v>1395</v>
      </c>
      <c r="B20" s="23" t="s">
        <v>1321</v>
      </c>
      <c r="C20" s="7" t="s">
        <v>1388</v>
      </c>
      <c r="D20" s="18"/>
      <c r="E20" s="5"/>
      <c r="F20" s="5"/>
      <c r="G20" s="5"/>
      <c r="H20" s="5"/>
      <c r="I20" s="5"/>
      <c r="J20" s="5"/>
      <c r="K20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{id:'n_heartbeats_recognition_authentication'}) WITH a,b CREATE (a)-[r:HYPERONYM {name: a.name + ' → ' + b.name}]-&gt;(b);</v>
      </c>
    </row>
    <row r="21" spans="1:11" ht="13.25" customHeight="1" thickTop="1" thickBot="1" x14ac:dyDescent="0.4">
      <c r="A21" s="3" t="s">
        <v>4</v>
      </c>
      <c r="B21" s="3" t="s">
        <v>1321</v>
      </c>
      <c r="C21" s="3" t="s">
        <v>1335</v>
      </c>
      <c r="D21" s="10"/>
      <c r="E21" s="3"/>
      <c r="F21" s="3"/>
      <c r="K21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{id:'n_authentication_factor'}), (b {id:'n_inherence_factor'}) WITH a,b CREATE (a)-[r:HYPERONYM {name: a.name + ' → ' + b.name}]-&gt;(b);</v>
      </c>
    </row>
    <row r="22" spans="1:11" ht="13.25" hidden="1" customHeight="1" thickTop="1" thickBot="1" x14ac:dyDescent="0.4">
      <c r="A22" s="7" t="s">
        <v>1382</v>
      </c>
      <c r="B22" s="12" t="s">
        <v>1321</v>
      </c>
      <c r="C22" s="7" t="s">
        <v>1389</v>
      </c>
      <c r="D22" s="23"/>
      <c r="E22" s="25"/>
      <c r="F22" s="25"/>
      <c r="G22" s="25"/>
      <c r="H22" s="25"/>
      <c r="I22" s="25"/>
      <c r="J22" s="25"/>
      <c r="K22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{id:'n_iris_recognition_authentication'}) WITH a,b CREATE (a)-[r:HYPERONYM {name: a.name + ' → ' + b.name}]-&gt;(b);</v>
      </c>
    </row>
    <row r="23" spans="1:11" ht="13.25" hidden="1" customHeight="1" thickTop="1" thickBot="1" x14ac:dyDescent="0.4">
      <c r="A23" s="24" t="s">
        <v>1395</v>
      </c>
      <c r="B23" s="23" t="s">
        <v>1321</v>
      </c>
      <c r="C23" s="7" t="s">
        <v>1389</v>
      </c>
      <c r="D23" s="18"/>
      <c r="E23" s="5"/>
      <c r="F23" s="5"/>
      <c r="G23" s="5"/>
      <c r="H23" s="5"/>
      <c r="I23" s="5"/>
      <c r="J23" s="5"/>
      <c r="K23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{id:'n_iris_recognition_authentication'}) WITH a,b CREATE (a)-[r:HYPERONYM {name: a.name + ' → ' + b.name}]-&gt;(b);</v>
      </c>
    </row>
    <row r="24" spans="1:11" ht="13.25" hidden="1" customHeight="1" thickTop="1" thickBot="1" x14ac:dyDescent="0.4">
      <c r="A24" s="7" t="s">
        <v>1382</v>
      </c>
      <c r="B24" s="23" t="s">
        <v>1321</v>
      </c>
      <c r="C24" s="7" t="s">
        <v>1360</v>
      </c>
      <c r="D24" s="23"/>
      <c r="E24" s="25"/>
      <c r="F24" s="25"/>
      <c r="G24" s="25"/>
      <c r="H24" s="25"/>
      <c r="I24" s="25"/>
      <c r="J24" s="25"/>
      <c r="K24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{id:'n_keystroke_recognition_authentication'}) WITH a,b CREATE (a)-[r:HYPERONYM {name: a.name + ' → ' + b.name}]-&gt;(b);</v>
      </c>
    </row>
    <row r="25" spans="1:11" ht="13.25" hidden="1" customHeight="1" thickTop="1" thickBot="1" x14ac:dyDescent="0.4">
      <c r="A25" s="24" t="s">
        <v>1395</v>
      </c>
      <c r="B25" s="23" t="s">
        <v>1321</v>
      </c>
      <c r="C25" s="7" t="s">
        <v>1360</v>
      </c>
      <c r="D25" s="23"/>
      <c r="E25" s="25"/>
      <c r="F25" s="25"/>
      <c r="G25" s="25"/>
      <c r="H25" s="25"/>
      <c r="I25" s="25"/>
      <c r="J25" s="25"/>
      <c r="K25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{id:'n_keystroke_recognition_authentication'}) WITH a,b CREATE (a)-[r:HYPERONYM {name: a.name + ' → ' + b.name}]-&gt;(b);</v>
      </c>
    </row>
    <row r="26" spans="1:11" ht="13.25" customHeight="1" thickTop="1" thickBot="1" x14ac:dyDescent="0.4">
      <c r="A26" s="3" t="s">
        <v>4</v>
      </c>
      <c r="B26" s="3" t="s">
        <v>1321</v>
      </c>
      <c r="C26" s="7" t="s">
        <v>6</v>
      </c>
      <c r="D26" s="12"/>
      <c r="E26" s="8"/>
      <c r="F26" s="8"/>
      <c r="G26" s="8"/>
      <c r="H26" s="8"/>
      <c r="I26" s="8"/>
      <c r="J26" s="8"/>
      <c r="K26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{id:'n_authentication_factor'}), (b {id:'n_knowledge_factor'}) WITH a,b CREATE (a)-[r:HYPERONYM {name: a.name + ' → ' + b.name}]-&gt;(b);</v>
      </c>
    </row>
    <row r="27" spans="1:11" ht="13.25" hidden="1" customHeight="1" thickTop="1" thickBot="1" x14ac:dyDescent="0.4">
      <c r="A27" s="7" t="s">
        <v>1382</v>
      </c>
      <c r="B27" s="12" t="s">
        <v>1321</v>
      </c>
      <c r="C27" s="7" t="s">
        <v>1390</v>
      </c>
      <c r="D27" s="23"/>
      <c r="E27" s="25"/>
      <c r="F27" s="25"/>
      <c r="G27" s="25"/>
      <c r="H27" s="25"/>
      <c r="I27" s="25"/>
      <c r="J27" s="25"/>
      <c r="K27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{id:'n_knuckleprint_recognition_authentication'}) WITH a,b CREATE (a)-[r:HYPERONYM {name: a.name + ' → ' + b.name}]-&gt;(b);</v>
      </c>
    </row>
    <row r="28" spans="1:11" ht="13.25" hidden="1" customHeight="1" thickTop="1" thickBot="1" x14ac:dyDescent="0.4">
      <c r="A28" s="24" t="s">
        <v>1395</v>
      </c>
      <c r="B28" s="23" t="s">
        <v>1321</v>
      </c>
      <c r="C28" s="7" t="s">
        <v>1390</v>
      </c>
      <c r="D28" s="18"/>
      <c r="E28" s="5"/>
      <c r="F28" s="5"/>
      <c r="G28" s="5"/>
      <c r="H28" s="5"/>
      <c r="I28" s="5"/>
      <c r="J28" s="5"/>
      <c r="K28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{id:'n_knuckleprint_recognition_authentication'}) WITH a,b CREATE (a)-[r:HYPERONYM {name: a.name + ' → ' + b.name}]-&gt;(b);</v>
      </c>
    </row>
    <row r="29" spans="1:11" ht="13.25" customHeight="1" thickTop="1" thickBot="1" x14ac:dyDescent="0.4">
      <c r="A29" s="3" t="s">
        <v>4</v>
      </c>
      <c r="B29" s="3" t="s">
        <v>1321</v>
      </c>
      <c r="C29" s="7" t="s">
        <v>1339</v>
      </c>
      <c r="D29" s="12"/>
      <c r="E29" s="8"/>
      <c r="F29" s="8"/>
      <c r="G29" s="8"/>
      <c r="H29" s="8"/>
      <c r="I29" s="8"/>
      <c r="J29" s="8"/>
      <c r="K29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{id:'n_authentication_factor'}), (b {id:'n_location_factor'}) WITH a,b CREATE (a)-[r:HYPERONYM {name: a.name + ' → ' + b.name}]-&gt;(b);</v>
      </c>
    </row>
    <row r="30" spans="1:11" ht="13.25" hidden="1" customHeight="1" thickTop="1" thickBot="1" x14ac:dyDescent="0.4">
      <c r="A30" s="7" t="s">
        <v>1382</v>
      </c>
      <c r="B30" s="12" t="s">
        <v>1321</v>
      </c>
      <c r="C30" s="7" t="s">
        <v>1391</v>
      </c>
      <c r="D30" s="23"/>
      <c r="E30" s="25"/>
      <c r="F30" s="25"/>
      <c r="G30" s="25"/>
      <c r="H30" s="25"/>
      <c r="I30" s="25"/>
      <c r="J30" s="25"/>
      <c r="K30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{id:'n_multi_model_biometric_authentication'}) WITH a,b CREATE (a)-[r:HYPERONYM {name: a.name + ' → ' + b.name}]-&gt;(b);</v>
      </c>
    </row>
    <row r="31" spans="1:11" ht="13.25" hidden="1" customHeight="1" thickTop="1" thickBot="1" x14ac:dyDescent="0.4">
      <c r="A31" s="24" t="s">
        <v>1395</v>
      </c>
      <c r="B31" s="23" t="s">
        <v>1321</v>
      </c>
      <c r="C31" s="7" t="s">
        <v>1391</v>
      </c>
      <c r="D31" s="18"/>
      <c r="E31" s="5"/>
      <c r="F31" s="5"/>
      <c r="G31" s="5"/>
      <c r="H31" s="5"/>
      <c r="I31" s="5"/>
      <c r="J31" s="5"/>
      <c r="K31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{id:'n_multi_model_biometric_authentication'}) WITH a,b CREATE (a)-[r:HYPERONYM {name: a.name + ' → ' + b.name}]-&gt;(b);</v>
      </c>
    </row>
    <row r="32" spans="1:11" ht="13.25" hidden="1" customHeight="1" thickTop="1" thickBot="1" x14ac:dyDescent="0.4">
      <c r="A32" s="7" t="s">
        <v>1382</v>
      </c>
      <c r="B32" s="12" t="s">
        <v>1321</v>
      </c>
      <c r="C32" s="7" t="s">
        <v>1392</v>
      </c>
      <c r="D32" s="23"/>
      <c r="E32" s="25"/>
      <c r="F32" s="25"/>
      <c r="G32" s="25"/>
      <c r="H32" s="25"/>
      <c r="I32" s="25"/>
      <c r="J32" s="25"/>
      <c r="K32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{id:'n_palmprint_recognition_authentication'}) WITH a,b CREATE (a)-[r:HYPERONYM {name: a.name + ' → ' + b.name}]-&gt;(b);</v>
      </c>
    </row>
    <row r="33" spans="1:11" ht="13.25" hidden="1" customHeight="1" thickTop="1" thickBot="1" x14ac:dyDescent="0.4">
      <c r="A33" s="24" t="s">
        <v>1395</v>
      </c>
      <c r="B33" s="23" t="s">
        <v>1321</v>
      </c>
      <c r="C33" s="7" t="s">
        <v>1392</v>
      </c>
      <c r="D33" s="18"/>
      <c r="E33" s="5"/>
      <c r="F33" s="5"/>
      <c r="G33" s="5"/>
      <c r="H33" s="5"/>
      <c r="I33" s="5"/>
      <c r="J33" s="5"/>
      <c r="K33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{id:'n_palmprint_recognition_authentication'}) WITH a,b CREATE (a)-[r:HYPERONYM {name: a.name + ' → ' + b.name}]-&gt;(b);</v>
      </c>
    </row>
    <row r="34" spans="1:11" ht="13.25" customHeight="1" thickTop="1" thickBot="1" x14ac:dyDescent="0.4">
      <c r="A34" s="3" t="s">
        <v>4</v>
      </c>
      <c r="B34" s="3" t="s">
        <v>1321</v>
      </c>
      <c r="C34" s="7" t="s">
        <v>1337</v>
      </c>
      <c r="D34" s="12"/>
      <c r="E34" s="8"/>
      <c r="F34" s="8"/>
      <c r="G34" s="8"/>
      <c r="H34" s="8"/>
      <c r="I34" s="8"/>
      <c r="J34" s="8"/>
      <c r="K34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{id:'n_authentication_factor'}), (b {id:'n_possession_factor'}) WITH a,b CREATE (a)-[r:HYPERONYM {name: a.name + ' → ' + b.name}]-&gt;(b);</v>
      </c>
    </row>
    <row r="35" spans="1:11" ht="13.25" customHeight="1" thickTop="1" thickBot="1" x14ac:dyDescent="0.4">
      <c r="A35" s="3" t="s">
        <v>4</v>
      </c>
      <c r="B35" s="3" t="s">
        <v>1321</v>
      </c>
      <c r="C35" s="7" t="s">
        <v>1342</v>
      </c>
      <c r="D35" s="12"/>
      <c r="E35" s="8"/>
      <c r="F35" s="8"/>
      <c r="G35" s="8"/>
      <c r="H35" s="8"/>
      <c r="I35" s="8"/>
      <c r="J35" s="8"/>
      <c r="K35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{id:'n_authentication_factor'}), (b {id:'n_time_factor'}) WITH a,b CREATE (a)-[r:HYPERONYM {name: a.name + ' → ' + b.name}]-&gt;(b);</v>
      </c>
    </row>
    <row r="36" spans="1:11" ht="13.25" hidden="1" customHeight="1" thickTop="1" thickBot="1" x14ac:dyDescent="0.4">
      <c r="A36" s="7" t="s">
        <v>1360</v>
      </c>
      <c r="B36" s="12" t="s">
        <v>1333</v>
      </c>
      <c r="C36" s="7" t="s">
        <v>1361</v>
      </c>
      <c r="D36" s="12"/>
      <c r="E36" s="8"/>
      <c r="F36" s="8"/>
      <c r="G36" s="8"/>
      <c r="H36" s="8"/>
      <c r="I36" s="8"/>
      <c r="J36" s="8"/>
      <c r="K36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{id:'n_keystroke_recognition_authentication'}), (b {id:'n_touchstroke_recognition_authentication'}) WITH a,b CREATE (a)-[r:SYNONYM {name: a.name + ' → ' + b.name}]-&gt;(b);</v>
      </c>
    </row>
    <row r="37" spans="1:11" ht="13.25" hidden="1" customHeight="1" thickTop="1" thickBot="1" x14ac:dyDescent="0.4">
      <c r="A37" s="7" t="s">
        <v>1382</v>
      </c>
      <c r="B37" s="12" t="s">
        <v>1321</v>
      </c>
      <c r="C37" s="7" t="s">
        <v>1361</v>
      </c>
      <c r="D37" s="23"/>
      <c r="E37" s="25"/>
      <c r="F37" s="25"/>
      <c r="G37" s="25"/>
      <c r="H37" s="25"/>
      <c r="I37" s="25"/>
      <c r="J37" s="25"/>
      <c r="K37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{id:'n_touchstroke_recognition_authentication'}) WITH a,b CREATE (a)-[r:HYPERONYM {name: a.name + ' → ' + b.name}]-&gt;(b);</v>
      </c>
    </row>
    <row r="38" spans="1:11" ht="13.25" hidden="1" customHeight="1" thickTop="1" thickBot="1" x14ac:dyDescent="0.4">
      <c r="A38" s="24" t="s">
        <v>1395</v>
      </c>
      <c r="B38" s="23" t="s">
        <v>1321</v>
      </c>
      <c r="C38" s="7" t="s">
        <v>1361</v>
      </c>
      <c r="D38" s="18"/>
      <c r="E38" s="5"/>
      <c r="F38" s="5"/>
      <c r="G38" s="5"/>
      <c r="H38" s="5"/>
      <c r="I38" s="5"/>
      <c r="J38" s="5"/>
      <c r="K38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{id:'n_touchstroke_recognition_authentication'}) WITH a,b CREATE (a)-[r:HYPERONYM {name: a.name + ' → ' + b.name}]-&gt;(b);</v>
      </c>
    </row>
    <row r="39" spans="1:11" ht="13.25" hidden="1" customHeight="1" thickTop="1" thickBot="1" x14ac:dyDescent="0.4">
      <c r="A39" s="7" t="s">
        <v>1382</v>
      </c>
      <c r="B39" s="12" t="s">
        <v>1321</v>
      </c>
      <c r="C39" s="7" t="s">
        <v>1393</v>
      </c>
      <c r="D39" s="23"/>
      <c r="E39" s="25"/>
      <c r="F39" s="25"/>
      <c r="G39" s="25"/>
      <c r="H39" s="25"/>
      <c r="I39" s="25"/>
      <c r="J39" s="25"/>
      <c r="K39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{id:'n_voice_recognition_authentication'}) WITH a,b CREATE (a)-[r:HYPERONYM {name: a.name + ' → ' + b.name}]-&gt;(b);</v>
      </c>
    </row>
    <row r="40" spans="1:11" ht="13.25" hidden="1" customHeight="1" thickTop="1" thickBot="1" x14ac:dyDescent="0.4">
      <c r="A40" s="24" t="s">
        <v>1395</v>
      </c>
      <c r="B40" s="23" t="s">
        <v>1321</v>
      </c>
      <c r="C40" s="7" t="s">
        <v>1393</v>
      </c>
      <c r="D40" s="18"/>
      <c r="E40" s="5"/>
      <c r="F40" s="5"/>
      <c r="G40" s="5"/>
      <c r="H40" s="5"/>
      <c r="I40" s="5"/>
      <c r="J40" s="5"/>
      <c r="K40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{id:'n_voice_recognition_authentication'}) WITH a,b CREATE (a)-[r:HYPERONYM {name: a.name + ' → ' + b.name}]-&gt;(b);</v>
      </c>
    </row>
    <row r="41" spans="1:11" ht="13.25" customHeight="1" thickTop="1" x14ac:dyDescent="0.35"/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65BD9FB-E20B-4B58-BBBE-2C9A28CA5372}">
          <x14:formula1>
            <xm:f>Sheet2!$A$5:$A$9</xm:f>
          </x14:formula1>
          <xm:sqref>B7:B40</xm:sqref>
        </x14:dataValidation>
        <x14:dataValidation type="list" allowBlank="1" showInputMessage="1" showErrorMessage="1" xr:uid="{BC372651-8CAD-4766-ABC6-4724526C3382}">
          <x14:formula1>
            <xm:f>Nodes!$A$3:$A$474</xm:f>
          </x14:formula1>
          <xm:sqref>C7:C40 A7:A40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06027-0DEF-4930-B76D-4312DC2A97A4}">
  <sheetPr codeName="Sheet8"/>
  <dimension ref="A3:A5"/>
  <sheetViews>
    <sheetView workbookViewId="0">
      <selection activeCell="A5" sqref="A5"/>
    </sheetView>
  </sheetViews>
  <sheetFormatPr defaultRowHeight="12.75" x14ac:dyDescent="0.35"/>
  <cols>
    <col min="1" max="1" width="129.06640625" customWidth="1"/>
  </cols>
  <sheetData>
    <row r="3" spans="1:1" ht="13.5" thickBot="1" x14ac:dyDescent="0.45">
      <c r="A3" s="20" t="s">
        <v>2</v>
      </c>
    </row>
    <row r="4" spans="1:1" ht="16.149999999999999" thickTop="1" thickBot="1" x14ac:dyDescent="0.4">
      <c r="A4" s="21" t="s">
        <v>1401</v>
      </c>
    </row>
    <row r="5" spans="1:1" ht="15.75" thickTop="1" x14ac:dyDescent="0.35">
      <c r="A5" s="2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/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15" t="s">
        <v>1300</v>
      </c>
    </row>
    <row r="4" spans="1:3" x14ac:dyDescent="0.35">
      <c r="A4" s="15" t="s">
        <v>552</v>
      </c>
      <c r="B4" s="15" t="s">
        <v>551</v>
      </c>
      <c r="C4" s="15" t="s">
        <v>550</v>
      </c>
    </row>
    <row r="5" spans="1:3" x14ac:dyDescent="0.35">
      <c r="A5" s="13" t="s">
        <v>35</v>
      </c>
      <c r="B5" t="str">
        <f>SUBSTITUTE(CLEAN(A5)," (Dictionary Entry)","")</f>
        <v>4-Eyes Principle</v>
      </c>
      <c r="C5" s="14" t="str" cm="1">
        <f t="array" ref="C5">GetHyperlinkAddress(A5)</f>
        <v>https://open-measure.atlassian.net/wiki/spaces/DIC/pages/805175450/4-Eyes+Principle</v>
      </c>
    </row>
    <row r="6" spans="1:3" x14ac:dyDescent="0.35">
      <c r="A6" s="13" t="s">
        <v>36</v>
      </c>
      <c r="B6" t="str">
        <f t="shared" ref="B6:B69" si="0">SUBSTITUTE(CLEAN(A6)," (Dictionary Entry)","")</f>
        <v>Absolute Scale</v>
      </c>
      <c r="C6" s="14" t="str" cm="1">
        <f t="array" ref="C6">GetHyperlinkAddress(A6)</f>
        <v>https://open-measure.atlassian.net/wiki/spaces/DIC/pages/5932924/Absolute+Scale</v>
      </c>
    </row>
    <row r="7" spans="1:3" x14ac:dyDescent="0.35">
      <c r="A7" s="13" t="s">
        <v>37</v>
      </c>
      <c r="B7" t="str">
        <f t="shared" si="0"/>
        <v>Access</v>
      </c>
      <c r="C7" s="14" t="str" cm="1">
        <f t="array" ref="C7">GetHyperlinkAddress(A7)</f>
        <v>https://open-measure.atlassian.net/wiki/spaces/DIC/pages/123962347/Access</v>
      </c>
    </row>
    <row r="8" spans="1:3" x14ac:dyDescent="0.35">
      <c r="A8" s="13" t="s">
        <v>38</v>
      </c>
      <c r="B8" t="str">
        <f t="shared" si="0"/>
        <v>Access Audit</v>
      </c>
      <c r="C8" s="14" t="str" cm="1">
        <f t="array" ref="C8">GetHyperlinkAddress(A8)</f>
        <v>https://open-measure.atlassian.net/wiki/spaces/DIC/pages/1121878227</v>
      </c>
    </row>
    <row r="9" spans="1:3" x14ac:dyDescent="0.35">
      <c r="A9" s="13" t="s">
        <v>39</v>
      </c>
      <c r="B9" t="str">
        <f t="shared" si="0"/>
        <v>Access Continuum</v>
      </c>
      <c r="C9" s="14" t="str" cm="1">
        <f t="array" ref="C9">GetHyperlinkAddress(A9)</f>
        <v>https://open-measure.atlassian.net/wiki/spaces/DIC/pages/1034223816/Access+Continuum</v>
      </c>
    </row>
    <row r="10" spans="1:3" x14ac:dyDescent="0.35">
      <c r="A10" s="13" t="s">
        <v>40</v>
      </c>
      <c r="B10" t="str">
        <f t="shared" si="0"/>
        <v>Access Control</v>
      </c>
      <c r="C10" s="14" t="str" cm="1">
        <f t="array" ref="C10">GetHyperlinkAddress(A10)</f>
        <v>https://open-measure.atlassian.net/wiki/spaces/DIC/pages/427163781</v>
      </c>
    </row>
    <row r="11" spans="1:3" x14ac:dyDescent="0.35">
      <c r="A11" s="13" t="s">
        <v>41</v>
      </c>
      <c r="B11" t="str">
        <f t="shared" si="0"/>
        <v>Access Control List</v>
      </c>
      <c r="C11" s="14" t="str" cm="1">
        <f t="array" ref="C11">GetHyperlinkAddress(A11)</f>
        <v>https://open-measure.atlassian.net/wiki/spaces/DIC/pages/822345754</v>
      </c>
    </row>
    <row r="12" spans="1:3" x14ac:dyDescent="0.35">
      <c r="A12" s="13" t="s">
        <v>42</v>
      </c>
      <c r="B12" t="str">
        <f t="shared" si="0"/>
        <v>Access Control Mechanism</v>
      </c>
      <c r="C12" s="14" t="str" cm="1">
        <f t="array" ref="C12">GetHyperlinkAddress(A12)</f>
        <v>https://open-measure.atlassian.net/wiki/spaces/DIC/pages/67633606</v>
      </c>
    </row>
    <row r="13" spans="1:3" x14ac:dyDescent="0.35">
      <c r="A13" s="13" t="s">
        <v>43</v>
      </c>
      <c r="B13" t="str">
        <f t="shared" si="0"/>
        <v>Access Control Model</v>
      </c>
      <c r="C13" s="14" t="str" cm="1">
        <f t="array" ref="C13">GetHyperlinkAddress(A13)</f>
        <v>https://open-measure.atlassian.net/wiki/spaces/DIC/pages/67699193</v>
      </c>
    </row>
    <row r="14" spans="1:3" x14ac:dyDescent="0.35">
      <c r="A14" s="13" t="s">
        <v>44</v>
      </c>
      <c r="B14" t="str">
        <f t="shared" si="0"/>
        <v>Access Control Policy</v>
      </c>
      <c r="C14" s="14" t="str" cm="1">
        <f t="array" ref="C14">GetHyperlinkAddress(A14)</f>
        <v>https://open-measure.atlassian.net/wiki/spaces/DIC/pages/67633597</v>
      </c>
    </row>
    <row r="15" spans="1:3" x14ac:dyDescent="0.35">
      <c r="A15" s="13" t="s">
        <v>45</v>
      </c>
      <c r="B15" t="str">
        <f t="shared" si="0"/>
        <v>Access Granularity</v>
      </c>
      <c r="C15" s="14" t="str" cm="1">
        <f t="array" ref="C15">GetHyperlinkAddress(A15)</f>
        <v>https://open-measure.atlassian.net/wiki/spaces/DIC/pages/1006632974</v>
      </c>
    </row>
    <row r="16" spans="1:3" x14ac:dyDescent="0.35">
      <c r="A16" s="13" t="s">
        <v>46</v>
      </c>
      <c r="B16" t="str">
        <f t="shared" si="0"/>
        <v>Access Privilege</v>
      </c>
      <c r="C16" s="14" t="str" cm="1">
        <f t="array" ref="C16">GetHyperlinkAddress(A16)</f>
        <v>https://open-measure.atlassian.net/wiki/spaces/DIC/pages/1122631723</v>
      </c>
    </row>
    <row r="17" spans="1:3" x14ac:dyDescent="0.35">
      <c r="A17" s="13" t="s">
        <v>47</v>
      </c>
      <c r="B17" t="str">
        <f t="shared" si="0"/>
        <v>Access Right</v>
      </c>
      <c r="C17" s="14" t="str" cm="1">
        <f t="array" ref="C17">GetHyperlinkAddress(A17)</f>
        <v>https://open-measure.atlassian.net/wiki/spaces/DIC/pages/1122599013</v>
      </c>
    </row>
    <row r="18" spans="1:3" x14ac:dyDescent="0.35">
      <c r="A18" s="13" t="s">
        <v>48</v>
      </c>
      <c r="B18" t="str">
        <f t="shared" si="0"/>
        <v>Access Rights Management</v>
      </c>
      <c r="C18" s="14" t="str" cm="1">
        <f t="array" ref="C18">GetHyperlinkAddress(A18)</f>
        <v>https://open-measure.atlassian.net/wiki/spaces/DIC/pages/1704003</v>
      </c>
    </row>
    <row r="19" spans="1:3" x14ac:dyDescent="0.35">
      <c r="A19" s="13" t="s">
        <v>49</v>
      </c>
      <c r="B19" t="str">
        <f t="shared" si="0"/>
        <v>Access Token</v>
      </c>
      <c r="C19" s="14" t="str" cm="1">
        <f t="array" ref="C19">GetHyperlinkAddress(A19)</f>
        <v>https://open-measure.atlassian.net/wiki/spaces/DIC/pages/1600684040/Access+Token</v>
      </c>
    </row>
    <row r="20" spans="1:3" x14ac:dyDescent="0.35">
      <c r="A20" s="13" t="s">
        <v>50</v>
      </c>
      <c r="B20" t="str">
        <f t="shared" si="0"/>
        <v>Account</v>
      </c>
      <c r="C20" s="14" t="str" cm="1">
        <f t="array" ref="C20">GetHyperlinkAddress(A20)</f>
        <v>https://open-measure.atlassian.net/wiki/spaces/DIC/pages/461308120/Account</v>
      </c>
    </row>
    <row r="21" spans="1:3" x14ac:dyDescent="0.35">
      <c r="A21" s="13" t="s">
        <v>52</v>
      </c>
      <c r="B21" t="str">
        <f t="shared" si="0"/>
        <v>Account Lockout Policy</v>
      </c>
      <c r="C21" s="14" t="str" cm="1">
        <f t="array" ref="C21">GetHyperlinkAddress(A21)</f>
        <v>https://open-measure.atlassian.net/wiki/spaces/DIC/pages/67699360</v>
      </c>
    </row>
    <row r="22" spans="1:3" x14ac:dyDescent="0.35">
      <c r="A22" s="13" t="s">
        <v>53</v>
      </c>
      <c r="B22" t="str">
        <f t="shared" si="0"/>
        <v>Account Management</v>
      </c>
      <c r="C22" s="14" t="str" cm="1">
        <f t="array" ref="C22">GetHyperlinkAddress(A22)</f>
        <v>https://open-measure.atlassian.net/wiki/spaces/DIC/pages/1146847331</v>
      </c>
    </row>
    <row r="23" spans="1:3" x14ac:dyDescent="0.35">
      <c r="A23" s="13" t="s">
        <v>8</v>
      </c>
      <c r="B23" t="str">
        <f t="shared" si="0"/>
        <v>Account Takeover</v>
      </c>
      <c r="C23" s="14" t="str" cm="1">
        <f t="array" ref="C23">GetHyperlinkAddress(A23)</f>
        <v>https://open-measure.atlassian.net/wiki/spaces/DIC/pages/1079050286/Account+Takeover</v>
      </c>
    </row>
    <row r="24" spans="1:3" x14ac:dyDescent="0.35">
      <c r="A24" s="13" t="s">
        <v>51</v>
      </c>
      <c r="B24" t="str">
        <f t="shared" si="0"/>
        <v>Accountability (Dictionary Term)</v>
      </c>
      <c r="C24" s="14" t="str" cm="1">
        <f t="array" ref="C24">GetHyperlinkAddress(A24)</f>
        <v>https://open-measure.atlassian.net/wiki/spaces/DIC/pages/425623718</v>
      </c>
    </row>
    <row r="25" spans="1:3" x14ac:dyDescent="0.35">
      <c r="A25" s="13" t="s">
        <v>54</v>
      </c>
      <c r="B25" t="str">
        <f t="shared" si="0"/>
        <v>Accreditation</v>
      </c>
      <c r="C25" s="14" t="str" cm="1">
        <f t="array" ref="C25">GetHyperlinkAddress(A25)</f>
        <v>https://open-measure.atlassian.net/wiki/spaces/DIC/pages/446955580</v>
      </c>
    </row>
    <row r="26" spans="1:3" x14ac:dyDescent="0.35">
      <c r="A26" s="13" t="s">
        <v>55</v>
      </c>
      <c r="B26" t="str">
        <f t="shared" si="0"/>
        <v>Action Research</v>
      </c>
      <c r="C26" s="14" t="str" cm="1">
        <f t="array" ref="C26">GetHyperlinkAddress(A26)</f>
        <v>https://open-measure.atlassian.net/wiki/spaces/DIC/pages/73892144/Action+Research</v>
      </c>
    </row>
    <row r="27" spans="1:3" x14ac:dyDescent="0.35">
      <c r="A27" s="13" t="s">
        <v>56</v>
      </c>
      <c r="B27" t="str">
        <f t="shared" si="0"/>
        <v>Active Impersonation Attack</v>
      </c>
      <c r="C27" s="14" t="str" cm="1">
        <f t="array" ref="C27">GetHyperlinkAddress(A27)</f>
        <v>https://open-measure.atlassian.net/wiki/spaces/DIC/pages/974454812</v>
      </c>
    </row>
    <row r="28" spans="1:3" x14ac:dyDescent="0.35">
      <c r="A28" s="13" t="s">
        <v>57</v>
      </c>
      <c r="B28" t="str">
        <f t="shared" si="0"/>
        <v>Admissible Scale Transformation</v>
      </c>
      <c r="C28" s="14" t="str" cm="1">
        <f t="array" ref="C28">GetHyperlinkAddress(A28)</f>
        <v>https://open-measure.atlassian.net/wiki/spaces/DIC/pages/11141273</v>
      </c>
    </row>
    <row r="29" spans="1:3" x14ac:dyDescent="0.35">
      <c r="A29" s="13" t="s">
        <v>58</v>
      </c>
      <c r="B29" t="str">
        <f t="shared" si="0"/>
        <v>Algebra</v>
      </c>
      <c r="C29" s="14" t="str" cm="1">
        <f t="array" ref="C29">GetHyperlinkAddress(A29)</f>
        <v>https://open-measure.atlassian.net/wiki/spaces/DIC/pages/6030518</v>
      </c>
    </row>
    <row r="30" spans="1:3" x14ac:dyDescent="0.35">
      <c r="A30" s="13" t="s">
        <v>59</v>
      </c>
      <c r="B30" t="str">
        <f t="shared" si="0"/>
        <v>AP</v>
      </c>
      <c r="C30" s="14" t="str" cm="1">
        <f t="array" ref="C30">GetHyperlinkAddress(A30)</f>
        <v>https://open-measure.atlassian.net/wiki/spaces/DIC/pages/81101665/AP</v>
      </c>
    </row>
    <row r="31" spans="1:3" x14ac:dyDescent="0.35">
      <c r="A31" s="13" t="s">
        <v>60</v>
      </c>
      <c r="B31" t="str">
        <f t="shared" si="0"/>
        <v>Applicant</v>
      </c>
      <c r="C31" s="14" t="str" cm="1">
        <f t="array" ref="C31">GetHyperlinkAddress(A31)</f>
        <v>https://open-measure.atlassian.net/wiki/spaces/DIC/pages/848625750</v>
      </c>
    </row>
    <row r="32" spans="1:3" x14ac:dyDescent="0.35">
      <c r="A32" s="13" t="s">
        <v>61</v>
      </c>
      <c r="B32" t="str">
        <f t="shared" si="0"/>
        <v>Application</v>
      </c>
      <c r="C32" s="14" t="str" cm="1">
        <f t="array" ref="C32">GetHyperlinkAddress(A32)</f>
        <v>https://open-measure.atlassian.net/wiki/spaces/DIC/pages/5965602/Application</v>
      </c>
    </row>
    <row r="33" spans="1:3" x14ac:dyDescent="0.35">
      <c r="A33" s="13" t="s">
        <v>62</v>
      </c>
      <c r="B33" t="str">
        <f t="shared" si="0"/>
        <v>Application Administrator</v>
      </c>
      <c r="C33" s="14" t="str" cm="1">
        <f t="array" ref="C33">GetHyperlinkAddress(A33)</f>
        <v>https://open-measure.atlassian.net/wiki/spaces/DIC/pages/274236090</v>
      </c>
    </row>
    <row r="34" spans="1:3" x14ac:dyDescent="0.35">
      <c r="A34" s="13" t="s">
        <v>63</v>
      </c>
      <c r="B34" t="str">
        <f t="shared" si="0"/>
        <v>Application Instance</v>
      </c>
      <c r="C34" s="14" t="str" cm="1">
        <f t="array" ref="C34">GetHyperlinkAddress(A34)</f>
        <v>https://open-measure.atlassian.net/wiki/spaces/DIC/pages/834044036</v>
      </c>
    </row>
    <row r="35" spans="1:3" x14ac:dyDescent="0.35">
      <c r="A35" s="13" t="s">
        <v>65</v>
      </c>
      <c r="B35" t="str">
        <f t="shared" si="0"/>
        <v>Application Multiplexing</v>
      </c>
      <c r="C35" s="14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13" t="s">
        <v>66</v>
      </c>
      <c r="B36" t="str">
        <f t="shared" si="0"/>
        <v>Application Package</v>
      </c>
      <c r="C36" s="14" t="str" cm="1">
        <f t="array" ref="C36">GetHyperlinkAddress(A36)</f>
        <v>https://open-measure.atlassian.net/wiki/spaces/DIC/pages/5932704</v>
      </c>
    </row>
    <row r="37" spans="1:3" x14ac:dyDescent="0.35">
      <c r="A37" s="13" t="s">
        <v>67</v>
      </c>
      <c r="B37" t="str">
        <f t="shared" si="0"/>
        <v>Application Program</v>
      </c>
      <c r="C37" s="14" t="str" cm="1">
        <f t="array" ref="C37">GetHyperlinkAddress(A37)</f>
        <v>https://open-measure.atlassian.net/wiki/spaces/DIC/pages/6030793/Application+Program</v>
      </c>
    </row>
    <row r="38" spans="1:3" x14ac:dyDescent="0.35">
      <c r="A38" s="13" t="s">
        <v>64</v>
      </c>
      <c r="B38" t="str">
        <f t="shared" si="0"/>
        <v>Application-Level Policy</v>
      </c>
      <c r="C38" s="14" t="str" cm="1">
        <f t="array" ref="C38">GetHyperlinkAddress(A38)</f>
        <v>https://open-measure.atlassian.net/wiki/spaces/DIC/pages/1122631854</v>
      </c>
    </row>
    <row r="39" spans="1:3" x14ac:dyDescent="0.35">
      <c r="A39" s="13" t="s">
        <v>68</v>
      </c>
      <c r="B39" t="str">
        <f t="shared" si="0"/>
        <v>Archive</v>
      </c>
      <c r="C39" s="14" t="str" cm="1">
        <f t="array" ref="C39">GetHyperlinkAddress(A39)</f>
        <v>https://open-measure.atlassian.net/wiki/spaces/DIC/pages/425197720</v>
      </c>
    </row>
    <row r="40" spans="1:3" x14ac:dyDescent="0.35">
      <c r="A40" s="13" t="s">
        <v>69</v>
      </c>
      <c r="B40" t="str">
        <f t="shared" si="0"/>
        <v>ARM</v>
      </c>
      <c r="C40" s="14" t="str" cm="1">
        <f t="array" ref="C40">GetHyperlinkAddress(A40)</f>
        <v>https://open-measure.atlassian.net/wiki/spaces/DIC/pages/1703994/ARM</v>
      </c>
    </row>
    <row r="41" spans="1:3" x14ac:dyDescent="0.35">
      <c r="A41" s="13" t="s">
        <v>70</v>
      </c>
      <c r="B41" t="str">
        <f t="shared" si="0"/>
        <v>Asset Custody</v>
      </c>
      <c r="C41" s="14" t="str" cm="1">
        <f t="array" ref="C41">GetHyperlinkAddress(A41)</f>
        <v>https://open-measure.atlassian.net/wiki/spaces/DIC/pages/1094516867</v>
      </c>
    </row>
    <row r="42" spans="1:3" x14ac:dyDescent="0.35">
      <c r="A42" s="13" t="s">
        <v>71</v>
      </c>
      <c r="B42" t="str">
        <f t="shared" si="0"/>
        <v>Attestation</v>
      </c>
      <c r="C42" s="14" t="str" cm="1">
        <f t="array" ref="C42">GetHyperlinkAddress(A42)</f>
        <v>https://open-measure.atlassian.net/wiki/spaces/DIC/pages/1323368851/Attestation</v>
      </c>
    </row>
    <row r="43" spans="1:3" x14ac:dyDescent="0.35">
      <c r="A43" s="13" t="s">
        <v>72</v>
      </c>
      <c r="B43" t="str">
        <f t="shared" si="0"/>
        <v>Attribute (Dictionary Entry - IAM)</v>
      </c>
      <c r="C43" s="14" t="str" cm="1">
        <f t="array" ref="C43">GetHyperlinkAddress(A43)</f>
        <v>https://open-measure.atlassian.net/wiki/spaces/DIC/pages/409174161</v>
      </c>
    </row>
    <row r="44" spans="1:3" x14ac:dyDescent="0.35">
      <c r="A44" s="13" t="s">
        <v>73</v>
      </c>
      <c r="B44" t="str">
        <f t="shared" si="0"/>
        <v>Attribute Provider</v>
      </c>
      <c r="C44" s="14" t="str" cm="1">
        <f t="array" ref="C44">GetHyperlinkAddress(A44)</f>
        <v>https://open-measure.atlassian.net/wiki/spaces/DIC/pages/81101655</v>
      </c>
    </row>
    <row r="45" spans="1:3" x14ac:dyDescent="0.35">
      <c r="A45" s="13" t="s">
        <v>74</v>
      </c>
      <c r="B45" t="str">
        <f t="shared" si="0"/>
        <v>Authenticated Users</v>
      </c>
      <c r="C45" s="14" t="str" cm="1">
        <f t="array" ref="C45">GetHyperlinkAddress(A45)</f>
        <v>https://open-measure.atlassian.net/wiki/spaces/DIC/pages/966492169</v>
      </c>
    </row>
    <row r="46" spans="1:3" x14ac:dyDescent="0.35">
      <c r="A46" s="13" t="s">
        <v>75</v>
      </c>
      <c r="B46" t="str">
        <f t="shared" si="0"/>
        <v>Authentication</v>
      </c>
      <c r="C46" s="14" t="str" cm="1">
        <f t="array" ref="C46">GetHyperlinkAddress(A46)</f>
        <v>https://open-measure.atlassian.net/wiki/spaces/DIC/pages/61177884</v>
      </c>
    </row>
    <row r="47" spans="1:3" x14ac:dyDescent="0.35">
      <c r="A47" s="13" t="s">
        <v>76</v>
      </c>
      <c r="B47" t="str">
        <f t="shared" si="0"/>
        <v>Authentication Factor</v>
      </c>
      <c r="C47" s="14" t="str" cm="1">
        <f t="array" ref="C47">GetHyperlinkAddress(A47)</f>
        <v>https://open-measure.atlassian.net/wiki/spaces/DIC/pages/81199158</v>
      </c>
    </row>
    <row r="48" spans="1:3" x14ac:dyDescent="0.35">
      <c r="A48" s="13" t="s">
        <v>77</v>
      </c>
      <c r="B48" t="str">
        <f t="shared" si="0"/>
        <v>Authenticator</v>
      </c>
      <c r="C48" s="14" t="str" cm="1">
        <f t="array" ref="C48">GetHyperlinkAddress(A48)</f>
        <v>https://open-measure.atlassian.net/wiki/spaces/DIC/pages/848724060</v>
      </c>
    </row>
    <row r="49" spans="1:3" x14ac:dyDescent="0.35">
      <c r="A49" s="13" t="s">
        <v>78</v>
      </c>
      <c r="B49" t="str">
        <f t="shared" si="0"/>
        <v>Authority</v>
      </c>
      <c r="C49" s="14" t="str" cm="1">
        <f t="array" ref="C49">GetHyperlinkAddress(A49)</f>
        <v>https://open-measure.atlassian.net/wiki/spaces/DIC/pages/998178905</v>
      </c>
    </row>
    <row r="50" spans="1:3" x14ac:dyDescent="0.35">
      <c r="A50" s="13" t="s">
        <v>79</v>
      </c>
      <c r="B50" t="str">
        <f t="shared" si="0"/>
        <v>Authorization</v>
      </c>
      <c r="C50" s="14" t="str" cm="1">
        <f t="array" ref="C50">GetHyperlinkAddress(A50)</f>
        <v>https://open-measure.atlassian.net/wiki/spaces/DIC/pages/60882993</v>
      </c>
    </row>
    <row r="51" spans="1:3" x14ac:dyDescent="0.35">
      <c r="A51" s="13" t="s">
        <v>80</v>
      </c>
      <c r="B51" t="str">
        <f t="shared" si="0"/>
        <v>Authorization Externalization</v>
      </c>
      <c r="C51" s="14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13" t="s">
        <v>81</v>
      </c>
      <c r="B52" t="str">
        <f t="shared" si="0"/>
        <v>Awareness</v>
      </c>
      <c r="C52" s="14" t="str" cm="1">
        <f t="array" ref="C52">GetHyperlinkAddress(A52)</f>
        <v>https://open-measure.atlassian.net/wiki/spaces/DIC/pages/1311472</v>
      </c>
    </row>
    <row r="53" spans="1:3" x14ac:dyDescent="0.35">
      <c r="A53" s="13" t="s">
        <v>82</v>
      </c>
      <c r="B53" t="str">
        <f t="shared" si="0"/>
        <v>AWS Account Root User</v>
      </c>
      <c r="C53" s="14" t="str" cm="1">
        <f t="array" ref="C53">GetHyperlinkAddress(A53)</f>
        <v>https://open-measure.atlassian.net/wiki/spaces/DIC/pages/998277774</v>
      </c>
    </row>
    <row r="54" spans="1:3" x14ac:dyDescent="0.35">
      <c r="A54" s="13" t="s">
        <v>83</v>
      </c>
      <c r="B54" t="str">
        <f t="shared" si="0"/>
        <v>AWS ACL</v>
      </c>
      <c r="C54" s="14" t="str" cm="1">
        <f t="array" ref="C54">GetHyperlinkAddress(A54)</f>
        <v>https://open-measure.atlassian.net/wiki/spaces/DIC/pages/998245198</v>
      </c>
    </row>
    <row r="55" spans="1:3" x14ac:dyDescent="0.35">
      <c r="A55" s="13" t="s">
        <v>84</v>
      </c>
      <c r="B55" t="str">
        <f t="shared" si="0"/>
        <v>AWS IAM</v>
      </c>
      <c r="C55" s="14" t="str" cm="1">
        <f t="array" ref="C55">GetHyperlinkAddress(A55)</f>
        <v>https://open-measure.atlassian.net/wiki/spaces/DIC/pages/998277876</v>
      </c>
    </row>
    <row r="56" spans="1:3" x14ac:dyDescent="0.35">
      <c r="A56" s="13" t="s">
        <v>85</v>
      </c>
      <c r="B56" t="str">
        <f t="shared" si="0"/>
        <v>AWS IAM Group</v>
      </c>
      <c r="C56" s="14" t="str" cm="1">
        <f t="array" ref="C56">GetHyperlinkAddress(A56)</f>
        <v>https://open-measure.atlassian.net/wiki/spaces/DIC/pages/998277805</v>
      </c>
    </row>
    <row r="57" spans="1:3" x14ac:dyDescent="0.35">
      <c r="A57" s="13" t="s">
        <v>86</v>
      </c>
      <c r="B57" t="str">
        <f t="shared" si="0"/>
        <v>AWS IAM Policy</v>
      </c>
      <c r="C57" s="14" t="str" cm="1">
        <f t="array" ref="C57">GetHyperlinkAddress(A57)</f>
        <v>https://open-measure.atlassian.net/wiki/spaces/DIC/pages/998277852</v>
      </c>
    </row>
    <row r="58" spans="1:3" x14ac:dyDescent="0.35">
      <c r="A58" s="13" t="s">
        <v>87</v>
      </c>
      <c r="B58" t="str">
        <f t="shared" si="0"/>
        <v>AWS IAM Principal</v>
      </c>
      <c r="C58" s="14" t="str" cm="1">
        <f t="array" ref="C58">GetHyperlinkAddress(A58)</f>
        <v>https://open-measure.atlassian.net/wiki/spaces/DIC/pages/1071251573</v>
      </c>
    </row>
    <row r="59" spans="1:3" x14ac:dyDescent="0.35">
      <c r="A59" s="13" t="s">
        <v>88</v>
      </c>
      <c r="B59" t="str">
        <f t="shared" si="0"/>
        <v>AWS IAM Role</v>
      </c>
      <c r="C59" s="14" t="str" cm="1">
        <f t="array" ref="C59">GetHyperlinkAddress(A59)</f>
        <v>https://open-measure.atlassian.net/wiki/spaces/DIC/pages/998245151</v>
      </c>
    </row>
    <row r="60" spans="1:3" x14ac:dyDescent="0.35">
      <c r="A60" s="13" t="s">
        <v>89</v>
      </c>
      <c r="B60" t="str">
        <f t="shared" si="0"/>
        <v>AWS IAM Temporary Security Credentials</v>
      </c>
      <c r="C60" s="14" t="str" cm="1">
        <f t="array" ref="C60">GetHyperlinkAddress(A60)</f>
        <v>https://open-measure.atlassian.net/wiki/spaces/DIC/pages/998277835</v>
      </c>
    </row>
    <row r="61" spans="1:3" x14ac:dyDescent="0.35">
      <c r="A61" s="13" t="s">
        <v>90</v>
      </c>
      <c r="B61" t="str">
        <f t="shared" si="0"/>
        <v>AWS IAM User</v>
      </c>
      <c r="C61" s="14" t="str" cm="1">
        <f t="array" ref="C61">GetHyperlinkAddress(A61)</f>
        <v>https://open-measure.atlassian.net/wiki/spaces/DIC/pages/998245125</v>
      </c>
    </row>
    <row r="62" spans="1:3" x14ac:dyDescent="0.35">
      <c r="A62" s="13" t="s">
        <v>91</v>
      </c>
      <c r="B62" t="str">
        <f t="shared" si="0"/>
        <v>Axioms of Conjointness</v>
      </c>
      <c r="C62" s="14" t="str" cm="1">
        <f t="array" ref="C62">GetHyperlinkAddress(A62)</f>
        <v>https://open-measure.atlassian.net/wiki/spaces/DIC/pages/5899336</v>
      </c>
    </row>
    <row r="63" spans="1:3" x14ac:dyDescent="0.35">
      <c r="A63" s="13" t="s">
        <v>92</v>
      </c>
      <c r="B63" t="str">
        <f t="shared" si="0"/>
        <v>Axioms of Difference</v>
      </c>
      <c r="C63" s="14" t="str" cm="1">
        <f t="array" ref="C63">GetHyperlinkAddress(A63)</f>
        <v>https://open-measure.atlassian.net/wiki/spaces/DIC/pages/5899322</v>
      </c>
    </row>
    <row r="64" spans="1:3" x14ac:dyDescent="0.35">
      <c r="A64" s="13" t="s">
        <v>93</v>
      </c>
      <c r="B64" t="str">
        <f t="shared" si="0"/>
        <v>Axioms of Extension</v>
      </c>
      <c r="C64" s="14" t="str" cm="1">
        <f t="array" ref="C64">GetHyperlinkAddress(A64)</f>
        <v>https://open-measure.atlassian.net/wiki/spaces/DIC/pages/5932067</v>
      </c>
    </row>
    <row r="65" spans="1:3" x14ac:dyDescent="0.35">
      <c r="A65" s="13" t="s">
        <v>94</v>
      </c>
      <c r="B65" t="str">
        <f t="shared" si="0"/>
        <v>Axioms of Geometry</v>
      </c>
      <c r="C65" s="14" t="str" cm="1">
        <f t="array" ref="C65">GetHyperlinkAddress(A65)</f>
        <v>https://open-measure.atlassian.net/wiki/spaces/DIC/pages/5899351</v>
      </c>
    </row>
    <row r="66" spans="1:3" x14ac:dyDescent="0.35">
      <c r="A66" s="13" t="s">
        <v>95</v>
      </c>
      <c r="B66" t="str">
        <f t="shared" si="0"/>
        <v>Axioms of Order</v>
      </c>
      <c r="C66" s="14" t="str" cm="1">
        <f t="array" ref="C66">GetHyperlinkAddress(A66)</f>
        <v>https://open-measure.atlassian.net/wiki/spaces/DIC/pages/5965008</v>
      </c>
    </row>
    <row r="67" spans="1:3" x14ac:dyDescent="0.35">
      <c r="A67" s="13" t="s">
        <v>96</v>
      </c>
      <c r="B67" t="str">
        <f t="shared" si="0"/>
        <v>Balance</v>
      </c>
      <c r="C67" s="14" t="str" cm="1">
        <f t="array" ref="C67">GetHyperlinkAddress(A67)</f>
        <v>https://open-measure.atlassian.net/wiki/spaces/DIC/pages/59441158</v>
      </c>
    </row>
    <row r="68" spans="1:3" x14ac:dyDescent="0.35">
      <c r="A68" s="13" t="s">
        <v>97</v>
      </c>
      <c r="B68" t="str">
        <f t="shared" si="0"/>
        <v>BankID</v>
      </c>
      <c r="C68" s="14" t="str" cm="1">
        <f t="array" ref="C68">GetHyperlinkAddress(A68)</f>
        <v>https://open-measure.atlassian.net/wiki/spaces/DIC/pages/797933843</v>
      </c>
    </row>
    <row r="69" spans="1:3" x14ac:dyDescent="0.35">
      <c r="A69" s="13" t="s">
        <v>98</v>
      </c>
      <c r="B69" t="str">
        <f t="shared" si="0"/>
        <v>Basic Indicator</v>
      </c>
      <c r="C69" s="14" t="str" cm="1">
        <f t="array" ref="C69">GetHyperlinkAddress(A69)</f>
        <v>https://open-measure.atlassian.net/wiki/spaces/DIC/pages/43581631</v>
      </c>
    </row>
    <row r="70" spans="1:3" x14ac:dyDescent="0.35">
      <c r="A70" s="13" t="s">
        <v>99</v>
      </c>
      <c r="B70" t="str">
        <f t="shared" ref="B70:B133" si="1">SUBSTITUTE(CLEAN(A70)," (Dictionary Entry)","")</f>
        <v>Basic Z Rule</v>
      </c>
      <c r="C70" s="14" t="str" cm="1">
        <f t="array" ref="C70">GetHyperlinkAddress(A70)</f>
        <v>https://open-measure.atlassian.net/wiki/spaces/DIC/pages/1228079157</v>
      </c>
    </row>
    <row r="71" spans="1:3" x14ac:dyDescent="0.35">
      <c r="A71" s="13" t="s">
        <v>100</v>
      </c>
      <c r="B71" t="str">
        <f t="shared" si="1"/>
        <v>Behavioral Authentication</v>
      </c>
      <c r="C71" s="14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13" t="s">
        <v>101</v>
      </c>
      <c r="B72" t="str">
        <f t="shared" si="1"/>
        <v>Behavioural Indicator</v>
      </c>
      <c r="C72" s="14" t="str" cm="1">
        <f t="array" ref="C72">GetHyperlinkAddress(A72)</f>
        <v>https://open-measure.atlassian.net/wiki/spaces/DIC/pages/49250383</v>
      </c>
    </row>
    <row r="73" spans="1:3" x14ac:dyDescent="0.35">
      <c r="A73" s="13" t="s">
        <v>102</v>
      </c>
      <c r="B73" t="str">
        <f t="shared" si="1"/>
        <v>Bell-LaPadula Model</v>
      </c>
      <c r="C73" s="14" t="str" cm="1">
        <f t="array" ref="C73">GetHyperlinkAddress(A73)</f>
        <v>https://open-measure.atlassian.net/wiki/spaces/DIC/pages/1237549087/Bell-LaPadula+Model</v>
      </c>
    </row>
    <row r="74" spans="1:3" x14ac:dyDescent="0.35">
      <c r="A74" s="13" t="s">
        <v>103</v>
      </c>
      <c r="B74" t="str">
        <f t="shared" si="1"/>
        <v>Benchmarking</v>
      </c>
      <c r="C74" s="14" t="str" cm="1">
        <f t="array" ref="C74">GetHyperlinkAddress(A74)</f>
        <v>https://open-measure.atlassian.net/wiki/spaces/DIC/pages/1015823</v>
      </c>
    </row>
    <row r="75" spans="1:3" x14ac:dyDescent="0.35">
      <c r="A75" s="13" t="s">
        <v>104</v>
      </c>
      <c r="B75" t="str">
        <f t="shared" si="1"/>
        <v>Biometric Identification</v>
      </c>
      <c r="C75" s="14" t="str" cm="1">
        <f t="array" ref="C75">GetHyperlinkAddress(A75)</f>
        <v>https://open-measure.atlassian.net/wiki/spaces/DIC/pages/409174210</v>
      </c>
    </row>
    <row r="76" spans="1:3" x14ac:dyDescent="0.35">
      <c r="A76" s="13" t="s">
        <v>105</v>
      </c>
      <c r="B76" t="str">
        <f t="shared" si="1"/>
        <v>Biometrics</v>
      </c>
      <c r="C76" s="14" t="str" cm="1">
        <f t="array" ref="C76">GetHyperlinkAddress(A76)</f>
        <v>https://open-measure.atlassian.net/wiki/spaces/DIC/pages/409010581</v>
      </c>
    </row>
    <row r="77" spans="1:3" x14ac:dyDescent="0.35">
      <c r="A77" s="13" t="s">
        <v>106</v>
      </c>
      <c r="B77" t="str">
        <f t="shared" si="1"/>
        <v>Birth Certificate</v>
      </c>
      <c r="C77" s="14" t="str" cm="1">
        <f t="array" ref="C77">GetHyperlinkAddress(A77)</f>
        <v>https://open-measure.atlassian.net/wiki/spaces/DIC/pages/1031209441</v>
      </c>
    </row>
    <row r="78" spans="1:3" x14ac:dyDescent="0.35">
      <c r="A78" s="13" t="s">
        <v>107</v>
      </c>
      <c r="B78" t="str">
        <f t="shared" si="1"/>
        <v>Blast Radius</v>
      </c>
      <c r="C78" s="14" t="str" cm="1">
        <f t="array" ref="C78">GetHyperlinkAddress(A78)</f>
        <v>https://open-measure.atlassian.net/wiki/spaces/DIC/pages/794492970</v>
      </c>
    </row>
    <row r="79" spans="1:3" x14ac:dyDescent="0.35">
      <c r="A79" s="13" t="s">
        <v>108</v>
      </c>
      <c r="B79" t="str">
        <f t="shared" si="1"/>
        <v>Blockchain</v>
      </c>
      <c r="C79" s="14" t="str" cm="1">
        <f t="array" ref="C79">GetHyperlinkAddress(A79)</f>
        <v>https://open-measure.atlassian.net/wiki/spaces/DIC/pages/408944842</v>
      </c>
    </row>
    <row r="80" spans="1:3" x14ac:dyDescent="0.35">
      <c r="A80" s="13" t="s">
        <v>109</v>
      </c>
      <c r="B80" t="str">
        <f t="shared" si="1"/>
        <v>Boundary Control</v>
      </c>
      <c r="C80" s="14" t="str" cm="1">
        <f t="array" ref="C80">GetHyperlinkAddress(A80)</f>
        <v>https://open-measure.atlassian.net/wiki/spaces/DIC/pages/1571389777/Boundary+Control</v>
      </c>
    </row>
    <row r="81" spans="1:3" x14ac:dyDescent="0.35">
      <c r="A81" s="13" t="s">
        <v>110</v>
      </c>
      <c r="B81" t="str">
        <f t="shared" si="1"/>
        <v>Broker</v>
      </c>
      <c r="C81" s="14" t="str" cm="1">
        <f t="array" ref="C81">GetHyperlinkAddress(A81)</f>
        <v>https://open-measure.atlassian.net/wiki/spaces/DIC/pages/81101750</v>
      </c>
    </row>
    <row r="82" spans="1:3" x14ac:dyDescent="0.35">
      <c r="A82" s="13" t="s">
        <v>111</v>
      </c>
      <c r="B82" t="str">
        <f t="shared" si="1"/>
        <v>Brute Force Attack</v>
      </c>
      <c r="C82" s="14" t="str" cm="1">
        <f t="array" ref="C82">GetHyperlinkAddress(A82)</f>
        <v>https://open-measure.atlassian.net/wiki/spaces/DIC/pages/1348763687/Brute+Force+Attack</v>
      </c>
    </row>
    <row r="83" spans="1:3" x14ac:dyDescent="0.35">
      <c r="A83" s="13" t="s">
        <v>112</v>
      </c>
      <c r="B83" t="str">
        <f t="shared" si="1"/>
        <v>Built-in</v>
      </c>
      <c r="C83" s="14" t="str" cm="1">
        <f t="array" ref="C83">GetHyperlinkAddress(A83)</f>
        <v>https://open-measure.atlassian.net/wiki/spaces/DIC/pages/140772106</v>
      </c>
    </row>
    <row r="84" spans="1:3" x14ac:dyDescent="0.35">
      <c r="A84" s="13" t="s">
        <v>113</v>
      </c>
      <c r="B84" t="str">
        <f t="shared" si="1"/>
        <v>BZR</v>
      </c>
      <c r="C84" s="14" t="str" cm="1">
        <f t="array" ref="C84">GetHyperlinkAddress(A84)</f>
        <v>https://open-measure.atlassian.net/wiki/spaces/DIC/pages/1228079170/BZR</v>
      </c>
    </row>
    <row r="85" spans="1:3" x14ac:dyDescent="0.35">
      <c r="A85" s="13" t="s">
        <v>114</v>
      </c>
      <c r="B85" t="str">
        <f t="shared" si="1"/>
        <v>Cached Credential</v>
      </c>
      <c r="C85" s="14" t="str" cm="1">
        <f t="array" ref="C85">GetHyperlinkAddress(A85)</f>
        <v>https://open-measure.atlassian.net/wiki/spaces/DIC/pages/1254588417/Cached+Credential</v>
      </c>
    </row>
    <row r="86" spans="1:3" x14ac:dyDescent="0.35">
      <c r="A86" s="13" t="s">
        <v>115</v>
      </c>
      <c r="B86" t="str">
        <f t="shared" si="1"/>
        <v>Capability</v>
      </c>
      <c r="C86" s="14" t="str" cm="1">
        <f t="array" ref="C86">GetHyperlinkAddress(A86)</f>
        <v>https://open-measure.atlassian.net/wiki/spaces/DIC/pages/823394314</v>
      </c>
    </row>
    <row r="87" spans="1:3" x14ac:dyDescent="0.35">
      <c r="A87" s="13" t="s">
        <v>116</v>
      </c>
      <c r="B87" t="str">
        <f t="shared" si="1"/>
        <v>Cardinal Scale</v>
      </c>
      <c r="C87" s="14" t="str" cm="1">
        <f t="array" ref="C87">GetHyperlinkAddress(A87)</f>
        <v>https://open-measure.atlassian.net/wiki/spaces/DIC/pages/11567293</v>
      </c>
    </row>
    <row r="88" spans="1:3" x14ac:dyDescent="0.35">
      <c r="A88" s="13" t="s">
        <v>117</v>
      </c>
      <c r="B88" t="str">
        <f t="shared" si="1"/>
        <v>Categorical Scale</v>
      </c>
      <c r="C88" s="14" t="str" cm="1">
        <f t="array" ref="C88">GetHyperlinkAddress(A88)</f>
        <v>https://open-measure.atlassian.net/wiki/spaces/DIC/pages/5900130</v>
      </c>
    </row>
    <row r="89" spans="1:3" x14ac:dyDescent="0.35">
      <c r="A89" s="13" t="s">
        <v>118</v>
      </c>
      <c r="B89" t="str">
        <f t="shared" si="1"/>
        <v>CDD</v>
      </c>
      <c r="C89" s="14" t="str" cm="1">
        <f t="array" ref="C89">GetHyperlinkAddress(A89)</f>
        <v>https://open-measure.atlassian.net/wiki/spaces/DIC/pages/442466346/CDD</v>
      </c>
    </row>
    <row r="90" spans="1:3" x14ac:dyDescent="0.35">
      <c r="A90" s="13" t="s">
        <v>119</v>
      </c>
      <c r="B90" t="str">
        <f t="shared" si="1"/>
        <v>Centralized Identity Management System</v>
      </c>
      <c r="C90" s="14" t="str" cm="1">
        <f t="array" ref="C90">GetHyperlinkAddress(A90)</f>
        <v>https://open-measure.atlassian.net/wiki/spaces/DIC/pages/1152483641</v>
      </c>
    </row>
    <row r="91" spans="1:3" x14ac:dyDescent="0.35">
      <c r="A91" s="13" t="s">
        <v>120</v>
      </c>
      <c r="B91" t="str">
        <f t="shared" si="1"/>
        <v>Certification</v>
      </c>
      <c r="C91" s="14" t="str" cm="1">
        <f t="array" ref="C91">GetHyperlinkAddress(A91)</f>
        <v>https://open-measure.atlassian.net/wiki/spaces/DIC/pages/823459864</v>
      </c>
    </row>
    <row r="92" spans="1:3" x14ac:dyDescent="0.35">
      <c r="A92" s="13" t="s">
        <v>121</v>
      </c>
      <c r="B92" t="str">
        <f t="shared" si="1"/>
        <v>CIBA</v>
      </c>
      <c r="C92" s="14" t="str" cm="1">
        <f t="array" ref="C92">GetHyperlinkAddress(A92)</f>
        <v>https://open-measure.atlassian.net/wiki/spaces/DIC/pages/1290076214/CIBA</v>
      </c>
    </row>
    <row r="93" spans="1:3" x14ac:dyDescent="0.35">
      <c r="A93" s="13" t="s">
        <v>122</v>
      </c>
      <c r="B93" t="str">
        <f t="shared" si="1"/>
        <v>Claim</v>
      </c>
      <c r="C93" s="14" t="str" cm="1">
        <f t="array" ref="C93">GetHyperlinkAddress(A93)</f>
        <v>https://open-measure.atlassian.net/wiki/spaces/DIC/pages/1323499650/Claim</v>
      </c>
    </row>
    <row r="94" spans="1:3" x14ac:dyDescent="0.35">
      <c r="A94" s="13" t="s">
        <v>124</v>
      </c>
      <c r="B94" t="str">
        <f t="shared" si="1"/>
        <v>Claim Registry Model</v>
      </c>
      <c r="C94" s="14" t="str" cm="1">
        <f t="array" ref="C94">GetHyperlinkAddress(A94)</f>
        <v>https://open-measure.atlassian.net/wiki/spaces/DIC/pages/1309605928/Claim+Registry+Model</v>
      </c>
    </row>
    <row r="95" spans="1:3" x14ac:dyDescent="0.35">
      <c r="A95" s="13" t="s">
        <v>123</v>
      </c>
      <c r="B95" t="str">
        <f t="shared" si="1"/>
        <v>Claimant</v>
      </c>
      <c r="C95" s="14" t="str" cm="1">
        <f t="array" ref="C95">GetHyperlinkAddress(A95)</f>
        <v>https://open-measure.atlassian.net/wiki/spaces/DIC/pages/848363630</v>
      </c>
    </row>
    <row r="96" spans="1:3" x14ac:dyDescent="0.35">
      <c r="A96" s="13" t="s">
        <v>125</v>
      </c>
      <c r="B96" t="str">
        <f t="shared" si="1"/>
        <v>Classification</v>
      </c>
      <c r="C96" s="14" t="str" cm="1">
        <f t="array" ref="C96">GetHyperlinkAddress(A96)</f>
        <v>https://open-measure.atlassian.net/wiki/spaces/DIC/pages/140771387</v>
      </c>
    </row>
    <row r="97" spans="1:3" x14ac:dyDescent="0.35">
      <c r="A97" s="13" t="s">
        <v>126</v>
      </c>
      <c r="B97" t="str">
        <f t="shared" si="1"/>
        <v>Client Initiated Backchannel Authentication</v>
      </c>
      <c r="C97" s="14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13" t="s">
        <v>127</v>
      </c>
      <c r="B98" t="str">
        <f t="shared" si="1"/>
        <v>Cloud Identity Management System</v>
      </c>
      <c r="C98" s="14" t="str" cm="1">
        <f t="array" ref="C98">GetHyperlinkAddress(A98)</f>
        <v>https://open-measure.atlassian.net/wiki/spaces/DIC/pages/1152516136</v>
      </c>
    </row>
    <row r="99" spans="1:3" x14ac:dyDescent="0.35">
      <c r="A99" s="13" t="s">
        <v>128</v>
      </c>
      <c r="B99" t="str">
        <f t="shared" si="1"/>
        <v>Cloud IdMS</v>
      </c>
      <c r="C99" s="14" t="str" cm="1">
        <f t="array" ref="C99">GetHyperlinkAddress(A99)</f>
        <v>https://open-measure.atlassian.net/wiki/spaces/DIC/pages/1152516118</v>
      </c>
    </row>
    <row r="100" spans="1:3" x14ac:dyDescent="0.35">
      <c r="A100" s="13" t="s">
        <v>129</v>
      </c>
      <c r="B100" t="str">
        <f t="shared" si="1"/>
        <v>Cloud Service Consumers</v>
      </c>
      <c r="C100" s="14" t="str" cm="1">
        <f t="array" ref="C100">GetHyperlinkAddress(A100)</f>
        <v>https://open-measure.atlassian.net/wiki/spaces/DIC/pages/1147043959</v>
      </c>
    </row>
    <row r="101" spans="1:3" x14ac:dyDescent="0.35">
      <c r="A101" s="13" t="s">
        <v>130</v>
      </c>
      <c r="B101" t="str">
        <f t="shared" si="1"/>
        <v>Cloud Service Provider</v>
      </c>
      <c r="C101" s="14" t="str" cm="1">
        <f t="array" ref="C101">GetHyperlinkAddress(A101)</f>
        <v>https://open-measure.atlassian.net/wiki/spaces/DIC/pages/206307528</v>
      </c>
    </row>
    <row r="102" spans="1:3" x14ac:dyDescent="0.35">
      <c r="A102" s="13" t="s">
        <v>131</v>
      </c>
      <c r="B102" t="str">
        <f t="shared" si="1"/>
        <v>Cloud Service User</v>
      </c>
      <c r="C102" s="14" t="str" cm="1">
        <f t="array" ref="C102">GetHyperlinkAddress(A102)</f>
        <v>https://open-measure.atlassian.net/wiki/spaces/DIC/pages/206766142/Cloud+Service+User</v>
      </c>
    </row>
    <row r="103" spans="1:3" x14ac:dyDescent="0.35">
      <c r="A103" s="13" t="s">
        <v>132</v>
      </c>
      <c r="B103" t="str">
        <f t="shared" si="1"/>
        <v>Cluster Analysis</v>
      </c>
      <c r="C103" s="14" t="str" cm="1">
        <f t="array" ref="C103">GetHyperlinkAddress(A103)</f>
        <v>https://open-measure.atlassian.net/wiki/spaces/DIC/pages/148308199</v>
      </c>
    </row>
    <row r="104" spans="1:3" x14ac:dyDescent="0.35">
      <c r="A104" s="13" t="s">
        <v>133</v>
      </c>
      <c r="B104" t="str">
        <f t="shared" si="1"/>
        <v>Code</v>
      </c>
      <c r="C104" s="14" t="str" cm="1">
        <f t="array" ref="C104">GetHyperlinkAddress(A104)</f>
        <v>https://open-measure.atlassian.net/wiki/spaces/DIC/pages/1311881</v>
      </c>
    </row>
    <row r="105" spans="1:3" x14ac:dyDescent="0.35">
      <c r="A105" s="13" t="s">
        <v>134</v>
      </c>
      <c r="B105" t="str">
        <f t="shared" si="1"/>
        <v>Commission Error</v>
      </c>
      <c r="C105" s="14" t="str" cm="1">
        <f t="array" ref="C105">GetHyperlinkAddress(A105)</f>
        <v>https://open-measure.atlassian.net/wiki/spaces/DIC/pages/998277125</v>
      </c>
    </row>
    <row r="106" spans="1:3" x14ac:dyDescent="0.35">
      <c r="A106" s="13" t="s">
        <v>135</v>
      </c>
      <c r="B106" t="str">
        <f t="shared" si="1"/>
        <v>Compensation</v>
      </c>
      <c r="C106" s="14" t="str" cm="1">
        <f t="array" ref="C106">GetHyperlinkAddress(A106)</f>
        <v>https://open-measure.atlassian.net/wiki/spaces/DIC/pages/43516102</v>
      </c>
    </row>
    <row r="107" spans="1:3" x14ac:dyDescent="0.35">
      <c r="A107" s="13" t="s">
        <v>136</v>
      </c>
      <c r="B107" t="str">
        <f t="shared" si="1"/>
        <v>Competence</v>
      </c>
      <c r="C107" s="14" t="str" cm="1">
        <f t="array" ref="C107">GetHyperlinkAddress(A107)</f>
        <v>https://open-measure.atlassian.net/wiki/spaces/DIC/pages/1442363</v>
      </c>
    </row>
    <row r="108" spans="1:3" x14ac:dyDescent="0.35">
      <c r="A108" s="13" t="s">
        <v>137</v>
      </c>
      <c r="B108" t="str">
        <f t="shared" si="1"/>
        <v>Compromised Identity</v>
      </c>
      <c r="C108" s="14" t="str" cm="1">
        <f t="array" ref="C108">GetHyperlinkAddress(A108)</f>
        <v>https://open-measure.atlassian.net/wiki/spaces/DIC/pages/461307985</v>
      </c>
    </row>
    <row r="109" spans="1:3" x14ac:dyDescent="0.35">
      <c r="A109" s="13" t="s">
        <v>138</v>
      </c>
      <c r="B109" t="str">
        <f t="shared" si="1"/>
        <v>Concept</v>
      </c>
      <c r="C109" s="14" t="str" cm="1">
        <f t="array" ref="C109">GetHyperlinkAddress(A109)</f>
        <v>https://open-measure.atlassian.net/wiki/spaces/DIC/pages/3244066</v>
      </c>
    </row>
    <row r="110" spans="1:3" x14ac:dyDescent="0.35">
      <c r="A110" s="13" t="s">
        <v>139</v>
      </c>
      <c r="B110" t="str">
        <f t="shared" si="1"/>
        <v>Conceptual Classification</v>
      </c>
      <c r="C110" s="14" t="str" cm="1">
        <f t="array" ref="C110">GetHyperlinkAddress(A110)</f>
        <v>https://open-measure.atlassian.net/wiki/spaces/DIC/pages/140738810</v>
      </c>
    </row>
    <row r="111" spans="1:3" x14ac:dyDescent="0.35">
      <c r="A111" s="13" t="s">
        <v>140</v>
      </c>
      <c r="B111" t="str">
        <f t="shared" si="1"/>
        <v>Concurrent Impersonation Attack</v>
      </c>
      <c r="C111" s="14" t="str" cm="1">
        <f t="array" ref="C111">GetHyperlinkAddress(A111)</f>
        <v>https://open-measure.atlassian.net/wiki/spaces/DIC/pages/974454827</v>
      </c>
    </row>
    <row r="112" spans="1:3" x14ac:dyDescent="0.35">
      <c r="A112" s="13" t="s">
        <v>141</v>
      </c>
      <c r="B112" t="str">
        <f t="shared" si="1"/>
        <v>Consistency with Representation Target</v>
      </c>
      <c r="C112" s="14" t="str" cm="1">
        <f t="array" ref="C112">GetHyperlinkAddress(A112)</f>
        <v>https://open-measure.atlassian.net/wiki/spaces/DIC/pages/43581505</v>
      </c>
    </row>
    <row r="113" spans="1:3" x14ac:dyDescent="0.35">
      <c r="A113" s="13" t="s">
        <v>142</v>
      </c>
      <c r="B113" t="str">
        <f t="shared" si="1"/>
        <v>Construct</v>
      </c>
      <c r="C113" s="14" t="str" cm="1">
        <f t="array" ref="C113">GetHyperlinkAddress(A113)</f>
        <v>https://open-measure.atlassian.net/wiki/spaces/DIC/pages/3178516</v>
      </c>
    </row>
    <row r="114" spans="1:3" x14ac:dyDescent="0.35">
      <c r="A114" s="13" t="s">
        <v>143</v>
      </c>
      <c r="B114" t="str">
        <f t="shared" si="1"/>
        <v>Constructed Type</v>
      </c>
      <c r="C114" s="14" t="str" cm="1">
        <f t="array" ref="C114">GetHyperlinkAddress(A114)</f>
        <v>https://open-measure.atlassian.net/wiki/spaces/DIC/pages/148308282</v>
      </c>
    </row>
    <row r="115" spans="1:3" x14ac:dyDescent="0.35">
      <c r="A115" s="13" t="s">
        <v>144</v>
      </c>
      <c r="B115" t="str">
        <f t="shared" si="1"/>
        <v>Continuous Authentication</v>
      </c>
      <c r="C115" s="14" t="str" cm="1">
        <f t="array" ref="C115">GetHyperlinkAddress(A115)</f>
        <v>https://open-measure.atlassian.net/wiki/spaces/DIC/pages/877297665</v>
      </c>
    </row>
    <row r="116" spans="1:3" x14ac:dyDescent="0.35">
      <c r="A116" s="13" t="s">
        <v>145</v>
      </c>
      <c r="B116" t="str">
        <f t="shared" si="1"/>
        <v>Control Party</v>
      </c>
      <c r="C116" s="14" t="str" cm="1">
        <f t="array" ref="C116">GetHyperlinkAddress(A116)</f>
        <v>https://open-measure.atlassian.net/wiki/spaces/DIC/pages/82838169</v>
      </c>
    </row>
    <row r="117" spans="1:3" x14ac:dyDescent="0.35">
      <c r="A117" s="13" t="s">
        <v>146</v>
      </c>
      <c r="B117" t="str">
        <f t="shared" si="1"/>
        <v>Core Identity</v>
      </c>
      <c r="C117" s="14" t="str" cm="1">
        <f t="array" ref="C117">GetHyperlinkAddress(A117)</f>
        <v>https://open-measure.atlassian.net/wiki/spaces/DIC/pages/138346642</v>
      </c>
    </row>
    <row r="118" spans="1:3" x14ac:dyDescent="0.35">
      <c r="A118" s="13" t="s">
        <v>147</v>
      </c>
      <c r="B118" t="str">
        <f t="shared" si="1"/>
        <v>Credential</v>
      </c>
      <c r="C118" s="14" t="str" cm="1">
        <f t="array" ref="C118">GetHyperlinkAddress(A118)</f>
        <v>https://open-measure.atlassian.net/wiki/spaces/DIC/pages/67633343/Credential</v>
      </c>
    </row>
    <row r="119" spans="1:3" x14ac:dyDescent="0.35">
      <c r="A119" s="13" t="s">
        <v>148</v>
      </c>
      <c r="B119" t="str">
        <f t="shared" si="1"/>
        <v>Credential Harvesting</v>
      </c>
      <c r="C119" s="14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13" t="s">
        <v>149</v>
      </c>
      <c r="B120" t="str">
        <f t="shared" si="1"/>
        <v>Credential Service Provider</v>
      </c>
      <c r="C120" s="14" t="str" cm="1">
        <f t="array" ref="C120">GetHyperlinkAddress(A120)</f>
        <v>https://open-measure.atlassian.net/wiki/spaces/DIC/pages/82870977</v>
      </c>
    </row>
    <row r="121" spans="1:3" x14ac:dyDescent="0.35">
      <c r="A121" s="13" t="s">
        <v>150</v>
      </c>
      <c r="B121" t="str">
        <f t="shared" si="1"/>
        <v>Credential Stuffing</v>
      </c>
      <c r="C121" s="14" t="str" cm="1">
        <f t="array" ref="C121">GetHyperlinkAddress(A121)</f>
        <v>https://open-measure.atlassian.net/wiki/spaces/DIC/pages/1348862053/Credential+Stuffing</v>
      </c>
    </row>
    <row r="122" spans="1:3" x14ac:dyDescent="0.35">
      <c r="A122" s="13" t="s">
        <v>151</v>
      </c>
      <c r="B122" t="str">
        <f t="shared" si="1"/>
        <v>Credential Theft</v>
      </c>
      <c r="C122" s="14" t="str" cm="1">
        <f t="array" ref="C122">GetHyperlinkAddress(A122)</f>
        <v>https://open-measure.atlassian.net/wiki/spaces/DIC/pages/461340725</v>
      </c>
    </row>
    <row r="123" spans="1:3" x14ac:dyDescent="0.35">
      <c r="A123" s="13" t="s">
        <v>152</v>
      </c>
      <c r="B123" t="str">
        <f t="shared" si="1"/>
        <v>Cryptographic Key</v>
      </c>
      <c r="C123" s="14" t="str" cm="1">
        <f t="array" ref="C123">GetHyperlinkAddress(A123)</f>
        <v>https://open-measure.atlassian.net/wiki/spaces/DIC/pages/427130918</v>
      </c>
    </row>
    <row r="124" spans="1:3" x14ac:dyDescent="0.35">
      <c r="A124" s="13" t="s">
        <v>153</v>
      </c>
      <c r="B124" t="str">
        <f t="shared" si="1"/>
        <v>CSC</v>
      </c>
      <c r="C124" s="14" t="str" cm="1">
        <f t="array" ref="C124">GetHyperlinkAddress(A124)</f>
        <v>https://open-measure.atlassian.net/wiki/spaces/DIC/pages/1152516162/CSC</v>
      </c>
    </row>
    <row r="125" spans="1:3" x14ac:dyDescent="0.35">
      <c r="A125" s="13" t="s">
        <v>154</v>
      </c>
      <c r="B125" t="str">
        <f t="shared" si="1"/>
        <v>CSP</v>
      </c>
      <c r="C125" s="14" t="str" cm="1">
        <f t="array" ref="C125">GetHyperlinkAddress(A125)</f>
        <v>https://open-measure.atlassian.net/wiki/spaces/DIC/pages/82903984/CSP</v>
      </c>
    </row>
    <row r="126" spans="1:3" x14ac:dyDescent="0.35">
      <c r="A126" s="13" t="s">
        <v>155</v>
      </c>
      <c r="B126" t="str">
        <f t="shared" si="1"/>
        <v>CSU</v>
      </c>
      <c r="C126" s="14" t="str" cm="1">
        <f t="array" ref="C126">GetHyperlinkAddress(A126)</f>
        <v>https://open-measure.atlassian.net/wiki/spaces/DIC/pages/206667867/CSU</v>
      </c>
    </row>
    <row r="127" spans="1:3" x14ac:dyDescent="0.35">
      <c r="A127" s="13" t="s">
        <v>156</v>
      </c>
      <c r="B127" t="str">
        <f t="shared" si="1"/>
        <v>Customer Due Diligence</v>
      </c>
      <c r="C127" s="14" t="str" cm="1">
        <f t="array" ref="C127">GetHyperlinkAddress(A127)</f>
        <v>https://open-measure.atlassian.net/wiki/spaces/DIC/pages/414482448</v>
      </c>
    </row>
    <row r="128" spans="1:3" x14ac:dyDescent="0.35">
      <c r="A128" s="13" t="s">
        <v>157</v>
      </c>
      <c r="B128" t="str">
        <f t="shared" si="1"/>
        <v>Customer Identification</v>
      </c>
      <c r="C128" s="14" t="str" cm="1">
        <f t="array" ref="C128">GetHyperlinkAddress(A128)</f>
        <v>https://open-measure.atlassian.net/wiki/spaces/DIC/pages/414548006</v>
      </c>
    </row>
    <row r="129" spans="1:3" x14ac:dyDescent="0.35">
      <c r="A129" s="13" t="s">
        <v>158</v>
      </c>
      <c r="B129" t="str">
        <f t="shared" si="1"/>
        <v>Customer Identity</v>
      </c>
      <c r="C129" s="14" t="str" cm="1">
        <f t="array" ref="C129">GetHyperlinkAddress(A129)</f>
        <v>https://open-measure.atlassian.net/wiki/spaces/DIC/pages/138444875</v>
      </c>
    </row>
    <row r="130" spans="1:3" x14ac:dyDescent="0.35">
      <c r="A130" s="13" t="s">
        <v>159</v>
      </c>
      <c r="B130" t="str">
        <f t="shared" si="1"/>
        <v>Customer Identity Verification</v>
      </c>
      <c r="C130" s="14" t="str" cm="1">
        <f t="array" ref="C130">GetHyperlinkAddress(A130)</f>
        <v>https://open-measure.atlassian.net/wiki/spaces/DIC/pages/409010717</v>
      </c>
    </row>
    <row r="131" spans="1:3" x14ac:dyDescent="0.35">
      <c r="A131" s="13" t="s">
        <v>160</v>
      </c>
      <c r="B131" t="str">
        <f t="shared" si="1"/>
        <v>Customer On-Boarding</v>
      </c>
      <c r="C131" s="14" t="str" cm="1">
        <f t="array" ref="C131">GetHyperlinkAddress(A131)</f>
        <v>https://open-measure.atlassian.net/wiki/spaces/DIC/pages/408944928</v>
      </c>
    </row>
    <row r="132" spans="1:3" x14ac:dyDescent="0.35">
      <c r="A132" s="13" t="s">
        <v>161</v>
      </c>
      <c r="B132" t="str">
        <f t="shared" si="1"/>
        <v>Customer Privacy and Consent Management</v>
      </c>
      <c r="C132" s="14" t="str" cm="1">
        <f t="array" ref="C132">GetHyperlinkAddress(A132)</f>
        <v>https://open-measure.atlassian.net/wiki/spaces/DIC/pages/797900801</v>
      </c>
    </row>
    <row r="133" spans="1:3" x14ac:dyDescent="0.35">
      <c r="A133" s="13" t="s">
        <v>162</v>
      </c>
      <c r="B133" t="str">
        <f t="shared" si="1"/>
        <v>Cyber-sabotage</v>
      </c>
      <c r="C133" s="14" t="str" cm="1">
        <f t="array" ref="C133">GetHyperlinkAddress(A133)</f>
        <v>https://open-measure.atlassian.net/wiki/spaces/DIC/pages/1451982933/Cyber-sabotage</v>
      </c>
    </row>
    <row r="134" spans="1:3" x14ac:dyDescent="0.35">
      <c r="A134" s="13" t="s">
        <v>163</v>
      </c>
      <c r="B134" t="str">
        <f t="shared" ref="B134:B197" si="2">SUBSTITUTE(CLEAN(A134)," (Dictionary Entry)","")</f>
        <v>DAC</v>
      </c>
      <c r="C134" s="14" t="str" cm="1">
        <f t="array" ref="C134">GetHyperlinkAddress(A134)</f>
        <v>https://open-measure.atlassian.net/wiki/spaces/DIC/pages/1177845938/DAC</v>
      </c>
    </row>
    <row r="135" spans="1:3" x14ac:dyDescent="0.35">
      <c r="A135" s="13" t="s">
        <v>164</v>
      </c>
      <c r="B135" t="str">
        <f t="shared" si="2"/>
        <v>Data Anonymization</v>
      </c>
      <c r="C135" s="14" t="str" cm="1">
        <f t="array" ref="C135">GetHyperlinkAddress(A135)</f>
        <v>https://open-measure.atlassian.net/wiki/spaces/DIC/pages/1267400850/Data+Anonymization</v>
      </c>
    </row>
    <row r="136" spans="1:3" x14ac:dyDescent="0.35">
      <c r="A136" s="13" t="s">
        <v>165</v>
      </c>
      <c r="B136" t="str">
        <f t="shared" si="2"/>
        <v>Data Custodian</v>
      </c>
      <c r="C136" s="14" t="str" cm="1">
        <f t="array" ref="C136">GetHyperlinkAddress(A136)</f>
        <v>https://open-measure.atlassian.net/wiki/spaces/DIC/pages/998244454</v>
      </c>
    </row>
    <row r="137" spans="1:3" x14ac:dyDescent="0.35">
      <c r="A137" s="13" t="s">
        <v>167</v>
      </c>
      <c r="B137" t="str">
        <f t="shared" si="2"/>
        <v>Data Lineage</v>
      </c>
      <c r="C137" s="14" t="str" cm="1">
        <f t="array" ref="C137">GetHyperlinkAddress(A137)</f>
        <v>https://open-measure.atlassian.net/wiki/spaces/DIC/pages/508330028</v>
      </c>
    </row>
    <row r="138" spans="1:3" x14ac:dyDescent="0.35">
      <c r="A138" s="13" t="s">
        <v>168</v>
      </c>
      <c r="B138" t="str">
        <f t="shared" si="2"/>
        <v>Data Obfuscation</v>
      </c>
      <c r="C138" s="14" t="str" cm="1">
        <f t="array" ref="C138">GetHyperlinkAddress(A138)</f>
        <v>https://open-measure.atlassian.net/wiki/spaces/DIC/pages/1027048097</v>
      </c>
    </row>
    <row r="139" spans="1:3" x14ac:dyDescent="0.35">
      <c r="A139" s="13" t="s">
        <v>169</v>
      </c>
      <c r="B139" t="str">
        <f t="shared" si="2"/>
        <v>Data Owner</v>
      </c>
      <c r="C139" s="14" t="str" cm="1">
        <f t="array" ref="C139">GetHyperlinkAddress(A139)</f>
        <v>https://open-measure.atlassian.net/wiki/spaces/DIC/pages/998179040</v>
      </c>
    </row>
    <row r="140" spans="1:3" x14ac:dyDescent="0.35">
      <c r="A140" s="13" t="s">
        <v>166</v>
      </c>
      <c r="B140" t="str">
        <f t="shared" si="2"/>
        <v>Data-Level Policy</v>
      </c>
      <c r="C140" s="14" t="str" cm="1">
        <f t="array" ref="C140">GetHyperlinkAddress(A140)</f>
        <v>https://open-measure.atlassian.net/wiki/spaces/DIC/pages/1132331029</v>
      </c>
    </row>
    <row r="141" spans="1:3" x14ac:dyDescent="0.35">
      <c r="A141" s="13" t="s">
        <v>170</v>
      </c>
      <c r="B141" t="str">
        <f t="shared" si="2"/>
        <v>Death Certificate</v>
      </c>
      <c r="C141" s="14" t="str" cm="1">
        <f t="array" ref="C141">GetHyperlinkAddress(A141)</f>
        <v>https://open-measure.atlassian.net/wiki/spaces/DIC/pages/1031242134</v>
      </c>
    </row>
    <row r="142" spans="1:3" x14ac:dyDescent="0.35">
      <c r="A142" s="13" t="s">
        <v>171</v>
      </c>
      <c r="B142" t="str">
        <f t="shared" si="2"/>
        <v>Decentralized Identifier</v>
      </c>
      <c r="C142" s="14" t="str" cm="1">
        <f t="array" ref="C142">GetHyperlinkAddress(A142)</f>
        <v>https://open-measure.atlassian.net/wiki/spaces/DIC/pages/782893122</v>
      </c>
    </row>
    <row r="143" spans="1:3" x14ac:dyDescent="0.35">
      <c r="A143" s="13" t="s">
        <v>172</v>
      </c>
      <c r="B143" t="str">
        <f t="shared" si="2"/>
        <v>De-duplication</v>
      </c>
      <c r="C143" s="14" t="str" cm="1">
        <f t="array" ref="C143">GetHyperlinkAddress(A143)</f>
        <v>https://open-measure.atlassian.net/wiki/spaces/DIC/pages/408977837</v>
      </c>
    </row>
    <row r="144" spans="1:3" x14ac:dyDescent="0.35">
      <c r="A144" s="13" t="s">
        <v>173</v>
      </c>
      <c r="B144" t="str">
        <f t="shared" si="2"/>
        <v>Deprovisioning</v>
      </c>
      <c r="C144" s="14" t="str" cm="1">
        <f t="array" ref="C144">GetHyperlinkAddress(A144)</f>
        <v>https://open-measure.atlassian.net/wiki/spaces/DIC/pages/62193665</v>
      </c>
    </row>
    <row r="145" spans="1:3" x14ac:dyDescent="0.35">
      <c r="A145" s="13" t="s">
        <v>174</v>
      </c>
      <c r="B145" t="str">
        <f t="shared" si="2"/>
        <v>Derived Indicator</v>
      </c>
      <c r="C145" s="14" t="str" cm="1">
        <f t="array" ref="C145">GetHyperlinkAddress(A145)</f>
        <v>https://open-measure.atlassian.net/wiki/spaces/DIC/pages/43548767</v>
      </c>
    </row>
    <row r="146" spans="1:3" x14ac:dyDescent="0.35">
      <c r="A146" s="13" t="s">
        <v>175</v>
      </c>
      <c r="B146" t="str">
        <f t="shared" si="2"/>
        <v>DID</v>
      </c>
      <c r="C146" s="14" t="str" cm="1">
        <f t="array" ref="C146">GetHyperlinkAddress(A146)</f>
        <v>https://open-measure.atlassian.net/wiki/spaces/DIC/pages/782925889/DID</v>
      </c>
    </row>
    <row r="147" spans="1:3" x14ac:dyDescent="0.35">
      <c r="A147" s="13" t="s">
        <v>176</v>
      </c>
      <c r="B147" t="str">
        <f t="shared" si="2"/>
        <v>Digital Continuity</v>
      </c>
      <c r="C147" s="14" t="str" cm="1">
        <f t="array" ref="C147">GetHyperlinkAddress(A147)</f>
        <v>https://open-measure.atlassian.net/wiki/spaces/DIC/pages/458326308</v>
      </c>
    </row>
    <row r="148" spans="1:3" x14ac:dyDescent="0.35">
      <c r="A148" s="13" t="s">
        <v>177</v>
      </c>
      <c r="B148" t="str">
        <f t="shared" si="2"/>
        <v>Digital Identification System</v>
      </c>
      <c r="C148" s="14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13" t="s">
        <v>178</v>
      </c>
      <c r="B149" t="str">
        <f t="shared" si="2"/>
        <v>Digital Identity</v>
      </c>
      <c r="C149" s="14" t="str" cm="1">
        <f t="array" ref="C149">GetHyperlinkAddress(A149)</f>
        <v>https://open-measure.atlassian.net/wiki/spaces/DIC/pages/419528705/Digital+Identity</v>
      </c>
    </row>
    <row r="150" spans="1:3" x14ac:dyDescent="0.35">
      <c r="A150" s="13" t="s">
        <v>179</v>
      </c>
      <c r="B150" t="str">
        <f t="shared" si="2"/>
        <v>Digital Identity Authenticity</v>
      </c>
      <c r="C150" s="14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13" t="s">
        <v>180</v>
      </c>
      <c r="B151" t="str">
        <f t="shared" si="2"/>
        <v>Digital Triangulation</v>
      </c>
      <c r="C151" s="14" t="str" cm="1">
        <f t="array" ref="C151">GetHyperlinkAddress(A151)</f>
        <v>https://open-measure.atlassian.net/wiki/spaces/DIC/pages/796983391</v>
      </c>
    </row>
    <row r="152" spans="1:3" x14ac:dyDescent="0.35">
      <c r="A152" s="13" t="s">
        <v>181</v>
      </c>
      <c r="B152" t="str">
        <f t="shared" si="2"/>
        <v>Discretionary Access Control</v>
      </c>
      <c r="C152" s="14" t="str" cm="1">
        <f t="array" ref="C152">GetHyperlinkAddress(A152)</f>
        <v>https://open-measure.atlassian.net/wiki/spaces/DIC/pages/1181876315</v>
      </c>
    </row>
    <row r="153" spans="1:3" x14ac:dyDescent="0.35">
      <c r="A153" s="13" t="s">
        <v>182</v>
      </c>
      <c r="B153" t="str">
        <f t="shared" si="2"/>
        <v>Distributed Identity</v>
      </c>
      <c r="C153" s="14" t="str" cm="1">
        <f t="array" ref="C153">GetHyperlinkAddress(A153)</f>
        <v>https://open-measure.atlassian.net/wiki/spaces/DIC/pages/810287202</v>
      </c>
    </row>
    <row r="154" spans="1:3" x14ac:dyDescent="0.35">
      <c r="A154" s="13" t="s">
        <v>183</v>
      </c>
      <c r="B154" t="str">
        <f t="shared" si="2"/>
        <v>Distributed Ledger Technology</v>
      </c>
      <c r="C154" s="14" t="str" cm="1">
        <f t="array" ref="C154">GetHyperlinkAddress(A154)</f>
        <v>https://open-measure.atlassian.net/wiki/spaces/DIC/pages/419594251</v>
      </c>
    </row>
    <row r="155" spans="1:3" x14ac:dyDescent="0.35">
      <c r="A155" s="13" t="s">
        <v>184</v>
      </c>
      <c r="B155" t="str">
        <f t="shared" si="2"/>
        <v>Dual Authorization</v>
      </c>
      <c r="C155" s="14" t="str" cm="1">
        <f t="array" ref="C155">GetHyperlinkAddress(A155)</f>
        <v>https://open-measure.atlassian.net/wiki/spaces/DIC/pages/806584322</v>
      </c>
    </row>
    <row r="156" spans="1:3" x14ac:dyDescent="0.35">
      <c r="A156" s="13" t="s">
        <v>185</v>
      </c>
      <c r="B156" t="str">
        <f t="shared" si="2"/>
        <v>ECS</v>
      </c>
      <c r="C156" s="14" t="str" cm="1">
        <f t="array" ref="C156">GetHyperlinkAddress(A156)</f>
        <v>https://open-measure.atlassian.net/wiki/spaces/DIC/pages/206766113</v>
      </c>
    </row>
    <row r="157" spans="1:3" x14ac:dyDescent="0.35">
      <c r="A157" s="13" t="s">
        <v>186</v>
      </c>
      <c r="B157" t="str">
        <f t="shared" si="2"/>
        <v>e-Identity</v>
      </c>
      <c r="C157" s="14" t="str" cm="1">
        <f t="array" ref="C157">GetHyperlinkAddress(A157)</f>
        <v>https://open-measure.atlassian.net/wiki/spaces/DIC/pages/82903896</v>
      </c>
    </row>
    <row r="158" spans="1:3" x14ac:dyDescent="0.35">
      <c r="A158" s="13" t="s">
        <v>187</v>
      </c>
      <c r="B158" t="str">
        <f t="shared" si="2"/>
        <v>EIdM</v>
      </c>
      <c r="C158" s="14" t="str" cm="1">
        <f t="array" ref="C158">GetHyperlinkAddress(A158)</f>
        <v>https://open-measure.atlassian.net/wiki/spaces/DIC/pages/61964467</v>
      </c>
    </row>
    <row r="159" spans="1:3" x14ac:dyDescent="0.35">
      <c r="A159" s="13" t="s">
        <v>188</v>
      </c>
      <c r="B159" t="str">
        <f t="shared" si="2"/>
        <v>Empirical Classification</v>
      </c>
      <c r="C159" s="14" t="str" cm="1">
        <f t="array" ref="C159">GetHyperlinkAddress(A159)</f>
        <v>https://open-measure.atlassian.net/wiki/spaces/DIC/pages/148340918</v>
      </c>
    </row>
    <row r="160" spans="1:3" x14ac:dyDescent="0.35">
      <c r="A160" s="13" t="s">
        <v>189</v>
      </c>
      <c r="B160" t="str">
        <f t="shared" si="2"/>
        <v>Empiricity</v>
      </c>
      <c r="C160" s="14" t="str" cm="1">
        <f t="array" ref="C160">GetHyperlinkAddress(A160)</f>
        <v>https://open-measure.atlassian.net/wiki/spaces/DIC/pages/5965976</v>
      </c>
    </row>
    <row r="161" spans="1:3" x14ac:dyDescent="0.35">
      <c r="A161" s="13" t="s">
        <v>190</v>
      </c>
      <c r="B161" t="str">
        <f t="shared" si="2"/>
        <v>Employee</v>
      </c>
      <c r="C161" s="14" t="str" cm="1">
        <f t="array" ref="C161">GetHyperlinkAddress(A161)</f>
        <v>https://open-measure.atlassian.net/wiki/spaces/DIC/pages/1031209232</v>
      </c>
    </row>
    <row r="162" spans="1:3" x14ac:dyDescent="0.35">
      <c r="A162" s="13" t="s">
        <v>191</v>
      </c>
      <c r="B162" t="str">
        <f t="shared" si="2"/>
        <v>Enterprise Cloud Subscriber</v>
      </c>
      <c r="C162" s="14" t="str" cm="1">
        <f t="array" ref="C162">GetHyperlinkAddress(A162)</f>
        <v>https://open-measure.atlassian.net/wiki/spaces/DIC/pages/206766092</v>
      </c>
    </row>
    <row r="163" spans="1:3" x14ac:dyDescent="0.35">
      <c r="A163" s="13" t="s">
        <v>192</v>
      </c>
      <c r="B163" t="str">
        <f t="shared" si="2"/>
        <v>Enterprise Identity Management</v>
      </c>
      <c r="C163" s="14" t="str" cm="1">
        <f t="array" ref="C163">GetHyperlinkAddress(A163)</f>
        <v>https://open-measure.atlassian.net/wiki/spaces/DIC/pages/62455952</v>
      </c>
    </row>
    <row r="164" spans="1:3" x14ac:dyDescent="0.35">
      <c r="A164" s="13" t="s">
        <v>193</v>
      </c>
      <c r="B164" t="str">
        <f t="shared" si="2"/>
        <v>Enterprise Single Sign-On</v>
      </c>
      <c r="C164" s="14" t="str" cm="1">
        <f t="array" ref="C164">GetHyperlinkAddress(A164)</f>
        <v>https://open-measure.atlassian.net/wiki/spaces/DIC/pages/76021801</v>
      </c>
    </row>
    <row r="165" spans="1:3" x14ac:dyDescent="0.35">
      <c r="A165" s="13" t="s">
        <v>194</v>
      </c>
      <c r="B165" t="str">
        <f t="shared" si="2"/>
        <v>Entitlement</v>
      </c>
      <c r="C165" s="14" t="str" cm="1">
        <f t="array" ref="C165">GetHyperlinkAddress(A165)</f>
        <v>https://open-measure.atlassian.net/wiki/spaces/DIC/pages/1121878049</v>
      </c>
    </row>
    <row r="166" spans="1:3" x14ac:dyDescent="0.35">
      <c r="A166" s="13" t="s">
        <v>196</v>
      </c>
      <c r="B166" t="str">
        <f t="shared" si="2"/>
        <v>Entitlement Management</v>
      </c>
      <c r="C166" s="14" t="str" cm="1">
        <f t="array" ref="C166">GetHyperlinkAddress(A166)</f>
        <v>https://open-measure.atlassian.net/wiki/spaces/DIC/pages/1122566465</v>
      </c>
    </row>
    <row r="167" spans="1:3" x14ac:dyDescent="0.35">
      <c r="A167" s="13" t="s">
        <v>197</v>
      </c>
      <c r="B167" t="str">
        <f t="shared" si="2"/>
        <v>Entitlement Management Process</v>
      </c>
      <c r="C167" s="14" t="str" cm="1">
        <f t="array" ref="C167">GetHyperlinkAddress(A167)</f>
        <v>https://open-measure.atlassian.net/wiki/spaces/DIC/pages/1121910973</v>
      </c>
    </row>
    <row r="168" spans="1:3" x14ac:dyDescent="0.35">
      <c r="A168" s="13" t="s">
        <v>198</v>
      </c>
      <c r="B168" t="str">
        <f t="shared" si="2"/>
        <v>Entitlement Management Solution</v>
      </c>
      <c r="C168" s="14" t="str" cm="1">
        <f t="array" ref="C168">GetHyperlinkAddress(A168)</f>
        <v>https://open-measure.atlassian.net/wiki/spaces/DIC/pages/1122631800</v>
      </c>
    </row>
    <row r="169" spans="1:3" x14ac:dyDescent="0.35">
      <c r="A169" s="13" t="s">
        <v>195</v>
      </c>
      <c r="B169" t="str">
        <f t="shared" si="2"/>
        <v>Entitlement-Based Access Control</v>
      </c>
      <c r="C169" s="14" t="str" cm="1">
        <f t="array" ref="C169">GetHyperlinkAddress(A169)</f>
        <v>https://open-measure.atlassian.net/wiki/spaces/DIC/pages/1122566173</v>
      </c>
    </row>
    <row r="170" spans="1:3" x14ac:dyDescent="0.35">
      <c r="A170" s="13" t="s">
        <v>199</v>
      </c>
      <c r="B170" t="str">
        <f t="shared" si="2"/>
        <v>Entity</v>
      </c>
      <c r="C170" s="14" t="str" cm="1">
        <f t="array" ref="C170">GetHyperlinkAddress(A170)</f>
        <v>https://open-measure.atlassian.net/wiki/spaces/DIC/pages/123830932</v>
      </c>
    </row>
    <row r="171" spans="1:3" x14ac:dyDescent="0.35">
      <c r="A171" s="13" t="s">
        <v>200</v>
      </c>
      <c r="B171" t="str">
        <f t="shared" si="2"/>
        <v>ESSO</v>
      </c>
      <c r="C171" s="14" t="str" cm="1">
        <f t="array" ref="C171">GetHyperlinkAddress(A171)</f>
        <v>https://open-measure.atlassian.net/wiki/spaces/DIC/pages/75956266</v>
      </c>
    </row>
    <row r="172" spans="1:3" x14ac:dyDescent="0.35">
      <c r="A172" s="13" t="s">
        <v>201</v>
      </c>
      <c r="B172" t="str">
        <f t="shared" si="2"/>
        <v>Evaluation Indicator</v>
      </c>
      <c r="C172" s="14" t="str" cm="1">
        <f t="array" ref="C172">GetHyperlinkAddress(A172)</f>
        <v>https://open-measure.atlassian.net/wiki/spaces/DIC/pages/17301568</v>
      </c>
    </row>
    <row r="173" spans="1:3" x14ac:dyDescent="0.35">
      <c r="A173" s="13" t="s">
        <v>202</v>
      </c>
      <c r="B173" t="str">
        <f t="shared" si="2"/>
        <v>Excessive Privilege Abuse</v>
      </c>
      <c r="C173" s="14" t="str" cm="1">
        <f t="array" ref="C173">GetHyperlinkAddress(A173)</f>
        <v>https://open-measure.atlassian.net/wiki/spaces/DIC/pages/1104904275</v>
      </c>
    </row>
    <row r="174" spans="1:3" x14ac:dyDescent="0.35">
      <c r="A174" s="13" t="s">
        <v>203</v>
      </c>
      <c r="B174" t="str">
        <f t="shared" si="2"/>
        <v>Exhaustiveness</v>
      </c>
      <c r="C174" s="14" t="str" cm="1">
        <f t="array" ref="C174">GetHyperlinkAddress(A174)</f>
        <v>https://open-measure.atlassian.net/wiki/spaces/DIC/pages/49316293</v>
      </c>
    </row>
    <row r="175" spans="1:3" x14ac:dyDescent="0.35">
      <c r="A175" s="13" t="s">
        <v>204</v>
      </c>
      <c r="B175" t="str">
        <f t="shared" si="2"/>
        <v>Expanded Password System</v>
      </c>
      <c r="C175" s="14" t="str" cm="1">
        <f t="array" ref="C175">GetHyperlinkAddress(A175)</f>
        <v>https://open-measure.atlassian.net/wiki/spaces/DIC/pages/446824885</v>
      </c>
    </row>
    <row r="176" spans="1:3" x14ac:dyDescent="0.35">
      <c r="A176" s="13" t="s">
        <v>205</v>
      </c>
      <c r="B176" t="str">
        <f t="shared" si="2"/>
        <v>Exploited Identity</v>
      </c>
      <c r="C176" s="14" t="str" cm="1">
        <f t="array" ref="C176">GetHyperlinkAddress(A176)</f>
        <v>https://open-measure.atlassian.net/wiki/spaces/DIC/pages/461275380</v>
      </c>
    </row>
    <row r="177" spans="1:3" x14ac:dyDescent="0.35">
      <c r="A177" s="13" t="s">
        <v>206</v>
      </c>
      <c r="B177" t="str">
        <f t="shared" si="2"/>
        <v>Extended Enterprise</v>
      </c>
      <c r="C177" s="14" t="str" cm="1">
        <f t="array" ref="C177">GetHyperlinkAddress(A177)</f>
        <v>https://open-measure.atlassian.net/wiki/spaces/DIC/pages/82870848</v>
      </c>
    </row>
    <row r="178" spans="1:3" x14ac:dyDescent="0.35">
      <c r="A178" s="13" t="s">
        <v>207</v>
      </c>
      <c r="B178" t="str">
        <f t="shared" si="2"/>
        <v>Extensible Access Control Markup Language</v>
      </c>
      <c r="C178" s="14" t="str" cm="1">
        <f t="array" ref="C178">GetHyperlinkAddress(A178)</f>
        <v>https://open-measure.atlassian.net/wiki/spaces/DIC/pages/1121878505</v>
      </c>
    </row>
    <row r="179" spans="1:3" x14ac:dyDescent="0.35">
      <c r="A179" s="13" t="s">
        <v>208</v>
      </c>
      <c r="B179" t="str">
        <f t="shared" si="2"/>
        <v>Fake Digital Identity</v>
      </c>
      <c r="C179" s="14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13" t="s">
        <v>209</v>
      </c>
      <c r="B180" t="str">
        <f t="shared" si="2"/>
        <v>FAPI</v>
      </c>
      <c r="C180" s="14" t="str" cm="1">
        <f t="array" ref="C180">GetHyperlinkAddress(A180)</f>
        <v>https://open-measure.atlassian.net/wiki/spaces/DIC/pages/1290141697/FAPI</v>
      </c>
    </row>
    <row r="181" spans="1:3" x14ac:dyDescent="0.35">
      <c r="A181" s="13" t="s">
        <v>210</v>
      </c>
      <c r="B181" t="str">
        <f t="shared" si="2"/>
        <v>Federated Identity Management</v>
      </c>
      <c r="C181" s="14" t="str" cm="1">
        <f t="array" ref="C181">GetHyperlinkAddress(A181)</f>
        <v>https://open-measure.atlassian.net/wiki/spaces/DIC/pages/331579598</v>
      </c>
    </row>
    <row r="182" spans="1:3" x14ac:dyDescent="0.35">
      <c r="A182" s="13" t="s">
        <v>211</v>
      </c>
      <c r="B182" t="str">
        <f t="shared" si="2"/>
        <v>Federated Identity Management System</v>
      </c>
      <c r="C182" s="14" t="str" cm="1">
        <f t="array" ref="C182">GetHyperlinkAddress(A182)</f>
        <v>https://open-measure.atlassian.net/wiki/spaces/DIC/pages/1152483703</v>
      </c>
    </row>
    <row r="183" spans="1:3" x14ac:dyDescent="0.35">
      <c r="A183" s="13" t="s">
        <v>212</v>
      </c>
      <c r="B183" t="str">
        <f t="shared" si="2"/>
        <v>Federated SSO</v>
      </c>
      <c r="C183" s="14" t="str" cm="1">
        <f t="array" ref="C183">GetHyperlinkAddress(A183)</f>
        <v>https://open-measure.atlassian.net/wiki/spaces/DIC/pages/75890786</v>
      </c>
    </row>
    <row r="184" spans="1:3" x14ac:dyDescent="0.35">
      <c r="A184" s="13" t="s">
        <v>213</v>
      </c>
      <c r="B184" t="str">
        <f t="shared" si="2"/>
        <v>Federation Bridge</v>
      </c>
      <c r="C184" s="14" t="str" cm="1">
        <f t="array" ref="C184">GetHyperlinkAddress(A184)</f>
        <v>https://open-measure.atlassian.net/wiki/spaces/DIC/pages/763035693</v>
      </c>
    </row>
    <row r="185" spans="1:3" x14ac:dyDescent="0.35">
      <c r="A185" s="13" t="s">
        <v>214</v>
      </c>
      <c r="B185" t="str">
        <f t="shared" si="2"/>
        <v>FIM</v>
      </c>
      <c r="C185" s="14" t="str" cm="1">
        <f t="array" ref="C185">GetHyperlinkAddress(A185)</f>
        <v>https://open-measure.atlassian.net/wiki/spaces/DIC/pages/331579618</v>
      </c>
    </row>
    <row r="186" spans="1:3" x14ac:dyDescent="0.35">
      <c r="A186" s="13" t="s">
        <v>215</v>
      </c>
      <c r="B186" t="str">
        <f t="shared" si="2"/>
        <v>Financial-grade API</v>
      </c>
      <c r="C186" s="14" t="str" cm="1">
        <f t="array" ref="C186">GetHyperlinkAddress(A186)</f>
        <v>https://open-measure.atlassian.net/wiki/spaces/DIC/pages/1290207237/Financial-grade+API</v>
      </c>
    </row>
    <row r="187" spans="1:3" x14ac:dyDescent="0.35">
      <c r="A187" s="13" t="s">
        <v>216</v>
      </c>
      <c r="B187" t="str">
        <f t="shared" si="2"/>
        <v>FinTech</v>
      </c>
      <c r="C187" s="14" t="str" cm="1">
        <f t="array" ref="C187">GetHyperlinkAddress(A187)</f>
        <v>https://open-measure.atlassian.net/wiki/spaces/DIC/pages/1378091043/FinTech</v>
      </c>
    </row>
    <row r="188" spans="1:3" x14ac:dyDescent="0.35">
      <c r="A188" s="13" t="s">
        <v>217</v>
      </c>
      <c r="B188" t="str">
        <f t="shared" si="2"/>
        <v>Flexibility</v>
      </c>
      <c r="C188" s="14" t="str" cm="1">
        <f t="array" ref="C188">GetHyperlinkAddress(A188)</f>
        <v>https://open-measure.atlassian.net/wiki/spaces/DIC/pages/438698048</v>
      </c>
    </row>
    <row r="189" spans="1:3" x14ac:dyDescent="0.35">
      <c r="A189" s="13" t="s">
        <v>218</v>
      </c>
      <c r="B189" t="str">
        <f t="shared" si="2"/>
        <v>Flow Analysis</v>
      </c>
      <c r="C189" s="14" t="str" cm="1">
        <f t="array" ref="C189">GetHyperlinkAddress(A189)</f>
        <v>https://open-measure.atlassian.net/wiki/spaces/DIC/pages/1223884872</v>
      </c>
    </row>
    <row r="190" spans="1:3" x14ac:dyDescent="0.35">
      <c r="A190" s="13" t="s">
        <v>219</v>
      </c>
      <c r="B190" t="str">
        <f t="shared" si="2"/>
        <v>Forged Identity</v>
      </c>
      <c r="C190" s="14" t="str" cm="1">
        <f t="array" ref="C190">GetHyperlinkAddress(A190)</f>
        <v>https://open-measure.atlassian.net/wiki/spaces/DIC/pages/1173585921</v>
      </c>
    </row>
    <row r="191" spans="1:3" x14ac:dyDescent="0.35">
      <c r="A191" s="13" t="s">
        <v>220</v>
      </c>
      <c r="B191" t="str">
        <f t="shared" si="2"/>
        <v>Formal TCO</v>
      </c>
      <c r="C191" s="14" t="str" cm="1">
        <f t="array" ref="C191">GetHyperlinkAddress(A191)</f>
        <v>https://open-measure.atlassian.net/wiki/spaces/DIC/pages/158794590</v>
      </c>
    </row>
    <row r="192" spans="1:3" x14ac:dyDescent="0.35">
      <c r="A192" s="13" t="s">
        <v>221</v>
      </c>
      <c r="B192" t="str">
        <f t="shared" si="2"/>
        <v>Formal Verification</v>
      </c>
      <c r="C192" s="14" t="str" cm="1">
        <f t="array" ref="C192">GetHyperlinkAddress(A192)</f>
        <v>https://open-measure.atlassian.net/wiki/spaces/DIC/pages/1226833964</v>
      </c>
    </row>
    <row r="193" spans="1:3" x14ac:dyDescent="0.35">
      <c r="A193" s="13" t="s">
        <v>222</v>
      </c>
      <c r="B193" t="str">
        <f t="shared" si="2"/>
        <v>Foundational Identification System</v>
      </c>
      <c r="C193" s="14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13" t="s">
        <v>223</v>
      </c>
      <c r="B194" t="str">
        <f t="shared" si="2"/>
        <v>Fully Polythetic Class</v>
      </c>
      <c r="C194" s="14" t="str" cm="1">
        <f t="array" ref="C194">GetHyperlinkAddress(A194)</f>
        <v>https://open-measure.atlassian.net/wiki/spaces/DIC/pages/148340978</v>
      </c>
    </row>
    <row r="195" spans="1:3" x14ac:dyDescent="0.35">
      <c r="A195" s="13" t="s">
        <v>224</v>
      </c>
      <c r="B195" t="str">
        <f t="shared" si="2"/>
        <v>Functional Identification System</v>
      </c>
      <c r="C195" s="14" t="str" cm="1">
        <f t="array" ref="C195">GetHyperlinkAddress(A195)</f>
        <v>https://open-measure.atlassian.net/wiki/spaces/DIC/pages/419528747</v>
      </c>
    </row>
    <row r="196" spans="1:3" x14ac:dyDescent="0.35">
      <c r="A196" s="13" t="s">
        <v>225</v>
      </c>
      <c r="B196" t="str">
        <f t="shared" si="2"/>
        <v>Functional System</v>
      </c>
      <c r="C196" s="14" t="str" cm="1">
        <f t="array" ref="C196">GetHyperlinkAddress(A196)</f>
        <v>https://open-measure.atlassian.net/wiki/spaces/DIC/pages/1229619254</v>
      </c>
    </row>
    <row r="197" spans="1:3" x14ac:dyDescent="0.35">
      <c r="A197" s="13" t="s">
        <v>226</v>
      </c>
      <c r="B197" t="str">
        <f t="shared" si="2"/>
        <v>Goal</v>
      </c>
      <c r="C197" s="14" t="str" cm="1">
        <f t="array" ref="C197">GetHyperlinkAddress(A197)</f>
        <v>https://open-measure.atlassian.net/wiki/spaces/DIC/pages/1409494</v>
      </c>
    </row>
    <row r="198" spans="1:3" x14ac:dyDescent="0.35">
      <c r="A198" s="13" t="s">
        <v>227</v>
      </c>
      <c r="B198" t="str">
        <f t="shared" ref="B198:B261" si="3">SUBSTITUTE(CLEAN(A198)," (Dictionary Entry)","")</f>
        <v>Guest Account</v>
      </c>
      <c r="C198" s="14" t="str" cm="1">
        <f t="array" ref="C198">GetHyperlinkAddress(A198)</f>
        <v>https://open-measure.atlassian.net/wiki/spaces/DIC/pages/966557699</v>
      </c>
    </row>
    <row r="199" spans="1:3" x14ac:dyDescent="0.35">
      <c r="A199" s="13" t="s">
        <v>228</v>
      </c>
      <c r="B199" t="str">
        <f t="shared" si="3"/>
        <v>High Water Mark Principle</v>
      </c>
      <c r="C199" s="14" t="str" cm="1">
        <f t="array" ref="C199">GetHyperlinkAddress(A199)</f>
        <v>https://open-measure.atlassian.net/wiki/spaces/DIC/pages/1177846011</v>
      </c>
    </row>
    <row r="200" spans="1:3" x14ac:dyDescent="0.35">
      <c r="A200" s="13" t="s">
        <v>229</v>
      </c>
      <c r="B200" t="str">
        <f t="shared" si="3"/>
        <v>Human Error</v>
      </c>
      <c r="C200" s="14" t="str" cm="1">
        <f t="array" ref="C200">GetHyperlinkAddress(A200)</f>
        <v>https://open-measure.atlassian.net/wiki/spaces/DIC/pages/998047786</v>
      </c>
    </row>
    <row r="201" spans="1:3" x14ac:dyDescent="0.35">
      <c r="A201" s="13" t="s">
        <v>230</v>
      </c>
      <c r="B201" t="str">
        <f t="shared" si="3"/>
        <v>Human Reliability</v>
      </c>
      <c r="C201" s="14" t="str" cm="1">
        <f t="array" ref="C201">GetHyperlinkAddress(A201)</f>
        <v>https://open-measure.atlassian.net/wiki/spaces/DIC/pages/998277156</v>
      </c>
    </row>
    <row r="202" spans="1:3" x14ac:dyDescent="0.35">
      <c r="A202" s="13" t="s">
        <v>231</v>
      </c>
      <c r="B202" t="str">
        <f t="shared" si="3"/>
        <v>IAG</v>
      </c>
      <c r="C202" s="14" t="str" cm="1">
        <f t="array" ref="C202">GetHyperlinkAddress(A202)</f>
        <v>https://open-measure.atlassian.net/wiki/spaces/DIC/pages/1572865/IAG</v>
      </c>
    </row>
    <row r="203" spans="1:3" x14ac:dyDescent="0.35">
      <c r="A203" s="13" t="s">
        <v>232</v>
      </c>
      <c r="B203" t="str">
        <f t="shared" si="3"/>
        <v>IAM</v>
      </c>
      <c r="C203" s="14" t="str" cm="1">
        <f t="array" ref="C203">GetHyperlinkAddress(A203)</f>
        <v>https://open-measure.atlassian.net/wiki/spaces/DIC/pages/1081356/IAM</v>
      </c>
    </row>
    <row r="204" spans="1:3" x14ac:dyDescent="0.35">
      <c r="A204" s="13" t="s">
        <v>233</v>
      </c>
      <c r="B204" t="str">
        <f t="shared" si="3"/>
        <v>IAM ARN</v>
      </c>
      <c r="C204" s="14" t="str" cm="1">
        <f t="array" ref="C204">GetHyperlinkAddress(A204)</f>
        <v>https://open-measure.atlassian.net/wiki/spaces/DIC/pages/1037926677</v>
      </c>
    </row>
    <row r="205" spans="1:3" x14ac:dyDescent="0.35">
      <c r="A205" s="13" t="s">
        <v>234</v>
      </c>
      <c r="B205" t="str">
        <f t="shared" si="3"/>
        <v>IAM Management</v>
      </c>
      <c r="C205" s="14" t="str" cm="1">
        <f t="array" ref="C205">GetHyperlinkAddress(A205)</f>
        <v>https://open-measure.atlassian.net/wiki/spaces/DIC/pages/82838735</v>
      </c>
    </row>
    <row r="206" spans="1:3" x14ac:dyDescent="0.35">
      <c r="A206" s="13" t="s">
        <v>235</v>
      </c>
      <c r="B206" t="str">
        <f t="shared" si="3"/>
        <v>IAP</v>
      </c>
      <c r="C206" s="14" t="str" cm="1">
        <f t="array" ref="C206">GetHyperlinkAddress(A206)</f>
        <v>https://open-measure.atlassian.net/wiki/spaces/DIC/pages/234487971</v>
      </c>
    </row>
    <row r="207" spans="1:3" x14ac:dyDescent="0.35">
      <c r="A207" s="13" t="s">
        <v>236</v>
      </c>
      <c r="B207" t="str">
        <f t="shared" si="3"/>
        <v>IDaaS</v>
      </c>
      <c r="C207" s="14" t="str" cm="1">
        <f t="array" ref="C207">GetHyperlinkAddress(A207)</f>
        <v>https://open-measure.atlassian.net/wiki/spaces/DIC/pages/1149468857</v>
      </c>
    </row>
    <row r="208" spans="1:3" x14ac:dyDescent="0.35">
      <c r="A208" s="13" t="s">
        <v>237</v>
      </c>
      <c r="B208" t="str">
        <f t="shared" si="3"/>
        <v>Ideal Type</v>
      </c>
      <c r="C208" s="14" t="str" cm="1">
        <f t="array" ref="C208">GetHyperlinkAddress(A208)</f>
        <v>https://open-measure.atlassian.net/wiki/spaces/DIC/pages/149356545</v>
      </c>
    </row>
    <row r="209" spans="1:3" x14ac:dyDescent="0.35">
      <c r="A209" s="13" t="s">
        <v>238</v>
      </c>
      <c r="B209" t="str">
        <f t="shared" si="3"/>
        <v>Identification</v>
      </c>
      <c r="C209" s="14" t="str" cm="1">
        <f t="array" ref="C209">GetHyperlinkAddress(A209)</f>
        <v>https://open-measure.atlassian.net/wiki/spaces/DIC/pages/419659837</v>
      </c>
    </row>
    <row r="210" spans="1:3" x14ac:dyDescent="0.35">
      <c r="A210" s="13" t="s">
        <v>239</v>
      </c>
      <c r="B210" t="str">
        <f t="shared" si="3"/>
        <v>Identification System</v>
      </c>
      <c r="C210" s="14" t="str" cm="1">
        <f t="array" ref="C210">GetHyperlinkAddress(A210)</f>
        <v>https://open-measure.atlassian.net/wiki/spaces/DIC/pages/419758113</v>
      </c>
    </row>
    <row r="211" spans="1:3" x14ac:dyDescent="0.35">
      <c r="A211" s="13" t="s">
        <v>240</v>
      </c>
      <c r="B211" t="str">
        <f t="shared" si="3"/>
        <v>Identifier</v>
      </c>
      <c r="C211" s="14" t="str" cm="1">
        <f t="array" ref="C211">GetHyperlinkAddress(A211)</f>
        <v>https://open-measure.atlassian.net/wiki/spaces/DIC/pages/435322922</v>
      </c>
    </row>
    <row r="212" spans="1:3" x14ac:dyDescent="0.35">
      <c r="A212" s="13" t="s">
        <v>241</v>
      </c>
      <c r="B212" t="str">
        <f t="shared" si="3"/>
        <v>Identifier Registry Model</v>
      </c>
      <c r="C212" s="14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13" t="s">
        <v>242</v>
      </c>
      <c r="B213" t="str">
        <f t="shared" si="3"/>
        <v>Identity</v>
      </c>
      <c r="C213" s="14" t="str" cm="1">
        <f t="array" ref="C213">GetHyperlinkAddress(A213)</f>
        <v>https://open-measure.atlassian.net/wiki/spaces/DIC/pages/67600948</v>
      </c>
    </row>
    <row r="214" spans="1:3" x14ac:dyDescent="0.35">
      <c r="A214" s="13" t="s">
        <v>243</v>
      </c>
      <c r="B214" t="str">
        <f t="shared" si="3"/>
        <v>Identity Aggregation</v>
      </c>
      <c r="C214" s="14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13" t="s">
        <v>244</v>
      </c>
      <c r="B215" t="str">
        <f t="shared" si="3"/>
        <v>Identity and Access Governance</v>
      </c>
      <c r="C215" s="14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13" t="s">
        <v>245</v>
      </c>
      <c r="B216" t="str">
        <f t="shared" si="3"/>
        <v>Identity and Access Management</v>
      </c>
      <c r="C216" s="14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13" t="s">
        <v>247</v>
      </c>
      <c r="B217" t="str">
        <f t="shared" si="3"/>
        <v>Identity Assurance</v>
      </c>
      <c r="C217" s="14" t="str" cm="1">
        <f t="array" ref="C217">GetHyperlinkAddress(A217)</f>
        <v>https://open-measure.atlassian.net/wiki/spaces/DIC/pages/1600749655/Identity+Assurance</v>
      </c>
    </row>
    <row r="218" spans="1:3" x14ac:dyDescent="0.35">
      <c r="A218" s="13" t="s">
        <v>248</v>
      </c>
      <c r="B218" t="str">
        <f t="shared" si="3"/>
        <v>Identity Attribute</v>
      </c>
      <c r="C218" s="14" t="str" cm="1">
        <f t="array" ref="C218">GetHyperlinkAddress(A218)</f>
        <v>https://open-measure.atlassian.net/wiki/spaces/DIC/pages/82903275</v>
      </c>
    </row>
    <row r="219" spans="1:3" x14ac:dyDescent="0.35">
      <c r="A219" s="13" t="s">
        <v>250</v>
      </c>
      <c r="B219" t="str">
        <f t="shared" si="3"/>
        <v>Identity Establishment</v>
      </c>
      <c r="C219" s="14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13" t="s">
        <v>251</v>
      </c>
      <c r="B220" t="str">
        <f t="shared" si="3"/>
        <v>Identity Federation</v>
      </c>
      <c r="C220" s="14" t="str" cm="1">
        <f t="array" ref="C220">GetHyperlinkAddress(A220)</f>
        <v>https://open-measure.atlassian.net/wiki/spaces/DIC/pages/336035929/Identity+Federation</v>
      </c>
    </row>
    <row r="221" spans="1:3" x14ac:dyDescent="0.35">
      <c r="A221" s="13" t="s">
        <v>252</v>
      </c>
      <c r="B221" t="str">
        <f t="shared" si="3"/>
        <v>Identity Guardian</v>
      </c>
      <c r="C221" s="14" t="str" cm="1">
        <f t="array" ref="C221">GetHyperlinkAddress(A221)</f>
        <v>https://open-measure.atlassian.net/wiki/spaces/DIC/pages/1323597918/Identity+Guardian</v>
      </c>
    </row>
    <row r="222" spans="1:3" x14ac:dyDescent="0.35">
      <c r="A222" s="13" t="s">
        <v>253</v>
      </c>
      <c r="B222" t="str">
        <f t="shared" si="3"/>
        <v>Identity Lifecycle</v>
      </c>
      <c r="C222" s="14" t="str" cm="1">
        <f t="array" ref="C222">GetHyperlinkAddress(A222)</f>
        <v>https://open-measure.atlassian.net/wiki/spaces/DIC/pages/67600436</v>
      </c>
    </row>
    <row r="223" spans="1:3" x14ac:dyDescent="0.35">
      <c r="A223" s="13" t="s">
        <v>254</v>
      </c>
      <c r="B223" t="str">
        <f t="shared" si="3"/>
        <v>Identity Management</v>
      </c>
      <c r="C223" s="14" t="str" cm="1">
        <f t="array" ref="C223">GetHyperlinkAddress(A223)</f>
        <v>https://open-measure.atlassian.net/wiki/spaces/DIC/pages/1122533530</v>
      </c>
    </row>
    <row r="224" spans="1:3" x14ac:dyDescent="0.35">
      <c r="A224" s="13" t="s">
        <v>255</v>
      </c>
      <c r="B224" t="str">
        <f t="shared" si="3"/>
        <v>Identity Management System</v>
      </c>
      <c r="C224" s="14" t="str" cm="1">
        <f t="array" ref="C224">GetHyperlinkAddress(A224)</f>
        <v>https://open-measure.atlassian.net/wiki/spaces/DIC/pages/1146847286</v>
      </c>
    </row>
    <row r="225" spans="1:3" x14ac:dyDescent="0.35">
      <c r="A225" s="13" t="s">
        <v>256</v>
      </c>
      <c r="B225" t="str">
        <f t="shared" si="3"/>
        <v>Identity Portability</v>
      </c>
      <c r="C225" s="14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13" t="s">
        <v>257</v>
      </c>
      <c r="B226" t="str">
        <f t="shared" si="3"/>
        <v>Identity Proofing</v>
      </c>
      <c r="C226" s="14" t="str" cm="1">
        <f t="array" ref="C226">GetHyperlinkAddress(A226)</f>
        <v>https://open-measure.atlassian.net/wiki/spaces/DIC/pages/858522094</v>
      </c>
    </row>
    <row r="227" spans="1:3" x14ac:dyDescent="0.35">
      <c r="A227" s="13" t="s">
        <v>258</v>
      </c>
      <c r="B227" t="str">
        <f t="shared" si="3"/>
        <v>Identity Propagation</v>
      </c>
      <c r="C227" s="14" t="str" cm="1">
        <f t="array" ref="C227">GetHyperlinkAddress(A227)</f>
        <v>https://open-measure.atlassian.net/wiki/spaces/DIC/pages/810254353</v>
      </c>
    </row>
    <row r="228" spans="1:3" x14ac:dyDescent="0.35">
      <c r="A228" s="13" t="s">
        <v>259</v>
      </c>
      <c r="B228" t="str">
        <f t="shared" si="3"/>
        <v>Identity Provider</v>
      </c>
      <c r="C228" s="14" t="str" cm="1">
        <f t="array" ref="C228">GetHyperlinkAddress(A228)</f>
        <v>https://open-measure.atlassian.net/wiki/spaces/DIC/pages/82838020</v>
      </c>
    </row>
    <row r="229" spans="1:3" x14ac:dyDescent="0.35">
      <c r="A229" s="13" t="s">
        <v>260</v>
      </c>
      <c r="B229" t="str">
        <f t="shared" si="3"/>
        <v>Identity Repository</v>
      </c>
      <c r="C229" s="14" t="str" cm="1">
        <f t="array" ref="C229">GetHyperlinkAddress(A229)</f>
        <v>https://open-measure.atlassian.net/wiki/spaces/DIC/pages/1117913089</v>
      </c>
    </row>
    <row r="230" spans="1:3" x14ac:dyDescent="0.35">
      <c r="A230" s="13" t="s">
        <v>246</v>
      </c>
      <c r="B230" t="str">
        <f t="shared" si="3"/>
        <v>Identity-as-a-Service</v>
      </c>
      <c r="C230" s="14" t="str" cm="1">
        <f t="array" ref="C230">GetHyperlinkAddress(A230)</f>
        <v>https://open-measure.atlassian.net/wiki/spaces/DIC/pages/1152516217</v>
      </c>
    </row>
    <row r="231" spans="1:3" x14ac:dyDescent="0.35">
      <c r="A231" s="13" t="s">
        <v>249</v>
      </c>
      <c r="B231" t="str">
        <f t="shared" si="3"/>
        <v>Identity-Aware Proxy</v>
      </c>
      <c r="C231" s="14" t="str" cm="1">
        <f t="array" ref="C231">GetHyperlinkAddress(A231)</f>
        <v>https://open-measure.atlassian.net/wiki/spaces/DIC/pages/236748873</v>
      </c>
    </row>
    <row r="232" spans="1:3" x14ac:dyDescent="0.35">
      <c r="A232" s="13" t="s">
        <v>261</v>
      </c>
      <c r="B232" t="str">
        <f t="shared" si="3"/>
        <v>IdMS</v>
      </c>
      <c r="C232" s="14" t="str" cm="1">
        <f t="array" ref="C232">GetHyperlinkAddress(A232)</f>
        <v>https://open-measure.atlassian.net/wiki/spaces/DIC/pages/1147043904</v>
      </c>
    </row>
    <row r="233" spans="1:3" x14ac:dyDescent="0.35">
      <c r="A233" s="13" t="s">
        <v>262</v>
      </c>
      <c r="B233" t="str">
        <f t="shared" si="3"/>
        <v>IdP</v>
      </c>
      <c r="C233" s="14" t="str" cm="1">
        <f t="array" ref="C233">GetHyperlinkAddress(A233)</f>
        <v>https://open-measure.atlassian.net/wiki/spaces/DIC/pages/81101362</v>
      </c>
    </row>
    <row r="234" spans="1:3" x14ac:dyDescent="0.35">
      <c r="A234" s="13" t="s">
        <v>263</v>
      </c>
      <c r="B234" t="str">
        <f t="shared" si="3"/>
        <v>IMG</v>
      </c>
      <c r="C234" s="14" t="str" cm="1">
        <f t="array" ref="C234">GetHyperlinkAddress(A234)</f>
        <v>https://open-measure.atlassian.net/wiki/spaces/DIC/pages/107708597</v>
      </c>
    </row>
    <row r="235" spans="1:3" x14ac:dyDescent="0.35">
      <c r="A235" s="13" t="s">
        <v>264</v>
      </c>
      <c r="B235" t="str">
        <f t="shared" si="3"/>
        <v>Impact Indicator</v>
      </c>
      <c r="C235" s="14" t="str" cm="1">
        <f t="array" ref="C235">GetHyperlinkAddress(A235)</f>
        <v>https://open-measure.atlassian.net/wiki/spaces/DIC/pages/46104660</v>
      </c>
    </row>
    <row r="236" spans="1:3" x14ac:dyDescent="0.35">
      <c r="A236" s="13" t="s">
        <v>265</v>
      </c>
      <c r="B236" t="str">
        <f t="shared" si="3"/>
        <v>Impersonation</v>
      </c>
      <c r="C236" s="14" t="str" cm="1">
        <f t="array" ref="C236">GetHyperlinkAddress(A236)</f>
        <v>https://open-measure.atlassian.net/wiki/spaces/DIC/pages/974323719</v>
      </c>
    </row>
    <row r="237" spans="1:3" x14ac:dyDescent="0.35">
      <c r="A237" s="13" t="s">
        <v>266</v>
      </c>
      <c r="B237" t="str">
        <f t="shared" si="3"/>
        <v>Indicator</v>
      </c>
      <c r="C237" s="14" t="str" cm="1">
        <f t="array" ref="C237">GetHyperlinkAddress(A237)</f>
        <v>https://open-measure.atlassian.net/wiki/spaces/DIC/pages/1311218</v>
      </c>
    </row>
    <row r="238" spans="1:3" x14ac:dyDescent="0.35">
      <c r="A238" s="13" t="s">
        <v>267</v>
      </c>
      <c r="B238" t="str">
        <f t="shared" si="3"/>
        <v>Indicator Categories</v>
      </c>
      <c r="C238" s="14" t="str" cm="1">
        <f t="array" ref="C238">GetHyperlinkAddress(A238)</f>
        <v>https://open-measure.atlassian.net/wiki/spaces/DIC/pages/49250393</v>
      </c>
    </row>
    <row r="239" spans="1:3" x14ac:dyDescent="0.35">
      <c r="A239" s="13" t="s">
        <v>268</v>
      </c>
      <c r="B239" t="str">
        <f t="shared" si="3"/>
        <v>Indicator Property</v>
      </c>
      <c r="C239" s="14" t="str" cm="1">
        <f t="array" ref="C239">GetHyperlinkAddress(A239)</f>
        <v>https://open-measure.atlassian.net/wiki/spaces/DIC/pages/43515956</v>
      </c>
    </row>
    <row r="240" spans="1:3" x14ac:dyDescent="0.35">
      <c r="A240" s="13" t="s">
        <v>269</v>
      </c>
      <c r="B240" t="str">
        <f t="shared" si="3"/>
        <v>Indicator Selection</v>
      </c>
      <c r="C240" s="14" t="str" cm="1">
        <f t="array" ref="C240">GetHyperlinkAddress(A240)</f>
        <v>https://open-measure.atlassian.net/wiki/spaces/DIC/pages/11141519</v>
      </c>
    </row>
    <row r="241" spans="1:3" x14ac:dyDescent="0.35">
      <c r="A241" s="13" t="s">
        <v>270</v>
      </c>
      <c r="B241" t="str">
        <f t="shared" si="3"/>
        <v>Indicators Set</v>
      </c>
      <c r="C241" s="14" t="str" cm="1">
        <f t="array" ref="C241">GetHyperlinkAddress(A241)</f>
        <v>https://open-measure.atlassian.net/wiki/spaces/DIC/pages/59473923</v>
      </c>
    </row>
    <row r="242" spans="1:3" x14ac:dyDescent="0.35">
      <c r="A242" s="13" t="s">
        <v>271</v>
      </c>
      <c r="B242" t="str">
        <f t="shared" si="3"/>
        <v>Informal TCO</v>
      </c>
      <c r="C242" s="14" t="str" cm="1">
        <f t="array" ref="C242">GetHyperlinkAddress(A242)</f>
        <v>https://open-measure.atlassian.net/wiki/spaces/DIC/pages/158827185</v>
      </c>
    </row>
    <row r="243" spans="1:3" x14ac:dyDescent="0.35">
      <c r="A243" s="13" t="s">
        <v>272</v>
      </c>
      <c r="B243" t="str">
        <f t="shared" si="3"/>
        <v>Information</v>
      </c>
      <c r="C243" s="14" t="str" cm="1">
        <f t="array" ref="C243">GetHyperlinkAddress(A243)</f>
        <v>https://open-measure.atlassian.net/wiki/spaces/DIC/pages/1027342618</v>
      </c>
    </row>
    <row r="244" spans="1:3" x14ac:dyDescent="0.35">
      <c r="A244" s="13" t="s">
        <v>273</v>
      </c>
      <c r="B244" t="str">
        <f t="shared" si="3"/>
        <v>Information Asset</v>
      </c>
      <c r="C244" s="14" t="str" cm="1">
        <f t="array" ref="C244">GetHyperlinkAddress(A244)</f>
        <v>https://open-measure.atlassian.net/wiki/spaces/DIC/pages/455508212</v>
      </c>
    </row>
    <row r="245" spans="1:3" x14ac:dyDescent="0.35">
      <c r="A245" s="13" t="s">
        <v>274</v>
      </c>
      <c r="B245" t="str">
        <f t="shared" si="3"/>
        <v>Information Custodian</v>
      </c>
      <c r="C245" s="14" t="str" cm="1">
        <f t="array" ref="C245">GetHyperlinkAddress(A245)</f>
        <v>https://open-measure.atlassian.net/wiki/spaces/DIC/pages/1004896257</v>
      </c>
    </row>
    <row r="246" spans="1:3" x14ac:dyDescent="0.35">
      <c r="A246" s="13" t="s">
        <v>275</v>
      </c>
      <c r="B246" t="str">
        <f t="shared" si="3"/>
        <v>Information Flow Policy</v>
      </c>
      <c r="C246" s="14" t="str" cm="1">
        <f t="array" ref="C246">GetHyperlinkAddress(A246)</f>
        <v>https://open-measure.atlassian.net/wiki/spaces/DIC/pages/1177714758</v>
      </c>
    </row>
    <row r="247" spans="1:3" x14ac:dyDescent="0.35">
      <c r="A247" s="13" t="s">
        <v>276</v>
      </c>
      <c r="B247" t="str">
        <f t="shared" si="3"/>
        <v>Information Owner</v>
      </c>
      <c r="C247" s="14" t="str" cm="1">
        <f t="array" ref="C247">GetHyperlinkAddress(A247)</f>
        <v>https://open-measure.atlassian.net/wiki/spaces/DIC/pages/998113409</v>
      </c>
    </row>
    <row r="248" spans="1:3" x14ac:dyDescent="0.35">
      <c r="A248" s="13" t="s">
        <v>277</v>
      </c>
      <c r="B248" t="str">
        <f t="shared" si="3"/>
        <v>Information Security Domain</v>
      </c>
      <c r="C248" s="14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13" t="s">
        <v>278</v>
      </c>
      <c r="B249" t="str">
        <f t="shared" si="3"/>
        <v>Information System</v>
      </c>
      <c r="C249" s="14" t="str" cm="1">
        <f t="array" ref="C249">GetHyperlinkAddress(A249)</f>
        <v>https://open-measure.atlassian.net/wiki/spaces/DIC/pages/1031241830/Information+System</v>
      </c>
    </row>
    <row r="250" spans="1:3" x14ac:dyDescent="0.35">
      <c r="A250" s="13" t="s">
        <v>279</v>
      </c>
      <c r="B250" t="str">
        <f t="shared" si="3"/>
        <v>Input Indicator</v>
      </c>
      <c r="C250" s="14" t="str" cm="1">
        <f t="array" ref="C250">GetHyperlinkAddress(A250)</f>
        <v>https://open-measure.atlassian.net/wiki/spaces/DIC/pages/49250305</v>
      </c>
    </row>
    <row r="251" spans="1:3" x14ac:dyDescent="0.35">
      <c r="A251" s="13" t="s">
        <v>280</v>
      </c>
      <c r="B251" t="str">
        <f t="shared" si="3"/>
        <v>Inside Attacker</v>
      </c>
      <c r="C251" s="14" t="str" cm="1">
        <f t="array" ref="C251">GetHyperlinkAddress(A251)</f>
        <v>https://open-measure.atlassian.net/wiki/spaces/DIC/pages/1477869651/Inside+Attacker</v>
      </c>
    </row>
    <row r="252" spans="1:3" x14ac:dyDescent="0.35">
      <c r="A252" s="13" t="s">
        <v>281</v>
      </c>
      <c r="B252" t="str">
        <f t="shared" si="3"/>
        <v>Insider</v>
      </c>
      <c r="C252" s="14" t="str" cm="1">
        <f t="array" ref="C252">GetHyperlinkAddress(A252)</f>
        <v>https://open-measure.atlassian.net/wiki/spaces/DIC/pages/1451884782/Insider</v>
      </c>
    </row>
    <row r="253" spans="1:3" x14ac:dyDescent="0.35">
      <c r="A253" s="13" t="s">
        <v>282</v>
      </c>
      <c r="B253" t="str">
        <f t="shared" si="3"/>
        <v>Insider Attack</v>
      </c>
      <c r="C253" s="14" t="str" cm="1">
        <f t="array" ref="C253">GetHyperlinkAddress(A253)</f>
        <v>https://open-measure.atlassian.net/wiki/spaces/DIC/pages/1478459402/Insider+Attack</v>
      </c>
    </row>
    <row r="254" spans="1:3" x14ac:dyDescent="0.35">
      <c r="A254" s="13" t="s">
        <v>283</v>
      </c>
      <c r="B254" t="str">
        <f t="shared" si="3"/>
        <v>Insider Threat</v>
      </c>
      <c r="C254" s="14" t="str" cm="1">
        <f t="array" ref="C254">GetHyperlinkAddress(A254)</f>
        <v>https://open-measure.atlassian.net/wiki/spaces/DIC/pages/1451098397/Insider+Threat</v>
      </c>
    </row>
    <row r="255" spans="1:3" x14ac:dyDescent="0.35">
      <c r="A255" s="13" t="s">
        <v>284</v>
      </c>
      <c r="B255" t="str">
        <f t="shared" si="3"/>
        <v>Insufficient Granularity of Access Control</v>
      </c>
      <c r="C255" s="14" t="str" cm="1">
        <f t="array" ref="C255">GetHyperlinkAddress(A255)</f>
        <v>https://open-measure.atlassian.net/wiki/spaces/DIC/pages/822476843</v>
      </c>
    </row>
    <row r="256" spans="1:3" x14ac:dyDescent="0.35">
      <c r="A256" s="13" t="s">
        <v>285</v>
      </c>
      <c r="B256" t="str">
        <f t="shared" si="3"/>
        <v>Intentional Error</v>
      </c>
      <c r="C256" s="14" t="str" cm="1">
        <f t="array" ref="C256">GetHyperlinkAddress(A256)</f>
        <v>https://open-measure.atlassian.net/wiki/spaces/DIC/pages/998277141</v>
      </c>
    </row>
    <row r="257" spans="1:3" x14ac:dyDescent="0.35">
      <c r="A257" s="13" t="s">
        <v>286</v>
      </c>
      <c r="B257" t="str">
        <f t="shared" si="3"/>
        <v>Interested Party</v>
      </c>
      <c r="C257" s="14" t="str" cm="1">
        <f t="array" ref="C257">GetHyperlinkAddress(A257)</f>
        <v>https://open-measure.atlassian.net/wiki/spaces/DIC/pages/1311417</v>
      </c>
    </row>
    <row r="258" spans="1:3" x14ac:dyDescent="0.35">
      <c r="A258" s="13" t="s">
        <v>287</v>
      </c>
      <c r="B258" t="str">
        <f t="shared" si="3"/>
        <v>Interoperability</v>
      </c>
      <c r="C258" s="14" t="str" cm="1">
        <f t="array" ref="C258">GetHyperlinkAddress(A258)</f>
        <v>https://open-measure.atlassian.net/wiki/spaces/DIC/pages/442466314</v>
      </c>
    </row>
    <row r="259" spans="1:3" x14ac:dyDescent="0.35">
      <c r="A259" s="13" t="s">
        <v>288</v>
      </c>
      <c r="B259" t="str">
        <f t="shared" si="3"/>
        <v>Interval Scale</v>
      </c>
      <c r="C259" s="14" t="str" cm="1">
        <f t="array" ref="C259">GetHyperlinkAddress(A259)</f>
        <v>https://open-measure.atlassian.net/wiki/spaces/DIC/pages/11567191</v>
      </c>
    </row>
    <row r="260" spans="1:3" x14ac:dyDescent="0.35">
      <c r="A260" s="13" t="s">
        <v>289</v>
      </c>
      <c r="B260" t="str">
        <f t="shared" si="3"/>
        <v>Isolated Identity Management System</v>
      </c>
      <c r="C260" s="14" t="str" cm="1">
        <f t="array" ref="C260">GetHyperlinkAddress(A260)</f>
        <v>https://open-measure.atlassian.net/wiki/spaces/DIC/pages/1152483625</v>
      </c>
    </row>
    <row r="261" spans="1:3" x14ac:dyDescent="0.35">
      <c r="A261" s="13" t="s">
        <v>290</v>
      </c>
      <c r="B261" t="str">
        <f t="shared" si="3"/>
        <v>IT Asset Scope</v>
      </c>
      <c r="C261" s="14" t="str" cm="1">
        <f t="array" ref="C261">GetHyperlinkAddress(A261)</f>
        <v>https://open-measure.atlassian.net/wiki/spaces/DIC/pages/720902</v>
      </c>
    </row>
    <row r="262" spans="1:3" x14ac:dyDescent="0.35">
      <c r="A262" s="13" t="s">
        <v>291</v>
      </c>
      <c r="B262" t="str">
        <f t="shared" ref="B262:B325" si="4">SUBSTITUTE(CLEAN(A262)," (Dictionary Entry)","")</f>
        <v>IT System</v>
      </c>
      <c r="C262" s="14" t="str" cm="1">
        <f t="array" ref="C262">GetHyperlinkAddress(A262)</f>
        <v>https://open-measure.atlassian.net/wiki/spaces/DIC/pages/1569095803/IT+System</v>
      </c>
    </row>
    <row r="263" spans="1:3" x14ac:dyDescent="0.35">
      <c r="A263" s="13" t="s">
        <v>292</v>
      </c>
      <c r="B263" t="str">
        <f t="shared" si="4"/>
        <v>JML</v>
      </c>
      <c r="C263" s="14" t="str" cm="1">
        <f t="array" ref="C263">GetHyperlinkAddress(A263)</f>
        <v>https://open-measure.atlassian.net/wiki/spaces/DIC/pages/858488984</v>
      </c>
    </row>
    <row r="264" spans="1:3" x14ac:dyDescent="0.35">
      <c r="A264" s="13" t="s">
        <v>293</v>
      </c>
      <c r="B264" t="str">
        <f t="shared" si="4"/>
        <v>Joiner</v>
      </c>
      <c r="C264" s="14" t="str" cm="1">
        <f t="array" ref="C264">GetHyperlinkAddress(A264)</f>
        <v>https://open-measure.atlassian.net/wiki/spaces/DIC/pages/855506953</v>
      </c>
    </row>
    <row r="265" spans="1:3" x14ac:dyDescent="0.35">
      <c r="A265" s="13" t="s">
        <v>294</v>
      </c>
      <c r="B265" t="str">
        <f t="shared" si="4"/>
        <v>Joiner Hire Date</v>
      </c>
      <c r="C265" s="14" t="str" cm="1">
        <f t="array" ref="C265">GetHyperlinkAddress(A265)</f>
        <v>https://open-measure.atlassian.net/wiki/spaces/DIC/pages/858456203</v>
      </c>
    </row>
    <row r="266" spans="1:3" x14ac:dyDescent="0.35">
      <c r="A266" s="13" t="s">
        <v>295</v>
      </c>
      <c r="B266" t="str">
        <f t="shared" si="4"/>
        <v>Joiner Lead Time</v>
      </c>
      <c r="C266" s="14" t="str" cm="1">
        <f t="array" ref="C266">GetHyperlinkAddress(A266)</f>
        <v>https://open-measure.atlassian.net/wiki/spaces/DIC/pages/852492379</v>
      </c>
    </row>
    <row r="267" spans="1:3" x14ac:dyDescent="0.35">
      <c r="A267" s="13" t="s">
        <v>296</v>
      </c>
      <c r="B267" t="str">
        <f t="shared" si="4"/>
        <v>Joiner Process</v>
      </c>
      <c r="C267" s="14" t="str" cm="1">
        <f t="array" ref="C267">GetHyperlinkAddress(A267)</f>
        <v>https://open-measure.atlassian.net/wiki/spaces/DIC/pages/858521641</v>
      </c>
    </row>
    <row r="268" spans="1:3" x14ac:dyDescent="0.35">
      <c r="A268" s="13" t="s">
        <v>297</v>
      </c>
      <c r="B268" t="str">
        <f t="shared" si="4"/>
        <v>Joiner Start Date</v>
      </c>
      <c r="C268" s="14" t="str" cm="1">
        <f t="array" ref="C268">GetHyperlinkAddress(A268)</f>
        <v>https://open-measure.atlassian.net/wiki/spaces/DIC/pages/852492338</v>
      </c>
    </row>
    <row r="269" spans="1:3" x14ac:dyDescent="0.35">
      <c r="A269" s="13" t="s">
        <v>298</v>
      </c>
      <c r="B269" t="str">
        <f t="shared" si="4"/>
        <v>Key Criteria Type</v>
      </c>
      <c r="C269" s="14" t="str" cm="1">
        <f t="array" ref="C269">GetHyperlinkAddress(A269)</f>
        <v>https://open-measure.atlassian.net/wiki/spaces/DIC/pages/140706011</v>
      </c>
    </row>
    <row r="270" spans="1:3" x14ac:dyDescent="0.35">
      <c r="A270" s="13" t="s">
        <v>299</v>
      </c>
      <c r="B270" t="str">
        <f t="shared" si="4"/>
        <v>Key Information</v>
      </c>
      <c r="C270" s="14" t="str" cm="1">
        <f t="array" ref="C270">GetHyperlinkAddress(A270)</f>
        <v>https://open-measure.atlassian.net/wiki/spaces/DIC/pages/425623701</v>
      </c>
    </row>
    <row r="271" spans="1:3" x14ac:dyDescent="0.35">
      <c r="A271" s="13" t="s">
        <v>300</v>
      </c>
      <c r="B271" t="str">
        <f t="shared" si="4"/>
        <v>Keying Material</v>
      </c>
      <c r="C271" s="14" t="str" cm="1">
        <f t="array" ref="C271">GetHyperlinkAddress(A271)</f>
        <v>https://open-measure.atlassian.net/wiki/spaces/DIC/pages/427163745</v>
      </c>
    </row>
    <row r="272" spans="1:3" x14ac:dyDescent="0.35">
      <c r="A272" s="13" t="s">
        <v>301</v>
      </c>
      <c r="B272" t="str">
        <f t="shared" si="4"/>
        <v>KYC</v>
      </c>
      <c r="C272" s="14" t="str" cm="1">
        <f t="array" ref="C272">GetHyperlinkAddress(A272)</f>
        <v>https://open-measure.atlassian.net/wiki/spaces/DIC/pages/442499114</v>
      </c>
    </row>
    <row r="273" spans="1:3" x14ac:dyDescent="0.35">
      <c r="A273" s="13" t="s">
        <v>302</v>
      </c>
      <c r="B273" t="str">
        <f t="shared" si="4"/>
        <v>KYC Registry</v>
      </c>
      <c r="C273" s="14" t="str" cm="1">
        <f t="array" ref="C273">GetHyperlinkAddress(A273)</f>
        <v>https://open-measure.atlassian.net/wiki/spaces/DIC/pages/442400811</v>
      </c>
    </row>
    <row r="274" spans="1:3" x14ac:dyDescent="0.35">
      <c r="A274" s="13" t="s">
        <v>303</v>
      </c>
      <c r="B274" t="str">
        <f t="shared" si="4"/>
        <v>Lagging Indicator</v>
      </c>
      <c r="C274" s="14" t="str" cm="1">
        <f t="array" ref="C274">GetHyperlinkAddress(A274)</f>
        <v>https://open-measure.atlassian.net/wiki/spaces/DIC/pages/49250357</v>
      </c>
    </row>
    <row r="275" spans="1:3" x14ac:dyDescent="0.35">
      <c r="A275" s="13" t="s">
        <v>304</v>
      </c>
      <c r="B275" t="str">
        <f t="shared" si="4"/>
        <v>Lattice-Based Access Control</v>
      </c>
      <c r="C275" s="14" t="str" cm="1">
        <f t="array" ref="C275">GetHyperlinkAddress(A275)</f>
        <v>https://open-measure.atlassian.net/wiki/spaces/DIC/pages/1177681925</v>
      </c>
    </row>
    <row r="276" spans="1:3" x14ac:dyDescent="0.35">
      <c r="A276" s="13" t="s">
        <v>305</v>
      </c>
      <c r="B276" t="str">
        <f t="shared" si="4"/>
        <v>Layers Architectural Pattern</v>
      </c>
      <c r="C276" s="14" t="str" cm="1">
        <f t="array" ref="C276">GetHyperlinkAddress(A276)</f>
        <v>https://open-measure.atlassian.net/wiki/spaces/DIC/pages/1181843548</v>
      </c>
    </row>
    <row r="277" spans="1:3" x14ac:dyDescent="0.35">
      <c r="A277" s="13" t="s">
        <v>306</v>
      </c>
      <c r="B277" t="str">
        <f t="shared" si="4"/>
        <v>LBAC</v>
      </c>
      <c r="C277" s="14" t="str" cm="1">
        <f t="array" ref="C277">GetHyperlinkAddress(A277)</f>
        <v>https://open-measure.atlassian.net/wiki/spaces/DIC/pages/1177780225</v>
      </c>
    </row>
    <row r="278" spans="1:3" x14ac:dyDescent="0.35">
      <c r="A278" s="13" t="s">
        <v>307</v>
      </c>
      <c r="B278" t="str">
        <f t="shared" si="4"/>
        <v>Leading Indicator</v>
      </c>
      <c r="C278" s="14" t="str" cm="1">
        <f t="array" ref="C278">GetHyperlinkAddress(A278)</f>
        <v>https://open-measure.atlassian.net/wiki/spaces/DIC/pages/49250375</v>
      </c>
    </row>
    <row r="279" spans="1:3" x14ac:dyDescent="0.35">
      <c r="A279" s="13" t="s">
        <v>308</v>
      </c>
      <c r="B279" t="str">
        <f t="shared" si="4"/>
        <v>Least Privilege</v>
      </c>
      <c r="C279" s="14" t="str" cm="1">
        <f t="array" ref="C279">GetHyperlinkAddress(A279)</f>
        <v>https://open-measure.atlassian.net/wiki/spaces/DIC/pages/1006698533</v>
      </c>
    </row>
    <row r="280" spans="1:3" x14ac:dyDescent="0.35">
      <c r="A280" s="13" t="s">
        <v>309</v>
      </c>
      <c r="B280" t="str">
        <f t="shared" si="4"/>
        <v>Legal Entity Identifier</v>
      </c>
      <c r="C280" s="14" t="str" cm="1">
        <f t="array" ref="C280">GetHyperlinkAddress(A280)</f>
        <v>https://open-measure.atlassian.net/wiki/spaces/DIC/pages/442466361</v>
      </c>
    </row>
    <row r="281" spans="1:3" x14ac:dyDescent="0.35">
      <c r="A281" s="13" t="s">
        <v>310</v>
      </c>
      <c r="B281" t="str">
        <f t="shared" si="4"/>
        <v>Legitimate Privilege Abuse</v>
      </c>
      <c r="C281" s="14" t="str" cm="1">
        <f t="array" ref="C281">GetHyperlinkAddress(A281)</f>
        <v>https://open-measure.atlassian.net/wiki/spaces/DIC/pages/1104936974</v>
      </c>
    </row>
    <row r="282" spans="1:3" x14ac:dyDescent="0.35">
      <c r="A282" s="13" t="s">
        <v>311</v>
      </c>
      <c r="B282" t="str">
        <f t="shared" si="4"/>
        <v>LEI</v>
      </c>
      <c r="C282" s="14" t="str" cm="1">
        <f t="array" ref="C282">GetHyperlinkAddress(A282)</f>
        <v>https://open-measure.atlassian.net/wiki/spaces/DIC/pages/442368033</v>
      </c>
    </row>
    <row r="283" spans="1:3" x14ac:dyDescent="0.35">
      <c r="A283" s="13" t="s">
        <v>312</v>
      </c>
      <c r="B283" t="str">
        <f t="shared" si="4"/>
        <v>Levels of Assurance</v>
      </c>
      <c r="C283" s="14" t="str" cm="1">
        <f t="array" ref="C283">GetHyperlinkAddress(A283)</f>
        <v>https://open-measure.atlassian.net/wiki/spaces/DIC/pages/442466381</v>
      </c>
    </row>
    <row r="284" spans="1:3" x14ac:dyDescent="0.35">
      <c r="A284" s="13" t="s">
        <v>313</v>
      </c>
      <c r="B284" t="str">
        <f t="shared" si="4"/>
        <v>Liberal Discretionary Access Control</v>
      </c>
      <c r="C284" s="14" t="str" cm="1">
        <f t="array" ref="C284">GetHyperlinkAddress(A284)</f>
        <v>https://open-measure.atlassian.net/wiki/spaces/DIC/pages/1177845957</v>
      </c>
    </row>
    <row r="285" spans="1:3" x14ac:dyDescent="0.35">
      <c r="A285" s="13" t="s">
        <v>314</v>
      </c>
      <c r="B285" t="str">
        <f t="shared" si="4"/>
        <v>LOA</v>
      </c>
      <c r="C285" s="14" t="str" cm="1">
        <f t="array" ref="C285">GetHyperlinkAddress(A285)</f>
        <v>https://open-measure.atlassian.net/wiki/spaces/DIC/pages/442400912</v>
      </c>
    </row>
    <row r="286" spans="1:3" x14ac:dyDescent="0.35">
      <c r="A286" s="13" t="s">
        <v>315</v>
      </c>
      <c r="B286" t="str">
        <f t="shared" si="4"/>
        <v>Logic Bomb</v>
      </c>
      <c r="C286" s="14" t="str" cm="1">
        <f t="array" ref="C286">GetHyperlinkAddress(A286)</f>
        <v>https://open-measure.atlassian.net/wiki/spaces/DIC/pages/1452048577/Logic+Bomb</v>
      </c>
    </row>
    <row r="287" spans="1:3" x14ac:dyDescent="0.35">
      <c r="A287" s="13" t="s">
        <v>316</v>
      </c>
      <c r="B287" t="str">
        <f t="shared" si="4"/>
        <v>Login</v>
      </c>
      <c r="C287" s="14" t="str" cm="1">
        <f t="array" ref="C287">GetHyperlinkAddress(A287)</f>
        <v>https://open-measure.atlassian.net/wiki/spaces/DIC/pages/1440153606/Login</v>
      </c>
    </row>
    <row r="288" spans="1:3" x14ac:dyDescent="0.35">
      <c r="A288" s="13" t="s">
        <v>317</v>
      </c>
      <c r="B288" t="str">
        <f t="shared" si="4"/>
        <v>Login ID</v>
      </c>
      <c r="C288" s="14" t="str" cm="1">
        <f t="array" ref="C288">GetHyperlinkAddress(A288)</f>
        <v>https://open-measure.atlassian.net/wiki/spaces/DIC/pages/1428685307/Login+ID</v>
      </c>
    </row>
    <row r="289" spans="1:3" x14ac:dyDescent="0.35">
      <c r="A289" s="13" t="s">
        <v>318</v>
      </c>
      <c r="B289" t="str">
        <f t="shared" si="4"/>
        <v>Login Name</v>
      </c>
      <c r="C289" s="14" t="str" cm="1">
        <f t="array" ref="C289">GetHyperlinkAddress(A289)</f>
        <v>https://open-measure.atlassian.net/wiki/spaces/DIC/pages/1428685365/Login+Name</v>
      </c>
    </row>
    <row r="290" spans="1:3" x14ac:dyDescent="0.35">
      <c r="A290" s="13" t="s">
        <v>319</v>
      </c>
      <c r="B290" t="str">
        <f t="shared" si="4"/>
        <v>Meaningful Statement using Scales</v>
      </c>
      <c r="C290" s="14" t="str" cm="1">
        <f t="array" ref="C290">GetHyperlinkAddress(A290)</f>
        <v>https://open-measure.atlassian.net/wiki/spaces/DIC/pages/5900142</v>
      </c>
    </row>
    <row r="291" spans="1:3" x14ac:dyDescent="0.35">
      <c r="A291" s="13" t="s">
        <v>320</v>
      </c>
      <c r="B291" t="str">
        <f t="shared" si="4"/>
        <v>Measurable Quantity</v>
      </c>
      <c r="C291" s="14" t="str" cm="1">
        <f t="array" ref="C291">GetHyperlinkAddress(A291)</f>
        <v>https://open-measure.atlassian.net/wiki/spaces/DIC/pages/5899544</v>
      </c>
    </row>
    <row r="292" spans="1:3" x14ac:dyDescent="0.35">
      <c r="A292" s="13" t="s">
        <v>321</v>
      </c>
      <c r="B292" t="str">
        <f t="shared" si="4"/>
        <v>Measurement</v>
      </c>
      <c r="C292" s="14" t="str" cm="1">
        <f t="array" ref="C292">GetHyperlinkAddress(A292)</f>
        <v>https://open-measure.atlassian.net/wiki/spaces/DIC/pages/1310994</v>
      </c>
    </row>
    <row r="293" spans="1:3" x14ac:dyDescent="0.35">
      <c r="A293" s="13" t="s">
        <v>322</v>
      </c>
      <c r="B293" t="str">
        <f t="shared" si="4"/>
        <v>Measurement Indicator</v>
      </c>
      <c r="C293" s="14" t="str" cm="1">
        <f t="array" ref="C293">GetHyperlinkAddress(A293)</f>
        <v>https://open-measure.atlassian.net/wiki/spaces/DIC/pages/5933244</v>
      </c>
    </row>
    <row r="294" spans="1:3" x14ac:dyDescent="0.35">
      <c r="A294" s="13" t="s">
        <v>323</v>
      </c>
      <c r="B294" t="str">
        <f t="shared" si="4"/>
        <v>Measurement Scale</v>
      </c>
      <c r="C294" s="14" t="str" cm="1">
        <f t="array" ref="C294">GetHyperlinkAddress(A294)</f>
        <v>https://open-measure.atlassian.net/wiki/spaces/DIC/pages/11567150</v>
      </c>
    </row>
    <row r="295" spans="1:3" x14ac:dyDescent="0.35">
      <c r="A295" s="13" t="s">
        <v>324</v>
      </c>
      <c r="B295" t="str">
        <f t="shared" si="4"/>
        <v>Measurement Theory</v>
      </c>
      <c r="C295" s="14" t="str" cm="1">
        <f t="array" ref="C295">GetHyperlinkAddress(A295)</f>
        <v>https://open-measure.atlassian.net/wiki/spaces/DIC/pages/5899260</v>
      </c>
    </row>
    <row r="296" spans="1:3" x14ac:dyDescent="0.35">
      <c r="A296" s="13" t="s">
        <v>325</v>
      </c>
      <c r="B296" t="str">
        <f t="shared" si="4"/>
        <v>Measuring Instrument</v>
      </c>
      <c r="C296" s="14" t="str" cm="1">
        <f t="array" ref="C296">GetHyperlinkAddress(A296)</f>
        <v>https://open-measure.atlassian.net/wiki/spaces/DIC/pages/2588851</v>
      </c>
    </row>
    <row r="297" spans="1:3" x14ac:dyDescent="0.35">
      <c r="A297" s="13" t="s">
        <v>326</v>
      </c>
      <c r="B297" t="str">
        <f t="shared" si="4"/>
        <v>Mechanism</v>
      </c>
      <c r="C297" s="14" t="str" cm="1">
        <f t="array" ref="C297">GetHyperlinkAddress(A297)</f>
        <v>https://open-measure.atlassian.net/wiki/spaces/DIC/pages/67699227</v>
      </c>
    </row>
    <row r="298" spans="1:3" x14ac:dyDescent="0.35">
      <c r="A298" s="13" t="s">
        <v>327</v>
      </c>
      <c r="B298" t="str">
        <f t="shared" si="4"/>
        <v>Metadata (Dictionary Term)</v>
      </c>
      <c r="C298" s="14" t="str" cm="1">
        <f t="array" ref="C298">GetHyperlinkAddress(A298)</f>
        <v>https://open-measure.atlassian.net/wiki/spaces/DIC/pages/427163759</v>
      </c>
    </row>
    <row r="299" spans="1:3" x14ac:dyDescent="0.35">
      <c r="A299" s="13" t="s">
        <v>328</v>
      </c>
      <c r="B299" t="str">
        <f t="shared" si="4"/>
        <v>Metadirectory</v>
      </c>
      <c r="C299" s="14" t="str" cm="1">
        <f t="array" ref="C299">GetHyperlinkAddress(A299)</f>
        <v>https://open-measure.atlassian.net/wiki/spaces/DIC/pages/834044288</v>
      </c>
    </row>
    <row r="300" spans="1:3" x14ac:dyDescent="0.35">
      <c r="A300" s="13" t="s">
        <v>329</v>
      </c>
      <c r="B300" t="str">
        <f t="shared" si="4"/>
        <v>Metric</v>
      </c>
      <c r="C300" s="14" t="str" cm="1">
        <f t="array" ref="C300">GetHyperlinkAddress(A300)</f>
        <v>https://open-measure.atlassian.net/wiki/spaces/DIC/pages/1311226</v>
      </c>
    </row>
    <row r="301" spans="1:3" x14ac:dyDescent="0.35">
      <c r="A301" s="13" t="s">
        <v>330</v>
      </c>
      <c r="B301" t="str">
        <f t="shared" si="4"/>
        <v>Model</v>
      </c>
      <c r="C301" s="14" t="str" cm="1">
        <f t="array" ref="C301">GetHyperlinkAddress(A301)</f>
        <v>https://open-measure.atlassian.net/wiki/spaces/DIC/pages/67633632</v>
      </c>
    </row>
    <row r="302" spans="1:3" x14ac:dyDescent="0.35">
      <c r="A302" s="13" t="s">
        <v>331</v>
      </c>
      <c r="B302" t="str">
        <f t="shared" si="4"/>
        <v>Monothetic Class</v>
      </c>
      <c r="C302" s="14" t="str" cm="1">
        <f t="array" ref="C302">GetHyperlinkAddress(A302)</f>
        <v>https://open-measure.atlassian.net/wiki/spaces/DIC/pages/148439237</v>
      </c>
    </row>
    <row r="303" spans="1:3" x14ac:dyDescent="0.35">
      <c r="A303" s="13" t="s">
        <v>332</v>
      </c>
      <c r="B303" t="str">
        <f t="shared" si="4"/>
        <v>Monotony</v>
      </c>
      <c r="C303" s="14" t="str" cm="1">
        <f t="array" ref="C303">GetHyperlinkAddress(A303)</f>
        <v>https://open-measure.atlassian.net/wiki/spaces/DIC/pages/43581457</v>
      </c>
    </row>
    <row r="304" spans="1:3" x14ac:dyDescent="0.35">
      <c r="A304" s="13" t="s">
        <v>333</v>
      </c>
      <c r="B304" t="str">
        <f t="shared" si="4"/>
        <v>Multidomain Single Sign-On</v>
      </c>
      <c r="C304" s="14" t="str" cm="1">
        <f t="array" ref="C304">GetHyperlinkAddress(A304)</f>
        <v>https://open-measure.atlassian.net/wiki/spaces/DIC/pages/75890760</v>
      </c>
    </row>
    <row r="305" spans="1:3" x14ac:dyDescent="0.35">
      <c r="A305" s="13" t="s">
        <v>334</v>
      </c>
      <c r="B305" t="str">
        <f t="shared" si="4"/>
        <v>Multilevel Security</v>
      </c>
      <c r="C305" s="14" t="str" cm="1">
        <f t="array" ref="C305">GetHyperlinkAddress(A305)</f>
        <v>https://open-measure.atlassian.net/wiki/spaces/DIC/pages/1031241799</v>
      </c>
    </row>
    <row r="306" spans="1:3" x14ac:dyDescent="0.35">
      <c r="A306" s="13" t="s">
        <v>335</v>
      </c>
      <c r="B306" t="str">
        <f t="shared" si="4"/>
        <v>Multiple Accounts</v>
      </c>
      <c r="C306" s="14" t="str" cm="1">
        <f t="array" ref="C306">GetHyperlinkAddress(A306)</f>
        <v>https://open-measure.atlassian.net/wiki/spaces/DIC/pages/1600684160/Multiple+Accounts</v>
      </c>
    </row>
    <row r="307" spans="1:3" x14ac:dyDescent="0.35">
      <c r="A307" s="13" t="s">
        <v>336</v>
      </c>
      <c r="B307" t="str">
        <f t="shared" si="4"/>
        <v>Mutual Authentication</v>
      </c>
      <c r="C307" s="14" t="str" cm="1">
        <f t="array" ref="C307">GetHyperlinkAddress(A307)</f>
        <v>https://open-measure.atlassian.net/wiki/spaces/DIC/pages/998244664</v>
      </c>
    </row>
    <row r="308" spans="1:3" x14ac:dyDescent="0.35">
      <c r="A308" s="13" t="s">
        <v>337</v>
      </c>
      <c r="B308" t="str">
        <f t="shared" si="4"/>
        <v>Need-to-Know</v>
      </c>
      <c r="C308" s="14" t="str" cm="1">
        <f t="array" ref="C308">GetHyperlinkAddress(A308)</f>
        <v>https://open-measure.atlassian.net/wiki/spaces/DIC/pages/1474592794/Need-to-Know</v>
      </c>
    </row>
    <row r="309" spans="1:3" x14ac:dyDescent="0.35">
      <c r="A309" s="13" t="s">
        <v>338</v>
      </c>
      <c r="B309" t="str">
        <f t="shared" si="4"/>
        <v>New Joiner</v>
      </c>
      <c r="C309" s="14" t="str" cm="1">
        <f t="array" ref="C309">GetHyperlinkAddress(A309)</f>
        <v>https://open-measure.atlassian.net/wiki/spaces/DIC/pages/858456124</v>
      </c>
    </row>
    <row r="310" spans="1:3" x14ac:dyDescent="0.35">
      <c r="A310" s="13" t="s">
        <v>341</v>
      </c>
      <c r="B310" t="str">
        <f t="shared" si="4"/>
        <v>No Tranquility Property</v>
      </c>
      <c r="C310" s="14" t="str" cm="1">
        <f t="array" ref="C310">GetHyperlinkAddress(A310)</f>
        <v>https://open-measure.atlassian.net/wiki/spaces/DIC/pages/1237483723</v>
      </c>
    </row>
    <row r="311" spans="1:3" x14ac:dyDescent="0.35">
      <c r="A311" s="13" t="s">
        <v>339</v>
      </c>
      <c r="B311" t="str">
        <f t="shared" si="4"/>
        <v>Nominal Scale</v>
      </c>
      <c r="C311" s="14" t="str" cm="1">
        <f t="array" ref="C311">GetHyperlinkAddress(A311)</f>
        <v>https://open-measure.atlassian.net/wiki/spaces/DIC/pages/6030903</v>
      </c>
    </row>
    <row r="312" spans="1:3" x14ac:dyDescent="0.35">
      <c r="A312" s="13" t="s">
        <v>340</v>
      </c>
      <c r="B312" t="str">
        <f t="shared" si="4"/>
        <v>Nonworker</v>
      </c>
      <c r="C312" s="14" t="str" cm="1">
        <f t="array" ref="C312">GetHyperlinkAddress(A312)</f>
        <v>https://open-measure.atlassian.net/wiki/spaces/DIC/pages/858554692</v>
      </c>
    </row>
    <row r="313" spans="1:3" x14ac:dyDescent="0.35">
      <c r="A313" s="13" t="s">
        <v>342</v>
      </c>
      <c r="B313" t="str">
        <f t="shared" si="4"/>
        <v>Numerical Identity</v>
      </c>
      <c r="C313" s="14" t="str" cm="1">
        <f t="array" ref="C313">GetHyperlinkAddress(A313)</f>
        <v>https://open-measure.atlassian.net/wiki/spaces/DIC/pages/1323336029/Numerical+Identity</v>
      </c>
    </row>
    <row r="314" spans="1:3" x14ac:dyDescent="0.35">
      <c r="A314" s="13" t="s">
        <v>343</v>
      </c>
      <c r="B314" t="str">
        <f t="shared" si="4"/>
        <v>Numerical Taxonomy</v>
      </c>
      <c r="C314" s="14" t="str" cm="1">
        <f t="array" ref="C314">GetHyperlinkAddress(A314)</f>
        <v>https://open-measure.atlassian.net/wiki/spaces/DIC/pages/148308170</v>
      </c>
    </row>
    <row r="315" spans="1:3" x14ac:dyDescent="0.35">
      <c r="A315" s="13" t="s">
        <v>344</v>
      </c>
      <c r="B315" t="str">
        <f t="shared" si="4"/>
        <v>Numerical Value of Measurement</v>
      </c>
      <c r="C315" s="14" t="str" cm="1">
        <f t="array" ref="C315">GetHyperlinkAddress(A315)</f>
        <v>https://open-measure.atlassian.net/wiki/spaces/DIC/pages/5965213</v>
      </c>
    </row>
    <row r="316" spans="1:3" x14ac:dyDescent="0.35">
      <c r="A316" s="13" t="s">
        <v>345</v>
      </c>
      <c r="B316" t="str">
        <f t="shared" si="4"/>
        <v>OAuth</v>
      </c>
      <c r="C316" s="14" t="str" cm="1">
        <f t="array" ref="C316">GetHyperlinkAddress(A316)</f>
        <v>https://open-measure.atlassian.net/wiki/spaces/DIC/pages/446825168</v>
      </c>
    </row>
    <row r="317" spans="1:3" x14ac:dyDescent="0.35">
      <c r="A317" s="13" t="s">
        <v>346</v>
      </c>
      <c r="B317" t="str">
        <f t="shared" si="4"/>
        <v>Object</v>
      </c>
      <c r="C317" s="14" t="str" cm="1">
        <f t="array" ref="C317">GetHyperlinkAddress(A317)</f>
        <v>https://open-measure.atlassian.net/wiki/spaces/DIC/pages/67568133</v>
      </c>
    </row>
    <row r="318" spans="1:3" x14ac:dyDescent="0.35">
      <c r="A318" s="13" t="s">
        <v>347</v>
      </c>
      <c r="B318" t="str">
        <f t="shared" si="4"/>
        <v>Objective</v>
      </c>
      <c r="C318" s="14" t="str" cm="1">
        <f t="array" ref="C318">GetHyperlinkAddress(A318)</f>
        <v>https://open-measure.atlassian.net/wiki/spaces/DIC/pages/1376617</v>
      </c>
    </row>
    <row r="319" spans="1:3" x14ac:dyDescent="0.35">
      <c r="A319" s="13" t="s">
        <v>348</v>
      </c>
      <c r="B319" t="str">
        <f t="shared" si="4"/>
        <v>Objective Indicator</v>
      </c>
      <c r="C319" s="14" t="str" cm="1">
        <f t="array" ref="C319">GetHyperlinkAddress(A319)</f>
        <v>https://open-measure.atlassian.net/wiki/spaces/DIC/pages/2981904</v>
      </c>
    </row>
    <row r="320" spans="1:3" x14ac:dyDescent="0.35">
      <c r="A320" s="13" t="s">
        <v>349</v>
      </c>
      <c r="B320" t="str">
        <f t="shared" si="4"/>
        <v>Objectivity</v>
      </c>
      <c r="C320" s="14" t="str" cm="1">
        <f t="array" ref="C320">GetHyperlinkAddress(A320)</f>
        <v>https://open-measure.atlassian.net/wiki/spaces/DIC/pages/11141406</v>
      </c>
    </row>
    <row r="321" spans="1:3" x14ac:dyDescent="0.35">
      <c r="A321" s="13" t="s">
        <v>350</v>
      </c>
      <c r="B321" t="str">
        <f t="shared" si="4"/>
        <v>Omission Error</v>
      </c>
      <c r="C321" s="14" t="str" cm="1">
        <f t="array" ref="C321">GetHyperlinkAddress(A321)</f>
        <v>https://open-measure.atlassian.net/wiki/spaces/DIC/pages/998244357</v>
      </c>
    </row>
    <row r="322" spans="1:3" x14ac:dyDescent="0.35">
      <c r="A322" s="13" t="s">
        <v>351</v>
      </c>
      <c r="B322" t="str">
        <f t="shared" si="4"/>
        <v>OPA</v>
      </c>
      <c r="C322" s="14" t="str" cm="1">
        <f t="array" ref="C322">GetHyperlinkAddress(A322)</f>
        <v>https://open-measure.atlassian.net/wiki/spaces/DIC/pages/1142358051</v>
      </c>
    </row>
    <row r="323" spans="1:3" x14ac:dyDescent="0.35">
      <c r="A323" s="13" t="s">
        <v>352</v>
      </c>
      <c r="B323" t="str">
        <f t="shared" si="4"/>
        <v>Open Policy Agent</v>
      </c>
      <c r="C323" s="14" t="str" cm="1">
        <f t="array" ref="C323">GetHyperlinkAddress(A323)</f>
        <v>https://open-measure.atlassian.net/wiki/spaces/DIC/pages/1142259761</v>
      </c>
    </row>
    <row r="324" spans="1:3" x14ac:dyDescent="0.35">
      <c r="A324" s="13" t="s">
        <v>353</v>
      </c>
      <c r="B324" t="str">
        <f t="shared" si="4"/>
        <v>Operational Definition</v>
      </c>
      <c r="C324" s="14" t="str" cm="1">
        <f t="array" ref="C324">GetHyperlinkAddress(A324)</f>
        <v>https://open-measure.atlassian.net/wiki/spaces/DIC/pages/3211353</v>
      </c>
    </row>
    <row r="325" spans="1:3" x14ac:dyDescent="0.35">
      <c r="A325" s="13" t="s">
        <v>354</v>
      </c>
      <c r="B325" t="str">
        <f t="shared" si="4"/>
        <v>Operational Taxonomic Unit</v>
      </c>
      <c r="C325" s="14" t="str" cm="1">
        <f t="array" ref="C325">GetHyperlinkAddress(A325)</f>
        <v>https://open-measure.atlassian.net/wiki/spaces/DIC/pages/148439181</v>
      </c>
    </row>
    <row r="326" spans="1:3" x14ac:dyDescent="0.35">
      <c r="A326" s="13" t="s">
        <v>355</v>
      </c>
      <c r="B326" t="str">
        <f t="shared" ref="B326:B389" si="5">SUBSTITUTE(CLEAN(A326)," (Dictionary Entry)","")</f>
        <v>Ordinal Scale</v>
      </c>
      <c r="C326" s="14" t="str" cm="1">
        <f t="array" ref="C326">GetHyperlinkAddress(A326)</f>
        <v>https://open-measure.atlassian.net/wiki/spaces/DIC/pages/5932838</v>
      </c>
    </row>
    <row r="327" spans="1:3" x14ac:dyDescent="0.35">
      <c r="A327" s="13" t="s">
        <v>356</v>
      </c>
      <c r="B327" t="str">
        <f t="shared" si="5"/>
        <v>Organization Context (Definition)</v>
      </c>
      <c r="C327" s="14" t="str" cm="1">
        <f t="array" ref="C327">GetHyperlinkAddress(A327)</f>
        <v>https://open-measure.atlassian.net/wiki/spaces/DIC/pages/1311403</v>
      </c>
    </row>
    <row r="328" spans="1:3" x14ac:dyDescent="0.35">
      <c r="A328" s="13" t="s">
        <v>357</v>
      </c>
      <c r="B328" t="str">
        <f t="shared" si="5"/>
        <v>Organization Scope (Definition)</v>
      </c>
      <c r="C328" s="14" t="str" cm="1">
        <f t="array" ref="C328">GetHyperlinkAddress(A328)</f>
        <v>https://open-measure.atlassian.net/wiki/spaces/DIC/pages/557057</v>
      </c>
    </row>
    <row r="329" spans="1:3" x14ac:dyDescent="0.35">
      <c r="A329" s="13" t="s">
        <v>358</v>
      </c>
      <c r="B329" t="str">
        <f t="shared" si="5"/>
        <v>Orphan</v>
      </c>
      <c r="C329" s="14" t="str" cm="1">
        <f t="array" ref="C329">GetHyperlinkAddress(A329)</f>
        <v>https://open-measure.atlassian.net/wiki/spaces/DIC/pages/1061650550</v>
      </c>
    </row>
    <row r="330" spans="1:3" x14ac:dyDescent="0.35">
      <c r="A330" s="13" t="s">
        <v>359</v>
      </c>
      <c r="B330" t="str">
        <f t="shared" si="5"/>
        <v>Orphan Account</v>
      </c>
      <c r="C330" s="14" t="str" cm="1">
        <f t="array" ref="C330">GetHyperlinkAddress(A330)</f>
        <v>https://open-measure.atlassian.net/wiki/spaces/DIC/pages/1062207530/Orphan+Account</v>
      </c>
    </row>
    <row r="331" spans="1:3" x14ac:dyDescent="0.35">
      <c r="A331" s="13" t="s">
        <v>360</v>
      </c>
      <c r="B331" t="str">
        <f t="shared" si="5"/>
        <v>Orphan File</v>
      </c>
      <c r="C331" s="14" t="str" cm="1">
        <f t="array" ref="C331">GetHyperlinkAddress(A331)</f>
        <v>https://open-measure.atlassian.net/wiki/spaces/DIC/pages/1061748965</v>
      </c>
    </row>
    <row r="332" spans="1:3" x14ac:dyDescent="0.35">
      <c r="A332" s="13" t="s">
        <v>361</v>
      </c>
      <c r="B332" t="str">
        <f t="shared" si="5"/>
        <v>Orphan Object</v>
      </c>
      <c r="C332" s="14" t="str" cm="1">
        <f t="array" ref="C332">GetHyperlinkAddress(A332)</f>
        <v>https://open-measure.atlassian.net/wiki/spaces/DIC/pages/1061650653</v>
      </c>
    </row>
    <row r="333" spans="1:3" x14ac:dyDescent="0.35">
      <c r="A333" s="13" t="s">
        <v>362</v>
      </c>
      <c r="B333" t="str">
        <f t="shared" si="5"/>
        <v>Orphan Process</v>
      </c>
      <c r="C333" s="14" t="str" cm="1">
        <f t="array" ref="C333">GetHyperlinkAddress(A333)</f>
        <v>https://open-measure.atlassian.net/wiki/spaces/DIC/pages/1061748925</v>
      </c>
    </row>
    <row r="334" spans="1:3" x14ac:dyDescent="0.35">
      <c r="A334" s="13" t="s">
        <v>363</v>
      </c>
      <c r="B334" t="str">
        <f t="shared" si="5"/>
        <v>Orphan Product</v>
      </c>
      <c r="C334" s="14" t="str" cm="1">
        <f t="array" ref="C334">GetHyperlinkAddress(A334)</f>
        <v>https://open-measure.atlassian.net/wiki/spaces/DIC/pages/1061749016</v>
      </c>
    </row>
    <row r="335" spans="1:3" x14ac:dyDescent="0.35">
      <c r="A335" s="13" t="s">
        <v>364</v>
      </c>
      <c r="B335" t="str">
        <f t="shared" si="5"/>
        <v>Orphan Role</v>
      </c>
      <c r="C335" s="14" t="str" cm="1">
        <f t="array" ref="C335">GetHyperlinkAddress(A335)</f>
        <v>https://open-measure.atlassian.net/wiki/spaces/DIC/pages/1063845889</v>
      </c>
    </row>
    <row r="336" spans="1:3" x14ac:dyDescent="0.35">
      <c r="A336" s="13" t="s">
        <v>365</v>
      </c>
      <c r="B336" t="str">
        <f t="shared" si="5"/>
        <v>Orphan Routes / APIs</v>
      </c>
      <c r="C336" s="14" t="str" cm="1">
        <f t="array" ref="C336">GetHyperlinkAddress(A336)</f>
        <v>https://open-measure.atlassian.net/wiki/spaces/DIC/pages/1061650689</v>
      </c>
    </row>
    <row r="337" spans="1:3" x14ac:dyDescent="0.35">
      <c r="A337" s="13" t="s">
        <v>366</v>
      </c>
      <c r="B337" t="str">
        <f t="shared" si="5"/>
        <v>Orphan System</v>
      </c>
      <c r="C337" s="14" t="str" cm="1">
        <f t="array" ref="C337">GetHyperlinkAddress(A337)</f>
        <v>https://open-measure.atlassian.net/wiki/spaces/DIC/pages/1061748885</v>
      </c>
    </row>
    <row r="338" spans="1:3" x14ac:dyDescent="0.35">
      <c r="A338" s="13" t="s">
        <v>367</v>
      </c>
      <c r="B338" t="str">
        <f t="shared" si="5"/>
        <v>Outcome Indicator</v>
      </c>
      <c r="C338" s="14" t="str" cm="1">
        <f t="array" ref="C338">GetHyperlinkAddress(A338)</f>
        <v>https://open-measure.atlassian.net/wiki/spaces/DIC/pages/49283090</v>
      </c>
    </row>
    <row r="339" spans="1:3" x14ac:dyDescent="0.35">
      <c r="A339" s="13" t="s">
        <v>368</v>
      </c>
      <c r="B339" t="str">
        <f t="shared" si="5"/>
        <v>Output Indicator</v>
      </c>
      <c r="C339" s="14" t="str" cm="1">
        <f t="array" ref="C339">GetHyperlinkAddress(A339)</f>
        <v>https://open-measure.atlassian.net/wiki/spaces/DIC/pages/49315842</v>
      </c>
    </row>
    <row r="340" spans="1:3" x14ac:dyDescent="0.35">
      <c r="A340" s="13" t="s">
        <v>369</v>
      </c>
      <c r="B340" t="str">
        <f t="shared" si="5"/>
        <v>Outsider</v>
      </c>
      <c r="C340" s="14" t="str" cm="1">
        <f t="array" ref="C340">GetHyperlinkAddress(A340)</f>
        <v>https://open-measure.atlassian.net/wiki/spaces/DIC/pages/1472692289/Outsider</v>
      </c>
    </row>
    <row r="341" spans="1:3" x14ac:dyDescent="0.35">
      <c r="A341" s="13" t="s">
        <v>370</v>
      </c>
      <c r="B341" t="str">
        <f t="shared" si="5"/>
        <v>Parsimony</v>
      </c>
      <c r="C341" s="14" t="str" cm="1">
        <f t="array" ref="C341">GetHyperlinkAddress(A341)</f>
        <v>https://open-measure.atlassian.net/wiki/spaces/DIC/pages/438665302</v>
      </c>
    </row>
    <row r="342" spans="1:3" x14ac:dyDescent="0.35">
      <c r="A342" s="13" t="s">
        <v>371</v>
      </c>
      <c r="B342" t="str">
        <f t="shared" si="5"/>
        <v>Partial Typology</v>
      </c>
      <c r="C342" s="14" t="str" cm="1">
        <f t="array" ref="C342">GetHyperlinkAddress(A342)</f>
        <v>https://open-measure.atlassian.net/wiki/spaces/DIC/pages/140673286</v>
      </c>
    </row>
    <row r="343" spans="1:3" x14ac:dyDescent="0.35">
      <c r="A343" s="13" t="s">
        <v>372</v>
      </c>
      <c r="B343" t="str">
        <f t="shared" si="5"/>
        <v>Passive Impersonation Attack</v>
      </c>
      <c r="C343" s="14" t="str" cm="1">
        <f t="array" ref="C343">GetHyperlinkAddress(A343)</f>
        <v>https://open-measure.atlassian.net/wiki/spaces/DIC/pages/974323764</v>
      </c>
    </row>
    <row r="344" spans="1:3" x14ac:dyDescent="0.35">
      <c r="A344" s="13" t="s">
        <v>373</v>
      </c>
      <c r="B344" t="str">
        <f t="shared" si="5"/>
        <v>Password Guessing Attack</v>
      </c>
      <c r="C344" s="14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13" t="s">
        <v>375</v>
      </c>
      <c r="B345" t="str">
        <f t="shared" si="5"/>
        <v>Password Rotation</v>
      </c>
      <c r="C345" s="14" t="str" cm="1">
        <f t="array" ref="C345">GetHyperlinkAddress(A345)</f>
        <v>https://open-measure.atlassian.net/wiki/spaces/DIC/pages/1027048058</v>
      </c>
    </row>
    <row r="346" spans="1:3" x14ac:dyDescent="0.35">
      <c r="A346" s="13" t="s">
        <v>7</v>
      </c>
      <c r="B346" t="str">
        <f t="shared" si="5"/>
        <v>Password Spraying Attack</v>
      </c>
      <c r="C346" s="14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13" t="s">
        <v>374</v>
      </c>
      <c r="B347" t="str">
        <f t="shared" si="5"/>
        <v>Passwordless Authentication</v>
      </c>
      <c r="C347" s="14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13" t="s">
        <v>376</v>
      </c>
      <c r="B348" t="str">
        <f t="shared" si="5"/>
        <v>People (Definition)</v>
      </c>
      <c r="C348" s="14" t="str" cm="1">
        <f t="array" ref="C348">GetHyperlinkAddress(A348)</f>
        <v>https://open-measure.atlassian.net/wiki/spaces/DIC/pages/1409753</v>
      </c>
    </row>
    <row r="349" spans="1:3" x14ac:dyDescent="0.35">
      <c r="A349" s="13" t="s">
        <v>377</v>
      </c>
      <c r="B349" t="str">
        <f t="shared" si="5"/>
        <v>Performance (Definition)</v>
      </c>
      <c r="C349" s="14" t="str" cm="1">
        <f t="array" ref="C349">GetHyperlinkAddress(A349)</f>
        <v>https://open-measure.atlassian.net/wiki/spaces/DIC/pages/140707141</v>
      </c>
    </row>
    <row r="350" spans="1:3" x14ac:dyDescent="0.35">
      <c r="A350" s="13" t="s">
        <v>378</v>
      </c>
      <c r="B350" t="str">
        <f t="shared" si="5"/>
        <v>Performance Measurement System</v>
      </c>
      <c r="C350" s="14" t="str" cm="1">
        <f t="array" ref="C350">GetHyperlinkAddress(A350)</f>
        <v>https://open-measure.atlassian.net/wiki/spaces/DIC/pages/1572966</v>
      </c>
    </row>
    <row r="351" spans="1:3" x14ac:dyDescent="0.35">
      <c r="A351" s="13" t="s">
        <v>379</v>
      </c>
      <c r="B351" t="str">
        <f t="shared" si="5"/>
        <v>Permission</v>
      </c>
      <c r="C351" s="14" t="str" cm="1">
        <f t="array" ref="C351">GetHyperlinkAddress(A351)</f>
        <v>https://open-measure.atlassian.net/wiki/spaces/DIC/pages/67699129</v>
      </c>
    </row>
    <row r="352" spans="1:3" x14ac:dyDescent="0.35">
      <c r="A352" s="13" t="s">
        <v>380</v>
      </c>
      <c r="B352" t="str">
        <f t="shared" si="5"/>
        <v>Persona</v>
      </c>
      <c r="C352" s="14" t="str" cm="1">
        <f t="array" ref="C352">GetHyperlinkAddress(A352)</f>
        <v>https://open-measure.atlassian.net/wiki/spaces/DIC/pages/1323499709/Persona</v>
      </c>
    </row>
    <row r="353" spans="1:3" x14ac:dyDescent="0.35">
      <c r="A353" s="13" t="s">
        <v>381</v>
      </c>
      <c r="B353" t="str">
        <f t="shared" si="5"/>
        <v>PMS</v>
      </c>
      <c r="C353" s="14" t="str" cm="1">
        <f t="array" ref="C353">GetHyperlinkAddress(A353)</f>
        <v>https://open-measure.atlassian.net/wiki/spaces/DIC/pages/1572948</v>
      </c>
    </row>
    <row r="354" spans="1:3" x14ac:dyDescent="0.35">
      <c r="A354" s="13" t="s">
        <v>382</v>
      </c>
      <c r="B354" t="str">
        <f t="shared" si="5"/>
        <v>Polar Types</v>
      </c>
      <c r="C354" s="14" t="str" cm="1">
        <f t="array" ref="C354">GetHyperlinkAddress(A354)</f>
        <v>https://open-measure.atlassian.net/wiki/spaces/DIC/pages/140771596</v>
      </c>
    </row>
    <row r="355" spans="1:3" x14ac:dyDescent="0.35">
      <c r="A355" s="13" t="s">
        <v>383</v>
      </c>
      <c r="B355" t="str">
        <f t="shared" si="5"/>
        <v>Policy</v>
      </c>
      <c r="C355" s="14" t="str" cm="1">
        <f t="array" ref="C355">GetHyperlinkAddress(A355)</f>
        <v>https://open-measure.atlassian.net/wiki/spaces/DIC/pages/67568272</v>
      </c>
    </row>
    <row r="356" spans="1:3" x14ac:dyDescent="0.35">
      <c r="A356" s="13" t="s">
        <v>384</v>
      </c>
      <c r="B356" t="str">
        <f t="shared" si="5"/>
        <v>Policy Analysis</v>
      </c>
      <c r="C356" s="14" t="str" cm="1">
        <f t="array" ref="C356">GetHyperlinkAddress(A356)</f>
        <v>https://open-measure.atlassian.net/wiki/spaces/DIC/pages/1104904334</v>
      </c>
    </row>
    <row r="357" spans="1:3" x14ac:dyDescent="0.35">
      <c r="A357" s="13" t="s">
        <v>385</v>
      </c>
      <c r="B357" t="str">
        <f t="shared" si="5"/>
        <v>Policy Centralization</v>
      </c>
      <c r="C357" s="14" t="str" cm="1">
        <f t="array" ref="C357">GetHyperlinkAddress(A357)</f>
        <v>https://open-measure.atlassian.net/wiki/spaces/DIC/pages/1132331103</v>
      </c>
    </row>
    <row r="358" spans="1:3" x14ac:dyDescent="0.35">
      <c r="A358" s="13" t="s">
        <v>386</v>
      </c>
      <c r="B358" t="str">
        <f t="shared" si="5"/>
        <v>Policy Interoperability</v>
      </c>
      <c r="C358" s="14" t="str" cm="1">
        <f t="array" ref="C358">GetHyperlinkAddress(A358)</f>
        <v>https://open-measure.atlassian.net/wiki/spaces/DIC/pages/1132331086</v>
      </c>
    </row>
    <row r="359" spans="1:3" x14ac:dyDescent="0.35">
      <c r="A359" s="13" t="s">
        <v>387</v>
      </c>
      <c r="B359" t="str">
        <f t="shared" si="5"/>
        <v>Policy Manageability</v>
      </c>
      <c r="C359" s="14" t="str" cm="1">
        <f t="array" ref="C359">GetHyperlinkAddress(A359)</f>
        <v>https://open-measure.atlassian.net/wiki/spaces/DIC/pages/1122631903</v>
      </c>
    </row>
    <row r="360" spans="1:3" x14ac:dyDescent="0.35">
      <c r="A360" s="13" t="s">
        <v>388</v>
      </c>
      <c r="B360" t="str">
        <f t="shared" si="5"/>
        <v>Policy Mining</v>
      </c>
      <c r="C360" s="14" t="str" cm="1">
        <f t="array" ref="C360">GetHyperlinkAddress(A360)</f>
        <v>https://open-measure.atlassian.net/wiki/spaces/DIC/pages/1105068063</v>
      </c>
    </row>
    <row r="361" spans="1:3" x14ac:dyDescent="0.35">
      <c r="A361" s="13" t="s">
        <v>389</v>
      </c>
      <c r="B361" t="str">
        <f t="shared" si="5"/>
        <v>Policy Modeling</v>
      </c>
      <c r="C361" s="14" t="str" cm="1">
        <f t="array" ref="C361">GetHyperlinkAddress(A361)</f>
        <v>https://open-measure.atlassian.net/wiki/spaces/DIC/pages/1130987523</v>
      </c>
    </row>
    <row r="362" spans="1:3" x14ac:dyDescent="0.35">
      <c r="A362" s="13" t="s">
        <v>390</v>
      </c>
      <c r="B362" t="str">
        <f t="shared" si="5"/>
        <v>Polythetic Class</v>
      </c>
      <c r="C362" s="14" t="str" cm="1">
        <f t="array" ref="C362">GetHyperlinkAddress(A362)</f>
        <v>https://open-measure.atlassian.net/wiki/spaces/DIC/pages/148373776</v>
      </c>
    </row>
    <row r="363" spans="1:3" x14ac:dyDescent="0.35">
      <c r="A363" s="13" t="s">
        <v>391</v>
      </c>
      <c r="B363" t="str">
        <f t="shared" si="5"/>
        <v>Pre-approval</v>
      </c>
      <c r="C363" s="14" t="str" cm="1">
        <f t="array" ref="C363">GetHyperlinkAddress(A363)</f>
        <v>https://open-measure.atlassian.net/wiki/spaces/DIC/pages/1094549649</v>
      </c>
    </row>
    <row r="364" spans="1:3" x14ac:dyDescent="0.35">
      <c r="A364" s="13" t="s">
        <v>392</v>
      </c>
      <c r="B364" t="str">
        <f t="shared" si="5"/>
        <v>Preference Indicator</v>
      </c>
      <c r="C364" s="14" t="str" cm="1">
        <f t="array" ref="C364">GetHyperlinkAddress(A364)</f>
        <v>https://open-measure.atlassian.net/wiki/spaces/DIC/pages/5933189</v>
      </c>
    </row>
    <row r="365" spans="1:3" x14ac:dyDescent="0.35">
      <c r="A365" s="13" t="s">
        <v>393</v>
      </c>
      <c r="B365" t="str">
        <f t="shared" si="5"/>
        <v>Principal</v>
      </c>
      <c r="C365" s="14" t="str" cm="1">
        <f t="array" ref="C365">GetHyperlinkAddress(A365)</f>
        <v>https://open-measure.atlassian.net/wiki/spaces/DIC/pages/67699046</v>
      </c>
    </row>
    <row r="366" spans="1:3" x14ac:dyDescent="0.35">
      <c r="A366" s="13" t="s">
        <v>394</v>
      </c>
      <c r="B366" t="str">
        <f t="shared" si="5"/>
        <v>Private Key Loss</v>
      </c>
      <c r="C366" s="14" t="str" cm="1">
        <f t="array" ref="C366">GetHyperlinkAddress(A366)</f>
        <v>https://open-measure.atlassian.net/wiki/spaces/DIC/pages/1323434264/Private+Key+Loss</v>
      </c>
    </row>
    <row r="367" spans="1:3" x14ac:dyDescent="0.35">
      <c r="A367" s="13" t="s">
        <v>395</v>
      </c>
      <c r="B367" t="str">
        <f t="shared" si="5"/>
        <v>Privilege</v>
      </c>
      <c r="C367" s="14" t="str" cm="1">
        <f t="array" ref="C367">GetHyperlinkAddress(A367)</f>
        <v>https://open-measure.atlassian.net/wiki/spaces/DIC/pages/67568310</v>
      </c>
    </row>
    <row r="368" spans="1:3" x14ac:dyDescent="0.35">
      <c r="A368" s="13" t="s">
        <v>396</v>
      </c>
      <c r="B368" t="str">
        <f t="shared" si="5"/>
        <v>Privilege Abuse</v>
      </c>
      <c r="C368" s="14" t="str" cm="1">
        <f t="array" ref="C368">GetHyperlinkAddress(A368)</f>
        <v>https://open-measure.atlassian.net/wiki/spaces/DIC/pages/814449037/Privilege+Abuse</v>
      </c>
    </row>
    <row r="369" spans="1:3" x14ac:dyDescent="0.35">
      <c r="A369" s="13" t="s">
        <v>397</v>
      </c>
      <c r="B369" t="str">
        <f t="shared" si="5"/>
        <v>Privilege Chaining</v>
      </c>
      <c r="C369" s="14" t="str" cm="1">
        <f t="array" ref="C369">GetHyperlinkAddress(A369)</f>
        <v>https://open-measure.atlassian.net/wiki/spaces/DIC/pages/473890861</v>
      </c>
    </row>
    <row r="370" spans="1:3" x14ac:dyDescent="0.35">
      <c r="A370" s="13" t="s">
        <v>400</v>
      </c>
      <c r="B370" t="str">
        <f t="shared" si="5"/>
        <v>Privilege Escalation</v>
      </c>
      <c r="C370" s="14" t="str" cm="1">
        <f t="array" ref="C370">GetHyperlinkAddress(A370)</f>
        <v>https://open-measure.atlassian.net/wiki/spaces/DIC/pages/810320380</v>
      </c>
    </row>
    <row r="371" spans="1:3" x14ac:dyDescent="0.35">
      <c r="A371" s="13" t="s">
        <v>398</v>
      </c>
      <c r="B371" t="str">
        <f t="shared" si="5"/>
        <v>Privileged Identity</v>
      </c>
      <c r="C371" s="14" t="str" cm="1">
        <f t="array" ref="C371">GetHyperlinkAddress(A371)</f>
        <v>https://open-measure.atlassian.net/wiki/spaces/DIC/pages/138346661</v>
      </c>
    </row>
    <row r="372" spans="1:3" x14ac:dyDescent="0.35">
      <c r="A372" s="13" t="s">
        <v>399</v>
      </c>
      <c r="B372" t="str">
        <f t="shared" si="5"/>
        <v>Privileged Insider</v>
      </c>
      <c r="C372" s="14" t="str" cm="1">
        <f t="array" ref="C372">GetHyperlinkAddress(A372)</f>
        <v>https://open-measure.atlassian.net/wiki/spaces/DIC/pages/1477902403/Privileged+Insider</v>
      </c>
    </row>
    <row r="373" spans="1:3" x14ac:dyDescent="0.35">
      <c r="A373" s="13" t="s">
        <v>401</v>
      </c>
      <c r="B373" t="str">
        <f t="shared" si="5"/>
        <v>Process</v>
      </c>
      <c r="C373" s="14" t="str" cm="1">
        <f t="array" ref="C373">GetHyperlinkAddress(A373)</f>
        <v>https://open-measure.atlassian.net/wiki/spaces/DIC/pages/1377214</v>
      </c>
    </row>
    <row r="374" spans="1:3" x14ac:dyDescent="0.35">
      <c r="A374" s="13" t="s">
        <v>402</v>
      </c>
      <c r="B374" t="str">
        <f t="shared" si="5"/>
        <v>Process Indicator</v>
      </c>
      <c r="C374" s="14" t="str" cm="1">
        <f t="array" ref="C374">GetHyperlinkAddress(A374)</f>
        <v>https://open-measure.atlassian.net/wiki/spaces/DIC/pages/49250316</v>
      </c>
    </row>
    <row r="375" spans="1:3" x14ac:dyDescent="0.35">
      <c r="A375" s="13" t="s">
        <v>403</v>
      </c>
      <c r="B375" t="str">
        <f t="shared" si="5"/>
        <v>Production Lead Time</v>
      </c>
      <c r="C375" s="14" t="str" cm="1">
        <f t="array" ref="C375">GetHyperlinkAddress(A375)</f>
        <v>https://open-measure.atlassian.net/wiki/spaces/DIC/pages/858521752</v>
      </c>
    </row>
    <row r="376" spans="1:3" x14ac:dyDescent="0.35">
      <c r="A376" s="13" t="s">
        <v>404</v>
      </c>
      <c r="B376" t="str">
        <f t="shared" si="5"/>
        <v>Protocol</v>
      </c>
      <c r="C376" s="14" t="str" cm="1">
        <f t="array" ref="C376">GetHyperlinkAddress(A376)</f>
        <v>https://open-measure.atlassian.net/wiki/spaces/DIC/pages/446955521</v>
      </c>
    </row>
    <row r="377" spans="1:3" x14ac:dyDescent="0.35">
      <c r="A377" s="13" t="s">
        <v>405</v>
      </c>
      <c r="B377" t="str">
        <f t="shared" si="5"/>
        <v>Provisioning</v>
      </c>
      <c r="C377" s="14" t="str" cm="1">
        <f t="array" ref="C377">GetHyperlinkAddress(A377)</f>
        <v>https://open-measure.atlassian.net/wiki/spaces/DIC/pages/61964289</v>
      </c>
    </row>
    <row r="378" spans="1:3" x14ac:dyDescent="0.35">
      <c r="A378" s="13" t="s">
        <v>406</v>
      </c>
      <c r="B378" t="str">
        <f t="shared" si="5"/>
        <v>QR Code Authentication</v>
      </c>
      <c r="C378" s="14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13" t="s">
        <v>407</v>
      </c>
      <c r="B379" t="str">
        <f t="shared" si="5"/>
        <v>Qualitative Classification</v>
      </c>
      <c r="C379" s="14" t="str" cm="1">
        <f t="array" ref="C379">GetHyperlinkAddress(A379)</f>
        <v>https://open-measure.atlassian.net/wiki/spaces/DIC/pages/140706128</v>
      </c>
    </row>
    <row r="380" spans="1:3" x14ac:dyDescent="0.35">
      <c r="A380" s="13" t="s">
        <v>408</v>
      </c>
      <c r="B380" t="str">
        <f t="shared" si="5"/>
        <v>Qualitative Identity</v>
      </c>
      <c r="C380" s="14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13" t="s">
        <v>409</v>
      </c>
      <c r="B381" t="str">
        <f t="shared" si="5"/>
        <v>Quality (Definition)</v>
      </c>
      <c r="C381" s="14" t="str" cm="1">
        <f t="array" ref="C381">GetHyperlinkAddress(A381)</f>
        <v>https://open-measure.atlassian.net/wiki/spaces/DIC/pages/1442240</v>
      </c>
    </row>
    <row r="382" spans="1:3" x14ac:dyDescent="0.35">
      <c r="A382" s="13" t="s">
        <v>410</v>
      </c>
      <c r="B382" t="str">
        <f t="shared" si="5"/>
        <v>Quantitative Classification</v>
      </c>
      <c r="C382" s="14" t="str" cm="1">
        <f t="array" ref="C382">GetHyperlinkAddress(A382)</f>
        <v>https://open-measure.atlassian.net/wiki/spaces/DIC/pages/148308223</v>
      </c>
    </row>
    <row r="383" spans="1:3" x14ac:dyDescent="0.35">
      <c r="A383" s="13" t="s">
        <v>411</v>
      </c>
      <c r="B383" t="str">
        <f t="shared" si="5"/>
        <v>Quantity</v>
      </c>
      <c r="C383" s="14" t="str" cm="1">
        <f t="array" ref="C383">GetHyperlinkAddress(A383)</f>
        <v>https://open-measure.atlassian.net/wiki/spaces/DIC/pages/6030426</v>
      </c>
    </row>
    <row r="384" spans="1:3" x14ac:dyDescent="0.35">
      <c r="A384" s="13" t="s">
        <v>412</v>
      </c>
      <c r="B384" t="str">
        <f t="shared" si="5"/>
        <v>RA</v>
      </c>
      <c r="C384" s="14" t="str" cm="1">
        <f t="array" ref="C384">GetHyperlinkAddress(A384)</f>
        <v>https://open-measure.atlassian.net/wiki/spaces/DIC/pages/82903928</v>
      </c>
    </row>
    <row r="385" spans="1:3" x14ac:dyDescent="0.35">
      <c r="A385" s="13" t="s">
        <v>413</v>
      </c>
      <c r="B385" t="str">
        <f t="shared" si="5"/>
        <v>Ratio Scale</v>
      </c>
      <c r="C385" s="14" t="str" cm="1">
        <f t="array" ref="C385">GetHyperlinkAddress(A385)</f>
        <v>https://open-measure.atlassian.net/wiki/spaces/DIC/pages/11567198</v>
      </c>
    </row>
    <row r="386" spans="1:3" x14ac:dyDescent="0.35">
      <c r="A386" s="13" t="s">
        <v>414</v>
      </c>
      <c r="B386" t="str">
        <f t="shared" si="5"/>
        <v>RBA</v>
      </c>
      <c r="C386" s="14" t="str" cm="1">
        <f t="array" ref="C386">GetHyperlinkAddress(A386)</f>
        <v>https://open-measure.atlassian.net/wiki/spaces/DIC/pages/408944908</v>
      </c>
    </row>
    <row r="387" spans="1:3" x14ac:dyDescent="0.35">
      <c r="A387" s="13" t="s">
        <v>415</v>
      </c>
      <c r="B387" t="str">
        <f t="shared" si="5"/>
        <v>Re-authentication</v>
      </c>
      <c r="C387" s="14" t="str" cm="1">
        <f t="array" ref="C387">GetHyperlinkAddress(A387)</f>
        <v>https://open-measure.atlassian.net/wiki/spaces/DIC/pages/873201665</v>
      </c>
    </row>
    <row r="388" spans="1:3" x14ac:dyDescent="0.35">
      <c r="A388" s="13" t="s">
        <v>416</v>
      </c>
      <c r="B388" t="str">
        <f t="shared" si="5"/>
        <v>Recertification</v>
      </c>
      <c r="C388" s="14" t="str" cm="1">
        <f t="array" ref="C388">GetHyperlinkAddress(A388)</f>
        <v>https://open-measure.atlassian.net/wiki/spaces/DIC/pages/107840129</v>
      </c>
    </row>
    <row r="389" spans="1:3" x14ac:dyDescent="0.35">
      <c r="A389" s="13" t="s">
        <v>417</v>
      </c>
      <c r="B389" t="str">
        <f t="shared" si="5"/>
        <v>Reference Monitor</v>
      </c>
      <c r="C389" s="14" t="str" cm="1">
        <f t="array" ref="C389">GetHyperlinkAddress(A389)</f>
        <v>https://open-measure.atlassian.net/wiki/spaces/DIC/pages/123962234</v>
      </c>
    </row>
    <row r="390" spans="1:3" x14ac:dyDescent="0.35">
      <c r="A390" s="13" t="s">
        <v>418</v>
      </c>
      <c r="B390" t="str">
        <f t="shared" ref="B390:B453" si="6">SUBSTITUTE(CLEAN(A390)," (Dictionary Entry)","")</f>
        <v>Registration Authority</v>
      </c>
      <c r="C390" s="14" t="str" cm="1">
        <f t="array" ref="C390">GetHyperlinkAddress(A390)</f>
        <v>https://open-measure.atlassian.net/wiki/spaces/DIC/pages/82870985</v>
      </c>
    </row>
    <row r="391" spans="1:3" x14ac:dyDescent="0.35">
      <c r="A391" s="13" t="s">
        <v>419</v>
      </c>
      <c r="B391" t="str">
        <f t="shared" si="6"/>
        <v>Rejoiner</v>
      </c>
      <c r="C391" s="14" t="str" cm="1">
        <f t="array" ref="C391">GetHyperlinkAddress(A391)</f>
        <v>https://open-measure.atlassian.net/wiki/spaces/DIC/pages/858521682</v>
      </c>
    </row>
    <row r="392" spans="1:3" x14ac:dyDescent="0.35">
      <c r="A392" s="13" t="s">
        <v>420</v>
      </c>
      <c r="B392" t="str">
        <f t="shared" si="6"/>
        <v>Relying Party</v>
      </c>
      <c r="C392" s="14" t="str" cm="1">
        <f t="array" ref="C392">GetHyperlinkAddress(A392)</f>
        <v>https://open-measure.atlassian.net/wiki/spaces/DIC/pages/67699423</v>
      </c>
    </row>
    <row r="393" spans="1:3" x14ac:dyDescent="0.35">
      <c r="A393" s="13" t="s">
        <v>421</v>
      </c>
      <c r="B393" t="str">
        <f t="shared" si="6"/>
        <v>Remote Identity Proofing</v>
      </c>
      <c r="C393" s="14" t="str" cm="1">
        <f t="array" ref="C393">GetHyperlinkAddress(A393)</f>
        <v>https://open-measure.atlassian.net/wiki/spaces/DIC/pages/427130881</v>
      </c>
    </row>
    <row r="394" spans="1:3" x14ac:dyDescent="0.35">
      <c r="A394" s="13" t="s">
        <v>422</v>
      </c>
      <c r="B394" t="str">
        <f t="shared" si="6"/>
        <v>Repeatability</v>
      </c>
      <c r="C394" s="14" t="str" cm="1">
        <f t="array" ref="C394">GetHyperlinkAddress(A394)</f>
        <v>https://open-measure.atlassian.net/wiki/spaces/DIC/pages/2589003</v>
      </c>
    </row>
    <row r="395" spans="1:3" x14ac:dyDescent="0.35">
      <c r="A395" s="13" t="s">
        <v>423</v>
      </c>
      <c r="B395" t="str">
        <f t="shared" si="6"/>
        <v>Representation Target</v>
      </c>
      <c r="C395" s="14" t="str" cm="1">
        <f t="array" ref="C395">GetHyperlinkAddress(A395)</f>
        <v>https://open-measure.atlassian.net/wiki/spaces/DIC/pages/11141464</v>
      </c>
    </row>
    <row r="396" spans="1:3" x14ac:dyDescent="0.35">
      <c r="A396" s="13" t="s">
        <v>424</v>
      </c>
      <c r="B396" t="str">
        <f t="shared" si="6"/>
        <v>Reproducibility</v>
      </c>
      <c r="C396" s="14" t="str" cm="1">
        <f t="array" ref="C396">GetHyperlinkAddress(A396)</f>
        <v>https://open-measure.atlassian.net/wiki/spaces/DIC/pages/2588994</v>
      </c>
    </row>
    <row r="397" spans="1:3" x14ac:dyDescent="0.35">
      <c r="A397" s="13" t="s">
        <v>425</v>
      </c>
      <c r="B397" t="str">
        <f t="shared" si="6"/>
        <v>Revocation</v>
      </c>
      <c r="C397" s="14" t="str" cm="1">
        <f t="array" ref="C397">GetHyperlinkAddress(A397)</f>
        <v>https://open-measure.atlassian.net/wiki/spaces/DIC/pages/67698769</v>
      </c>
    </row>
    <row r="398" spans="1:3" x14ac:dyDescent="0.35">
      <c r="A398" s="13" t="s">
        <v>426</v>
      </c>
      <c r="B398" t="str">
        <f t="shared" si="6"/>
        <v>RIDP</v>
      </c>
      <c r="C398" s="14" t="str" cm="1">
        <f t="array" ref="C398">GetHyperlinkAddress(A398)</f>
        <v>https://open-measure.atlassian.net/wiki/spaces/DIC/pages/425623561</v>
      </c>
    </row>
    <row r="399" spans="1:3" x14ac:dyDescent="0.35">
      <c r="A399" s="13" t="s">
        <v>427</v>
      </c>
      <c r="B399" t="str">
        <f t="shared" si="6"/>
        <v>Risk-Based Authentication</v>
      </c>
      <c r="C399" s="14" t="str" cm="1">
        <f t="array" ref="C399">GetHyperlinkAddress(A399)</f>
        <v>https://open-measure.atlassian.net/wiki/spaces/DIC/pages/795836567</v>
      </c>
    </row>
    <row r="400" spans="1:3" x14ac:dyDescent="0.35">
      <c r="A400" s="13" t="s">
        <v>428</v>
      </c>
      <c r="B400" t="str">
        <f t="shared" si="6"/>
        <v>Role</v>
      </c>
      <c r="C400" s="14" t="str" cm="1">
        <f t="array" ref="C400">GetHyperlinkAddress(A400)</f>
        <v>https://open-measure.atlassian.net/wiki/spaces/DIC/pages/86442069</v>
      </c>
    </row>
    <row r="401" spans="1:3" x14ac:dyDescent="0.35">
      <c r="A401" s="13" t="s">
        <v>430</v>
      </c>
      <c r="B401" t="str">
        <f t="shared" si="6"/>
        <v>Role Bloating</v>
      </c>
      <c r="C401" s="14" t="str" cm="1">
        <f t="array" ref="C401">GetHyperlinkAddress(A401)</f>
        <v>https://open-measure.atlassian.net/wiki/spaces/DIC/pages/814514401</v>
      </c>
    </row>
    <row r="402" spans="1:3" x14ac:dyDescent="0.35">
      <c r="A402" s="13" t="s">
        <v>431</v>
      </c>
      <c r="B402" t="str">
        <f t="shared" si="6"/>
        <v>Role Capacity</v>
      </c>
      <c r="C402" s="14" t="str" cm="1">
        <f t="array" ref="C402">GetHyperlinkAddress(A402)</f>
        <v>https://open-measure.atlassian.net/wiki/spaces/DIC/pages/1164902443</v>
      </c>
    </row>
    <row r="403" spans="1:3" x14ac:dyDescent="0.35">
      <c r="A403" s="13" t="s">
        <v>432</v>
      </c>
      <c r="B403" t="str">
        <f t="shared" si="6"/>
        <v>Role Cardinality</v>
      </c>
      <c r="C403" s="14" t="str" cm="1">
        <f t="array" ref="C403">GetHyperlinkAddress(A403)</f>
        <v>https://open-measure.atlassian.net/wiki/spaces/DIC/pages/1164869655</v>
      </c>
    </row>
    <row r="404" spans="1:3" x14ac:dyDescent="0.35">
      <c r="A404" s="13" t="s">
        <v>433</v>
      </c>
      <c r="B404" t="str">
        <f t="shared" si="6"/>
        <v>Role Cardinality Activation Control</v>
      </c>
      <c r="C404" s="14" t="str" cm="1">
        <f t="array" ref="C404">GetHyperlinkAddress(A404)</f>
        <v>https://open-measure.atlassian.net/wiki/spaces/DIC/pages/1164902498</v>
      </c>
    </row>
    <row r="405" spans="1:3" x14ac:dyDescent="0.35">
      <c r="A405" s="13" t="s">
        <v>434</v>
      </c>
      <c r="B405" t="str">
        <f t="shared" si="6"/>
        <v>Role Explosion</v>
      </c>
      <c r="C405" s="14" t="str" cm="1">
        <f t="array" ref="C405">GetHyperlinkAddress(A405)</f>
        <v>https://open-measure.atlassian.net/wiki/spaces/DIC/pages/1152483772</v>
      </c>
    </row>
    <row r="406" spans="1:3" x14ac:dyDescent="0.35">
      <c r="A406" s="13" t="s">
        <v>435</v>
      </c>
      <c r="B406" t="str">
        <f t="shared" si="6"/>
        <v>Role Management</v>
      </c>
      <c r="C406" s="14" t="str" cm="1">
        <f t="array" ref="C406">GetHyperlinkAddress(A406)</f>
        <v>https://open-measure.atlassian.net/wiki/spaces/DIC/pages/1130921985</v>
      </c>
    </row>
    <row r="407" spans="1:3" x14ac:dyDescent="0.35">
      <c r="A407" s="13" t="s">
        <v>429</v>
      </c>
      <c r="B407" t="str">
        <f t="shared" si="6"/>
        <v>Role-Based Access Control</v>
      </c>
      <c r="C407" s="14" t="str" cm="1">
        <f t="array" ref="C407">GetHyperlinkAddress(A407)</f>
        <v>https://open-measure.atlassian.net/wiki/spaces/DIC/pages/1122566198</v>
      </c>
    </row>
    <row r="408" spans="1:3" x14ac:dyDescent="0.35">
      <c r="A408" s="13" t="s">
        <v>436</v>
      </c>
      <c r="B408" t="str">
        <f t="shared" si="6"/>
        <v>RP</v>
      </c>
      <c r="C408" s="14" t="str" cm="1">
        <f t="array" ref="C408">GetHyperlinkAddress(A408)</f>
        <v>https://open-measure.atlassian.net/wiki/spaces/DIC/pages/82903488</v>
      </c>
    </row>
    <row r="409" spans="1:3" x14ac:dyDescent="0.35">
      <c r="A409" s="13" t="s">
        <v>437</v>
      </c>
      <c r="B409" t="str">
        <f t="shared" si="6"/>
        <v>SAM Database</v>
      </c>
      <c r="C409" s="14" t="str" cm="1">
        <f t="array" ref="C409">GetHyperlinkAddress(A409)</f>
        <v>https://open-measure.atlassian.net/wiki/spaces/DIC/pages/140739068/SAM+Database</v>
      </c>
    </row>
    <row r="410" spans="1:3" x14ac:dyDescent="0.35">
      <c r="A410" s="13" t="s">
        <v>438</v>
      </c>
      <c r="B410" t="str">
        <f t="shared" si="6"/>
        <v>SAML</v>
      </c>
      <c r="C410" s="14" t="str" cm="1">
        <f t="array" ref="C410">GetHyperlinkAddress(A410)</f>
        <v>https://open-measure.atlassian.net/wiki/spaces/DIC/pages/1428586729/SAML</v>
      </c>
    </row>
    <row r="411" spans="1:3" x14ac:dyDescent="0.35">
      <c r="A411" s="13" t="s">
        <v>439</v>
      </c>
      <c r="B411" t="str">
        <f t="shared" si="6"/>
        <v>Scale</v>
      </c>
      <c r="C411" s="14" t="str" cm="1">
        <f t="array" ref="C411">GetHyperlinkAddress(A411)</f>
        <v>https://open-measure.atlassian.net/wiki/spaces/DIC/pages/5899940</v>
      </c>
    </row>
    <row r="412" spans="1:3" x14ac:dyDescent="0.35">
      <c r="A412" s="13" t="s">
        <v>440</v>
      </c>
      <c r="B412" t="str">
        <f t="shared" si="6"/>
        <v>SCIM</v>
      </c>
      <c r="C412" s="14" t="str" cm="1">
        <f t="array" ref="C412">GetHyperlinkAddress(A412)</f>
        <v>https://open-measure.atlassian.net/wiki/spaces/DIC/pages/206307343</v>
      </c>
    </row>
    <row r="413" spans="1:3" x14ac:dyDescent="0.35">
      <c r="A413" s="13" t="s">
        <v>441</v>
      </c>
      <c r="B413" t="str">
        <f t="shared" si="6"/>
        <v>SCIM 1.0</v>
      </c>
      <c r="C413" s="14" t="str" cm="1">
        <f t="array" ref="C413">GetHyperlinkAddress(A413)</f>
        <v>https://open-measure.atlassian.net/wiki/spaces/DIC/pages/206372879</v>
      </c>
    </row>
    <row r="414" spans="1:3" x14ac:dyDescent="0.35">
      <c r="A414" s="13" t="s">
        <v>442</v>
      </c>
      <c r="B414" t="str">
        <f t="shared" si="6"/>
        <v>SCIM 1.1</v>
      </c>
      <c r="C414" s="14" t="str" cm="1">
        <f t="array" ref="C414">GetHyperlinkAddress(A414)</f>
        <v>https://open-measure.atlassian.net/wiki/spaces/DIC/pages/206307350</v>
      </c>
    </row>
    <row r="415" spans="1:3" x14ac:dyDescent="0.35">
      <c r="A415" s="13" t="s">
        <v>443</v>
      </c>
      <c r="B415" t="str">
        <f t="shared" si="6"/>
        <v>SCIM 2.0</v>
      </c>
      <c r="C415" s="14" t="str" cm="1">
        <f t="array" ref="C415">GetHyperlinkAddress(A415)</f>
        <v>https://open-measure.atlassian.net/wiki/spaces/DIC/pages/206307373</v>
      </c>
    </row>
    <row r="416" spans="1:3" x14ac:dyDescent="0.35">
      <c r="A416" s="13" t="s">
        <v>444</v>
      </c>
      <c r="B416" t="str">
        <f t="shared" si="6"/>
        <v>Scoping</v>
      </c>
      <c r="C416" s="14" t="str" cm="1">
        <f t="array" ref="C416">GetHyperlinkAddress(A416)</f>
        <v>https://open-measure.atlassian.net/wiki/spaces/DIC/pages/1376383</v>
      </c>
    </row>
    <row r="417" spans="1:3" x14ac:dyDescent="0.35">
      <c r="A417" s="13" t="s">
        <v>445</v>
      </c>
      <c r="B417" t="str">
        <f t="shared" si="6"/>
        <v>SD</v>
      </c>
      <c r="C417" s="14" t="str" cm="1">
        <f t="array" ref="C417">GetHyperlinkAddress(A417)</f>
        <v>https://open-measure.atlassian.net/wiki/spaces/DIC/pages/5931115</v>
      </c>
    </row>
    <row r="418" spans="1:3" x14ac:dyDescent="0.35">
      <c r="A418" s="13" t="s">
        <v>446</v>
      </c>
      <c r="B418" t="str">
        <f t="shared" si="6"/>
        <v>SDP</v>
      </c>
      <c r="C418" s="14" t="str" cm="1">
        <f t="array" ref="C418">GetHyperlinkAddress(A418)</f>
        <v>https://open-measure.atlassian.net/wiki/spaces/DIC/pages/234356901</v>
      </c>
    </row>
    <row r="419" spans="1:3" x14ac:dyDescent="0.35">
      <c r="A419" s="13" t="s">
        <v>447</v>
      </c>
      <c r="B419" t="str">
        <f t="shared" si="6"/>
        <v>Secure Production Identity Framework for Everyone</v>
      </c>
      <c r="C419" s="14" t="str" cm="1">
        <f t="array" ref="C419">GetHyperlinkAddress(A419)</f>
        <v>https://open-measure.atlassian.net/wiki/spaces/DIC/pages/1142390785</v>
      </c>
    </row>
    <row r="420" spans="1:3" x14ac:dyDescent="0.35">
      <c r="A420" s="13" t="s">
        <v>448</v>
      </c>
      <c r="B420" t="str">
        <f t="shared" si="6"/>
        <v>Secure System</v>
      </c>
      <c r="C420" s="14" t="str" cm="1">
        <f t="array" ref="C420">GetHyperlinkAddress(A420)</f>
        <v>https://open-measure.atlassian.net/wiki/spaces/DIC/pages/1230831633</v>
      </c>
    </row>
    <row r="421" spans="1:3" x14ac:dyDescent="0.35">
      <c r="A421" s="13" t="s">
        <v>449</v>
      </c>
      <c r="B421" t="str">
        <f t="shared" si="6"/>
        <v>Security</v>
      </c>
      <c r="C421" s="14" t="str" cm="1">
        <f t="array" ref="C421">GetHyperlinkAddress(A421)</f>
        <v>https://open-measure.atlassian.net/wiki/spaces/DIC/pages/1231159321</v>
      </c>
    </row>
    <row r="422" spans="1:3" x14ac:dyDescent="0.35">
      <c r="A422" s="13" t="s">
        <v>450</v>
      </c>
      <c r="B422" t="str">
        <f t="shared" si="6"/>
        <v>Security Accounts Manager</v>
      </c>
      <c r="C422" s="14" t="str" cm="1">
        <f t="array" ref="C422">GetHyperlinkAddress(A422)</f>
        <v>https://open-measure.atlassian.net/wiki/spaces/DIC/pages/140673497</v>
      </c>
    </row>
    <row r="423" spans="1:3" x14ac:dyDescent="0.35">
      <c r="A423" s="13" t="s">
        <v>451</v>
      </c>
      <c r="B423" t="str">
        <f t="shared" si="6"/>
        <v>Security Assertion Markup Language</v>
      </c>
      <c r="C423" s="14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13" t="s">
        <v>452</v>
      </c>
      <c r="B424" t="str">
        <f t="shared" si="6"/>
        <v>Security Clearance Level</v>
      </c>
      <c r="C424" s="14" t="str" cm="1">
        <f t="array" ref="C424">GetHyperlinkAddress(A424)</f>
        <v>https://open-measure.atlassian.net/wiki/spaces/DIC/pages/1177747653</v>
      </c>
    </row>
    <row r="425" spans="1:3" x14ac:dyDescent="0.35">
      <c r="A425" s="13" t="s">
        <v>453</v>
      </c>
      <c r="B425" t="str">
        <f t="shared" si="6"/>
        <v>Security Compartment</v>
      </c>
      <c r="C425" s="14" t="str" cm="1">
        <f t="array" ref="C425">GetHyperlinkAddress(A425)</f>
        <v>https://open-measure.atlassian.net/wiki/spaces/DIC/pages/1181843719</v>
      </c>
    </row>
    <row r="426" spans="1:3" x14ac:dyDescent="0.35">
      <c r="A426" s="13" t="s">
        <v>454</v>
      </c>
      <c r="B426" t="str">
        <f t="shared" si="6"/>
        <v>Security Label</v>
      </c>
      <c r="C426" s="14" t="str" cm="1">
        <f t="array" ref="C426">GetHyperlinkAddress(A426)</f>
        <v>https://open-measure.atlassian.net/wiki/spaces/DIC/pages/1177747630</v>
      </c>
    </row>
    <row r="427" spans="1:3" x14ac:dyDescent="0.35">
      <c r="A427" s="13" t="s">
        <v>455</v>
      </c>
      <c r="B427" t="str">
        <f t="shared" si="6"/>
        <v>Segregation of Duties</v>
      </c>
      <c r="C427" s="14" t="str" cm="1">
        <f t="array" ref="C427">GetHyperlinkAddress(A427)</f>
        <v>https://open-measure.atlassian.net/wiki/spaces/DIC/pages/1071185955</v>
      </c>
    </row>
    <row r="428" spans="1:3" x14ac:dyDescent="0.35">
      <c r="A428" s="13" t="s">
        <v>456</v>
      </c>
      <c r="B428" t="str">
        <f t="shared" si="6"/>
        <v>Self-Sovereign Identity</v>
      </c>
      <c r="C428" s="14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13" t="s">
        <v>457</v>
      </c>
      <c r="B429" t="str">
        <f t="shared" si="6"/>
        <v>Semantic Differential</v>
      </c>
      <c r="C429" s="14" t="str" cm="1">
        <f t="array" ref="C429">GetHyperlinkAddress(A429)</f>
        <v>https://open-measure.atlassian.net/wiki/spaces/DIC/pages/6029526</v>
      </c>
    </row>
    <row r="430" spans="1:3" x14ac:dyDescent="0.35">
      <c r="A430" s="13" t="s">
        <v>458</v>
      </c>
      <c r="B430" t="str">
        <f t="shared" si="6"/>
        <v>Service Account</v>
      </c>
      <c r="C430" s="14" t="str" cm="1">
        <f t="array" ref="C430">GetHyperlinkAddress(A430)</f>
        <v>https://open-measure.atlassian.net/wiki/spaces/DIC/pages/805142555</v>
      </c>
    </row>
    <row r="431" spans="1:3" x14ac:dyDescent="0.35">
      <c r="A431" s="13" t="s">
        <v>459</v>
      </c>
      <c r="B431" t="str">
        <f t="shared" si="6"/>
        <v>Service-Centric Identity Management System</v>
      </c>
      <c r="C431" s="14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13" t="s">
        <v>460</v>
      </c>
      <c r="B432" t="str">
        <f t="shared" si="6"/>
        <v>Session</v>
      </c>
      <c r="C432" s="14" t="str" cm="1">
        <f t="array" ref="C432">GetHyperlinkAddress(A432)</f>
        <v>https://open-measure.atlassian.net/wiki/spaces/DIC/pages/881197061</v>
      </c>
    </row>
    <row r="433" spans="1:3" x14ac:dyDescent="0.35">
      <c r="A433" s="13" t="s">
        <v>461</v>
      </c>
      <c r="B433" t="str">
        <f t="shared" si="6"/>
        <v>Single Login</v>
      </c>
      <c r="C433" s="14" t="str" cm="1">
        <f t="array" ref="C433">GetHyperlinkAddress(A433)</f>
        <v>https://open-measure.atlassian.net/wiki/spaces/DIC/pages/78741548</v>
      </c>
    </row>
    <row r="434" spans="1:3" x14ac:dyDescent="0.35">
      <c r="A434" s="13" t="s">
        <v>462</v>
      </c>
      <c r="B434" t="str">
        <f t="shared" si="6"/>
        <v>Single Sign-On</v>
      </c>
      <c r="C434" s="14" t="str" cm="1">
        <f t="array" ref="C434">GetHyperlinkAddress(A434)</f>
        <v>https://open-measure.atlassian.net/wiki/spaces/DIC/pages/75956255</v>
      </c>
    </row>
    <row r="435" spans="1:3" x14ac:dyDescent="0.35">
      <c r="A435" s="13" t="s">
        <v>463</v>
      </c>
      <c r="B435" t="str">
        <f t="shared" si="6"/>
        <v>Social Authentication</v>
      </c>
      <c r="C435" s="14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13" t="s">
        <v>464</v>
      </c>
      <c r="B436" t="str">
        <f t="shared" si="6"/>
        <v>Social Honeypot</v>
      </c>
      <c r="C436" s="14" t="str" cm="1">
        <f t="array" ref="C436">GetHyperlinkAddress(A436)</f>
        <v>https://open-measure.atlassian.net/wiki/spaces/DIC/pages/1270055026/Social+Honeypot</v>
      </c>
    </row>
    <row r="437" spans="1:3" x14ac:dyDescent="0.35">
      <c r="A437" s="13" t="s">
        <v>465</v>
      </c>
      <c r="B437" t="str">
        <f t="shared" si="6"/>
        <v>SoD</v>
      </c>
      <c r="C437" s="14" t="str" cm="1">
        <f t="array" ref="C437">GetHyperlinkAddress(A437)</f>
        <v>https://open-measure.atlassian.net/wiki/spaces/DIC/pages/1071317018</v>
      </c>
    </row>
    <row r="438" spans="1:3" x14ac:dyDescent="0.35">
      <c r="A438" s="13" t="s">
        <v>466</v>
      </c>
      <c r="B438" t="str">
        <f t="shared" si="6"/>
        <v>Software-Defined Perimeter</v>
      </c>
      <c r="C438" s="14" t="str" cm="1">
        <f t="array" ref="C438">GetHyperlinkAddress(A438)</f>
        <v>https://open-measure.atlassian.net/wiki/spaces/DIC/pages/234487981</v>
      </c>
    </row>
    <row r="439" spans="1:3" x14ac:dyDescent="0.35">
      <c r="A439" s="13" t="s">
        <v>467</v>
      </c>
      <c r="B439" t="str">
        <f t="shared" si="6"/>
        <v>SPIFFE</v>
      </c>
      <c r="C439" s="14" t="str" cm="1">
        <f t="array" ref="C439">GetHyperlinkAddress(A439)</f>
        <v>https://open-measure.atlassian.net/wiki/spaces/DIC/pages/1142292486</v>
      </c>
    </row>
    <row r="440" spans="1:3" x14ac:dyDescent="0.35">
      <c r="A440" s="13" t="s">
        <v>468</v>
      </c>
      <c r="B440" t="str">
        <f t="shared" si="6"/>
        <v>SPMS</v>
      </c>
      <c r="C440" s="14" t="str" cm="1">
        <f t="array" ref="C440">GetHyperlinkAddress(A440)</f>
        <v>https://open-measure.atlassian.net/wiki/spaces/DIC/pages/1605648</v>
      </c>
    </row>
    <row r="441" spans="1:3" x14ac:dyDescent="0.35">
      <c r="A441" s="13" t="s">
        <v>469</v>
      </c>
      <c r="B441" t="str">
        <f t="shared" si="6"/>
        <v>SSH Key</v>
      </c>
      <c r="C441" s="14" t="str" cm="1">
        <f t="array" ref="C441">GetHyperlinkAddress(A441)</f>
        <v>https://open-measure.atlassian.net/wiki/spaces/DIC/pages/1027342899</v>
      </c>
    </row>
    <row r="442" spans="1:3" x14ac:dyDescent="0.35">
      <c r="A442" s="13" t="s">
        <v>470</v>
      </c>
      <c r="B442" t="str">
        <f t="shared" si="6"/>
        <v>SSI</v>
      </c>
      <c r="C442" s="14" t="str" cm="1">
        <f t="array" ref="C442">GetHyperlinkAddress(A442)</f>
        <v>https://open-measure.atlassian.net/wiki/spaces/DIC/pages/1311113221/SSI</v>
      </c>
    </row>
    <row r="443" spans="1:3" x14ac:dyDescent="0.35">
      <c r="A443" s="13" t="s">
        <v>471</v>
      </c>
      <c r="B443" t="str">
        <f t="shared" si="6"/>
        <v>SSO</v>
      </c>
      <c r="C443" s="14" t="str" cm="1">
        <f t="array" ref="C443">GetHyperlinkAddress(A443)</f>
        <v>https://open-measure.atlassian.net/wiki/spaces/DIC/pages/75956237</v>
      </c>
    </row>
    <row r="444" spans="1:3" x14ac:dyDescent="0.35">
      <c r="A444" s="13" t="s">
        <v>472</v>
      </c>
      <c r="B444" t="str">
        <f t="shared" si="6"/>
        <v>Stability of Access Decision Factors</v>
      </c>
      <c r="C444" s="14" t="str" cm="1">
        <f t="array" ref="C444">GetHyperlinkAddress(A444)</f>
        <v>https://open-measure.atlassian.net/wiki/spaces/DIC/pages/998244645</v>
      </c>
    </row>
    <row r="445" spans="1:3" x14ac:dyDescent="0.35">
      <c r="A445" s="13" t="s">
        <v>473</v>
      </c>
      <c r="B445" t="str">
        <f t="shared" si="6"/>
        <v>Stakeholder</v>
      </c>
      <c r="C445" s="14" t="str" cm="1">
        <f t="array" ref="C445">GetHyperlinkAddress(A445)</f>
        <v>https://open-measure.atlassian.net/wiki/spaces/DIC/pages/1311763</v>
      </c>
    </row>
    <row r="446" spans="1:3" x14ac:dyDescent="0.35">
      <c r="A446" s="13" t="s">
        <v>474</v>
      </c>
      <c r="B446" t="str">
        <f t="shared" si="6"/>
        <v>Step-Up Authentication</v>
      </c>
      <c r="C446" s="14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13" t="s">
        <v>475</v>
      </c>
      <c r="B447" t="str">
        <f t="shared" si="6"/>
        <v>Strategic Performance Measurement System</v>
      </c>
      <c r="C447" s="14" t="str" cm="1">
        <f t="array" ref="C447">GetHyperlinkAddress(A447)</f>
        <v>https://open-measure.atlassian.net/wiki/spaces/DIC/pages/1540175</v>
      </c>
    </row>
    <row r="448" spans="1:3" x14ac:dyDescent="0.35">
      <c r="A448" s="13" t="s">
        <v>476</v>
      </c>
      <c r="B448" t="str">
        <f t="shared" si="6"/>
        <v>Strict Discretionary Access Control</v>
      </c>
      <c r="C448" s="14" t="str" cm="1">
        <f t="array" ref="C448">GetHyperlinkAddress(A448)</f>
        <v>https://open-measure.atlassian.net/wiki/spaces/DIC/pages/1181909085</v>
      </c>
    </row>
    <row r="449" spans="1:3" x14ac:dyDescent="0.35">
      <c r="A449" s="13" t="s">
        <v>477</v>
      </c>
      <c r="B449" t="str">
        <f t="shared" si="6"/>
        <v>Strong Authentication</v>
      </c>
      <c r="C449" s="14" t="str" cm="1">
        <f t="array" ref="C449">GetHyperlinkAddress(A449)</f>
        <v>https://open-measure.atlassian.net/wiki/spaces/DIC/pages/81199126</v>
      </c>
    </row>
    <row r="450" spans="1:3" x14ac:dyDescent="0.35">
      <c r="A450" s="13" t="s">
        <v>478</v>
      </c>
      <c r="B450" t="str">
        <f t="shared" si="6"/>
        <v>Strong Tranquility Property</v>
      </c>
      <c r="C450" s="14" t="str" cm="1">
        <f t="array" ref="C450">GetHyperlinkAddress(A450)</f>
        <v>https://open-measure.atlassian.net/wiki/spaces/DIC/pages/1177747756</v>
      </c>
    </row>
    <row r="451" spans="1:3" x14ac:dyDescent="0.35">
      <c r="A451" s="13" t="s">
        <v>479</v>
      </c>
      <c r="B451" t="str">
        <f t="shared" si="6"/>
        <v>Subject</v>
      </c>
      <c r="C451" s="14" t="str" cm="1">
        <f t="array" ref="C451">GetHyperlinkAddress(A451)</f>
        <v>https://open-measure.atlassian.net/wiki/spaces/DIC/pages/67600697</v>
      </c>
    </row>
    <row r="452" spans="1:3" x14ac:dyDescent="0.35">
      <c r="A452" s="13" t="s">
        <v>480</v>
      </c>
      <c r="B452" t="str">
        <f t="shared" si="6"/>
        <v>Subjective Indicator</v>
      </c>
      <c r="C452" s="14" t="str" cm="1">
        <f t="array" ref="C452">GetHyperlinkAddress(A452)</f>
        <v>https://open-measure.atlassian.net/wiki/spaces/DIC/pages/2981920</v>
      </c>
    </row>
    <row r="453" spans="1:3" x14ac:dyDescent="0.35">
      <c r="A453" s="13" t="s">
        <v>481</v>
      </c>
      <c r="B453" t="str">
        <f t="shared" si="6"/>
        <v>Supply Chain Attack</v>
      </c>
      <c r="C453" s="14" t="str" cm="1">
        <f t="array" ref="C453">GetHyperlinkAddress(A453)</f>
        <v>https://open-measure.atlassian.net/wiki/spaces/DIC/pages/1477869640/Supply+Chain+Attack</v>
      </c>
    </row>
    <row r="454" spans="1:3" x14ac:dyDescent="0.35">
      <c r="A454" s="13" t="s">
        <v>482</v>
      </c>
      <c r="B454" t="str">
        <f t="shared" ref="B454:B517" si="7">SUBSTITUTE(CLEAN(A454)," (Dictionary Entry)","")</f>
        <v>Sybil Attack</v>
      </c>
      <c r="C454" s="14" t="str" cm="1">
        <f t="array" ref="C454">GetHyperlinkAddress(A454)</f>
        <v>https://open-measure.atlassian.net/wiki/spaces/DIC/pages/1254588545/Sybil+Attack</v>
      </c>
    </row>
    <row r="455" spans="1:3" x14ac:dyDescent="0.35">
      <c r="A455" s="13" t="s">
        <v>483</v>
      </c>
      <c r="B455" t="str">
        <f t="shared" si="7"/>
        <v>Synthetic Identity Fraud</v>
      </c>
      <c r="C455" s="14" t="str" cm="1">
        <f t="array" ref="C455">GetHyperlinkAddress(A455)</f>
        <v>https://open-measure.atlassian.net/wiki/spaces/DIC/pages/794296433</v>
      </c>
    </row>
    <row r="456" spans="1:3" x14ac:dyDescent="0.35">
      <c r="A456" s="13" t="s">
        <v>484</v>
      </c>
      <c r="B456" t="str">
        <f t="shared" si="7"/>
        <v>System</v>
      </c>
      <c r="C456" s="14" t="str" cm="1">
        <f t="array" ref="C456">GetHyperlinkAddress(A456)</f>
        <v>https://open-measure.atlassian.net/wiki/spaces/DIC/pages/5965562/System</v>
      </c>
    </row>
    <row r="457" spans="1:3" x14ac:dyDescent="0.35">
      <c r="A457" s="13" t="s">
        <v>485</v>
      </c>
      <c r="B457" t="str">
        <f t="shared" si="7"/>
        <v>System Boundaries</v>
      </c>
      <c r="C457" s="14" t="str" cm="1">
        <f t="array" ref="C457">GetHyperlinkAddress(A457)</f>
        <v>https://open-measure.atlassian.net/wiki/spaces/DIC/pages/446824644/System+Boundaries</v>
      </c>
    </row>
    <row r="458" spans="1:3" x14ac:dyDescent="0.35">
      <c r="A458" s="13" t="s">
        <v>486</v>
      </c>
      <c r="B458" t="str">
        <f t="shared" si="7"/>
        <v>System for Cross-domain Identity Management</v>
      </c>
      <c r="C458" s="14" t="str" cm="1">
        <f t="array" ref="C458">GetHyperlinkAddress(A458)</f>
        <v>https://open-measure.atlassian.net/wiki/spaces/DIC/pages/206372869</v>
      </c>
    </row>
    <row r="459" spans="1:3" x14ac:dyDescent="0.35">
      <c r="A459" s="13" t="s">
        <v>487</v>
      </c>
      <c r="B459" t="str">
        <f t="shared" si="7"/>
        <v>System Owner</v>
      </c>
      <c r="C459" s="14" t="str" cm="1">
        <f t="array" ref="C459">GetHyperlinkAddress(A459)</f>
        <v>https://open-measure.atlassian.net/wiki/spaces/DIC/pages/1004961963</v>
      </c>
    </row>
    <row r="460" spans="1:3" x14ac:dyDescent="0.35">
      <c r="A460" s="13" t="s">
        <v>488</v>
      </c>
      <c r="B460" t="str">
        <f t="shared" si="7"/>
        <v>System Z</v>
      </c>
      <c r="C460" s="14" t="str" cm="1">
        <f t="array" ref="C460">GetHyperlinkAddress(A460)</f>
        <v>https://open-measure.atlassian.net/wiki/spaces/DIC/pages/1226571890</v>
      </c>
    </row>
    <row r="461" spans="1:3" x14ac:dyDescent="0.35">
      <c r="A461" s="13" t="s">
        <v>489</v>
      </c>
      <c r="B461" t="str">
        <f t="shared" si="7"/>
        <v>Task-Based Access Control</v>
      </c>
      <c r="C461" s="14" t="str" cm="1">
        <f t="array" ref="C461">GetHyperlinkAddress(A461)</f>
        <v>https://open-measure.atlassian.net/wiki/spaces/DIC/pages/1122631693</v>
      </c>
    </row>
    <row r="462" spans="1:3" x14ac:dyDescent="0.35">
      <c r="A462" s="13" t="s">
        <v>490</v>
      </c>
      <c r="B462" t="str">
        <f t="shared" si="7"/>
        <v>Taxa</v>
      </c>
      <c r="C462" s="14" t="str" cm="1">
        <f t="array" ref="C462">GetHyperlinkAddress(A462)</f>
        <v>https://open-measure.atlassian.net/wiki/spaces/DIC/pages/148373634</v>
      </c>
    </row>
    <row r="463" spans="1:3" x14ac:dyDescent="0.35">
      <c r="A463" s="13" t="s">
        <v>491</v>
      </c>
      <c r="B463" t="str">
        <f t="shared" si="7"/>
        <v>Taxon</v>
      </c>
      <c r="C463" s="14" t="str" cm="1">
        <f t="array" ref="C463">GetHyperlinkAddress(A463)</f>
        <v>https://open-measure.atlassian.net/wiki/spaces/DIC/pages/148340845</v>
      </c>
    </row>
    <row r="464" spans="1:3" x14ac:dyDescent="0.35">
      <c r="A464" s="13" t="s">
        <v>492</v>
      </c>
      <c r="B464" t="str">
        <f t="shared" si="7"/>
        <v>Taxonomy</v>
      </c>
      <c r="C464" s="14" t="str" cm="1">
        <f t="array" ref="C464">GetHyperlinkAddress(A464)</f>
        <v>https://open-measure.atlassian.net/wiki/spaces/DIC/pages/140706175</v>
      </c>
    </row>
    <row r="465" spans="1:3" x14ac:dyDescent="0.35">
      <c r="A465" s="13" t="s">
        <v>493</v>
      </c>
      <c r="B465" t="str">
        <f t="shared" si="7"/>
        <v>TCO</v>
      </c>
      <c r="C465" s="14" t="str" cm="1">
        <f t="array" ref="C465">GetHyperlinkAddress(A465)</f>
        <v>https://open-measure.atlassian.net/wiki/spaces/DIC/pages/158794291</v>
      </c>
    </row>
    <row r="466" spans="1:3" x14ac:dyDescent="0.35">
      <c r="A466" s="13" t="s">
        <v>494</v>
      </c>
      <c r="B466" t="str">
        <f t="shared" si="7"/>
        <v>Term</v>
      </c>
      <c r="C466" s="14" t="str" cm="1">
        <f t="array" ref="C466">GetHyperlinkAddress(A466)</f>
        <v>https://open-measure.atlassian.net/wiki/spaces/DIC/pages/1061617735</v>
      </c>
    </row>
    <row r="467" spans="1:3" x14ac:dyDescent="0.35">
      <c r="A467" s="13" t="s">
        <v>495</v>
      </c>
      <c r="B467" t="str">
        <f t="shared" si="7"/>
        <v>Total Cost of Ownership</v>
      </c>
      <c r="C467" s="14" t="str" cm="1">
        <f t="array" ref="C467">GetHyperlinkAddress(A467)</f>
        <v>https://open-measure.atlassian.net/wiki/spaces/DIC/pages/158728598</v>
      </c>
    </row>
    <row r="468" spans="1:3" x14ac:dyDescent="0.35">
      <c r="A468" s="13" t="s">
        <v>496</v>
      </c>
      <c r="B468" t="str">
        <f t="shared" si="7"/>
        <v>Toxic Combinations</v>
      </c>
      <c r="C468" s="14" t="str" cm="1">
        <f t="array" ref="C468">GetHyperlinkAddress(A468)</f>
        <v>https://open-measure.atlassian.net/wiki/spaces/DIC/pages/1130954862</v>
      </c>
    </row>
    <row r="469" spans="1:3" x14ac:dyDescent="0.35">
      <c r="A469" s="13" t="s">
        <v>497</v>
      </c>
      <c r="B469" t="str">
        <f t="shared" si="7"/>
        <v>Toxic Right Rule (Definition)</v>
      </c>
      <c r="C469" s="14" t="str" cm="1">
        <f t="array" ref="C469">GetHyperlinkAddress(A469)</f>
        <v>https://open-measure.atlassian.net/wiki/spaces/DIC/pages/360467</v>
      </c>
    </row>
    <row r="470" spans="1:3" x14ac:dyDescent="0.35">
      <c r="A470" s="13" t="s">
        <v>498</v>
      </c>
      <c r="B470" t="str">
        <f t="shared" si="7"/>
        <v>Tranquil</v>
      </c>
      <c r="C470" s="14" t="str" cm="1">
        <f t="array" ref="C470">GetHyperlinkAddress(A470)</f>
        <v>https://open-measure.atlassian.net/wiki/spaces/DIC/pages/1237582070/Tranquil</v>
      </c>
    </row>
    <row r="471" spans="1:3" x14ac:dyDescent="0.35">
      <c r="A471" s="13" t="s">
        <v>499</v>
      </c>
      <c r="B471" t="str">
        <f t="shared" si="7"/>
        <v>Tranquility Principle</v>
      </c>
      <c r="C471" s="14" t="str" cm="1">
        <f t="array" ref="C471">GetHyperlinkAddress(A471)</f>
        <v>https://open-measure.atlassian.net/wiki/spaces/DIC/pages/1237483759</v>
      </c>
    </row>
    <row r="472" spans="1:3" x14ac:dyDescent="0.35">
      <c r="A472" s="13" t="s">
        <v>500</v>
      </c>
      <c r="B472" t="str">
        <f t="shared" si="7"/>
        <v>Tranquility Property</v>
      </c>
      <c r="C472" s="14" t="str" cm="1">
        <f t="array" ref="C472">GetHyperlinkAddress(A472)</f>
        <v>https://open-measure.atlassian.net/wiki/spaces/DIC/pages/1181876587</v>
      </c>
    </row>
    <row r="473" spans="1:3" x14ac:dyDescent="0.35">
      <c r="A473" s="13" t="s">
        <v>501</v>
      </c>
      <c r="B473" t="str">
        <f t="shared" si="7"/>
        <v>Trust</v>
      </c>
      <c r="C473" s="14" t="str" cm="1">
        <f t="array" ref="C473">GetHyperlinkAddress(A473)</f>
        <v>https://open-measure.atlassian.net/wiki/spaces/DIC/pages/1037926452/Trust</v>
      </c>
    </row>
    <row r="474" spans="1:3" x14ac:dyDescent="0.35">
      <c r="A474" s="13" t="s">
        <v>502</v>
      </c>
      <c r="B474" t="str">
        <f t="shared" si="7"/>
        <v>Trust Asymmetry</v>
      </c>
      <c r="C474" s="14" t="str" cm="1">
        <f t="array" ref="C474">GetHyperlinkAddress(A474)</f>
        <v>https://open-measure.atlassian.net/wiki/spaces/DIC/pages/1027048185</v>
      </c>
    </row>
    <row r="475" spans="1:3" x14ac:dyDescent="0.35">
      <c r="A475" s="13" t="s">
        <v>503</v>
      </c>
      <c r="B475" t="str">
        <f t="shared" si="7"/>
        <v>Trust Composability</v>
      </c>
      <c r="C475" s="14" t="str" cm="1">
        <f t="array" ref="C475">GetHyperlinkAddress(A475)</f>
        <v>https://open-measure.atlassian.net/wiki/spaces/DIC/pages/1027048128</v>
      </c>
    </row>
    <row r="476" spans="1:3" x14ac:dyDescent="0.35">
      <c r="A476" s="13" t="s">
        <v>504</v>
      </c>
      <c r="B476" t="str">
        <f t="shared" si="7"/>
        <v>Trust Personalization</v>
      </c>
      <c r="C476" s="14" t="str" cm="1">
        <f t="array" ref="C476">GetHyperlinkAddress(A476)</f>
        <v>https://open-measure.atlassian.net/wiki/spaces/DIC/pages/1027048209</v>
      </c>
    </row>
    <row r="477" spans="1:3" x14ac:dyDescent="0.35">
      <c r="A477" s="13" t="s">
        <v>505</v>
      </c>
      <c r="B477" t="str">
        <f t="shared" si="7"/>
        <v>Trust Transitivity</v>
      </c>
      <c r="C477" s="14" t="str" cm="1">
        <f t="array" ref="C477">GetHyperlinkAddress(A477)</f>
        <v>https://open-measure.atlassian.net/wiki/spaces/DIC/pages/1031242345</v>
      </c>
    </row>
    <row r="478" spans="1:3" x14ac:dyDescent="0.35">
      <c r="A478" s="13" t="s">
        <v>506</v>
      </c>
      <c r="B478" t="str">
        <f t="shared" si="7"/>
        <v>Type</v>
      </c>
      <c r="C478" s="14" t="str" cm="1">
        <f t="array" ref="C478">GetHyperlinkAddress(A478)</f>
        <v>https://open-measure.atlassian.net/wiki/spaces/DIC/pages/140705998</v>
      </c>
    </row>
    <row r="479" spans="1:3" x14ac:dyDescent="0.35">
      <c r="A479" s="13" t="s">
        <v>507</v>
      </c>
      <c r="B479" t="str">
        <f t="shared" si="7"/>
        <v>Typing Biometrics</v>
      </c>
      <c r="C479" s="14" t="str" cm="1">
        <f t="array" ref="C479">GetHyperlinkAddress(A479)</f>
        <v>https://open-measure.atlassian.net/wiki/spaces/DIC/pages/1417084929/Typing+Biometrics</v>
      </c>
    </row>
    <row r="480" spans="1:3" x14ac:dyDescent="0.35">
      <c r="A480" s="13" t="s">
        <v>508</v>
      </c>
      <c r="B480" t="str">
        <f t="shared" si="7"/>
        <v>Typology</v>
      </c>
      <c r="C480" s="14" t="str" cm="1">
        <f t="array" ref="C480">GetHyperlinkAddress(A480)</f>
        <v>https://open-measure.atlassian.net/wiki/spaces/DIC/pages/140673267</v>
      </c>
    </row>
    <row r="481" spans="1:3" x14ac:dyDescent="0.35">
      <c r="A481" s="13" t="s">
        <v>509</v>
      </c>
      <c r="B481" t="str">
        <f t="shared" si="7"/>
        <v>Unanticipated User</v>
      </c>
      <c r="C481" s="14" t="str" cm="1">
        <f t="array" ref="C481">GetHyperlinkAddress(A481)</f>
        <v>https://open-measure.atlassian.net/wiki/spaces/DIC/pages/1027080193/Unanticipated+User</v>
      </c>
    </row>
    <row r="482" spans="1:3" x14ac:dyDescent="0.35">
      <c r="A482" s="13" t="s">
        <v>510</v>
      </c>
      <c r="B482" t="str">
        <f t="shared" si="7"/>
        <v>Unauthorized Access</v>
      </c>
      <c r="C482" s="14" t="str" cm="1">
        <f t="array" ref="C482">GetHyperlinkAddress(A482)</f>
        <v>https://open-measure.atlassian.net/wiki/spaces/DIC/pages/1231126540/Unauthorized+Access</v>
      </c>
    </row>
    <row r="483" spans="1:3" x14ac:dyDescent="0.35">
      <c r="A483" s="13" t="s">
        <v>511</v>
      </c>
      <c r="B483" t="str">
        <f t="shared" si="7"/>
        <v>Unique ID Number</v>
      </c>
      <c r="C483" s="14" t="str" cm="1">
        <f t="array" ref="C483">GetHyperlinkAddress(A483)</f>
        <v>https://open-measure.atlassian.net/wiki/spaces/DIC/pages/446955662/Unique+ID+Number</v>
      </c>
    </row>
    <row r="484" spans="1:3" x14ac:dyDescent="0.35">
      <c r="A484" s="13" t="s">
        <v>512</v>
      </c>
      <c r="B484" t="str">
        <f t="shared" si="7"/>
        <v>Unit of measurement</v>
      </c>
      <c r="C484" s="14" t="str" cm="1">
        <f t="array" ref="C484">GetHyperlinkAddress(A484)</f>
        <v>https://open-measure.atlassian.net/wiki/spaces/DIC/pages/2523320/Unit+of+measurement</v>
      </c>
    </row>
    <row r="485" spans="1:3" x14ac:dyDescent="0.35">
      <c r="A485" s="13" t="s">
        <v>513</v>
      </c>
      <c r="B485" t="str">
        <f t="shared" si="7"/>
        <v>Unprivileged Insider</v>
      </c>
      <c r="C485" s="14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13" t="s">
        <v>514</v>
      </c>
      <c r="B486" t="str">
        <f t="shared" si="7"/>
        <v>User</v>
      </c>
      <c r="C486" s="14" t="str" cm="1">
        <f t="array" ref="C486">GetHyperlinkAddress(A486)</f>
        <v>https://open-measure.atlassian.net/wiki/spaces/DIC/pages/82839586/User</v>
      </c>
    </row>
    <row r="487" spans="1:3" x14ac:dyDescent="0.35">
      <c r="A487" s="13" t="s">
        <v>515</v>
      </c>
      <c r="B487" t="str">
        <f t="shared" si="7"/>
        <v>User Account</v>
      </c>
      <c r="C487" s="14" t="str" cm="1">
        <f t="array" ref="C487">GetHyperlinkAddress(A487)</f>
        <v>https://open-measure.atlassian.net/wiki/spaces/DIC/pages/1428587273/User+Account</v>
      </c>
    </row>
    <row r="488" spans="1:3" x14ac:dyDescent="0.35">
      <c r="A488" s="13" t="s">
        <v>517</v>
      </c>
      <c r="B488" t="str">
        <f t="shared" si="7"/>
        <v>User De-Provisioning</v>
      </c>
      <c r="C488" s="14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13" t="s">
        <v>518</v>
      </c>
      <c r="B489" t="str">
        <f t="shared" si="7"/>
        <v>User Entitlement Reviews</v>
      </c>
      <c r="C489" s="14" t="str" cm="1">
        <f t="array" ref="C489">GetHyperlinkAddress(A489)</f>
        <v>https://open-measure.atlassian.net/wiki/spaces/DIC/pages/1121878257</v>
      </c>
    </row>
    <row r="490" spans="1:3" x14ac:dyDescent="0.35">
      <c r="A490" s="13" t="s">
        <v>519</v>
      </c>
      <c r="B490" t="str">
        <f t="shared" si="7"/>
        <v>User ID</v>
      </c>
      <c r="C490" s="14" t="str" cm="1">
        <f t="array" ref="C490">GetHyperlinkAddress(A490)</f>
        <v>https://open-measure.atlassian.net/wiki/spaces/DIC/pages/1428652448/User+ID</v>
      </c>
    </row>
    <row r="491" spans="1:3" x14ac:dyDescent="0.35">
      <c r="A491" s="13" t="s">
        <v>521</v>
      </c>
      <c r="B491" t="str">
        <f t="shared" si="7"/>
        <v>User Provisioning</v>
      </c>
      <c r="C491" s="14" t="str" cm="1">
        <f t="array" ref="C491">GetHyperlinkAddress(A491)</f>
        <v>https://open-measure.atlassian.net/wiki/spaces/DIC/pages/1147043973/User+Provisioning</v>
      </c>
    </row>
    <row r="492" spans="1:3" x14ac:dyDescent="0.35">
      <c r="A492" s="13" t="s">
        <v>516</v>
      </c>
      <c r="B492" t="str">
        <f t="shared" si="7"/>
        <v>User-Centric Identity Management System</v>
      </c>
      <c r="C492" s="14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13" t="s">
        <v>520</v>
      </c>
      <c r="B493" t="str">
        <f t="shared" si="7"/>
        <v>Username</v>
      </c>
      <c r="C493" s="14" t="str" cm="1">
        <f t="array" ref="C493">GetHyperlinkAddress(A493)</f>
        <v>https://open-measure.atlassian.net/wiki/spaces/DIC/pages/1428652183/Username</v>
      </c>
    </row>
    <row r="494" spans="1:3" x14ac:dyDescent="0.35">
      <c r="A494" s="13" t="s">
        <v>522</v>
      </c>
      <c r="B494" t="str">
        <f t="shared" si="7"/>
        <v>Verifiable Claim</v>
      </c>
      <c r="C494" s="14" t="str" cm="1">
        <f t="array" ref="C494">GetHyperlinkAddress(A494)</f>
        <v>https://open-measure.atlassian.net/wiki/spaces/DIC/pages/1311146179/Verifiable+Claim</v>
      </c>
    </row>
    <row r="495" spans="1:3" x14ac:dyDescent="0.35">
      <c r="A495" s="13" t="s">
        <v>523</v>
      </c>
      <c r="B495" t="str">
        <f t="shared" si="7"/>
        <v>Verification</v>
      </c>
      <c r="C495" s="14" t="str" cm="1">
        <f t="array" ref="C495">GetHyperlinkAddress(A495)</f>
        <v>https://open-measure.atlassian.net/wiki/spaces/DIC/pages/446988510/Verification</v>
      </c>
    </row>
    <row r="496" spans="1:3" x14ac:dyDescent="0.35">
      <c r="A496" s="13" t="s">
        <v>524</v>
      </c>
      <c r="B496" t="str">
        <f t="shared" si="7"/>
        <v>Virtual Directory</v>
      </c>
      <c r="C496" s="14" t="str" cm="1">
        <f t="array" ref="C496">GetHyperlinkAddress(A496)</f>
        <v>https://open-measure.atlassian.net/wiki/spaces/DIC/pages/834044330</v>
      </c>
    </row>
    <row r="497" spans="1:3" x14ac:dyDescent="0.35">
      <c r="A497" s="13" t="s">
        <v>525</v>
      </c>
      <c r="B497" t="str">
        <f t="shared" si="7"/>
        <v>Virtual Private Network</v>
      </c>
      <c r="C497" s="14" t="str" cm="1">
        <f t="array" ref="C497">GetHyperlinkAddress(A497)</f>
        <v>https://open-measure.atlassian.net/wiki/spaces/DIC/pages/236748839</v>
      </c>
    </row>
    <row r="498" spans="1:3" x14ac:dyDescent="0.35">
      <c r="A498" s="13" t="s">
        <v>526</v>
      </c>
      <c r="B498" t="str">
        <f t="shared" si="7"/>
        <v>Virtual Risk and Security Site Review</v>
      </c>
      <c r="C498" s="14" t="str" cm="1">
        <f t="array" ref="C498">GetHyperlinkAddress(A498)</f>
        <v>https://open-measure.atlassian.net/wiki/spaces/DIC/pages/542146561</v>
      </c>
    </row>
    <row r="499" spans="1:3" x14ac:dyDescent="0.35">
      <c r="A499" s="13" t="s">
        <v>527</v>
      </c>
      <c r="B499" t="str">
        <f t="shared" si="7"/>
        <v>VPN</v>
      </c>
      <c r="C499" s="14" t="str" cm="1">
        <f t="array" ref="C499">GetHyperlinkAddress(A499)</f>
        <v>https://open-measure.atlassian.net/wiki/spaces/DIC/pages/234389605</v>
      </c>
    </row>
    <row r="500" spans="1:3" x14ac:dyDescent="0.35">
      <c r="A500" s="13" t="s">
        <v>528</v>
      </c>
      <c r="B500" t="str">
        <f t="shared" si="7"/>
        <v>Weak Authentication</v>
      </c>
      <c r="C500" s="14" t="str" cm="1">
        <f t="array" ref="C500">GetHyperlinkAddress(A500)</f>
        <v>https://open-measure.atlassian.net/wiki/spaces/DIC/pages/81068120</v>
      </c>
    </row>
    <row r="501" spans="1:3" x14ac:dyDescent="0.35">
      <c r="A501" s="13" t="s">
        <v>529</v>
      </c>
      <c r="B501" t="str">
        <f t="shared" si="7"/>
        <v>Weak Tranquility Property</v>
      </c>
      <c r="C501" s="14" t="str" cm="1">
        <f t="array" ref="C501">GetHyperlinkAddress(A501)</f>
        <v>https://open-measure.atlassian.net/wiki/spaces/DIC/pages/1177845999</v>
      </c>
    </row>
    <row r="502" spans="1:3" x14ac:dyDescent="0.35">
      <c r="A502" s="13" t="s">
        <v>530</v>
      </c>
      <c r="B502" t="str">
        <f t="shared" si="7"/>
        <v>Web-based Single Sign-On</v>
      </c>
      <c r="C502" s="14" t="str" cm="1">
        <f t="array" ref="C502">GetHyperlinkAddress(A502)</f>
        <v>https://open-measure.atlassian.net/wiki/spaces/DIC/pages/75923587</v>
      </c>
    </row>
    <row r="503" spans="1:3" x14ac:dyDescent="0.35">
      <c r="A503" s="13" t="s">
        <v>531</v>
      </c>
      <c r="B503" t="str">
        <f t="shared" si="7"/>
        <v>Windows (Non-Default) Local User Account</v>
      </c>
      <c r="C503" s="14" t="str" cm="1">
        <f t="array" ref="C503">GetHyperlinkAddress(A503)</f>
        <v>https://open-measure.atlassian.net/wiki/spaces/DIC/pages/140673566</v>
      </c>
    </row>
    <row r="504" spans="1:3" x14ac:dyDescent="0.35">
      <c r="A504" s="13" t="s">
        <v>533</v>
      </c>
      <c r="B504" t="str">
        <f t="shared" si="7"/>
        <v>Windows Default Local System Account</v>
      </c>
      <c r="C504" s="14" t="str" cm="1">
        <f t="array" ref="C504">GetHyperlinkAddress(A504)</f>
        <v>https://open-measure.atlassian.net/wiki/spaces/DIC/pages/140739507</v>
      </c>
    </row>
    <row r="505" spans="1:3" x14ac:dyDescent="0.35">
      <c r="A505" s="13" t="s">
        <v>534</v>
      </c>
      <c r="B505" t="str">
        <f t="shared" si="7"/>
        <v>Windows Default Local User Account</v>
      </c>
      <c r="C505" s="14" t="str" cm="1">
        <f t="array" ref="C505">GetHyperlinkAddress(A505)</f>
        <v>https://open-measure.atlassian.net/wiki/spaces/DIC/pages/140673594</v>
      </c>
    </row>
    <row r="506" spans="1:3" x14ac:dyDescent="0.35">
      <c r="A506" s="13" t="s">
        <v>532</v>
      </c>
      <c r="B506" t="str">
        <f t="shared" si="7"/>
        <v>Windows DefaultAccount Account</v>
      </c>
      <c r="C506" s="14" t="str" cm="1">
        <f t="array" ref="C506">GetHyperlinkAddress(A506)</f>
        <v>https://open-measure.atlassian.net/wiki/spaces/DIC/pages/140739482</v>
      </c>
    </row>
    <row r="507" spans="1:3" x14ac:dyDescent="0.35">
      <c r="A507" s="13" t="s">
        <v>535</v>
      </c>
      <c r="B507" t="str">
        <f t="shared" si="7"/>
        <v>Windows Guest Account</v>
      </c>
      <c r="C507" s="14" t="str" cm="1">
        <f t="array" ref="C507">GetHyperlinkAddress(A507)</f>
        <v>https://open-measure.atlassian.net/wiki/spaces/DIC/pages/140673653</v>
      </c>
    </row>
    <row r="508" spans="1:3" x14ac:dyDescent="0.35">
      <c r="A508" s="13" t="s">
        <v>536</v>
      </c>
      <c r="B508" t="str">
        <f t="shared" si="7"/>
        <v>Windows HelpAssistant Account</v>
      </c>
      <c r="C508" s="14" t="str" cm="1">
        <f t="array" ref="C508">GetHyperlinkAddress(A508)</f>
        <v>https://open-measure.atlassian.net/wiki/spaces/DIC/pages/140771901</v>
      </c>
    </row>
    <row r="509" spans="1:3" x14ac:dyDescent="0.35">
      <c r="A509" s="13" t="s">
        <v>537</v>
      </c>
      <c r="B509" t="str">
        <f t="shared" si="7"/>
        <v>Windows Local Account</v>
      </c>
      <c r="C509" s="14" t="str" cm="1">
        <f t="array" ref="C509">GetHyperlinkAddress(A509)</f>
        <v>https://open-measure.atlassian.net/wiki/spaces/DIC/pages/140772047</v>
      </c>
    </row>
    <row r="510" spans="1:3" x14ac:dyDescent="0.35">
      <c r="A510" s="13" t="s">
        <v>538</v>
      </c>
      <c r="B510" t="str">
        <f t="shared" si="7"/>
        <v>Windows Local Administrator Account</v>
      </c>
      <c r="C510" s="14" t="str" cm="1">
        <f t="array" ref="C510">GetHyperlinkAddress(A510)</f>
        <v>https://open-measure.atlassian.net/wiki/spaces/DIC/pages/140739277</v>
      </c>
    </row>
    <row r="511" spans="1:3" x14ac:dyDescent="0.35">
      <c r="A511" s="13" t="s">
        <v>539</v>
      </c>
      <c r="B511" t="str">
        <f t="shared" si="7"/>
        <v>Windows LOCAL SERVICE Account</v>
      </c>
      <c r="C511" s="14" t="str" cm="1">
        <f t="array" ref="C511">GetHyperlinkAddress(A511)</f>
        <v>https://open-measure.atlassian.net/wiki/spaces/DIC/pages/140673818</v>
      </c>
    </row>
    <row r="512" spans="1:3" x14ac:dyDescent="0.35">
      <c r="A512" s="13" t="s">
        <v>540</v>
      </c>
      <c r="B512" t="str">
        <f t="shared" si="7"/>
        <v>Windows NETWORK SERVICE Account</v>
      </c>
      <c r="C512" s="14" t="str" cm="1">
        <f t="array" ref="C512">GetHyperlinkAddress(A512)</f>
        <v>https://open-measure.atlassian.net/wiki/spaces/DIC/pages/140772011</v>
      </c>
    </row>
    <row r="513" spans="1:3" x14ac:dyDescent="0.35">
      <c r="A513" s="13" t="s">
        <v>541</v>
      </c>
      <c r="B513" t="str">
        <f t="shared" si="7"/>
        <v>Windows Security Identifier</v>
      </c>
      <c r="C513" s="14" t="str" cm="1">
        <f t="array" ref="C513">GetHyperlinkAddress(A513)</f>
        <v>https://open-measure.atlassian.net/wiki/spaces/DIC/pages/140706624</v>
      </c>
    </row>
    <row r="514" spans="1:3" x14ac:dyDescent="0.35">
      <c r="A514" s="13" t="s">
        <v>542</v>
      </c>
      <c r="B514" t="str">
        <f t="shared" si="7"/>
        <v>Windows SYSTEM Account</v>
      </c>
      <c r="C514" s="14" t="str" cm="1">
        <f t="array" ref="C514">GetHyperlinkAddress(A514)</f>
        <v>https://open-measure.atlassian.net/wiki/spaces/DIC/pages/140706700</v>
      </c>
    </row>
    <row r="515" spans="1:3" x14ac:dyDescent="0.35">
      <c r="A515" s="13" t="s">
        <v>543</v>
      </c>
      <c r="B515" t="str">
        <f t="shared" si="7"/>
        <v>Worker</v>
      </c>
      <c r="C515" s="14" t="str" cm="1">
        <f t="array" ref="C515">GetHyperlinkAddress(A515)</f>
        <v>https://open-measure.atlassian.net/wiki/spaces/DIC/pages/855638141</v>
      </c>
    </row>
    <row r="516" spans="1:3" x14ac:dyDescent="0.35">
      <c r="A516" s="13" t="s">
        <v>544</v>
      </c>
      <c r="B516" t="str">
        <f t="shared" si="7"/>
        <v>Workflow-Sensitive Access Control</v>
      </c>
      <c r="C516" s="14" t="str" cm="1">
        <f t="array" ref="C516">GetHyperlinkAddress(A516)</f>
        <v>https://open-measure.atlassian.net/wiki/spaces/DIC/pages/814448722</v>
      </c>
    </row>
    <row r="517" spans="1:3" x14ac:dyDescent="0.35">
      <c r="A517" s="13" t="s">
        <v>545</v>
      </c>
      <c r="B517" t="str">
        <f t="shared" si="7"/>
        <v>Workforce</v>
      </c>
      <c r="C517" s="14" t="str" cm="1">
        <f t="array" ref="C517">GetHyperlinkAddress(A517)</f>
        <v>https://open-measure.atlassian.net/wiki/spaces/DIC/pages/852492409</v>
      </c>
    </row>
    <row r="518" spans="1:3" x14ac:dyDescent="0.35">
      <c r="A518" s="13" t="s">
        <v>546</v>
      </c>
      <c r="B518" t="str">
        <f t="shared" ref="B518:B521" si="8">SUBSTITUTE(CLEAN(A518)," (Dictionary Entry)","")</f>
        <v>XACML</v>
      </c>
      <c r="C518" s="14" t="str" cm="1">
        <f t="array" ref="C518">GetHyperlinkAddress(A518)</f>
        <v>https://open-measure.atlassian.net/wiki/spaces/DIC/pages/1122631791</v>
      </c>
    </row>
    <row r="519" spans="1:3" x14ac:dyDescent="0.35">
      <c r="A519" s="13" t="s">
        <v>547</v>
      </c>
      <c r="B519" t="str">
        <f t="shared" si="8"/>
        <v>Zero-Trust Access</v>
      </c>
      <c r="C519" s="14" t="str" cm="1">
        <f t="array" ref="C519">GetHyperlinkAddress(A519)</f>
        <v>https://open-measure.atlassian.net/wiki/spaces/DIC/pages/234356891/Zero-Trust+Access</v>
      </c>
    </row>
    <row r="520" spans="1:3" x14ac:dyDescent="0.35">
      <c r="A520" s="13" t="s">
        <v>548</v>
      </c>
      <c r="B520" t="str">
        <f t="shared" si="8"/>
        <v>Zombie Account</v>
      </c>
      <c r="C520" s="14" t="str" cm="1">
        <f t="array" ref="C520">GetHyperlinkAddress(A520)</f>
        <v>https://open-measure.atlassian.net/wiki/spaces/DIC/pages/782893195/Zombie+Account</v>
      </c>
    </row>
    <row r="521" spans="1:3" x14ac:dyDescent="0.35">
      <c r="A521" s="13" t="s">
        <v>549</v>
      </c>
      <c r="B521" t="str">
        <f t="shared" si="8"/>
        <v>ZTA</v>
      </c>
      <c r="C521" s="14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5DF09-8F5E-4875-8034-9901392DBF38}">
  <sheetPr codeName="Sheet3"/>
  <dimension ref="A2:C30"/>
  <sheetViews>
    <sheetView topLeftCell="A21" workbookViewId="0">
      <selection activeCell="C21" sqref="C21"/>
    </sheetView>
  </sheetViews>
  <sheetFormatPr defaultRowHeight="12.75" x14ac:dyDescent="0.35"/>
  <cols>
    <col min="1" max="1" width="28.59765625" customWidth="1"/>
    <col min="2" max="2" width="28.9296875" customWidth="1"/>
    <col min="3" max="3" width="51.86328125" customWidth="1"/>
  </cols>
  <sheetData>
    <row r="2" spans="1:3" ht="13.15" thickBot="1" x14ac:dyDescent="0.4">
      <c r="A2" t="s">
        <v>32</v>
      </c>
      <c r="B2" t="s">
        <v>31</v>
      </c>
      <c r="C2" t="s">
        <v>2</v>
      </c>
    </row>
    <row r="3" spans="1:3" ht="13.9" thickTop="1" thickBot="1" x14ac:dyDescent="0.4">
      <c r="C3" s="1" t="s">
        <v>9</v>
      </c>
    </row>
    <row r="4" spans="1:3" ht="13.9" thickTop="1" thickBot="1" x14ac:dyDescent="0.4">
      <c r="C4" s="1"/>
    </row>
    <row r="5" spans="1:3" ht="27" thickTop="1" thickBot="1" x14ac:dyDescent="0.4">
      <c r="C5" s="1" t="s">
        <v>10</v>
      </c>
    </row>
    <row r="6" spans="1:3" ht="13.9" thickTop="1" thickBot="1" x14ac:dyDescent="0.4">
      <c r="C6" s="1"/>
    </row>
    <row r="7" spans="1:3" ht="27" thickTop="1" thickBot="1" x14ac:dyDescent="0.4">
      <c r="C7" s="1" t="s">
        <v>11</v>
      </c>
    </row>
    <row r="8" spans="1:3" ht="27" thickTop="1" thickBot="1" x14ac:dyDescent="0.4">
      <c r="C8" s="1" t="s">
        <v>12</v>
      </c>
    </row>
    <row r="9" spans="1:3" ht="40.15" thickTop="1" thickBot="1" x14ac:dyDescent="0.4">
      <c r="C9" s="1" t="s">
        <v>13</v>
      </c>
    </row>
    <row r="10" spans="1:3" ht="40.15" thickTop="1" thickBot="1" x14ac:dyDescent="0.4">
      <c r="C10" s="1" t="s">
        <v>14</v>
      </c>
    </row>
    <row r="11" spans="1:3" ht="27" thickTop="1" thickBot="1" x14ac:dyDescent="0.4">
      <c r="C11" s="1" t="s">
        <v>15</v>
      </c>
    </row>
    <row r="12" spans="1:3" ht="27" thickTop="1" thickBot="1" x14ac:dyDescent="0.4">
      <c r="C12" s="1" t="s">
        <v>16</v>
      </c>
    </row>
    <row r="13" spans="1:3" ht="27" thickTop="1" thickBot="1" x14ac:dyDescent="0.4">
      <c r="C13" s="1" t="s">
        <v>17</v>
      </c>
    </row>
    <row r="14" spans="1:3" ht="40.15" thickTop="1" thickBot="1" x14ac:dyDescent="0.4">
      <c r="C14" s="1" t="s">
        <v>18</v>
      </c>
    </row>
    <row r="15" spans="1:3" ht="27" thickTop="1" thickBot="1" x14ac:dyDescent="0.4">
      <c r="C15" s="1" t="s">
        <v>19</v>
      </c>
    </row>
    <row r="16" spans="1:3" ht="27" thickTop="1" thickBot="1" x14ac:dyDescent="0.4">
      <c r="C16" s="1" t="s">
        <v>20</v>
      </c>
    </row>
    <row r="17" spans="3:3" ht="27" thickTop="1" thickBot="1" x14ac:dyDescent="0.4">
      <c r="C17" s="1" t="s">
        <v>21</v>
      </c>
    </row>
    <row r="18" spans="3:3" ht="27" thickTop="1" thickBot="1" x14ac:dyDescent="0.4">
      <c r="C18" s="1" t="s">
        <v>22</v>
      </c>
    </row>
    <row r="19" spans="3:3" ht="27" thickTop="1" thickBot="1" x14ac:dyDescent="0.4">
      <c r="C19" s="1" t="s">
        <v>23</v>
      </c>
    </row>
    <row r="20" spans="3:3" ht="13.9" thickTop="1" thickBot="1" x14ac:dyDescent="0.4">
      <c r="C20" s="1"/>
    </row>
    <row r="21" spans="3:3" ht="53.25" thickTop="1" thickBot="1" x14ac:dyDescent="0.4">
      <c r="C21" s="1" t="s">
        <v>24</v>
      </c>
    </row>
    <row r="22" spans="3:3" ht="13.9" thickTop="1" thickBot="1" x14ac:dyDescent="0.4">
      <c r="C22" s="1"/>
    </row>
    <row r="23" spans="3:3" ht="53.25" thickTop="1" thickBot="1" x14ac:dyDescent="0.4">
      <c r="C23" s="1" t="s">
        <v>25</v>
      </c>
    </row>
    <row r="24" spans="3:3" ht="53.25" thickTop="1" thickBot="1" x14ac:dyDescent="0.4">
      <c r="C24" s="1" t="s">
        <v>26</v>
      </c>
    </row>
    <row r="25" spans="3:3" ht="53.25" thickTop="1" thickBot="1" x14ac:dyDescent="0.4">
      <c r="C25" s="1" t="s">
        <v>27</v>
      </c>
    </row>
    <row r="26" spans="3:3" ht="53.25" thickTop="1" thickBot="1" x14ac:dyDescent="0.4">
      <c r="C26" s="1" t="s">
        <v>28</v>
      </c>
    </row>
    <row r="27" spans="3:3" ht="40.15" thickTop="1" thickBot="1" x14ac:dyDescent="0.4">
      <c r="C27" s="1" t="s">
        <v>29</v>
      </c>
    </row>
    <row r="28" spans="3:3" ht="13.9" thickTop="1" thickBot="1" x14ac:dyDescent="0.4">
      <c r="C28" s="1"/>
    </row>
    <row r="29" spans="3:3" ht="27" thickTop="1" thickBot="1" x14ac:dyDescent="0.4">
      <c r="C29" s="1" t="s">
        <v>30</v>
      </c>
    </row>
    <row r="30" spans="3:3" ht="13.15" thickTop="1" x14ac:dyDescent="0.3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C8" sqref="C8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1312</v>
      </c>
      <c r="B4" t="s">
        <v>1334</v>
      </c>
      <c r="C4" t="s">
        <v>1317</v>
      </c>
      <c r="D4" t="s">
        <v>1318</v>
      </c>
      <c r="E4" t="s">
        <v>1319</v>
      </c>
      <c r="F4" t="s">
        <v>1320</v>
      </c>
    </row>
    <row r="5" spans="1:6" x14ac:dyDescent="0.35">
      <c r="A5" t="s">
        <v>1321</v>
      </c>
      <c r="B5" t="s">
        <v>1315</v>
      </c>
      <c r="C5" t="s">
        <v>1322</v>
      </c>
      <c r="D5" t="s">
        <v>1323</v>
      </c>
      <c r="E5" t="s">
        <v>1324</v>
      </c>
      <c r="F5" t="s">
        <v>1325</v>
      </c>
    </row>
    <row r="6" spans="1:6" x14ac:dyDescent="0.35">
      <c r="A6" t="s">
        <v>1326</v>
      </c>
      <c r="B6" t="s">
        <v>1315</v>
      </c>
    </row>
    <row r="7" spans="1:6" x14ac:dyDescent="0.35">
      <c r="A7" t="s">
        <v>1327</v>
      </c>
      <c r="B7" t="s">
        <v>1315</v>
      </c>
      <c r="C7" t="s">
        <v>1330</v>
      </c>
      <c r="D7" t="s">
        <v>1331</v>
      </c>
      <c r="E7" t="s">
        <v>1328</v>
      </c>
      <c r="F7" t="s">
        <v>1329</v>
      </c>
    </row>
    <row r="8" spans="1:6" x14ac:dyDescent="0.35">
      <c r="A8" t="s">
        <v>1332</v>
      </c>
      <c r="B8" t="s">
        <v>1316</v>
      </c>
    </row>
    <row r="9" spans="1:6" x14ac:dyDescent="0.35">
      <c r="A9" t="s">
        <v>1333</v>
      </c>
      <c r="B9" t="s">
        <v>1316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A3" sqref="A3:A5"/>
    </sheetView>
  </sheetViews>
  <sheetFormatPr defaultRowHeight="12.75" x14ac:dyDescent="0.35"/>
  <cols>
    <col min="1" max="1" width="21" customWidth="1"/>
  </cols>
  <sheetData>
    <row r="1" spans="1:1" x14ac:dyDescent="0.35">
      <c r="A1" t="s">
        <v>1314</v>
      </c>
    </row>
    <row r="3" spans="1:1" x14ac:dyDescent="0.35">
      <c r="A3" t="s">
        <v>1313</v>
      </c>
    </row>
    <row r="4" spans="1:1" x14ac:dyDescent="0.35">
      <c r="A4" t="s">
        <v>1315</v>
      </c>
    </row>
    <row r="5" spans="1:1" x14ac:dyDescent="0.35">
      <c r="A5" t="s">
        <v>1316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Export</vt:lpstr>
      <vt:lpstr>Preparation</vt:lpstr>
      <vt:lpstr>Nodes</vt:lpstr>
      <vt:lpstr>Relationships</vt:lpstr>
      <vt:lpstr>Finalize</vt:lpstr>
      <vt:lpstr>DIC Pages</vt:lpstr>
      <vt:lpstr>Sheet1</vt:lpstr>
      <vt:lpstr>Sheet2</vt:lpstr>
      <vt:lpstr>Sheet8</vt:lpstr>
      <vt:lpstr>FinalizeCypher</vt:lpstr>
      <vt:lpstr>Relationships!NodesCypher</vt:lpstr>
      <vt:lpstr>Finalize!PreparationCypher</vt:lpstr>
      <vt:lpstr>PreparationCypher</vt:lpstr>
      <vt:lpstr>RelationshipsCypher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2021-07-06T21:46:34Z</dcterms:modified>
</cp:coreProperties>
</file>