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Google Drive (openmeasure@gmail.com)\Private\GitHub\Confluence-Site\KnowledgeGraph\"/>
    </mc:Choice>
  </mc:AlternateContent>
  <xr:revisionPtr revIDLastSave="0" documentId="13_ncr:1_{98A7464A-A808-40DE-AA83-C04B51DE9A4E}" xr6:coauthVersionLast="47" xr6:coauthVersionMax="47" xr10:uidLastSave="{00000000-0000-0000-0000-000000000000}"/>
  <bookViews>
    <workbookView xWindow="-98" yWindow="-98" windowWidth="20715" windowHeight="13276" activeTab="2" xr2:uid="{00000000-000D-0000-FFFF-FFFF00000000}"/>
  </bookViews>
  <sheets>
    <sheet name="Export" sheetId="7" r:id="rId1"/>
    <sheet name="nodes_data" sheetId="3" r:id="rId2"/>
    <sheet name="edges_data" sheetId="13" r:id="rId3"/>
    <sheet name="nodes_json" sheetId="12" r:id="rId4"/>
    <sheet name="edges_json" sheetId="14" r:id="rId5"/>
    <sheet name="DIC Pages" sheetId="6" r:id="rId6"/>
    <sheet name="relation_types" sheetId="5" r:id="rId7"/>
    <sheet name="direction_types" sheetId="11" r:id="rId8"/>
  </sheets>
  <functionGroups builtInGroupCount="19"/>
  <definedNames>
    <definedName name="FinalizeCypher" localSheetId="2">#REF!</definedName>
    <definedName name="FinalizeCypher" localSheetId="4">#REF!</definedName>
    <definedName name="FinalizeCypher" localSheetId="3">#REF!</definedName>
    <definedName name="FinalizeCypher">#REF!</definedName>
    <definedName name="NodesCypher">#REF!</definedName>
    <definedName name="PreparationCypher">#REF!</definedName>
    <definedName name="RelationshipsCypher" localSheetId="2">#REF!</definedName>
    <definedName name="RelationshipsCypher" localSheetId="4">#REF!</definedName>
    <definedName name="RelationshipsCypher" localSheetId="3">#REF!</definedName>
    <definedName name="RelationshipsCypher">#REF!</definedName>
    <definedName name="test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13" l="1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9" i="3"/>
  <c r="A65" i="14"/>
  <c r="D65" i="14"/>
  <c r="A64" i="14"/>
  <c r="D64" i="14"/>
  <c r="A500" i="12"/>
  <c r="B500" i="12"/>
  <c r="C500" i="12"/>
  <c r="A499" i="12"/>
  <c r="B499" i="12"/>
  <c r="C499" i="12"/>
  <c r="A498" i="12"/>
  <c r="B498" i="12"/>
  <c r="C498" i="12"/>
  <c r="A497" i="12"/>
  <c r="B497" i="12"/>
  <c r="C497" i="12"/>
  <c r="A496" i="12"/>
  <c r="B496" i="12"/>
  <c r="C496" i="12"/>
  <c r="A495" i="12"/>
  <c r="B495" i="12"/>
  <c r="C495" i="12"/>
  <c r="A494" i="12"/>
  <c r="B494" i="12"/>
  <c r="C494" i="12"/>
  <c r="A493" i="12"/>
  <c r="B493" i="12"/>
  <c r="C493" i="12"/>
  <c r="A492" i="12"/>
  <c r="B492" i="12"/>
  <c r="C492" i="12"/>
  <c r="A491" i="12"/>
  <c r="B491" i="12"/>
  <c r="C491" i="12"/>
  <c r="E23" i="3"/>
  <c r="A490" i="12"/>
  <c r="B490" i="12"/>
  <c r="C490" i="12"/>
  <c r="E140" i="3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E25" i="3"/>
  <c r="E41" i="3"/>
  <c r="E84" i="3"/>
  <c r="E176" i="3"/>
  <c r="E214" i="3"/>
  <c r="E226" i="3"/>
  <c r="E21" i="3"/>
  <c r="E231" i="3"/>
  <c r="E24" i="3"/>
  <c r="A63" i="14"/>
  <c r="D63" i="14"/>
  <c r="A62" i="14"/>
  <c r="D62" i="14"/>
  <c r="A61" i="14"/>
  <c r="D61" i="14"/>
  <c r="A60" i="14"/>
  <c r="D60" i="14"/>
  <c r="A59" i="14"/>
  <c r="D59" i="14"/>
  <c r="A58" i="14"/>
  <c r="D58" i="14"/>
  <c r="A57" i="14"/>
  <c r="D57" i="14"/>
  <c r="A56" i="14"/>
  <c r="D56" i="14"/>
  <c r="A55" i="14"/>
  <c r="D55" i="14"/>
  <c r="A54" i="14"/>
  <c r="D54" i="14"/>
  <c r="A53" i="14"/>
  <c r="D53" i="14"/>
  <c r="A52" i="14"/>
  <c r="D52" i="14"/>
  <c r="A51" i="14"/>
  <c r="D51" i="14"/>
  <c r="D50" i="14"/>
  <c r="A50" i="14"/>
  <c r="D49" i="14"/>
  <c r="A49" i="14"/>
  <c r="D48" i="14"/>
  <c r="A48" i="14"/>
  <c r="D47" i="14"/>
  <c r="A47" i="14"/>
  <c r="D46" i="14"/>
  <c r="A46" i="14"/>
  <c r="D45" i="14"/>
  <c r="A45" i="14"/>
  <c r="D44" i="14"/>
  <c r="A44" i="14"/>
  <c r="D43" i="14"/>
  <c r="A43" i="14"/>
  <c r="D42" i="14"/>
  <c r="A42" i="14"/>
  <c r="D41" i="14"/>
  <c r="A41" i="14"/>
  <c r="D40" i="14"/>
  <c r="A40" i="14"/>
  <c r="D39" i="14"/>
  <c r="A39" i="14"/>
  <c r="D38" i="14"/>
  <c r="A38" i="14"/>
  <c r="D37" i="14"/>
  <c r="A37" i="14"/>
  <c r="D36" i="14"/>
  <c r="A36" i="14"/>
  <c r="D35" i="14"/>
  <c r="A35" i="14"/>
  <c r="D34" i="14"/>
  <c r="A34" i="14"/>
  <c r="D33" i="14"/>
  <c r="A33" i="14"/>
  <c r="D32" i="14"/>
  <c r="A32" i="14"/>
  <c r="D31" i="14"/>
  <c r="A31" i="14"/>
  <c r="D30" i="14"/>
  <c r="A30" i="14"/>
  <c r="D29" i="14"/>
  <c r="A29" i="14"/>
  <c r="D28" i="14"/>
  <c r="A28" i="14"/>
  <c r="D27" i="14"/>
  <c r="A27" i="14"/>
  <c r="D26" i="14"/>
  <c r="A26" i="14"/>
  <c r="D25" i="14"/>
  <c r="A25" i="14"/>
  <c r="D24" i="14"/>
  <c r="A24" i="14"/>
  <c r="D23" i="14"/>
  <c r="A23" i="14"/>
  <c r="D22" i="14"/>
  <c r="A22" i="14"/>
  <c r="D21" i="14"/>
  <c r="A21" i="14"/>
  <c r="D20" i="14"/>
  <c r="A20" i="14"/>
  <c r="D19" i="14"/>
  <c r="A19" i="14"/>
  <c r="D18" i="14"/>
  <c r="A18" i="14"/>
  <c r="D17" i="14"/>
  <c r="A17" i="14"/>
  <c r="D16" i="14"/>
  <c r="A16" i="14"/>
  <c r="D15" i="14"/>
  <c r="A15" i="14"/>
  <c r="D14" i="14"/>
  <c r="A14" i="14"/>
  <c r="D13" i="14"/>
  <c r="A13" i="14"/>
  <c r="D12" i="14"/>
  <c r="A12" i="14"/>
  <c r="D11" i="14"/>
  <c r="A11" i="14"/>
  <c r="D10" i="14"/>
  <c r="A10" i="14"/>
  <c r="D9" i="14"/>
  <c r="A9" i="14"/>
  <c r="D8" i="14"/>
  <c r="A8" i="14"/>
  <c r="D7" i="14"/>
  <c r="A7" i="14"/>
  <c r="D6" i="14"/>
  <c r="A6" i="14"/>
  <c r="D5" i="14"/>
  <c r="A5" i="14"/>
  <c r="D4" i="14"/>
  <c r="A4" i="14"/>
  <c r="A489" i="12"/>
  <c r="C489" i="12"/>
  <c r="A488" i="12"/>
  <c r="C488" i="12"/>
  <c r="A487" i="12"/>
  <c r="C487" i="12"/>
  <c r="A486" i="12"/>
  <c r="C486" i="12"/>
  <c r="A485" i="12"/>
  <c r="C485" i="12"/>
  <c r="E100" i="3"/>
  <c r="E83" i="3"/>
  <c r="E82" i="3"/>
  <c r="E81" i="3"/>
  <c r="E80" i="3"/>
  <c r="A484" i="12"/>
  <c r="C484" i="12"/>
  <c r="A483" i="12"/>
  <c r="C483" i="12"/>
  <c r="A482" i="12"/>
  <c r="C482" i="12"/>
  <c r="A481" i="12"/>
  <c r="C481" i="12"/>
  <c r="A480" i="12"/>
  <c r="C480" i="12"/>
  <c r="A479" i="12"/>
  <c r="C479" i="12"/>
  <c r="A478" i="12"/>
  <c r="C478" i="12"/>
  <c r="A477" i="12"/>
  <c r="C477" i="12"/>
  <c r="A476" i="12"/>
  <c r="C476" i="12"/>
  <c r="D3" i="14"/>
  <c r="A3" i="14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E105" i="3"/>
  <c r="E442" i="3"/>
  <c r="E130" i="3"/>
  <c r="E256" i="3"/>
  <c r="E257" i="3"/>
  <c r="E167" i="3"/>
  <c r="E125" i="3"/>
  <c r="E255" i="3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4" i="12"/>
  <c r="D3" i="12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431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470" i="12"/>
  <c r="A471" i="12"/>
  <c r="A472" i="12"/>
  <c r="A473" i="12"/>
  <c r="A474" i="12"/>
  <c r="A475" i="12"/>
  <c r="E2" i="3"/>
  <c r="E478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6" i="3"/>
  <c r="E477" i="3"/>
  <c r="E459" i="3"/>
  <c r="E475" i="3"/>
  <c r="E474" i="3"/>
  <c r="E473" i="3"/>
  <c r="E472" i="3"/>
  <c r="E471" i="3"/>
  <c r="E470" i="3"/>
  <c r="E469" i="3"/>
  <c r="E467" i="3"/>
  <c r="E466" i="3"/>
  <c r="E465" i="3"/>
  <c r="E464" i="3"/>
  <c r="E468" i="3"/>
  <c r="E463" i="3"/>
  <c r="E462" i="3"/>
  <c r="E461" i="3"/>
  <c r="E460" i="3"/>
  <c r="E445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4" i="3"/>
  <c r="E441" i="3"/>
  <c r="E443" i="3"/>
  <c r="E427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4" i="3"/>
  <c r="E426" i="3"/>
  <c r="E425" i="3"/>
  <c r="E411" i="3"/>
  <c r="E423" i="3"/>
  <c r="E422" i="3"/>
  <c r="E420" i="3"/>
  <c r="E421" i="3"/>
  <c r="E419" i="3"/>
  <c r="E418" i="3"/>
  <c r="E417" i="3"/>
  <c r="E416" i="3"/>
  <c r="E415" i="3"/>
  <c r="E414" i="3"/>
  <c r="E413" i="3"/>
  <c r="E412" i="3"/>
  <c r="E406" i="3"/>
  <c r="E410" i="3"/>
  <c r="E409" i="3"/>
  <c r="E408" i="3"/>
  <c r="E407" i="3"/>
  <c r="E399" i="3"/>
  <c r="E405" i="3"/>
  <c r="E404" i="3"/>
  <c r="E403" i="3"/>
  <c r="E402" i="3"/>
  <c r="E401" i="3"/>
  <c r="E400" i="3"/>
  <c r="E372" i="3"/>
  <c r="E398" i="3"/>
  <c r="E397" i="3"/>
  <c r="E396" i="3"/>
  <c r="E395" i="3"/>
  <c r="E394" i="3"/>
  <c r="E393" i="3"/>
  <c r="E392" i="3"/>
  <c r="E391" i="3"/>
  <c r="E390" i="3"/>
  <c r="E389" i="3"/>
  <c r="E388" i="3"/>
  <c r="E386" i="3"/>
  <c r="E385" i="3"/>
  <c r="E384" i="3"/>
  <c r="E387" i="3"/>
  <c r="E383" i="3"/>
  <c r="E382" i="3"/>
  <c r="E381" i="3"/>
  <c r="E379" i="3"/>
  <c r="E378" i="3"/>
  <c r="E377" i="3"/>
  <c r="E376" i="3"/>
  <c r="E375" i="3"/>
  <c r="E374" i="3"/>
  <c r="E380" i="3"/>
  <c r="E373" i="3"/>
  <c r="E363" i="3"/>
  <c r="E371" i="3"/>
  <c r="E370" i="3"/>
  <c r="E369" i="3"/>
  <c r="E368" i="3"/>
  <c r="E367" i="3"/>
  <c r="E366" i="3"/>
  <c r="E365" i="3"/>
  <c r="E364" i="3"/>
  <c r="E360" i="3"/>
  <c r="E362" i="3"/>
  <c r="E361" i="3"/>
  <c r="E355" i="3"/>
  <c r="E359" i="3"/>
  <c r="E358" i="3"/>
  <c r="E357" i="3"/>
  <c r="E356" i="3"/>
  <c r="E334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0" i="3"/>
  <c r="E333" i="3"/>
  <c r="E332" i="3"/>
  <c r="E331" i="3"/>
  <c r="E329" i="3"/>
  <c r="E328" i="3"/>
  <c r="E327" i="3"/>
  <c r="E326" i="3"/>
  <c r="E325" i="3"/>
  <c r="E323" i="3"/>
  <c r="E324" i="3"/>
  <c r="E321" i="3"/>
  <c r="E322" i="3"/>
  <c r="E304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1" i="3"/>
  <c r="E303" i="3"/>
  <c r="E302" i="3"/>
  <c r="E295" i="3"/>
  <c r="E300" i="3"/>
  <c r="E299" i="3"/>
  <c r="E298" i="3"/>
  <c r="E297" i="3"/>
  <c r="E296" i="3"/>
  <c r="E293" i="3"/>
  <c r="E294" i="3"/>
  <c r="E292" i="3"/>
  <c r="E291" i="3"/>
  <c r="E270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1" i="3"/>
  <c r="E272" i="3"/>
  <c r="E268" i="3"/>
  <c r="E269" i="3"/>
  <c r="E252" i="3"/>
  <c r="E267" i="3"/>
  <c r="E266" i="3"/>
  <c r="E265" i="3"/>
  <c r="E264" i="3"/>
  <c r="E263" i="3"/>
  <c r="E262" i="3"/>
  <c r="E261" i="3"/>
  <c r="E260" i="3"/>
  <c r="E259" i="3"/>
  <c r="E258" i="3"/>
  <c r="E254" i="3"/>
  <c r="E253" i="3"/>
  <c r="E234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193" i="3"/>
  <c r="E233" i="3"/>
  <c r="E232" i="3"/>
  <c r="E230" i="3"/>
  <c r="E229" i="3"/>
  <c r="E225" i="3"/>
  <c r="E224" i="3"/>
  <c r="E223" i="3"/>
  <c r="E222" i="3"/>
  <c r="E221" i="3"/>
  <c r="E220" i="3"/>
  <c r="E219" i="3"/>
  <c r="E218" i="3"/>
  <c r="E217" i="3"/>
  <c r="E216" i="3"/>
  <c r="E215" i="3"/>
  <c r="E228" i="3"/>
  <c r="E213" i="3"/>
  <c r="E212" i="3"/>
  <c r="E227" i="3"/>
  <c r="E211" i="3"/>
  <c r="E210" i="3"/>
  <c r="E209" i="3"/>
  <c r="E208" i="3"/>
  <c r="E207" i="3"/>
  <c r="E206" i="3"/>
  <c r="E205" i="3"/>
  <c r="E204" i="3"/>
  <c r="E203" i="3"/>
  <c r="E202" i="3"/>
  <c r="E201" i="3"/>
  <c r="E199" i="3"/>
  <c r="E198" i="3"/>
  <c r="E200" i="3"/>
  <c r="E197" i="3"/>
  <c r="E196" i="3"/>
  <c r="E195" i="3"/>
  <c r="E194" i="3"/>
  <c r="E192" i="3"/>
  <c r="E190" i="3"/>
  <c r="E191" i="3"/>
  <c r="E189" i="3"/>
  <c r="E188" i="3"/>
  <c r="E185" i="3"/>
  <c r="E187" i="3"/>
  <c r="E186" i="3"/>
  <c r="E178" i="3"/>
  <c r="E184" i="3"/>
  <c r="E183" i="3"/>
  <c r="E182" i="3"/>
  <c r="E181" i="3"/>
  <c r="E180" i="3"/>
  <c r="E179" i="3"/>
  <c r="E168" i="3"/>
  <c r="E177" i="3"/>
  <c r="E175" i="3"/>
  <c r="E174" i="3"/>
  <c r="E173" i="3"/>
  <c r="E172" i="3"/>
  <c r="E171" i="3"/>
  <c r="E170" i="3"/>
  <c r="E169" i="3"/>
  <c r="E146" i="3"/>
  <c r="E166" i="3"/>
  <c r="E165" i="3"/>
  <c r="E164" i="3"/>
  <c r="E163" i="3"/>
  <c r="E162" i="3"/>
  <c r="E161" i="3"/>
  <c r="E160" i="3"/>
  <c r="E158" i="3"/>
  <c r="E157" i="3"/>
  <c r="E156" i="3"/>
  <c r="E159" i="3"/>
  <c r="E155" i="3"/>
  <c r="E154" i="3"/>
  <c r="E153" i="3"/>
  <c r="E152" i="3"/>
  <c r="E151" i="3"/>
  <c r="E150" i="3"/>
  <c r="E149" i="3"/>
  <c r="E147" i="3"/>
  <c r="E148" i="3"/>
  <c r="E141" i="3"/>
  <c r="E145" i="3"/>
  <c r="E144" i="3"/>
  <c r="E143" i="3"/>
  <c r="E142" i="3"/>
  <c r="E104" i="3"/>
  <c r="E22" i="3"/>
  <c r="E139" i="3"/>
  <c r="E138" i="3"/>
  <c r="E137" i="3"/>
  <c r="E136" i="3"/>
  <c r="E134" i="3"/>
  <c r="E133" i="3"/>
  <c r="E135" i="3"/>
  <c r="E131" i="3"/>
  <c r="E129" i="3"/>
  <c r="E128" i="3"/>
  <c r="E132" i="3"/>
  <c r="E127" i="3"/>
  <c r="E126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94" i="3"/>
  <c r="E103" i="3"/>
  <c r="E102" i="3"/>
  <c r="E101" i="3"/>
  <c r="E99" i="3"/>
  <c r="E98" i="3"/>
  <c r="E97" i="3"/>
  <c r="E96" i="3"/>
  <c r="E95" i="3"/>
  <c r="E87" i="3"/>
  <c r="E93" i="3"/>
  <c r="E92" i="3"/>
  <c r="E91" i="3"/>
  <c r="E90" i="3"/>
  <c r="E89" i="3"/>
  <c r="E88" i="3"/>
  <c r="E74" i="3"/>
  <c r="E86" i="3"/>
  <c r="E85" i="3"/>
  <c r="E79" i="3"/>
  <c r="E78" i="3"/>
  <c r="E77" i="3"/>
  <c r="E76" i="3"/>
  <c r="E75" i="3"/>
  <c r="E68" i="3"/>
  <c r="E73" i="3"/>
  <c r="E72" i="3"/>
  <c r="E71" i="3"/>
  <c r="E70" i="3"/>
  <c r="E69" i="3"/>
  <c r="E66" i="3"/>
  <c r="E67" i="3"/>
  <c r="E63" i="3"/>
  <c r="E65" i="3"/>
  <c r="E64" i="3"/>
  <c r="E52" i="3"/>
  <c r="E61" i="3"/>
  <c r="E60" i="3"/>
  <c r="E59" i="3"/>
  <c r="E58" i="3"/>
  <c r="E57" i="3"/>
  <c r="E56" i="3"/>
  <c r="E62" i="3"/>
  <c r="E55" i="3"/>
  <c r="E54" i="3"/>
  <c r="E53" i="3"/>
  <c r="E51" i="3"/>
  <c r="E50" i="3"/>
  <c r="E49" i="3"/>
  <c r="E48" i="3"/>
  <c r="E47" i="3"/>
  <c r="E46" i="3"/>
  <c r="E45" i="3"/>
  <c r="E44" i="3"/>
  <c r="E43" i="3"/>
  <c r="E42" i="3"/>
  <c r="E40" i="3"/>
  <c r="E39" i="3"/>
  <c r="E38" i="3"/>
  <c r="E36" i="3"/>
  <c r="E35" i="3"/>
  <c r="E34" i="3"/>
  <c r="E37" i="3"/>
  <c r="E33" i="3"/>
  <c r="E32" i="3"/>
  <c r="E31" i="3"/>
  <c r="E30" i="3"/>
  <c r="E29" i="3"/>
  <c r="E28" i="3"/>
  <c r="E27" i="3"/>
  <c r="E26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E498" i="12" a="1"/>
  <c r="E499" i="12" a="1"/>
  <c r="E500" i="12" a="1"/>
  <c r="E496" i="12" a="1"/>
  <c r="E492" i="12" a="1"/>
  <c r="E493" i="12" a="1"/>
  <c r="E495" i="12" a="1"/>
  <c r="E491" i="12" a="1"/>
  <c r="E494" i="12" a="1"/>
  <c r="E497" i="12" a="1"/>
  <c r="H23" i="3" a="1"/>
  <c r="E490" i="12" a="1"/>
  <c r="H65" i="13" a="1"/>
  <c r="H15" i="13" a="1"/>
  <c r="H2" i="13" a="1"/>
  <c r="H41" i="13" a="1"/>
  <c r="H35" i="13" a="1"/>
  <c r="H19" i="13" a="1"/>
  <c r="H31" i="13" a="1"/>
  <c r="H45" i="13" a="1"/>
  <c r="H21" i="13" a="1"/>
  <c r="H6" i="13" a="1"/>
  <c r="H27" i="13" a="1"/>
  <c r="H42" i="13" a="1"/>
  <c r="H43" i="13" a="1"/>
  <c r="H60" i="13" a="1"/>
  <c r="H56" i="13" a="1"/>
  <c r="H52" i="13" a="1"/>
  <c r="H23" i="13" a="1"/>
  <c r="H33" i="13" a="1"/>
  <c r="H49" i="13" a="1"/>
  <c r="H9" i="13" a="1"/>
  <c r="H36" i="13" a="1"/>
  <c r="H12" i="13" a="1"/>
  <c r="H25" i="13" a="1"/>
  <c r="H38" i="13" a="1"/>
  <c r="H14" i="13" a="1"/>
  <c r="H3" i="13" a="1"/>
  <c r="H4" i="13" a="1"/>
  <c r="H47" i="13" a="1"/>
  <c r="H59" i="13" a="1"/>
  <c r="H55" i="13" a="1"/>
  <c r="H51" i="13" a="1"/>
  <c r="H58" i="13" a="1"/>
  <c r="H48" i="13" a="1"/>
  <c r="H24" i="13" a="1"/>
  <c r="H8" i="13" a="1"/>
  <c r="H37" i="13" a="1"/>
  <c r="H26" i="13" a="1"/>
  <c r="H34" i="13" a="1"/>
  <c r="H61" i="13" a="1"/>
  <c r="H53" i="13" a="1"/>
  <c r="H11" i="13" a="1"/>
  <c r="H40" i="13" a="1"/>
  <c r="H16" i="13" a="1"/>
  <c r="H28" i="13" a="1"/>
  <c r="H30" i="13" a="1"/>
  <c r="H44" i="13" a="1"/>
  <c r="H20" i="13" a="1"/>
  <c r="H5" i="13" a="1"/>
  <c r="H46" i="13" a="1"/>
  <c r="H22" i="13" a="1"/>
  <c r="H17" i="13" a="1"/>
  <c r="H7" i="13" a="1"/>
  <c r="H62" i="13" a="1"/>
  <c r="H54" i="13" a="1"/>
  <c r="H50" i="13" a="1"/>
  <c r="H32" i="13" a="1"/>
  <c r="H29" i="13" a="1"/>
  <c r="H10" i="13" a="1"/>
  <c r="H13" i="13" a="1"/>
  <c r="H39" i="13" a="1"/>
  <c r="H18" i="13" a="1"/>
  <c r="H57" i="13" a="1"/>
  <c r="H63" i="13" a="1"/>
  <c r="H64" i="13" a="1"/>
  <c r="H140" i="3" a="1"/>
  <c r="H80" i="3" a="1"/>
  <c r="H39" i="3" a="1"/>
  <c r="H112" i="3" a="1"/>
  <c r="H180" i="3" a="1"/>
  <c r="H216" i="3" a="1"/>
  <c r="H234" i="3" a="1"/>
  <c r="H287" i="3" a="1"/>
  <c r="H319" i="3" a="1"/>
  <c r="H351" i="3" a="1"/>
  <c r="H45" i="3" a="1"/>
  <c r="H117" i="3" a="1"/>
  <c r="H178" i="3" a="1"/>
  <c r="H67" i="3" a="1"/>
  <c r="H22" i="3" a="1"/>
  <c r="H200" i="3" a="1"/>
  <c r="H233" i="3" a="1"/>
  <c r="H252" i="3" a="1"/>
  <c r="H300" i="3" a="1"/>
  <c r="H332" i="3" a="1"/>
  <c r="H364" i="3" a="1"/>
  <c r="H85" i="3" a="1"/>
  <c r="H383" i="3" a="1"/>
  <c r="H415" i="3" a="1"/>
  <c r="H370" i="3" a="1"/>
  <c r="H460" i="3" a="1"/>
  <c r="H379" i="3" a="1"/>
  <c r="H464" i="3" a="1"/>
  <c r="H398" i="3" a="1"/>
  <c r="H474" i="3" a="1"/>
  <c r="H422" i="3" a="1"/>
  <c r="H488" i="3" a="1"/>
  <c r="H100" i="3" a="1"/>
  <c r="H257" i="3" a="1"/>
  <c r="H60" i="3" a="1"/>
  <c r="H133" i="3" a="1"/>
  <c r="H195" i="3" a="1"/>
  <c r="H229" i="3" a="1"/>
  <c r="H265" i="3" a="1"/>
  <c r="H297" i="3" a="1"/>
  <c r="H328" i="3" a="1"/>
  <c r="H361" i="3" a="1"/>
  <c r="H63" i="3" a="1"/>
  <c r="H139" i="3" a="1"/>
  <c r="H16" i="3" a="1"/>
  <c r="H92" i="3" a="1"/>
  <c r="H160" i="3" a="1"/>
  <c r="H208" i="3" a="1"/>
  <c r="H243" i="3" a="1"/>
  <c r="H278" i="3" a="1"/>
  <c r="H310" i="3" a="1"/>
  <c r="H342" i="3" a="1"/>
  <c r="H76" i="3" a="1"/>
  <c r="H170" i="3" a="1"/>
  <c r="H393" i="3" a="1"/>
  <c r="H51" i="3" a="1"/>
  <c r="H410" i="3" a="1"/>
  <c r="H476" i="3" a="1"/>
  <c r="H421" i="3" a="1"/>
  <c r="H484" i="3" a="1"/>
  <c r="H429" i="3" a="1"/>
  <c r="H495" i="3" a="1"/>
  <c r="H443" i="3" a="1"/>
  <c r="H84" i="3" a="1"/>
  <c r="H256" i="3" a="1"/>
  <c r="H124" i="3" a="1"/>
  <c r="H222" i="3" a="1"/>
  <c r="H292" i="3" a="1"/>
  <c r="H357" i="3" a="1"/>
  <c r="H129" i="3" a="1"/>
  <c r="H79" i="3" a="1"/>
  <c r="H204" i="3" a="1"/>
  <c r="H274" i="3" a="1"/>
  <c r="H338" i="3" a="1"/>
  <c r="H137" i="3" a="1"/>
  <c r="H13" i="3" a="1"/>
  <c r="H472" i="3" a="1"/>
  <c r="H459" i="3" a="1"/>
  <c r="H487" i="3" a="1"/>
  <c r="H255" i="3" a="1"/>
  <c r="H220" i="3" a="1"/>
  <c r="H91" i="3" a="1"/>
  <c r="H288" i="3" a="1"/>
  <c r="H499" i="3" a="1"/>
  <c r="H176" i="3" a="1"/>
  <c r="H103" i="3" a="1"/>
  <c r="H212" i="3" a="1"/>
  <c r="H283" i="3" a="1"/>
  <c r="H347" i="3" a="1"/>
  <c r="H109" i="3" a="1"/>
  <c r="H58" i="3" a="1"/>
  <c r="H194" i="3" a="1"/>
  <c r="H264" i="3" a="1"/>
  <c r="H327" i="3" a="1"/>
  <c r="H47" i="3" a="1"/>
  <c r="H406" i="3" a="1"/>
  <c r="H452" i="3" a="1"/>
  <c r="H457" i="3" a="1"/>
  <c r="H465" i="3" a="1"/>
  <c r="H480" i="3" a="1"/>
  <c r="H259" i="3" a="1"/>
  <c r="H42" i="3" a="1"/>
  <c r="H301" i="3" a="1"/>
  <c r="H435" i="3" a="1"/>
  <c r="H430" i="3" a="1"/>
  <c r="H108" i="3" a="1"/>
  <c r="H228" i="3" a="1"/>
  <c r="H285" i="3" a="1"/>
  <c r="H349" i="3" a="1"/>
  <c r="H113" i="3" a="1"/>
  <c r="H52" i="3" a="1"/>
  <c r="H196" i="3" a="1"/>
  <c r="H266" i="3" a="1"/>
  <c r="H329" i="3" a="1"/>
  <c r="H64" i="3" a="1"/>
  <c r="H413" i="3" a="1"/>
  <c r="H456" i="3" a="1"/>
  <c r="H461" i="3" a="1"/>
  <c r="H470" i="3" a="1"/>
  <c r="H485" i="3" a="1"/>
  <c r="H205" i="3" a="1"/>
  <c r="H54" i="3" a="1"/>
  <c r="H237" i="3" a="1"/>
  <c r="H165" i="3" a="1"/>
  <c r="H467" i="3" a="1"/>
  <c r="H463" i="3" a="1"/>
  <c r="H130" i="3" a="1"/>
  <c r="H56" i="3" a="1"/>
  <c r="H18" i="3" a="1"/>
  <c r="H141" i="3" a="1"/>
  <c r="H209" i="3" a="1"/>
  <c r="H263" i="3" a="1"/>
  <c r="H303" i="3" a="1"/>
  <c r="H343" i="3" a="1"/>
  <c r="H61" i="3" a="1"/>
  <c r="H151" i="3" a="1"/>
  <c r="H50" i="3" a="1"/>
  <c r="H159" i="3" a="1"/>
  <c r="H213" i="3" a="1"/>
  <c r="H260" i="3" a="1"/>
  <c r="H308" i="3" a="1"/>
  <c r="H348" i="3" a="1"/>
  <c r="H9" i="3" a="1"/>
  <c r="H391" i="3" a="1"/>
  <c r="H107" i="3" a="1"/>
  <c r="H441" i="3" a="1"/>
  <c r="H412" i="3" a="1"/>
  <c r="H497" i="3" a="1"/>
  <c r="H458" i="3" a="1"/>
  <c r="H438" i="3" a="1"/>
  <c r="H81" i="3" a="1"/>
  <c r="H77" i="3" a="1"/>
  <c r="H166" i="3" a="1"/>
  <c r="H218" i="3" a="1"/>
  <c r="H273" i="3" a="1"/>
  <c r="H313" i="3" a="1"/>
  <c r="H353" i="3" a="1"/>
  <c r="H74" i="3" a="1"/>
  <c r="H172" i="3" a="1"/>
  <c r="H71" i="3" a="1"/>
  <c r="H168" i="3" a="1"/>
  <c r="H223" i="3" a="1"/>
  <c r="H268" i="3" a="1"/>
  <c r="H318" i="3" a="1"/>
  <c r="H358" i="3" a="1"/>
  <c r="H102" i="3" a="1"/>
  <c r="H401" i="3" a="1"/>
  <c r="H17" i="3" a="1"/>
  <c r="H468" i="3" a="1"/>
  <c r="H436" i="3" a="1"/>
  <c r="H380" i="3" a="1"/>
  <c r="H479" i="3" a="1"/>
  <c r="H445" i="3" a="1"/>
  <c r="H24" i="3" a="1"/>
  <c r="H90" i="3" a="1"/>
  <c r="H242" i="3" a="1"/>
  <c r="H323" i="3" a="1"/>
  <c r="H95" i="3" a="1"/>
  <c r="H118" i="3" a="1"/>
  <c r="H239" i="3" a="1"/>
  <c r="H322" i="3" a="1"/>
  <c r="H373" i="3" a="1"/>
  <c r="H394" i="3" a="1"/>
  <c r="H444" i="3" a="1"/>
  <c r="H387" i="3" a="1"/>
  <c r="H86" i="3" a="1"/>
  <c r="H334" i="3" a="1"/>
  <c r="H26" i="3" a="1"/>
  <c r="H482" i="3" a="1"/>
  <c r="H65" i="3" a="1"/>
  <c r="H232" i="3" a="1"/>
  <c r="H315" i="3" a="1"/>
  <c r="H70" i="3" a="1"/>
  <c r="H96" i="3" a="1"/>
  <c r="H225" i="3" a="1"/>
  <c r="H312" i="3" a="1"/>
  <c r="H187" i="3" a="1"/>
  <c r="H93" i="3" a="1"/>
  <c r="H411" i="3" a="1"/>
  <c r="H498" i="3" a="1"/>
  <c r="H167" i="3" a="1"/>
  <c r="H126" i="3" a="1"/>
  <c r="H352" i="3" a="1"/>
  <c r="H473" i="3" a="1"/>
  <c r="H69" i="3" a="1"/>
  <c r="H193" i="3" a="1"/>
  <c r="H317" i="3" a="1"/>
  <c r="H68" i="3" a="1"/>
  <c r="H101" i="3" a="1"/>
  <c r="H230" i="3" a="1"/>
  <c r="H314" i="3" a="1"/>
  <c r="H365" i="3" a="1"/>
  <c r="H161" i="3" a="1"/>
  <c r="H428" i="3" a="1"/>
  <c r="H72" i="3" a="1"/>
  <c r="H48" i="3" a="1"/>
  <c r="H339" i="3" a="1"/>
  <c r="H271" i="3" a="1"/>
  <c r="H403" i="3" a="1"/>
  <c r="H375" i="3" a="1"/>
  <c r="H73" i="3" a="1"/>
  <c r="H162" i="3" a="1"/>
  <c r="H224" i="3" a="1"/>
  <c r="H272" i="3" a="1"/>
  <c r="H311" i="3" a="1"/>
  <c r="H359" i="3" a="1"/>
  <c r="H78" i="3" a="1"/>
  <c r="H146" i="3" a="1"/>
  <c r="H88" i="3" a="1"/>
  <c r="H173" i="3" a="1"/>
  <c r="H221" i="3" a="1"/>
  <c r="H276" i="3" a="1"/>
  <c r="H316" i="3" a="1"/>
  <c r="H356" i="3" a="1"/>
  <c r="H153" i="3" a="1"/>
  <c r="H372" i="3" a="1"/>
  <c r="H174" i="3" a="1"/>
  <c r="H475" i="3" a="1"/>
  <c r="H432" i="3" a="1"/>
  <c r="H366" i="3" a="1"/>
  <c r="H490" i="3" a="1"/>
  <c r="H455" i="3" a="1"/>
  <c r="H231" i="3" a="1"/>
  <c r="H6" i="3" a="1"/>
  <c r="H98" i="3" a="1"/>
  <c r="H184" i="3" a="1"/>
  <c r="H238" i="3" a="1"/>
  <c r="H281" i="3" a="1"/>
  <c r="H304" i="3" a="1"/>
  <c r="H11" i="3" a="1"/>
  <c r="H94" i="3" a="1"/>
  <c r="H188" i="3" a="1"/>
  <c r="H110" i="3" a="1"/>
  <c r="H190" i="3" a="1"/>
  <c r="H2" i="3" a="1"/>
  <c r="H201" i="3" a="1"/>
  <c r="H293" i="3" a="1"/>
  <c r="H28" i="3" a="1"/>
  <c r="H33" i="3" a="1"/>
  <c r="H206" i="3" a="1"/>
  <c r="H291" i="3" a="1"/>
  <c r="H135" i="3" a="1"/>
  <c r="H37" i="3" a="1"/>
  <c r="H38" i="3" a="1"/>
  <c r="H427" i="3" a="1"/>
  <c r="H25" i="3" a="1"/>
  <c r="H44" i="3" a="1"/>
  <c r="H211" i="3" a="1"/>
  <c r="H305" i="3" a="1"/>
  <c r="H49" i="3" a="1"/>
  <c r="H55" i="3" a="1"/>
  <c r="H215" i="3" a="1"/>
  <c r="H286" i="3" a="1"/>
  <c r="H330" i="3" a="1"/>
  <c r="H30" i="3" a="1"/>
  <c r="H409" i="3" a="1"/>
  <c r="H431" i="3" a="1"/>
  <c r="H388" i="3" a="1"/>
  <c r="H399" i="3" a="1"/>
  <c r="H400" i="3" a="1"/>
  <c r="H41" i="3" a="1"/>
  <c r="H157" i="3" a="1"/>
  <c r="H277" i="3" a="1"/>
  <c r="H57" i="3" a="1"/>
  <c r="H152" i="3" a="1"/>
  <c r="H290" i="3" a="1"/>
  <c r="H183" i="3" a="1"/>
  <c r="H439" i="3" a="1"/>
  <c r="H420" i="3" a="1"/>
  <c r="H226" i="3" a="1"/>
  <c r="H4" i="3" a="1"/>
  <c r="H104" i="3" a="1"/>
  <c r="H31" i="3" a="1"/>
  <c r="H248" i="3" a="1"/>
  <c r="H360" i="3" a="1"/>
  <c r="H20" i="3" a="1"/>
  <c r="H245" i="3" a="1"/>
  <c r="H355" i="3" a="1"/>
  <c r="H66" i="3" a="1"/>
  <c r="H489" i="3" a="1"/>
  <c r="H447" i="3" a="1"/>
  <c r="H15" i="3" a="1"/>
  <c r="H119" i="3" a="1"/>
  <c r="H105" i="3" a="1"/>
  <c r="H198" i="3" a="1"/>
  <c r="H333" i="3" a="1"/>
  <c r="H181" i="3" a="1"/>
  <c r="H227" i="3" a="1"/>
  <c r="H346" i="3" a="1"/>
  <c r="H397" i="3" a="1"/>
  <c r="H363" i="3" a="1"/>
  <c r="H416" i="3" a="1"/>
  <c r="H240" i="3" a="1"/>
  <c r="H182" i="3" a="1"/>
  <c r="H385" i="3" a="1"/>
  <c r="H62" i="3" a="1"/>
  <c r="H138" i="3" a="1"/>
  <c r="H267" i="3" a="1"/>
  <c r="H35" i="3" a="1"/>
  <c r="H131" i="3" a="1"/>
  <c r="H280" i="3" a="1"/>
  <c r="H97" i="3" a="1"/>
  <c r="H418" i="3" a="1"/>
  <c r="H382" i="3" a="1"/>
  <c r="H214" i="3" a="1"/>
  <c r="H147" i="3" a="1"/>
  <c r="H419" i="3" a="1"/>
  <c r="H34" i="3" a="1"/>
  <c r="H250" i="3" a="1"/>
  <c r="H3" i="3" a="1"/>
  <c r="H29" i="3" a="1"/>
  <c r="H247" i="3" a="1"/>
  <c r="H362" i="3" a="1"/>
  <c r="H492" i="3" a="1"/>
  <c r="H451" i="3" a="1"/>
  <c r="H270" i="3" a="1"/>
  <c r="H320" i="3" a="1"/>
  <c r="H440" i="3" a="1"/>
  <c r="H244" i="3" a="1"/>
  <c r="H335" i="3" a="1"/>
  <c r="H134" i="3" a="1"/>
  <c r="H122" i="3" a="1"/>
  <c r="H249" i="3" a="1"/>
  <c r="H374" i="3" a="1"/>
  <c r="H424" i="3" a="1"/>
  <c r="H392" i="3" a="1"/>
  <c r="H150" i="3" a="1"/>
  <c r="H345" i="3" a="1"/>
  <c r="H144" i="3" a="1"/>
  <c r="H302" i="3" a="1"/>
  <c r="H376" i="3" a="1"/>
  <c r="H494" i="3" a="1"/>
  <c r="H462" i="3" a="1"/>
  <c r="H14" i="3" a="1"/>
  <c r="H341" i="3" a="1"/>
  <c r="H219" i="3" a="1"/>
  <c r="H405" i="3" a="1"/>
  <c r="H434" i="3" a="1"/>
  <c r="H202" i="3" a="1"/>
  <c r="H171" i="3" a="1"/>
  <c r="H143" i="3" a="1"/>
  <c r="H296" i="3" a="1"/>
  <c r="H483" i="3" a="1"/>
  <c r="H185" i="3" a="1"/>
  <c r="H396" i="3" a="1"/>
  <c r="H269" i="3" a="1"/>
  <c r="H136" i="3" a="1"/>
  <c r="H115" i="3" a="1"/>
  <c r="H390" i="3" a="1"/>
  <c r="H158" i="3" a="1"/>
  <c r="H414" i="3" a="1"/>
  <c r="H7" i="3" a="1"/>
  <c r="H189" i="3" a="1"/>
  <c r="H59" i="3" a="1"/>
  <c r="H491" i="3" a="1"/>
  <c r="H471" i="3" a="1"/>
  <c r="H203" i="3" a="1"/>
  <c r="H32" i="3" a="1"/>
  <c r="H199" i="3" a="1"/>
  <c r="H325" i="3" a="1"/>
  <c r="H384" i="3" a="1"/>
  <c r="H111" i="3" a="1"/>
  <c r="H368" i="3" a="1"/>
  <c r="H53" i="3" a="1"/>
  <c r="H19" i="3" a="1"/>
  <c r="H258" i="3" a="1"/>
  <c r="H156" i="3" a="1"/>
  <c r="H466" i="3" a="1"/>
  <c r="H386" i="3" a="1"/>
  <c r="H197" i="3" a="1"/>
  <c r="H177" i="3" a="1"/>
  <c r="H344" i="3" a="1"/>
  <c r="H179" i="3" a="1"/>
  <c r="H321" i="3" a="1"/>
  <c r="H450" i="3" a="1"/>
  <c r="H295" i="3" a="1"/>
  <c r="H169" i="3" a="1"/>
  <c r="H381" i="3" a="1"/>
  <c r="H437" i="3" a="1"/>
  <c r="H75" i="3" a="1"/>
  <c r="H87" i="3" a="1"/>
  <c r="H236" i="3" a="1"/>
  <c r="H326" i="3" a="1"/>
  <c r="H99" i="3" a="1"/>
  <c r="H106" i="3" a="1"/>
  <c r="H241" i="3" a="1"/>
  <c r="H324" i="3" a="1"/>
  <c r="H367" i="3" a="1"/>
  <c r="H402" i="3" a="1"/>
  <c r="H449" i="3" a="1"/>
  <c r="H145" i="3" a="1"/>
  <c r="H10" i="3" a="1"/>
  <c r="H116" i="3" a="1"/>
  <c r="H246" i="3" a="1"/>
  <c r="H337" i="3" a="1"/>
  <c r="H121" i="3" a="1"/>
  <c r="H127" i="3" a="1"/>
  <c r="H235" i="3" a="1"/>
  <c r="H294" i="3" a="1"/>
  <c r="H350" i="3" a="1"/>
  <c r="H369" i="3" a="1"/>
  <c r="H417" i="3" a="1"/>
  <c r="H448" i="3" a="1"/>
  <c r="H453" i="3" a="1"/>
  <c r="H446" i="3" a="1"/>
  <c r="H426" i="3" a="1"/>
  <c r="H442" i="3" a="1"/>
  <c r="H191" i="3" a="1"/>
  <c r="H309" i="3" a="1"/>
  <c r="H163" i="3" a="1"/>
  <c r="H186" i="3" a="1"/>
  <c r="H306" i="3" a="1"/>
  <c r="H389" i="3" a="1"/>
  <c r="H125" i="3" a="1"/>
  <c r="H454" i="3" a="1"/>
  <c r="H154" i="3" a="1"/>
  <c r="H114" i="3" a="1"/>
  <c r="H89" i="3" a="1"/>
  <c r="H128" i="3" a="1"/>
  <c r="H340" i="3" a="1"/>
  <c r="H481" i="3" a="1"/>
  <c r="H83" i="3" a="1"/>
  <c r="H254" i="3" a="1"/>
  <c r="H155" i="3" a="1"/>
  <c r="H251" i="3" a="1"/>
  <c r="H5" i="3" a="1"/>
  <c r="H123" i="3" a="1"/>
  <c r="H469" i="3" a="1"/>
  <c r="H477" i="3" a="1"/>
  <c r="H207" i="3" a="1"/>
  <c r="H8" i="3" a="1"/>
  <c r="H354" i="3" a="1"/>
  <c r="H404" i="3" a="1"/>
  <c r="H275" i="3" a="1"/>
  <c r="H496" i="3" a="1"/>
  <c r="H299" i="3" a="1"/>
  <c r="H164" i="3" a="1"/>
  <c r="H378" i="3" a="1"/>
  <c r="H433" i="3" a="1"/>
  <c r="H217" i="3" a="1"/>
  <c r="H142" i="3" a="1"/>
  <c r="H40" i="3" a="1"/>
  <c r="H282" i="3" a="1"/>
  <c r="H423" i="3" a="1"/>
  <c r="H21" i="3" a="1"/>
  <c r="H336" i="3" a="1"/>
  <c r="H192" i="3" a="1"/>
  <c r="H279" i="3" a="1"/>
  <c r="H12" i="3" a="1"/>
  <c r="H284" i="3" a="1"/>
  <c r="H407" i="3" a="1"/>
  <c r="H425" i="3" a="1"/>
  <c r="H27" i="3" a="1"/>
  <c r="H289" i="3" a="1"/>
  <c r="H36" i="3" a="1"/>
  <c r="H262" i="3" a="1"/>
  <c r="H149" i="3" a="1"/>
  <c r="H377" i="3" a="1"/>
  <c r="H478" i="3" a="1"/>
  <c r="H493" i="3" a="1"/>
  <c r="H261" i="3" a="1"/>
  <c r="H46" i="3" a="1"/>
  <c r="H43" i="3" a="1"/>
  <c r="H132" i="3" a="1"/>
  <c r="H307" i="3" a="1"/>
  <c r="H82" i="3" a="1"/>
  <c r="H331" i="3" a="1"/>
  <c r="H210" i="3" a="1"/>
  <c r="H395" i="3" a="1"/>
  <c r="H408" i="3" a="1"/>
  <c r="H253" i="3" a="1"/>
  <c r="H175" i="3" a="1"/>
  <c r="H148" i="3" a="1"/>
  <c r="H298" i="3" a="1"/>
  <c r="H486" i="3" a="1"/>
  <c r="H120" i="3" a="1"/>
  <c r="H371" i="3" a="1"/>
  <c r="E500" i="12" l="1"/>
  <c r="E499" i="12"/>
  <c r="E498" i="12"/>
  <c r="E497" i="12"/>
  <c r="E494" i="12"/>
  <c r="E491" i="12"/>
  <c r="E495" i="12"/>
  <c r="E493" i="12"/>
  <c r="E492" i="12"/>
  <c r="E496" i="12"/>
  <c r="C65" i="14"/>
  <c r="C64" i="14"/>
  <c r="H23" i="3"/>
  <c r="B65" i="14"/>
  <c r="B64" i="14"/>
  <c r="E490" i="12"/>
  <c r="H65" i="13"/>
  <c r="H64" i="13"/>
  <c r="C17" i="14"/>
  <c r="C16" i="14"/>
  <c r="C31" i="14"/>
  <c r="C51" i="14"/>
  <c r="C53" i="14"/>
  <c r="C55" i="14"/>
  <c r="C57" i="14"/>
  <c r="C63" i="14"/>
  <c r="B3" i="14"/>
  <c r="B14" i="14"/>
  <c r="B22" i="14"/>
  <c r="C38" i="14"/>
  <c r="C13" i="14"/>
  <c r="C5" i="14"/>
  <c r="B31" i="14"/>
  <c r="B16" i="14"/>
  <c r="B24" i="14"/>
  <c r="B37" i="14"/>
  <c r="C48" i="14"/>
  <c r="C44" i="14"/>
  <c r="C40" i="14"/>
  <c r="C36" i="14"/>
  <c r="C23" i="14"/>
  <c r="C19" i="14"/>
  <c r="C15" i="14"/>
  <c r="C8" i="14"/>
  <c r="C30" i="14"/>
  <c r="B59" i="14"/>
  <c r="B61" i="14"/>
  <c r="B63" i="14"/>
  <c r="H140" i="3"/>
  <c r="H63" i="13"/>
  <c r="H231" i="3"/>
  <c r="H226" i="3"/>
  <c r="H176" i="3"/>
  <c r="H41" i="3"/>
  <c r="H21" i="3"/>
  <c r="H214" i="3"/>
  <c r="H84" i="3"/>
  <c r="H25" i="3"/>
  <c r="H24" i="3"/>
  <c r="H62" i="13"/>
  <c r="H61" i="13"/>
  <c r="H59" i="13"/>
  <c r="H60" i="13"/>
  <c r="H58" i="13"/>
  <c r="H57" i="13"/>
  <c r="H56" i="13"/>
  <c r="H55" i="13"/>
  <c r="H54" i="13"/>
  <c r="H53" i="13"/>
  <c r="H52" i="13"/>
  <c r="H51" i="13"/>
  <c r="H50" i="13"/>
  <c r="H82" i="3"/>
  <c r="H100" i="3"/>
  <c r="H83" i="3"/>
  <c r="H81" i="3"/>
  <c r="H80" i="3"/>
  <c r="H49" i="13"/>
  <c r="H47" i="13"/>
  <c r="H45" i="13"/>
  <c r="H43" i="13"/>
  <c r="H41" i="13"/>
  <c r="H39" i="13"/>
  <c r="H37" i="13"/>
  <c r="H35" i="13"/>
  <c r="H24" i="13"/>
  <c r="H22" i="13"/>
  <c r="H20" i="13"/>
  <c r="H18" i="13"/>
  <c r="H16" i="13"/>
  <c r="H14" i="13"/>
  <c r="H12" i="13"/>
  <c r="H7" i="13"/>
  <c r="H33" i="13"/>
  <c r="H6" i="13"/>
  <c r="H31" i="13"/>
  <c r="H29" i="13"/>
  <c r="H2" i="13"/>
  <c r="H26" i="13"/>
  <c r="H10" i="13"/>
  <c r="H4" i="13"/>
  <c r="H48" i="13"/>
  <c r="H46" i="13"/>
  <c r="H44" i="13"/>
  <c r="H42" i="13"/>
  <c r="H40" i="13"/>
  <c r="H38" i="13"/>
  <c r="H36" i="13"/>
  <c r="H34" i="13"/>
  <c r="H23" i="13"/>
  <c r="H21" i="13"/>
  <c r="H19" i="13"/>
  <c r="H17" i="13"/>
  <c r="H15" i="13"/>
  <c r="H13" i="13"/>
  <c r="H8" i="13"/>
  <c r="H3" i="13"/>
  <c r="H32" i="13"/>
  <c r="H5" i="13"/>
  <c r="H30" i="13"/>
  <c r="H28" i="13"/>
  <c r="H11" i="13"/>
  <c r="H25" i="13"/>
  <c r="H9" i="13"/>
  <c r="H27" i="13"/>
  <c r="H105" i="3"/>
  <c r="H442" i="3"/>
  <c r="H167" i="3"/>
  <c r="H256" i="3"/>
  <c r="H257" i="3"/>
  <c r="H130" i="3"/>
  <c r="H255" i="3"/>
  <c r="H496" i="3"/>
  <c r="H493" i="3"/>
  <c r="H488" i="3"/>
  <c r="H485" i="3"/>
  <c r="H480" i="3"/>
  <c r="H477" i="3"/>
  <c r="H471" i="3"/>
  <c r="H466" i="3"/>
  <c r="H463" i="3"/>
  <c r="H445" i="3"/>
  <c r="H455" i="3"/>
  <c r="H451" i="3"/>
  <c r="H447" i="3"/>
  <c r="H443" i="3"/>
  <c r="H438" i="3"/>
  <c r="H434" i="3"/>
  <c r="H430" i="3"/>
  <c r="H426" i="3"/>
  <c r="H422" i="3"/>
  <c r="H416" i="3"/>
  <c r="H408" i="3"/>
  <c r="H400" i="3"/>
  <c r="H392" i="3"/>
  <c r="H387" i="3"/>
  <c r="H375" i="3"/>
  <c r="H368" i="3"/>
  <c r="H145" i="3"/>
  <c r="H72" i="3"/>
  <c r="H498" i="3"/>
  <c r="H495" i="3"/>
  <c r="H490" i="3"/>
  <c r="H487" i="3"/>
  <c r="H482" i="3"/>
  <c r="H479" i="3"/>
  <c r="H474" i="3"/>
  <c r="H470" i="3"/>
  <c r="H465" i="3"/>
  <c r="H462" i="3"/>
  <c r="H458" i="3"/>
  <c r="H454" i="3"/>
  <c r="H450" i="3"/>
  <c r="H446" i="3"/>
  <c r="H427" i="3"/>
  <c r="H437" i="3"/>
  <c r="H433" i="3"/>
  <c r="H429" i="3"/>
  <c r="H425" i="3"/>
  <c r="H420" i="3"/>
  <c r="H414" i="3"/>
  <c r="H399" i="3"/>
  <c r="H398" i="3"/>
  <c r="H390" i="3"/>
  <c r="H382" i="3"/>
  <c r="H380" i="3"/>
  <c r="H366" i="3"/>
  <c r="H132" i="3"/>
  <c r="H62" i="3"/>
  <c r="H478" i="3"/>
  <c r="H497" i="3"/>
  <c r="H492" i="3"/>
  <c r="H489" i="3"/>
  <c r="H484" i="3"/>
  <c r="H481" i="3"/>
  <c r="H459" i="3"/>
  <c r="H473" i="3"/>
  <c r="H469" i="3"/>
  <c r="H464" i="3"/>
  <c r="H461" i="3"/>
  <c r="H457" i="3"/>
  <c r="H453" i="3"/>
  <c r="H449" i="3"/>
  <c r="H444" i="3"/>
  <c r="H440" i="3"/>
  <c r="H436" i="3"/>
  <c r="H432" i="3"/>
  <c r="H428" i="3"/>
  <c r="H411" i="3"/>
  <c r="H421" i="3"/>
  <c r="H412" i="3"/>
  <c r="H404" i="3"/>
  <c r="H396" i="3"/>
  <c r="H388" i="3"/>
  <c r="H379" i="3"/>
  <c r="H363" i="3"/>
  <c r="H179" i="3"/>
  <c r="H111" i="3"/>
  <c r="H38" i="3"/>
  <c r="H125" i="3"/>
  <c r="H499" i="3"/>
  <c r="H494" i="3"/>
  <c r="H491" i="3"/>
  <c r="H486" i="3"/>
  <c r="H483" i="3"/>
  <c r="H476" i="3"/>
  <c r="H475" i="3"/>
  <c r="H472" i="3"/>
  <c r="H467" i="3"/>
  <c r="H468" i="3"/>
  <c r="H460" i="3"/>
  <c r="H456" i="3"/>
  <c r="H452" i="3"/>
  <c r="H448" i="3"/>
  <c r="H441" i="3"/>
  <c r="H439" i="3"/>
  <c r="H435" i="3"/>
  <c r="H431" i="3"/>
  <c r="H424" i="3"/>
  <c r="H423" i="3"/>
  <c r="H418" i="3"/>
  <c r="H410" i="3"/>
  <c r="H402" i="3"/>
  <c r="H394" i="3"/>
  <c r="H385" i="3"/>
  <c r="H377" i="3"/>
  <c r="H370" i="3"/>
  <c r="H161" i="3"/>
  <c r="H93" i="3"/>
  <c r="H17" i="3"/>
  <c r="H174" i="3"/>
  <c r="H156" i="3"/>
  <c r="H104" i="3"/>
  <c r="H123" i="3"/>
  <c r="H107" i="3"/>
  <c r="H89" i="3"/>
  <c r="H66" i="3"/>
  <c r="H51" i="3"/>
  <c r="H37" i="3"/>
  <c r="H13" i="3"/>
  <c r="H419" i="3"/>
  <c r="H417" i="3"/>
  <c r="H415" i="3"/>
  <c r="H413" i="3"/>
  <c r="H406" i="3"/>
  <c r="H409" i="3"/>
  <c r="H407" i="3"/>
  <c r="H405" i="3"/>
  <c r="H403" i="3"/>
  <c r="H401" i="3"/>
  <c r="H372" i="3"/>
  <c r="H397" i="3"/>
  <c r="H395" i="3"/>
  <c r="H393" i="3"/>
  <c r="H391" i="3"/>
  <c r="H389" i="3"/>
  <c r="H386" i="3"/>
  <c r="H384" i="3"/>
  <c r="H383" i="3"/>
  <c r="H381" i="3"/>
  <c r="H378" i="3"/>
  <c r="H376" i="3"/>
  <c r="H374" i="3"/>
  <c r="H373" i="3"/>
  <c r="H371" i="3"/>
  <c r="H369" i="3"/>
  <c r="H367" i="3"/>
  <c r="H365" i="3"/>
  <c r="H187" i="3"/>
  <c r="H170" i="3"/>
  <c r="H153" i="3"/>
  <c r="H137" i="3"/>
  <c r="H119" i="3"/>
  <c r="H102" i="3"/>
  <c r="H85" i="3"/>
  <c r="H64" i="3"/>
  <c r="H47" i="3"/>
  <c r="H30" i="3"/>
  <c r="H9" i="3"/>
  <c r="H183" i="3"/>
  <c r="H165" i="3"/>
  <c r="H149" i="3"/>
  <c r="H135" i="3"/>
  <c r="H115" i="3"/>
  <c r="H97" i="3"/>
  <c r="H76" i="3"/>
  <c r="H59" i="3"/>
  <c r="H43" i="3"/>
  <c r="H26" i="3"/>
  <c r="H5" i="3"/>
  <c r="H364" i="3"/>
  <c r="H362" i="3"/>
  <c r="H355" i="3"/>
  <c r="H358" i="3"/>
  <c r="H356" i="3"/>
  <c r="H354" i="3"/>
  <c r="H352" i="3"/>
  <c r="H350" i="3"/>
  <c r="H348" i="3"/>
  <c r="H346" i="3"/>
  <c r="H344" i="3"/>
  <c r="H342" i="3"/>
  <c r="H340" i="3"/>
  <c r="H338" i="3"/>
  <c r="H336" i="3"/>
  <c r="H330" i="3"/>
  <c r="H332" i="3"/>
  <c r="H329" i="3"/>
  <c r="H327" i="3"/>
  <c r="H325" i="3"/>
  <c r="H324" i="3"/>
  <c r="H322" i="3"/>
  <c r="H320" i="3"/>
  <c r="H318" i="3"/>
  <c r="H316" i="3"/>
  <c r="H314" i="3"/>
  <c r="H312" i="3"/>
  <c r="H310" i="3"/>
  <c r="H308" i="3"/>
  <c r="H306" i="3"/>
  <c r="H301" i="3"/>
  <c r="H302" i="3"/>
  <c r="H300" i="3"/>
  <c r="H298" i="3"/>
  <c r="H296" i="3"/>
  <c r="H294" i="3"/>
  <c r="H291" i="3"/>
  <c r="H290" i="3"/>
  <c r="H288" i="3"/>
  <c r="H286" i="3"/>
  <c r="H284" i="3"/>
  <c r="H282" i="3"/>
  <c r="H280" i="3"/>
  <c r="H278" i="3"/>
  <c r="H276" i="3"/>
  <c r="H274" i="3"/>
  <c r="H271" i="3"/>
  <c r="H268" i="3"/>
  <c r="H252" i="3"/>
  <c r="H266" i="3"/>
  <c r="H264" i="3"/>
  <c r="H262" i="3"/>
  <c r="H260" i="3"/>
  <c r="H258" i="3"/>
  <c r="H253" i="3"/>
  <c r="H251" i="3"/>
  <c r="H249" i="3"/>
  <c r="H247" i="3"/>
  <c r="H245" i="3"/>
  <c r="H243" i="3"/>
  <c r="H241" i="3"/>
  <c r="H239" i="3"/>
  <c r="H237" i="3"/>
  <c r="H235" i="3"/>
  <c r="H233" i="3"/>
  <c r="H230" i="3"/>
  <c r="H225" i="3"/>
  <c r="H223" i="3"/>
  <c r="H221" i="3"/>
  <c r="H219" i="3"/>
  <c r="H217" i="3"/>
  <c r="H215" i="3"/>
  <c r="H213" i="3"/>
  <c r="H227" i="3"/>
  <c r="H210" i="3"/>
  <c r="H208" i="3"/>
  <c r="H206" i="3"/>
  <c r="H204" i="3"/>
  <c r="H202" i="3"/>
  <c r="H199" i="3"/>
  <c r="H200" i="3"/>
  <c r="H196" i="3"/>
  <c r="H194" i="3"/>
  <c r="H190" i="3"/>
  <c r="H189" i="3"/>
  <c r="H186" i="3"/>
  <c r="H182" i="3"/>
  <c r="H168" i="3"/>
  <c r="H173" i="3"/>
  <c r="H169" i="3"/>
  <c r="H164" i="3"/>
  <c r="H160" i="3"/>
  <c r="H159" i="3"/>
  <c r="H152" i="3"/>
  <c r="H147" i="3"/>
  <c r="H144" i="3"/>
  <c r="H22" i="3"/>
  <c r="H136" i="3"/>
  <c r="H131" i="3"/>
  <c r="H127" i="3"/>
  <c r="H122" i="3"/>
  <c r="H118" i="3"/>
  <c r="H114" i="3"/>
  <c r="H110" i="3"/>
  <c r="H106" i="3"/>
  <c r="H101" i="3"/>
  <c r="H96" i="3"/>
  <c r="H92" i="3"/>
  <c r="H88" i="3"/>
  <c r="H79" i="3"/>
  <c r="H75" i="3"/>
  <c r="H71" i="3"/>
  <c r="H67" i="3"/>
  <c r="H52" i="3"/>
  <c r="H58" i="3"/>
  <c r="H55" i="3"/>
  <c r="H50" i="3"/>
  <c r="H46" i="3"/>
  <c r="H42" i="3"/>
  <c r="H36" i="3"/>
  <c r="H33" i="3"/>
  <c r="H29" i="3"/>
  <c r="H20" i="3"/>
  <c r="H16" i="3"/>
  <c r="H12" i="3"/>
  <c r="H8" i="3"/>
  <c r="H4" i="3"/>
  <c r="H188" i="3"/>
  <c r="H178" i="3"/>
  <c r="H181" i="3"/>
  <c r="H177" i="3"/>
  <c r="H172" i="3"/>
  <c r="H146" i="3"/>
  <c r="H163" i="3"/>
  <c r="H158" i="3"/>
  <c r="H155" i="3"/>
  <c r="H151" i="3"/>
  <c r="H148" i="3"/>
  <c r="H143" i="3"/>
  <c r="H139" i="3"/>
  <c r="H134" i="3"/>
  <c r="H129" i="3"/>
  <c r="H126" i="3"/>
  <c r="H121" i="3"/>
  <c r="H117" i="3"/>
  <c r="H113" i="3"/>
  <c r="H109" i="3"/>
  <c r="H94" i="3"/>
  <c r="H99" i="3"/>
  <c r="H95" i="3"/>
  <c r="H91" i="3"/>
  <c r="H74" i="3"/>
  <c r="H78" i="3"/>
  <c r="H68" i="3"/>
  <c r="H70" i="3"/>
  <c r="H63" i="3"/>
  <c r="H61" i="3"/>
  <c r="H57" i="3"/>
  <c r="H54" i="3"/>
  <c r="H49" i="3"/>
  <c r="H45" i="3"/>
  <c r="H40" i="3"/>
  <c r="H35" i="3"/>
  <c r="H32" i="3"/>
  <c r="H28" i="3"/>
  <c r="H19" i="3"/>
  <c r="H15" i="3"/>
  <c r="H11" i="3"/>
  <c r="H7" i="3"/>
  <c r="H3" i="3"/>
  <c r="H360" i="3"/>
  <c r="H361" i="3"/>
  <c r="H359" i="3"/>
  <c r="H357" i="3"/>
  <c r="H334" i="3"/>
  <c r="H353" i="3"/>
  <c r="H351" i="3"/>
  <c r="H349" i="3"/>
  <c r="H347" i="3"/>
  <c r="H345" i="3"/>
  <c r="H343" i="3"/>
  <c r="H341" i="3"/>
  <c r="H339" i="3"/>
  <c r="H337" i="3"/>
  <c r="H335" i="3"/>
  <c r="H333" i="3"/>
  <c r="H331" i="3"/>
  <c r="H328" i="3"/>
  <c r="H326" i="3"/>
  <c r="H323" i="3"/>
  <c r="H321" i="3"/>
  <c r="H304" i="3"/>
  <c r="H319" i="3"/>
  <c r="H317" i="3"/>
  <c r="H315" i="3"/>
  <c r="H313" i="3"/>
  <c r="H311" i="3"/>
  <c r="H309" i="3"/>
  <c r="H307" i="3"/>
  <c r="H305" i="3"/>
  <c r="H303" i="3"/>
  <c r="H295" i="3"/>
  <c r="H299" i="3"/>
  <c r="H297" i="3"/>
  <c r="H293" i="3"/>
  <c r="H292" i="3"/>
  <c r="H270" i="3"/>
  <c r="H289" i="3"/>
  <c r="H287" i="3"/>
  <c r="H285" i="3"/>
  <c r="H283" i="3"/>
  <c r="H281" i="3"/>
  <c r="H279" i="3"/>
  <c r="H277" i="3"/>
  <c r="H275" i="3"/>
  <c r="H273" i="3"/>
  <c r="H272" i="3"/>
  <c r="H269" i="3"/>
  <c r="H267" i="3"/>
  <c r="H265" i="3"/>
  <c r="H263" i="3"/>
  <c r="H261" i="3"/>
  <c r="H259" i="3"/>
  <c r="H254" i="3"/>
  <c r="H234" i="3"/>
  <c r="H250" i="3"/>
  <c r="H248" i="3"/>
  <c r="H246" i="3"/>
  <c r="H244" i="3"/>
  <c r="H242" i="3"/>
  <c r="H240" i="3"/>
  <c r="H238" i="3"/>
  <c r="H236" i="3"/>
  <c r="H193" i="3"/>
  <c r="H232" i="3"/>
  <c r="H229" i="3"/>
  <c r="H224" i="3"/>
  <c r="H222" i="3"/>
  <c r="H220" i="3"/>
  <c r="H218" i="3"/>
  <c r="H216" i="3"/>
  <c r="H228" i="3"/>
  <c r="H212" i="3"/>
  <c r="H211" i="3"/>
  <c r="H209" i="3"/>
  <c r="H207" i="3"/>
  <c r="H205" i="3"/>
  <c r="H203" i="3"/>
  <c r="H201" i="3"/>
  <c r="H198" i="3"/>
  <c r="H197" i="3"/>
  <c r="H195" i="3"/>
  <c r="H192" i="3"/>
  <c r="H191" i="3"/>
  <c r="H185" i="3"/>
  <c r="H184" i="3"/>
  <c r="H180" i="3"/>
  <c r="H175" i="3"/>
  <c r="H171" i="3"/>
  <c r="H166" i="3"/>
  <c r="H162" i="3"/>
  <c r="H157" i="3"/>
  <c r="H154" i="3"/>
  <c r="H150" i="3"/>
  <c r="H141" i="3"/>
  <c r="H142" i="3"/>
  <c r="H138" i="3"/>
  <c r="H133" i="3"/>
  <c r="H128" i="3"/>
  <c r="H124" i="3"/>
  <c r="H120" i="3"/>
  <c r="H116" i="3"/>
  <c r="H112" i="3"/>
  <c r="H108" i="3"/>
  <c r="H103" i="3"/>
  <c r="H98" i="3"/>
  <c r="H87" i="3"/>
  <c r="H90" i="3"/>
  <c r="H86" i="3"/>
  <c r="H77" i="3"/>
  <c r="H73" i="3"/>
  <c r="H69" i="3"/>
  <c r="H65" i="3"/>
  <c r="H60" i="3"/>
  <c r="H56" i="3"/>
  <c r="H53" i="3"/>
  <c r="H48" i="3"/>
  <c r="H44" i="3"/>
  <c r="H39" i="3"/>
  <c r="H34" i="3"/>
  <c r="H31" i="3"/>
  <c r="H27" i="3"/>
  <c r="H18" i="3"/>
  <c r="H14" i="3"/>
  <c r="H10" i="3"/>
  <c r="H6" i="3"/>
  <c r="H2" i="3"/>
  <c r="C111" i="6" a="1"/>
  <c r="C215" i="6" a="1"/>
  <c r="C41" i="6" a="1"/>
  <c r="C417" i="6" a="1"/>
  <c r="C295" i="6" a="1"/>
  <c r="C26" i="6" a="1"/>
  <c r="C330" i="6" a="1"/>
  <c r="C173" i="6" a="1"/>
  <c r="C400" i="6" a="1"/>
  <c r="C66" i="6" a="1"/>
  <c r="C478" i="6" a="1"/>
  <c r="C156" i="6" a="1"/>
  <c r="C32" i="6" a="1"/>
  <c r="C232" i="6" a="1"/>
  <c r="C269" i="6" a="1"/>
  <c r="C106" i="6" a="1"/>
  <c r="C268" i="6" a="1"/>
  <c r="C168" i="6" a="1"/>
  <c r="C301" i="6" a="1"/>
  <c r="C339" i="6" a="1"/>
  <c r="C18" i="6" a="1"/>
  <c r="C199" i="6" a="1"/>
  <c r="C273" i="6" a="1"/>
  <c r="C71" i="6" a="1"/>
  <c r="C361" i="6" a="1"/>
  <c r="C408" i="6" a="1"/>
  <c r="C442" i="6" a="1"/>
  <c r="C466" i="6" a="1"/>
  <c r="C154" i="6" a="1"/>
  <c r="C123" i="6" a="1"/>
  <c r="C482" i="6" a="1"/>
  <c r="C359" i="6" a="1"/>
  <c r="C145" i="6" a="1"/>
  <c r="C455" i="6" a="1"/>
  <c r="C155" i="6" a="1"/>
  <c r="C20" i="6" a="1"/>
  <c r="C394" i="6" a="1"/>
  <c r="C468" i="6" a="1"/>
  <c r="C249" i="6" a="1"/>
  <c r="C327" i="6" a="1"/>
  <c r="C77" i="6" a="1"/>
  <c r="C256" i="6" a="1"/>
  <c r="C90" i="6" a="1"/>
  <c r="C491" i="6" a="1"/>
  <c r="C325" i="6" a="1"/>
  <c r="C141" i="6" a="1"/>
  <c r="C345" i="6" a="1"/>
  <c r="C93" i="6" a="1"/>
  <c r="C382" i="6" a="1"/>
  <c r="C86" i="6" a="1"/>
  <c r="C371" i="6" a="1"/>
  <c r="C205" i="6" a="1"/>
  <c r="C12" i="6" a="1"/>
  <c r="C48" i="6" a="1"/>
  <c r="C100" i="6" a="1"/>
  <c r="C429" i="6" a="1"/>
  <c r="C424" i="6" a="1"/>
  <c r="C13" i="6" a="1"/>
  <c r="C450" i="6" a="1"/>
  <c r="C116" i="6" a="1"/>
  <c r="C511" i="6" a="1"/>
  <c r="C126" i="6" a="1"/>
  <c r="C433" i="6" a="1"/>
  <c r="C274" i="6" a="1"/>
  <c r="C457" i="6" a="1"/>
  <c r="C67" i="6" a="1"/>
  <c r="C403" i="6" a="1"/>
  <c r="C439" i="6" a="1"/>
  <c r="C239" i="6" a="1"/>
  <c r="C501" i="6" a="1"/>
  <c r="C347" i="6" a="1"/>
  <c r="C271" i="6" a="1"/>
  <c r="C479" i="6" a="1"/>
  <c r="C481" i="6" a="1"/>
  <c r="C299" i="6" a="1"/>
  <c r="C270" i="6" a="1"/>
  <c r="C223" i="6" a="1"/>
  <c r="C46" i="6" a="1"/>
  <c r="C384" i="6" a="1"/>
  <c r="C181" i="6" a="1"/>
  <c r="C411" i="6" a="1"/>
  <c r="C157" i="6" a="1"/>
  <c r="C207" i="6" a="1"/>
  <c r="C63" i="6" a="1"/>
  <c r="C222" i="6" a="1"/>
  <c r="C461" i="6" a="1"/>
  <c r="C518" i="6" a="1"/>
  <c r="C341" i="6" a="1"/>
  <c r="C163" i="6" a="1"/>
  <c r="C492" i="6" a="1"/>
  <c r="C22" i="6" a="1"/>
  <c r="C431" i="6" a="1"/>
  <c r="C456" i="6" a="1"/>
  <c r="C231" i="6" a="1"/>
  <c r="C208" i="6" a="1"/>
  <c r="C74" i="6" a="1"/>
  <c r="C88" i="6" a="1"/>
  <c r="C285" i="6" a="1"/>
  <c r="C115" i="6" a="1"/>
  <c r="C92" i="6" a="1"/>
  <c r="C458" i="6" a="1"/>
  <c r="C138" i="6" a="1"/>
  <c r="C395" i="6" a="1"/>
  <c r="C253" i="6" a="1"/>
  <c r="C500" i="6" a="1"/>
  <c r="C486" i="6" a="1"/>
  <c r="C404" i="6" a="1"/>
  <c r="C333" i="6" a="1"/>
  <c r="C355" i="6" a="1"/>
  <c r="C6" i="6" a="1"/>
  <c r="C280" i="6" a="1"/>
  <c r="C185" i="6" a="1"/>
  <c r="C201" i="6" a="1"/>
  <c r="C517" i="6" a="1"/>
  <c r="C362" i="6" a="1"/>
  <c r="C464" i="6" a="1"/>
  <c r="C363" i="6" a="1"/>
  <c r="C319" i="6" a="1"/>
  <c r="C484" i="6" a="1"/>
  <c r="C290" i="6" a="1"/>
  <c r="C306" i="6" a="1"/>
  <c r="C137" i="6" a="1"/>
  <c r="C460" i="6" a="1"/>
  <c r="C398" i="6" a="1"/>
  <c r="C331" i="6" a="1"/>
  <c r="C443" i="6" a="1"/>
  <c r="C263" i="6" a="1"/>
  <c r="C146" i="6" a="1"/>
  <c r="C191" i="6" a="1"/>
  <c r="C37" i="6" a="1"/>
  <c r="C144" i="6" a="1"/>
  <c r="C73" i="6" a="1"/>
  <c r="C490" i="6" a="1"/>
  <c r="C350" i="6" a="1"/>
  <c r="C423" i="6" a="1"/>
  <c r="C372" i="6" a="1"/>
  <c r="C190" i="6" a="1"/>
  <c r="C49" i="6" a="1"/>
  <c r="C16" i="6" a="1"/>
  <c r="C286" i="6" a="1"/>
  <c r="C515" i="6" a="1"/>
  <c r="C103" i="6" a="1"/>
  <c r="C240" i="6" a="1"/>
  <c r="C300" i="6" a="1"/>
  <c r="C437" i="6" a="1"/>
  <c r="C91" i="6" a="1"/>
  <c r="C81" i="6" a="1"/>
  <c r="C107" i="6" a="1"/>
  <c r="C109" i="6" a="1"/>
  <c r="C89" i="6" a="1"/>
  <c r="C297" i="6" a="1"/>
  <c r="C391" i="6" a="1"/>
  <c r="C287" i="6" a="1"/>
  <c r="C265" i="6" a="1"/>
  <c r="C136" i="6" a="1"/>
  <c r="C278" i="6" a="1"/>
  <c r="C38" i="6" a="1"/>
  <c r="C23" i="6" a="1"/>
  <c r="C272" i="6" a="1"/>
  <c r="C513" i="6" a="1"/>
  <c r="C10" i="6" a="1"/>
  <c r="C336" i="6" a="1"/>
  <c r="C79" i="6" a="1"/>
  <c r="C389" i="6" a="1"/>
  <c r="C142" i="6" a="1"/>
  <c r="C171" i="6" a="1"/>
  <c r="C370" i="6" a="1"/>
  <c r="C194" i="6" a="1"/>
  <c r="C514" i="6" a="1"/>
  <c r="C282" i="6" a="1"/>
  <c r="C375" i="6" a="1"/>
  <c r="C346" i="6" a="1"/>
  <c r="C258" i="6" a="1"/>
  <c r="C264" i="6" a="1"/>
  <c r="C318" i="6" a="1"/>
  <c r="C487" i="6" a="1"/>
  <c r="C399" i="6" a="1"/>
  <c r="C390" i="6" a="1"/>
  <c r="C368" i="6" a="1"/>
  <c r="C189" i="6" a="1"/>
  <c r="C378" i="6" a="1"/>
  <c r="C374" i="6" a="1"/>
  <c r="C519" i="6" a="1"/>
  <c r="C422" i="6" a="1"/>
  <c r="C348" i="6" a="1"/>
  <c r="C475" i="6" a="1"/>
  <c r="C385" i="6" a="1"/>
  <c r="C50" i="6" a="1"/>
  <c r="C307" i="6" a="1"/>
  <c r="C236" i="6" a="1"/>
  <c r="C21" i="6" a="1"/>
  <c r="C234" i="6" a="1"/>
  <c r="C358" i="6" a="1"/>
  <c r="C25" i="6" a="1"/>
  <c r="C342" i="6" a="1"/>
  <c r="C509" i="6" a="1"/>
  <c r="C221" i="6" a="1"/>
  <c r="C238" i="6" a="1"/>
  <c r="C242" i="6" a="1"/>
  <c r="C413" i="6" a="1"/>
  <c r="C7" i="6" a="1"/>
  <c r="C453" i="6" a="1"/>
  <c r="C35" i="6" a="1"/>
  <c r="C275" i="6" a="1"/>
  <c r="C80" i="6" a="1"/>
  <c r="C104" i="6" a="1"/>
  <c r="C477" i="6" a="1"/>
  <c r="C261" i="6" a="1"/>
  <c r="C510" i="6" a="1"/>
  <c r="C228" i="6" a="1"/>
  <c r="C427" i="6" a="1"/>
  <c r="C288" i="6" a="1"/>
  <c r="C192" i="6" a="1"/>
  <c r="C476" i="6" a="1"/>
  <c r="C499" i="6" a="1"/>
  <c r="C166" i="6" a="1"/>
  <c r="C39" i="6" a="1"/>
  <c r="C153" i="6" a="1"/>
  <c r="C289" i="6" a="1"/>
  <c r="C284" i="6" a="1"/>
  <c r="C320" i="6" a="1"/>
  <c r="C235" i="6" a="1"/>
  <c r="C257" i="6" a="1"/>
  <c r="C195" i="6" a="1"/>
  <c r="C247" i="6" a="1"/>
  <c r="C179" i="6" a="1"/>
  <c r="C94" i="6" a="1"/>
  <c r="C410" i="6" a="1"/>
  <c r="C44" i="6" a="1"/>
  <c r="C276" i="6" a="1"/>
  <c r="C225" i="6" a="1"/>
  <c r="C505" i="6" a="1"/>
  <c r="C354" i="6" a="1"/>
  <c r="C164" i="6" a="1"/>
  <c r="C351" i="6" a="1"/>
  <c r="C383" i="6" a="1"/>
  <c r="C29" i="6" a="1"/>
  <c r="C119" i="6" a="1"/>
  <c r="C62" i="6" a="1"/>
  <c r="C121" i="6" a="1"/>
  <c r="C248" i="6" a="1"/>
  <c r="C353" i="6" a="1"/>
  <c r="C237" i="6" a="1"/>
  <c r="C502" i="6" a="1"/>
  <c r="C31" i="6" a="1"/>
  <c r="C293" i="6" a="1"/>
  <c r="C214" i="6" a="1"/>
  <c r="C82" i="6" a="1"/>
  <c r="C127" i="6" a="1"/>
  <c r="C15" i="6" a="1"/>
  <c r="C322" i="6" a="1"/>
  <c r="C251" i="6" a="1"/>
  <c r="C267" i="6" a="1"/>
  <c r="C58" i="6" a="1"/>
  <c r="C108" i="6" a="1"/>
  <c r="C260" i="6" a="1"/>
  <c r="C357" i="6" a="1"/>
  <c r="C204" i="6" a="1"/>
  <c r="C388" i="6" a="1"/>
  <c r="C485" i="6" a="1"/>
  <c r="C55" i="6" a="1"/>
  <c r="C324" i="6" a="1"/>
  <c r="C255" i="6" a="1"/>
  <c r="C393" i="6" a="1"/>
  <c r="C56" i="6" a="1"/>
  <c r="C227" i="6" a="1"/>
  <c r="C151" i="6" a="1"/>
  <c r="C416" i="6" a="1"/>
  <c r="C349" i="6" a="1"/>
  <c r="C462" i="6" a="1"/>
  <c r="C294" i="6" a="1"/>
  <c r="C174" i="6" a="1"/>
  <c r="C292" i="6" a="1"/>
  <c r="C139" i="6" a="1"/>
  <c r="C381" i="6" a="1"/>
  <c r="C436" i="6" a="1"/>
  <c r="C317" i="6" a="1"/>
  <c r="C65" i="6" a="1"/>
  <c r="C243" i="6" a="1"/>
  <c r="C134" i="6" a="1"/>
  <c r="C304" i="6" a="1"/>
  <c r="C70" i="6" a="1"/>
  <c r="C356" i="6" a="1"/>
  <c r="C488" i="6" a="1"/>
  <c r="C407" i="6" a="1"/>
  <c r="C277" i="6" a="1"/>
  <c r="C130" i="6" a="1"/>
  <c r="C97" i="6" a="1"/>
  <c r="C53" i="6" a="1"/>
  <c r="C344" i="6" a="1"/>
  <c r="C397" i="6" a="1"/>
  <c r="C326" i="6" a="1"/>
  <c r="C430" i="6" a="1"/>
  <c r="C128" i="6" a="1"/>
  <c r="C113" i="6" a="1"/>
  <c r="C140" i="6" a="1"/>
  <c r="C200" i="6" a="1"/>
  <c r="C147" i="6" a="1"/>
  <c r="C494" i="6" a="1"/>
  <c r="C496" i="6" a="1"/>
  <c r="C521" i="6" a="1"/>
  <c r="C449" i="6" a="1"/>
  <c r="C212" i="6" a="1"/>
  <c r="C69" i="6" a="1"/>
  <c r="C169" i="6" a="1"/>
  <c r="C83" i="6" a="1"/>
  <c r="C226" i="6" a="1"/>
  <c r="C367" i="6" a="1"/>
  <c r="C421" i="6" a="1"/>
  <c r="C124" i="6" a="1"/>
  <c r="C463" i="6" a="1"/>
  <c r="C470" i="6" a="1"/>
  <c r="C167" i="6" a="1"/>
  <c r="C434" i="6" a="1"/>
  <c r="C51" i="6" a="1"/>
  <c r="C131" i="6" a="1"/>
  <c r="C452" i="6" a="1"/>
  <c r="C332" i="6" a="1"/>
  <c r="C469" i="6" a="1"/>
  <c r="C87" i="6" a="1"/>
  <c r="C335" i="6" a="1"/>
  <c r="C19" i="6" a="1"/>
  <c r="C498" i="6" a="1"/>
  <c r="C148" i="6" a="1"/>
  <c r="C158" i="6" a="1"/>
  <c r="C182" i="6" a="1"/>
  <c r="C184" i="6" a="1"/>
  <c r="C196" i="6" a="1"/>
  <c r="C279" i="6" a="1"/>
  <c r="C160" i="6" a="1"/>
  <c r="C203" i="6" a="1"/>
  <c r="C64" i="6" a="1"/>
  <c r="C473" i="6" a="1"/>
  <c r="C409" i="6" a="1"/>
  <c r="C343" i="6" a="1"/>
  <c r="C425" i="6" a="1"/>
  <c r="C61" i="6" a="1"/>
  <c r="C364" i="6" a="1"/>
  <c r="C193" i="6" a="1"/>
  <c r="C448" i="6" a="1"/>
  <c r="C419" i="6" a="1"/>
  <c r="C380" i="6" a="1"/>
  <c r="C420" i="6" a="1"/>
  <c r="C233" i="6" a="1"/>
  <c r="C180" i="6" a="1"/>
  <c r="C85" i="6" a="1"/>
  <c r="C186" i="6" a="1"/>
  <c r="C435" i="6" a="1"/>
  <c r="C143" i="6" a="1"/>
  <c r="C5" i="6" a="1"/>
  <c r="C219" i="6" a="1"/>
  <c r="C34" i="6" a="1"/>
  <c r="C438" i="6" a="1"/>
  <c r="C112" i="6" a="1"/>
  <c r="C471" i="6" a="1"/>
  <c r="C95" i="6" a="1"/>
  <c r="C441" i="6" a="1"/>
  <c r="C386" i="6" a="1"/>
  <c r="C308" i="6" a="1"/>
  <c r="C220" i="6" a="1"/>
  <c r="C54" i="6" a="1"/>
  <c r="C45" i="6" a="1"/>
  <c r="C340" i="6" a="1"/>
  <c r="C11" i="6" a="1"/>
  <c r="C379" i="6" a="1"/>
  <c r="C321" i="6" a="1"/>
  <c r="C366" i="6" a="1"/>
  <c r="C59" i="6" a="1"/>
  <c r="C217" i="6" a="1"/>
  <c r="C252" i="6" a="1"/>
  <c r="C516" i="6" a="1"/>
  <c r="C360" i="6" a="1"/>
  <c r="C316" i="6" a="1"/>
  <c r="C412" i="6" a="1"/>
  <c r="C311" i="6" a="1"/>
  <c r="C40" i="6" a="1"/>
  <c r="C162" i="6" a="1"/>
  <c r="C187" i="6" a="1"/>
  <c r="C177" i="6" a="1"/>
  <c r="C497" i="6" a="1"/>
  <c r="C135" i="6" a="1"/>
  <c r="C72" i="6" a="1"/>
  <c r="C418" i="6" a="1"/>
  <c r="C365" i="6" a="1"/>
  <c r="C198" i="6" a="1"/>
  <c r="C312" i="6" a="1"/>
  <c r="C241" i="6" a="1"/>
  <c r="C402" i="6" a="1"/>
  <c r="C60" i="6" a="1"/>
  <c r="C105" i="6" a="1"/>
  <c r="C406" i="6" a="1"/>
  <c r="C175" i="6" a="1"/>
  <c r="C415" i="6" a="1"/>
  <c r="C520" i="6" a="1"/>
  <c r="C302" i="6" a="1"/>
  <c r="C176" i="6" a="1"/>
  <c r="C57" i="6" a="1"/>
  <c r="C334" i="6" a="1"/>
  <c r="C352" i="6" a="1"/>
  <c r="C493" i="6" a="1"/>
  <c r="C14" i="6" a="1"/>
  <c r="C373" i="6" a="1"/>
  <c r="C98" i="6" a="1"/>
  <c r="C244" i="6" a="1"/>
  <c r="C161" i="6" a="1"/>
  <c r="C246" i="6" a="1"/>
  <c r="C110" i="6" a="1"/>
  <c r="C483" i="6" a="1"/>
  <c r="C337" i="6" a="1"/>
  <c r="C229" i="6" a="1"/>
  <c r="C149" i="6" a="1"/>
  <c r="C30" i="6" a="1"/>
  <c r="C396" i="6" a="1"/>
  <c r="C114" i="6" a="1"/>
  <c r="C178" i="6" a="1"/>
  <c r="C78" i="6" a="1"/>
  <c r="C401" i="6" a="1"/>
  <c r="C377" i="6" a="1"/>
  <c r="C17" i="6" a="1"/>
  <c r="C314" i="6" a="1"/>
  <c r="C480" i="6" a="1"/>
  <c r="C447" i="6" a="1"/>
  <c r="C310" i="6" a="1"/>
  <c r="C152" i="6" a="1"/>
  <c r="C329" i="6" a="1"/>
  <c r="C338" i="6" a="1"/>
  <c r="C117" i="6" a="1"/>
  <c r="C262" i="6" a="1"/>
  <c r="C503" i="6" a="1"/>
  <c r="C197" i="6" a="1"/>
  <c r="C216" i="6" a="1"/>
  <c r="C150" i="6" a="1"/>
  <c r="C506" i="6" a="1"/>
  <c r="C68" i="6" a="1"/>
  <c r="C440" i="6" a="1"/>
  <c r="C99" i="6" a="1"/>
  <c r="C432" i="6" a="1"/>
  <c r="C444" i="6" a="1"/>
  <c r="C125" i="6" a="1"/>
  <c r="C52" i="6" a="1"/>
  <c r="C183" i="6" a="1"/>
  <c r="C512" i="6" a="1"/>
  <c r="C8" i="6" a="1"/>
  <c r="C465" i="6" a="1"/>
  <c r="C218" i="6" a="1"/>
  <c r="C369" i="6" a="1"/>
  <c r="C296" i="6" a="1"/>
  <c r="C36" i="6" a="1"/>
  <c r="C76" i="6" a="1"/>
  <c r="C47" i="6" a="1"/>
  <c r="C451" i="6" a="1"/>
  <c r="C211" i="6" a="1"/>
  <c r="C245" i="6" a="1"/>
  <c r="C84" i="6" a="1"/>
  <c r="C129" i="6" a="1"/>
  <c r="C230" i="6" a="1"/>
  <c r="C170" i="6" a="1"/>
  <c r="C459" i="6" a="1"/>
  <c r="C305" i="6" a="1"/>
  <c r="C259" i="6" a="1"/>
  <c r="C206" i="6" a="1"/>
  <c r="C9" i="6" a="1"/>
  <c r="C202" i="6" a="1"/>
  <c r="C28" i="6" a="1"/>
  <c r="C328" i="6" a="1"/>
  <c r="C428" i="6" a="1"/>
  <c r="C495" i="6" a="1"/>
  <c r="C132" i="6" a="1"/>
  <c r="C504" i="6" a="1"/>
  <c r="C266" i="6" a="1"/>
  <c r="C281" i="6" a="1"/>
  <c r="C75" i="6" a="1"/>
  <c r="C42" i="6" a="1"/>
  <c r="C315" i="6" a="1"/>
  <c r="C303" i="6" a="1"/>
  <c r="C172" i="6" a="1"/>
  <c r="C298" i="6" a="1"/>
  <c r="C159" i="6" a="1"/>
  <c r="C405" i="6" a="1"/>
  <c r="C118" i="6" a="1"/>
  <c r="C489" i="6" a="1"/>
  <c r="C313" i="6" a="1"/>
  <c r="C96" i="6" a="1"/>
  <c r="C165" i="6" a="1"/>
  <c r="C254" i="6" a="1"/>
  <c r="C446" i="6" a="1"/>
  <c r="C188" i="6" a="1"/>
  <c r="C472" i="6" a="1"/>
  <c r="C209" i="6" a="1"/>
  <c r="C467" i="6" a="1"/>
  <c r="C122" i="6" a="1"/>
  <c r="C102" i="6" a="1"/>
  <c r="C33" i="6" a="1"/>
  <c r="C426" i="6" a="1"/>
  <c r="C101" i="6" a="1"/>
  <c r="C291" i="6" a="1"/>
  <c r="C224" i="6" a="1"/>
  <c r="C387" i="6" a="1"/>
  <c r="C323" i="6" a="1"/>
  <c r="C250" i="6" a="1"/>
  <c r="C474" i="6" a="1"/>
  <c r="C283" i="6" a="1"/>
  <c r="C376" i="6" a="1"/>
  <c r="C120" i="6" a="1"/>
  <c r="C24" i="6" a="1"/>
  <c r="C508" i="6" a="1"/>
  <c r="C309" i="6" a="1"/>
  <c r="C454" i="6" a="1"/>
  <c r="C392" i="6" a="1"/>
  <c r="C414" i="6" a="1"/>
  <c r="C213" i="6" a="1"/>
  <c r="C27" i="6" a="1"/>
  <c r="C507" i="6" a="1"/>
  <c r="C133" i="6" a="1"/>
  <c r="C210" i="6" a="1"/>
  <c r="C445" i="6" a="1"/>
  <c r="C43" i="6" a="1"/>
  <c r="E64" i="14" a="1"/>
  <c r="E65" i="14" a="1"/>
  <c r="E489" i="12" a="1"/>
  <c r="E476" i="12" a="1"/>
  <c r="E460" i="12" a="1"/>
  <c r="E444" i="12" a="1"/>
  <c r="E428" i="12" a="1"/>
  <c r="E412" i="12" a="1"/>
  <c r="E396" i="12" a="1"/>
  <c r="E380" i="12" a="1"/>
  <c r="E364" i="12" a="1"/>
  <c r="E348" i="12" a="1"/>
  <c r="E332" i="12" a="1"/>
  <c r="E318" i="12" a="1"/>
  <c r="E310" i="12" a="1"/>
  <c r="E302" i="12" a="1"/>
  <c r="E294" i="12" a="1"/>
  <c r="E286" i="12" a="1"/>
  <c r="E479" i="12" a="1"/>
  <c r="E463" i="12" a="1"/>
  <c r="E447" i="12" a="1"/>
  <c r="E431" i="12" a="1"/>
  <c r="E415" i="12" a="1"/>
  <c r="E399" i="12" a="1"/>
  <c r="E383" i="12" a="1"/>
  <c r="E367" i="12" a="1"/>
  <c r="E351" i="12" a="1"/>
  <c r="E335" i="12" a="1"/>
  <c r="E486" i="12" a="1"/>
  <c r="E470" i="12" a="1"/>
  <c r="E454" i="12" a="1"/>
  <c r="E438" i="12" a="1"/>
  <c r="E422" i="12" a="1"/>
  <c r="E406" i="12" a="1"/>
  <c r="E390" i="12" a="1"/>
  <c r="E374" i="12" a="1"/>
  <c r="E358" i="12" a="1"/>
  <c r="E342" i="12" a="1"/>
  <c r="E326" i="12" a="1"/>
  <c r="E315" i="12" a="1"/>
  <c r="E307" i="12" a="1"/>
  <c r="E299" i="12" a="1"/>
  <c r="E291" i="12" a="1"/>
  <c r="E283" i="12" a="1"/>
  <c r="E275" i="12" a="1"/>
  <c r="E469" i="12" a="1"/>
  <c r="E405" i="12" a="1"/>
  <c r="E341" i="12" a="1"/>
  <c r="E260" i="12" a="1"/>
  <c r="E244" i="12" a="1"/>
  <c r="E228" i="12" a="1"/>
  <c r="E212" i="12" a="1"/>
  <c r="E449" i="12" a="1"/>
  <c r="E385" i="12" a="1"/>
  <c r="E321" i="12" a="1"/>
  <c r="E270" i="12" a="1"/>
  <c r="E254" i="12" a="1"/>
  <c r="E238" i="12" a="1"/>
  <c r="E222" i="12" a="1"/>
  <c r="E206" i="12" a="1"/>
  <c r="E429" i="12" a="1"/>
  <c r="E365" i="12" a="1"/>
  <c r="E264" i="12" a="1"/>
  <c r="E248" i="12" a="1"/>
  <c r="E232" i="12" a="1"/>
  <c r="E216" i="12" a="1"/>
  <c r="E409" i="12" a="1"/>
  <c r="E242" i="12" a="1"/>
  <c r="E199" i="12" a="1"/>
  <c r="E182" i="12" a="1"/>
  <c r="E166" i="12" a="1"/>
  <c r="E150" i="12" a="1"/>
  <c r="E134" i="12" a="1"/>
  <c r="E118" i="12" a="1"/>
  <c r="E102" i="12" a="1"/>
  <c r="E94" i="12" a="1"/>
  <c r="E86" i="12" a="1"/>
  <c r="E78" i="12" a="1"/>
  <c r="E70" i="12" a="1"/>
  <c r="E329" i="12" a="1"/>
  <c r="E218" i="12" a="1"/>
  <c r="E194" i="12" a="1"/>
  <c r="E176" i="12" a="1"/>
  <c r="E160" i="12" a="1"/>
  <c r="E144" i="12" a="1"/>
  <c r="E128" i="12" a="1"/>
  <c r="E112" i="12" a="1"/>
  <c r="E377" i="12" a="1"/>
  <c r="E215" i="12" a="1"/>
  <c r="E193" i="12" a="1"/>
  <c r="E178" i="12" a="1"/>
  <c r="E162" i="12" a="1"/>
  <c r="E146" i="12" a="1"/>
  <c r="E130" i="12" a="1"/>
  <c r="E114" i="12" a="1"/>
  <c r="E101" i="12" a="1"/>
  <c r="E93" i="12" a="1"/>
  <c r="E425" i="12" a="1"/>
  <c r="E255" i="12" a="1"/>
  <c r="E200" i="12" a="1"/>
  <c r="E185" i="12" a="1"/>
  <c r="E169" i="12" a="1"/>
  <c r="E153" i="12" a="1"/>
  <c r="E137" i="12" a="1"/>
  <c r="E121" i="12" a="1"/>
  <c r="E105" i="12" a="1"/>
  <c r="E64" i="12" a="1"/>
  <c r="E48" i="12" a="1"/>
  <c r="E32" i="12" a="1"/>
  <c r="E16" i="12" a="1"/>
  <c r="E75" i="12" a="1"/>
  <c r="E55" i="12" a="1"/>
  <c r="E39" i="12" a="1"/>
  <c r="E23" i="12" a="1"/>
  <c r="E7" i="12" a="1"/>
  <c r="E62" i="12" a="1"/>
  <c r="E46" i="12" a="1"/>
  <c r="E30" i="12" a="1"/>
  <c r="E14" i="12" a="1"/>
  <c r="E71" i="12" a="1"/>
  <c r="E53" i="12" a="1"/>
  <c r="E37" i="12" a="1"/>
  <c r="E21" i="12" a="1"/>
  <c r="E5" i="12" a="1"/>
  <c r="E480" i="12" a="1"/>
  <c r="E464" i="12" a="1"/>
  <c r="E448" i="12" a="1"/>
  <c r="E432" i="12" a="1"/>
  <c r="E416" i="12" a="1"/>
  <c r="E400" i="12" a="1"/>
  <c r="E384" i="12" a="1"/>
  <c r="E368" i="12" a="1"/>
  <c r="E352" i="12" a="1"/>
  <c r="E336" i="12" a="1"/>
  <c r="E320" i="12" a="1"/>
  <c r="E312" i="12" a="1"/>
  <c r="E304" i="12" a="1"/>
  <c r="E296" i="12" a="1"/>
  <c r="E288" i="12" a="1"/>
  <c r="E483" i="12" a="1"/>
  <c r="E467" i="12" a="1"/>
  <c r="E451" i="12" a="1"/>
  <c r="E435" i="12" a="1"/>
  <c r="E419" i="12" a="1"/>
  <c r="E403" i="12" a="1"/>
  <c r="E387" i="12" a="1"/>
  <c r="E371" i="12" a="1"/>
  <c r="E355" i="12" a="1"/>
  <c r="E339" i="12" a="1"/>
  <c r="E323" i="12" a="1"/>
  <c r="E474" i="12" a="1"/>
  <c r="E458" i="12" a="1"/>
  <c r="E442" i="12" a="1"/>
  <c r="E426" i="12" a="1"/>
  <c r="E410" i="12" a="1"/>
  <c r="E394" i="12" a="1"/>
  <c r="E378" i="12" a="1"/>
  <c r="E362" i="12" a="1"/>
  <c r="E346" i="12" a="1"/>
  <c r="E330" i="12" a="1"/>
  <c r="E317" i="12" a="1"/>
  <c r="E309" i="12" a="1"/>
  <c r="E301" i="12" a="1"/>
  <c r="E293" i="12" a="1"/>
  <c r="E285" i="12" a="1"/>
  <c r="E277" i="12" a="1"/>
  <c r="E485" i="12" a="1"/>
  <c r="E421" i="12" a="1"/>
  <c r="E357" i="12" a="1"/>
  <c r="E265" i="12" a="1"/>
  <c r="E249" i="12" a="1"/>
  <c r="E233" i="12" a="1"/>
  <c r="E217" i="12" a="1"/>
  <c r="E465" i="12" a="1"/>
  <c r="E401" i="12" a="1"/>
  <c r="E337" i="12" a="1"/>
  <c r="E274" i="12" a="1"/>
  <c r="E259" i="12" a="1"/>
  <c r="E243" i="12" a="1"/>
  <c r="E227" i="12" a="1"/>
  <c r="E211" i="12" a="1"/>
  <c r="E445" i="12" a="1"/>
  <c r="E381" i="12" a="1"/>
  <c r="E269" i="12" a="1"/>
  <c r="E253" i="12" a="1"/>
  <c r="E237" i="12" a="1"/>
  <c r="E221" i="12" a="1"/>
  <c r="E473" i="12" a="1"/>
  <c r="E263" i="12" a="1"/>
  <c r="E203" i="12" a="1"/>
  <c r="E187" i="12" a="1"/>
  <c r="E171" i="12" a="1"/>
  <c r="E155" i="12" a="1"/>
  <c r="E139" i="12" a="1"/>
  <c r="E123" i="12" a="1"/>
  <c r="E107" i="12" a="1"/>
  <c r="E96" i="12" a="1"/>
  <c r="E88" i="12" a="1"/>
  <c r="E80" i="12" a="1"/>
  <c r="E290" i="12" a="1"/>
  <c r="E252" i="12" a="1"/>
  <c r="E472" i="12" a="1"/>
  <c r="E440" i="12" a="1"/>
  <c r="E408" i="12" a="1"/>
  <c r="E376" i="12" a="1"/>
  <c r="E344" i="12" a="1"/>
  <c r="E316" i="12" a="1"/>
  <c r="E300" i="12" a="1"/>
  <c r="E284" i="12" a="1"/>
  <c r="E459" i="12" a="1"/>
  <c r="E427" i="12" a="1"/>
  <c r="E395" i="12" a="1"/>
  <c r="E363" i="12" a="1"/>
  <c r="E331" i="12" a="1"/>
  <c r="E466" i="12" a="1"/>
  <c r="E434" i="12" a="1"/>
  <c r="E402" i="12" a="1"/>
  <c r="E370" i="12" a="1"/>
  <c r="E338" i="12" a="1"/>
  <c r="E313" i="12" a="1"/>
  <c r="E297" i="12" a="1"/>
  <c r="E281" i="12" a="1"/>
  <c r="E453" i="12" a="1"/>
  <c r="E325" i="12" a="1"/>
  <c r="E241" i="12" a="1"/>
  <c r="E209" i="12" a="1"/>
  <c r="E369" i="12" a="1"/>
  <c r="E267" i="12" a="1"/>
  <c r="E235" i="12" a="1"/>
  <c r="E477" i="12" a="1"/>
  <c r="E349" i="12" a="1"/>
  <c r="E245" i="12" a="1"/>
  <c r="E213" i="12" a="1"/>
  <c r="E231" i="12" a="1"/>
  <c r="E179" i="12" a="1"/>
  <c r="E147" i="12" a="1"/>
  <c r="E115" i="12" a="1"/>
  <c r="E92" i="12" a="1"/>
  <c r="E76" i="12" a="1"/>
  <c r="E457" i="12" a="1"/>
  <c r="E239" i="12" a="1"/>
  <c r="E190" i="12" a="1"/>
  <c r="E168" i="12" a="1"/>
  <c r="E149" i="12" a="1"/>
  <c r="E125" i="12" a="1"/>
  <c r="E104" i="12" a="1"/>
  <c r="E226" i="12" a="1"/>
  <c r="E189" i="12" a="1"/>
  <c r="E170" i="12" a="1"/>
  <c r="E151" i="12" a="1"/>
  <c r="E127" i="12" a="1"/>
  <c r="E106" i="12" a="1"/>
  <c r="E95" i="12" a="1"/>
  <c r="E361" i="12" a="1"/>
  <c r="E223" i="12" a="1"/>
  <c r="E188" i="12" a="1"/>
  <c r="E164" i="12" a="1"/>
  <c r="E145" i="12" a="1"/>
  <c r="E124" i="12" a="1"/>
  <c r="E85" i="12" a="1"/>
  <c r="E56" i="12" a="1"/>
  <c r="E36" i="12" a="1"/>
  <c r="E12" i="12" a="1"/>
  <c r="E63" i="12" a="1"/>
  <c r="E43" i="12" a="1"/>
  <c r="E19" i="12" a="1"/>
  <c r="E73" i="12" a="1"/>
  <c r="E50" i="12" a="1"/>
  <c r="E26" i="12" a="1"/>
  <c r="E6" i="12" a="1"/>
  <c r="E57" i="12" a="1"/>
  <c r="E33" i="12" a="1"/>
  <c r="E13" i="12" a="1"/>
  <c r="E3" i="12" a="1"/>
  <c r="E219" i="12" a="1"/>
  <c r="E413" i="12" a="1"/>
  <c r="E261" i="12" a="1"/>
  <c r="E229" i="12" a="1"/>
  <c r="E345" i="12" a="1"/>
  <c r="E195" i="12" a="1"/>
  <c r="E131" i="12" a="1"/>
  <c r="E100" i="12" a="1"/>
  <c r="E84" i="12" a="1"/>
  <c r="E72" i="12" a="1"/>
  <c r="E202" i="12" a="1"/>
  <c r="E157" i="12" a="1"/>
  <c r="E117" i="12" a="1"/>
  <c r="E201" i="12" a="1"/>
  <c r="E159" i="12" a="1"/>
  <c r="E119" i="12" a="1"/>
  <c r="E89" i="12" a="1"/>
  <c r="E196" i="12" a="1"/>
  <c r="E156" i="12" a="1"/>
  <c r="E113" i="12" a="1"/>
  <c r="E44" i="12" a="1"/>
  <c r="E83" i="12" a="1"/>
  <c r="E31" i="12" a="1"/>
  <c r="E58" i="12" a="1"/>
  <c r="E65" i="12" a="1"/>
  <c r="E25" i="12" a="1"/>
  <c r="E484" i="12" a="1"/>
  <c r="E452" i="12" a="1"/>
  <c r="E420" i="12" a="1"/>
  <c r="E388" i="12" a="1"/>
  <c r="E356" i="12" a="1"/>
  <c r="E324" i="12" a="1"/>
  <c r="E306" i="12" a="1"/>
  <c r="E471" i="12" a="1"/>
  <c r="E439" i="12" a="1"/>
  <c r="E407" i="12" a="1"/>
  <c r="E478" i="12" a="1"/>
  <c r="E446" i="12" a="1"/>
  <c r="E414" i="12" a="1"/>
  <c r="E382" i="12" a="1"/>
  <c r="E350" i="12" a="1"/>
  <c r="E319" i="12" a="1"/>
  <c r="E303" i="12" a="1"/>
  <c r="E287" i="12" a="1"/>
  <c r="E271" i="12" a="1"/>
  <c r="E373" i="12" a="1"/>
  <c r="E468" i="12" a="1"/>
  <c r="E436" i="12" a="1"/>
  <c r="E404" i="12" a="1"/>
  <c r="E372" i="12" a="1"/>
  <c r="E340" i="12" a="1"/>
  <c r="E314" i="12" a="1"/>
  <c r="E298" i="12" a="1"/>
  <c r="E487" i="12" a="1"/>
  <c r="E455" i="12" a="1"/>
  <c r="E423" i="12" a="1"/>
  <c r="E391" i="12" a="1"/>
  <c r="E359" i="12" a="1"/>
  <c r="E327" i="12" a="1"/>
  <c r="E462" i="12" a="1"/>
  <c r="E430" i="12" a="1"/>
  <c r="E398" i="12" a="1"/>
  <c r="E366" i="12" a="1"/>
  <c r="E334" i="12" a="1"/>
  <c r="E311" i="12" a="1"/>
  <c r="E295" i="12" a="1"/>
  <c r="E279" i="12" a="1"/>
  <c r="E437" i="12" a="1"/>
  <c r="E268" i="12" a="1"/>
  <c r="E236" i="12" a="1"/>
  <c r="E481" i="12" a="1"/>
  <c r="E353" i="12" a="1"/>
  <c r="E262" i="12" a="1"/>
  <c r="E230" i="12" a="1"/>
  <c r="E461" i="12" a="1"/>
  <c r="E333" i="12" a="1"/>
  <c r="E240" i="12" a="1"/>
  <c r="E208" i="12" a="1"/>
  <c r="E210" i="12" a="1"/>
  <c r="E174" i="12" a="1"/>
  <c r="E142" i="12" a="1"/>
  <c r="E110" i="12" a="1"/>
  <c r="E90" i="12" a="1"/>
  <c r="E74" i="12" a="1"/>
  <c r="E393" i="12" a="1"/>
  <c r="E207" i="12" a="1"/>
  <c r="E184" i="12" a="1"/>
  <c r="E165" i="12" a="1"/>
  <c r="E141" i="12" a="1"/>
  <c r="E120" i="12" a="1"/>
  <c r="E441" i="12" a="1"/>
  <c r="E205" i="12" a="1"/>
  <c r="E186" i="12" a="1"/>
  <c r="E167" i="12" a="1"/>
  <c r="E143" i="12" a="1"/>
  <c r="E122" i="12" a="1"/>
  <c r="E103" i="12" a="1"/>
  <c r="E91" i="12" a="1"/>
  <c r="E280" i="12" a="1"/>
  <c r="E204" i="12" a="1"/>
  <c r="E180" i="12" a="1"/>
  <c r="E161" i="12" a="1"/>
  <c r="E140" i="12" a="1"/>
  <c r="E116" i="12" a="1"/>
  <c r="E77" i="12" a="1"/>
  <c r="E52" i="12" a="1"/>
  <c r="E28" i="12" a="1"/>
  <c r="E8" i="12" a="1"/>
  <c r="E59" i="12" a="1"/>
  <c r="E35" i="12" a="1"/>
  <c r="E15" i="12" a="1"/>
  <c r="E66" i="12" a="1"/>
  <c r="E42" i="12" a="1"/>
  <c r="E22" i="12" a="1"/>
  <c r="E79" i="12" a="1"/>
  <c r="E49" i="12" a="1"/>
  <c r="E29" i="12" a="1"/>
  <c r="E9" i="12" a="1"/>
  <c r="E488" i="12" a="1"/>
  <c r="E456" i="12" a="1"/>
  <c r="E424" i="12" a="1"/>
  <c r="E392" i="12" a="1"/>
  <c r="E360" i="12" a="1"/>
  <c r="E328" i="12" a="1"/>
  <c r="E308" i="12" a="1"/>
  <c r="E292" i="12" a="1"/>
  <c r="E475" i="12" a="1"/>
  <c r="E443" i="12" a="1"/>
  <c r="E411" i="12" a="1"/>
  <c r="E379" i="12" a="1"/>
  <c r="E347" i="12" a="1"/>
  <c r="E482" i="12" a="1"/>
  <c r="E450" i="12" a="1"/>
  <c r="E418" i="12" a="1"/>
  <c r="E386" i="12" a="1"/>
  <c r="E354" i="12" a="1"/>
  <c r="E322" i="12" a="1"/>
  <c r="E305" i="12" a="1"/>
  <c r="E289" i="12" a="1"/>
  <c r="E273" i="12" a="1"/>
  <c r="E389" i="12" a="1"/>
  <c r="E257" i="12" a="1"/>
  <c r="E225" i="12" a="1"/>
  <c r="E433" i="12" a="1"/>
  <c r="E282" i="12" a="1"/>
  <c r="E251" i="12" a="1"/>
  <c r="E272" i="12" a="1"/>
  <c r="E181" i="12" a="1"/>
  <c r="E136" i="12" a="1"/>
  <c r="E258" i="12" a="1"/>
  <c r="E183" i="12" a="1"/>
  <c r="E138" i="12" a="1"/>
  <c r="E99" i="12" a="1"/>
  <c r="E266" i="12" a="1"/>
  <c r="E177" i="12" a="1"/>
  <c r="E132" i="12" a="1"/>
  <c r="E69" i="12" a="1"/>
  <c r="E24" i="12" a="1"/>
  <c r="E51" i="12" a="1"/>
  <c r="E11" i="12" a="1"/>
  <c r="E38" i="12" a="1"/>
  <c r="E45" i="12" a="1"/>
  <c r="E4" i="12" a="1"/>
  <c r="E63" i="14" a="1"/>
  <c r="E375" i="12" a="1"/>
  <c r="E163" i="12" a="1"/>
  <c r="E18" i="12" a="1"/>
  <c r="E343" i="12" a="1"/>
  <c r="E220" i="12" a="1"/>
  <c r="E417" i="12" a="1"/>
  <c r="E397" i="12" a="1"/>
  <c r="E191" i="12" a="1"/>
  <c r="E82" i="12" a="1"/>
  <c r="E173" i="12" a="1"/>
  <c r="E247" i="12" a="1"/>
  <c r="E135" i="12" a="1"/>
  <c r="E234" i="12" a="1"/>
  <c r="E129" i="12" a="1"/>
  <c r="E20" i="12" a="1"/>
  <c r="E81" i="12" a="1"/>
  <c r="E61" i="12" a="1"/>
  <c r="E98" i="12" a="1"/>
  <c r="E154" i="12" a="1"/>
  <c r="E40" i="12" a="1"/>
  <c r="E278" i="12" a="1"/>
  <c r="E256" i="12" a="1"/>
  <c r="E158" i="12" a="1"/>
  <c r="E68" i="12" a="1"/>
  <c r="E152" i="12" a="1"/>
  <c r="E197" i="12" a="1"/>
  <c r="E111" i="12" a="1"/>
  <c r="E192" i="12" a="1"/>
  <c r="E108" i="12" a="1"/>
  <c r="E67" i="12" a="1"/>
  <c r="E54" i="12" a="1"/>
  <c r="E41" i="12" a="1"/>
  <c r="E214" i="12" a="1"/>
  <c r="E198" i="12" a="1"/>
  <c r="E87" i="12" a="1"/>
  <c r="E27" i="12" a="1"/>
  <c r="E246" i="12" a="1"/>
  <c r="E224" i="12" a="1"/>
  <c r="E126" i="12" a="1"/>
  <c r="E250" i="12" a="1"/>
  <c r="E133" i="12" a="1"/>
  <c r="E175" i="12" a="1"/>
  <c r="E97" i="12" a="1"/>
  <c r="E172" i="12" a="1"/>
  <c r="E60" i="12" a="1"/>
  <c r="E47" i="12" a="1"/>
  <c r="E34" i="12" a="1"/>
  <c r="E17" i="12" a="1"/>
  <c r="E276" i="12" a="1"/>
  <c r="E109" i="12" a="1"/>
  <c r="E148" i="12" a="1"/>
  <c r="E10" i="12" a="1"/>
  <c r="E31" i="14" a="1"/>
  <c r="E16" i="14" a="1"/>
  <c r="B5" i="14" l="1"/>
  <c r="C61" i="14"/>
  <c r="C21" i="14"/>
  <c r="B39" i="14"/>
  <c r="B51" i="14"/>
  <c r="B45" i="14"/>
  <c r="B11" i="14"/>
  <c r="C34" i="14"/>
  <c r="B12" i="14"/>
  <c r="B55" i="14"/>
  <c r="B9" i="14"/>
  <c r="C24" i="14"/>
  <c r="C42" i="14"/>
  <c r="E65" i="14"/>
  <c r="E64" i="14"/>
  <c r="C59" i="14"/>
  <c r="B57" i="14"/>
  <c r="B20" i="14"/>
  <c r="C41" i="14"/>
  <c r="B7" i="14"/>
  <c r="B49" i="14"/>
  <c r="B41" i="14"/>
  <c r="B28" i="14"/>
  <c r="C46" i="14"/>
  <c r="C12" i="14"/>
  <c r="B54" i="14"/>
  <c r="B44" i="14"/>
  <c r="B19" i="14"/>
  <c r="B10" i="14"/>
  <c r="B56" i="14"/>
  <c r="B43" i="14"/>
  <c r="C18" i="14"/>
  <c r="B26" i="14"/>
  <c r="C29" i="14"/>
  <c r="B13" i="14"/>
  <c r="C4" i="14"/>
  <c r="B33" i="14"/>
  <c r="B32" i="14"/>
  <c r="C7" i="14"/>
  <c r="C20" i="14"/>
  <c r="C45" i="14"/>
  <c r="B40" i="14"/>
  <c r="B15" i="14"/>
  <c r="B52" i="14"/>
  <c r="B35" i="14"/>
  <c r="C62" i="14"/>
  <c r="C43" i="14"/>
  <c r="C22" i="14"/>
  <c r="B6" i="14"/>
  <c r="C35" i="14"/>
  <c r="B46" i="14"/>
  <c r="B53" i="14"/>
  <c r="B47" i="14"/>
  <c r="B29" i="14"/>
  <c r="C49" i="14"/>
  <c r="B36" i="14"/>
  <c r="B8" i="14"/>
  <c r="B34" i="14"/>
  <c r="C32" i="14"/>
  <c r="B18" i="14"/>
  <c r="B62" i="14"/>
  <c r="C54" i="14"/>
  <c r="B42" i="14"/>
  <c r="C60" i="14"/>
  <c r="C47" i="14"/>
  <c r="B50" i="14"/>
  <c r="B21" i="14"/>
  <c r="C56" i="14"/>
  <c r="B58" i="14"/>
  <c r="B27" i="14"/>
  <c r="C37" i="14"/>
  <c r="B48" i="14"/>
  <c r="B23" i="14"/>
  <c r="B30" i="14"/>
  <c r="B60" i="14"/>
  <c r="C33" i="14"/>
  <c r="C50" i="14"/>
  <c r="B4" i="14"/>
  <c r="C6" i="14"/>
  <c r="B17" i="14"/>
  <c r="C52" i="14"/>
  <c r="B38" i="14"/>
  <c r="C58" i="14"/>
  <c r="B25" i="14"/>
  <c r="C14" i="14"/>
  <c r="C39" i="14"/>
  <c r="E10" i="12"/>
  <c r="E148" i="12"/>
  <c r="E109" i="12"/>
  <c r="E276" i="12"/>
  <c r="E17" i="12"/>
  <c r="E34" i="12"/>
  <c r="E47" i="12"/>
  <c r="E60" i="12"/>
  <c r="E172" i="12"/>
  <c r="E97" i="12"/>
  <c r="E175" i="12"/>
  <c r="E133" i="12"/>
  <c r="E250" i="12"/>
  <c r="E126" i="12"/>
  <c r="E224" i="12"/>
  <c r="E246" i="12"/>
  <c r="E27" i="12"/>
  <c r="E87" i="12"/>
  <c r="E198" i="12"/>
  <c r="E214" i="12"/>
  <c r="E41" i="12"/>
  <c r="E54" i="12"/>
  <c r="E67" i="12"/>
  <c r="E108" i="12"/>
  <c r="E192" i="12"/>
  <c r="E111" i="12"/>
  <c r="E197" i="12"/>
  <c r="E152" i="12"/>
  <c r="E68" i="12"/>
  <c r="E158" i="12"/>
  <c r="E256" i="12"/>
  <c r="E278" i="12"/>
  <c r="E40" i="12"/>
  <c r="E154" i="12"/>
  <c r="E98" i="12"/>
  <c r="E61" i="12"/>
  <c r="E81" i="12"/>
  <c r="E20" i="12"/>
  <c r="E129" i="12"/>
  <c r="E234" i="12"/>
  <c r="E135" i="12"/>
  <c r="E247" i="12"/>
  <c r="E173" i="12"/>
  <c r="E82" i="12"/>
  <c r="E191" i="12"/>
  <c r="E397" i="12"/>
  <c r="E417" i="12"/>
  <c r="E220" i="12"/>
  <c r="E343" i="12"/>
  <c r="E18" i="12"/>
  <c r="E163" i="12"/>
  <c r="E375" i="12"/>
  <c r="E63" i="14"/>
  <c r="E4" i="12"/>
  <c r="E45" i="12"/>
  <c r="E38" i="12"/>
  <c r="E11" i="12"/>
  <c r="E51" i="12"/>
  <c r="E24" i="12"/>
  <c r="E69" i="12"/>
  <c r="E132" i="12"/>
  <c r="E177" i="12"/>
  <c r="E266" i="12"/>
  <c r="E99" i="12"/>
  <c r="E138" i="12"/>
  <c r="E183" i="12"/>
  <c r="E258" i="12"/>
  <c r="E136" i="12"/>
  <c r="E181" i="12"/>
  <c r="E272" i="12"/>
  <c r="E251" i="12"/>
  <c r="E282" i="12"/>
  <c r="E433" i="12"/>
  <c r="E225" i="12"/>
  <c r="E257" i="12"/>
  <c r="E389" i="12"/>
  <c r="E273" i="12"/>
  <c r="E289" i="12"/>
  <c r="E305" i="12"/>
  <c r="E322" i="12"/>
  <c r="E354" i="12"/>
  <c r="E386" i="12"/>
  <c r="E418" i="12"/>
  <c r="E450" i="12"/>
  <c r="E482" i="12"/>
  <c r="E347" i="12"/>
  <c r="E379" i="12"/>
  <c r="E411" i="12"/>
  <c r="E443" i="12"/>
  <c r="E475" i="12"/>
  <c r="E292" i="12"/>
  <c r="E308" i="12"/>
  <c r="E328" i="12"/>
  <c r="E360" i="12"/>
  <c r="E392" i="12"/>
  <c r="E424" i="12"/>
  <c r="E456" i="12"/>
  <c r="E488" i="12"/>
  <c r="E9" i="12"/>
  <c r="E29" i="12"/>
  <c r="E49" i="12"/>
  <c r="E79" i="12"/>
  <c r="E22" i="12"/>
  <c r="E42" i="12"/>
  <c r="E66" i="12"/>
  <c r="E15" i="12"/>
  <c r="E35" i="12"/>
  <c r="E59" i="12"/>
  <c r="E8" i="12"/>
  <c r="E28" i="12"/>
  <c r="E52" i="12"/>
  <c r="E77" i="12"/>
  <c r="E116" i="12"/>
  <c r="E140" i="12"/>
  <c r="E161" i="12"/>
  <c r="E180" i="12"/>
  <c r="E204" i="12"/>
  <c r="E280" i="12"/>
  <c r="E91" i="12"/>
  <c r="E103" i="12"/>
  <c r="E122" i="12"/>
  <c r="E143" i="12"/>
  <c r="E167" i="12"/>
  <c r="E186" i="12"/>
  <c r="E205" i="12"/>
  <c r="E441" i="12"/>
  <c r="E120" i="12"/>
  <c r="E141" i="12"/>
  <c r="E165" i="12"/>
  <c r="E184" i="12"/>
  <c r="E207" i="12"/>
  <c r="E393" i="12"/>
  <c r="E74" i="12"/>
  <c r="E90" i="12"/>
  <c r="E110" i="12"/>
  <c r="E142" i="12"/>
  <c r="E174" i="12"/>
  <c r="E210" i="12"/>
  <c r="E208" i="12"/>
  <c r="E240" i="12"/>
  <c r="E333" i="12"/>
  <c r="E461" i="12"/>
  <c r="E230" i="12"/>
  <c r="E262" i="12"/>
  <c r="E353" i="12"/>
  <c r="E481" i="12"/>
  <c r="E236" i="12"/>
  <c r="E268" i="12"/>
  <c r="E437" i="12"/>
  <c r="E279" i="12"/>
  <c r="E295" i="12"/>
  <c r="E311" i="12"/>
  <c r="E334" i="12"/>
  <c r="E366" i="12"/>
  <c r="E398" i="12"/>
  <c r="E430" i="12"/>
  <c r="E462" i="12"/>
  <c r="E327" i="12"/>
  <c r="E359" i="12"/>
  <c r="E391" i="12"/>
  <c r="E423" i="12"/>
  <c r="E455" i="12"/>
  <c r="E487" i="12"/>
  <c r="E298" i="12"/>
  <c r="E314" i="12"/>
  <c r="E340" i="12"/>
  <c r="E372" i="12"/>
  <c r="E404" i="12"/>
  <c r="E436" i="12"/>
  <c r="E468" i="12"/>
  <c r="E373" i="12"/>
  <c r="E271" i="12"/>
  <c r="E287" i="12"/>
  <c r="E303" i="12"/>
  <c r="E319" i="12"/>
  <c r="E350" i="12"/>
  <c r="E382" i="12"/>
  <c r="E414" i="12"/>
  <c r="E446" i="12"/>
  <c r="E478" i="12"/>
  <c r="E407" i="12"/>
  <c r="E439" i="12"/>
  <c r="E471" i="12"/>
  <c r="E306" i="12"/>
  <c r="E324" i="12"/>
  <c r="E356" i="12"/>
  <c r="E388" i="12"/>
  <c r="E420" i="12"/>
  <c r="E452" i="12"/>
  <c r="E484" i="12"/>
  <c r="E25" i="12"/>
  <c r="E65" i="12"/>
  <c r="E58" i="12"/>
  <c r="E31" i="12"/>
  <c r="E83" i="12"/>
  <c r="E44" i="12"/>
  <c r="E113" i="12"/>
  <c r="E156" i="12"/>
  <c r="E196" i="12"/>
  <c r="E89" i="12"/>
  <c r="E119" i="12"/>
  <c r="E159" i="12"/>
  <c r="E201" i="12"/>
  <c r="E117" i="12"/>
  <c r="E157" i="12"/>
  <c r="E202" i="12"/>
  <c r="E72" i="12"/>
  <c r="E84" i="12"/>
  <c r="E100" i="12"/>
  <c r="E131" i="12"/>
  <c r="E195" i="12"/>
  <c r="E345" i="12"/>
  <c r="E229" i="12"/>
  <c r="E261" i="12"/>
  <c r="E413" i="12"/>
  <c r="E219" i="12"/>
  <c r="E3" i="12"/>
  <c r="E13" i="12"/>
  <c r="E33" i="12"/>
  <c r="E57" i="12"/>
  <c r="E6" i="12"/>
  <c r="E26" i="12"/>
  <c r="E50" i="12"/>
  <c r="E73" i="12"/>
  <c r="E19" i="12"/>
  <c r="E43" i="12"/>
  <c r="E63" i="12"/>
  <c r="E12" i="12"/>
  <c r="E36" i="12"/>
  <c r="E56" i="12"/>
  <c r="E85" i="12"/>
  <c r="E124" i="12"/>
  <c r="E145" i="12"/>
  <c r="E164" i="12"/>
  <c r="E188" i="12"/>
  <c r="E223" i="12"/>
  <c r="E361" i="12"/>
  <c r="E95" i="12"/>
  <c r="E106" i="12"/>
  <c r="E127" i="12"/>
  <c r="E151" i="12"/>
  <c r="E170" i="12"/>
  <c r="E189" i="12"/>
  <c r="E226" i="12"/>
  <c r="E104" i="12"/>
  <c r="E125" i="12"/>
  <c r="E149" i="12"/>
  <c r="E168" i="12"/>
  <c r="E190" i="12"/>
  <c r="E239" i="12"/>
  <c r="E457" i="12"/>
  <c r="E76" i="12"/>
  <c r="E92" i="12"/>
  <c r="E115" i="12"/>
  <c r="E147" i="12"/>
  <c r="E179" i="12"/>
  <c r="E231" i="12"/>
  <c r="E213" i="12"/>
  <c r="E245" i="12"/>
  <c r="E349" i="12"/>
  <c r="E477" i="12"/>
  <c r="E235" i="12"/>
  <c r="E267" i="12"/>
  <c r="E369" i="12"/>
  <c r="E209" i="12"/>
  <c r="E241" i="12"/>
  <c r="E325" i="12"/>
  <c r="E453" i="12"/>
  <c r="E281" i="12"/>
  <c r="E297" i="12"/>
  <c r="E313" i="12"/>
  <c r="E338" i="12"/>
  <c r="E370" i="12"/>
  <c r="E402" i="12"/>
  <c r="E434" i="12"/>
  <c r="E466" i="12"/>
  <c r="E331" i="12"/>
  <c r="E363" i="12"/>
  <c r="E395" i="12"/>
  <c r="E427" i="12"/>
  <c r="E459" i="12"/>
  <c r="E284" i="12"/>
  <c r="E300" i="12"/>
  <c r="E316" i="12"/>
  <c r="E344" i="12"/>
  <c r="E376" i="12"/>
  <c r="E408" i="12"/>
  <c r="E440" i="12"/>
  <c r="E472" i="12"/>
  <c r="E252" i="12"/>
  <c r="E290" i="12"/>
  <c r="E80" i="12"/>
  <c r="E88" i="12"/>
  <c r="E96" i="12"/>
  <c r="E107" i="12"/>
  <c r="E123" i="12"/>
  <c r="E139" i="12"/>
  <c r="E155" i="12"/>
  <c r="E171" i="12"/>
  <c r="E187" i="12"/>
  <c r="E203" i="12"/>
  <c r="E263" i="12"/>
  <c r="E473" i="12"/>
  <c r="E221" i="12"/>
  <c r="E237" i="12"/>
  <c r="E253" i="12"/>
  <c r="E269" i="12"/>
  <c r="E381" i="12"/>
  <c r="E445" i="12"/>
  <c r="E211" i="12"/>
  <c r="E227" i="12"/>
  <c r="E243" i="12"/>
  <c r="E259" i="12"/>
  <c r="E274" i="12"/>
  <c r="E337" i="12"/>
  <c r="E401" i="12"/>
  <c r="E465" i="12"/>
  <c r="E217" i="12"/>
  <c r="E233" i="12"/>
  <c r="E249" i="12"/>
  <c r="E265" i="12"/>
  <c r="E357" i="12"/>
  <c r="E421" i="12"/>
  <c r="E485" i="12"/>
  <c r="E277" i="12"/>
  <c r="E285" i="12"/>
  <c r="E293" i="12"/>
  <c r="E301" i="12"/>
  <c r="E309" i="12"/>
  <c r="E317" i="12"/>
  <c r="E330" i="12"/>
  <c r="E346" i="12"/>
  <c r="E362" i="12"/>
  <c r="E378" i="12"/>
  <c r="E394" i="12"/>
  <c r="E410" i="12"/>
  <c r="E426" i="12"/>
  <c r="E442" i="12"/>
  <c r="E458" i="12"/>
  <c r="E474" i="12"/>
  <c r="E323" i="12"/>
  <c r="E339" i="12"/>
  <c r="E355" i="12"/>
  <c r="E371" i="12"/>
  <c r="E387" i="12"/>
  <c r="E403" i="12"/>
  <c r="E419" i="12"/>
  <c r="E435" i="12"/>
  <c r="E451" i="12"/>
  <c r="E467" i="12"/>
  <c r="E483" i="12"/>
  <c r="E288" i="12"/>
  <c r="E296" i="12"/>
  <c r="E304" i="12"/>
  <c r="E312" i="12"/>
  <c r="E320" i="12"/>
  <c r="E336" i="12"/>
  <c r="E352" i="12"/>
  <c r="E368" i="12"/>
  <c r="E384" i="12"/>
  <c r="E400" i="12"/>
  <c r="E416" i="12"/>
  <c r="E432" i="12"/>
  <c r="E448" i="12"/>
  <c r="E464" i="12"/>
  <c r="E480" i="12"/>
  <c r="E5" i="12"/>
  <c r="E21" i="12"/>
  <c r="E37" i="12"/>
  <c r="E53" i="12"/>
  <c r="E71" i="12"/>
  <c r="E14" i="12"/>
  <c r="E30" i="12"/>
  <c r="E46" i="12"/>
  <c r="E62" i="12"/>
  <c r="E7" i="12"/>
  <c r="E23" i="12"/>
  <c r="E39" i="12"/>
  <c r="E55" i="12"/>
  <c r="E75" i="12"/>
  <c r="E16" i="12"/>
  <c r="E32" i="12"/>
  <c r="E48" i="12"/>
  <c r="E64" i="12"/>
  <c r="E105" i="12"/>
  <c r="E121" i="12"/>
  <c r="E137" i="12"/>
  <c r="E153" i="12"/>
  <c r="E169" i="12"/>
  <c r="E185" i="12"/>
  <c r="E200" i="12"/>
  <c r="E255" i="12"/>
  <c r="E425" i="12"/>
  <c r="E93" i="12"/>
  <c r="E101" i="12"/>
  <c r="E114" i="12"/>
  <c r="E130" i="12"/>
  <c r="E146" i="12"/>
  <c r="E162" i="12"/>
  <c r="E178" i="12"/>
  <c r="E193" i="12"/>
  <c r="E215" i="12"/>
  <c r="E377" i="12"/>
  <c r="E112" i="12"/>
  <c r="E128" i="12"/>
  <c r="E144" i="12"/>
  <c r="E160" i="12"/>
  <c r="E176" i="12"/>
  <c r="E194" i="12"/>
  <c r="E218" i="12"/>
  <c r="E329" i="12"/>
  <c r="E70" i="12"/>
  <c r="E78" i="12"/>
  <c r="E86" i="12"/>
  <c r="E94" i="12"/>
  <c r="E102" i="12"/>
  <c r="E118" i="12"/>
  <c r="E134" i="12"/>
  <c r="E150" i="12"/>
  <c r="E166" i="12"/>
  <c r="E182" i="12"/>
  <c r="E199" i="12"/>
  <c r="E242" i="12"/>
  <c r="E409" i="12"/>
  <c r="E216" i="12"/>
  <c r="E232" i="12"/>
  <c r="E248" i="12"/>
  <c r="E264" i="12"/>
  <c r="E365" i="12"/>
  <c r="E429" i="12"/>
  <c r="E206" i="12"/>
  <c r="E222" i="12"/>
  <c r="E238" i="12"/>
  <c r="E254" i="12"/>
  <c r="E270" i="12"/>
  <c r="E321" i="12"/>
  <c r="E385" i="12"/>
  <c r="E449" i="12"/>
  <c r="E212" i="12"/>
  <c r="E228" i="12"/>
  <c r="E244" i="12"/>
  <c r="E260" i="12"/>
  <c r="E341" i="12"/>
  <c r="E405" i="12"/>
  <c r="E469" i="12"/>
  <c r="E275" i="12"/>
  <c r="E283" i="12"/>
  <c r="E291" i="12"/>
  <c r="E299" i="12"/>
  <c r="E307" i="12"/>
  <c r="E315" i="12"/>
  <c r="E326" i="12"/>
  <c r="E342" i="12"/>
  <c r="E358" i="12"/>
  <c r="E374" i="12"/>
  <c r="E390" i="12"/>
  <c r="E406" i="12"/>
  <c r="E422" i="12"/>
  <c r="E438" i="12"/>
  <c r="E454" i="12"/>
  <c r="E470" i="12"/>
  <c r="E486" i="12"/>
  <c r="E335" i="12"/>
  <c r="E351" i="12"/>
  <c r="E367" i="12"/>
  <c r="E383" i="12"/>
  <c r="E399" i="12"/>
  <c r="E415" i="12"/>
  <c r="E431" i="12"/>
  <c r="E447" i="12"/>
  <c r="E463" i="12"/>
  <c r="E479" i="12"/>
  <c r="E286" i="12"/>
  <c r="E294" i="12"/>
  <c r="E302" i="12"/>
  <c r="E310" i="12"/>
  <c r="E318" i="12"/>
  <c r="E332" i="12"/>
  <c r="E348" i="12"/>
  <c r="E364" i="12"/>
  <c r="E380" i="12"/>
  <c r="E396" i="12"/>
  <c r="E412" i="12"/>
  <c r="E428" i="12"/>
  <c r="E444" i="12"/>
  <c r="E460" i="12"/>
  <c r="E476" i="12"/>
  <c r="E489" i="12"/>
  <c r="E31" i="14"/>
  <c r="E16" i="14"/>
  <c r="C28" i="14"/>
  <c r="C11" i="14"/>
  <c r="C43" i="6"/>
  <c r="C445" i="6"/>
  <c r="C210" i="6"/>
  <c r="C133" i="6"/>
  <c r="C507" i="6"/>
  <c r="C27" i="6"/>
  <c r="C213" i="6"/>
  <c r="C414" i="6"/>
  <c r="C392" i="6"/>
  <c r="C454" i="6"/>
  <c r="C309" i="6"/>
  <c r="C508" i="6"/>
  <c r="C24" i="6"/>
  <c r="C120" i="6"/>
  <c r="C376" i="6"/>
  <c r="C283" i="6"/>
  <c r="C474" i="6"/>
  <c r="C250" i="6"/>
  <c r="C323" i="6"/>
  <c r="C387" i="6"/>
  <c r="C224" i="6"/>
  <c r="C291" i="6"/>
  <c r="C101" i="6"/>
  <c r="C426" i="6"/>
  <c r="C33" i="6"/>
  <c r="C102" i="6"/>
  <c r="C122" i="6"/>
  <c r="C467" i="6"/>
  <c r="C209" i="6"/>
  <c r="C472" i="6"/>
  <c r="C188" i="6"/>
  <c r="C446" i="6"/>
  <c r="C254" i="6"/>
  <c r="C165" i="6"/>
  <c r="C96" i="6"/>
  <c r="C313" i="6"/>
  <c r="C489" i="6"/>
  <c r="C118" i="6"/>
  <c r="C405" i="6"/>
  <c r="C159" i="6"/>
  <c r="C298" i="6"/>
  <c r="C172" i="6"/>
  <c r="C303" i="6"/>
  <c r="C315" i="6"/>
  <c r="C42" i="6"/>
  <c r="C75" i="6"/>
  <c r="C281" i="6"/>
  <c r="C266" i="6"/>
  <c r="C504" i="6"/>
  <c r="C132" i="6"/>
  <c r="C495" i="6"/>
  <c r="C428" i="6"/>
  <c r="C328" i="6"/>
  <c r="C28" i="6"/>
  <c r="C202" i="6"/>
  <c r="C9" i="6"/>
  <c r="C206" i="6"/>
  <c r="C259" i="6"/>
  <c r="C305" i="6"/>
  <c r="C459" i="6"/>
  <c r="C170" i="6"/>
  <c r="C230" i="6"/>
  <c r="C129" i="6"/>
  <c r="C84" i="6"/>
  <c r="C245" i="6"/>
  <c r="C211" i="6"/>
  <c r="C451" i="6"/>
  <c r="C47" i="6"/>
  <c r="C76" i="6"/>
  <c r="C36" i="6"/>
  <c r="C296" i="6"/>
  <c r="C369" i="6"/>
  <c r="C218" i="6"/>
  <c r="C465" i="6"/>
  <c r="C8" i="6"/>
  <c r="C512" i="6"/>
  <c r="C183" i="6"/>
  <c r="C52" i="6"/>
  <c r="C125" i="6"/>
  <c r="C444" i="6"/>
  <c r="C432" i="6"/>
  <c r="C99" i="6"/>
  <c r="C440" i="6"/>
  <c r="C68" i="6"/>
  <c r="C506" i="6"/>
  <c r="C150" i="6"/>
  <c r="C216" i="6"/>
  <c r="C197" i="6"/>
  <c r="C503" i="6"/>
  <c r="C262" i="6"/>
  <c r="C117" i="6"/>
  <c r="C338" i="6"/>
  <c r="C329" i="6"/>
  <c r="C152" i="6"/>
  <c r="C310" i="6"/>
  <c r="C447" i="6"/>
  <c r="C480" i="6"/>
  <c r="C314" i="6"/>
  <c r="C17" i="6"/>
  <c r="C377" i="6"/>
  <c r="C401" i="6"/>
  <c r="C78" i="6"/>
  <c r="C178" i="6"/>
  <c r="C114" i="6"/>
  <c r="C396" i="6"/>
  <c r="C30" i="6"/>
  <c r="C149" i="6"/>
  <c r="C229" i="6"/>
  <c r="C337" i="6"/>
  <c r="C483" i="6"/>
  <c r="C110" i="6"/>
  <c r="C246" i="6"/>
  <c r="C161" i="6"/>
  <c r="C244" i="6"/>
  <c r="C98" i="6"/>
  <c r="C373" i="6"/>
  <c r="C14" i="6"/>
  <c r="C493" i="6"/>
  <c r="C352" i="6"/>
  <c r="C334" i="6"/>
  <c r="C57" i="6"/>
  <c r="C176" i="6"/>
  <c r="C302" i="6"/>
  <c r="C520" i="6"/>
  <c r="C415" i="6"/>
  <c r="C175" i="6"/>
  <c r="C406" i="6"/>
  <c r="C105" i="6"/>
  <c r="C60" i="6"/>
  <c r="C402" i="6"/>
  <c r="C241" i="6"/>
  <c r="C312" i="6"/>
  <c r="C198" i="6"/>
  <c r="C365" i="6"/>
  <c r="C418" i="6"/>
  <c r="C72" i="6"/>
  <c r="C135" i="6"/>
  <c r="C497" i="6"/>
  <c r="C177" i="6"/>
  <c r="C187" i="6"/>
  <c r="C162" i="6"/>
  <c r="C40" i="6"/>
  <c r="C311" i="6"/>
  <c r="C412" i="6"/>
  <c r="C316" i="6"/>
  <c r="C360" i="6"/>
  <c r="C516" i="6"/>
  <c r="C252" i="6"/>
  <c r="C217" i="6"/>
  <c r="C59" i="6"/>
  <c r="C366" i="6"/>
  <c r="C321" i="6"/>
  <c r="C379" i="6"/>
  <c r="C11" i="6"/>
  <c r="C340" i="6"/>
  <c r="C45" i="6"/>
  <c r="C54" i="6"/>
  <c r="C220" i="6"/>
  <c r="C308" i="6"/>
  <c r="C386" i="6"/>
  <c r="C441" i="6"/>
  <c r="C95" i="6"/>
  <c r="C471" i="6"/>
  <c r="C112" i="6"/>
  <c r="C438" i="6"/>
  <c r="C34" i="6"/>
  <c r="C219" i="6"/>
  <c r="C5" i="6"/>
  <c r="C143" i="6"/>
  <c r="C435" i="6"/>
  <c r="C186" i="6"/>
  <c r="C85" i="6"/>
  <c r="C180" i="6"/>
  <c r="C233" i="6"/>
  <c r="C420" i="6"/>
  <c r="C380" i="6"/>
  <c r="C419" i="6"/>
  <c r="C448" i="6"/>
  <c r="C193" i="6"/>
  <c r="C364" i="6"/>
  <c r="C61" i="6"/>
  <c r="C425" i="6"/>
  <c r="C343" i="6"/>
  <c r="C409" i="6"/>
  <c r="C473" i="6"/>
  <c r="C64" i="6"/>
  <c r="C203" i="6"/>
  <c r="C160" i="6"/>
  <c r="C279" i="6"/>
  <c r="C196" i="6"/>
  <c r="C184" i="6"/>
  <c r="C182" i="6"/>
  <c r="C158" i="6"/>
  <c r="C148" i="6"/>
  <c r="C498" i="6"/>
  <c r="C19" i="6"/>
  <c r="C335" i="6"/>
  <c r="C87" i="6"/>
  <c r="C469" i="6"/>
  <c r="C332" i="6"/>
  <c r="C452" i="6"/>
  <c r="C131" i="6"/>
  <c r="C51" i="6"/>
  <c r="C434" i="6"/>
  <c r="C167" i="6"/>
  <c r="C470" i="6"/>
  <c r="C463" i="6"/>
  <c r="C124" i="6"/>
  <c r="C421" i="6"/>
  <c r="C367" i="6"/>
  <c r="C226" i="6"/>
  <c r="C83" i="6"/>
  <c r="C169" i="6"/>
  <c r="C69" i="6"/>
  <c r="C212" i="6"/>
  <c r="C449" i="6"/>
  <c r="C521" i="6"/>
  <c r="C496" i="6"/>
  <c r="C494" i="6"/>
  <c r="C147" i="6"/>
  <c r="C200" i="6"/>
  <c r="C140" i="6"/>
  <c r="C113" i="6"/>
  <c r="C128" i="6"/>
  <c r="C430" i="6"/>
  <c r="C326" i="6"/>
  <c r="C397" i="6"/>
  <c r="C344" i="6"/>
  <c r="C53" i="6"/>
  <c r="C97" i="6"/>
  <c r="C130" i="6"/>
  <c r="C277" i="6"/>
  <c r="C407" i="6"/>
  <c r="C488" i="6"/>
  <c r="C356" i="6"/>
  <c r="C70" i="6"/>
  <c r="C304" i="6"/>
  <c r="C134" i="6"/>
  <c r="C243" i="6"/>
  <c r="C65" i="6"/>
  <c r="C317" i="6"/>
  <c r="C436" i="6"/>
  <c r="C381" i="6"/>
  <c r="C139" i="6"/>
  <c r="C292" i="6"/>
  <c r="C174" i="6"/>
  <c r="C294" i="6"/>
  <c r="C462" i="6"/>
  <c r="C349" i="6"/>
  <c r="C416" i="6"/>
  <c r="C151" i="6"/>
  <c r="C227" i="6"/>
  <c r="C56" i="6"/>
  <c r="C393" i="6"/>
  <c r="C255" i="6"/>
  <c r="C324" i="6"/>
  <c r="C55" i="6"/>
  <c r="C485" i="6"/>
  <c r="C388" i="6"/>
  <c r="C204" i="6"/>
  <c r="C357" i="6"/>
  <c r="C260" i="6"/>
  <c r="C108" i="6"/>
  <c r="C58" i="6"/>
  <c r="C267" i="6"/>
  <c r="C251" i="6"/>
  <c r="C322" i="6"/>
  <c r="C15" i="6"/>
  <c r="C127" i="6"/>
  <c r="C82" i="6"/>
  <c r="C214" i="6"/>
  <c r="C293" i="6"/>
  <c r="C31" i="6"/>
  <c r="C502" i="6"/>
  <c r="C237" i="6"/>
  <c r="C353" i="6"/>
  <c r="C248" i="6"/>
  <c r="C121" i="6"/>
  <c r="C62" i="6"/>
  <c r="C119" i="6"/>
  <c r="C29" i="6"/>
  <c r="C383" i="6"/>
  <c r="C351" i="6"/>
  <c r="C164" i="6"/>
  <c r="C354" i="6"/>
  <c r="C505" i="6"/>
  <c r="C225" i="6"/>
  <c r="C276" i="6"/>
  <c r="C44" i="6"/>
  <c r="C410" i="6"/>
  <c r="C94" i="6"/>
  <c r="C179" i="6"/>
  <c r="C247" i="6"/>
  <c r="C195" i="6"/>
  <c r="C257" i="6"/>
  <c r="C235" i="6"/>
  <c r="C320" i="6"/>
  <c r="C284" i="6"/>
  <c r="C289" i="6"/>
  <c r="C153" i="6"/>
  <c r="C39" i="6"/>
  <c r="C166" i="6"/>
  <c r="C499" i="6"/>
  <c r="C476" i="6"/>
  <c r="C192" i="6"/>
  <c r="C288" i="6"/>
  <c r="C427" i="6"/>
  <c r="C228" i="6"/>
  <c r="C510" i="6"/>
  <c r="C261" i="6"/>
  <c r="C477" i="6"/>
  <c r="C104" i="6"/>
  <c r="C80" i="6"/>
  <c r="C275" i="6"/>
  <c r="C35" i="6"/>
  <c r="C453" i="6"/>
  <c r="C7" i="6"/>
  <c r="C413" i="6"/>
  <c r="C242" i="6"/>
  <c r="C238" i="6"/>
  <c r="C221" i="6"/>
  <c r="C509" i="6"/>
  <c r="C342" i="6"/>
  <c r="C25" i="6"/>
  <c r="C358" i="6"/>
  <c r="C234" i="6"/>
  <c r="C21" i="6"/>
  <c r="C236" i="6"/>
  <c r="C307" i="6"/>
  <c r="C50" i="6"/>
  <c r="C385" i="6"/>
  <c r="C475" i="6"/>
  <c r="C348" i="6"/>
  <c r="C422" i="6"/>
  <c r="C519" i="6"/>
  <c r="C374" i="6"/>
  <c r="C378" i="6"/>
  <c r="C189" i="6"/>
  <c r="C368" i="6"/>
  <c r="C390" i="6"/>
  <c r="C399" i="6"/>
  <c r="C487" i="6"/>
  <c r="C318" i="6"/>
  <c r="C264" i="6"/>
  <c r="C258" i="6"/>
  <c r="C346" i="6"/>
  <c r="C375" i="6"/>
  <c r="C282" i="6"/>
  <c r="C514" i="6"/>
  <c r="C194" i="6"/>
  <c r="C370" i="6"/>
  <c r="C171" i="6"/>
  <c r="C142" i="6"/>
  <c r="C389" i="6"/>
  <c r="C79" i="6"/>
  <c r="C336" i="6"/>
  <c r="C10" i="6"/>
  <c r="C513" i="6"/>
  <c r="C272" i="6"/>
  <c r="C23" i="6"/>
  <c r="C38" i="6"/>
  <c r="C278" i="6"/>
  <c r="C136" i="6"/>
  <c r="C265" i="6"/>
  <c r="C287" i="6"/>
  <c r="C391" i="6"/>
  <c r="C297" i="6"/>
  <c r="C89" i="6"/>
  <c r="C109" i="6"/>
  <c r="C107" i="6"/>
  <c r="C81" i="6"/>
  <c r="C91" i="6"/>
  <c r="C437" i="6"/>
  <c r="C300" i="6"/>
  <c r="C240" i="6"/>
  <c r="C103" i="6"/>
  <c r="C515" i="6"/>
  <c r="C286" i="6"/>
  <c r="C16" i="6"/>
  <c r="C49" i="6"/>
  <c r="C190" i="6"/>
  <c r="C372" i="6"/>
  <c r="C423" i="6"/>
  <c r="C350" i="6"/>
  <c r="C490" i="6"/>
  <c r="C73" i="6"/>
  <c r="C144" i="6"/>
  <c r="C37" i="6"/>
  <c r="C191" i="6"/>
  <c r="C146" i="6"/>
  <c r="C263" i="6"/>
  <c r="C443" i="6"/>
  <c r="C331" i="6"/>
  <c r="C398" i="6"/>
  <c r="C460" i="6"/>
  <c r="C137" i="6"/>
  <c r="C306" i="6"/>
  <c r="C290" i="6"/>
  <c r="C484" i="6"/>
  <c r="C319" i="6"/>
  <c r="C363" i="6"/>
  <c r="C464" i="6"/>
  <c r="C362" i="6"/>
  <c r="C517" i="6"/>
  <c r="C201" i="6"/>
  <c r="C185" i="6"/>
  <c r="C280" i="6"/>
  <c r="C6" i="6"/>
  <c r="C355" i="6"/>
  <c r="C333" i="6"/>
  <c r="C404" i="6"/>
  <c r="C486" i="6"/>
  <c r="C500" i="6"/>
  <c r="C253" i="6"/>
  <c r="C395" i="6"/>
  <c r="C138" i="6"/>
  <c r="C458" i="6"/>
  <c r="C92" i="6"/>
  <c r="C115" i="6"/>
  <c r="C285" i="6"/>
  <c r="C88" i="6"/>
  <c r="C74" i="6"/>
  <c r="C208" i="6"/>
  <c r="C231" i="6"/>
  <c r="C456" i="6"/>
  <c r="C431" i="6"/>
  <c r="C22" i="6"/>
  <c r="C492" i="6"/>
  <c r="C163" i="6"/>
  <c r="C341" i="6"/>
  <c r="C518" i="6"/>
  <c r="C461" i="6"/>
  <c r="C222" i="6"/>
  <c r="C63" i="6"/>
  <c r="C207" i="6"/>
  <c r="C157" i="6"/>
  <c r="C411" i="6"/>
  <c r="C181" i="6"/>
  <c r="C384" i="6"/>
  <c r="C46" i="6"/>
  <c r="C223" i="6"/>
  <c r="C270" i="6"/>
  <c r="C299" i="6"/>
  <c r="C481" i="6"/>
  <c r="C479" i="6"/>
  <c r="C271" i="6"/>
  <c r="C347" i="6"/>
  <c r="C501" i="6"/>
  <c r="C239" i="6"/>
  <c r="C439" i="6"/>
  <c r="C403" i="6"/>
  <c r="C67" i="6"/>
  <c r="C457" i="6"/>
  <c r="C274" i="6"/>
  <c r="C433" i="6"/>
  <c r="C126" i="6"/>
  <c r="C511" i="6"/>
  <c r="C116" i="6"/>
  <c r="C450" i="6"/>
  <c r="C13" i="6"/>
  <c r="C424" i="6"/>
  <c r="C429" i="6"/>
  <c r="C100" i="6"/>
  <c r="C48" i="6"/>
  <c r="C12" i="6"/>
  <c r="C205" i="6"/>
  <c r="C371" i="6"/>
  <c r="C86" i="6"/>
  <c r="C382" i="6"/>
  <c r="C93" i="6"/>
  <c r="C345" i="6"/>
  <c r="C141" i="6"/>
  <c r="C325" i="6"/>
  <c r="C491" i="6"/>
  <c r="C90" i="6"/>
  <c r="C256" i="6"/>
  <c r="C77" i="6"/>
  <c r="C327" i="6"/>
  <c r="C249" i="6"/>
  <c r="C468" i="6"/>
  <c r="C394" i="6"/>
  <c r="C20" i="6"/>
  <c r="C155" i="6"/>
  <c r="C455" i="6"/>
  <c r="C145" i="6"/>
  <c r="C359" i="6"/>
  <c r="C482" i="6"/>
  <c r="C123" i="6"/>
  <c r="C154" i="6"/>
  <c r="C466" i="6"/>
  <c r="C442" i="6"/>
  <c r="C408" i="6"/>
  <c r="C361" i="6"/>
  <c r="C71" i="6"/>
  <c r="C273" i="6"/>
  <c r="C199" i="6"/>
  <c r="C18" i="6"/>
  <c r="C339" i="6"/>
  <c r="C301" i="6"/>
  <c r="C168" i="6"/>
  <c r="C268" i="6"/>
  <c r="C106" i="6"/>
  <c r="C269" i="6"/>
  <c r="C232" i="6"/>
  <c r="C32" i="6"/>
  <c r="C156" i="6"/>
  <c r="C478" i="6"/>
  <c r="C66" i="6"/>
  <c r="C400" i="6"/>
  <c r="C173" i="6"/>
  <c r="C330" i="6"/>
  <c r="C26" i="6"/>
  <c r="C295" i="6"/>
  <c r="C417" i="6"/>
  <c r="C41" i="6"/>
  <c r="C215" i="6"/>
  <c r="C111" i="6"/>
  <c r="E51" i="14" a="1"/>
  <c r="E61" i="14" a="1"/>
  <c r="E55" i="14" a="1"/>
  <c r="E24" i="14" a="1"/>
  <c r="E41" i="14" a="1"/>
  <c r="E12" i="14" a="1"/>
  <c r="E59" i="14" a="1"/>
  <c r="E57" i="14" a="1"/>
  <c r="E29" i="14" a="1"/>
  <c r="E40" i="14" a="1"/>
  <c r="E47" i="14" a="1"/>
  <c r="E48" i="14" a="1"/>
  <c r="E33" i="14" a="1"/>
  <c r="E17" i="14" a="1"/>
  <c r="E44" i="14" a="1"/>
  <c r="E13" i="14" a="1"/>
  <c r="E15" i="14" a="1"/>
  <c r="E62" i="14" a="1"/>
  <c r="E35" i="14" a="1"/>
  <c r="E34" i="14" a="1"/>
  <c r="E54" i="14" a="1"/>
  <c r="E23" i="14" a="1"/>
  <c r="E50" i="14" a="1"/>
  <c r="E52" i="14" a="1"/>
  <c r="E14" i="14" a="1"/>
  <c r="E19" i="14" a="1"/>
  <c r="E18" i="14" a="1"/>
  <c r="E4" i="14" a="1"/>
  <c r="E20" i="14" a="1"/>
  <c r="E43" i="14" a="1"/>
  <c r="E46" i="14" a="1"/>
  <c r="E49" i="14" a="1"/>
  <c r="E32" i="14" a="1"/>
  <c r="E42" i="14" a="1"/>
  <c r="E21" i="14" a="1"/>
  <c r="E30" i="14" a="1"/>
  <c r="E38" i="14" a="1"/>
  <c r="E39" i="14" a="1"/>
  <c r="E45" i="14" a="1"/>
  <c r="E22" i="14" a="1"/>
  <c r="E53" i="14" a="1"/>
  <c r="E36" i="14" a="1"/>
  <c r="E60" i="14" a="1"/>
  <c r="E56" i="14" a="1"/>
  <c r="E37" i="14" a="1"/>
  <c r="E58" i="14" a="1"/>
  <c r="E61" i="14" l="1"/>
  <c r="E51" i="14"/>
  <c r="C26" i="14"/>
  <c r="E24" i="14"/>
  <c r="E55" i="14"/>
  <c r="C10" i="14"/>
  <c r="C27" i="14"/>
  <c r="E57" i="14"/>
  <c r="E59" i="14"/>
  <c r="E12" i="14"/>
  <c r="E41" i="14"/>
  <c r="E58" i="14"/>
  <c r="E37" i="14"/>
  <c r="E56" i="14"/>
  <c r="E60" i="14"/>
  <c r="E36" i="14"/>
  <c r="E53" i="14"/>
  <c r="E22" i="14"/>
  <c r="E45" i="14"/>
  <c r="E39" i="14"/>
  <c r="E38" i="14"/>
  <c r="E30" i="14"/>
  <c r="E21" i="14"/>
  <c r="E42" i="14"/>
  <c r="E32" i="14"/>
  <c r="E49" i="14"/>
  <c r="E46" i="14"/>
  <c r="E43" i="14"/>
  <c r="E20" i="14"/>
  <c r="E4" i="14"/>
  <c r="E18" i="14"/>
  <c r="E19" i="14"/>
  <c r="E14" i="14"/>
  <c r="E52" i="14"/>
  <c r="E50" i="14"/>
  <c r="E23" i="14"/>
  <c r="E54" i="14"/>
  <c r="E34" i="14"/>
  <c r="E35" i="14"/>
  <c r="E62" i="14"/>
  <c r="E15" i="14"/>
  <c r="E13" i="14"/>
  <c r="E44" i="14"/>
  <c r="E17" i="14"/>
  <c r="E33" i="14"/>
  <c r="E48" i="14"/>
  <c r="E47" i="14"/>
  <c r="E40" i="14"/>
  <c r="E29" i="14"/>
  <c r="C25" i="14"/>
  <c r="C9" i="14"/>
  <c r="C3" i="14"/>
  <c r="E9" i="14" a="1"/>
  <c r="E25" i="14" a="1"/>
  <c r="E8" i="14" a="1"/>
  <c r="E11" i="14" a="1"/>
  <c r="E26" i="14" a="1"/>
  <c r="E28" i="14" a="1"/>
  <c r="E27" i="14" a="1"/>
  <c r="E6" i="14" a="1"/>
  <c r="E7" i="14" a="1"/>
  <c r="E10" i="14" a="1"/>
  <c r="E3" i="14" a="1"/>
  <c r="E5" i="14" a="1"/>
  <c r="E25" i="14" l="1"/>
  <c r="E9" i="14"/>
  <c r="E6" i="14"/>
  <c r="E5" i="14"/>
  <c r="E7" i="14"/>
  <c r="E27" i="14"/>
  <c r="E28" i="14"/>
  <c r="E8" i="14"/>
  <c r="E3" i="14"/>
  <c r="E11" i="14"/>
  <c r="E10" i="14"/>
  <c r="E26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<sst xmlns="http://schemas.openxmlformats.org/spreadsheetml/2006/main" count="2726" uniqueCount="1969">
  <si>
    <t>Authentication Factor</t>
  </si>
  <si>
    <t>Access Granularity</t>
  </si>
  <si>
    <t>Knowledge Factor</t>
  </si>
  <si>
    <t>Password Spraying Attack</t>
  </si>
  <si>
    <t>Account Takeover</t>
  </si>
  <si>
    <t>4-Eyes Principle</t>
  </si>
  <si>
    <t>Absolute Scale</t>
  </si>
  <si>
    <t>Access</t>
  </si>
  <si>
    <t>Access Audit (Dictionary Entry)</t>
  </si>
  <si>
    <t>Access Continuum</t>
  </si>
  <si>
    <t>Access Control (Dictionary Entry)</t>
  </si>
  <si>
    <t>Access Control List (Dictionary Entry)</t>
  </si>
  <si>
    <t>Access Control Mechanism (Dictionary Entry)</t>
  </si>
  <si>
    <t>Access Control Model (Dictionary Entry)</t>
  </si>
  <si>
    <t>Access Control Policy (Dictionary Entry)</t>
  </si>
  <si>
    <t>Access Granularity (Dictionary Entry)</t>
  </si>
  <si>
    <t>Access Privilege (Dictionary Entry)</t>
  </si>
  <si>
    <t>Access Right (Dictionary Entry)</t>
  </si>
  <si>
    <t>Access Rights Management (Dictionary Entry)</t>
  </si>
  <si>
    <t>Access Token</t>
  </si>
  <si>
    <t>Account</t>
  </si>
  <si>
    <t>Accountability (Dictionary Term)</t>
  </si>
  <si>
    <t>Account Lockout Policy (Dictionary Entry)</t>
  </si>
  <si>
    <t>Account Management (Dictionary Entry)</t>
  </si>
  <si>
    <t>Accreditation (Dictionary Entry)</t>
  </si>
  <si>
    <t>Action Research</t>
  </si>
  <si>
    <t>Active Impersonation Attack (Dictionary Entry)</t>
  </si>
  <si>
    <t>Admissible Scale Transformation (Dictionary Entry)</t>
  </si>
  <si>
    <t>Algebra (Dictionary Entry)</t>
  </si>
  <si>
    <t>AP</t>
  </si>
  <si>
    <t>Applicant (Dictionary Entry)</t>
  </si>
  <si>
    <t>Application</t>
  </si>
  <si>
    <t>Application Administrator (Dictionary Entry)</t>
  </si>
  <si>
    <t>Application Instance (Dictionary Entry)</t>
  </si>
  <si>
    <t>Application-Level Policy (Dictionary Entry)</t>
  </si>
  <si>
    <t>Application Multiplexing</t>
  </si>
  <si>
    <t>Application Package (Dictionary Entry)</t>
  </si>
  <si>
    <t>Application Program</t>
  </si>
  <si>
    <t>Archive (Dictionary Entry)</t>
  </si>
  <si>
    <t>ARM</t>
  </si>
  <si>
    <t>Asset Custody (Dictionary Entry)</t>
  </si>
  <si>
    <t>Attestation</t>
  </si>
  <si>
    <t>Attribute (Dictionary Entry - IAM)</t>
  </si>
  <si>
    <t>Attribute Provider (Dictionary Entry)</t>
  </si>
  <si>
    <t>Authenticated Users (Dictionary Entry)</t>
  </si>
  <si>
    <t>Authentication (Dictionary Entry)</t>
  </si>
  <si>
    <t>Authentication Factor (Dictionary Entry)</t>
  </si>
  <si>
    <t>Authenticator (Dictionary Entry)</t>
  </si>
  <si>
    <t>Authority (Dictionary Entry)</t>
  </si>
  <si>
    <t>Authorization (Dictionary Entry)</t>
  </si>
  <si>
    <t>Authorization Externalization</t>
  </si>
  <si>
    <t>Awareness (Dictionary Entry)</t>
  </si>
  <si>
    <t>AWS Account Root User (Dictionary Entry)</t>
  </si>
  <si>
    <t>AWS ACL (Dictionary Entry)</t>
  </si>
  <si>
    <t>AWS IAM (Dictionary Entry)</t>
  </si>
  <si>
    <t>AWS IAM Group (Dictionary Entry)</t>
  </si>
  <si>
    <t>AWS IAM Policy (Dictionary Entry)</t>
  </si>
  <si>
    <t>AWS IAM Principal (Dictionary Entry)</t>
  </si>
  <si>
    <t>AWS IAM Role (Dictionary Entry)</t>
  </si>
  <si>
    <t>AWS IAM Temporary Security Credentials (Dictionary Entry)</t>
  </si>
  <si>
    <t>AWS IAM User (Dictionary Entry)</t>
  </si>
  <si>
    <t>Axioms of Conjointness (Dictionary Entry)</t>
  </si>
  <si>
    <t>Axioms of Difference (Dictionary Entry)</t>
  </si>
  <si>
    <t>Axioms of Extension (Dictionary Entry)</t>
  </si>
  <si>
    <t>Axioms of Geometry (Dictionary Entry)</t>
  </si>
  <si>
    <t>Axioms of Order (Dictionary Entry)</t>
  </si>
  <si>
    <t>Balance (Dictionary Entry)</t>
  </si>
  <si>
    <t>BankID (Dictionary Entry)</t>
  </si>
  <si>
    <t>Basic Indicator (Dictionary Entry)</t>
  </si>
  <si>
    <t>Basic Z Rule (Dictionary Entry)</t>
  </si>
  <si>
    <t>Behavioral Authentication</t>
  </si>
  <si>
    <t>Behavioural Indicator (Dictionary Entry)</t>
  </si>
  <si>
    <t>Bell-LaPadula Model</t>
  </si>
  <si>
    <t>Benchmarking (Dictionary Entry)</t>
  </si>
  <si>
    <t>Biometric Identification (Dictionary Entry)</t>
  </si>
  <si>
    <t>Biometrics (Dictionary Entry)</t>
  </si>
  <si>
    <t>Birth Certificate (Dictionary Entry)</t>
  </si>
  <si>
    <t>Blast Radius (Dictionary Entry)</t>
  </si>
  <si>
    <t>Blockchain (Dictionary Entry)</t>
  </si>
  <si>
    <t>Boundary Control</t>
  </si>
  <si>
    <t>Broker (Dictionary Entry)</t>
  </si>
  <si>
    <t>Brute Force Attack</t>
  </si>
  <si>
    <t>Built-in (Dictionary Entry)</t>
  </si>
  <si>
    <t>BZR</t>
  </si>
  <si>
    <t>Cached Credential</t>
  </si>
  <si>
    <t>Capability (Dictionary Entry)</t>
  </si>
  <si>
    <t>Cardinal Scale (Dictionary Entry)</t>
  </si>
  <si>
    <t>Categorical Scale (Dictionary Entry)</t>
  </si>
  <si>
    <t>CDD</t>
  </si>
  <si>
    <t>Centralized Identity Management System (Dictionary Entry)</t>
  </si>
  <si>
    <t>Certification (Dictionary Entry)</t>
  </si>
  <si>
    <t>CIBA</t>
  </si>
  <si>
    <t>Claim</t>
  </si>
  <si>
    <t>Claimant (Dictionary Entry)</t>
  </si>
  <si>
    <t>Claim Registry Model</t>
  </si>
  <si>
    <t>Classification (Dictionary Entry)</t>
  </si>
  <si>
    <t>Client Initiated Backchannel Authentication</t>
  </si>
  <si>
    <t>Cloud Identity Management System (Dictionary Entry)</t>
  </si>
  <si>
    <t>Cloud IdMS (Dictionary Entry)</t>
  </si>
  <si>
    <t>Cloud Service Consumers (Dictionary Entry)</t>
  </si>
  <si>
    <t>Cloud Service Provider (Dictionary Entry)</t>
  </si>
  <si>
    <t>Cloud Service User</t>
  </si>
  <si>
    <t>Cluster Analysis (Dictionary Entry)</t>
  </si>
  <si>
    <t>Code (Dictionary Entry)</t>
  </si>
  <si>
    <t>Commission Error (Dictionary Entry)</t>
  </si>
  <si>
    <t>Compensation (Dictionary Entry)</t>
  </si>
  <si>
    <t>Competence (Dictionary Entry)</t>
  </si>
  <si>
    <t>Compromised Identity (Dictionary Entry)</t>
  </si>
  <si>
    <t>Concept (Dictionary Entry)</t>
  </si>
  <si>
    <t>Conceptual Classification (Dictionary Entry)</t>
  </si>
  <si>
    <t>Concurrent Impersonation Attack (Dictionary Entry)</t>
  </si>
  <si>
    <t>Consistency with Representation Target (Dictionary Entry)</t>
  </si>
  <si>
    <t>Construct (Dictionary Entry)</t>
  </si>
  <si>
    <t>Constructed Type (Dictionary Entry)</t>
  </si>
  <si>
    <t>Continuous Authentication (Dictionary Entry)</t>
  </si>
  <si>
    <t>Control Party (Dictionary Entry)</t>
  </si>
  <si>
    <t>Core Identity (Dictionary Entry)</t>
  </si>
  <si>
    <t>Credential</t>
  </si>
  <si>
    <t>Credential Harvesting</t>
  </si>
  <si>
    <t>Credential Service Provider (Dictionary Entry)</t>
  </si>
  <si>
    <t>Credential Stuffing</t>
  </si>
  <si>
    <t>Credential Theft (Dictionary Entry)</t>
  </si>
  <si>
    <t>Cryptographic Key (Dictionary Entry)</t>
  </si>
  <si>
    <t>CSC</t>
  </si>
  <si>
    <t>CSP</t>
  </si>
  <si>
    <t>CSU</t>
  </si>
  <si>
    <t>Customer Due Diligence (Dictionary Entry)</t>
  </si>
  <si>
    <t>Customer Identification (Dictionary Entry)</t>
  </si>
  <si>
    <t>Customer Identity (Dictionary Entry)</t>
  </si>
  <si>
    <t>Customer Identity Verification (Dictionary Entry)</t>
  </si>
  <si>
    <t>Customer On-Boarding (Dictionary Entry)</t>
  </si>
  <si>
    <t>Customer Privacy and Consent Management (Dictionary Entry)</t>
  </si>
  <si>
    <t>Cyber-sabotage</t>
  </si>
  <si>
    <t>DAC</t>
  </si>
  <si>
    <t>Data Anonymization</t>
  </si>
  <si>
    <t>Data Custodian (Dictionary Entry)</t>
  </si>
  <si>
    <t>Data-Level Policy (Dictionary Entry)</t>
  </si>
  <si>
    <t>Data Lineage (Dictionary Entry)</t>
  </si>
  <si>
    <t>Data Obfuscation (Dictionary Entry)</t>
  </si>
  <si>
    <t>Data Owner (Dictionary Entry)</t>
  </si>
  <si>
    <t>Death Certificate (Dictionary Entry)</t>
  </si>
  <si>
    <t>Decentralized Identifier (Dictionary Entry)</t>
  </si>
  <si>
    <t>De-duplication (Dictionary Entry)</t>
  </si>
  <si>
    <t>Deprovisioning (Dictionary Entry)</t>
  </si>
  <si>
    <t>Derived Indicator (Dictionary Entry)</t>
  </si>
  <si>
    <t>DID</t>
  </si>
  <si>
    <t>Digital Continuity (Dictionary Entry)</t>
  </si>
  <si>
    <t>Digital Identification System</t>
  </si>
  <si>
    <t>Digital Identity</t>
  </si>
  <si>
    <t>Digital Identity Authenticity</t>
  </si>
  <si>
    <t>Digital Triangulation (Dictionary Entry)</t>
  </si>
  <si>
    <t>Discretionary Access Control (Dictionary Entry)</t>
  </si>
  <si>
    <t>Distributed Identity (Dictionary Entry)</t>
  </si>
  <si>
    <t>Distributed Ledger Technology (Dictionary Entry)</t>
  </si>
  <si>
    <t>Dual Authorization (Dictionary Entry)</t>
  </si>
  <si>
    <t>ECS (Dictionary Entry)</t>
  </si>
  <si>
    <t>e-Identity (Dictionary Entry)</t>
  </si>
  <si>
    <t>EIdM (Dictionary Entry)</t>
  </si>
  <si>
    <t>Empirical Classification (Dictionary Entry)</t>
  </si>
  <si>
    <t>Empiricity (Dictionary Entry)</t>
  </si>
  <si>
    <t>Employee (Dictionary Entry)</t>
  </si>
  <si>
    <t>Enterprise Cloud Subscriber (Dictionary Entry)</t>
  </si>
  <si>
    <t>Enterprise Identity Management (Dictionary Entry)</t>
  </si>
  <si>
    <t>Enterprise Single Sign-On (Dictionary Entry)</t>
  </si>
  <si>
    <t>Entitlement (Dictionary Entry)</t>
  </si>
  <si>
    <t>Entitlement-Based Access Control (Dictionary Entry)</t>
  </si>
  <si>
    <t>Entitlement Management (Dictionary Entry)</t>
  </si>
  <si>
    <t>Entitlement Management Process (Dictionary Entry)</t>
  </si>
  <si>
    <t>Entitlement Management Solution (Dictionary Entry)</t>
  </si>
  <si>
    <t>Entity (Dictionary Entry)</t>
  </si>
  <si>
    <t>ESSO (Dictionary Entry)</t>
  </si>
  <si>
    <t>Evaluation Indicator (Dictionary Entry)</t>
  </si>
  <si>
    <t>Excessive Privilege Abuse (Dictionary Entry)</t>
  </si>
  <si>
    <t>Exhaustiveness (Dictionary Entry)</t>
  </si>
  <si>
    <t>Expanded Password System (Dictionary Entry)</t>
  </si>
  <si>
    <t>Exploited Identity (Dictionary Entry)</t>
  </si>
  <si>
    <t>Extended Enterprise (Dictionary Entry)</t>
  </si>
  <si>
    <t>Extensible Access Control Markup Language (Dictionary Entry)</t>
  </si>
  <si>
    <t>Fake Digital Identity</t>
  </si>
  <si>
    <t>FAPI</t>
  </si>
  <si>
    <t>Federated Identity Management (Dictionary Entry)</t>
  </si>
  <si>
    <t>Federated Identity Management System (Dictionary Entry)</t>
  </si>
  <si>
    <t>Federated SSO (Dictionary Entry)</t>
  </si>
  <si>
    <t>Federation Bridge (Dictionary Entry)</t>
  </si>
  <si>
    <t>FIM (Dictionary Entry)</t>
  </si>
  <si>
    <t>Financial-grade API</t>
  </si>
  <si>
    <t>FinTech</t>
  </si>
  <si>
    <t>Flexibility (Dictionary Entry)</t>
  </si>
  <si>
    <t>Flow Analysis (Dictionary Entry)</t>
  </si>
  <si>
    <t>Forged Identity (Dictionary Entry)</t>
  </si>
  <si>
    <t>Formal TCO (Dictionary Entry)</t>
  </si>
  <si>
    <t>Formal Verification (Dictionary Entry)</t>
  </si>
  <si>
    <t>Foundational Identification System</t>
  </si>
  <si>
    <t>Fully Polythetic Class (Dictionary Entry)</t>
  </si>
  <si>
    <t>Functional Identification System (Dictionary Entry)</t>
  </si>
  <si>
    <t>Functional System (Dictionary Entry)</t>
  </si>
  <si>
    <t>Goal (Dictionary Entry)</t>
  </si>
  <si>
    <t>Guest Account (Dictionary Entry)</t>
  </si>
  <si>
    <t>High Water Mark Principle (Dictionary Entry)</t>
  </si>
  <si>
    <t>Human Error (Dictionary Entry)</t>
  </si>
  <si>
    <t>Human Reliability (Dictionary Entry)</t>
  </si>
  <si>
    <t>IAG</t>
  </si>
  <si>
    <t>IAM</t>
  </si>
  <si>
    <t>IAM ARN (Dictionary Entry)</t>
  </si>
  <si>
    <t>IAM Management (Dictionary Entry)</t>
  </si>
  <si>
    <t>IAP (Dictionary Entry)</t>
  </si>
  <si>
    <t>IDaaS (Dictionary Entry)</t>
  </si>
  <si>
    <t>Ideal Type (Dictionary Entry)</t>
  </si>
  <si>
    <t>Identification (Dictionary Entry)</t>
  </si>
  <si>
    <t>Identification System (Dictionary Entry)</t>
  </si>
  <si>
    <t>Identifier (Dictionary Entry)</t>
  </si>
  <si>
    <t>Identifier Registry Model</t>
  </si>
  <si>
    <t>Identity (Dictionary Entry)</t>
  </si>
  <si>
    <t>Identity Aggregation</t>
  </si>
  <si>
    <t>Identity and Access Governance</t>
  </si>
  <si>
    <t>Identity and Access Management</t>
  </si>
  <si>
    <t>Identity-as-a-Service (Dictionary Entry)</t>
  </si>
  <si>
    <t>Identity Assurance</t>
  </si>
  <si>
    <t>Identity Attribute (Dictionary Entry)</t>
  </si>
  <si>
    <t>Identity-Aware Proxy (Dictionary Entry)</t>
  </si>
  <si>
    <t>Identity Establishment</t>
  </si>
  <si>
    <t>Identity Federation</t>
  </si>
  <si>
    <t>Identity Guardian</t>
  </si>
  <si>
    <t>Identity Lifecycle (Dictionary Entry)</t>
  </si>
  <si>
    <t>Identity Management (Dictionary Entry)</t>
  </si>
  <si>
    <t>Identity Management System (Dictionary Entry)</t>
  </si>
  <si>
    <t>Identity Portability</t>
  </si>
  <si>
    <t>Identity Proofing (Dictionary Entry)</t>
  </si>
  <si>
    <t>Identity Propagation (Dictionary Entry)</t>
  </si>
  <si>
    <t>Identity Provider (Dictionary Entry)</t>
  </si>
  <si>
    <t>Identity Repository (Dictionary Entry)</t>
  </si>
  <si>
    <t>IdMS (Dictionary Entry)</t>
  </si>
  <si>
    <t>IdP (Dictionary Entry)</t>
  </si>
  <si>
    <t>IMG (Dictionary Entry)</t>
  </si>
  <si>
    <t>Impact Indicator (Dictionary Entry)</t>
  </si>
  <si>
    <t>Impersonation (Dictionary Entry)</t>
  </si>
  <si>
    <t>Indicator (Dictionary Entry)</t>
  </si>
  <si>
    <t>Indicator Categories (Dictionary Entry)</t>
  </si>
  <si>
    <t>Indicator Property (Dictionary Entry)</t>
  </si>
  <si>
    <t>Indicator Selection (Dictionary Entry)</t>
  </si>
  <si>
    <t>Indicators Set (Dictionary Entry)</t>
  </si>
  <si>
    <t>Informal TCO (Dictionary Entry)</t>
  </si>
  <si>
    <t>Information (Dictionary Entry)</t>
  </si>
  <si>
    <t>Information Asset (Dictionary Entry)</t>
  </si>
  <si>
    <t>Information Custodian (Dictionary Entry)</t>
  </si>
  <si>
    <t>Information Flow Policy (Dictionary Entry)</t>
  </si>
  <si>
    <t>Information Owner (Dictionary Entry)</t>
  </si>
  <si>
    <t>Information Security Domain</t>
  </si>
  <si>
    <t>Information System</t>
  </si>
  <si>
    <t>Input Indicator (Dictionary Entry)</t>
  </si>
  <si>
    <t>Inside Attacker</t>
  </si>
  <si>
    <t>Insider</t>
  </si>
  <si>
    <t>Insider Attack</t>
  </si>
  <si>
    <t>Insider Threat</t>
  </si>
  <si>
    <t>Insufficient Granularity of Access Control (Dictionary Entry)</t>
  </si>
  <si>
    <t>Intentional Error (Dictionary Entry)</t>
  </si>
  <si>
    <t>Interested Party (Dictionary Entry)</t>
  </si>
  <si>
    <t>Interoperability (Dictionary Entry)</t>
  </si>
  <si>
    <t>Interval Scale (Dictionary Entry)</t>
  </si>
  <si>
    <t>Isolated Identity Management System (Dictionary Entry)</t>
  </si>
  <si>
    <t>IT Asset Scope (Dictionary Entry)</t>
  </si>
  <si>
    <t>IT System</t>
  </si>
  <si>
    <t>JML (Dictionary Entry)</t>
  </si>
  <si>
    <t>Joiner (Dictionary Entry)</t>
  </si>
  <si>
    <t>Joiner Hire Date (Dictionary Entry)</t>
  </si>
  <si>
    <t>Joiner Lead Time (Dictionary Entry)</t>
  </si>
  <si>
    <t>Joiner Process (Dictionary Entry)</t>
  </si>
  <si>
    <t>Joiner Start Date (Dictionary Entry)</t>
  </si>
  <si>
    <t>Key Criteria Type (Dictionary Entry)</t>
  </si>
  <si>
    <t>Key Information (Dictionary Entry)</t>
  </si>
  <si>
    <t>Keying Material (Dictionary Entry)</t>
  </si>
  <si>
    <t>KYC (Dictionary Entry)</t>
  </si>
  <si>
    <t>KYC Registry (Dictionary Entry)</t>
  </si>
  <si>
    <t>Lagging Indicator (Dictionary Entry)</t>
  </si>
  <si>
    <t>Lattice-Based Access Control (Dictionary Entry)</t>
  </si>
  <si>
    <t>Layers Architectural Pattern (Dictionary Entry)</t>
  </si>
  <si>
    <t>LBAC (Dictionary Entry)</t>
  </si>
  <si>
    <t>Leading Indicator (Dictionary Entry)</t>
  </si>
  <si>
    <t>Least Privilege (Dictionary Entry)</t>
  </si>
  <si>
    <t>Legal Entity Identifier (Dictionary Entry)</t>
  </si>
  <si>
    <t>Legitimate Privilege Abuse (Dictionary Entry)</t>
  </si>
  <si>
    <t>LEI (Dictionary Entry)</t>
  </si>
  <si>
    <t>Levels of Assurance (Dictionary Entry)</t>
  </si>
  <si>
    <t>Liberal Discretionary Access Control (Dictionary Entry)</t>
  </si>
  <si>
    <t>LOA (Dictionary Entry)</t>
  </si>
  <si>
    <t>Logic Bomb</t>
  </si>
  <si>
    <t>Login</t>
  </si>
  <si>
    <t>Login ID</t>
  </si>
  <si>
    <t>Login Name</t>
  </si>
  <si>
    <t>Meaningful Statement using Scales (Dictionary Entry)</t>
  </si>
  <si>
    <t>Measurable Quantity (Dictionary Entry)</t>
  </si>
  <si>
    <t>Measurement (Dictionary Entry)</t>
  </si>
  <si>
    <t>Measurement Indicator (Dictionary Entry)</t>
  </si>
  <si>
    <t>Measurement Scale (Dictionary Entry)</t>
  </si>
  <si>
    <t>Measurement Theory (Dictionary Entry)</t>
  </si>
  <si>
    <t>Measuring Instrument (Dictionary Entry)</t>
  </si>
  <si>
    <t>Mechanism (Dictionary Entry)</t>
  </si>
  <si>
    <t>Metadata (Dictionary Term)</t>
  </si>
  <si>
    <t>Metadirectory (Dictionary Entry)</t>
  </si>
  <si>
    <t>Metric (Dictionary Entry)</t>
  </si>
  <si>
    <t>Model (Dictionary Entry)</t>
  </si>
  <si>
    <t>Monothetic Class (Dictionary Entry)</t>
  </si>
  <si>
    <t>Monotony (Dictionary Entry)</t>
  </si>
  <si>
    <t>Multidomain Single Sign-On (Dictionary Entry)</t>
  </si>
  <si>
    <t>Multilevel Security (Dictionary Entry)</t>
  </si>
  <si>
    <t>Multiple Accounts</t>
  </si>
  <si>
    <t>Mutual Authentication (Dictionary Entry)</t>
  </si>
  <si>
    <t>Need-to-Know</t>
  </si>
  <si>
    <t>New Joiner (Dictionary Entry)</t>
  </si>
  <si>
    <t>Nominal Scale (Dictionary Entry)</t>
  </si>
  <si>
    <t>Nonworker (Dictionary Entry)</t>
  </si>
  <si>
    <t>No Tranquility Property (Dictionary Entry)</t>
  </si>
  <si>
    <t>Numerical Identity</t>
  </si>
  <si>
    <t>Numerical Taxonomy (Dictionary Entry)</t>
  </si>
  <si>
    <t>Numerical Value of Measurement (Dictionary Entry)</t>
  </si>
  <si>
    <t>OAuth (Dictionary Entry)</t>
  </si>
  <si>
    <t>Object (Dictionary Entry)</t>
  </si>
  <si>
    <t>Objective (Dictionary Entry)</t>
  </si>
  <si>
    <t>Objective Indicator (Dictionary Entry)</t>
  </si>
  <si>
    <t>Objectivity (Dictionary Entry)</t>
  </si>
  <si>
    <t>Omission Error (Dictionary Entry)</t>
  </si>
  <si>
    <t>OPA (Dictionary Entry)</t>
  </si>
  <si>
    <t>Open Policy Agent (Dictionary Entry)</t>
  </si>
  <si>
    <t>Operational Definition (Dictionary Entry)</t>
  </si>
  <si>
    <t>Operational Taxonomic Unit (Dictionary Entry)</t>
  </si>
  <si>
    <t>Ordinal Scale (Dictionary Entry)</t>
  </si>
  <si>
    <t>Organization Context (Definition)</t>
  </si>
  <si>
    <t>Organization Scope (Definition)</t>
  </si>
  <si>
    <t>Orphan (Dictionary Entry)</t>
  </si>
  <si>
    <t>Orphan Account</t>
  </si>
  <si>
    <t>Orphan File (Dictionary Entry)</t>
  </si>
  <si>
    <t>Orphan Object (Dictionary Entry)</t>
  </si>
  <si>
    <t>Orphan Process (Dictionary Entry)</t>
  </si>
  <si>
    <t>Orphan Product (Dictionary Entry)</t>
  </si>
  <si>
    <t>Orphan Role (Dictionary Entry)</t>
  </si>
  <si>
    <t>Orphan Routes / APIs (Dictionary Entry)</t>
  </si>
  <si>
    <t>Orphan System (Dictionary Entry)</t>
  </si>
  <si>
    <t>Outcome Indicator (Dictionary Entry)</t>
  </si>
  <si>
    <t>Output Indicator (Dictionary Entry)</t>
  </si>
  <si>
    <t>Outsider</t>
  </si>
  <si>
    <t>Parsimony (Dictionary Entry)</t>
  </si>
  <si>
    <t>Partial Typology (Dictionary Entry)</t>
  </si>
  <si>
    <t>Passive Impersonation Attack (Dictionary Entry)</t>
  </si>
  <si>
    <t>Password Guessing Attack</t>
  </si>
  <si>
    <t>Passwordless Authentication</t>
  </si>
  <si>
    <t>Password Rotation (Dictionary Entry)</t>
  </si>
  <si>
    <t>People (Definition)</t>
  </si>
  <si>
    <t>Performance (Definition)</t>
  </si>
  <si>
    <t>Performance Measurement System (Dictionary Entry)</t>
  </si>
  <si>
    <t>Permission (Dictionary Entry)</t>
  </si>
  <si>
    <t>Persona</t>
  </si>
  <si>
    <t>PMS (Dictionary Entry)</t>
  </si>
  <si>
    <t>Polar Types (Dictionary Entry)</t>
  </si>
  <si>
    <t>Policy (Dictionary Entry)</t>
  </si>
  <si>
    <t>Policy Analysis (Dictionary Entry)</t>
  </si>
  <si>
    <t>Policy Centralization (Dictionary Entry)</t>
  </si>
  <si>
    <t>Policy Interoperability (Dictionary Entry)</t>
  </si>
  <si>
    <t>Policy Manageability (Dictionary Entry)</t>
  </si>
  <si>
    <t>Policy Mining (Dictionary Entry)</t>
  </si>
  <si>
    <t>Policy Modeling (Dictionary Entry)</t>
  </si>
  <si>
    <t>Polythetic Class (Dictionary Entry)</t>
  </si>
  <si>
    <t>Pre-approval (Dictionary Entry)</t>
  </si>
  <si>
    <t>Preference Indicator (Dictionary Entry)</t>
  </si>
  <si>
    <t>Principal (Dictionary Entry)</t>
  </si>
  <si>
    <t>Private Key Loss</t>
  </si>
  <si>
    <t>Privilege (Dictionary Entry)</t>
  </si>
  <si>
    <t>Privilege Abuse</t>
  </si>
  <si>
    <t>Privilege Chaining (Dictionary Entry)</t>
  </si>
  <si>
    <t>Privileged Identity (Dictionary Entry)</t>
  </si>
  <si>
    <t>Privileged Insider</t>
  </si>
  <si>
    <t>Privilege Escalation (Dictionary Entry)</t>
  </si>
  <si>
    <t>Process (Dictionary Entry)</t>
  </si>
  <si>
    <t>Process Indicator (Dictionary Entry)</t>
  </si>
  <si>
    <t>Production Lead Time (Dictionary Entry)</t>
  </si>
  <si>
    <t>Protocol (Dictionary Entry)</t>
  </si>
  <si>
    <t>Provisioning (Dictionary Entry)</t>
  </si>
  <si>
    <t>QR Code Authentication</t>
  </si>
  <si>
    <t>Qualitative Classification (Dictionary Entry)</t>
  </si>
  <si>
    <t>Qualitative Identity</t>
  </si>
  <si>
    <t>Quality (Definition)</t>
  </si>
  <si>
    <t>Quantitative Classification (Dictionary Entry)</t>
  </si>
  <si>
    <t>Quantity (Dictionary Entry)</t>
  </si>
  <si>
    <t>RA (Dictionary Entry)</t>
  </si>
  <si>
    <t>Ratio Scale (Dictionary Entry)</t>
  </si>
  <si>
    <t>RBA (Dictionary Entry)</t>
  </si>
  <si>
    <t>Re-authentication (Dictionary Entry)</t>
  </si>
  <si>
    <t>Recertification (Dictionary Entry)</t>
  </si>
  <si>
    <t>Reference Monitor (Dictionary Entry)</t>
  </si>
  <si>
    <t>Registration Authority (Dictionary Entry)</t>
  </si>
  <si>
    <t>Rejoiner (Dictionary Entry)</t>
  </si>
  <si>
    <t>Relying Party (Dictionary Entry)</t>
  </si>
  <si>
    <t>Remote Identity Proofing (Dictionary Entry)</t>
  </si>
  <si>
    <t>Repeatability (Dictionary Entry)</t>
  </si>
  <si>
    <t>Representation Target (Dictionary Entry)</t>
  </si>
  <si>
    <t>Reproducibility (Dictionary Entry)</t>
  </si>
  <si>
    <t>Revocation (Dictionary Entry)</t>
  </si>
  <si>
    <t>RIDP (Dictionary Entry)</t>
  </si>
  <si>
    <t>Risk-Based Authentication (Dictionary Entry)</t>
  </si>
  <si>
    <t>Role (Dictionary Entry)</t>
  </si>
  <si>
    <t>Role-Based Access Control (Dictionary Entry)</t>
  </si>
  <si>
    <t>Role Bloating (Dictionary Entry)</t>
  </si>
  <si>
    <t>Role Capacity (Dictionary Entry)</t>
  </si>
  <si>
    <t>Role Cardinality (Dictionary Entry)</t>
  </si>
  <si>
    <t>Role Cardinality Activation Control (Dictionary Entry)</t>
  </si>
  <si>
    <t>Role Explosion (Dictionary Entry)</t>
  </si>
  <si>
    <t>Role Management (Dictionary Entry)</t>
  </si>
  <si>
    <t>RP (Dictionary Entry)</t>
  </si>
  <si>
    <t>SAM Database</t>
  </si>
  <si>
    <t>SAML</t>
  </si>
  <si>
    <t>Scale (Dictionary Entry)</t>
  </si>
  <si>
    <t>SCIM (Dictionary Entry)</t>
  </si>
  <si>
    <t>SCIM 1.0 (Dictionary Entry)</t>
  </si>
  <si>
    <t>SCIM 1.1 (Dictionary Entry)</t>
  </si>
  <si>
    <t>SCIM 2.0 (Dictionary Entry)</t>
  </si>
  <si>
    <t>Scoping (Dictionary Entry)</t>
  </si>
  <si>
    <t>SD (Dictionary Entry)</t>
  </si>
  <si>
    <t>SDP (Dictionary Entry)</t>
  </si>
  <si>
    <t>Secure Production Identity Framework for Everyone (Dictionary Entry)</t>
  </si>
  <si>
    <t>Secure System (Dictionary Entry)</t>
  </si>
  <si>
    <t>Security (Dictionary Entry)</t>
  </si>
  <si>
    <t>Security Accounts Manager (Dictionary Entry)</t>
  </si>
  <si>
    <t>Security Assertion Markup Language</t>
  </si>
  <si>
    <t>Security Clearance Level (Dictionary Entry)</t>
  </si>
  <si>
    <t>Security Compartment (Dictionary Entry)</t>
  </si>
  <si>
    <t>Security Label (Dictionary Entry)</t>
  </si>
  <si>
    <t>Segregation of Duties (Dictionary Entry)</t>
  </si>
  <si>
    <t>Self-Sovereign Identity</t>
  </si>
  <si>
    <t>Semantic Differential (Dictionary Entry)</t>
  </si>
  <si>
    <t>Service Account (Dictionary Entry)</t>
  </si>
  <si>
    <t>Service-Centric Identity Management System</t>
  </si>
  <si>
    <t>Session (Dictionary Entry)</t>
  </si>
  <si>
    <t>Single Login (Dictionary Entry)</t>
  </si>
  <si>
    <t>Single Sign-On (Dictionary Entry)</t>
  </si>
  <si>
    <t>Social Authentication</t>
  </si>
  <si>
    <t>Social Honeypot</t>
  </si>
  <si>
    <t>SoD (Dictionary Entry)</t>
  </si>
  <si>
    <t>Software-Defined Perimeter (Dictionary Entry)</t>
  </si>
  <si>
    <t>SPIFFE (Dictionary Entry)</t>
  </si>
  <si>
    <t>SPMS (Dictionary Entry)</t>
  </si>
  <si>
    <t>SSH Key (Dictionary Entry)</t>
  </si>
  <si>
    <t>SSI</t>
  </si>
  <si>
    <t>SSO (Dictionary Entry)</t>
  </si>
  <si>
    <t>Stability of Access Decision Factors (Dictionary Entry)</t>
  </si>
  <si>
    <t>Stakeholder (Dictionary Entry)</t>
  </si>
  <si>
    <t>Step-Up Authentication</t>
  </si>
  <si>
    <t>Strategic Performance Measurement System (Dictionary Entry)</t>
  </si>
  <si>
    <t>Strict Discretionary Access Control (Dictionary Entry)</t>
  </si>
  <si>
    <t>Strong Authentication (Dictionary Entry)</t>
  </si>
  <si>
    <t>Strong Tranquility Property (Dictionary Entry)</t>
  </si>
  <si>
    <t>Subject (Dictionary Entry)</t>
  </si>
  <si>
    <t>Subjective Indicator (Dictionary Entry)</t>
  </si>
  <si>
    <t>Supply Chain Attack</t>
  </si>
  <si>
    <t>Sybil Attack</t>
  </si>
  <si>
    <t>Synthetic Identity Fraud (Dictionary Entry)</t>
  </si>
  <si>
    <t>System</t>
  </si>
  <si>
    <t>System Boundaries</t>
  </si>
  <si>
    <t>System for Cross-domain Identity Management (Dictionary Entry)</t>
  </si>
  <si>
    <t>System Owner (Dictionary Entry)</t>
  </si>
  <si>
    <t>System Z (Dictionary Entry)</t>
  </si>
  <si>
    <t>Task-Based Access Control (Dictionary Entry)</t>
  </si>
  <si>
    <t>Taxa (Dictionary Entry)</t>
  </si>
  <si>
    <t>Taxon (Dictionary Entry)</t>
  </si>
  <si>
    <t>Taxonomy (Dictionary Entry)</t>
  </si>
  <si>
    <t>TCO (Dictionary Entry)</t>
  </si>
  <si>
    <t>Term (Dictionary Entry)</t>
  </si>
  <si>
    <t>Total Cost of Ownership (Dictionary Entry)</t>
  </si>
  <si>
    <t>Toxic Combinations (Dictionary Entry)</t>
  </si>
  <si>
    <t>Toxic Right Rule (Definition)</t>
  </si>
  <si>
    <t>Tranquil</t>
  </si>
  <si>
    <t>Tranquility Principle (Dictionary Entry)</t>
  </si>
  <si>
    <t>Tranquility Property (Dictionary Entry)</t>
  </si>
  <si>
    <t>Trust</t>
  </si>
  <si>
    <t>Trust Asymmetry (Dictionary Entry)</t>
  </si>
  <si>
    <t>Trust Composability (Dictionary Entry)</t>
  </si>
  <si>
    <t>Trust Personalization (Dictionary Entry)</t>
  </si>
  <si>
    <t>Trust Transitivity (Dictionary Entry)</t>
  </si>
  <si>
    <t>Type (Dictionary Entry)</t>
  </si>
  <si>
    <t>Typing Biometrics</t>
  </si>
  <si>
    <t>Typology (Dictionary Entry)</t>
  </si>
  <si>
    <t>Unanticipated User</t>
  </si>
  <si>
    <t>Unauthorized Access</t>
  </si>
  <si>
    <t>Unique ID Number</t>
  </si>
  <si>
    <t>Unit of measurement</t>
  </si>
  <si>
    <t>Unprivileged Insider</t>
  </si>
  <si>
    <t>User</t>
  </si>
  <si>
    <t>User Account</t>
  </si>
  <si>
    <t>User-Centric Identity Management System</t>
  </si>
  <si>
    <t>User De-Provisioning</t>
  </si>
  <si>
    <t>User Entitlement Reviews (Dictionary Entry)</t>
  </si>
  <si>
    <t>User ID</t>
  </si>
  <si>
    <t>Username</t>
  </si>
  <si>
    <t>User Provisioning</t>
  </si>
  <si>
    <t>Verifiable Claim</t>
  </si>
  <si>
    <t>Verification</t>
  </si>
  <si>
    <t>Virtual Directory (Dictionary Entry)</t>
  </si>
  <si>
    <t>Virtual Private Network (Dictionary Entry)</t>
  </si>
  <si>
    <t>Virtual Risk and Security Site Review (Dictionary Entry)</t>
  </si>
  <si>
    <t>VPN (Dictionary Entry)</t>
  </si>
  <si>
    <t>Weak Authentication (Dictionary Entry)</t>
  </si>
  <si>
    <t>Weak Tranquility Property (Dictionary Entry)</t>
  </si>
  <si>
    <t>Web-based Single Sign-On (Dictionary Entry)</t>
  </si>
  <si>
    <t>Windows (Non-Default) Local User Account (Dictionary Entry)</t>
  </si>
  <si>
    <t>Windows DefaultAccount Account (Dictionary Entry)</t>
  </si>
  <si>
    <t>Windows Default Local System Account (Dictionary Entry)</t>
  </si>
  <si>
    <t>Windows Default Local User Account (Dictionary Entry)</t>
  </si>
  <si>
    <t>Windows Guest Account (Dictionary Entry)</t>
  </si>
  <si>
    <t>Windows HelpAssistant Account (Dictionary Entry)</t>
  </si>
  <si>
    <t>Windows Local Account (Dictionary Entry)</t>
  </si>
  <si>
    <t>Windows Local Administrator Account (Dictionary Entry)</t>
  </si>
  <si>
    <t>Windows LOCAL SERVICE Account (Dictionary Entry)</t>
  </si>
  <si>
    <t>Windows NETWORK SERVICE Account (Dictionary Entry)</t>
  </si>
  <si>
    <t>Windows Security Identifier (Dictionary Entry)</t>
  </si>
  <si>
    <t>Windows SYSTEM Account (Dictionary Entry)</t>
  </si>
  <si>
    <t>Worker (Dictionary Entry)</t>
  </si>
  <si>
    <t>Workflow-Sensitive Access Control (Dictionary Entry)</t>
  </si>
  <si>
    <t>Workforce (Dictionary Entry)</t>
  </si>
  <si>
    <t>XACML (Dictionary Entry)</t>
  </si>
  <si>
    <t>Zero-Trust Access</t>
  </si>
  <si>
    <t>Zombie Account</t>
  </si>
  <si>
    <t>ZTA</t>
  </si>
  <si>
    <t>URL</t>
  </si>
  <si>
    <t>Title</t>
  </si>
  <si>
    <t>Link</t>
  </si>
  <si>
    <t>https://open-measure.atlassian.net/wiki/spaces/DIC/pages/805175450/4-Eyes+Principle</t>
  </si>
  <si>
    <t>https://open-measure.atlassian.net/wiki/spaces/DIC/pages/123962347/Access</t>
  </si>
  <si>
    <t>Access Audit</t>
  </si>
  <si>
    <t>https://open-measure.atlassian.net/wiki/spaces/DIC/pages/1121878227</t>
  </si>
  <si>
    <t>https://open-measure.atlassian.net/wiki/spaces/DIC/pages/1034223816/Access+Continuum</t>
  </si>
  <si>
    <t>Access Control</t>
  </si>
  <si>
    <t>https://open-measure.atlassian.net/wiki/spaces/DIC/pages/427163781</t>
  </si>
  <si>
    <t>Access Control List</t>
  </si>
  <si>
    <t>https://open-measure.atlassian.net/wiki/spaces/DIC/pages/822345754</t>
  </si>
  <si>
    <t>Access Control Mechanism</t>
  </si>
  <si>
    <t>https://open-measure.atlassian.net/wiki/spaces/DIC/pages/67633606</t>
  </si>
  <si>
    <t>Access Control Model</t>
  </si>
  <si>
    <t>https://open-measure.atlassian.net/wiki/spaces/DIC/pages/67699193</t>
  </si>
  <si>
    <t>Access Control Policy</t>
  </si>
  <si>
    <t>https://open-measure.atlassian.net/wiki/spaces/DIC/pages/67633597</t>
  </si>
  <si>
    <t>https://open-measure.atlassian.net/wiki/spaces/DIC/pages/1006632974</t>
  </si>
  <si>
    <t>Access Privilege</t>
  </si>
  <si>
    <t>https://open-measure.atlassian.net/wiki/spaces/DIC/pages/1122631723</t>
  </si>
  <si>
    <t>Access Right</t>
  </si>
  <si>
    <t>https://open-measure.atlassian.net/wiki/spaces/DIC/pages/1122599013</t>
  </si>
  <si>
    <t>Access Rights Management</t>
  </si>
  <si>
    <t>https://open-measure.atlassian.net/wiki/spaces/DIC/pages/1704003</t>
  </si>
  <si>
    <t>https://open-measure.atlassian.net/wiki/spaces/DIC/pages/1600684040/Access+Token</t>
  </si>
  <si>
    <t>https://open-measure.atlassian.net/wiki/spaces/DIC/pages/461308120/Account</t>
  </si>
  <si>
    <t>Account Lockout Policy</t>
  </si>
  <si>
    <t>https://open-measure.atlassian.net/wiki/spaces/DIC/pages/67699360</t>
  </si>
  <si>
    <t>Account Management</t>
  </si>
  <si>
    <t>https://open-measure.atlassian.net/wiki/spaces/DIC/pages/1146847331</t>
  </si>
  <si>
    <t>https://open-measure.atlassian.net/wiki/spaces/DIC/pages/1079050286/Account+Takeover</t>
  </si>
  <si>
    <t>https://open-measure.atlassian.net/wiki/spaces/DIC/pages/425623718</t>
  </si>
  <si>
    <t>Accreditation</t>
  </si>
  <si>
    <t>https://open-measure.atlassian.net/wiki/spaces/DIC/pages/446955580</t>
  </si>
  <si>
    <t>Active Impersonation Attack</t>
  </si>
  <si>
    <t>https://open-measure.atlassian.net/wiki/spaces/DIC/pages/974454812</t>
  </si>
  <si>
    <t>https://open-measure.atlassian.net/wiki/spaces/DIC/pages/81101665/AP</t>
  </si>
  <si>
    <t>Applicant</t>
  </si>
  <si>
    <t>https://open-measure.atlassian.net/wiki/spaces/DIC/pages/848625750</t>
  </si>
  <si>
    <t>https://open-measure.atlassian.net/wiki/spaces/DIC/pages/5965602/Application</t>
  </si>
  <si>
    <t>Application Administrator</t>
  </si>
  <si>
    <t>https://open-measure.atlassian.net/wiki/spaces/DIC/pages/274236090</t>
  </si>
  <si>
    <t>Application Instance</t>
  </si>
  <si>
    <t>https://open-measure.atlassian.net/wiki/spaces/DIC/pages/834044036</t>
  </si>
  <si>
    <t>https://open-measure.atlassian.net/wiki/spaces/DIC/pages/1658355721/Application+Multiplexing</t>
  </si>
  <si>
    <t>Application Package</t>
  </si>
  <si>
    <t>https://open-measure.atlassian.net/wiki/spaces/DIC/pages/5932704</t>
  </si>
  <si>
    <t>https://open-measure.atlassian.net/wiki/spaces/DIC/pages/6030793/Application+Program</t>
  </si>
  <si>
    <t>Application-Level Policy</t>
  </si>
  <si>
    <t>https://open-measure.atlassian.net/wiki/spaces/DIC/pages/1122631854</t>
  </si>
  <si>
    <t>Archive</t>
  </si>
  <si>
    <t>https://open-measure.atlassian.net/wiki/spaces/DIC/pages/425197720</t>
  </si>
  <si>
    <t>https://open-measure.atlassian.net/wiki/spaces/DIC/pages/1703994/ARM</t>
  </si>
  <si>
    <t>Asset Custody</t>
  </si>
  <si>
    <t>https://open-measure.atlassian.net/wiki/spaces/DIC/pages/1094516867</t>
  </si>
  <si>
    <t>https://open-measure.atlassian.net/wiki/spaces/DIC/pages/1323368851/Attestation</t>
  </si>
  <si>
    <t>https://open-measure.atlassian.net/wiki/spaces/DIC/pages/409174161</t>
  </si>
  <si>
    <t>Attribute Provider</t>
  </si>
  <si>
    <t>https://open-measure.atlassian.net/wiki/spaces/DIC/pages/81101655</t>
  </si>
  <si>
    <t>Authenticated Users</t>
  </si>
  <si>
    <t>https://open-measure.atlassian.net/wiki/spaces/DIC/pages/966492169</t>
  </si>
  <si>
    <t>Authentication</t>
  </si>
  <si>
    <t>https://open-measure.atlassian.net/wiki/spaces/DIC/pages/61177884</t>
  </si>
  <si>
    <t>https://open-measure.atlassian.net/wiki/spaces/DIC/pages/81199158</t>
  </si>
  <si>
    <t>Authenticator</t>
  </si>
  <si>
    <t>https://open-measure.atlassian.net/wiki/spaces/DIC/pages/848724060</t>
  </si>
  <si>
    <t>Authority</t>
  </si>
  <si>
    <t>https://open-measure.atlassian.net/wiki/spaces/DIC/pages/998178905</t>
  </si>
  <si>
    <t>Authorization</t>
  </si>
  <si>
    <t>https://open-measure.atlassian.net/wiki/spaces/DIC/pages/60882993</t>
  </si>
  <si>
    <t>https://open-measure.atlassian.net/wiki/spaces/DIC/pages/1137573936/Authorization+Externalization</t>
  </si>
  <si>
    <t>Awareness</t>
  </si>
  <si>
    <t>https://open-measure.atlassian.net/wiki/spaces/DIC/pages/1311472</t>
  </si>
  <si>
    <t>AWS Account Root User</t>
  </si>
  <si>
    <t>https://open-measure.atlassian.net/wiki/spaces/DIC/pages/998277774</t>
  </si>
  <si>
    <t>AWS ACL</t>
  </si>
  <si>
    <t>https://open-measure.atlassian.net/wiki/spaces/DIC/pages/998245198</t>
  </si>
  <si>
    <t>AWS IAM</t>
  </si>
  <si>
    <t>https://open-measure.atlassian.net/wiki/spaces/DIC/pages/998277876</t>
  </si>
  <si>
    <t>AWS IAM Group</t>
  </si>
  <si>
    <t>https://open-measure.atlassian.net/wiki/spaces/DIC/pages/998277805</t>
  </si>
  <si>
    <t>AWS IAM Policy</t>
  </si>
  <si>
    <t>https://open-measure.atlassian.net/wiki/spaces/DIC/pages/998277852</t>
  </si>
  <si>
    <t>AWS IAM Principal</t>
  </si>
  <si>
    <t>https://open-measure.atlassian.net/wiki/spaces/DIC/pages/1071251573</t>
  </si>
  <si>
    <t>AWS IAM Role</t>
  </si>
  <si>
    <t>https://open-measure.atlassian.net/wiki/spaces/DIC/pages/998245151</t>
  </si>
  <si>
    <t>AWS IAM Temporary Security Credentials</t>
  </si>
  <si>
    <t>https://open-measure.atlassian.net/wiki/spaces/DIC/pages/998277835</t>
  </si>
  <si>
    <t>AWS IAM User</t>
  </si>
  <si>
    <t>https://open-measure.atlassian.net/wiki/spaces/DIC/pages/998245125</t>
  </si>
  <si>
    <t>BankID</t>
  </si>
  <si>
    <t>https://open-measure.atlassian.net/wiki/spaces/DIC/pages/797933843</t>
  </si>
  <si>
    <t>Basic Z Rule</t>
  </si>
  <si>
    <t>https://open-measure.atlassian.net/wiki/spaces/DIC/pages/1228079157</t>
  </si>
  <si>
    <t>https://open-measure.atlassian.net/wiki/spaces/DIC/pages/1673527501/Behavioral+Authentication</t>
  </si>
  <si>
    <t>https://open-measure.atlassian.net/wiki/spaces/DIC/pages/1237549087/Bell-LaPadula+Model</t>
  </si>
  <si>
    <t>Biometric Identification</t>
  </si>
  <si>
    <t>https://open-measure.atlassian.net/wiki/spaces/DIC/pages/409174210</t>
  </si>
  <si>
    <t>Biometrics</t>
  </si>
  <si>
    <t>https://open-measure.atlassian.net/wiki/spaces/DIC/pages/409010581</t>
  </si>
  <si>
    <t>Birth Certificate</t>
  </si>
  <si>
    <t>https://open-measure.atlassian.net/wiki/spaces/DIC/pages/1031209441</t>
  </si>
  <si>
    <t>Blast Radius</t>
  </si>
  <si>
    <t>https://open-measure.atlassian.net/wiki/spaces/DIC/pages/794492970</t>
  </si>
  <si>
    <t>https://open-measure.atlassian.net/wiki/spaces/DIC/pages/1571389777/Boundary+Control</t>
  </si>
  <si>
    <t>Broker</t>
  </si>
  <si>
    <t>https://open-measure.atlassian.net/wiki/spaces/DIC/pages/81101750</t>
  </si>
  <si>
    <t>https://open-measure.atlassian.net/wiki/spaces/DIC/pages/1348763687/Brute+Force+Attack</t>
  </si>
  <si>
    <t>Built-in</t>
  </si>
  <si>
    <t>https://open-measure.atlassian.net/wiki/spaces/DIC/pages/140772106</t>
  </si>
  <si>
    <t>https://open-measure.atlassian.net/wiki/spaces/DIC/pages/1228079170/BZR</t>
  </si>
  <si>
    <t>https://open-measure.atlassian.net/wiki/spaces/DIC/pages/1254588417/Cached+Credential</t>
  </si>
  <si>
    <t>https://open-measure.atlassian.net/wiki/spaces/DIC/pages/442466346/CDD</t>
  </si>
  <si>
    <t>Centralized Identity Management System</t>
  </si>
  <si>
    <t>https://open-measure.atlassian.net/wiki/spaces/DIC/pages/1152483641</t>
  </si>
  <si>
    <t>Certification</t>
  </si>
  <si>
    <t>https://open-measure.atlassian.net/wiki/spaces/DIC/pages/823459864</t>
  </si>
  <si>
    <t>https://open-measure.atlassian.net/wiki/spaces/DIC/pages/1290076214/CIBA</t>
  </si>
  <si>
    <t>https://open-measure.atlassian.net/wiki/spaces/DIC/pages/1323499650/Claim</t>
  </si>
  <si>
    <t>https://open-measure.atlassian.net/wiki/spaces/DIC/pages/1309605928/Claim+Registry+Model</t>
  </si>
  <si>
    <t>Claimant</t>
  </si>
  <si>
    <t>https://open-measure.atlassian.net/wiki/spaces/DIC/pages/848363630</t>
  </si>
  <si>
    <t>Classification</t>
  </si>
  <si>
    <t>https://open-measure.atlassian.net/wiki/spaces/DIC/pages/140771387</t>
  </si>
  <si>
    <t>https://open-measure.atlassian.net/wiki/spaces/DIC/pages/1290076229/Client+Initiated+Backchannel+Authentication</t>
  </si>
  <si>
    <t>Cloud Identity Management System</t>
  </si>
  <si>
    <t>https://open-measure.atlassian.net/wiki/spaces/DIC/pages/1152516136</t>
  </si>
  <si>
    <t>Cloud IdMS</t>
  </si>
  <si>
    <t>https://open-measure.atlassian.net/wiki/spaces/DIC/pages/1152516118</t>
  </si>
  <si>
    <t>Cloud Service Consumers</t>
  </si>
  <si>
    <t>https://open-measure.atlassian.net/wiki/spaces/DIC/pages/1147043959</t>
  </si>
  <si>
    <t>Cloud Service Provider</t>
  </si>
  <si>
    <t>https://open-measure.atlassian.net/wiki/spaces/DIC/pages/206307528</t>
  </si>
  <si>
    <t>https://open-measure.atlassian.net/wiki/spaces/DIC/pages/206766142/Cloud+Service+User</t>
  </si>
  <si>
    <t>Commission Error</t>
  </si>
  <si>
    <t>https://open-measure.atlassian.net/wiki/spaces/DIC/pages/998277125</t>
  </si>
  <si>
    <t>Compromised Identity</t>
  </si>
  <si>
    <t>https://open-measure.atlassian.net/wiki/spaces/DIC/pages/461307985</t>
  </si>
  <si>
    <t>Concurrent Impersonation Attack</t>
  </si>
  <si>
    <t>https://open-measure.atlassian.net/wiki/spaces/DIC/pages/974454827</t>
  </si>
  <si>
    <t>Continuous Authentication</t>
  </si>
  <si>
    <t>https://open-measure.atlassian.net/wiki/spaces/DIC/pages/877297665</t>
  </si>
  <si>
    <t>Control Party</t>
  </si>
  <si>
    <t>https://open-measure.atlassian.net/wiki/spaces/DIC/pages/82838169</t>
  </si>
  <si>
    <t>Core Identity</t>
  </si>
  <si>
    <t>https://open-measure.atlassian.net/wiki/spaces/DIC/pages/138346642</t>
  </si>
  <si>
    <t>https://open-measure.atlassian.net/wiki/spaces/DIC/pages/67633343/Credential</t>
  </si>
  <si>
    <t>https://open-measure.atlassian.net/wiki/spaces/DIC/pages/1254719498/Credential+Harvesting</t>
  </si>
  <si>
    <t>Credential Service Provider</t>
  </si>
  <si>
    <t>https://open-measure.atlassian.net/wiki/spaces/DIC/pages/82870977</t>
  </si>
  <si>
    <t>https://open-measure.atlassian.net/wiki/spaces/DIC/pages/1348862053/Credential+Stuffing</t>
  </si>
  <si>
    <t>Credential Theft</t>
  </si>
  <si>
    <t>https://open-measure.atlassian.net/wiki/spaces/DIC/pages/461340725</t>
  </si>
  <si>
    <t>Cryptographic Key</t>
  </si>
  <si>
    <t>https://open-measure.atlassian.net/wiki/spaces/DIC/pages/427130918</t>
  </si>
  <si>
    <t>https://open-measure.atlassian.net/wiki/spaces/DIC/pages/1152516162/CSC</t>
  </si>
  <si>
    <t>https://open-measure.atlassian.net/wiki/spaces/DIC/pages/82903984/CSP</t>
  </si>
  <si>
    <t>https://open-measure.atlassian.net/wiki/spaces/DIC/pages/206667867/CSU</t>
  </si>
  <si>
    <t>Customer Due Diligence</t>
  </si>
  <si>
    <t>https://open-measure.atlassian.net/wiki/spaces/DIC/pages/414482448</t>
  </si>
  <si>
    <t>Customer Identification</t>
  </si>
  <si>
    <t>https://open-measure.atlassian.net/wiki/spaces/DIC/pages/414548006</t>
  </si>
  <si>
    <t>Customer Identity</t>
  </si>
  <si>
    <t>https://open-measure.atlassian.net/wiki/spaces/DIC/pages/138444875</t>
  </si>
  <si>
    <t>Customer Identity Verification</t>
  </si>
  <si>
    <t>https://open-measure.atlassian.net/wiki/spaces/DIC/pages/409010717</t>
  </si>
  <si>
    <t>Customer On-Boarding</t>
  </si>
  <si>
    <t>https://open-measure.atlassian.net/wiki/spaces/DIC/pages/408944928</t>
  </si>
  <si>
    <t>Customer Privacy and Consent Management</t>
  </si>
  <si>
    <t>https://open-measure.atlassian.net/wiki/spaces/DIC/pages/797900801</t>
  </si>
  <si>
    <t>https://open-measure.atlassian.net/wiki/spaces/DIC/pages/1451982933/Cyber-sabotage</t>
  </si>
  <si>
    <t>https://open-measure.atlassian.net/wiki/spaces/DIC/pages/1177845938/DAC</t>
  </si>
  <si>
    <t>https://open-measure.atlassian.net/wiki/spaces/DIC/pages/1267400850/Data+Anonymization</t>
  </si>
  <si>
    <t>Data Custodian</t>
  </si>
  <si>
    <t>https://open-measure.atlassian.net/wiki/spaces/DIC/pages/998244454</t>
  </si>
  <si>
    <t>Data Lineage</t>
  </si>
  <si>
    <t>https://open-measure.atlassian.net/wiki/spaces/DIC/pages/508330028</t>
  </si>
  <si>
    <t>Data Obfuscation</t>
  </si>
  <si>
    <t>https://open-measure.atlassian.net/wiki/spaces/DIC/pages/1027048097</t>
  </si>
  <si>
    <t>Data Owner</t>
  </si>
  <si>
    <t>https://open-measure.atlassian.net/wiki/spaces/DIC/pages/998179040</t>
  </si>
  <si>
    <t>Data-Level Policy</t>
  </si>
  <si>
    <t>https://open-measure.atlassian.net/wiki/spaces/DIC/pages/1132331029</t>
  </si>
  <si>
    <t>Death Certificate</t>
  </si>
  <si>
    <t>https://open-measure.atlassian.net/wiki/spaces/DIC/pages/1031242134</t>
  </si>
  <si>
    <t>Decentralized Identifier</t>
  </si>
  <si>
    <t>https://open-measure.atlassian.net/wiki/spaces/DIC/pages/782893122</t>
  </si>
  <si>
    <t>De-duplication</t>
  </si>
  <si>
    <t>https://open-measure.atlassian.net/wiki/spaces/DIC/pages/408977837</t>
  </si>
  <si>
    <t>Deprovisioning</t>
  </si>
  <si>
    <t>https://open-measure.atlassian.net/wiki/spaces/DIC/pages/62193665</t>
  </si>
  <si>
    <t>https://open-measure.atlassian.net/wiki/spaces/DIC/pages/782925889/DID</t>
  </si>
  <si>
    <t>Digital Continuity</t>
  </si>
  <si>
    <t>https://open-measure.atlassian.net/wiki/spaces/DIC/pages/458326308</t>
  </si>
  <si>
    <t>https://open-measure.atlassian.net/wiki/spaces/DIC/pages/419561482/Digital+Identification+System</t>
  </si>
  <si>
    <t>https://open-measure.atlassian.net/wiki/spaces/DIC/pages/419528705/Digital+Identity</t>
  </si>
  <si>
    <t>https://open-measure.atlassian.net/wiki/spaces/DIC/pages/1270153304/Digital+Identity+Authenticity</t>
  </si>
  <si>
    <t>Digital Triangulation</t>
  </si>
  <si>
    <t>https://open-measure.atlassian.net/wiki/spaces/DIC/pages/796983391</t>
  </si>
  <si>
    <t>Discretionary Access Control</t>
  </si>
  <si>
    <t>https://open-measure.atlassian.net/wiki/spaces/DIC/pages/1181876315</t>
  </si>
  <si>
    <t>Distributed Identity</t>
  </si>
  <si>
    <t>https://open-measure.atlassian.net/wiki/spaces/DIC/pages/810287202</t>
  </si>
  <si>
    <t>Distributed Ledger Technology</t>
  </si>
  <si>
    <t>https://open-measure.atlassian.net/wiki/spaces/DIC/pages/419594251</t>
  </si>
  <si>
    <t>Dual Authorization</t>
  </si>
  <si>
    <t>https://open-measure.atlassian.net/wiki/spaces/DIC/pages/806584322</t>
  </si>
  <si>
    <t>ECS</t>
  </si>
  <si>
    <t>https://open-measure.atlassian.net/wiki/spaces/DIC/pages/206766113</t>
  </si>
  <si>
    <t>e-Identity</t>
  </si>
  <si>
    <t>https://open-measure.atlassian.net/wiki/spaces/DIC/pages/82903896</t>
  </si>
  <si>
    <t>EIdM</t>
  </si>
  <si>
    <t>https://open-measure.atlassian.net/wiki/spaces/DIC/pages/61964467</t>
  </si>
  <si>
    <t>Employee</t>
  </si>
  <si>
    <t>https://open-measure.atlassian.net/wiki/spaces/DIC/pages/1031209232</t>
  </si>
  <si>
    <t>Enterprise Cloud Subscriber</t>
  </si>
  <si>
    <t>https://open-measure.atlassian.net/wiki/spaces/DIC/pages/206766092</t>
  </si>
  <si>
    <t>Enterprise Identity Management</t>
  </si>
  <si>
    <t>https://open-measure.atlassian.net/wiki/spaces/DIC/pages/62455952</t>
  </si>
  <si>
    <t>Enterprise Single Sign-On</t>
  </si>
  <si>
    <t>https://open-measure.atlassian.net/wiki/spaces/DIC/pages/76021801</t>
  </si>
  <si>
    <t>Entitlement</t>
  </si>
  <si>
    <t>https://open-measure.atlassian.net/wiki/spaces/DIC/pages/1121878049</t>
  </si>
  <si>
    <t>Entitlement Management</t>
  </si>
  <si>
    <t>https://open-measure.atlassian.net/wiki/spaces/DIC/pages/1122566465</t>
  </si>
  <si>
    <t>Entitlement Management Process</t>
  </si>
  <si>
    <t>https://open-measure.atlassian.net/wiki/spaces/DIC/pages/1121910973</t>
  </si>
  <si>
    <t>Entitlement Management Solution</t>
  </si>
  <si>
    <t>https://open-measure.atlassian.net/wiki/spaces/DIC/pages/1122631800</t>
  </si>
  <si>
    <t>Entitlement-Based Access Control</t>
  </si>
  <si>
    <t>https://open-measure.atlassian.net/wiki/spaces/DIC/pages/1122566173</t>
  </si>
  <si>
    <t>Entity</t>
  </si>
  <si>
    <t>https://open-measure.atlassian.net/wiki/spaces/DIC/pages/123830932</t>
  </si>
  <si>
    <t>ESSO</t>
  </si>
  <si>
    <t>https://open-measure.atlassian.net/wiki/spaces/DIC/pages/75956266</t>
  </si>
  <si>
    <t>Excessive Privilege Abuse</t>
  </si>
  <si>
    <t>https://open-measure.atlassian.net/wiki/spaces/DIC/pages/1104904275</t>
  </si>
  <si>
    <t>Expanded Password System</t>
  </si>
  <si>
    <t>https://open-measure.atlassian.net/wiki/spaces/DIC/pages/446824885</t>
  </si>
  <si>
    <t>Exploited Identity</t>
  </si>
  <si>
    <t>https://open-measure.atlassian.net/wiki/spaces/DIC/pages/461275380</t>
  </si>
  <si>
    <t>Extended Enterprise</t>
  </si>
  <si>
    <t>https://open-measure.atlassian.net/wiki/spaces/DIC/pages/82870848</t>
  </si>
  <si>
    <t>Extensible Access Control Markup Language</t>
  </si>
  <si>
    <t>https://open-measure.atlassian.net/wiki/spaces/DIC/pages/1121878505</t>
  </si>
  <si>
    <t>https://open-measure.atlassian.net/wiki/spaces/DIC/pages/1267433567/Fake+Digital+Identity</t>
  </si>
  <si>
    <t>https://open-measure.atlassian.net/wiki/spaces/DIC/pages/1290141697/FAPI</t>
  </si>
  <si>
    <t>Federated Identity Management</t>
  </si>
  <si>
    <t>https://open-measure.atlassian.net/wiki/spaces/DIC/pages/331579598</t>
  </si>
  <si>
    <t>Federated Identity Management System</t>
  </si>
  <si>
    <t>https://open-measure.atlassian.net/wiki/spaces/DIC/pages/1152483703</t>
  </si>
  <si>
    <t>Federated SSO</t>
  </si>
  <si>
    <t>https://open-measure.atlassian.net/wiki/spaces/DIC/pages/75890786</t>
  </si>
  <si>
    <t>Federation Bridge</t>
  </si>
  <si>
    <t>https://open-measure.atlassian.net/wiki/spaces/DIC/pages/763035693</t>
  </si>
  <si>
    <t>FIM</t>
  </si>
  <si>
    <t>https://open-measure.atlassian.net/wiki/spaces/DIC/pages/331579618</t>
  </si>
  <si>
    <t>https://open-measure.atlassian.net/wiki/spaces/DIC/pages/1290207237/Financial-grade+API</t>
  </si>
  <si>
    <t>https://open-measure.atlassian.net/wiki/spaces/DIC/pages/1378091043/FinTech</t>
  </si>
  <si>
    <t>Flexibility</t>
  </si>
  <si>
    <t>https://open-measure.atlassian.net/wiki/spaces/DIC/pages/438698048</t>
  </si>
  <si>
    <t>Flow Analysis</t>
  </si>
  <si>
    <t>https://open-measure.atlassian.net/wiki/spaces/DIC/pages/1223884872</t>
  </si>
  <si>
    <t>Forged Identity</t>
  </si>
  <si>
    <t>https://open-measure.atlassian.net/wiki/spaces/DIC/pages/1173585921</t>
  </si>
  <si>
    <t>Formal Verification</t>
  </si>
  <si>
    <t>https://open-measure.atlassian.net/wiki/spaces/DIC/pages/1226833964</t>
  </si>
  <si>
    <t>https://open-measure.atlassian.net/wiki/spaces/DIC/pages/419561522/Foundational+Identification+System</t>
  </si>
  <si>
    <t>Functional Identification System</t>
  </si>
  <si>
    <t>https://open-measure.atlassian.net/wiki/spaces/DIC/pages/419528747</t>
  </si>
  <si>
    <t>Functional System</t>
  </si>
  <si>
    <t>https://open-measure.atlassian.net/wiki/spaces/DIC/pages/1229619254</t>
  </si>
  <si>
    <t>Guest Account</t>
  </si>
  <si>
    <t>https://open-measure.atlassian.net/wiki/spaces/DIC/pages/966557699</t>
  </si>
  <si>
    <t>High Water Mark Principle</t>
  </si>
  <si>
    <t>https://open-measure.atlassian.net/wiki/spaces/DIC/pages/1177846011</t>
  </si>
  <si>
    <t>Human Error</t>
  </si>
  <si>
    <t>https://open-measure.atlassian.net/wiki/spaces/DIC/pages/998047786</t>
  </si>
  <si>
    <t>Human Reliability</t>
  </si>
  <si>
    <t>https://open-measure.atlassian.net/wiki/spaces/DIC/pages/998277156</t>
  </si>
  <si>
    <t>https://open-measure.atlassian.net/wiki/spaces/DIC/pages/1572865/IAG</t>
  </si>
  <si>
    <t>https://open-measure.atlassian.net/wiki/spaces/DIC/pages/1081356/IAM</t>
  </si>
  <si>
    <t>IAM ARN</t>
  </si>
  <si>
    <t>https://open-measure.atlassian.net/wiki/spaces/DIC/pages/1037926677</t>
  </si>
  <si>
    <t>IAM Management</t>
  </si>
  <si>
    <t>https://open-measure.atlassian.net/wiki/spaces/DIC/pages/82838735</t>
  </si>
  <si>
    <t>IAP</t>
  </si>
  <si>
    <t>https://open-measure.atlassian.net/wiki/spaces/DIC/pages/234487971</t>
  </si>
  <si>
    <t>IDaaS</t>
  </si>
  <si>
    <t>https://open-measure.atlassian.net/wiki/spaces/DIC/pages/1149468857</t>
  </si>
  <si>
    <t>Ideal Type</t>
  </si>
  <si>
    <t>https://open-measure.atlassian.net/wiki/spaces/DIC/pages/149356545</t>
  </si>
  <si>
    <t>Identification</t>
  </si>
  <si>
    <t>https://open-measure.atlassian.net/wiki/spaces/DIC/pages/419659837</t>
  </si>
  <si>
    <t>Identification System</t>
  </si>
  <si>
    <t>https://open-measure.atlassian.net/wiki/spaces/DIC/pages/419758113</t>
  </si>
  <si>
    <t>Identifier</t>
  </si>
  <si>
    <t>https://open-measure.atlassian.net/wiki/spaces/DIC/pages/435322922</t>
  </si>
  <si>
    <t>https://open-measure.atlassian.net/wiki/spaces/DIC/pages/1311113273/Identifier+Registry+Model</t>
  </si>
  <si>
    <t>Identity</t>
  </si>
  <si>
    <t>https://open-measure.atlassian.net/wiki/spaces/DIC/pages/67600948</t>
  </si>
  <si>
    <t>https://open-measure.atlassian.net/wiki/spaces/DIC/pages/1600618542/Identity+Aggregation</t>
  </si>
  <si>
    <t>https://open-measure.atlassian.net/wiki/spaces/DIC/pages/1458176007/Identity+and+Access+Governance</t>
  </si>
  <si>
    <t>https://open-measure.atlassian.net/wiki/spaces/DIC/pages/1409143/Identity+and+Access+Management</t>
  </si>
  <si>
    <t>https://open-measure.atlassian.net/wiki/spaces/DIC/pages/1600749655/Identity+Assurance</t>
  </si>
  <si>
    <t>Identity Attribute</t>
  </si>
  <si>
    <t>https://open-measure.atlassian.net/wiki/spaces/DIC/pages/82903275</t>
  </si>
  <si>
    <t>https://open-measure.atlassian.net/wiki/spaces/DIC/pages/123896632/Identity+Establishment</t>
  </si>
  <si>
    <t>https://open-measure.atlassian.net/wiki/spaces/DIC/pages/336035929/Identity+Federation</t>
  </si>
  <si>
    <t>https://open-measure.atlassian.net/wiki/spaces/DIC/pages/1323597918/Identity+Guardian</t>
  </si>
  <si>
    <t>Identity Lifecycle</t>
  </si>
  <si>
    <t>https://open-measure.atlassian.net/wiki/spaces/DIC/pages/67600436</t>
  </si>
  <si>
    <t>Identity Management</t>
  </si>
  <si>
    <t>https://open-measure.atlassian.net/wiki/spaces/DIC/pages/1122533530</t>
  </si>
  <si>
    <t>Identity Management System</t>
  </si>
  <si>
    <t>https://open-measure.atlassian.net/wiki/spaces/DIC/pages/1146847286</t>
  </si>
  <si>
    <t>https://open-measure.atlassian.net/wiki/spaces/DIC/pages/1323434004/Identity+Portability</t>
  </si>
  <si>
    <t>Identity Proofing</t>
  </si>
  <si>
    <t>https://open-measure.atlassian.net/wiki/spaces/DIC/pages/858522094</t>
  </si>
  <si>
    <t>Identity Propagation</t>
  </si>
  <si>
    <t>https://open-measure.atlassian.net/wiki/spaces/DIC/pages/810254353</t>
  </si>
  <si>
    <t>Identity Provider</t>
  </si>
  <si>
    <t>https://open-measure.atlassian.net/wiki/spaces/DIC/pages/82838020</t>
  </si>
  <si>
    <t>Identity Repository</t>
  </si>
  <si>
    <t>https://open-measure.atlassian.net/wiki/spaces/DIC/pages/1117913089</t>
  </si>
  <si>
    <t>Identity-as-a-Service</t>
  </si>
  <si>
    <t>https://open-measure.atlassian.net/wiki/spaces/DIC/pages/1152516217</t>
  </si>
  <si>
    <t>Identity-Aware Proxy</t>
  </si>
  <si>
    <t>https://open-measure.atlassian.net/wiki/spaces/DIC/pages/236748873</t>
  </si>
  <si>
    <t>IdMS</t>
  </si>
  <si>
    <t>https://open-measure.atlassian.net/wiki/spaces/DIC/pages/1147043904</t>
  </si>
  <si>
    <t>IdP</t>
  </si>
  <si>
    <t>https://open-measure.atlassian.net/wiki/spaces/DIC/pages/81101362</t>
  </si>
  <si>
    <t>IMG</t>
  </si>
  <si>
    <t>https://open-measure.atlassian.net/wiki/spaces/DIC/pages/107708597</t>
  </si>
  <si>
    <t>Impersonation</t>
  </si>
  <si>
    <t>https://open-measure.atlassian.net/wiki/spaces/DIC/pages/974323719</t>
  </si>
  <si>
    <t>Information</t>
  </si>
  <si>
    <t>https://open-measure.atlassian.net/wiki/spaces/DIC/pages/1027342618</t>
  </si>
  <si>
    <t>Information Asset</t>
  </si>
  <si>
    <t>https://open-measure.atlassian.net/wiki/spaces/DIC/pages/455508212</t>
  </si>
  <si>
    <t>Information Custodian</t>
  </si>
  <si>
    <t>https://open-measure.atlassian.net/wiki/spaces/DIC/pages/1004896257</t>
  </si>
  <si>
    <t>Information Flow Policy</t>
  </si>
  <si>
    <t>https://open-measure.atlassian.net/wiki/spaces/DIC/pages/1177714758</t>
  </si>
  <si>
    <t>Information Owner</t>
  </si>
  <si>
    <t>https://open-measure.atlassian.net/wiki/spaces/DIC/pages/998113409</t>
  </si>
  <si>
    <t>https://open-measure.atlassian.net/wiki/spaces/DIC/pages/438698009/Information+Security+Domain</t>
  </si>
  <si>
    <t>https://open-measure.atlassian.net/wiki/spaces/DIC/pages/1031241830/Information+System</t>
  </si>
  <si>
    <t>https://open-measure.atlassian.net/wiki/spaces/DIC/pages/1477869651/Inside+Attacker</t>
  </si>
  <si>
    <t>https://open-measure.atlassian.net/wiki/spaces/DIC/pages/1451884782/Insider</t>
  </si>
  <si>
    <t>https://open-measure.atlassian.net/wiki/spaces/DIC/pages/1478459402/Insider+Attack</t>
  </si>
  <si>
    <t>https://open-measure.atlassian.net/wiki/spaces/DIC/pages/1451098397/Insider+Threat</t>
  </si>
  <si>
    <t>Insufficient Granularity of Access Control</t>
  </si>
  <si>
    <t>https://open-measure.atlassian.net/wiki/spaces/DIC/pages/822476843</t>
  </si>
  <si>
    <t>Intentional Error</t>
  </si>
  <si>
    <t>https://open-measure.atlassian.net/wiki/spaces/DIC/pages/998277141</t>
  </si>
  <si>
    <t>Interested Party</t>
  </si>
  <si>
    <t>https://open-measure.atlassian.net/wiki/spaces/DIC/pages/1311417</t>
  </si>
  <si>
    <t>Interoperability</t>
  </si>
  <si>
    <t>https://open-measure.atlassian.net/wiki/spaces/DIC/pages/442466314</t>
  </si>
  <si>
    <t>Interval Scale</t>
  </si>
  <si>
    <t>https://open-measure.atlassian.net/wiki/spaces/DIC/pages/11567191</t>
  </si>
  <si>
    <t>Isolated Identity Management System</t>
  </si>
  <si>
    <t>https://open-measure.atlassian.net/wiki/spaces/DIC/pages/1152483625</t>
  </si>
  <si>
    <t>IT Asset Scope</t>
  </si>
  <si>
    <t>https://open-measure.atlassian.net/wiki/spaces/DIC/pages/720902</t>
  </si>
  <si>
    <t>https://open-measure.atlassian.net/wiki/spaces/DIC/pages/1569095803/IT+System</t>
  </si>
  <si>
    <t>JML</t>
  </si>
  <si>
    <t>https://open-measure.atlassian.net/wiki/spaces/DIC/pages/858488984</t>
  </si>
  <si>
    <t>Joiner</t>
  </si>
  <si>
    <t>https://open-measure.atlassian.net/wiki/spaces/DIC/pages/855506953</t>
  </si>
  <si>
    <t>Joiner Hire Date</t>
  </si>
  <si>
    <t>https://open-measure.atlassian.net/wiki/spaces/DIC/pages/858456203</t>
  </si>
  <si>
    <t>Joiner Lead Time</t>
  </si>
  <si>
    <t>https://open-measure.atlassian.net/wiki/spaces/DIC/pages/852492379</t>
  </si>
  <si>
    <t>Joiner Process</t>
  </si>
  <si>
    <t>https://open-measure.atlassian.net/wiki/spaces/DIC/pages/858521641</t>
  </si>
  <si>
    <t>Joiner Start Date</t>
  </si>
  <si>
    <t>https://open-measure.atlassian.net/wiki/spaces/DIC/pages/852492338</t>
  </si>
  <si>
    <t>Key Criteria Type</t>
  </si>
  <si>
    <t>https://open-measure.atlassian.net/wiki/spaces/DIC/pages/140706011</t>
  </si>
  <si>
    <t>Key Information</t>
  </si>
  <si>
    <t>https://open-measure.atlassian.net/wiki/spaces/DIC/pages/425623701</t>
  </si>
  <si>
    <t>Keying Material</t>
  </si>
  <si>
    <t>https://open-measure.atlassian.net/wiki/spaces/DIC/pages/427163745</t>
  </si>
  <si>
    <t>KYC</t>
  </si>
  <si>
    <t>https://open-measure.atlassian.net/wiki/spaces/DIC/pages/442499114</t>
  </si>
  <si>
    <t>KYC Registry</t>
  </si>
  <si>
    <t>https://open-measure.atlassian.net/wiki/spaces/DIC/pages/442400811</t>
  </si>
  <si>
    <t>Lattice-Based Access Control</t>
  </si>
  <si>
    <t>https://open-measure.atlassian.net/wiki/spaces/DIC/pages/1177681925</t>
  </si>
  <si>
    <t>Layers Architectural Pattern</t>
  </si>
  <si>
    <t>https://open-measure.atlassian.net/wiki/spaces/DIC/pages/1181843548</t>
  </si>
  <si>
    <t>LBAC</t>
  </si>
  <si>
    <t>https://open-measure.atlassian.net/wiki/spaces/DIC/pages/1177780225</t>
  </si>
  <si>
    <t>Leading Indicator</t>
  </si>
  <si>
    <t>https://open-measure.atlassian.net/wiki/spaces/DIC/pages/49250375</t>
  </si>
  <si>
    <t>Least Privilege</t>
  </si>
  <si>
    <t>https://open-measure.atlassian.net/wiki/spaces/DIC/pages/1006698533</t>
  </si>
  <si>
    <t>Legal Entity Identifier</t>
  </si>
  <si>
    <t>https://open-measure.atlassian.net/wiki/spaces/DIC/pages/442466361</t>
  </si>
  <si>
    <t>Legitimate Privilege Abuse</t>
  </si>
  <si>
    <t>https://open-measure.atlassian.net/wiki/spaces/DIC/pages/1104936974</t>
  </si>
  <si>
    <t>LEI</t>
  </si>
  <si>
    <t>https://open-measure.atlassian.net/wiki/spaces/DIC/pages/442368033</t>
  </si>
  <si>
    <t>Levels of Assurance</t>
  </si>
  <si>
    <t>https://open-measure.atlassian.net/wiki/spaces/DIC/pages/442466381</t>
  </si>
  <si>
    <t>Liberal Discretionary Access Control</t>
  </si>
  <si>
    <t>https://open-measure.atlassian.net/wiki/spaces/DIC/pages/1177845957</t>
  </si>
  <si>
    <t>LOA</t>
  </si>
  <si>
    <t>https://open-measure.atlassian.net/wiki/spaces/DIC/pages/442400912</t>
  </si>
  <si>
    <t>https://open-measure.atlassian.net/wiki/spaces/DIC/pages/1452048577/Logic+Bomb</t>
  </si>
  <si>
    <t>https://open-measure.atlassian.net/wiki/spaces/DIC/pages/1440153606/Login</t>
  </si>
  <si>
    <t>https://open-measure.atlassian.net/wiki/spaces/DIC/pages/1428685307/Login+ID</t>
  </si>
  <si>
    <t>https://open-measure.atlassian.net/wiki/spaces/DIC/pages/1428685365/Login+Name</t>
  </si>
  <si>
    <t>Mechanism</t>
  </si>
  <si>
    <t>https://open-measure.atlassian.net/wiki/spaces/DIC/pages/67699227</t>
  </si>
  <si>
    <t>Metadirectory</t>
  </si>
  <si>
    <t>https://open-measure.atlassian.net/wiki/spaces/DIC/pages/834044288</t>
  </si>
  <si>
    <t>Multidomain Single Sign-On</t>
  </si>
  <si>
    <t>https://open-measure.atlassian.net/wiki/spaces/DIC/pages/75890760</t>
  </si>
  <si>
    <t>Multilevel Security</t>
  </si>
  <si>
    <t>https://open-measure.atlassian.net/wiki/spaces/DIC/pages/1031241799</t>
  </si>
  <si>
    <t>https://open-measure.atlassian.net/wiki/spaces/DIC/pages/1600684160/Multiple+Accounts</t>
  </si>
  <si>
    <t>Mutual Authentication</t>
  </si>
  <si>
    <t>https://open-measure.atlassian.net/wiki/spaces/DIC/pages/998244664</t>
  </si>
  <si>
    <t>https://open-measure.atlassian.net/wiki/spaces/DIC/pages/1474592794/Need-to-Know</t>
  </si>
  <si>
    <t>New Joiner</t>
  </si>
  <si>
    <t>https://open-measure.atlassian.net/wiki/spaces/DIC/pages/858456124</t>
  </si>
  <si>
    <t>No Tranquility Property</t>
  </si>
  <si>
    <t>https://open-measure.atlassian.net/wiki/spaces/DIC/pages/1237483723</t>
  </si>
  <si>
    <t>Nonworker</t>
  </si>
  <si>
    <t>https://open-measure.atlassian.net/wiki/spaces/DIC/pages/858554692</t>
  </si>
  <si>
    <t>https://open-measure.atlassian.net/wiki/spaces/DIC/pages/1323336029/Numerical+Identity</t>
  </si>
  <si>
    <t>OAuth</t>
  </si>
  <si>
    <t>https://open-measure.atlassian.net/wiki/spaces/DIC/pages/446825168</t>
  </si>
  <si>
    <t>Object</t>
  </si>
  <si>
    <t>https://open-measure.atlassian.net/wiki/spaces/DIC/pages/67568133</t>
  </si>
  <si>
    <t>Omission Error</t>
  </si>
  <si>
    <t>https://open-measure.atlassian.net/wiki/spaces/DIC/pages/998244357</t>
  </si>
  <si>
    <t>OPA</t>
  </si>
  <si>
    <t>https://open-measure.atlassian.net/wiki/spaces/DIC/pages/1142358051</t>
  </si>
  <si>
    <t>Open Policy Agent</t>
  </si>
  <si>
    <t>https://open-measure.atlassian.net/wiki/spaces/DIC/pages/1142259761</t>
  </si>
  <si>
    <t>Operational Definition</t>
  </si>
  <si>
    <t>https://open-measure.atlassian.net/wiki/spaces/DIC/pages/3211353</t>
  </si>
  <si>
    <t>Operational Taxonomic Unit</t>
  </si>
  <si>
    <t>https://open-measure.atlassian.net/wiki/spaces/DIC/pages/148439181</t>
  </si>
  <si>
    <t>Ordinal Scale</t>
  </si>
  <si>
    <t>https://open-measure.atlassian.net/wiki/spaces/DIC/pages/5932838</t>
  </si>
  <si>
    <t>https://open-measure.atlassian.net/wiki/spaces/DIC/pages/1311403</t>
  </si>
  <si>
    <t>https://open-measure.atlassian.net/wiki/spaces/DIC/pages/557057</t>
  </si>
  <si>
    <t>Orphan</t>
  </si>
  <si>
    <t>https://open-measure.atlassian.net/wiki/spaces/DIC/pages/1061650550</t>
  </si>
  <si>
    <t>https://open-measure.atlassian.net/wiki/spaces/DIC/pages/1062207530/Orphan+Account</t>
  </si>
  <si>
    <t>Orphan File</t>
  </si>
  <si>
    <t>https://open-measure.atlassian.net/wiki/spaces/DIC/pages/1061748965</t>
  </si>
  <si>
    <t>Orphan Object</t>
  </si>
  <si>
    <t>https://open-measure.atlassian.net/wiki/spaces/DIC/pages/1061650653</t>
  </si>
  <si>
    <t>Orphan Process</t>
  </si>
  <si>
    <t>https://open-measure.atlassian.net/wiki/spaces/DIC/pages/1061748925</t>
  </si>
  <si>
    <t>Orphan Product</t>
  </si>
  <si>
    <t>https://open-measure.atlassian.net/wiki/spaces/DIC/pages/1061749016</t>
  </si>
  <si>
    <t>Orphan Role</t>
  </si>
  <si>
    <t>https://open-measure.atlassian.net/wiki/spaces/DIC/pages/1063845889</t>
  </si>
  <si>
    <t>Orphan Routes / APIs</t>
  </si>
  <si>
    <t>https://open-measure.atlassian.net/wiki/spaces/DIC/pages/1061650689</t>
  </si>
  <si>
    <t>Orphan System</t>
  </si>
  <si>
    <t>https://open-measure.atlassian.net/wiki/spaces/DIC/pages/1061748885</t>
  </si>
  <si>
    <t>https://open-measure.atlassian.net/wiki/spaces/DIC/pages/1472692289/Outsider</t>
  </si>
  <si>
    <t>Passive Impersonation Attack</t>
  </si>
  <si>
    <t>https://open-measure.atlassian.net/wiki/spaces/DIC/pages/974323764</t>
  </si>
  <si>
    <t>https://open-measure.atlassian.net/wiki/spaces/DIC/pages/1428652394/Password+Guessing+Attack</t>
  </si>
  <si>
    <t>Password Rotation</t>
  </si>
  <si>
    <t>https://open-measure.atlassian.net/wiki/spaces/DIC/pages/1027048058</t>
  </si>
  <si>
    <t>https://open-measure.atlassian.net/wiki/spaces/DIC/pages/1348730921/Password+Spraying+Attack</t>
  </si>
  <si>
    <t>https://open-measure.atlassian.net/wiki/spaces/DIC/pages/1677164566/Passwordless+Authentication</t>
  </si>
  <si>
    <t>https://open-measure.atlassian.net/wiki/spaces/DIC/pages/1409753</t>
  </si>
  <si>
    <t>Permission</t>
  </si>
  <si>
    <t>https://open-measure.atlassian.net/wiki/spaces/DIC/pages/67699129</t>
  </si>
  <si>
    <t>https://open-measure.atlassian.net/wiki/spaces/DIC/pages/1323499709/Persona</t>
  </si>
  <si>
    <t>PMS</t>
  </si>
  <si>
    <t>https://open-measure.atlassian.net/wiki/spaces/DIC/pages/1572948</t>
  </si>
  <si>
    <t>Policy</t>
  </si>
  <si>
    <t>https://open-measure.atlassian.net/wiki/spaces/DIC/pages/67568272</t>
  </si>
  <si>
    <t>Policy Analysis</t>
  </si>
  <si>
    <t>https://open-measure.atlassian.net/wiki/spaces/DIC/pages/1104904334</t>
  </si>
  <si>
    <t>Policy Centralization</t>
  </si>
  <si>
    <t>https://open-measure.atlassian.net/wiki/spaces/DIC/pages/1132331103</t>
  </si>
  <si>
    <t>Policy Interoperability</t>
  </si>
  <si>
    <t>https://open-measure.atlassian.net/wiki/spaces/DIC/pages/1132331086</t>
  </si>
  <si>
    <t>Policy Manageability</t>
  </si>
  <si>
    <t>https://open-measure.atlassian.net/wiki/spaces/DIC/pages/1122631903</t>
  </si>
  <si>
    <t>Policy Mining</t>
  </si>
  <si>
    <t>https://open-measure.atlassian.net/wiki/spaces/DIC/pages/1105068063</t>
  </si>
  <si>
    <t>Policy Modeling</t>
  </si>
  <si>
    <t>https://open-measure.atlassian.net/wiki/spaces/DIC/pages/1130987523</t>
  </si>
  <si>
    <t>Pre-approval</t>
  </si>
  <si>
    <t>https://open-measure.atlassian.net/wiki/spaces/DIC/pages/1094549649</t>
  </si>
  <si>
    <t>Principal</t>
  </si>
  <si>
    <t>https://open-measure.atlassian.net/wiki/spaces/DIC/pages/67699046</t>
  </si>
  <si>
    <t>https://open-measure.atlassian.net/wiki/spaces/DIC/pages/1323434264/Private+Key+Loss</t>
  </si>
  <si>
    <t>Privilege</t>
  </si>
  <si>
    <t>https://open-measure.atlassian.net/wiki/spaces/DIC/pages/67568310</t>
  </si>
  <si>
    <t>https://open-measure.atlassian.net/wiki/spaces/DIC/pages/814449037/Privilege+Abuse</t>
  </si>
  <si>
    <t>Privilege Chaining</t>
  </si>
  <si>
    <t>https://open-measure.atlassian.net/wiki/spaces/DIC/pages/473890861</t>
  </si>
  <si>
    <t>Privilege Escalation</t>
  </si>
  <si>
    <t>https://open-measure.atlassian.net/wiki/spaces/DIC/pages/810320380</t>
  </si>
  <si>
    <t>Privileged Identity</t>
  </si>
  <si>
    <t>https://open-measure.atlassian.net/wiki/spaces/DIC/pages/138346661</t>
  </si>
  <si>
    <t>https://open-measure.atlassian.net/wiki/spaces/DIC/pages/1477902403/Privileged+Insider</t>
  </si>
  <si>
    <t>Provisioning</t>
  </si>
  <si>
    <t>https://open-measure.atlassian.net/wiki/spaces/DIC/pages/61964289</t>
  </si>
  <si>
    <t>https://open-measure.atlassian.net/wiki/spaces/DIC/pages/1677164768/QR+Code+Authentication</t>
  </si>
  <si>
    <t>https://open-measure.atlassian.net/wiki/spaces/DIC/pages/1323598109/Qualitative+Identity</t>
  </si>
  <si>
    <t>RA</t>
  </si>
  <si>
    <t>https://open-measure.atlassian.net/wiki/spaces/DIC/pages/82903928</t>
  </si>
  <si>
    <t>Ratio Scale</t>
  </si>
  <si>
    <t>https://open-measure.atlassian.net/wiki/spaces/DIC/pages/11567198</t>
  </si>
  <si>
    <t>RBA</t>
  </si>
  <si>
    <t>https://open-measure.atlassian.net/wiki/spaces/DIC/pages/408944908</t>
  </si>
  <si>
    <t>Re-authentication</t>
  </si>
  <si>
    <t>https://open-measure.atlassian.net/wiki/spaces/DIC/pages/873201665</t>
  </si>
  <si>
    <t>Recertification</t>
  </si>
  <si>
    <t>https://open-measure.atlassian.net/wiki/spaces/DIC/pages/107840129</t>
  </si>
  <si>
    <t>Reference Monitor</t>
  </si>
  <si>
    <t>https://open-measure.atlassian.net/wiki/spaces/DIC/pages/123962234</t>
  </si>
  <si>
    <t>Registration Authority</t>
  </si>
  <si>
    <t>https://open-measure.atlassian.net/wiki/spaces/DIC/pages/82870985</t>
  </si>
  <si>
    <t>Rejoiner</t>
  </si>
  <si>
    <t>https://open-measure.atlassian.net/wiki/spaces/DIC/pages/858521682</t>
  </si>
  <si>
    <t>Relying Party</t>
  </si>
  <si>
    <t>https://open-measure.atlassian.net/wiki/spaces/DIC/pages/67699423</t>
  </si>
  <si>
    <t>Remote Identity Proofing</t>
  </si>
  <si>
    <t>https://open-measure.atlassian.net/wiki/spaces/DIC/pages/427130881</t>
  </si>
  <si>
    <t>Repeatability</t>
  </si>
  <si>
    <t>https://open-measure.atlassian.net/wiki/spaces/DIC/pages/2589003</t>
  </si>
  <si>
    <t>Representation Target</t>
  </si>
  <si>
    <t>https://open-measure.atlassian.net/wiki/spaces/DIC/pages/11141464</t>
  </si>
  <si>
    <t>Reproducibility</t>
  </si>
  <si>
    <t>https://open-measure.atlassian.net/wiki/spaces/DIC/pages/2588994</t>
  </si>
  <si>
    <t>Revocation</t>
  </si>
  <si>
    <t>https://open-measure.atlassian.net/wiki/spaces/DIC/pages/67698769</t>
  </si>
  <si>
    <t>RIDP</t>
  </si>
  <si>
    <t>https://open-measure.atlassian.net/wiki/spaces/DIC/pages/425623561</t>
  </si>
  <si>
    <t>Risk-Based Authentication</t>
  </si>
  <si>
    <t>https://open-measure.atlassian.net/wiki/spaces/DIC/pages/795836567</t>
  </si>
  <si>
    <t>Role</t>
  </si>
  <si>
    <t>https://open-measure.atlassian.net/wiki/spaces/DIC/pages/86442069</t>
  </si>
  <si>
    <t>Role Bloating</t>
  </si>
  <si>
    <t>https://open-measure.atlassian.net/wiki/spaces/DIC/pages/814514401</t>
  </si>
  <si>
    <t>Role Capacity</t>
  </si>
  <si>
    <t>https://open-measure.atlassian.net/wiki/spaces/DIC/pages/1164902443</t>
  </si>
  <si>
    <t>Role Cardinality</t>
  </si>
  <si>
    <t>https://open-measure.atlassian.net/wiki/spaces/DIC/pages/1164869655</t>
  </si>
  <si>
    <t>Role Cardinality Activation Control</t>
  </si>
  <si>
    <t>https://open-measure.atlassian.net/wiki/spaces/DIC/pages/1164902498</t>
  </si>
  <si>
    <t>Role Explosion</t>
  </si>
  <si>
    <t>https://open-measure.atlassian.net/wiki/spaces/DIC/pages/1152483772</t>
  </si>
  <si>
    <t>Role Management</t>
  </si>
  <si>
    <t>https://open-measure.atlassian.net/wiki/spaces/DIC/pages/1130921985</t>
  </si>
  <si>
    <t>Role-Based Access Control</t>
  </si>
  <si>
    <t>https://open-measure.atlassian.net/wiki/spaces/DIC/pages/1122566198</t>
  </si>
  <si>
    <t>RP</t>
  </si>
  <si>
    <t>https://open-measure.atlassian.net/wiki/spaces/DIC/pages/82903488</t>
  </si>
  <si>
    <t>https://open-measure.atlassian.net/wiki/spaces/DIC/pages/140739068/SAM+Database</t>
  </si>
  <si>
    <t>https://open-measure.atlassian.net/wiki/spaces/DIC/pages/1428586729/SAML</t>
  </si>
  <si>
    <t>SCIM</t>
  </si>
  <si>
    <t>https://open-measure.atlassian.net/wiki/spaces/DIC/pages/206307343</t>
  </si>
  <si>
    <t>SCIM 1.0</t>
  </si>
  <si>
    <t>https://open-measure.atlassian.net/wiki/spaces/DIC/pages/206372879</t>
  </si>
  <si>
    <t>SCIM 1.1</t>
  </si>
  <si>
    <t>https://open-measure.atlassian.net/wiki/spaces/DIC/pages/206307350</t>
  </si>
  <si>
    <t>SCIM 2.0</t>
  </si>
  <si>
    <t>https://open-measure.atlassian.net/wiki/spaces/DIC/pages/206307373</t>
  </si>
  <si>
    <t>Scoping</t>
  </si>
  <si>
    <t>https://open-measure.atlassian.net/wiki/spaces/DIC/pages/1376383</t>
  </si>
  <si>
    <t>SD</t>
  </si>
  <si>
    <t>https://open-measure.atlassian.net/wiki/spaces/DIC/pages/5931115</t>
  </si>
  <si>
    <t>SDP</t>
  </si>
  <si>
    <t>https://open-measure.atlassian.net/wiki/spaces/DIC/pages/234356901</t>
  </si>
  <si>
    <t>Secure Production Identity Framework for Everyone</t>
  </si>
  <si>
    <t>https://open-measure.atlassian.net/wiki/spaces/DIC/pages/1142390785</t>
  </si>
  <si>
    <t>Secure System</t>
  </si>
  <si>
    <t>https://open-measure.atlassian.net/wiki/spaces/DIC/pages/1230831633</t>
  </si>
  <si>
    <t>Security</t>
  </si>
  <si>
    <t>https://open-measure.atlassian.net/wiki/spaces/DIC/pages/1231159321</t>
  </si>
  <si>
    <t>Security Accounts Manager</t>
  </si>
  <si>
    <t>https://open-measure.atlassian.net/wiki/spaces/DIC/pages/140673497</t>
  </si>
  <si>
    <t>https://open-measure.atlassian.net/wiki/spaces/DIC/pages/1428619445/Security+Assertion+Markup+Language</t>
  </si>
  <si>
    <t>Security Clearance Level</t>
  </si>
  <si>
    <t>https://open-measure.atlassian.net/wiki/spaces/DIC/pages/1177747653</t>
  </si>
  <si>
    <t>Security Compartment</t>
  </si>
  <si>
    <t>https://open-measure.atlassian.net/wiki/spaces/DIC/pages/1181843719</t>
  </si>
  <si>
    <t>Security Label</t>
  </si>
  <si>
    <t>https://open-measure.atlassian.net/wiki/spaces/DIC/pages/1177747630</t>
  </si>
  <si>
    <t>Segregation of Duties</t>
  </si>
  <si>
    <t>https://open-measure.atlassian.net/wiki/spaces/DIC/pages/1071185955</t>
  </si>
  <si>
    <t>https://open-measure.atlassian.net/wiki/spaces/DIC/pages/446955653/Self-Sovereign+Identity</t>
  </si>
  <si>
    <t>Semantic Differential</t>
  </si>
  <si>
    <t>https://open-measure.atlassian.net/wiki/spaces/DIC/pages/6029526</t>
  </si>
  <si>
    <t>Service Account</t>
  </si>
  <si>
    <t>https://open-measure.atlassian.net/wiki/spaces/DIC/pages/805142555</t>
  </si>
  <si>
    <t>https://open-measure.atlassian.net/wiki/spaces/DIC/pages/1313538143/Service-Centric+Identity+Management+System</t>
  </si>
  <si>
    <t>Session</t>
  </si>
  <si>
    <t>https://open-measure.atlassian.net/wiki/spaces/DIC/pages/881197061</t>
  </si>
  <si>
    <t>Single Login</t>
  </si>
  <si>
    <t>https://open-measure.atlassian.net/wiki/spaces/DIC/pages/78741548</t>
  </si>
  <si>
    <t>Single Sign-On</t>
  </si>
  <si>
    <t>https://open-measure.atlassian.net/wiki/spaces/DIC/pages/75956255</t>
  </si>
  <si>
    <t>https://open-measure.atlassian.net/wiki/spaces/DIC/pages/1600684200/Social+Authentication</t>
  </si>
  <si>
    <t>https://open-measure.atlassian.net/wiki/spaces/DIC/pages/1270055026/Social+Honeypot</t>
  </si>
  <si>
    <t>SoD</t>
  </si>
  <si>
    <t>https://open-measure.atlassian.net/wiki/spaces/DIC/pages/1071317018</t>
  </si>
  <si>
    <t>Software-Defined Perimeter</t>
  </si>
  <si>
    <t>https://open-measure.atlassian.net/wiki/spaces/DIC/pages/234487981</t>
  </si>
  <si>
    <t>SPIFFE</t>
  </si>
  <si>
    <t>https://open-measure.atlassian.net/wiki/spaces/DIC/pages/1142292486</t>
  </si>
  <si>
    <t>SPMS</t>
  </si>
  <si>
    <t>https://open-measure.atlassian.net/wiki/spaces/DIC/pages/1605648</t>
  </si>
  <si>
    <t>SSH Key</t>
  </si>
  <si>
    <t>https://open-measure.atlassian.net/wiki/spaces/DIC/pages/1027342899</t>
  </si>
  <si>
    <t>https://open-measure.atlassian.net/wiki/spaces/DIC/pages/1311113221/SSI</t>
  </si>
  <si>
    <t>SSO</t>
  </si>
  <si>
    <t>https://open-measure.atlassian.net/wiki/spaces/DIC/pages/75956237</t>
  </si>
  <si>
    <t>Stability of Access Decision Factors</t>
  </si>
  <si>
    <t>https://open-measure.atlassian.net/wiki/spaces/DIC/pages/998244645</t>
  </si>
  <si>
    <t>Stakeholder</t>
  </si>
  <si>
    <t>https://open-measure.atlassian.net/wiki/spaces/DIC/pages/1311763</t>
  </si>
  <si>
    <t>https://open-measure.atlassian.net/wiki/spaces/DIC/pages/663257097/Step-Up+Authentication</t>
  </si>
  <si>
    <t>Strategic Performance Measurement System</t>
  </si>
  <si>
    <t>https://open-measure.atlassian.net/wiki/spaces/DIC/pages/1540175</t>
  </si>
  <si>
    <t>Strict Discretionary Access Control</t>
  </si>
  <si>
    <t>https://open-measure.atlassian.net/wiki/spaces/DIC/pages/1181909085</t>
  </si>
  <si>
    <t>Strong Authentication</t>
  </si>
  <si>
    <t>https://open-measure.atlassian.net/wiki/spaces/DIC/pages/81199126</t>
  </si>
  <si>
    <t>Strong Tranquility Property</t>
  </si>
  <si>
    <t>https://open-measure.atlassian.net/wiki/spaces/DIC/pages/1177747756</t>
  </si>
  <si>
    <t>Subject</t>
  </si>
  <si>
    <t>https://open-measure.atlassian.net/wiki/spaces/DIC/pages/67600697</t>
  </si>
  <si>
    <t>Subjective Indicator</t>
  </si>
  <si>
    <t>https://open-measure.atlassian.net/wiki/spaces/DIC/pages/2981920</t>
  </si>
  <si>
    <t>https://open-measure.atlassian.net/wiki/spaces/DIC/pages/1477869640/Supply+Chain+Attack</t>
  </si>
  <si>
    <t>https://open-measure.atlassian.net/wiki/spaces/DIC/pages/1254588545/Sybil+Attack</t>
  </si>
  <si>
    <t>Synthetic Identity Fraud</t>
  </si>
  <si>
    <t>https://open-measure.atlassian.net/wiki/spaces/DIC/pages/794296433</t>
  </si>
  <si>
    <t>https://open-measure.atlassian.net/wiki/spaces/DIC/pages/5965562/System</t>
  </si>
  <si>
    <t>https://open-measure.atlassian.net/wiki/spaces/DIC/pages/446824644/System+Boundaries</t>
  </si>
  <si>
    <t>System for Cross-domain Identity Management</t>
  </si>
  <si>
    <t>https://open-measure.atlassian.net/wiki/spaces/DIC/pages/206372869</t>
  </si>
  <si>
    <t>System Owner</t>
  </si>
  <si>
    <t>https://open-measure.atlassian.net/wiki/spaces/DIC/pages/1004961963</t>
  </si>
  <si>
    <t>System Z</t>
  </si>
  <si>
    <t>https://open-measure.atlassian.net/wiki/spaces/DIC/pages/1226571890</t>
  </si>
  <si>
    <t>Task-Based Access Control</t>
  </si>
  <si>
    <t>https://open-measure.atlassian.net/wiki/spaces/DIC/pages/1122631693</t>
  </si>
  <si>
    <t>Toxic Combinations</t>
  </si>
  <si>
    <t>https://open-measure.atlassian.net/wiki/spaces/DIC/pages/1130954862</t>
  </si>
  <si>
    <t>https://open-measure.atlassian.net/wiki/spaces/DIC/pages/360467</t>
  </si>
  <si>
    <t>https://open-measure.atlassian.net/wiki/spaces/DIC/pages/1237582070/Tranquil</t>
  </si>
  <si>
    <t>Tranquility Principle</t>
  </si>
  <si>
    <t>https://open-measure.atlassian.net/wiki/spaces/DIC/pages/1237483759</t>
  </si>
  <si>
    <t>Tranquility Property</t>
  </si>
  <si>
    <t>https://open-measure.atlassian.net/wiki/spaces/DIC/pages/1181876587</t>
  </si>
  <si>
    <t>https://open-measure.atlassian.net/wiki/spaces/DIC/pages/1037926452/Trust</t>
  </si>
  <si>
    <t>Trust Asymmetry</t>
  </si>
  <si>
    <t>https://open-measure.atlassian.net/wiki/spaces/DIC/pages/1027048185</t>
  </si>
  <si>
    <t>Trust Composability</t>
  </si>
  <si>
    <t>https://open-measure.atlassian.net/wiki/spaces/DIC/pages/1027048128</t>
  </si>
  <si>
    <t>Trust Personalization</t>
  </si>
  <si>
    <t>https://open-measure.atlassian.net/wiki/spaces/DIC/pages/1027048209</t>
  </si>
  <si>
    <t>Trust Transitivity</t>
  </si>
  <si>
    <t>https://open-measure.atlassian.net/wiki/spaces/DIC/pages/1031242345</t>
  </si>
  <si>
    <t>https://open-measure.atlassian.net/wiki/spaces/DIC/pages/1417084929/Typing+Biometrics</t>
  </si>
  <si>
    <t>Typology</t>
  </si>
  <si>
    <t>https://open-measure.atlassian.net/wiki/spaces/DIC/pages/140673267</t>
  </si>
  <si>
    <t>https://open-measure.atlassian.net/wiki/spaces/DIC/pages/1027080193/Unanticipated+User</t>
  </si>
  <si>
    <t>https://open-measure.atlassian.net/wiki/spaces/DIC/pages/1231126540/Unauthorized+Access</t>
  </si>
  <si>
    <t>https://open-measure.atlassian.net/wiki/spaces/DIC/pages/446955662/Unique+ID+Number</t>
  </si>
  <si>
    <t>https://open-measure.atlassian.net/wiki/spaces/DIC/pages/1477902414/Unprivileged+Insider</t>
  </si>
  <si>
    <t>https://open-measure.atlassian.net/wiki/spaces/DIC/pages/82839586/User</t>
  </si>
  <si>
    <t>https://open-measure.atlassian.net/wiki/spaces/DIC/pages/1428587273/User+Account</t>
  </si>
  <si>
    <t>https://open-measure.atlassian.net/wiki/spaces/DIC/pages/1146847344/User+De-Provisioning</t>
  </si>
  <si>
    <t>User Entitlement Reviews</t>
  </si>
  <si>
    <t>https://open-measure.atlassian.net/wiki/spaces/DIC/pages/1121878257</t>
  </si>
  <si>
    <t>https://open-measure.atlassian.net/wiki/spaces/DIC/pages/1428652448/User+ID</t>
  </si>
  <si>
    <t>https://open-measure.atlassian.net/wiki/spaces/DIC/pages/1147043973/User+Provisioning</t>
  </si>
  <si>
    <t>https://open-measure.atlassian.net/wiki/spaces/DIC/pages/1323597878/User-Centric+Identity+Management+System</t>
  </si>
  <si>
    <t>https://open-measure.atlassian.net/wiki/spaces/DIC/pages/1428652183/Username</t>
  </si>
  <si>
    <t>https://open-measure.atlassian.net/wiki/spaces/DIC/pages/1311146179/Verifiable+Claim</t>
  </si>
  <si>
    <t>https://open-measure.atlassian.net/wiki/spaces/DIC/pages/446988510/Verification</t>
  </si>
  <si>
    <t>Virtual Directory</t>
  </si>
  <si>
    <t>https://open-measure.atlassian.net/wiki/spaces/DIC/pages/834044330</t>
  </si>
  <si>
    <t>Virtual Private Network</t>
  </si>
  <si>
    <t>https://open-measure.atlassian.net/wiki/spaces/DIC/pages/236748839</t>
  </si>
  <si>
    <t>Virtual Risk and Security Site Review</t>
  </si>
  <si>
    <t>https://open-measure.atlassian.net/wiki/spaces/DIC/pages/542146561</t>
  </si>
  <si>
    <t>VPN</t>
  </si>
  <si>
    <t>https://open-measure.atlassian.net/wiki/spaces/DIC/pages/234389605</t>
  </si>
  <si>
    <t>Weak Authentication</t>
  </si>
  <si>
    <t>https://open-measure.atlassian.net/wiki/spaces/DIC/pages/81068120</t>
  </si>
  <si>
    <t>Weak Tranquility Property</t>
  </si>
  <si>
    <t>https://open-measure.atlassian.net/wiki/spaces/DIC/pages/1177845999</t>
  </si>
  <si>
    <t>Web-based Single Sign-On</t>
  </si>
  <si>
    <t>https://open-measure.atlassian.net/wiki/spaces/DIC/pages/75923587</t>
  </si>
  <si>
    <t>Windows (Non-Default) Local User Account</t>
  </si>
  <si>
    <t>https://open-measure.atlassian.net/wiki/spaces/DIC/pages/140673566</t>
  </si>
  <si>
    <t>Windows Default Local System Account</t>
  </si>
  <si>
    <t>https://open-measure.atlassian.net/wiki/spaces/DIC/pages/140739507</t>
  </si>
  <si>
    <t>Windows Default Local User Account</t>
  </si>
  <si>
    <t>https://open-measure.atlassian.net/wiki/spaces/DIC/pages/140673594</t>
  </si>
  <si>
    <t>Windows DefaultAccount Account</t>
  </si>
  <si>
    <t>https://open-measure.atlassian.net/wiki/spaces/DIC/pages/140739482</t>
  </si>
  <si>
    <t>Windows Guest Account</t>
  </si>
  <si>
    <t>https://open-measure.atlassian.net/wiki/spaces/DIC/pages/140673653</t>
  </si>
  <si>
    <t>Windows HelpAssistant Account</t>
  </si>
  <si>
    <t>https://open-measure.atlassian.net/wiki/spaces/DIC/pages/140771901</t>
  </si>
  <si>
    <t>Windows Local Account</t>
  </si>
  <si>
    <t>https://open-measure.atlassian.net/wiki/spaces/DIC/pages/140772047</t>
  </si>
  <si>
    <t>Windows Local Administrator Account</t>
  </si>
  <si>
    <t>https://open-measure.atlassian.net/wiki/spaces/DIC/pages/140739277</t>
  </si>
  <si>
    <t>Windows LOCAL SERVICE Account</t>
  </si>
  <si>
    <t>https://open-measure.atlassian.net/wiki/spaces/DIC/pages/140673818</t>
  </si>
  <si>
    <t>Windows NETWORK SERVICE Account</t>
  </si>
  <si>
    <t>https://open-measure.atlassian.net/wiki/spaces/DIC/pages/140772011</t>
  </si>
  <si>
    <t>Windows Security Identifier</t>
  </si>
  <si>
    <t>https://open-measure.atlassian.net/wiki/spaces/DIC/pages/140706624</t>
  </si>
  <si>
    <t>Windows SYSTEM Account</t>
  </si>
  <si>
    <t>https://open-measure.atlassian.net/wiki/spaces/DIC/pages/140706700</t>
  </si>
  <si>
    <t>Worker</t>
  </si>
  <si>
    <t>https://open-measure.atlassian.net/wiki/spaces/DIC/pages/855638141</t>
  </si>
  <si>
    <t>Workflow-Sensitive Access Control</t>
  </si>
  <si>
    <t>https://open-measure.atlassian.net/wiki/spaces/DIC/pages/814448722</t>
  </si>
  <si>
    <t>Workforce</t>
  </si>
  <si>
    <t>https://open-measure.atlassian.net/wiki/spaces/DIC/pages/852492409</t>
  </si>
  <si>
    <t>XACML</t>
  </si>
  <si>
    <t>https://open-measure.atlassian.net/wiki/spaces/DIC/pages/1122631791</t>
  </si>
  <si>
    <t>https://open-measure.atlassian.net/wiki/spaces/DIC/pages/234356891/Zero-Trust+Access</t>
  </si>
  <si>
    <t>https://open-measure.atlassian.net/wiki/spaces/DIC/pages/782893195/Zombie+Account</t>
  </si>
  <si>
    <t>https://open-measure.atlassian.net/wiki/spaces/DIC/pages/234389671/ZTA</t>
  </si>
  <si>
    <t>Accountability</t>
  </si>
  <si>
    <t>Attribute</t>
  </si>
  <si>
    <t>Organization Context</t>
  </si>
  <si>
    <t>Organization Scope</t>
  </si>
  <si>
    <t>People</t>
  </si>
  <si>
    <t>Copy-pasted from Confluence</t>
  </si>
  <si>
    <t>Acronym</t>
  </si>
  <si>
    <t>[TYPE]</t>
  </si>
  <si>
    <t>[DIR]</t>
  </si>
  <si>
    <t>Direction Types</t>
  </si>
  <si>
    <t>Directional</t>
  </si>
  <si>
    <t>Undirectional</t>
  </si>
  <si>
    <t>Friendly Forward Type</t>
  </si>
  <si>
    <t>Friendly Backward Type</t>
  </si>
  <si>
    <t>Accurate Forward Type</t>
  </si>
  <si>
    <t>Accurate Backward Type</t>
  </si>
  <si>
    <t>HYPERONYM</t>
  </si>
  <si>
    <t>superclass</t>
  </si>
  <si>
    <t>subclass</t>
  </si>
  <si>
    <t>hyperonym</t>
  </si>
  <si>
    <t>hyponym</t>
  </si>
  <si>
    <t>ACRONYM</t>
  </si>
  <si>
    <t>HOLONYM</t>
  </si>
  <si>
    <t>holonym</t>
  </si>
  <si>
    <t>meronym</t>
  </si>
  <si>
    <t>composite</t>
  </si>
  <si>
    <t>component</t>
  </si>
  <si>
    <t>NEAR-SYNONYM</t>
  </si>
  <si>
    <t>SYNONYM</t>
  </si>
  <si>
    <t>directionality</t>
  </si>
  <si>
    <t>Inherence Factor</t>
  </si>
  <si>
    <t>Possession Factor</t>
  </si>
  <si>
    <t>Location Factor</t>
  </si>
  <si>
    <t>Time Factor</t>
  </si>
  <si>
    <t>In-band Authentication</t>
  </si>
  <si>
    <t>Out-of-band Authentication</t>
  </si>
  <si>
    <t>Front-end Authentication</t>
  </si>
  <si>
    <t>Back-end Authentication</t>
  </si>
  <si>
    <t>Biometric Authentication</t>
  </si>
  <si>
    <t>Brainwaves Authentication</t>
  </si>
  <si>
    <t>Facial Recognition Authentication</t>
  </si>
  <si>
    <t>Geo-localization Authentication</t>
  </si>
  <si>
    <t>Fingerprint Recognition Authentication</t>
  </si>
  <si>
    <t>Gait Recognition Authentication</t>
  </si>
  <si>
    <t>Hand Gestures Recognition Authentication</t>
  </si>
  <si>
    <t>Heartbeats Recognition Authentication</t>
  </si>
  <si>
    <t>Iris Recognition Authentication</t>
  </si>
  <si>
    <t>Keystroke Recognition Authentication</t>
  </si>
  <si>
    <t>Touchstroke Recognition Authentication</t>
  </si>
  <si>
    <t>Knuckleprint Recognition Authentication</t>
  </si>
  <si>
    <t>Palmprint Recognition Authentication</t>
  </si>
  <si>
    <t>Voice Recognition Authentication</t>
  </si>
  <si>
    <t>Certificate-based Authentication</t>
  </si>
  <si>
    <t>Email OTP</t>
  </si>
  <si>
    <t>One-Time Passcode Authentication</t>
  </si>
  <si>
    <t>Physical Token OTP</t>
  </si>
  <si>
    <t>Software / App OTP</t>
  </si>
  <si>
    <t>SMS OTP</t>
  </si>
  <si>
    <t>TAN List OTP</t>
  </si>
  <si>
    <t>Voice OTP</t>
  </si>
  <si>
    <t>Password-Based Authentication</t>
  </si>
  <si>
    <t>Graphical Password-Based Authentication</t>
  </si>
  <si>
    <t>Text Password Authentication</t>
  </si>
  <si>
    <t>Personal Identification Number Authentication</t>
  </si>
  <si>
    <t>Passphrase Authentication</t>
  </si>
  <si>
    <t>Security Question Authentication</t>
  </si>
  <si>
    <t>Token-Based Authentication</t>
  </si>
  <si>
    <t>Session Authentication</t>
  </si>
  <si>
    <t>Authentication Method</t>
  </si>
  <si>
    <t>JSON</t>
  </si>
  <si>
    <t>id</t>
  </si>
  <si>
    <t>label</t>
  </si>
  <si>
    <t>url</t>
  </si>
  <si>
    <t>Control Class</t>
  </si>
  <si>
    <t>protects</t>
  </si>
  <si>
    <t>protects from</t>
  </si>
  <si>
    <t>Threat Agent</t>
  </si>
  <si>
    <t>IT Component</t>
  </si>
  <si>
    <t>IT Hardware</t>
  </si>
  <si>
    <t>is</t>
  </si>
  <si>
    <t>IT Software</t>
  </si>
  <si>
    <t>Data</t>
  </si>
  <si>
    <t>Data Operation</t>
  </si>
  <si>
    <t>Capabilty to collect information</t>
  </si>
  <si>
    <t>Capability to store information</t>
  </si>
  <si>
    <t>Capability to transform information</t>
  </si>
  <si>
    <t>Capability to transmit information</t>
  </si>
  <si>
    <t>regarded as</t>
  </si>
  <si>
    <t>Coherent Whole</t>
  </si>
  <si>
    <t>from</t>
  </si>
  <si>
    <t>to</t>
  </si>
  <si>
    <t>n09FF5045_1C8C_4006_B2D6_F9742CBF96E8</t>
  </si>
  <si>
    <t>n949B469C_B258_4821_87B2_A3318627421D</t>
  </si>
  <si>
    <t>n345814A3_CDB9_48CD_9A28_0EA438DFE1AF</t>
  </si>
  <si>
    <t>n50BECF28_43AF_4D2B_9A00_548252A11959</t>
  </si>
  <si>
    <t>n5AC3C686_E96D_4E16_A7A7_F5E33273E16B</t>
  </si>
  <si>
    <t>nC8849963_097C_4D88_9F09_0BE7822C1A27</t>
  </si>
  <si>
    <t>nB5D15B0C_90C3_4DC7_BCEE_7009BF5FA6B0</t>
  </si>
  <si>
    <t>n43F62EE6_EF98_4F57_B80F_8D93BAD953C7</t>
  </si>
  <si>
    <t>nA82E8086_80AC_481F_9FE9_6158EBAA5FD4</t>
  </si>
  <si>
    <t>n8FC24F45_A985_41A5_AD50_B3DB59F8F1CB</t>
  </si>
  <si>
    <t>n497BAD86_FE0D_4D81_BE05_AA9EEB93B4EC</t>
  </si>
  <si>
    <t>n4A503F49_7D20_4B79_832C_C1F952C6FE7A</t>
  </si>
  <si>
    <t>n1A9106FF_36C5_478C_9A0E_FF5F93C55D1F</t>
  </si>
  <si>
    <t>nE49F9EAF_3DC5_47FA_9722_CDE0190EAD09</t>
  </si>
  <si>
    <t>nAB8CC74A_69EA_4A1D_A0BB_7FA855D1CD4C</t>
  </si>
  <si>
    <t>n60E574D8_853F_46D9_A1FB_433B2771BF75</t>
  </si>
  <si>
    <t>n6CB6D4CB_AB42_4B54_8FC3_DD4C4D6C2B3E</t>
  </si>
  <si>
    <t>nF83276D7_E44A_4A0B_A465_28B40B846C1C</t>
  </si>
  <si>
    <t>nE9C9661B_8C28_413E_A8E3_A720E03C04B7</t>
  </si>
  <si>
    <t>nE5052478_9D1A_4E9E_BA4E_FF57B8D216EC</t>
  </si>
  <si>
    <t>nFF744E9A_218E_4CDD_98E9_D977BAE7E561</t>
  </si>
  <si>
    <t>nCCFA1605_394C_4A41_9411_016EBBD1F932</t>
  </si>
  <si>
    <t>nE25E9786_BF32_4FF9_AD96_CA6093825D81</t>
  </si>
  <si>
    <t>n84B52A55_528C_4D8E_AC41_6975F8BB6772</t>
  </si>
  <si>
    <t>n72B6719C_C19A_4205_B703_0239826216C6</t>
  </si>
  <si>
    <t>nC98FF4A8_B8CF_4F33_A0F7_9002E0B55993</t>
  </si>
  <si>
    <t>n330A99D3_39A5_4757_967F_1E72BB400D93</t>
  </si>
  <si>
    <t>n8511EC23_ED3A_42D2_86FC_40B1D3E32F2D</t>
  </si>
  <si>
    <t>nD6A8B379_9D4E_4112_B9E5_B4588BCB49D9</t>
  </si>
  <si>
    <t>nBF754068_D51A_4AC8_A362_C61F502C1D0B</t>
  </si>
  <si>
    <t>n53981EC2_9DED_4349_BC86_E5D6093333ED</t>
  </si>
  <si>
    <t>n1FB40DB9_D8D0_4978_BD01_879C77DE04A8</t>
  </si>
  <si>
    <t>nB3F90AFA_FC46_4122_9901_4FF284E9E7EC</t>
  </si>
  <si>
    <t>n941163ED_640B_408A_8AEE_A41839EAB169</t>
  </si>
  <si>
    <t>n0CDD8E1B_608D_404D_AC1A_27954DBC282F</t>
  </si>
  <si>
    <t>nD0FF0291_03AE_4248_8CFC_F92543A2535F</t>
  </si>
  <si>
    <t>n818AA88B_F47E_48A3_896A_B86B61970370</t>
  </si>
  <si>
    <t>nF97A2FB7_CEBC_41A2_93A3_8B494BBD7EDE</t>
  </si>
  <si>
    <t>n5498F625_6E3B_46CB_976C_85F3529AECDF</t>
  </si>
  <si>
    <t>n67C132A3_290E_4750_90DE_11E7C1778537</t>
  </si>
  <si>
    <t>n53877DB9_77FA_44E9_974A_BE3344133398</t>
  </si>
  <si>
    <t>n7A4D7599_F86F_4594_8B18_58AA2548C0B4</t>
  </si>
  <si>
    <t>nC7C1A468_0E1F_46E1_B73A_731992ABA6D5</t>
  </si>
  <si>
    <t>n88704212_4558_4B65_9E18_ACA6FB85434F</t>
  </si>
  <si>
    <t>nED52833B_3CB7_4602_8F07_AAFFA537007A</t>
  </si>
  <si>
    <t>n4D85EB1C_A961_426D_AEF6_EEE56E460849</t>
  </si>
  <si>
    <t>nD9B0296D_0D3A_447A_941D_9C10A546E6EA</t>
  </si>
  <si>
    <t>n1482D4D7_7EEE_42C9_A18A_162895B6DAD6</t>
  </si>
  <si>
    <t>nCCBCF09B_7033_4E6D_9851_D29BB7B648A6</t>
  </si>
  <si>
    <t>n1875AE23_28E6_45EE_840E_8F1F9D6DA18E</t>
  </si>
  <si>
    <t>nF9259DCB_1490_4C14_A807_E2EB6BAEBCD6</t>
  </si>
  <si>
    <t>n1523F730_02BA_4AF6_B7DC_8FA728AB8AEA</t>
  </si>
  <si>
    <t>nB8600109_406A_41D5_A938_F40D2ABD263D</t>
  </si>
  <si>
    <t>n4E8EECAB_7960_4F74_8E07_F9D79BBA6BFD</t>
  </si>
  <si>
    <t>nEFD1A6B4_F1EC_40F7_985E_A79FDAFA5290</t>
  </si>
  <si>
    <t>nBB7D7752_E1E7_4228_B216_44BF27C469CE</t>
  </si>
  <si>
    <t>nBC4E0E05_749F_4BAA_8247_C9B39135AB8E</t>
  </si>
  <si>
    <t>nDED8E2C9_B484_47BD_8A0C_4FC25D9ABA2F</t>
  </si>
  <si>
    <t>n72711DB2_F0B3_4F52_A4E4_A4A5446CD2A8</t>
  </si>
  <si>
    <t>n3DDE93A9_BFEF_41F6_B831_7BC6CEAF25CD</t>
  </si>
  <si>
    <t>nAC688165_B606_4D82_A016_0263D701EDF2</t>
  </si>
  <si>
    <t>n58FC3163_C98D_45E6_8BD3_405AF26CA056</t>
  </si>
  <si>
    <t>n5E88C9AF_9919_47E5_AC97_3C0F882D8992</t>
  </si>
  <si>
    <t>n242739C9_E8F8_40EF_98D0_C57F8BD3A408</t>
  </si>
  <si>
    <t>n8B61F4C7_8FA2_43DC_B58C_AB2C5C0A8877</t>
  </si>
  <si>
    <t>n4781A6BD_729E_4392_B73C_0DA1C77F45BA</t>
  </si>
  <si>
    <t>nFEE07D8B_E1AA_4F0C_A615_463A81456806</t>
  </si>
  <si>
    <t>n24D85D8A_2BBF_487D_999E_F0E1E9711A44</t>
  </si>
  <si>
    <t>n99E2345A_FF0B_4044_A4E5_0D26498BF352</t>
  </si>
  <si>
    <t>nB340D7B3_A560_4CAB_8C9A_4A7ECB00C604</t>
  </si>
  <si>
    <t>n2A6F0314_872D_4E0E_A944_F17EF346E29C</t>
  </si>
  <si>
    <t>n8A9F74A8_A65F_42A3_9DB0_D40AD68EC967</t>
  </si>
  <si>
    <t>nD371E402_1DDA_467A_9EFD_7333BAD6987B</t>
  </si>
  <si>
    <t>n45A95ED6_6BE9_42DC_8F8E_4940542AA763</t>
  </si>
  <si>
    <t>nBF62899B_4BED_47AF_AF3B_1E10D830EA41</t>
  </si>
  <si>
    <t>n7393F50C_2074_415B_8362_C7F0AD5AD8C9</t>
  </si>
  <si>
    <t>nBCD1222E_E013_4743_9588_168A8E8A4CCC</t>
  </si>
  <si>
    <t>n09BFADD4_A980_40F3_A98A_B65C0F02447F</t>
  </si>
  <si>
    <t>n67C38909_17F6_4502_B532_983E8C4AB8F8</t>
  </si>
  <si>
    <t>n3AF44A35_CD82_4A03_B96B_2C8E7E9F40FE</t>
  </si>
  <si>
    <t>n736BFE87_02BE_46E7_8DB0_A2B034ECD6BC</t>
  </si>
  <si>
    <t>n80E713F8_140B_4FA1_AD0A_95353ACF23CE</t>
  </si>
  <si>
    <t>nC7A5534A_F936_4092_AF5A_4868FEC6CF24</t>
  </si>
  <si>
    <t>n4180E5F4_C1E3_4F95_9CBB_CD85E0BCC655</t>
  </si>
  <si>
    <t>nC844F971_544C_4338_94D2_6A965B7BCF89</t>
  </si>
  <si>
    <t>nE857DAE9_4FEB_442D_A1CF_D7B687ABF6B7</t>
  </si>
  <si>
    <t>n4D29847A_7439_438F_9BF4_1A9AC6B66382</t>
  </si>
  <si>
    <t>n5AE73A5D_7DC4_4E67_BA86_77F767004525</t>
  </si>
  <si>
    <t>n7613977B_913F_4201_81B8_F2639D95D430</t>
  </si>
  <si>
    <t>n6362F1FB_53FB_45C5_A797_A947C7ECB972</t>
  </si>
  <si>
    <t>n2036668D_41FC_42AC_A26E_DCB28C92BB42</t>
  </si>
  <si>
    <t>n3B5C4453_42D1_4B17_BE96_3CB27267BE34</t>
  </si>
  <si>
    <t>n71B0143B_00D4_447A_802A_D03702D2600F</t>
  </si>
  <si>
    <t>n835E7716_4234_4D63_9E3D_53FD75BD48A0</t>
  </si>
  <si>
    <t>nC28A38BD_F29A_4E07_BDC5_A430C7F08178</t>
  </si>
  <si>
    <t>nE507E167_D5A0_4734_A76D_1E688002EDB6</t>
  </si>
  <si>
    <t>nC30B0213_3434_4800_8A7F_F5D9753E7F4F</t>
  </si>
  <si>
    <t>nD6E2EFC3_D781_401F_AE1A_9DC8865CF67B</t>
  </si>
  <si>
    <t>n3CF9484A_E6FA_4D95_9D47_B5595CE2AD13</t>
  </si>
  <si>
    <t>n602C3EC3_8435_47BF_A604_7D75066CC857</t>
  </si>
  <si>
    <t>nFF6942C5_7966_4E4A_8491_8D4F0333B971</t>
  </si>
  <si>
    <t>nAF7F194C_57F9_469D_96EF_9261A46CC7FC</t>
  </si>
  <si>
    <t>nC4DE4DA0_78E1_4926_AF0C_F091AF13103D</t>
  </si>
  <si>
    <t>nE1CBAB67_758C_4F2C_BA6A_799375745B56</t>
  </si>
  <si>
    <t>nCD6230CD_7164_4B21_8324_961CA3471D9D</t>
  </si>
  <si>
    <t>n5A0D36D7_5907_497B_BDD0_B9F7946871C7</t>
  </si>
  <si>
    <t>n4729C2B4_13E7_433F_8412_F95545EA75F7</t>
  </si>
  <si>
    <t>n359C7AF8_8BAE_4BC7_B009_BE445CDBFC35</t>
  </si>
  <si>
    <t>n5E2EE771_5FE7_4EBD_B53E_DD8D31F6490E</t>
  </si>
  <si>
    <t>nDD3247E1_B272_4575_8CB0_C2E44239A9A8</t>
  </si>
  <si>
    <t>nD28793FC_291F_4F11_A09A_228AE8B3A9FC</t>
  </si>
  <si>
    <t>nF3A98388_9120_4053_8EBD_936BE8BBDA6F</t>
  </si>
  <si>
    <t>nE47A44FF_22A6_469C_82AD_696C71FBDD88</t>
  </si>
  <si>
    <t>nF346FF0E_9E36_4061_B728_2051ECF4FE8F</t>
  </si>
  <si>
    <t>n6E2830C5_7B71_4569_B55F_4C2062560D57</t>
  </si>
  <si>
    <t>nBFB13F76_57DB_46B7_8AE9_952A367FBA93</t>
  </si>
  <si>
    <t>n18684693_B96F_41F5_87E5_A8C82C5854F2</t>
  </si>
  <si>
    <t>nF0624D2B_D1C4_476E_A9EA_53DD33D3EFFE</t>
  </si>
  <si>
    <t>nB332A030_899A_4CDC_ABF6_7AB4C2B3D1C2</t>
  </si>
  <si>
    <t>n40BF751E_86C5_46B2_8F12_8406249504A5</t>
  </si>
  <si>
    <t>n9E54AC40_1534_4653_A579_A86A08A8489A</t>
  </si>
  <si>
    <t>n0FBA5367_FBC8_4C86_A3A0_47FFA8B35813</t>
  </si>
  <si>
    <t>n65057A73_5E5D_4997_843D_70FCDDBF4863</t>
  </si>
  <si>
    <t>n80A2BE7C_191D_425D_A7B8_93B0ACBEE01B</t>
  </si>
  <si>
    <t>nE39BABFB_8F63_4F42_89E2_F06B01A51C5F</t>
  </si>
  <si>
    <t>n561A2BF6_5A06_42D6_B158_5683F90E84BE</t>
  </si>
  <si>
    <t>nFE60A787_3D7D_423A_ACA8_7A815881DE4A</t>
  </si>
  <si>
    <t>nF24089B1_8B95_4756_903D_A8DFDC0769E3</t>
  </si>
  <si>
    <t>n0EA691C3_41F3_4D4D_9025_8F36DE6AEDC2</t>
  </si>
  <si>
    <t>n29F8F3C1_3B5C_404B_985E_677B3F2469CE</t>
  </si>
  <si>
    <t>n746496EE_FC8C_4C19_AF3E_D8D3140567A6</t>
  </si>
  <si>
    <t>n6DA75F23_C59A_4F3D_8369_62DF2833985B</t>
  </si>
  <si>
    <t>n2EA08174_481E_44C6_A012_159A6C58ECD7</t>
  </si>
  <si>
    <t>n422D81D3_0EAB_4F1E_9F34_BA01B0B35CC0</t>
  </si>
  <si>
    <t>nDC7DA1B5_7FB1_493B_B76C_2A89395AAC8B</t>
  </si>
  <si>
    <t>nB5BB1D89_74C2_455D_B36D_E690E04C732E</t>
  </si>
  <si>
    <t>n4F60AFDF_063A_4037_B18B_E4FDC3B1F048</t>
  </si>
  <si>
    <t>n6B1C5DA7_6A6A_4239_8359_406101FDA296</t>
  </si>
  <si>
    <t>n9A7FB9C7_BA60_455F_AF09_E8FB3AD8331D</t>
  </si>
  <si>
    <t>n8CCC3658_FD2A_4108_B8F8_F090D2FDA25F</t>
  </si>
  <si>
    <t>n6F5621C1_CD35_410A_A944_409F79163AD4</t>
  </si>
  <si>
    <t>n1C189EA0_AB0A_4D8B_AC8A_A6B086B9D1C8</t>
  </si>
  <si>
    <t>nD14A84EB_07B3_4B5F_BFAB_30031258CD6F</t>
  </si>
  <si>
    <t>nB81C8B35_F18D_45DB_BF0B_52A7F64CFDB9</t>
  </si>
  <si>
    <t>n606F27DD_7057_4C49_BC05_BD18E6E8BCAE</t>
  </si>
  <si>
    <t>nF9F63BDF_0C15_417E_9C40_9CFAF09A44FE</t>
  </si>
  <si>
    <t>n84A25376_673B_437D_A0B8_E206A3A557A1</t>
  </si>
  <si>
    <t>n59206519_5BB4_4BDF_BF6E_C333745B95BB</t>
  </si>
  <si>
    <t>n9D4266BF_D624_4D96_974A_C169D11071F2</t>
  </si>
  <si>
    <t>n178DB8CF_C79B_49A8_900D_2EB5BD057DC7</t>
  </si>
  <si>
    <t>n553E3D82_733E_45F2_B9EC_3768F51696D9</t>
  </si>
  <si>
    <t>nFB67A715_39E8_48D0_B1F1_AE50FDB72B9F</t>
  </si>
  <si>
    <t>n8300F70D_DC84_420B_90D6_F00C4D874F30</t>
  </si>
  <si>
    <t>nB2F055B2_845D_45D7_A034_0DE4107D299F</t>
  </si>
  <si>
    <t>n74954D1A_7A80_4122_B782_01D5A8EB539E</t>
  </si>
  <si>
    <t>nDD4D0EA3_423E_4998_B182_34DD6C3BE9A8</t>
  </si>
  <si>
    <t>nC7FE17A9_7896_460F_B18F_651313DE938B</t>
  </si>
  <si>
    <t>n7ED0A0F0_C8C5_4D50_B320_7841B6D641DC</t>
  </si>
  <si>
    <t>nA4759A9D_95C0_47CA_B519_8CEF217B2F74</t>
  </si>
  <si>
    <t>n24C70F4C_4BF0_490D_B57B_FE1D78BCC3DF</t>
  </si>
  <si>
    <t>nC4DC482E_7938_4C4B_B8F7_24B6E883D324</t>
  </si>
  <si>
    <t>n37CDF385_8395_4EBE_AD68_6B887D23D64B</t>
  </si>
  <si>
    <t>n958F4918_D853_4DF1_A3CD_255CE2FA5AD2</t>
  </si>
  <si>
    <t>nFEC9BD6E_999E_4253_A00A_CDCD708BCD59</t>
  </si>
  <si>
    <t>n57922764_7F8B_43B4_9441_59AC52F06D1B</t>
  </si>
  <si>
    <t>nAACCE65E_6554_4FBD_B4D7_A3BA8E3BDB92</t>
  </si>
  <si>
    <t>n38A1520C_9EE3_4410_BDCE_EF269F09EC11</t>
  </si>
  <si>
    <t>n053A92F1_5083_4E3C_8C99_65FB345EE29F</t>
  </si>
  <si>
    <t>nA316CFA4_7E99_428D_92EE_4261D71E8D69</t>
  </si>
  <si>
    <t>nF5B3A52F_6645_4E18_BE53_3CA330AAEC4A</t>
  </si>
  <si>
    <t>nFA8764B3_A099_4BC5_A496_69DDA8F0CAC5</t>
  </si>
  <si>
    <t>nE943B166_DDA1_4E51_8018_B658EF2F6050</t>
  </si>
  <si>
    <t>nBEC4F328_7640_4005_B2B5_DE2C74B06CE0</t>
  </si>
  <si>
    <t>nE75296C8_9CA1_417E_B05B_CC1BDF26F9C3</t>
  </si>
  <si>
    <t>n7457AC3C_F0BA_459B_9A5D_91BA732BAF2F</t>
  </si>
  <si>
    <t>nDB531138_5CD4_4604_965F_9676F4CF6D57</t>
  </si>
  <si>
    <t>n2C274975_7B46_4E24_8A70_7B0858D9811F</t>
  </si>
  <si>
    <t>nE137080A_673D_49B5_B79E_E40DCA00457A</t>
  </si>
  <si>
    <t>n9E70E20F_8AC9_4A48_83FE_BA2E942E7C88</t>
  </si>
  <si>
    <t>nD20859BA_5BFA_4068_B1B8_4E74C6744811</t>
  </si>
  <si>
    <t>n4D07384C_221F_41CD_941F_F0FD865EE0EB</t>
  </si>
  <si>
    <t>nA093745B_C215_44C5_9618_075099F0D7DA</t>
  </si>
  <si>
    <t>nDCAD400F_962A_4D5B_A523_07C3D5D11C2F</t>
  </si>
  <si>
    <t>n36ADA97B_45B1_4B3E_9BB8_5ED9EE8FFF07</t>
  </si>
  <si>
    <t>nDE675697_10CB_42A7_971F_C62CCDC742AB</t>
  </si>
  <si>
    <t>n07633555_1CF5_4F31_8EB2_BF5AE15BFE5B</t>
  </si>
  <si>
    <t>n12D825BF_1AD6_45DA_A3EE_F24F0C494771</t>
  </si>
  <si>
    <t>n1A14A6FB_7322_4971_AD06_EE6FE1DBEF85</t>
  </si>
  <si>
    <t>n5D6597B4_7390_4065_87F6_BFCDCE5625EB</t>
  </si>
  <si>
    <t>n5FE194E6_55B4_4F11_8A29_041408582E45</t>
  </si>
  <si>
    <t>nAC531F4A_1CDD_4F70_94C5_8473E1965EEA</t>
  </si>
  <si>
    <t>n95B65CD1_4E0F_4180_9C1E_3B497411E687</t>
  </si>
  <si>
    <t>nE705445E_1259_48CD_9B7E_9243AD8DAA5B</t>
  </si>
  <si>
    <t>n63259FD4_267B_439E_81C4_0877FBB2B1F4</t>
  </si>
  <si>
    <t>n2D781A60_CB81_46E7_B4BE_BFEC7B061FE5</t>
  </si>
  <si>
    <t>n9AB3CC59_5E4C_4E34_BC2C_1596F01FC5F3</t>
  </si>
  <si>
    <t>nDE7DDB58_F055_42EF_B2D7_1F23FA251512</t>
  </si>
  <si>
    <t>nA28C3DFF_EE9A_433F_8E87_6F1C3611654C</t>
  </si>
  <si>
    <t>n57BE0CB5_BAC2_4A6C_BB09_BA0710799A01</t>
  </si>
  <si>
    <t>n18B21D41_7371_42BA_AD55_EBF42E646C44</t>
  </si>
  <si>
    <t>nE76134B5_D4DF_454A_B8A9_6698D084CDB1</t>
  </si>
  <si>
    <t>n3F575B2E_542A_4EE1_86A9_93DA3991C61D</t>
  </si>
  <si>
    <t>nB826581E_8230_4CC8_9A14_B1F944C22935</t>
  </si>
  <si>
    <t>nA168EF24_837F_4964_BE44_E7CADDEC08AE</t>
  </si>
  <si>
    <t>n34461AB4_2CB5_4D9C_ACD7_11E6DB87C391</t>
  </si>
  <si>
    <t>n5F66D728_84BD_4BB4_98BF_785C5DAD60D5</t>
  </si>
  <si>
    <t>n168F06B1_8C97_4DA7_90D4_CC52279D2500</t>
  </si>
  <si>
    <t>n0625B885_15FF_4EC6_89B2_0542A53D54F0</t>
  </si>
  <si>
    <t>n6C8D27BA_3A49_456D_9605_33E2EBC545E0</t>
  </si>
  <si>
    <t>nC513AF63_36CC_4FB7_911F_7E98C3C107B2</t>
  </si>
  <si>
    <t>nBE119251_3169_4F9E_A3A9_744A248EAAA6</t>
  </si>
  <si>
    <t>n3E35442D_91A0_4B21_B0FC_31EF1D8BC55F</t>
  </si>
  <si>
    <t>n21D68DDF_6871_4E72_BC2D_303C40ED5E42</t>
  </si>
  <si>
    <t>n28E78E51_49BC_40D3_A073_5C152D095C48</t>
  </si>
  <si>
    <t>n7FA93F24_5E66_4779_BA3D_3A073C96F04F</t>
  </si>
  <si>
    <t>n88A9AD71_624D_49D1_933C_A9F4498456BE</t>
  </si>
  <si>
    <t>nAF966081_CDB0_45B3_BB9A_12F39BA05533</t>
  </si>
  <si>
    <t>n9A6A0946_FAF0_4301_9CFA_1EAAAF6EFADF</t>
  </si>
  <si>
    <t>nB0B5F503_B8FC_4496_972E_66927B58AF67</t>
  </si>
  <si>
    <t>n99E2EC41_CA7B_41FD_8304_3926884533F9</t>
  </si>
  <si>
    <t>nE918EA94_ED3D_49AA_8C98_9382D56885C2</t>
  </si>
  <si>
    <t>n4FB0018B_54D8_4931_8F94_16C63A3F8C83</t>
  </si>
  <si>
    <t>n429FED9F_D609_402A_A4D4_27BF7F04F154</t>
  </si>
  <si>
    <t>n4BBD1B98_1E78_4A7C_AFAA_86753DB40829</t>
  </si>
  <si>
    <t>n5C69F995_02F9_4641_8DDC_1DEAB80E3377</t>
  </si>
  <si>
    <t>nA9BAB0B4_F590_4EA4_BCC5_9C8C3863E83A</t>
  </si>
  <si>
    <t>n0C1E6A85_DF85_4330_881B_C5F42F671FD5</t>
  </si>
  <si>
    <t>nE94C80F1_064A_44B2_BDBC_0056E1019A9F</t>
  </si>
  <si>
    <t>n3EBA3C47_F9ED_429B_BC3D_679D12721192</t>
  </si>
  <si>
    <t>n4DC17AF9_0DFB_478B_B5A5_3463E37CAB92</t>
  </si>
  <si>
    <t>n06B404BB_42D7_49A0_87EF_0BD1066C228B</t>
  </si>
  <si>
    <t>n29ED772E_0526_4755_B8BE_2218FA7602F9</t>
  </si>
  <si>
    <t>nC607594D_D597_4C8E_9605_EED87566C2FD</t>
  </si>
  <si>
    <t>n4BA874E7_FD38_4B95_9C12_7EC786240F23</t>
  </si>
  <si>
    <t>n919E37D7_0E0D_437A_A4B9_F0C63FC91592</t>
  </si>
  <si>
    <t>nF036ACA7_5DED_4C47_BEC4_43A7941A1A11</t>
  </si>
  <si>
    <t>n85D3D9C0_BF0A_457D_9E9E_918869EE6A60</t>
  </si>
  <si>
    <t>n2156A14C_9F0A_4133_9B6B_E2F493C2DDE5</t>
  </si>
  <si>
    <t>n9DBB71BC_1401_49CF_8C61_CD7DE85382A7</t>
  </si>
  <si>
    <t>n8B8EDDAB_CC41_45B7_8B8A_AC9D282F1C05</t>
  </si>
  <si>
    <t>n3073C6C9_12F8_44C9_8D1B_2F7187AD9F60</t>
  </si>
  <si>
    <t>n6AE1B549_6E17_4533_A2B8_5AFB4B73B654</t>
  </si>
  <si>
    <t>nFF2EA87E_84ED_44A7_83DE_4A3C4C0F01DF</t>
  </si>
  <si>
    <t>n63EDDBAD_A168_4974_B9D5_9B90FB3F688E</t>
  </si>
  <si>
    <t>n35F5759D_AAFF_439C_A04E_623AA07EE4D9</t>
  </si>
  <si>
    <t>nD722A063_3ADB_4367_9941_1F20AAC0CAEC</t>
  </si>
  <si>
    <t>n118336A6_0C60_4B0E_8F22_B48CA99CA2F4</t>
  </si>
  <si>
    <t>nA1358380_830F_4EEB_80CE_CC83C065B2E4</t>
  </si>
  <si>
    <t>n3EAC848A_1433_441F_9E9A_7FE06432D202</t>
  </si>
  <si>
    <t>n7F5407C3_E9C5_4FD3_A4BC_1BF68CE94502</t>
  </si>
  <si>
    <t>nCDB2CA01_F37D_45DF_8EBF_86192F36727D</t>
  </si>
  <si>
    <t>n55E83346_C5D9_4522_AAFE_41AFD850D242</t>
  </si>
  <si>
    <t>n532F9243_3E60_4095_B0E5_8AEED1D0ED9A</t>
  </si>
  <si>
    <t>n9DB8F87B_0E27_4ADC_A89D_30DC429109ED</t>
  </si>
  <si>
    <t>nE1D131E1_6E4B_4128_ACFC_B11E0284331D</t>
  </si>
  <si>
    <t>n42CABDEA_283C_4884_BBFF_7B24A5E715E6</t>
  </si>
  <si>
    <t>n6803C365_1074_4F24_A95A_585E021E5FF0</t>
  </si>
  <si>
    <t>n0CFBF92C_8241_4364_871A_4D3705CF95A0</t>
  </si>
  <si>
    <t>nE61E61F3_D210_49D4_9FB5_8E7744490C9D</t>
  </si>
  <si>
    <t>n0824A767_06E0_42E4_86AA_C7ECB7A1A81E</t>
  </si>
  <si>
    <t>n46EF9D9A_E262_42CE_84DD_31B44FFFC872</t>
  </si>
  <si>
    <t>nE45E61D9_9369_4987_B110_303B87C7DD18</t>
  </si>
  <si>
    <t>n7CFF42F4_F82C_4184_81FE_6459832E495C</t>
  </si>
  <si>
    <t>n5093C332_EBE3_4146_9E6E_13A644D6709F</t>
  </si>
  <si>
    <t>nFADAB6B8_8A3D_435C_9AD9_15538E50E471</t>
  </si>
  <si>
    <t>nC63D5B91_5DF9_4B35_856B_670E59CF1CA0</t>
  </si>
  <si>
    <t>nE2E1BE6A_43E8_4B96_8DF5_2E30C8EF3BDF</t>
  </si>
  <si>
    <t>nF7063463_177E_42A8_8F09_57EF6B9D00BD</t>
  </si>
  <si>
    <t>n526624DF_C2E0_4B21_9A61_CEED4CD47F26</t>
  </si>
  <si>
    <t>nF4329B4E_89AE_4B13_8BA2_B6BEFB931A12</t>
  </si>
  <si>
    <t>n5E26B41D_6E03_4C12_AACA_F0C33BED131F</t>
  </si>
  <si>
    <t>n42AE1DFB_EDB7_42D2_89EE_3945EA0F348C</t>
  </si>
  <si>
    <t>n4ED00BBB_87C8_4B44_B7F1_FEDB8DD6A7D4</t>
  </si>
  <si>
    <t>n2B01D047_3E55_4928_89FF_89BF0E4C9A55</t>
  </si>
  <si>
    <t>n5FC0E690_BD8A_4D6A_8185_1DC8FF5EE7BE</t>
  </si>
  <si>
    <t>n64D10171_0B22_4711_A563_45B7D52F62A1</t>
  </si>
  <si>
    <t>nBB8CA37A_77F7_45A6_8D48_E3EAE7C070CC</t>
  </si>
  <si>
    <t>nE5FB6AFC_FC63_4B56_A4C6_E23F16E9BC61</t>
  </si>
  <si>
    <t>n59BB7020_7AB1_4728_86F2_1E393E0E8707</t>
  </si>
  <si>
    <t>n6C614E81_1E4F_490D_BA0A_44FBC9CBCFE0</t>
  </si>
  <si>
    <t>nD995A6A9_C3A9_4283_82AA_4AB97DA2B578</t>
  </si>
  <si>
    <t>n9C348411_DBC2_4D83_98F6_DA323939AD65</t>
  </si>
  <si>
    <t>nE33FC009_B7E4_40FD_9745_D826E24B6E94</t>
  </si>
  <si>
    <t>nF7D4524F_C6C0_4EC5_9552_75B99B9D5A42</t>
  </si>
  <si>
    <t>n33A86B12_0EA4_4F3E_BC6D_E3702F9EAE81</t>
  </si>
  <si>
    <t>nA41D81DD_A231_43DB_A8BF_E136E86BDC97</t>
  </si>
  <si>
    <t>n4AE20DB0_76C4_4F45_8465_74F243AABAEF</t>
  </si>
  <si>
    <t>n9BFEB967_7B86_4B3D_9C7E_0511B974AE4D</t>
  </si>
  <si>
    <t>n5AE1D03E_6BE9_4D64_877A_463F2CD1823C</t>
  </si>
  <si>
    <t>nBF0C1B68_F08A_4202_9757_9E8291426C10</t>
  </si>
  <si>
    <t>nAEC674BE_91C6_4A77_962B_1FC629184791</t>
  </si>
  <si>
    <t>n6F060A06_4EC7_40D0_BE25_18BB706EAC33</t>
  </si>
  <si>
    <t>n0D10D535_12CA_43D7_8C25_D56FF795B5EB</t>
  </si>
  <si>
    <t>nFB81B88B_935E_4937_8C9D_107D390BB8B5</t>
  </si>
  <si>
    <t>nEF01C104_C9F5_4399_B8A7_5AEEE0AEED69</t>
  </si>
  <si>
    <t>n476800A3_2E26_4AE7_BDA9_7E883266BCE1</t>
  </si>
  <si>
    <t>n04522218_BC1E_4939_A068_7AA0277A1265</t>
  </si>
  <si>
    <t>n7044B2C5_B689_4BDB_A361_6960562C0FC0</t>
  </si>
  <si>
    <t>n4734DAE8_90B6_45CA_8550_5A34B658FAEC</t>
  </si>
  <si>
    <t>nD67337C3_82D6_4A00_9312_77ECF955E4EE</t>
  </si>
  <si>
    <t>n3CB32145_0EE1_4C68_8C6C_279904089B9A</t>
  </si>
  <si>
    <t>n8F169889_C3EB_49DF_A679_4F5F53173B73</t>
  </si>
  <si>
    <t>n6265AECA_324C_41E3_B3D3_84135CF3C7BD</t>
  </si>
  <si>
    <t>nD75B5C62_D379_4138_8BEA_4403C4F682CA</t>
  </si>
  <si>
    <t>nC40BED13_84D6_4487_B1D8_408847C59080</t>
  </si>
  <si>
    <t>n4CF1B3F5_CACC_4AD2_BDA1_4AF301F4C65D</t>
  </si>
  <si>
    <t>n01EF8E33_9CCC_40C8_9331_68F0F5358EC1</t>
  </si>
  <si>
    <t>n36E8FD72_C9A2_4D50_986E_5DC62C773748</t>
  </si>
  <si>
    <t>n78F6BABC_A65F_473D_BCDE_FEE7D54A424A</t>
  </si>
  <si>
    <t>n464C132D_5900_4F55_8F96_F62557EA18BE</t>
  </si>
  <si>
    <t>nEBC962F0_3340_49DC_9E34_B2B7557F9372</t>
  </si>
  <si>
    <t>nAA77CC85_5C4B_467C_8062_029385C2AF09</t>
  </si>
  <si>
    <t>n5873E20E_7DC8_43B0_B048_106A80E87640</t>
  </si>
  <si>
    <t>n10B244A8_21C9_4D9D_9E27_FE5ABBED56A5</t>
  </si>
  <si>
    <t>n76740F74_7039_4200_B48A_59A8A4A3D1A0</t>
  </si>
  <si>
    <t>nD3DD18B2_66DE_48D3_962B_511205F74E07</t>
  </si>
  <si>
    <t>nB5D0C15D_30A8_4D8C_9DF1_B0D78AC0EB44</t>
  </si>
  <si>
    <t>n455C0775_9E71_475A_9F9D_FE0281B80BC0</t>
  </si>
  <si>
    <t>n8B4BB7FC_2E2A_4C1A_8657_58EEC2DF8A9A</t>
  </si>
  <si>
    <t>n709A4E65_BD24_4FB3_AF6D_E95E57F0157C</t>
  </si>
  <si>
    <t>nE2F3A772_EEDF_4F78_9194_533B50B4644F</t>
  </si>
  <si>
    <t>n3805BE20_DE10_4929_A9F5_5042661EDA36</t>
  </si>
  <si>
    <t>n3A9A58DA_FA73_4A42_AD4D_20181F1594F1</t>
  </si>
  <si>
    <t>nC8E821DA_5F6B_4960_9FEF_DC5199DC42F0</t>
  </si>
  <si>
    <t>n6AAB869E_8FFB_43B2_BCDE_C4BB8F0E0948</t>
  </si>
  <si>
    <t>n640E2EBF_F163_41EF_A5E7_E328911BBC8E</t>
  </si>
  <si>
    <t>n38442FF1_AFF1_4481_B414_D70DEE27F0EC</t>
  </si>
  <si>
    <t>nB8B1D9E3_CCB1_4B48_8962_EA0A592DA1E6</t>
  </si>
  <si>
    <t>nD0A7D3C9_1A0B_49DC_A3E2_41483CB017E4</t>
  </si>
  <si>
    <t>n7A6515A7_E313_45AC_A024_B7321A51BBF0</t>
  </si>
  <si>
    <t>n2D4F2CD5_91A2_4116_8CF5_9FA6ED9E736D</t>
  </si>
  <si>
    <t>n9F7D871B_3DEB_4A88_B41B_59E3F5381286</t>
  </si>
  <si>
    <t>n9EABB6A3_3B7A_42A6_A127_9CD98E43B6C0</t>
  </si>
  <si>
    <t>nA3D07637_D18C_4A84_B9BE_EC33462CCE27</t>
  </si>
  <si>
    <t>n797F89B7_EBFE_4624_B7EE_5952C851879E</t>
  </si>
  <si>
    <t>nD44F34C0_2002_47C7_8592_BF38B5BF83F8</t>
  </si>
  <si>
    <t>n000D1617_D659_4780_A829_736ADFBC46B9</t>
  </si>
  <si>
    <t>n7F9AFAF9_8A03_4A7B_B9E6_BFE1D2A9302D</t>
  </si>
  <si>
    <t>nFFC60251_1B95_42A0_9516_E5AC18B9BF28</t>
  </si>
  <si>
    <t>n85520257_66D0_4CD1_A52A_85A6885DB4CE</t>
  </si>
  <si>
    <t>nCF5B4529_F5E4_4C1C_9CD1_0E67643481B4</t>
  </si>
  <si>
    <t>n27D0EABD_A0B3_47A6_A86A_8C13F8721BE1</t>
  </si>
  <si>
    <t>nE99045EA_CC68_44E2_A22A_2917BDB8276C</t>
  </si>
  <si>
    <t>n92552E85_6D6E_4D55_B4F1_C478A4FB8BC6</t>
  </si>
  <si>
    <t>n019EE7D0_AFF3_44D6_B229_9F7E8C9D4151</t>
  </si>
  <si>
    <t>n2B1493D9_E52C_47E8_875B_74265080C8CB</t>
  </si>
  <si>
    <t>nA28366D4_CC5A_467A_B4DC_EB619866BB17</t>
  </si>
  <si>
    <t>nE1050999_27A0_46D4_AFD8_BAFC2970E276</t>
  </si>
  <si>
    <t>nC663B247_7314_44F0_87C7_6C58BAD193CB</t>
  </si>
  <si>
    <t>n5B801607_99C5_4D93_91CB_94A21227408C</t>
  </si>
  <si>
    <t>n4129C99E_02BA_4B11_AED3_6029D49927EE</t>
  </si>
  <si>
    <t>nD9EF9B83_2494_406B_95F4_C53820EE35CA</t>
  </si>
  <si>
    <t>nC1D0A8DC_6691_4020_A24F_A3218608CDB9</t>
  </si>
  <si>
    <t>nF3022911_57AF_4961_BB85_E6B8E9F54AEF</t>
  </si>
  <si>
    <t>n5A5CD70F_DB4D_4769_97A2_CE29EAE58971</t>
  </si>
  <si>
    <t>nD0324B54_4F7D_4DD3_BBD1_3E5B237DE6B4</t>
  </si>
  <si>
    <t>nD9C66A40_325F_45DA_A6E3_E4C20F9377A4</t>
  </si>
  <si>
    <t>nDCCE280E_D684_42A8_B37B_5711CE76BC43</t>
  </si>
  <si>
    <t>n149B4F80_9A70_4D1D_8260_94C137DBFBBE</t>
  </si>
  <si>
    <t>n0FF516F1_21CA_4A0C_8AC4_4487F5E1E2CB</t>
  </si>
  <si>
    <t>n205B8D02_E855_4B2F_91EF_26C1B23CFC50</t>
  </si>
  <si>
    <t>n1A99C52D_471D_462A_87B9_5E8D4560D58F</t>
  </si>
  <si>
    <t>n6E3234B2_E757_4333_BA58_DAFF5B1D943A</t>
  </si>
  <si>
    <t>nD3FFB967_77A4_45B9_A5A4_A9FBB2367C89</t>
  </si>
  <si>
    <t>n1CD1BA03_756A_4932_9441_C0DBAE224934</t>
  </si>
  <si>
    <t>nDFF0F332_91D0_4DCD_9272_B0AC7CB47061</t>
  </si>
  <si>
    <t>n684E2CA8_D61D_459D_846A_4F41E87E62C9</t>
  </si>
  <si>
    <t>nCC901E67_11E1_4971_ACD2_99886D05F2BB</t>
  </si>
  <si>
    <t>nF2255395_848A_427B_89E9_3BB7DD7580BB</t>
  </si>
  <si>
    <t>nE58B987B_C4CB_4FB3_9868_F8040123B702</t>
  </si>
  <si>
    <t>n9AE9641B_8E15_44BE_BE39_5928AF98C403</t>
  </si>
  <si>
    <t>n4AB9C40A_FFE6_4F52_BBD5_1C60BD60C22D</t>
  </si>
  <si>
    <t>nB97D2A38_A342_46DA_ABE9_AE6CB1417AAE</t>
  </si>
  <si>
    <t>n963C5840_F55F_44D3_ABCE_9B86FAE16FEF</t>
  </si>
  <si>
    <t>nD567DDAF_88E4_460A_8360_AB49285CB8DD</t>
  </si>
  <si>
    <t>nB870A42F_E8DF_49EE_839E_8237D0D08E6C</t>
  </si>
  <si>
    <t>n05769AFC_D0B1_4FEC_A0E1_842407E11B7A</t>
  </si>
  <si>
    <t>n901E5DAB_D27E_4BEE_8BBB_AC47FA69CFBA</t>
  </si>
  <si>
    <t>n491440D0_18B1_419D_82A7_5E14101A7E9B</t>
  </si>
  <si>
    <t>n279CC740_4E96_4D2A_923D_3603EA0FD247</t>
  </si>
  <si>
    <t>n3C201BF8_F9EA_4428_B9FA_FC0267427653</t>
  </si>
  <si>
    <t>n95300591_0D21_454A_83B8_F3C9C74C21E3</t>
  </si>
  <si>
    <t>nCDC41020_7C5B_4C7F_9A4D_8C0F159CD585</t>
  </si>
  <si>
    <t>nF3399109_259D_4ABC_BC52_EDB47E2CAF1A</t>
  </si>
  <si>
    <t>nC659F8FA_B1EB_46E9_B13C_FE5C1B62DEA3</t>
  </si>
  <si>
    <t>nDF95A25A_2B47_4C54_8D11_CCEA52064067</t>
  </si>
  <si>
    <t>n56573FF9_22B4_4629_B28C_392B006A4AA8</t>
  </si>
  <si>
    <t>nA9A30C47_5F47_4988_8FC5_F4CF9EB080CC</t>
  </si>
  <si>
    <t>n53FEC273_D9E0_42F6_BEB3_18333BB567ED</t>
  </si>
  <si>
    <t>n5E41A9D4_819D_4864_B6AE_33A53A7DDD7C</t>
  </si>
  <si>
    <t>n00E1D349_3D00_4487_9F58_1785F1B304DB</t>
  </si>
  <si>
    <t>n5CF2F923_671C_4D8A_ADA8_855ACC57144A</t>
  </si>
  <si>
    <t>nFC3909FF_29C6_47F9_B90A_122BDED44AF9</t>
  </si>
  <si>
    <t>n71631819_91CD_4603_8446_336EBC6B18B2</t>
  </si>
  <si>
    <t>n36B26A4D_4DE5_4EE8_8425_C5A7DB251D84</t>
  </si>
  <si>
    <t>n5453D8E7_0829_46D3_846B_6D89F4AE4CFF</t>
  </si>
  <si>
    <t>n0219DCF8_A0BC_4743_BBAA_4F0ADEC98D8A</t>
  </si>
  <si>
    <t>n545A7A4F_E40A_4229_9889_14B9524363FA</t>
  </si>
  <si>
    <t>n60A42831_8FFC_43B5_9189_8FC2450794A3</t>
  </si>
  <si>
    <t>nD412B947_EA40_439A_B717_8C39D2BC4CB9</t>
  </si>
  <si>
    <t>n1678B11E_DE4E_4E9D_959E_B70C80A07265</t>
  </si>
  <si>
    <t>n57ECA222_A996_4EAF_82B4_F90085182E5A</t>
  </si>
  <si>
    <t>n54565563_BC74_470C_A56B_A1B9C7F1324E</t>
  </si>
  <si>
    <t>nB7ADCBF6_0721_463C_82E5_DBB277A6AEE9</t>
  </si>
  <si>
    <t>nE6B7AC16_FE87_47A2_899A_64FC08C8DD98</t>
  </si>
  <si>
    <t>n3A185D2E_8467_4AA3_9CDB_FB22389BF715</t>
  </si>
  <si>
    <t>n0FECC4A6_A665_444E_BE48_8AA390BB1974</t>
  </si>
  <si>
    <t>nD9FD15A1_6465_481B_B71D_ADCD17B9954F</t>
  </si>
  <si>
    <t>nFC4AFBE3_7D71_456A_AFC1_16F1F34558F5</t>
  </si>
  <si>
    <t>n31C5E305_499C_46E4_98C8_6261960997B6</t>
  </si>
  <si>
    <t>nFA34207B_F87E_487A_A8A3_4664359FB1CD</t>
  </si>
  <si>
    <t>nC9A420A4_4B49_4499_BCB2_7C9AD66395E7</t>
  </si>
  <si>
    <t>n6935A8E7_1B1E_43B2_B342_5B9C31895DD1</t>
  </si>
  <si>
    <t>nACEE5BE1_AEF4_45DF_A913_1C3530C50C54</t>
  </si>
  <si>
    <t>n351C03A9_7E95_4292_8F00_0D294823C744</t>
  </si>
  <si>
    <t>n7A087586_32C2_44CA_B3C5_9B643CFB3E63</t>
  </si>
  <si>
    <t>nF44C30A8_A797_4F0C_9C18_D87E7D5A8B88</t>
  </si>
  <si>
    <t>nB34CDBC0_988E_401A_93CC_C6103DC30B68</t>
  </si>
  <si>
    <t>n1A55C21B_DE0A_4FE1_A1DF_11745E5BD4FF</t>
  </si>
  <si>
    <t>n88E112AD_03BC_452F_B011_4262CD8C0BF3</t>
  </si>
  <si>
    <t>n0A784E7B_0620_41F8_886C_EE73E3D5B725</t>
  </si>
  <si>
    <t>nEA19C95D_BE71_4511_BD9B_2BAB20932E47</t>
  </si>
  <si>
    <t>nF8EFEF04_B182_49B6_873F_E26615F57EC1</t>
  </si>
  <si>
    <t>nC855E8C7_E00C_40A0_87CC_0A3D02D20B4E</t>
  </si>
  <si>
    <t>nB2793506_A460_4407_B469_4566BAD26901</t>
  </si>
  <si>
    <t>nC47D35F2_7A1A_41A1_8195_7670F9EF176A</t>
  </si>
  <si>
    <t>n8641763B_1732_427E_AF37_EF5DD6632158</t>
  </si>
  <si>
    <t>n18083FD1_D5F0_4E0D_A480_197792E123C8</t>
  </si>
  <si>
    <t>nCD00A5EF_798C_4F7D_9B92_119FBE900ECA</t>
  </si>
  <si>
    <t>n09F029F1_A06C_4F7F_8CAF_95CAC4F6F97C</t>
  </si>
  <si>
    <t>n2E25798C_AEE6_442B_83C3_21A39D1F4E2E</t>
  </si>
  <si>
    <t>n049772BC_8F65_4681_926F_AB741F518CEF</t>
  </si>
  <si>
    <t>n2F27DDAD_459D_4B06_9152_168BDF5063F5</t>
  </si>
  <si>
    <t>nEE2DD2E7_A2A2_44AC_9F06_D2358264FA2D</t>
  </si>
  <si>
    <t>n3D40EC0D_C7CE_4C19_B8E2_09518A62B569</t>
  </si>
  <si>
    <t>nA5E34595_12DD_4352_8631_FB7FFCBB533D</t>
  </si>
  <si>
    <t>n6B5455A2_414F_4D8D_A36C_895CC996359A</t>
  </si>
  <si>
    <t>nC19BDC8E_5AE1_49EE_B831_B43B924ECC1B</t>
  </si>
  <si>
    <t>n5BB42061_7CD1_4689_84B8_77016A34CE94</t>
  </si>
  <si>
    <t>n50576DCB_DC90_4189_AEDA_22168AAD0DC2</t>
  </si>
  <si>
    <t>n1148493D_DE5A_4FAF_941A_234122DBF560</t>
  </si>
  <si>
    <t>n67A7DB08_4CCF_4966_AEF4_89B2AC2A297A</t>
  </si>
  <si>
    <t>nF75517D5_69C2_4310_B3EF_77311A1A8188</t>
  </si>
  <si>
    <t>nBAB37068_1EF4_414F_B40B_EB8997E19974</t>
  </si>
  <si>
    <t>nB3A3E0DE_D501_4C64_92EE_6EED35F0E8F7</t>
  </si>
  <si>
    <t>n1AA5AE61_B346_43B1_87DF_35A927EA0AED</t>
  </si>
  <si>
    <t>nF173E0D3_8348_4DCB_B1D7_16C85C1013B0</t>
  </si>
  <si>
    <t>n5EF5EB18_F868_43E0_BC5D_FB928B82CC59</t>
  </si>
  <si>
    <t>nC0D8C0B5_1A70_4CB1_9F83_D00B0375C928</t>
  </si>
  <si>
    <t>n79D52FB7_6D56_40B0_A404_F332AF6DE5A6</t>
  </si>
  <si>
    <t>n792AF52F_202C_4B84_9837_C86A7BE5C6D4</t>
  </si>
  <si>
    <t>nC196E133_4263_4398_B44A_B3053AC5D0E8</t>
  </si>
  <si>
    <t>nE5CAB332_46E5_4872_9347_07D71C60B1DD</t>
  </si>
  <si>
    <t>nA714C34F_E109_4195_A309_62764B001097</t>
  </si>
  <si>
    <t>nAF6BA4B5_C4EC_4B28_8369_799EADD91BB8</t>
  </si>
  <si>
    <t>n30C769A5_3901_4FE2_A484_26752443F078</t>
  </si>
  <si>
    <t>n57652DD2_8622_4048_95C6_3D1CA71B338F</t>
  </si>
  <si>
    <t>nDB980524_D5B2_4D4E_A6E4_3725625E9ED0</t>
  </si>
  <si>
    <t>n7B6F5266_C940_417B_9FB2_8373338B3D43</t>
  </si>
  <si>
    <t>n6E36BCF4_0D2E_423E_A7F2_1859C5F43F22</t>
  </si>
  <si>
    <t>n3B7CBF53_A57C_44ED_AD36_C72517D3DEF6</t>
  </si>
  <si>
    <t>nCDE26EDC_0440_4B98_9517_E35E3F6BE7DF</t>
  </si>
  <si>
    <t>nBFD644BE_EADE_44D5_BDAE_64B1E095A11B</t>
  </si>
  <si>
    <t>n24EDEEBB_184D_4CD9_AF97_8ED49C048AC4</t>
  </si>
  <si>
    <t>n4442B948_CB96_4FB1_B197_0CB8512232F5</t>
  </si>
  <si>
    <t>n3B05549C_D612_4F93_B225_856E09571963</t>
  </si>
  <si>
    <t>nA88BF1ED_4AE8_4B89_B290_4D73E6D0E99B</t>
  </si>
  <si>
    <t>nFAD010FC_681A_4C15_94C3_71AEB684C44D</t>
  </si>
  <si>
    <t>nCC381DA1_CA00_4281_80DE_4480AA826170</t>
  </si>
  <si>
    <t>n3EE5AC73_62B3_4719_B4EA_AF76F43BF4D4</t>
  </si>
  <si>
    <t>nA083172A_2D30_45C1_A7AA_C0950BF75AF5</t>
  </si>
  <si>
    <t>n32F8B5A2_2FF3_46A6_92A0_A0A74C77207C</t>
  </si>
  <si>
    <t>n0BF6DF94_3689_4DC6_A2E2_4E916F963D9A</t>
  </si>
  <si>
    <t>n20C6E76A_E99F_4AC3_B579_997897697AA6</t>
  </si>
  <si>
    <t>Best Practice</t>
  </si>
  <si>
    <t>4-Eyes Check</t>
  </si>
  <si>
    <t>Property</t>
  </si>
  <si>
    <t>Nodes JSON</t>
  </si>
  <si>
    <t>composed of</t>
  </si>
  <si>
    <t>may have</t>
  </si>
  <si>
    <t>Fingerprint recognition authentication</t>
  </si>
  <si>
    <t>bi</t>
  </si>
  <si>
    <t>synonym for</t>
  </si>
  <si>
    <t>acronym for</t>
  </si>
  <si>
    <t>Multi-Modal Biometric Authentication</t>
  </si>
  <si>
    <t>n80310A12_2F48_48B9_A9C3_E6FADD4B55C9</t>
  </si>
  <si>
    <t>n09E1C4DC_8D91_4A66_9C50_11DCDC2042FD</t>
  </si>
  <si>
    <t>External Threat Agent</t>
  </si>
  <si>
    <t>nEE342468_B7F3_4FB0_BA73_C88BBEA8F59E</t>
  </si>
  <si>
    <t>n940256DD_635E_4F4B_91EA_B3366D40E947</t>
  </si>
  <si>
    <t>nBB725018_7327_49FB_A48A_74839D0C04F9</t>
  </si>
  <si>
    <t>n1546AAB1_79BC_427B_AC2C_31B1E8FA4616</t>
  </si>
  <si>
    <t>n385B2A02_580E_49B6_8C97_A00DC541C516</t>
  </si>
  <si>
    <t>nCEEB6DF9_D56B_4A1B_9B36_35674D25F038</t>
  </si>
  <si>
    <t>Node A ID</t>
  </si>
  <si>
    <t>Edge ID</t>
  </si>
  <si>
    <t>Node A</t>
  </si>
  <si>
    <t>Rel</t>
  </si>
  <si>
    <t>Dir</t>
  </si>
  <si>
    <t>Node B</t>
  </si>
  <si>
    <t>Node B ID</t>
  </si>
  <si>
    <t>n73EBE6B5_2ED2_404F_A9CE_C06A461A9CF9</t>
  </si>
  <si>
    <t>nCFA197D3_9344_415D_9209_905E09487E5F</t>
  </si>
  <si>
    <t>n0FA15067_803F_459E_A370_46E2E4164F90</t>
  </si>
  <si>
    <t>n16067629_26D5_42A1_BDB2_97473A56EAB7</t>
  </si>
  <si>
    <t>n65CE68B0_0066_483B_B881_3572D2E95D0A</t>
  </si>
  <si>
    <t>nF451769F_A5E2_475A_89F0_5DCF08D27D4F</t>
  </si>
  <si>
    <t>n79C52E10_73FE_4CAF_A156_854467FC67DC</t>
  </si>
  <si>
    <t>nC9236704_329A_41A4_ABC5_340A92CC3765</t>
  </si>
  <si>
    <t>n9CA40070_6FEB_4067_8535_532D52F5CC18</t>
  </si>
  <si>
    <t>n87E71156_879E_4B20_B1C3_DA6DCBD5E697</t>
  </si>
  <si>
    <t>n27C3DAA7_18CE_4679_BFDF_AE332BA90AF5</t>
  </si>
  <si>
    <t>n0CBC93F4_6EAE_4195_8F35_23C763EA6BED</t>
  </si>
  <si>
    <t>n185B7D84_8C31_44D8_907D_0EEC1E5DC38A</t>
  </si>
  <si>
    <t>n6EA23684_7375_433D_8170_212A6AB58564</t>
  </si>
  <si>
    <t>nD167F915_A861_4436_9497_FFE4AB13F611</t>
  </si>
  <si>
    <t>nD1A0D0FD_3118_45AC_BAD3_26E89DBD57DC</t>
  </si>
  <si>
    <t>n96BD0C0B_9A7F_45ED_9519_30416CA253CB</t>
  </si>
  <si>
    <t>n7CFCDE36_D268_40C8_9818_5F762B04D5C3</t>
  </si>
  <si>
    <t>n9E30E2ED_A60B_4197_A894_F66D9251EA8D</t>
  </si>
  <si>
    <t>n74EDF48C_1856_4E54_BBD1_44DC4A97ABCE</t>
  </si>
  <si>
    <t>n433C0CE8_199B_41A4_BBC0_39E1F2549476</t>
  </si>
  <si>
    <t>n0C9CFDC8_E9C2_4E79_8947_C460FAB26FA9</t>
  </si>
  <si>
    <t>n4AB9C546_49D0_4EA2_8498_0D2C04578B1D</t>
  </si>
  <si>
    <t>n1774DB80_05C1_4022_AD00_69849ED81D66</t>
  </si>
  <si>
    <t>n5FE7C068_1E39_497D_A95C_9B7E7A82CB68</t>
  </si>
  <si>
    <t>n1590C804_C1D3_45D7_9BD1_A699E03C4480</t>
  </si>
  <si>
    <t>n1C84502F_9CE4_45AD_8152_4C28CF43CC7A</t>
  </si>
  <si>
    <t>n58FF34AB_C0AD_4329_B54F_8DA88A1CEA2B</t>
  </si>
  <si>
    <t>nC04D4E4C_23D6_4E6A_B5A4_713BF692C4A9</t>
  </si>
  <si>
    <t>nA91494B0_E4BA_4773_AE36_FBC723F16E58</t>
  </si>
  <si>
    <t>n2A19C71F_AFEB_4CB7_ABBC_B7834D29F28C</t>
  </si>
  <si>
    <t>nD0C6BF06_6975_4E42_948E_4BA9B597C722</t>
  </si>
  <si>
    <t>n2B5ADEF6_C211_4176_ACE9_EC6BB881B4B9</t>
  </si>
  <si>
    <t>n11F85AC2_D11B_452F_BF41_FAA417F534DE</t>
  </si>
  <si>
    <t>n001F8278_2466_4E46_AF78_4E1474840B61</t>
  </si>
  <si>
    <t>nEDB85302_2B45_41AE_A687_7FC6755CC78A</t>
  </si>
  <si>
    <t>n70FF5999_70A6_4341_A798_FF05730D05E4</t>
  </si>
  <si>
    <t>n15F3F73F_656D_4BBB_9AC3_F84EFC304F9B</t>
  </si>
  <si>
    <t>nFD6CE81D_6B06_469F_A64B_3ECF2578FB31</t>
  </si>
  <si>
    <t>n6D604365_C71A_4947_B0C6_C3C723101DA5</t>
  </si>
  <si>
    <t>n4884F8ED_EB06_4C77_8CB8_03E3BD0B0DF6</t>
  </si>
  <si>
    <t>n59BAA06D_2BF6_4A51_B53B_A8361236B480</t>
  </si>
  <si>
    <t>n1077CFA1_7D9B_4396_844D_B149B6ABF35D</t>
  </si>
  <si>
    <t>nE94E97D6_EDA3_48F8_B3A2_FF2D38612803</t>
  </si>
  <si>
    <t>n54777CBB_23A1_4D88_9399_8132024209B6</t>
  </si>
  <si>
    <t>n08F36C07_95CB_4A9F_8AF7_DA92D0D85FAD</t>
  </si>
  <si>
    <t>nA8B2A66F_C080_41DF_B473_E0485D490580</t>
  </si>
  <si>
    <t>nE1568646_8A29_4498_8C6C_7219DE88E7DA</t>
  </si>
  <si>
    <t>Common Name</t>
  </si>
  <si>
    <t>Node ID</t>
  </si>
  <si>
    <t>Class Disambiguation</t>
  </si>
  <si>
    <t>Unambiguous Name</t>
  </si>
  <si>
    <t>GUID Generator</t>
  </si>
  <si>
    <t>Edges JSON</t>
  </si>
  <si>
    <t>nFB32F479_4EF7_409C_900B_EE48AA0DE846</t>
  </si>
  <si>
    <t>nFA6C8A63_7071_4E20_BB02_F78403869E0B</t>
  </si>
  <si>
    <t>nAC062A15_C72B_42D8_BBDF_C7EB64B35F26</t>
  </si>
  <si>
    <t>nF3A221C8_C126_458E_818C_DAE6B57CD442</t>
  </si>
  <si>
    <t>n2E4A35A7_53BB_4F4B_8554_B6584F77D71D</t>
  </si>
  <si>
    <t>Identity Theft</t>
  </si>
  <si>
    <t>Attack Class</t>
  </si>
  <si>
    <t>committed by</t>
  </si>
  <si>
    <t>victimize</t>
  </si>
  <si>
    <t>control</t>
  </si>
  <si>
    <t>owns</t>
  </si>
  <si>
    <t>distinct from</t>
  </si>
  <si>
    <t>Financial Gain</t>
  </si>
  <si>
    <t>Causing Reputation Harm</t>
  </si>
  <si>
    <t>Identity Deception</t>
  </si>
  <si>
    <t>has not</t>
  </si>
  <si>
    <t>Illegal Action</t>
  </si>
  <si>
    <t>n02B81E29_1266_4611_897E_FD90C5DD5788</t>
  </si>
  <si>
    <t>n89FBB4A6_DF18_465F_9DA3_BD367759F09E</t>
  </si>
  <si>
    <t>nBC613B66_5F94_4F48_91BD_5F6BBA766E79</t>
  </si>
  <si>
    <t>nA59D49F8_3819_4341_A310_19C77AB08AAB</t>
  </si>
  <si>
    <t>n52564682_5FAD_48CB_A320_6CFE17950D03</t>
  </si>
  <si>
    <t>nC0AF8721_A868_4A4D_9F85_3A6D9B88B489</t>
  </si>
  <si>
    <t>n23656C0A_A156_405F_9FF8_7AE62FD6FB07</t>
  </si>
  <si>
    <t>n4E7B27FA_8562_4EC8_869A_378A5937334A</t>
  </si>
  <si>
    <t>nE0352234_7814_467F_8B8B_EF900BACC357</t>
  </si>
  <si>
    <t>n0A451CF0_22E0_44D3_AB03_3E608F7531FA</t>
  </si>
  <si>
    <t>nE8DE4BFE_8184_4CDB_AB2B_F5BBB01DDEC9</t>
  </si>
  <si>
    <t>n4DCA1FCE_1B55_469F_A7BE_191D25CCF3FD</t>
  </si>
  <si>
    <t>n13EF72AA_08CA_410B_B24C_89AAA3D27701</t>
  </si>
  <si>
    <t>nB26195B6_F9CB_4615_844F_03A801F54319</t>
  </si>
  <si>
    <t>n7E6F3531_1C90_4207_87E3_03DC75297CD1</t>
  </si>
  <si>
    <t>n486B9FB2_ED32_4106_B93F_8269064F6641</t>
  </si>
  <si>
    <t>nB02D7F5B_26E1_4631_97FB_9B92CB3DD9A1</t>
  </si>
  <si>
    <t>nD595CAD7_ED6F_44F0_86BB_0C88B965A46D</t>
  </si>
  <si>
    <t>n0D36835E_CF22_467A_933C_A4A55A23D57C</t>
  </si>
  <si>
    <t>nCB175E38_E6C9_499C_9540_9A5CB69E8E36</t>
  </si>
  <si>
    <t>n17260B5F_F54A_4609_A340_8AF19FDCD912</t>
  </si>
  <si>
    <t>n0C8BC5FF_37C2_4FD1_990A_A9B822774FB2</t>
  </si>
  <si>
    <t>Victim</t>
  </si>
  <si>
    <t>Perpetrator</t>
  </si>
  <si>
    <t>group</t>
  </si>
  <si>
    <t>n2D85F484_089E_4E23_B816_91EC7B0A8538</t>
  </si>
  <si>
    <t>Context Instanciation</t>
  </si>
  <si>
    <t>Unambiguous Name2</t>
  </si>
  <si>
    <t>Account Takeover: Perpetrator</t>
  </si>
  <si>
    <t>Account Takeover: Victim</t>
  </si>
  <si>
    <t>Account Takeover: Digital Identity</t>
  </si>
  <si>
    <t>Account Takeover: Authorization</t>
  </si>
  <si>
    <t>has</t>
  </si>
  <si>
    <t>to impersonate</t>
  </si>
  <si>
    <t>n228330D7_7E4B_46EA_A89C_F44DF98A27FA</t>
  </si>
  <si>
    <t>Account Takeover: Motivation</t>
  </si>
  <si>
    <t>may be</t>
  </si>
  <si>
    <t>n4FA68550_C829_46CD_ADC2_9BE67FA41543</t>
  </si>
  <si>
    <t>Motivation</t>
  </si>
  <si>
    <t>ARM (Acronym)</t>
  </si>
  <si>
    <t>n7E99EFA2_7827_4773_91E4_D9B34E3CAA5A</t>
  </si>
  <si>
    <t>n0028F731_EC86_4C20_B77F_946A63CC2AC9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</si>
</sst>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rgb="FF000000"/>
      <name val="Arial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5"/>
      <color theme="3"/>
      <name val="Calibri"/>
      <family val="2"/>
      <scheme val="minor"/>
    </font>
    <font>
      <u/>
      <sz val="10"/>
      <color theme="10"/>
      <name val="Arial"/>
      <family val="2"/>
    </font>
    <font>
      <sz val="10"/>
      <name val="Arial"/>
      <family val="2"/>
    </font>
    <font>
      <sz val="8"/>
      <name val="Arial"/>
    </font>
    <font>
      <sz val="10"/>
      <color rgb="FF00B050"/>
      <name val="Consolas"/>
      <family val="3"/>
    </font>
    <font>
      <b/>
      <sz val="11"/>
      <color rgb="FF3F3F3F"/>
      <name val="Calibri"/>
      <family val="2"/>
      <scheme val="minor"/>
    </font>
    <font>
      <sz val="10"/>
      <color theme="1"/>
      <name val="Arial"/>
      <family val="2"/>
    </font>
    <font>
      <sz val="6"/>
      <color rgb="FF000000"/>
      <name val="Consolas"/>
      <family val="3"/>
    </font>
    <font>
      <sz val="6"/>
      <color rgb="FFFF0000"/>
      <name val="Arial"/>
      <family val="2"/>
    </font>
    <font>
      <sz val="6"/>
      <color rgb="FFFF0000"/>
      <name val="Consolas"/>
      <family val="3"/>
    </font>
    <font>
      <sz val="10"/>
      <color theme="1"/>
      <name val="Arial"/>
    </font>
    <font>
      <sz val="6"/>
      <color rgb="FFFF0000"/>
      <name val="Consolas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theme="0" tint="-0.14999847407452621"/>
      </patternFill>
    </fill>
  </fills>
  <borders count="5">
    <border>
      <left/>
      <right/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/>
      <diagonal/>
    </border>
  </borders>
  <cellStyleXfs count="5">
    <xf numFmtId="0" fontId="0" fillId="0" borderId="0"/>
    <xf numFmtId="0" fontId="7" fillId="2" borderId="1">
      <alignment vertical="center" wrapText="1"/>
    </xf>
    <xf numFmtId="0" fontId="3" fillId="0" borderId="2" applyNumberFormat="0" applyFill="0" applyAlignment="0" applyProtection="0"/>
    <xf numFmtId="0" fontId="4" fillId="0" borderId="0" applyNumberFormat="0" applyFill="0" applyBorder="0" applyAlignment="0" applyProtection="0"/>
    <xf numFmtId="0" fontId="8" fillId="3" borderId="3" applyNumberFormat="0" applyAlignment="0" applyProtection="0"/>
  </cellStyleXfs>
  <cellXfs count="35">
    <xf numFmtId="0" fontId="0" fillId="0" borderId="0" xfId="0" applyFont="1" applyAlignment="1">
      <alignment wrapText="1"/>
    </xf>
    <xf numFmtId="0" fontId="3" fillId="0" borderId="2" xfId="2" applyAlignment="1">
      <alignment vertical="top"/>
    </xf>
    <xf numFmtId="0" fontId="0" fillId="0" borderId="0" xfId="0" applyFont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vertical="top"/>
    </xf>
    <xf numFmtId="0" fontId="4" fillId="0" borderId="0" xfId="3" applyAlignment="1">
      <alignment horizontal="left" vertical="center" wrapText="1" indent="2"/>
    </xf>
    <xf numFmtId="0" fontId="5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2" fillId="0" borderId="0" xfId="0" applyNumberFormat="1" applyFont="1" applyBorder="1" applyAlignment="1">
      <alignment vertical="top"/>
    </xf>
    <xf numFmtId="0" fontId="3" fillId="0" borderId="2" xfId="2" applyNumberFormat="1" applyAlignment="1">
      <alignment vertical="top"/>
    </xf>
    <xf numFmtId="0" fontId="2" fillId="0" borderId="0" xfId="0" applyNumberFormat="1" applyFont="1" applyAlignment="1">
      <alignment vertical="top"/>
    </xf>
    <xf numFmtId="0" fontId="2" fillId="0" borderId="0" xfId="0" applyFont="1" applyAlignment="1"/>
    <xf numFmtId="0" fontId="0" fillId="0" borderId="0" xfId="0" applyFont="1" applyAlignment="1"/>
    <xf numFmtId="0" fontId="10" fillId="0" borderId="0" xfId="0" applyFont="1" applyAlignment="1"/>
    <xf numFmtId="0" fontId="11" fillId="0" borderId="0" xfId="0" applyFont="1" applyAlignment="1"/>
    <xf numFmtId="0" fontId="2" fillId="0" borderId="0" xfId="0" applyNumberFormat="1" applyFont="1" applyAlignment="1"/>
    <xf numFmtId="0" fontId="9" fillId="4" borderId="0" xfId="0" applyFont="1" applyFill="1" applyAlignment="1"/>
    <xf numFmtId="0" fontId="9" fillId="0" borderId="0" xfId="0" applyFont="1" applyAlignment="1"/>
    <xf numFmtId="0" fontId="0" fillId="0" borderId="0" xfId="0" applyNumberFormat="1" applyFont="1" applyAlignment="1"/>
    <xf numFmtId="0" fontId="12" fillId="0" borderId="0" xfId="0" applyFont="1" applyAlignment="1"/>
    <xf numFmtId="0" fontId="12" fillId="0" borderId="0" xfId="0" applyNumberFormat="1" applyFont="1" applyAlignment="1"/>
    <xf numFmtId="0" fontId="10" fillId="0" borderId="0" xfId="0" applyNumberFormat="1" applyFont="1" applyAlignment="1">
      <alignment vertical="top"/>
    </xf>
    <xf numFmtId="0" fontId="10" fillId="0" borderId="0" xfId="0" applyFont="1" applyAlignment="1">
      <alignment vertical="top"/>
    </xf>
    <xf numFmtId="0" fontId="3" fillId="0" borderId="2" xfId="2" applyNumberFormat="1" applyAlignment="1"/>
    <xf numFmtId="0" fontId="8" fillId="3" borderId="3" xfId="4" applyAlignment="1"/>
    <xf numFmtId="0" fontId="7" fillId="2" borderId="1" xfId="1" applyNumberFormat="1" applyBorder="1" applyAlignment="1">
      <alignment vertical="top"/>
    </xf>
    <xf numFmtId="0" fontId="1" fillId="0" borderId="0" xfId="0" applyFont="1" applyAlignment="1">
      <alignment vertical="top"/>
    </xf>
    <xf numFmtId="0" fontId="10" fillId="0" borderId="0" xfId="0" applyNumberFormat="1" applyFont="1" applyBorder="1" applyAlignment="1">
      <alignment vertical="top"/>
    </xf>
    <xf numFmtId="0" fontId="10" fillId="0" borderId="0" xfId="0" applyNumberFormat="1" applyFont="1" applyAlignment="1"/>
    <xf numFmtId="0" fontId="14" fillId="0" borderId="0" xfId="0" applyNumberFormat="1" applyFont="1" applyAlignment="1"/>
    <xf numFmtId="0" fontId="13" fillId="0" borderId="0" xfId="0" applyFont="1" applyAlignment="1"/>
    <xf numFmtId="0" fontId="13" fillId="4" borderId="0" xfId="0" applyNumberFormat="1" applyFont="1" applyFill="1" applyAlignment="1"/>
    <xf numFmtId="0" fontId="13" fillId="0" borderId="0" xfId="0" applyNumberFormat="1" applyFont="1" applyAlignment="1"/>
    <xf numFmtId="0" fontId="13" fillId="4" borderId="0" xfId="0" applyNumberFormat="1" applyFont="1" applyFill="1" applyBorder="1" applyAlignment="1"/>
    <xf numFmtId="0" fontId="0" fillId="2" borderId="4" xfId="1" applyNumberFormat="1" applyFont="1" applyBorder="1" applyAlignment="1">
      <alignment vertical="top"/>
    </xf>
  </cellXfs>
  <cellStyles count="5">
    <cellStyle name="Code" xfId="1" xr:uid="{B93AEFB8-F3F9-49FB-BF1F-F0FA07A64ED7}"/>
    <cellStyle name="Heading 1" xfId="2" builtinId="16"/>
    <cellStyle name="Hyperlink" xfId="3" builtinId="8"/>
    <cellStyle name="Normal" xfId="0" builtinId="0"/>
    <cellStyle name="Output" xfId="4" builtinId="21"/>
  </cellStyles>
  <dxfs count="37">
    <dxf>
      <font>
        <strike val="0"/>
        <outline val="0"/>
        <shadow val="0"/>
        <u val="none"/>
        <vertAlign val="baseline"/>
        <sz val="6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152400</xdr:rowOff>
        </xdr:from>
        <xdr:to>
          <xdr:col>1</xdr:col>
          <xdr:colOff>1152525</xdr:colOff>
          <xdr:row>4</xdr:row>
          <xdr:rowOff>61913</xdr:rowOff>
        </xdr:to>
        <xdr:sp macro="" textlink="">
          <xdr:nvSpPr>
            <xdr:cNvPr id="5121" name="buttonExpo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2262188</xdr:colOff>
          <xdr:row>0</xdr:row>
          <xdr:rowOff>85725</xdr:rowOff>
        </xdr:from>
        <xdr:to>
          <xdr:col>0</xdr:col>
          <xdr:colOff>3048000</xdr:colOff>
          <xdr:row>1</xdr:row>
          <xdr:rowOff>104775</xdr:rowOff>
        </xdr:to>
        <xdr:sp macro="" textlink="">
          <xdr:nvSpPr>
            <xdr:cNvPr id="7169" name="buttonExportNod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9712D2-CCDA-4E9C-B304-04B7352F99F1}" name="NodesData" displayName="NodesData" ref="A1:H499" totalsRowShown="0" headerRowDxfId="36" dataDxfId="35">
  <autoFilter ref="A1:H499" xr:uid="{5C9712D2-CCDA-4E9C-B304-04B7352F99F1}"/>
  <sortState xmlns:xlrd2="http://schemas.microsoft.com/office/spreadsheetml/2017/richdata2" ref="A2:H499">
    <sortCondition ref="A1:A499"/>
  </sortState>
  <tableColumns count="8">
    <tableColumn id="7" xr3:uid="{5088D59A-45C2-4E1D-97DB-D92C10772FC3}" name="Unambiguous Name" dataDxfId="2">
      <calculatedColumnFormula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calculatedColumnFormula>
    </tableColumn>
    <tableColumn id="3" xr3:uid="{1AC5B17D-613C-4D59-9B76-2B23701909EB}" name="Common Name" dataDxfId="34"/>
    <tableColumn id="2" xr3:uid="{90333BBB-2EEB-4564-A4DE-2C01EFC61D47}" name="Node ID" dataDxfId="33"/>
    <tableColumn id="4" xr3:uid="{6146B9E7-30B6-4E1C-8AE1-B6449F0E0DE8}" name="Class Disambiguation" dataDxfId="32"/>
    <tableColumn id="6" xr3:uid="{FD2E50A7-4489-4F3D-B755-6C2DCB54CAEE}" name="Unambiguous Name2" dataDxfId="31">
      <calculatedColumnFormula>IF(NodesData[[#This Row],[Class Disambiguation]]="",NodesData[[#This Row],[Common Name]],NodesData[[#This Row],[Common Name]]&amp;" ("&amp;NodesData[[#This Row],[Class Disambiguation]]&amp;")")</calculatedColumnFormula>
    </tableColumn>
    <tableColumn id="1" xr3:uid="{BA3F7F86-49BD-4962-BBDE-A08B6B4A2766}" name="Context Instanciation" dataDxfId="30"/>
    <tableColumn id="8" xr3:uid="{334909EF-6768-4210-A03B-B3B2782F8DF1}" name="URL" dataDxfId="29"/>
    <tableColumn id="5" xr3:uid="{C893231A-2AE1-4035-A471-BB69C36E6D4F}" name="GUID Generator" dataDxfId="28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35589B-2170-40E5-8168-E48616A8C1B9}" name="EdgesData" displayName="EdgesData" ref="A1:H65" totalsRowShown="0" headerRowDxfId="27" dataDxfId="26">
  <autoFilter ref="A1:H65" xr:uid="{5C9712D2-CCDA-4E9C-B304-04B7352F99F1}"/>
  <sortState xmlns:xlrd2="http://schemas.microsoft.com/office/spreadsheetml/2017/richdata2" ref="A2:H49">
    <sortCondition ref="C1:C49"/>
  </sortState>
  <tableColumns count="8">
    <tableColumn id="5" xr3:uid="{CE3327DB-D425-4D19-AFBC-04AB47355E47}" name="Edge ID" dataDxfId="25"/>
    <tableColumn id="1" xr3:uid="{9CA13924-CA4A-44D4-8A07-E52B10C55BA7}" name="Node A ID" dataDxfId="1">
      <calculatedColumnFormula>VLOOKUP(EdgesData[[#This Row],[Node A]],NodesData[],3,FALSE)</calculatedColumnFormula>
    </tableColumn>
    <tableColumn id="3" xr3:uid="{BAA89F4B-F6C5-4ABD-86BE-5A8853F41E60}" name="Node A" dataDxfId="24"/>
    <tableColumn id="4" xr3:uid="{D3335F2C-7AD5-4D66-8BC3-253890C0E8B7}" name="Rel" dataDxfId="23"/>
    <tableColumn id="2" xr3:uid="{8D04C2D1-8FFA-4141-8A59-A1BFEFFAB089}" name="Dir" dataDxfId="22"/>
    <tableColumn id="6" xr3:uid="{C46C88E3-4516-403D-9A39-7617A8F5E08F}" name="Node B" dataDxfId="21"/>
    <tableColumn id="8" xr3:uid="{018119E0-D793-4DE2-91A3-9B20775CD938}" name="Node B ID" dataDxfId="0">
      <calculatedColumnFormula>VLOOKUP(EdgesData[[#This Row],[Node B]],NodesData[],3,FALSE)</calculatedColumnFormula>
    </tableColumn>
    <tableColumn id="7" xr3:uid="{648409CB-F2FA-4FEE-88C7-554D58380F3E}" name="GUID Generator" dataDxfId="20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26B7AA-5C86-4768-82FC-AE97ACF663EB}" name="NodesJSON" displayName="NodesJSON" ref="A2:E500" totalsRowShown="0" headerRowDxfId="19" dataDxfId="18">
  <autoFilter ref="A2:E500" xr:uid="{5C9712D2-CCDA-4E9C-B304-04B7352F99F1}"/>
  <tableColumns count="5">
    <tableColumn id="2" xr3:uid="{7A433402-2F5D-4FF4-8541-52C3CCA58CBF}" name="label" dataDxfId="17">
      <calculatedColumnFormula>NodesData[[#This Row],[Common Name]]</calculatedColumnFormula>
    </tableColumn>
    <tableColumn id="1" xr3:uid="{9480A146-5094-4585-8E34-79B118723205}" name="group" dataDxfId="16">
      <calculatedColumnFormula>IF(NodesData[[#This Row],[Context Instanciation]]="","",NodesData[[#This Row],[Context Instanciation]])</calculatedColumnFormula>
    </tableColumn>
    <tableColumn id="5" xr3:uid="{DE7D344F-F0A4-42CA-BECA-DEC46A3C6044}" name="id" dataDxfId="15">
      <calculatedColumnFormula>NodesData[[#This Row],[Node ID]]</calculatedColumnFormula>
    </tableColumn>
    <tableColumn id="8" xr3:uid="{D32881FA-1331-4995-98E1-08014CC00B3B}" name="url" dataDxfId="14"/>
    <tableColumn id="4" xr3:uid="{C237D77B-2B8C-448A-9D3F-782001125820}" name="JSON" dataDxfId="13" dataCellStyle="Code">
      <calculatedColumnFormula array="1">IF(ROW(NodesJSON[[#This Row],[label]])&gt;ROW(NodesJSON[[#Headers],[JSON]])+1,",","") &amp;"{"&amp;twoRangesToJSON(NodesJSON[[#Headers],[label]:[url]],NodesJSON[[#This Row],[label]:[url]])&amp;"}"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DC44691-7CC8-490A-BFD1-C0BACEDD8C5B}" name="EdgesJSON" displayName="EdgesJSON" ref="A2:E65" totalsRowShown="0" headerRowDxfId="12" dataDxfId="11">
  <autoFilter ref="A2:E65" xr:uid="{2DC44691-7CC8-490A-BFD1-C0BACEDD8C5B}"/>
  <tableColumns count="5">
    <tableColumn id="6" xr3:uid="{7B6A1A21-3B7A-41BC-953A-E7E41C3DF49A}" name="id" dataDxfId="10">
      <calculatedColumnFormula>EdgesData[[#This Row],[Edge ID]]</calculatedColumnFormula>
    </tableColumn>
    <tableColumn id="2" xr3:uid="{3D9DE3B5-4740-491A-AF2C-F3365D8C031F}" name="from" dataDxfId="9">
      <calculatedColumnFormula>EdgesData[[#This Row],[Node A ID]]</calculatedColumnFormula>
    </tableColumn>
    <tableColumn id="5" xr3:uid="{17306F30-E2AC-4FAA-A3C9-6B06FA97B7CD}" name="to" dataDxfId="8">
      <calculatedColumnFormula>EdgesData[[#This Row],[Node B ID]]</calculatedColumnFormula>
    </tableColumn>
    <tableColumn id="8" xr3:uid="{B166B7F9-2FC2-4259-83C8-E55C58025CC9}" name="label" dataDxfId="7">
      <calculatedColumnFormula>EdgesData[[#This Row],[Rel]]</calculatedColumnFormula>
    </tableColumn>
    <tableColumn id="4" xr3:uid="{BC79FDF8-B819-4DED-9F3A-54E94785DD2A}" name="JSON" dataDxfId="6" dataCellStyle="Code">
      <calculatedColumnFormula array="1">IF(ROW(EdgesJSON[[#This Row],[id]])&gt;ROW(EdgesJSON[[#Headers],[JSON]])+1,",","") &amp;"{"&amp;twoRangesToJSON(EdgesJSON[[#Headers],[id]:[label]],EdgesJSON[[#This Row],[id]:[label]])&amp;"}"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DBD418-59A9-4655-9257-D5EE48A361D8}" name="Table6" displayName="Table6" ref="A4:C521" totalsRowShown="0" headerRowDxfId="5">
  <autoFilter ref="A4:C521" xr:uid="{58DBD418-59A9-4655-9257-D5EE48A361D8}"/>
  <sortState xmlns:xlrd2="http://schemas.microsoft.com/office/spreadsheetml/2017/richdata2" ref="A5:C521">
    <sortCondition ref="B4:B521"/>
  </sortState>
  <tableColumns count="3">
    <tableColumn id="1" xr3:uid="{EC26ABB8-939A-43CA-B0A2-8EC7CB3061CE}" name="Link" dataDxfId="4" dataCellStyle="Hyperlink"/>
    <tableColumn id="2" xr3:uid="{AEC70506-6840-4CDC-BAE7-A19184AA46C3}" name="Title">
      <calculatedColumnFormula>SUBSTITUTE(CLEAN(A5)," (Dictionary Entry)","")</calculatedColumnFormula>
    </tableColumn>
    <tableColumn id="3" xr3:uid="{70D7DAAF-0674-450B-B4DD-41A2117D026D}" name="URL" dataDxfId="3">
      <calculatedColumnFormula array="1">GetHyperlinkAddress(A5)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A86A3F-4484-4330-9A53-84DDA6B3CFF3}" name="Table13" displayName="Table13" ref="A4:F9" totalsRowShown="0">
  <autoFilter ref="A4:F9" xr:uid="{8BA86A3F-4484-4330-9A53-84DDA6B3CFF3}"/>
  <tableColumns count="6">
    <tableColumn id="1" xr3:uid="{EF12C93D-4FB4-41B7-A4FA-1280974091C0}" name="[TYPE]"/>
    <tableColumn id="2" xr3:uid="{438E41B3-D526-4B3C-9C51-8E1818AE2CE1}" name="directionality"/>
    <tableColumn id="3" xr3:uid="{14977927-DD8A-42C9-9A4F-6E03D691F3FF}" name="Friendly Forward Type"/>
    <tableColumn id="4" xr3:uid="{59FA715D-FE28-4FC1-AADA-0519B5A4C0B2}" name="Friendly Backward Type"/>
    <tableColumn id="5" xr3:uid="{50F9F543-CDF0-4E06-AFC4-4CE202C02357}" name="Accurate Forward Type"/>
    <tableColumn id="6" xr3:uid="{E2F332C8-FD7B-465C-A3F6-464FD716CDCB}" name="Accurate Backward Type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4CAD22A-70AF-4C14-AD19-FAC8DC4DEB5A}" name="DIRTable" displayName="DIRTable" ref="A3:A5" totalsRowShown="0">
  <autoFilter ref="A3:A5" xr:uid="{34CAD22A-70AF-4C14-AD19-FAC8DC4DEB5A}"/>
  <tableColumns count="1">
    <tableColumn id="1" xr3:uid="{4A38AA95-7235-418E-8C93-149952649B90}" name="[DIR]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-measure.atlassian.net/wiki/spaces/DIC/pages/1348862053/Credential+Stuffing" TargetMode="External"/><Relationship Id="rId299" Type="http://schemas.openxmlformats.org/officeDocument/2006/relationships/hyperlink" Target="https://open-measure.atlassian.net/wiki/spaces/DIC/pages/43581457" TargetMode="External"/><Relationship Id="rId21" Type="http://schemas.openxmlformats.org/officeDocument/2006/relationships/hyperlink" Target="https://open-measure.atlassian.net/wiki/spaces/DIC/pages/446955580" TargetMode="External"/><Relationship Id="rId63" Type="http://schemas.openxmlformats.org/officeDocument/2006/relationships/hyperlink" Target="https://open-measure.atlassian.net/wiki/spaces/DIC/pages/59441158" TargetMode="External"/><Relationship Id="rId159" Type="http://schemas.openxmlformats.org/officeDocument/2006/relationships/hyperlink" Target="https://open-measure.atlassian.net/wiki/spaces/DIC/pages/62455952" TargetMode="External"/><Relationship Id="rId324" Type="http://schemas.openxmlformats.org/officeDocument/2006/relationships/hyperlink" Target="https://open-measure.atlassian.net/wiki/spaces/DIC/pages/557057" TargetMode="External"/><Relationship Id="rId366" Type="http://schemas.openxmlformats.org/officeDocument/2006/relationships/hyperlink" Target="https://open-measure.atlassian.net/wiki/spaces/DIC/pages/138346661" TargetMode="External"/><Relationship Id="rId170" Type="http://schemas.openxmlformats.org/officeDocument/2006/relationships/hyperlink" Target="https://open-measure.atlassian.net/wiki/spaces/DIC/pages/49316293" TargetMode="External"/><Relationship Id="rId226" Type="http://schemas.openxmlformats.org/officeDocument/2006/relationships/hyperlink" Target="https://open-measure.atlassian.net/wiki/spaces/DIC/pages/82838020" TargetMode="External"/><Relationship Id="rId433" Type="http://schemas.openxmlformats.org/officeDocument/2006/relationships/hyperlink" Target="https://open-measure.atlassian.net/wiki/spaces/DIC/pages/1071317018" TargetMode="External"/><Relationship Id="rId268" Type="http://schemas.openxmlformats.org/officeDocument/2006/relationships/hyperlink" Target="https://open-measure.atlassian.net/wiki/spaces/DIC/pages/442499114" TargetMode="External"/><Relationship Id="rId475" Type="http://schemas.openxmlformats.org/officeDocument/2006/relationships/hyperlink" Target="https://open-measure.atlassian.net/wiki/spaces/DIC/pages/1417084929/Typing+Biometrics" TargetMode="External"/><Relationship Id="rId32" Type="http://schemas.openxmlformats.org/officeDocument/2006/relationships/hyperlink" Target="https://open-measure.atlassian.net/wiki/spaces/DIC/pages/1658355721/Application+Multiplexing" TargetMode="External"/><Relationship Id="rId74" Type="http://schemas.openxmlformats.org/officeDocument/2006/relationships/hyperlink" Target="https://open-measure.atlassian.net/wiki/spaces/DIC/pages/794492970" TargetMode="External"/><Relationship Id="rId128" Type="http://schemas.openxmlformats.org/officeDocument/2006/relationships/hyperlink" Target="https://open-measure.atlassian.net/wiki/spaces/DIC/pages/797900801" TargetMode="External"/><Relationship Id="rId335" Type="http://schemas.openxmlformats.org/officeDocument/2006/relationships/hyperlink" Target="https://open-measure.atlassian.net/wiki/spaces/DIC/pages/49315842" TargetMode="External"/><Relationship Id="rId377" Type="http://schemas.openxmlformats.org/officeDocument/2006/relationships/hyperlink" Target="https://open-measure.atlassian.net/wiki/spaces/DIC/pages/1442240" TargetMode="External"/><Relationship Id="rId500" Type="http://schemas.openxmlformats.org/officeDocument/2006/relationships/hyperlink" Target="https://open-measure.atlassian.net/wiki/spaces/DIC/pages/140739482" TargetMode="External"/><Relationship Id="rId5" Type="http://schemas.openxmlformats.org/officeDocument/2006/relationships/hyperlink" Target="https://open-measure.atlassian.net/wiki/spaces/DIC/pages/1034223816/Access+Continuum" TargetMode="External"/><Relationship Id="rId181" Type="http://schemas.openxmlformats.org/officeDocument/2006/relationships/hyperlink" Target="https://open-measure.atlassian.net/wiki/spaces/DIC/pages/331579618" TargetMode="External"/><Relationship Id="rId237" Type="http://schemas.openxmlformats.org/officeDocument/2006/relationships/hyperlink" Target="https://open-measure.atlassian.net/wiki/spaces/DIC/pages/59473923" TargetMode="External"/><Relationship Id="rId402" Type="http://schemas.openxmlformats.org/officeDocument/2006/relationships/hyperlink" Target="https://open-measure.atlassian.net/wiki/spaces/DIC/pages/1152483772" TargetMode="External"/><Relationship Id="rId279" Type="http://schemas.openxmlformats.org/officeDocument/2006/relationships/hyperlink" Target="https://open-measure.atlassian.net/wiki/spaces/DIC/pages/442466381" TargetMode="External"/><Relationship Id="rId444" Type="http://schemas.openxmlformats.org/officeDocument/2006/relationships/hyperlink" Target="https://open-measure.atlassian.net/wiki/spaces/DIC/pages/1181909085" TargetMode="External"/><Relationship Id="rId486" Type="http://schemas.openxmlformats.org/officeDocument/2006/relationships/hyperlink" Target="https://open-measure.atlassian.net/wiki/spaces/DIC/pages/1121878257" TargetMode="External"/><Relationship Id="rId43" Type="http://schemas.openxmlformats.org/officeDocument/2006/relationships/hyperlink" Target="https://open-measure.atlassian.net/wiki/spaces/DIC/pages/81199158" TargetMode="External"/><Relationship Id="rId139" Type="http://schemas.openxmlformats.org/officeDocument/2006/relationships/hyperlink" Target="https://open-measure.atlassian.net/wiki/spaces/DIC/pages/408977837" TargetMode="External"/><Relationship Id="rId290" Type="http://schemas.openxmlformats.org/officeDocument/2006/relationships/hyperlink" Target="https://open-measure.atlassian.net/wiki/spaces/DIC/pages/11567150" TargetMode="External"/><Relationship Id="rId304" Type="http://schemas.openxmlformats.org/officeDocument/2006/relationships/hyperlink" Target="https://open-measure.atlassian.net/wiki/spaces/DIC/pages/1474592794/Need-to-Know" TargetMode="External"/><Relationship Id="rId346" Type="http://schemas.openxmlformats.org/officeDocument/2006/relationships/hyperlink" Target="https://open-measure.atlassian.net/wiki/spaces/DIC/pages/1572966" TargetMode="External"/><Relationship Id="rId388" Type="http://schemas.openxmlformats.org/officeDocument/2006/relationships/hyperlink" Target="https://open-measure.atlassian.net/wiki/spaces/DIC/pages/67699423" TargetMode="External"/><Relationship Id="rId511" Type="http://schemas.openxmlformats.org/officeDocument/2006/relationships/hyperlink" Target="https://open-measure.atlassian.net/wiki/spaces/DIC/pages/855638141" TargetMode="External"/><Relationship Id="rId85" Type="http://schemas.openxmlformats.org/officeDocument/2006/relationships/hyperlink" Target="https://open-measure.atlassian.net/wiki/spaces/DIC/pages/442466346/CDD" TargetMode="External"/><Relationship Id="rId150" Type="http://schemas.openxmlformats.org/officeDocument/2006/relationships/hyperlink" Target="https://open-measure.atlassian.net/wiki/spaces/DIC/pages/419594251" TargetMode="External"/><Relationship Id="rId192" Type="http://schemas.openxmlformats.org/officeDocument/2006/relationships/hyperlink" Target="https://open-measure.atlassian.net/wiki/spaces/DIC/pages/1229619254" TargetMode="External"/><Relationship Id="rId206" Type="http://schemas.openxmlformats.org/officeDocument/2006/relationships/hyperlink" Target="https://open-measure.atlassian.net/wiki/spaces/DIC/pages/419758113" TargetMode="External"/><Relationship Id="rId413" Type="http://schemas.openxmlformats.org/officeDocument/2006/relationships/hyperlink" Target="https://open-measure.atlassian.net/wiki/spaces/DIC/pages/5931115" TargetMode="External"/><Relationship Id="rId248" Type="http://schemas.openxmlformats.org/officeDocument/2006/relationships/hyperlink" Target="https://open-measure.atlassian.net/wiki/spaces/DIC/pages/1451884782/Insider" TargetMode="External"/><Relationship Id="rId455" Type="http://schemas.openxmlformats.org/officeDocument/2006/relationships/hyperlink" Target="https://open-measure.atlassian.net/wiki/spaces/DIC/pages/1004961963" TargetMode="External"/><Relationship Id="rId497" Type="http://schemas.openxmlformats.org/officeDocument/2006/relationships/hyperlink" Target="https://open-measure.atlassian.net/wiki/spaces/DIC/pages/1177845999" TargetMode="External"/><Relationship Id="rId12" Type="http://schemas.openxmlformats.org/officeDocument/2006/relationships/hyperlink" Target="https://open-measure.atlassian.net/wiki/spaces/DIC/pages/1122631723" TargetMode="External"/><Relationship Id="rId108" Type="http://schemas.openxmlformats.org/officeDocument/2006/relationships/hyperlink" Target="https://open-measure.atlassian.net/wiki/spaces/DIC/pages/43581505" TargetMode="External"/><Relationship Id="rId315" Type="http://schemas.openxmlformats.org/officeDocument/2006/relationships/hyperlink" Target="https://open-measure.atlassian.net/wiki/spaces/DIC/pages/2981904" TargetMode="External"/><Relationship Id="rId357" Type="http://schemas.openxmlformats.org/officeDocument/2006/relationships/hyperlink" Target="https://open-measure.atlassian.net/wiki/spaces/DIC/pages/1130987523" TargetMode="External"/><Relationship Id="rId54" Type="http://schemas.openxmlformats.org/officeDocument/2006/relationships/hyperlink" Target="https://open-measure.atlassian.net/wiki/spaces/DIC/pages/1071251573" TargetMode="External"/><Relationship Id="rId96" Type="http://schemas.openxmlformats.org/officeDocument/2006/relationships/hyperlink" Target="https://open-measure.atlassian.net/wiki/spaces/DIC/pages/1147043959" TargetMode="External"/><Relationship Id="rId161" Type="http://schemas.openxmlformats.org/officeDocument/2006/relationships/hyperlink" Target="https://open-measure.atlassian.net/wiki/spaces/DIC/pages/1121878049" TargetMode="External"/><Relationship Id="rId217" Type="http://schemas.openxmlformats.org/officeDocument/2006/relationships/hyperlink" Target="https://open-measure.atlassian.net/wiki/spaces/DIC/pages/123896632/Identity+Establishment" TargetMode="External"/><Relationship Id="rId399" Type="http://schemas.openxmlformats.org/officeDocument/2006/relationships/hyperlink" Target="https://open-measure.atlassian.net/wiki/spaces/DIC/pages/1164902443" TargetMode="External"/><Relationship Id="rId259" Type="http://schemas.openxmlformats.org/officeDocument/2006/relationships/hyperlink" Target="https://open-measure.atlassian.net/wiki/spaces/DIC/pages/858488984" TargetMode="External"/><Relationship Id="rId424" Type="http://schemas.openxmlformats.org/officeDocument/2006/relationships/hyperlink" Target="https://open-measure.atlassian.net/wiki/spaces/DIC/pages/446955653/Self-Sovereign+Identity" TargetMode="External"/><Relationship Id="rId466" Type="http://schemas.openxmlformats.org/officeDocument/2006/relationships/hyperlink" Target="https://open-measure.atlassian.net/wiki/spaces/DIC/pages/1237582070/Tranquil" TargetMode="External"/><Relationship Id="rId23" Type="http://schemas.openxmlformats.org/officeDocument/2006/relationships/hyperlink" Target="https://open-measure.atlassian.net/wiki/spaces/DIC/pages/974454812" TargetMode="External"/><Relationship Id="rId119" Type="http://schemas.openxmlformats.org/officeDocument/2006/relationships/hyperlink" Target="https://open-measure.atlassian.net/wiki/spaces/DIC/pages/427130918" TargetMode="External"/><Relationship Id="rId270" Type="http://schemas.openxmlformats.org/officeDocument/2006/relationships/hyperlink" Target="https://open-measure.atlassian.net/wiki/spaces/DIC/pages/49250357" TargetMode="External"/><Relationship Id="rId326" Type="http://schemas.openxmlformats.org/officeDocument/2006/relationships/hyperlink" Target="https://open-measure.atlassian.net/wiki/spaces/DIC/pages/1062207530/Orphan+Account" TargetMode="External"/><Relationship Id="rId65" Type="http://schemas.openxmlformats.org/officeDocument/2006/relationships/hyperlink" Target="https://open-measure.atlassian.net/wiki/spaces/DIC/pages/43581631" TargetMode="External"/><Relationship Id="rId130" Type="http://schemas.openxmlformats.org/officeDocument/2006/relationships/hyperlink" Target="https://open-measure.atlassian.net/wiki/spaces/DIC/pages/1177845938/DAC" TargetMode="External"/><Relationship Id="rId368" Type="http://schemas.openxmlformats.org/officeDocument/2006/relationships/hyperlink" Target="https://open-measure.atlassian.net/wiki/spaces/DIC/pages/810320380" TargetMode="External"/><Relationship Id="rId172" Type="http://schemas.openxmlformats.org/officeDocument/2006/relationships/hyperlink" Target="https://open-measure.atlassian.net/wiki/spaces/DIC/pages/461275380" TargetMode="External"/><Relationship Id="rId228" Type="http://schemas.openxmlformats.org/officeDocument/2006/relationships/hyperlink" Target="https://open-measure.atlassian.net/wiki/spaces/DIC/pages/1147043904" TargetMode="External"/><Relationship Id="rId435" Type="http://schemas.openxmlformats.org/officeDocument/2006/relationships/hyperlink" Target="https://open-measure.atlassian.net/wiki/spaces/DIC/pages/1142292486" TargetMode="External"/><Relationship Id="rId477" Type="http://schemas.openxmlformats.org/officeDocument/2006/relationships/hyperlink" Target="https://open-measure.atlassian.net/wiki/spaces/DIC/pages/1027080193/Unanticipated+User" TargetMode="External"/><Relationship Id="rId281" Type="http://schemas.openxmlformats.org/officeDocument/2006/relationships/hyperlink" Target="https://open-measure.atlassian.net/wiki/spaces/DIC/pages/442400912" TargetMode="External"/><Relationship Id="rId337" Type="http://schemas.openxmlformats.org/officeDocument/2006/relationships/hyperlink" Target="https://open-measure.atlassian.net/wiki/spaces/DIC/pages/438665302" TargetMode="External"/><Relationship Id="rId502" Type="http://schemas.openxmlformats.org/officeDocument/2006/relationships/hyperlink" Target="https://open-measure.atlassian.net/wiki/spaces/DIC/pages/140673594" TargetMode="External"/><Relationship Id="rId34" Type="http://schemas.openxmlformats.org/officeDocument/2006/relationships/hyperlink" Target="https://open-measure.atlassian.net/wiki/spaces/DIC/pages/6030793/Application+Program" TargetMode="External"/><Relationship Id="rId76" Type="http://schemas.openxmlformats.org/officeDocument/2006/relationships/hyperlink" Target="https://open-measure.atlassian.net/wiki/spaces/DIC/pages/1571389777/Boundary+Control" TargetMode="External"/><Relationship Id="rId141" Type="http://schemas.openxmlformats.org/officeDocument/2006/relationships/hyperlink" Target="https://open-measure.atlassian.net/wiki/spaces/DIC/pages/43548767" TargetMode="External"/><Relationship Id="rId379" Type="http://schemas.openxmlformats.org/officeDocument/2006/relationships/hyperlink" Target="https://open-measure.atlassian.net/wiki/spaces/DIC/pages/6030426" TargetMode="External"/><Relationship Id="rId7" Type="http://schemas.openxmlformats.org/officeDocument/2006/relationships/hyperlink" Target="https://open-measure.atlassian.net/wiki/spaces/DIC/pages/822345754" TargetMode="External"/><Relationship Id="rId183" Type="http://schemas.openxmlformats.org/officeDocument/2006/relationships/hyperlink" Target="https://open-measure.atlassian.net/wiki/spaces/DIC/pages/1378091043/FinTech" TargetMode="External"/><Relationship Id="rId239" Type="http://schemas.openxmlformats.org/officeDocument/2006/relationships/hyperlink" Target="https://open-measure.atlassian.net/wiki/spaces/DIC/pages/1027342618" TargetMode="External"/><Relationship Id="rId390" Type="http://schemas.openxmlformats.org/officeDocument/2006/relationships/hyperlink" Target="https://open-measure.atlassian.net/wiki/spaces/DIC/pages/2589003" TargetMode="External"/><Relationship Id="rId404" Type="http://schemas.openxmlformats.org/officeDocument/2006/relationships/hyperlink" Target="https://open-measure.atlassian.net/wiki/spaces/DIC/pages/82903488" TargetMode="External"/><Relationship Id="rId446" Type="http://schemas.openxmlformats.org/officeDocument/2006/relationships/hyperlink" Target="https://open-measure.atlassian.net/wiki/spaces/DIC/pages/1177747756" TargetMode="External"/><Relationship Id="rId250" Type="http://schemas.openxmlformats.org/officeDocument/2006/relationships/hyperlink" Target="https://open-measure.atlassian.net/wiki/spaces/DIC/pages/1451098397/Insider+Threat" TargetMode="External"/><Relationship Id="rId292" Type="http://schemas.openxmlformats.org/officeDocument/2006/relationships/hyperlink" Target="https://open-measure.atlassian.net/wiki/spaces/DIC/pages/2588851" TargetMode="External"/><Relationship Id="rId306" Type="http://schemas.openxmlformats.org/officeDocument/2006/relationships/hyperlink" Target="https://open-measure.atlassian.net/wiki/spaces/DIC/pages/6030903" TargetMode="External"/><Relationship Id="rId488" Type="http://schemas.openxmlformats.org/officeDocument/2006/relationships/hyperlink" Target="https://open-measure.atlassian.net/wiki/spaces/DIC/pages/1428652183/Username" TargetMode="External"/><Relationship Id="rId45" Type="http://schemas.openxmlformats.org/officeDocument/2006/relationships/hyperlink" Target="https://open-measure.atlassian.net/wiki/spaces/DIC/pages/998178905" TargetMode="External"/><Relationship Id="rId87" Type="http://schemas.openxmlformats.org/officeDocument/2006/relationships/hyperlink" Target="https://open-measure.atlassian.net/wiki/spaces/DIC/pages/823459864" TargetMode="External"/><Relationship Id="rId110" Type="http://schemas.openxmlformats.org/officeDocument/2006/relationships/hyperlink" Target="https://open-measure.atlassian.net/wiki/spaces/DIC/pages/148308282" TargetMode="External"/><Relationship Id="rId348" Type="http://schemas.openxmlformats.org/officeDocument/2006/relationships/hyperlink" Target="https://open-measure.atlassian.net/wiki/spaces/DIC/pages/1323499709/Persona" TargetMode="External"/><Relationship Id="rId513" Type="http://schemas.openxmlformats.org/officeDocument/2006/relationships/hyperlink" Target="https://open-measure.atlassian.net/wiki/spaces/DIC/pages/852492409" TargetMode="External"/><Relationship Id="rId152" Type="http://schemas.openxmlformats.org/officeDocument/2006/relationships/hyperlink" Target="https://open-measure.atlassian.net/wiki/spaces/DIC/pages/206766113" TargetMode="External"/><Relationship Id="rId194" Type="http://schemas.openxmlformats.org/officeDocument/2006/relationships/hyperlink" Target="https://open-measure.atlassian.net/wiki/spaces/DIC/pages/966557699" TargetMode="External"/><Relationship Id="rId208" Type="http://schemas.openxmlformats.org/officeDocument/2006/relationships/hyperlink" Target="https://open-measure.atlassian.net/wiki/spaces/DIC/pages/1311113273/Identifier+Registry+Model" TargetMode="External"/><Relationship Id="rId415" Type="http://schemas.openxmlformats.org/officeDocument/2006/relationships/hyperlink" Target="https://open-measure.atlassian.net/wiki/spaces/DIC/pages/1142390785" TargetMode="External"/><Relationship Id="rId457" Type="http://schemas.openxmlformats.org/officeDocument/2006/relationships/hyperlink" Target="https://open-measure.atlassian.net/wiki/spaces/DIC/pages/1122631693" TargetMode="External"/><Relationship Id="rId261" Type="http://schemas.openxmlformats.org/officeDocument/2006/relationships/hyperlink" Target="https://open-measure.atlassian.net/wiki/spaces/DIC/pages/858456203" TargetMode="External"/><Relationship Id="rId499" Type="http://schemas.openxmlformats.org/officeDocument/2006/relationships/hyperlink" Target="https://open-measure.atlassian.net/wiki/spaces/DIC/pages/140673566" TargetMode="External"/><Relationship Id="rId14" Type="http://schemas.openxmlformats.org/officeDocument/2006/relationships/hyperlink" Target="https://open-measure.atlassian.net/wiki/spaces/DIC/pages/1704003" TargetMode="External"/><Relationship Id="rId35" Type="http://schemas.openxmlformats.org/officeDocument/2006/relationships/hyperlink" Target="https://open-measure.atlassian.net/wiki/spaces/DIC/pages/425197720" TargetMode="External"/><Relationship Id="rId56" Type="http://schemas.openxmlformats.org/officeDocument/2006/relationships/hyperlink" Target="https://open-measure.atlassian.net/wiki/spaces/DIC/pages/998277835" TargetMode="External"/><Relationship Id="rId77" Type="http://schemas.openxmlformats.org/officeDocument/2006/relationships/hyperlink" Target="https://open-measure.atlassian.net/wiki/spaces/DIC/pages/81101750" TargetMode="External"/><Relationship Id="rId100" Type="http://schemas.openxmlformats.org/officeDocument/2006/relationships/hyperlink" Target="https://open-measure.atlassian.net/wiki/spaces/DIC/pages/1311881" TargetMode="External"/><Relationship Id="rId282" Type="http://schemas.openxmlformats.org/officeDocument/2006/relationships/hyperlink" Target="https://open-measure.atlassian.net/wiki/spaces/DIC/pages/1452048577/Logic+Bomb" TargetMode="External"/><Relationship Id="rId317" Type="http://schemas.openxmlformats.org/officeDocument/2006/relationships/hyperlink" Target="https://open-measure.atlassian.net/wiki/spaces/DIC/pages/998244357" TargetMode="External"/><Relationship Id="rId338" Type="http://schemas.openxmlformats.org/officeDocument/2006/relationships/hyperlink" Target="https://open-measure.atlassian.net/wiki/spaces/DIC/pages/140673286" TargetMode="External"/><Relationship Id="rId359" Type="http://schemas.openxmlformats.org/officeDocument/2006/relationships/hyperlink" Target="https://open-measure.atlassian.net/wiki/spaces/DIC/pages/1094549649" TargetMode="External"/><Relationship Id="rId503" Type="http://schemas.openxmlformats.org/officeDocument/2006/relationships/hyperlink" Target="https://open-measure.atlassian.net/wiki/spaces/DIC/pages/140673653" TargetMode="External"/><Relationship Id="rId8" Type="http://schemas.openxmlformats.org/officeDocument/2006/relationships/hyperlink" Target="https://open-measure.atlassian.net/wiki/spaces/DIC/pages/67633606" TargetMode="External"/><Relationship Id="rId98" Type="http://schemas.openxmlformats.org/officeDocument/2006/relationships/hyperlink" Target="https://open-measure.atlassian.net/wiki/spaces/DIC/pages/206766142/Cloud+Service+User" TargetMode="External"/><Relationship Id="rId121" Type="http://schemas.openxmlformats.org/officeDocument/2006/relationships/hyperlink" Target="https://open-measure.atlassian.net/wiki/spaces/DIC/pages/82903984/CSP" TargetMode="External"/><Relationship Id="rId142" Type="http://schemas.openxmlformats.org/officeDocument/2006/relationships/hyperlink" Target="https://open-measure.atlassian.net/wiki/spaces/DIC/pages/782925889/DID" TargetMode="External"/><Relationship Id="rId163" Type="http://schemas.openxmlformats.org/officeDocument/2006/relationships/hyperlink" Target="https://open-measure.atlassian.net/wiki/spaces/DIC/pages/1122566465" TargetMode="External"/><Relationship Id="rId184" Type="http://schemas.openxmlformats.org/officeDocument/2006/relationships/hyperlink" Target="https://open-measure.atlassian.net/wiki/spaces/DIC/pages/438698048" TargetMode="External"/><Relationship Id="rId219" Type="http://schemas.openxmlformats.org/officeDocument/2006/relationships/hyperlink" Target="https://open-measure.atlassian.net/wiki/spaces/DIC/pages/1323597918/Identity+Guardian" TargetMode="External"/><Relationship Id="rId370" Type="http://schemas.openxmlformats.org/officeDocument/2006/relationships/hyperlink" Target="https://open-measure.atlassian.net/wiki/spaces/DIC/pages/49250316" TargetMode="External"/><Relationship Id="rId391" Type="http://schemas.openxmlformats.org/officeDocument/2006/relationships/hyperlink" Target="https://open-measure.atlassian.net/wiki/spaces/DIC/pages/11141464" TargetMode="External"/><Relationship Id="rId405" Type="http://schemas.openxmlformats.org/officeDocument/2006/relationships/hyperlink" Target="https://open-measure.atlassian.net/wiki/spaces/DIC/pages/140739068/SAM+Database" TargetMode="External"/><Relationship Id="rId426" Type="http://schemas.openxmlformats.org/officeDocument/2006/relationships/hyperlink" Target="https://open-measure.atlassian.net/wiki/spaces/DIC/pages/805142555" TargetMode="External"/><Relationship Id="rId447" Type="http://schemas.openxmlformats.org/officeDocument/2006/relationships/hyperlink" Target="https://open-measure.atlassian.net/wiki/spaces/DIC/pages/67600697" TargetMode="External"/><Relationship Id="rId230" Type="http://schemas.openxmlformats.org/officeDocument/2006/relationships/hyperlink" Target="https://open-measure.atlassian.net/wiki/spaces/DIC/pages/107708597" TargetMode="External"/><Relationship Id="rId251" Type="http://schemas.openxmlformats.org/officeDocument/2006/relationships/hyperlink" Target="https://open-measure.atlassian.net/wiki/spaces/DIC/pages/822476843" TargetMode="External"/><Relationship Id="rId468" Type="http://schemas.openxmlformats.org/officeDocument/2006/relationships/hyperlink" Target="https://open-measure.atlassian.net/wiki/spaces/DIC/pages/1181876587" TargetMode="External"/><Relationship Id="rId489" Type="http://schemas.openxmlformats.org/officeDocument/2006/relationships/hyperlink" Target="https://open-measure.atlassian.net/wiki/spaces/DIC/pages/1147043973/User+Provisioning" TargetMode="External"/><Relationship Id="rId25" Type="http://schemas.openxmlformats.org/officeDocument/2006/relationships/hyperlink" Target="https://open-measure.atlassian.net/wiki/spaces/DIC/pages/6030518" TargetMode="External"/><Relationship Id="rId46" Type="http://schemas.openxmlformats.org/officeDocument/2006/relationships/hyperlink" Target="https://open-measure.atlassian.net/wiki/spaces/DIC/pages/60882993" TargetMode="External"/><Relationship Id="rId67" Type="http://schemas.openxmlformats.org/officeDocument/2006/relationships/hyperlink" Target="https://open-measure.atlassian.net/wiki/spaces/DIC/pages/1673527501/Behavioral+Authentication" TargetMode="External"/><Relationship Id="rId272" Type="http://schemas.openxmlformats.org/officeDocument/2006/relationships/hyperlink" Target="https://open-measure.atlassian.net/wiki/spaces/DIC/pages/1181843548" TargetMode="External"/><Relationship Id="rId293" Type="http://schemas.openxmlformats.org/officeDocument/2006/relationships/hyperlink" Target="https://open-measure.atlassian.net/wiki/spaces/DIC/pages/67699227" TargetMode="External"/><Relationship Id="rId307" Type="http://schemas.openxmlformats.org/officeDocument/2006/relationships/hyperlink" Target="https://open-measure.atlassian.net/wiki/spaces/DIC/pages/858554692" TargetMode="External"/><Relationship Id="rId328" Type="http://schemas.openxmlformats.org/officeDocument/2006/relationships/hyperlink" Target="https://open-measure.atlassian.net/wiki/spaces/DIC/pages/1061650653" TargetMode="External"/><Relationship Id="rId349" Type="http://schemas.openxmlformats.org/officeDocument/2006/relationships/hyperlink" Target="https://open-measure.atlassian.net/wiki/spaces/DIC/pages/1572948" TargetMode="External"/><Relationship Id="rId514" Type="http://schemas.openxmlformats.org/officeDocument/2006/relationships/hyperlink" Target="https://open-measure.atlassian.net/wiki/spaces/DIC/pages/1122631791" TargetMode="External"/><Relationship Id="rId88" Type="http://schemas.openxmlformats.org/officeDocument/2006/relationships/hyperlink" Target="https://open-measure.atlassian.net/wiki/spaces/DIC/pages/1290076214/CIBA" TargetMode="External"/><Relationship Id="rId111" Type="http://schemas.openxmlformats.org/officeDocument/2006/relationships/hyperlink" Target="https://open-measure.atlassian.net/wiki/spaces/DIC/pages/877297665" TargetMode="External"/><Relationship Id="rId132" Type="http://schemas.openxmlformats.org/officeDocument/2006/relationships/hyperlink" Target="https://open-measure.atlassian.net/wiki/spaces/DIC/pages/998244454" TargetMode="External"/><Relationship Id="rId153" Type="http://schemas.openxmlformats.org/officeDocument/2006/relationships/hyperlink" Target="https://open-measure.atlassian.net/wiki/spaces/DIC/pages/82903896" TargetMode="External"/><Relationship Id="rId174" Type="http://schemas.openxmlformats.org/officeDocument/2006/relationships/hyperlink" Target="https://open-measure.atlassian.net/wiki/spaces/DIC/pages/1121878505" TargetMode="External"/><Relationship Id="rId195" Type="http://schemas.openxmlformats.org/officeDocument/2006/relationships/hyperlink" Target="https://open-measure.atlassian.net/wiki/spaces/DIC/pages/1177846011" TargetMode="External"/><Relationship Id="rId209" Type="http://schemas.openxmlformats.org/officeDocument/2006/relationships/hyperlink" Target="https://open-measure.atlassian.net/wiki/spaces/DIC/pages/67600948" TargetMode="External"/><Relationship Id="rId360" Type="http://schemas.openxmlformats.org/officeDocument/2006/relationships/hyperlink" Target="https://open-measure.atlassian.net/wiki/spaces/DIC/pages/5933189" TargetMode="External"/><Relationship Id="rId381" Type="http://schemas.openxmlformats.org/officeDocument/2006/relationships/hyperlink" Target="https://open-measure.atlassian.net/wiki/spaces/DIC/pages/11567198" TargetMode="External"/><Relationship Id="rId416" Type="http://schemas.openxmlformats.org/officeDocument/2006/relationships/hyperlink" Target="https://open-measure.atlassian.net/wiki/spaces/DIC/pages/1230831633" TargetMode="External"/><Relationship Id="rId220" Type="http://schemas.openxmlformats.org/officeDocument/2006/relationships/hyperlink" Target="https://open-measure.atlassian.net/wiki/spaces/DIC/pages/67600436" TargetMode="External"/><Relationship Id="rId241" Type="http://schemas.openxmlformats.org/officeDocument/2006/relationships/hyperlink" Target="https://open-measure.atlassian.net/wiki/spaces/DIC/pages/1004896257" TargetMode="External"/><Relationship Id="rId437" Type="http://schemas.openxmlformats.org/officeDocument/2006/relationships/hyperlink" Target="https://open-measure.atlassian.net/wiki/spaces/DIC/pages/1027342899" TargetMode="External"/><Relationship Id="rId458" Type="http://schemas.openxmlformats.org/officeDocument/2006/relationships/hyperlink" Target="https://open-measure.atlassian.net/wiki/spaces/DIC/pages/148373634" TargetMode="External"/><Relationship Id="rId479" Type="http://schemas.openxmlformats.org/officeDocument/2006/relationships/hyperlink" Target="https://open-measure.atlassian.net/wiki/spaces/DIC/pages/446955662/Unique+ID+Number" TargetMode="External"/><Relationship Id="rId15" Type="http://schemas.openxmlformats.org/officeDocument/2006/relationships/hyperlink" Target="https://open-measure.atlassian.net/wiki/spaces/DIC/pages/1600684040/Access+Token" TargetMode="External"/><Relationship Id="rId36" Type="http://schemas.openxmlformats.org/officeDocument/2006/relationships/hyperlink" Target="https://open-measure.atlassian.net/wiki/spaces/DIC/pages/1703994/ARM" TargetMode="External"/><Relationship Id="rId57" Type="http://schemas.openxmlformats.org/officeDocument/2006/relationships/hyperlink" Target="https://open-measure.atlassian.net/wiki/spaces/DIC/pages/998245125" TargetMode="External"/><Relationship Id="rId262" Type="http://schemas.openxmlformats.org/officeDocument/2006/relationships/hyperlink" Target="https://open-measure.atlassian.net/wiki/spaces/DIC/pages/852492379" TargetMode="External"/><Relationship Id="rId283" Type="http://schemas.openxmlformats.org/officeDocument/2006/relationships/hyperlink" Target="https://open-measure.atlassian.net/wiki/spaces/DIC/pages/1440153606/Login" TargetMode="External"/><Relationship Id="rId318" Type="http://schemas.openxmlformats.org/officeDocument/2006/relationships/hyperlink" Target="https://open-measure.atlassian.net/wiki/spaces/DIC/pages/1142358051" TargetMode="External"/><Relationship Id="rId339" Type="http://schemas.openxmlformats.org/officeDocument/2006/relationships/hyperlink" Target="https://open-measure.atlassian.net/wiki/spaces/DIC/pages/974323764" TargetMode="External"/><Relationship Id="rId490" Type="http://schemas.openxmlformats.org/officeDocument/2006/relationships/hyperlink" Target="https://open-measure.atlassian.net/wiki/spaces/DIC/pages/1311146179/Verifiable+Claim" TargetMode="External"/><Relationship Id="rId504" Type="http://schemas.openxmlformats.org/officeDocument/2006/relationships/hyperlink" Target="https://open-measure.atlassian.net/wiki/spaces/DIC/pages/140771901" TargetMode="External"/><Relationship Id="rId78" Type="http://schemas.openxmlformats.org/officeDocument/2006/relationships/hyperlink" Target="https://open-measure.atlassian.net/wiki/spaces/DIC/pages/1348763687/Brute+Force+Attack" TargetMode="External"/><Relationship Id="rId99" Type="http://schemas.openxmlformats.org/officeDocument/2006/relationships/hyperlink" Target="https://open-measure.atlassian.net/wiki/spaces/DIC/pages/148308199" TargetMode="External"/><Relationship Id="rId101" Type="http://schemas.openxmlformats.org/officeDocument/2006/relationships/hyperlink" Target="https://open-measure.atlassian.net/wiki/spaces/DIC/pages/998277125" TargetMode="External"/><Relationship Id="rId122" Type="http://schemas.openxmlformats.org/officeDocument/2006/relationships/hyperlink" Target="https://open-measure.atlassian.net/wiki/spaces/DIC/pages/206667867/CSU" TargetMode="External"/><Relationship Id="rId143" Type="http://schemas.openxmlformats.org/officeDocument/2006/relationships/hyperlink" Target="https://open-measure.atlassian.net/wiki/spaces/DIC/pages/458326308" TargetMode="External"/><Relationship Id="rId164" Type="http://schemas.openxmlformats.org/officeDocument/2006/relationships/hyperlink" Target="https://open-measure.atlassian.net/wiki/spaces/DIC/pages/1121910973" TargetMode="External"/><Relationship Id="rId185" Type="http://schemas.openxmlformats.org/officeDocument/2006/relationships/hyperlink" Target="https://open-measure.atlassian.net/wiki/spaces/DIC/pages/1223884872" TargetMode="External"/><Relationship Id="rId350" Type="http://schemas.openxmlformats.org/officeDocument/2006/relationships/hyperlink" Target="https://open-measure.atlassian.net/wiki/spaces/DIC/pages/140771596" TargetMode="External"/><Relationship Id="rId371" Type="http://schemas.openxmlformats.org/officeDocument/2006/relationships/hyperlink" Target="https://open-measure.atlassian.net/wiki/spaces/DIC/pages/858521752" TargetMode="External"/><Relationship Id="rId406" Type="http://schemas.openxmlformats.org/officeDocument/2006/relationships/hyperlink" Target="https://open-measure.atlassian.net/wiki/spaces/DIC/pages/1428586729/SAML" TargetMode="External"/><Relationship Id="rId9" Type="http://schemas.openxmlformats.org/officeDocument/2006/relationships/hyperlink" Target="https://open-measure.atlassian.net/wiki/spaces/DIC/pages/67699193" TargetMode="External"/><Relationship Id="rId210" Type="http://schemas.openxmlformats.org/officeDocument/2006/relationships/hyperlink" Target="https://open-measure.atlassian.net/wiki/spaces/DIC/pages/1600618542/Identity+Aggregation" TargetMode="External"/><Relationship Id="rId392" Type="http://schemas.openxmlformats.org/officeDocument/2006/relationships/hyperlink" Target="https://open-measure.atlassian.net/wiki/spaces/DIC/pages/2588994" TargetMode="External"/><Relationship Id="rId427" Type="http://schemas.openxmlformats.org/officeDocument/2006/relationships/hyperlink" Target="https://open-measure.atlassian.net/wiki/spaces/DIC/pages/1313538143/Service-Centric+Identity+Management+System" TargetMode="External"/><Relationship Id="rId448" Type="http://schemas.openxmlformats.org/officeDocument/2006/relationships/hyperlink" Target="https://open-measure.atlassian.net/wiki/spaces/DIC/pages/2981920" TargetMode="External"/><Relationship Id="rId469" Type="http://schemas.openxmlformats.org/officeDocument/2006/relationships/hyperlink" Target="https://open-measure.atlassian.net/wiki/spaces/DIC/pages/1037926452/Trust" TargetMode="External"/><Relationship Id="rId26" Type="http://schemas.openxmlformats.org/officeDocument/2006/relationships/hyperlink" Target="https://open-measure.atlassian.net/wiki/spaces/DIC/pages/81101665/AP" TargetMode="External"/><Relationship Id="rId231" Type="http://schemas.openxmlformats.org/officeDocument/2006/relationships/hyperlink" Target="https://open-measure.atlassian.net/wiki/spaces/DIC/pages/46104660" TargetMode="External"/><Relationship Id="rId252" Type="http://schemas.openxmlformats.org/officeDocument/2006/relationships/hyperlink" Target="https://open-measure.atlassian.net/wiki/spaces/DIC/pages/998277141" TargetMode="External"/><Relationship Id="rId273" Type="http://schemas.openxmlformats.org/officeDocument/2006/relationships/hyperlink" Target="https://open-measure.atlassian.net/wiki/spaces/DIC/pages/1177780225" TargetMode="External"/><Relationship Id="rId294" Type="http://schemas.openxmlformats.org/officeDocument/2006/relationships/hyperlink" Target="https://open-measure.atlassian.net/wiki/spaces/DIC/pages/427163759" TargetMode="External"/><Relationship Id="rId308" Type="http://schemas.openxmlformats.org/officeDocument/2006/relationships/hyperlink" Target="https://open-measure.atlassian.net/wiki/spaces/DIC/pages/1237483723" TargetMode="External"/><Relationship Id="rId329" Type="http://schemas.openxmlformats.org/officeDocument/2006/relationships/hyperlink" Target="https://open-measure.atlassian.net/wiki/spaces/DIC/pages/1061748925" TargetMode="External"/><Relationship Id="rId480" Type="http://schemas.openxmlformats.org/officeDocument/2006/relationships/hyperlink" Target="https://open-measure.atlassian.net/wiki/spaces/DIC/pages/2523320/Unit+of+measurement" TargetMode="External"/><Relationship Id="rId515" Type="http://schemas.openxmlformats.org/officeDocument/2006/relationships/hyperlink" Target="https://open-measure.atlassian.net/wiki/spaces/DIC/pages/234356891/Zero-Trust+Access" TargetMode="External"/><Relationship Id="rId47" Type="http://schemas.openxmlformats.org/officeDocument/2006/relationships/hyperlink" Target="https://open-measure.atlassian.net/wiki/spaces/DIC/pages/1137573936/Authorization+Externalization" TargetMode="External"/><Relationship Id="rId68" Type="http://schemas.openxmlformats.org/officeDocument/2006/relationships/hyperlink" Target="https://open-measure.atlassian.net/wiki/spaces/DIC/pages/49250383" TargetMode="External"/><Relationship Id="rId89" Type="http://schemas.openxmlformats.org/officeDocument/2006/relationships/hyperlink" Target="https://open-measure.atlassian.net/wiki/spaces/DIC/pages/1323499650/Claim" TargetMode="External"/><Relationship Id="rId112" Type="http://schemas.openxmlformats.org/officeDocument/2006/relationships/hyperlink" Target="https://open-measure.atlassian.net/wiki/spaces/DIC/pages/82838169" TargetMode="External"/><Relationship Id="rId133" Type="http://schemas.openxmlformats.org/officeDocument/2006/relationships/hyperlink" Target="https://open-measure.atlassian.net/wiki/spaces/DIC/pages/1132331029" TargetMode="External"/><Relationship Id="rId154" Type="http://schemas.openxmlformats.org/officeDocument/2006/relationships/hyperlink" Target="https://open-measure.atlassian.net/wiki/spaces/DIC/pages/61964467" TargetMode="External"/><Relationship Id="rId175" Type="http://schemas.openxmlformats.org/officeDocument/2006/relationships/hyperlink" Target="https://open-measure.atlassian.net/wiki/spaces/DIC/pages/1267433567/Fake+Digital+Identity" TargetMode="External"/><Relationship Id="rId340" Type="http://schemas.openxmlformats.org/officeDocument/2006/relationships/hyperlink" Target="https://open-measure.atlassian.net/wiki/spaces/DIC/pages/1428652394/Password+Guessing+Attack" TargetMode="External"/><Relationship Id="rId361" Type="http://schemas.openxmlformats.org/officeDocument/2006/relationships/hyperlink" Target="https://open-measure.atlassian.net/wiki/spaces/DIC/pages/67699046" TargetMode="External"/><Relationship Id="rId196" Type="http://schemas.openxmlformats.org/officeDocument/2006/relationships/hyperlink" Target="https://open-measure.atlassian.net/wiki/spaces/DIC/pages/998047786" TargetMode="External"/><Relationship Id="rId200" Type="http://schemas.openxmlformats.org/officeDocument/2006/relationships/hyperlink" Target="https://open-measure.atlassian.net/wiki/spaces/DIC/pages/1037926677" TargetMode="External"/><Relationship Id="rId382" Type="http://schemas.openxmlformats.org/officeDocument/2006/relationships/hyperlink" Target="https://open-measure.atlassian.net/wiki/spaces/DIC/pages/408944908" TargetMode="External"/><Relationship Id="rId417" Type="http://schemas.openxmlformats.org/officeDocument/2006/relationships/hyperlink" Target="https://open-measure.atlassian.net/wiki/spaces/DIC/pages/1231159321" TargetMode="External"/><Relationship Id="rId438" Type="http://schemas.openxmlformats.org/officeDocument/2006/relationships/hyperlink" Target="https://open-measure.atlassian.net/wiki/spaces/DIC/pages/1311113221/SSI" TargetMode="External"/><Relationship Id="rId459" Type="http://schemas.openxmlformats.org/officeDocument/2006/relationships/hyperlink" Target="https://open-measure.atlassian.net/wiki/spaces/DIC/pages/148340845" TargetMode="External"/><Relationship Id="rId16" Type="http://schemas.openxmlformats.org/officeDocument/2006/relationships/hyperlink" Target="https://open-measure.atlassian.net/wiki/spaces/DIC/pages/461308120/Account" TargetMode="External"/><Relationship Id="rId221" Type="http://schemas.openxmlformats.org/officeDocument/2006/relationships/hyperlink" Target="https://open-measure.atlassian.net/wiki/spaces/DIC/pages/1122533530" TargetMode="External"/><Relationship Id="rId242" Type="http://schemas.openxmlformats.org/officeDocument/2006/relationships/hyperlink" Target="https://open-measure.atlassian.net/wiki/spaces/DIC/pages/1177714758" TargetMode="External"/><Relationship Id="rId263" Type="http://schemas.openxmlformats.org/officeDocument/2006/relationships/hyperlink" Target="https://open-measure.atlassian.net/wiki/spaces/DIC/pages/858521641" TargetMode="External"/><Relationship Id="rId284" Type="http://schemas.openxmlformats.org/officeDocument/2006/relationships/hyperlink" Target="https://open-measure.atlassian.net/wiki/spaces/DIC/pages/1428685307/Login+ID" TargetMode="External"/><Relationship Id="rId319" Type="http://schemas.openxmlformats.org/officeDocument/2006/relationships/hyperlink" Target="https://open-measure.atlassian.net/wiki/spaces/DIC/pages/1142259761" TargetMode="External"/><Relationship Id="rId470" Type="http://schemas.openxmlformats.org/officeDocument/2006/relationships/hyperlink" Target="https://open-measure.atlassian.net/wiki/spaces/DIC/pages/1027048185" TargetMode="External"/><Relationship Id="rId491" Type="http://schemas.openxmlformats.org/officeDocument/2006/relationships/hyperlink" Target="https://open-measure.atlassian.net/wiki/spaces/DIC/pages/446988510/Verification" TargetMode="External"/><Relationship Id="rId505" Type="http://schemas.openxmlformats.org/officeDocument/2006/relationships/hyperlink" Target="https://open-measure.atlassian.net/wiki/spaces/DIC/pages/140772047" TargetMode="External"/><Relationship Id="rId37" Type="http://schemas.openxmlformats.org/officeDocument/2006/relationships/hyperlink" Target="https://open-measure.atlassian.net/wiki/spaces/DIC/pages/1094516867" TargetMode="External"/><Relationship Id="rId58" Type="http://schemas.openxmlformats.org/officeDocument/2006/relationships/hyperlink" Target="https://open-measure.atlassian.net/wiki/spaces/DIC/pages/5899336" TargetMode="External"/><Relationship Id="rId79" Type="http://schemas.openxmlformats.org/officeDocument/2006/relationships/hyperlink" Target="https://open-measure.atlassian.net/wiki/spaces/DIC/pages/140772106" TargetMode="External"/><Relationship Id="rId102" Type="http://schemas.openxmlformats.org/officeDocument/2006/relationships/hyperlink" Target="https://open-measure.atlassian.net/wiki/spaces/DIC/pages/43516102" TargetMode="External"/><Relationship Id="rId123" Type="http://schemas.openxmlformats.org/officeDocument/2006/relationships/hyperlink" Target="https://open-measure.atlassian.net/wiki/spaces/DIC/pages/414482448" TargetMode="External"/><Relationship Id="rId144" Type="http://schemas.openxmlformats.org/officeDocument/2006/relationships/hyperlink" Target="https://open-measure.atlassian.net/wiki/spaces/DIC/pages/419561482/Digital+Identification+System" TargetMode="External"/><Relationship Id="rId330" Type="http://schemas.openxmlformats.org/officeDocument/2006/relationships/hyperlink" Target="https://open-measure.atlassian.net/wiki/spaces/DIC/pages/1061749016" TargetMode="External"/><Relationship Id="rId90" Type="http://schemas.openxmlformats.org/officeDocument/2006/relationships/hyperlink" Target="https://open-measure.atlassian.net/wiki/spaces/DIC/pages/848363630" TargetMode="External"/><Relationship Id="rId165" Type="http://schemas.openxmlformats.org/officeDocument/2006/relationships/hyperlink" Target="https://open-measure.atlassian.net/wiki/spaces/DIC/pages/1122631800" TargetMode="External"/><Relationship Id="rId186" Type="http://schemas.openxmlformats.org/officeDocument/2006/relationships/hyperlink" Target="https://open-measure.atlassian.net/wiki/spaces/DIC/pages/1173585921" TargetMode="External"/><Relationship Id="rId351" Type="http://schemas.openxmlformats.org/officeDocument/2006/relationships/hyperlink" Target="https://open-measure.atlassian.net/wiki/spaces/DIC/pages/67568272" TargetMode="External"/><Relationship Id="rId372" Type="http://schemas.openxmlformats.org/officeDocument/2006/relationships/hyperlink" Target="https://open-measure.atlassian.net/wiki/spaces/DIC/pages/446955521" TargetMode="External"/><Relationship Id="rId393" Type="http://schemas.openxmlformats.org/officeDocument/2006/relationships/hyperlink" Target="https://open-measure.atlassian.net/wiki/spaces/DIC/pages/67698769" TargetMode="External"/><Relationship Id="rId407" Type="http://schemas.openxmlformats.org/officeDocument/2006/relationships/hyperlink" Target="https://open-measure.atlassian.net/wiki/spaces/DIC/pages/5899940" TargetMode="External"/><Relationship Id="rId428" Type="http://schemas.openxmlformats.org/officeDocument/2006/relationships/hyperlink" Target="https://open-measure.atlassian.net/wiki/spaces/DIC/pages/881197061" TargetMode="External"/><Relationship Id="rId449" Type="http://schemas.openxmlformats.org/officeDocument/2006/relationships/hyperlink" Target="https://open-measure.atlassian.net/wiki/spaces/DIC/pages/1477869640/Supply+Chain+Attack" TargetMode="External"/><Relationship Id="rId211" Type="http://schemas.openxmlformats.org/officeDocument/2006/relationships/hyperlink" Target="https://open-measure.atlassian.net/wiki/spaces/DIC/pages/1458176007/Identity+and+Access+Governance" TargetMode="External"/><Relationship Id="rId232" Type="http://schemas.openxmlformats.org/officeDocument/2006/relationships/hyperlink" Target="https://open-measure.atlassian.net/wiki/spaces/DIC/pages/974323719" TargetMode="External"/><Relationship Id="rId253" Type="http://schemas.openxmlformats.org/officeDocument/2006/relationships/hyperlink" Target="https://open-measure.atlassian.net/wiki/spaces/DIC/pages/1311417" TargetMode="External"/><Relationship Id="rId274" Type="http://schemas.openxmlformats.org/officeDocument/2006/relationships/hyperlink" Target="https://open-measure.atlassian.net/wiki/spaces/DIC/pages/49250375" TargetMode="External"/><Relationship Id="rId295" Type="http://schemas.openxmlformats.org/officeDocument/2006/relationships/hyperlink" Target="https://open-measure.atlassian.net/wiki/spaces/DIC/pages/834044288" TargetMode="External"/><Relationship Id="rId309" Type="http://schemas.openxmlformats.org/officeDocument/2006/relationships/hyperlink" Target="https://open-measure.atlassian.net/wiki/spaces/DIC/pages/1323336029/Numerical+Identity" TargetMode="External"/><Relationship Id="rId460" Type="http://schemas.openxmlformats.org/officeDocument/2006/relationships/hyperlink" Target="https://open-measure.atlassian.net/wiki/spaces/DIC/pages/140706175" TargetMode="External"/><Relationship Id="rId481" Type="http://schemas.openxmlformats.org/officeDocument/2006/relationships/hyperlink" Target="https://open-measure.atlassian.net/wiki/spaces/DIC/pages/1477902414/Unprivileged+Insider" TargetMode="External"/><Relationship Id="rId516" Type="http://schemas.openxmlformats.org/officeDocument/2006/relationships/hyperlink" Target="https://open-measure.atlassian.net/wiki/spaces/DIC/pages/782893195/Zombie+Account" TargetMode="External"/><Relationship Id="rId27" Type="http://schemas.openxmlformats.org/officeDocument/2006/relationships/hyperlink" Target="https://open-measure.atlassian.net/wiki/spaces/DIC/pages/848625750" TargetMode="External"/><Relationship Id="rId48" Type="http://schemas.openxmlformats.org/officeDocument/2006/relationships/hyperlink" Target="https://open-measure.atlassian.net/wiki/spaces/DIC/pages/1311472" TargetMode="External"/><Relationship Id="rId69" Type="http://schemas.openxmlformats.org/officeDocument/2006/relationships/hyperlink" Target="https://open-measure.atlassian.net/wiki/spaces/DIC/pages/1237549087/Bell-LaPadula+Model" TargetMode="External"/><Relationship Id="rId113" Type="http://schemas.openxmlformats.org/officeDocument/2006/relationships/hyperlink" Target="https://open-measure.atlassian.net/wiki/spaces/DIC/pages/138346642" TargetMode="External"/><Relationship Id="rId134" Type="http://schemas.openxmlformats.org/officeDocument/2006/relationships/hyperlink" Target="https://open-measure.atlassian.net/wiki/spaces/DIC/pages/508330028" TargetMode="External"/><Relationship Id="rId320" Type="http://schemas.openxmlformats.org/officeDocument/2006/relationships/hyperlink" Target="https://open-measure.atlassian.net/wiki/spaces/DIC/pages/3211353" TargetMode="External"/><Relationship Id="rId80" Type="http://schemas.openxmlformats.org/officeDocument/2006/relationships/hyperlink" Target="https://open-measure.atlassian.net/wiki/spaces/DIC/pages/1228079170/BZR" TargetMode="External"/><Relationship Id="rId155" Type="http://schemas.openxmlformats.org/officeDocument/2006/relationships/hyperlink" Target="https://open-measure.atlassian.net/wiki/spaces/DIC/pages/148340918" TargetMode="External"/><Relationship Id="rId176" Type="http://schemas.openxmlformats.org/officeDocument/2006/relationships/hyperlink" Target="https://open-measure.atlassian.net/wiki/spaces/DIC/pages/1290141697/FAPI" TargetMode="External"/><Relationship Id="rId197" Type="http://schemas.openxmlformats.org/officeDocument/2006/relationships/hyperlink" Target="https://open-measure.atlassian.net/wiki/spaces/DIC/pages/998277156" TargetMode="External"/><Relationship Id="rId341" Type="http://schemas.openxmlformats.org/officeDocument/2006/relationships/hyperlink" Target="https://open-measure.atlassian.net/wiki/spaces/DIC/pages/1677164566/Passwordless+Authentication" TargetMode="External"/><Relationship Id="rId362" Type="http://schemas.openxmlformats.org/officeDocument/2006/relationships/hyperlink" Target="https://open-measure.atlassian.net/wiki/spaces/DIC/pages/1323434264/Private+Key+Loss" TargetMode="External"/><Relationship Id="rId383" Type="http://schemas.openxmlformats.org/officeDocument/2006/relationships/hyperlink" Target="https://open-measure.atlassian.net/wiki/spaces/DIC/pages/873201665" TargetMode="External"/><Relationship Id="rId418" Type="http://schemas.openxmlformats.org/officeDocument/2006/relationships/hyperlink" Target="https://open-measure.atlassian.net/wiki/spaces/DIC/pages/140673497" TargetMode="External"/><Relationship Id="rId439" Type="http://schemas.openxmlformats.org/officeDocument/2006/relationships/hyperlink" Target="https://open-measure.atlassian.net/wiki/spaces/DIC/pages/75956237" TargetMode="External"/><Relationship Id="rId201" Type="http://schemas.openxmlformats.org/officeDocument/2006/relationships/hyperlink" Target="https://open-measure.atlassian.net/wiki/spaces/DIC/pages/82838735" TargetMode="External"/><Relationship Id="rId222" Type="http://schemas.openxmlformats.org/officeDocument/2006/relationships/hyperlink" Target="https://open-measure.atlassian.net/wiki/spaces/DIC/pages/1146847286" TargetMode="External"/><Relationship Id="rId243" Type="http://schemas.openxmlformats.org/officeDocument/2006/relationships/hyperlink" Target="https://open-measure.atlassian.net/wiki/spaces/DIC/pages/998113409" TargetMode="External"/><Relationship Id="rId264" Type="http://schemas.openxmlformats.org/officeDocument/2006/relationships/hyperlink" Target="https://open-measure.atlassian.net/wiki/spaces/DIC/pages/852492338" TargetMode="External"/><Relationship Id="rId285" Type="http://schemas.openxmlformats.org/officeDocument/2006/relationships/hyperlink" Target="https://open-measure.atlassian.net/wiki/spaces/DIC/pages/1428685365/Login+Name" TargetMode="External"/><Relationship Id="rId450" Type="http://schemas.openxmlformats.org/officeDocument/2006/relationships/hyperlink" Target="https://open-measure.atlassian.net/wiki/spaces/DIC/pages/1254588545/Sybil+Attack" TargetMode="External"/><Relationship Id="rId471" Type="http://schemas.openxmlformats.org/officeDocument/2006/relationships/hyperlink" Target="https://open-measure.atlassian.net/wiki/spaces/DIC/pages/1027048128" TargetMode="External"/><Relationship Id="rId506" Type="http://schemas.openxmlformats.org/officeDocument/2006/relationships/hyperlink" Target="https://open-measure.atlassian.net/wiki/spaces/DIC/pages/140739277" TargetMode="External"/><Relationship Id="rId17" Type="http://schemas.openxmlformats.org/officeDocument/2006/relationships/hyperlink" Target="https://open-measure.atlassian.net/wiki/spaces/DIC/pages/425623718" TargetMode="External"/><Relationship Id="rId38" Type="http://schemas.openxmlformats.org/officeDocument/2006/relationships/hyperlink" Target="https://open-measure.atlassian.net/wiki/spaces/DIC/pages/1323368851/Attestation" TargetMode="External"/><Relationship Id="rId59" Type="http://schemas.openxmlformats.org/officeDocument/2006/relationships/hyperlink" Target="https://open-measure.atlassian.net/wiki/spaces/DIC/pages/5899322" TargetMode="External"/><Relationship Id="rId103" Type="http://schemas.openxmlformats.org/officeDocument/2006/relationships/hyperlink" Target="https://open-measure.atlassian.net/wiki/spaces/DIC/pages/1442363" TargetMode="External"/><Relationship Id="rId124" Type="http://schemas.openxmlformats.org/officeDocument/2006/relationships/hyperlink" Target="https://open-measure.atlassian.net/wiki/spaces/DIC/pages/414548006" TargetMode="External"/><Relationship Id="rId310" Type="http://schemas.openxmlformats.org/officeDocument/2006/relationships/hyperlink" Target="https://open-measure.atlassian.net/wiki/spaces/DIC/pages/148308170" TargetMode="External"/><Relationship Id="rId492" Type="http://schemas.openxmlformats.org/officeDocument/2006/relationships/hyperlink" Target="https://open-measure.atlassian.net/wiki/spaces/DIC/pages/834044330" TargetMode="External"/><Relationship Id="rId70" Type="http://schemas.openxmlformats.org/officeDocument/2006/relationships/hyperlink" Target="https://open-measure.atlassian.net/wiki/spaces/DIC/pages/1015823" TargetMode="External"/><Relationship Id="rId91" Type="http://schemas.openxmlformats.org/officeDocument/2006/relationships/hyperlink" Target="https://open-measure.atlassian.net/wiki/spaces/DIC/pages/1309605928/Claim+Registry+Model" TargetMode="External"/><Relationship Id="rId145" Type="http://schemas.openxmlformats.org/officeDocument/2006/relationships/hyperlink" Target="https://open-measure.atlassian.net/wiki/spaces/DIC/pages/419528705/Digital+Identity" TargetMode="External"/><Relationship Id="rId166" Type="http://schemas.openxmlformats.org/officeDocument/2006/relationships/hyperlink" Target="https://open-measure.atlassian.net/wiki/spaces/DIC/pages/123830932" TargetMode="External"/><Relationship Id="rId187" Type="http://schemas.openxmlformats.org/officeDocument/2006/relationships/hyperlink" Target="https://open-measure.atlassian.net/wiki/spaces/DIC/pages/158794590" TargetMode="External"/><Relationship Id="rId331" Type="http://schemas.openxmlformats.org/officeDocument/2006/relationships/hyperlink" Target="https://open-measure.atlassian.net/wiki/spaces/DIC/pages/1063845889" TargetMode="External"/><Relationship Id="rId352" Type="http://schemas.openxmlformats.org/officeDocument/2006/relationships/hyperlink" Target="https://open-measure.atlassian.net/wiki/spaces/DIC/pages/1104904334" TargetMode="External"/><Relationship Id="rId373" Type="http://schemas.openxmlformats.org/officeDocument/2006/relationships/hyperlink" Target="https://open-measure.atlassian.net/wiki/spaces/DIC/pages/61964289" TargetMode="External"/><Relationship Id="rId394" Type="http://schemas.openxmlformats.org/officeDocument/2006/relationships/hyperlink" Target="https://open-measure.atlassian.net/wiki/spaces/DIC/pages/425623561" TargetMode="External"/><Relationship Id="rId408" Type="http://schemas.openxmlformats.org/officeDocument/2006/relationships/hyperlink" Target="https://open-measure.atlassian.net/wiki/spaces/DIC/pages/206307343" TargetMode="External"/><Relationship Id="rId429" Type="http://schemas.openxmlformats.org/officeDocument/2006/relationships/hyperlink" Target="https://open-measure.atlassian.net/wiki/spaces/DIC/pages/78741548" TargetMode="External"/><Relationship Id="rId1" Type="http://schemas.openxmlformats.org/officeDocument/2006/relationships/hyperlink" Target="https://open-measure.atlassian.net/wiki/spaces/DIC/pages/805175450/4-Eyes+Principle" TargetMode="External"/><Relationship Id="rId212" Type="http://schemas.openxmlformats.org/officeDocument/2006/relationships/hyperlink" Target="https://open-measure.atlassian.net/wiki/spaces/DIC/pages/1409143/Identity+and+Access+Management" TargetMode="External"/><Relationship Id="rId233" Type="http://schemas.openxmlformats.org/officeDocument/2006/relationships/hyperlink" Target="https://open-measure.atlassian.net/wiki/spaces/DIC/pages/1311218" TargetMode="External"/><Relationship Id="rId254" Type="http://schemas.openxmlformats.org/officeDocument/2006/relationships/hyperlink" Target="https://open-measure.atlassian.net/wiki/spaces/DIC/pages/442466314" TargetMode="External"/><Relationship Id="rId440" Type="http://schemas.openxmlformats.org/officeDocument/2006/relationships/hyperlink" Target="https://open-measure.atlassian.net/wiki/spaces/DIC/pages/998244645" TargetMode="External"/><Relationship Id="rId28" Type="http://schemas.openxmlformats.org/officeDocument/2006/relationships/hyperlink" Target="https://open-measure.atlassian.net/wiki/spaces/DIC/pages/5965602/Application" TargetMode="External"/><Relationship Id="rId49" Type="http://schemas.openxmlformats.org/officeDocument/2006/relationships/hyperlink" Target="https://open-measure.atlassian.net/wiki/spaces/DIC/pages/998277774" TargetMode="External"/><Relationship Id="rId114" Type="http://schemas.openxmlformats.org/officeDocument/2006/relationships/hyperlink" Target="https://open-measure.atlassian.net/wiki/spaces/DIC/pages/67633343/Credential" TargetMode="External"/><Relationship Id="rId275" Type="http://schemas.openxmlformats.org/officeDocument/2006/relationships/hyperlink" Target="https://open-measure.atlassian.net/wiki/spaces/DIC/pages/1006698533" TargetMode="External"/><Relationship Id="rId296" Type="http://schemas.openxmlformats.org/officeDocument/2006/relationships/hyperlink" Target="https://open-measure.atlassian.net/wiki/spaces/DIC/pages/1311226" TargetMode="External"/><Relationship Id="rId300" Type="http://schemas.openxmlformats.org/officeDocument/2006/relationships/hyperlink" Target="https://open-measure.atlassian.net/wiki/spaces/DIC/pages/75890760" TargetMode="External"/><Relationship Id="rId461" Type="http://schemas.openxmlformats.org/officeDocument/2006/relationships/hyperlink" Target="https://open-measure.atlassian.net/wiki/spaces/DIC/pages/158794291" TargetMode="External"/><Relationship Id="rId482" Type="http://schemas.openxmlformats.org/officeDocument/2006/relationships/hyperlink" Target="https://open-measure.atlassian.net/wiki/spaces/DIC/pages/82839586/User" TargetMode="External"/><Relationship Id="rId517" Type="http://schemas.openxmlformats.org/officeDocument/2006/relationships/hyperlink" Target="https://open-measure.atlassian.net/wiki/spaces/DIC/pages/234389671/ZTA" TargetMode="External"/><Relationship Id="rId60" Type="http://schemas.openxmlformats.org/officeDocument/2006/relationships/hyperlink" Target="https://open-measure.atlassian.net/wiki/spaces/DIC/pages/5932067" TargetMode="External"/><Relationship Id="rId81" Type="http://schemas.openxmlformats.org/officeDocument/2006/relationships/hyperlink" Target="https://open-measure.atlassian.net/wiki/spaces/DIC/pages/1254588417/Cached+Credential" TargetMode="External"/><Relationship Id="rId135" Type="http://schemas.openxmlformats.org/officeDocument/2006/relationships/hyperlink" Target="https://open-measure.atlassian.net/wiki/spaces/DIC/pages/1027048097" TargetMode="External"/><Relationship Id="rId156" Type="http://schemas.openxmlformats.org/officeDocument/2006/relationships/hyperlink" Target="https://open-measure.atlassian.net/wiki/spaces/DIC/pages/5965976" TargetMode="External"/><Relationship Id="rId177" Type="http://schemas.openxmlformats.org/officeDocument/2006/relationships/hyperlink" Target="https://open-measure.atlassian.net/wiki/spaces/DIC/pages/331579598" TargetMode="External"/><Relationship Id="rId198" Type="http://schemas.openxmlformats.org/officeDocument/2006/relationships/hyperlink" Target="https://open-measure.atlassian.net/wiki/spaces/DIC/pages/1572865/IAG" TargetMode="External"/><Relationship Id="rId321" Type="http://schemas.openxmlformats.org/officeDocument/2006/relationships/hyperlink" Target="https://open-measure.atlassian.net/wiki/spaces/DIC/pages/148439181" TargetMode="External"/><Relationship Id="rId342" Type="http://schemas.openxmlformats.org/officeDocument/2006/relationships/hyperlink" Target="https://open-measure.atlassian.net/wiki/spaces/DIC/pages/1027048058" TargetMode="External"/><Relationship Id="rId363" Type="http://schemas.openxmlformats.org/officeDocument/2006/relationships/hyperlink" Target="https://open-measure.atlassian.net/wiki/spaces/DIC/pages/67568310" TargetMode="External"/><Relationship Id="rId384" Type="http://schemas.openxmlformats.org/officeDocument/2006/relationships/hyperlink" Target="https://open-measure.atlassian.net/wiki/spaces/DIC/pages/107840129" TargetMode="External"/><Relationship Id="rId419" Type="http://schemas.openxmlformats.org/officeDocument/2006/relationships/hyperlink" Target="https://open-measure.atlassian.net/wiki/spaces/DIC/pages/1428619445/Security+Assertion+Markup+Language" TargetMode="External"/><Relationship Id="rId202" Type="http://schemas.openxmlformats.org/officeDocument/2006/relationships/hyperlink" Target="https://open-measure.atlassian.net/wiki/spaces/DIC/pages/234487971" TargetMode="External"/><Relationship Id="rId223" Type="http://schemas.openxmlformats.org/officeDocument/2006/relationships/hyperlink" Target="https://open-measure.atlassian.net/wiki/spaces/DIC/pages/1323434004/Identity+Portability" TargetMode="External"/><Relationship Id="rId244" Type="http://schemas.openxmlformats.org/officeDocument/2006/relationships/hyperlink" Target="https://open-measure.atlassian.net/wiki/spaces/DIC/pages/438698009/Information+Security+Domain" TargetMode="External"/><Relationship Id="rId430" Type="http://schemas.openxmlformats.org/officeDocument/2006/relationships/hyperlink" Target="https://open-measure.atlassian.net/wiki/spaces/DIC/pages/75956255" TargetMode="External"/><Relationship Id="rId18" Type="http://schemas.openxmlformats.org/officeDocument/2006/relationships/hyperlink" Target="https://open-measure.atlassian.net/wiki/spaces/DIC/pages/67699360" TargetMode="External"/><Relationship Id="rId39" Type="http://schemas.openxmlformats.org/officeDocument/2006/relationships/hyperlink" Target="https://open-measure.atlassian.net/wiki/spaces/DIC/pages/409174161" TargetMode="External"/><Relationship Id="rId265" Type="http://schemas.openxmlformats.org/officeDocument/2006/relationships/hyperlink" Target="https://open-measure.atlassian.net/wiki/spaces/DIC/pages/140706011" TargetMode="External"/><Relationship Id="rId286" Type="http://schemas.openxmlformats.org/officeDocument/2006/relationships/hyperlink" Target="https://open-measure.atlassian.net/wiki/spaces/DIC/pages/5900142" TargetMode="External"/><Relationship Id="rId451" Type="http://schemas.openxmlformats.org/officeDocument/2006/relationships/hyperlink" Target="https://open-measure.atlassian.net/wiki/spaces/DIC/pages/794296433" TargetMode="External"/><Relationship Id="rId472" Type="http://schemas.openxmlformats.org/officeDocument/2006/relationships/hyperlink" Target="https://open-measure.atlassian.net/wiki/spaces/DIC/pages/1027048209" TargetMode="External"/><Relationship Id="rId493" Type="http://schemas.openxmlformats.org/officeDocument/2006/relationships/hyperlink" Target="https://open-measure.atlassian.net/wiki/spaces/DIC/pages/236748839" TargetMode="External"/><Relationship Id="rId507" Type="http://schemas.openxmlformats.org/officeDocument/2006/relationships/hyperlink" Target="https://open-measure.atlassian.net/wiki/spaces/DIC/pages/140673818" TargetMode="External"/><Relationship Id="rId50" Type="http://schemas.openxmlformats.org/officeDocument/2006/relationships/hyperlink" Target="https://open-measure.atlassian.net/wiki/spaces/DIC/pages/998245198" TargetMode="External"/><Relationship Id="rId104" Type="http://schemas.openxmlformats.org/officeDocument/2006/relationships/hyperlink" Target="https://open-measure.atlassian.net/wiki/spaces/DIC/pages/461307985" TargetMode="External"/><Relationship Id="rId125" Type="http://schemas.openxmlformats.org/officeDocument/2006/relationships/hyperlink" Target="https://open-measure.atlassian.net/wiki/spaces/DIC/pages/138444875" TargetMode="External"/><Relationship Id="rId146" Type="http://schemas.openxmlformats.org/officeDocument/2006/relationships/hyperlink" Target="https://open-measure.atlassian.net/wiki/spaces/DIC/pages/1270153304/Digital+Identity+Authenticity" TargetMode="External"/><Relationship Id="rId167" Type="http://schemas.openxmlformats.org/officeDocument/2006/relationships/hyperlink" Target="https://open-measure.atlassian.net/wiki/spaces/DIC/pages/75956266" TargetMode="External"/><Relationship Id="rId188" Type="http://schemas.openxmlformats.org/officeDocument/2006/relationships/hyperlink" Target="https://open-measure.atlassian.net/wiki/spaces/DIC/pages/1226833964" TargetMode="External"/><Relationship Id="rId311" Type="http://schemas.openxmlformats.org/officeDocument/2006/relationships/hyperlink" Target="https://open-measure.atlassian.net/wiki/spaces/DIC/pages/5965213" TargetMode="External"/><Relationship Id="rId332" Type="http://schemas.openxmlformats.org/officeDocument/2006/relationships/hyperlink" Target="https://open-measure.atlassian.net/wiki/spaces/DIC/pages/1061650689" TargetMode="External"/><Relationship Id="rId353" Type="http://schemas.openxmlformats.org/officeDocument/2006/relationships/hyperlink" Target="https://open-measure.atlassian.net/wiki/spaces/DIC/pages/1132331103" TargetMode="External"/><Relationship Id="rId374" Type="http://schemas.openxmlformats.org/officeDocument/2006/relationships/hyperlink" Target="https://open-measure.atlassian.net/wiki/spaces/DIC/pages/1677164768/QR+Code+Authentication" TargetMode="External"/><Relationship Id="rId395" Type="http://schemas.openxmlformats.org/officeDocument/2006/relationships/hyperlink" Target="https://open-measure.atlassian.net/wiki/spaces/DIC/pages/795836567" TargetMode="External"/><Relationship Id="rId409" Type="http://schemas.openxmlformats.org/officeDocument/2006/relationships/hyperlink" Target="https://open-measure.atlassian.net/wiki/spaces/DIC/pages/206372879" TargetMode="External"/><Relationship Id="rId71" Type="http://schemas.openxmlformats.org/officeDocument/2006/relationships/hyperlink" Target="https://open-measure.atlassian.net/wiki/spaces/DIC/pages/409174210" TargetMode="External"/><Relationship Id="rId92" Type="http://schemas.openxmlformats.org/officeDocument/2006/relationships/hyperlink" Target="https://open-measure.atlassian.net/wiki/spaces/DIC/pages/140771387" TargetMode="External"/><Relationship Id="rId213" Type="http://schemas.openxmlformats.org/officeDocument/2006/relationships/hyperlink" Target="https://open-measure.atlassian.net/wiki/spaces/DIC/pages/1152516217" TargetMode="External"/><Relationship Id="rId234" Type="http://schemas.openxmlformats.org/officeDocument/2006/relationships/hyperlink" Target="https://open-measure.atlassian.net/wiki/spaces/DIC/pages/49250393" TargetMode="External"/><Relationship Id="rId420" Type="http://schemas.openxmlformats.org/officeDocument/2006/relationships/hyperlink" Target="https://open-measure.atlassian.net/wiki/spaces/DIC/pages/1177747653" TargetMode="External"/><Relationship Id="rId2" Type="http://schemas.openxmlformats.org/officeDocument/2006/relationships/hyperlink" Target="https://open-measure.atlassian.net/wiki/spaces/DIC/pages/5932924/Absolute+Scale" TargetMode="External"/><Relationship Id="rId29" Type="http://schemas.openxmlformats.org/officeDocument/2006/relationships/hyperlink" Target="https://open-measure.atlassian.net/wiki/spaces/DIC/pages/274236090" TargetMode="External"/><Relationship Id="rId255" Type="http://schemas.openxmlformats.org/officeDocument/2006/relationships/hyperlink" Target="https://open-measure.atlassian.net/wiki/spaces/DIC/pages/11567191" TargetMode="External"/><Relationship Id="rId276" Type="http://schemas.openxmlformats.org/officeDocument/2006/relationships/hyperlink" Target="https://open-measure.atlassian.net/wiki/spaces/DIC/pages/442466361" TargetMode="External"/><Relationship Id="rId297" Type="http://schemas.openxmlformats.org/officeDocument/2006/relationships/hyperlink" Target="https://open-measure.atlassian.net/wiki/spaces/DIC/pages/67633632" TargetMode="External"/><Relationship Id="rId441" Type="http://schemas.openxmlformats.org/officeDocument/2006/relationships/hyperlink" Target="https://open-measure.atlassian.net/wiki/spaces/DIC/pages/1311763" TargetMode="External"/><Relationship Id="rId462" Type="http://schemas.openxmlformats.org/officeDocument/2006/relationships/hyperlink" Target="https://open-measure.atlassian.net/wiki/spaces/DIC/pages/1061617735" TargetMode="External"/><Relationship Id="rId483" Type="http://schemas.openxmlformats.org/officeDocument/2006/relationships/hyperlink" Target="https://open-measure.atlassian.net/wiki/spaces/DIC/pages/1428587273/User+Account" TargetMode="External"/><Relationship Id="rId518" Type="http://schemas.openxmlformats.org/officeDocument/2006/relationships/printerSettings" Target="../printerSettings/printerSettings6.bin"/><Relationship Id="rId40" Type="http://schemas.openxmlformats.org/officeDocument/2006/relationships/hyperlink" Target="https://open-measure.atlassian.net/wiki/spaces/DIC/pages/81101655" TargetMode="External"/><Relationship Id="rId115" Type="http://schemas.openxmlformats.org/officeDocument/2006/relationships/hyperlink" Target="https://open-measure.atlassian.net/wiki/spaces/DIC/pages/1254719498/Credential+Harvesting" TargetMode="External"/><Relationship Id="rId136" Type="http://schemas.openxmlformats.org/officeDocument/2006/relationships/hyperlink" Target="https://open-measure.atlassian.net/wiki/spaces/DIC/pages/998179040" TargetMode="External"/><Relationship Id="rId157" Type="http://schemas.openxmlformats.org/officeDocument/2006/relationships/hyperlink" Target="https://open-measure.atlassian.net/wiki/spaces/DIC/pages/1031209232" TargetMode="External"/><Relationship Id="rId178" Type="http://schemas.openxmlformats.org/officeDocument/2006/relationships/hyperlink" Target="https://open-measure.atlassian.net/wiki/spaces/DIC/pages/1152483703" TargetMode="External"/><Relationship Id="rId301" Type="http://schemas.openxmlformats.org/officeDocument/2006/relationships/hyperlink" Target="https://open-measure.atlassian.net/wiki/spaces/DIC/pages/1031241799" TargetMode="External"/><Relationship Id="rId322" Type="http://schemas.openxmlformats.org/officeDocument/2006/relationships/hyperlink" Target="https://open-measure.atlassian.net/wiki/spaces/DIC/pages/5932838" TargetMode="External"/><Relationship Id="rId343" Type="http://schemas.openxmlformats.org/officeDocument/2006/relationships/hyperlink" Target="https://open-measure.atlassian.net/wiki/spaces/DIC/pages/1348730921/Password+Spraying+Attack" TargetMode="External"/><Relationship Id="rId364" Type="http://schemas.openxmlformats.org/officeDocument/2006/relationships/hyperlink" Target="https://open-measure.atlassian.net/wiki/spaces/DIC/pages/814449037/Privilege+Abuse" TargetMode="External"/><Relationship Id="rId61" Type="http://schemas.openxmlformats.org/officeDocument/2006/relationships/hyperlink" Target="https://open-measure.atlassian.net/wiki/spaces/DIC/pages/5899351" TargetMode="External"/><Relationship Id="rId82" Type="http://schemas.openxmlformats.org/officeDocument/2006/relationships/hyperlink" Target="https://open-measure.atlassian.net/wiki/spaces/DIC/pages/823394314" TargetMode="External"/><Relationship Id="rId199" Type="http://schemas.openxmlformats.org/officeDocument/2006/relationships/hyperlink" Target="https://open-measure.atlassian.net/wiki/spaces/DIC/pages/1081356/IAM" TargetMode="External"/><Relationship Id="rId203" Type="http://schemas.openxmlformats.org/officeDocument/2006/relationships/hyperlink" Target="https://open-measure.atlassian.net/wiki/spaces/DIC/pages/1149468857" TargetMode="External"/><Relationship Id="rId385" Type="http://schemas.openxmlformats.org/officeDocument/2006/relationships/hyperlink" Target="https://open-measure.atlassian.net/wiki/spaces/DIC/pages/123962234" TargetMode="External"/><Relationship Id="rId19" Type="http://schemas.openxmlformats.org/officeDocument/2006/relationships/hyperlink" Target="https://open-measure.atlassian.net/wiki/spaces/DIC/pages/1146847331" TargetMode="External"/><Relationship Id="rId224" Type="http://schemas.openxmlformats.org/officeDocument/2006/relationships/hyperlink" Target="https://open-measure.atlassian.net/wiki/spaces/DIC/pages/858522094" TargetMode="External"/><Relationship Id="rId245" Type="http://schemas.openxmlformats.org/officeDocument/2006/relationships/hyperlink" Target="https://open-measure.atlassian.net/wiki/spaces/DIC/pages/1031241830/Information+System" TargetMode="External"/><Relationship Id="rId266" Type="http://schemas.openxmlformats.org/officeDocument/2006/relationships/hyperlink" Target="https://open-measure.atlassian.net/wiki/spaces/DIC/pages/425623701" TargetMode="External"/><Relationship Id="rId287" Type="http://schemas.openxmlformats.org/officeDocument/2006/relationships/hyperlink" Target="https://open-measure.atlassian.net/wiki/spaces/DIC/pages/5899544" TargetMode="External"/><Relationship Id="rId410" Type="http://schemas.openxmlformats.org/officeDocument/2006/relationships/hyperlink" Target="https://open-measure.atlassian.net/wiki/spaces/DIC/pages/206307350" TargetMode="External"/><Relationship Id="rId431" Type="http://schemas.openxmlformats.org/officeDocument/2006/relationships/hyperlink" Target="https://open-measure.atlassian.net/wiki/spaces/DIC/pages/1600684200/Social+Authentication" TargetMode="External"/><Relationship Id="rId452" Type="http://schemas.openxmlformats.org/officeDocument/2006/relationships/hyperlink" Target="https://open-measure.atlassian.net/wiki/spaces/DIC/pages/5965562/System" TargetMode="External"/><Relationship Id="rId473" Type="http://schemas.openxmlformats.org/officeDocument/2006/relationships/hyperlink" Target="https://open-measure.atlassian.net/wiki/spaces/DIC/pages/1031242345" TargetMode="External"/><Relationship Id="rId494" Type="http://schemas.openxmlformats.org/officeDocument/2006/relationships/hyperlink" Target="https://open-measure.atlassian.net/wiki/spaces/DIC/pages/542146561" TargetMode="External"/><Relationship Id="rId508" Type="http://schemas.openxmlformats.org/officeDocument/2006/relationships/hyperlink" Target="https://open-measure.atlassian.net/wiki/spaces/DIC/pages/140772011" TargetMode="External"/><Relationship Id="rId30" Type="http://schemas.openxmlformats.org/officeDocument/2006/relationships/hyperlink" Target="https://open-measure.atlassian.net/wiki/spaces/DIC/pages/834044036" TargetMode="External"/><Relationship Id="rId105" Type="http://schemas.openxmlformats.org/officeDocument/2006/relationships/hyperlink" Target="https://open-measure.atlassian.net/wiki/spaces/DIC/pages/3244066" TargetMode="External"/><Relationship Id="rId126" Type="http://schemas.openxmlformats.org/officeDocument/2006/relationships/hyperlink" Target="https://open-measure.atlassian.net/wiki/spaces/DIC/pages/409010717" TargetMode="External"/><Relationship Id="rId147" Type="http://schemas.openxmlformats.org/officeDocument/2006/relationships/hyperlink" Target="https://open-measure.atlassian.net/wiki/spaces/DIC/pages/796983391" TargetMode="External"/><Relationship Id="rId168" Type="http://schemas.openxmlformats.org/officeDocument/2006/relationships/hyperlink" Target="https://open-measure.atlassian.net/wiki/spaces/DIC/pages/17301568" TargetMode="External"/><Relationship Id="rId312" Type="http://schemas.openxmlformats.org/officeDocument/2006/relationships/hyperlink" Target="https://open-measure.atlassian.net/wiki/spaces/DIC/pages/446825168" TargetMode="External"/><Relationship Id="rId333" Type="http://schemas.openxmlformats.org/officeDocument/2006/relationships/hyperlink" Target="https://open-measure.atlassian.net/wiki/spaces/DIC/pages/1061748885" TargetMode="External"/><Relationship Id="rId354" Type="http://schemas.openxmlformats.org/officeDocument/2006/relationships/hyperlink" Target="https://open-measure.atlassian.net/wiki/spaces/DIC/pages/1132331086" TargetMode="External"/><Relationship Id="rId51" Type="http://schemas.openxmlformats.org/officeDocument/2006/relationships/hyperlink" Target="https://open-measure.atlassian.net/wiki/spaces/DIC/pages/998277876" TargetMode="External"/><Relationship Id="rId72" Type="http://schemas.openxmlformats.org/officeDocument/2006/relationships/hyperlink" Target="https://open-measure.atlassian.net/wiki/spaces/DIC/pages/409010581" TargetMode="External"/><Relationship Id="rId93" Type="http://schemas.openxmlformats.org/officeDocument/2006/relationships/hyperlink" Target="https://open-measure.atlassian.net/wiki/spaces/DIC/pages/1290076229/Client+Initiated+Backchannel+Authentication" TargetMode="External"/><Relationship Id="rId189" Type="http://schemas.openxmlformats.org/officeDocument/2006/relationships/hyperlink" Target="https://open-measure.atlassian.net/wiki/spaces/DIC/pages/419561522/Foundational+Identification+System" TargetMode="External"/><Relationship Id="rId375" Type="http://schemas.openxmlformats.org/officeDocument/2006/relationships/hyperlink" Target="https://open-measure.atlassian.net/wiki/spaces/DIC/pages/140706128" TargetMode="External"/><Relationship Id="rId396" Type="http://schemas.openxmlformats.org/officeDocument/2006/relationships/hyperlink" Target="https://open-measure.atlassian.net/wiki/spaces/DIC/pages/86442069" TargetMode="External"/><Relationship Id="rId3" Type="http://schemas.openxmlformats.org/officeDocument/2006/relationships/hyperlink" Target="https://open-measure.atlassian.net/wiki/spaces/DIC/pages/123962347/Access" TargetMode="External"/><Relationship Id="rId214" Type="http://schemas.openxmlformats.org/officeDocument/2006/relationships/hyperlink" Target="https://open-measure.atlassian.net/wiki/spaces/DIC/pages/1600749655/Identity+Assurance" TargetMode="External"/><Relationship Id="rId235" Type="http://schemas.openxmlformats.org/officeDocument/2006/relationships/hyperlink" Target="https://open-measure.atlassian.net/wiki/spaces/DIC/pages/43515956" TargetMode="External"/><Relationship Id="rId256" Type="http://schemas.openxmlformats.org/officeDocument/2006/relationships/hyperlink" Target="https://open-measure.atlassian.net/wiki/spaces/DIC/pages/1152483625" TargetMode="External"/><Relationship Id="rId277" Type="http://schemas.openxmlformats.org/officeDocument/2006/relationships/hyperlink" Target="https://open-measure.atlassian.net/wiki/spaces/DIC/pages/1104936974" TargetMode="External"/><Relationship Id="rId298" Type="http://schemas.openxmlformats.org/officeDocument/2006/relationships/hyperlink" Target="https://open-measure.atlassian.net/wiki/spaces/DIC/pages/148439237" TargetMode="External"/><Relationship Id="rId400" Type="http://schemas.openxmlformats.org/officeDocument/2006/relationships/hyperlink" Target="https://open-measure.atlassian.net/wiki/spaces/DIC/pages/1164869655" TargetMode="External"/><Relationship Id="rId421" Type="http://schemas.openxmlformats.org/officeDocument/2006/relationships/hyperlink" Target="https://open-measure.atlassian.net/wiki/spaces/DIC/pages/1181843719" TargetMode="External"/><Relationship Id="rId442" Type="http://schemas.openxmlformats.org/officeDocument/2006/relationships/hyperlink" Target="https://open-measure.atlassian.net/wiki/spaces/DIC/pages/663257097/Step-Up+Authentication" TargetMode="External"/><Relationship Id="rId463" Type="http://schemas.openxmlformats.org/officeDocument/2006/relationships/hyperlink" Target="https://open-measure.atlassian.net/wiki/spaces/DIC/pages/158728598" TargetMode="External"/><Relationship Id="rId484" Type="http://schemas.openxmlformats.org/officeDocument/2006/relationships/hyperlink" Target="https://open-measure.atlassian.net/wiki/spaces/DIC/pages/1323597878/User-Centric+Identity+Management+System" TargetMode="External"/><Relationship Id="rId519" Type="http://schemas.openxmlformats.org/officeDocument/2006/relationships/table" Target="../tables/table5.xml"/><Relationship Id="rId116" Type="http://schemas.openxmlformats.org/officeDocument/2006/relationships/hyperlink" Target="https://open-measure.atlassian.net/wiki/spaces/DIC/pages/82870977" TargetMode="External"/><Relationship Id="rId137" Type="http://schemas.openxmlformats.org/officeDocument/2006/relationships/hyperlink" Target="https://open-measure.atlassian.net/wiki/spaces/DIC/pages/1031242134" TargetMode="External"/><Relationship Id="rId158" Type="http://schemas.openxmlformats.org/officeDocument/2006/relationships/hyperlink" Target="https://open-measure.atlassian.net/wiki/spaces/DIC/pages/206766092" TargetMode="External"/><Relationship Id="rId302" Type="http://schemas.openxmlformats.org/officeDocument/2006/relationships/hyperlink" Target="https://open-measure.atlassian.net/wiki/spaces/DIC/pages/1600684160/Multiple+Accounts" TargetMode="External"/><Relationship Id="rId323" Type="http://schemas.openxmlformats.org/officeDocument/2006/relationships/hyperlink" Target="https://open-measure.atlassian.net/wiki/spaces/DIC/pages/1311403" TargetMode="External"/><Relationship Id="rId344" Type="http://schemas.openxmlformats.org/officeDocument/2006/relationships/hyperlink" Target="https://open-measure.atlassian.net/wiki/spaces/DIC/pages/1409753" TargetMode="External"/><Relationship Id="rId20" Type="http://schemas.openxmlformats.org/officeDocument/2006/relationships/hyperlink" Target="https://open-measure.atlassian.net/wiki/spaces/DIC/pages/1079050286/Account+Takeover" TargetMode="External"/><Relationship Id="rId41" Type="http://schemas.openxmlformats.org/officeDocument/2006/relationships/hyperlink" Target="https://open-measure.atlassian.net/wiki/spaces/DIC/pages/966492169" TargetMode="External"/><Relationship Id="rId62" Type="http://schemas.openxmlformats.org/officeDocument/2006/relationships/hyperlink" Target="https://open-measure.atlassian.net/wiki/spaces/DIC/pages/5965008" TargetMode="External"/><Relationship Id="rId83" Type="http://schemas.openxmlformats.org/officeDocument/2006/relationships/hyperlink" Target="https://open-measure.atlassian.net/wiki/spaces/DIC/pages/11567293" TargetMode="External"/><Relationship Id="rId179" Type="http://schemas.openxmlformats.org/officeDocument/2006/relationships/hyperlink" Target="https://open-measure.atlassian.net/wiki/spaces/DIC/pages/75890786" TargetMode="External"/><Relationship Id="rId365" Type="http://schemas.openxmlformats.org/officeDocument/2006/relationships/hyperlink" Target="https://open-measure.atlassian.net/wiki/spaces/DIC/pages/473890861" TargetMode="External"/><Relationship Id="rId386" Type="http://schemas.openxmlformats.org/officeDocument/2006/relationships/hyperlink" Target="https://open-measure.atlassian.net/wiki/spaces/DIC/pages/82870985" TargetMode="External"/><Relationship Id="rId190" Type="http://schemas.openxmlformats.org/officeDocument/2006/relationships/hyperlink" Target="https://open-measure.atlassian.net/wiki/spaces/DIC/pages/148340978" TargetMode="External"/><Relationship Id="rId204" Type="http://schemas.openxmlformats.org/officeDocument/2006/relationships/hyperlink" Target="https://open-measure.atlassian.net/wiki/spaces/DIC/pages/149356545" TargetMode="External"/><Relationship Id="rId225" Type="http://schemas.openxmlformats.org/officeDocument/2006/relationships/hyperlink" Target="https://open-measure.atlassian.net/wiki/spaces/DIC/pages/810254353" TargetMode="External"/><Relationship Id="rId246" Type="http://schemas.openxmlformats.org/officeDocument/2006/relationships/hyperlink" Target="https://open-measure.atlassian.net/wiki/spaces/DIC/pages/49250305" TargetMode="External"/><Relationship Id="rId267" Type="http://schemas.openxmlformats.org/officeDocument/2006/relationships/hyperlink" Target="https://open-measure.atlassian.net/wiki/spaces/DIC/pages/427163745" TargetMode="External"/><Relationship Id="rId288" Type="http://schemas.openxmlformats.org/officeDocument/2006/relationships/hyperlink" Target="https://open-measure.atlassian.net/wiki/spaces/DIC/pages/1310994" TargetMode="External"/><Relationship Id="rId411" Type="http://schemas.openxmlformats.org/officeDocument/2006/relationships/hyperlink" Target="https://open-measure.atlassian.net/wiki/spaces/DIC/pages/206307373" TargetMode="External"/><Relationship Id="rId432" Type="http://schemas.openxmlformats.org/officeDocument/2006/relationships/hyperlink" Target="https://open-measure.atlassian.net/wiki/spaces/DIC/pages/1270055026/Social+Honeypot" TargetMode="External"/><Relationship Id="rId453" Type="http://schemas.openxmlformats.org/officeDocument/2006/relationships/hyperlink" Target="https://open-measure.atlassian.net/wiki/spaces/DIC/pages/446824644/System+Boundaries" TargetMode="External"/><Relationship Id="rId474" Type="http://schemas.openxmlformats.org/officeDocument/2006/relationships/hyperlink" Target="https://open-measure.atlassian.net/wiki/spaces/DIC/pages/140705998" TargetMode="External"/><Relationship Id="rId509" Type="http://schemas.openxmlformats.org/officeDocument/2006/relationships/hyperlink" Target="https://open-measure.atlassian.net/wiki/spaces/DIC/pages/140706624" TargetMode="External"/><Relationship Id="rId106" Type="http://schemas.openxmlformats.org/officeDocument/2006/relationships/hyperlink" Target="https://open-measure.atlassian.net/wiki/spaces/DIC/pages/140738810" TargetMode="External"/><Relationship Id="rId127" Type="http://schemas.openxmlformats.org/officeDocument/2006/relationships/hyperlink" Target="https://open-measure.atlassian.net/wiki/spaces/DIC/pages/408944928" TargetMode="External"/><Relationship Id="rId313" Type="http://schemas.openxmlformats.org/officeDocument/2006/relationships/hyperlink" Target="https://open-measure.atlassian.net/wiki/spaces/DIC/pages/67568133" TargetMode="External"/><Relationship Id="rId495" Type="http://schemas.openxmlformats.org/officeDocument/2006/relationships/hyperlink" Target="https://open-measure.atlassian.net/wiki/spaces/DIC/pages/234389605" TargetMode="External"/><Relationship Id="rId10" Type="http://schemas.openxmlformats.org/officeDocument/2006/relationships/hyperlink" Target="https://open-measure.atlassian.net/wiki/spaces/DIC/pages/67633597" TargetMode="External"/><Relationship Id="rId31" Type="http://schemas.openxmlformats.org/officeDocument/2006/relationships/hyperlink" Target="https://open-measure.atlassian.net/wiki/spaces/DIC/pages/1122631854" TargetMode="External"/><Relationship Id="rId52" Type="http://schemas.openxmlformats.org/officeDocument/2006/relationships/hyperlink" Target="https://open-measure.atlassian.net/wiki/spaces/DIC/pages/998277805" TargetMode="External"/><Relationship Id="rId73" Type="http://schemas.openxmlformats.org/officeDocument/2006/relationships/hyperlink" Target="https://open-measure.atlassian.net/wiki/spaces/DIC/pages/1031209441" TargetMode="External"/><Relationship Id="rId94" Type="http://schemas.openxmlformats.org/officeDocument/2006/relationships/hyperlink" Target="https://open-measure.atlassian.net/wiki/spaces/DIC/pages/1152516136" TargetMode="External"/><Relationship Id="rId148" Type="http://schemas.openxmlformats.org/officeDocument/2006/relationships/hyperlink" Target="https://open-measure.atlassian.net/wiki/spaces/DIC/pages/1181876315" TargetMode="External"/><Relationship Id="rId169" Type="http://schemas.openxmlformats.org/officeDocument/2006/relationships/hyperlink" Target="https://open-measure.atlassian.net/wiki/spaces/DIC/pages/1104904275" TargetMode="External"/><Relationship Id="rId334" Type="http://schemas.openxmlformats.org/officeDocument/2006/relationships/hyperlink" Target="https://open-measure.atlassian.net/wiki/spaces/DIC/pages/49283090" TargetMode="External"/><Relationship Id="rId355" Type="http://schemas.openxmlformats.org/officeDocument/2006/relationships/hyperlink" Target="https://open-measure.atlassian.net/wiki/spaces/DIC/pages/1122631903" TargetMode="External"/><Relationship Id="rId376" Type="http://schemas.openxmlformats.org/officeDocument/2006/relationships/hyperlink" Target="https://open-measure.atlassian.net/wiki/spaces/DIC/pages/1323598109/Qualitative+Identity" TargetMode="External"/><Relationship Id="rId397" Type="http://schemas.openxmlformats.org/officeDocument/2006/relationships/hyperlink" Target="https://open-measure.atlassian.net/wiki/spaces/DIC/pages/1122566198" TargetMode="External"/><Relationship Id="rId4" Type="http://schemas.openxmlformats.org/officeDocument/2006/relationships/hyperlink" Target="https://open-measure.atlassian.net/wiki/spaces/DIC/pages/1121878227" TargetMode="External"/><Relationship Id="rId180" Type="http://schemas.openxmlformats.org/officeDocument/2006/relationships/hyperlink" Target="https://open-measure.atlassian.net/wiki/spaces/DIC/pages/763035693" TargetMode="External"/><Relationship Id="rId215" Type="http://schemas.openxmlformats.org/officeDocument/2006/relationships/hyperlink" Target="https://open-measure.atlassian.net/wiki/spaces/DIC/pages/82903275" TargetMode="External"/><Relationship Id="rId236" Type="http://schemas.openxmlformats.org/officeDocument/2006/relationships/hyperlink" Target="https://open-measure.atlassian.net/wiki/spaces/DIC/pages/11141519" TargetMode="External"/><Relationship Id="rId257" Type="http://schemas.openxmlformats.org/officeDocument/2006/relationships/hyperlink" Target="https://open-measure.atlassian.net/wiki/spaces/DIC/pages/720902" TargetMode="External"/><Relationship Id="rId278" Type="http://schemas.openxmlformats.org/officeDocument/2006/relationships/hyperlink" Target="https://open-measure.atlassian.net/wiki/spaces/DIC/pages/442368033" TargetMode="External"/><Relationship Id="rId401" Type="http://schemas.openxmlformats.org/officeDocument/2006/relationships/hyperlink" Target="https://open-measure.atlassian.net/wiki/spaces/DIC/pages/1164902498" TargetMode="External"/><Relationship Id="rId422" Type="http://schemas.openxmlformats.org/officeDocument/2006/relationships/hyperlink" Target="https://open-measure.atlassian.net/wiki/spaces/DIC/pages/1177747630" TargetMode="External"/><Relationship Id="rId443" Type="http://schemas.openxmlformats.org/officeDocument/2006/relationships/hyperlink" Target="https://open-measure.atlassian.net/wiki/spaces/DIC/pages/1540175" TargetMode="External"/><Relationship Id="rId464" Type="http://schemas.openxmlformats.org/officeDocument/2006/relationships/hyperlink" Target="https://open-measure.atlassian.net/wiki/spaces/DIC/pages/1130954862" TargetMode="External"/><Relationship Id="rId303" Type="http://schemas.openxmlformats.org/officeDocument/2006/relationships/hyperlink" Target="https://open-measure.atlassian.net/wiki/spaces/DIC/pages/998244664" TargetMode="External"/><Relationship Id="rId485" Type="http://schemas.openxmlformats.org/officeDocument/2006/relationships/hyperlink" Target="https://open-measure.atlassian.net/wiki/spaces/DIC/pages/1146847344/User+De-Provisioning" TargetMode="External"/><Relationship Id="rId42" Type="http://schemas.openxmlformats.org/officeDocument/2006/relationships/hyperlink" Target="https://open-measure.atlassian.net/wiki/spaces/DIC/pages/61177884" TargetMode="External"/><Relationship Id="rId84" Type="http://schemas.openxmlformats.org/officeDocument/2006/relationships/hyperlink" Target="https://open-measure.atlassian.net/wiki/spaces/DIC/pages/5900130" TargetMode="External"/><Relationship Id="rId138" Type="http://schemas.openxmlformats.org/officeDocument/2006/relationships/hyperlink" Target="https://open-measure.atlassian.net/wiki/spaces/DIC/pages/782893122" TargetMode="External"/><Relationship Id="rId345" Type="http://schemas.openxmlformats.org/officeDocument/2006/relationships/hyperlink" Target="https://open-measure.atlassian.net/wiki/spaces/DIC/pages/140707141" TargetMode="External"/><Relationship Id="rId387" Type="http://schemas.openxmlformats.org/officeDocument/2006/relationships/hyperlink" Target="https://open-measure.atlassian.net/wiki/spaces/DIC/pages/858521682" TargetMode="External"/><Relationship Id="rId510" Type="http://schemas.openxmlformats.org/officeDocument/2006/relationships/hyperlink" Target="https://open-measure.atlassian.net/wiki/spaces/DIC/pages/140706700" TargetMode="External"/><Relationship Id="rId191" Type="http://schemas.openxmlformats.org/officeDocument/2006/relationships/hyperlink" Target="https://open-measure.atlassian.net/wiki/spaces/DIC/pages/419528747" TargetMode="External"/><Relationship Id="rId205" Type="http://schemas.openxmlformats.org/officeDocument/2006/relationships/hyperlink" Target="https://open-measure.atlassian.net/wiki/spaces/DIC/pages/419659837" TargetMode="External"/><Relationship Id="rId247" Type="http://schemas.openxmlformats.org/officeDocument/2006/relationships/hyperlink" Target="https://open-measure.atlassian.net/wiki/spaces/DIC/pages/1477869651/Inside+Attacker" TargetMode="External"/><Relationship Id="rId412" Type="http://schemas.openxmlformats.org/officeDocument/2006/relationships/hyperlink" Target="https://open-measure.atlassian.net/wiki/spaces/DIC/pages/1376383" TargetMode="External"/><Relationship Id="rId107" Type="http://schemas.openxmlformats.org/officeDocument/2006/relationships/hyperlink" Target="https://open-measure.atlassian.net/wiki/spaces/DIC/pages/974454827" TargetMode="External"/><Relationship Id="rId289" Type="http://schemas.openxmlformats.org/officeDocument/2006/relationships/hyperlink" Target="https://open-measure.atlassian.net/wiki/spaces/DIC/pages/5933244" TargetMode="External"/><Relationship Id="rId454" Type="http://schemas.openxmlformats.org/officeDocument/2006/relationships/hyperlink" Target="https://open-measure.atlassian.net/wiki/spaces/DIC/pages/206372869" TargetMode="External"/><Relationship Id="rId496" Type="http://schemas.openxmlformats.org/officeDocument/2006/relationships/hyperlink" Target="https://open-measure.atlassian.net/wiki/spaces/DIC/pages/81068120" TargetMode="External"/><Relationship Id="rId11" Type="http://schemas.openxmlformats.org/officeDocument/2006/relationships/hyperlink" Target="https://open-measure.atlassian.net/wiki/spaces/DIC/pages/1006632974" TargetMode="External"/><Relationship Id="rId53" Type="http://schemas.openxmlformats.org/officeDocument/2006/relationships/hyperlink" Target="https://open-measure.atlassian.net/wiki/spaces/DIC/pages/998277852" TargetMode="External"/><Relationship Id="rId149" Type="http://schemas.openxmlformats.org/officeDocument/2006/relationships/hyperlink" Target="https://open-measure.atlassian.net/wiki/spaces/DIC/pages/810287202" TargetMode="External"/><Relationship Id="rId314" Type="http://schemas.openxmlformats.org/officeDocument/2006/relationships/hyperlink" Target="https://open-measure.atlassian.net/wiki/spaces/DIC/pages/1376617" TargetMode="External"/><Relationship Id="rId356" Type="http://schemas.openxmlformats.org/officeDocument/2006/relationships/hyperlink" Target="https://open-measure.atlassian.net/wiki/spaces/DIC/pages/1105068063" TargetMode="External"/><Relationship Id="rId398" Type="http://schemas.openxmlformats.org/officeDocument/2006/relationships/hyperlink" Target="https://open-measure.atlassian.net/wiki/spaces/DIC/pages/814514401" TargetMode="External"/><Relationship Id="rId95" Type="http://schemas.openxmlformats.org/officeDocument/2006/relationships/hyperlink" Target="https://open-measure.atlassian.net/wiki/spaces/DIC/pages/1152516118" TargetMode="External"/><Relationship Id="rId160" Type="http://schemas.openxmlformats.org/officeDocument/2006/relationships/hyperlink" Target="https://open-measure.atlassian.net/wiki/spaces/DIC/pages/76021801" TargetMode="External"/><Relationship Id="rId216" Type="http://schemas.openxmlformats.org/officeDocument/2006/relationships/hyperlink" Target="https://open-measure.atlassian.net/wiki/spaces/DIC/pages/236748873" TargetMode="External"/><Relationship Id="rId423" Type="http://schemas.openxmlformats.org/officeDocument/2006/relationships/hyperlink" Target="https://open-measure.atlassian.net/wiki/spaces/DIC/pages/1071185955" TargetMode="External"/><Relationship Id="rId258" Type="http://schemas.openxmlformats.org/officeDocument/2006/relationships/hyperlink" Target="https://open-measure.atlassian.net/wiki/spaces/DIC/pages/1569095803/IT+System" TargetMode="External"/><Relationship Id="rId465" Type="http://schemas.openxmlformats.org/officeDocument/2006/relationships/hyperlink" Target="https://open-measure.atlassian.net/wiki/spaces/DIC/pages/360467" TargetMode="External"/><Relationship Id="rId22" Type="http://schemas.openxmlformats.org/officeDocument/2006/relationships/hyperlink" Target="https://open-measure.atlassian.net/wiki/spaces/DIC/pages/73892144/Action+Research" TargetMode="External"/><Relationship Id="rId64" Type="http://schemas.openxmlformats.org/officeDocument/2006/relationships/hyperlink" Target="https://open-measure.atlassian.net/wiki/spaces/DIC/pages/797933843" TargetMode="External"/><Relationship Id="rId118" Type="http://schemas.openxmlformats.org/officeDocument/2006/relationships/hyperlink" Target="https://open-measure.atlassian.net/wiki/spaces/DIC/pages/461340725" TargetMode="External"/><Relationship Id="rId325" Type="http://schemas.openxmlformats.org/officeDocument/2006/relationships/hyperlink" Target="https://open-measure.atlassian.net/wiki/spaces/DIC/pages/1061650550" TargetMode="External"/><Relationship Id="rId367" Type="http://schemas.openxmlformats.org/officeDocument/2006/relationships/hyperlink" Target="https://open-measure.atlassian.net/wiki/spaces/DIC/pages/1477902403/Privileged+Insider" TargetMode="External"/><Relationship Id="rId171" Type="http://schemas.openxmlformats.org/officeDocument/2006/relationships/hyperlink" Target="https://open-measure.atlassian.net/wiki/spaces/DIC/pages/446824885" TargetMode="External"/><Relationship Id="rId227" Type="http://schemas.openxmlformats.org/officeDocument/2006/relationships/hyperlink" Target="https://open-measure.atlassian.net/wiki/spaces/DIC/pages/1117913089" TargetMode="External"/><Relationship Id="rId269" Type="http://schemas.openxmlformats.org/officeDocument/2006/relationships/hyperlink" Target="https://open-measure.atlassian.net/wiki/spaces/DIC/pages/442400811" TargetMode="External"/><Relationship Id="rId434" Type="http://schemas.openxmlformats.org/officeDocument/2006/relationships/hyperlink" Target="https://open-measure.atlassian.net/wiki/spaces/DIC/pages/234487981" TargetMode="External"/><Relationship Id="rId476" Type="http://schemas.openxmlformats.org/officeDocument/2006/relationships/hyperlink" Target="https://open-measure.atlassian.net/wiki/spaces/DIC/pages/140673267" TargetMode="External"/><Relationship Id="rId33" Type="http://schemas.openxmlformats.org/officeDocument/2006/relationships/hyperlink" Target="https://open-measure.atlassian.net/wiki/spaces/DIC/pages/5932704" TargetMode="External"/><Relationship Id="rId129" Type="http://schemas.openxmlformats.org/officeDocument/2006/relationships/hyperlink" Target="https://open-measure.atlassian.net/wiki/spaces/DIC/pages/1451982933/Cyber-sabotage" TargetMode="External"/><Relationship Id="rId280" Type="http://schemas.openxmlformats.org/officeDocument/2006/relationships/hyperlink" Target="https://open-measure.atlassian.net/wiki/spaces/DIC/pages/1177845957" TargetMode="External"/><Relationship Id="rId336" Type="http://schemas.openxmlformats.org/officeDocument/2006/relationships/hyperlink" Target="https://open-measure.atlassian.net/wiki/spaces/DIC/pages/1472692289/Outsider" TargetMode="External"/><Relationship Id="rId501" Type="http://schemas.openxmlformats.org/officeDocument/2006/relationships/hyperlink" Target="https://open-measure.atlassian.net/wiki/spaces/DIC/pages/140739507" TargetMode="External"/><Relationship Id="rId75" Type="http://schemas.openxmlformats.org/officeDocument/2006/relationships/hyperlink" Target="https://open-measure.atlassian.net/wiki/spaces/DIC/pages/408944842" TargetMode="External"/><Relationship Id="rId140" Type="http://schemas.openxmlformats.org/officeDocument/2006/relationships/hyperlink" Target="https://open-measure.atlassian.net/wiki/spaces/DIC/pages/62193665" TargetMode="External"/><Relationship Id="rId182" Type="http://schemas.openxmlformats.org/officeDocument/2006/relationships/hyperlink" Target="https://open-measure.atlassian.net/wiki/spaces/DIC/pages/1290207237/Financial-grade+API" TargetMode="External"/><Relationship Id="rId378" Type="http://schemas.openxmlformats.org/officeDocument/2006/relationships/hyperlink" Target="https://open-measure.atlassian.net/wiki/spaces/DIC/pages/148308223" TargetMode="External"/><Relationship Id="rId403" Type="http://schemas.openxmlformats.org/officeDocument/2006/relationships/hyperlink" Target="https://open-measure.atlassian.net/wiki/spaces/DIC/pages/1130921985" TargetMode="External"/><Relationship Id="rId6" Type="http://schemas.openxmlformats.org/officeDocument/2006/relationships/hyperlink" Target="https://open-measure.atlassian.net/wiki/spaces/DIC/pages/427163781" TargetMode="External"/><Relationship Id="rId238" Type="http://schemas.openxmlformats.org/officeDocument/2006/relationships/hyperlink" Target="https://open-measure.atlassian.net/wiki/spaces/DIC/pages/158827185" TargetMode="External"/><Relationship Id="rId445" Type="http://schemas.openxmlformats.org/officeDocument/2006/relationships/hyperlink" Target="https://open-measure.atlassian.net/wiki/spaces/DIC/pages/81199126" TargetMode="External"/><Relationship Id="rId487" Type="http://schemas.openxmlformats.org/officeDocument/2006/relationships/hyperlink" Target="https://open-measure.atlassian.net/wiki/spaces/DIC/pages/1428652448/User+ID" TargetMode="External"/><Relationship Id="rId291" Type="http://schemas.openxmlformats.org/officeDocument/2006/relationships/hyperlink" Target="https://open-measure.atlassian.net/wiki/spaces/DIC/pages/5899260" TargetMode="External"/><Relationship Id="rId305" Type="http://schemas.openxmlformats.org/officeDocument/2006/relationships/hyperlink" Target="https://open-measure.atlassian.net/wiki/spaces/DIC/pages/858456124" TargetMode="External"/><Relationship Id="rId347" Type="http://schemas.openxmlformats.org/officeDocument/2006/relationships/hyperlink" Target="https://open-measure.atlassian.net/wiki/spaces/DIC/pages/67699129" TargetMode="External"/><Relationship Id="rId512" Type="http://schemas.openxmlformats.org/officeDocument/2006/relationships/hyperlink" Target="https://open-measure.atlassian.net/wiki/spaces/DIC/pages/814448722" TargetMode="External"/><Relationship Id="rId44" Type="http://schemas.openxmlformats.org/officeDocument/2006/relationships/hyperlink" Target="https://open-measure.atlassian.net/wiki/spaces/DIC/pages/848724060" TargetMode="External"/><Relationship Id="rId86" Type="http://schemas.openxmlformats.org/officeDocument/2006/relationships/hyperlink" Target="https://open-measure.atlassian.net/wiki/spaces/DIC/pages/1152483641" TargetMode="External"/><Relationship Id="rId151" Type="http://schemas.openxmlformats.org/officeDocument/2006/relationships/hyperlink" Target="https://open-measure.atlassian.net/wiki/spaces/DIC/pages/806584322" TargetMode="External"/><Relationship Id="rId389" Type="http://schemas.openxmlformats.org/officeDocument/2006/relationships/hyperlink" Target="https://open-measure.atlassian.net/wiki/spaces/DIC/pages/427130881" TargetMode="External"/><Relationship Id="rId193" Type="http://schemas.openxmlformats.org/officeDocument/2006/relationships/hyperlink" Target="https://open-measure.atlassian.net/wiki/spaces/DIC/pages/1409494" TargetMode="External"/><Relationship Id="rId207" Type="http://schemas.openxmlformats.org/officeDocument/2006/relationships/hyperlink" Target="https://open-measure.atlassian.net/wiki/spaces/DIC/pages/435322922" TargetMode="External"/><Relationship Id="rId249" Type="http://schemas.openxmlformats.org/officeDocument/2006/relationships/hyperlink" Target="https://open-measure.atlassian.net/wiki/spaces/DIC/pages/1478459402/Insider+Attack" TargetMode="External"/><Relationship Id="rId414" Type="http://schemas.openxmlformats.org/officeDocument/2006/relationships/hyperlink" Target="https://open-measure.atlassian.net/wiki/spaces/DIC/pages/234356901" TargetMode="External"/><Relationship Id="rId456" Type="http://schemas.openxmlformats.org/officeDocument/2006/relationships/hyperlink" Target="https://open-measure.atlassian.net/wiki/spaces/DIC/pages/1226571890" TargetMode="External"/><Relationship Id="rId498" Type="http://schemas.openxmlformats.org/officeDocument/2006/relationships/hyperlink" Target="https://open-measure.atlassian.net/wiki/spaces/DIC/pages/75923587" TargetMode="External"/><Relationship Id="rId13" Type="http://schemas.openxmlformats.org/officeDocument/2006/relationships/hyperlink" Target="https://open-measure.atlassian.net/wiki/spaces/DIC/pages/1122599013" TargetMode="External"/><Relationship Id="rId109" Type="http://schemas.openxmlformats.org/officeDocument/2006/relationships/hyperlink" Target="https://open-measure.atlassian.net/wiki/spaces/DIC/pages/3178516" TargetMode="External"/><Relationship Id="rId260" Type="http://schemas.openxmlformats.org/officeDocument/2006/relationships/hyperlink" Target="https://open-measure.atlassian.net/wiki/spaces/DIC/pages/855506953" TargetMode="External"/><Relationship Id="rId316" Type="http://schemas.openxmlformats.org/officeDocument/2006/relationships/hyperlink" Target="https://open-measure.atlassian.net/wiki/spaces/DIC/pages/11141406" TargetMode="External"/><Relationship Id="rId55" Type="http://schemas.openxmlformats.org/officeDocument/2006/relationships/hyperlink" Target="https://open-measure.atlassian.net/wiki/spaces/DIC/pages/998245151" TargetMode="External"/><Relationship Id="rId97" Type="http://schemas.openxmlformats.org/officeDocument/2006/relationships/hyperlink" Target="https://open-measure.atlassian.net/wiki/spaces/DIC/pages/206307528" TargetMode="External"/><Relationship Id="rId120" Type="http://schemas.openxmlformats.org/officeDocument/2006/relationships/hyperlink" Target="https://open-measure.atlassian.net/wiki/spaces/DIC/pages/1152516162/CSC" TargetMode="External"/><Relationship Id="rId358" Type="http://schemas.openxmlformats.org/officeDocument/2006/relationships/hyperlink" Target="https://open-measure.atlassian.net/wiki/spaces/DIC/pages/148373776" TargetMode="External"/><Relationship Id="rId162" Type="http://schemas.openxmlformats.org/officeDocument/2006/relationships/hyperlink" Target="https://open-measure.atlassian.net/wiki/spaces/DIC/pages/1122566173" TargetMode="External"/><Relationship Id="rId218" Type="http://schemas.openxmlformats.org/officeDocument/2006/relationships/hyperlink" Target="https://open-measure.atlassian.net/wiki/spaces/DIC/pages/336035929/Identity+Federation" TargetMode="External"/><Relationship Id="rId425" Type="http://schemas.openxmlformats.org/officeDocument/2006/relationships/hyperlink" Target="https://open-measure.atlassian.net/wiki/spaces/DIC/pages/6029526" TargetMode="External"/><Relationship Id="rId467" Type="http://schemas.openxmlformats.org/officeDocument/2006/relationships/hyperlink" Target="https://open-measure.atlassian.net/wiki/spaces/DIC/pages/1237483759" TargetMode="External"/><Relationship Id="rId271" Type="http://schemas.openxmlformats.org/officeDocument/2006/relationships/hyperlink" Target="https://open-measure.atlassian.net/wiki/spaces/DIC/pages/1177681925" TargetMode="External"/><Relationship Id="rId24" Type="http://schemas.openxmlformats.org/officeDocument/2006/relationships/hyperlink" Target="https://open-measure.atlassian.net/wiki/spaces/DIC/pages/11141273" TargetMode="External"/><Relationship Id="rId66" Type="http://schemas.openxmlformats.org/officeDocument/2006/relationships/hyperlink" Target="https://open-measure.atlassian.net/wiki/spaces/DIC/pages/1228079157" TargetMode="External"/><Relationship Id="rId131" Type="http://schemas.openxmlformats.org/officeDocument/2006/relationships/hyperlink" Target="https://open-measure.atlassian.net/wiki/spaces/DIC/pages/1267400850/Data+Anonymization" TargetMode="External"/><Relationship Id="rId327" Type="http://schemas.openxmlformats.org/officeDocument/2006/relationships/hyperlink" Target="https://open-measure.atlassian.net/wiki/spaces/DIC/pages/1061748965" TargetMode="External"/><Relationship Id="rId369" Type="http://schemas.openxmlformats.org/officeDocument/2006/relationships/hyperlink" Target="https://open-measure.atlassian.net/wiki/spaces/DIC/pages/1377214" TargetMode="External"/><Relationship Id="rId173" Type="http://schemas.openxmlformats.org/officeDocument/2006/relationships/hyperlink" Target="https://open-measure.atlassian.net/wiki/spaces/DIC/pages/82870848" TargetMode="External"/><Relationship Id="rId229" Type="http://schemas.openxmlformats.org/officeDocument/2006/relationships/hyperlink" Target="https://open-measure.atlassian.net/wiki/spaces/DIC/pages/81101362" TargetMode="External"/><Relationship Id="rId380" Type="http://schemas.openxmlformats.org/officeDocument/2006/relationships/hyperlink" Target="https://open-measure.atlassian.net/wiki/spaces/DIC/pages/82903928" TargetMode="External"/><Relationship Id="rId436" Type="http://schemas.openxmlformats.org/officeDocument/2006/relationships/hyperlink" Target="https://open-measure.atlassian.net/wiki/spaces/DIC/pages/1605648" TargetMode="External"/><Relationship Id="rId240" Type="http://schemas.openxmlformats.org/officeDocument/2006/relationships/hyperlink" Target="https://open-measure.atlassian.net/wiki/spaces/DIC/pages/455508212" TargetMode="External"/><Relationship Id="rId478" Type="http://schemas.openxmlformats.org/officeDocument/2006/relationships/hyperlink" Target="https://open-measure.atlassian.net/wiki/spaces/DIC/pages/1231126540/Unauthorized+Acces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FD63-4E0B-4805-B2E9-CE931AE7958E}">
  <sheetPr codeName="Sheet5"/>
  <dimension ref="A1"/>
  <sheetViews>
    <sheetView workbookViewId="0">
      <selection activeCell="B17" sqref="B17"/>
    </sheetView>
  </sheetViews>
  <sheetFormatPr defaultRowHeight="12.75" x14ac:dyDescent="0.35"/>
  <cols>
    <col min="2" max="2" width="91.06640625" customWidth="1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uttonExport">
          <controlPr defaultSize="0" autoLine="0" r:id="rId5">
            <anchor moveWithCells="1">
              <from>
                <xdr:col>1</xdr:col>
                <xdr:colOff>114300</xdr:colOff>
                <xdr:row>1</xdr:row>
                <xdr:rowOff>152400</xdr:rowOff>
              </from>
              <to>
                <xdr:col>1</xdr:col>
                <xdr:colOff>1152525</xdr:colOff>
                <xdr:row>4</xdr:row>
                <xdr:rowOff>61913</xdr:rowOff>
              </to>
            </anchor>
          </controlPr>
        </control>
      </mc:Choice>
      <mc:Fallback>
        <control shapeId="5121" r:id="rId4" name="button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CF444-9159-48BF-8E77-D2E2F0BCD5F8}">
  <sheetPr codeName="Sheet1">
    <tabColor theme="9"/>
  </sheetPr>
  <dimension ref="A1:H499"/>
  <sheetViews>
    <sheetView topLeftCell="A13" zoomScale="120" zoomScaleNormal="120" workbookViewId="0">
      <selection activeCell="A24" sqref="A24:XFD24"/>
    </sheetView>
  </sheetViews>
  <sheetFormatPr defaultRowHeight="12.75" x14ac:dyDescent="0.35"/>
  <cols>
    <col min="1" max="1" width="34.06640625" style="12" bestFit="1" customWidth="1"/>
    <col min="2" max="2" width="23" style="12" bestFit="1" customWidth="1"/>
    <col min="3" max="3" width="12.19921875" style="12" customWidth="1"/>
    <col min="4" max="4" width="34.06640625" style="12" bestFit="1" customWidth="1"/>
    <col min="5" max="5" width="23.73046875" style="12" customWidth="1"/>
    <col min="6" max="6" width="23" style="12" bestFit="1" customWidth="1"/>
    <col min="7" max="7" width="60" style="12" customWidth="1"/>
    <col min="8" max="16384" width="9.06640625" style="12"/>
  </cols>
  <sheetData>
    <row r="1" spans="1:8" x14ac:dyDescent="0.35">
      <c r="A1" s="11" t="s">
        <v>1907</v>
      </c>
      <c r="B1" s="11" t="s">
        <v>1904</v>
      </c>
      <c r="C1" s="11" t="s">
        <v>1905</v>
      </c>
      <c r="D1" s="11" t="s">
        <v>1906</v>
      </c>
      <c r="E1" s="11" t="s">
        <v>1954</v>
      </c>
      <c r="F1" s="11" t="s">
        <v>1953</v>
      </c>
      <c r="G1" s="11" t="s">
        <v>520</v>
      </c>
      <c r="H1" s="11" t="s">
        <v>1908</v>
      </c>
    </row>
    <row r="2" spans="1:8" x14ac:dyDescent="0.35">
      <c r="A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4-Eyes Check (Control Class)</v>
      </c>
      <c r="B2" s="11" t="s">
        <v>1830</v>
      </c>
      <c r="C2" s="13" t="s">
        <v>1355</v>
      </c>
      <c r="D2" s="12" t="s">
        <v>1337</v>
      </c>
      <c r="E2" s="18" t="str">
        <f>IF(NodesData[[#This Row],[Class Disambiguation]]="",NodesData[[#This Row],[Common Name]],NodesData[[#This Row],[Common Name]]&amp;" ("&amp;NodesData[[#This Row],[Class Disambiguation]]&amp;")")</f>
        <v>4-Eyes Check (Control Class)</v>
      </c>
      <c r="F2" s="18"/>
      <c r="H2" s="19" t="str" cm="1">
        <f t="array" ref="H2">"n"&amp;SUBSTITUTE(CreateGuidString(),"-","_")</f>
        <v>nF8E890ED_C166_41B4_883A_1F0FE32A4912</v>
      </c>
    </row>
    <row r="3" spans="1:8" x14ac:dyDescent="0.35">
      <c r="A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4-Eyes Principle (Best Practice)</v>
      </c>
      <c r="B3" s="12" t="s">
        <v>5</v>
      </c>
      <c r="C3" s="13" t="s">
        <v>1356</v>
      </c>
      <c r="D3" s="11" t="s">
        <v>1829</v>
      </c>
      <c r="E3" s="12" t="str">
        <f>IF(NodesData[[#This Row],[Class Disambiguation]]="",NodesData[[#This Row],[Common Name]],NodesData[[#This Row],[Common Name]]&amp;" ("&amp;NodesData[[#This Row],[Class Disambiguation]]&amp;")")</f>
        <v>4-Eyes Principle (Best Practice)</v>
      </c>
      <c r="G3" s="12" t="s">
        <v>523</v>
      </c>
      <c r="H3" s="19" t="str" cm="1">
        <f t="array" ref="H3">"n"&amp;SUBSTITUTE(CreateGuidString(),"-","_")</f>
        <v>nFBE2555C_1D4B_4323_825F_3382A261D980</v>
      </c>
    </row>
    <row r="4" spans="1:8" x14ac:dyDescent="0.35">
      <c r="A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</v>
      </c>
      <c r="B4" s="12" t="s">
        <v>7</v>
      </c>
      <c r="C4" s="13" t="s">
        <v>1357</v>
      </c>
      <c r="E4" s="12" t="str">
        <f>IF(NodesData[[#This Row],[Class Disambiguation]]="",NodesData[[#This Row],[Common Name]],NodesData[[#This Row],[Common Name]]&amp;" ("&amp;NodesData[[#This Row],[Class Disambiguation]]&amp;")")</f>
        <v>Access</v>
      </c>
      <c r="G4" s="12" t="s">
        <v>524</v>
      </c>
      <c r="H4" s="19" t="str" cm="1">
        <f t="array" ref="H4">"n"&amp;SUBSTITUTE(CreateGuidString(),"-","_")</f>
        <v>n4E1E9839_2B43_4299_8822_55F80527A43F</v>
      </c>
    </row>
    <row r="5" spans="1:8" x14ac:dyDescent="0.35">
      <c r="A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Audit</v>
      </c>
      <c r="B5" s="12" t="s">
        <v>525</v>
      </c>
      <c r="C5" s="13" t="s">
        <v>1358</v>
      </c>
      <c r="E5" s="12" t="str">
        <f>IF(NodesData[[#This Row],[Class Disambiguation]]="",NodesData[[#This Row],[Common Name]],NodesData[[#This Row],[Common Name]]&amp;" ("&amp;NodesData[[#This Row],[Class Disambiguation]]&amp;")")</f>
        <v>Access Audit</v>
      </c>
      <c r="G5" s="12" t="s">
        <v>526</v>
      </c>
      <c r="H5" s="19" t="str" cm="1">
        <f t="array" ref="H5">"n"&amp;SUBSTITUTE(CreateGuidString(),"-","_")</f>
        <v>n1503FF08_7A9D_4110_8FB9_2DFD7EFADBAC</v>
      </c>
    </row>
    <row r="6" spans="1:8" x14ac:dyDescent="0.35">
      <c r="A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Continuum</v>
      </c>
      <c r="B6" s="12" t="s">
        <v>9</v>
      </c>
      <c r="C6" s="13" t="s">
        <v>1359</v>
      </c>
      <c r="E6" s="12" t="str">
        <f>IF(NodesData[[#This Row],[Class Disambiguation]]="",NodesData[[#This Row],[Common Name]],NodesData[[#This Row],[Common Name]]&amp;" ("&amp;NodesData[[#This Row],[Class Disambiguation]]&amp;")")</f>
        <v>Access Continuum</v>
      </c>
      <c r="G6" s="12" t="s">
        <v>527</v>
      </c>
      <c r="H6" s="19" t="str" cm="1">
        <f t="array" ref="H6">"n"&amp;SUBSTITUTE(CreateGuidString(),"-","_")</f>
        <v>n99217C26_1822_475B_B450_F5FFCD9B2127</v>
      </c>
    </row>
    <row r="7" spans="1:8" x14ac:dyDescent="0.35">
      <c r="A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</v>
      </c>
      <c r="B7" s="12" t="s">
        <v>528</v>
      </c>
      <c r="C7" s="13" t="s">
        <v>1360</v>
      </c>
      <c r="E7" s="12" t="str">
        <f>IF(NodesData[[#This Row],[Class Disambiguation]]="",NodesData[[#This Row],[Common Name]],NodesData[[#This Row],[Common Name]]&amp;" ("&amp;NodesData[[#This Row],[Class Disambiguation]]&amp;")")</f>
        <v>Access Control</v>
      </c>
      <c r="G7" s="12" t="s">
        <v>529</v>
      </c>
      <c r="H7" s="19" t="str" cm="1">
        <f t="array" ref="H7">"n"&amp;SUBSTITUTE(CreateGuidString(),"-","_")</f>
        <v>nCAE4EE8D_7C20_4E01_A960_B8F796379808</v>
      </c>
    </row>
    <row r="8" spans="1:8" x14ac:dyDescent="0.35">
      <c r="A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 List</v>
      </c>
      <c r="B8" s="12" t="s">
        <v>530</v>
      </c>
      <c r="C8" s="13" t="s">
        <v>1361</v>
      </c>
      <c r="E8" s="12" t="str">
        <f>IF(NodesData[[#This Row],[Class Disambiguation]]="",NodesData[[#This Row],[Common Name]],NodesData[[#This Row],[Common Name]]&amp;" ("&amp;NodesData[[#This Row],[Class Disambiguation]]&amp;")")</f>
        <v>Access Control List</v>
      </c>
      <c r="G8" s="12" t="s">
        <v>531</v>
      </c>
      <c r="H8" s="19" t="str" cm="1">
        <f t="array" ref="H8">"n"&amp;SUBSTITUTE(CreateGuidString(),"-","_")</f>
        <v>n05355172_DFD5_4494_BCFE_8B287987A475</v>
      </c>
    </row>
    <row r="9" spans="1:8" x14ac:dyDescent="0.35">
      <c r="A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 Mechanism</v>
      </c>
      <c r="B9" s="12" t="s">
        <v>532</v>
      </c>
      <c r="C9" s="13" t="s">
        <v>1362</v>
      </c>
      <c r="E9" s="12" t="str">
        <f>IF(NodesData[[#This Row],[Class Disambiguation]]="",NodesData[[#This Row],[Common Name]],NodesData[[#This Row],[Common Name]]&amp;" ("&amp;NodesData[[#This Row],[Class Disambiguation]]&amp;")")</f>
        <v>Access Control Mechanism</v>
      </c>
      <c r="G9" s="12" t="s">
        <v>533</v>
      </c>
      <c r="H9" s="19" t="str" cm="1">
        <f t="array" ref="H9">"n"&amp;SUBSTITUTE(CreateGuidString(),"-","_")</f>
        <v>n1A12BC3A_9D78_4777_9781_D9B18C0E7994</v>
      </c>
    </row>
    <row r="10" spans="1:8" x14ac:dyDescent="0.35">
      <c r="A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 Model</v>
      </c>
      <c r="B10" s="12" t="s">
        <v>534</v>
      </c>
      <c r="C10" s="13" t="s">
        <v>1363</v>
      </c>
      <c r="E10" s="12" t="str">
        <f>IF(NodesData[[#This Row],[Class Disambiguation]]="",NodesData[[#This Row],[Common Name]],NodesData[[#This Row],[Common Name]]&amp;" ("&amp;NodesData[[#This Row],[Class Disambiguation]]&amp;")")</f>
        <v>Access Control Model</v>
      </c>
      <c r="G10" s="12" t="s">
        <v>535</v>
      </c>
      <c r="H10" s="19" t="str" cm="1">
        <f t="array" ref="H10">"n"&amp;SUBSTITUTE(CreateGuidString(),"-","_")</f>
        <v>nFF970978_6B6E_432C_9912_52730ADAA9DB</v>
      </c>
    </row>
    <row r="11" spans="1:8" x14ac:dyDescent="0.35">
      <c r="A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 Policy</v>
      </c>
      <c r="B11" s="12" t="s">
        <v>536</v>
      </c>
      <c r="C11" s="13" t="s">
        <v>1364</v>
      </c>
      <c r="E11" s="12" t="str">
        <f>IF(NodesData[[#This Row],[Class Disambiguation]]="",NodesData[[#This Row],[Common Name]],NodesData[[#This Row],[Common Name]]&amp;" ("&amp;NodesData[[#This Row],[Class Disambiguation]]&amp;")")</f>
        <v>Access Control Policy</v>
      </c>
      <c r="G11" s="12" t="s">
        <v>537</v>
      </c>
      <c r="H11" s="19" t="str" cm="1">
        <f t="array" ref="H11">"n"&amp;SUBSTITUTE(CreateGuidString(),"-","_")</f>
        <v>n4B8ECB21_7E2C_4B7A_BFE7_A997F376665D</v>
      </c>
    </row>
    <row r="12" spans="1:8" x14ac:dyDescent="0.35">
      <c r="A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Granularity (Property)</v>
      </c>
      <c r="B12" s="12" t="s">
        <v>1</v>
      </c>
      <c r="C12" s="13" t="s">
        <v>1365</v>
      </c>
      <c r="D12" s="11" t="s">
        <v>1831</v>
      </c>
      <c r="E12" s="12" t="str">
        <f>IF(NodesData[[#This Row],[Class Disambiguation]]="",NodesData[[#This Row],[Common Name]],NodesData[[#This Row],[Common Name]]&amp;" ("&amp;NodesData[[#This Row],[Class Disambiguation]]&amp;")")</f>
        <v>Access Granularity (Property)</v>
      </c>
      <c r="G12" s="12" t="s">
        <v>538</v>
      </c>
      <c r="H12" s="19" t="str" cm="1">
        <f t="array" ref="H12">"n"&amp;SUBSTITUTE(CreateGuidString(),"-","_")</f>
        <v>nA8A037B4_4A8E_4EF0_BB63_2791A5ED90A7</v>
      </c>
    </row>
    <row r="13" spans="1:8" x14ac:dyDescent="0.35">
      <c r="A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Privilege</v>
      </c>
      <c r="B13" s="12" t="s">
        <v>539</v>
      </c>
      <c r="C13" s="13" t="s">
        <v>1366</v>
      </c>
      <c r="E13" s="12" t="str">
        <f>IF(NodesData[[#This Row],[Class Disambiguation]]="",NodesData[[#This Row],[Common Name]],NodesData[[#This Row],[Common Name]]&amp;" ("&amp;NodesData[[#This Row],[Class Disambiguation]]&amp;")")</f>
        <v>Access Privilege</v>
      </c>
      <c r="G13" s="12" t="s">
        <v>540</v>
      </c>
      <c r="H13" s="19" t="str" cm="1">
        <f t="array" ref="H13">"n"&amp;SUBSTITUTE(CreateGuidString(),"-","_")</f>
        <v>n51478046_E852_41C0_A77A_3909DEEF9FB5</v>
      </c>
    </row>
    <row r="14" spans="1:8" x14ac:dyDescent="0.35">
      <c r="A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Right</v>
      </c>
      <c r="B14" s="12" t="s">
        <v>541</v>
      </c>
      <c r="C14" s="13" t="s">
        <v>1367</v>
      </c>
      <c r="E14" s="12" t="str">
        <f>IF(NodesData[[#This Row],[Class Disambiguation]]="",NodesData[[#This Row],[Common Name]],NodesData[[#This Row],[Common Name]]&amp;" ("&amp;NodesData[[#This Row],[Class Disambiguation]]&amp;")")</f>
        <v>Access Right</v>
      </c>
      <c r="G14" s="12" t="s">
        <v>542</v>
      </c>
      <c r="H14" s="19" t="str" cm="1">
        <f t="array" ref="H14">"n"&amp;SUBSTITUTE(CreateGuidString(),"-","_")</f>
        <v>n8100BD08_A765_4214_9A01_7BE0CE328906</v>
      </c>
    </row>
    <row r="15" spans="1:8" x14ac:dyDescent="0.35">
      <c r="A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Rights Management</v>
      </c>
      <c r="B15" s="12" t="s">
        <v>543</v>
      </c>
      <c r="C15" s="13" t="s">
        <v>1368</v>
      </c>
      <c r="E15" s="12" t="str">
        <f>IF(NodesData[[#This Row],[Class Disambiguation]]="",NodesData[[#This Row],[Common Name]],NodesData[[#This Row],[Common Name]]&amp;" ("&amp;NodesData[[#This Row],[Class Disambiguation]]&amp;")")</f>
        <v>Access Rights Management</v>
      </c>
      <c r="G15" s="12" t="s">
        <v>544</v>
      </c>
      <c r="H15" s="19" t="str" cm="1">
        <f t="array" ref="H15">"n"&amp;SUBSTITUTE(CreateGuidString(),"-","_")</f>
        <v>n683DEC4A_8AAE_4A73_A96F_437044D75857</v>
      </c>
    </row>
    <row r="16" spans="1:8" x14ac:dyDescent="0.35">
      <c r="A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Token</v>
      </c>
      <c r="B16" s="12" t="s">
        <v>19</v>
      </c>
      <c r="C16" s="13" t="s">
        <v>1369</v>
      </c>
      <c r="E16" s="12" t="str">
        <f>IF(NodesData[[#This Row],[Class Disambiguation]]="",NodesData[[#This Row],[Common Name]],NodesData[[#This Row],[Common Name]]&amp;" ("&amp;NodesData[[#This Row],[Class Disambiguation]]&amp;")")</f>
        <v>Access Token</v>
      </c>
      <c r="G16" s="12" t="s">
        <v>545</v>
      </c>
      <c r="H16" s="19" t="str" cm="1">
        <f t="array" ref="H16">"n"&amp;SUBSTITUTE(CreateGuidString(),"-","_")</f>
        <v>nB2FDE09D_30A2_4279_921F_37E853658B42</v>
      </c>
    </row>
    <row r="17" spans="1:8" x14ac:dyDescent="0.35">
      <c r="A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</v>
      </c>
      <c r="B17" s="12" t="s">
        <v>20</v>
      </c>
      <c r="C17" s="13" t="s">
        <v>1370</v>
      </c>
      <c r="E17" s="12" t="str">
        <f>IF(NodesData[[#This Row],[Class Disambiguation]]="",NodesData[[#This Row],[Common Name]],NodesData[[#This Row],[Common Name]]&amp;" ("&amp;NodesData[[#This Row],[Class Disambiguation]]&amp;")")</f>
        <v>Account</v>
      </c>
      <c r="G17" s="12" t="s">
        <v>546</v>
      </c>
      <c r="H17" s="19" t="str" cm="1">
        <f t="array" ref="H17">"n"&amp;SUBSTITUTE(CreateGuidString(),"-","_")</f>
        <v>nCEAE7A75_6347_46BE_9876_D56D481FBF2A</v>
      </c>
    </row>
    <row r="18" spans="1:8" x14ac:dyDescent="0.35">
      <c r="A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Lockout Policy</v>
      </c>
      <c r="B18" s="12" t="s">
        <v>547</v>
      </c>
      <c r="C18" s="13" t="s">
        <v>1371</v>
      </c>
      <c r="E18" s="12" t="str">
        <f>IF(NodesData[[#This Row],[Class Disambiguation]]="",NodesData[[#This Row],[Common Name]],NodesData[[#This Row],[Common Name]]&amp;" ("&amp;NodesData[[#This Row],[Class Disambiguation]]&amp;")")</f>
        <v>Account Lockout Policy</v>
      </c>
      <c r="G18" s="12" t="s">
        <v>548</v>
      </c>
      <c r="H18" s="19" t="str" cm="1">
        <f t="array" ref="H18">"n"&amp;SUBSTITUTE(CreateGuidString(),"-","_")</f>
        <v>n85C31CF3_EF66_4061_8584_DD63B8E6111E</v>
      </c>
    </row>
    <row r="19" spans="1:8" x14ac:dyDescent="0.35">
      <c r="A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Management</v>
      </c>
      <c r="B19" s="12" t="s">
        <v>549</v>
      </c>
      <c r="C19" s="13" t="s">
        <v>1372</v>
      </c>
      <c r="E19" s="12" t="str">
        <f>IF(NodesData[[#This Row],[Class Disambiguation]]="",NodesData[[#This Row],[Common Name]],NodesData[[#This Row],[Common Name]]&amp;" ("&amp;NodesData[[#This Row],[Class Disambiguation]]&amp;")")</f>
        <v>Account Management</v>
      </c>
      <c r="G19" s="12" t="s">
        <v>550</v>
      </c>
      <c r="H19" s="19" t="str" cm="1">
        <f t="array" ref="H19">"n"&amp;SUBSTITUTE(CreateGuidString(),"-","_")</f>
        <v>n92B65423_7F1B_4E98_B863_F4BFF0496D56</v>
      </c>
    </row>
    <row r="20" spans="1:8" x14ac:dyDescent="0.35">
      <c r="A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</v>
      </c>
      <c r="B20" s="12" t="s">
        <v>4</v>
      </c>
      <c r="C20" s="13" t="s">
        <v>1373</v>
      </c>
      <c r="E20" s="12" t="str">
        <f>IF(NodesData[[#This Row],[Class Disambiguation]]="",NodesData[[#This Row],[Common Name]],NodesData[[#This Row],[Common Name]]&amp;" ("&amp;NodesData[[#This Row],[Class Disambiguation]]&amp;")")</f>
        <v>Account Takeover</v>
      </c>
      <c r="F20" s="18"/>
      <c r="G20" s="12" t="s">
        <v>551</v>
      </c>
      <c r="H20" s="19" t="str" cm="1">
        <f t="array" ref="H20">"n"&amp;SUBSTITUTE(CreateGuidString(),"-","_")</f>
        <v>n1D042D29_5FD1_4EF0_9EAF_B8A87BF20C92</v>
      </c>
    </row>
    <row r="21" spans="1:8" x14ac:dyDescent="0.35">
      <c r="A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Authorization</v>
      </c>
      <c r="B21" s="31" t="s">
        <v>589</v>
      </c>
      <c r="C21" s="13" t="s">
        <v>1934</v>
      </c>
      <c r="E21" s="18" t="str">
        <f>IF(NodesData[[#This Row],[Class Disambiguation]]="",NodesData[[#This Row],[Common Name]],NodesData[[#This Row],[Common Name]]&amp;" ("&amp;NodesData[[#This Row],[Class Disambiguation]]&amp;")")</f>
        <v>Authorization</v>
      </c>
      <c r="F21" s="18" t="s">
        <v>4</v>
      </c>
      <c r="H21" s="20" t="str" cm="1">
        <f t="array" ref="H21">"n"&amp;SUBSTITUTE(CreateGuidString(),"-","_")</f>
        <v>n762E3867_A555_4F45_9BD4_7667D18035DF</v>
      </c>
    </row>
    <row r="22" spans="1:8" x14ac:dyDescent="0.35">
      <c r="A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Digital Identity</v>
      </c>
      <c r="B22" s="12" t="s">
        <v>148</v>
      </c>
      <c r="C22" s="13" t="s">
        <v>1477</v>
      </c>
      <c r="E22" s="12" t="str">
        <f>IF(NodesData[[#This Row],[Class Disambiguation]]="",NodesData[[#This Row],[Common Name]],NodesData[[#This Row],[Common Name]]&amp;" ("&amp;NodesData[[#This Row],[Class Disambiguation]]&amp;")")</f>
        <v>Digital Identity</v>
      </c>
      <c r="F22" s="18" t="s">
        <v>4</v>
      </c>
      <c r="G22" s="12" t="s">
        <v>717</v>
      </c>
      <c r="H22" s="19" t="str" cm="1">
        <f t="array" ref="H22">"n"&amp;SUBSTITUTE(CreateGuidString(),"-","_")</f>
        <v>n9909A2EF_1758_41F9_88E2_C85241A4C70C</v>
      </c>
    </row>
    <row r="23" spans="1:8" x14ac:dyDescent="0.35">
      <c r="A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Motivation</v>
      </c>
      <c r="B23" s="12" t="s">
        <v>1965</v>
      </c>
      <c r="C23" s="13" t="s">
        <v>1964</v>
      </c>
      <c r="E23" s="18" t="str">
        <f>IF(NodesData[[#This Row],[Class Disambiguation]]="",NodesData[[#This Row],[Common Name]],NodesData[[#This Row],[Common Name]]&amp;" ("&amp;NodesData[[#This Row],[Class Disambiguation]]&amp;")")</f>
        <v>Motivation</v>
      </c>
      <c r="F23" s="12" t="s">
        <v>4</v>
      </c>
      <c r="H23" s="20" t="str" cm="1">
        <f t="array" ref="H23">"n"&amp;SUBSTITUTE(CreateGuidString(),"-","_")</f>
        <v>n32AD74AC_423E_4A82_86D4_7713ABC5BCA4</v>
      </c>
    </row>
    <row r="24" spans="1:8" x14ac:dyDescent="0.35">
      <c r="A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Perpetrator</v>
      </c>
      <c r="B24" s="31" t="s">
        <v>1950</v>
      </c>
      <c r="C24" s="13" t="s">
        <v>1927</v>
      </c>
      <c r="E24" s="18" t="str">
        <f>IF(NodesData[[#This Row],[Class Disambiguation]]="",NodesData[[#This Row],[Common Name]],NodesData[[#This Row],[Common Name]]&amp;" ("&amp;NodesData[[#This Row],[Class Disambiguation]]&amp;")")</f>
        <v>Perpetrator</v>
      </c>
      <c r="F24" s="18" t="s">
        <v>4</v>
      </c>
      <c r="H24" s="20" t="str" cm="1">
        <f t="array" ref="H24">"n"&amp;SUBSTITUTE(CreateGuidString(),"-","_")</f>
        <v>n07086DC4_7ADC_499D_8601_93A3DED7FB85</v>
      </c>
    </row>
    <row r="25" spans="1:8" x14ac:dyDescent="0.35">
      <c r="A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Victim</v>
      </c>
      <c r="B25" s="32" t="s">
        <v>1949</v>
      </c>
      <c r="C25" s="13" t="s">
        <v>1928</v>
      </c>
      <c r="E25" s="18" t="str">
        <f>IF(NodesData[[#This Row],[Class Disambiguation]]="",NodesData[[#This Row],[Common Name]],NodesData[[#This Row],[Common Name]]&amp;" ("&amp;NodesData[[#This Row],[Class Disambiguation]]&amp;")")</f>
        <v>Victim</v>
      </c>
      <c r="F25" s="18" t="s">
        <v>4</v>
      </c>
      <c r="H25" s="20" t="str" cm="1">
        <f t="array" ref="H25">"n"&amp;SUBSTITUTE(CreateGuidString(),"-","_")</f>
        <v>n13D19DED_196E_4895_8AC6_BF074578A134</v>
      </c>
    </row>
    <row r="26" spans="1:8" x14ac:dyDescent="0.35">
      <c r="A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Accountability</v>
      </c>
      <c r="B26" s="12" t="s">
        <v>1264</v>
      </c>
      <c r="C26" s="13" t="s">
        <v>1374</v>
      </c>
      <c r="E26" s="12" t="str">
        <f>IF(NodesData[[#This Row],[Class Disambiguation]]="",NodesData[[#This Row],[Common Name]],NodesData[[#This Row],[Common Name]]&amp;" ("&amp;NodesData[[#This Row],[Class Disambiguation]]&amp;")")</f>
        <v>Accountability</v>
      </c>
      <c r="G26" s="12" t="s">
        <v>552</v>
      </c>
      <c r="H26" s="19" t="str" cm="1">
        <f t="array" ref="H26">"n"&amp;SUBSTITUTE(CreateGuidString(),"-","_")</f>
        <v>n9B96CF1B_BAC2_40E3_AC63_5BC262069FDD</v>
      </c>
    </row>
    <row r="27" spans="1:8" x14ac:dyDescent="0.35">
      <c r="A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Accreditation</v>
      </c>
      <c r="B27" s="12" t="s">
        <v>553</v>
      </c>
      <c r="C27" s="13" t="s">
        <v>1375</v>
      </c>
      <c r="E27" s="12" t="str">
        <f>IF(NodesData[[#This Row],[Class Disambiguation]]="",NodesData[[#This Row],[Common Name]],NodesData[[#This Row],[Common Name]]&amp;" ("&amp;NodesData[[#This Row],[Class Disambiguation]]&amp;")")</f>
        <v>Accreditation</v>
      </c>
      <c r="G27" s="12" t="s">
        <v>554</v>
      </c>
      <c r="H27" s="19" t="str" cm="1">
        <f t="array" ref="H27">"n"&amp;SUBSTITUTE(CreateGuidString(),"-","_")</f>
        <v>n7290560B_952F_4364_832F_DAB3A72A9A46</v>
      </c>
    </row>
    <row r="28" spans="1:8" x14ac:dyDescent="0.35">
      <c r="A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Active Impersonation Attack</v>
      </c>
      <c r="B28" s="12" t="s">
        <v>555</v>
      </c>
      <c r="C28" s="13" t="s">
        <v>1376</v>
      </c>
      <c r="E28" s="12" t="str">
        <f>IF(NodesData[[#This Row],[Class Disambiguation]]="",NodesData[[#This Row],[Common Name]],NodesData[[#This Row],[Common Name]]&amp;" ("&amp;NodesData[[#This Row],[Class Disambiguation]]&amp;")")</f>
        <v>Active Impersonation Attack</v>
      </c>
      <c r="G28" s="12" t="s">
        <v>556</v>
      </c>
      <c r="H28" s="19" t="str" cm="1">
        <f t="array" ref="H28">"n"&amp;SUBSTITUTE(CreateGuidString(),"-","_")</f>
        <v>nADC1F313_8A7E_41B3_9AA1_AB4B25E86E7C</v>
      </c>
    </row>
    <row r="29" spans="1:8" x14ac:dyDescent="0.35">
      <c r="A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 (Acronym)</v>
      </c>
      <c r="B29" s="12" t="s">
        <v>29</v>
      </c>
      <c r="C29" s="13" t="s">
        <v>1377</v>
      </c>
      <c r="D29" s="12" t="s">
        <v>1270</v>
      </c>
      <c r="E29" s="12" t="str">
        <f>IF(NodesData[[#This Row],[Class Disambiguation]]="",NodesData[[#This Row],[Common Name]],NodesData[[#This Row],[Common Name]]&amp;" ("&amp;NodesData[[#This Row],[Class Disambiguation]]&amp;")")</f>
        <v>AP (Acronym)</v>
      </c>
      <c r="G29" s="12" t="s">
        <v>557</v>
      </c>
      <c r="H29" s="19" t="str" cm="1">
        <f t="array" ref="H29">"n"&amp;SUBSTITUTE(CreateGuidString(),"-","_")</f>
        <v>n388A2B4E_099E_4875_B1F5_88E27B6A628F</v>
      </c>
    </row>
    <row r="30" spans="1:8" x14ac:dyDescent="0.35">
      <c r="A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Applicant</v>
      </c>
      <c r="B30" s="12" t="s">
        <v>558</v>
      </c>
      <c r="C30" s="13" t="s">
        <v>1378</v>
      </c>
      <c r="E30" s="12" t="str">
        <f>IF(NodesData[[#This Row],[Class Disambiguation]]="",NodesData[[#This Row],[Common Name]],NodesData[[#This Row],[Common Name]]&amp;" ("&amp;NodesData[[#This Row],[Class Disambiguation]]&amp;")")</f>
        <v>Applicant</v>
      </c>
      <c r="G30" s="12" t="s">
        <v>559</v>
      </c>
      <c r="H30" s="19" t="str" cm="1">
        <f t="array" ref="H30">"n"&amp;SUBSTITUTE(CreateGuidString(),"-","_")</f>
        <v>nC8EB1B01_561A_4635_ADBE_D62709350176</v>
      </c>
    </row>
    <row r="31" spans="1:8" x14ac:dyDescent="0.35">
      <c r="A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</v>
      </c>
      <c r="B31" s="12" t="s">
        <v>31</v>
      </c>
      <c r="C31" s="13" t="s">
        <v>1379</v>
      </c>
      <c r="E31" s="12" t="str">
        <f>IF(NodesData[[#This Row],[Class Disambiguation]]="",NodesData[[#This Row],[Common Name]],NodesData[[#This Row],[Common Name]]&amp;" ("&amp;NodesData[[#This Row],[Class Disambiguation]]&amp;")")</f>
        <v>Application</v>
      </c>
      <c r="G31" s="12" t="s">
        <v>560</v>
      </c>
      <c r="H31" s="19" t="str" cm="1">
        <f t="array" ref="H31">"n"&amp;SUBSTITUTE(CreateGuidString(),"-","_")</f>
        <v>n105C0907_CE39_42FC_9026_F57E75FCC0DC</v>
      </c>
    </row>
    <row r="32" spans="1:8" x14ac:dyDescent="0.35">
      <c r="A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Administrator</v>
      </c>
      <c r="B32" s="12" t="s">
        <v>561</v>
      </c>
      <c r="C32" s="13" t="s">
        <v>1380</v>
      </c>
      <c r="E32" s="12" t="str">
        <f>IF(NodesData[[#This Row],[Class Disambiguation]]="",NodesData[[#This Row],[Common Name]],NodesData[[#This Row],[Common Name]]&amp;" ("&amp;NodesData[[#This Row],[Class Disambiguation]]&amp;")")</f>
        <v>Application Administrator</v>
      </c>
      <c r="G32" s="12" t="s">
        <v>562</v>
      </c>
      <c r="H32" s="19" t="str" cm="1">
        <f t="array" ref="H32">"n"&amp;SUBSTITUTE(CreateGuidString(),"-","_")</f>
        <v>nEA5BDCA9_61E5_4191_AB98_7840EAE840F3</v>
      </c>
    </row>
    <row r="33" spans="1:8" x14ac:dyDescent="0.35">
      <c r="A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Instance</v>
      </c>
      <c r="B33" s="12" t="s">
        <v>563</v>
      </c>
      <c r="C33" s="13" t="s">
        <v>1381</v>
      </c>
      <c r="E33" s="12" t="str">
        <f>IF(NodesData[[#This Row],[Class Disambiguation]]="",NodesData[[#This Row],[Common Name]],NodesData[[#This Row],[Common Name]]&amp;" ("&amp;NodesData[[#This Row],[Class Disambiguation]]&amp;")")</f>
        <v>Application Instance</v>
      </c>
      <c r="G33" s="12" t="s">
        <v>564</v>
      </c>
      <c r="H33" s="19" t="str" cm="1">
        <f t="array" ref="H33">"n"&amp;SUBSTITUTE(CreateGuidString(),"-","_")</f>
        <v>nD317118B_D296_480D_8686_9436E6094FF3</v>
      </c>
    </row>
    <row r="34" spans="1:8" x14ac:dyDescent="0.35">
      <c r="A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Multiplexing</v>
      </c>
      <c r="B34" s="12" t="s">
        <v>35</v>
      </c>
      <c r="C34" s="13" t="s">
        <v>1383</v>
      </c>
      <c r="E34" s="12" t="str">
        <f>IF(NodesData[[#This Row],[Class Disambiguation]]="",NodesData[[#This Row],[Common Name]],NodesData[[#This Row],[Common Name]]&amp;" ("&amp;NodesData[[#This Row],[Class Disambiguation]]&amp;")")</f>
        <v>Application Multiplexing</v>
      </c>
      <c r="G34" s="12" t="s">
        <v>565</v>
      </c>
      <c r="H34" s="19" t="str" cm="1">
        <f t="array" ref="H34">"n"&amp;SUBSTITUTE(CreateGuidString(),"-","_")</f>
        <v>n455B102D_DF2D_4CB9_97F3_E5759B1408D9</v>
      </c>
    </row>
    <row r="35" spans="1:8" x14ac:dyDescent="0.35">
      <c r="A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Package</v>
      </c>
      <c r="B35" s="12" t="s">
        <v>566</v>
      </c>
      <c r="C35" s="13" t="s">
        <v>1384</v>
      </c>
      <c r="E35" s="12" t="str">
        <f>IF(NodesData[[#This Row],[Class Disambiguation]]="",NodesData[[#This Row],[Common Name]],NodesData[[#This Row],[Common Name]]&amp;" ("&amp;NodesData[[#This Row],[Class Disambiguation]]&amp;")")</f>
        <v>Application Package</v>
      </c>
      <c r="G35" s="12" t="s">
        <v>567</v>
      </c>
      <c r="H35" s="19" t="str" cm="1">
        <f t="array" ref="H35">"n"&amp;SUBSTITUTE(CreateGuidString(),"-","_")</f>
        <v>n3FF33BA2_6AC5_4038_8ABD_57F7C6C0BD6A</v>
      </c>
    </row>
    <row r="36" spans="1:8" x14ac:dyDescent="0.35">
      <c r="A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Program</v>
      </c>
      <c r="B36" s="12" t="s">
        <v>37</v>
      </c>
      <c r="C36" s="13" t="s">
        <v>1385</v>
      </c>
      <c r="E36" s="12" t="str">
        <f>IF(NodesData[[#This Row],[Class Disambiguation]]="",NodesData[[#This Row],[Common Name]],NodesData[[#This Row],[Common Name]]&amp;" ("&amp;NodesData[[#This Row],[Class Disambiguation]]&amp;")")</f>
        <v>Application Program</v>
      </c>
      <c r="G36" s="12" t="s">
        <v>568</v>
      </c>
      <c r="H36" s="19" t="str" cm="1">
        <f t="array" ref="H36">"n"&amp;SUBSTITUTE(CreateGuidString(),"-","_")</f>
        <v>n07BE310F_142A_491D_993F_5758CA1C0F82</v>
      </c>
    </row>
    <row r="37" spans="1:8" x14ac:dyDescent="0.35">
      <c r="A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Application-Level Policy</v>
      </c>
      <c r="B37" s="12" t="s">
        <v>569</v>
      </c>
      <c r="C37" s="13" t="s">
        <v>1382</v>
      </c>
      <c r="E37" s="12" t="str">
        <f>IF(NodesData[[#This Row],[Class Disambiguation]]="",NodesData[[#This Row],[Common Name]],NodesData[[#This Row],[Common Name]]&amp;" ("&amp;NodesData[[#This Row],[Class Disambiguation]]&amp;")")</f>
        <v>Application-Level Policy</v>
      </c>
      <c r="G37" s="12" t="s">
        <v>570</v>
      </c>
      <c r="H37" s="19" t="str" cm="1">
        <f t="array" ref="H37">"n"&amp;SUBSTITUTE(CreateGuidString(),"-","_")</f>
        <v>n8C68E310_DCED_4EEE_9622_8993B9189E39</v>
      </c>
    </row>
    <row r="38" spans="1:8" x14ac:dyDescent="0.35">
      <c r="A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Archive</v>
      </c>
      <c r="B38" s="12" t="s">
        <v>571</v>
      </c>
      <c r="C38" s="13" t="s">
        <v>1386</v>
      </c>
      <c r="E38" s="12" t="str">
        <f>IF(NodesData[[#This Row],[Class Disambiguation]]="",NodesData[[#This Row],[Common Name]],NodesData[[#This Row],[Common Name]]&amp;" ("&amp;NodesData[[#This Row],[Class Disambiguation]]&amp;")")</f>
        <v>Archive</v>
      </c>
      <c r="G38" s="12" t="s">
        <v>572</v>
      </c>
      <c r="H38" s="19" t="str" cm="1">
        <f t="array" ref="H38">"n"&amp;SUBSTITUTE(CreateGuidString(),"-","_")</f>
        <v>n95EF5B3E_5DAE_492E_95ED_8CDBE54DB20E</v>
      </c>
    </row>
    <row r="39" spans="1:8" x14ac:dyDescent="0.35">
      <c r="A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ARM (Acronym)</v>
      </c>
      <c r="B39" s="12" t="s">
        <v>39</v>
      </c>
      <c r="C39" s="13" t="s">
        <v>1387</v>
      </c>
      <c r="D39" s="12" t="s">
        <v>1270</v>
      </c>
      <c r="E39" s="12" t="str">
        <f>IF(NodesData[[#This Row],[Class Disambiguation]]="",NodesData[[#This Row],[Common Name]],NodesData[[#This Row],[Common Name]]&amp;" ("&amp;NodesData[[#This Row],[Class Disambiguation]]&amp;")")</f>
        <v>ARM (Acronym)</v>
      </c>
      <c r="G39" s="12" t="s">
        <v>573</v>
      </c>
      <c r="H39" s="19" t="str" cm="1">
        <f t="array" ref="H39">"n"&amp;SUBSTITUTE(CreateGuidString(),"-","_")</f>
        <v>n97FCAB46_FB8E_4ED9_99D8_2836BADF758E</v>
      </c>
    </row>
    <row r="40" spans="1:8" x14ac:dyDescent="0.35">
      <c r="A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Asset Custody</v>
      </c>
      <c r="B40" s="12" t="s">
        <v>574</v>
      </c>
      <c r="C40" s="13" t="s">
        <v>1388</v>
      </c>
      <c r="E40" s="12" t="str">
        <f>IF(NodesData[[#This Row],[Class Disambiguation]]="",NodesData[[#This Row],[Common Name]],NodesData[[#This Row],[Common Name]]&amp;" ("&amp;NodesData[[#This Row],[Class Disambiguation]]&amp;")")</f>
        <v>Asset Custody</v>
      </c>
      <c r="G40" s="12" t="s">
        <v>575</v>
      </c>
      <c r="H40" s="19" t="str" cm="1">
        <f t="array" ref="H40">"n"&amp;SUBSTITUTE(CreateGuidString(),"-","_")</f>
        <v>nFE882FA7_F497_484E_9059_E212E3AA9083</v>
      </c>
    </row>
    <row r="41" spans="1:8" x14ac:dyDescent="0.35">
      <c r="A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Attack Class</v>
      </c>
      <c r="B41" s="32" t="s">
        <v>1916</v>
      </c>
      <c r="C41" s="13" t="s">
        <v>1929</v>
      </c>
      <c r="E41" s="18" t="str">
        <f>IF(NodesData[[#This Row],[Class Disambiguation]]="",NodesData[[#This Row],[Common Name]],NodesData[[#This Row],[Common Name]]&amp;" ("&amp;NodesData[[#This Row],[Class Disambiguation]]&amp;")")</f>
        <v>Attack Class</v>
      </c>
      <c r="F41" s="18"/>
      <c r="H41" s="20" t="str" cm="1">
        <f t="array" ref="H41">"n"&amp;SUBSTITUTE(CreateGuidString(),"-","_")</f>
        <v>n7AD79963_8538_4CE9_8805_9B866EC8E738</v>
      </c>
    </row>
    <row r="42" spans="1:8" x14ac:dyDescent="0.35">
      <c r="A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Attestation</v>
      </c>
      <c r="B42" s="12" t="s">
        <v>41</v>
      </c>
      <c r="C42" s="13" t="s">
        <v>1389</v>
      </c>
      <c r="E42" s="12" t="str">
        <f>IF(NodesData[[#This Row],[Class Disambiguation]]="",NodesData[[#This Row],[Common Name]],NodesData[[#This Row],[Common Name]]&amp;" ("&amp;NodesData[[#This Row],[Class Disambiguation]]&amp;")")</f>
        <v>Attestation</v>
      </c>
      <c r="G42" s="12" t="s">
        <v>576</v>
      </c>
      <c r="H42" s="19" t="str" cm="1">
        <f t="array" ref="H42">"n"&amp;SUBSTITUTE(CreateGuidString(),"-","_")</f>
        <v>n4B5BA33F_1099_49EC_A997_F31FA7FF30F3</v>
      </c>
    </row>
    <row r="43" spans="1:8" x14ac:dyDescent="0.35">
      <c r="A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Attribute</v>
      </c>
      <c r="B43" s="12" t="s">
        <v>1265</v>
      </c>
      <c r="C43" s="13" t="s">
        <v>1390</v>
      </c>
      <c r="E43" s="12" t="str">
        <f>IF(NodesData[[#This Row],[Class Disambiguation]]="",NodesData[[#This Row],[Common Name]],NodesData[[#This Row],[Common Name]]&amp;" ("&amp;NodesData[[#This Row],[Class Disambiguation]]&amp;")")</f>
        <v>Attribute</v>
      </c>
      <c r="G43" s="12" t="s">
        <v>577</v>
      </c>
      <c r="H43" s="19" t="str" cm="1">
        <f t="array" ref="H43">"n"&amp;SUBSTITUTE(CreateGuidString(),"-","_")</f>
        <v>nD5CC568C_D70A_4C1F_872F_FB8B40084822</v>
      </c>
    </row>
    <row r="44" spans="1:8" x14ac:dyDescent="0.35">
      <c r="A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Attribute Provider</v>
      </c>
      <c r="B44" s="12" t="s">
        <v>578</v>
      </c>
      <c r="C44" s="13" t="s">
        <v>1391</v>
      </c>
      <c r="E44" s="12" t="str">
        <f>IF(NodesData[[#This Row],[Class Disambiguation]]="",NodesData[[#This Row],[Common Name]],NodesData[[#This Row],[Common Name]]&amp;" ("&amp;NodesData[[#This Row],[Class Disambiguation]]&amp;")")</f>
        <v>Attribute Provider</v>
      </c>
      <c r="G44" s="12" t="s">
        <v>579</v>
      </c>
      <c r="H44" s="19" t="str" cm="1">
        <f t="array" ref="H44">"n"&amp;SUBSTITUTE(CreateGuidString(),"-","_")</f>
        <v>nD38AD312_23D2_4F41_8377_B2492A1CA17C</v>
      </c>
    </row>
    <row r="45" spans="1:8" x14ac:dyDescent="0.35">
      <c r="A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Authenticated Users</v>
      </c>
      <c r="B45" s="12" t="s">
        <v>580</v>
      </c>
      <c r="C45" s="13" t="s">
        <v>1392</v>
      </c>
      <c r="E45" s="12" t="str">
        <f>IF(NodesData[[#This Row],[Class Disambiguation]]="",NodesData[[#This Row],[Common Name]],NodesData[[#This Row],[Common Name]]&amp;" ("&amp;NodesData[[#This Row],[Class Disambiguation]]&amp;")")</f>
        <v>Authenticated Users</v>
      </c>
      <c r="G45" s="12" t="s">
        <v>581</v>
      </c>
      <c r="H45" s="19" t="str" cm="1">
        <f t="array" ref="H45">"n"&amp;SUBSTITUTE(CreateGuidString(),"-","_")</f>
        <v>n0B16AA70_B7F2_4CB1_84D6_1877985D625B</v>
      </c>
    </row>
    <row r="46" spans="1:8" x14ac:dyDescent="0.35">
      <c r="A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Authentication</v>
      </c>
      <c r="B46" s="12" t="s">
        <v>582</v>
      </c>
      <c r="C46" s="13" t="s">
        <v>1393</v>
      </c>
      <c r="E46" s="12" t="str">
        <f>IF(NodesData[[#This Row],[Class Disambiguation]]="",NodesData[[#This Row],[Common Name]],NodesData[[#This Row],[Common Name]]&amp;" ("&amp;NodesData[[#This Row],[Class Disambiguation]]&amp;")")</f>
        <v>Authentication</v>
      </c>
      <c r="G46" s="12" t="s">
        <v>583</v>
      </c>
      <c r="H46" s="19" t="str" cm="1">
        <f t="array" ref="H46">"n"&amp;SUBSTITUTE(CreateGuidString(),"-","_")</f>
        <v>n5192CCF5_7CD6_41DE_943B_F1706EB0C6C8</v>
      </c>
    </row>
    <row r="47" spans="1:8" x14ac:dyDescent="0.35">
      <c r="A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Authentication Factor</v>
      </c>
      <c r="B47" s="12" t="s">
        <v>0</v>
      </c>
      <c r="C47" s="13" t="s">
        <v>1394</v>
      </c>
      <c r="E47" s="12" t="str">
        <f>IF(NodesData[[#This Row],[Class Disambiguation]]="",NodesData[[#This Row],[Common Name]],NodesData[[#This Row],[Common Name]]&amp;" ("&amp;NodesData[[#This Row],[Class Disambiguation]]&amp;")")</f>
        <v>Authentication Factor</v>
      </c>
      <c r="G47" s="12" t="s">
        <v>584</v>
      </c>
      <c r="H47" s="19" t="str" cm="1">
        <f t="array" ref="H47">"n"&amp;SUBSTITUTE(CreateGuidString(),"-","_")</f>
        <v>nB7B39C46_882F_4F6A_B03C_10B22A108C21</v>
      </c>
    </row>
    <row r="48" spans="1:8" x14ac:dyDescent="0.35">
      <c r="A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Authentication Method</v>
      </c>
      <c r="B48" s="12" t="s">
        <v>1332</v>
      </c>
      <c r="C48" s="13" t="s">
        <v>1395</v>
      </c>
      <c r="E48" s="12" t="str">
        <f>IF(NodesData[[#This Row],[Class Disambiguation]]="",NodesData[[#This Row],[Common Name]],NodesData[[#This Row],[Common Name]]&amp;" ("&amp;NodesData[[#This Row],[Class Disambiguation]]&amp;")")</f>
        <v>Authentication Method</v>
      </c>
      <c r="H48" s="19" t="str" cm="1">
        <f t="array" ref="H48">"n"&amp;SUBSTITUTE(CreateGuidString(),"-","_")</f>
        <v>nAC363F43_D1ED_4FFC_BDB3_937E76D1CA68</v>
      </c>
    </row>
    <row r="49" spans="1:8" x14ac:dyDescent="0.35">
      <c r="A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Authenticator</v>
      </c>
      <c r="B49" s="12" t="s">
        <v>585</v>
      </c>
      <c r="C49" s="13" t="s">
        <v>1396</v>
      </c>
      <c r="E49" s="12" t="str">
        <f>IF(NodesData[[#This Row],[Class Disambiguation]]="",NodesData[[#This Row],[Common Name]],NodesData[[#This Row],[Common Name]]&amp;" ("&amp;NodesData[[#This Row],[Class Disambiguation]]&amp;")")</f>
        <v>Authenticator</v>
      </c>
      <c r="G49" s="12" t="s">
        <v>586</v>
      </c>
      <c r="H49" s="19" t="str" cm="1">
        <f t="array" ref="H49">"n"&amp;SUBSTITUTE(CreateGuidString(),"-","_")</f>
        <v>n420C5BC4_634B_4FBE_A3B9_6DC6C0E927B7</v>
      </c>
    </row>
    <row r="50" spans="1:8" x14ac:dyDescent="0.35">
      <c r="A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Authority</v>
      </c>
      <c r="B50" s="12" t="s">
        <v>587</v>
      </c>
      <c r="C50" s="13" t="s">
        <v>1397</v>
      </c>
      <c r="E50" s="12" t="str">
        <f>IF(NodesData[[#This Row],[Class Disambiguation]]="",NodesData[[#This Row],[Common Name]],NodesData[[#This Row],[Common Name]]&amp;" ("&amp;NodesData[[#This Row],[Class Disambiguation]]&amp;")")</f>
        <v>Authority</v>
      </c>
      <c r="G50" s="12" t="s">
        <v>588</v>
      </c>
      <c r="H50" s="19" t="str" cm="1">
        <f t="array" ref="H50">"n"&amp;SUBSTITUTE(CreateGuidString(),"-","_")</f>
        <v>n0EE0F704_C960_4253_B8D9_4A6E42DE45D6</v>
      </c>
    </row>
    <row r="51" spans="1:8" x14ac:dyDescent="0.35">
      <c r="A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Authorization</v>
      </c>
      <c r="B51" s="12" t="s">
        <v>589</v>
      </c>
      <c r="C51" s="13" t="s">
        <v>1398</v>
      </c>
      <c r="E51" s="12" t="str">
        <f>IF(NodesData[[#This Row],[Class Disambiguation]]="",NodesData[[#This Row],[Common Name]],NodesData[[#This Row],[Common Name]]&amp;" ("&amp;NodesData[[#This Row],[Class Disambiguation]]&amp;")")</f>
        <v>Authorization</v>
      </c>
      <c r="G51" s="12" t="s">
        <v>590</v>
      </c>
      <c r="H51" s="19" t="str" cm="1">
        <f t="array" ref="H51">"n"&amp;SUBSTITUTE(CreateGuidString(),"-","_")</f>
        <v>nF34D4F75_5C24_440B_9377_247D414241EB</v>
      </c>
    </row>
    <row r="52" spans="1:8" x14ac:dyDescent="0.35">
      <c r="A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Authorization Externalization</v>
      </c>
      <c r="B52" s="12" t="s">
        <v>50</v>
      </c>
      <c r="C52" s="13" t="s">
        <v>1409</v>
      </c>
      <c r="E52" s="12" t="str">
        <f>IF(NodesData[[#This Row],[Class Disambiguation]]="",NodesData[[#This Row],[Common Name]],NodesData[[#This Row],[Common Name]]&amp;" ("&amp;NodesData[[#This Row],[Class Disambiguation]]&amp;")")</f>
        <v>Authorization Externalization</v>
      </c>
      <c r="G52" s="12" t="s">
        <v>591</v>
      </c>
      <c r="H52" s="19" t="str" cm="1">
        <f t="array" ref="H52">"n"&amp;SUBSTITUTE(CreateGuidString(),"-","_")</f>
        <v>nB5FBE7F3_1D77_4F0E_B7DE_8F35ECC1C6AE</v>
      </c>
    </row>
    <row r="53" spans="1:8" x14ac:dyDescent="0.35">
      <c r="A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Awareness</v>
      </c>
      <c r="B53" s="12" t="s">
        <v>592</v>
      </c>
      <c r="C53" s="13" t="s">
        <v>1399</v>
      </c>
      <c r="E53" s="12" t="str">
        <f>IF(NodesData[[#This Row],[Class Disambiguation]]="",NodesData[[#This Row],[Common Name]],NodesData[[#This Row],[Common Name]]&amp;" ("&amp;NodesData[[#This Row],[Class Disambiguation]]&amp;")")</f>
        <v>Awareness</v>
      </c>
      <c r="G53" s="12" t="s">
        <v>593</v>
      </c>
      <c r="H53" s="19" t="str" cm="1">
        <f t="array" ref="H53">"n"&amp;SUBSTITUTE(CreateGuidString(),"-","_")</f>
        <v>nAF2ECDE8_AAF2_4085_A628_1C78999C52B5</v>
      </c>
    </row>
    <row r="54" spans="1:8" x14ac:dyDescent="0.35">
      <c r="A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Account Root User</v>
      </c>
      <c r="B54" s="12" t="s">
        <v>594</v>
      </c>
      <c r="C54" s="13" t="s">
        <v>1400</v>
      </c>
      <c r="E54" s="12" t="str">
        <f>IF(NodesData[[#This Row],[Class Disambiguation]]="",NodesData[[#This Row],[Common Name]],NodesData[[#This Row],[Common Name]]&amp;" ("&amp;NodesData[[#This Row],[Class Disambiguation]]&amp;")")</f>
        <v>AWS Account Root User</v>
      </c>
      <c r="G54" s="12" t="s">
        <v>595</v>
      </c>
      <c r="H54" s="19" t="str" cm="1">
        <f t="array" ref="H54">"n"&amp;SUBSTITUTE(CreateGuidString(),"-","_")</f>
        <v>nC86747F0_1116_4DB4_A373_B6A804634F22</v>
      </c>
    </row>
    <row r="55" spans="1:8" x14ac:dyDescent="0.35">
      <c r="A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ACL (Acronym)</v>
      </c>
      <c r="B55" s="12" t="s">
        <v>596</v>
      </c>
      <c r="C55" s="13" t="s">
        <v>1401</v>
      </c>
      <c r="D55" s="12" t="s">
        <v>1270</v>
      </c>
      <c r="E55" s="12" t="str">
        <f>IF(NodesData[[#This Row],[Class Disambiguation]]="",NodesData[[#This Row],[Common Name]],NodesData[[#This Row],[Common Name]]&amp;" ("&amp;NodesData[[#This Row],[Class Disambiguation]]&amp;")")</f>
        <v>AWS ACL (Acronym)</v>
      </c>
      <c r="G55" s="12" t="s">
        <v>597</v>
      </c>
      <c r="H55" s="19" t="str" cm="1">
        <f t="array" ref="H55">"n"&amp;SUBSTITUTE(CreateGuidString(),"-","_")</f>
        <v>n67D0047A_5B90_40B1_B37B_B8646E1708FB</v>
      </c>
    </row>
    <row r="56" spans="1:8" x14ac:dyDescent="0.35">
      <c r="A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Group (Acronym)</v>
      </c>
      <c r="B56" s="12" t="s">
        <v>600</v>
      </c>
      <c r="C56" s="13" t="s">
        <v>1403</v>
      </c>
      <c r="D56" s="12" t="s">
        <v>1270</v>
      </c>
      <c r="E56" s="12" t="str">
        <f>IF(NodesData[[#This Row],[Class Disambiguation]]="",NodesData[[#This Row],[Common Name]],NodesData[[#This Row],[Common Name]]&amp;" ("&amp;NodesData[[#This Row],[Class Disambiguation]]&amp;")")</f>
        <v>AWS IAM Group (Acronym)</v>
      </c>
      <c r="G56" s="12" t="s">
        <v>601</v>
      </c>
      <c r="H56" s="19" t="str" cm="1">
        <f t="array" ref="H56">"n"&amp;SUBSTITUTE(CreateGuidString(),"-","_")</f>
        <v>n0A5CFBE7_DB66_46DC_A146_5FF0E11872AB</v>
      </c>
    </row>
    <row r="57" spans="1:8" x14ac:dyDescent="0.35">
      <c r="A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Policy (Acronym)</v>
      </c>
      <c r="B57" s="12" t="s">
        <v>602</v>
      </c>
      <c r="C57" s="13" t="s">
        <v>1404</v>
      </c>
      <c r="D57" s="12" t="s">
        <v>1270</v>
      </c>
      <c r="E57" s="12" t="str">
        <f>IF(NodesData[[#This Row],[Class Disambiguation]]="",NodesData[[#This Row],[Common Name]],NodesData[[#This Row],[Common Name]]&amp;" ("&amp;NodesData[[#This Row],[Class Disambiguation]]&amp;")")</f>
        <v>AWS IAM Policy (Acronym)</v>
      </c>
      <c r="G57" s="12" t="s">
        <v>603</v>
      </c>
      <c r="H57" s="19" t="str" cm="1">
        <f t="array" ref="H57">"n"&amp;SUBSTITUTE(CreateGuidString(),"-","_")</f>
        <v>nDD96016C_0A30_435D_9B1C_0DEFBEA05968</v>
      </c>
    </row>
    <row r="58" spans="1:8" x14ac:dyDescent="0.35">
      <c r="A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Principal (Acronym)</v>
      </c>
      <c r="B58" s="12" t="s">
        <v>604</v>
      </c>
      <c r="C58" s="13" t="s">
        <v>1405</v>
      </c>
      <c r="D58" s="12" t="s">
        <v>1270</v>
      </c>
      <c r="E58" s="12" t="str">
        <f>IF(NodesData[[#This Row],[Class Disambiguation]]="",NodesData[[#This Row],[Common Name]],NodesData[[#This Row],[Common Name]]&amp;" ("&amp;NodesData[[#This Row],[Class Disambiguation]]&amp;")")</f>
        <v>AWS IAM Principal (Acronym)</v>
      </c>
      <c r="G58" s="12" t="s">
        <v>605</v>
      </c>
      <c r="H58" s="19" t="str" cm="1">
        <f t="array" ref="H58">"n"&amp;SUBSTITUTE(CreateGuidString(),"-","_")</f>
        <v>nF1BC6C5C_58C9_4A92_9F9A_78D4A0C10CF3</v>
      </c>
    </row>
    <row r="59" spans="1:8" x14ac:dyDescent="0.35">
      <c r="A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Role (Acronym)</v>
      </c>
      <c r="B59" s="12" t="s">
        <v>606</v>
      </c>
      <c r="C59" s="13" t="s">
        <v>1406</v>
      </c>
      <c r="D59" s="12" t="s">
        <v>1270</v>
      </c>
      <c r="E59" s="12" t="str">
        <f>IF(NodesData[[#This Row],[Class Disambiguation]]="",NodesData[[#This Row],[Common Name]],NodesData[[#This Row],[Common Name]]&amp;" ("&amp;NodesData[[#This Row],[Class Disambiguation]]&amp;")")</f>
        <v>AWS IAM Role (Acronym)</v>
      </c>
      <c r="G59" s="12" t="s">
        <v>607</v>
      </c>
      <c r="H59" s="19" t="str" cm="1">
        <f t="array" ref="H59">"n"&amp;SUBSTITUTE(CreateGuidString(),"-","_")</f>
        <v>n34557851_833D_44B0_B9D5_E0F4CF74B040</v>
      </c>
    </row>
    <row r="60" spans="1:8" x14ac:dyDescent="0.35">
      <c r="A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Temporary Security Credentials (Acronym)</v>
      </c>
      <c r="B60" s="12" t="s">
        <v>608</v>
      </c>
      <c r="C60" s="13" t="s">
        <v>1407</v>
      </c>
      <c r="D60" s="12" t="s">
        <v>1270</v>
      </c>
      <c r="E60" s="12" t="str">
        <f>IF(NodesData[[#This Row],[Class Disambiguation]]="",NodesData[[#This Row],[Common Name]],NodesData[[#This Row],[Common Name]]&amp;" ("&amp;NodesData[[#This Row],[Class Disambiguation]]&amp;")")</f>
        <v>AWS IAM Temporary Security Credentials (Acronym)</v>
      </c>
      <c r="G60" s="12" t="s">
        <v>609</v>
      </c>
      <c r="H60" s="19" t="str" cm="1">
        <f t="array" ref="H60">"n"&amp;SUBSTITUTE(CreateGuidString(),"-","_")</f>
        <v>nBC5AB1BE_C486_42BE_900F_112E74257DEB</v>
      </c>
    </row>
    <row r="61" spans="1:8" x14ac:dyDescent="0.35">
      <c r="A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User (Acronym)</v>
      </c>
      <c r="B61" s="12" t="s">
        <v>610</v>
      </c>
      <c r="C61" s="13" t="s">
        <v>1408</v>
      </c>
      <c r="D61" s="12" t="s">
        <v>1270</v>
      </c>
      <c r="E61" s="12" t="str">
        <f>IF(NodesData[[#This Row],[Class Disambiguation]]="",NodesData[[#This Row],[Common Name]],NodesData[[#This Row],[Common Name]]&amp;" ("&amp;NodesData[[#This Row],[Class Disambiguation]]&amp;")")</f>
        <v>AWS IAM User (Acronym)</v>
      </c>
      <c r="G61" s="12" t="s">
        <v>611</v>
      </c>
      <c r="H61" s="19" t="str" cm="1">
        <f t="array" ref="H61">"n"&amp;SUBSTITUTE(CreateGuidString(),"-","_")</f>
        <v>n54D1C8C1_4825_4DF9_AF94_76ECE3A26F55</v>
      </c>
    </row>
    <row r="62" spans="1:8" x14ac:dyDescent="0.35">
      <c r="A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(Acronym)</v>
      </c>
      <c r="B62" s="12" t="s">
        <v>598</v>
      </c>
      <c r="C62" s="13" t="s">
        <v>1402</v>
      </c>
      <c r="D62" s="12" t="s">
        <v>1270</v>
      </c>
      <c r="E62" s="12" t="str">
        <f>IF(NodesData[[#This Row],[Class Disambiguation]]="",NodesData[[#This Row],[Common Name]],NodesData[[#This Row],[Common Name]]&amp;" ("&amp;NodesData[[#This Row],[Class Disambiguation]]&amp;")")</f>
        <v>AWS IAM (Acronym)</v>
      </c>
      <c r="G62" s="12" t="s">
        <v>599</v>
      </c>
      <c r="H62" s="19" t="str" cm="1">
        <f t="array" ref="H62">"n"&amp;SUBSTITUTE(CreateGuidString(),"-","_")</f>
        <v>n605E49C7_C347_4157_A7D7_3EBF4C811337</v>
      </c>
    </row>
    <row r="63" spans="1:8" x14ac:dyDescent="0.35">
      <c r="A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Back-end Authentication</v>
      </c>
      <c r="B63" s="12" t="s">
        <v>1301</v>
      </c>
      <c r="C63" s="13" t="s">
        <v>1412</v>
      </c>
      <c r="E63" s="12" t="str">
        <f>IF(NodesData[[#This Row],[Class Disambiguation]]="",NodesData[[#This Row],[Common Name]],NodesData[[#This Row],[Common Name]]&amp;" ("&amp;NodesData[[#This Row],[Class Disambiguation]]&amp;")")</f>
        <v>Back-end Authentication</v>
      </c>
      <c r="H63" s="19" t="str" cm="1">
        <f t="array" ref="H63">"n"&amp;SUBSTITUTE(CreateGuidString(),"-","_")</f>
        <v>n43AEAB9A_0350_4A03_ACA9_5F8560E8E322</v>
      </c>
    </row>
    <row r="64" spans="1:8" x14ac:dyDescent="0.35">
      <c r="A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BankID (Acronym)</v>
      </c>
      <c r="B64" s="12" t="s">
        <v>612</v>
      </c>
      <c r="C64" s="13" t="s">
        <v>1410</v>
      </c>
      <c r="D64" s="12" t="s">
        <v>1270</v>
      </c>
      <c r="E64" s="12" t="str">
        <f>IF(NodesData[[#This Row],[Class Disambiguation]]="",NodesData[[#This Row],[Common Name]],NodesData[[#This Row],[Common Name]]&amp;" ("&amp;NodesData[[#This Row],[Class Disambiguation]]&amp;")")</f>
        <v>BankID (Acronym)</v>
      </c>
      <c r="G64" s="12" t="s">
        <v>613</v>
      </c>
      <c r="H64" s="19" t="str" cm="1">
        <f t="array" ref="H64">"n"&amp;SUBSTITUTE(CreateGuidString(),"-","_")</f>
        <v>nDDD9056B_F167_4F1C_B169_0D1E831DC9BA</v>
      </c>
    </row>
    <row r="65" spans="1:8" x14ac:dyDescent="0.35">
      <c r="A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Basic Z Rule</v>
      </c>
      <c r="B65" s="12" t="s">
        <v>614</v>
      </c>
      <c r="C65" s="13" t="s">
        <v>1411</v>
      </c>
      <c r="E65" s="12" t="str">
        <f>IF(NodesData[[#This Row],[Class Disambiguation]]="",NodesData[[#This Row],[Common Name]],NodesData[[#This Row],[Common Name]]&amp;" ("&amp;NodesData[[#This Row],[Class Disambiguation]]&amp;")")</f>
        <v>Basic Z Rule</v>
      </c>
      <c r="G65" s="12" t="s">
        <v>615</v>
      </c>
      <c r="H65" s="19" t="str" cm="1">
        <f t="array" ref="H65">"n"&amp;SUBSTITUTE(CreateGuidString(),"-","_")</f>
        <v>n1A178077_21F9_4997_A0E2_F429B4E40A2E</v>
      </c>
    </row>
    <row r="66" spans="1:8" x14ac:dyDescent="0.35">
      <c r="A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Behavioral Authentication</v>
      </c>
      <c r="B66" s="12" t="s">
        <v>70</v>
      </c>
      <c r="C66" s="13" t="s">
        <v>1414</v>
      </c>
      <c r="E66" s="12" t="str">
        <f>IF(NodesData[[#This Row],[Class Disambiguation]]="",NodesData[[#This Row],[Common Name]],NodesData[[#This Row],[Common Name]]&amp;" ("&amp;NodesData[[#This Row],[Class Disambiguation]]&amp;")")</f>
        <v>Behavioral Authentication</v>
      </c>
      <c r="G66" s="12" t="s">
        <v>616</v>
      </c>
      <c r="H66" s="19" t="str" cm="1">
        <f t="array" ref="H66">"n"&amp;SUBSTITUTE(CreateGuidString(),"-","_")</f>
        <v>n6DB8B208_7C98_424D_AD18_0D0B71794756</v>
      </c>
    </row>
    <row r="67" spans="1:8" x14ac:dyDescent="0.35">
      <c r="A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Bell-LaPadula Model</v>
      </c>
      <c r="B67" s="12" t="s">
        <v>72</v>
      </c>
      <c r="C67" s="13" t="s">
        <v>1413</v>
      </c>
      <c r="E67" s="12" t="str">
        <f>IF(NodesData[[#This Row],[Class Disambiguation]]="",NodesData[[#This Row],[Common Name]],NodesData[[#This Row],[Common Name]]&amp;" ("&amp;NodesData[[#This Row],[Class Disambiguation]]&amp;")")</f>
        <v>Bell-LaPadula Model</v>
      </c>
      <c r="G67" s="12" t="s">
        <v>617</v>
      </c>
      <c r="H67" s="19" t="str" cm="1">
        <f t="array" ref="H67">"n"&amp;SUBSTITUTE(CreateGuidString(),"-","_")</f>
        <v>nA19EB3CA_9A9F_4154_AC81_5B357DD6F2AD</v>
      </c>
    </row>
    <row r="68" spans="1:8" x14ac:dyDescent="0.35">
      <c r="A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Biometric Authentication</v>
      </c>
      <c r="B68" s="12" t="s">
        <v>1302</v>
      </c>
      <c r="C68" s="13" t="s">
        <v>1420</v>
      </c>
      <c r="E68" s="12" t="str">
        <f>IF(NodesData[[#This Row],[Class Disambiguation]]="",NodesData[[#This Row],[Common Name]],NodesData[[#This Row],[Common Name]]&amp;" ("&amp;NodesData[[#This Row],[Class Disambiguation]]&amp;")")</f>
        <v>Biometric Authentication</v>
      </c>
      <c r="H68" s="19" t="str" cm="1">
        <f t="array" ref="H68">"n"&amp;SUBSTITUTE(CreateGuidString(),"-","_")</f>
        <v>n93F96BE8_2EDF_4976_ABDB_5BF3609170E6</v>
      </c>
    </row>
    <row r="69" spans="1:8" x14ac:dyDescent="0.35">
      <c r="A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Biometric Identification</v>
      </c>
      <c r="B69" s="12" t="s">
        <v>618</v>
      </c>
      <c r="C69" s="13" t="s">
        <v>1415</v>
      </c>
      <c r="E69" s="12" t="str">
        <f>IF(NodesData[[#This Row],[Class Disambiguation]]="",NodesData[[#This Row],[Common Name]],NodesData[[#This Row],[Common Name]]&amp;" ("&amp;NodesData[[#This Row],[Class Disambiguation]]&amp;")")</f>
        <v>Biometric Identification</v>
      </c>
      <c r="G69" s="12" t="s">
        <v>619</v>
      </c>
      <c r="H69" s="19" t="str" cm="1">
        <f t="array" ref="H69">"n"&amp;SUBSTITUTE(CreateGuidString(),"-","_")</f>
        <v>nF0EAB9A6_185D_4970_9153_1783886CBC3B</v>
      </c>
    </row>
    <row r="70" spans="1:8" x14ac:dyDescent="0.35">
      <c r="A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Biometrics</v>
      </c>
      <c r="B70" s="12" t="s">
        <v>620</v>
      </c>
      <c r="C70" s="13" t="s">
        <v>1416</v>
      </c>
      <c r="E70" s="12" t="str">
        <f>IF(NodesData[[#This Row],[Class Disambiguation]]="",NodesData[[#This Row],[Common Name]],NodesData[[#This Row],[Common Name]]&amp;" ("&amp;NodesData[[#This Row],[Class Disambiguation]]&amp;")")</f>
        <v>Biometrics</v>
      </c>
      <c r="G70" s="12" t="s">
        <v>621</v>
      </c>
      <c r="H70" s="19" t="str" cm="1">
        <f t="array" ref="H70">"n"&amp;SUBSTITUTE(CreateGuidString(),"-","_")</f>
        <v>n81E243F8_552E_41FE_AF7E_3DC96F24A4E4</v>
      </c>
    </row>
    <row r="71" spans="1:8" x14ac:dyDescent="0.35">
      <c r="A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Birth Certificate</v>
      </c>
      <c r="B71" s="12" t="s">
        <v>622</v>
      </c>
      <c r="C71" s="13" t="s">
        <v>1417</v>
      </c>
      <c r="E71" s="12" t="str">
        <f>IF(NodesData[[#This Row],[Class Disambiguation]]="",NodesData[[#This Row],[Common Name]],NodesData[[#This Row],[Common Name]]&amp;" ("&amp;NodesData[[#This Row],[Class Disambiguation]]&amp;")")</f>
        <v>Birth Certificate</v>
      </c>
      <c r="G71" s="12" t="s">
        <v>623</v>
      </c>
      <c r="H71" s="19" t="str" cm="1">
        <f t="array" ref="H71">"n"&amp;SUBSTITUTE(CreateGuidString(),"-","_")</f>
        <v>n9D67D2E1_5873_4F81_BC20_3BF591CBED79</v>
      </c>
    </row>
    <row r="72" spans="1:8" x14ac:dyDescent="0.35">
      <c r="A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Blast Radius</v>
      </c>
      <c r="B72" s="12" t="s">
        <v>624</v>
      </c>
      <c r="C72" s="13" t="s">
        <v>1418</v>
      </c>
      <c r="E72" s="12" t="str">
        <f>IF(NodesData[[#This Row],[Class Disambiguation]]="",NodesData[[#This Row],[Common Name]],NodesData[[#This Row],[Common Name]]&amp;" ("&amp;NodesData[[#This Row],[Class Disambiguation]]&amp;")")</f>
        <v>Blast Radius</v>
      </c>
      <c r="G72" s="12" t="s">
        <v>625</v>
      </c>
      <c r="H72" s="19" t="str" cm="1">
        <f t="array" ref="H72">"n"&amp;SUBSTITUTE(CreateGuidString(),"-","_")</f>
        <v>n2619CEBD_A80D_486B_A931_E8C08CBF7FC0</v>
      </c>
    </row>
    <row r="73" spans="1:8" x14ac:dyDescent="0.35">
      <c r="A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Boundary Control</v>
      </c>
      <c r="B73" s="12" t="s">
        <v>79</v>
      </c>
      <c r="C73" s="13" t="s">
        <v>1419</v>
      </c>
      <c r="E73" s="12" t="str">
        <f>IF(NodesData[[#This Row],[Class Disambiguation]]="",NodesData[[#This Row],[Common Name]],NodesData[[#This Row],[Common Name]]&amp;" ("&amp;NodesData[[#This Row],[Class Disambiguation]]&amp;")")</f>
        <v>Boundary Control</v>
      </c>
      <c r="G73" s="12" t="s">
        <v>626</v>
      </c>
      <c r="H73" s="19" t="str" cm="1">
        <f t="array" ref="H73">"n"&amp;SUBSTITUTE(CreateGuidString(),"-","_")</f>
        <v>n3A0C4AFC_A6F1_469D_86A3_4BF88790B9E0</v>
      </c>
    </row>
    <row r="74" spans="1:8" x14ac:dyDescent="0.35">
      <c r="A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Brainwaves Authentication</v>
      </c>
      <c r="B74" s="12" t="s">
        <v>1303</v>
      </c>
      <c r="C74" s="13" t="s">
        <v>1428</v>
      </c>
      <c r="E74" s="12" t="str">
        <f>IF(NodesData[[#This Row],[Class Disambiguation]]="",NodesData[[#This Row],[Common Name]],NodesData[[#This Row],[Common Name]]&amp;" ("&amp;NodesData[[#This Row],[Class Disambiguation]]&amp;")")</f>
        <v>Brainwaves Authentication</v>
      </c>
      <c r="H74" s="19" t="str" cm="1">
        <f t="array" ref="H74">"n"&amp;SUBSTITUTE(CreateGuidString(),"-","_")</f>
        <v>nC47ED0DD_0B33_4804_A7D8_D8EA7F695AC4</v>
      </c>
    </row>
    <row r="75" spans="1:8" x14ac:dyDescent="0.35">
      <c r="A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Broker</v>
      </c>
      <c r="B75" s="12" t="s">
        <v>627</v>
      </c>
      <c r="C75" s="13" t="s">
        <v>1421</v>
      </c>
      <c r="E75" s="12" t="str">
        <f>IF(NodesData[[#This Row],[Class Disambiguation]]="",NodesData[[#This Row],[Common Name]],NodesData[[#This Row],[Common Name]]&amp;" ("&amp;NodesData[[#This Row],[Class Disambiguation]]&amp;")")</f>
        <v>Broker</v>
      </c>
      <c r="G75" s="12" t="s">
        <v>628</v>
      </c>
      <c r="H75" s="19" t="str" cm="1">
        <f t="array" ref="H75">"n"&amp;SUBSTITUTE(CreateGuidString(),"-","_")</f>
        <v>nD0F28319_D058_4759_97E0_B1D522A6B5AC</v>
      </c>
    </row>
    <row r="76" spans="1:8" x14ac:dyDescent="0.35">
      <c r="A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Brute Force Attack</v>
      </c>
      <c r="B76" s="12" t="s">
        <v>81</v>
      </c>
      <c r="C76" s="13" t="s">
        <v>1422</v>
      </c>
      <c r="E76" s="12" t="str">
        <f>IF(NodesData[[#This Row],[Class Disambiguation]]="",NodesData[[#This Row],[Common Name]],NodesData[[#This Row],[Common Name]]&amp;" ("&amp;NodesData[[#This Row],[Class Disambiguation]]&amp;")")</f>
        <v>Brute Force Attack</v>
      </c>
      <c r="G76" s="12" t="s">
        <v>629</v>
      </c>
      <c r="H76" s="19" t="str" cm="1">
        <f t="array" ref="H76">"n"&amp;SUBSTITUTE(CreateGuidString(),"-","_")</f>
        <v>n3E18E0DA_0D18_46ED_9B67_7FB152F42BEE</v>
      </c>
    </row>
    <row r="77" spans="1:8" x14ac:dyDescent="0.35">
      <c r="A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Built-in</v>
      </c>
      <c r="B77" s="12" t="s">
        <v>630</v>
      </c>
      <c r="C77" s="13" t="s">
        <v>1423</v>
      </c>
      <c r="E77" s="12" t="str">
        <f>IF(NodesData[[#This Row],[Class Disambiguation]]="",NodesData[[#This Row],[Common Name]],NodesData[[#This Row],[Common Name]]&amp;" ("&amp;NodesData[[#This Row],[Class Disambiguation]]&amp;")")</f>
        <v>Built-in</v>
      </c>
      <c r="G77" s="12" t="s">
        <v>631</v>
      </c>
      <c r="H77" s="19" t="str" cm="1">
        <f t="array" ref="H77">"n"&amp;SUBSTITUTE(CreateGuidString(),"-","_")</f>
        <v>n126086AA_2E3D_4022_93A2_EC4FAAB56A3F</v>
      </c>
    </row>
    <row r="78" spans="1:8" x14ac:dyDescent="0.35">
      <c r="A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BZR (Acronym)</v>
      </c>
      <c r="B78" s="12" t="s">
        <v>83</v>
      </c>
      <c r="C78" s="13" t="s">
        <v>1424</v>
      </c>
      <c r="D78" s="12" t="s">
        <v>1270</v>
      </c>
      <c r="E78" s="12" t="str">
        <f>IF(NodesData[[#This Row],[Class Disambiguation]]="",NodesData[[#This Row],[Common Name]],NodesData[[#This Row],[Common Name]]&amp;" ("&amp;NodesData[[#This Row],[Class Disambiguation]]&amp;")")</f>
        <v>BZR (Acronym)</v>
      </c>
      <c r="G78" s="12" t="s">
        <v>632</v>
      </c>
      <c r="H78" s="19" t="str" cm="1">
        <f t="array" ref="H78">"n"&amp;SUBSTITUTE(CreateGuidString(),"-","_")</f>
        <v>nC485B0C2_72C8_4C6C_8085_63A858FA9EC0</v>
      </c>
    </row>
    <row r="79" spans="1:8" x14ac:dyDescent="0.35">
      <c r="A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Cached Credential</v>
      </c>
      <c r="B79" s="12" t="s">
        <v>84</v>
      </c>
      <c r="C79" s="13" t="s">
        <v>1425</v>
      </c>
      <c r="E79" s="12" t="str">
        <f>IF(NodesData[[#This Row],[Class Disambiguation]]="",NodesData[[#This Row],[Common Name]],NodesData[[#This Row],[Common Name]]&amp;" ("&amp;NodesData[[#This Row],[Class Disambiguation]]&amp;")")</f>
        <v>Cached Credential</v>
      </c>
      <c r="G79" s="12" t="s">
        <v>633</v>
      </c>
      <c r="H79" s="19" t="str" cm="1">
        <f t="array" ref="H79">"n"&amp;SUBSTITUTE(CreateGuidString(),"-","_")</f>
        <v>nC060105C_E7CE_44EA_94DE_9185838396BE</v>
      </c>
    </row>
    <row r="80" spans="1:8" x14ac:dyDescent="0.35">
      <c r="A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Capability to store information</v>
      </c>
      <c r="B80" s="12" t="s">
        <v>1348</v>
      </c>
      <c r="C80" s="13" t="s">
        <v>1910</v>
      </c>
      <c r="E80" s="18" t="str">
        <f>IF(NodesData[[#This Row],[Class Disambiguation]]="",NodesData[[#This Row],[Common Name]],NodesData[[#This Row],[Common Name]]&amp;" ("&amp;NodesData[[#This Row],[Class Disambiguation]]&amp;")")</f>
        <v>Capability to store information</v>
      </c>
      <c r="F80" s="18"/>
      <c r="H80" s="20" t="str" cm="1">
        <f t="array" ref="H80">"n"&amp;SUBSTITUTE(CreateGuidString(),"-","_")</f>
        <v>n074C2403_A71D_4D0A_B95F_9995FA16E7DF</v>
      </c>
    </row>
    <row r="81" spans="1:8" x14ac:dyDescent="0.35">
      <c r="A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Capability to transform information</v>
      </c>
      <c r="B81" s="12" t="s">
        <v>1349</v>
      </c>
      <c r="C81" s="13" t="s">
        <v>1911</v>
      </c>
      <c r="E81" s="18" t="str">
        <f>IF(NodesData[[#This Row],[Class Disambiguation]]="",NodesData[[#This Row],[Common Name]],NodesData[[#This Row],[Common Name]]&amp;" ("&amp;NodesData[[#This Row],[Class Disambiguation]]&amp;")")</f>
        <v>Capability to transform information</v>
      </c>
      <c r="F81" s="18"/>
      <c r="H81" s="20" t="str" cm="1">
        <f t="array" ref="H81">"n"&amp;SUBSTITUTE(CreateGuidString(),"-","_")</f>
        <v>nD5F17A40_EE78_4357_8478_3F3DA923452B</v>
      </c>
    </row>
    <row r="82" spans="1:8" x14ac:dyDescent="0.35">
      <c r="A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Capability to transmit information</v>
      </c>
      <c r="B82" s="12" t="s">
        <v>1350</v>
      </c>
      <c r="C82" s="13" t="s">
        <v>1912</v>
      </c>
      <c r="E82" s="18" t="str">
        <f>IF(NodesData[[#This Row],[Class Disambiguation]]="",NodesData[[#This Row],[Common Name]],NodesData[[#This Row],[Common Name]]&amp;" ("&amp;NodesData[[#This Row],[Class Disambiguation]]&amp;")")</f>
        <v>Capability to transmit information</v>
      </c>
      <c r="F82" s="18"/>
      <c r="H82" s="20" t="str" cm="1">
        <f t="array" ref="H82">"n"&amp;SUBSTITUTE(CreateGuidString(),"-","_")</f>
        <v>n961AF5E1_7BD8_44D6_8F26_B4C5D52D7959</v>
      </c>
    </row>
    <row r="83" spans="1:8" x14ac:dyDescent="0.35">
      <c r="A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Capabilty to collect information</v>
      </c>
      <c r="B83" s="12" t="s">
        <v>1347</v>
      </c>
      <c r="C83" s="13" t="s">
        <v>1913</v>
      </c>
      <c r="E83" s="18" t="str">
        <f>IF(NodesData[[#This Row],[Class Disambiguation]]="",NodesData[[#This Row],[Common Name]],NodesData[[#This Row],[Common Name]]&amp;" ("&amp;NodesData[[#This Row],[Class Disambiguation]]&amp;")")</f>
        <v>Capabilty to collect information</v>
      </c>
      <c r="F83" s="18"/>
      <c r="H83" s="20" t="str" cm="1">
        <f t="array" ref="H83">"n"&amp;SUBSTITUTE(CreateGuidString(),"-","_")</f>
        <v>n7547102E_BD09_4BF5_AD3B_CEEC27E3AB67</v>
      </c>
    </row>
    <row r="84" spans="1:8" x14ac:dyDescent="0.35">
      <c r="A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Causing Reputation Harm</v>
      </c>
      <c r="B84" s="31" t="s">
        <v>1923</v>
      </c>
      <c r="C84" s="13" t="s">
        <v>1930</v>
      </c>
      <c r="E84" s="18" t="str">
        <f>IF(NodesData[[#This Row],[Class Disambiguation]]="",NodesData[[#This Row],[Common Name]],NodesData[[#This Row],[Common Name]]&amp;" ("&amp;NodesData[[#This Row],[Class Disambiguation]]&amp;")")</f>
        <v>Causing Reputation Harm</v>
      </c>
      <c r="F84" s="18"/>
      <c r="H84" s="20" t="str" cm="1">
        <f t="array" ref="H84">"n"&amp;SUBSTITUTE(CreateGuidString(),"-","_")</f>
        <v>n3DFED6AD_BD93_4399_9A6F_0F5DB2F2020D</v>
      </c>
    </row>
    <row r="85" spans="1:8" x14ac:dyDescent="0.35">
      <c r="A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CDD (Acronym)</v>
      </c>
      <c r="B85" s="12" t="s">
        <v>88</v>
      </c>
      <c r="C85" s="13" t="s">
        <v>1426</v>
      </c>
      <c r="D85" s="12" t="s">
        <v>1270</v>
      </c>
      <c r="E85" s="12" t="str">
        <f>IF(NodesData[[#This Row],[Class Disambiguation]]="",NodesData[[#This Row],[Common Name]],NodesData[[#This Row],[Common Name]]&amp;" ("&amp;NodesData[[#This Row],[Class Disambiguation]]&amp;")")</f>
        <v>CDD (Acronym)</v>
      </c>
      <c r="G85" s="12" t="s">
        <v>634</v>
      </c>
      <c r="H85" s="19" t="str" cm="1">
        <f t="array" ref="H85">"n"&amp;SUBSTITUTE(CreateGuidString(),"-","_")</f>
        <v>n8071CFFC_E9CC_482E_8543_93D03C44B63C</v>
      </c>
    </row>
    <row r="86" spans="1:8" x14ac:dyDescent="0.35">
      <c r="A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Centralized Identity Management System</v>
      </c>
      <c r="B86" s="12" t="s">
        <v>635</v>
      </c>
      <c r="C86" s="13" t="s">
        <v>1427</v>
      </c>
      <c r="E86" s="12" t="str">
        <f>IF(NodesData[[#This Row],[Class Disambiguation]]="",NodesData[[#This Row],[Common Name]],NodesData[[#This Row],[Common Name]]&amp;" ("&amp;NodesData[[#This Row],[Class Disambiguation]]&amp;")")</f>
        <v>Centralized Identity Management System</v>
      </c>
      <c r="G86" s="12" t="s">
        <v>636</v>
      </c>
      <c r="H86" s="19" t="str" cm="1">
        <f t="array" ref="H86">"n"&amp;SUBSTITUTE(CreateGuidString(),"-","_")</f>
        <v>n17E0503C_7433_458E_B710_C4301AA9F9A2</v>
      </c>
    </row>
    <row r="87" spans="1:8" x14ac:dyDescent="0.35">
      <c r="A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Certificate-based Authentication</v>
      </c>
      <c r="B87" s="12" t="s">
        <v>1316</v>
      </c>
      <c r="C87" s="13" t="s">
        <v>1435</v>
      </c>
      <c r="E87" s="12" t="str">
        <f>IF(NodesData[[#This Row],[Class Disambiguation]]="",NodesData[[#This Row],[Common Name]],NodesData[[#This Row],[Common Name]]&amp;" ("&amp;NodesData[[#This Row],[Class Disambiguation]]&amp;")")</f>
        <v>Certificate-based Authentication</v>
      </c>
      <c r="H87" s="19" t="str" cm="1">
        <f t="array" ref="H87">"n"&amp;SUBSTITUTE(CreateGuidString(),"-","_")</f>
        <v>n2F239819_B658_41F1_92A7_5450C031C0DD</v>
      </c>
    </row>
    <row r="88" spans="1:8" x14ac:dyDescent="0.35">
      <c r="A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Certification</v>
      </c>
      <c r="B88" s="12" t="s">
        <v>637</v>
      </c>
      <c r="C88" s="13" t="s">
        <v>1429</v>
      </c>
      <c r="E88" s="12" t="str">
        <f>IF(NodesData[[#This Row],[Class Disambiguation]]="",NodesData[[#This Row],[Common Name]],NodesData[[#This Row],[Common Name]]&amp;" ("&amp;NodesData[[#This Row],[Class Disambiguation]]&amp;")")</f>
        <v>Certification</v>
      </c>
      <c r="G88" s="12" t="s">
        <v>638</v>
      </c>
      <c r="H88" s="19" t="str" cm="1">
        <f t="array" ref="H88">"n"&amp;SUBSTITUTE(CreateGuidString(),"-","_")</f>
        <v>nDDE0ADEF_5647_4B17_B382_CB87CC148395</v>
      </c>
    </row>
    <row r="89" spans="1:8" x14ac:dyDescent="0.35">
      <c r="A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CIBA (Acronym)</v>
      </c>
      <c r="B89" s="12" t="s">
        <v>91</v>
      </c>
      <c r="C89" s="13" t="s">
        <v>1430</v>
      </c>
      <c r="D89" s="12" t="s">
        <v>1270</v>
      </c>
      <c r="E89" s="12" t="str">
        <f>IF(NodesData[[#This Row],[Class Disambiguation]]="",NodesData[[#This Row],[Common Name]],NodesData[[#This Row],[Common Name]]&amp;" ("&amp;NodesData[[#This Row],[Class Disambiguation]]&amp;")")</f>
        <v>CIBA (Acronym)</v>
      </c>
      <c r="G89" s="12" t="s">
        <v>639</v>
      </c>
      <c r="H89" s="19" t="str" cm="1">
        <f t="array" ref="H89">"n"&amp;SUBSTITUTE(CreateGuidString(),"-","_")</f>
        <v>nAF047EE9_77D6_4E02_B9F1_90188864DC10</v>
      </c>
    </row>
    <row r="90" spans="1:8" x14ac:dyDescent="0.35">
      <c r="A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Claim</v>
      </c>
      <c r="B90" s="12" t="s">
        <v>92</v>
      </c>
      <c r="C90" s="13" t="s">
        <v>1431</v>
      </c>
      <c r="E90" s="12" t="str">
        <f>IF(NodesData[[#This Row],[Class Disambiguation]]="",NodesData[[#This Row],[Common Name]],NodesData[[#This Row],[Common Name]]&amp;" ("&amp;NodesData[[#This Row],[Class Disambiguation]]&amp;")")</f>
        <v>Claim</v>
      </c>
      <c r="G90" s="12" t="s">
        <v>640</v>
      </c>
      <c r="H90" s="19" t="str" cm="1">
        <f t="array" ref="H90">"n"&amp;SUBSTITUTE(CreateGuidString(),"-","_")</f>
        <v>n96041BD0_0965_46FD_8EAC_A48487F6C2A8</v>
      </c>
    </row>
    <row r="91" spans="1:8" x14ac:dyDescent="0.35">
      <c r="A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Claim Registry Model</v>
      </c>
      <c r="B91" s="12" t="s">
        <v>94</v>
      </c>
      <c r="C91" s="13" t="s">
        <v>1432</v>
      </c>
      <c r="E91" s="12" t="str">
        <f>IF(NodesData[[#This Row],[Class Disambiguation]]="",NodesData[[#This Row],[Common Name]],NodesData[[#This Row],[Common Name]]&amp;" ("&amp;NodesData[[#This Row],[Class Disambiguation]]&amp;")")</f>
        <v>Claim Registry Model</v>
      </c>
      <c r="G91" s="12" t="s">
        <v>641</v>
      </c>
      <c r="H91" s="19" t="str" cm="1">
        <f t="array" ref="H91">"n"&amp;SUBSTITUTE(CreateGuidString(),"-","_")</f>
        <v>nD4D5F869_2FA8_41C5_81A6_448100A641FF</v>
      </c>
    </row>
    <row r="92" spans="1:8" x14ac:dyDescent="0.35">
      <c r="A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Claimant</v>
      </c>
      <c r="B92" s="12" t="s">
        <v>642</v>
      </c>
      <c r="C92" s="13" t="s">
        <v>1433</v>
      </c>
      <c r="E92" s="12" t="str">
        <f>IF(NodesData[[#This Row],[Class Disambiguation]]="",NodesData[[#This Row],[Common Name]],NodesData[[#This Row],[Common Name]]&amp;" ("&amp;NodesData[[#This Row],[Class Disambiguation]]&amp;")")</f>
        <v>Claimant</v>
      </c>
      <c r="G92" s="12" t="s">
        <v>643</v>
      </c>
      <c r="H92" s="19" t="str" cm="1">
        <f t="array" ref="H92">"n"&amp;SUBSTITUTE(CreateGuidString(),"-","_")</f>
        <v>n411B947B_922B_495B_9BE7_E0AB6B5F9492</v>
      </c>
    </row>
    <row r="93" spans="1:8" x14ac:dyDescent="0.35">
      <c r="A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Classification</v>
      </c>
      <c r="B93" s="12" t="s">
        <v>644</v>
      </c>
      <c r="C93" s="13" t="s">
        <v>1434</v>
      </c>
      <c r="E93" s="12" t="str">
        <f>IF(NodesData[[#This Row],[Class Disambiguation]]="",NodesData[[#This Row],[Common Name]],NodesData[[#This Row],[Common Name]]&amp;" ("&amp;NodesData[[#This Row],[Class Disambiguation]]&amp;")")</f>
        <v>Classification</v>
      </c>
      <c r="G93" s="12" t="s">
        <v>645</v>
      </c>
      <c r="H93" s="19" t="str" cm="1">
        <f t="array" ref="H93">"n"&amp;SUBSTITUTE(CreateGuidString(),"-","_")</f>
        <v>nCF8B622A_F9A5_46EB_A852_6B559AC0E6DD</v>
      </c>
    </row>
    <row r="94" spans="1:8" x14ac:dyDescent="0.35">
      <c r="A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Client Initiated Backchannel Authentication</v>
      </c>
      <c r="B94" s="12" t="s">
        <v>96</v>
      </c>
      <c r="C94" s="13" t="s">
        <v>1444</v>
      </c>
      <c r="E94" s="12" t="str">
        <f>IF(NodesData[[#This Row],[Class Disambiguation]]="",NodesData[[#This Row],[Common Name]],NodesData[[#This Row],[Common Name]]&amp;" ("&amp;NodesData[[#This Row],[Class Disambiguation]]&amp;")")</f>
        <v>Client Initiated Backchannel Authentication</v>
      </c>
      <c r="G94" s="12" t="s">
        <v>646</v>
      </c>
      <c r="H94" s="19" t="str" cm="1">
        <f t="array" ref="H94">"n"&amp;SUBSTITUTE(CreateGuidString(),"-","_")</f>
        <v>nF7C95293_48B6_4DD7_8938_73BE57357031</v>
      </c>
    </row>
    <row r="95" spans="1:8" x14ac:dyDescent="0.35">
      <c r="A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Identity Management System</v>
      </c>
      <c r="B95" s="12" t="s">
        <v>647</v>
      </c>
      <c r="C95" s="13" t="s">
        <v>1436</v>
      </c>
      <c r="E95" s="12" t="str">
        <f>IF(NodesData[[#This Row],[Class Disambiguation]]="",NodesData[[#This Row],[Common Name]],NodesData[[#This Row],[Common Name]]&amp;" ("&amp;NodesData[[#This Row],[Class Disambiguation]]&amp;")")</f>
        <v>Cloud Identity Management System</v>
      </c>
      <c r="G95" s="12" t="s">
        <v>648</v>
      </c>
      <c r="H95" s="19" t="str" cm="1">
        <f t="array" ref="H95">"n"&amp;SUBSTITUTE(CreateGuidString(),"-","_")</f>
        <v>nD3F3F0C4_9B08_418B_B287_94E912D4CB76</v>
      </c>
    </row>
    <row r="96" spans="1:8" x14ac:dyDescent="0.35">
      <c r="A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IdMS (Acronym)</v>
      </c>
      <c r="B96" s="12" t="s">
        <v>649</v>
      </c>
      <c r="C96" s="13" t="s">
        <v>1437</v>
      </c>
      <c r="D96" s="12" t="s">
        <v>1270</v>
      </c>
      <c r="E96" s="12" t="str">
        <f>IF(NodesData[[#This Row],[Class Disambiguation]]="",NodesData[[#This Row],[Common Name]],NodesData[[#This Row],[Common Name]]&amp;" ("&amp;NodesData[[#This Row],[Class Disambiguation]]&amp;")")</f>
        <v>Cloud IdMS (Acronym)</v>
      </c>
      <c r="G96" s="12" t="s">
        <v>650</v>
      </c>
      <c r="H96" s="19" t="str" cm="1">
        <f t="array" ref="H96">"n"&amp;SUBSTITUTE(CreateGuidString(),"-","_")</f>
        <v>n9959F6AB_5267_4379_A794_3E0BFA616640</v>
      </c>
    </row>
    <row r="97" spans="1:8" x14ac:dyDescent="0.35">
      <c r="A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Service Consumers</v>
      </c>
      <c r="B97" s="12" t="s">
        <v>651</v>
      </c>
      <c r="C97" s="13" t="s">
        <v>1438</v>
      </c>
      <c r="E97" s="12" t="str">
        <f>IF(NodesData[[#This Row],[Class Disambiguation]]="",NodesData[[#This Row],[Common Name]],NodesData[[#This Row],[Common Name]]&amp;" ("&amp;NodesData[[#This Row],[Class Disambiguation]]&amp;")")</f>
        <v>Cloud Service Consumers</v>
      </c>
      <c r="G97" s="12" t="s">
        <v>652</v>
      </c>
      <c r="H97" s="19" t="str" cm="1">
        <f t="array" ref="H97">"n"&amp;SUBSTITUTE(CreateGuidString(),"-","_")</f>
        <v>nE37D259E_6D5A_4D34_9C97_57E0A83A6DFF</v>
      </c>
    </row>
    <row r="98" spans="1:8" x14ac:dyDescent="0.35">
      <c r="A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Service Provider</v>
      </c>
      <c r="B98" s="12" t="s">
        <v>653</v>
      </c>
      <c r="C98" s="13" t="s">
        <v>1439</v>
      </c>
      <c r="E98" s="12" t="str">
        <f>IF(NodesData[[#This Row],[Class Disambiguation]]="",NodesData[[#This Row],[Common Name]],NodesData[[#This Row],[Common Name]]&amp;" ("&amp;NodesData[[#This Row],[Class Disambiguation]]&amp;")")</f>
        <v>Cloud Service Provider</v>
      </c>
      <c r="G98" s="12" t="s">
        <v>654</v>
      </c>
      <c r="H98" s="19" t="str" cm="1">
        <f t="array" ref="H98">"n"&amp;SUBSTITUTE(CreateGuidString(),"-","_")</f>
        <v>nD698B0E7_23C7_4EA6_8D3A_DE05D7BE3E58</v>
      </c>
    </row>
    <row r="99" spans="1:8" x14ac:dyDescent="0.35">
      <c r="A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Service User</v>
      </c>
      <c r="B99" s="12" t="s">
        <v>101</v>
      </c>
      <c r="C99" s="13" t="s">
        <v>1440</v>
      </c>
      <c r="E99" s="12" t="str">
        <f>IF(NodesData[[#This Row],[Class Disambiguation]]="",NodesData[[#This Row],[Common Name]],NodesData[[#This Row],[Common Name]]&amp;" ("&amp;NodesData[[#This Row],[Class Disambiguation]]&amp;")")</f>
        <v>Cloud Service User</v>
      </c>
      <c r="G99" s="12" t="s">
        <v>655</v>
      </c>
      <c r="H99" s="19" t="str" cm="1">
        <f t="array" ref="H99">"n"&amp;SUBSTITUTE(CreateGuidString(),"-","_")</f>
        <v>n06BF2D51_51DC_4950_9213_BB4D337A7416</v>
      </c>
    </row>
    <row r="100" spans="1:8" x14ac:dyDescent="0.35">
      <c r="A10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Coherent Whole</v>
      </c>
      <c r="B100" s="11" t="s">
        <v>1352</v>
      </c>
      <c r="C100" s="13" t="s">
        <v>1914</v>
      </c>
      <c r="E100" s="18" t="str">
        <f>IF(NodesData[[#This Row],[Class Disambiguation]]="",NodesData[[#This Row],[Common Name]],NodesData[[#This Row],[Common Name]]&amp;" ("&amp;NodesData[[#This Row],[Class Disambiguation]]&amp;")")</f>
        <v>Coherent Whole</v>
      </c>
      <c r="F100" s="18"/>
      <c r="H100" s="20" t="str" cm="1">
        <f t="array" ref="H100">"n"&amp;SUBSTITUTE(CreateGuidString(),"-","_")</f>
        <v>nF2FC65FB_0026_4379_8FF0_BCB168917B31</v>
      </c>
    </row>
    <row r="101" spans="1:8" x14ac:dyDescent="0.35">
      <c r="A10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Commission Error</v>
      </c>
      <c r="B101" s="12" t="s">
        <v>656</v>
      </c>
      <c r="C101" s="13" t="s">
        <v>1441</v>
      </c>
      <c r="E101" s="12" t="str">
        <f>IF(NodesData[[#This Row],[Class Disambiguation]]="",NodesData[[#This Row],[Common Name]],NodesData[[#This Row],[Common Name]]&amp;" ("&amp;NodesData[[#This Row],[Class Disambiguation]]&amp;")")</f>
        <v>Commission Error</v>
      </c>
      <c r="G101" s="12" t="s">
        <v>657</v>
      </c>
      <c r="H101" s="19" t="str" cm="1">
        <f t="array" ref="H101">"n"&amp;SUBSTITUTE(CreateGuidString(),"-","_")</f>
        <v>n5F73A86A_D57A_441E_8305_0FD723A2894C</v>
      </c>
    </row>
    <row r="102" spans="1:8" x14ac:dyDescent="0.35">
      <c r="A10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Compromised Identity</v>
      </c>
      <c r="B102" s="12" t="s">
        <v>658</v>
      </c>
      <c r="C102" s="13" t="s">
        <v>1442</v>
      </c>
      <c r="E102" s="12" t="str">
        <f>IF(NodesData[[#This Row],[Class Disambiguation]]="",NodesData[[#This Row],[Common Name]],NodesData[[#This Row],[Common Name]]&amp;" ("&amp;NodesData[[#This Row],[Class Disambiguation]]&amp;")")</f>
        <v>Compromised Identity</v>
      </c>
      <c r="G102" s="12" t="s">
        <v>659</v>
      </c>
      <c r="H102" s="19" t="str" cm="1">
        <f t="array" ref="H102">"n"&amp;SUBSTITUTE(CreateGuidString(),"-","_")</f>
        <v>nA0A9203C_BF84_44D6_BCF4_CD3C3CA8B62A</v>
      </c>
    </row>
    <row r="103" spans="1:8" x14ac:dyDescent="0.35">
      <c r="A10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Concurrent Impersonation Attack</v>
      </c>
      <c r="B103" s="12" t="s">
        <v>660</v>
      </c>
      <c r="C103" s="13" t="s">
        <v>1443</v>
      </c>
      <c r="E103" s="12" t="str">
        <f>IF(NodesData[[#This Row],[Class Disambiguation]]="",NodesData[[#This Row],[Common Name]],NodesData[[#This Row],[Common Name]]&amp;" ("&amp;NodesData[[#This Row],[Class Disambiguation]]&amp;")")</f>
        <v>Concurrent Impersonation Attack</v>
      </c>
      <c r="G103" s="12" t="s">
        <v>661</v>
      </c>
      <c r="H103" s="19" t="str" cm="1">
        <f t="array" ref="H103">"n"&amp;SUBSTITUTE(CreateGuidString(),"-","_")</f>
        <v>nCFEF8ABB_6F32_4A78_9929_CE4307C74A2D</v>
      </c>
    </row>
    <row r="104" spans="1:8" x14ac:dyDescent="0.35">
      <c r="A10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Continuous Authentication</v>
      </c>
      <c r="B104" s="12" t="s">
        <v>662</v>
      </c>
      <c r="C104" s="13" t="s">
        <v>1478</v>
      </c>
      <c r="E104" s="12" t="str">
        <f>IF(NodesData[[#This Row],[Class Disambiguation]]="",NodesData[[#This Row],[Common Name]],NodesData[[#This Row],[Common Name]]&amp;" ("&amp;NodesData[[#This Row],[Class Disambiguation]]&amp;")")</f>
        <v>Continuous Authentication</v>
      </c>
      <c r="G104" s="12" t="s">
        <v>663</v>
      </c>
      <c r="H104" s="19" t="str" cm="1">
        <f t="array" ref="H104">"n"&amp;SUBSTITUTE(CreateGuidString(),"-","_")</f>
        <v>nD62A8296_5FE4_4BC1_B04D_197EB9672AEB</v>
      </c>
    </row>
    <row r="105" spans="1:8" x14ac:dyDescent="0.35">
      <c r="A10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Control Class</v>
      </c>
      <c r="B105" s="11" t="s">
        <v>1337</v>
      </c>
      <c r="C105" s="13" t="s">
        <v>1848</v>
      </c>
      <c r="E105" s="18" t="str">
        <f>IF(NodesData[[#This Row],[Class Disambiguation]]="",NodesData[[#This Row],[Common Name]],NodesData[[#This Row],[Common Name]]&amp;" ("&amp;NodesData[[#This Row],[Class Disambiguation]]&amp;")")</f>
        <v>Control Class</v>
      </c>
      <c r="F105" s="18"/>
      <c r="H105" s="20" t="str" cm="1">
        <f t="array" ref="H105">"n"&amp;SUBSTITUTE(CreateGuidString(),"-","_")</f>
        <v>n8B2D0F15_9094_41C6_AA30_B6A7CFCE39CA</v>
      </c>
    </row>
    <row r="106" spans="1:8" x14ac:dyDescent="0.35">
      <c r="A10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Control Party</v>
      </c>
      <c r="B106" s="12" t="s">
        <v>664</v>
      </c>
      <c r="C106" s="13" t="s">
        <v>1445</v>
      </c>
      <c r="E106" s="12" t="str">
        <f>IF(NodesData[[#This Row],[Class Disambiguation]]="",NodesData[[#This Row],[Common Name]],NodesData[[#This Row],[Common Name]]&amp;" ("&amp;NodesData[[#This Row],[Class Disambiguation]]&amp;")")</f>
        <v>Control Party</v>
      </c>
      <c r="G106" s="12" t="s">
        <v>665</v>
      </c>
      <c r="H106" s="19" t="str" cm="1">
        <f t="array" ref="H106">"n"&amp;SUBSTITUTE(CreateGuidString(),"-","_")</f>
        <v>n521475A1_2F73_4996_BFE8_0364A41806B2</v>
      </c>
    </row>
    <row r="107" spans="1:8" x14ac:dyDescent="0.35">
      <c r="A10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Core Identity</v>
      </c>
      <c r="B107" s="12" t="s">
        <v>666</v>
      </c>
      <c r="C107" s="13" t="s">
        <v>1446</v>
      </c>
      <c r="E107" s="12" t="str">
        <f>IF(NodesData[[#This Row],[Class Disambiguation]]="",NodesData[[#This Row],[Common Name]],NodesData[[#This Row],[Common Name]]&amp;" ("&amp;NodesData[[#This Row],[Class Disambiguation]]&amp;")")</f>
        <v>Core Identity</v>
      </c>
      <c r="G107" s="12" t="s">
        <v>667</v>
      </c>
      <c r="H107" s="19" t="str" cm="1">
        <f t="array" ref="H107">"n"&amp;SUBSTITUTE(CreateGuidString(),"-","_")</f>
        <v>n04E1703C_7622_4F36_9347_FE8E71328188</v>
      </c>
    </row>
    <row r="108" spans="1:8" x14ac:dyDescent="0.35">
      <c r="A10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</v>
      </c>
      <c r="B108" s="12" t="s">
        <v>117</v>
      </c>
      <c r="C108" s="13" t="s">
        <v>1447</v>
      </c>
      <c r="E108" s="12" t="str">
        <f>IF(NodesData[[#This Row],[Class Disambiguation]]="",NodesData[[#This Row],[Common Name]],NodesData[[#This Row],[Common Name]]&amp;" ("&amp;NodesData[[#This Row],[Class Disambiguation]]&amp;")")</f>
        <v>Credential</v>
      </c>
      <c r="G108" s="12" t="s">
        <v>668</v>
      </c>
      <c r="H108" s="19" t="str" cm="1">
        <f t="array" ref="H108">"n"&amp;SUBSTITUTE(CreateGuidString(),"-","_")</f>
        <v>nB020B6AD_EC55_4375_95CE_BD3AB438D7B2</v>
      </c>
    </row>
    <row r="109" spans="1:8" x14ac:dyDescent="0.35">
      <c r="A10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 Harvesting</v>
      </c>
      <c r="B109" s="12" t="s">
        <v>118</v>
      </c>
      <c r="C109" s="13" t="s">
        <v>1448</v>
      </c>
      <c r="E109" s="12" t="str">
        <f>IF(NodesData[[#This Row],[Class Disambiguation]]="",NodesData[[#This Row],[Common Name]],NodesData[[#This Row],[Common Name]]&amp;" ("&amp;NodesData[[#This Row],[Class Disambiguation]]&amp;")")</f>
        <v>Credential Harvesting</v>
      </c>
      <c r="G109" s="12" t="s">
        <v>669</v>
      </c>
      <c r="H109" s="19" t="str" cm="1">
        <f t="array" ref="H109">"n"&amp;SUBSTITUTE(CreateGuidString(),"-","_")</f>
        <v>nD32CAF34_7288_4C7A_B610_08D90A37D7E4</v>
      </c>
    </row>
    <row r="110" spans="1:8" x14ac:dyDescent="0.35">
      <c r="A1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 Service Provider</v>
      </c>
      <c r="B110" s="12" t="s">
        <v>670</v>
      </c>
      <c r="C110" s="13" t="s">
        <v>1449</v>
      </c>
      <c r="E110" s="12" t="str">
        <f>IF(NodesData[[#This Row],[Class Disambiguation]]="",NodesData[[#This Row],[Common Name]],NodesData[[#This Row],[Common Name]]&amp;" ("&amp;NodesData[[#This Row],[Class Disambiguation]]&amp;")")</f>
        <v>Credential Service Provider</v>
      </c>
      <c r="G110" s="12" t="s">
        <v>671</v>
      </c>
      <c r="H110" s="19" t="str" cm="1">
        <f t="array" ref="H110">"n"&amp;SUBSTITUTE(CreateGuidString(),"-","_")</f>
        <v>n575A1118_EBB9_4283_93D8_E1E724A9C3FF</v>
      </c>
    </row>
    <row r="111" spans="1:8" x14ac:dyDescent="0.35">
      <c r="A1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 Stuffing</v>
      </c>
      <c r="B111" s="12" t="s">
        <v>120</v>
      </c>
      <c r="C111" s="13" t="s">
        <v>1450</v>
      </c>
      <c r="E111" s="12" t="str">
        <f>IF(NodesData[[#This Row],[Class Disambiguation]]="",NodesData[[#This Row],[Common Name]],NodesData[[#This Row],[Common Name]]&amp;" ("&amp;NodesData[[#This Row],[Class Disambiguation]]&amp;")")</f>
        <v>Credential Stuffing</v>
      </c>
      <c r="G111" s="12" t="s">
        <v>672</v>
      </c>
      <c r="H111" s="19" t="str" cm="1">
        <f t="array" ref="H111">"n"&amp;SUBSTITUTE(CreateGuidString(),"-","_")</f>
        <v>nC344745A_B0F9_4290_B43F_B9CA3EE56272</v>
      </c>
    </row>
    <row r="112" spans="1:8" x14ac:dyDescent="0.35">
      <c r="A1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 Theft</v>
      </c>
      <c r="B112" s="12" t="s">
        <v>673</v>
      </c>
      <c r="C112" s="13" t="s">
        <v>1451</v>
      </c>
      <c r="E112" s="12" t="str">
        <f>IF(NodesData[[#This Row],[Class Disambiguation]]="",NodesData[[#This Row],[Common Name]],NodesData[[#This Row],[Common Name]]&amp;" ("&amp;NodesData[[#This Row],[Class Disambiguation]]&amp;")")</f>
        <v>Credential Theft</v>
      </c>
      <c r="G112" s="12" t="s">
        <v>674</v>
      </c>
      <c r="H112" s="19" t="str" cm="1">
        <f t="array" ref="H112">"n"&amp;SUBSTITUTE(CreateGuidString(),"-","_")</f>
        <v>n7DFC0E14_9335_4091_B2C1_3172AFD7865E</v>
      </c>
    </row>
    <row r="113" spans="1:8" x14ac:dyDescent="0.35">
      <c r="A1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Cryptographic Key</v>
      </c>
      <c r="B113" s="12" t="s">
        <v>675</v>
      </c>
      <c r="C113" s="13" t="s">
        <v>1452</v>
      </c>
      <c r="E113" s="12" t="str">
        <f>IF(NodesData[[#This Row],[Class Disambiguation]]="",NodesData[[#This Row],[Common Name]],NodesData[[#This Row],[Common Name]]&amp;" ("&amp;NodesData[[#This Row],[Class Disambiguation]]&amp;")")</f>
        <v>Cryptographic Key</v>
      </c>
      <c r="G113" s="12" t="s">
        <v>676</v>
      </c>
      <c r="H113" s="19" t="str" cm="1">
        <f t="array" ref="H113">"n"&amp;SUBSTITUTE(CreateGuidString(),"-","_")</f>
        <v>n68856C65_9B19_49D9_807D_4F4DDDCFCB2F</v>
      </c>
    </row>
    <row r="114" spans="1:8" x14ac:dyDescent="0.35">
      <c r="A1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CSC (Acronym)</v>
      </c>
      <c r="B114" s="12" t="s">
        <v>123</v>
      </c>
      <c r="C114" s="13" t="s">
        <v>1453</v>
      </c>
      <c r="D114" s="12" t="s">
        <v>1270</v>
      </c>
      <c r="E114" s="12" t="str">
        <f>IF(NodesData[[#This Row],[Class Disambiguation]]="",NodesData[[#This Row],[Common Name]],NodesData[[#This Row],[Common Name]]&amp;" ("&amp;NodesData[[#This Row],[Class Disambiguation]]&amp;")")</f>
        <v>CSC (Acronym)</v>
      </c>
      <c r="G114" s="12" t="s">
        <v>677</v>
      </c>
      <c r="H114" s="19" t="str" cm="1">
        <f t="array" ref="H114">"n"&amp;SUBSTITUTE(CreateGuidString(),"-","_")</f>
        <v>n3CB91868_4392_4912_835F_F3AEF15CD3BB</v>
      </c>
    </row>
    <row r="115" spans="1:8" x14ac:dyDescent="0.35">
      <c r="A1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CSP (Acronym)</v>
      </c>
      <c r="B115" s="12" t="s">
        <v>124</v>
      </c>
      <c r="C115" s="13" t="s">
        <v>1454</v>
      </c>
      <c r="D115" s="12" t="s">
        <v>1270</v>
      </c>
      <c r="E115" s="12" t="str">
        <f>IF(NodesData[[#This Row],[Class Disambiguation]]="",NodesData[[#This Row],[Common Name]],NodesData[[#This Row],[Common Name]]&amp;" ("&amp;NodesData[[#This Row],[Class Disambiguation]]&amp;")")</f>
        <v>CSP (Acronym)</v>
      </c>
      <c r="G115" s="12" t="s">
        <v>678</v>
      </c>
      <c r="H115" s="19" t="str" cm="1">
        <f t="array" ref="H115">"n"&amp;SUBSTITUTE(CreateGuidString(),"-","_")</f>
        <v>n31BA5AD2_8F25_43BF_BB0C_405C5221D0BE</v>
      </c>
    </row>
    <row r="116" spans="1:8" x14ac:dyDescent="0.35">
      <c r="A1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CSU (Acronym)</v>
      </c>
      <c r="B116" s="12" t="s">
        <v>125</v>
      </c>
      <c r="C116" s="13" t="s">
        <v>1455</v>
      </c>
      <c r="D116" s="12" t="s">
        <v>1270</v>
      </c>
      <c r="E116" s="12" t="str">
        <f>IF(NodesData[[#This Row],[Class Disambiguation]]="",NodesData[[#This Row],[Common Name]],NodesData[[#This Row],[Common Name]]&amp;" ("&amp;NodesData[[#This Row],[Class Disambiguation]]&amp;")")</f>
        <v>CSU (Acronym)</v>
      </c>
      <c r="G116" s="12" t="s">
        <v>679</v>
      </c>
      <c r="H116" s="19" t="str" cm="1">
        <f t="array" ref="H116">"n"&amp;SUBSTITUTE(CreateGuidString(),"-","_")</f>
        <v>n5486FDA6_26FF_41F5_A53E_30296634A4BD</v>
      </c>
    </row>
    <row r="117" spans="1:8" x14ac:dyDescent="0.35">
      <c r="A1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Due Diligence</v>
      </c>
      <c r="B117" s="12" t="s">
        <v>680</v>
      </c>
      <c r="C117" s="13" t="s">
        <v>1456</v>
      </c>
      <c r="E117" s="12" t="str">
        <f>IF(NodesData[[#This Row],[Class Disambiguation]]="",NodesData[[#This Row],[Common Name]],NodesData[[#This Row],[Common Name]]&amp;" ("&amp;NodesData[[#This Row],[Class Disambiguation]]&amp;")")</f>
        <v>Customer Due Diligence</v>
      </c>
      <c r="G117" s="12" t="s">
        <v>681</v>
      </c>
      <c r="H117" s="19" t="str" cm="1">
        <f t="array" ref="H117">"n"&amp;SUBSTITUTE(CreateGuidString(),"-","_")</f>
        <v>n4F63D922_EDE9_475F_B6D7_8DAB2EADE2CF</v>
      </c>
    </row>
    <row r="118" spans="1:8" x14ac:dyDescent="0.35">
      <c r="A1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Identification</v>
      </c>
      <c r="B118" s="12" t="s">
        <v>682</v>
      </c>
      <c r="C118" s="13" t="s">
        <v>1457</v>
      </c>
      <c r="E118" s="12" t="str">
        <f>IF(NodesData[[#This Row],[Class Disambiguation]]="",NodesData[[#This Row],[Common Name]],NodesData[[#This Row],[Common Name]]&amp;" ("&amp;NodesData[[#This Row],[Class Disambiguation]]&amp;")")</f>
        <v>Customer Identification</v>
      </c>
      <c r="G118" s="12" t="s">
        <v>683</v>
      </c>
      <c r="H118" s="19" t="str" cm="1">
        <f t="array" ref="H118">"n"&amp;SUBSTITUTE(CreateGuidString(),"-","_")</f>
        <v>n6A574D8A_9E72_4045_9805_7ADA8D90BB8D</v>
      </c>
    </row>
    <row r="119" spans="1:8" x14ac:dyDescent="0.35">
      <c r="A1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Identity</v>
      </c>
      <c r="B119" s="12" t="s">
        <v>684</v>
      </c>
      <c r="C119" s="13" t="s">
        <v>1458</v>
      </c>
      <c r="E119" s="12" t="str">
        <f>IF(NodesData[[#This Row],[Class Disambiguation]]="",NodesData[[#This Row],[Common Name]],NodesData[[#This Row],[Common Name]]&amp;" ("&amp;NodesData[[#This Row],[Class Disambiguation]]&amp;")")</f>
        <v>Customer Identity</v>
      </c>
      <c r="G119" s="12" t="s">
        <v>685</v>
      </c>
      <c r="H119" s="19" t="str" cm="1">
        <f t="array" ref="H119">"n"&amp;SUBSTITUTE(CreateGuidString(),"-","_")</f>
        <v>n7C75ED6E_BF59_4A2E_8094_11177A0DC4F5</v>
      </c>
    </row>
    <row r="120" spans="1:8" x14ac:dyDescent="0.35">
      <c r="A1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Identity Verification</v>
      </c>
      <c r="B120" s="12" t="s">
        <v>686</v>
      </c>
      <c r="C120" s="13" t="s">
        <v>1459</v>
      </c>
      <c r="E120" s="12" t="str">
        <f>IF(NodesData[[#This Row],[Class Disambiguation]]="",NodesData[[#This Row],[Common Name]],NodesData[[#This Row],[Common Name]]&amp;" ("&amp;NodesData[[#This Row],[Class Disambiguation]]&amp;")")</f>
        <v>Customer Identity Verification</v>
      </c>
      <c r="G120" s="12" t="s">
        <v>687</v>
      </c>
      <c r="H120" s="19" t="str" cm="1">
        <f t="array" ref="H120">"n"&amp;SUBSTITUTE(CreateGuidString(),"-","_")</f>
        <v>n4798F6C2_55E8_43F7_AC17_C8E8F592ADCB</v>
      </c>
    </row>
    <row r="121" spans="1:8" x14ac:dyDescent="0.35">
      <c r="A1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On-Boarding</v>
      </c>
      <c r="B121" s="12" t="s">
        <v>688</v>
      </c>
      <c r="C121" s="13" t="s">
        <v>1460</v>
      </c>
      <c r="E121" s="12" t="str">
        <f>IF(NodesData[[#This Row],[Class Disambiguation]]="",NodesData[[#This Row],[Common Name]],NodesData[[#This Row],[Common Name]]&amp;" ("&amp;NodesData[[#This Row],[Class Disambiguation]]&amp;")")</f>
        <v>Customer On-Boarding</v>
      </c>
      <c r="G121" s="12" t="s">
        <v>689</v>
      </c>
      <c r="H121" s="19" t="str" cm="1">
        <f t="array" ref="H121">"n"&amp;SUBSTITUTE(CreateGuidString(),"-","_")</f>
        <v>n9CFC5505_8CBA_4AB4_81AD_7CCED21BEB34</v>
      </c>
    </row>
    <row r="122" spans="1:8" x14ac:dyDescent="0.35">
      <c r="A1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Privacy and Consent Management</v>
      </c>
      <c r="B122" s="12" t="s">
        <v>690</v>
      </c>
      <c r="C122" s="13" t="s">
        <v>1461</v>
      </c>
      <c r="E122" s="12" t="str">
        <f>IF(NodesData[[#This Row],[Class Disambiguation]]="",NodesData[[#This Row],[Common Name]],NodesData[[#This Row],[Common Name]]&amp;" ("&amp;NodesData[[#This Row],[Class Disambiguation]]&amp;")")</f>
        <v>Customer Privacy and Consent Management</v>
      </c>
      <c r="G122" s="12" t="s">
        <v>691</v>
      </c>
      <c r="H122" s="19" t="str" cm="1">
        <f t="array" ref="H122">"n"&amp;SUBSTITUTE(CreateGuidString(),"-","_")</f>
        <v>nB9999FFE_AF66_402F_BD7D_0F6F3E8B4A25</v>
      </c>
    </row>
    <row r="123" spans="1:8" x14ac:dyDescent="0.35">
      <c r="A1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Cyber-sabotage</v>
      </c>
      <c r="B123" s="12" t="s">
        <v>132</v>
      </c>
      <c r="C123" s="13" t="s">
        <v>1462</v>
      </c>
      <c r="E123" s="12" t="str">
        <f>IF(NodesData[[#This Row],[Class Disambiguation]]="",NodesData[[#This Row],[Common Name]],NodesData[[#This Row],[Common Name]]&amp;" ("&amp;NodesData[[#This Row],[Class Disambiguation]]&amp;")")</f>
        <v>Cyber-sabotage</v>
      </c>
      <c r="G123" s="12" t="s">
        <v>692</v>
      </c>
      <c r="H123" s="19" t="str" cm="1">
        <f t="array" ref="H123">"n"&amp;SUBSTITUTE(CreateGuidString(),"-","_")</f>
        <v>nD7FF7272_4173_4CB7_9543_124374221AC2</v>
      </c>
    </row>
    <row r="124" spans="1:8" x14ac:dyDescent="0.35">
      <c r="A1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DAC (Acronym)</v>
      </c>
      <c r="B124" s="12" t="s">
        <v>133</v>
      </c>
      <c r="C124" s="13" t="s">
        <v>1463</v>
      </c>
      <c r="D124" s="12" t="s">
        <v>1270</v>
      </c>
      <c r="E124" s="12" t="str">
        <f>IF(NodesData[[#This Row],[Class Disambiguation]]="",NodesData[[#This Row],[Common Name]],NodesData[[#This Row],[Common Name]]&amp;" ("&amp;NodesData[[#This Row],[Class Disambiguation]]&amp;")")</f>
        <v>DAC (Acronym)</v>
      </c>
      <c r="G124" s="12" t="s">
        <v>693</v>
      </c>
      <c r="H124" s="19" t="str" cm="1">
        <f t="array" ref="H124">"n"&amp;SUBSTITUTE(CreateGuidString(),"-","_")</f>
        <v>nE7B0D310_72C4_4AE2_A09C_DF8A3DFB796C</v>
      </c>
    </row>
    <row r="125" spans="1:8" x14ac:dyDescent="0.35">
      <c r="A1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</v>
      </c>
      <c r="B125" s="12" t="s">
        <v>1345</v>
      </c>
      <c r="C125" s="13" t="s">
        <v>1841</v>
      </c>
      <c r="E125" s="18" t="str">
        <f>IF(NodesData[[#This Row],[Class Disambiguation]]="",NodesData[[#This Row],[Common Name]],NodesData[[#This Row],[Common Name]]&amp;" ("&amp;NodesData[[#This Row],[Class Disambiguation]]&amp;")")</f>
        <v>Data</v>
      </c>
      <c r="F125" s="18"/>
      <c r="H125" s="19" t="str" cm="1">
        <f t="array" ref="H125">"n"&amp;SUBSTITUTE(CreateGuidString(),"-","_")</f>
        <v>nEEAB166F_577F_4041_B4C0_B0404589AF82</v>
      </c>
    </row>
    <row r="126" spans="1:8" x14ac:dyDescent="0.35">
      <c r="A1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Anonymization</v>
      </c>
      <c r="B126" s="12" t="s">
        <v>134</v>
      </c>
      <c r="C126" s="13" t="s">
        <v>1464</v>
      </c>
      <c r="E126" s="12" t="str">
        <f>IF(NodesData[[#This Row],[Class Disambiguation]]="",NodesData[[#This Row],[Common Name]],NodesData[[#This Row],[Common Name]]&amp;" ("&amp;NodesData[[#This Row],[Class Disambiguation]]&amp;")")</f>
        <v>Data Anonymization</v>
      </c>
      <c r="G126" s="12" t="s">
        <v>694</v>
      </c>
      <c r="H126" s="19" t="str" cm="1">
        <f t="array" ref="H126">"n"&amp;SUBSTITUTE(CreateGuidString(),"-","_")</f>
        <v>nB0AFEA62_3186_4D57_BE65_23A3A8D4D667</v>
      </c>
    </row>
    <row r="127" spans="1:8" x14ac:dyDescent="0.35">
      <c r="A1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Custodian</v>
      </c>
      <c r="B127" s="12" t="s">
        <v>695</v>
      </c>
      <c r="C127" s="13" t="s">
        <v>1465</v>
      </c>
      <c r="E127" s="12" t="str">
        <f>IF(NodesData[[#This Row],[Class Disambiguation]]="",NodesData[[#This Row],[Common Name]],NodesData[[#This Row],[Common Name]]&amp;" ("&amp;NodesData[[#This Row],[Class Disambiguation]]&amp;")")</f>
        <v>Data Custodian</v>
      </c>
      <c r="G127" s="12" t="s">
        <v>696</v>
      </c>
      <c r="H127" s="19" t="str" cm="1">
        <f t="array" ref="H127">"n"&amp;SUBSTITUTE(CreateGuidString(),"-","_")</f>
        <v>n5A49D257_C01A_4FF9_B53E_DB54774C3B39</v>
      </c>
    </row>
    <row r="128" spans="1:8" x14ac:dyDescent="0.35">
      <c r="A1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Lineage</v>
      </c>
      <c r="B128" s="12" t="s">
        <v>697</v>
      </c>
      <c r="C128" s="13" t="s">
        <v>1467</v>
      </c>
      <c r="E128" s="12" t="str">
        <f>IF(NodesData[[#This Row],[Class Disambiguation]]="",NodesData[[#This Row],[Common Name]],NodesData[[#This Row],[Common Name]]&amp;" ("&amp;NodesData[[#This Row],[Class Disambiguation]]&amp;")")</f>
        <v>Data Lineage</v>
      </c>
      <c r="G128" s="12" t="s">
        <v>698</v>
      </c>
      <c r="H128" s="19" t="str" cm="1">
        <f t="array" ref="H128">"n"&amp;SUBSTITUTE(CreateGuidString(),"-","_")</f>
        <v>n876BC23F_2820_41C3_A862_18A631B3EBE3</v>
      </c>
    </row>
    <row r="129" spans="1:8" x14ac:dyDescent="0.35">
      <c r="A1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Obfuscation</v>
      </c>
      <c r="B129" s="12" t="s">
        <v>699</v>
      </c>
      <c r="C129" s="13" t="s">
        <v>1468</v>
      </c>
      <c r="E129" s="12" t="str">
        <f>IF(NodesData[[#This Row],[Class Disambiguation]]="",NodesData[[#This Row],[Common Name]],NodesData[[#This Row],[Common Name]]&amp;" ("&amp;NodesData[[#This Row],[Class Disambiguation]]&amp;")")</f>
        <v>Data Obfuscation</v>
      </c>
      <c r="G129" s="12" t="s">
        <v>700</v>
      </c>
      <c r="H129" s="19" t="str" cm="1">
        <f t="array" ref="H129">"n"&amp;SUBSTITUTE(CreateGuidString(),"-","_")</f>
        <v>nD7DD58D2_94D9_4D19_AF0A_DE952DB5DC5C</v>
      </c>
    </row>
    <row r="130" spans="1:8" x14ac:dyDescent="0.35">
      <c r="A1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Operation</v>
      </c>
      <c r="B130" s="12" t="s">
        <v>1346</v>
      </c>
      <c r="C130" s="13" t="s">
        <v>1843</v>
      </c>
      <c r="E130" s="18" t="str">
        <f>IF(NodesData[[#This Row],[Class Disambiguation]]="",NodesData[[#This Row],[Common Name]],NodesData[[#This Row],[Common Name]]&amp;" ("&amp;NodesData[[#This Row],[Class Disambiguation]]&amp;")")</f>
        <v>Data Operation</v>
      </c>
      <c r="F130" s="18"/>
      <c r="H130" s="20" t="str" cm="1">
        <f t="array" ref="H130">"n"&amp;SUBSTITUTE(CreateGuidString(),"-","_")</f>
        <v>nDE597819_C83B_418B_BC3F_991045571F55</v>
      </c>
    </row>
    <row r="131" spans="1:8" x14ac:dyDescent="0.35">
      <c r="A1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Owner</v>
      </c>
      <c r="B131" s="12" t="s">
        <v>701</v>
      </c>
      <c r="C131" s="13" t="s">
        <v>1469</v>
      </c>
      <c r="E131" s="12" t="str">
        <f>IF(NodesData[[#This Row],[Class Disambiguation]]="",NodesData[[#This Row],[Common Name]],NodesData[[#This Row],[Common Name]]&amp;" ("&amp;NodesData[[#This Row],[Class Disambiguation]]&amp;")")</f>
        <v>Data Owner</v>
      </c>
      <c r="G131" s="12" t="s">
        <v>702</v>
      </c>
      <c r="H131" s="19" t="str" cm="1">
        <f t="array" ref="H131">"n"&amp;SUBSTITUTE(CreateGuidString(),"-","_")</f>
        <v>nD0ACFA4C_6DC9_4F67_A3C2_53533AA3143F</v>
      </c>
    </row>
    <row r="132" spans="1:8" x14ac:dyDescent="0.35">
      <c r="A1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Data-Level Policy</v>
      </c>
      <c r="B132" s="12" t="s">
        <v>703</v>
      </c>
      <c r="C132" s="13" t="s">
        <v>1466</v>
      </c>
      <c r="E132" s="12" t="str">
        <f>IF(NodesData[[#This Row],[Class Disambiguation]]="",NodesData[[#This Row],[Common Name]],NodesData[[#This Row],[Common Name]]&amp;" ("&amp;NodesData[[#This Row],[Class Disambiguation]]&amp;")")</f>
        <v>Data-Level Policy</v>
      </c>
      <c r="G132" s="12" t="s">
        <v>704</v>
      </c>
      <c r="H132" s="19" t="str" cm="1">
        <f t="array" ref="H132">"n"&amp;SUBSTITUTE(CreateGuidString(),"-","_")</f>
        <v>n2EBD0D04_5073_4BEB_984A_A46698C19862</v>
      </c>
    </row>
    <row r="133" spans="1:8" x14ac:dyDescent="0.35">
      <c r="A1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Death Certificate</v>
      </c>
      <c r="B133" s="12" t="s">
        <v>705</v>
      </c>
      <c r="C133" s="13" t="s">
        <v>1471</v>
      </c>
      <c r="E133" s="12" t="str">
        <f>IF(NodesData[[#This Row],[Class Disambiguation]]="",NodesData[[#This Row],[Common Name]],NodesData[[#This Row],[Common Name]]&amp;" ("&amp;NodesData[[#This Row],[Class Disambiguation]]&amp;")")</f>
        <v>Death Certificate</v>
      </c>
      <c r="G133" s="12" t="s">
        <v>706</v>
      </c>
      <c r="H133" s="19" t="str" cm="1">
        <f t="array" ref="H133">"n"&amp;SUBSTITUTE(CreateGuidString(),"-","_")</f>
        <v>n8A995FE2_F825_435C_BC2F_91BC325780A6</v>
      </c>
    </row>
    <row r="134" spans="1:8" x14ac:dyDescent="0.35">
      <c r="A1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Decentralized Identifier</v>
      </c>
      <c r="B134" s="12" t="s">
        <v>707</v>
      </c>
      <c r="C134" s="13" t="s">
        <v>1472</v>
      </c>
      <c r="E134" s="12" t="str">
        <f>IF(NodesData[[#This Row],[Class Disambiguation]]="",NodesData[[#This Row],[Common Name]],NodesData[[#This Row],[Common Name]]&amp;" ("&amp;NodesData[[#This Row],[Class Disambiguation]]&amp;")")</f>
        <v>Decentralized Identifier</v>
      </c>
      <c r="G134" s="12" t="s">
        <v>708</v>
      </c>
      <c r="H134" s="19" t="str" cm="1">
        <f t="array" ref="H134">"n"&amp;SUBSTITUTE(CreateGuidString(),"-","_")</f>
        <v>n632BE535_EE36_47B4_BA4A_15EB1FF6F4AF</v>
      </c>
    </row>
    <row r="135" spans="1:8" x14ac:dyDescent="0.35">
      <c r="A1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De-duplication</v>
      </c>
      <c r="B135" s="12" t="s">
        <v>709</v>
      </c>
      <c r="C135" s="13" t="s">
        <v>1470</v>
      </c>
      <c r="E135" s="12" t="str">
        <f>IF(NodesData[[#This Row],[Class Disambiguation]]="",NodesData[[#This Row],[Common Name]],NodesData[[#This Row],[Common Name]]&amp;" ("&amp;NodesData[[#This Row],[Class Disambiguation]]&amp;")")</f>
        <v>De-duplication</v>
      </c>
      <c r="G135" s="12" t="s">
        <v>710</v>
      </c>
      <c r="H135" s="19" t="str" cm="1">
        <f t="array" ref="H135">"n"&amp;SUBSTITUTE(CreateGuidString(),"-","_")</f>
        <v>nB91180FA_67CF_459E_81C8_95E81D22B336</v>
      </c>
    </row>
    <row r="136" spans="1:8" x14ac:dyDescent="0.35">
      <c r="A1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Deprovisioning</v>
      </c>
      <c r="B136" s="12" t="s">
        <v>711</v>
      </c>
      <c r="C136" s="13" t="s">
        <v>1473</v>
      </c>
      <c r="E136" s="12" t="str">
        <f>IF(NodesData[[#This Row],[Class Disambiguation]]="",NodesData[[#This Row],[Common Name]],NodesData[[#This Row],[Common Name]]&amp;" ("&amp;NodesData[[#This Row],[Class Disambiguation]]&amp;")")</f>
        <v>Deprovisioning</v>
      </c>
      <c r="G136" s="12" t="s">
        <v>712</v>
      </c>
      <c r="H136" s="19" t="str" cm="1">
        <f t="array" ref="H136">"n"&amp;SUBSTITUTE(CreateGuidString(),"-","_")</f>
        <v>nADDF5B22_B027_42A2_A9AF_559A12EF2945</v>
      </c>
    </row>
    <row r="137" spans="1:8" x14ac:dyDescent="0.35">
      <c r="A1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DID (Acronym)</v>
      </c>
      <c r="B137" s="12" t="s">
        <v>145</v>
      </c>
      <c r="C137" s="13" t="s">
        <v>1474</v>
      </c>
      <c r="D137" s="12" t="s">
        <v>1270</v>
      </c>
      <c r="E137" s="12" t="str">
        <f>IF(NodesData[[#This Row],[Class Disambiguation]]="",NodesData[[#This Row],[Common Name]],NodesData[[#This Row],[Common Name]]&amp;" ("&amp;NodesData[[#This Row],[Class Disambiguation]]&amp;")")</f>
        <v>DID (Acronym)</v>
      </c>
      <c r="G137" s="12" t="s">
        <v>713</v>
      </c>
      <c r="H137" s="19" t="str" cm="1">
        <f t="array" ref="H137">"n"&amp;SUBSTITUTE(CreateGuidString(),"-","_")</f>
        <v>nCBAC6527_CB11_4A2D_9691_D95DB20F253B</v>
      </c>
    </row>
    <row r="138" spans="1:8" x14ac:dyDescent="0.35">
      <c r="A1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Continuity</v>
      </c>
      <c r="B138" s="12" t="s">
        <v>714</v>
      </c>
      <c r="C138" s="13" t="s">
        <v>1475</v>
      </c>
      <c r="E138" s="12" t="str">
        <f>IF(NodesData[[#This Row],[Class Disambiguation]]="",NodesData[[#This Row],[Common Name]],NodesData[[#This Row],[Common Name]]&amp;" ("&amp;NodesData[[#This Row],[Class Disambiguation]]&amp;")")</f>
        <v>Digital Continuity</v>
      </c>
      <c r="G138" s="12" t="s">
        <v>715</v>
      </c>
      <c r="H138" s="19" t="str" cm="1">
        <f t="array" ref="H138">"n"&amp;SUBSTITUTE(CreateGuidString(),"-","_")</f>
        <v>nDCA454D6_2DD9_4F28_9374_5C436F57E16E</v>
      </c>
    </row>
    <row r="139" spans="1:8" x14ac:dyDescent="0.35">
      <c r="A1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Identification System</v>
      </c>
      <c r="B139" s="12" t="s">
        <v>147</v>
      </c>
      <c r="C139" s="13" t="s">
        <v>1476</v>
      </c>
      <c r="E139" s="12" t="str">
        <f>IF(NodesData[[#This Row],[Class Disambiguation]]="",NodesData[[#This Row],[Common Name]],NodesData[[#This Row],[Common Name]]&amp;" ("&amp;NodesData[[#This Row],[Class Disambiguation]]&amp;")")</f>
        <v>Digital Identification System</v>
      </c>
      <c r="G139" s="12" t="s">
        <v>716</v>
      </c>
      <c r="H139" s="19" t="str" cm="1">
        <f t="array" ref="H139">"n"&amp;SUBSTITUTE(CreateGuidString(),"-","_")</f>
        <v>nE2392048_8995_41D7_8111_2A7585AF8525</v>
      </c>
    </row>
    <row r="140" spans="1:8" x14ac:dyDescent="0.35">
      <c r="A1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Identity</v>
      </c>
      <c r="B140" s="12" t="s">
        <v>148</v>
      </c>
      <c r="C140" s="13" t="s">
        <v>1952</v>
      </c>
      <c r="E140" s="18" t="str">
        <f>IF(NodesData[[#This Row],[Class Disambiguation]]="",NodesData[[#This Row],[Common Name]],NodesData[[#This Row],[Common Name]]&amp;" ("&amp;NodesData[[#This Row],[Class Disambiguation]]&amp;")")</f>
        <v>Digital Identity</v>
      </c>
      <c r="F140" s="18"/>
      <c r="G140" s="12" t="s">
        <v>717</v>
      </c>
      <c r="H140" s="20" t="str" cm="1">
        <f t="array" ref="H140">"n"&amp;SUBSTITUTE(CreateGuidString(),"-","_")</f>
        <v>nBA481293_C26C_4375_95C4_6FFE42998776</v>
      </c>
    </row>
    <row r="141" spans="1:8" x14ac:dyDescent="0.35">
      <c r="A1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Identity Authenticity</v>
      </c>
      <c r="B141" s="12" t="s">
        <v>149</v>
      </c>
      <c r="C141" s="13" t="s">
        <v>1483</v>
      </c>
      <c r="E141" s="12" t="str">
        <f>IF(NodesData[[#This Row],[Class Disambiguation]]="",NodesData[[#This Row],[Common Name]],NodesData[[#This Row],[Common Name]]&amp;" ("&amp;NodesData[[#This Row],[Class Disambiguation]]&amp;")")</f>
        <v>Digital Identity Authenticity</v>
      </c>
      <c r="G141" s="12" t="s">
        <v>718</v>
      </c>
      <c r="H141" s="19" t="str" cm="1">
        <f t="array" ref="H141">"n"&amp;SUBSTITUTE(CreateGuidString(),"-","_")</f>
        <v>nCD6E8B2B_585D_42B5_B8C8_C49F522EC018</v>
      </c>
    </row>
    <row r="142" spans="1:8" x14ac:dyDescent="0.35">
      <c r="A1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Triangulation</v>
      </c>
      <c r="B142" s="12" t="s">
        <v>719</v>
      </c>
      <c r="C142" s="13" t="s">
        <v>1479</v>
      </c>
      <c r="E142" s="12" t="str">
        <f>IF(NodesData[[#This Row],[Class Disambiguation]]="",NodesData[[#This Row],[Common Name]],NodesData[[#This Row],[Common Name]]&amp;" ("&amp;NodesData[[#This Row],[Class Disambiguation]]&amp;")")</f>
        <v>Digital Triangulation</v>
      </c>
      <c r="G142" s="12" t="s">
        <v>720</v>
      </c>
      <c r="H142" s="19" t="str" cm="1">
        <f t="array" ref="H142">"n"&amp;SUBSTITUTE(CreateGuidString(),"-","_")</f>
        <v>n5131E0B3_32BB_458A_8EA1_CB58B163E02C</v>
      </c>
    </row>
    <row r="143" spans="1:8" x14ac:dyDescent="0.35">
      <c r="A1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Discretionary Access Control</v>
      </c>
      <c r="B143" s="12" t="s">
        <v>721</v>
      </c>
      <c r="C143" s="13" t="s">
        <v>1480</v>
      </c>
      <c r="E143" s="12" t="str">
        <f>IF(NodesData[[#This Row],[Class Disambiguation]]="",NodesData[[#This Row],[Common Name]],NodesData[[#This Row],[Common Name]]&amp;" ("&amp;NodesData[[#This Row],[Class Disambiguation]]&amp;")")</f>
        <v>Discretionary Access Control</v>
      </c>
      <c r="G143" s="12" t="s">
        <v>722</v>
      </c>
      <c r="H143" s="19" t="str" cm="1">
        <f t="array" ref="H143">"n"&amp;SUBSTITUTE(CreateGuidString(),"-","_")</f>
        <v>n00F84A11_C1CF_496E_8A87_38AF6F7E1FB8</v>
      </c>
    </row>
    <row r="144" spans="1:8" x14ac:dyDescent="0.35">
      <c r="A1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Distributed Identity</v>
      </c>
      <c r="B144" s="12" t="s">
        <v>723</v>
      </c>
      <c r="C144" s="13" t="s">
        <v>1481</v>
      </c>
      <c r="E144" s="12" t="str">
        <f>IF(NodesData[[#This Row],[Class Disambiguation]]="",NodesData[[#This Row],[Common Name]],NodesData[[#This Row],[Common Name]]&amp;" ("&amp;NodesData[[#This Row],[Class Disambiguation]]&amp;")")</f>
        <v>Distributed Identity</v>
      </c>
      <c r="G144" s="12" t="s">
        <v>724</v>
      </c>
      <c r="H144" s="19" t="str" cm="1">
        <f t="array" ref="H144">"n"&amp;SUBSTITUTE(CreateGuidString(),"-","_")</f>
        <v>n16BE8353_9C35_4BDF_8326_FB5B58E487A1</v>
      </c>
    </row>
    <row r="145" spans="1:8" x14ac:dyDescent="0.35">
      <c r="A1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Distributed Ledger Technology</v>
      </c>
      <c r="B145" s="12" t="s">
        <v>725</v>
      </c>
      <c r="C145" s="13" t="s">
        <v>1482</v>
      </c>
      <c r="E145" s="12" t="str">
        <f>IF(NodesData[[#This Row],[Class Disambiguation]]="",NodesData[[#This Row],[Common Name]],NodesData[[#This Row],[Common Name]]&amp;" ("&amp;NodesData[[#This Row],[Class Disambiguation]]&amp;")")</f>
        <v>Distributed Ledger Technology</v>
      </c>
      <c r="G145" s="12" t="s">
        <v>726</v>
      </c>
      <c r="H145" s="19" t="str" cm="1">
        <f t="array" ref="H145">"n"&amp;SUBSTITUTE(CreateGuidString(),"-","_")</f>
        <v>n2034333C_334D_4218_971C_F9CAB12B6737</v>
      </c>
    </row>
    <row r="146" spans="1:8" x14ac:dyDescent="0.35">
      <c r="A1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Dual Authorization</v>
      </c>
      <c r="B146" s="12" t="s">
        <v>727</v>
      </c>
      <c r="C146" s="13" t="s">
        <v>1504</v>
      </c>
      <c r="E146" s="12" t="str">
        <f>IF(NodesData[[#This Row],[Class Disambiguation]]="",NodesData[[#This Row],[Common Name]],NodesData[[#This Row],[Common Name]]&amp;" ("&amp;NodesData[[#This Row],[Class Disambiguation]]&amp;")")</f>
        <v>Dual Authorization</v>
      </c>
      <c r="G146" s="12" t="s">
        <v>728</v>
      </c>
      <c r="H146" s="19" t="str" cm="1">
        <f t="array" ref="H146">"n"&amp;SUBSTITUTE(CreateGuidString(),"-","_")</f>
        <v>nB301AD0F_C706_44A0_B917_7AAC2999835F</v>
      </c>
    </row>
    <row r="147" spans="1:8" x14ac:dyDescent="0.35">
      <c r="A1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ECS (Acronym)</v>
      </c>
      <c r="B147" s="12" t="s">
        <v>729</v>
      </c>
      <c r="C147" s="13" t="s">
        <v>1485</v>
      </c>
      <c r="D147" s="12" t="s">
        <v>1270</v>
      </c>
      <c r="E147" s="12" t="str">
        <f>IF(NodesData[[#This Row],[Class Disambiguation]]="",NodesData[[#This Row],[Common Name]],NodesData[[#This Row],[Common Name]]&amp;" ("&amp;NodesData[[#This Row],[Class Disambiguation]]&amp;")")</f>
        <v>ECS (Acronym)</v>
      </c>
      <c r="G147" s="12" t="s">
        <v>730</v>
      </c>
      <c r="H147" s="19" t="str" cm="1">
        <f t="array" ref="H147">"n"&amp;SUBSTITUTE(CreateGuidString(),"-","_")</f>
        <v>nA604A5A2_DA32_422C_9262_4175FC3F7143</v>
      </c>
    </row>
    <row r="148" spans="1:8" x14ac:dyDescent="0.35">
      <c r="A1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e-Identity (Acronym)</v>
      </c>
      <c r="B148" s="12" t="s">
        <v>731</v>
      </c>
      <c r="C148" s="13" t="s">
        <v>1484</v>
      </c>
      <c r="D148" s="12" t="s">
        <v>1270</v>
      </c>
      <c r="E148" s="12" t="str">
        <f>IF(NodesData[[#This Row],[Class Disambiguation]]="",NodesData[[#This Row],[Common Name]],NodesData[[#This Row],[Common Name]]&amp;" ("&amp;NodesData[[#This Row],[Class Disambiguation]]&amp;")")</f>
        <v>e-Identity (Acronym)</v>
      </c>
      <c r="G148" s="12" t="s">
        <v>732</v>
      </c>
      <c r="H148" s="19" t="str" cm="1">
        <f t="array" ref="H148">"n"&amp;SUBSTITUTE(CreateGuidString(),"-","_")</f>
        <v>nEB4E5327_0ADC_4460_A11B_753D2FB873BE</v>
      </c>
    </row>
    <row r="149" spans="1:8" x14ac:dyDescent="0.35">
      <c r="A1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EIdM (Acronym)</v>
      </c>
      <c r="B149" s="12" t="s">
        <v>733</v>
      </c>
      <c r="C149" s="13" t="s">
        <v>1486</v>
      </c>
      <c r="D149" s="12" t="s">
        <v>1270</v>
      </c>
      <c r="E149" s="12" t="str">
        <f>IF(NodesData[[#This Row],[Class Disambiguation]]="",NodesData[[#This Row],[Common Name]],NodesData[[#This Row],[Common Name]]&amp;" ("&amp;NodesData[[#This Row],[Class Disambiguation]]&amp;")")</f>
        <v>EIdM (Acronym)</v>
      </c>
      <c r="G149" s="12" t="s">
        <v>734</v>
      </c>
      <c r="H149" s="19" t="str" cm="1">
        <f t="array" ref="H149">"n"&amp;SUBSTITUTE(CreateGuidString(),"-","_")</f>
        <v>n469C098A_57ED_4CBE_9FFC_040685DE46BD</v>
      </c>
    </row>
    <row r="150" spans="1:8" x14ac:dyDescent="0.35">
      <c r="A1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Email OTP</v>
      </c>
      <c r="B150" s="12" t="s">
        <v>1317</v>
      </c>
      <c r="C150" s="13" t="s">
        <v>1487</v>
      </c>
      <c r="E150" s="12" t="str">
        <f>IF(NodesData[[#This Row],[Class Disambiguation]]="",NodesData[[#This Row],[Common Name]],NodesData[[#This Row],[Common Name]]&amp;" ("&amp;NodesData[[#This Row],[Class Disambiguation]]&amp;")")</f>
        <v>Email OTP</v>
      </c>
      <c r="H150" s="19" t="str" cm="1">
        <f t="array" ref="H150">"n"&amp;SUBSTITUTE(CreateGuidString(),"-","_")</f>
        <v>nBFA3FFFE_8734_4BAC_A8E9_9EF203966067</v>
      </c>
    </row>
    <row r="151" spans="1:8" x14ac:dyDescent="0.35">
      <c r="A1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Employee</v>
      </c>
      <c r="B151" s="12" t="s">
        <v>735</v>
      </c>
      <c r="C151" s="13" t="s">
        <v>1488</v>
      </c>
      <c r="E151" s="12" t="str">
        <f>IF(NodesData[[#This Row],[Class Disambiguation]]="",NodesData[[#This Row],[Common Name]],NodesData[[#This Row],[Common Name]]&amp;" ("&amp;NodesData[[#This Row],[Class Disambiguation]]&amp;")")</f>
        <v>Employee</v>
      </c>
      <c r="G151" s="12" t="s">
        <v>736</v>
      </c>
      <c r="H151" s="19" t="str" cm="1">
        <f t="array" ref="H151">"n"&amp;SUBSTITUTE(CreateGuidString(),"-","_")</f>
        <v>nE8E56893_9E6B_4E32_B60B_8C07FA7F8438</v>
      </c>
    </row>
    <row r="152" spans="1:8" x14ac:dyDescent="0.35">
      <c r="A1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Enterprise Cloud Subscriber</v>
      </c>
      <c r="B152" s="12" t="s">
        <v>737</v>
      </c>
      <c r="C152" s="13" t="s">
        <v>1489</v>
      </c>
      <c r="E152" s="12" t="str">
        <f>IF(NodesData[[#This Row],[Class Disambiguation]]="",NodesData[[#This Row],[Common Name]],NodesData[[#This Row],[Common Name]]&amp;" ("&amp;NodesData[[#This Row],[Class Disambiguation]]&amp;")")</f>
        <v>Enterprise Cloud Subscriber</v>
      </c>
      <c r="G152" s="12" t="s">
        <v>738</v>
      </c>
      <c r="H152" s="19" t="str" cm="1">
        <f t="array" ref="H152">"n"&amp;SUBSTITUTE(CreateGuidString(),"-","_")</f>
        <v>n2AF43D85_1C4A_4282_B15A_B6C33F4EE3C9</v>
      </c>
    </row>
    <row r="153" spans="1:8" x14ac:dyDescent="0.35">
      <c r="A1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Enterprise Identity Management</v>
      </c>
      <c r="B153" s="12" t="s">
        <v>739</v>
      </c>
      <c r="C153" s="13" t="s">
        <v>1490</v>
      </c>
      <c r="E153" s="12" t="str">
        <f>IF(NodesData[[#This Row],[Class Disambiguation]]="",NodesData[[#This Row],[Common Name]],NodesData[[#This Row],[Common Name]]&amp;" ("&amp;NodesData[[#This Row],[Class Disambiguation]]&amp;")")</f>
        <v>Enterprise Identity Management</v>
      </c>
      <c r="G153" s="12" t="s">
        <v>740</v>
      </c>
      <c r="H153" s="19" t="str" cm="1">
        <f t="array" ref="H153">"n"&amp;SUBSTITUTE(CreateGuidString(),"-","_")</f>
        <v>n30BE06D8_AB79_4DCE_AAF5_C5537A646D7B</v>
      </c>
    </row>
    <row r="154" spans="1:8" x14ac:dyDescent="0.35">
      <c r="A1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Enterprise Single Sign-On</v>
      </c>
      <c r="B154" s="12" t="s">
        <v>741</v>
      </c>
      <c r="C154" s="13" t="s">
        <v>1491</v>
      </c>
      <c r="E154" s="12" t="str">
        <f>IF(NodesData[[#This Row],[Class Disambiguation]]="",NodesData[[#This Row],[Common Name]],NodesData[[#This Row],[Common Name]]&amp;" ("&amp;NodesData[[#This Row],[Class Disambiguation]]&amp;")")</f>
        <v>Enterprise Single Sign-On</v>
      </c>
      <c r="G154" s="12" t="s">
        <v>742</v>
      </c>
      <c r="H154" s="19" t="str" cm="1">
        <f t="array" ref="H154">"n"&amp;SUBSTITUTE(CreateGuidString(),"-","_")</f>
        <v>n44007857_9C0E_4229_94AA_EEFA1009A5F4</v>
      </c>
    </row>
    <row r="155" spans="1:8" x14ac:dyDescent="0.35">
      <c r="A1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</v>
      </c>
      <c r="B155" s="12" t="s">
        <v>743</v>
      </c>
      <c r="C155" s="13" t="s">
        <v>1492</v>
      </c>
      <c r="E155" s="12" t="str">
        <f>IF(NodesData[[#This Row],[Class Disambiguation]]="",NodesData[[#This Row],[Common Name]],NodesData[[#This Row],[Common Name]]&amp;" ("&amp;NodesData[[#This Row],[Class Disambiguation]]&amp;")")</f>
        <v>Entitlement</v>
      </c>
      <c r="G155" s="12" t="s">
        <v>744</v>
      </c>
      <c r="H155" s="19" t="str" cm="1">
        <f t="array" ref="H155">"n"&amp;SUBSTITUTE(CreateGuidString(),"-","_")</f>
        <v>n7ADB2044_13D9_44FA_B467_00636190DD42</v>
      </c>
    </row>
    <row r="156" spans="1:8" x14ac:dyDescent="0.35">
      <c r="A1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 Management</v>
      </c>
      <c r="B156" s="12" t="s">
        <v>745</v>
      </c>
      <c r="C156" s="13" t="s">
        <v>1494</v>
      </c>
      <c r="E156" s="12" t="str">
        <f>IF(NodesData[[#This Row],[Class Disambiguation]]="",NodesData[[#This Row],[Common Name]],NodesData[[#This Row],[Common Name]]&amp;" ("&amp;NodesData[[#This Row],[Class Disambiguation]]&amp;")")</f>
        <v>Entitlement Management</v>
      </c>
      <c r="G156" s="12" t="s">
        <v>746</v>
      </c>
      <c r="H156" s="19" t="str" cm="1">
        <f t="array" ref="H156">"n"&amp;SUBSTITUTE(CreateGuidString(),"-","_")</f>
        <v>nB04A4AF8_05E6_4891_84E6_11C95F6E8F1D</v>
      </c>
    </row>
    <row r="157" spans="1:8" x14ac:dyDescent="0.35">
      <c r="A1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 Management Process</v>
      </c>
      <c r="B157" s="12" t="s">
        <v>747</v>
      </c>
      <c r="C157" s="13" t="s">
        <v>1495</v>
      </c>
      <c r="E157" s="12" t="str">
        <f>IF(NodesData[[#This Row],[Class Disambiguation]]="",NodesData[[#This Row],[Common Name]],NodesData[[#This Row],[Common Name]]&amp;" ("&amp;NodesData[[#This Row],[Class Disambiguation]]&amp;")")</f>
        <v>Entitlement Management Process</v>
      </c>
      <c r="G157" s="12" t="s">
        <v>748</v>
      </c>
      <c r="H157" s="19" t="str" cm="1">
        <f t="array" ref="H157">"n"&amp;SUBSTITUTE(CreateGuidString(),"-","_")</f>
        <v>n4DD94D7F_037B_4C91_B3A9_6C3F8D974CE5</v>
      </c>
    </row>
    <row r="158" spans="1:8" x14ac:dyDescent="0.35">
      <c r="A1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 Management Solution</v>
      </c>
      <c r="B158" s="12" t="s">
        <v>749</v>
      </c>
      <c r="C158" s="13" t="s">
        <v>1496</v>
      </c>
      <c r="E158" s="12" t="str">
        <f>IF(NodesData[[#This Row],[Class Disambiguation]]="",NodesData[[#This Row],[Common Name]],NodesData[[#This Row],[Common Name]]&amp;" ("&amp;NodesData[[#This Row],[Class Disambiguation]]&amp;")")</f>
        <v>Entitlement Management Solution</v>
      </c>
      <c r="G158" s="12" t="s">
        <v>750</v>
      </c>
      <c r="H158" s="19" t="str" cm="1">
        <f t="array" ref="H158">"n"&amp;SUBSTITUTE(CreateGuidString(),"-","_")</f>
        <v>nC811907B_B5B1_4823_89D5_CE9A2F2159AE</v>
      </c>
    </row>
    <row r="159" spans="1:8" x14ac:dyDescent="0.35">
      <c r="A1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Entitlement-Based Access Control</v>
      </c>
      <c r="B159" s="12" t="s">
        <v>751</v>
      </c>
      <c r="C159" s="13" t="s">
        <v>1493</v>
      </c>
      <c r="E159" s="12" t="str">
        <f>IF(NodesData[[#This Row],[Class Disambiguation]]="",NodesData[[#This Row],[Common Name]],NodesData[[#This Row],[Common Name]]&amp;" ("&amp;NodesData[[#This Row],[Class Disambiguation]]&amp;")")</f>
        <v>Entitlement-Based Access Control</v>
      </c>
      <c r="G159" s="12" t="s">
        <v>752</v>
      </c>
      <c r="H159" s="19" t="str" cm="1">
        <f t="array" ref="H159">"n"&amp;SUBSTITUTE(CreateGuidString(),"-","_")</f>
        <v>nD8FCDDF9_9090_4BFE_A05E_20B99A2111CA</v>
      </c>
    </row>
    <row r="160" spans="1:8" x14ac:dyDescent="0.35">
      <c r="A1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Entity</v>
      </c>
      <c r="B160" s="12" t="s">
        <v>753</v>
      </c>
      <c r="C160" s="13" t="s">
        <v>1497</v>
      </c>
      <c r="E160" s="12" t="str">
        <f>IF(NodesData[[#This Row],[Class Disambiguation]]="",NodesData[[#This Row],[Common Name]],NodesData[[#This Row],[Common Name]]&amp;" ("&amp;NodesData[[#This Row],[Class Disambiguation]]&amp;")")</f>
        <v>Entity</v>
      </c>
      <c r="G160" s="12" t="s">
        <v>754</v>
      </c>
      <c r="H160" s="19" t="str" cm="1">
        <f t="array" ref="H160">"n"&amp;SUBSTITUTE(CreateGuidString(),"-","_")</f>
        <v>n2A704AFE_EE51_4379_B2DF_4553412AA92F</v>
      </c>
    </row>
    <row r="161" spans="1:8" x14ac:dyDescent="0.35">
      <c r="A1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ESSO (Acronym)</v>
      </c>
      <c r="B161" s="12" t="s">
        <v>755</v>
      </c>
      <c r="C161" s="13" t="s">
        <v>1498</v>
      </c>
      <c r="D161" s="12" t="s">
        <v>1270</v>
      </c>
      <c r="E161" s="12" t="str">
        <f>IF(NodesData[[#This Row],[Class Disambiguation]]="",NodesData[[#This Row],[Common Name]],NodesData[[#This Row],[Common Name]]&amp;" ("&amp;NodesData[[#This Row],[Class Disambiguation]]&amp;")")</f>
        <v>ESSO (Acronym)</v>
      </c>
      <c r="G161" s="12" t="s">
        <v>756</v>
      </c>
      <c r="H161" s="19" t="str" cm="1">
        <f t="array" ref="H161">"n"&amp;SUBSTITUTE(CreateGuidString(),"-","_")</f>
        <v>n22A958F8_2D36_4CB1_B0F4_1713C2D1ADA0</v>
      </c>
    </row>
    <row r="162" spans="1:8" x14ac:dyDescent="0.35">
      <c r="A1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Excessive Privilege Abuse</v>
      </c>
      <c r="B162" s="12" t="s">
        <v>757</v>
      </c>
      <c r="C162" s="13" t="s">
        <v>1499</v>
      </c>
      <c r="E162" s="12" t="str">
        <f>IF(NodesData[[#This Row],[Class Disambiguation]]="",NodesData[[#This Row],[Common Name]],NodesData[[#This Row],[Common Name]]&amp;" ("&amp;NodesData[[#This Row],[Class Disambiguation]]&amp;")")</f>
        <v>Excessive Privilege Abuse</v>
      </c>
      <c r="G162" s="12" t="s">
        <v>758</v>
      </c>
      <c r="H162" s="19" t="str" cm="1">
        <f t="array" ref="H162">"n"&amp;SUBSTITUTE(CreateGuidString(),"-","_")</f>
        <v>n35AC03EC_679A_4A97_868B_4E2BEE085482</v>
      </c>
    </row>
    <row r="163" spans="1:8" x14ac:dyDescent="0.35">
      <c r="A1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Expanded Password System</v>
      </c>
      <c r="B163" s="12" t="s">
        <v>759</v>
      </c>
      <c r="C163" s="13" t="s">
        <v>1500</v>
      </c>
      <c r="E163" s="12" t="str">
        <f>IF(NodesData[[#This Row],[Class Disambiguation]]="",NodesData[[#This Row],[Common Name]],NodesData[[#This Row],[Common Name]]&amp;" ("&amp;NodesData[[#This Row],[Class Disambiguation]]&amp;")")</f>
        <v>Expanded Password System</v>
      </c>
      <c r="G163" s="12" t="s">
        <v>760</v>
      </c>
      <c r="H163" s="19" t="str" cm="1">
        <f t="array" ref="H163">"n"&amp;SUBSTITUTE(CreateGuidString(),"-","_")</f>
        <v>n0B0607DE_1D9A_4FA9_98C2_D43225A5F043</v>
      </c>
    </row>
    <row r="164" spans="1:8" x14ac:dyDescent="0.35">
      <c r="A1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Exploited Identity</v>
      </c>
      <c r="B164" s="12" t="s">
        <v>761</v>
      </c>
      <c r="C164" s="13" t="s">
        <v>1501</v>
      </c>
      <c r="E164" s="12" t="str">
        <f>IF(NodesData[[#This Row],[Class Disambiguation]]="",NodesData[[#This Row],[Common Name]],NodesData[[#This Row],[Common Name]]&amp;" ("&amp;NodesData[[#This Row],[Class Disambiguation]]&amp;")")</f>
        <v>Exploited Identity</v>
      </c>
      <c r="G164" s="12" t="s">
        <v>762</v>
      </c>
      <c r="H164" s="19" t="str" cm="1">
        <f t="array" ref="H164">"n"&amp;SUBSTITUTE(CreateGuidString(),"-","_")</f>
        <v>nAFAE6ED9_0CDF_46B1_ACFF_E31AC8BEDAE0</v>
      </c>
    </row>
    <row r="165" spans="1:8" x14ac:dyDescent="0.35">
      <c r="A1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Extended Enterprise</v>
      </c>
      <c r="B165" s="12" t="s">
        <v>763</v>
      </c>
      <c r="C165" s="13" t="s">
        <v>1502</v>
      </c>
      <c r="E165" s="12" t="str">
        <f>IF(NodesData[[#This Row],[Class Disambiguation]]="",NodesData[[#This Row],[Common Name]],NodesData[[#This Row],[Common Name]]&amp;" ("&amp;NodesData[[#This Row],[Class Disambiguation]]&amp;")")</f>
        <v>Extended Enterprise</v>
      </c>
      <c r="G165" s="12" t="s">
        <v>764</v>
      </c>
      <c r="H165" s="19" t="str" cm="1">
        <f t="array" ref="H165">"n"&amp;SUBSTITUTE(CreateGuidString(),"-","_")</f>
        <v>n25820D8D_2452_4EB7_A719_316145C82916</v>
      </c>
    </row>
    <row r="166" spans="1:8" x14ac:dyDescent="0.35">
      <c r="A1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Extensible Access Control Markup Language</v>
      </c>
      <c r="B166" s="12" t="s">
        <v>765</v>
      </c>
      <c r="C166" s="13" t="s">
        <v>1503</v>
      </c>
      <c r="E166" s="12" t="str">
        <f>IF(NodesData[[#This Row],[Class Disambiguation]]="",NodesData[[#This Row],[Common Name]],NodesData[[#This Row],[Common Name]]&amp;" ("&amp;NodesData[[#This Row],[Class Disambiguation]]&amp;")")</f>
        <v>Extensible Access Control Markup Language</v>
      </c>
      <c r="G166" s="12" t="s">
        <v>766</v>
      </c>
      <c r="H166" s="19" t="str" cm="1">
        <f t="array" ref="H166">"n"&amp;SUBSTITUTE(CreateGuidString(),"-","_")</f>
        <v>nFFB7A5C3_5074_4D69_9D1F_B697CFB687E2</v>
      </c>
    </row>
    <row r="167" spans="1:8" x14ac:dyDescent="0.35">
      <c r="A1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External Threat Agent</v>
      </c>
      <c r="B167" s="12" t="s">
        <v>1842</v>
      </c>
      <c r="C167" s="13" t="s">
        <v>1846</v>
      </c>
      <c r="E167" s="18" t="str">
        <f>IF(NodesData[[#This Row],[Class Disambiguation]]="",NodesData[[#This Row],[Common Name]],NodesData[[#This Row],[Common Name]]&amp;" ("&amp;NodesData[[#This Row],[Class Disambiguation]]&amp;")")</f>
        <v>External Threat Agent</v>
      </c>
      <c r="F167" s="18"/>
      <c r="H167" s="20" t="str" cm="1">
        <f t="array" ref="H167">"n"&amp;SUBSTITUTE(CreateGuidString(),"-","_")</f>
        <v>nBDD6D645_728E_47C9_9E5A_830B4238CD39</v>
      </c>
    </row>
    <row r="168" spans="1:8" x14ac:dyDescent="0.35">
      <c r="A1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Facial Recognition Authentication</v>
      </c>
      <c r="B168" s="12" t="s">
        <v>1304</v>
      </c>
      <c r="C168" s="13" t="s">
        <v>1513</v>
      </c>
      <c r="E168" s="12" t="str">
        <f>IF(NodesData[[#This Row],[Class Disambiguation]]="",NodesData[[#This Row],[Common Name]],NodesData[[#This Row],[Common Name]]&amp;" ("&amp;NodesData[[#This Row],[Class Disambiguation]]&amp;")")</f>
        <v>Facial Recognition Authentication</v>
      </c>
      <c r="H168" s="19" t="str" cm="1">
        <f t="array" ref="H168">"n"&amp;SUBSTITUTE(CreateGuidString(),"-","_")</f>
        <v>n6F86338C_CBC9_44CE_A04F_A072DCE4599D</v>
      </c>
    </row>
    <row r="169" spans="1:8" x14ac:dyDescent="0.35">
      <c r="A1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Fake Digital Identity</v>
      </c>
      <c r="B169" s="12" t="s">
        <v>178</v>
      </c>
      <c r="C169" s="13" t="s">
        <v>1505</v>
      </c>
      <c r="E169" s="12" t="str">
        <f>IF(NodesData[[#This Row],[Class Disambiguation]]="",NodesData[[#This Row],[Common Name]],NodesData[[#This Row],[Common Name]]&amp;" ("&amp;NodesData[[#This Row],[Class Disambiguation]]&amp;")")</f>
        <v>Fake Digital Identity</v>
      </c>
      <c r="G169" s="12" t="s">
        <v>767</v>
      </c>
      <c r="H169" s="19" t="str" cm="1">
        <f t="array" ref="H169">"n"&amp;SUBSTITUTE(CreateGuidString(),"-","_")</f>
        <v>n8970F321_F562_4A9E_A409_66793F80E610</v>
      </c>
    </row>
    <row r="170" spans="1:8" x14ac:dyDescent="0.35">
      <c r="A1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FAPI (Acronym)</v>
      </c>
      <c r="B170" s="12" t="s">
        <v>179</v>
      </c>
      <c r="C170" s="13" t="s">
        <v>1506</v>
      </c>
      <c r="D170" s="12" t="s">
        <v>1270</v>
      </c>
      <c r="E170" s="12" t="str">
        <f>IF(NodesData[[#This Row],[Class Disambiguation]]="",NodesData[[#This Row],[Common Name]],NodesData[[#This Row],[Common Name]]&amp;" ("&amp;NodesData[[#This Row],[Class Disambiguation]]&amp;")")</f>
        <v>FAPI (Acronym)</v>
      </c>
      <c r="G170" s="12" t="s">
        <v>768</v>
      </c>
      <c r="H170" s="19" t="str" cm="1">
        <f t="array" ref="H170">"n"&amp;SUBSTITUTE(CreateGuidString(),"-","_")</f>
        <v>n4D85C45B_CCFB_4DEE_B982_02D4D0DCF3CF</v>
      </c>
    </row>
    <row r="171" spans="1:8" x14ac:dyDescent="0.35">
      <c r="A1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Federated Identity Management</v>
      </c>
      <c r="B171" s="12" t="s">
        <v>769</v>
      </c>
      <c r="C171" s="13" t="s">
        <v>1507</v>
      </c>
      <c r="E171" s="12" t="str">
        <f>IF(NodesData[[#This Row],[Class Disambiguation]]="",NodesData[[#This Row],[Common Name]],NodesData[[#This Row],[Common Name]]&amp;" ("&amp;NodesData[[#This Row],[Class Disambiguation]]&amp;")")</f>
        <v>Federated Identity Management</v>
      </c>
      <c r="G171" s="12" t="s">
        <v>770</v>
      </c>
      <c r="H171" s="19" t="str" cm="1">
        <f t="array" ref="H171">"n"&amp;SUBSTITUTE(CreateGuidString(),"-","_")</f>
        <v>nC517677C_44EB_4020_93F6_68ED7B86E2BB</v>
      </c>
    </row>
    <row r="172" spans="1:8" x14ac:dyDescent="0.35">
      <c r="A1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Federated Identity Management System</v>
      </c>
      <c r="B172" s="12" t="s">
        <v>771</v>
      </c>
      <c r="C172" s="13" t="s">
        <v>1508</v>
      </c>
      <c r="E172" s="12" t="str">
        <f>IF(NodesData[[#This Row],[Class Disambiguation]]="",NodesData[[#This Row],[Common Name]],NodesData[[#This Row],[Common Name]]&amp;" ("&amp;NodesData[[#This Row],[Class Disambiguation]]&amp;")")</f>
        <v>Federated Identity Management System</v>
      </c>
      <c r="G172" s="12" t="s">
        <v>772</v>
      </c>
      <c r="H172" s="19" t="str" cm="1">
        <f t="array" ref="H172">"n"&amp;SUBSTITUTE(CreateGuidString(),"-","_")</f>
        <v>n906746B1_057A_466A_9677_7C9968E63EAE</v>
      </c>
    </row>
    <row r="173" spans="1:8" x14ac:dyDescent="0.35">
      <c r="A1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Federated SSO</v>
      </c>
      <c r="B173" s="12" t="s">
        <v>773</v>
      </c>
      <c r="C173" s="13" t="s">
        <v>1509</v>
      </c>
      <c r="E173" s="12" t="str">
        <f>IF(NodesData[[#This Row],[Class Disambiguation]]="",NodesData[[#This Row],[Common Name]],NodesData[[#This Row],[Common Name]]&amp;" ("&amp;NodesData[[#This Row],[Class Disambiguation]]&amp;")")</f>
        <v>Federated SSO</v>
      </c>
      <c r="G173" s="12" t="s">
        <v>774</v>
      </c>
      <c r="H173" s="19" t="str" cm="1">
        <f t="array" ref="H173">"n"&amp;SUBSTITUTE(CreateGuidString(),"-","_")</f>
        <v>nD4E2E8FA_44E2_4C91_8890_35E9255B169D</v>
      </c>
    </row>
    <row r="174" spans="1:8" x14ac:dyDescent="0.35">
      <c r="A1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Federation Bridge</v>
      </c>
      <c r="B174" s="12" t="s">
        <v>775</v>
      </c>
      <c r="C174" s="13" t="s">
        <v>1510</v>
      </c>
      <c r="E174" s="12" t="str">
        <f>IF(NodesData[[#This Row],[Class Disambiguation]]="",NodesData[[#This Row],[Common Name]],NodesData[[#This Row],[Common Name]]&amp;" ("&amp;NodesData[[#This Row],[Class Disambiguation]]&amp;")")</f>
        <v>Federation Bridge</v>
      </c>
      <c r="G174" s="12" t="s">
        <v>776</v>
      </c>
      <c r="H174" s="19" t="str" cm="1">
        <f t="array" ref="H174">"n"&amp;SUBSTITUTE(CreateGuidString(),"-","_")</f>
        <v>n2767D89E_E71F_4FC8_8795_7D76DE72136C</v>
      </c>
    </row>
    <row r="175" spans="1:8" x14ac:dyDescent="0.35">
      <c r="A1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FIM (Acronym)</v>
      </c>
      <c r="B175" s="12" t="s">
        <v>777</v>
      </c>
      <c r="C175" s="13" t="s">
        <v>1511</v>
      </c>
      <c r="D175" s="12" t="s">
        <v>1270</v>
      </c>
      <c r="E175" s="12" t="str">
        <f>IF(NodesData[[#This Row],[Class Disambiguation]]="",NodesData[[#This Row],[Common Name]],NodesData[[#This Row],[Common Name]]&amp;" ("&amp;NodesData[[#This Row],[Class Disambiguation]]&amp;")")</f>
        <v>FIM (Acronym)</v>
      </c>
      <c r="G175" s="12" t="s">
        <v>778</v>
      </c>
      <c r="H175" s="19" t="str" cm="1">
        <f t="array" ref="H175">"n"&amp;SUBSTITUTE(CreateGuidString(),"-","_")</f>
        <v>n568B7218_557D_48CD_9D34_781BAA903477</v>
      </c>
    </row>
    <row r="176" spans="1:8" x14ac:dyDescent="0.35">
      <c r="A1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Financial Gain</v>
      </c>
      <c r="B176" s="32" t="s">
        <v>1922</v>
      </c>
      <c r="C176" s="13" t="s">
        <v>1931</v>
      </c>
      <c r="E176" s="18" t="str">
        <f>IF(NodesData[[#This Row],[Class Disambiguation]]="",NodesData[[#This Row],[Common Name]],NodesData[[#This Row],[Common Name]]&amp;" ("&amp;NodesData[[#This Row],[Class Disambiguation]]&amp;")")</f>
        <v>Financial Gain</v>
      </c>
      <c r="F176" s="18"/>
      <c r="H176" s="20" t="str" cm="1">
        <f t="array" ref="H176">"n"&amp;SUBSTITUTE(CreateGuidString(),"-","_")</f>
        <v>n04A80049_BBF5_4FC8_9DB6_5B4DE8D2E87C</v>
      </c>
    </row>
    <row r="177" spans="1:8" x14ac:dyDescent="0.35">
      <c r="A1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Financial-grade API</v>
      </c>
      <c r="B177" s="12" t="s">
        <v>185</v>
      </c>
      <c r="C177" s="13" t="s">
        <v>1512</v>
      </c>
      <c r="E177" s="12" t="str">
        <f>IF(NodesData[[#This Row],[Class Disambiguation]]="",NodesData[[#This Row],[Common Name]],NodesData[[#This Row],[Common Name]]&amp;" ("&amp;NodesData[[#This Row],[Class Disambiguation]]&amp;")")</f>
        <v>Financial-grade API</v>
      </c>
      <c r="G177" s="12" t="s">
        <v>779</v>
      </c>
      <c r="H177" s="19" t="str" cm="1">
        <f t="array" ref="H177">"n"&amp;SUBSTITUTE(CreateGuidString(),"-","_")</f>
        <v>nF12C12A7_D287_437F_9DFD_821E01E1814F</v>
      </c>
    </row>
    <row r="178" spans="1:8" x14ac:dyDescent="0.35">
      <c r="A1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Fingerprint Recognition Authentication</v>
      </c>
      <c r="B178" s="12" t="s">
        <v>1306</v>
      </c>
      <c r="C178" s="13" t="s">
        <v>1520</v>
      </c>
      <c r="E178" s="12" t="str">
        <f>IF(NodesData[[#This Row],[Class Disambiguation]]="",NodesData[[#This Row],[Common Name]],NodesData[[#This Row],[Common Name]]&amp;" ("&amp;NodesData[[#This Row],[Class Disambiguation]]&amp;")")</f>
        <v>Fingerprint Recognition Authentication</v>
      </c>
      <c r="H178" s="19" t="str" cm="1">
        <f t="array" ref="H178">"n"&amp;SUBSTITUTE(CreateGuidString(),"-","_")</f>
        <v>nE808CE9F_F2CB_48EE_A7E3_63405F1A3CF7</v>
      </c>
    </row>
    <row r="179" spans="1:8" x14ac:dyDescent="0.35">
      <c r="A1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FinTech (Acronym)</v>
      </c>
      <c r="B179" s="12" t="s">
        <v>186</v>
      </c>
      <c r="C179" s="13" t="s">
        <v>1514</v>
      </c>
      <c r="D179" s="12" t="s">
        <v>1270</v>
      </c>
      <c r="E179" s="12" t="str">
        <f>IF(NodesData[[#This Row],[Class Disambiguation]]="",NodesData[[#This Row],[Common Name]],NodesData[[#This Row],[Common Name]]&amp;" ("&amp;NodesData[[#This Row],[Class Disambiguation]]&amp;")")</f>
        <v>FinTech (Acronym)</v>
      </c>
      <c r="G179" s="12" t="s">
        <v>780</v>
      </c>
      <c r="H179" s="19" t="str" cm="1">
        <f t="array" ref="H179">"n"&amp;SUBSTITUTE(CreateGuidString(),"-","_")</f>
        <v>nF3EF9815_2C07_4CB3_B40C_70CE1F1E136C</v>
      </c>
    </row>
    <row r="180" spans="1:8" x14ac:dyDescent="0.35">
      <c r="A1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Flexibility</v>
      </c>
      <c r="B180" s="12" t="s">
        <v>781</v>
      </c>
      <c r="C180" s="13" t="s">
        <v>1515</v>
      </c>
      <c r="E180" s="12" t="str">
        <f>IF(NodesData[[#This Row],[Class Disambiguation]]="",NodesData[[#This Row],[Common Name]],NodesData[[#This Row],[Common Name]]&amp;" ("&amp;NodesData[[#This Row],[Class Disambiguation]]&amp;")")</f>
        <v>Flexibility</v>
      </c>
      <c r="G180" s="12" t="s">
        <v>782</v>
      </c>
      <c r="H180" s="19" t="str" cm="1">
        <f t="array" ref="H180">"n"&amp;SUBSTITUTE(CreateGuidString(),"-","_")</f>
        <v>nE3080AC9_C764_46AF_BABD_85D248F69C3C</v>
      </c>
    </row>
    <row r="181" spans="1:8" x14ac:dyDescent="0.35">
      <c r="A1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Flow Analysis</v>
      </c>
      <c r="B181" s="12" t="s">
        <v>783</v>
      </c>
      <c r="C181" s="13" t="s">
        <v>1516</v>
      </c>
      <c r="E181" s="12" t="str">
        <f>IF(NodesData[[#This Row],[Class Disambiguation]]="",NodesData[[#This Row],[Common Name]],NodesData[[#This Row],[Common Name]]&amp;" ("&amp;NodesData[[#This Row],[Class Disambiguation]]&amp;")")</f>
        <v>Flow Analysis</v>
      </c>
      <c r="G181" s="12" t="s">
        <v>784</v>
      </c>
      <c r="H181" s="19" t="str" cm="1">
        <f t="array" ref="H181">"n"&amp;SUBSTITUTE(CreateGuidString(),"-","_")</f>
        <v>n36D539B6_3522_49D8_B094_FF0F4EFAE222</v>
      </c>
    </row>
    <row r="182" spans="1:8" x14ac:dyDescent="0.35">
      <c r="A1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Forged Identity</v>
      </c>
      <c r="B182" s="12" t="s">
        <v>785</v>
      </c>
      <c r="C182" s="13" t="s">
        <v>1517</v>
      </c>
      <c r="E182" s="12" t="str">
        <f>IF(NodesData[[#This Row],[Class Disambiguation]]="",NodesData[[#This Row],[Common Name]],NodesData[[#This Row],[Common Name]]&amp;" ("&amp;NodesData[[#This Row],[Class Disambiguation]]&amp;")")</f>
        <v>Forged Identity</v>
      </c>
      <c r="G182" s="12" t="s">
        <v>786</v>
      </c>
      <c r="H182" s="19" t="str" cm="1">
        <f t="array" ref="H182">"n"&amp;SUBSTITUTE(CreateGuidString(),"-","_")</f>
        <v>n6D3A8F47_AA79_40D7_8039_D049B6380037</v>
      </c>
    </row>
    <row r="183" spans="1:8" x14ac:dyDescent="0.35">
      <c r="A1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Formal Verification</v>
      </c>
      <c r="B183" s="12" t="s">
        <v>787</v>
      </c>
      <c r="C183" s="13" t="s">
        <v>1518</v>
      </c>
      <c r="E183" s="12" t="str">
        <f>IF(NodesData[[#This Row],[Class Disambiguation]]="",NodesData[[#This Row],[Common Name]],NodesData[[#This Row],[Common Name]]&amp;" ("&amp;NodesData[[#This Row],[Class Disambiguation]]&amp;")")</f>
        <v>Formal Verification</v>
      </c>
      <c r="G183" s="12" t="s">
        <v>788</v>
      </c>
      <c r="H183" s="19" t="str" cm="1">
        <f t="array" ref="H183">"n"&amp;SUBSTITUTE(CreateGuidString(),"-","_")</f>
        <v>nC84BE8AF_97FE_4025_A9CE_14564131C45F</v>
      </c>
    </row>
    <row r="184" spans="1:8" x14ac:dyDescent="0.35">
      <c r="A1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Foundational Identification System</v>
      </c>
      <c r="B184" s="12" t="s">
        <v>192</v>
      </c>
      <c r="C184" s="13" t="s">
        <v>1519</v>
      </c>
      <c r="E184" s="12" t="str">
        <f>IF(NodesData[[#This Row],[Class Disambiguation]]="",NodesData[[#This Row],[Common Name]],NodesData[[#This Row],[Common Name]]&amp;" ("&amp;NodesData[[#This Row],[Class Disambiguation]]&amp;")")</f>
        <v>Foundational Identification System</v>
      </c>
      <c r="G184" s="12" t="s">
        <v>789</v>
      </c>
      <c r="H184" s="19" t="str" cm="1">
        <f t="array" ref="H184">"n"&amp;SUBSTITUTE(CreateGuidString(),"-","_")</f>
        <v>n73292E2E_9F65_434B_85D6_05A5194A40B2</v>
      </c>
    </row>
    <row r="185" spans="1:8" x14ac:dyDescent="0.35">
      <c r="A1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Front-end Authentication</v>
      </c>
      <c r="B185" s="12" t="s">
        <v>1300</v>
      </c>
      <c r="C185" s="13" t="s">
        <v>1523</v>
      </c>
      <c r="E185" s="12" t="str">
        <f>IF(NodesData[[#This Row],[Class Disambiguation]]="",NodesData[[#This Row],[Common Name]],NodesData[[#This Row],[Common Name]]&amp;" ("&amp;NodesData[[#This Row],[Class Disambiguation]]&amp;")")</f>
        <v>Front-end Authentication</v>
      </c>
      <c r="H185" s="19" t="str" cm="1">
        <f t="array" ref="H185">"n"&amp;SUBSTITUTE(CreateGuidString(),"-","_")</f>
        <v>n54B5797A_AF6A_4F9C_842C_33F7173EF8D0</v>
      </c>
    </row>
    <row r="186" spans="1:8" x14ac:dyDescent="0.35">
      <c r="A1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Functional Identification System</v>
      </c>
      <c r="B186" s="12" t="s">
        <v>790</v>
      </c>
      <c r="C186" s="13" t="s">
        <v>1521</v>
      </c>
      <c r="E186" s="12" t="str">
        <f>IF(NodesData[[#This Row],[Class Disambiguation]]="",NodesData[[#This Row],[Common Name]],NodesData[[#This Row],[Common Name]]&amp;" ("&amp;NodesData[[#This Row],[Class Disambiguation]]&amp;")")</f>
        <v>Functional Identification System</v>
      </c>
      <c r="G186" s="12" t="s">
        <v>791</v>
      </c>
      <c r="H186" s="19" t="str" cm="1">
        <f t="array" ref="H186">"n"&amp;SUBSTITUTE(CreateGuidString(),"-","_")</f>
        <v>n697FCFAB_72C8_435C_819F_69D34EC04D44</v>
      </c>
    </row>
    <row r="187" spans="1:8" x14ac:dyDescent="0.35">
      <c r="A1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Functional System</v>
      </c>
      <c r="B187" s="12" t="s">
        <v>792</v>
      </c>
      <c r="C187" s="13" t="s">
        <v>1522</v>
      </c>
      <c r="E187" s="12" t="str">
        <f>IF(NodesData[[#This Row],[Class Disambiguation]]="",NodesData[[#This Row],[Common Name]],NodesData[[#This Row],[Common Name]]&amp;" ("&amp;NodesData[[#This Row],[Class Disambiguation]]&amp;")")</f>
        <v>Functional System</v>
      </c>
      <c r="G187" s="12" t="s">
        <v>793</v>
      </c>
      <c r="H187" s="19" t="str" cm="1">
        <f t="array" ref="H187">"n"&amp;SUBSTITUTE(CreateGuidString(),"-","_")</f>
        <v>n54CFF507_AB0A_4989_BE24_070C5D54AB9D</v>
      </c>
    </row>
    <row r="188" spans="1:8" x14ac:dyDescent="0.35">
      <c r="A1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Gait Recognition Authentication</v>
      </c>
      <c r="B188" s="12" t="s">
        <v>1307</v>
      </c>
      <c r="C188" s="13" t="s">
        <v>1524</v>
      </c>
      <c r="E188" s="12" t="str">
        <f>IF(NodesData[[#This Row],[Class Disambiguation]]="",NodesData[[#This Row],[Common Name]],NodesData[[#This Row],[Common Name]]&amp;" ("&amp;NodesData[[#This Row],[Class Disambiguation]]&amp;")")</f>
        <v>Gait Recognition Authentication</v>
      </c>
      <c r="H188" s="19" t="str" cm="1">
        <f t="array" ref="H188">"n"&amp;SUBSTITUTE(CreateGuidString(),"-","_")</f>
        <v>n23125A83_657A_469B_A2D1_C2B78BDDDC70</v>
      </c>
    </row>
    <row r="189" spans="1:8" x14ac:dyDescent="0.35">
      <c r="A1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Geo-localization Authentication</v>
      </c>
      <c r="B189" s="12" t="s">
        <v>1305</v>
      </c>
      <c r="C189" s="13" t="s">
        <v>1525</v>
      </c>
      <c r="E189" s="12" t="str">
        <f>IF(NodesData[[#This Row],[Class Disambiguation]]="",NodesData[[#This Row],[Common Name]],NodesData[[#This Row],[Common Name]]&amp;" ("&amp;NodesData[[#This Row],[Class Disambiguation]]&amp;")")</f>
        <v>Geo-localization Authentication</v>
      </c>
      <c r="H189" s="19" t="str" cm="1">
        <f t="array" ref="H189">"n"&amp;SUBSTITUTE(CreateGuidString(),"-","_")</f>
        <v>n39BA3A3A_8444_412B_8126_55AFD2FC290F</v>
      </c>
    </row>
    <row r="190" spans="1:8" x14ac:dyDescent="0.35">
      <c r="A1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Graphical Password-Based Authentication</v>
      </c>
      <c r="B190" s="12" t="s">
        <v>1325</v>
      </c>
      <c r="C190" s="13" t="s">
        <v>1527</v>
      </c>
      <c r="E190" s="12" t="str">
        <f>IF(NodesData[[#This Row],[Class Disambiguation]]="",NodesData[[#This Row],[Common Name]],NodesData[[#This Row],[Common Name]]&amp;" ("&amp;NodesData[[#This Row],[Class Disambiguation]]&amp;")")</f>
        <v>Graphical Password-Based Authentication</v>
      </c>
      <c r="H190" s="19" t="str" cm="1">
        <f t="array" ref="H190">"n"&amp;SUBSTITUTE(CreateGuidString(),"-","_")</f>
        <v>n832C7605_7514_49DD_AF8C_BA344A0F66F1</v>
      </c>
    </row>
    <row r="191" spans="1:8" x14ac:dyDescent="0.35">
      <c r="A1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Guest Account</v>
      </c>
      <c r="B191" s="12" t="s">
        <v>794</v>
      </c>
      <c r="C191" s="13" t="s">
        <v>1526</v>
      </c>
      <c r="E191" s="12" t="str">
        <f>IF(NodesData[[#This Row],[Class Disambiguation]]="",NodesData[[#This Row],[Common Name]],NodesData[[#This Row],[Common Name]]&amp;" ("&amp;NodesData[[#This Row],[Class Disambiguation]]&amp;")")</f>
        <v>Guest Account</v>
      </c>
      <c r="G191" s="12" t="s">
        <v>795</v>
      </c>
      <c r="H191" s="19" t="str" cm="1">
        <f t="array" ref="H191">"n"&amp;SUBSTITUTE(CreateGuidString(),"-","_")</f>
        <v>n697C30AA_5FE8_460A_BDBA_F73F11E3ACDC</v>
      </c>
    </row>
    <row r="192" spans="1:8" x14ac:dyDescent="0.35">
      <c r="A1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Hand Gestures Recognition Authentication</v>
      </c>
      <c r="B192" s="12" t="s">
        <v>1308</v>
      </c>
      <c r="C192" s="13" t="s">
        <v>1528</v>
      </c>
      <c r="E192" s="12" t="str">
        <f>IF(NodesData[[#This Row],[Class Disambiguation]]="",NodesData[[#This Row],[Common Name]],NodesData[[#This Row],[Common Name]]&amp;" ("&amp;NodesData[[#This Row],[Class Disambiguation]]&amp;")")</f>
        <v>Hand Gestures Recognition Authentication</v>
      </c>
      <c r="H192" s="19" t="str" cm="1">
        <f t="array" ref="H192">"n"&amp;SUBSTITUTE(CreateGuidString(),"-","_")</f>
        <v>n8E73D8DF_B00C_4FF2_A1FA_B2026768098F</v>
      </c>
    </row>
    <row r="193" spans="1:8" x14ac:dyDescent="0.35">
      <c r="A1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Heartbeats Recognition Authentication</v>
      </c>
      <c r="B193" s="12" t="s">
        <v>1309</v>
      </c>
      <c r="C193" s="13" t="s">
        <v>1566</v>
      </c>
      <c r="E193" s="12" t="str">
        <f>IF(NodesData[[#This Row],[Class Disambiguation]]="",NodesData[[#This Row],[Common Name]],NodesData[[#This Row],[Common Name]]&amp;" ("&amp;NodesData[[#This Row],[Class Disambiguation]]&amp;")")</f>
        <v>Heartbeats Recognition Authentication</v>
      </c>
      <c r="H193" s="19" t="str" cm="1">
        <f t="array" ref="H193">"n"&amp;SUBSTITUTE(CreateGuidString(),"-","_")</f>
        <v>n8D73E77A_77E6_4190_8AD9_52B4EC227D6A</v>
      </c>
    </row>
    <row r="194" spans="1:8" x14ac:dyDescent="0.35">
      <c r="A1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High Water Mark Principle</v>
      </c>
      <c r="B194" s="12" t="s">
        <v>796</v>
      </c>
      <c r="C194" s="13" t="s">
        <v>1529</v>
      </c>
      <c r="E194" s="12" t="str">
        <f>IF(NodesData[[#This Row],[Class Disambiguation]]="",NodesData[[#This Row],[Common Name]],NodesData[[#This Row],[Common Name]]&amp;" ("&amp;NodesData[[#This Row],[Class Disambiguation]]&amp;")")</f>
        <v>High Water Mark Principle</v>
      </c>
      <c r="G194" s="12" t="s">
        <v>797</v>
      </c>
      <c r="H194" s="19" t="str" cm="1">
        <f t="array" ref="H194">"n"&amp;SUBSTITUTE(CreateGuidString(),"-","_")</f>
        <v>nBF3AB5D2_872B_45B0_B1E1_A924166451D7</v>
      </c>
    </row>
    <row r="195" spans="1:8" x14ac:dyDescent="0.35">
      <c r="A1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Human Error</v>
      </c>
      <c r="B195" s="12" t="s">
        <v>798</v>
      </c>
      <c r="C195" s="13" t="s">
        <v>1530</v>
      </c>
      <c r="E195" s="12" t="str">
        <f>IF(NodesData[[#This Row],[Class Disambiguation]]="",NodesData[[#This Row],[Common Name]],NodesData[[#This Row],[Common Name]]&amp;" ("&amp;NodesData[[#This Row],[Class Disambiguation]]&amp;")")</f>
        <v>Human Error</v>
      </c>
      <c r="G195" s="12" t="s">
        <v>799</v>
      </c>
      <c r="H195" s="19" t="str" cm="1">
        <f t="array" ref="H195">"n"&amp;SUBSTITUTE(CreateGuidString(),"-","_")</f>
        <v>nC0D5CC5E_C76B_403A_8252_AAF03AB66EE8</v>
      </c>
    </row>
    <row r="196" spans="1:8" x14ac:dyDescent="0.35">
      <c r="A1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Human Reliability</v>
      </c>
      <c r="B196" s="12" t="s">
        <v>800</v>
      </c>
      <c r="C196" s="13" t="s">
        <v>1531</v>
      </c>
      <c r="E196" s="12" t="str">
        <f>IF(NodesData[[#This Row],[Class Disambiguation]]="",NodesData[[#This Row],[Common Name]],NodesData[[#This Row],[Common Name]]&amp;" ("&amp;NodesData[[#This Row],[Class Disambiguation]]&amp;")")</f>
        <v>Human Reliability</v>
      </c>
      <c r="G196" s="12" t="s">
        <v>801</v>
      </c>
      <c r="H196" s="19" t="str" cm="1">
        <f t="array" ref="H196">"n"&amp;SUBSTITUTE(CreateGuidString(),"-","_")</f>
        <v>n22482647_05D8_451F_9881_B334B1CCC546</v>
      </c>
    </row>
    <row r="197" spans="1:8" x14ac:dyDescent="0.35">
      <c r="A1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IAG (Acronym)</v>
      </c>
      <c r="B197" s="12" t="s">
        <v>201</v>
      </c>
      <c r="C197" s="13" t="s">
        <v>1532</v>
      </c>
      <c r="D197" s="12" t="s">
        <v>1270</v>
      </c>
      <c r="E197" s="12" t="str">
        <f>IF(NodesData[[#This Row],[Class Disambiguation]]="",NodesData[[#This Row],[Common Name]],NodesData[[#This Row],[Common Name]]&amp;" ("&amp;NodesData[[#This Row],[Class Disambiguation]]&amp;")")</f>
        <v>IAG (Acronym)</v>
      </c>
      <c r="G197" s="12" t="s">
        <v>802</v>
      </c>
      <c r="H197" s="19" t="str" cm="1">
        <f t="array" ref="H197">"n"&amp;SUBSTITUTE(CreateGuidString(),"-","_")</f>
        <v>nD07714D9_3D0D_479B_8D78_0DFC96CBBDAA</v>
      </c>
    </row>
    <row r="198" spans="1:8" x14ac:dyDescent="0.35">
      <c r="A1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IAM ARN (Acronym)</v>
      </c>
      <c r="B198" s="12" t="s">
        <v>804</v>
      </c>
      <c r="C198" s="13" t="s">
        <v>1534</v>
      </c>
      <c r="D198" s="12" t="s">
        <v>1270</v>
      </c>
      <c r="E198" s="12" t="str">
        <f>IF(NodesData[[#This Row],[Class Disambiguation]]="",NodesData[[#This Row],[Common Name]],NodesData[[#This Row],[Common Name]]&amp;" ("&amp;NodesData[[#This Row],[Class Disambiguation]]&amp;")")</f>
        <v>IAM ARN (Acronym)</v>
      </c>
      <c r="G198" s="12" t="s">
        <v>805</v>
      </c>
      <c r="H198" s="19" t="str" cm="1">
        <f t="array" ref="H198">"n"&amp;SUBSTITUTE(CreateGuidString(),"-","_")</f>
        <v>n14C4639F_0C22_482A_A76B_025271F2BB4F</v>
      </c>
    </row>
    <row r="199" spans="1:8" x14ac:dyDescent="0.35">
      <c r="A1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IAM Management</v>
      </c>
      <c r="B199" s="12" t="s">
        <v>806</v>
      </c>
      <c r="C199" s="13" t="s">
        <v>1535</v>
      </c>
      <c r="E199" s="12" t="str">
        <f>IF(NodesData[[#This Row],[Class Disambiguation]]="",NodesData[[#This Row],[Common Name]],NodesData[[#This Row],[Common Name]]&amp;" ("&amp;NodesData[[#This Row],[Class Disambiguation]]&amp;")")</f>
        <v>IAM Management</v>
      </c>
      <c r="G199" s="12" t="s">
        <v>807</v>
      </c>
      <c r="H199" s="19" t="str" cm="1">
        <f t="array" ref="H199">"n"&amp;SUBSTITUTE(CreateGuidString(),"-","_")</f>
        <v>n544FBF8B_45CE_49DF_BE19_993C6E3C49D9</v>
      </c>
    </row>
    <row r="200" spans="1:8" x14ac:dyDescent="0.35">
      <c r="A20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IAM (Acronym)</v>
      </c>
      <c r="B200" s="12" t="s">
        <v>202</v>
      </c>
      <c r="C200" s="13" t="s">
        <v>1533</v>
      </c>
      <c r="D200" s="12" t="s">
        <v>1270</v>
      </c>
      <c r="E200" s="12" t="str">
        <f>IF(NodesData[[#This Row],[Class Disambiguation]]="",NodesData[[#This Row],[Common Name]],NodesData[[#This Row],[Common Name]]&amp;" ("&amp;NodesData[[#This Row],[Class Disambiguation]]&amp;")")</f>
        <v>IAM (Acronym)</v>
      </c>
      <c r="G200" s="12" t="s">
        <v>803</v>
      </c>
      <c r="H200" s="19" t="str" cm="1">
        <f t="array" ref="H200">"n"&amp;SUBSTITUTE(CreateGuidString(),"-","_")</f>
        <v>n98DFC7DB_B7A9_413F_AC76_64202BF52120</v>
      </c>
    </row>
    <row r="201" spans="1:8" x14ac:dyDescent="0.35">
      <c r="A20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IAP (Acronym)</v>
      </c>
      <c r="B201" s="12" t="s">
        <v>808</v>
      </c>
      <c r="C201" s="13" t="s">
        <v>1536</v>
      </c>
      <c r="D201" s="12" t="s">
        <v>1270</v>
      </c>
      <c r="E201" s="12" t="str">
        <f>IF(NodesData[[#This Row],[Class Disambiguation]]="",NodesData[[#This Row],[Common Name]],NodesData[[#This Row],[Common Name]]&amp;" ("&amp;NodesData[[#This Row],[Class Disambiguation]]&amp;")")</f>
        <v>IAP (Acronym)</v>
      </c>
      <c r="G201" s="12" t="s">
        <v>809</v>
      </c>
      <c r="H201" s="19" t="str" cm="1">
        <f t="array" ref="H201">"n"&amp;SUBSTITUTE(CreateGuidString(),"-","_")</f>
        <v>nD74DE3CA_7708_4E93_A2B2_D64C1CC3E6BB</v>
      </c>
    </row>
    <row r="202" spans="1:8" x14ac:dyDescent="0.35">
      <c r="A20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IDaaS (Acronym)</v>
      </c>
      <c r="B202" s="12" t="s">
        <v>810</v>
      </c>
      <c r="C202" s="13" t="s">
        <v>1537</v>
      </c>
      <c r="D202" s="12" t="s">
        <v>1270</v>
      </c>
      <c r="E202" s="12" t="str">
        <f>IF(NodesData[[#This Row],[Class Disambiguation]]="",NodesData[[#This Row],[Common Name]],NodesData[[#This Row],[Common Name]]&amp;" ("&amp;NodesData[[#This Row],[Class Disambiguation]]&amp;")")</f>
        <v>IDaaS (Acronym)</v>
      </c>
      <c r="G202" s="12" t="s">
        <v>811</v>
      </c>
      <c r="H202" s="19" t="str" cm="1">
        <f t="array" ref="H202">"n"&amp;SUBSTITUTE(CreateGuidString(),"-","_")</f>
        <v>nE5468AB4_F7EC_4DBA_8B4C_68B95D2C61D8</v>
      </c>
    </row>
    <row r="203" spans="1:8" x14ac:dyDescent="0.35">
      <c r="A20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Ideal Type</v>
      </c>
      <c r="B203" s="12" t="s">
        <v>812</v>
      </c>
      <c r="C203" s="13" t="s">
        <v>1538</v>
      </c>
      <c r="E203" s="12" t="str">
        <f>IF(NodesData[[#This Row],[Class Disambiguation]]="",NodesData[[#This Row],[Common Name]],NodesData[[#This Row],[Common Name]]&amp;" ("&amp;NodesData[[#This Row],[Class Disambiguation]]&amp;")")</f>
        <v>Ideal Type</v>
      </c>
      <c r="G203" s="12" t="s">
        <v>813</v>
      </c>
      <c r="H203" s="19" t="str" cm="1">
        <f t="array" ref="H203">"n"&amp;SUBSTITUTE(CreateGuidString(),"-","_")</f>
        <v>n44C0A783_5E1D_4120_92A6_1366515BB0A9</v>
      </c>
    </row>
    <row r="204" spans="1:8" x14ac:dyDescent="0.35">
      <c r="A20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Identification</v>
      </c>
      <c r="B204" s="12" t="s">
        <v>814</v>
      </c>
      <c r="C204" s="13" t="s">
        <v>1539</v>
      </c>
      <c r="E204" s="12" t="str">
        <f>IF(NodesData[[#This Row],[Class Disambiguation]]="",NodesData[[#This Row],[Common Name]],NodesData[[#This Row],[Common Name]]&amp;" ("&amp;NodesData[[#This Row],[Class Disambiguation]]&amp;")")</f>
        <v>Identification</v>
      </c>
      <c r="G204" s="12" t="s">
        <v>815</v>
      </c>
      <c r="H204" s="19" t="str" cm="1">
        <f t="array" ref="H204">"n"&amp;SUBSTITUTE(CreateGuidString(),"-","_")</f>
        <v>nC8AB9C16_7989_4BBE_B6C9_D0450BFF1ADE</v>
      </c>
    </row>
    <row r="205" spans="1:8" x14ac:dyDescent="0.35">
      <c r="A20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Identification System</v>
      </c>
      <c r="B205" s="12" t="s">
        <v>816</v>
      </c>
      <c r="C205" s="13" t="s">
        <v>1540</v>
      </c>
      <c r="E205" s="12" t="str">
        <f>IF(NodesData[[#This Row],[Class Disambiguation]]="",NodesData[[#This Row],[Common Name]],NodesData[[#This Row],[Common Name]]&amp;" ("&amp;NodesData[[#This Row],[Class Disambiguation]]&amp;")")</f>
        <v>Identification System</v>
      </c>
      <c r="G205" s="12" t="s">
        <v>817</v>
      </c>
      <c r="H205" s="19" t="str" cm="1">
        <f t="array" ref="H205">"n"&amp;SUBSTITUTE(CreateGuidString(),"-","_")</f>
        <v>nFACCBE94_5226_4CB3_A76F_1E63C581A725</v>
      </c>
    </row>
    <row r="206" spans="1:8" x14ac:dyDescent="0.35">
      <c r="A20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Identifier</v>
      </c>
      <c r="B206" s="12" t="s">
        <v>818</v>
      </c>
      <c r="C206" s="13" t="s">
        <v>1541</v>
      </c>
      <c r="E206" s="12" t="str">
        <f>IF(NodesData[[#This Row],[Class Disambiguation]]="",NodesData[[#This Row],[Common Name]],NodesData[[#This Row],[Common Name]]&amp;" ("&amp;NodesData[[#This Row],[Class Disambiguation]]&amp;")")</f>
        <v>Identifier</v>
      </c>
      <c r="G206" s="12" t="s">
        <v>819</v>
      </c>
      <c r="H206" s="19" t="str" cm="1">
        <f t="array" ref="H206">"n"&amp;SUBSTITUTE(CreateGuidString(),"-","_")</f>
        <v>n762C5D5D_1C35_46ED_9152_763EE19F0D53</v>
      </c>
    </row>
    <row r="207" spans="1:8" x14ac:dyDescent="0.35">
      <c r="A20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Identifier Registry Model</v>
      </c>
      <c r="B207" s="12" t="s">
        <v>211</v>
      </c>
      <c r="C207" s="13" t="s">
        <v>1542</v>
      </c>
      <c r="E207" s="12" t="str">
        <f>IF(NodesData[[#This Row],[Class Disambiguation]]="",NodesData[[#This Row],[Common Name]],NodesData[[#This Row],[Common Name]]&amp;" ("&amp;NodesData[[#This Row],[Class Disambiguation]]&amp;")")</f>
        <v>Identifier Registry Model</v>
      </c>
      <c r="G207" s="12" t="s">
        <v>820</v>
      </c>
      <c r="H207" s="19" t="str" cm="1">
        <f t="array" ref="H207">"n"&amp;SUBSTITUTE(CreateGuidString(),"-","_")</f>
        <v>n87D582A5_4409_455F_819C_D4FE49EEEB75</v>
      </c>
    </row>
    <row r="208" spans="1:8" x14ac:dyDescent="0.35">
      <c r="A20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</v>
      </c>
      <c r="B208" s="12" t="s">
        <v>821</v>
      </c>
      <c r="C208" s="13" t="s">
        <v>1543</v>
      </c>
      <c r="E208" s="12" t="str">
        <f>IF(NodesData[[#This Row],[Class Disambiguation]]="",NodesData[[#This Row],[Common Name]],NodesData[[#This Row],[Common Name]]&amp;" ("&amp;NodesData[[#This Row],[Class Disambiguation]]&amp;")")</f>
        <v>Identity</v>
      </c>
      <c r="G208" s="12" t="s">
        <v>822</v>
      </c>
      <c r="H208" s="19" t="str" cm="1">
        <f t="array" ref="H208">"n"&amp;SUBSTITUTE(CreateGuidString(),"-","_")</f>
        <v>n1AC1CE6D_71D5_4DFB_9F10_BE85B7BAE76B</v>
      </c>
    </row>
    <row r="209" spans="1:8" x14ac:dyDescent="0.35">
      <c r="A20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Aggregation</v>
      </c>
      <c r="B209" s="12" t="s">
        <v>213</v>
      </c>
      <c r="C209" s="13" t="s">
        <v>1544</v>
      </c>
      <c r="E209" s="12" t="str">
        <f>IF(NodesData[[#This Row],[Class Disambiguation]]="",NodesData[[#This Row],[Common Name]],NodesData[[#This Row],[Common Name]]&amp;" ("&amp;NodesData[[#This Row],[Class Disambiguation]]&amp;")")</f>
        <v>Identity Aggregation</v>
      </c>
      <c r="G209" s="12" t="s">
        <v>823</v>
      </c>
      <c r="H209" s="19" t="str" cm="1">
        <f t="array" ref="H209">"n"&amp;SUBSTITUTE(CreateGuidString(),"-","_")</f>
        <v>n3C36FA64_F674_404C_917A_FF2B904D3F1C</v>
      </c>
    </row>
    <row r="210" spans="1:8" x14ac:dyDescent="0.35">
      <c r="A2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and Access Governance</v>
      </c>
      <c r="B210" s="12" t="s">
        <v>214</v>
      </c>
      <c r="C210" s="13" t="s">
        <v>1545</v>
      </c>
      <c r="E210" s="12" t="str">
        <f>IF(NodesData[[#This Row],[Class Disambiguation]]="",NodesData[[#This Row],[Common Name]],NodesData[[#This Row],[Common Name]]&amp;" ("&amp;NodesData[[#This Row],[Class Disambiguation]]&amp;")")</f>
        <v>Identity and Access Governance</v>
      </c>
      <c r="G210" s="12" t="s">
        <v>824</v>
      </c>
      <c r="H210" s="19" t="str" cm="1">
        <f t="array" ref="H210">"n"&amp;SUBSTITUTE(CreateGuidString(),"-","_")</f>
        <v>n15D68FFA_22EF_47A9_BFA3_F3FDB91C0692</v>
      </c>
    </row>
    <row r="211" spans="1:8" x14ac:dyDescent="0.35">
      <c r="A2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and Access Management</v>
      </c>
      <c r="B211" s="12" t="s">
        <v>215</v>
      </c>
      <c r="C211" s="13" t="s">
        <v>1546</v>
      </c>
      <c r="E211" s="12" t="str">
        <f>IF(NodesData[[#This Row],[Class Disambiguation]]="",NodesData[[#This Row],[Common Name]],NodesData[[#This Row],[Common Name]]&amp;" ("&amp;NodesData[[#This Row],[Class Disambiguation]]&amp;")")</f>
        <v>Identity and Access Management</v>
      </c>
      <c r="G211" s="12" t="s">
        <v>825</v>
      </c>
      <c r="H211" s="19" t="str" cm="1">
        <f t="array" ref="H211">"n"&amp;SUBSTITUTE(CreateGuidString(),"-","_")</f>
        <v>n4ECE86A7_ACD5_466F_A9CE_11F737D93332</v>
      </c>
    </row>
    <row r="212" spans="1:8" x14ac:dyDescent="0.35">
      <c r="A2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Assurance</v>
      </c>
      <c r="B212" s="12" t="s">
        <v>217</v>
      </c>
      <c r="C212" s="13" t="s">
        <v>1548</v>
      </c>
      <c r="E212" s="12" t="str">
        <f>IF(NodesData[[#This Row],[Class Disambiguation]]="",NodesData[[#This Row],[Common Name]],NodesData[[#This Row],[Common Name]]&amp;" ("&amp;NodesData[[#This Row],[Class Disambiguation]]&amp;")")</f>
        <v>Identity Assurance</v>
      </c>
      <c r="G212" s="12" t="s">
        <v>826</v>
      </c>
      <c r="H212" s="19" t="str" cm="1">
        <f t="array" ref="H212">"n"&amp;SUBSTITUTE(CreateGuidString(),"-","_")</f>
        <v>nC8170DC9_550E_406A_8769_42FE5B637637</v>
      </c>
    </row>
    <row r="213" spans="1:8" x14ac:dyDescent="0.35">
      <c r="A2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Attribute</v>
      </c>
      <c r="B213" s="12" t="s">
        <v>827</v>
      </c>
      <c r="C213" s="13" t="s">
        <v>1549</v>
      </c>
      <c r="E213" s="12" t="str">
        <f>IF(NodesData[[#This Row],[Class Disambiguation]]="",NodesData[[#This Row],[Common Name]],NodesData[[#This Row],[Common Name]]&amp;" ("&amp;NodesData[[#This Row],[Class Disambiguation]]&amp;")")</f>
        <v>Identity Attribute</v>
      </c>
      <c r="G213" s="12" t="s">
        <v>828</v>
      </c>
      <c r="H213" s="19" t="str" cm="1">
        <f t="array" ref="H213">"n"&amp;SUBSTITUTE(CreateGuidString(),"-","_")</f>
        <v>n854736D9_B5B7_4147_83C7_E95042D23BBA</v>
      </c>
    </row>
    <row r="214" spans="1:8" x14ac:dyDescent="0.35">
      <c r="A2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Deception</v>
      </c>
      <c r="B214" s="32" t="s">
        <v>1924</v>
      </c>
      <c r="C214" s="13" t="s">
        <v>1932</v>
      </c>
      <c r="E214" s="18" t="str">
        <f>IF(NodesData[[#This Row],[Class Disambiguation]]="",NodesData[[#This Row],[Common Name]],NodesData[[#This Row],[Common Name]]&amp;" ("&amp;NodesData[[#This Row],[Class Disambiguation]]&amp;")")</f>
        <v>Identity Deception</v>
      </c>
      <c r="F214" s="18"/>
      <c r="H214" s="20" t="str" cm="1">
        <f t="array" ref="H214">"n"&amp;SUBSTITUTE(CreateGuidString(),"-","_")</f>
        <v>n47482A2F_C66C_4D6B_B5AB_E7E4D5E99EAA</v>
      </c>
    </row>
    <row r="215" spans="1:8" x14ac:dyDescent="0.35">
      <c r="A2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Establishment</v>
      </c>
      <c r="B215" s="12" t="s">
        <v>220</v>
      </c>
      <c r="C215" s="13" t="s">
        <v>1551</v>
      </c>
      <c r="E215" s="12" t="str">
        <f>IF(NodesData[[#This Row],[Class Disambiguation]]="",NodesData[[#This Row],[Common Name]],NodesData[[#This Row],[Common Name]]&amp;" ("&amp;NodesData[[#This Row],[Class Disambiguation]]&amp;")")</f>
        <v>Identity Establishment</v>
      </c>
      <c r="G215" s="12" t="s">
        <v>829</v>
      </c>
      <c r="H215" s="19" t="str" cm="1">
        <f t="array" ref="H215">"n"&amp;SUBSTITUTE(CreateGuidString(),"-","_")</f>
        <v>nCF36985D_B53F_4EA0_ADA8_586F8EF3ABA6</v>
      </c>
    </row>
    <row r="216" spans="1:8" x14ac:dyDescent="0.35">
      <c r="A2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Federation</v>
      </c>
      <c r="B216" s="12" t="s">
        <v>221</v>
      </c>
      <c r="C216" s="13" t="s">
        <v>1552</v>
      </c>
      <c r="E216" s="12" t="str">
        <f>IF(NodesData[[#This Row],[Class Disambiguation]]="",NodesData[[#This Row],[Common Name]],NodesData[[#This Row],[Common Name]]&amp;" ("&amp;NodesData[[#This Row],[Class Disambiguation]]&amp;")")</f>
        <v>Identity Federation</v>
      </c>
      <c r="G216" s="12" t="s">
        <v>830</v>
      </c>
      <c r="H216" s="19" t="str" cm="1">
        <f t="array" ref="H216">"n"&amp;SUBSTITUTE(CreateGuidString(),"-","_")</f>
        <v>n1E7AAD9F_0B0A_457D_AD77_B16C3935A4BF</v>
      </c>
    </row>
    <row r="217" spans="1:8" x14ac:dyDescent="0.35">
      <c r="A2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Guardian</v>
      </c>
      <c r="B217" s="12" t="s">
        <v>222</v>
      </c>
      <c r="C217" s="13" t="s">
        <v>1553</v>
      </c>
      <c r="E217" s="12" t="str">
        <f>IF(NodesData[[#This Row],[Class Disambiguation]]="",NodesData[[#This Row],[Common Name]],NodesData[[#This Row],[Common Name]]&amp;" ("&amp;NodesData[[#This Row],[Class Disambiguation]]&amp;")")</f>
        <v>Identity Guardian</v>
      </c>
      <c r="G217" s="12" t="s">
        <v>831</v>
      </c>
      <c r="H217" s="19" t="str" cm="1">
        <f t="array" ref="H217">"n"&amp;SUBSTITUTE(CreateGuidString(),"-","_")</f>
        <v>n341C8FB5_2582_4FF8_BE66_4B3D0B4434E3</v>
      </c>
    </row>
    <row r="218" spans="1:8" x14ac:dyDescent="0.35">
      <c r="A2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Lifecycle</v>
      </c>
      <c r="B218" s="12" t="s">
        <v>832</v>
      </c>
      <c r="C218" s="13" t="s">
        <v>1554</v>
      </c>
      <c r="E218" s="12" t="str">
        <f>IF(NodesData[[#This Row],[Class Disambiguation]]="",NodesData[[#This Row],[Common Name]],NodesData[[#This Row],[Common Name]]&amp;" ("&amp;NodesData[[#This Row],[Class Disambiguation]]&amp;")")</f>
        <v>Identity Lifecycle</v>
      </c>
      <c r="G218" s="12" t="s">
        <v>833</v>
      </c>
      <c r="H218" s="19" t="str" cm="1">
        <f t="array" ref="H218">"n"&amp;SUBSTITUTE(CreateGuidString(),"-","_")</f>
        <v>nCFDD79DF_8050_4E47_8F56_D6E7931C1590</v>
      </c>
    </row>
    <row r="219" spans="1:8" x14ac:dyDescent="0.35">
      <c r="A2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Management</v>
      </c>
      <c r="B219" s="12" t="s">
        <v>834</v>
      </c>
      <c r="C219" s="13" t="s">
        <v>1555</v>
      </c>
      <c r="E219" s="12" t="str">
        <f>IF(NodesData[[#This Row],[Class Disambiguation]]="",NodesData[[#This Row],[Common Name]],NodesData[[#This Row],[Common Name]]&amp;" ("&amp;NodesData[[#This Row],[Class Disambiguation]]&amp;")")</f>
        <v>Identity Management</v>
      </c>
      <c r="G219" s="12" t="s">
        <v>835</v>
      </c>
      <c r="H219" s="19" t="str" cm="1">
        <f t="array" ref="H219">"n"&amp;SUBSTITUTE(CreateGuidString(),"-","_")</f>
        <v>n27A1653F_CABF_4D2D_92C6_7C3840526A4D</v>
      </c>
    </row>
    <row r="220" spans="1:8" x14ac:dyDescent="0.35">
      <c r="A2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Management System</v>
      </c>
      <c r="B220" s="12" t="s">
        <v>836</v>
      </c>
      <c r="C220" s="13" t="s">
        <v>1556</v>
      </c>
      <c r="E220" s="12" t="str">
        <f>IF(NodesData[[#This Row],[Class Disambiguation]]="",NodesData[[#This Row],[Common Name]],NodesData[[#This Row],[Common Name]]&amp;" ("&amp;NodesData[[#This Row],[Class Disambiguation]]&amp;")")</f>
        <v>Identity Management System</v>
      </c>
      <c r="G220" s="12" t="s">
        <v>837</v>
      </c>
      <c r="H220" s="19" t="str" cm="1">
        <f t="array" ref="H220">"n"&amp;SUBSTITUTE(CreateGuidString(),"-","_")</f>
        <v>n3A43773B_21A5_4870_8CA1_0C3F087A582D</v>
      </c>
    </row>
    <row r="221" spans="1:8" x14ac:dyDescent="0.35">
      <c r="A2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Portability</v>
      </c>
      <c r="B221" s="12" t="s">
        <v>226</v>
      </c>
      <c r="C221" s="13" t="s">
        <v>1557</v>
      </c>
      <c r="E221" s="12" t="str">
        <f>IF(NodesData[[#This Row],[Class Disambiguation]]="",NodesData[[#This Row],[Common Name]],NodesData[[#This Row],[Common Name]]&amp;" ("&amp;NodesData[[#This Row],[Class Disambiguation]]&amp;")")</f>
        <v>Identity Portability</v>
      </c>
      <c r="G221" s="12" t="s">
        <v>838</v>
      </c>
      <c r="H221" s="19" t="str" cm="1">
        <f t="array" ref="H221">"n"&amp;SUBSTITUTE(CreateGuidString(),"-","_")</f>
        <v>n3B08CD51_9286_4CBC_B9BF_76054C602785</v>
      </c>
    </row>
    <row r="222" spans="1:8" x14ac:dyDescent="0.35">
      <c r="A2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Proofing</v>
      </c>
      <c r="B222" s="12" t="s">
        <v>839</v>
      </c>
      <c r="C222" s="13" t="s">
        <v>1558</v>
      </c>
      <c r="E222" s="12" t="str">
        <f>IF(NodesData[[#This Row],[Class Disambiguation]]="",NodesData[[#This Row],[Common Name]],NodesData[[#This Row],[Common Name]]&amp;" ("&amp;NodesData[[#This Row],[Class Disambiguation]]&amp;")")</f>
        <v>Identity Proofing</v>
      </c>
      <c r="G222" s="12" t="s">
        <v>840</v>
      </c>
      <c r="H222" s="19" t="str" cm="1">
        <f t="array" ref="H222">"n"&amp;SUBSTITUTE(CreateGuidString(),"-","_")</f>
        <v>nA41EB39C_98C3_4D76_B867_0E3BE98DA1BB</v>
      </c>
    </row>
    <row r="223" spans="1:8" x14ac:dyDescent="0.35">
      <c r="A2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Propagation</v>
      </c>
      <c r="B223" s="12" t="s">
        <v>841</v>
      </c>
      <c r="C223" s="13" t="s">
        <v>1559</v>
      </c>
      <c r="E223" s="12" t="str">
        <f>IF(NodesData[[#This Row],[Class Disambiguation]]="",NodesData[[#This Row],[Common Name]],NodesData[[#This Row],[Common Name]]&amp;" ("&amp;NodesData[[#This Row],[Class Disambiguation]]&amp;")")</f>
        <v>Identity Propagation</v>
      </c>
      <c r="G223" s="12" t="s">
        <v>842</v>
      </c>
      <c r="H223" s="19" t="str" cm="1">
        <f t="array" ref="H223">"n"&amp;SUBSTITUTE(CreateGuidString(),"-","_")</f>
        <v>n2EA4B5D9_3C70_429F_A5E4_FBD3B86131AC</v>
      </c>
    </row>
    <row r="224" spans="1:8" x14ac:dyDescent="0.35">
      <c r="A2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Provider</v>
      </c>
      <c r="B224" s="12" t="s">
        <v>843</v>
      </c>
      <c r="C224" s="13" t="s">
        <v>1560</v>
      </c>
      <c r="E224" s="12" t="str">
        <f>IF(NodesData[[#This Row],[Class Disambiguation]]="",NodesData[[#This Row],[Common Name]],NodesData[[#This Row],[Common Name]]&amp;" ("&amp;NodesData[[#This Row],[Class Disambiguation]]&amp;")")</f>
        <v>Identity Provider</v>
      </c>
      <c r="G224" s="12" t="s">
        <v>844</v>
      </c>
      <c r="H224" s="19" t="str" cm="1">
        <f t="array" ref="H224">"n"&amp;SUBSTITUTE(CreateGuidString(),"-","_")</f>
        <v>nD3FD487B_4975_4CAA_B56A_3425C95CCE61</v>
      </c>
    </row>
    <row r="225" spans="1:8" x14ac:dyDescent="0.35">
      <c r="A2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Repository</v>
      </c>
      <c r="B225" s="12" t="s">
        <v>845</v>
      </c>
      <c r="C225" s="13" t="s">
        <v>1561</v>
      </c>
      <c r="E225" s="12" t="str">
        <f>IF(NodesData[[#This Row],[Class Disambiguation]]="",NodesData[[#This Row],[Common Name]],NodesData[[#This Row],[Common Name]]&amp;" ("&amp;NodesData[[#This Row],[Class Disambiguation]]&amp;")")</f>
        <v>Identity Repository</v>
      </c>
      <c r="G225" s="12" t="s">
        <v>846</v>
      </c>
      <c r="H225" s="19" t="str" cm="1">
        <f t="array" ref="H225">"n"&amp;SUBSTITUTE(CreateGuidString(),"-","_")</f>
        <v>n25B360CC_DDE6_4FF7_93F2_BFB5814DD3D5</v>
      </c>
    </row>
    <row r="226" spans="1:8" x14ac:dyDescent="0.35">
      <c r="A2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Theft</v>
      </c>
      <c r="B226" s="30" t="s">
        <v>1915</v>
      </c>
      <c r="C226" s="13" t="s">
        <v>1933</v>
      </c>
      <c r="E226" s="18" t="str">
        <f>IF(NodesData[[#This Row],[Class Disambiguation]]="",NodesData[[#This Row],[Common Name]],NodesData[[#This Row],[Common Name]]&amp;" ("&amp;NodesData[[#This Row],[Class Disambiguation]]&amp;")")</f>
        <v>Identity Theft</v>
      </c>
      <c r="F226" s="18"/>
      <c r="H226" s="20" t="str" cm="1">
        <f t="array" ref="H226">"n"&amp;SUBSTITUTE(CreateGuidString(),"-","_")</f>
        <v>nB56B79A2_C0E5_4F06_8A56_508D6FB9A1E2</v>
      </c>
    </row>
    <row r="227" spans="1:8" x14ac:dyDescent="0.35">
      <c r="A2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Identity-as-a-Service</v>
      </c>
      <c r="B227" s="12" t="s">
        <v>847</v>
      </c>
      <c r="C227" s="13" t="s">
        <v>1547</v>
      </c>
      <c r="E227" s="12" t="str">
        <f>IF(NodesData[[#This Row],[Class Disambiguation]]="",NodesData[[#This Row],[Common Name]],NodesData[[#This Row],[Common Name]]&amp;" ("&amp;NodesData[[#This Row],[Class Disambiguation]]&amp;")")</f>
        <v>Identity-as-a-Service</v>
      </c>
      <c r="G227" s="12" t="s">
        <v>848</v>
      </c>
      <c r="H227" s="19" t="str" cm="1">
        <f t="array" ref="H227">"n"&amp;SUBSTITUTE(CreateGuidString(),"-","_")</f>
        <v>n6257FBD9_ECBE_457F_B311_60AE78308B78</v>
      </c>
    </row>
    <row r="228" spans="1:8" x14ac:dyDescent="0.35">
      <c r="A2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Identity-Aware Proxy</v>
      </c>
      <c r="B228" s="12" t="s">
        <v>849</v>
      </c>
      <c r="C228" s="13" t="s">
        <v>1550</v>
      </c>
      <c r="E228" s="12" t="str">
        <f>IF(NodesData[[#This Row],[Class Disambiguation]]="",NodesData[[#This Row],[Common Name]],NodesData[[#This Row],[Common Name]]&amp;" ("&amp;NodesData[[#This Row],[Class Disambiguation]]&amp;")")</f>
        <v>Identity-Aware Proxy</v>
      </c>
      <c r="G228" s="12" t="s">
        <v>850</v>
      </c>
      <c r="H228" s="19" t="str" cm="1">
        <f t="array" ref="H228">"n"&amp;SUBSTITUTE(CreateGuidString(),"-","_")</f>
        <v>n294191C3_173C_4BF4_B806_ED07A85FD634</v>
      </c>
    </row>
    <row r="229" spans="1:8" x14ac:dyDescent="0.35">
      <c r="A2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IdMS (Acronym)</v>
      </c>
      <c r="B229" s="12" t="s">
        <v>851</v>
      </c>
      <c r="C229" s="13" t="s">
        <v>1562</v>
      </c>
      <c r="D229" s="12" t="s">
        <v>1270</v>
      </c>
      <c r="E229" s="12" t="str">
        <f>IF(NodesData[[#This Row],[Class Disambiguation]]="",NodesData[[#This Row],[Common Name]],NodesData[[#This Row],[Common Name]]&amp;" ("&amp;NodesData[[#This Row],[Class Disambiguation]]&amp;")")</f>
        <v>IdMS (Acronym)</v>
      </c>
      <c r="G229" s="12" t="s">
        <v>852</v>
      </c>
      <c r="H229" s="19" t="str" cm="1">
        <f t="array" ref="H229">"n"&amp;SUBSTITUTE(CreateGuidString(),"-","_")</f>
        <v>n94C6B34A_0418_4E79_84D6_72E86708946B</v>
      </c>
    </row>
    <row r="230" spans="1:8" x14ac:dyDescent="0.35">
      <c r="A2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IdP (Acronym)</v>
      </c>
      <c r="B230" s="12" t="s">
        <v>853</v>
      </c>
      <c r="C230" s="13" t="s">
        <v>1563</v>
      </c>
      <c r="D230" s="12" t="s">
        <v>1270</v>
      </c>
      <c r="E230" s="12" t="str">
        <f>IF(NodesData[[#This Row],[Class Disambiguation]]="",NodesData[[#This Row],[Common Name]],NodesData[[#This Row],[Common Name]]&amp;" ("&amp;NodesData[[#This Row],[Class Disambiguation]]&amp;")")</f>
        <v>IdP (Acronym)</v>
      </c>
      <c r="G230" s="12" t="s">
        <v>854</v>
      </c>
      <c r="H230" s="19" t="str" cm="1">
        <f t="array" ref="H230">"n"&amp;SUBSTITUTE(CreateGuidString(),"-","_")</f>
        <v>n38DAE764_5872_4967_9AF1_D0B52737E5F0</v>
      </c>
    </row>
    <row r="231" spans="1:8" x14ac:dyDescent="0.35">
      <c r="A2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Illegal Action</v>
      </c>
      <c r="B231" s="33" t="s">
        <v>1926</v>
      </c>
      <c r="C231" s="13" t="s">
        <v>1935</v>
      </c>
      <c r="E231" s="18" t="str">
        <f>IF(NodesData[[#This Row],[Class Disambiguation]]="",NodesData[[#This Row],[Common Name]],NodesData[[#This Row],[Common Name]]&amp;" ("&amp;NodesData[[#This Row],[Class Disambiguation]]&amp;")")</f>
        <v>Illegal Action</v>
      </c>
      <c r="F231" s="18"/>
      <c r="H231" s="20" t="str" cm="1">
        <f t="array" ref="H231">"n"&amp;SUBSTITUTE(CreateGuidString(),"-","_")</f>
        <v>nB0E7E4F0_F3F0_4C49_9D0E_941C9344807C</v>
      </c>
    </row>
    <row r="232" spans="1:8" x14ac:dyDescent="0.35">
      <c r="A2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IMG (Acronym)</v>
      </c>
      <c r="B232" s="12" t="s">
        <v>855</v>
      </c>
      <c r="C232" s="13" t="s">
        <v>1564</v>
      </c>
      <c r="D232" s="12" t="s">
        <v>1270</v>
      </c>
      <c r="E232" s="12" t="str">
        <f>IF(NodesData[[#This Row],[Class Disambiguation]]="",NodesData[[#This Row],[Common Name]],NodesData[[#This Row],[Common Name]]&amp;" ("&amp;NodesData[[#This Row],[Class Disambiguation]]&amp;")")</f>
        <v>IMG (Acronym)</v>
      </c>
      <c r="G232" s="12" t="s">
        <v>856</v>
      </c>
      <c r="H232" s="19" t="str" cm="1">
        <f t="array" ref="H232">"n"&amp;SUBSTITUTE(CreateGuidString(),"-","_")</f>
        <v>n96E98581_1D30_44CA_B67D_8D98E5C3B2EA</v>
      </c>
    </row>
    <row r="233" spans="1:8" x14ac:dyDescent="0.35">
      <c r="A2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Impersonation</v>
      </c>
      <c r="B233" s="12" t="s">
        <v>857</v>
      </c>
      <c r="C233" s="13" t="s">
        <v>1565</v>
      </c>
      <c r="E233" s="12" t="str">
        <f>IF(NodesData[[#This Row],[Class Disambiguation]]="",NodesData[[#This Row],[Common Name]],NodesData[[#This Row],[Common Name]]&amp;" ("&amp;NodesData[[#This Row],[Class Disambiguation]]&amp;")")</f>
        <v>Impersonation</v>
      </c>
      <c r="G233" s="12" t="s">
        <v>858</v>
      </c>
      <c r="H233" s="19" t="str" cm="1">
        <f t="array" ref="H233">"n"&amp;SUBSTITUTE(CreateGuidString(),"-","_")</f>
        <v>n33D9BF7B_395C_4BDD_8A0E_FD906E407181</v>
      </c>
    </row>
    <row r="234" spans="1:8" x14ac:dyDescent="0.35">
      <c r="A2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In-band Authentication</v>
      </c>
      <c r="B234" s="12" t="s">
        <v>1298</v>
      </c>
      <c r="C234" s="13" t="s">
        <v>1584</v>
      </c>
      <c r="E234" s="12" t="str">
        <f>IF(NodesData[[#This Row],[Class Disambiguation]]="",NodesData[[#This Row],[Common Name]],NodesData[[#This Row],[Common Name]]&amp;" ("&amp;NodesData[[#This Row],[Class Disambiguation]]&amp;")")</f>
        <v>In-band Authentication</v>
      </c>
      <c r="H234" s="19" t="str" cm="1">
        <f t="array" ref="H234">"n"&amp;SUBSTITUTE(CreateGuidString(),"-","_")</f>
        <v>nFA00DA05_CE5D_445F_B537_B3B271BE19E6</v>
      </c>
    </row>
    <row r="235" spans="1:8" x14ac:dyDescent="0.35">
      <c r="A2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</v>
      </c>
      <c r="B235" s="12" t="s">
        <v>859</v>
      </c>
      <c r="C235" s="13" t="s">
        <v>1567</v>
      </c>
      <c r="E235" s="12" t="str">
        <f>IF(NodesData[[#This Row],[Class Disambiguation]]="",NodesData[[#This Row],[Common Name]],NodesData[[#This Row],[Common Name]]&amp;" ("&amp;NodesData[[#This Row],[Class Disambiguation]]&amp;")")</f>
        <v>Information</v>
      </c>
      <c r="G235" s="12" t="s">
        <v>860</v>
      </c>
      <c r="H235" s="19" t="str" cm="1">
        <f t="array" ref="H235">"n"&amp;SUBSTITUTE(CreateGuidString(),"-","_")</f>
        <v>nA75AAAC1_28A7_45F4_B043_4100F7A3A6FF</v>
      </c>
    </row>
    <row r="236" spans="1:8" x14ac:dyDescent="0.35">
      <c r="A2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Asset</v>
      </c>
      <c r="B236" s="12" t="s">
        <v>861</v>
      </c>
      <c r="C236" s="13" t="s">
        <v>1568</v>
      </c>
      <c r="E236" s="12" t="str">
        <f>IF(NodesData[[#This Row],[Class Disambiguation]]="",NodesData[[#This Row],[Common Name]],NodesData[[#This Row],[Common Name]]&amp;" ("&amp;NodesData[[#This Row],[Class Disambiguation]]&amp;")")</f>
        <v>Information Asset</v>
      </c>
      <c r="G236" s="12" t="s">
        <v>862</v>
      </c>
      <c r="H236" s="19" t="str" cm="1">
        <f t="array" ref="H236">"n"&amp;SUBSTITUTE(CreateGuidString(),"-","_")</f>
        <v>nFDFF06C5_2CCF_4BF5_AB83_3C8144D9953F</v>
      </c>
    </row>
    <row r="237" spans="1:8" x14ac:dyDescent="0.35">
      <c r="A2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Custodian</v>
      </c>
      <c r="B237" s="12" t="s">
        <v>863</v>
      </c>
      <c r="C237" s="13" t="s">
        <v>1569</v>
      </c>
      <c r="E237" s="12" t="str">
        <f>IF(NodesData[[#This Row],[Class Disambiguation]]="",NodesData[[#This Row],[Common Name]],NodesData[[#This Row],[Common Name]]&amp;" ("&amp;NodesData[[#This Row],[Class Disambiguation]]&amp;")")</f>
        <v>Information Custodian</v>
      </c>
      <c r="G237" s="12" t="s">
        <v>864</v>
      </c>
      <c r="H237" s="19" t="str" cm="1">
        <f t="array" ref="H237">"n"&amp;SUBSTITUTE(CreateGuidString(),"-","_")</f>
        <v>nF722A8EC_FCCB_4A57_9807_00B9F71BC3B0</v>
      </c>
    </row>
    <row r="238" spans="1:8" x14ac:dyDescent="0.35">
      <c r="A2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Flow Policy</v>
      </c>
      <c r="B238" s="12" t="s">
        <v>865</v>
      </c>
      <c r="C238" s="13" t="s">
        <v>1570</v>
      </c>
      <c r="E238" s="12" t="str">
        <f>IF(NodesData[[#This Row],[Class Disambiguation]]="",NodesData[[#This Row],[Common Name]],NodesData[[#This Row],[Common Name]]&amp;" ("&amp;NodesData[[#This Row],[Class Disambiguation]]&amp;")")</f>
        <v>Information Flow Policy</v>
      </c>
      <c r="G238" s="12" t="s">
        <v>866</v>
      </c>
      <c r="H238" s="19" t="str" cm="1">
        <f t="array" ref="H238">"n"&amp;SUBSTITUTE(CreateGuidString(),"-","_")</f>
        <v>nE7FCED00_05E0_447F_8167_6191C8D30A4A</v>
      </c>
    </row>
    <row r="239" spans="1:8" x14ac:dyDescent="0.35">
      <c r="A2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Owner</v>
      </c>
      <c r="B239" s="12" t="s">
        <v>867</v>
      </c>
      <c r="C239" s="13" t="s">
        <v>1571</v>
      </c>
      <c r="E239" s="12" t="str">
        <f>IF(NodesData[[#This Row],[Class Disambiguation]]="",NodesData[[#This Row],[Common Name]],NodesData[[#This Row],[Common Name]]&amp;" ("&amp;NodesData[[#This Row],[Class Disambiguation]]&amp;")")</f>
        <v>Information Owner</v>
      </c>
      <c r="G239" s="12" t="s">
        <v>868</v>
      </c>
      <c r="H239" s="19" t="str" cm="1">
        <f t="array" ref="H239">"n"&amp;SUBSTITUTE(CreateGuidString(),"-","_")</f>
        <v>nB1E0B0C7_E4EE_4E7A_8724_45A675BEC42B</v>
      </c>
    </row>
    <row r="240" spans="1:8" x14ac:dyDescent="0.35">
      <c r="A2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Security Domain</v>
      </c>
      <c r="B240" s="12" t="s">
        <v>247</v>
      </c>
      <c r="C240" s="13" t="s">
        <v>1572</v>
      </c>
      <c r="E240" s="12" t="str">
        <f>IF(NodesData[[#This Row],[Class Disambiguation]]="",NodesData[[#This Row],[Common Name]],NodesData[[#This Row],[Common Name]]&amp;" ("&amp;NodesData[[#This Row],[Class Disambiguation]]&amp;")")</f>
        <v>Information Security Domain</v>
      </c>
      <c r="G240" s="12" t="s">
        <v>869</v>
      </c>
      <c r="H240" s="19" t="str" cm="1">
        <f t="array" ref="H240">"n"&amp;SUBSTITUTE(CreateGuidString(),"-","_")</f>
        <v>nEC7BF6DF_5F5F_47CE_B643_BF9E6051BAFE</v>
      </c>
    </row>
    <row r="241" spans="1:8" x14ac:dyDescent="0.35">
      <c r="A2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System</v>
      </c>
      <c r="B241" s="12" t="s">
        <v>248</v>
      </c>
      <c r="C241" s="13" t="s">
        <v>1573</v>
      </c>
      <c r="E241" s="12" t="str">
        <f>IF(NodesData[[#This Row],[Class Disambiguation]]="",NodesData[[#This Row],[Common Name]],NodesData[[#This Row],[Common Name]]&amp;" ("&amp;NodesData[[#This Row],[Class Disambiguation]]&amp;")")</f>
        <v>Information System</v>
      </c>
      <c r="G241" s="12" t="s">
        <v>870</v>
      </c>
      <c r="H241" s="19" t="str" cm="1">
        <f t="array" ref="H241">"n"&amp;SUBSTITUTE(CreateGuidString(),"-","_")</f>
        <v>n338923B0_1E07_494D_BFB4_981FC1D31731</v>
      </c>
    </row>
    <row r="242" spans="1:8" x14ac:dyDescent="0.35">
      <c r="A2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Inherence Factor</v>
      </c>
      <c r="B242" s="12" t="s">
        <v>1294</v>
      </c>
      <c r="C242" s="13" t="s">
        <v>1574</v>
      </c>
      <c r="E242" s="12" t="str">
        <f>IF(NodesData[[#This Row],[Class Disambiguation]]="",NodesData[[#This Row],[Common Name]],NodesData[[#This Row],[Common Name]]&amp;" ("&amp;NodesData[[#This Row],[Class Disambiguation]]&amp;")")</f>
        <v>Inherence Factor</v>
      </c>
      <c r="H242" s="19" t="str" cm="1">
        <f t="array" ref="H242">"n"&amp;SUBSTITUTE(CreateGuidString(),"-","_")</f>
        <v>n742310B7_C5F6_47A2_9C06_BA065696F157</v>
      </c>
    </row>
    <row r="243" spans="1:8" x14ac:dyDescent="0.35">
      <c r="A2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Inside Attacker</v>
      </c>
      <c r="B243" s="12" t="s">
        <v>250</v>
      </c>
      <c r="C243" s="13" t="s">
        <v>1575</v>
      </c>
      <c r="E243" s="12" t="str">
        <f>IF(NodesData[[#This Row],[Class Disambiguation]]="",NodesData[[#This Row],[Common Name]],NodesData[[#This Row],[Common Name]]&amp;" ("&amp;NodesData[[#This Row],[Class Disambiguation]]&amp;")")</f>
        <v>Inside Attacker</v>
      </c>
      <c r="G243" s="12" t="s">
        <v>871</v>
      </c>
      <c r="H243" s="19" t="str" cm="1">
        <f t="array" ref="H243">"n"&amp;SUBSTITUTE(CreateGuidString(),"-","_")</f>
        <v>n1A21984B_DC70_49B5_B11B_8C461F626744</v>
      </c>
    </row>
    <row r="244" spans="1:8" x14ac:dyDescent="0.35">
      <c r="A2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Insider</v>
      </c>
      <c r="B244" s="12" t="s">
        <v>251</v>
      </c>
      <c r="C244" s="13" t="s">
        <v>1576</v>
      </c>
      <c r="E244" s="12" t="str">
        <f>IF(NodesData[[#This Row],[Class Disambiguation]]="",NodesData[[#This Row],[Common Name]],NodesData[[#This Row],[Common Name]]&amp;" ("&amp;NodesData[[#This Row],[Class Disambiguation]]&amp;")")</f>
        <v>Insider</v>
      </c>
      <c r="G244" s="12" t="s">
        <v>872</v>
      </c>
      <c r="H244" s="19" t="str" cm="1">
        <f t="array" ref="H244">"n"&amp;SUBSTITUTE(CreateGuidString(),"-","_")</f>
        <v>n5E7A7AE2_CEC6_4C31_967A_27064F50BCDA</v>
      </c>
    </row>
    <row r="245" spans="1:8" x14ac:dyDescent="0.35">
      <c r="A2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Insider Attack</v>
      </c>
      <c r="B245" s="12" t="s">
        <v>252</v>
      </c>
      <c r="C245" s="13" t="s">
        <v>1577</v>
      </c>
      <c r="E245" s="12" t="str">
        <f>IF(NodesData[[#This Row],[Class Disambiguation]]="",NodesData[[#This Row],[Common Name]],NodesData[[#This Row],[Common Name]]&amp;" ("&amp;NodesData[[#This Row],[Class Disambiguation]]&amp;")")</f>
        <v>Insider Attack</v>
      </c>
      <c r="G245" s="12" t="s">
        <v>873</v>
      </c>
      <c r="H245" s="19" t="str" cm="1">
        <f t="array" ref="H245">"n"&amp;SUBSTITUTE(CreateGuidString(),"-","_")</f>
        <v>n30ADC155_0C4E_475B_A4CB_3C9B1B824AE7</v>
      </c>
    </row>
    <row r="246" spans="1:8" x14ac:dyDescent="0.35">
      <c r="A2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Insider Threat</v>
      </c>
      <c r="B246" s="12" t="s">
        <v>253</v>
      </c>
      <c r="C246" s="13" t="s">
        <v>1578</v>
      </c>
      <c r="E246" s="12" t="str">
        <f>IF(NodesData[[#This Row],[Class Disambiguation]]="",NodesData[[#This Row],[Common Name]],NodesData[[#This Row],[Common Name]]&amp;" ("&amp;NodesData[[#This Row],[Class Disambiguation]]&amp;")")</f>
        <v>Insider Threat</v>
      </c>
      <c r="G246" s="12" t="s">
        <v>874</v>
      </c>
      <c r="H246" s="19" t="str" cm="1">
        <f t="array" ref="H246">"n"&amp;SUBSTITUTE(CreateGuidString(),"-","_")</f>
        <v>n8F52C560_B620_4CF3_8749_951E02D4BB8C</v>
      </c>
    </row>
    <row r="247" spans="1:8" x14ac:dyDescent="0.35">
      <c r="A2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Insufficient Granularity of Access Control</v>
      </c>
      <c r="B247" s="12" t="s">
        <v>875</v>
      </c>
      <c r="C247" s="13" t="s">
        <v>1579</v>
      </c>
      <c r="E247" s="12" t="str">
        <f>IF(NodesData[[#This Row],[Class Disambiguation]]="",NodesData[[#This Row],[Common Name]],NodesData[[#This Row],[Common Name]]&amp;" ("&amp;NodesData[[#This Row],[Class Disambiguation]]&amp;")")</f>
        <v>Insufficient Granularity of Access Control</v>
      </c>
      <c r="G247" s="12" t="s">
        <v>876</v>
      </c>
      <c r="H247" s="19" t="str" cm="1">
        <f t="array" ref="H247">"n"&amp;SUBSTITUTE(CreateGuidString(),"-","_")</f>
        <v>n691AD144_8C47_45CE_B05F_86ABCD66CFC7</v>
      </c>
    </row>
    <row r="248" spans="1:8" x14ac:dyDescent="0.35">
      <c r="A2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Intentional Error</v>
      </c>
      <c r="B248" s="12" t="s">
        <v>877</v>
      </c>
      <c r="C248" s="13" t="s">
        <v>1580</v>
      </c>
      <c r="E248" s="12" t="str">
        <f>IF(NodesData[[#This Row],[Class Disambiguation]]="",NodesData[[#This Row],[Common Name]],NodesData[[#This Row],[Common Name]]&amp;" ("&amp;NodesData[[#This Row],[Class Disambiguation]]&amp;")")</f>
        <v>Intentional Error</v>
      </c>
      <c r="G248" s="12" t="s">
        <v>878</v>
      </c>
      <c r="H248" s="19" t="str" cm="1">
        <f t="array" ref="H248">"n"&amp;SUBSTITUTE(CreateGuidString(),"-","_")</f>
        <v>n1FFB3CA9_9EF3_4741_9493_A7026415E6F3</v>
      </c>
    </row>
    <row r="249" spans="1:8" x14ac:dyDescent="0.35">
      <c r="A2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Interested Party</v>
      </c>
      <c r="B249" s="12" t="s">
        <v>879</v>
      </c>
      <c r="C249" s="13" t="s">
        <v>1581</v>
      </c>
      <c r="E249" s="12" t="str">
        <f>IF(NodesData[[#This Row],[Class Disambiguation]]="",NodesData[[#This Row],[Common Name]],NodesData[[#This Row],[Common Name]]&amp;" ("&amp;NodesData[[#This Row],[Class Disambiguation]]&amp;")")</f>
        <v>Interested Party</v>
      </c>
      <c r="G249" s="12" t="s">
        <v>880</v>
      </c>
      <c r="H249" s="19" t="str" cm="1">
        <f t="array" ref="H249">"n"&amp;SUBSTITUTE(CreateGuidString(),"-","_")</f>
        <v>nBD05EF56_5E42_4A31_8134_42B821700883</v>
      </c>
    </row>
    <row r="250" spans="1:8" x14ac:dyDescent="0.35">
      <c r="A2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Interoperability</v>
      </c>
      <c r="B250" s="12" t="s">
        <v>881</v>
      </c>
      <c r="C250" s="13" t="s">
        <v>1582</v>
      </c>
      <c r="E250" s="12" t="str">
        <f>IF(NodesData[[#This Row],[Class Disambiguation]]="",NodesData[[#This Row],[Common Name]],NodesData[[#This Row],[Common Name]]&amp;" ("&amp;NodesData[[#This Row],[Class Disambiguation]]&amp;")")</f>
        <v>Interoperability</v>
      </c>
      <c r="G250" s="12" t="s">
        <v>882</v>
      </c>
      <c r="H250" s="19" t="str" cm="1">
        <f t="array" ref="H250">"n"&amp;SUBSTITUTE(CreateGuidString(),"-","_")</f>
        <v>nF3CAAD48_5CE4_4D86_A59F_92D0271548BD</v>
      </c>
    </row>
    <row r="251" spans="1:8" x14ac:dyDescent="0.35">
      <c r="A2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Interval Scale</v>
      </c>
      <c r="B251" s="12" t="s">
        <v>883</v>
      </c>
      <c r="C251" s="13" t="s">
        <v>1583</v>
      </c>
      <c r="E251" s="12" t="str">
        <f>IF(NodesData[[#This Row],[Class Disambiguation]]="",NodesData[[#This Row],[Common Name]],NodesData[[#This Row],[Common Name]]&amp;" ("&amp;NodesData[[#This Row],[Class Disambiguation]]&amp;")")</f>
        <v>Interval Scale</v>
      </c>
      <c r="G251" s="12" t="s">
        <v>884</v>
      </c>
      <c r="H251" s="19" t="str" cm="1">
        <f t="array" ref="H251">"n"&amp;SUBSTITUTE(CreateGuidString(),"-","_")</f>
        <v>n8E9BA645_7AB8_4EAB_83EF_E608B2E52B4E</v>
      </c>
    </row>
    <row r="252" spans="1:8" x14ac:dyDescent="0.35">
      <c r="A2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Iris Recognition Authentication</v>
      </c>
      <c r="B252" s="12" t="s">
        <v>1310</v>
      </c>
      <c r="C252" s="13" t="s">
        <v>1597</v>
      </c>
      <c r="E252" s="12" t="str">
        <f>IF(NodesData[[#This Row],[Class Disambiguation]]="",NodesData[[#This Row],[Common Name]],NodesData[[#This Row],[Common Name]]&amp;" ("&amp;NodesData[[#This Row],[Class Disambiguation]]&amp;")")</f>
        <v>Iris Recognition Authentication</v>
      </c>
      <c r="H252" s="19" t="str" cm="1">
        <f t="array" ref="H252">"n"&amp;SUBSTITUTE(CreateGuidString(),"-","_")</f>
        <v>n0DFBEF04_F728_4F68_A754_62843F58FB27</v>
      </c>
    </row>
    <row r="253" spans="1:8" x14ac:dyDescent="0.35">
      <c r="A2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Isolated Identity Management System</v>
      </c>
      <c r="B253" s="12" t="s">
        <v>885</v>
      </c>
      <c r="C253" s="13" t="s">
        <v>1585</v>
      </c>
      <c r="E253" s="12" t="str">
        <f>IF(NodesData[[#This Row],[Class Disambiguation]]="",NodesData[[#This Row],[Common Name]],NodesData[[#This Row],[Common Name]]&amp;" ("&amp;NodesData[[#This Row],[Class Disambiguation]]&amp;")")</f>
        <v>Isolated Identity Management System</v>
      </c>
      <c r="G253" s="12" t="s">
        <v>886</v>
      </c>
      <c r="H253" s="19" t="str" cm="1">
        <f t="array" ref="H253">"n"&amp;SUBSTITUTE(CreateGuidString(),"-","_")</f>
        <v>nCE2DB875_D31E_44C1_A0AE_F5C9F3D86CEF</v>
      </c>
    </row>
    <row r="254" spans="1:8" x14ac:dyDescent="0.35">
      <c r="A2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Asset Scope</v>
      </c>
      <c r="B254" s="12" t="s">
        <v>887</v>
      </c>
      <c r="C254" s="13" t="s">
        <v>1586</v>
      </c>
      <c r="E254" s="12" t="str">
        <f>IF(NodesData[[#This Row],[Class Disambiguation]]="",NodesData[[#This Row],[Common Name]],NodesData[[#This Row],[Common Name]]&amp;" ("&amp;NodesData[[#This Row],[Class Disambiguation]]&amp;")")</f>
        <v>IT Asset Scope</v>
      </c>
      <c r="G254" s="12" t="s">
        <v>888</v>
      </c>
      <c r="H254" s="19" t="str" cm="1">
        <f t="array" ref="H254">"n"&amp;SUBSTITUTE(CreateGuidString(),"-","_")</f>
        <v>nC1F1BF37_6377_4867_9054_68FE5970CA11</v>
      </c>
    </row>
    <row r="255" spans="1:8" x14ac:dyDescent="0.35">
      <c r="A2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Component</v>
      </c>
      <c r="B255" s="12" t="s">
        <v>1341</v>
      </c>
      <c r="C255" s="13" t="s">
        <v>1840</v>
      </c>
      <c r="E255" s="18" t="str">
        <f>IF(NodesData[[#This Row],[Class Disambiguation]]="",NodesData[[#This Row],[Common Name]],NodesData[[#This Row],[Common Name]]&amp;" ("&amp;NodesData[[#This Row],[Class Disambiguation]]&amp;")")</f>
        <v>IT Component</v>
      </c>
      <c r="F255" s="18"/>
      <c r="H255" s="19" t="str" cm="1">
        <f t="array" ref="H255">"n"&amp;SUBSTITUTE(CreateGuidString(),"-","_")</f>
        <v>n73CD2BA2_771C_4807_ACA7_416BC845CF06</v>
      </c>
    </row>
    <row r="256" spans="1:8" x14ac:dyDescent="0.35">
      <c r="A2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Hardware</v>
      </c>
      <c r="B256" s="12" t="s">
        <v>1342</v>
      </c>
      <c r="C256" s="13" t="s">
        <v>1844</v>
      </c>
      <c r="E256" s="18" t="str">
        <f>IF(NodesData[[#This Row],[Class Disambiguation]]="",NodesData[[#This Row],[Common Name]],NodesData[[#This Row],[Common Name]]&amp;" ("&amp;NodesData[[#This Row],[Class Disambiguation]]&amp;")")</f>
        <v>IT Hardware</v>
      </c>
      <c r="F256" s="18"/>
      <c r="H256" s="20" t="str" cm="1">
        <f t="array" ref="H256">"n"&amp;SUBSTITUTE(CreateGuidString(),"-","_")</f>
        <v>nCD3CBD3E_EEE7_48CC_BA34_F34BCD80FE59</v>
      </c>
    </row>
    <row r="257" spans="1:8" x14ac:dyDescent="0.35">
      <c r="A2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Software</v>
      </c>
      <c r="B257" s="12" t="s">
        <v>1344</v>
      </c>
      <c r="C257" s="13" t="s">
        <v>1845</v>
      </c>
      <c r="E257" s="18" t="str">
        <f>IF(NodesData[[#This Row],[Class Disambiguation]]="",NodesData[[#This Row],[Common Name]],NodesData[[#This Row],[Common Name]]&amp;" ("&amp;NodesData[[#This Row],[Class Disambiguation]]&amp;")")</f>
        <v>IT Software</v>
      </c>
      <c r="F257" s="18"/>
      <c r="H257" s="20" t="str" cm="1">
        <f t="array" ref="H257">"n"&amp;SUBSTITUTE(CreateGuidString(),"-","_")</f>
        <v>nBCF3927F_305D_4965_BD66_AE447B758C87</v>
      </c>
    </row>
    <row r="258" spans="1:8" x14ac:dyDescent="0.35">
      <c r="A2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System</v>
      </c>
      <c r="B258" s="12" t="s">
        <v>261</v>
      </c>
      <c r="C258" s="13" t="s">
        <v>1587</v>
      </c>
      <c r="E258" s="12" t="str">
        <f>IF(NodesData[[#This Row],[Class Disambiguation]]="",NodesData[[#This Row],[Common Name]],NodesData[[#This Row],[Common Name]]&amp;" ("&amp;NodesData[[#This Row],[Class Disambiguation]]&amp;")")</f>
        <v>IT System</v>
      </c>
      <c r="G258" s="12" t="s">
        <v>889</v>
      </c>
      <c r="H258" s="19" t="str" cm="1">
        <f t="array" ref="H258">"n"&amp;SUBSTITUTE(CreateGuidString(),"-","_")</f>
        <v>nEEFBF799_7AA6_4F9A_8147_02D9BEC6F66E</v>
      </c>
    </row>
    <row r="259" spans="1:8" x14ac:dyDescent="0.35">
      <c r="A2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JML (Acronym)</v>
      </c>
      <c r="B259" s="12" t="s">
        <v>890</v>
      </c>
      <c r="C259" s="13" t="s">
        <v>1588</v>
      </c>
      <c r="D259" s="12" t="s">
        <v>1270</v>
      </c>
      <c r="E259" s="12" t="str">
        <f>IF(NodesData[[#This Row],[Class Disambiguation]]="",NodesData[[#This Row],[Common Name]],NodesData[[#This Row],[Common Name]]&amp;" ("&amp;NodesData[[#This Row],[Class Disambiguation]]&amp;")")</f>
        <v>JML (Acronym)</v>
      </c>
      <c r="G259" s="12" t="s">
        <v>891</v>
      </c>
      <c r="H259" s="19" t="str" cm="1">
        <f t="array" ref="H259">"n"&amp;SUBSTITUTE(CreateGuidString(),"-","_")</f>
        <v>nE3216913_DFB7_462C_A036_031D2FB8901D</v>
      </c>
    </row>
    <row r="260" spans="1:8" x14ac:dyDescent="0.35">
      <c r="A2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</v>
      </c>
      <c r="B260" s="12" t="s">
        <v>892</v>
      </c>
      <c r="C260" s="13" t="s">
        <v>1589</v>
      </c>
      <c r="E260" s="12" t="str">
        <f>IF(NodesData[[#This Row],[Class Disambiguation]]="",NodesData[[#This Row],[Common Name]],NodesData[[#This Row],[Common Name]]&amp;" ("&amp;NodesData[[#This Row],[Class Disambiguation]]&amp;")")</f>
        <v>Joiner</v>
      </c>
      <c r="G260" s="12" t="s">
        <v>893</v>
      </c>
      <c r="H260" s="19" t="str" cm="1">
        <f t="array" ref="H260">"n"&amp;SUBSTITUTE(CreateGuidString(),"-","_")</f>
        <v>nFE4A6034_8BD9_4B88_89C0_BC9681D894DE</v>
      </c>
    </row>
    <row r="261" spans="1:8" x14ac:dyDescent="0.35">
      <c r="A2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 Hire Date</v>
      </c>
      <c r="B261" s="12" t="s">
        <v>894</v>
      </c>
      <c r="C261" s="13" t="s">
        <v>1590</v>
      </c>
      <c r="E261" s="12" t="str">
        <f>IF(NodesData[[#This Row],[Class Disambiguation]]="",NodesData[[#This Row],[Common Name]],NodesData[[#This Row],[Common Name]]&amp;" ("&amp;NodesData[[#This Row],[Class Disambiguation]]&amp;")")</f>
        <v>Joiner Hire Date</v>
      </c>
      <c r="G261" s="12" t="s">
        <v>895</v>
      </c>
      <c r="H261" s="19" t="str" cm="1">
        <f t="array" ref="H261">"n"&amp;SUBSTITUTE(CreateGuidString(),"-","_")</f>
        <v>n51E01C4F_D89A_4FD4_892C_2C6358B7DB5E</v>
      </c>
    </row>
    <row r="262" spans="1:8" x14ac:dyDescent="0.35">
      <c r="A2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 Lead Time</v>
      </c>
      <c r="B262" s="12" t="s">
        <v>896</v>
      </c>
      <c r="C262" s="13" t="s">
        <v>1591</v>
      </c>
      <c r="E262" s="12" t="str">
        <f>IF(NodesData[[#This Row],[Class Disambiguation]]="",NodesData[[#This Row],[Common Name]],NodesData[[#This Row],[Common Name]]&amp;" ("&amp;NodesData[[#This Row],[Class Disambiguation]]&amp;")")</f>
        <v>Joiner Lead Time</v>
      </c>
      <c r="G262" s="12" t="s">
        <v>897</v>
      </c>
      <c r="H262" s="19" t="str" cm="1">
        <f t="array" ref="H262">"n"&amp;SUBSTITUTE(CreateGuidString(),"-","_")</f>
        <v>n04B6A6EC_D002_4DEF_B6A4_B08F87FE6EA1</v>
      </c>
    </row>
    <row r="263" spans="1:8" x14ac:dyDescent="0.35">
      <c r="A2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 Process</v>
      </c>
      <c r="B263" s="12" t="s">
        <v>898</v>
      </c>
      <c r="C263" s="13" t="s">
        <v>1592</v>
      </c>
      <c r="E263" s="12" t="str">
        <f>IF(NodesData[[#This Row],[Class Disambiguation]]="",NodesData[[#This Row],[Common Name]],NodesData[[#This Row],[Common Name]]&amp;" ("&amp;NodesData[[#This Row],[Class Disambiguation]]&amp;")")</f>
        <v>Joiner Process</v>
      </c>
      <c r="G263" s="12" t="s">
        <v>899</v>
      </c>
      <c r="H263" s="19" t="str" cm="1">
        <f t="array" ref="H263">"n"&amp;SUBSTITUTE(CreateGuidString(),"-","_")</f>
        <v>nF89C9A46_755D_4136_AC1C_9B89A107ADAF</v>
      </c>
    </row>
    <row r="264" spans="1:8" x14ac:dyDescent="0.35">
      <c r="A2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 Start Date</v>
      </c>
      <c r="B264" s="12" t="s">
        <v>900</v>
      </c>
      <c r="C264" s="13" t="s">
        <v>1593</v>
      </c>
      <c r="E264" s="12" t="str">
        <f>IF(NodesData[[#This Row],[Class Disambiguation]]="",NodesData[[#This Row],[Common Name]],NodesData[[#This Row],[Common Name]]&amp;" ("&amp;NodesData[[#This Row],[Class Disambiguation]]&amp;")")</f>
        <v>Joiner Start Date</v>
      </c>
      <c r="G264" s="12" t="s">
        <v>901</v>
      </c>
      <c r="H264" s="19" t="str" cm="1">
        <f t="array" ref="H264">"n"&amp;SUBSTITUTE(CreateGuidString(),"-","_")</f>
        <v>n3F1D8DAF_CE15_4F97_ADC8_C24234EDFEBF</v>
      </c>
    </row>
    <row r="265" spans="1:8" x14ac:dyDescent="0.35">
      <c r="A2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Key Criteria Type</v>
      </c>
      <c r="B265" s="12" t="s">
        <v>902</v>
      </c>
      <c r="C265" s="13" t="s">
        <v>1594</v>
      </c>
      <c r="E265" s="12" t="str">
        <f>IF(NodesData[[#This Row],[Class Disambiguation]]="",NodesData[[#This Row],[Common Name]],NodesData[[#This Row],[Common Name]]&amp;" ("&amp;NodesData[[#This Row],[Class Disambiguation]]&amp;")")</f>
        <v>Key Criteria Type</v>
      </c>
      <c r="G265" s="12" t="s">
        <v>903</v>
      </c>
      <c r="H265" s="19" t="str" cm="1">
        <f t="array" ref="H265">"n"&amp;SUBSTITUTE(CreateGuidString(),"-","_")</f>
        <v>n20E9ADE3_C268_46CC_AC16_833C3DF38321</v>
      </c>
    </row>
    <row r="266" spans="1:8" x14ac:dyDescent="0.35">
      <c r="A2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Key Information</v>
      </c>
      <c r="B266" s="12" t="s">
        <v>904</v>
      </c>
      <c r="C266" s="13" t="s">
        <v>1595</v>
      </c>
      <c r="E266" s="12" t="str">
        <f>IF(NodesData[[#This Row],[Class Disambiguation]]="",NodesData[[#This Row],[Common Name]],NodesData[[#This Row],[Common Name]]&amp;" ("&amp;NodesData[[#This Row],[Class Disambiguation]]&amp;")")</f>
        <v>Key Information</v>
      </c>
      <c r="G266" s="12" t="s">
        <v>905</v>
      </c>
      <c r="H266" s="19" t="str" cm="1">
        <f t="array" ref="H266">"n"&amp;SUBSTITUTE(CreateGuidString(),"-","_")</f>
        <v>n0A5E2015_59C5_4644_A296_B5CA0AE2A80C</v>
      </c>
    </row>
    <row r="267" spans="1:8" x14ac:dyDescent="0.35">
      <c r="A2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Keying Material</v>
      </c>
      <c r="B267" s="12" t="s">
        <v>906</v>
      </c>
      <c r="C267" s="13" t="s">
        <v>1596</v>
      </c>
      <c r="E267" s="12" t="str">
        <f>IF(NodesData[[#This Row],[Class Disambiguation]]="",NodesData[[#This Row],[Common Name]],NodesData[[#This Row],[Common Name]]&amp;" ("&amp;NodesData[[#This Row],[Class Disambiguation]]&amp;")")</f>
        <v>Keying Material</v>
      </c>
      <c r="G267" s="12" t="s">
        <v>907</v>
      </c>
      <c r="H267" s="19" t="str" cm="1">
        <f t="array" ref="H267">"n"&amp;SUBSTITUTE(CreateGuidString(),"-","_")</f>
        <v>n33E19E64_2FC8_424B_B624_11E8AC69B16E</v>
      </c>
    </row>
    <row r="268" spans="1:8" x14ac:dyDescent="0.35">
      <c r="A2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Keystroke Recognition Authentication</v>
      </c>
      <c r="B268" s="12" t="s">
        <v>1311</v>
      </c>
      <c r="C268" s="13" t="s">
        <v>1599</v>
      </c>
      <c r="E268" s="12" t="str">
        <f>IF(NodesData[[#This Row],[Class Disambiguation]]="",NodesData[[#This Row],[Common Name]],NodesData[[#This Row],[Common Name]]&amp;" ("&amp;NodesData[[#This Row],[Class Disambiguation]]&amp;")")</f>
        <v>Keystroke Recognition Authentication</v>
      </c>
      <c r="H268" s="19" t="str" cm="1">
        <f t="array" ref="H268">"n"&amp;SUBSTITUTE(CreateGuidString(),"-","_")</f>
        <v>n33B2A7DF_1A5C_45B2_9AA9_A86E98546488</v>
      </c>
    </row>
    <row r="269" spans="1:8" x14ac:dyDescent="0.35">
      <c r="A2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Knowledge Factor</v>
      </c>
      <c r="B269" s="12" t="s">
        <v>2</v>
      </c>
      <c r="C269" s="13" t="s">
        <v>1598</v>
      </c>
      <c r="E269" s="12" t="str">
        <f>IF(NodesData[[#This Row],[Class Disambiguation]]="",NodesData[[#This Row],[Common Name]],NodesData[[#This Row],[Common Name]]&amp;" ("&amp;NodesData[[#This Row],[Class Disambiguation]]&amp;")")</f>
        <v>Knowledge Factor</v>
      </c>
      <c r="H269" s="19" t="str" cm="1">
        <f t="array" ref="H269">"n"&amp;SUBSTITUTE(CreateGuidString(),"-","_")</f>
        <v>nAB741396_E500_4976_AB6C_88DE9070A34C</v>
      </c>
    </row>
    <row r="270" spans="1:8" x14ac:dyDescent="0.35">
      <c r="A2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Knuckleprint Recognition Authentication</v>
      </c>
      <c r="B270" s="12" t="s">
        <v>1313</v>
      </c>
      <c r="C270" s="13" t="s">
        <v>1620</v>
      </c>
      <c r="E270" s="12" t="str">
        <f>IF(NodesData[[#This Row],[Class Disambiguation]]="",NodesData[[#This Row],[Common Name]],NodesData[[#This Row],[Common Name]]&amp;" ("&amp;NodesData[[#This Row],[Class Disambiguation]]&amp;")")</f>
        <v>Knuckleprint Recognition Authentication</v>
      </c>
      <c r="H270" s="19" t="str" cm="1">
        <f t="array" ref="H270">"n"&amp;SUBSTITUTE(CreateGuidString(),"-","_")</f>
        <v>n9B16A34D_2710_4415_94E3_D5C08C0141B9</v>
      </c>
    </row>
    <row r="271" spans="1:8" x14ac:dyDescent="0.35">
      <c r="A2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KYC Registry</v>
      </c>
      <c r="B271" s="12" t="s">
        <v>910</v>
      </c>
      <c r="C271" s="13" t="s">
        <v>1601</v>
      </c>
      <c r="E271" s="12" t="str">
        <f>IF(NodesData[[#This Row],[Class Disambiguation]]="",NodesData[[#This Row],[Common Name]],NodesData[[#This Row],[Common Name]]&amp;" ("&amp;NodesData[[#This Row],[Class Disambiguation]]&amp;")")</f>
        <v>KYC Registry</v>
      </c>
      <c r="G271" s="12" t="s">
        <v>911</v>
      </c>
      <c r="H271" s="19" t="str" cm="1">
        <f t="array" ref="H271">"n"&amp;SUBSTITUTE(CreateGuidString(),"-","_")</f>
        <v>n3819D895_B67E_4C83_B2F1_8B820DD9C12B</v>
      </c>
    </row>
    <row r="272" spans="1:8" x14ac:dyDescent="0.35">
      <c r="A2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KYC (Acronym)</v>
      </c>
      <c r="B272" s="12" t="s">
        <v>908</v>
      </c>
      <c r="C272" s="13" t="s">
        <v>1600</v>
      </c>
      <c r="D272" s="12" t="s">
        <v>1270</v>
      </c>
      <c r="E272" s="12" t="str">
        <f>IF(NodesData[[#This Row],[Class Disambiguation]]="",NodesData[[#This Row],[Common Name]],NodesData[[#This Row],[Common Name]]&amp;" ("&amp;NodesData[[#This Row],[Class Disambiguation]]&amp;")")</f>
        <v>KYC (Acronym)</v>
      </c>
      <c r="G272" s="12" t="s">
        <v>909</v>
      </c>
      <c r="H272" s="19" t="str" cm="1">
        <f t="array" ref="H272">"n"&amp;SUBSTITUTE(CreateGuidString(),"-","_")</f>
        <v>n3811F88A_3582_4A3F_AD91_BE3FAC26BC1D</v>
      </c>
    </row>
    <row r="273" spans="1:8" x14ac:dyDescent="0.35">
      <c r="A2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Lattice-Based Access Control</v>
      </c>
      <c r="B273" s="12" t="s">
        <v>912</v>
      </c>
      <c r="C273" s="13" t="s">
        <v>1602</v>
      </c>
      <c r="E273" s="12" t="str">
        <f>IF(NodesData[[#This Row],[Class Disambiguation]]="",NodesData[[#This Row],[Common Name]],NodesData[[#This Row],[Common Name]]&amp;" ("&amp;NodesData[[#This Row],[Class Disambiguation]]&amp;")")</f>
        <v>Lattice-Based Access Control</v>
      </c>
      <c r="G273" s="12" t="s">
        <v>913</v>
      </c>
      <c r="H273" s="19" t="str" cm="1">
        <f t="array" ref="H273">"n"&amp;SUBSTITUTE(CreateGuidString(),"-","_")</f>
        <v>n0BA83A59_1826_4553_939F_857CF87D1150</v>
      </c>
    </row>
    <row r="274" spans="1:8" x14ac:dyDescent="0.35">
      <c r="A2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Layers Architectural Pattern</v>
      </c>
      <c r="B274" s="12" t="s">
        <v>914</v>
      </c>
      <c r="C274" s="13" t="s">
        <v>1603</v>
      </c>
      <c r="E274" s="12" t="str">
        <f>IF(NodesData[[#This Row],[Class Disambiguation]]="",NodesData[[#This Row],[Common Name]],NodesData[[#This Row],[Common Name]]&amp;" ("&amp;NodesData[[#This Row],[Class Disambiguation]]&amp;")")</f>
        <v>Layers Architectural Pattern</v>
      </c>
      <c r="G274" s="12" t="s">
        <v>915</v>
      </c>
      <c r="H274" s="19" t="str" cm="1">
        <f t="array" ref="H274">"n"&amp;SUBSTITUTE(CreateGuidString(),"-","_")</f>
        <v>n510D0BD9_B578_4990_860F_65D173E8E9C0</v>
      </c>
    </row>
    <row r="275" spans="1:8" x14ac:dyDescent="0.35">
      <c r="A2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LBAC (Acronym)</v>
      </c>
      <c r="B275" s="12" t="s">
        <v>916</v>
      </c>
      <c r="C275" s="13" t="s">
        <v>1604</v>
      </c>
      <c r="D275" s="12" t="s">
        <v>1270</v>
      </c>
      <c r="E275" s="12" t="str">
        <f>IF(NodesData[[#This Row],[Class Disambiguation]]="",NodesData[[#This Row],[Common Name]],NodesData[[#This Row],[Common Name]]&amp;" ("&amp;NodesData[[#This Row],[Class Disambiguation]]&amp;")")</f>
        <v>LBAC (Acronym)</v>
      </c>
      <c r="G275" s="12" t="s">
        <v>917</v>
      </c>
      <c r="H275" s="19" t="str" cm="1">
        <f t="array" ref="H275">"n"&amp;SUBSTITUTE(CreateGuidString(),"-","_")</f>
        <v>n8E486F01_1D1E_481F_91C9_E7F6CB1E086D</v>
      </c>
    </row>
    <row r="276" spans="1:8" x14ac:dyDescent="0.35">
      <c r="A2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Leading Indicator</v>
      </c>
      <c r="B276" s="12" t="s">
        <v>918</v>
      </c>
      <c r="C276" s="13" t="s">
        <v>1605</v>
      </c>
      <c r="E276" s="12" t="str">
        <f>IF(NodesData[[#This Row],[Class Disambiguation]]="",NodesData[[#This Row],[Common Name]],NodesData[[#This Row],[Common Name]]&amp;" ("&amp;NodesData[[#This Row],[Class Disambiguation]]&amp;")")</f>
        <v>Leading Indicator</v>
      </c>
      <c r="G276" s="12" t="s">
        <v>919</v>
      </c>
      <c r="H276" s="19" t="str" cm="1">
        <f t="array" ref="H276">"n"&amp;SUBSTITUTE(CreateGuidString(),"-","_")</f>
        <v>n78B8CA65_AC72_44FD_800D_772CE7723A4F</v>
      </c>
    </row>
    <row r="277" spans="1:8" x14ac:dyDescent="0.35">
      <c r="A2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Least Privilege</v>
      </c>
      <c r="B277" s="12" t="s">
        <v>920</v>
      </c>
      <c r="C277" s="13" t="s">
        <v>1606</v>
      </c>
      <c r="E277" s="12" t="str">
        <f>IF(NodesData[[#This Row],[Class Disambiguation]]="",NodesData[[#This Row],[Common Name]],NodesData[[#This Row],[Common Name]]&amp;" ("&amp;NodesData[[#This Row],[Class Disambiguation]]&amp;")")</f>
        <v>Least Privilege</v>
      </c>
      <c r="G277" s="12" t="s">
        <v>921</v>
      </c>
      <c r="H277" s="19" t="str" cm="1">
        <f t="array" ref="H277">"n"&amp;SUBSTITUTE(CreateGuidString(),"-","_")</f>
        <v>nAE0D3ACB_89AD_4D1C_9C63_8FE5D6BC7397</v>
      </c>
    </row>
    <row r="278" spans="1:8" x14ac:dyDescent="0.35">
      <c r="A2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Legal Entity Identifier</v>
      </c>
      <c r="B278" s="12" t="s">
        <v>922</v>
      </c>
      <c r="C278" s="13" t="s">
        <v>1607</v>
      </c>
      <c r="E278" s="12" t="str">
        <f>IF(NodesData[[#This Row],[Class Disambiguation]]="",NodesData[[#This Row],[Common Name]],NodesData[[#This Row],[Common Name]]&amp;" ("&amp;NodesData[[#This Row],[Class Disambiguation]]&amp;")")</f>
        <v>Legal Entity Identifier</v>
      </c>
      <c r="G278" s="12" t="s">
        <v>923</v>
      </c>
      <c r="H278" s="19" t="str" cm="1">
        <f t="array" ref="H278">"n"&amp;SUBSTITUTE(CreateGuidString(),"-","_")</f>
        <v>n7CA6E3ED_B471_4008_8A94_D10EE2CEE09A</v>
      </c>
    </row>
    <row r="279" spans="1:8" x14ac:dyDescent="0.35">
      <c r="A2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Legitimate Privilege Abuse</v>
      </c>
      <c r="B279" s="12" t="s">
        <v>924</v>
      </c>
      <c r="C279" s="13" t="s">
        <v>1608</v>
      </c>
      <c r="E279" s="12" t="str">
        <f>IF(NodesData[[#This Row],[Class Disambiguation]]="",NodesData[[#This Row],[Common Name]],NodesData[[#This Row],[Common Name]]&amp;" ("&amp;NodesData[[#This Row],[Class Disambiguation]]&amp;")")</f>
        <v>Legitimate Privilege Abuse</v>
      </c>
      <c r="G279" s="12" t="s">
        <v>925</v>
      </c>
      <c r="H279" s="19" t="str" cm="1">
        <f t="array" ref="H279">"n"&amp;SUBSTITUTE(CreateGuidString(),"-","_")</f>
        <v>nCC76A166_9D57_4102_ACDD_D8E6B041E026</v>
      </c>
    </row>
    <row r="280" spans="1:8" x14ac:dyDescent="0.35">
      <c r="A2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LEI (Acronym)</v>
      </c>
      <c r="B280" s="12" t="s">
        <v>926</v>
      </c>
      <c r="C280" s="13" t="s">
        <v>1609</v>
      </c>
      <c r="D280" s="12" t="s">
        <v>1270</v>
      </c>
      <c r="E280" s="12" t="str">
        <f>IF(NodesData[[#This Row],[Class Disambiguation]]="",NodesData[[#This Row],[Common Name]],NodesData[[#This Row],[Common Name]]&amp;" ("&amp;NodesData[[#This Row],[Class Disambiguation]]&amp;")")</f>
        <v>LEI (Acronym)</v>
      </c>
      <c r="G280" s="12" t="s">
        <v>927</v>
      </c>
      <c r="H280" s="19" t="str" cm="1">
        <f t="array" ref="H280">"n"&amp;SUBSTITUTE(CreateGuidString(),"-","_")</f>
        <v>n56F7C981_C8B2_430F_850D_6D1BF60156DC</v>
      </c>
    </row>
    <row r="281" spans="1:8" x14ac:dyDescent="0.35">
      <c r="A2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Levels of Assurance</v>
      </c>
      <c r="B281" s="12" t="s">
        <v>928</v>
      </c>
      <c r="C281" s="13" t="s">
        <v>1610</v>
      </c>
      <c r="E281" s="12" t="str">
        <f>IF(NodesData[[#This Row],[Class Disambiguation]]="",NodesData[[#This Row],[Common Name]],NodesData[[#This Row],[Common Name]]&amp;" ("&amp;NodesData[[#This Row],[Class Disambiguation]]&amp;")")</f>
        <v>Levels of Assurance</v>
      </c>
      <c r="G281" s="12" t="s">
        <v>929</v>
      </c>
      <c r="H281" s="19" t="str" cm="1">
        <f t="array" ref="H281">"n"&amp;SUBSTITUTE(CreateGuidString(),"-","_")</f>
        <v>n6CDE4EA0_85F9_4109_BA6F_A704B5B3A915</v>
      </c>
    </row>
    <row r="282" spans="1:8" x14ac:dyDescent="0.35">
      <c r="A2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Liberal Discretionary Access Control</v>
      </c>
      <c r="B282" s="12" t="s">
        <v>930</v>
      </c>
      <c r="C282" s="13" t="s">
        <v>1611</v>
      </c>
      <c r="E282" s="12" t="str">
        <f>IF(NodesData[[#This Row],[Class Disambiguation]]="",NodesData[[#This Row],[Common Name]],NodesData[[#This Row],[Common Name]]&amp;" ("&amp;NodesData[[#This Row],[Class Disambiguation]]&amp;")")</f>
        <v>Liberal Discretionary Access Control</v>
      </c>
      <c r="G282" s="12" t="s">
        <v>931</v>
      </c>
      <c r="H282" s="19" t="str" cm="1">
        <f t="array" ref="H282">"n"&amp;SUBSTITUTE(CreateGuidString(),"-","_")</f>
        <v>n4F728FCD_E103_41C5_99A5_729B8B8916EC</v>
      </c>
    </row>
    <row r="283" spans="1:8" x14ac:dyDescent="0.35">
      <c r="A2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LOA (Acronym)</v>
      </c>
      <c r="B283" s="12" t="s">
        <v>932</v>
      </c>
      <c r="C283" s="13" t="s">
        <v>1612</v>
      </c>
      <c r="D283" s="12" t="s">
        <v>1270</v>
      </c>
      <c r="E283" s="12" t="str">
        <f>IF(NodesData[[#This Row],[Class Disambiguation]]="",NodesData[[#This Row],[Common Name]],NodesData[[#This Row],[Common Name]]&amp;" ("&amp;NodesData[[#This Row],[Class Disambiguation]]&amp;")")</f>
        <v>LOA (Acronym)</v>
      </c>
      <c r="G283" s="12" t="s">
        <v>933</v>
      </c>
      <c r="H283" s="19" t="str" cm="1">
        <f t="array" ref="H283">"n"&amp;SUBSTITUTE(CreateGuidString(),"-","_")</f>
        <v>n39367785_2E85_4A7C_AAF7_D75410A7B27B</v>
      </c>
    </row>
    <row r="284" spans="1:8" x14ac:dyDescent="0.35">
      <c r="A2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Location Factor</v>
      </c>
      <c r="B284" s="12" t="s">
        <v>1296</v>
      </c>
      <c r="C284" s="13" t="s">
        <v>1613</v>
      </c>
      <c r="E284" s="12" t="str">
        <f>IF(NodesData[[#This Row],[Class Disambiguation]]="",NodesData[[#This Row],[Common Name]],NodesData[[#This Row],[Common Name]]&amp;" ("&amp;NodesData[[#This Row],[Class Disambiguation]]&amp;")")</f>
        <v>Location Factor</v>
      </c>
      <c r="H284" s="19" t="str" cm="1">
        <f t="array" ref="H284">"n"&amp;SUBSTITUTE(CreateGuidString(),"-","_")</f>
        <v>n2FFB5F9F_3AFA_4AEF_B125_F257E0D255BA</v>
      </c>
    </row>
    <row r="285" spans="1:8" x14ac:dyDescent="0.35">
      <c r="A2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Logic Bomb</v>
      </c>
      <c r="B285" s="12" t="s">
        <v>285</v>
      </c>
      <c r="C285" s="13" t="s">
        <v>1614</v>
      </c>
      <c r="E285" s="12" t="str">
        <f>IF(NodesData[[#This Row],[Class Disambiguation]]="",NodesData[[#This Row],[Common Name]],NodesData[[#This Row],[Common Name]]&amp;" ("&amp;NodesData[[#This Row],[Class Disambiguation]]&amp;")")</f>
        <v>Logic Bomb</v>
      </c>
      <c r="G285" s="12" t="s">
        <v>934</v>
      </c>
      <c r="H285" s="19" t="str" cm="1">
        <f t="array" ref="H285">"n"&amp;SUBSTITUTE(CreateGuidString(),"-","_")</f>
        <v>n37A6D70F_AA32_411F_B768_9A37AD7D0758</v>
      </c>
    </row>
    <row r="286" spans="1:8" x14ac:dyDescent="0.35">
      <c r="A2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Login</v>
      </c>
      <c r="B286" s="12" t="s">
        <v>286</v>
      </c>
      <c r="C286" s="13" t="s">
        <v>1615</v>
      </c>
      <c r="E286" s="12" t="str">
        <f>IF(NodesData[[#This Row],[Class Disambiguation]]="",NodesData[[#This Row],[Common Name]],NodesData[[#This Row],[Common Name]]&amp;" ("&amp;NodesData[[#This Row],[Class Disambiguation]]&amp;")")</f>
        <v>Login</v>
      </c>
      <c r="G286" s="12" t="s">
        <v>935</v>
      </c>
      <c r="H286" s="19" t="str" cm="1">
        <f t="array" ref="H286">"n"&amp;SUBSTITUTE(CreateGuidString(),"-","_")</f>
        <v>n036D15C3_6AF7_4495_9B32_4F8876021EC0</v>
      </c>
    </row>
    <row r="287" spans="1:8" x14ac:dyDescent="0.35">
      <c r="A2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Login ID (Acronym)</v>
      </c>
      <c r="B287" s="12" t="s">
        <v>287</v>
      </c>
      <c r="C287" s="13" t="s">
        <v>1616</v>
      </c>
      <c r="D287" s="12" t="s">
        <v>1270</v>
      </c>
      <c r="E287" s="12" t="str">
        <f>IF(NodesData[[#This Row],[Class Disambiguation]]="",NodesData[[#This Row],[Common Name]],NodesData[[#This Row],[Common Name]]&amp;" ("&amp;NodesData[[#This Row],[Class Disambiguation]]&amp;")")</f>
        <v>Login ID (Acronym)</v>
      </c>
      <c r="G287" s="12" t="s">
        <v>936</v>
      </c>
      <c r="H287" s="19" t="str" cm="1">
        <f t="array" ref="H287">"n"&amp;SUBSTITUTE(CreateGuidString(),"-","_")</f>
        <v>nF99928B2_7C17_4E2A_B38C_9616B4A44576</v>
      </c>
    </row>
    <row r="288" spans="1:8" x14ac:dyDescent="0.35">
      <c r="A2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Login Name</v>
      </c>
      <c r="B288" s="12" t="s">
        <v>288</v>
      </c>
      <c r="C288" s="13" t="s">
        <v>1617</v>
      </c>
      <c r="E288" s="12" t="str">
        <f>IF(NodesData[[#This Row],[Class Disambiguation]]="",NodesData[[#This Row],[Common Name]],NodesData[[#This Row],[Common Name]]&amp;" ("&amp;NodesData[[#This Row],[Class Disambiguation]]&amp;")")</f>
        <v>Login Name</v>
      </c>
      <c r="G288" s="12" t="s">
        <v>937</v>
      </c>
      <c r="H288" s="19" t="str" cm="1">
        <f t="array" ref="H288">"n"&amp;SUBSTITUTE(CreateGuidString(),"-","_")</f>
        <v>nAE7AC7FC_EC2D_49E4_8578_D0B3123EA73F</v>
      </c>
    </row>
    <row r="289" spans="1:8" x14ac:dyDescent="0.35">
      <c r="A2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Mechanism</v>
      </c>
      <c r="B289" s="12" t="s">
        <v>938</v>
      </c>
      <c r="C289" s="13" t="s">
        <v>1618</v>
      </c>
      <c r="E289" s="12" t="str">
        <f>IF(NodesData[[#This Row],[Class Disambiguation]]="",NodesData[[#This Row],[Common Name]],NodesData[[#This Row],[Common Name]]&amp;" ("&amp;NodesData[[#This Row],[Class Disambiguation]]&amp;")")</f>
        <v>Mechanism</v>
      </c>
      <c r="G289" s="12" t="s">
        <v>939</v>
      </c>
      <c r="H289" s="19" t="str" cm="1">
        <f t="array" ref="H289">"n"&amp;SUBSTITUTE(CreateGuidString(),"-","_")</f>
        <v>n0895A386_57E2_4639_92ED_E466F3044098</v>
      </c>
    </row>
    <row r="290" spans="1:8" x14ac:dyDescent="0.35">
      <c r="A2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Metadirectory</v>
      </c>
      <c r="B290" s="12" t="s">
        <v>940</v>
      </c>
      <c r="C290" s="13" t="s">
        <v>1619</v>
      </c>
      <c r="E290" s="12" t="str">
        <f>IF(NodesData[[#This Row],[Class Disambiguation]]="",NodesData[[#This Row],[Common Name]],NodesData[[#This Row],[Common Name]]&amp;" ("&amp;NodesData[[#This Row],[Class Disambiguation]]&amp;")")</f>
        <v>Metadirectory</v>
      </c>
      <c r="G290" s="12" t="s">
        <v>941</v>
      </c>
      <c r="H290" s="19" t="str" cm="1">
        <f t="array" ref="H290">"n"&amp;SUBSTITUTE(CreateGuidString(),"-","_")</f>
        <v>nE300976D_0687_44D4_AA64_FED05601FDF8</v>
      </c>
    </row>
    <row r="291" spans="1:8" x14ac:dyDescent="0.35">
      <c r="A2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Multidomain Single Sign-On</v>
      </c>
      <c r="B291" s="12" t="s">
        <v>942</v>
      </c>
      <c r="C291" s="13" t="s">
        <v>1621</v>
      </c>
      <c r="E291" s="12" t="str">
        <f>IF(NodesData[[#This Row],[Class Disambiguation]]="",NodesData[[#This Row],[Common Name]],NodesData[[#This Row],[Common Name]]&amp;" ("&amp;NodesData[[#This Row],[Class Disambiguation]]&amp;")")</f>
        <v>Multidomain Single Sign-On</v>
      </c>
      <c r="G291" s="12" t="s">
        <v>943</v>
      </c>
      <c r="H291" s="19" t="str" cm="1">
        <f t="array" ref="H291">"n"&amp;SUBSTITUTE(CreateGuidString(),"-","_")</f>
        <v>nDC34745D_CFCC_4A66_99E2_8F445F277F3D</v>
      </c>
    </row>
    <row r="292" spans="1:8" x14ac:dyDescent="0.35">
      <c r="A2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Multilevel Security</v>
      </c>
      <c r="B292" s="12" t="s">
        <v>944</v>
      </c>
      <c r="C292" s="13" t="s">
        <v>1622</v>
      </c>
      <c r="E292" s="12" t="str">
        <f>IF(NodesData[[#This Row],[Class Disambiguation]]="",NodesData[[#This Row],[Common Name]],NodesData[[#This Row],[Common Name]]&amp;" ("&amp;NodesData[[#This Row],[Class Disambiguation]]&amp;")")</f>
        <v>Multilevel Security</v>
      </c>
      <c r="G292" s="12" t="s">
        <v>945</v>
      </c>
      <c r="H292" s="19" t="str" cm="1">
        <f t="array" ref="H292">"n"&amp;SUBSTITUTE(CreateGuidString(),"-","_")</f>
        <v>n9F553BC4_1196_46C0_B3BB_927682A36A2F</v>
      </c>
    </row>
    <row r="293" spans="1:8" x14ac:dyDescent="0.35">
      <c r="A2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Multi-Modal Biometric Authentication</v>
      </c>
      <c r="B293" s="11" t="s">
        <v>1839</v>
      </c>
      <c r="C293" s="13" t="s">
        <v>1624</v>
      </c>
      <c r="E293" s="12" t="str">
        <f>IF(NodesData[[#This Row],[Class Disambiguation]]="",NodesData[[#This Row],[Common Name]],NodesData[[#This Row],[Common Name]]&amp;" ("&amp;NodesData[[#This Row],[Class Disambiguation]]&amp;")")</f>
        <v>Multi-Modal Biometric Authentication</v>
      </c>
      <c r="H293" s="19" t="str" cm="1">
        <f t="array" ref="H293">"n"&amp;SUBSTITUTE(CreateGuidString(),"-","_")</f>
        <v>nA9C99E5C_C115_4014_AA18_D3742C5255D8</v>
      </c>
    </row>
    <row r="294" spans="1:8" x14ac:dyDescent="0.35">
      <c r="A2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Multiple Accounts</v>
      </c>
      <c r="B294" s="12" t="s">
        <v>305</v>
      </c>
      <c r="C294" s="13" t="s">
        <v>1623</v>
      </c>
      <c r="E294" s="12" t="str">
        <f>IF(NodesData[[#This Row],[Class Disambiguation]]="",NodesData[[#This Row],[Common Name]],NodesData[[#This Row],[Common Name]]&amp;" ("&amp;NodesData[[#This Row],[Class Disambiguation]]&amp;")")</f>
        <v>Multiple Accounts</v>
      </c>
      <c r="G294" s="12" t="s">
        <v>946</v>
      </c>
      <c r="H294" s="19" t="str" cm="1">
        <f t="array" ref="H294">"n"&amp;SUBSTITUTE(CreateGuidString(),"-","_")</f>
        <v>nBEEF8762_0AF0_4016_BBC0_FB03E661E49D</v>
      </c>
    </row>
    <row r="295" spans="1:8" x14ac:dyDescent="0.35">
      <c r="A2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Mutual Authentication</v>
      </c>
      <c r="B295" s="12" t="s">
        <v>947</v>
      </c>
      <c r="C295" s="13" t="s">
        <v>1630</v>
      </c>
      <c r="E295" s="12" t="str">
        <f>IF(NodesData[[#This Row],[Class Disambiguation]]="",NodesData[[#This Row],[Common Name]],NodesData[[#This Row],[Common Name]]&amp;" ("&amp;NodesData[[#This Row],[Class Disambiguation]]&amp;")")</f>
        <v>Mutual Authentication</v>
      </c>
      <c r="G295" s="12" t="s">
        <v>948</v>
      </c>
      <c r="H295" s="19" t="str" cm="1">
        <f t="array" ref="H295">"n"&amp;SUBSTITUTE(CreateGuidString(),"-","_")</f>
        <v>n735C96D7_A62D_41CF_BA46_1F837C253080</v>
      </c>
    </row>
    <row r="296" spans="1:8" x14ac:dyDescent="0.35">
      <c r="A2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Need-to-Know</v>
      </c>
      <c r="B296" s="12" t="s">
        <v>307</v>
      </c>
      <c r="C296" s="13" t="s">
        <v>1625</v>
      </c>
      <c r="E296" s="12" t="str">
        <f>IF(NodesData[[#This Row],[Class Disambiguation]]="",NodesData[[#This Row],[Common Name]],NodesData[[#This Row],[Common Name]]&amp;" ("&amp;NodesData[[#This Row],[Class Disambiguation]]&amp;")")</f>
        <v>Need-to-Know</v>
      </c>
      <c r="G296" s="12" t="s">
        <v>949</v>
      </c>
      <c r="H296" s="19" t="str" cm="1">
        <f t="array" ref="H296">"n"&amp;SUBSTITUTE(CreateGuidString(),"-","_")</f>
        <v>nBA9DDEEC_EB7C_44E8_9262_0E361010B83B</v>
      </c>
    </row>
    <row r="297" spans="1:8" x14ac:dyDescent="0.35">
      <c r="A2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New Joiner</v>
      </c>
      <c r="B297" s="12" t="s">
        <v>950</v>
      </c>
      <c r="C297" s="13" t="s">
        <v>1626</v>
      </c>
      <c r="E297" s="12" t="str">
        <f>IF(NodesData[[#This Row],[Class Disambiguation]]="",NodesData[[#This Row],[Common Name]],NodesData[[#This Row],[Common Name]]&amp;" ("&amp;NodesData[[#This Row],[Class Disambiguation]]&amp;")")</f>
        <v>New Joiner</v>
      </c>
      <c r="G297" s="12" t="s">
        <v>951</v>
      </c>
      <c r="H297" s="19" t="str" cm="1">
        <f t="array" ref="H297">"n"&amp;SUBSTITUTE(CreateGuidString(),"-","_")</f>
        <v>n118590B7_E27A_4405_AD9B_6D025A8C28E2</v>
      </c>
    </row>
    <row r="298" spans="1:8" x14ac:dyDescent="0.35">
      <c r="A2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No Tranquility Property</v>
      </c>
      <c r="B298" s="12" t="s">
        <v>952</v>
      </c>
      <c r="C298" s="13" t="s">
        <v>1627</v>
      </c>
      <c r="E298" s="12" t="str">
        <f>IF(NodesData[[#This Row],[Class Disambiguation]]="",NodesData[[#This Row],[Common Name]],NodesData[[#This Row],[Common Name]]&amp;" ("&amp;NodesData[[#This Row],[Class Disambiguation]]&amp;")")</f>
        <v>No Tranquility Property</v>
      </c>
      <c r="G298" s="12" t="s">
        <v>953</v>
      </c>
      <c r="H298" s="19" t="str" cm="1">
        <f t="array" ref="H298">"n"&amp;SUBSTITUTE(CreateGuidString(),"-","_")</f>
        <v>nF151EED2_CCAF_4031_B8CC_8743747F408D</v>
      </c>
    </row>
    <row r="299" spans="1:8" x14ac:dyDescent="0.35">
      <c r="A2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Nonworker</v>
      </c>
      <c r="B299" s="12" t="s">
        <v>954</v>
      </c>
      <c r="C299" s="13" t="s">
        <v>1628</v>
      </c>
      <c r="E299" s="12" t="str">
        <f>IF(NodesData[[#This Row],[Class Disambiguation]]="",NodesData[[#This Row],[Common Name]],NodesData[[#This Row],[Common Name]]&amp;" ("&amp;NodesData[[#This Row],[Class Disambiguation]]&amp;")")</f>
        <v>Nonworker</v>
      </c>
      <c r="G299" s="12" t="s">
        <v>955</v>
      </c>
      <c r="H299" s="19" t="str" cm="1">
        <f t="array" ref="H299">"n"&amp;SUBSTITUTE(CreateGuidString(),"-","_")</f>
        <v>nC66DA6E1_DC3C_4263_A31E_4BAAF21E2A63</v>
      </c>
    </row>
    <row r="300" spans="1:8" x14ac:dyDescent="0.35">
      <c r="A30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Numerical Identity</v>
      </c>
      <c r="B300" s="12" t="s">
        <v>312</v>
      </c>
      <c r="C300" s="13" t="s">
        <v>1629</v>
      </c>
      <c r="E300" s="12" t="str">
        <f>IF(NodesData[[#This Row],[Class Disambiguation]]="",NodesData[[#This Row],[Common Name]],NodesData[[#This Row],[Common Name]]&amp;" ("&amp;NodesData[[#This Row],[Class Disambiguation]]&amp;")")</f>
        <v>Numerical Identity</v>
      </c>
      <c r="G300" s="12" t="s">
        <v>956</v>
      </c>
      <c r="H300" s="19" t="str" cm="1">
        <f t="array" ref="H300">"n"&amp;SUBSTITUTE(CreateGuidString(),"-","_")</f>
        <v>n4B0ED76D_F264_4359_8FD7_CFE23638EE95</v>
      </c>
    </row>
    <row r="301" spans="1:8" x14ac:dyDescent="0.35">
      <c r="A30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OAuth (Acronym)</v>
      </c>
      <c r="B301" s="12" t="s">
        <v>957</v>
      </c>
      <c r="C301" s="13" t="s">
        <v>1633</v>
      </c>
      <c r="D301" s="12" t="s">
        <v>1270</v>
      </c>
      <c r="E301" s="12" t="str">
        <f>IF(NodesData[[#This Row],[Class Disambiguation]]="",NodesData[[#This Row],[Common Name]],NodesData[[#This Row],[Common Name]]&amp;" ("&amp;NodesData[[#This Row],[Class Disambiguation]]&amp;")")</f>
        <v>OAuth (Acronym)</v>
      </c>
      <c r="G301" s="12" t="s">
        <v>958</v>
      </c>
      <c r="H301" s="19" t="str" cm="1">
        <f t="array" ref="H301">"n"&amp;SUBSTITUTE(CreateGuidString(),"-","_")</f>
        <v>nEF03ABB3_67EE_43A9_B6D6_C9A349B855C7</v>
      </c>
    </row>
    <row r="302" spans="1:8" x14ac:dyDescent="0.35">
      <c r="A30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Object</v>
      </c>
      <c r="B302" s="12" t="s">
        <v>959</v>
      </c>
      <c r="C302" s="13" t="s">
        <v>1631</v>
      </c>
      <c r="E302" s="12" t="str">
        <f>IF(NodesData[[#This Row],[Class Disambiguation]]="",NodesData[[#This Row],[Common Name]],NodesData[[#This Row],[Common Name]]&amp;" ("&amp;NodesData[[#This Row],[Class Disambiguation]]&amp;")")</f>
        <v>Object</v>
      </c>
      <c r="G302" s="12" t="s">
        <v>960</v>
      </c>
      <c r="H302" s="19" t="str" cm="1">
        <f t="array" ref="H302">"n"&amp;SUBSTITUTE(CreateGuidString(),"-","_")</f>
        <v>nEE850D27_2382_4E8C_B94C_D8E5139DBE24</v>
      </c>
    </row>
    <row r="303" spans="1:8" x14ac:dyDescent="0.35">
      <c r="A30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Omission Error</v>
      </c>
      <c r="B303" s="12" t="s">
        <v>961</v>
      </c>
      <c r="C303" s="13" t="s">
        <v>1632</v>
      </c>
      <c r="E303" s="12" t="str">
        <f>IF(NodesData[[#This Row],[Class Disambiguation]]="",NodesData[[#This Row],[Common Name]],NodesData[[#This Row],[Common Name]]&amp;" ("&amp;NodesData[[#This Row],[Class Disambiguation]]&amp;")")</f>
        <v>Omission Error</v>
      </c>
      <c r="G303" s="12" t="s">
        <v>962</v>
      </c>
      <c r="H303" s="19" t="str" cm="1">
        <f t="array" ref="H303">"n"&amp;SUBSTITUTE(CreateGuidString(),"-","_")</f>
        <v>n59701985_818C_4905_9DD2_F7AD482132E1</v>
      </c>
    </row>
    <row r="304" spans="1:8" x14ac:dyDescent="0.35">
      <c r="A30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One-Time Passcode Authentication</v>
      </c>
      <c r="B304" s="12" t="s">
        <v>1318</v>
      </c>
      <c r="C304" s="13" t="s">
        <v>1650</v>
      </c>
      <c r="E304" s="12" t="str">
        <f>IF(NodesData[[#This Row],[Class Disambiguation]]="",NodesData[[#This Row],[Common Name]],NodesData[[#This Row],[Common Name]]&amp;" ("&amp;NodesData[[#This Row],[Class Disambiguation]]&amp;")")</f>
        <v>One-Time Passcode Authentication</v>
      </c>
      <c r="H304" s="19" t="str" cm="1">
        <f t="array" ref="H304">"n"&amp;SUBSTITUTE(CreateGuidString(),"-","_")</f>
        <v>nAD9C63E1_360C_446E_8770_4FE74346BB0F</v>
      </c>
    </row>
    <row r="305" spans="1:8" x14ac:dyDescent="0.35">
      <c r="A30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OPA (Acronym)</v>
      </c>
      <c r="B305" s="12" t="s">
        <v>963</v>
      </c>
      <c r="C305" s="13" t="s">
        <v>1634</v>
      </c>
      <c r="D305" s="12" t="s">
        <v>1270</v>
      </c>
      <c r="E305" s="12" t="str">
        <f>IF(NodesData[[#This Row],[Class Disambiguation]]="",NodesData[[#This Row],[Common Name]],NodesData[[#This Row],[Common Name]]&amp;" ("&amp;NodesData[[#This Row],[Class Disambiguation]]&amp;")")</f>
        <v>OPA (Acronym)</v>
      </c>
      <c r="G305" s="12" t="s">
        <v>964</v>
      </c>
      <c r="H305" s="19" t="str" cm="1">
        <f t="array" ref="H305">"n"&amp;SUBSTITUTE(CreateGuidString(),"-","_")</f>
        <v>n1F5FB8AA_CF08_4B0C_B59F_3A94CDFBAE9F</v>
      </c>
    </row>
    <row r="306" spans="1:8" x14ac:dyDescent="0.35">
      <c r="A30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Open Policy Agent</v>
      </c>
      <c r="B306" s="12" t="s">
        <v>965</v>
      </c>
      <c r="C306" s="13" t="s">
        <v>1635</v>
      </c>
      <c r="E306" s="12" t="str">
        <f>IF(NodesData[[#This Row],[Class Disambiguation]]="",NodesData[[#This Row],[Common Name]],NodesData[[#This Row],[Common Name]]&amp;" ("&amp;NodesData[[#This Row],[Class Disambiguation]]&amp;")")</f>
        <v>Open Policy Agent</v>
      </c>
      <c r="G306" s="12" t="s">
        <v>966</v>
      </c>
      <c r="H306" s="19" t="str" cm="1">
        <f t="array" ref="H306">"n"&amp;SUBSTITUTE(CreateGuidString(),"-","_")</f>
        <v>nAC69EA1F_FA4D_42F1_AFE4_180E30117582</v>
      </c>
    </row>
    <row r="307" spans="1:8" x14ac:dyDescent="0.35">
      <c r="A30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Operational Definition</v>
      </c>
      <c r="B307" s="12" t="s">
        <v>967</v>
      </c>
      <c r="C307" s="13" t="s">
        <v>1636</v>
      </c>
      <c r="E307" s="12" t="str">
        <f>IF(NodesData[[#This Row],[Class Disambiguation]]="",NodesData[[#This Row],[Common Name]],NodesData[[#This Row],[Common Name]]&amp;" ("&amp;NodesData[[#This Row],[Class Disambiguation]]&amp;")")</f>
        <v>Operational Definition</v>
      </c>
      <c r="G307" s="12" t="s">
        <v>968</v>
      </c>
      <c r="H307" s="19" t="str" cm="1">
        <f t="array" ref="H307">"n"&amp;SUBSTITUTE(CreateGuidString(),"-","_")</f>
        <v>nF87C8F85_1C83_49B1_8CC9_D4F6E9D3A1C9</v>
      </c>
    </row>
    <row r="308" spans="1:8" x14ac:dyDescent="0.35">
      <c r="A30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Operational Taxonomic Unit</v>
      </c>
      <c r="B308" s="12" t="s">
        <v>969</v>
      </c>
      <c r="C308" s="13" t="s">
        <v>1637</v>
      </c>
      <c r="E308" s="12" t="str">
        <f>IF(NodesData[[#This Row],[Class Disambiguation]]="",NodesData[[#This Row],[Common Name]],NodesData[[#This Row],[Common Name]]&amp;" ("&amp;NodesData[[#This Row],[Class Disambiguation]]&amp;")")</f>
        <v>Operational Taxonomic Unit</v>
      </c>
      <c r="G308" s="12" t="s">
        <v>970</v>
      </c>
      <c r="H308" s="19" t="str" cm="1">
        <f t="array" ref="H308">"n"&amp;SUBSTITUTE(CreateGuidString(),"-","_")</f>
        <v>n26CACFDC_2AC6_4E65_8D5C_FC1A86B55EE3</v>
      </c>
    </row>
    <row r="309" spans="1:8" x14ac:dyDescent="0.35">
      <c r="A30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Ordinal Scale</v>
      </c>
      <c r="B309" s="12" t="s">
        <v>971</v>
      </c>
      <c r="C309" s="13" t="s">
        <v>1638</v>
      </c>
      <c r="E309" s="12" t="str">
        <f>IF(NodesData[[#This Row],[Class Disambiguation]]="",NodesData[[#This Row],[Common Name]],NodesData[[#This Row],[Common Name]]&amp;" ("&amp;NodesData[[#This Row],[Class Disambiguation]]&amp;")")</f>
        <v>Ordinal Scale</v>
      </c>
      <c r="G309" s="12" t="s">
        <v>972</v>
      </c>
      <c r="H309" s="19" t="str" cm="1">
        <f t="array" ref="H309">"n"&amp;SUBSTITUTE(CreateGuidString(),"-","_")</f>
        <v>n104A6F69_E7A3_46A5_AF39_C54AD5F2A554</v>
      </c>
    </row>
    <row r="310" spans="1:8" x14ac:dyDescent="0.35">
      <c r="A3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Organization Context</v>
      </c>
      <c r="B310" s="12" t="s">
        <v>1266</v>
      </c>
      <c r="C310" s="13" t="s">
        <v>1639</v>
      </c>
      <c r="E310" s="12" t="str">
        <f>IF(NodesData[[#This Row],[Class Disambiguation]]="",NodesData[[#This Row],[Common Name]],NodesData[[#This Row],[Common Name]]&amp;" ("&amp;NodesData[[#This Row],[Class Disambiguation]]&amp;")")</f>
        <v>Organization Context</v>
      </c>
      <c r="G310" s="12" t="s">
        <v>973</v>
      </c>
      <c r="H310" s="19" t="str" cm="1">
        <f t="array" ref="H310">"n"&amp;SUBSTITUTE(CreateGuidString(),"-","_")</f>
        <v>n6D4EB567_125D_44B4_ABCF_840F44A13D6F</v>
      </c>
    </row>
    <row r="311" spans="1:8" x14ac:dyDescent="0.35">
      <c r="A3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Organization Scope</v>
      </c>
      <c r="B311" s="12" t="s">
        <v>1267</v>
      </c>
      <c r="C311" s="13" t="s">
        <v>1640</v>
      </c>
      <c r="E311" s="12" t="str">
        <f>IF(NodesData[[#This Row],[Class Disambiguation]]="",NodesData[[#This Row],[Common Name]],NodesData[[#This Row],[Common Name]]&amp;" ("&amp;NodesData[[#This Row],[Class Disambiguation]]&amp;")")</f>
        <v>Organization Scope</v>
      </c>
      <c r="G311" s="12" t="s">
        <v>974</v>
      </c>
      <c r="H311" s="19" t="str" cm="1">
        <f t="array" ref="H311">"n"&amp;SUBSTITUTE(CreateGuidString(),"-","_")</f>
        <v>n3D23FB41_9328_4140_BDE2_7D4A8AB3445D</v>
      </c>
    </row>
    <row r="312" spans="1:8" x14ac:dyDescent="0.35">
      <c r="A3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</v>
      </c>
      <c r="B312" s="12" t="s">
        <v>975</v>
      </c>
      <c r="C312" s="13" t="s">
        <v>1641</v>
      </c>
      <c r="E312" s="12" t="str">
        <f>IF(NodesData[[#This Row],[Class Disambiguation]]="",NodesData[[#This Row],[Common Name]],NodesData[[#This Row],[Common Name]]&amp;" ("&amp;NodesData[[#This Row],[Class Disambiguation]]&amp;")")</f>
        <v>Orphan</v>
      </c>
      <c r="G312" s="12" t="s">
        <v>976</v>
      </c>
      <c r="H312" s="19" t="str" cm="1">
        <f t="array" ref="H312">"n"&amp;SUBSTITUTE(CreateGuidString(),"-","_")</f>
        <v>n93EDA495_D72A_49FD_9AEA_9599455D91A0</v>
      </c>
    </row>
    <row r="313" spans="1:8" x14ac:dyDescent="0.35">
      <c r="A3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Account</v>
      </c>
      <c r="B313" s="12" t="s">
        <v>329</v>
      </c>
      <c r="C313" s="13" t="s">
        <v>1642</v>
      </c>
      <c r="E313" s="12" t="str">
        <f>IF(NodesData[[#This Row],[Class Disambiguation]]="",NodesData[[#This Row],[Common Name]],NodesData[[#This Row],[Common Name]]&amp;" ("&amp;NodesData[[#This Row],[Class Disambiguation]]&amp;")")</f>
        <v>Orphan Account</v>
      </c>
      <c r="G313" s="12" t="s">
        <v>977</v>
      </c>
      <c r="H313" s="19" t="str" cm="1">
        <f t="array" ref="H313">"n"&amp;SUBSTITUTE(CreateGuidString(),"-","_")</f>
        <v>nBFE7D657_CAB1_4160_A815_EBB3A5687F97</v>
      </c>
    </row>
    <row r="314" spans="1:8" x14ac:dyDescent="0.35">
      <c r="A3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File</v>
      </c>
      <c r="B314" s="12" t="s">
        <v>978</v>
      </c>
      <c r="C314" s="13" t="s">
        <v>1643</v>
      </c>
      <c r="E314" s="12" t="str">
        <f>IF(NodesData[[#This Row],[Class Disambiguation]]="",NodesData[[#This Row],[Common Name]],NodesData[[#This Row],[Common Name]]&amp;" ("&amp;NodesData[[#This Row],[Class Disambiguation]]&amp;")")</f>
        <v>Orphan File</v>
      </c>
      <c r="G314" s="12" t="s">
        <v>979</v>
      </c>
      <c r="H314" s="19" t="str" cm="1">
        <f t="array" ref="H314">"n"&amp;SUBSTITUTE(CreateGuidString(),"-","_")</f>
        <v>n88E2814C_D909_4D46_8127_1AA0696A9525</v>
      </c>
    </row>
    <row r="315" spans="1:8" x14ac:dyDescent="0.35">
      <c r="A3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Object</v>
      </c>
      <c r="B315" s="12" t="s">
        <v>980</v>
      </c>
      <c r="C315" s="13" t="s">
        <v>1644</v>
      </c>
      <c r="E315" s="12" t="str">
        <f>IF(NodesData[[#This Row],[Class Disambiguation]]="",NodesData[[#This Row],[Common Name]],NodesData[[#This Row],[Common Name]]&amp;" ("&amp;NodesData[[#This Row],[Class Disambiguation]]&amp;")")</f>
        <v>Orphan Object</v>
      </c>
      <c r="G315" s="12" t="s">
        <v>981</v>
      </c>
      <c r="H315" s="19" t="str" cm="1">
        <f t="array" ref="H315">"n"&amp;SUBSTITUTE(CreateGuidString(),"-","_")</f>
        <v>n22166AAE_9528_4099_A502_7E0CEBB1FB11</v>
      </c>
    </row>
    <row r="316" spans="1:8" x14ac:dyDescent="0.35">
      <c r="A3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Process</v>
      </c>
      <c r="B316" s="12" t="s">
        <v>982</v>
      </c>
      <c r="C316" s="13" t="s">
        <v>1645</v>
      </c>
      <c r="E316" s="12" t="str">
        <f>IF(NodesData[[#This Row],[Class Disambiguation]]="",NodesData[[#This Row],[Common Name]],NodesData[[#This Row],[Common Name]]&amp;" ("&amp;NodesData[[#This Row],[Class Disambiguation]]&amp;")")</f>
        <v>Orphan Process</v>
      </c>
      <c r="G316" s="12" t="s">
        <v>983</v>
      </c>
      <c r="H316" s="19" t="str" cm="1">
        <f t="array" ref="H316">"n"&amp;SUBSTITUTE(CreateGuidString(),"-","_")</f>
        <v>n962F8878_89D5_448B_80E0_E78C54A961C8</v>
      </c>
    </row>
    <row r="317" spans="1:8" x14ac:dyDescent="0.35">
      <c r="A3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Product</v>
      </c>
      <c r="B317" s="12" t="s">
        <v>984</v>
      </c>
      <c r="C317" s="13" t="s">
        <v>1646</v>
      </c>
      <c r="E317" s="12" t="str">
        <f>IF(NodesData[[#This Row],[Class Disambiguation]]="",NodesData[[#This Row],[Common Name]],NodesData[[#This Row],[Common Name]]&amp;" ("&amp;NodesData[[#This Row],[Class Disambiguation]]&amp;")")</f>
        <v>Orphan Product</v>
      </c>
      <c r="G317" s="12" t="s">
        <v>985</v>
      </c>
      <c r="H317" s="19" t="str" cm="1">
        <f t="array" ref="H317">"n"&amp;SUBSTITUTE(CreateGuidString(),"-","_")</f>
        <v>n4EC49D37_AF31_4D74_AEC7_5EF61087EDB2</v>
      </c>
    </row>
    <row r="318" spans="1:8" x14ac:dyDescent="0.35">
      <c r="A3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Role</v>
      </c>
      <c r="B318" s="12" t="s">
        <v>986</v>
      </c>
      <c r="C318" s="13" t="s">
        <v>1647</v>
      </c>
      <c r="E318" s="12" t="str">
        <f>IF(NodesData[[#This Row],[Class Disambiguation]]="",NodesData[[#This Row],[Common Name]],NodesData[[#This Row],[Common Name]]&amp;" ("&amp;NodesData[[#This Row],[Class Disambiguation]]&amp;")")</f>
        <v>Orphan Role</v>
      </c>
      <c r="G318" s="12" t="s">
        <v>987</v>
      </c>
      <c r="H318" s="19" t="str" cm="1">
        <f t="array" ref="H318">"n"&amp;SUBSTITUTE(CreateGuidString(),"-","_")</f>
        <v>nB2FB2FF0_E021_41E6_8DCB_C43ED92B4A88</v>
      </c>
    </row>
    <row r="319" spans="1:8" x14ac:dyDescent="0.35">
      <c r="A3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Routes / APIs</v>
      </c>
      <c r="B319" s="12" t="s">
        <v>988</v>
      </c>
      <c r="C319" s="13" t="s">
        <v>1648</v>
      </c>
      <c r="E319" s="12" t="str">
        <f>IF(NodesData[[#This Row],[Class Disambiguation]]="",NodesData[[#This Row],[Common Name]],NodesData[[#This Row],[Common Name]]&amp;" ("&amp;NodesData[[#This Row],[Class Disambiguation]]&amp;")")</f>
        <v>Orphan Routes / APIs</v>
      </c>
      <c r="G319" s="12" t="s">
        <v>989</v>
      </c>
      <c r="H319" s="19" t="str" cm="1">
        <f t="array" ref="H319">"n"&amp;SUBSTITUTE(CreateGuidString(),"-","_")</f>
        <v>n9A7BE678_9398_40AF_A9F6_E8C902A8A6C6</v>
      </c>
    </row>
    <row r="320" spans="1:8" x14ac:dyDescent="0.35">
      <c r="A3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System</v>
      </c>
      <c r="B320" s="12" t="s">
        <v>990</v>
      </c>
      <c r="C320" s="13" t="s">
        <v>1649</v>
      </c>
      <c r="E320" s="12" t="str">
        <f>IF(NodesData[[#This Row],[Class Disambiguation]]="",NodesData[[#This Row],[Common Name]],NodesData[[#This Row],[Common Name]]&amp;" ("&amp;NodesData[[#This Row],[Class Disambiguation]]&amp;")")</f>
        <v>Orphan System</v>
      </c>
      <c r="G320" s="12" t="s">
        <v>991</v>
      </c>
      <c r="H320" s="19" t="str" cm="1">
        <f t="array" ref="H320">"n"&amp;SUBSTITUTE(CreateGuidString(),"-","_")</f>
        <v>nA5DBDB5D_177E_4234_BF24_DFF78E6F1641</v>
      </c>
    </row>
    <row r="321" spans="1:8" x14ac:dyDescent="0.35">
      <c r="A3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Out-of-band Authentication</v>
      </c>
      <c r="B321" s="12" t="s">
        <v>1299</v>
      </c>
      <c r="C321" s="13" t="s">
        <v>1652</v>
      </c>
      <c r="E321" s="12" t="str">
        <f>IF(NodesData[[#This Row],[Class Disambiguation]]="",NodesData[[#This Row],[Common Name]],NodesData[[#This Row],[Common Name]]&amp;" ("&amp;NodesData[[#This Row],[Class Disambiguation]]&amp;")")</f>
        <v>Out-of-band Authentication</v>
      </c>
      <c r="H321" s="19" t="str" cm="1">
        <f t="array" ref="H321">"n"&amp;SUBSTITUTE(CreateGuidString(),"-","_")</f>
        <v>n35E33E4B_E47D_455E_8F95_5FE820D5DA76</v>
      </c>
    </row>
    <row r="322" spans="1:8" x14ac:dyDescent="0.35">
      <c r="A3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Outsider</v>
      </c>
      <c r="B322" s="12" t="s">
        <v>339</v>
      </c>
      <c r="C322" s="13" t="s">
        <v>1651</v>
      </c>
      <c r="E322" s="12" t="str">
        <f>IF(NodesData[[#This Row],[Class Disambiguation]]="",NodesData[[#This Row],[Common Name]],NodesData[[#This Row],[Common Name]]&amp;" ("&amp;NodesData[[#This Row],[Class Disambiguation]]&amp;")")</f>
        <v>Outsider</v>
      </c>
      <c r="G322" s="12" t="s">
        <v>992</v>
      </c>
      <c r="H322" s="19" t="str" cm="1">
        <f t="array" ref="H322">"n"&amp;SUBSTITUTE(CreateGuidString(),"-","_")</f>
        <v>nBEA20D56_4BB7_463E_B734_D8708E21B83A</v>
      </c>
    </row>
    <row r="323" spans="1:8" x14ac:dyDescent="0.35">
      <c r="A3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Palmprint Recognition Authentication</v>
      </c>
      <c r="B323" s="12" t="s">
        <v>1314</v>
      </c>
      <c r="C323" s="13" t="s">
        <v>1654</v>
      </c>
      <c r="E323" s="12" t="str">
        <f>IF(NodesData[[#This Row],[Class Disambiguation]]="",NodesData[[#This Row],[Common Name]],NodesData[[#This Row],[Common Name]]&amp;" ("&amp;NodesData[[#This Row],[Class Disambiguation]]&amp;")")</f>
        <v>Palmprint Recognition Authentication</v>
      </c>
      <c r="H323" s="19" t="str" cm="1">
        <f t="array" ref="H323">"n"&amp;SUBSTITUTE(CreateGuidString(),"-","_")</f>
        <v>nEC1D673B_9A32_4841_ABCE_700551AC3822</v>
      </c>
    </row>
    <row r="324" spans="1:8" x14ac:dyDescent="0.35">
      <c r="A3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Passive Impersonation Attack</v>
      </c>
      <c r="B324" s="12" t="s">
        <v>993</v>
      </c>
      <c r="C324" s="13" t="s">
        <v>1653</v>
      </c>
      <c r="E324" s="12" t="str">
        <f>IF(NodesData[[#This Row],[Class Disambiguation]]="",NodesData[[#This Row],[Common Name]],NodesData[[#This Row],[Common Name]]&amp;" ("&amp;NodesData[[#This Row],[Class Disambiguation]]&amp;")")</f>
        <v>Passive Impersonation Attack</v>
      </c>
      <c r="G324" s="12" t="s">
        <v>994</v>
      </c>
      <c r="H324" s="19" t="str" cm="1">
        <f t="array" ref="H324">"n"&amp;SUBSTITUTE(CreateGuidString(),"-","_")</f>
        <v>n76F7601A_158E_4738_8D0D_60304A233FFB</v>
      </c>
    </row>
    <row r="325" spans="1:8" x14ac:dyDescent="0.35">
      <c r="A3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Passphrase Authentication</v>
      </c>
      <c r="B325" s="12" t="s">
        <v>1328</v>
      </c>
      <c r="C325" s="13" t="s">
        <v>1655</v>
      </c>
      <c r="E325" s="12" t="str">
        <f>IF(NodesData[[#This Row],[Class Disambiguation]]="",NodesData[[#This Row],[Common Name]],NodesData[[#This Row],[Common Name]]&amp;" ("&amp;NodesData[[#This Row],[Class Disambiguation]]&amp;")")</f>
        <v>Passphrase Authentication</v>
      </c>
      <c r="H325" s="19" t="str" cm="1">
        <f t="array" ref="H325">"n"&amp;SUBSTITUTE(CreateGuidString(),"-","_")</f>
        <v>n0B19DE4A_1338_4D3A_AE2B_CD67936FB987</v>
      </c>
    </row>
    <row r="326" spans="1:8" x14ac:dyDescent="0.35">
      <c r="A3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 Guessing Attack</v>
      </c>
      <c r="B326" s="12" t="s">
        <v>343</v>
      </c>
      <c r="C326" s="13" t="s">
        <v>1656</v>
      </c>
      <c r="E326" s="12" t="str">
        <f>IF(NodesData[[#This Row],[Class Disambiguation]]="",NodesData[[#This Row],[Common Name]],NodesData[[#This Row],[Common Name]]&amp;" ("&amp;NodesData[[#This Row],[Class Disambiguation]]&amp;")")</f>
        <v>Password Guessing Attack</v>
      </c>
      <c r="G326" s="12" t="s">
        <v>995</v>
      </c>
      <c r="H326" s="19" t="str" cm="1">
        <f t="array" ref="H326">"n"&amp;SUBSTITUTE(CreateGuidString(),"-","_")</f>
        <v>n86C39A04_0A3E_4A3C_BBC4_70F6CBD75FA4</v>
      </c>
    </row>
    <row r="327" spans="1:8" x14ac:dyDescent="0.35">
      <c r="A3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 Rotation</v>
      </c>
      <c r="B327" s="12" t="s">
        <v>996</v>
      </c>
      <c r="C327" s="13" t="s">
        <v>1657</v>
      </c>
      <c r="E327" s="12" t="str">
        <f>IF(NodesData[[#This Row],[Class Disambiguation]]="",NodesData[[#This Row],[Common Name]],NodesData[[#This Row],[Common Name]]&amp;" ("&amp;NodesData[[#This Row],[Class Disambiguation]]&amp;")")</f>
        <v>Password Rotation</v>
      </c>
      <c r="G327" s="12" t="s">
        <v>997</v>
      </c>
      <c r="H327" s="19" t="str" cm="1">
        <f t="array" ref="H327">"n"&amp;SUBSTITUTE(CreateGuidString(),"-","_")</f>
        <v>nF3126B60_DCC6_4A82_8F5E_288BEB071DAC</v>
      </c>
    </row>
    <row r="328" spans="1:8" x14ac:dyDescent="0.35">
      <c r="A3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 Spraying Attack</v>
      </c>
      <c r="B328" s="12" t="s">
        <v>3</v>
      </c>
      <c r="C328" s="13" t="s">
        <v>1658</v>
      </c>
      <c r="E328" s="12" t="str">
        <f>IF(NodesData[[#This Row],[Class Disambiguation]]="",NodesData[[#This Row],[Common Name]],NodesData[[#This Row],[Common Name]]&amp;" ("&amp;NodesData[[#This Row],[Class Disambiguation]]&amp;")")</f>
        <v>Password Spraying Attack</v>
      </c>
      <c r="G328" s="12" t="s">
        <v>998</v>
      </c>
      <c r="H328" s="19" t="str" cm="1">
        <f t="array" ref="H328">"n"&amp;SUBSTITUTE(CreateGuidString(),"-","_")</f>
        <v>nA2BAE3C2_99AF_4230_AFB6_85AB3819975F</v>
      </c>
    </row>
    <row r="329" spans="1:8" x14ac:dyDescent="0.35">
      <c r="A3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Password-Based Authentication</v>
      </c>
      <c r="B329" s="12" t="s">
        <v>1324</v>
      </c>
      <c r="C329" s="13" t="s">
        <v>1659</v>
      </c>
      <c r="E329" s="12" t="str">
        <f>IF(NodesData[[#This Row],[Class Disambiguation]]="",NodesData[[#This Row],[Common Name]],NodesData[[#This Row],[Common Name]]&amp;" ("&amp;NodesData[[#This Row],[Class Disambiguation]]&amp;")")</f>
        <v>Password-Based Authentication</v>
      </c>
      <c r="H329" s="19" t="str" cm="1">
        <f t="array" ref="H329">"n"&amp;SUBSTITUTE(CreateGuidString(),"-","_")</f>
        <v>n2B6F0C5B_DCB8_4149_BCDB_712700EC1742</v>
      </c>
    </row>
    <row r="330" spans="1:8" x14ac:dyDescent="0.35">
      <c r="A3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Passwordless Authentication</v>
      </c>
      <c r="B330" s="12" t="s">
        <v>344</v>
      </c>
      <c r="C330" s="13" t="s">
        <v>1663</v>
      </c>
      <c r="E330" s="12" t="str">
        <f>IF(NodesData[[#This Row],[Class Disambiguation]]="",NodesData[[#This Row],[Common Name]],NodesData[[#This Row],[Common Name]]&amp;" ("&amp;NodesData[[#This Row],[Class Disambiguation]]&amp;")")</f>
        <v>Passwordless Authentication</v>
      </c>
      <c r="G330" s="12" t="s">
        <v>999</v>
      </c>
      <c r="H330" s="19" t="str" cm="1">
        <f t="array" ref="H330">"n"&amp;SUBSTITUTE(CreateGuidString(),"-","_")</f>
        <v>nD0097DAB_A295_4AE7_8E8D_DA9F81D59801</v>
      </c>
    </row>
    <row r="331" spans="1:8" x14ac:dyDescent="0.35">
      <c r="A3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People</v>
      </c>
      <c r="B331" s="12" t="s">
        <v>1268</v>
      </c>
      <c r="C331" s="13" t="s">
        <v>1660</v>
      </c>
      <c r="E331" s="12" t="str">
        <f>IF(NodesData[[#This Row],[Class Disambiguation]]="",NodesData[[#This Row],[Common Name]],NodesData[[#This Row],[Common Name]]&amp;" ("&amp;NodesData[[#This Row],[Class Disambiguation]]&amp;")")</f>
        <v>People</v>
      </c>
      <c r="G331" s="12" t="s">
        <v>1000</v>
      </c>
      <c r="H331" s="19" t="str" cm="1">
        <f t="array" ref="H331">"n"&amp;SUBSTITUTE(CreateGuidString(),"-","_")</f>
        <v>n7CC0699E_1E28_4C9E_9595_865D3D1F8278</v>
      </c>
    </row>
    <row r="332" spans="1:8" x14ac:dyDescent="0.35">
      <c r="A3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Permission</v>
      </c>
      <c r="B332" s="12" t="s">
        <v>1001</v>
      </c>
      <c r="C332" s="13" t="s">
        <v>1661</v>
      </c>
      <c r="E332" s="12" t="str">
        <f>IF(NodesData[[#This Row],[Class Disambiguation]]="",NodesData[[#This Row],[Common Name]],NodesData[[#This Row],[Common Name]]&amp;" ("&amp;NodesData[[#This Row],[Class Disambiguation]]&amp;")")</f>
        <v>Permission</v>
      </c>
      <c r="G332" s="12" t="s">
        <v>1002</v>
      </c>
      <c r="H332" s="19" t="str" cm="1">
        <f t="array" ref="H332">"n"&amp;SUBSTITUTE(CreateGuidString(),"-","_")</f>
        <v>n5BE2C356_F8F3_48B9_BFB6_26A68C2C9F6C</v>
      </c>
    </row>
    <row r="333" spans="1:8" x14ac:dyDescent="0.35">
      <c r="A3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Persona</v>
      </c>
      <c r="B333" s="12" t="s">
        <v>350</v>
      </c>
      <c r="C333" s="13" t="s">
        <v>1662</v>
      </c>
      <c r="E333" s="12" t="str">
        <f>IF(NodesData[[#This Row],[Class Disambiguation]]="",NodesData[[#This Row],[Common Name]],NodesData[[#This Row],[Common Name]]&amp;" ("&amp;NodesData[[#This Row],[Class Disambiguation]]&amp;")")</f>
        <v>Persona</v>
      </c>
      <c r="G333" s="12" t="s">
        <v>1003</v>
      </c>
      <c r="H333" s="19" t="str" cm="1">
        <f t="array" ref="H333">"n"&amp;SUBSTITUTE(CreateGuidString(),"-","_")</f>
        <v>n3061EA49_92BA_404E_BB26_C456E6B0E38C</v>
      </c>
    </row>
    <row r="334" spans="1:8" x14ac:dyDescent="0.35">
      <c r="A3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Personal Identification Number Authentication</v>
      </c>
      <c r="B334" s="12" t="s">
        <v>1327</v>
      </c>
      <c r="C334" s="13" t="s">
        <v>1684</v>
      </c>
      <c r="E334" s="12" t="str">
        <f>IF(NodesData[[#This Row],[Class Disambiguation]]="",NodesData[[#This Row],[Common Name]],NodesData[[#This Row],[Common Name]]&amp;" ("&amp;NodesData[[#This Row],[Class Disambiguation]]&amp;")")</f>
        <v>Personal Identification Number Authentication</v>
      </c>
      <c r="H334" s="19" t="str" cm="1">
        <f t="array" ref="H334">"n"&amp;SUBSTITUTE(CreateGuidString(),"-","_")</f>
        <v>n2FC111C5_B1C7_4C62_B4BE_A9D064B3B9E4</v>
      </c>
    </row>
    <row r="335" spans="1:8" x14ac:dyDescent="0.35">
      <c r="A3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Physical Token OTP</v>
      </c>
      <c r="B335" s="12" t="s">
        <v>1319</v>
      </c>
      <c r="C335" s="13" t="s">
        <v>1664</v>
      </c>
      <c r="E335" s="12" t="str">
        <f>IF(NodesData[[#This Row],[Class Disambiguation]]="",NodesData[[#This Row],[Common Name]],NodesData[[#This Row],[Common Name]]&amp;" ("&amp;NodesData[[#This Row],[Class Disambiguation]]&amp;")")</f>
        <v>Physical Token OTP</v>
      </c>
      <c r="H335" s="19" t="str" cm="1">
        <f t="array" ref="H335">"n"&amp;SUBSTITUTE(CreateGuidString(),"-","_")</f>
        <v>n489353BC_DC26_4452_B08A_CE002D71DFE9</v>
      </c>
    </row>
    <row r="336" spans="1:8" x14ac:dyDescent="0.35">
      <c r="A3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PMS (Acronym)</v>
      </c>
      <c r="B336" s="12" t="s">
        <v>1004</v>
      </c>
      <c r="C336" s="13" t="s">
        <v>1665</v>
      </c>
      <c r="D336" s="12" t="s">
        <v>1270</v>
      </c>
      <c r="E336" s="12" t="str">
        <f>IF(NodesData[[#This Row],[Class Disambiguation]]="",NodesData[[#This Row],[Common Name]],NodesData[[#This Row],[Common Name]]&amp;" ("&amp;NodesData[[#This Row],[Class Disambiguation]]&amp;")")</f>
        <v>PMS (Acronym)</v>
      </c>
      <c r="G336" s="12" t="s">
        <v>1005</v>
      </c>
      <c r="H336" s="19" t="str" cm="1">
        <f t="array" ref="H336">"n"&amp;SUBSTITUTE(CreateGuidString(),"-","_")</f>
        <v>n938B2FC1_89C8_447E_9854_0BE87DFCDAC8</v>
      </c>
    </row>
    <row r="337" spans="1:8" x14ac:dyDescent="0.35">
      <c r="A3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</v>
      </c>
      <c r="B337" s="12" t="s">
        <v>1006</v>
      </c>
      <c r="C337" s="13" t="s">
        <v>1666</v>
      </c>
      <c r="E337" s="12" t="str">
        <f>IF(NodesData[[#This Row],[Class Disambiguation]]="",NodesData[[#This Row],[Common Name]],NodesData[[#This Row],[Common Name]]&amp;" ("&amp;NodesData[[#This Row],[Class Disambiguation]]&amp;")")</f>
        <v>Policy</v>
      </c>
      <c r="G337" s="12" t="s">
        <v>1007</v>
      </c>
      <c r="H337" s="19" t="str" cm="1">
        <f t="array" ref="H337">"n"&amp;SUBSTITUTE(CreateGuidString(),"-","_")</f>
        <v>nE76FE074_572F_429F_8562_CD419E4C8826</v>
      </c>
    </row>
    <row r="338" spans="1:8" x14ac:dyDescent="0.35">
      <c r="A3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Analysis</v>
      </c>
      <c r="B338" s="12" t="s">
        <v>1008</v>
      </c>
      <c r="C338" s="13" t="s">
        <v>1667</v>
      </c>
      <c r="E338" s="12" t="str">
        <f>IF(NodesData[[#This Row],[Class Disambiguation]]="",NodesData[[#This Row],[Common Name]],NodesData[[#This Row],[Common Name]]&amp;" ("&amp;NodesData[[#This Row],[Class Disambiguation]]&amp;")")</f>
        <v>Policy Analysis</v>
      </c>
      <c r="G338" s="12" t="s">
        <v>1009</v>
      </c>
      <c r="H338" s="19" t="str" cm="1">
        <f t="array" ref="H338">"n"&amp;SUBSTITUTE(CreateGuidString(),"-","_")</f>
        <v>nF70AD468_D0D4_4FC3_930D_83AE1C1DA059</v>
      </c>
    </row>
    <row r="339" spans="1:8" x14ac:dyDescent="0.35">
      <c r="A3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Centralization</v>
      </c>
      <c r="B339" s="12" t="s">
        <v>1010</v>
      </c>
      <c r="C339" s="13" t="s">
        <v>1668</v>
      </c>
      <c r="E339" s="12" t="str">
        <f>IF(NodesData[[#This Row],[Class Disambiguation]]="",NodesData[[#This Row],[Common Name]],NodesData[[#This Row],[Common Name]]&amp;" ("&amp;NodesData[[#This Row],[Class Disambiguation]]&amp;")")</f>
        <v>Policy Centralization</v>
      </c>
      <c r="G339" s="12" t="s">
        <v>1011</v>
      </c>
      <c r="H339" s="19" t="str" cm="1">
        <f t="array" ref="H339">"n"&amp;SUBSTITUTE(CreateGuidString(),"-","_")</f>
        <v>n2FC97A67_04E0_4744_9FA6_683AC08AFD87</v>
      </c>
    </row>
    <row r="340" spans="1:8" x14ac:dyDescent="0.35">
      <c r="A3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Interoperability</v>
      </c>
      <c r="B340" s="12" t="s">
        <v>1012</v>
      </c>
      <c r="C340" s="13" t="s">
        <v>1669</v>
      </c>
      <c r="E340" s="12" t="str">
        <f>IF(NodesData[[#This Row],[Class Disambiguation]]="",NodesData[[#This Row],[Common Name]],NodesData[[#This Row],[Common Name]]&amp;" ("&amp;NodesData[[#This Row],[Class Disambiguation]]&amp;")")</f>
        <v>Policy Interoperability</v>
      </c>
      <c r="G340" s="12" t="s">
        <v>1013</v>
      </c>
      <c r="H340" s="19" t="str" cm="1">
        <f t="array" ref="H340">"n"&amp;SUBSTITUTE(CreateGuidString(),"-","_")</f>
        <v>nC957C60D_B110_46CF_9F0F_E1E3708A5738</v>
      </c>
    </row>
    <row r="341" spans="1:8" x14ac:dyDescent="0.35">
      <c r="A3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Manageability</v>
      </c>
      <c r="B341" s="12" t="s">
        <v>1014</v>
      </c>
      <c r="C341" s="13" t="s">
        <v>1670</v>
      </c>
      <c r="E341" s="12" t="str">
        <f>IF(NodesData[[#This Row],[Class Disambiguation]]="",NodesData[[#This Row],[Common Name]],NodesData[[#This Row],[Common Name]]&amp;" ("&amp;NodesData[[#This Row],[Class Disambiguation]]&amp;")")</f>
        <v>Policy Manageability</v>
      </c>
      <c r="G341" s="12" t="s">
        <v>1015</v>
      </c>
      <c r="H341" s="19" t="str" cm="1">
        <f t="array" ref="H341">"n"&amp;SUBSTITUTE(CreateGuidString(),"-","_")</f>
        <v>n3374A45C_D657_43B4_83E5_F5CF8D8BC9BA</v>
      </c>
    </row>
    <row r="342" spans="1:8" x14ac:dyDescent="0.35">
      <c r="A3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Mining</v>
      </c>
      <c r="B342" s="12" t="s">
        <v>1016</v>
      </c>
      <c r="C342" s="13" t="s">
        <v>1671</v>
      </c>
      <c r="E342" s="12" t="str">
        <f>IF(NodesData[[#This Row],[Class Disambiguation]]="",NodesData[[#This Row],[Common Name]],NodesData[[#This Row],[Common Name]]&amp;" ("&amp;NodesData[[#This Row],[Class Disambiguation]]&amp;")")</f>
        <v>Policy Mining</v>
      </c>
      <c r="G342" s="12" t="s">
        <v>1017</v>
      </c>
      <c r="H342" s="19" t="str" cm="1">
        <f t="array" ref="H342">"n"&amp;SUBSTITUTE(CreateGuidString(),"-","_")</f>
        <v>nA1351A74_6CF2_4D00_B260_EBDD36891CAB</v>
      </c>
    </row>
    <row r="343" spans="1:8" x14ac:dyDescent="0.35">
      <c r="A3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Modeling</v>
      </c>
      <c r="B343" s="12" t="s">
        <v>1018</v>
      </c>
      <c r="C343" s="13" t="s">
        <v>1672</v>
      </c>
      <c r="E343" s="12" t="str">
        <f>IF(NodesData[[#This Row],[Class Disambiguation]]="",NodesData[[#This Row],[Common Name]],NodesData[[#This Row],[Common Name]]&amp;" ("&amp;NodesData[[#This Row],[Class Disambiguation]]&amp;")")</f>
        <v>Policy Modeling</v>
      </c>
      <c r="G343" s="12" t="s">
        <v>1019</v>
      </c>
      <c r="H343" s="19" t="str" cm="1">
        <f t="array" ref="H343">"n"&amp;SUBSTITUTE(CreateGuidString(),"-","_")</f>
        <v>nC575C343_CF3C_4960_8D3B_073E6713C891</v>
      </c>
    </row>
    <row r="344" spans="1:8" x14ac:dyDescent="0.35">
      <c r="A3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Possession Factor</v>
      </c>
      <c r="B344" s="12" t="s">
        <v>1295</v>
      </c>
      <c r="C344" s="13" t="s">
        <v>1673</v>
      </c>
      <c r="E344" s="12" t="str">
        <f>IF(NodesData[[#This Row],[Class Disambiguation]]="",NodesData[[#This Row],[Common Name]],NodesData[[#This Row],[Common Name]]&amp;" ("&amp;NodesData[[#This Row],[Class Disambiguation]]&amp;")")</f>
        <v>Possession Factor</v>
      </c>
      <c r="H344" s="19" t="str" cm="1">
        <f t="array" ref="H344">"n"&amp;SUBSTITUTE(CreateGuidString(),"-","_")</f>
        <v>n44F7CFDB_06F3_4F60_9F79_564B50C1B714</v>
      </c>
    </row>
    <row r="345" spans="1:8" x14ac:dyDescent="0.35">
      <c r="A3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Pre-approval</v>
      </c>
      <c r="B345" s="12" t="s">
        <v>1020</v>
      </c>
      <c r="C345" s="13" t="s">
        <v>1674</v>
      </c>
      <c r="E345" s="12" t="str">
        <f>IF(NodesData[[#This Row],[Class Disambiguation]]="",NodesData[[#This Row],[Common Name]],NodesData[[#This Row],[Common Name]]&amp;" ("&amp;NodesData[[#This Row],[Class Disambiguation]]&amp;")")</f>
        <v>Pre-approval</v>
      </c>
      <c r="G345" s="12" t="s">
        <v>1021</v>
      </c>
      <c r="H345" s="19" t="str" cm="1">
        <f t="array" ref="H345">"n"&amp;SUBSTITUTE(CreateGuidString(),"-","_")</f>
        <v>n67C26181_2E46_4783_AE5F_E649D546D64F</v>
      </c>
    </row>
    <row r="346" spans="1:8" x14ac:dyDescent="0.35">
      <c r="A3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Principal</v>
      </c>
      <c r="B346" s="12" t="s">
        <v>1022</v>
      </c>
      <c r="C346" s="13" t="s">
        <v>1675</v>
      </c>
      <c r="E346" s="12" t="str">
        <f>IF(NodesData[[#This Row],[Class Disambiguation]]="",NodesData[[#This Row],[Common Name]],NodesData[[#This Row],[Common Name]]&amp;" ("&amp;NodesData[[#This Row],[Class Disambiguation]]&amp;")")</f>
        <v>Principal</v>
      </c>
      <c r="G346" s="12" t="s">
        <v>1023</v>
      </c>
      <c r="H346" s="19" t="str" cm="1">
        <f t="array" ref="H346">"n"&amp;SUBSTITUTE(CreateGuidString(),"-","_")</f>
        <v>n4928549D_3FCA_4372_A3AC_ECCA7DB701B6</v>
      </c>
    </row>
    <row r="347" spans="1:8" x14ac:dyDescent="0.35">
      <c r="A3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Private Key Loss</v>
      </c>
      <c r="B347" s="12" t="s">
        <v>364</v>
      </c>
      <c r="C347" s="13" t="s">
        <v>1676</v>
      </c>
      <c r="E347" s="12" t="str">
        <f>IF(NodesData[[#This Row],[Class Disambiguation]]="",NodesData[[#This Row],[Common Name]],NodesData[[#This Row],[Common Name]]&amp;" ("&amp;NodesData[[#This Row],[Class Disambiguation]]&amp;")")</f>
        <v>Private Key Loss</v>
      </c>
      <c r="G347" s="12" t="s">
        <v>1024</v>
      </c>
      <c r="H347" s="19" t="str" cm="1">
        <f t="array" ref="H347">"n"&amp;SUBSTITUTE(CreateGuidString(),"-","_")</f>
        <v>nCD0961FC_102A_44DD_A75D_39AC7123D7CA</v>
      </c>
    </row>
    <row r="348" spans="1:8" x14ac:dyDescent="0.35">
      <c r="A3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</v>
      </c>
      <c r="B348" s="12" t="s">
        <v>1025</v>
      </c>
      <c r="C348" s="13" t="s">
        <v>1677</v>
      </c>
      <c r="E348" s="12" t="str">
        <f>IF(NodesData[[#This Row],[Class Disambiguation]]="",NodesData[[#This Row],[Common Name]],NodesData[[#This Row],[Common Name]]&amp;" ("&amp;NodesData[[#This Row],[Class Disambiguation]]&amp;")")</f>
        <v>Privilege</v>
      </c>
      <c r="G348" s="12" t="s">
        <v>1026</v>
      </c>
      <c r="H348" s="19" t="str" cm="1">
        <f t="array" ref="H348">"n"&amp;SUBSTITUTE(CreateGuidString(),"-","_")</f>
        <v>nD8FF08AC_5166_4E44_801A_19C347B9F900</v>
      </c>
    </row>
    <row r="349" spans="1:8" x14ac:dyDescent="0.35">
      <c r="A3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 Abuse</v>
      </c>
      <c r="B349" s="12" t="s">
        <v>366</v>
      </c>
      <c r="C349" s="13" t="s">
        <v>1678</v>
      </c>
      <c r="E349" s="12" t="str">
        <f>IF(NodesData[[#This Row],[Class Disambiguation]]="",NodesData[[#This Row],[Common Name]],NodesData[[#This Row],[Common Name]]&amp;" ("&amp;NodesData[[#This Row],[Class Disambiguation]]&amp;")")</f>
        <v>Privilege Abuse</v>
      </c>
      <c r="G349" s="12" t="s">
        <v>1027</v>
      </c>
      <c r="H349" s="19" t="str" cm="1">
        <f t="array" ref="H349">"n"&amp;SUBSTITUTE(CreateGuidString(),"-","_")</f>
        <v>nCF616767_041A_45C8_9ED5_9D923CEABFF9</v>
      </c>
    </row>
    <row r="350" spans="1:8" x14ac:dyDescent="0.35">
      <c r="A3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 Chaining</v>
      </c>
      <c r="B350" s="12" t="s">
        <v>1028</v>
      </c>
      <c r="C350" s="13" t="s">
        <v>1679</v>
      </c>
      <c r="E350" s="12" t="str">
        <f>IF(NodesData[[#This Row],[Class Disambiguation]]="",NodesData[[#This Row],[Common Name]],NodesData[[#This Row],[Common Name]]&amp;" ("&amp;NodesData[[#This Row],[Class Disambiguation]]&amp;")")</f>
        <v>Privilege Chaining</v>
      </c>
      <c r="G350" s="12" t="s">
        <v>1029</v>
      </c>
      <c r="H350" s="19" t="str" cm="1">
        <f t="array" ref="H350">"n"&amp;SUBSTITUTE(CreateGuidString(),"-","_")</f>
        <v>nCF2EE2AE_3531_443E_98B1_1A5C8A8B17EA</v>
      </c>
    </row>
    <row r="351" spans="1:8" x14ac:dyDescent="0.35">
      <c r="A3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 Escalation</v>
      </c>
      <c r="B351" s="12" t="s">
        <v>1030</v>
      </c>
      <c r="C351" s="13" t="s">
        <v>1680</v>
      </c>
      <c r="E351" s="12" t="str">
        <f>IF(NodesData[[#This Row],[Class Disambiguation]]="",NodesData[[#This Row],[Common Name]],NodesData[[#This Row],[Common Name]]&amp;" ("&amp;NodesData[[#This Row],[Class Disambiguation]]&amp;")")</f>
        <v>Privilege Escalation</v>
      </c>
      <c r="G351" s="12" t="s">
        <v>1031</v>
      </c>
      <c r="H351" s="19" t="str" cm="1">
        <f t="array" ref="H351">"n"&amp;SUBSTITUTE(CreateGuidString(),"-","_")</f>
        <v>n945070B2_8AD8_4727_8ED9_4C7FE7F1CA60</v>
      </c>
    </row>
    <row r="352" spans="1:8" x14ac:dyDescent="0.35">
      <c r="A3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Privileged Identity</v>
      </c>
      <c r="B352" s="12" t="s">
        <v>1032</v>
      </c>
      <c r="C352" s="13" t="s">
        <v>1681</v>
      </c>
      <c r="E352" s="12" t="str">
        <f>IF(NodesData[[#This Row],[Class Disambiguation]]="",NodesData[[#This Row],[Common Name]],NodesData[[#This Row],[Common Name]]&amp;" ("&amp;NodesData[[#This Row],[Class Disambiguation]]&amp;")")</f>
        <v>Privileged Identity</v>
      </c>
      <c r="G352" s="12" t="s">
        <v>1033</v>
      </c>
      <c r="H352" s="19" t="str" cm="1">
        <f t="array" ref="H352">"n"&amp;SUBSTITUTE(CreateGuidString(),"-","_")</f>
        <v>n966D6DD2_1D27_488F_B4CF_8C0FD5E5E5A8</v>
      </c>
    </row>
    <row r="353" spans="1:8" x14ac:dyDescent="0.35">
      <c r="A3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Privileged Insider</v>
      </c>
      <c r="B353" s="12" t="s">
        <v>369</v>
      </c>
      <c r="C353" s="13" t="s">
        <v>1682</v>
      </c>
      <c r="E353" s="12" t="str">
        <f>IF(NodesData[[#This Row],[Class Disambiguation]]="",NodesData[[#This Row],[Common Name]],NodesData[[#This Row],[Common Name]]&amp;" ("&amp;NodesData[[#This Row],[Class Disambiguation]]&amp;")")</f>
        <v>Privileged Insider</v>
      </c>
      <c r="G353" s="12" t="s">
        <v>1034</v>
      </c>
      <c r="H353" s="19" t="str" cm="1">
        <f t="array" ref="H353">"n"&amp;SUBSTITUTE(CreateGuidString(),"-","_")</f>
        <v>nA4DD6437_C456_477E_9CE7_E3F29B69A493</v>
      </c>
    </row>
    <row r="354" spans="1:8" x14ac:dyDescent="0.35">
      <c r="A3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Provisioning</v>
      </c>
      <c r="B354" s="12" t="s">
        <v>1035</v>
      </c>
      <c r="C354" s="13" t="s">
        <v>1683</v>
      </c>
      <c r="E354" s="12" t="str">
        <f>IF(NodesData[[#This Row],[Class Disambiguation]]="",NodesData[[#This Row],[Common Name]],NodesData[[#This Row],[Common Name]]&amp;" ("&amp;NodesData[[#This Row],[Class Disambiguation]]&amp;")")</f>
        <v>Provisioning</v>
      </c>
      <c r="G354" s="12" t="s">
        <v>1036</v>
      </c>
      <c r="H354" s="19" t="str" cm="1">
        <f t="array" ref="H354">"n"&amp;SUBSTITUTE(CreateGuidString(),"-","_")</f>
        <v>n3AF15D61_ACBA_4822_BBC5_B7D247DBB293</v>
      </c>
    </row>
    <row r="355" spans="1:8" x14ac:dyDescent="0.35">
      <c r="A3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QR Code Authentication</v>
      </c>
      <c r="B355" s="12" t="s">
        <v>376</v>
      </c>
      <c r="C355" s="13" t="s">
        <v>1689</v>
      </c>
      <c r="E355" s="12" t="str">
        <f>IF(NodesData[[#This Row],[Class Disambiguation]]="",NodesData[[#This Row],[Common Name]],NodesData[[#This Row],[Common Name]]&amp;" ("&amp;NodesData[[#This Row],[Class Disambiguation]]&amp;")")</f>
        <v>QR Code Authentication</v>
      </c>
      <c r="G355" s="12" t="s">
        <v>1037</v>
      </c>
      <c r="H355" s="19" t="str" cm="1">
        <f t="array" ref="H355">"n"&amp;SUBSTITUTE(CreateGuidString(),"-","_")</f>
        <v>n2D3F8769_7305_4836_9294_5C13CE9C11E7</v>
      </c>
    </row>
    <row r="356" spans="1:8" x14ac:dyDescent="0.35">
      <c r="A3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Qualitative Identity</v>
      </c>
      <c r="B356" s="12" t="s">
        <v>378</v>
      </c>
      <c r="C356" s="13" t="s">
        <v>1685</v>
      </c>
      <c r="E356" s="12" t="str">
        <f>IF(NodesData[[#This Row],[Class Disambiguation]]="",NodesData[[#This Row],[Common Name]],NodesData[[#This Row],[Common Name]]&amp;" ("&amp;NodesData[[#This Row],[Class Disambiguation]]&amp;")")</f>
        <v>Qualitative Identity</v>
      </c>
      <c r="G356" s="12" t="s">
        <v>1038</v>
      </c>
      <c r="H356" s="19" t="str" cm="1">
        <f t="array" ref="H356">"n"&amp;SUBSTITUTE(CreateGuidString(),"-","_")</f>
        <v>nE9F74088_7223_4A90_B237_E34BB28D9985</v>
      </c>
    </row>
    <row r="357" spans="1:8" x14ac:dyDescent="0.35">
      <c r="A3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RA (Acronym)</v>
      </c>
      <c r="B357" s="12" t="s">
        <v>1039</v>
      </c>
      <c r="C357" s="13" t="s">
        <v>1686</v>
      </c>
      <c r="D357" s="12" t="s">
        <v>1270</v>
      </c>
      <c r="E357" s="12" t="str">
        <f>IF(NodesData[[#This Row],[Class Disambiguation]]="",NodesData[[#This Row],[Common Name]],NodesData[[#This Row],[Common Name]]&amp;" ("&amp;NodesData[[#This Row],[Class Disambiguation]]&amp;")")</f>
        <v>RA (Acronym)</v>
      </c>
      <c r="G357" s="12" t="s">
        <v>1040</v>
      </c>
      <c r="H357" s="19" t="str" cm="1">
        <f t="array" ref="H357">"n"&amp;SUBSTITUTE(CreateGuidString(),"-","_")</f>
        <v>nD8A4ABDD_317F_451F_9E76_8B4AFAEA24C0</v>
      </c>
    </row>
    <row r="358" spans="1:8" x14ac:dyDescent="0.35">
      <c r="A3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Ratio Scale</v>
      </c>
      <c r="B358" s="12" t="s">
        <v>1041</v>
      </c>
      <c r="C358" s="13" t="s">
        <v>1687</v>
      </c>
      <c r="E358" s="12" t="str">
        <f>IF(NodesData[[#This Row],[Class Disambiguation]]="",NodesData[[#This Row],[Common Name]],NodesData[[#This Row],[Common Name]]&amp;" ("&amp;NodesData[[#This Row],[Class Disambiguation]]&amp;")")</f>
        <v>Ratio Scale</v>
      </c>
      <c r="G358" s="12" t="s">
        <v>1042</v>
      </c>
      <c r="H358" s="19" t="str" cm="1">
        <f t="array" ref="H358">"n"&amp;SUBSTITUTE(CreateGuidString(),"-","_")</f>
        <v>n993FBE76_632D_460A_89D2_103DA0193C41</v>
      </c>
    </row>
    <row r="359" spans="1:8" x14ac:dyDescent="0.35">
      <c r="A3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RBA (Acronym)</v>
      </c>
      <c r="B359" s="12" t="s">
        <v>1043</v>
      </c>
      <c r="C359" s="13" t="s">
        <v>1688</v>
      </c>
      <c r="D359" s="12" t="s">
        <v>1270</v>
      </c>
      <c r="E359" s="12" t="str">
        <f>IF(NodesData[[#This Row],[Class Disambiguation]]="",NodesData[[#This Row],[Common Name]],NodesData[[#This Row],[Common Name]]&amp;" ("&amp;NodesData[[#This Row],[Class Disambiguation]]&amp;")")</f>
        <v>RBA (Acronym)</v>
      </c>
      <c r="G359" s="12" t="s">
        <v>1044</v>
      </c>
      <c r="H359" s="19" t="str" cm="1">
        <f t="array" ref="H359">"n"&amp;SUBSTITUTE(CreateGuidString(),"-","_")</f>
        <v>n44898AC7_5E4E_464E_953E_9556E4EDC1C6</v>
      </c>
    </row>
    <row r="360" spans="1:8" x14ac:dyDescent="0.35">
      <c r="A3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Re-authentication</v>
      </c>
      <c r="B360" s="12" t="s">
        <v>1045</v>
      </c>
      <c r="C360" s="13" t="s">
        <v>1692</v>
      </c>
      <c r="E360" s="12" t="str">
        <f>IF(NodesData[[#This Row],[Class Disambiguation]]="",NodesData[[#This Row],[Common Name]],NodesData[[#This Row],[Common Name]]&amp;" ("&amp;NodesData[[#This Row],[Class Disambiguation]]&amp;")")</f>
        <v>Re-authentication</v>
      </c>
      <c r="G360" s="12" t="s">
        <v>1046</v>
      </c>
      <c r="H360" s="19" t="str" cm="1">
        <f t="array" ref="H360">"n"&amp;SUBSTITUTE(CreateGuidString(),"-","_")</f>
        <v>nBDD582EE_DB5F_4848_AA26_2F2D709799F0</v>
      </c>
    </row>
    <row r="361" spans="1:8" x14ac:dyDescent="0.35">
      <c r="A3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Recertification</v>
      </c>
      <c r="B361" s="12" t="s">
        <v>1047</v>
      </c>
      <c r="C361" s="13" t="s">
        <v>1690</v>
      </c>
      <c r="E361" s="12" t="str">
        <f>IF(NodesData[[#This Row],[Class Disambiguation]]="",NodesData[[#This Row],[Common Name]],NodesData[[#This Row],[Common Name]]&amp;" ("&amp;NodesData[[#This Row],[Class Disambiguation]]&amp;")")</f>
        <v>Recertification</v>
      </c>
      <c r="G361" s="12" t="s">
        <v>1048</v>
      </c>
      <c r="H361" s="19" t="str" cm="1">
        <f t="array" ref="H361">"n"&amp;SUBSTITUTE(CreateGuidString(),"-","_")</f>
        <v>n19863054_0F97_402C_A0F3_AE203FC5D8A8</v>
      </c>
    </row>
    <row r="362" spans="1:8" x14ac:dyDescent="0.35">
      <c r="A3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Reference Monitor</v>
      </c>
      <c r="B362" s="12" t="s">
        <v>1049</v>
      </c>
      <c r="C362" s="13" t="s">
        <v>1691</v>
      </c>
      <c r="E362" s="12" t="str">
        <f>IF(NodesData[[#This Row],[Class Disambiguation]]="",NodesData[[#This Row],[Common Name]],NodesData[[#This Row],[Common Name]]&amp;" ("&amp;NodesData[[#This Row],[Class Disambiguation]]&amp;")")</f>
        <v>Reference Monitor</v>
      </c>
      <c r="G362" s="12" t="s">
        <v>1050</v>
      </c>
      <c r="H362" s="19" t="str" cm="1">
        <f t="array" ref="H362">"n"&amp;SUBSTITUTE(CreateGuidString(),"-","_")</f>
        <v>n4D9E7340_9178_4386_9128_2BFE2240C0A8</v>
      </c>
    </row>
    <row r="363" spans="1:8" x14ac:dyDescent="0.35">
      <c r="A3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Registration Authority</v>
      </c>
      <c r="B363" s="12" t="s">
        <v>1051</v>
      </c>
      <c r="C363" s="13" t="s">
        <v>1701</v>
      </c>
      <c r="E363" s="12" t="str">
        <f>IF(NodesData[[#This Row],[Class Disambiguation]]="",NodesData[[#This Row],[Common Name]],NodesData[[#This Row],[Common Name]]&amp;" ("&amp;NodesData[[#This Row],[Class Disambiguation]]&amp;")")</f>
        <v>Registration Authority</v>
      </c>
      <c r="G363" s="12" t="s">
        <v>1052</v>
      </c>
      <c r="H363" s="19" t="str" cm="1">
        <f t="array" ref="H363">"n"&amp;SUBSTITUTE(CreateGuidString(),"-","_")</f>
        <v>nE8A332F0_DA62_4755_85E8_ABA86E45234B</v>
      </c>
    </row>
    <row r="364" spans="1:8" x14ac:dyDescent="0.35">
      <c r="A3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Rejoiner</v>
      </c>
      <c r="B364" s="12" t="s">
        <v>1053</v>
      </c>
      <c r="C364" s="13" t="s">
        <v>1693</v>
      </c>
      <c r="E364" s="12" t="str">
        <f>IF(NodesData[[#This Row],[Class Disambiguation]]="",NodesData[[#This Row],[Common Name]],NodesData[[#This Row],[Common Name]]&amp;" ("&amp;NodesData[[#This Row],[Class Disambiguation]]&amp;")")</f>
        <v>Rejoiner</v>
      </c>
      <c r="G364" s="12" t="s">
        <v>1054</v>
      </c>
      <c r="H364" s="19" t="str" cm="1">
        <f t="array" ref="H364">"n"&amp;SUBSTITUTE(CreateGuidString(),"-","_")</f>
        <v>n36F8D830_728F_4AE8_93DE_606F08A44470</v>
      </c>
    </row>
    <row r="365" spans="1:8" x14ac:dyDescent="0.35">
      <c r="A3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Relying Party</v>
      </c>
      <c r="B365" s="12" t="s">
        <v>1055</v>
      </c>
      <c r="C365" s="13" t="s">
        <v>1694</v>
      </c>
      <c r="E365" s="12" t="str">
        <f>IF(NodesData[[#This Row],[Class Disambiguation]]="",NodesData[[#This Row],[Common Name]],NodesData[[#This Row],[Common Name]]&amp;" ("&amp;NodesData[[#This Row],[Class Disambiguation]]&amp;")")</f>
        <v>Relying Party</v>
      </c>
      <c r="G365" s="12" t="s">
        <v>1056</v>
      </c>
      <c r="H365" s="19" t="str" cm="1">
        <f t="array" ref="H365">"n"&amp;SUBSTITUTE(CreateGuidString(),"-","_")</f>
        <v>nAF9B8973_6877_4422_8D7E_B5F4E5BD8F1A</v>
      </c>
    </row>
    <row r="366" spans="1:8" x14ac:dyDescent="0.35">
      <c r="A3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Remote Identity Proofing</v>
      </c>
      <c r="B366" s="12" t="s">
        <v>1057</v>
      </c>
      <c r="C366" s="13" t="s">
        <v>1695</v>
      </c>
      <c r="E366" s="12" t="str">
        <f>IF(NodesData[[#This Row],[Class Disambiguation]]="",NodesData[[#This Row],[Common Name]],NodesData[[#This Row],[Common Name]]&amp;" ("&amp;NodesData[[#This Row],[Class Disambiguation]]&amp;")")</f>
        <v>Remote Identity Proofing</v>
      </c>
      <c r="G366" s="12" t="s">
        <v>1058</v>
      </c>
      <c r="H366" s="19" t="str" cm="1">
        <f t="array" ref="H366">"n"&amp;SUBSTITUTE(CreateGuidString(),"-","_")</f>
        <v>nD2D99354_0AD0_47C5_AE7A_723817B6375F</v>
      </c>
    </row>
    <row r="367" spans="1:8" x14ac:dyDescent="0.35">
      <c r="A3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Repeatability</v>
      </c>
      <c r="B367" s="12" t="s">
        <v>1059</v>
      </c>
      <c r="C367" s="13" t="s">
        <v>1696</v>
      </c>
      <c r="E367" s="12" t="str">
        <f>IF(NodesData[[#This Row],[Class Disambiguation]]="",NodesData[[#This Row],[Common Name]],NodesData[[#This Row],[Common Name]]&amp;" ("&amp;NodesData[[#This Row],[Class Disambiguation]]&amp;")")</f>
        <v>Repeatability</v>
      </c>
      <c r="G367" s="12" t="s">
        <v>1060</v>
      </c>
      <c r="H367" s="19" t="str" cm="1">
        <f t="array" ref="H367">"n"&amp;SUBSTITUTE(CreateGuidString(),"-","_")</f>
        <v>nA904C265_A212_48DA_BA6B_3946A5E86917</v>
      </c>
    </row>
    <row r="368" spans="1:8" x14ac:dyDescent="0.35">
      <c r="A3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Representation Target</v>
      </c>
      <c r="B368" s="12" t="s">
        <v>1061</v>
      </c>
      <c r="C368" s="13" t="s">
        <v>1697</v>
      </c>
      <c r="E368" s="12" t="str">
        <f>IF(NodesData[[#This Row],[Class Disambiguation]]="",NodesData[[#This Row],[Common Name]],NodesData[[#This Row],[Common Name]]&amp;" ("&amp;NodesData[[#This Row],[Class Disambiguation]]&amp;")")</f>
        <v>Representation Target</v>
      </c>
      <c r="G368" s="12" t="s">
        <v>1062</v>
      </c>
      <c r="H368" s="19" t="str" cm="1">
        <f t="array" ref="H368">"n"&amp;SUBSTITUTE(CreateGuidString(),"-","_")</f>
        <v>nACEA40CA_5560_45B3_AF5E_637FECCC40CE</v>
      </c>
    </row>
    <row r="369" spans="1:8" x14ac:dyDescent="0.35">
      <c r="A3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Reproducibility</v>
      </c>
      <c r="B369" s="12" t="s">
        <v>1063</v>
      </c>
      <c r="C369" s="13" t="s">
        <v>1698</v>
      </c>
      <c r="E369" s="12" t="str">
        <f>IF(NodesData[[#This Row],[Class Disambiguation]]="",NodesData[[#This Row],[Common Name]],NodesData[[#This Row],[Common Name]]&amp;" ("&amp;NodesData[[#This Row],[Class Disambiguation]]&amp;")")</f>
        <v>Reproducibility</v>
      </c>
      <c r="G369" s="12" t="s">
        <v>1064</v>
      </c>
      <c r="H369" s="19" t="str" cm="1">
        <f t="array" ref="H369">"n"&amp;SUBSTITUTE(CreateGuidString(),"-","_")</f>
        <v>n21738FC1_2210_41DF_BC5E_9BA896DC0141</v>
      </c>
    </row>
    <row r="370" spans="1:8" x14ac:dyDescent="0.35">
      <c r="A3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Revocation</v>
      </c>
      <c r="B370" s="12" t="s">
        <v>1065</v>
      </c>
      <c r="C370" s="13" t="s">
        <v>1699</v>
      </c>
      <c r="E370" s="12" t="str">
        <f>IF(NodesData[[#This Row],[Class Disambiguation]]="",NodesData[[#This Row],[Common Name]],NodesData[[#This Row],[Common Name]]&amp;" ("&amp;NodesData[[#This Row],[Class Disambiguation]]&amp;")")</f>
        <v>Revocation</v>
      </c>
      <c r="G370" s="12" t="s">
        <v>1066</v>
      </c>
      <c r="H370" s="19" t="str" cm="1">
        <f t="array" ref="H370">"n"&amp;SUBSTITUTE(CreateGuidString(),"-","_")</f>
        <v>n431B3068_E580_4043_A601_A1EAB378679F</v>
      </c>
    </row>
    <row r="371" spans="1:8" x14ac:dyDescent="0.35">
      <c r="A3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RIDP (Acronym)</v>
      </c>
      <c r="B371" s="12" t="s">
        <v>1067</v>
      </c>
      <c r="C371" s="13" t="s">
        <v>1700</v>
      </c>
      <c r="D371" s="12" t="s">
        <v>1270</v>
      </c>
      <c r="E371" s="12" t="str">
        <f>IF(NodesData[[#This Row],[Class Disambiguation]]="",NodesData[[#This Row],[Common Name]],NodesData[[#This Row],[Common Name]]&amp;" ("&amp;NodesData[[#This Row],[Class Disambiguation]]&amp;")")</f>
        <v>RIDP (Acronym)</v>
      </c>
      <c r="G371" s="12" t="s">
        <v>1068</v>
      </c>
      <c r="H371" s="19" t="str" cm="1">
        <f t="array" ref="H371">"n"&amp;SUBSTITUTE(CreateGuidString(),"-","_")</f>
        <v>nA6333F7E_EDA2_45AB_9EE5_DDD27A30F4DF</v>
      </c>
    </row>
    <row r="372" spans="1:8" x14ac:dyDescent="0.35">
      <c r="A3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Risk-Based Authentication</v>
      </c>
      <c r="B372" s="12" t="s">
        <v>1069</v>
      </c>
      <c r="C372" s="13" t="s">
        <v>1728</v>
      </c>
      <c r="E372" s="12" t="str">
        <f>IF(NodesData[[#This Row],[Class Disambiguation]]="",NodesData[[#This Row],[Common Name]],NodesData[[#This Row],[Common Name]]&amp;" ("&amp;NodesData[[#This Row],[Class Disambiguation]]&amp;")")</f>
        <v>Risk-Based Authentication</v>
      </c>
      <c r="G372" s="12" t="s">
        <v>1070</v>
      </c>
      <c r="H372" s="19" t="str" cm="1">
        <f t="array" ref="H372">"n"&amp;SUBSTITUTE(CreateGuidString(),"-","_")</f>
        <v>n5D4AE802_8561_456D_9E3D_0DF0733F3854</v>
      </c>
    </row>
    <row r="373" spans="1:8" x14ac:dyDescent="0.35">
      <c r="A3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</v>
      </c>
      <c r="B373" s="12" t="s">
        <v>1071</v>
      </c>
      <c r="C373" s="13" t="s">
        <v>1702</v>
      </c>
      <c r="E373" s="12" t="str">
        <f>IF(NodesData[[#This Row],[Class Disambiguation]]="",NodesData[[#This Row],[Common Name]],NodesData[[#This Row],[Common Name]]&amp;" ("&amp;NodesData[[#This Row],[Class Disambiguation]]&amp;")")</f>
        <v>Role</v>
      </c>
      <c r="G373" s="12" t="s">
        <v>1072</v>
      </c>
      <c r="H373" s="19" t="str" cm="1">
        <f t="array" ref="H373">"n"&amp;SUBSTITUTE(CreateGuidString(),"-","_")</f>
        <v>n2A613D93_898C_4687_AC4B_8D56A857D18A</v>
      </c>
    </row>
    <row r="374" spans="1:8" x14ac:dyDescent="0.35">
      <c r="A3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Bloating</v>
      </c>
      <c r="B374" s="12" t="s">
        <v>1073</v>
      </c>
      <c r="C374" s="13" t="s">
        <v>1704</v>
      </c>
      <c r="E374" s="12" t="str">
        <f>IF(NodesData[[#This Row],[Class Disambiguation]]="",NodesData[[#This Row],[Common Name]],NodesData[[#This Row],[Common Name]]&amp;" ("&amp;NodesData[[#This Row],[Class Disambiguation]]&amp;")")</f>
        <v>Role Bloating</v>
      </c>
      <c r="G374" s="12" t="s">
        <v>1074</v>
      </c>
      <c r="H374" s="19" t="str" cm="1">
        <f t="array" ref="H374">"n"&amp;SUBSTITUTE(CreateGuidString(),"-","_")</f>
        <v>n188697EC_ED01_4786_AEF9_E450A8C11161</v>
      </c>
    </row>
    <row r="375" spans="1:8" x14ac:dyDescent="0.35">
      <c r="A3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Capacity</v>
      </c>
      <c r="B375" s="12" t="s">
        <v>1075</v>
      </c>
      <c r="C375" s="13" t="s">
        <v>1705</v>
      </c>
      <c r="E375" s="12" t="str">
        <f>IF(NodesData[[#This Row],[Class Disambiguation]]="",NodesData[[#This Row],[Common Name]],NodesData[[#This Row],[Common Name]]&amp;" ("&amp;NodesData[[#This Row],[Class Disambiguation]]&amp;")")</f>
        <v>Role Capacity</v>
      </c>
      <c r="G375" s="12" t="s">
        <v>1076</v>
      </c>
      <c r="H375" s="19" t="str" cm="1">
        <f t="array" ref="H375">"n"&amp;SUBSTITUTE(CreateGuidString(),"-","_")</f>
        <v>n6BB26775_DCFC_4038_82D0_6C98E177BC82</v>
      </c>
    </row>
    <row r="376" spans="1:8" x14ac:dyDescent="0.35">
      <c r="A3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Cardinality</v>
      </c>
      <c r="B376" s="12" t="s">
        <v>1077</v>
      </c>
      <c r="C376" s="13" t="s">
        <v>1706</v>
      </c>
      <c r="E376" s="12" t="str">
        <f>IF(NodesData[[#This Row],[Class Disambiguation]]="",NodesData[[#This Row],[Common Name]],NodesData[[#This Row],[Common Name]]&amp;" ("&amp;NodesData[[#This Row],[Class Disambiguation]]&amp;")")</f>
        <v>Role Cardinality</v>
      </c>
      <c r="G376" s="12" t="s">
        <v>1078</v>
      </c>
      <c r="H376" s="19" t="str" cm="1">
        <f t="array" ref="H376">"n"&amp;SUBSTITUTE(CreateGuidString(),"-","_")</f>
        <v>n58B185F8_B8F3_4C7B_9D9F_0E1A21A68B17</v>
      </c>
    </row>
    <row r="377" spans="1:8" x14ac:dyDescent="0.35">
      <c r="A3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Cardinality Activation Control</v>
      </c>
      <c r="B377" s="12" t="s">
        <v>1079</v>
      </c>
      <c r="C377" s="13" t="s">
        <v>1707</v>
      </c>
      <c r="E377" s="12" t="str">
        <f>IF(NodesData[[#This Row],[Class Disambiguation]]="",NodesData[[#This Row],[Common Name]],NodesData[[#This Row],[Common Name]]&amp;" ("&amp;NodesData[[#This Row],[Class Disambiguation]]&amp;")")</f>
        <v>Role Cardinality Activation Control</v>
      </c>
      <c r="G377" s="12" t="s">
        <v>1080</v>
      </c>
      <c r="H377" s="19" t="str" cm="1">
        <f t="array" ref="H377">"n"&amp;SUBSTITUTE(CreateGuidString(),"-","_")</f>
        <v>nCC66D83D_18BC_4D6D_8EF1_17BAB95CE7FF</v>
      </c>
    </row>
    <row r="378" spans="1:8" x14ac:dyDescent="0.35">
      <c r="A3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Explosion</v>
      </c>
      <c r="B378" s="12" t="s">
        <v>1081</v>
      </c>
      <c r="C378" s="13" t="s">
        <v>1708</v>
      </c>
      <c r="E378" s="12" t="str">
        <f>IF(NodesData[[#This Row],[Class Disambiguation]]="",NodesData[[#This Row],[Common Name]],NodesData[[#This Row],[Common Name]]&amp;" ("&amp;NodesData[[#This Row],[Class Disambiguation]]&amp;")")</f>
        <v>Role Explosion</v>
      </c>
      <c r="G378" s="12" t="s">
        <v>1082</v>
      </c>
      <c r="H378" s="19" t="str" cm="1">
        <f t="array" ref="H378">"n"&amp;SUBSTITUTE(CreateGuidString(),"-","_")</f>
        <v>nFDE84E6E_F2B9_481E_9F88_862B5B3804A9</v>
      </c>
    </row>
    <row r="379" spans="1:8" x14ac:dyDescent="0.35">
      <c r="A3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Management</v>
      </c>
      <c r="B379" s="12" t="s">
        <v>1083</v>
      </c>
      <c r="C379" s="13" t="s">
        <v>1709</v>
      </c>
      <c r="E379" s="12" t="str">
        <f>IF(NodesData[[#This Row],[Class Disambiguation]]="",NodesData[[#This Row],[Common Name]],NodesData[[#This Row],[Common Name]]&amp;" ("&amp;NodesData[[#This Row],[Class Disambiguation]]&amp;")")</f>
        <v>Role Management</v>
      </c>
      <c r="G379" s="12" t="s">
        <v>1084</v>
      </c>
      <c r="H379" s="19" t="str" cm="1">
        <f t="array" ref="H379">"n"&amp;SUBSTITUTE(CreateGuidString(),"-","_")</f>
        <v>nBA498220_4623_4FAE_8828_62E1FD020E3B</v>
      </c>
    </row>
    <row r="380" spans="1:8" x14ac:dyDescent="0.35">
      <c r="A3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Role-Based Access Control</v>
      </c>
      <c r="B380" s="12" t="s">
        <v>1085</v>
      </c>
      <c r="C380" s="13" t="s">
        <v>1703</v>
      </c>
      <c r="E380" s="12" t="str">
        <f>IF(NodesData[[#This Row],[Class Disambiguation]]="",NodesData[[#This Row],[Common Name]],NodesData[[#This Row],[Common Name]]&amp;" ("&amp;NodesData[[#This Row],[Class Disambiguation]]&amp;")")</f>
        <v>Role-Based Access Control</v>
      </c>
      <c r="G380" s="12" t="s">
        <v>1086</v>
      </c>
      <c r="H380" s="19" t="str" cm="1">
        <f t="array" ref="H380">"n"&amp;SUBSTITUTE(CreateGuidString(),"-","_")</f>
        <v>n70EB1376_6243_4E13_82D3_373CC8CFDE6C</v>
      </c>
    </row>
    <row r="381" spans="1:8" x14ac:dyDescent="0.35">
      <c r="A3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RP (Acronym)</v>
      </c>
      <c r="B381" s="12" t="s">
        <v>1087</v>
      </c>
      <c r="C381" s="13" t="s">
        <v>1710</v>
      </c>
      <c r="D381" s="12" t="s">
        <v>1270</v>
      </c>
      <c r="E381" s="12" t="str">
        <f>IF(NodesData[[#This Row],[Class Disambiguation]]="",NodesData[[#This Row],[Common Name]],NodesData[[#This Row],[Common Name]]&amp;" ("&amp;NodesData[[#This Row],[Class Disambiguation]]&amp;")")</f>
        <v>RP (Acronym)</v>
      </c>
      <c r="G381" s="12" t="s">
        <v>1088</v>
      </c>
      <c r="H381" s="19" t="str" cm="1">
        <f t="array" ref="H381">"n"&amp;SUBSTITUTE(CreateGuidString(),"-","_")</f>
        <v>n31B1E93D_9FA4_484B_BC73_A35ECDD58873</v>
      </c>
    </row>
    <row r="382" spans="1:8" x14ac:dyDescent="0.35">
      <c r="A3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SAM Database</v>
      </c>
      <c r="B382" s="12" t="s">
        <v>407</v>
      </c>
      <c r="C382" s="13" t="s">
        <v>1711</v>
      </c>
      <c r="E382" s="12" t="str">
        <f>IF(NodesData[[#This Row],[Class Disambiguation]]="",NodesData[[#This Row],[Common Name]],NodesData[[#This Row],[Common Name]]&amp;" ("&amp;NodesData[[#This Row],[Class Disambiguation]]&amp;")")</f>
        <v>SAM Database</v>
      </c>
      <c r="G382" s="12" t="s">
        <v>1089</v>
      </c>
      <c r="H382" s="19" t="str" cm="1">
        <f t="array" ref="H382">"n"&amp;SUBSTITUTE(CreateGuidString(),"-","_")</f>
        <v>n29A526FD_2A54_4128_9D11_30F08A92DC09</v>
      </c>
    </row>
    <row r="383" spans="1:8" x14ac:dyDescent="0.35">
      <c r="A3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SAML (Acronym)</v>
      </c>
      <c r="B383" s="12" t="s">
        <v>408</v>
      </c>
      <c r="C383" s="13" t="s">
        <v>1712</v>
      </c>
      <c r="D383" s="12" t="s">
        <v>1270</v>
      </c>
      <c r="E383" s="12" t="str">
        <f>IF(NodesData[[#This Row],[Class Disambiguation]]="",NodesData[[#This Row],[Common Name]],NodesData[[#This Row],[Common Name]]&amp;" ("&amp;NodesData[[#This Row],[Class Disambiguation]]&amp;")")</f>
        <v>SAML (Acronym)</v>
      </c>
      <c r="G383" s="12" t="s">
        <v>1090</v>
      </c>
      <c r="H383" s="19" t="str" cm="1">
        <f t="array" ref="H383">"n"&amp;SUBSTITUTE(CreateGuidString(),"-","_")</f>
        <v>n01B1FD04_FF8E_499C_AA49_C4D6BA36C3F5</v>
      </c>
    </row>
    <row r="384" spans="1:8" x14ac:dyDescent="0.35">
      <c r="A3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SCIM 1.0 (Acronym)</v>
      </c>
      <c r="B384" s="12" t="s">
        <v>1093</v>
      </c>
      <c r="C384" s="13" t="s">
        <v>1714</v>
      </c>
      <c r="D384" s="12" t="s">
        <v>1270</v>
      </c>
      <c r="E384" s="12" t="str">
        <f>IF(NodesData[[#This Row],[Class Disambiguation]]="",NodesData[[#This Row],[Common Name]],NodesData[[#This Row],[Common Name]]&amp;" ("&amp;NodesData[[#This Row],[Class Disambiguation]]&amp;")")</f>
        <v>SCIM 1.0 (Acronym)</v>
      </c>
      <c r="G384" s="12" t="s">
        <v>1094</v>
      </c>
      <c r="H384" s="19" t="str" cm="1">
        <f t="array" ref="H384">"n"&amp;SUBSTITUTE(CreateGuidString(),"-","_")</f>
        <v>n24D061C3_3F8E_45E5_A514_C81ECDA4CA1F</v>
      </c>
    </row>
    <row r="385" spans="1:8" x14ac:dyDescent="0.35">
      <c r="A3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SCIM 1.1 (Acronym)</v>
      </c>
      <c r="B385" s="12" t="s">
        <v>1095</v>
      </c>
      <c r="C385" s="13" t="s">
        <v>1715</v>
      </c>
      <c r="D385" s="12" t="s">
        <v>1270</v>
      </c>
      <c r="E385" s="12" t="str">
        <f>IF(NodesData[[#This Row],[Class Disambiguation]]="",NodesData[[#This Row],[Common Name]],NodesData[[#This Row],[Common Name]]&amp;" ("&amp;NodesData[[#This Row],[Class Disambiguation]]&amp;")")</f>
        <v>SCIM 1.1 (Acronym)</v>
      </c>
      <c r="G385" s="12" t="s">
        <v>1096</v>
      </c>
      <c r="H385" s="19" t="str" cm="1">
        <f t="array" ref="H385">"n"&amp;SUBSTITUTE(CreateGuidString(),"-","_")</f>
        <v>n5E6C5020_3440_477E_B3D8_D3C50FD714FF</v>
      </c>
    </row>
    <row r="386" spans="1:8" x14ac:dyDescent="0.35">
      <c r="A3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SCIM 2.0 (Acronym)</v>
      </c>
      <c r="B386" s="12" t="s">
        <v>1097</v>
      </c>
      <c r="C386" s="13" t="s">
        <v>1716</v>
      </c>
      <c r="D386" s="12" t="s">
        <v>1270</v>
      </c>
      <c r="E386" s="12" t="str">
        <f>IF(NodesData[[#This Row],[Class Disambiguation]]="",NodesData[[#This Row],[Common Name]],NodesData[[#This Row],[Common Name]]&amp;" ("&amp;NodesData[[#This Row],[Class Disambiguation]]&amp;")")</f>
        <v>SCIM 2.0 (Acronym)</v>
      </c>
      <c r="G386" s="12" t="s">
        <v>1098</v>
      </c>
      <c r="H386" s="19" t="str" cm="1">
        <f t="array" ref="H386">"n"&amp;SUBSTITUTE(CreateGuidString(),"-","_")</f>
        <v>nF8B31B60_0527_4C1E_98C2_BAF0E24F0BBF</v>
      </c>
    </row>
    <row r="387" spans="1:8" x14ac:dyDescent="0.35">
      <c r="A3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SCIM (Acronym)</v>
      </c>
      <c r="B387" s="12" t="s">
        <v>1091</v>
      </c>
      <c r="C387" s="13" t="s">
        <v>1713</v>
      </c>
      <c r="D387" s="12" t="s">
        <v>1270</v>
      </c>
      <c r="E387" s="12" t="str">
        <f>IF(NodesData[[#This Row],[Class Disambiguation]]="",NodesData[[#This Row],[Common Name]],NodesData[[#This Row],[Common Name]]&amp;" ("&amp;NodesData[[#This Row],[Class Disambiguation]]&amp;")")</f>
        <v>SCIM (Acronym)</v>
      </c>
      <c r="G387" s="12" t="s">
        <v>1092</v>
      </c>
      <c r="H387" s="19" t="str" cm="1">
        <f t="array" ref="H387">"n"&amp;SUBSTITUTE(CreateGuidString(),"-","_")</f>
        <v>nF247BC81_03E9_4884_B09A_80433AC0D7D0</v>
      </c>
    </row>
    <row r="388" spans="1:8" x14ac:dyDescent="0.35">
      <c r="A3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Scoping</v>
      </c>
      <c r="B388" s="12" t="s">
        <v>1099</v>
      </c>
      <c r="C388" s="13" t="s">
        <v>1717</v>
      </c>
      <c r="E388" s="12" t="str">
        <f>IF(NodesData[[#This Row],[Class Disambiguation]]="",NodesData[[#This Row],[Common Name]],NodesData[[#This Row],[Common Name]]&amp;" ("&amp;NodesData[[#This Row],[Class Disambiguation]]&amp;")")</f>
        <v>Scoping</v>
      </c>
      <c r="G388" s="12" t="s">
        <v>1100</v>
      </c>
      <c r="H388" s="19" t="str" cm="1">
        <f t="array" ref="H388">"n"&amp;SUBSTITUTE(CreateGuidString(),"-","_")</f>
        <v>n2ACE2EEC_320C_49B6_B42D_C86BBA38F281</v>
      </c>
    </row>
    <row r="389" spans="1:8" x14ac:dyDescent="0.35">
      <c r="A3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SD (Acronym)</v>
      </c>
      <c r="B389" s="12" t="s">
        <v>1101</v>
      </c>
      <c r="C389" s="13" t="s">
        <v>1718</v>
      </c>
      <c r="D389" s="12" t="s">
        <v>1270</v>
      </c>
      <c r="E389" s="12" t="str">
        <f>IF(NodesData[[#This Row],[Class Disambiguation]]="",NodesData[[#This Row],[Common Name]],NodesData[[#This Row],[Common Name]]&amp;" ("&amp;NodesData[[#This Row],[Class Disambiguation]]&amp;")")</f>
        <v>SD (Acronym)</v>
      </c>
      <c r="G389" s="12" t="s">
        <v>1102</v>
      </c>
      <c r="H389" s="19" t="str" cm="1">
        <f t="array" ref="H389">"n"&amp;SUBSTITUTE(CreateGuidString(),"-","_")</f>
        <v>nD7B90576_1599_4DD0_A012_FBE90CE07312</v>
      </c>
    </row>
    <row r="390" spans="1:8" x14ac:dyDescent="0.35">
      <c r="A3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SDP (Acronym)</v>
      </c>
      <c r="B390" s="12" t="s">
        <v>1103</v>
      </c>
      <c r="C390" s="13" t="s">
        <v>1719</v>
      </c>
      <c r="D390" s="12" t="s">
        <v>1270</v>
      </c>
      <c r="E390" s="12" t="str">
        <f>IF(NodesData[[#This Row],[Class Disambiguation]]="",NodesData[[#This Row],[Common Name]],NodesData[[#This Row],[Common Name]]&amp;" ("&amp;NodesData[[#This Row],[Class Disambiguation]]&amp;")")</f>
        <v>SDP (Acronym)</v>
      </c>
      <c r="G390" s="12" t="s">
        <v>1104</v>
      </c>
      <c r="H390" s="19" t="str" cm="1">
        <f t="array" ref="H390">"n"&amp;SUBSTITUTE(CreateGuidString(),"-","_")</f>
        <v>nF4506762_BC6E_441B_9549_6B96D23E3F14</v>
      </c>
    </row>
    <row r="391" spans="1:8" x14ac:dyDescent="0.35">
      <c r="A3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Secure Production Identity Framework for Everyone</v>
      </c>
      <c r="B391" s="12" t="s">
        <v>1105</v>
      </c>
      <c r="C391" s="13" t="s">
        <v>1720</v>
      </c>
      <c r="E391" s="12" t="str">
        <f>IF(NodesData[[#This Row],[Class Disambiguation]]="",NodesData[[#This Row],[Common Name]],NodesData[[#This Row],[Common Name]]&amp;" ("&amp;NodesData[[#This Row],[Class Disambiguation]]&amp;")")</f>
        <v>Secure Production Identity Framework for Everyone</v>
      </c>
      <c r="G391" s="12" t="s">
        <v>1106</v>
      </c>
      <c r="H391" s="19" t="str" cm="1">
        <f t="array" ref="H391">"n"&amp;SUBSTITUTE(CreateGuidString(),"-","_")</f>
        <v>nD002D02D_5E7A_48AC_B043_B96CBE4E62B1</v>
      </c>
    </row>
    <row r="392" spans="1:8" x14ac:dyDescent="0.35">
      <c r="A3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Secure System</v>
      </c>
      <c r="B392" s="12" t="s">
        <v>1107</v>
      </c>
      <c r="C392" s="13" t="s">
        <v>1721</v>
      </c>
      <c r="E392" s="12" t="str">
        <f>IF(NodesData[[#This Row],[Class Disambiguation]]="",NodesData[[#This Row],[Common Name]],NodesData[[#This Row],[Common Name]]&amp;" ("&amp;NodesData[[#This Row],[Class Disambiguation]]&amp;")")</f>
        <v>Secure System</v>
      </c>
      <c r="G392" s="12" t="s">
        <v>1108</v>
      </c>
      <c r="H392" s="19" t="str" cm="1">
        <f t="array" ref="H392">"n"&amp;SUBSTITUTE(CreateGuidString(),"-","_")</f>
        <v>n60FFB18C_3CED_4793_9ED3_1A58D2DCBAA5</v>
      </c>
    </row>
    <row r="393" spans="1:8" x14ac:dyDescent="0.35">
      <c r="A3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</v>
      </c>
      <c r="B393" s="12" t="s">
        <v>1109</v>
      </c>
      <c r="C393" s="13" t="s">
        <v>1722</v>
      </c>
      <c r="E393" s="12" t="str">
        <f>IF(NodesData[[#This Row],[Class Disambiguation]]="",NodesData[[#This Row],[Common Name]],NodesData[[#This Row],[Common Name]]&amp;" ("&amp;NodesData[[#This Row],[Class Disambiguation]]&amp;")")</f>
        <v>Security</v>
      </c>
      <c r="G393" s="12" t="s">
        <v>1110</v>
      </c>
      <c r="H393" s="19" t="str" cm="1">
        <f t="array" ref="H393">"n"&amp;SUBSTITUTE(CreateGuidString(),"-","_")</f>
        <v>nBBD59B6A_9B3E_49D5_A317_970E031370F0</v>
      </c>
    </row>
    <row r="394" spans="1:8" x14ac:dyDescent="0.35">
      <c r="A3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Accounts Manager</v>
      </c>
      <c r="B394" s="12" t="s">
        <v>1111</v>
      </c>
      <c r="C394" s="13" t="s">
        <v>1723</v>
      </c>
      <c r="E394" s="12" t="str">
        <f>IF(NodesData[[#This Row],[Class Disambiguation]]="",NodesData[[#This Row],[Common Name]],NodesData[[#This Row],[Common Name]]&amp;" ("&amp;NodesData[[#This Row],[Class Disambiguation]]&amp;")")</f>
        <v>Security Accounts Manager</v>
      </c>
      <c r="G394" s="12" t="s">
        <v>1112</v>
      </c>
      <c r="H394" s="19" t="str" cm="1">
        <f t="array" ref="H394">"n"&amp;SUBSTITUTE(CreateGuidString(),"-","_")</f>
        <v>n5526B05C_B2ED_46A4_80F9_898CA0D46C26</v>
      </c>
    </row>
    <row r="395" spans="1:8" x14ac:dyDescent="0.35">
      <c r="A3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Assertion Markup Language</v>
      </c>
      <c r="B395" s="12" t="s">
        <v>421</v>
      </c>
      <c r="C395" s="13" t="s">
        <v>1724</v>
      </c>
      <c r="E395" s="12" t="str">
        <f>IF(NodesData[[#This Row],[Class Disambiguation]]="",NodesData[[#This Row],[Common Name]],NodesData[[#This Row],[Common Name]]&amp;" ("&amp;NodesData[[#This Row],[Class Disambiguation]]&amp;")")</f>
        <v>Security Assertion Markup Language</v>
      </c>
      <c r="G395" s="12" t="s">
        <v>1113</v>
      </c>
      <c r="H395" s="19" t="str" cm="1">
        <f t="array" ref="H395">"n"&amp;SUBSTITUTE(CreateGuidString(),"-","_")</f>
        <v>n836EBCBE_6AB3_48A0_A6C8_A3AAE43F0B90</v>
      </c>
    </row>
    <row r="396" spans="1:8" x14ac:dyDescent="0.35">
      <c r="A3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Clearance Level</v>
      </c>
      <c r="B396" s="12" t="s">
        <v>1114</v>
      </c>
      <c r="C396" s="13" t="s">
        <v>1725</v>
      </c>
      <c r="E396" s="12" t="str">
        <f>IF(NodesData[[#This Row],[Class Disambiguation]]="",NodesData[[#This Row],[Common Name]],NodesData[[#This Row],[Common Name]]&amp;" ("&amp;NodesData[[#This Row],[Class Disambiguation]]&amp;")")</f>
        <v>Security Clearance Level</v>
      </c>
      <c r="G396" s="12" t="s">
        <v>1115</v>
      </c>
      <c r="H396" s="19" t="str" cm="1">
        <f t="array" ref="H396">"n"&amp;SUBSTITUTE(CreateGuidString(),"-","_")</f>
        <v>nD0305364_AD36_4DDB_8FED_FEC9ADB7A4F2</v>
      </c>
    </row>
    <row r="397" spans="1:8" x14ac:dyDescent="0.35">
      <c r="A3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Compartment</v>
      </c>
      <c r="B397" s="12" t="s">
        <v>1116</v>
      </c>
      <c r="C397" s="13" t="s">
        <v>1726</v>
      </c>
      <c r="E397" s="12" t="str">
        <f>IF(NodesData[[#This Row],[Class Disambiguation]]="",NodesData[[#This Row],[Common Name]],NodesData[[#This Row],[Common Name]]&amp;" ("&amp;NodesData[[#This Row],[Class Disambiguation]]&amp;")")</f>
        <v>Security Compartment</v>
      </c>
      <c r="G397" s="12" t="s">
        <v>1117</v>
      </c>
      <c r="H397" s="19" t="str" cm="1">
        <f t="array" ref="H397">"n"&amp;SUBSTITUTE(CreateGuidString(),"-","_")</f>
        <v>n5E0954C2_67F6_40B4_8F6D_E9A82E3DE43E</v>
      </c>
    </row>
    <row r="398" spans="1:8" x14ac:dyDescent="0.35">
      <c r="A3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Label</v>
      </c>
      <c r="B398" s="12" t="s">
        <v>1118</v>
      </c>
      <c r="C398" s="13" t="s">
        <v>1727</v>
      </c>
      <c r="E398" s="12" t="str">
        <f>IF(NodesData[[#This Row],[Class Disambiguation]]="",NodesData[[#This Row],[Common Name]],NodesData[[#This Row],[Common Name]]&amp;" ("&amp;NodesData[[#This Row],[Class Disambiguation]]&amp;")")</f>
        <v>Security Label</v>
      </c>
      <c r="G398" s="12" t="s">
        <v>1119</v>
      </c>
      <c r="H398" s="19" t="str" cm="1">
        <f t="array" ref="H398">"n"&amp;SUBSTITUTE(CreateGuidString(),"-","_")</f>
        <v>n7892757B_EFA3_4160_93C9_6C7F3962ABB8</v>
      </c>
    </row>
    <row r="399" spans="1:8" x14ac:dyDescent="0.35">
      <c r="A3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Question Authentication</v>
      </c>
      <c r="B399" s="12" t="s">
        <v>1329</v>
      </c>
      <c r="C399" s="13" t="s">
        <v>1735</v>
      </c>
      <c r="E399" s="12" t="str">
        <f>IF(NodesData[[#This Row],[Class Disambiguation]]="",NodesData[[#This Row],[Common Name]],NodesData[[#This Row],[Common Name]]&amp;" ("&amp;NodesData[[#This Row],[Class Disambiguation]]&amp;")")</f>
        <v>Security Question Authentication</v>
      </c>
      <c r="H399" s="19" t="str" cm="1">
        <f t="array" ref="H399">"n"&amp;SUBSTITUTE(CreateGuidString(),"-","_")</f>
        <v>n02D8D1CE_2531_46E4_8F48_BA08BCCA0C77</v>
      </c>
    </row>
    <row r="400" spans="1:8" x14ac:dyDescent="0.35">
      <c r="A40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Segregation of Duties</v>
      </c>
      <c r="B400" s="12" t="s">
        <v>1120</v>
      </c>
      <c r="C400" s="13" t="s">
        <v>1729</v>
      </c>
      <c r="E400" s="12" t="str">
        <f>IF(NodesData[[#This Row],[Class Disambiguation]]="",NodesData[[#This Row],[Common Name]],NodesData[[#This Row],[Common Name]]&amp;" ("&amp;NodesData[[#This Row],[Class Disambiguation]]&amp;")")</f>
        <v>Segregation of Duties</v>
      </c>
      <c r="G400" s="12" t="s">
        <v>1121</v>
      </c>
      <c r="H400" s="19" t="str" cm="1">
        <f t="array" ref="H400">"n"&amp;SUBSTITUTE(CreateGuidString(),"-","_")</f>
        <v>nF2C499B3_E57C_4591_BD93_C4E2475CDDA5</v>
      </c>
    </row>
    <row r="401" spans="1:8" x14ac:dyDescent="0.35">
      <c r="A40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Self-Sovereign Identity</v>
      </c>
      <c r="B401" s="12" t="s">
        <v>426</v>
      </c>
      <c r="C401" s="13" t="s">
        <v>1730</v>
      </c>
      <c r="E401" s="12" t="str">
        <f>IF(NodesData[[#This Row],[Class Disambiguation]]="",NodesData[[#This Row],[Common Name]],NodesData[[#This Row],[Common Name]]&amp;" ("&amp;NodesData[[#This Row],[Class Disambiguation]]&amp;")")</f>
        <v>Self-Sovereign Identity</v>
      </c>
      <c r="G401" s="12" t="s">
        <v>1122</v>
      </c>
      <c r="H401" s="19" t="str" cm="1">
        <f t="array" ref="H401">"n"&amp;SUBSTITUTE(CreateGuidString(),"-","_")</f>
        <v>n46A80209_48F1_4AF9_9A1A_99F3B369FCCD</v>
      </c>
    </row>
    <row r="402" spans="1:8" x14ac:dyDescent="0.35">
      <c r="A40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Semantic Differential</v>
      </c>
      <c r="B402" s="12" t="s">
        <v>1123</v>
      </c>
      <c r="C402" s="13" t="s">
        <v>1731</v>
      </c>
      <c r="E402" s="12" t="str">
        <f>IF(NodesData[[#This Row],[Class Disambiguation]]="",NodesData[[#This Row],[Common Name]],NodesData[[#This Row],[Common Name]]&amp;" ("&amp;NodesData[[#This Row],[Class Disambiguation]]&amp;")")</f>
        <v>Semantic Differential</v>
      </c>
      <c r="G402" s="12" t="s">
        <v>1124</v>
      </c>
      <c r="H402" s="19" t="str" cm="1">
        <f t="array" ref="H402">"n"&amp;SUBSTITUTE(CreateGuidString(),"-","_")</f>
        <v>n03FD971C_27CB_4CCA_90AA_39C0DF928A61</v>
      </c>
    </row>
    <row r="403" spans="1:8" x14ac:dyDescent="0.35">
      <c r="A40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Service Account</v>
      </c>
      <c r="B403" s="12" t="s">
        <v>1125</v>
      </c>
      <c r="C403" s="13" t="s">
        <v>1732</v>
      </c>
      <c r="E403" s="12" t="str">
        <f>IF(NodesData[[#This Row],[Class Disambiguation]]="",NodesData[[#This Row],[Common Name]],NodesData[[#This Row],[Common Name]]&amp;" ("&amp;NodesData[[#This Row],[Class Disambiguation]]&amp;")")</f>
        <v>Service Account</v>
      </c>
      <c r="G403" s="12" t="s">
        <v>1126</v>
      </c>
      <c r="H403" s="19" t="str" cm="1">
        <f t="array" ref="H403">"n"&amp;SUBSTITUTE(CreateGuidString(),"-","_")</f>
        <v>nD93D4D54_8206_42F7_B165_750D0B58E52B</v>
      </c>
    </row>
    <row r="404" spans="1:8" x14ac:dyDescent="0.35">
      <c r="A40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Service-Centric Identity Management System</v>
      </c>
      <c r="B404" s="12" t="s">
        <v>429</v>
      </c>
      <c r="C404" s="13" t="s">
        <v>1733</v>
      </c>
      <c r="E404" s="12" t="str">
        <f>IF(NodesData[[#This Row],[Class Disambiguation]]="",NodesData[[#This Row],[Common Name]],NodesData[[#This Row],[Common Name]]&amp;" ("&amp;NodesData[[#This Row],[Class Disambiguation]]&amp;")")</f>
        <v>Service-Centric Identity Management System</v>
      </c>
      <c r="G404" s="12" t="s">
        <v>1127</v>
      </c>
      <c r="H404" s="19" t="str" cm="1">
        <f t="array" ref="H404">"n"&amp;SUBSTITUTE(CreateGuidString(),"-","_")</f>
        <v>nD2E805EF_47E0_495E_8AFD_E40A3456516C</v>
      </c>
    </row>
    <row r="405" spans="1:8" x14ac:dyDescent="0.35">
      <c r="A40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Session</v>
      </c>
      <c r="B405" s="12" t="s">
        <v>1128</v>
      </c>
      <c r="C405" s="13" t="s">
        <v>1734</v>
      </c>
      <c r="E405" s="12" t="str">
        <f>IF(NodesData[[#This Row],[Class Disambiguation]]="",NodesData[[#This Row],[Common Name]],NodesData[[#This Row],[Common Name]]&amp;" ("&amp;NodesData[[#This Row],[Class Disambiguation]]&amp;")")</f>
        <v>Session</v>
      </c>
      <c r="G405" s="12" t="s">
        <v>1129</v>
      </c>
      <c r="H405" s="19" t="str" cm="1">
        <f t="array" ref="H405">"n"&amp;SUBSTITUTE(CreateGuidString(),"-","_")</f>
        <v>n678A2F25_74C9_46EE_9E60_2BA1C9A8A935</v>
      </c>
    </row>
    <row r="406" spans="1:8" x14ac:dyDescent="0.35">
      <c r="A40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Session Authentication</v>
      </c>
      <c r="B406" s="12" t="s">
        <v>1331</v>
      </c>
      <c r="C406" s="13" t="s">
        <v>1740</v>
      </c>
      <c r="E406" s="12" t="str">
        <f>IF(NodesData[[#This Row],[Class Disambiguation]]="",NodesData[[#This Row],[Common Name]],NodesData[[#This Row],[Common Name]]&amp;" ("&amp;NodesData[[#This Row],[Class Disambiguation]]&amp;")")</f>
        <v>Session Authentication</v>
      </c>
      <c r="H406" s="19" t="str" cm="1">
        <f t="array" ref="H406">"n"&amp;SUBSTITUTE(CreateGuidString(),"-","_")</f>
        <v>nA00130FA_B0CC_4C82_A53B_9E8F06A6DF4D</v>
      </c>
    </row>
    <row r="407" spans="1:8" x14ac:dyDescent="0.35">
      <c r="A40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Single Login</v>
      </c>
      <c r="B407" s="12" t="s">
        <v>1130</v>
      </c>
      <c r="C407" s="13" t="s">
        <v>1736</v>
      </c>
      <c r="E407" s="12" t="str">
        <f>IF(NodesData[[#This Row],[Class Disambiguation]]="",NodesData[[#This Row],[Common Name]],NodesData[[#This Row],[Common Name]]&amp;" ("&amp;NodesData[[#This Row],[Class Disambiguation]]&amp;")")</f>
        <v>Single Login</v>
      </c>
      <c r="G407" s="12" t="s">
        <v>1131</v>
      </c>
      <c r="H407" s="19" t="str" cm="1">
        <f t="array" ref="H407">"n"&amp;SUBSTITUTE(CreateGuidString(),"-","_")</f>
        <v>n1702C280_097D_46DF_B499_5D6F1AD5A8E6</v>
      </c>
    </row>
    <row r="408" spans="1:8" x14ac:dyDescent="0.35">
      <c r="A40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Single Sign-On</v>
      </c>
      <c r="B408" s="12" t="s">
        <v>1132</v>
      </c>
      <c r="C408" s="13" t="s">
        <v>1737</v>
      </c>
      <c r="E408" s="12" t="str">
        <f>IF(NodesData[[#This Row],[Class Disambiguation]]="",NodesData[[#This Row],[Common Name]],NodesData[[#This Row],[Common Name]]&amp;" ("&amp;NodesData[[#This Row],[Class Disambiguation]]&amp;")")</f>
        <v>Single Sign-On</v>
      </c>
      <c r="G408" s="12" t="s">
        <v>1133</v>
      </c>
      <c r="H408" s="19" t="str" cm="1">
        <f t="array" ref="H408">"n"&amp;SUBSTITUTE(CreateGuidString(),"-","_")</f>
        <v>nBB779870_4F32_47CF_8720_F4F9EFD4A13B</v>
      </c>
    </row>
    <row r="409" spans="1:8" x14ac:dyDescent="0.35">
      <c r="A40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Single Sign-On</v>
      </c>
      <c r="B409" s="12" t="s">
        <v>1132</v>
      </c>
      <c r="C409" s="13" t="s">
        <v>1738</v>
      </c>
      <c r="E409" s="12" t="str">
        <f>IF(NodesData[[#This Row],[Class Disambiguation]]="",NodesData[[#This Row],[Common Name]],NodesData[[#This Row],[Common Name]]&amp;" ("&amp;NodesData[[#This Row],[Class Disambiguation]]&amp;")")</f>
        <v>Single Sign-On</v>
      </c>
      <c r="H409" s="19" t="str" cm="1">
        <f t="array" ref="H409">"n"&amp;SUBSTITUTE(CreateGuidString(),"-","_")</f>
        <v>nD0A32D5E_784A_4B5D_A1FE_4C06D88EC766</v>
      </c>
    </row>
    <row r="410" spans="1:8" x14ac:dyDescent="0.35">
      <c r="A4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SMS OTP</v>
      </c>
      <c r="B410" s="12" t="s">
        <v>1321</v>
      </c>
      <c r="C410" s="13" t="s">
        <v>1739</v>
      </c>
      <c r="E410" s="12" t="str">
        <f>IF(NodesData[[#This Row],[Class Disambiguation]]="",NodesData[[#This Row],[Common Name]],NodesData[[#This Row],[Common Name]]&amp;" ("&amp;NodesData[[#This Row],[Class Disambiguation]]&amp;")")</f>
        <v>SMS OTP</v>
      </c>
      <c r="H410" s="19" t="str" cm="1">
        <f t="array" ref="H410">"n"&amp;SUBSTITUTE(CreateGuidString(),"-","_")</f>
        <v>n8EDA81DF_19E1_411F_960F_63784F03EB71</v>
      </c>
    </row>
    <row r="411" spans="1:8" x14ac:dyDescent="0.35">
      <c r="A4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Social Authentication</v>
      </c>
      <c r="B411" s="12" t="s">
        <v>433</v>
      </c>
      <c r="C411" s="13" t="s">
        <v>1753</v>
      </c>
      <c r="E411" s="12" t="str">
        <f>IF(NodesData[[#This Row],[Class Disambiguation]]="",NodesData[[#This Row],[Common Name]],NodesData[[#This Row],[Common Name]]&amp;" ("&amp;NodesData[[#This Row],[Class Disambiguation]]&amp;")")</f>
        <v>Social Authentication</v>
      </c>
      <c r="G411" s="12" t="s">
        <v>1134</v>
      </c>
      <c r="H411" s="19" t="str" cm="1">
        <f t="array" ref="H411">"n"&amp;SUBSTITUTE(CreateGuidString(),"-","_")</f>
        <v>n68A4FA36_3BFF_4D01_A538_6FD670204556</v>
      </c>
    </row>
    <row r="412" spans="1:8" x14ac:dyDescent="0.35">
      <c r="A4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Social Honeypot</v>
      </c>
      <c r="B412" s="12" t="s">
        <v>434</v>
      </c>
      <c r="C412" s="13" t="s">
        <v>1741</v>
      </c>
      <c r="E412" s="12" t="str">
        <f>IF(NodesData[[#This Row],[Class Disambiguation]]="",NodesData[[#This Row],[Common Name]],NodesData[[#This Row],[Common Name]]&amp;" ("&amp;NodesData[[#This Row],[Class Disambiguation]]&amp;")")</f>
        <v>Social Honeypot</v>
      </c>
      <c r="G412" s="12" t="s">
        <v>1135</v>
      </c>
      <c r="H412" s="19" t="str" cm="1">
        <f t="array" ref="H412">"n"&amp;SUBSTITUTE(CreateGuidString(),"-","_")</f>
        <v>nCB9A260A_59D3_4F7D_8BE8_DDAF6FDB6EF8</v>
      </c>
    </row>
    <row r="413" spans="1:8" x14ac:dyDescent="0.35">
      <c r="A4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SoD (Acronym)</v>
      </c>
      <c r="B413" s="12" t="s">
        <v>1136</v>
      </c>
      <c r="C413" s="13" t="s">
        <v>1742</v>
      </c>
      <c r="D413" s="12" t="s">
        <v>1270</v>
      </c>
      <c r="E413" s="12" t="str">
        <f>IF(NodesData[[#This Row],[Class Disambiguation]]="",NodesData[[#This Row],[Common Name]],NodesData[[#This Row],[Common Name]]&amp;" ("&amp;NodesData[[#This Row],[Class Disambiguation]]&amp;")")</f>
        <v>SoD (Acronym)</v>
      </c>
      <c r="G413" s="12" t="s">
        <v>1137</v>
      </c>
      <c r="H413" s="19" t="str" cm="1">
        <f t="array" ref="H413">"n"&amp;SUBSTITUTE(CreateGuidString(),"-","_")</f>
        <v>n7CE1F0B0_FB60_494B_B50B_B2D2DC0BCD73</v>
      </c>
    </row>
    <row r="414" spans="1:8" x14ac:dyDescent="0.35">
      <c r="A4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Software / App OTP</v>
      </c>
      <c r="B414" s="12" t="s">
        <v>1320</v>
      </c>
      <c r="C414" s="13" t="s">
        <v>1743</v>
      </c>
      <c r="E414" s="12" t="str">
        <f>IF(NodesData[[#This Row],[Class Disambiguation]]="",NodesData[[#This Row],[Common Name]],NodesData[[#This Row],[Common Name]]&amp;" ("&amp;NodesData[[#This Row],[Class Disambiguation]]&amp;")")</f>
        <v>Software / App OTP</v>
      </c>
      <c r="H414" s="19" t="str" cm="1">
        <f t="array" ref="H414">"n"&amp;SUBSTITUTE(CreateGuidString(),"-","_")</f>
        <v>n33D7C29C_3276_4995_959F_5DC129431CAA</v>
      </c>
    </row>
    <row r="415" spans="1:8" x14ac:dyDescent="0.35">
      <c r="A4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Software-Defined Perimeter</v>
      </c>
      <c r="B415" s="12" t="s">
        <v>1138</v>
      </c>
      <c r="C415" s="13" t="s">
        <v>1744</v>
      </c>
      <c r="E415" s="12" t="str">
        <f>IF(NodesData[[#This Row],[Class Disambiguation]]="",NodesData[[#This Row],[Common Name]],NodesData[[#This Row],[Common Name]]&amp;" ("&amp;NodesData[[#This Row],[Class Disambiguation]]&amp;")")</f>
        <v>Software-Defined Perimeter</v>
      </c>
      <c r="G415" s="12" t="s">
        <v>1139</v>
      </c>
      <c r="H415" s="19" t="str" cm="1">
        <f t="array" ref="H415">"n"&amp;SUBSTITUTE(CreateGuidString(),"-","_")</f>
        <v>n0C27C103_7A11_4152_8E9A_AA966B8BE478</v>
      </c>
    </row>
    <row r="416" spans="1:8" x14ac:dyDescent="0.35">
      <c r="A4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SPIFFE (Acronym)</v>
      </c>
      <c r="B416" s="12" t="s">
        <v>1140</v>
      </c>
      <c r="C416" s="13" t="s">
        <v>1745</v>
      </c>
      <c r="D416" s="12" t="s">
        <v>1270</v>
      </c>
      <c r="E416" s="12" t="str">
        <f>IF(NodesData[[#This Row],[Class Disambiguation]]="",NodesData[[#This Row],[Common Name]],NodesData[[#This Row],[Common Name]]&amp;" ("&amp;NodesData[[#This Row],[Class Disambiguation]]&amp;")")</f>
        <v>SPIFFE (Acronym)</v>
      </c>
      <c r="G416" s="12" t="s">
        <v>1141</v>
      </c>
      <c r="H416" s="19" t="str" cm="1">
        <f t="array" ref="H416">"n"&amp;SUBSTITUTE(CreateGuidString(),"-","_")</f>
        <v>n91F2357F_A35F_4253_9544_CBB20EA80724</v>
      </c>
    </row>
    <row r="417" spans="1:8" x14ac:dyDescent="0.35">
      <c r="A4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SPMS (Acronym)</v>
      </c>
      <c r="B417" s="12" t="s">
        <v>1142</v>
      </c>
      <c r="C417" s="13" t="s">
        <v>1746</v>
      </c>
      <c r="D417" s="12" t="s">
        <v>1270</v>
      </c>
      <c r="E417" s="12" t="str">
        <f>IF(NodesData[[#This Row],[Class Disambiguation]]="",NodesData[[#This Row],[Common Name]],NodesData[[#This Row],[Common Name]]&amp;" ("&amp;NodesData[[#This Row],[Class Disambiguation]]&amp;")")</f>
        <v>SPMS (Acronym)</v>
      </c>
      <c r="G417" s="12" t="s">
        <v>1143</v>
      </c>
      <c r="H417" s="19" t="str" cm="1">
        <f t="array" ref="H417">"n"&amp;SUBSTITUTE(CreateGuidString(),"-","_")</f>
        <v>n55DF367A_E570_4D3A_A554_F5F082855015</v>
      </c>
    </row>
    <row r="418" spans="1:8" x14ac:dyDescent="0.35">
      <c r="A4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SSH Key (Acronym)</v>
      </c>
      <c r="B418" s="12" t="s">
        <v>1144</v>
      </c>
      <c r="C418" s="13" t="s">
        <v>1747</v>
      </c>
      <c r="D418" s="12" t="s">
        <v>1270</v>
      </c>
      <c r="E418" s="12" t="str">
        <f>IF(NodesData[[#This Row],[Class Disambiguation]]="",NodesData[[#This Row],[Common Name]],NodesData[[#This Row],[Common Name]]&amp;" ("&amp;NodesData[[#This Row],[Class Disambiguation]]&amp;")")</f>
        <v>SSH Key (Acronym)</v>
      </c>
      <c r="G418" s="12" t="s">
        <v>1145</v>
      </c>
      <c r="H418" s="19" t="str" cm="1">
        <f t="array" ref="H418">"n"&amp;SUBSTITUTE(CreateGuidString(),"-","_")</f>
        <v>nBCEABBBB_3C82_49E6_8B5C_3A5299D9FA59</v>
      </c>
    </row>
    <row r="419" spans="1:8" x14ac:dyDescent="0.35">
      <c r="A4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SSI (Acronym)</v>
      </c>
      <c r="B419" s="12" t="s">
        <v>440</v>
      </c>
      <c r="C419" s="13" t="s">
        <v>1748</v>
      </c>
      <c r="D419" s="12" t="s">
        <v>1270</v>
      </c>
      <c r="E419" s="12" t="str">
        <f>IF(NodesData[[#This Row],[Class Disambiguation]]="",NodesData[[#This Row],[Common Name]],NodesData[[#This Row],[Common Name]]&amp;" ("&amp;NodesData[[#This Row],[Class Disambiguation]]&amp;")")</f>
        <v>SSI (Acronym)</v>
      </c>
      <c r="G419" s="12" t="s">
        <v>1146</v>
      </c>
      <c r="H419" s="19" t="str" cm="1">
        <f t="array" ref="H419">"n"&amp;SUBSTITUTE(CreateGuidString(),"-","_")</f>
        <v>n8EB1F969_9D9D_4F77_8029_768F8A78CCED</v>
      </c>
    </row>
    <row r="420" spans="1:8" x14ac:dyDescent="0.35">
      <c r="A4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SSO</v>
      </c>
      <c r="B420" s="12" t="s">
        <v>1147</v>
      </c>
      <c r="C420" s="13" t="s">
        <v>1750</v>
      </c>
      <c r="E420" s="12" t="str">
        <f>IF(NodesData[[#This Row],[Class Disambiguation]]="",NodesData[[#This Row],[Common Name]],NodesData[[#This Row],[Common Name]]&amp;" ("&amp;NodesData[[#This Row],[Class Disambiguation]]&amp;")")</f>
        <v>SSO</v>
      </c>
      <c r="H420" s="19" t="str" cm="1">
        <f t="array" ref="H420">"n"&amp;SUBSTITUTE(CreateGuidString(),"-","_")</f>
        <v>n12F8977D_504A_4AA1_99D1_BDE87A256C8E</v>
      </c>
    </row>
    <row r="421" spans="1:8" x14ac:dyDescent="0.35">
      <c r="A4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SSO (Acronym)</v>
      </c>
      <c r="B421" s="12" t="s">
        <v>1147</v>
      </c>
      <c r="C421" s="13" t="s">
        <v>1749</v>
      </c>
      <c r="D421" s="12" t="s">
        <v>1270</v>
      </c>
      <c r="E421" s="12" t="str">
        <f>IF(NodesData[[#This Row],[Class Disambiguation]]="",NodesData[[#This Row],[Common Name]],NodesData[[#This Row],[Common Name]]&amp;" ("&amp;NodesData[[#This Row],[Class Disambiguation]]&amp;")")</f>
        <v>SSO (Acronym)</v>
      </c>
      <c r="G421" s="12" t="s">
        <v>1148</v>
      </c>
      <c r="H421" s="19" t="str" cm="1">
        <f t="array" ref="H421">"n"&amp;SUBSTITUTE(CreateGuidString(),"-","_")</f>
        <v>n30AE8D5A_D7B7_4EF2_97C0_BFA663B6874D</v>
      </c>
    </row>
    <row r="422" spans="1:8" x14ac:dyDescent="0.35">
      <c r="A4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Stability of Access Decision Factors</v>
      </c>
      <c r="B422" s="12" t="s">
        <v>1149</v>
      </c>
      <c r="C422" s="13" t="s">
        <v>1751</v>
      </c>
      <c r="E422" s="12" t="str">
        <f>IF(NodesData[[#This Row],[Class Disambiguation]]="",NodesData[[#This Row],[Common Name]],NodesData[[#This Row],[Common Name]]&amp;" ("&amp;NodesData[[#This Row],[Class Disambiguation]]&amp;")")</f>
        <v>Stability of Access Decision Factors</v>
      </c>
      <c r="G422" s="12" t="s">
        <v>1150</v>
      </c>
      <c r="H422" s="19" t="str" cm="1">
        <f t="array" ref="H422">"n"&amp;SUBSTITUTE(CreateGuidString(),"-","_")</f>
        <v>n86BFB6D4_ABD2_440D_966B_F0934E9755EA</v>
      </c>
    </row>
    <row r="423" spans="1:8" x14ac:dyDescent="0.35">
      <c r="A4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Stakeholder</v>
      </c>
      <c r="B423" s="12" t="s">
        <v>1151</v>
      </c>
      <c r="C423" s="13" t="s">
        <v>1752</v>
      </c>
      <c r="E423" s="12" t="str">
        <f>IF(NodesData[[#This Row],[Class Disambiguation]]="",NodesData[[#This Row],[Common Name]],NodesData[[#This Row],[Common Name]]&amp;" ("&amp;NodesData[[#This Row],[Class Disambiguation]]&amp;")")</f>
        <v>Stakeholder</v>
      </c>
      <c r="G423" s="12" t="s">
        <v>1152</v>
      </c>
      <c r="H423" s="19" t="str" cm="1">
        <f t="array" ref="H423">"n"&amp;SUBSTITUTE(CreateGuidString(),"-","_")</f>
        <v>n1AA0F92D_A1F9_4305_82FD_4C01996CC403</v>
      </c>
    </row>
    <row r="424" spans="1:8" x14ac:dyDescent="0.35">
      <c r="A4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Step-Up Authentication</v>
      </c>
      <c r="B424" s="12" t="s">
        <v>444</v>
      </c>
      <c r="C424" s="13" t="s">
        <v>1756</v>
      </c>
      <c r="E424" s="12" t="str">
        <f>IF(NodesData[[#This Row],[Class Disambiguation]]="",NodesData[[#This Row],[Common Name]],NodesData[[#This Row],[Common Name]]&amp;" ("&amp;NodesData[[#This Row],[Class Disambiguation]]&amp;")")</f>
        <v>Step-Up Authentication</v>
      </c>
      <c r="G424" s="12" t="s">
        <v>1153</v>
      </c>
      <c r="H424" s="19" t="str" cm="1">
        <f t="array" ref="H424">"n"&amp;SUBSTITUTE(CreateGuidString(),"-","_")</f>
        <v>nACE39F02_5E59_4E6F_ACFE_7D7669D7789F</v>
      </c>
    </row>
    <row r="425" spans="1:8" x14ac:dyDescent="0.35">
      <c r="A4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Strategic Performance Measurement System</v>
      </c>
      <c r="B425" s="12" t="s">
        <v>1154</v>
      </c>
      <c r="C425" s="13" t="s">
        <v>1754</v>
      </c>
      <c r="E425" s="12" t="str">
        <f>IF(NodesData[[#This Row],[Class Disambiguation]]="",NodesData[[#This Row],[Common Name]],NodesData[[#This Row],[Common Name]]&amp;" ("&amp;NodesData[[#This Row],[Class Disambiguation]]&amp;")")</f>
        <v>Strategic Performance Measurement System</v>
      </c>
      <c r="G425" s="12" t="s">
        <v>1155</v>
      </c>
      <c r="H425" s="19" t="str" cm="1">
        <f t="array" ref="H425">"n"&amp;SUBSTITUTE(CreateGuidString(),"-","_")</f>
        <v>n9EC2FB90_EAF2_4AAE_A525_878E57345A0D</v>
      </c>
    </row>
    <row r="426" spans="1:8" x14ac:dyDescent="0.35">
      <c r="A4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Strict Discretionary Access Control</v>
      </c>
      <c r="B426" s="12" t="s">
        <v>1156</v>
      </c>
      <c r="C426" s="13" t="s">
        <v>1755</v>
      </c>
      <c r="E426" s="12" t="str">
        <f>IF(NodesData[[#This Row],[Class Disambiguation]]="",NodesData[[#This Row],[Common Name]],NodesData[[#This Row],[Common Name]]&amp;" ("&amp;NodesData[[#This Row],[Class Disambiguation]]&amp;")")</f>
        <v>Strict Discretionary Access Control</v>
      </c>
      <c r="G426" s="12" t="s">
        <v>1157</v>
      </c>
      <c r="H426" s="19" t="str" cm="1">
        <f t="array" ref="H426">"n"&amp;SUBSTITUTE(CreateGuidString(),"-","_")</f>
        <v>n28574D35_2156_453F_B8FB_580C423E087D</v>
      </c>
    </row>
    <row r="427" spans="1:8" x14ac:dyDescent="0.35">
      <c r="A4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Strong Authentication</v>
      </c>
      <c r="B427" s="12" t="s">
        <v>1158</v>
      </c>
      <c r="C427" s="13" t="s">
        <v>1770</v>
      </c>
      <c r="E427" s="12" t="str">
        <f>IF(NodesData[[#This Row],[Class Disambiguation]]="",NodesData[[#This Row],[Common Name]],NodesData[[#This Row],[Common Name]]&amp;" ("&amp;NodesData[[#This Row],[Class Disambiguation]]&amp;")")</f>
        <v>Strong Authentication</v>
      </c>
      <c r="G427" s="12" t="s">
        <v>1159</v>
      </c>
      <c r="H427" s="19" t="str" cm="1">
        <f t="array" ref="H427">"n"&amp;SUBSTITUTE(CreateGuidString(),"-","_")</f>
        <v>n335C186B_7CF5_48BD_937D_044F77DC5174</v>
      </c>
    </row>
    <row r="428" spans="1:8" x14ac:dyDescent="0.35">
      <c r="A4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Strong Tranquility Property</v>
      </c>
      <c r="B428" s="12" t="s">
        <v>1160</v>
      </c>
      <c r="C428" s="13" t="s">
        <v>1757</v>
      </c>
      <c r="E428" s="12" t="str">
        <f>IF(NodesData[[#This Row],[Class Disambiguation]]="",NodesData[[#This Row],[Common Name]],NodesData[[#This Row],[Common Name]]&amp;" ("&amp;NodesData[[#This Row],[Class Disambiguation]]&amp;")")</f>
        <v>Strong Tranquility Property</v>
      </c>
      <c r="G428" s="12" t="s">
        <v>1161</v>
      </c>
      <c r="H428" s="19" t="str" cm="1">
        <f t="array" ref="H428">"n"&amp;SUBSTITUTE(CreateGuidString(),"-","_")</f>
        <v>n938C5FE8_3AD0_4154_AD75_322EC524FAD9</v>
      </c>
    </row>
    <row r="429" spans="1:8" x14ac:dyDescent="0.35">
      <c r="A4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Subject</v>
      </c>
      <c r="B429" s="12" t="s">
        <v>1162</v>
      </c>
      <c r="C429" s="13" t="s">
        <v>1758</v>
      </c>
      <c r="E429" s="12" t="str">
        <f>IF(NodesData[[#This Row],[Class Disambiguation]]="",NodesData[[#This Row],[Common Name]],NodesData[[#This Row],[Common Name]]&amp;" ("&amp;NodesData[[#This Row],[Class Disambiguation]]&amp;")")</f>
        <v>Subject</v>
      </c>
      <c r="G429" s="12" t="s">
        <v>1163</v>
      </c>
      <c r="H429" s="19" t="str" cm="1">
        <f t="array" ref="H429">"n"&amp;SUBSTITUTE(CreateGuidString(),"-","_")</f>
        <v>nB1176BCD_55B6_4888_BFF7_B00D3A0BEC42</v>
      </c>
    </row>
    <row r="430" spans="1:8" x14ac:dyDescent="0.35">
      <c r="A4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Subjective Indicator</v>
      </c>
      <c r="B430" s="12" t="s">
        <v>1164</v>
      </c>
      <c r="C430" s="13" t="s">
        <v>1759</v>
      </c>
      <c r="E430" s="12" t="str">
        <f>IF(NodesData[[#This Row],[Class Disambiguation]]="",NodesData[[#This Row],[Common Name]],NodesData[[#This Row],[Common Name]]&amp;" ("&amp;NodesData[[#This Row],[Class Disambiguation]]&amp;")")</f>
        <v>Subjective Indicator</v>
      </c>
      <c r="G430" s="12" t="s">
        <v>1165</v>
      </c>
      <c r="H430" s="19" t="str" cm="1">
        <f t="array" ref="H430">"n"&amp;SUBSTITUTE(CreateGuidString(),"-","_")</f>
        <v>n0A69628E_FCCE_41B4_8069_D2EA6AC876A5</v>
      </c>
    </row>
    <row r="431" spans="1:8" x14ac:dyDescent="0.35">
      <c r="A4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Supply Chain Attack</v>
      </c>
      <c r="B431" s="12" t="s">
        <v>451</v>
      </c>
      <c r="C431" s="13" t="s">
        <v>1760</v>
      </c>
      <c r="E431" s="12" t="str">
        <f>IF(NodesData[[#This Row],[Class Disambiguation]]="",NodesData[[#This Row],[Common Name]],NodesData[[#This Row],[Common Name]]&amp;" ("&amp;NodesData[[#This Row],[Class Disambiguation]]&amp;")")</f>
        <v>Supply Chain Attack</v>
      </c>
      <c r="G431" s="12" t="s">
        <v>1166</v>
      </c>
      <c r="H431" s="19" t="str" cm="1">
        <f t="array" ref="H431">"n"&amp;SUBSTITUTE(CreateGuidString(),"-","_")</f>
        <v>n491A3B79_D96F_4054_BF43_E36604303B3B</v>
      </c>
    </row>
    <row r="432" spans="1:8" x14ac:dyDescent="0.35">
      <c r="A4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Sybil Attack</v>
      </c>
      <c r="B432" s="12" t="s">
        <v>452</v>
      </c>
      <c r="C432" s="13" t="s">
        <v>1761</v>
      </c>
      <c r="E432" s="12" t="str">
        <f>IF(NodesData[[#This Row],[Class Disambiguation]]="",NodesData[[#This Row],[Common Name]],NodesData[[#This Row],[Common Name]]&amp;" ("&amp;NodesData[[#This Row],[Class Disambiguation]]&amp;")")</f>
        <v>Sybil Attack</v>
      </c>
      <c r="G432" s="12" t="s">
        <v>1167</v>
      </c>
      <c r="H432" s="19" t="str" cm="1">
        <f t="array" ref="H432">"n"&amp;SUBSTITUTE(CreateGuidString(),"-","_")</f>
        <v>n0F95AE7E_37DE_4224_8105_BFC33EF9F21C</v>
      </c>
    </row>
    <row r="433" spans="1:8" x14ac:dyDescent="0.35">
      <c r="A4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Synthetic Identity Fraud</v>
      </c>
      <c r="B433" s="12" t="s">
        <v>1168</v>
      </c>
      <c r="C433" s="13" t="s">
        <v>1762</v>
      </c>
      <c r="E433" s="12" t="str">
        <f>IF(NodesData[[#This Row],[Class Disambiguation]]="",NodesData[[#This Row],[Common Name]],NodesData[[#This Row],[Common Name]]&amp;" ("&amp;NodesData[[#This Row],[Class Disambiguation]]&amp;")")</f>
        <v>Synthetic Identity Fraud</v>
      </c>
      <c r="G433" s="12" t="s">
        <v>1169</v>
      </c>
      <c r="H433" s="19" t="str" cm="1">
        <f t="array" ref="H433">"n"&amp;SUBSTITUTE(CreateGuidString(),"-","_")</f>
        <v>nA322A3E6_2CFD_4109_950F_9E9C21D620D4</v>
      </c>
    </row>
    <row r="434" spans="1:8" x14ac:dyDescent="0.35">
      <c r="A4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</v>
      </c>
      <c r="B434" s="12" t="s">
        <v>454</v>
      </c>
      <c r="C434" s="13" t="s">
        <v>1763</v>
      </c>
      <c r="E434" s="12" t="str">
        <f>IF(NodesData[[#This Row],[Class Disambiguation]]="",NodesData[[#This Row],[Common Name]],NodesData[[#This Row],[Common Name]]&amp;" ("&amp;NodesData[[#This Row],[Class Disambiguation]]&amp;")")</f>
        <v>System</v>
      </c>
      <c r="G434" s="12" t="s">
        <v>1170</v>
      </c>
      <c r="H434" s="19" t="str" cm="1">
        <f t="array" ref="H434">"n"&amp;SUBSTITUTE(CreateGuidString(),"-","_")</f>
        <v>nF34017DB_30C2_45B9_9C1B_B3392A958FE6</v>
      </c>
    </row>
    <row r="435" spans="1:8" x14ac:dyDescent="0.35">
      <c r="A4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 Boundaries</v>
      </c>
      <c r="B435" s="12" t="s">
        <v>455</v>
      </c>
      <c r="C435" s="13" t="s">
        <v>1764</v>
      </c>
      <c r="E435" s="12" t="str">
        <f>IF(NodesData[[#This Row],[Class Disambiguation]]="",NodesData[[#This Row],[Common Name]],NodesData[[#This Row],[Common Name]]&amp;" ("&amp;NodesData[[#This Row],[Class Disambiguation]]&amp;")")</f>
        <v>System Boundaries</v>
      </c>
      <c r="G435" s="12" t="s">
        <v>1171</v>
      </c>
      <c r="H435" s="19" t="str" cm="1">
        <f t="array" ref="H435">"n"&amp;SUBSTITUTE(CreateGuidString(),"-","_")</f>
        <v>n90897457_B291_4A66_B6F9_D639EE538D94</v>
      </c>
    </row>
    <row r="436" spans="1:8" x14ac:dyDescent="0.35">
      <c r="A4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 for Cross-domain Identity Management</v>
      </c>
      <c r="B436" s="12" t="s">
        <v>1172</v>
      </c>
      <c r="C436" s="13" t="s">
        <v>1765</v>
      </c>
      <c r="E436" s="12" t="str">
        <f>IF(NodesData[[#This Row],[Class Disambiguation]]="",NodesData[[#This Row],[Common Name]],NodesData[[#This Row],[Common Name]]&amp;" ("&amp;NodesData[[#This Row],[Class Disambiguation]]&amp;")")</f>
        <v>System for Cross-domain Identity Management</v>
      </c>
      <c r="G436" s="12" t="s">
        <v>1173</v>
      </c>
      <c r="H436" s="19" t="str" cm="1">
        <f t="array" ref="H436">"n"&amp;SUBSTITUTE(CreateGuidString(),"-","_")</f>
        <v>n9B3B7937_BCEB_4216_B021_6EB73C4ABF32</v>
      </c>
    </row>
    <row r="437" spans="1:8" x14ac:dyDescent="0.35">
      <c r="A4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 Owner</v>
      </c>
      <c r="B437" s="12" t="s">
        <v>1174</v>
      </c>
      <c r="C437" s="13" t="s">
        <v>1766</v>
      </c>
      <c r="E437" s="12" t="str">
        <f>IF(NodesData[[#This Row],[Class Disambiguation]]="",NodesData[[#This Row],[Common Name]],NodesData[[#This Row],[Common Name]]&amp;" ("&amp;NodesData[[#This Row],[Class Disambiguation]]&amp;")")</f>
        <v>System Owner</v>
      </c>
      <c r="G437" s="12" t="s">
        <v>1175</v>
      </c>
      <c r="H437" s="19" t="str" cm="1">
        <f t="array" ref="H437">"n"&amp;SUBSTITUTE(CreateGuidString(),"-","_")</f>
        <v>n7A92D428_FB37_4E3C_A07A_30902B24AE4B</v>
      </c>
    </row>
    <row r="438" spans="1:8" x14ac:dyDescent="0.35">
      <c r="A4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 Z</v>
      </c>
      <c r="B438" s="12" t="s">
        <v>1176</v>
      </c>
      <c r="C438" s="13" t="s">
        <v>1767</v>
      </c>
      <c r="E438" s="12" t="str">
        <f>IF(NodesData[[#This Row],[Class Disambiguation]]="",NodesData[[#This Row],[Common Name]],NodesData[[#This Row],[Common Name]]&amp;" ("&amp;NodesData[[#This Row],[Class Disambiguation]]&amp;")")</f>
        <v>System Z</v>
      </c>
      <c r="G438" s="12" t="s">
        <v>1177</v>
      </c>
      <c r="H438" s="19" t="str" cm="1">
        <f t="array" ref="H438">"n"&amp;SUBSTITUTE(CreateGuidString(),"-","_")</f>
        <v>n40CCEE7D_DF42_4DEE_8C46_A1DD8B285612</v>
      </c>
    </row>
    <row r="439" spans="1:8" x14ac:dyDescent="0.35">
      <c r="A4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TAN List OTP</v>
      </c>
      <c r="B439" s="12" t="s">
        <v>1322</v>
      </c>
      <c r="C439" s="13" t="s">
        <v>1768</v>
      </c>
      <c r="E439" s="12" t="str">
        <f>IF(NodesData[[#This Row],[Class Disambiguation]]="",NodesData[[#This Row],[Common Name]],NodesData[[#This Row],[Common Name]]&amp;" ("&amp;NodesData[[#This Row],[Class Disambiguation]]&amp;")")</f>
        <v>TAN List OTP</v>
      </c>
      <c r="H439" s="19" t="str" cm="1">
        <f t="array" ref="H439">"n"&amp;SUBSTITUTE(CreateGuidString(),"-","_")</f>
        <v>n84A35F45_9AAD_4BDF_BB9D_655745A423F6</v>
      </c>
    </row>
    <row r="440" spans="1:8" x14ac:dyDescent="0.35">
      <c r="A4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Task-Based Access Control</v>
      </c>
      <c r="B440" s="12" t="s">
        <v>1178</v>
      </c>
      <c r="C440" s="13" t="s">
        <v>1769</v>
      </c>
      <c r="E440" s="12" t="str">
        <f>IF(NodesData[[#This Row],[Class Disambiguation]]="",NodesData[[#This Row],[Common Name]],NodesData[[#This Row],[Common Name]]&amp;" ("&amp;NodesData[[#This Row],[Class Disambiguation]]&amp;")")</f>
        <v>Task-Based Access Control</v>
      </c>
      <c r="G440" s="12" t="s">
        <v>1179</v>
      </c>
      <c r="H440" s="19" t="str" cm="1">
        <f t="array" ref="H440">"n"&amp;SUBSTITUTE(CreateGuidString(),"-","_")</f>
        <v>n2EB04277_A3E0_4DE3_8B8F_34076FD0E1ED</v>
      </c>
    </row>
    <row r="441" spans="1:8" x14ac:dyDescent="0.35">
      <c r="A4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Text Password Authentication</v>
      </c>
      <c r="B441" s="12" t="s">
        <v>1326</v>
      </c>
      <c r="C441" s="13" t="s">
        <v>1772</v>
      </c>
      <c r="E441" s="12" t="str">
        <f>IF(NodesData[[#This Row],[Class Disambiguation]]="",NodesData[[#This Row],[Common Name]],NodesData[[#This Row],[Common Name]]&amp;" ("&amp;NodesData[[#This Row],[Class Disambiguation]]&amp;")")</f>
        <v>Text Password Authentication</v>
      </c>
      <c r="H441" s="19" t="str" cm="1">
        <f t="array" ref="H441">"n"&amp;SUBSTITUTE(CreateGuidString(),"-","_")</f>
        <v>nBAA3D94A_1E12_4BDC_8CC1_F7F1DE41144E</v>
      </c>
    </row>
    <row r="442" spans="1:8" x14ac:dyDescent="0.35">
      <c r="A4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Threat Agent</v>
      </c>
      <c r="B442" s="11" t="s">
        <v>1340</v>
      </c>
      <c r="C442" s="13" t="s">
        <v>1847</v>
      </c>
      <c r="E442" s="18" t="str">
        <f>IF(NodesData[[#This Row],[Class Disambiguation]]="",NodesData[[#This Row],[Common Name]],NodesData[[#This Row],[Common Name]]&amp;" ("&amp;NodesData[[#This Row],[Class Disambiguation]]&amp;")")</f>
        <v>Threat Agent</v>
      </c>
      <c r="F442" s="18"/>
      <c r="H442" s="20" t="str" cm="1">
        <f t="array" ref="H442">"n"&amp;SUBSTITUTE(CreateGuidString(),"-","_")</f>
        <v>n8F1CFC8E_3D5F_4F66_8E6E_BE24B43C8B66</v>
      </c>
    </row>
    <row r="443" spans="1:8" x14ac:dyDescent="0.35">
      <c r="A4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Time Factor</v>
      </c>
      <c r="B443" s="12" t="s">
        <v>1297</v>
      </c>
      <c r="C443" s="13" t="s">
        <v>1771</v>
      </c>
      <c r="E443" s="12" t="str">
        <f>IF(NodesData[[#This Row],[Class Disambiguation]]="",NodesData[[#This Row],[Common Name]],NodesData[[#This Row],[Common Name]]&amp;" ("&amp;NodesData[[#This Row],[Class Disambiguation]]&amp;")")</f>
        <v>Time Factor</v>
      </c>
      <c r="H443" s="19" t="str" cm="1">
        <f t="array" ref="H443">"n"&amp;SUBSTITUTE(CreateGuidString(),"-","_")</f>
        <v>n003A7465_7BA0_416F_9F3E_256280A17695</v>
      </c>
    </row>
    <row r="444" spans="1:8" x14ac:dyDescent="0.35">
      <c r="A4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Token-Based Authentication</v>
      </c>
      <c r="B444" s="12" t="s">
        <v>1330</v>
      </c>
      <c r="C444" s="13" t="s">
        <v>1773</v>
      </c>
      <c r="E444" s="12" t="str">
        <f>IF(NodesData[[#This Row],[Class Disambiguation]]="",NodesData[[#This Row],[Common Name]],NodesData[[#This Row],[Common Name]]&amp;" ("&amp;NodesData[[#This Row],[Class Disambiguation]]&amp;")")</f>
        <v>Token-Based Authentication</v>
      </c>
      <c r="H444" s="19" t="str" cm="1">
        <f t="array" ref="H444">"n"&amp;SUBSTITUTE(CreateGuidString(),"-","_")</f>
        <v>nECE2F1C3_07CA_4D47_8DBB_C1D4986AC29A</v>
      </c>
    </row>
    <row r="445" spans="1:8" x14ac:dyDescent="0.35">
      <c r="A4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Touchstroke Recognition Authentication</v>
      </c>
      <c r="B445" s="12" t="s">
        <v>1312</v>
      </c>
      <c r="C445" s="13" t="s">
        <v>1787</v>
      </c>
      <c r="E445" s="12" t="str">
        <f>IF(NodesData[[#This Row],[Class Disambiguation]]="",NodesData[[#This Row],[Common Name]],NodesData[[#This Row],[Common Name]]&amp;" ("&amp;NodesData[[#This Row],[Class Disambiguation]]&amp;")")</f>
        <v>Touchstroke Recognition Authentication</v>
      </c>
      <c r="H445" s="19" t="str" cm="1">
        <f t="array" ref="H445">"n"&amp;SUBSTITUTE(CreateGuidString(),"-","_")</f>
        <v>n243BAB98_0550_4974_A340_FE5979545AC4</v>
      </c>
    </row>
    <row r="446" spans="1:8" x14ac:dyDescent="0.35">
      <c r="A4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Toxic Combinations</v>
      </c>
      <c r="B446" s="12" t="s">
        <v>1180</v>
      </c>
      <c r="C446" s="13" t="s">
        <v>1774</v>
      </c>
      <c r="E446" s="12" t="str">
        <f>IF(NodesData[[#This Row],[Class Disambiguation]]="",NodesData[[#This Row],[Common Name]],NodesData[[#This Row],[Common Name]]&amp;" ("&amp;NodesData[[#This Row],[Class Disambiguation]]&amp;")")</f>
        <v>Toxic Combinations</v>
      </c>
      <c r="G446" s="12" t="s">
        <v>1181</v>
      </c>
      <c r="H446" s="19" t="str" cm="1">
        <f t="array" ref="H446">"n"&amp;SUBSTITUTE(CreateGuidString(),"-","_")</f>
        <v>nA567D752_8E17_49C6_8E66_782F60A63C7E</v>
      </c>
    </row>
    <row r="447" spans="1:8" x14ac:dyDescent="0.35">
      <c r="A4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Toxic Right Rule (Definition)</v>
      </c>
      <c r="B447" s="12" t="s">
        <v>467</v>
      </c>
      <c r="C447" s="13" t="s">
        <v>1775</v>
      </c>
      <c r="E447" s="12" t="str">
        <f>IF(NodesData[[#This Row],[Class Disambiguation]]="",NodesData[[#This Row],[Common Name]],NodesData[[#This Row],[Common Name]]&amp;" ("&amp;NodesData[[#This Row],[Class Disambiguation]]&amp;")")</f>
        <v>Toxic Right Rule (Definition)</v>
      </c>
      <c r="G447" s="12" t="s">
        <v>1182</v>
      </c>
      <c r="H447" s="19" t="str" cm="1">
        <f t="array" ref="H447">"n"&amp;SUBSTITUTE(CreateGuidString(),"-","_")</f>
        <v>nCFD45201_2E14_433D_A185_125135E7F605</v>
      </c>
    </row>
    <row r="448" spans="1:8" x14ac:dyDescent="0.35">
      <c r="A4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Tranquil</v>
      </c>
      <c r="B448" s="12" t="s">
        <v>468</v>
      </c>
      <c r="C448" s="13" t="s">
        <v>1776</v>
      </c>
      <c r="E448" s="12" t="str">
        <f>IF(NodesData[[#This Row],[Class Disambiguation]]="",NodesData[[#This Row],[Common Name]],NodesData[[#This Row],[Common Name]]&amp;" ("&amp;NodesData[[#This Row],[Class Disambiguation]]&amp;")")</f>
        <v>Tranquil</v>
      </c>
      <c r="G448" s="12" t="s">
        <v>1183</v>
      </c>
      <c r="H448" s="19" t="str" cm="1">
        <f t="array" ref="H448">"n"&amp;SUBSTITUTE(CreateGuidString(),"-","_")</f>
        <v>n6BE6FA3F_571E_4DF9_96E2_BE6541452193</v>
      </c>
    </row>
    <row r="449" spans="1:8" x14ac:dyDescent="0.35">
      <c r="A4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Tranquility Principle</v>
      </c>
      <c r="B449" s="12" t="s">
        <v>1184</v>
      </c>
      <c r="C449" s="13" t="s">
        <v>1777</v>
      </c>
      <c r="E449" s="12" t="str">
        <f>IF(NodesData[[#This Row],[Class Disambiguation]]="",NodesData[[#This Row],[Common Name]],NodesData[[#This Row],[Common Name]]&amp;" ("&amp;NodesData[[#This Row],[Class Disambiguation]]&amp;")")</f>
        <v>Tranquility Principle</v>
      </c>
      <c r="G449" s="12" t="s">
        <v>1185</v>
      </c>
      <c r="H449" s="19" t="str" cm="1">
        <f t="array" ref="H449">"n"&amp;SUBSTITUTE(CreateGuidString(),"-","_")</f>
        <v>nBEE17430_A497_4B12_9693_736979F7CED5</v>
      </c>
    </row>
    <row r="450" spans="1:8" x14ac:dyDescent="0.35">
      <c r="A4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Tranquility Property</v>
      </c>
      <c r="B450" s="12" t="s">
        <v>1186</v>
      </c>
      <c r="C450" s="13" t="s">
        <v>1778</v>
      </c>
      <c r="E450" s="12" t="str">
        <f>IF(NodesData[[#This Row],[Class Disambiguation]]="",NodesData[[#This Row],[Common Name]],NodesData[[#This Row],[Common Name]]&amp;" ("&amp;NodesData[[#This Row],[Class Disambiguation]]&amp;")")</f>
        <v>Tranquility Property</v>
      </c>
      <c r="G450" s="12" t="s">
        <v>1187</v>
      </c>
      <c r="H450" s="19" t="str" cm="1">
        <f t="array" ref="H450">"n"&amp;SUBSTITUTE(CreateGuidString(),"-","_")</f>
        <v>nCEC2EBFB_DC25_44AB_AB91_20F4E0BFF217</v>
      </c>
    </row>
    <row r="451" spans="1:8" x14ac:dyDescent="0.35">
      <c r="A4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</v>
      </c>
      <c r="B451" s="12" t="s">
        <v>471</v>
      </c>
      <c r="C451" s="13" t="s">
        <v>1779</v>
      </c>
      <c r="E451" s="12" t="str">
        <f>IF(NodesData[[#This Row],[Class Disambiguation]]="",NodesData[[#This Row],[Common Name]],NodesData[[#This Row],[Common Name]]&amp;" ("&amp;NodesData[[#This Row],[Class Disambiguation]]&amp;")")</f>
        <v>Trust</v>
      </c>
      <c r="G451" s="12" t="s">
        <v>1188</v>
      </c>
      <c r="H451" s="19" t="str" cm="1">
        <f t="array" ref="H451">"n"&amp;SUBSTITUTE(CreateGuidString(),"-","_")</f>
        <v>nEDF5BFD8_2141_4F38_A7EF_E8700450A351</v>
      </c>
    </row>
    <row r="452" spans="1:8" x14ac:dyDescent="0.35">
      <c r="A4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 Asymmetry</v>
      </c>
      <c r="B452" s="12" t="s">
        <v>1189</v>
      </c>
      <c r="C452" s="13" t="s">
        <v>1780</v>
      </c>
      <c r="E452" s="12" t="str">
        <f>IF(NodesData[[#This Row],[Class Disambiguation]]="",NodesData[[#This Row],[Common Name]],NodesData[[#This Row],[Common Name]]&amp;" ("&amp;NodesData[[#This Row],[Class Disambiguation]]&amp;")")</f>
        <v>Trust Asymmetry</v>
      </c>
      <c r="G452" s="12" t="s">
        <v>1190</v>
      </c>
      <c r="H452" s="19" t="str" cm="1">
        <f t="array" ref="H452">"n"&amp;SUBSTITUTE(CreateGuidString(),"-","_")</f>
        <v>n7217ED75_3743_408A_9724_13D1CF0F78D4</v>
      </c>
    </row>
    <row r="453" spans="1:8" x14ac:dyDescent="0.35">
      <c r="A4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 Composability</v>
      </c>
      <c r="B453" s="12" t="s">
        <v>1191</v>
      </c>
      <c r="C453" s="13" t="s">
        <v>1781</v>
      </c>
      <c r="E453" s="12" t="str">
        <f>IF(NodesData[[#This Row],[Class Disambiguation]]="",NodesData[[#This Row],[Common Name]],NodesData[[#This Row],[Common Name]]&amp;" ("&amp;NodesData[[#This Row],[Class Disambiguation]]&amp;")")</f>
        <v>Trust Composability</v>
      </c>
      <c r="G453" s="12" t="s">
        <v>1192</v>
      </c>
      <c r="H453" s="19" t="str" cm="1">
        <f t="array" ref="H453">"n"&amp;SUBSTITUTE(CreateGuidString(),"-","_")</f>
        <v>n79043E65_7086_450F_A25C_412BD6067AB1</v>
      </c>
    </row>
    <row r="454" spans="1:8" x14ac:dyDescent="0.35">
      <c r="A4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 Personalization</v>
      </c>
      <c r="B454" s="12" t="s">
        <v>1193</v>
      </c>
      <c r="C454" s="13" t="s">
        <v>1782</v>
      </c>
      <c r="E454" s="12" t="str">
        <f>IF(NodesData[[#This Row],[Class Disambiguation]]="",NodesData[[#This Row],[Common Name]],NodesData[[#This Row],[Common Name]]&amp;" ("&amp;NodesData[[#This Row],[Class Disambiguation]]&amp;")")</f>
        <v>Trust Personalization</v>
      </c>
      <c r="G454" s="12" t="s">
        <v>1194</v>
      </c>
      <c r="H454" s="19" t="str" cm="1">
        <f t="array" ref="H454">"n"&amp;SUBSTITUTE(CreateGuidString(),"-","_")</f>
        <v>n143CB4EC_1793_450F_B3A6_0560202E04F7</v>
      </c>
    </row>
    <row r="455" spans="1:8" x14ac:dyDescent="0.35">
      <c r="A4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 Transitivity</v>
      </c>
      <c r="B455" s="12" t="s">
        <v>1195</v>
      </c>
      <c r="C455" s="13" t="s">
        <v>1783</v>
      </c>
      <c r="E455" s="12" t="str">
        <f>IF(NodesData[[#This Row],[Class Disambiguation]]="",NodesData[[#This Row],[Common Name]],NodesData[[#This Row],[Common Name]]&amp;" ("&amp;NodesData[[#This Row],[Class Disambiguation]]&amp;")")</f>
        <v>Trust Transitivity</v>
      </c>
      <c r="G455" s="12" t="s">
        <v>1196</v>
      </c>
      <c r="H455" s="19" t="str" cm="1">
        <f t="array" ref="H455">"n"&amp;SUBSTITUTE(CreateGuidString(),"-","_")</f>
        <v>n071BE687_2445_4DD6_AF7B_8CAE6B7F6646</v>
      </c>
    </row>
    <row r="456" spans="1:8" x14ac:dyDescent="0.35">
      <c r="A4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Typing Biometrics</v>
      </c>
      <c r="B456" s="12" t="s">
        <v>477</v>
      </c>
      <c r="C456" s="13" t="s">
        <v>1784</v>
      </c>
      <c r="E456" s="12" t="str">
        <f>IF(NodesData[[#This Row],[Class Disambiguation]]="",NodesData[[#This Row],[Common Name]],NodesData[[#This Row],[Common Name]]&amp;" ("&amp;NodesData[[#This Row],[Class Disambiguation]]&amp;")")</f>
        <v>Typing Biometrics</v>
      </c>
      <c r="G456" s="12" t="s">
        <v>1197</v>
      </c>
      <c r="H456" s="19" t="str" cm="1">
        <f t="array" ref="H456">"n"&amp;SUBSTITUTE(CreateGuidString(),"-","_")</f>
        <v>n0F5F44D4_1EDF_489A_A909_E0A2D5DB24A3</v>
      </c>
    </row>
    <row r="457" spans="1:8" x14ac:dyDescent="0.35">
      <c r="A4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Typology</v>
      </c>
      <c r="B457" s="12" t="s">
        <v>1198</v>
      </c>
      <c r="C457" s="13" t="s">
        <v>1785</v>
      </c>
      <c r="E457" s="12" t="str">
        <f>IF(NodesData[[#This Row],[Class Disambiguation]]="",NodesData[[#This Row],[Common Name]],NodesData[[#This Row],[Common Name]]&amp;" ("&amp;NodesData[[#This Row],[Class Disambiguation]]&amp;")")</f>
        <v>Typology</v>
      </c>
      <c r="G457" s="12" t="s">
        <v>1199</v>
      </c>
      <c r="H457" s="19" t="str" cm="1">
        <f t="array" ref="H457">"n"&amp;SUBSTITUTE(CreateGuidString(),"-","_")</f>
        <v>n40A409E2_9CD2_4020_82D2_BFED988887D5</v>
      </c>
    </row>
    <row r="458" spans="1:8" x14ac:dyDescent="0.35">
      <c r="A4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Unanticipated User</v>
      </c>
      <c r="B458" s="12" t="s">
        <v>479</v>
      </c>
      <c r="C458" s="13" t="s">
        <v>1786</v>
      </c>
      <c r="E458" s="12" t="str">
        <f>IF(NodesData[[#This Row],[Class Disambiguation]]="",NodesData[[#This Row],[Common Name]],NodesData[[#This Row],[Common Name]]&amp;" ("&amp;NodesData[[#This Row],[Class Disambiguation]]&amp;")")</f>
        <v>Unanticipated User</v>
      </c>
      <c r="G458" s="12" t="s">
        <v>1200</v>
      </c>
      <c r="H458" s="19" t="str" cm="1">
        <f t="array" ref="H458">"n"&amp;SUBSTITUTE(CreateGuidString(),"-","_")</f>
        <v>nA84C858C_05EC_45AD_B213_69C552987F31</v>
      </c>
    </row>
    <row r="459" spans="1:8" x14ac:dyDescent="0.35">
      <c r="A4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Unauthorized Access</v>
      </c>
      <c r="B459" s="12" t="s">
        <v>480</v>
      </c>
      <c r="C459" s="13" t="s">
        <v>1804</v>
      </c>
      <c r="E459" s="12" t="str">
        <f>IF(NodesData[[#This Row],[Class Disambiguation]]="",NodesData[[#This Row],[Common Name]],NodesData[[#This Row],[Common Name]]&amp;" ("&amp;NodesData[[#This Row],[Class Disambiguation]]&amp;")")</f>
        <v>Unauthorized Access</v>
      </c>
      <c r="G459" s="12" t="s">
        <v>1201</v>
      </c>
      <c r="H459" s="19" t="str" cm="1">
        <f t="array" ref="H459">"n"&amp;SUBSTITUTE(CreateGuidString(),"-","_")</f>
        <v>n8E020535_0C5D_45A9_B116_6E724BDF01D6</v>
      </c>
    </row>
    <row r="460" spans="1:8" x14ac:dyDescent="0.35">
      <c r="A4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Unique ID Number</v>
      </c>
      <c r="B460" s="12" t="s">
        <v>481</v>
      </c>
      <c r="C460" s="13" t="s">
        <v>1788</v>
      </c>
      <c r="E460" s="12" t="str">
        <f>IF(NodesData[[#This Row],[Class Disambiguation]]="",NodesData[[#This Row],[Common Name]],NodesData[[#This Row],[Common Name]]&amp;" ("&amp;NodesData[[#This Row],[Class Disambiguation]]&amp;")")</f>
        <v>Unique ID Number</v>
      </c>
      <c r="G460" s="12" t="s">
        <v>1202</v>
      </c>
      <c r="H460" s="19" t="str" cm="1">
        <f t="array" ref="H460">"n"&amp;SUBSTITUTE(CreateGuidString(),"-","_")</f>
        <v>n7105B3BF_187E_4198_83D1_5DAA7F5F6987</v>
      </c>
    </row>
    <row r="461" spans="1:8" x14ac:dyDescent="0.35">
      <c r="A4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Unprivileged Insider</v>
      </c>
      <c r="B461" s="12" t="s">
        <v>483</v>
      </c>
      <c r="C461" s="13" t="s">
        <v>1789</v>
      </c>
      <c r="E461" s="12" t="str">
        <f>IF(NodesData[[#This Row],[Class Disambiguation]]="",NodesData[[#This Row],[Common Name]],NodesData[[#This Row],[Common Name]]&amp;" ("&amp;NodesData[[#This Row],[Class Disambiguation]]&amp;")")</f>
        <v>Unprivileged Insider</v>
      </c>
      <c r="G461" s="12" t="s">
        <v>1203</v>
      </c>
      <c r="H461" s="19" t="str" cm="1">
        <f t="array" ref="H461">"n"&amp;SUBSTITUTE(CreateGuidString(),"-","_")</f>
        <v>nF7223A42_4B8B_4B1C_8DC4_CB5BB68AF10C</v>
      </c>
    </row>
    <row r="462" spans="1:8" x14ac:dyDescent="0.35">
      <c r="A4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</v>
      </c>
      <c r="B462" s="12" t="s">
        <v>484</v>
      </c>
      <c r="C462" s="13" t="s">
        <v>1790</v>
      </c>
      <c r="E462" s="12" t="str">
        <f>IF(NodesData[[#This Row],[Class Disambiguation]]="",NodesData[[#This Row],[Common Name]],NodesData[[#This Row],[Common Name]]&amp;" ("&amp;NodesData[[#This Row],[Class Disambiguation]]&amp;")")</f>
        <v>User</v>
      </c>
      <c r="G462" s="12" t="s">
        <v>1204</v>
      </c>
      <c r="H462" s="19" t="str" cm="1">
        <f t="array" ref="H462">"n"&amp;SUBSTITUTE(CreateGuidString(),"-","_")</f>
        <v>n44C9232D_47D2_474B_BFC9_3AF770558AA8</v>
      </c>
    </row>
    <row r="463" spans="1:8" x14ac:dyDescent="0.35">
      <c r="A4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Account</v>
      </c>
      <c r="B463" s="12" t="s">
        <v>485</v>
      </c>
      <c r="C463" s="13" t="s">
        <v>1791</v>
      </c>
      <c r="E463" s="12" t="str">
        <f>IF(NodesData[[#This Row],[Class Disambiguation]]="",NodesData[[#This Row],[Common Name]],NodesData[[#This Row],[Common Name]]&amp;" ("&amp;NodesData[[#This Row],[Class Disambiguation]]&amp;")")</f>
        <v>User Account</v>
      </c>
      <c r="G463" s="12" t="s">
        <v>1205</v>
      </c>
      <c r="H463" s="19" t="str" cm="1">
        <f t="array" ref="H463">"n"&amp;SUBSTITUTE(CreateGuidString(),"-","_")</f>
        <v>n038CB0D5_472C_464D_AC13_2DCBA9094721</v>
      </c>
    </row>
    <row r="464" spans="1:8" x14ac:dyDescent="0.35">
      <c r="A4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De-Provisioning</v>
      </c>
      <c r="B464" s="12" t="s">
        <v>487</v>
      </c>
      <c r="C464" s="13" t="s">
        <v>1793</v>
      </c>
      <c r="E464" s="12" t="str">
        <f>IF(NodesData[[#This Row],[Class Disambiguation]]="",NodesData[[#This Row],[Common Name]],NodesData[[#This Row],[Common Name]]&amp;" ("&amp;NodesData[[#This Row],[Class Disambiguation]]&amp;")")</f>
        <v>User De-Provisioning</v>
      </c>
      <c r="G464" s="12" t="s">
        <v>1206</v>
      </c>
      <c r="H464" s="19" t="str" cm="1">
        <f t="array" ref="H464">"n"&amp;SUBSTITUTE(CreateGuidString(),"-","_")</f>
        <v>n8AA82154_6CB2_4CA8_ACC9_25E02CC210A8</v>
      </c>
    </row>
    <row r="465" spans="1:8" x14ac:dyDescent="0.35">
      <c r="A4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Entitlement Reviews</v>
      </c>
      <c r="B465" s="12" t="s">
        <v>1207</v>
      </c>
      <c r="C465" s="13" t="s">
        <v>1794</v>
      </c>
      <c r="E465" s="12" t="str">
        <f>IF(NodesData[[#This Row],[Class Disambiguation]]="",NodesData[[#This Row],[Common Name]],NodesData[[#This Row],[Common Name]]&amp;" ("&amp;NodesData[[#This Row],[Class Disambiguation]]&amp;")")</f>
        <v>User Entitlement Reviews</v>
      </c>
      <c r="G465" s="12" t="s">
        <v>1208</v>
      </c>
      <c r="H465" s="19" t="str" cm="1">
        <f t="array" ref="H465">"n"&amp;SUBSTITUTE(CreateGuidString(),"-","_")</f>
        <v>n67BC6138_DFA5_4E58_92F5_CEC31822BD62</v>
      </c>
    </row>
    <row r="466" spans="1:8" x14ac:dyDescent="0.35">
      <c r="A4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ID (Acronym)</v>
      </c>
      <c r="B466" s="12" t="s">
        <v>489</v>
      </c>
      <c r="C466" s="13" t="s">
        <v>1795</v>
      </c>
      <c r="D466" s="12" t="s">
        <v>1270</v>
      </c>
      <c r="E466" s="12" t="str">
        <f>IF(NodesData[[#This Row],[Class Disambiguation]]="",NodesData[[#This Row],[Common Name]],NodesData[[#This Row],[Common Name]]&amp;" ("&amp;NodesData[[#This Row],[Class Disambiguation]]&amp;")")</f>
        <v>User ID (Acronym)</v>
      </c>
      <c r="G466" s="12" t="s">
        <v>1209</v>
      </c>
      <c r="H466" s="19" t="str" cm="1">
        <f t="array" ref="H466">"n"&amp;SUBSTITUTE(CreateGuidString(),"-","_")</f>
        <v>n99EE888F_055D_45DB_B44C_286F09AB2A0F</v>
      </c>
    </row>
    <row r="467" spans="1:8" x14ac:dyDescent="0.35">
      <c r="A4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Provisioning</v>
      </c>
      <c r="B467" s="12" t="s">
        <v>491</v>
      </c>
      <c r="C467" s="13" t="s">
        <v>1796</v>
      </c>
      <c r="E467" s="12" t="str">
        <f>IF(NodesData[[#This Row],[Class Disambiguation]]="",NodesData[[#This Row],[Common Name]],NodesData[[#This Row],[Common Name]]&amp;" ("&amp;NodesData[[#This Row],[Class Disambiguation]]&amp;")")</f>
        <v>User Provisioning</v>
      </c>
      <c r="G467" s="12" t="s">
        <v>1210</v>
      </c>
      <c r="H467" s="19" t="str" cm="1">
        <f t="array" ref="H467">"n"&amp;SUBSTITUTE(CreateGuidString(),"-","_")</f>
        <v>n31B6054E_1659_4471_88B0_FED1B2C7556E</v>
      </c>
    </row>
    <row r="468" spans="1:8" x14ac:dyDescent="0.35">
      <c r="A4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User-Centric Identity Management System</v>
      </c>
      <c r="B468" s="12" t="s">
        <v>486</v>
      </c>
      <c r="C468" s="13" t="s">
        <v>1792</v>
      </c>
      <c r="E468" s="12" t="str">
        <f>IF(NodesData[[#This Row],[Class Disambiguation]]="",NodesData[[#This Row],[Common Name]],NodesData[[#This Row],[Common Name]]&amp;" ("&amp;NodesData[[#This Row],[Class Disambiguation]]&amp;")")</f>
        <v>User-Centric Identity Management System</v>
      </c>
      <c r="G468" s="12" t="s">
        <v>1211</v>
      </c>
      <c r="H468" s="19" t="str" cm="1">
        <f t="array" ref="H468">"n"&amp;SUBSTITUTE(CreateGuidString(),"-","_")</f>
        <v>nFEB0E696_1375_4051_8FDA_84B48C571136</v>
      </c>
    </row>
    <row r="469" spans="1:8" x14ac:dyDescent="0.35">
      <c r="A4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Username</v>
      </c>
      <c r="B469" s="12" t="s">
        <v>490</v>
      </c>
      <c r="C469" s="13" t="s">
        <v>1797</v>
      </c>
      <c r="E469" s="12" t="str">
        <f>IF(NodesData[[#This Row],[Class Disambiguation]]="",NodesData[[#This Row],[Common Name]],NodesData[[#This Row],[Common Name]]&amp;" ("&amp;NodesData[[#This Row],[Class Disambiguation]]&amp;")")</f>
        <v>Username</v>
      </c>
      <c r="G469" s="12" t="s">
        <v>1212</v>
      </c>
      <c r="H469" s="19" t="str" cm="1">
        <f t="array" ref="H469">"n"&amp;SUBSTITUTE(CreateGuidString(),"-","_")</f>
        <v>n69EDBA53_8750_4B24_8C29_82AF1A14CEB6</v>
      </c>
    </row>
    <row r="470" spans="1:8" x14ac:dyDescent="0.35">
      <c r="A4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Verifiable Claim</v>
      </c>
      <c r="B470" s="12" t="s">
        <v>492</v>
      </c>
      <c r="C470" s="13" t="s">
        <v>1798</v>
      </c>
      <c r="E470" s="12" t="str">
        <f>IF(NodesData[[#This Row],[Class Disambiguation]]="",NodesData[[#This Row],[Common Name]],NodesData[[#This Row],[Common Name]]&amp;" ("&amp;NodesData[[#This Row],[Class Disambiguation]]&amp;")")</f>
        <v>Verifiable Claim</v>
      </c>
      <c r="G470" s="12" t="s">
        <v>1213</v>
      </c>
      <c r="H470" s="19" t="str" cm="1">
        <f t="array" ref="H470">"n"&amp;SUBSTITUTE(CreateGuidString(),"-","_")</f>
        <v>nEF3BF736_4A5B_4BC1_89FE_C92D8C76B543</v>
      </c>
    </row>
    <row r="471" spans="1:8" x14ac:dyDescent="0.35">
      <c r="A4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Verification</v>
      </c>
      <c r="B471" s="12" t="s">
        <v>493</v>
      </c>
      <c r="C471" s="13" t="s">
        <v>1799</v>
      </c>
      <c r="E471" s="12" t="str">
        <f>IF(NodesData[[#This Row],[Class Disambiguation]]="",NodesData[[#This Row],[Common Name]],NodesData[[#This Row],[Common Name]]&amp;" ("&amp;NodesData[[#This Row],[Class Disambiguation]]&amp;")")</f>
        <v>Verification</v>
      </c>
      <c r="G471" s="12" t="s">
        <v>1214</v>
      </c>
      <c r="H471" s="19" t="str" cm="1">
        <f t="array" ref="H471">"n"&amp;SUBSTITUTE(CreateGuidString(),"-","_")</f>
        <v>n4240A93F_910E_4BB3_B46B_93D73C09379D</v>
      </c>
    </row>
    <row r="472" spans="1:8" x14ac:dyDescent="0.35">
      <c r="A4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Virtual Directory</v>
      </c>
      <c r="B472" s="12" t="s">
        <v>1215</v>
      </c>
      <c r="C472" s="13" t="s">
        <v>1800</v>
      </c>
      <c r="E472" s="12" t="str">
        <f>IF(NodesData[[#This Row],[Class Disambiguation]]="",NodesData[[#This Row],[Common Name]],NodesData[[#This Row],[Common Name]]&amp;" ("&amp;NodesData[[#This Row],[Class Disambiguation]]&amp;")")</f>
        <v>Virtual Directory</v>
      </c>
      <c r="G472" s="12" t="s">
        <v>1216</v>
      </c>
      <c r="H472" s="19" t="str" cm="1">
        <f t="array" ref="H472">"n"&amp;SUBSTITUTE(CreateGuidString(),"-","_")</f>
        <v>n2F4668F8_E3AD_47F0_AFBB_11310EAD1734</v>
      </c>
    </row>
    <row r="473" spans="1:8" x14ac:dyDescent="0.35">
      <c r="A4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Virtual Private Network</v>
      </c>
      <c r="B473" s="12" t="s">
        <v>1217</v>
      </c>
      <c r="C473" s="13" t="s">
        <v>1801</v>
      </c>
      <c r="E473" s="12" t="str">
        <f>IF(NodesData[[#This Row],[Class Disambiguation]]="",NodesData[[#This Row],[Common Name]],NodesData[[#This Row],[Common Name]]&amp;" ("&amp;NodesData[[#This Row],[Class Disambiguation]]&amp;")")</f>
        <v>Virtual Private Network</v>
      </c>
      <c r="G473" s="12" t="s">
        <v>1218</v>
      </c>
      <c r="H473" s="19" t="str" cm="1">
        <f t="array" ref="H473">"n"&amp;SUBSTITUTE(CreateGuidString(),"-","_")</f>
        <v>n8C0C14E5_7803_41D1_A1BE_3CB42146DE2D</v>
      </c>
    </row>
    <row r="474" spans="1:8" x14ac:dyDescent="0.35">
      <c r="A4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Virtual Risk and Security Site Review</v>
      </c>
      <c r="B474" s="12" t="s">
        <v>1219</v>
      </c>
      <c r="C474" s="13" t="s">
        <v>1802</v>
      </c>
      <c r="E474" s="12" t="str">
        <f>IF(NodesData[[#This Row],[Class Disambiguation]]="",NodesData[[#This Row],[Common Name]],NodesData[[#This Row],[Common Name]]&amp;" ("&amp;NodesData[[#This Row],[Class Disambiguation]]&amp;")")</f>
        <v>Virtual Risk and Security Site Review</v>
      </c>
      <c r="G474" s="12" t="s">
        <v>1220</v>
      </c>
      <c r="H474" s="19" t="str" cm="1">
        <f t="array" ref="H474">"n"&amp;SUBSTITUTE(CreateGuidString(),"-","_")</f>
        <v>nE6247CDE_1DF3_4130_9F86_B4700C3EEEA3</v>
      </c>
    </row>
    <row r="475" spans="1:8" x14ac:dyDescent="0.35">
      <c r="A4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Voice OTP</v>
      </c>
      <c r="B475" s="12" t="s">
        <v>1323</v>
      </c>
      <c r="C475" s="13" t="s">
        <v>1803</v>
      </c>
      <c r="E475" s="12" t="str">
        <f>IF(NodesData[[#This Row],[Class Disambiguation]]="",NodesData[[#This Row],[Common Name]],NodesData[[#This Row],[Common Name]]&amp;" ("&amp;NodesData[[#This Row],[Class Disambiguation]]&amp;")")</f>
        <v>Voice OTP</v>
      </c>
      <c r="H475" s="19" t="str" cm="1">
        <f t="array" ref="H475">"n"&amp;SUBSTITUTE(CreateGuidString(),"-","_")</f>
        <v>n920F92EC_1FEE_47E8_B6E6_234C9F7746A8</v>
      </c>
    </row>
    <row r="476" spans="1:8" x14ac:dyDescent="0.35">
      <c r="A4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Voice Recognition Authentication</v>
      </c>
      <c r="B476" s="12" t="s">
        <v>1315</v>
      </c>
      <c r="C476" s="13" t="s">
        <v>1806</v>
      </c>
      <c r="E476" s="12" t="str">
        <f>IF(NodesData[[#This Row],[Class Disambiguation]]="",NodesData[[#This Row],[Common Name]],NodesData[[#This Row],[Common Name]]&amp;" ("&amp;NodesData[[#This Row],[Class Disambiguation]]&amp;")")</f>
        <v>Voice Recognition Authentication</v>
      </c>
      <c r="H476" s="19" t="str" cm="1">
        <f t="array" ref="H476">"n"&amp;SUBSTITUTE(CreateGuidString(),"-","_")</f>
        <v>nDF48E1E3_89C6_47E3_B37C_0159734E72C3</v>
      </c>
    </row>
    <row r="477" spans="1:8" x14ac:dyDescent="0.35">
      <c r="A4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VPN (Acronym)</v>
      </c>
      <c r="B477" s="12" t="s">
        <v>1221</v>
      </c>
      <c r="C477" s="13" t="s">
        <v>1805</v>
      </c>
      <c r="D477" s="12" t="s">
        <v>1270</v>
      </c>
      <c r="E477" s="12" t="str">
        <f>IF(NodesData[[#This Row],[Class Disambiguation]]="",NodesData[[#This Row],[Common Name]],NodesData[[#This Row],[Common Name]]&amp;" ("&amp;NodesData[[#This Row],[Class Disambiguation]]&amp;")")</f>
        <v>VPN (Acronym)</v>
      </c>
      <c r="G477" s="12" t="s">
        <v>1222</v>
      </c>
      <c r="H477" s="19" t="str" cm="1">
        <f t="array" ref="H477">"n"&amp;SUBSTITUTE(CreateGuidString(),"-","_")</f>
        <v>n6BEE5052_6FE5_45D0_AF64_2FD301A4D95C</v>
      </c>
    </row>
    <row r="478" spans="1:8" x14ac:dyDescent="0.35">
      <c r="A4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Weak Authentication</v>
      </c>
      <c r="B478" s="12" t="s">
        <v>1223</v>
      </c>
      <c r="C478" s="13" t="s">
        <v>1828</v>
      </c>
      <c r="E478" s="12" t="str">
        <f>IF(NodesData[[#This Row],[Class Disambiguation]]="",NodesData[[#This Row],[Common Name]],NodesData[[#This Row],[Common Name]]&amp;" ("&amp;NodesData[[#This Row],[Class Disambiguation]]&amp;")")</f>
        <v>Weak Authentication</v>
      </c>
      <c r="G478" s="12" t="s">
        <v>1224</v>
      </c>
      <c r="H478" s="19" t="str" cm="1">
        <f t="array" ref="H478">"n"&amp;SUBSTITUTE(CreateGuidString(),"-","_")</f>
        <v>nC0F7B599_3C10_400D_A115_559049881DDD</v>
      </c>
    </row>
    <row r="479" spans="1:8" x14ac:dyDescent="0.35">
      <c r="A4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Weak Tranquility Property</v>
      </c>
      <c r="B479" s="12" t="s">
        <v>1225</v>
      </c>
      <c r="C479" s="13" t="s">
        <v>1807</v>
      </c>
      <c r="E479" s="12" t="str">
        <f>IF(NodesData[[#This Row],[Class Disambiguation]]="",NodesData[[#This Row],[Common Name]],NodesData[[#This Row],[Common Name]]&amp;" ("&amp;NodesData[[#This Row],[Class Disambiguation]]&amp;")")</f>
        <v>Weak Tranquility Property</v>
      </c>
      <c r="G479" s="12" t="s">
        <v>1226</v>
      </c>
      <c r="H479" s="19" t="str" cm="1">
        <f t="array" ref="H479">"n"&amp;SUBSTITUTE(CreateGuidString(),"-","_")</f>
        <v>n0B29C355_B658_42DF_AF54_AC970C5BB3B1</v>
      </c>
    </row>
    <row r="480" spans="1:8" x14ac:dyDescent="0.35">
      <c r="A4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Web-based Single Sign-On</v>
      </c>
      <c r="B480" s="12" t="s">
        <v>1227</v>
      </c>
      <c r="C480" s="13" t="s">
        <v>1808</v>
      </c>
      <c r="E480" s="12" t="str">
        <f>IF(NodesData[[#This Row],[Class Disambiguation]]="",NodesData[[#This Row],[Common Name]],NodesData[[#This Row],[Common Name]]&amp;" ("&amp;NodesData[[#This Row],[Class Disambiguation]]&amp;")")</f>
        <v>Web-based Single Sign-On</v>
      </c>
      <c r="G480" s="12" t="s">
        <v>1228</v>
      </c>
      <c r="H480" s="19" t="str" cm="1">
        <f t="array" ref="H480">"n"&amp;SUBSTITUTE(CreateGuidString(),"-","_")</f>
        <v>n2BD7ABC2_91AB_4581_A32B_746283DC8BFD</v>
      </c>
    </row>
    <row r="481" spans="1:8" x14ac:dyDescent="0.35">
      <c r="A4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(Non-Default) Local User Account</v>
      </c>
      <c r="B481" s="12" t="s">
        <v>1229</v>
      </c>
      <c r="C481" s="13" t="s">
        <v>1809</v>
      </c>
      <c r="E481" s="12" t="str">
        <f>IF(NodesData[[#This Row],[Class Disambiguation]]="",NodesData[[#This Row],[Common Name]],NodesData[[#This Row],[Common Name]]&amp;" ("&amp;NodesData[[#This Row],[Class Disambiguation]]&amp;")")</f>
        <v>Windows (Non-Default) Local User Account</v>
      </c>
      <c r="G481" s="12" t="s">
        <v>1230</v>
      </c>
      <c r="H481" s="19" t="str" cm="1">
        <f t="array" ref="H481">"n"&amp;SUBSTITUTE(CreateGuidString(),"-","_")</f>
        <v>n4CE457FE_419B_4025_A037_155EDB18D449</v>
      </c>
    </row>
    <row r="482" spans="1:8" x14ac:dyDescent="0.35">
      <c r="A4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Default Local System Account</v>
      </c>
      <c r="B482" s="12" t="s">
        <v>1231</v>
      </c>
      <c r="C482" s="13" t="s">
        <v>1810</v>
      </c>
      <c r="E482" s="12" t="str">
        <f>IF(NodesData[[#This Row],[Class Disambiguation]]="",NodesData[[#This Row],[Common Name]],NodesData[[#This Row],[Common Name]]&amp;" ("&amp;NodesData[[#This Row],[Class Disambiguation]]&amp;")")</f>
        <v>Windows Default Local System Account</v>
      </c>
      <c r="G482" s="12" t="s">
        <v>1232</v>
      </c>
      <c r="H482" s="19" t="str" cm="1">
        <f t="array" ref="H482">"n"&amp;SUBSTITUTE(CreateGuidString(),"-","_")</f>
        <v>n205A3431_ECEA_4E61_8ED7_1E4AF4441C65</v>
      </c>
    </row>
    <row r="483" spans="1:8" x14ac:dyDescent="0.35">
      <c r="A4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Default Local User Account</v>
      </c>
      <c r="B483" s="12" t="s">
        <v>1233</v>
      </c>
      <c r="C483" s="13" t="s">
        <v>1811</v>
      </c>
      <c r="E483" s="12" t="str">
        <f>IF(NodesData[[#This Row],[Class Disambiguation]]="",NodesData[[#This Row],[Common Name]],NodesData[[#This Row],[Common Name]]&amp;" ("&amp;NodesData[[#This Row],[Class Disambiguation]]&amp;")")</f>
        <v>Windows Default Local User Account</v>
      </c>
      <c r="G483" s="12" t="s">
        <v>1234</v>
      </c>
      <c r="H483" s="19" t="str" cm="1">
        <f t="array" ref="H483">"n"&amp;SUBSTITUTE(CreateGuidString(),"-","_")</f>
        <v>nD89126D2_091F_40E8_A95A_2B1E16691030</v>
      </c>
    </row>
    <row r="484" spans="1:8" x14ac:dyDescent="0.35">
      <c r="A4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DefaultAccount Account</v>
      </c>
      <c r="B484" s="12" t="s">
        <v>1235</v>
      </c>
      <c r="C484" s="13" t="s">
        <v>1812</v>
      </c>
      <c r="E484" s="12" t="str">
        <f>IF(NodesData[[#This Row],[Class Disambiguation]]="",NodesData[[#This Row],[Common Name]],NodesData[[#This Row],[Common Name]]&amp;" ("&amp;NodesData[[#This Row],[Class Disambiguation]]&amp;")")</f>
        <v>Windows DefaultAccount Account</v>
      </c>
      <c r="G484" s="12" t="s">
        <v>1236</v>
      </c>
      <c r="H484" s="19" t="str" cm="1">
        <f t="array" ref="H484">"n"&amp;SUBSTITUTE(CreateGuidString(),"-","_")</f>
        <v>n26093C28_5C29_429E_B70E_BEADD3F0D08D</v>
      </c>
    </row>
    <row r="485" spans="1:8" x14ac:dyDescent="0.35">
      <c r="A4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Guest Account</v>
      </c>
      <c r="B485" s="12" t="s">
        <v>1237</v>
      </c>
      <c r="C485" s="13" t="s">
        <v>1813</v>
      </c>
      <c r="E485" s="12" t="str">
        <f>IF(NodesData[[#This Row],[Class Disambiguation]]="",NodesData[[#This Row],[Common Name]],NodesData[[#This Row],[Common Name]]&amp;" ("&amp;NodesData[[#This Row],[Class Disambiguation]]&amp;")")</f>
        <v>Windows Guest Account</v>
      </c>
      <c r="G485" s="12" t="s">
        <v>1238</v>
      </c>
      <c r="H485" s="19" t="str" cm="1">
        <f t="array" ref="H485">"n"&amp;SUBSTITUTE(CreateGuidString(),"-","_")</f>
        <v>nDB5AB62A_AC63_4F2D_8712_C208F67DD15B</v>
      </c>
    </row>
    <row r="486" spans="1:8" x14ac:dyDescent="0.35">
      <c r="A4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HelpAssistant Account</v>
      </c>
      <c r="B486" s="12" t="s">
        <v>1239</v>
      </c>
      <c r="C486" s="13" t="s">
        <v>1814</v>
      </c>
      <c r="E486" s="12" t="str">
        <f>IF(NodesData[[#This Row],[Class Disambiguation]]="",NodesData[[#This Row],[Common Name]],NodesData[[#This Row],[Common Name]]&amp;" ("&amp;NodesData[[#This Row],[Class Disambiguation]]&amp;")")</f>
        <v>Windows HelpAssistant Account</v>
      </c>
      <c r="G486" s="12" t="s">
        <v>1240</v>
      </c>
      <c r="H486" s="19" t="str" cm="1">
        <f t="array" ref="H486">"n"&amp;SUBSTITUTE(CreateGuidString(),"-","_")</f>
        <v>n17CBE814_9D2B_4D24_89F2_93EE0FF90E5C</v>
      </c>
    </row>
    <row r="487" spans="1:8" x14ac:dyDescent="0.35">
      <c r="A4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Local Account</v>
      </c>
      <c r="B487" s="12" t="s">
        <v>1241</v>
      </c>
      <c r="C487" s="13" t="s">
        <v>1815</v>
      </c>
      <c r="E487" s="12" t="str">
        <f>IF(NodesData[[#This Row],[Class Disambiguation]]="",NodesData[[#This Row],[Common Name]],NodesData[[#This Row],[Common Name]]&amp;" ("&amp;NodesData[[#This Row],[Class Disambiguation]]&amp;")")</f>
        <v>Windows Local Account</v>
      </c>
      <c r="G487" s="12" t="s">
        <v>1242</v>
      </c>
      <c r="H487" s="19" t="str" cm="1">
        <f t="array" ref="H487">"n"&amp;SUBSTITUTE(CreateGuidString(),"-","_")</f>
        <v>n795C0390_EFD7_4FA2_8028_AF86822D0DA6</v>
      </c>
    </row>
    <row r="488" spans="1:8" x14ac:dyDescent="0.35">
      <c r="A4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Local Administrator Account</v>
      </c>
      <c r="B488" s="12" t="s">
        <v>1243</v>
      </c>
      <c r="C488" s="13" t="s">
        <v>1816</v>
      </c>
      <c r="E488" s="12" t="str">
        <f>IF(NodesData[[#This Row],[Class Disambiguation]]="",NodesData[[#This Row],[Common Name]],NodesData[[#This Row],[Common Name]]&amp;" ("&amp;NodesData[[#This Row],[Class Disambiguation]]&amp;")")</f>
        <v>Windows Local Administrator Account</v>
      </c>
      <c r="G488" s="12" t="s">
        <v>1244</v>
      </c>
      <c r="H488" s="19" t="str" cm="1">
        <f t="array" ref="H488">"n"&amp;SUBSTITUTE(CreateGuidString(),"-","_")</f>
        <v>n5BE7B81A_0262_454B_88A8_16E25769730A</v>
      </c>
    </row>
    <row r="489" spans="1:8" x14ac:dyDescent="0.35">
      <c r="A4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LOCAL SERVICE Account</v>
      </c>
      <c r="B489" s="12" t="s">
        <v>1245</v>
      </c>
      <c r="C489" s="13" t="s">
        <v>1817</v>
      </c>
      <c r="E489" s="12" t="str">
        <f>IF(NodesData[[#This Row],[Class Disambiguation]]="",NodesData[[#This Row],[Common Name]],NodesData[[#This Row],[Common Name]]&amp;" ("&amp;NodesData[[#This Row],[Class Disambiguation]]&amp;")")</f>
        <v>Windows LOCAL SERVICE Account</v>
      </c>
      <c r="G489" s="12" t="s">
        <v>1246</v>
      </c>
      <c r="H489" s="19" t="str" cm="1">
        <f t="array" ref="H489">"n"&amp;SUBSTITUTE(CreateGuidString(),"-","_")</f>
        <v>nA76FC3E7_EFC1_4CE5_ADE0_21F8ECAE6D91</v>
      </c>
    </row>
    <row r="490" spans="1:8" x14ac:dyDescent="0.35">
      <c r="A4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NETWORK SERVICE Account</v>
      </c>
      <c r="B490" s="12" t="s">
        <v>1247</v>
      </c>
      <c r="C490" s="13" t="s">
        <v>1818</v>
      </c>
      <c r="E490" s="12" t="str">
        <f>IF(NodesData[[#This Row],[Class Disambiguation]]="",NodesData[[#This Row],[Common Name]],NodesData[[#This Row],[Common Name]]&amp;" ("&amp;NodesData[[#This Row],[Class Disambiguation]]&amp;")")</f>
        <v>Windows NETWORK SERVICE Account</v>
      </c>
      <c r="G490" s="12" t="s">
        <v>1248</v>
      </c>
      <c r="H490" s="19" t="str" cm="1">
        <f t="array" ref="H490">"n"&amp;SUBSTITUTE(CreateGuidString(),"-","_")</f>
        <v>nF2A3E795_1CCD_4AAF_BE26_AEF7172AA4D5</v>
      </c>
    </row>
    <row r="491" spans="1:8" x14ac:dyDescent="0.35">
      <c r="A4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Security Identifier</v>
      </c>
      <c r="B491" s="12" t="s">
        <v>1249</v>
      </c>
      <c r="C491" s="13" t="s">
        <v>1819</v>
      </c>
      <c r="E491" s="12" t="str">
        <f>IF(NodesData[[#This Row],[Class Disambiguation]]="",NodesData[[#This Row],[Common Name]],NodesData[[#This Row],[Common Name]]&amp;" ("&amp;NodesData[[#This Row],[Class Disambiguation]]&amp;")")</f>
        <v>Windows Security Identifier</v>
      </c>
      <c r="G491" s="12" t="s">
        <v>1250</v>
      </c>
      <c r="H491" s="19" t="str" cm="1">
        <f t="array" ref="H491">"n"&amp;SUBSTITUTE(CreateGuidString(),"-","_")</f>
        <v>nBEF671E0_FDFD_4A4A_8517_590BE4157DD8</v>
      </c>
    </row>
    <row r="492" spans="1:8" x14ac:dyDescent="0.35">
      <c r="A4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SYSTEM Account</v>
      </c>
      <c r="B492" s="12" t="s">
        <v>1251</v>
      </c>
      <c r="C492" s="13" t="s">
        <v>1820</v>
      </c>
      <c r="E492" s="12" t="str">
        <f>IF(NodesData[[#This Row],[Class Disambiguation]]="",NodesData[[#This Row],[Common Name]],NodesData[[#This Row],[Common Name]]&amp;" ("&amp;NodesData[[#This Row],[Class Disambiguation]]&amp;")")</f>
        <v>Windows SYSTEM Account</v>
      </c>
      <c r="G492" s="12" t="s">
        <v>1252</v>
      </c>
      <c r="H492" s="19" t="str" cm="1">
        <f t="array" ref="H492">"n"&amp;SUBSTITUTE(CreateGuidString(),"-","_")</f>
        <v>n9D2D3609_9654_4BB5_ADE6_103800722985</v>
      </c>
    </row>
    <row r="493" spans="1:8" x14ac:dyDescent="0.35">
      <c r="A4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Worker</v>
      </c>
      <c r="B493" s="12" t="s">
        <v>1253</v>
      </c>
      <c r="C493" s="13" t="s">
        <v>1821</v>
      </c>
      <c r="E493" s="12" t="str">
        <f>IF(NodesData[[#This Row],[Class Disambiguation]]="",NodesData[[#This Row],[Common Name]],NodesData[[#This Row],[Common Name]]&amp;" ("&amp;NodesData[[#This Row],[Class Disambiguation]]&amp;")")</f>
        <v>Worker</v>
      </c>
      <c r="G493" s="12" t="s">
        <v>1254</v>
      </c>
      <c r="H493" s="19" t="str" cm="1">
        <f t="array" ref="H493">"n"&amp;SUBSTITUTE(CreateGuidString(),"-","_")</f>
        <v>n52AC2A37_8B9B_4485_90A8_9991EED12530</v>
      </c>
    </row>
    <row r="494" spans="1:8" x14ac:dyDescent="0.35">
      <c r="A4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Workflow-Sensitive Access Control</v>
      </c>
      <c r="B494" s="12" t="s">
        <v>1255</v>
      </c>
      <c r="C494" s="13" t="s">
        <v>1822</v>
      </c>
      <c r="E494" s="12" t="str">
        <f>IF(NodesData[[#This Row],[Class Disambiguation]]="",NodesData[[#This Row],[Common Name]],NodesData[[#This Row],[Common Name]]&amp;" ("&amp;NodesData[[#This Row],[Class Disambiguation]]&amp;")")</f>
        <v>Workflow-Sensitive Access Control</v>
      </c>
      <c r="G494" s="12" t="s">
        <v>1256</v>
      </c>
      <c r="H494" s="19" t="str" cm="1">
        <f t="array" ref="H494">"n"&amp;SUBSTITUTE(CreateGuidString(),"-","_")</f>
        <v>n222EEED1_FDBC_48E6_892E_0F57C783040D</v>
      </c>
    </row>
    <row r="495" spans="1:8" x14ac:dyDescent="0.35">
      <c r="A4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Workforce</v>
      </c>
      <c r="B495" s="12" t="s">
        <v>1257</v>
      </c>
      <c r="C495" s="13" t="s">
        <v>1823</v>
      </c>
      <c r="E495" s="12" t="str">
        <f>IF(NodesData[[#This Row],[Class Disambiguation]]="",NodesData[[#This Row],[Common Name]],NodesData[[#This Row],[Common Name]]&amp;" ("&amp;NodesData[[#This Row],[Class Disambiguation]]&amp;")")</f>
        <v>Workforce</v>
      </c>
      <c r="G495" s="12" t="s">
        <v>1258</v>
      </c>
      <c r="H495" s="19" t="str" cm="1">
        <f t="array" ref="H495">"n"&amp;SUBSTITUTE(CreateGuidString(),"-","_")</f>
        <v>n176BA9AD_80B3_40B5_9901_BAF253D0DB3B</v>
      </c>
    </row>
    <row r="496" spans="1:8" x14ac:dyDescent="0.35">
      <c r="A4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XACML (Acronym)</v>
      </c>
      <c r="B496" s="12" t="s">
        <v>1259</v>
      </c>
      <c r="C496" s="13" t="s">
        <v>1824</v>
      </c>
      <c r="D496" s="12" t="s">
        <v>1270</v>
      </c>
      <c r="E496" s="12" t="str">
        <f>IF(NodesData[[#This Row],[Class Disambiguation]]="",NodesData[[#This Row],[Common Name]],NodesData[[#This Row],[Common Name]]&amp;" ("&amp;NodesData[[#This Row],[Class Disambiguation]]&amp;")")</f>
        <v>XACML (Acronym)</v>
      </c>
      <c r="G496" s="12" t="s">
        <v>1260</v>
      </c>
      <c r="H496" s="19" t="str" cm="1">
        <f t="array" ref="H496">"n"&amp;SUBSTITUTE(CreateGuidString(),"-","_")</f>
        <v>nD7B21893_4E7E_471A_9BE1_263509134CE4</v>
      </c>
    </row>
    <row r="497" spans="1:8" x14ac:dyDescent="0.35">
      <c r="A4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Zero-Trust Access</v>
      </c>
      <c r="B497" s="12" t="s">
        <v>517</v>
      </c>
      <c r="C497" s="13" t="s">
        <v>1825</v>
      </c>
      <c r="E497" s="12" t="str">
        <f>IF(NodesData[[#This Row],[Class Disambiguation]]="",NodesData[[#This Row],[Common Name]],NodesData[[#This Row],[Common Name]]&amp;" ("&amp;NodesData[[#This Row],[Class Disambiguation]]&amp;")")</f>
        <v>Zero-Trust Access</v>
      </c>
      <c r="G497" s="12" t="s">
        <v>1261</v>
      </c>
      <c r="H497" s="19" t="str" cm="1">
        <f t="array" ref="H497">"n"&amp;SUBSTITUTE(CreateGuidString(),"-","_")</f>
        <v>nF1D95067_8D5C_41C0_9D12_6EB04125B368</v>
      </c>
    </row>
    <row r="498" spans="1:8" x14ac:dyDescent="0.35">
      <c r="A4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Zombie Account</v>
      </c>
      <c r="B498" s="12" t="s">
        <v>518</v>
      </c>
      <c r="C498" s="13" t="s">
        <v>1826</v>
      </c>
      <c r="E498" s="12" t="str">
        <f>IF(NodesData[[#This Row],[Class Disambiguation]]="",NodesData[[#This Row],[Common Name]],NodesData[[#This Row],[Common Name]]&amp;" ("&amp;NodesData[[#This Row],[Class Disambiguation]]&amp;")")</f>
        <v>Zombie Account</v>
      </c>
      <c r="G498" s="12" t="s">
        <v>1262</v>
      </c>
      <c r="H498" s="19" t="str" cm="1">
        <f t="array" ref="H498">"n"&amp;SUBSTITUTE(CreateGuidString(),"-","_")</f>
        <v>n6E76057B_C5F8_4A52_9A26_A4D21E1681AE</v>
      </c>
    </row>
    <row r="499" spans="1:8" x14ac:dyDescent="0.35">
      <c r="A4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ZTA (Acronym)</v>
      </c>
      <c r="B499" s="12" t="s">
        <v>519</v>
      </c>
      <c r="C499" s="13" t="s">
        <v>1827</v>
      </c>
      <c r="D499" s="12" t="s">
        <v>1270</v>
      </c>
      <c r="E499" s="12" t="str">
        <f>IF(NodesData[[#This Row],[Class Disambiguation]]="",NodesData[[#This Row],[Common Name]],NodesData[[#This Row],[Common Name]]&amp;" ("&amp;NodesData[[#This Row],[Class Disambiguation]]&amp;")")</f>
        <v>ZTA (Acronym)</v>
      </c>
      <c r="G499" s="12" t="s">
        <v>1263</v>
      </c>
      <c r="H499" s="19" t="str" cm="1">
        <f t="array" ref="H499">"n"&amp;SUBSTITUTE(CreateGuidString(),"-","_")</f>
        <v>nB0ECD477_52D2_4067_AC9F_45435B60EF78</v>
      </c>
    </row>
  </sheetData>
  <phoneticPr fontId="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F0964-92BD-427C-8B61-275EEB2ACF6F}">
  <sheetPr codeName="Sheet11">
    <tabColor theme="9"/>
  </sheetPr>
  <dimension ref="A1:H90"/>
  <sheetViews>
    <sheetView tabSelected="1" topLeftCell="B1" zoomScale="120" zoomScaleNormal="120" workbookViewId="0">
      <selection activeCell="G3" sqref="G3"/>
    </sheetView>
  </sheetViews>
  <sheetFormatPr defaultRowHeight="12.75" x14ac:dyDescent="0.35"/>
  <cols>
    <col min="1" max="2" width="23" style="12" bestFit="1" customWidth="1"/>
    <col min="3" max="3" width="31.19921875" style="12" customWidth="1"/>
    <col min="4" max="4" width="12.6640625" style="12" customWidth="1"/>
    <col min="5" max="5" width="5.53125" style="12" bestFit="1" customWidth="1"/>
    <col min="6" max="6" width="34.73046875" style="12" customWidth="1"/>
    <col min="7" max="7" width="23" style="12" bestFit="1" customWidth="1"/>
    <col min="8" max="8" width="25.6640625" style="12" bestFit="1" customWidth="1"/>
    <col min="9" max="16384" width="9.06640625" style="12"/>
  </cols>
  <sheetData>
    <row r="1" spans="1:8" x14ac:dyDescent="0.35">
      <c r="A1" s="11" t="s">
        <v>1850</v>
      </c>
      <c r="B1" s="11" t="s">
        <v>1849</v>
      </c>
      <c r="C1" s="11" t="s">
        <v>1851</v>
      </c>
      <c r="D1" s="11" t="s">
        <v>1852</v>
      </c>
      <c r="E1" s="11" t="s">
        <v>1853</v>
      </c>
      <c r="F1" s="11" t="s">
        <v>1854</v>
      </c>
      <c r="G1" s="11" t="s">
        <v>1855</v>
      </c>
      <c r="H1" s="11" t="s">
        <v>1908</v>
      </c>
    </row>
    <row r="2" spans="1:8" x14ac:dyDescent="0.35">
      <c r="A2" s="13" t="s">
        <v>1863</v>
      </c>
      <c r="B2" s="13" t="str">
        <f>VLOOKUP(EdgesData[[#This Row],[Node A]],NodesData[],3,FALSE)</f>
        <v>nB3F90AFA_FC46_4122_9901_4FF284E9E7EC</v>
      </c>
      <c r="C2" s="11" t="s">
        <v>1966</v>
      </c>
      <c r="D2" s="11" t="s">
        <v>1838</v>
      </c>
      <c r="E2" s="11"/>
      <c r="F2" s="15" t="s">
        <v>543</v>
      </c>
      <c r="G2" s="13" t="str">
        <f>VLOOKUP(EdgesData[[#This Row],[Node B]],NodesData[],3,FALSE)</f>
        <v>nE49F9EAF_3DC5_47FA_9722_CDE0190EAD09</v>
      </c>
      <c r="H2" s="14" t="str" cm="1">
        <f t="array" ref="H2">"n"&amp;SUBSTITUTE(CreateGuidString(),"-","_")</f>
        <v>n468E091A_D635_4B66_9E9F_50250A40BACD</v>
      </c>
    </row>
    <row r="3" spans="1:8" x14ac:dyDescent="0.35">
      <c r="A3" s="13" t="s">
        <v>1872</v>
      </c>
      <c r="B3" s="13" t="str">
        <f>VLOOKUP(EdgesData[[#This Row],[Node A]],NodesData[],3,FALSE)</f>
        <v>nAC688165_B606_4D82_A016_0263D701EDF2</v>
      </c>
      <c r="C3" s="16" t="s">
        <v>618</v>
      </c>
      <c r="D3" s="11" t="s">
        <v>1343</v>
      </c>
      <c r="E3" s="11"/>
      <c r="F3" s="11" t="s">
        <v>1332</v>
      </c>
      <c r="G3" s="13" t="str">
        <f>VLOOKUP(EdgesData[[#This Row],[Node B]],NodesData[],3,FALSE)</f>
        <v>n53877DB9_77FA_44E9_974A_BE3344133398</v>
      </c>
      <c r="H3" s="14" t="str" cm="1">
        <f t="array" ref="H3">"n"&amp;SUBSTITUTE(CreateGuidString(),"-","_")</f>
        <v>nC2897412_1DFC_43D6_8283_A319DF8413FF</v>
      </c>
    </row>
    <row r="4" spans="1:8" x14ac:dyDescent="0.35">
      <c r="A4" s="13" t="s">
        <v>1857</v>
      </c>
      <c r="B4" s="13" t="str">
        <f>VLOOKUP(EdgesData[[#This Row],[Node A]],NodesData[],3,FALSE)</f>
        <v>n8B61F4C7_8FA2_43DC_B58C_AB2C5C0A8877</v>
      </c>
      <c r="C4" s="12" t="s">
        <v>79</v>
      </c>
      <c r="D4" s="12" t="s">
        <v>1343</v>
      </c>
      <c r="F4" s="12" t="s">
        <v>1337</v>
      </c>
      <c r="G4" s="13" t="str">
        <f>VLOOKUP(EdgesData[[#This Row],[Node B]],NodesData[],3,FALSE)</f>
        <v>nCEEB6DF9_D56B_4A1B_9B36_35674D25F038</v>
      </c>
      <c r="H4" s="14" t="str" cm="1">
        <f t="array" ref="H4">"n"&amp;SUBSTITUTE(CreateGuidString(),"-","_")</f>
        <v>nC4C8CE77_401A_497F_B27B_D181DE00F4C7</v>
      </c>
    </row>
    <row r="5" spans="1:8" x14ac:dyDescent="0.35">
      <c r="A5" s="13" t="s">
        <v>1868</v>
      </c>
      <c r="B5" s="13" t="str">
        <f>VLOOKUP(EdgesData[[#This Row],[Node A]],NodesData[],3,FALSE)</f>
        <v>n8B61F4C7_8FA2_43DC_B58C_AB2C5C0A8877</v>
      </c>
      <c r="C5" s="12" t="s">
        <v>79</v>
      </c>
      <c r="D5" s="12" t="s">
        <v>1338</v>
      </c>
      <c r="F5" s="12" t="s">
        <v>454</v>
      </c>
      <c r="G5" s="13" t="str">
        <f>VLOOKUP(EdgesData[[#This Row],[Node B]],NodesData[],3,FALSE)</f>
        <v>nFC4AFBE3_7D71_456A_AFC1_16F1F34558F5</v>
      </c>
      <c r="H5" s="14" t="str" cm="1">
        <f t="array" ref="H5">"n"&amp;SUBSTITUTE(CreateGuidString(),"-","_")</f>
        <v>n0F28B661_9A67_4BAE_9A38_55D958B2B110</v>
      </c>
    </row>
    <row r="6" spans="1:8" x14ac:dyDescent="0.35">
      <c r="A6" s="13" t="s">
        <v>1869</v>
      </c>
      <c r="B6" s="13" t="str">
        <f>VLOOKUP(EdgesData[[#This Row],[Node A]],NodesData[],3,FALSE)</f>
        <v>n8B61F4C7_8FA2_43DC_B58C_AB2C5C0A8877</v>
      </c>
      <c r="C6" s="12" t="s">
        <v>79</v>
      </c>
      <c r="D6" s="12" t="s">
        <v>1339</v>
      </c>
      <c r="F6" s="11" t="s">
        <v>1842</v>
      </c>
      <c r="G6" s="13" t="str">
        <f>VLOOKUP(EdgesData[[#This Row],[Node B]],NodesData[],3,FALSE)</f>
        <v>n1546AAB1_79BC_427B_AC2C_31B1E8FA4616</v>
      </c>
      <c r="H6" s="14" t="str" cm="1">
        <f t="array" ref="H6">"n"&amp;SUBSTITUTE(CreateGuidString(),"-","_")</f>
        <v>n31DD2980_8A43_4B26_AC8F_E1BD1FB1D3DF</v>
      </c>
    </row>
    <row r="7" spans="1:8" x14ac:dyDescent="0.35">
      <c r="A7" s="13" t="s">
        <v>1873</v>
      </c>
      <c r="B7" s="13" t="str">
        <f>VLOOKUP(EdgesData[[#This Row],[Node A]],NodesData[],3,FALSE)</f>
        <v>n45A95ED6_6BE9_42DC_8F8E_4940542AA763</v>
      </c>
      <c r="C7" s="17" t="s">
        <v>1303</v>
      </c>
      <c r="D7" s="11" t="s">
        <v>1343</v>
      </c>
      <c r="F7" s="11" t="s">
        <v>1332</v>
      </c>
      <c r="G7" s="13" t="str">
        <f>VLOOKUP(EdgesData[[#This Row],[Node B]],NodesData[],3,FALSE)</f>
        <v>n53877DB9_77FA_44E9_974A_BE3344133398</v>
      </c>
      <c r="H7" s="14" t="str" cm="1">
        <f t="array" ref="H7">"n"&amp;SUBSTITUTE(CreateGuidString(),"-","_")</f>
        <v>nCE538E47_70A6_41C6_BC5F_C27723D5A09B</v>
      </c>
    </row>
    <row r="8" spans="1:8" x14ac:dyDescent="0.35">
      <c r="A8" s="13" t="s">
        <v>1874</v>
      </c>
      <c r="B8" s="13" t="str">
        <f>VLOOKUP(EdgesData[[#This Row],[Node A]],NodesData[],3,FALSE)</f>
        <v>n45A95ED6_6BE9_42DC_8F8E_4940542AA763</v>
      </c>
      <c r="C8" s="16" t="s">
        <v>1303</v>
      </c>
      <c r="D8" s="11" t="s">
        <v>1343</v>
      </c>
      <c r="F8" s="11" t="s">
        <v>618</v>
      </c>
      <c r="G8" s="13" t="str">
        <f>VLOOKUP(EdgesData[[#This Row],[Node B]],NodesData[],3,FALSE)</f>
        <v>nAC688165_B606_4D82_A016_0263D701EDF2</v>
      </c>
      <c r="H8" s="14" t="str" cm="1">
        <f t="array" ref="H8">"n"&amp;SUBSTITUTE(CreateGuidString(),"-","_")</f>
        <v>n732FC9EA_C9D9_4F96_A1D9_8457FCFCFACC</v>
      </c>
    </row>
    <row r="9" spans="1:8" x14ac:dyDescent="0.35">
      <c r="A9" s="13" t="s">
        <v>1858</v>
      </c>
      <c r="B9" s="13" t="str">
        <f>VLOOKUP(EdgesData[[#This Row],[Node A]],NodesData[],3,FALSE)</f>
        <v>n09E1C4DC_8D91_4A66_9C50_11DCDC2042FD</v>
      </c>
      <c r="C9" s="12" t="s">
        <v>1345</v>
      </c>
      <c r="D9" s="12" t="s">
        <v>1343</v>
      </c>
      <c r="F9" s="12" t="s">
        <v>1341</v>
      </c>
      <c r="G9" s="13" t="str">
        <f>VLOOKUP(EdgesData[[#This Row],[Node B]],NodesData[],3,FALSE)</f>
        <v>n80310A12_2F48_48B9_A9C3_E6FADD4B55C9</v>
      </c>
      <c r="H9" s="14" t="str" cm="1">
        <f t="array" ref="H9">"n"&amp;SUBSTITUTE(CreateGuidString(),"-","_")</f>
        <v>nE030E268_BC4A_456F_92D9_2331935CA2A1</v>
      </c>
    </row>
    <row r="10" spans="1:8" x14ac:dyDescent="0.35">
      <c r="A10" s="13" t="s">
        <v>1859</v>
      </c>
      <c r="B10" s="13" t="str">
        <f>VLOOKUP(EdgesData[[#This Row],[Node A]],NodesData[],3,FALSE)</f>
        <v>nEE342468_B7F3_4FB0_BA73_C88BBEA8F59E</v>
      </c>
      <c r="C10" s="12" t="s">
        <v>1346</v>
      </c>
      <c r="D10" s="12" t="s">
        <v>1343</v>
      </c>
      <c r="F10" s="12" t="s">
        <v>1341</v>
      </c>
      <c r="G10" s="13" t="str">
        <f>VLOOKUP(EdgesData[[#This Row],[Node B]],NodesData[],3,FALSE)</f>
        <v>n80310A12_2F48_48B9_A9C3_E6FADD4B55C9</v>
      </c>
      <c r="H10" s="14" t="str" cm="1">
        <f t="array" ref="H10">"n"&amp;SUBSTITUTE(CreateGuidString(),"-","_")</f>
        <v>n875E2B7F_660C_40CF_8949_3AF592A072CA</v>
      </c>
    </row>
    <row r="11" spans="1:8" x14ac:dyDescent="0.35">
      <c r="A11" s="13" t="s">
        <v>1862</v>
      </c>
      <c r="B11" s="13" t="str">
        <f>VLOOKUP(EdgesData[[#This Row],[Node A]],NodesData[],3,FALSE)</f>
        <v>n1546AAB1_79BC_427B_AC2C_31B1E8FA4616</v>
      </c>
      <c r="C11" s="11" t="s">
        <v>1842</v>
      </c>
      <c r="D11" s="12" t="s">
        <v>1343</v>
      </c>
      <c r="F11" s="12" t="s">
        <v>1340</v>
      </c>
      <c r="G11" s="13" t="str">
        <f>VLOOKUP(EdgesData[[#This Row],[Node B]],NodesData[],3,FALSE)</f>
        <v>n385B2A02_580E_49B6_8C97_A00DC541C516</v>
      </c>
      <c r="H11" s="14" t="str" cm="1">
        <f t="array" ref="H11">"n"&amp;SUBSTITUTE(CreateGuidString(),"-","_")</f>
        <v>n7CA92152_7A47_46ED_B181_3549427CAF39</v>
      </c>
    </row>
    <row r="12" spans="1:8" x14ac:dyDescent="0.35">
      <c r="A12" s="13" t="s">
        <v>1875</v>
      </c>
      <c r="B12" s="13" t="str">
        <f>VLOOKUP(EdgesData[[#This Row],[Node A]],NodesData[],3,FALSE)</f>
        <v>nA4759A9D_95C0_47CA_B519_8CEF217B2F74</v>
      </c>
      <c r="C12" s="17" t="s">
        <v>1304</v>
      </c>
      <c r="D12" s="11" t="s">
        <v>1343</v>
      </c>
      <c r="F12" s="11" t="s">
        <v>1332</v>
      </c>
      <c r="G12" s="13" t="str">
        <f>VLOOKUP(EdgesData[[#This Row],[Node B]],NodesData[],3,FALSE)</f>
        <v>n53877DB9_77FA_44E9_974A_BE3344133398</v>
      </c>
      <c r="H12" s="14" t="str" cm="1">
        <f t="array" ref="H12">"n"&amp;SUBSTITUTE(CreateGuidString(),"-","_")</f>
        <v>nB13414E7_6B26_44AF_9043_6F67B1D60BDA</v>
      </c>
    </row>
    <row r="13" spans="1:8" x14ac:dyDescent="0.35">
      <c r="A13" s="13" t="s">
        <v>1876</v>
      </c>
      <c r="B13" s="13" t="str">
        <f>VLOOKUP(EdgesData[[#This Row],[Node A]],NodesData[],3,FALSE)</f>
        <v>nA4759A9D_95C0_47CA_B519_8CEF217B2F74</v>
      </c>
      <c r="C13" s="16" t="s">
        <v>1304</v>
      </c>
      <c r="D13" s="11" t="s">
        <v>1343</v>
      </c>
      <c r="F13" s="11" t="s">
        <v>618</v>
      </c>
      <c r="G13" s="13" t="str">
        <f>VLOOKUP(EdgesData[[#This Row],[Node B]],NodesData[],3,FALSE)</f>
        <v>nAC688165_B606_4D82_A016_0263D701EDF2</v>
      </c>
      <c r="H13" s="14" t="str" cm="1">
        <f t="array" ref="H13">"n"&amp;SUBSTITUTE(CreateGuidString(),"-","_")</f>
        <v>n12B61E94_21BF_4011_98B6_284BA8A5EB27</v>
      </c>
    </row>
    <row r="14" spans="1:8" x14ac:dyDescent="0.35">
      <c r="A14" s="13" t="s">
        <v>1877</v>
      </c>
      <c r="B14" s="13" t="str">
        <f>VLOOKUP(EdgesData[[#This Row],[Node A]],NodesData[],3,FALSE)</f>
        <v>nAACCE65E_6554_4FBD_B4D7_A3BA8E3BDB92</v>
      </c>
      <c r="C14" s="17" t="s">
        <v>1835</v>
      </c>
      <c r="D14" s="11" t="s">
        <v>1343</v>
      </c>
      <c r="F14" s="11" t="s">
        <v>1332</v>
      </c>
      <c r="G14" s="13" t="str">
        <f>VLOOKUP(EdgesData[[#This Row],[Node B]],NodesData[],3,FALSE)</f>
        <v>n53877DB9_77FA_44E9_974A_BE3344133398</v>
      </c>
      <c r="H14" s="14" t="str" cm="1">
        <f t="array" ref="H14">"n"&amp;SUBSTITUTE(CreateGuidString(),"-","_")</f>
        <v>nDE99D29F_1C41_4523_BF87_BAD6C2E634FE</v>
      </c>
    </row>
    <row r="15" spans="1:8" x14ac:dyDescent="0.35">
      <c r="A15" s="13" t="s">
        <v>1878</v>
      </c>
      <c r="B15" s="13" t="str">
        <f>VLOOKUP(EdgesData[[#This Row],[Node A]],NodesData[],3,FALSE)</f>
        <v>nAACCE65E_6554_4FBD_B4D7_A3BA8E3BDB92</v>
      </c>
      <c r="C15" s="16" t="s">
        <v>1835</v>
      </c>
      <c r="D15" s="11" t="s">
        <v>1343</v>
      </c>
      <c r="F15" s="11" t="s">
        <v>618</v>
      </c>
      <c r="G15" s="13" t="str">
        <f>VLOOKUP(EdgesData[[#This Row],[Node B]],NodesData[],3,FALSE)</f>
        <v>nAC688165_B606_4D82_A016_0263D701EDF2</v>
      </c>
      <c r="H15" s="14" t="str" cm="1">
        <f t="array" ref="H15">"n"&amp;SUBSTITUTE(CreateGuidString(),"-","_")</f>
        <v>nCAC901A3_0FF2_4E12_B73E_E9CAC4124FF8</v>
      </c>
    </row>
    <row r="16" spans="1:8" x14ac:dyDescent="0.35">
      <c r="A16" s="13" t="s">
        <v>1879</v>
      </c>
      <c r="B16" s="13" t="str">
        <f>VLOOKUP(EdgesData[[#This Row],[Node A]],NodesData[],3,FALSE)</f>
        <v>nF5B3A52F_6645_4E18_BE53_3CA330AAEC4A</v>
      </c>
      <c r="C16" s="17" t="s">
        <v>1307</v>
      </c>
      <c r="D16" s="11" t="s">
        <v>1343</v>
      </c>
      <c r="F16" s="11" t="s">
        <v>1332</v>
      </c>
      <c r="G16" s="13" t="str">
        <f>VLOOKUP(EdgesData[[#This Row],[Node B]],NodesData[],3,FALSE)</f>
        <v>n53877DB9_77FA_44E9_974A_BE3344133398</v>
      </c>
      <c r="H16" s="14" t="str" cm="1">
        <f t="array" ref="H16">"n"&amp;SUBSTITUTE(CreateGuidString(),"-","_")</f>
        <v>n1A871732_DAC0_47C7_A35A_FC53CF960FCF</v>
      </c>
    </row>
    <row r="17" spans="1:8" x14ac:dyDescent="0.35">
      <c r="A17" s="13" t="s">
        <v>1880</v>
      </c>
      <c r="B17" s="13" t="str">
        <f>VLOOKUP(EdgesData[[#This Row],[Node A]],NodesData[],3,FALSE)</f>
        <v>nF5B3A52F_6645_4E18_BE53_3CA330AAEC4A</v>
      </c>
      <c r="C17" s="16" t="s">
        <v>1307</v>
      </c>
      <c r="D17" s="11" t="s">
        <v>1343</v>
      </c>
      <c r="F17" s="11" t="s">
        <v>618</v>
      </c>
      <c r="G17" s="13" t="str">
        <f>VLOOKUP(EdgesData[[#This Row],[Node B]],NodesData[],3,FALSE)</f>
        <v>nAC688165_B606_4D82_A016_0263D701EDF2</v>
      </c>
      <c r="H17" s="14" t="str" cm="1">
        <f t="array" ref="H17">"n"&amp;SUBSTITUTE(CreateGuidString(),"-","_")</f>
        <v>nA353DE36_656F_413A_ADD6_089B79409954</v>
      </c>
    </row>
    <row r="18" spans="1:8" x14ac:dyDescent="0.35">
      <c r="A18" s="13" t="s">
        <v>1881</v>
      </c>
      <c r="B18" s="13" t="str">
        <f>VLOOKUP(EdgesData[[#This Row],[Node A]],NodesData[],3,FALSE)</f>
        <v>nE75296C8_9CA1_417E_B05B_CC1BDF26F9C3</v>
      </c>
      <c r="C18" s="17" t="s">
        <v>1308</v>
      </c>
      <c r="D18" s="11" t="s">
        <v>1343</v>
      </c>
      <c r="F18" s="11" t="s">
        <v>1332</v>
      </c>
      <c r="G18" s="13" t="str">
        <f>VLOOKUP(EdgesData[[#This Row],[Node B]],NodesData[],3,FALSE)</f>
        <v>n53877DB9_77FA_44E9_974A_BE3344133398</v>
      </c>
      <c r="H18" s="14" t="str" cm="1">
        <f t="array" ref="H18">"n"&amp;SUBSTITUTE(CreateGuidString(),"-","_")</f>
        <v>nB2F3DBF3_A01D_4F01_9A4D_277917FE5906</v>
      </c>
    </row>
    <row r="19" spans="1:8" x14ac:dyDescent="0.35">
      <c r="A19" s="13" t="s">
        <v>1882</v>
      </c>
      <c r="B19" s="13" t="str">
        <f>VLOOKUP(EdgesData[[#This Row],[Node A]],NodesData[],3,FALSE)</f>
        <v>nE75296C8_9CA1_417E_B05B_CC1BDF26F9C3</v>
      </c>
      <c r="C19" s="16" t="s">
        <v>1308</v>
      </c>
      <c r="D19" s="11" t="s">
        <v>1343</v>
      </c>
      <c r="E19" s="11"/>
      <c r="F19" s="11" t="s">
        <v>618</v>
      </c>
      <c r="G19" s="13" t="str">
        <f>VLOOKUP(EdgesData[[#This Row],[Node B]],NodesData[],3,FALSE)</f>
        <v>nAC688165_B606_4D82_A016_0263D701EDF2</v>
      </c>
      <c r="H19" s="14" t="str" cm="1">
        <f t="array" ref="H19">"n"&amp;SUBSTITUTE(CreateGuidString(),"-","_")</f>
        <v>nDEA62256_5D8D_43B0_BDAF_3E0BFDDB5934</v>
      </c>
    </row>
    <row r="20" spans="1:8" x14ac:dyDescent="0.35">
      <c r="A20" s="13" t="s">
        <v>1883</v>
      </c>
      <c r="B20" s="13" t="str">
        <f>VLOOKUP(EdgesData[[#This Row],[Node A]],NodesData[],3,FALSE)</f>
        <v>n3E35442D_91A0_4B21_B0FC_31EF1D8BC55F</v>
      </c>
      <c r="C20" s="17" t="s">
        <v>1309</v>
      </c>
      <c r="D20" s="11" t="s">
        <v>1343</v>
      </c>
      <c r="F20" s="11" t="s">
        <v>1332</v>
      </c>
      <c r="G20" s="13" t="str">
        <f>VLOOKUP(EdgesData[[#This Row],[Node B]],NodesData[],3,FALSE)</f>
        <v>n53877DB9_77FA_44E9_974A_BE3344133398</v>
      </c>
      <c r="H20" s="14" t="str" cm="1">
        <f t="array" ref="H20">"n"&amp;SUBSTITUTE(CreateGuidString(),"-","_")</f>
        <v>nA2A27037_77A3_4D96_BCA6_FEBAEF869C66</v>
      </c>
    </row>
    <row r="21" spans="1:8" x14ac:dyDescent="0.35">
      <c r="A21" s="13" t="s">
        <v>1884</v>
      </c>
      <c r="B21" s="13" t="str">
        <f>VLOOKUP(EdgesData[[#This Row],[Node A]],NodesData[],3,FALSE)</f>
        <v>n3E35442D_91A0_4B21_B0FC_31EF1D8BC55F</v>
      </c>
      <c r="C21" s="16" t="s">
        <v>1309</v>
      </c>
      <c r="D21" s="11" t="s">
        <v>1343</v>
      </c>
      <c r="F21" s="11" t="s">
        <v>618</v>
      </c>
      <c r="G21" s="13" t="str">
        <f>VLOOKUP(EdgesData[[#This Row],[Node B]],NodesData[],3,FALSE)</f>
        <v>nAC688165_B606_4D82_A016_0263D701EDF2</v>
      </c>
      <c r="H21" s="14" t="str" cm="1">
        <f t="array" ref="H21">"n"&amp;SUBSTITUTE(CreateGuidString(),"-","_")</f>
        <v>nE42CADC2_DC16_41D6_93D7_D352A75B7BD8</v>
      </c>
    </row>
    <row r="22" spans="1:8" x14ac:dyDescent="0.35">
      <c r="A22" s="13" t="s">
        <v>1885</v>
      </c>
      <c r="B22" s="13" t="str">
        <f>VLOOKUP(EdgesData[[#This Row],[Node A]],NodesData[],3,FALSE)</f>
        <v>n99E2EC41_CA7B_41FD_8304_3926884533F9</v>
      </c>
      <c r="C22" s="17" t="s">
        <v>1294</v>
      </c>
      <c r="D22" s="11" t="s">
        <v>1343</v>
      </c>
      <c r="F22" s="11" t="s">
        <v>0</v>
      </c>
      <c r="G22" s="13" t="str">
        <f>VLOOKUP(EdgesData[[#This Row],[Node B]],NodesData[],3,FALSE)</f>
        <v>n67C132A3_290E_4750_90DE_11E7C1778537</v>
      </c>
      <c r="H22" s="14" t="str" cm="1">
        <f t="array" ref="H22">"n"&amp;SUBSTITUTE(CreateGuidString(),"-","_")</f>
        <v>nF3F79199_74CC_4F4D_A509_DB0B9A32A705</v>
      </c>
    </row>
    <row r="23" spans="1:8" x14ac:dyDescent="0.35">
      <c r="A23" s="13" t="s">
        <v>1886</v>
      </c>
      <c r="B23" s="13" t="str">
        <f>VLOOKUP(EdgesData[[#This Row],[Node A]],NodesData[],3,FALSE)</f>
        <v>nFF2EA87E_84ED_44A7_83DE_4A3C4C0F01DF</v>
      </c>
      <c r="C23" s="16" t="s">
        <v>1310</v>
      </c>
      <c r="D23" s="11" t="s">
        <v>1343</v>
      </c>
      <c r="F23" s="11" t="s">
        <v>1332</v>
      </c>
      <c r="G23" s="13" t="str">
        <f>VLOOKUP(EdgesData[[#This Row],[Node B]],NodesData[],3,FALSE)</f>
        <v>n53877DB9_77FA_44E9_974A_BE3344133398</v>
      </c>
      <c r="H23" s="14" t="str" cm="1">
        <f t="array" ref="H23">"n"&amp;SUBSTITUTE(CreateGuidString(),"-","_")</f>
        <v>n3D9A47E6_573A_4F2E_BEC6_9067B188F256</v>
      </c>
    </row>
    <row r="24" spans="1:8" x14ac:dyDescent="0.35">
      <c r="A24" s="13" t="s">
        <v>1887</v>
      </c>
      <c r="B24" s="13" t="str">
        <f>VLOOKUP(EdgesData[[#This Row],[Node A]],NodesData[],3,FALSE)</f>
        <v>nFF2EA87E_84ED_44A7_83DE_4A3C4C0F01DF</v>
      </c>
      <c r="C24" s="17" t="s">
        <v>1310</v>
      </c>
      <c r="D24" s="11" t="s">
        <v>1343</v>
      </c>
      <c r="F24" s="11" t="s">
        <v>618</v>
      </c>
      <c r="G24" s="13" t="str">
        <f>VLOOKUP(EdgesData[[#This Row],[Node B]],NodesData[],3,FALSE)</f>
        <v>nAC688165_B606_4D82_A016_0263D701EDF2</v>
      </c>
      <c r="H24" s="14" t="str" cm="1">
        <f t="array" ref="H24">"n"&amp;SUBSTITUTE(CreateGuidString(),"-","_")</f>
        <v>nFB0DACE8_6D44_4830_AF63_AE8DF94AA876</v>
      </c>
    </row>
    <row r="25" spans="1:8" x14ac:dyDescent="0.35">
      <c r="A25" s="13" t="s">
        <v>1860</v>
      </c>
      <c r="B25" s="13" t="str">
        <f>VLOOKUP(EdgesData[[#This Row],[Node A]],NodesData[],3,FALSE)</f>
        <v>n940256DD_635E_4F4B_91EA_B3366D40E947</v>
      </c>
      <c r="C25" s="12" t="s">
        <v>1342</v>
      </c>
      <c r="D25" s="12" t="s">
        <v>1343</v>
      </c>
      <c r="F25" s="12" t="s">
        <v>1341</v>
      </c>
      <c r="G25" s="13" t="str">
        <f>VLOOKUP(EdgesData[[#This Row],[Node B]],NodesData[],3,FALSE)</f>
        <v>n80310A12_2F48_48B9_A9C3_E6FADD4B55C9</v>
      </c>
      <c r="H25" s="14" t="str" cm="1">
        <f t="array" ref="H25">"n"&amp;SUBSTITUTE(CreateGuidString(),"-","_")</f>
        <v>n8F4D9ABE_2D04_445A_B86D_9C79BDDFB297</v>
      </c>
    </row>
    <row r="26" spans="1:8" x14ac:dyDescent="0.35">
      <c r="A26" s="13" t="s">
        <v>1861</v>
      </c>
      <c r="B26" s="13" t="str">
        <f>VLOOKUP(EdgesData[[#This Row],[Node A]],NodesData[],3,FALSE)</f>
        <v>nBB725018_7327_49FB_A48A_74839D0C04F9</v>
      </c>
      <c r="C26" s="12" t="s">
        <v>1344</v>
      </c>
      <c r="D26" s="12" t="s">
        <v>1343</v>
      </c>
      <c r="F26" s="12" t="s">
        <v>1341</v>
      </c>
      <c r="G26" s="13" t="str">
        <f>VLOOKUP(EdgesData[[#This Row],[Node B]],NodesData[],3,FALSE)</f>
        <v>n80310A12_2F48_48B9_A9C3_E6FADD4B55C9</v>
      </c>
      <c r="H26" s="14" t="str" cm="1">
        <f t="array" ref="H26">"n"&amp;SUBSTITUTE(CreateGuidString(),"-","_")</f>
        <v>n04C264E5_1E6E_497A_85B4_8EB7A2EE0DC9</v>
      </c>
    </row>
    <row r="27" spans="1:8" x14ac:dyDescent="0.35">
      <c r="A27" s="13" t="s">
        <v>1856</v>
      </c>
      <c r="B27" s="13" t="str">
        <f>VLOOKUP(EdgesData[[#This Row],[Node A]],NodesData[],3,FALSE)</f>
        <v>nC607594D_D597_4C8E_9605_EED87566C2FD</v>
      </c>
      <c r="C27" s="12" t="s">
        <v>261</v>
      </c>
      <c r="D27" s="11" t="s">
        <v>1833</v>
      </c>
      <c r="F27" s="12" t="s">
        <v>1341</v>
      </c>
      <c r="G27" s="13" t="str">
        <f>VLOOKUP(EdgesData[[#This Row],[Node B]],NodesData[],3,FALSE)</f>
        <v>n80310A12_2F48_48B9_A9C3_E6FADD4B55C9</v>
      </c>
      <c r="H27" s="14" t="str" cm="1">
        <f t="array" ref="H27">"n"&amp;SUBSTITUTE(CreateGuidString(),"-","_")</f>
        <v>n218B9A28_10CF_47F1_BCE5_B2CF708633D6</v>
      </c>
    </row>
    <row r="28" spans="1:8" x14ac:dyDescent="0.35">
      <c r="A28" s="13" t="s">
        <v>1864</v>
      </c>
      <c r="B28" s="13" t="str">
        <f>VLOOKUP(EdgesData[[#This Row],[Node A]],NodesData[],3,FALSE)</f>
        <v>nC607594D_D597_4C8E_9605_EED87566C2FD</v>
      </c>
      <c r="C28" s="12" t="s">
        <v>261</v>
      </c>
      <c r="D28" s="11" t="s">
        <v>1834</v>
      </c>
      <c r="F28" s="12" t="s">
        <v>1348</v>
      </c>
      <c r="G28" s="13" t="str">
        <f>VLOOKUP(EdgesData[[#This Row],[Node B]],NodesData[],3,FALSE)</f>
        <v>nFB32F479_4EF7_409C_900B_EE48AA0DE846</v>
      </c>
      <c r="H28" s="14" t="str" cm="1">
        <f t="array" ref="H28">"n"&amp;SUBSTITUTE(CreateGuidString(),"-","_")</f>
        <v>n63524A5E_DE23_4177_B001_AB7FE6B60755</v>
      </c>
    </row>
    <row r="29" spans="1:8" x14ac:dyDescent="0.35">
      <c r="A29" s="13" t="s">
        <v>1865</v>
      </c>
      <c r="B29" s="13" t="str">
        <f>VLOOKUP(EdgesData[[#This Row],[Node A]],NodesData[],3,FALSE)</f>
        <v>nC607594D_D597_4C8E_9605_EED87566C2FD</v>
      </c>
      <c r="C29" s="12" t="s">
        <v>261</v>
      </c>
      <c r="D29" s="11" t="s">
        <v>1834</v>
      </c>
      <c r="F29" s="12" t="s">
        <v>1349</v>
      </c>
      <c r="G29" s="13" t="str">
        <f>VLOOKUP(EdgesData[[#This Row],[Node B]],NodesData[],3,FALSE)</f>
        <v>nFA6C8A63_7071_4E20_BB02_F78403869E0B</v>
      </c>
      <c r="H29" s="14" t="str" cm="1">
        <f t="array" ref="H29">"n"&amp;SUBSTITUTE(CreateGuidString(),"-","_")</f>
        <v>n7B71DF07_C7D1_46EC_801B_8157BECEBBD8</v>
      </c>
    </row>
    <row r="30" spans="1:8" x14ac:dyDescent="0.35">
      <c r="A30" s="13" t="s">
        <v>1866</v>
      </c>
      <c r="B30" s="13" t="str">
        <f>VLOOKUP(EdgesData[[#This Row],[Node A]],NodesData[],3,FALSE)</f>
        <v>nC607594D_D597_4C8E_9605_EED87566C2FD</v>
      </c>
      <c r="C30" s="12" t="s">
        <v>261</v>
      </c>
      <c r="D30" s="11" t="s">
        <v>1834</v>
      </c>
      <c r="F30" s="12" t="s">
        <v>1350</v>
      </c>
      <c r="G30" s="13" t="str">
        <f>VLOOKUP(EdgesData[[#This Row],[Node B]],NodesData[],3,FALSE)</f>
        <v>nAC062A15_C72B_42D8_BBDF_C7EB64B35F26</v>
      </c>
      <c r="H30" s="14" t="str" cm="1">
        <f t="array" ref="H30">"n"&amp;SUBSTITUTE(CreateGuidString(),"-","_")</f>
        <v>n7EEAE8B6_AE75_437C_A18E_905A8E62F49A</v>
      </c>
    </row>
    <row r="31" spans="1:8" x14ac:dyDescent="0.35">
      <c r="A31" s="13" t="s">
        <v>1867</v>
      </c>
      <c r="B31" s="13" t="str">
        <f>VLOOKUP(EdgesData[[#This Row],[Node A]],NodesData[],3,FALSE)</f>
        <v>nC607594D_D597_4C8E_9605_EED87566C2FD</v>
      </c>
      <c r="C31" s="12" t="s">
        <v>261</v>
      </c>
      <c r="D31" s="11" t="s">
        <v>1834</v>
      </c>
      <c r="F31" s="12" t="s">
        <v>1347</v>
      </c>
      <c r="G31" s="13" t="str">
        <f>VLOOKUP(EdgesData[[#This Row],[Node B]],NodesData[],3,FALSE)</f>
        <v>nF3A221C8_C126_458E_818C_DAE6B57CD442</v>
      </c>
      <c r="H31" s="14" t="str" cm="1">
        <f t="array" ref="H31">"n"&amp;SUBSTITUTE(CreateGuidString(),"-","_")</f>
        <v>n7D3DEC30_7061_484C_8360_3828C1B9DBA7</v>
      </c>
    </row>
    <row r="32" spans="1:8" x14ac:dyDescent="0.35">
      <c r="A32" s="13" t="s">
        <v>1870</v>
      </c>
      <c r="B32" s="13" t="str">
        <f>VLOOKUP(EdgesData[[#This Row],[Node A]],NodesData[],3,FALSE)</f>
        <v>nC607594D_D597_4C8E_9605_EED87566C2FD</v>
      </c>
      <c r="C32" s="12" t="s">
        <v>261</v>
      </c>
      <c r="D32" s="12" t="s">
        <v>1351</v>
      </c>
      <c r="F32" s="12" t="s">
        <v>1352</v>
      </c>
      <c r="G32" s="13" t="str">
        <f>VLOOKUP(EdgesData[[#This Row],[Node B]],NodesData[],3,FALSE)</f>
        <v>n2E4A35A7_53BB_4F4B_8554_B6584F77D71D</v>
      </c>
      <c r="H32" s="14" t="str" cm="1">
        <f t="array" ref="H32">"n"&amp;SUBSTITUTE(CreateGuidString(),"-","_")</f>
        <v>nA64812DF_4091_450F_83AC_CFF12E37FF21</v>
      </c>
    </row>
    <row r="33" spans="1:8" x14ac:dyDescent="0.35">
      <c r="A33" s="13" t="s">
        <v>1871</v>
      </c>
      <c r="B33" s="13" t="str">
        <f>VLOOKUP(EdgesData[[#This Row],[Node A]],NodesData[],3,FALSE)</f>
        <v>n35F5759D_AAFF_439C_A04E_623AA07EE4D9</v>
      </c>
      <c r="C33" s="11" t="s">
        <v>1311</v>
      </c>
      <c r="D33" s="11" t="s">
        <v>1837</v>
      </c>
      <c r="E33" s="11" t="s">
        <v>1836</v>
      </c>
      <c r="F33" s="11" t="s">
        <v>1312</v>
      </c>
      <c r="G33" s="13" t="str">
        <f>VLOOKUP(EdgesData[[#This Row],[Node B]],NodesData[],3,FALSE)</f>
        <v>n2F27DDAD_459D_4B06_9152_168BDF5063F5</v>
      </c>
      <c r="H33" s="14" t="str" cm="1">
        <f t="array" ref="H33">"n"&amp;SUBSTITUTE(CreateGuidString(),"-","_")</f>
        <v>n86BFB053_23CF_4416_BBC0_B2E65701A275</v>
      </c>
    </row>
    <row r="34" spans="1:8" x14ac:dyDescent="0.35">
      <c r="A34" s="13" t="s">
        <v>1888</v>
      </c>
      <c r="B34" s="13" t="str">
        <f>VLOOKUP(EdgesData[[#This Row],[Node A]],NodesData[],3,FALSE)</f>
        <v>n35F5759D_AAFF_439C_A04E_623AA07EE4D9</v>
      </c>
      <c r="C34" s="16" t="s">
        <v>1311</v>
      </c>
      <c r="D34" s="11" t="s">
        <v>1343</v>
      </c>
      <c r="F34" s="11" t="s">
        <v>1332</v>
      </c>
      <c r="G34" s="13" t="str">
        <f>VLOOKUP(EdgesData[[#This Row],[Node B]],NodesData[],3,FALSE)</f>
        <v>n53877DB9_77FA_44E9_974A_BE3344133398</v>
      </c>
      <c r="H34" s="14" t="str" cm="1">
        <f t="array" ref="H34">"n"&amp;SUBSTITUTE(CreateGuidString(),"-","_")</f>
        <v>n1BFD7E0A_9FB6_4761_8D27_F7FA858384E7</v>
      </c>
    </row>
    <row r="35" spans="1:8" x14ac:dyDescent="0.35">
      <c r="A35" s="13" t="s">
        <v>1889</v>
      </c>
      <c r="B35" s="13" t="str">
        <f>VLOOKUP(EdgesData[[#This Row],[Node A]],NodesData[],3,FALSE)</f>
        <v>n35F5759D_AAFF_439C_A04E_623AA07EE4D9</v>
      </c>
      <c r="C35" s="17" t="s">
        <v>1311</v>
      </c>
      <c r="D35" s="11" t="s">
        <v>1343</v>
      </c>
      <c r="F35" s="11" t="s">
        <v>618</v>
      </c>
      <c r="G35" s="13" t="str">
        <f>VLOOKUP(EdgesData[[#This Row],[Node B]],NodesData[],3,FALSE)</f>
        <v>nAC688165_B606_4D82_A016_0263D701EDF2</v>
      </c>
      <c r="H35" s="14" t="str" cm="1">
        <f t="array" ref="H35">"n"&amp;SUBSTITUTE(CreateGuidString(),"-","_")</f>
        <v>n6F722E35_6B6C_4914_83F1_5B250A727B9A</v>
      </c>
    </row>
    <row r="36" spans="1:8" x14ac:dyDescent="0.35">
      <c r="A36" s="13" t="s">
        <v>1890</v>
      </c>
      <c r="B36" s="13" t="str">
        <f>VLOOKUP(EdgesData[[#This Row],[Node A]],NodesData[],3,FALSE)</f>
        <v>n63EDDBAD_A168_4974_B9D5_9B90FB3F688E</v>
      </c>
      <c r="C36" s="16" t="s">
        <v>2</v>
      </c>
      <c r="D36" s="11" t="s">
        <v>1343</v>
      </c>
      <c r="F36" s="11" t="s">
        <v>0</v>
      </c>
      <c r="G36" s="13" t="str">
        <f>VLOOKUP(EdgesData[[#This Row],[Node B]],NodesData[],3,FALSE)</f>
        <v>n67C132A3_290E_4750_90DE_11E7C1778537</v>
      </c>
      <c r="H36" s="14" t="str" cm="1">
        <f t="array" ref="H36">"n"&amp;SUBSTITUTE(CreateGuidString(),"-","_")</f>
        <v>n9B5B0398_CCEF_426C_BFD3_04D87ADC5A42</v>
      </c>
    </row>
    <row r="37" spans="1:8" x14ac:dyDescent="0.35">
      <c r="A37" s="13" t="s">
        <v>1891</v>
      </c>
      <c r="B37" s="13" t="str">
        <f>VLOOKUP(EdgesData[[#This Row],[Node A]],NodesData[],3,FALSE)</f>
        <v>nC63D5B91_5DF9_4B35_856B_670E59CF1CA0</v>
      </c>
      <c r="C37" s="17" t="s">
        <v>1313</v>
      </c>
      <c r="D37" s="11" t="s">
        <v>1343</v>
      </c>
      <c r="F37" s="11" t="s">
        <v>1332</v>
      </c>
      <c r="G37" s="13" t="str">
        <f>VLOOKUP(EdgesData[[#This Row],[Node B]],NodesData[],3,FALSE)</f>
        <v>n53877DB9_77FA_44E9_974A_BE3344133398</v>
      </c>
      <c r="H37" s="14" t="str" cm="1">
        <f t="array" ref="H37">"n"&amp;SUBSTITUTE(CreateGuidString(),"-","_")</f>
        <v>n7EDADDC0_813C_4BCC_9D7C_99B766ED8CFA</v>
      </c>
    </row>
    <row r="38" spans="1:8" x14ac:dyDescent="0.35">
      <c r="A38" s="13" t="s">
        <v>1892</v>
      </c>
      <c r="B38" s="13" t="str">
        <f>VLOOKUP(EdgesData[[#This Row],[Node A]],NodesData[],3,FALSE)</f>
        <v>nC63D5B91_5DF9_4B35_856B_670E59CF1CA0</v>
      </c>
      <c r="C38" s="16" t="s">
        <v>1313</v>
      </c>
      <c r="D38" s="11" t="s">
        <v>1343</v>
      </c>
      <c r="F38" s="11" t="s">
        <v>618</v>
      </c>
      <c r="G38" s="13" t="str">
        <f>VLOOKUP(EdgesData[[#This Row],[Node B]],NodesData[],3,FALSE)</f>
        <v>nAC688165_B606_4D82_A016_0263D701EDF2</v>
      </c>
      <c r="H38" s="14" t="str" cm="1">
        <f t="array" ref="H38">"n"&amp;SUBSTITUTE(CreateGuidString(),"-","_")</f>
        <v>nC55380A6_8E52_4E69_9929_1DD7F0172B53</v>
      </c>
    </row>
    <row r="39" spans="1:8" x14ac:dyDescent="0.35">
      <c r="A39" s="13" t="s">
        <v>1893</v>
      </c>
      <c r="B39" s="13" t="str">
        <f>VLOOKUP(EdgesData[[#This Row],[Node A]],NodesData[],3,FALSE)</f>
        <v>nE61E61F3_D210_49D4_9FB5_8E7744490C9D</v>
      </c>
      <c r="C39" s="17" t="s">
        <v>1296</v>
      </c>
      <c r="D39" s="11" t="s">
        <v>1343</v>
      </c>
      <c r="F39" s="11" t="s">
        <v>0</v>
      </c>
      <c r="G39" s="13" t="str">
        <f>VLOOKUP(EdgesData[[#This Row],[Node B]],NodesData[],3,FALSE)</f>
        <v>n67C132A3_290E_4750_90DE_11E7C1778537</v>
      </c>
      <c r="H39" s="14" t="str" cm="1">
        <f t="array" ref="H39">"n"&amp;SUBSTITUTE(CreateGuidString(),"-","_")</f>
        <v>n8DC0BB5E_D388_4FFA_B285_2015DDA23483</v>
      </c>
    </row>
    <row r="40" spans="1:8" x14ac:dyDescent="0.35">
      <c r="A40" s="13" t="s">
        <v>1894</v>
      </c>
      <c r="B40" s="13" t="str">
        <f>VLOOKUP(EdgesData[[#This Row],[Node A]],NodesData[],3,FALSE)</f>
        <v>nF4329B4E_89AE_4B13_8BA2_B6BEFB931A12</v>
      </c>
      <c r="C40" s="11" t="s">
        <v>1839</v>
      </c>
      <c r="D40" s="11" t="s">
        <v>1343</v>
      </c>
      <c r="F40" s="11" t="s">
        <v>1332</v>
      </c>
      <c r="G40" s="13" t="str">
        <f>VLOOKUP(EdgesData[[#This Row],[Node B]],NodesData[],3,FALSE)</f>
        <v>n53877DB9_77FA_44E9_974A_BE3344133398</v>
      </c>
      <c r="H40" s="14" t="str" cm="1">
        <f t="array" ref="H40">"n"&amp;SUBSTITUTE(CreateGuidString(),"-","_")</f>
        <v>n0BB13D61_3169_4D1C_B41A_F7C75D744123</v>
      </c>
    </row>
    <row r="41" spans="1:8" x14ac:dyDescent="0.35">
      <c r="A41" s="13" t="s">
        <v>1895</v>
      </c>
      <c r="B41" s="13" t="str">
        <f>VLOOKUP(EdgesData[[#This Row],[Node A]],NodesData[],3,FALSE)</f>
        <v>nF4329B4E_89AE_4B13_8BA2_B6BEFB931A12</v>
      </c>
      <c r="C41" s="11" t="s">
        <v>1839</v>
      </c>
      <c r="D41" s="11" t="s">
        <v>1343</v>
      </c>
      <c r="F41" s="11" t="s">
        <v>618</v>
      </c>
      <c r="G41" s="13" t="str">
        <f>VLOOKUP(EdgesData[[#This Row],[Node B]],NodesData[],3,FALSE)</f>
        <v>nAC688165_B606_4D82_A016_0263D701EDF2</v>
      </c>
      <c r="H41" s="14" t="str" cm="1">
        <f t="array" ref="H41">"n"&amp;SUBSTITUTE(CreateGuidString(),"-","_")</f>
        <v>n0E0FA8E6_D7C8_42DB_A49D_D3414BAAA139</v>
      </c>
    </row>
    <row r="42" spans="1:8" x14ac:dyDescent="0.35">
      <c r="A42" s="13" t="s">
        <v>1896</v>
      </c>
      <c r="B42" s="13" t="str">
        <f>VLOOKUP(EdgesData[[#This Row],[Node A]],NodesData[],3,FALSE)</f>
        <v>nD67337C3_82D6_4A00_9312_77ECF955E4EE</v>
      </c>
      <c r="C42" s="16" t="s">
        <v>1314</v>
      </c>
      <c r="D42" s="11" t="s">
        <v>1343</v>
      </c>
      <c r="F42" s="11" t="s">
        <v>1332</v>
      </c>
      <c r="G42" s="13" t="str">
        <f>VLOOKUP(EdgesData[[#This Row],[Node B]],NodesData[],3,FALSE)</f>
        <v>n53877DB9_77FA_44E9_974A_BE3344133398</v>
      </c>
      <c r="H42" s="14" t="str" cm="1">
        <f t="array" ref="H42">"n"&amp;SUBSTITUTE(CreateGuidString(),"-","_")</f>
        <v>nFD74C25B_CA1D_41B8_8285_859CDE820E05</v>
      </c>
    </row>
    <row r="43" spans="1:8" x14ac:dyDescent="0.35">
      <c r="A43" s="13" t="s">
        <v>1897</v>
      </c>
      <c r="B43" s="13" t="str">
        <f>VLOOKUP(EdgesData[[#This Row],[Node A]],NodesData[],3,FALSE)</f>
        <v>nD67337C3_82D6_4A00_9312_77ECF955E4EE</v>
      </c>
      <c r="C43" s="17" t="s">
        <v>1314</v>
      </c>
      <c r="D43" s="11" t="s">
        <v>1343</v>
      </c>
      <c r="F43" s="11" t="s">
        <v>618</v>
      </c>
      <c r="G43" s="13" t="str">
        <f>VLOOKUP(EdgesData[[#This Row],[Node B]],NodesData[],3,FALSE)</f>
        <v>nAC688165_B606_4D82_A016_0263D701EDF2</v>
      </c>
      <c r="H43" s="14" t="str" cm="1">
        <f t="array" ref="H43">"n"&amp;SUBSTITUTE(CreateGuidString(),"-","_")</f>
        <v>n38735D1A_417F_438D_ADD1_4030265037A7</v>
      </c>
    </row>
    <row r="44" spans="1:8" x14ac:dyDescent="0.35">
      <c r="A44" s="13" t="s">
        <v>1898</v>
      </c>
      <c r="B44" s="13" t="str">
        <f>VLOOKUP(EdgesData[[#This Row],[Node A]],NodesData[],3,FALSE)</f>
        <v>n8B4BB7FC_2E2A_4C1A_8657_58EEC2DF8A9A</v>
      </c>
      <c r="C44" s="16" t="s">
        <v>1295</v>
      </c>
      <c r="D44" s="11" t="s">
        <v>1343</v>
      </c>
      <c r="F44" s="11" t="s">
        <v>0</v>
      </c>
      <c r="G44" s="13" t="str">
        <f>VLOOKUP(EdgesData[[#This Row],[Node B]],NodesData[],3,FALSE)</f>
        <v>n67C132A3_290E_4750_90DE_11E7C1778537</v>
      </c>
      <c r="H44" s="14" t="str" cm="1">
        <f t="array" ref="H44">"n"&amp;SUBSTITUTE(CreateGuidString(),"-","_")</f>
        <v>nA2E86579_252A_4E1D_AC68_2AEE7D87BDF9</v>
      </c>
    </row>
    <row r="45" spans="1:8" x14ac:dyDescent="0.35">
      <c r="A45" s="13" t="s">
        <v>1899</v>
      </c>
      <c r="B45" s="13" t="str">
        <f>VLOOKUP(EdgesData[[#This Row],[Node A]],NodesData[],3,FALSE)</f>
        <v>nF44C30A8_A797_4F0C_9C18_D87E7D5A8B88</v>
      </c>
      <c r="C45" s="17" t="s">
        <v>1297</v>
      </c>
      <c r="D45" s="11" t="s">
        <v>1343</v>
      </c>
      <c r="F45" s="11" t="s">
        <v>0</v>
      </c>
      <c r="G45" s="13" t="str">
        <f>VLOOKUP(EdgesData[[#This Row],[Node B]],NodesData[],3,FALSE)</f>
        <v>n67C132A3_290E_4750_90DE_11E7C1778537</v>
      </c>
      <c r="H45" s="14" t="str" cm="1">
        <f t="array" ref="H45">"n"&amp;SUBSTITUTE(CreateGuidString(),"-","_")</f>
        <v>nC621ED13_0087_42F8_80CD_7697770DAD73</v>
      </c>
    </row>
    <row r="46" spans="1:8" x14ac:dyDescent="0.35">
      <c r="A46" s="13" t="s">
        <v>1900</v>
      </c>
      <c r="B46" s="13" t="str">
        <f>VLOOKUP(EdgesData[[#This Row],[Node A]],NodesData[],3,FALSE)</f>
        <v>n2F27DDAD_459D_4B06_9152_168BDF5063F5</v>
      </c>
      <c r="C46" s="16" t="s">
        <v>1312</v>
      </c>
      <c r="D46" s="11" t="s">
        <v>1343</v>
      </c>
      <c r="F46" s="11" t="s">
        <v>1332</v>
      </c>
      <c r="G46" s="13" t="str">
        <f>VLOOKUP(EdgesData[[#This Row],[Node B]],NodesData[],3,FALSE)</f>
        <v>n53877DB9_77FA_44E9_974A_BE3344133398</v>
      </c>
      <c r="H46" s="14" t="str" cm="1">
        <f t="array" ref="H46">"n"&amp;SUBSTITUTE(CreateGuidString(),"-","_")</f>
        <v>nEE736788_360E_4051_A5DD_EF9A141931B5</v>
      </c>
    </row>
    <row r="47" spans="1:8" x14ac:dyDescent="0.35">
      <c r="A47" s="13" t="s">
        <v>1901</v>
      </c>
      <c r="B47" s="13" t="str">
        <f>VLOOKUP(EdgesData[[#This Row],[Node A]],NodesData[],3,FALSE)</f>
        <v>n2F27DDAD_459D_4B06_9152_168BDF5063F5</v>
      </c>
      <c r="C47" s="17" t="s">
        <v>1312</v>
      </c>
      <c r="D47" s="11" t="s">
        <v>1343</v>
      </c>
      <c r="F47" s="11" t="s">
        <v>618</v>
      </c>
      <c r="G47" s="13" t="str">
        <f>VLOOKUP(EdgesData[[#This Row],[Node B]],NodesData[],3,FALSE)</f>
        <v>nAC688165_B606_4D82_A016_0263D701EDF2</v>
      </c>
      <c r="H47" s="14" t="str" cm="1">
        <f t="array" ref="H47">"n"&amp;SUBSTITUTE(CreateGuidString(),"-","_")</f>
        <v>nCEEF2D09_F3DD_4E2A_A2B9_02632670059D</v>
      </c>
    </row>
    <row r="48" spans="1:8" x14ac:dyDescent="0.35">
      <c r="A48" s="13" t="s">
        <v>1902</v>
      </c>
      <c r="B48" s="13" t="str">
        <f>VLOOKUP(EdgesData[[#This Row],[Node A]],NodesData[],3,FALSE)</f>
        <v>nC196E133_4263_4398_B44A_B3053AC5D0E8</v>
      </c>
      <c r="C48" s="16" t="s">
        <v>1315</v>
      </c>
      <c r="D48" s="11" t="s">
        <v>1343</v>
      </c>
      <c r="F48" s="11" t="s">
        <v>1332</v>
      </c>
      <c r="G48" s="13" t="str">
        <f>VLOOKUP(EdgesData[[#This Row],[Node B]],NodesData[],3,FALSE)</f>
        <v>n53877DB9_77FA_44E9_974A_BE3344133398</v>
      </c>
      <c r="H48" s="14" t="str" cm="1">
        <f t="array" ref="H48">"n"&amp;SUBSTITUTE(CreateGuidString(),"-","_")</f>
        <v>n84AE65AE_1872_478C_B6BC_BDC5B5C065EA</v>
      </c>
    </row>
    <row r="49" spans="1:8" x14ac:dyDescent="0.35">
      <c r="A49" s="13" t="s">
        <v>1903</v>
      </c>
      <c r="B49" s="13" t="str">
        <f>VLOOKUP(EdgesData[[#This Row],[Node A]],NodesData[],3,FALSE)</f>
        <v>nC196E133_4263_4398_B44A_B3053AC5D0E8</v>
      </c>
      <c r="C49" s="17" t="s">
        <v>1315</v>
      </c>
      <c r="D49" s="11" t="s">
        <v>1343</v>
      </c>
      <c r="F49" s="11" t="s">
        <v>618</v>
      </c>
      <c r="G49" s="13" t="str">
        <f>VLOOKUP(EdgesData[[#This Row],[Node B]],NodesData[],3,FALSE)</f>
        <v>nAC688165_B606_4D82_A016_0263D701EDF2</v>
      </c>
      <c r="H49" s="14" t="str" cm="1">
        <f t="array" ref="H49">"n"&amp;SUBSTITUTE(CreateGuidString(),"-","_")</f>
        <v>n0443F6C4_1BBB_4105_9F0A_DC9C4797CB7D</v>
      </c>
    </row>
    <row r="50" spans="1:8" x14ac:dyDescent="0.35">
      <c r="A50" s="13" t="s">
        <v>1936</v>
      </c>
      <c r="B50" s="13" t="str">
        <f>VLOOKUP(EdgesData[[#This Row],[Node A]],NodesData[],3,FALSE)</f>
        <v>nE9C9661B_8C28_413E_A8E3_A720E03C04B7</v>
      </c>
      <c r="C50" s="12" t="s">
        <v>4</v>
      </c>
      <c r="D50" s="12" t="s">
        <v>1343</v>
      </c>
      <c r="F50" s="18" t="s">
        <v>1915</v>
      </c>
      <c r="G50" s="28" t="str">
        <f>VLOOKUP(EdgesData[[#This Row],[Node B]],NodesData[],3,FALSE)</f>
        <v>n23656C0A_A156_405F_9FF8_7AE62FD6FB07</v>
      </c>
      <c r="H50" s="29" t="str" cm="1">
        <f t="array" ref="H50">"n"&amp;SUBSTITUTE(CreateGuidString(),"-","_")</f>
        <v>nDEAD741F_13E1_43AB_83A1_4F593CDFF8AF</v>
      </c>
    </row>
    <row r="51" spans="1:8" x14ac:dyDescent="0.35">
      <c r="A51" s="13" t="s">
        <v>1937</v>
      </c>
      <c r="B51" s="13" t="str">
        <f>VLOOKUP(EdgesData[[#This Row],[Node A]],NodesData[],3,FALSE)</f>
        <v>n23656C0A_A156_405F_9FF8_7AE62FD6FB07</v>
      </c>
      <c r="C51" s="12" t="s">
        <v>1915</v>
      </c>
      <c r="D51" s="12" t="s">
        <v>1343</v>
      </c>
      <c r="F51" s="18" t="s">
        <v>1916</v>
      </c>
      <c r="G51" s="28" t="str">
        <f>VLOOKUP(EdgesData[[#This Row],[Node B]],NodesData[],3,FALSE)</f>
        <v>nBC613B66_5F94_4F48_91BD_5F6BBA766E79</v>
      </c>
      <c r="H51" s="29" t="str" cm="1">
        <f t="array" ref="H51">"n"&amp;SUBSTITUTE(CreateGuidString(),"-","_")</f>
        <v>n36F69CCD_C3CF_48B5_85A5_B57A11F54932</v>
      </c>
    </row>
    <row r="52" spans="1:8" x14ac:dyDescent="0.35">
      <c r="A52" s="13" t="s">
        <v>1938</v>
      </c>
      <c r="B52" s="13" t="str">
        <f>VLOOKUP(EdgesData[[#This Row],[Node A]],NodesData[],3,FALSE)</f>
        <v>nE9C9661B_8C28_413E_A8E3_A720E03C04B7</v>
      </c>
      <c r="C52" s="12" t="s">
        <v>4</v>
      </c>
      <c r="D52" s="12" t="s">
        <v>1917</v>
      </c>
      <c r="F52" s="18" t="s">
        <v>1955</v>
      </c>
      <c r="G52" s="28" t="str">
        <f>VLOOKUP(EdgesData[[#This Row],[Node B]],NodesData[],3,FALSE)</f>
        <v>n02B81E29_1266_4611_897E_FD90C5DD5788</v>
      </c>
      <c r="H52" s="29" t="str" cm="1">
        <f t="array" ref="H52">"n"&amp;SUBSTITUTE(CreateGuidString(),"-","_")</f>
        <v>nA3659DAE_2748_41EA_9783_AFBB27AE397D</v>
      </c>
    </row>
    <row r="53" spans="1:8" x14ac:dyDescent="0.35">
      <c r="A53" s="13" t="s">
        <v>1939</v>
      </c>
      <c r="B53" s="13" t="str">
        <f>VLOOKUP(EdgesData[[#This Row],[Node A]],NodesData[],3,FALSE)</f>
        <v>nE9C9661B_8C28_413E_A8E3_A720E03C04B7</v>
      </c>
      <c r="C53" s="12" t="s">
        <v>4</v>
      </c>
      <c r="D53" s="12" t="s">
        <v>1918</v>
      </c>
      <c r="F53" s="18" t="s">
        <v>1956</v>
      </c>
      <c r="G53" s="28" t="str">
        <f>VLOOKUP(EdgesData[[#This Row],[Node B]],NodesData[],3,FALSE)</f>
        <v>n89FBB4A6_DF18_465F_9DA3_BD367759F09E</v>
      </c>
      <c r="H53" s="29" t="str" cm="1">
        <f t="array" ref="H53">"n"&amp;SUBSTITUTE(CreateGuidString(),"-","_")</f>
        <v>n305D7E3B_B57D_4B5D_9B3A_173CF7E77527</v>
      </c>
    </row>
    <row r="54" spans="1:8" x14ac:dyDescent="0.35">
      <c r="A54" s="13" t="s">
        <v>1940</v>
      </c>
      <c r="B54" s="13" t="str">
        <f>VLOOKUP(EdgesData[[#This Row],[Node A]],NodesData[],3,FALSE)</f>
        <v>n02B81E29_1266_4611_897E_FD90C5DD5788</v>
      </c>
      <c r="C54" s="18" t="s">
        <v>1955</v>
      </c>
      <c r="D54" s="12" t="s">
        <v>1919</v>
      </c>
      <c r="F54" s="18" t="s">
        <v>1957</v>
      </c>
      <c r="G54" s="28" t="str">
        <f>VLOOKUP(EdgesData[[#This Row],[Node B]],NodesData[],3,FALSE)</f>
        <v>n65057A73_5E5D_4997_843D_70FCDDBF4863</v>
      </c>
      <c r="H54" s="29" t="str" cm="1">
        <f t="array" ref="H54">"n"&amp;SUBSTITUTE(CreateGuidString(),"-","_")</f>
        <v>n4E893FB9_FE74_4965_B6D9_1AA43C34AB70</v>
      </c>
    </row>
    <row r="55" spans="1:8" x14ac:dyDescent="0.35">
      <c r="A55" s="13" t="s">
        <v>1941</v>
      </c>
      <c r="B55" s="13" t="str">
        <f>VLOOKUP(EdgesData[[#This Row],[Node A]],NodesData[],3,FALSE)</f>
        <v>n89FBB4A6_DF18_465F_9DA3_BD367759F09E</v>
      </c>
      <c r="C55" s="18" t="s">
        <v>1956</v>
      </c>
      <c r="D55" s="12" t="s">
        <v>1920</v>
      </c>
      <c r="F55" s="18" t="s">
        <v>1957</v>
      </c>
      <c r="G55" s="28" t="str">
        <f>VLOOKUP(EdgesData[[#This Row],[Node B]],NodesData[],3,FALSE)</f>
        <v>n65057A73_5E5D_4997_843D_70FCDDBF4863</v>
      </c>
      <c r="H55" s="29" t="str" cm="1">
        <f t="array" ref="H55">"n"&amp;SUBSTITUTE(CreateGuidString(),"-","_")</f>
        <v>nCA1AC8CE_0F5F_410C_BC93_23278E033DEC</v>
      </c>
    </row>
    <row r="56" spans="1:8" x14ac:dyDescent="0.35">
      <c r="A56" s="13" t="s">
        <v>1942</v>
      </c>
      <c r="B56" s="13" t="str">
        <f>VLOOKUP(EdgesData[[#This Row],[Node A]],NodesData[],3,FALSE)</f>
        <v>n02B81E29_1266_4611_897E_FD90C5DD5788</v>
      </c>
      <c r="C56" s="18" t="s">
        <v>1955</v>
      </c>
      <c r="D56" s="12" t="s">
        <v>1921</v>
      </c>
      <c r="E56" s="12" t="s">
        <v>1836</v>
      </c>
      <c r="F56" s="18" t="s">
        <v>1956</v>
      </c>
      <c r="G56" s="28" t="str">
        <f>VLOOKUP(EdgesData[[#This Row],[Node B]],NodesData[],3,FALSE)</f>
        <v>n89FBB4A6_DF18_465F_9DA3_BD367759F09E</v>
      </c>
      <c r="H56" s="29" t="str" cm="1">
        <f t="array" ref="H56">"n"&amp;SUBSTITUTE(CreateGuidString(),"-","_")</f>
        <v>nDBE5A81E_13C8_4BA4_8560_C2EA0949F9CC</v>
      </c>
    </row>
    <row r="57" spans="1:8" x14ac:dyDescent="0.35">
      <c r="A57" s="13" t="s">
        <v>1943</v>
      </c>
      <c r="B57" s="13" t="str">
        <f>VLOOKUP(EdgesData[[#This Row],[Node A]],NodesData[],3,FALSE)</f>
        <v>n4FA68550_C829_46CD_ADC2_9BE67FA41543</v>
      </c>
      <c r="C57" s="18" t="s">
        <v>1962</v>
      </c>
      <c r="D57" s="12" t="s">
        <v>1963</v>
      </c>
      <c r="F57" s="18" t="s">
        <v>1922</v>
      </c>
      <c r="G57" s="28" t="str">
        <f>VLOOKUP(EdgesData[[#This Row],[Node B]],NodesData[],3,FALSE)</f>
        <v>n52564682_5FAD_48CB_A320_6CFE17950D03</v>
      </c>
      <c r="H57" s="29" t="str" cm="1">
        <f t="array" ref="H57">"n"&amp;SUBSTITUTE(CreateGuidString(),"-","_")</f>
        <v>nC9086293_A7EC_4DB9_9D0C_6084EBB2C527</v>
      </c>
    </row>
    <row r="58" spans="1:8" x14ac:dyDescent="0.35">
      <c r="A58" s="13" t="s">
        <v>1944</v>
      </c>
      <c r="B58" s="13" t="str">
        <f>VLOOKUP(EdgesData[[#This Row],[Node A]],NodesData[],3,FALSE)</f>
        <v>n4FA68550_C829_46CD_ADC2_9BE67FA41543</v>
      </c>
      <c r="C58" s="18" t="s">
        <v>1962</v>
      </c>
      <c r="D58" s="12" t="s">
        <v>1963</v>
      </c>
      <c r="F58" s="18" t="s">
        <v>1923</v>
      </c>
      <c r="G58" s="28" t="str">
        <f>VLOOKUP(EdgesData[[#This Row],[Node B]],NodesData[],3,FALSE)</f>
        <v>nA59D49F8_3819_4341_A310_19C77AB08AAB</v>
      </c>
      <c r="H58" s="29" t="str" cm="1">
        <f t="array" ref="H58">"n"&amp;SUBSTITUTE(CreateGuidString(),"-","_")</f>
        <v>n5B41F1EC_F854_4A43_B396_1025F94B19BF</v>
      </c>
    </row>
    <row r="59" spans="1:8" x14ac:dyDescent="0.35">
      <c r="A59" s="13" t="s">
        <v>1945</v>
      </c>
      <c r="B59" s="13" t="str">
        <f>VLOOKUP(EdgesData[[#This Row],[Node A]],NodesData[],3,FALSE)</f>
        <v>n4FA68550_C829_46CD_ADC2_9BE67FA41543</v>
      </c>
      <c r="C59" s="18" t="s">
        <v>1962</v>
      </c>
      <c r="D59" s="12" t="s">
        <v>1963</v>
      </c>
      <c r="F59" s="18" t="s">
        <v>1924</v>
      </c>
      <c r="G59" s="28" t="str">
        <f>VLOOKUP(EdgesData[[#This Row],[Node B]],NodesData[],3,FALSE)</f>
        <v>nC0AF8721_A868_4A4D_9F85_3A6D9B88B489</v>
      </c>
      <c r="H59" s="29" t="str" cm="1">
        <f t="array" ref="H59">"n"&amp;SUBSTITUTE(CreateGuidString(),"-","_")</f>
        <v>n4ED4AE52_9171_4025_95E0_F3ECCA7F422C</v>
      </c>
    </row>
    <row r="60" spans="1:8" x14ac:dyDescent="0.35">
      <c r="A60" s="13" t="s">
        <v>1946</v>
      </c>
      <c r="B60" s="13" t="str">
        <f>VLOOKUP(EdgesData[[#This Row],[Node A]],NodesData[],3,FALSE)</f>
        <v>n02B81E29_1266_4611_897E_FD90C5DD5788</v>
      </c>
      <c r="C60" s="18" t="s">
        <v>1955</v>
      </c>
      <c r="D60" s="12" t="s">
        <v>1925</v>
      </c>
      <c r="F60" s="18" t="s">
        <v>1958</v>
      </c>
      <c r="G60" s="28" t="str">
        <f>VLOOKUP(EdgesData[[#This Row],[Node B]],NodesData[],3,FALSE)</f>
        <v>n4E7B27FA_8562_4EC8_869A_378A5937334A</v>
      </c>
      <c r="H60" s="29" t="str" cm="1">
        <f t="array" ref="H60">"n"&amp;SUBSTITUTE(CreateGuidString(),"-","_")</f>
        <v>n6CC35466_7D1E_42C3_B77F_2ECBDA6C949C</v>
      </c>
    </row>
    <row r="61" spans="1:8" x14ac:dyDescent="0.35">
      <c r="A61" s="13" t="s">
        <v>1947</v>
      </c>
      <c r="B61" s="13" t="str">
        <f>VLOOKUP(EdgesData[[#This Row],[Node A]],NodesData[],3,FALSE)</f>
        <v>n89FBB4A6_DF18_465F_9DA3_BD367759F09E</v>
      </c>
      <c r="C61" s="18" t="s">
        <v>1956</v>
      </c>
      <c r="D61" s="12" t="s">
        <v>1959</v>
      </c>
      <c r="F61" s="18" t="s">
        <v>1958</v>
      </c>
      <c r="G61" s="28" t="str">
        <f>VLOOKUP(EdgesData[[#This Row],[Node B]],NodesData[],3,FALSE)</f>
        <v>n4E7B27FA_8562_4EC8_869A_378A5937334A</v>
      </c>
      <c r="H61" s="29" t="str" cm="1">
        <f t="array" ref="H61">"n"&amp;SUBSTITUTE(CreateGuidString(),"-","_")</f>
        <v>nAF4CC5B1_165C_46C1_B7EB_720BA64A6911</v>
      </c>
    </row>
    <row r="62" spans="1:8" x14ac:dyDescent="0.35">
      <c r="A62" s="13" t="s">
        <v>1948</v>
      </c>
      <c r="B62" s="13" t="str">
        <f>VLOOKUP(EdgesData[[#This Row],[Node A]],NodesData[],3,FALSE)</f>
        <v>nE9C9661B_8C28_413E_A8E3_A720E03C04B7</v>
      </c>
      <c r="C62" s="12" t="s">
        <v>4</v>
      </c>
      <c r="D62" s="12" t="s">
        <v>1343</v>
      </c>
      <c r="F62" s="18" t="s">
        <v>1926</v>
      </c>
      <c r="G62" s="28" t="str">
        <f>VLOOKUP(EdgesData[[#This Row],[Node B]],NodesData[],3,FALSE)</f>
        <v>nE0352234_7814_467F_8B8B_EF900BACC357</v>
      </c>
      <c r="H62" s="29" t="str" cm="1">
        <f t="array" ref="H62">"n"&amp;SUBSTITUTE(CreateGuidString(),"-","_")</f>
        <v>n2BDA4CD9_82A1_4245_B05B_AC4E2FACE292</v>
      </c>
    </row>
    <row r="63" spans="1:8" x14ac:dyDescent="0.35">
      <c r="A63" s="13" t="s">
        <v>1961</v>
      </c>
      <c r="B63" s="13" t="str">
        <f>VLOOKUP(EdgesData[[#This Row],[Node A]],NodesData[],3,FALSE)</f>
        <v>n4E7B27FA_8562_4EC8_869A_378A5937334A</v>
      </c>
      <c r="C63" s="18" t="s">
        <v>1958</v>
      </c>
      <c r="D63" s="12" t="s">
        <v>1960</v>
      </c>
      <c r="F63" s="12" t="s">
        <v>148</v>
      </c>
      <c r="G63" s="28" t="str">
        <f>VLOOKUP(EdgesData[[#This Row],[Node B]],NodesData[],3,FALSE)</f>
        <v>n2D85F484_089E_4E23_B816_91EC7B0A8538</v>
      </c>
      <c r="H63" s="29" t="str" cm="1">
        <f t="array" ref="H63">"n"&amp;SUBSTITUTE(CreateGuidString(),"-","_")</f>
        <v>nB12BD9B9_976D_4329_8134_CC045C9C9839</v>
      </c>
    </row>
    <row r="64" spans="1:8" x14ac:dyDescent="0.35">
      <c r="A64" s="13" t="s">
        <v>1967</v>
      </c>
      <c r="B64" s="13" t="str">
        <f>VLOOKUP(EdgesData[[#This Row],[Node A]],NodesData[],3,FALSE)</f>
        <v>n02B81E29_1266_4611_897E_FD90C5DD5788</v>
      </c>
      <c r="C64" s="18" t="s">
        <v>1955</v>
      </c>
      <c r="D64" s="12" t="s">
        <v>1959</v>
      </c>
      <c r="F64" s="18" t="s">
        <v>1962</v>
      </c>
      <c r="G64" s="28" t="str">
        <f>VLOOKUP(EdgesData[[#This Row],[Node B]],NodesData[],3,FALSE)</f>
        <v>n4FA68550_C829_46CD_ADC2_9BE67FA41543</v>
      </c>
      <c r="H64" s="29" t="str" cm="1">
        <f t="array" ref="H64">"n"&amp;SUBSTITUTE(CreateGuidString(),"-","_")</f>
        <v>n7E99EFA2_7827_4773_91E4_D9B34E3CAA5A</v>
      </c>
    </row>
    <row r="65" spans="1:8" x14ac:dyDescent="0.35">
      <c r="A65" s="13" t="s">
        <v>1968</v>
      </c>
      <c r="B65" s="13" t="str">
        <f>VLOOKUP(EdgesData[[#This Row],[Node A]],NodesData[],3,FALSE)</f>
        <v>nA59D49F8_3819_4341_A310_19C77AB08AAB</v>
      </c>
      <c r="C65" s="18" t="s">
        <v>1923</v>
      </c>
      <c r="D65" s="12" t="s">
        <v>1354</v>
      </c>
      <c r="F65" s="18" t="s">
        <v>1956</v>
      </c>
      <c r="G65" s="28" t="str">
        <f>VLOOKUP(EdgesData[[#This Row],[Node B]],NodesData[],3,FALSE)</f>
        <v>n89FBB4A6_DF18_465F_9DA3_BD367759F09E</v>
      </c>
      <c r="H65" s="29" t="str" cm="1">
        <f t="array" ref="H65">"n"&amp;SUBSTITUTE(CreateGuidString(),"-","_")</f>
        <v>n0028F731_EC86_4C20_B77F_946A63CC2AC9</v>
      </c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DD91-C169-4E84-9307-D7FC7ECB08E2}">
  <sheetPr codeName="Sheet10">
    <tabColor theme="1"/>
  </sheetPr>
  <dimension ref="A1:F500"/>
  <sheetViews>
    <sheetView topLeftCell="E1" zoomScale="120" zoomScaleNormal="120" workbookViewId="0">
      <selection activeCell="E11" sqref="E11"/>
    </sheetView>
  </sheetViews>
  <sheetFormatPr defaultRowHeight="12.75" x14ac:dyDescent="0.35"/>
  <cols>
    <col min="1" max="1" width="42.86328125" style="2" bestFit="1" customWidth="1"/>
    <col min="2" max="2" width="23" style="3" bestFit="1" customWidth="1"/>
    <col min="3" max="3" width="45.9296875" style="3" customWidth="1"/>
    <col min="4" max="4" width="215.06640625" style="18" bestFit="1" customWidth="1"/>
    <col min="5" max="5" width="120.3984375" style="26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1832</v>
      </c>
      <c r="B1" s="9"/>
      <c r="C1" s="9"/>
      <c r="D1" s="23"/>
    </row>
    <row r="2" spans="1:5" s="12" customFormat="1" ht="15" thickTop="1" thickBot="1" x14ac:dyDescent="0.5">
      <c r="A2" s="18" t="s">
        <v>1335</v>
      </c>
      <c r="B2" s="18" t="s">
        <v>1951</v>
      </c>
      <c r="C2" s="15" t="s">
        <v>1334</v>
      </c>
      <c r="D2" s="15" t="s">
        <v>1336</v>
      </c>
      <c r="E2" s="24" t="s">
        <v>1333</v>
      </c>
    </row>
    <row r="3" spans="1:5" ht="13.9" thickTop="1" thickBot="1" x14ac:dyDescent="0.4">
      <c r="A3" s="3" t="str">
        <f>NodesData[[#This Row],[Common Name]]</f>
        <v>4-Eyes Principle</v>
      </c>
      <c r="B3" s="3" t="str">
        <f>IF(NodesData[[#This Row],[Context Instanciation]]="","",NodesData[[#This Row],[Context Instanciation]])</f>
        <v/>
      </c>
      <c r="C3" s="21" t="str">
        <f>NodesData[[#This Row],[Node ID]]</f>
        <v>n949B469C_B258_4821_87B2_A3318627421D</v>
      </c>
      <c r="D3" s="3" t="str">
        <f>IF(NodesData[[#This Row],[URL]]="","",NodesData[[#This Row],[URL]])</f>
        <v>https://open-measure.atlassian.net/wiki/spaces/DIC/pages/805175450/4-Eyes+Principle</v>
      </c>
      <c r="E3" s="25" t="str" cm="1">
        <f t="array" ref="E3">IF(ROW(NodesJSON[[#This Row],[label]])&gt;ROW(NodesJSON[[#Headers],[JSON]])+1,",","") &amp;"{"&amp;twoRangesToJSON(NodesJSON[[#Headers],[label]:[url]],NodesJSON[[#This Row],[label]:[url]])&amp;"}"</f>
        <v>{"label":"4-Eyes Principle","group":"","id":"n949B469C_B258_4821_87B2_A3318627421D","url":"https://open-measure.atlassian.net/wiki/spaces/DIC/pages/805175450/4-Eyes+Principle"}</v>
      </c>
    </row>
    <row r="4" spans="1:5" ht="13.9" thickTop="1" thickBot="1" x14ac:dyDescent="0.4">
      <c r="A4" s="3" t="str">
        <f>NodesData[[#This Row],[Common Name]]</f>
        <v>Access</v>
      </c>
      <c r="B4" s="3" t="str">
        <f>IF(NodesData[[#This Row],[Context Instanciation]]="","",NodesData[[#This Row],[Context Instanciation]])</f>
        <v/>
      </c>
      <c r="C4" s="22" t="str">
        <f>NodesData[[#This Row],[Node ID]]</f>
        <v>n345814A3_CDB9_48CD_9A28_0EA438DFE1AF</v>
      </c>
      <c r="D4" s="3" t="str">
        <f>IF(NodesData[[#This Row],[URL]]="","",NodesData[[#This Row],[URL]])</f>
        <v>https://open-measure.atlassian.net/wiki/spaces/DIC/pages/123962347/Access</v>
      </c>
      <c r="E4" s="25" t="str" cm="1">
        <f t="array" ref="E4">IF(ROW(NodesJSON[[#This Row],[label]])&gt;ROW(NodesJSON[[#Headers],[JSON]])+1,",","") &amp;"{"&amp;twoRangesToJSON(NodesJSON[[#Headers],[label]:[url]],NodesJSON[[#This Row],[label]:[url]])&amp;"}"</f>
        <v>,{"label":"Access","group":"","id":"n345814A3_CDB9_48CD_9A28_0EA438DFE1AF","url":"https://open-measure.atlassian.net/wiki/spaces/DIC/pages/123962347/Access"}</v>
      </c>
    </row>
    <row r="5" spans="1:5" ht="13.9" thickTop="1" thickBot="1" x14ac:dyDescent="0.4">
      <c r="A5" s="3" t="str">
        <f>NodesData[[#This Row],[Common Name]]</f>
        <v>Access Audit</v>
      </c>
      <c r="B5" s="3" t="str">
        <f>IF(NodesData[[#This Row],[Context Instanciation]]="","",NodesData[[#This Row],[Context Instanciation]])</f>
        <v/>
      </c>
      <c r="C5" s="22" t="str">
        <f>NodesData[[#This Row],[Node ID]]</f>
        <v>n50BECF28_43AF_4D2B_9A00_548252A11959</v>
      </c>
      <c r="D5" s="3" t="str">
        <f>IF(NodesData[[#This Row],[URL]]="","",NodesData[[#This Row],[URL]])</f>
        <v>https://open-measure.atlassian.net/wiki/spaces/DIC/pages/1121878227</v>
      </c>
      <c r="E5" s="25" t="str" cm="1">
        <f t="array" ref="E5">IF(ROW(NodesJSON[[#This Row],[label]])&gt;ROW(NodesJSON[[#Headers],[JSON]])+1,",","") &amp;"{"&amp;twoRangesToJSON(NodesJSON[[#Headers],[label]:[url]],NodesJSON[[#This Row],[label]:[url]])&amp;"}"</f>
        <v>,{"label":"Access Audit","group":"","id":"n50BECF28_43AF_4D2B_9A00_548252A11959","url":"https://open-measure.atlassian.net/wiki/spaces/DIC/pages/1121878227"}</v>
      </c>
    </row>
    <row r="6" spans="1:5" ht="13.9" thickTop="1" thickBot="1" x14ac:dyDescent="0.4">
      <c r="A6" s="3" t="str">
        <f>NodesData[[#This Row],[Common Name]]</f>
        <v>Access Continuum</v>
      </c>
      <c r="B6" s="3" t="str">
        <f>IF(NodesData[[#This Row],[Context Instanciation]]="","",NodesData[[#This Row],[Context Instanciation]])</f>
        <v/>
      </c>
      <c r="C6" s="22" t="str">
        <f>NodesData[[#This Row],[Node ID]]</f>
        <v>n5AC3C686_E96D_4E16_A7A7_F5E33273E16B</v>
      </c>
      <c r="D6" s="3" t="str">
        <f>IF(NodesData[[#This Row],[URL]]="","",NodesData[[#This Row],[URL]])</f>
        <v>https://open-measure.atlassian.net/wiki/spaces/DIC/pages/1034223816/Access+Continuum</v>
      </c>
      <c r="E6" s="25" t="str" cm="1">
        <f t="array" ref="E6">IF(ROW(NodesJSON[[#This Row],[label]])&gt;ROW(NodesJSON[[#Headers],[JSON]])+1,",","") &amp;"{"&amp;twoRangesToJSON(NodesJSON[[#Headers],[label]:[url]],NodesJSON[[#This Row],[label]:[url]])&amp;"}"</f>
        <v>,{"label":"Access Continuum","group":"","id":"n5AC3C686_E96D_4E16_A7A7_F5E33273E16B","url":"https://open-measure.atlassian.net/wiki/spaces/DIC/pages/1034223816/Access+Continuum"}</v>
      </c>
    </row>
    <row r="7" spans="1:5" ht="13.9" thickTop="1" thickBot="1" x14ac:dyDescent="0.4">
      <c r="A7" s="3" t="str">
        <f>NodesData[[#This Row],[Common Name]]</f>
        <v>Access Control</v>
      </c>
      <c r="B7" s="3" t="str">
        <f>IF(NodesData[[#This Row],[Context Instanciation]]="","",NodesData[[#This Row],[Context Instanciation]])</f>
        <v/>
      </c>
      <c r="C7" s="22" t="str">
        <f>NodesData[[#This Row],[Node ID]]</f>
        <v>nC8849963_097C_4D88_9F09_0BE7822C1A27</v>
      </c>
      <c r="D7" s="3" t="str">
        <f>IF(NodesData[[#This Row],[URL]]="","",NodesData[[#This Row],[URL]])</f>
        <v>https://open-measure.atlassian.net/wiki/spaces/DIC/pages/427163781</v>
      </c>
      <c r="E7" s="25" t="str" cm="1">
        <f t="array" ref="E7">IF(ROW(NodesJSON[[#This Row],[label]])&gt;ROW(NodesJSON[[#Headers],[JSON]])+1,",","") &amp;"{"&amp;twoRangesToJSON(NodesJSON[[#Headers],[label]:[url]],NodesJSON[[#This Row],[label]:[url]])&amp;"}"</f>
        <v>,{"label":"Access Control","group":"","id":"nC8849963_097C_4D88_9F09_0BE7822C1A27","url":"https://open-measure.atlassian.net/wiki/spaces/DIC/pages/427163781"}</v>
      </c>
    </row>
    <row r="8" spans="1:5" ht="13.9" thickTop="1" thickBot="1" x14ac:dyDescent="0.4">
      <c r="A8" s="3" t="str">
        <f>NodesData[[#This Row],[Common Name]]</f>
        <v>Access Control List</v>
      </c>
      <c r="B8" s="3" t="str">
        <f>IF(NodesData[[#This Row],[Context Instanciation]]="","",NodesData[[#This Row],[Context Instanciation]])</f>
        <v/>
      </c>
      <c r="C8" s="22" t="str">
        <f>NodesData[[#This Row],[Node ID]]</f>
        <v>nB5D15B0C_90C3_4DC7_BCEE_7009BF5FA6B0</v>
      </c>
      <c r="D8" s="3" t="str">
        <f>IF(NodesData[[#This Row],[URL]]="","",NodesData[[#This Row],[URL]])</f>
        <v>https://open-measure.atlassian.net/wiki/spaces/DIC/pages/822345754</v>
      </c>
      <c r="E8" s="25" t="str" cm="1">
        <f t="array" ref="E8">IF(ROW(NodesJSON[[#This Row],[label]])&gt;ROW(NodesJSON[[#Headers],[JSON]])+1,",","") &amp;"{"&amp;twoRangesToJSON(NodesJSON[[#Headers],[label]:[url]],NodesJSON[[#This Row],[label]:[url]])&amp;"}"</f>
        <v>,{"label":"Access Control List","group":"","id":"nB5D15B0C_90C3_4DC7_BCEE_7009BF5FA6B0","url":"https://open-measure.atlassian.net/wiki/spaces/DIC/pages/822345754"}</v>
      </c>
    </row>
    <row r="9" spans="1:5" ht="13.9" thickTop="1" thickBot="1" x14ac:dyDescent="0.4">
      <c r="A9" s="3" t="str">
        <f>NodesData[[#This Row],[Common Name]]</f>
        <v>Access Control Mechanism</v>
      </c>
      <c r="B9" s="3" t="str">
        <f>IF(NodesData[[#This Row],[Context Instanciation]]="","",NodesData[[#This Row],[Context Instanciation]])</f>
        <v/>
      </c>
      <c r="C9" s="22" t="str">
        <f>NodesData[[#This Row],[Node ID]]</f>
        <v>n43F62EE6_EF98_4F57_B80F_8D93BAD953C7</v>
      </c>
      <c r="D9" s="3" t="str">
        <f>IF(NodesData[[#This Row],[URL]]="","",NodesData[[#This Row],[URL]])</f>
        <v>https://open-measure.atlassian.net/wiki/spaces/DIC/pages/67633606</v>
      </c>
      <c r="E9" s="25" t="str" cm="1">
        <f t="array" ref="E9">IF(ROW(NodesJSON[[#This Row],[label]])&gt;ROW(NodesJSON[[#Headers],[JSON]])+1,",","") &amp;"{"&amp;twoRangesToJSON(NodesJSON[[#Headers],[label]:[url]],NodesJSON[[#This Row],[label]:[url]])&amp;"}"</f>
        <v>,{"label":"Access Control Mechanism","group":"","id":"n43F62EE6_EF98_4F57_B80F_8D93BAD953C7","url":"https://open-measure.atlassian.net/wiki/spaces/DIC/pages/67633606"}</v>
      </c>
    </row>
    <row r="10" spans="1:5" ht="13.9" thickTop="1" thickBot="1" x14ac:dyDescent="0.4">
      <c r="A10" s="3" t="str">
        <f>NodesData[[#This Row],[Common Name]]</f>
        <v>Access Control Model</v>
      </c>
      <c r="B10" s="3" t="str">
        <f>IF(NodesData[[#This Row],[Context Instanciation]]="","",NodesData[[#This Row],[Context Instanciation]])</f>
        <v/>
      </c>
      <c r="C10" s="22" t="str">
        <f>NodesData[[#This Row],[Node ID]]</f>
        <v>nA82E8086_80AC_481F_9FE9_6158EBAA5FD4</v>
      </c>
      <c r="D10" s="3" t="str">
        <f>IF(NodesData[[#This Row],[URL]]="","",NodesData[[#This Row],[URL]])</f>
        <v>https://open-measure.atlassian.net/wiki/spaces/DIC/pages/67699193</v>
      </c>
      <c r="E10" s="25" t="str" cm="1">
        <f t="array" ref="E10">IF(ROW(NodesJSON[[#This Row],[label]])&gt;ROW(NodesJSON[[#Headers],[JSON]])+1,",","") &amp;"{"&amp;twoRangesToJSON(NodesJSON[[#Headers],[label]:[url]],NodesJSON[[#This Row],[label]:[url]])&amp;"}"</f>
        <v>,{"label":"Access Control Model","group":"","id":"nA82E8086_80AC_481F_9FE9_6158EBAA5FD4","url":"https://open-measure.atlassian.net/wiki/spaces/DIC/pages/67699193"}</v>
      </c>
    </row>
    <row r="11" spans="1:5" ht="13.9" thickTop="1" thickBot="1" x14ac:dyDescent="0.4">
      <c r="A11" s="3" t="str">
        <f>NodesData[[#This Row],[Common Name]]</f>
        <v>Access Control Policy</v>
      </c>
      <c r="B11" s="3" t="str">
        <f>IF(NodesData[[#This Row],[Context Instanciation]]="","",NodesData[[#This Row],[Context Instanciation]])</f>
        <v/>
      </c>
      <c r="C11" s="22" t="str">
        <f>NodesData[[#This Row],[Node ID]]</f>
        <v>n8FC24F45_A985_41A5_AD50_B3DB59F8F1CB</v>
      </c>
      <c r="D11" s="3" t="str">
        <f>IF(NodesData[[#This Row],[URL]]="","",NodesData[[#This Row],[URL]])</f>
        <v>https://open-measure.atlassian.net/wiki/spaces/DIC/pages/67633597</v>
      </c>
      <c r="E11" s="25" t="str" cm="1">
        <f t="array" ref="E11">IF(ROW(NodesJSON[[#This Row],[label]])&gt;ROW(NodesJSON[[#Headers],[JSON]])+1,",","") &amp;"{"&amp;twoRangesToJSON(NodesJSON[[#Headers],[label]:[url]],NodesJSON[[#This Row],[label]:[url]])&amp;"}"</f>
        <v>,{"label":"Access Control Policy","group":"","id":"n8FC24F45_A985_41A5_AD50_B3DB59F8F1CB","url":"https://open-measure.atlassian.net/wiki/spaces/DIC/pages/67633597"}</v>
      </c>
    </row>
    <row r="12" spans="1:5" ht="13.9" thickTop="1" thickBot="1" x14ac:dyDescent="0.4">
      <c r="A12" s="3" t="str">
        <f>NodesData[[#This Row],[Common Name]]</f>
        <v>Access Granularity</v>
      </c>
      <c r="B12" s="3" t="str">
        <f>IF(NodesData[[#This Row],[Context Instanciation]]="","",NodesData[[#This Row],[Context Instanciation]])</f>
        <v/>
      </c>
      <c r="C12" s="22" t="str">
        <f>NodesData[[#This Row],[Node ID]]</f>
        <v>n497BAD86_FE0D_4D81_BE05_AA9EEB93B4EC</v>
      </c>
      <c r="D12" s="3" t="str">
        <f>IF(NodesData[[#This Row],[URL]]="","",NodesData[[#This Row],[URL]])</f>
        <v>https://open-measure.atlassian.net/wiki/spaces/DIC/pages/1006632974</v>
      </c>
      <c r="E12" s="25" t="str" cm="1">
        <f t="array" ref="E12">IF(ROW(NodesJSON[[#This Row],[label]])&gt;ROW(NodesJSON[[#Headers],[JSON]])+1,",","") &amp;"{"&amp;twoRangesToJSON(NodesJSON[[#Headers],[label]:[url]],NodesJSON[[#This Row],[label]:[url]])&amp;"}"</f>
        <v>,{"label":"Access Granularity","group":"","id":"n497BAD86_FE0D_4D81_BE05_AA9EEB93B4EC","url":"https://open-measure.atlassian.net/wiki/spaces/DIC/pages/1006632974"}</v>
      </c>
    </row>
    <row r="13" spans="1:5" ht="13.9" thickTop="1" thickBot="1" x14ac:dyDescent="0.4">
      <c r="A13" s="3" t="str">
        <f>NodesData[[#This Row],[Common Name]]</f>
        <v>Access Privilege</v>
      </c>
      <c r="B13" s="3" t="str">
        <f>IF(NodesData[[#This Row],[Context Instanciation]]="","",NodesData[[#This Row],[Context Instanciation]])</f>
        <v/>
      </c>
      <c r="C13" s="22" t="str">
        <f>NodesData[[#This Row],[Node ID]]</f>
        <v>n4A503F49_7D20_4B79_832C_C1F952C6FE7A</v>
      </c>
      <c r="D13" s="3" t="str">
        <f>IF(NodesData[[#This Row],[URL]]="","",NodesData[[#This Row],[URL]])</f>
        <v>https://open-measure.atlassian.net/wiki/spaces/DIC/pages/1122631723</v>
      </c>
      <c r="E13" s="25" t="str" cm="1">
        <f t="array" ref="E13">IF(ROW(NodesJSON[[#This Row],[label]])&gt;ROW(NodesJSON[[#Headers],[JSON]])+1,",","") &amp;"{"&amp;twoRangesToJSON(NodesJSON[[#Headers],[label]:[url]],NodesJSON[[#This Row],[label]:[url]])&amp;"}"</f>
        <v>,{"label":"Access Privilege","group":"","id":"n4A503F49_7D20_4B79_832C_C1F952C6FE7A","url":"https://open-measure.atlassian.net/wiki/spaces/DIC/pages/1122631723"}</v>
      </c>
    </row>
    <row r="14" spans="1:5" ht="13.9" thickTop="1" thickBot="1" x14ac:dyDescent="0.4">
      <c r="A14" s="3" t="str">
        <f>NodesData[[#This Row],[Common Name]]</f>
        <v>Access Right</v>
      </c>
      <c r="B14" s="3" t="str">
        <f>IF(NodesData[[#This Row],[Context Instanciation]]="","",NodesData[[#This Row],[Context Instanciation]])</f>
        <v/>
      </c>
      <c r="C14" s="22" t="str">
        <f>NodesData[[#This Row],[Node ID]]</f>
        <v>n1A9106FF_36C5_478C_9A0E_FF5F93C55D1F</v>
      </c>
      <c r="D14" s="3" t="str">
        <f>IF(NodesData[[#This Row],[URL]]="","",NodesData[[#This Row],[URL]])</f>
        <v>https://open-measure.atlassian.net/wiki/spaces/DIC/pages/1122599013</v>
      </c>
      <c r="E14" s="25" t="str" cm="1">
        <f t="array" ref="E14">IF(ROW(NodesJSON[[#This Row],[label]])&gt;ROW(NodesJSON[[#Headers],[JSON]])+1,",","") &amp;"{"&amp;twoRangesToJSON(NodesJSON[[#Headers],[label]:[url]],NodesJSON[[#This Row],[label]:[url]])&amp;"}"</f>
        <v>,{"label":"Access Right","group":"","id":"n1A9106FF_36C5_478C_9A0E_FF5F93C55D1F","url":"https://open-measure.atlassian.net/wiki/spaces/DIC/pages/1122599013"}</v>
      </c>
    </row>
    <row r="15" spans="1:5" ht="13.9" thickTop="1" thickBot="1" x14ac:dyDescent="0.4">
      <c r="A15" s="3" t="str">
        <f>NodesData[[#This Row],[Common Name]]</f>
        <v>Access Rights Management</v>
      </c>
      <c r="B15" s="3" t="str">
        <f>IF(NodesData[[#This Row],[Context Instanciation]]="","",NodesData[[#This Row],[Context Instanciation]])</f>
        <v/>
      </c>
      <c r="C15" s="22" t="str">
        <f>NodesData[[#This Row],[Node ID]]</f>
        <v>nE49F9EAF_3DC5_47FA_9722_CDE0190EAD09</v>
      </c>
      <c r="D15" s="3" t="str">
        <f>IF(NodesData[[#This Row],[URL]]="","",NodesData[[#This Row],[URL]])</f>
        <v>https://open-measure.atlassian.net/wiki/spaces/DIC/pages/1704003</v>
      </c>
      <c r="E15" s="25" t="str" cm="1">
        <f t="array" ref="E15">IF(ROW(NodesJSON[[#This Row],[label]])&gt;ROW(NodesJSON[[#Headers],[JSON]])+1,",","") &amp;"{"&amp;twoRangesToJSON(NodesJSON[[#Headers],[label]:[url]],NodesJSON[[#This Row],[label]:[url]])&amp;"}"</f>
        <v>,{"label":"Access Rights Management","group":"","id":"nE49F9EAF_3DC5_47FA_9722_CDE0190EAD09","url":"https://open-measure.atlassian.net/wiki/spaces/DIC/pages/1704003"}</v>
      </c>
    </row>
    <row r="16" spans="1:5" ht="13.9" thickTop="1" thickBot="1" x14ac:dyDescent="0.4">
      <c r="A16" s="3" t="str">
        <f>NodesData[[#This Row],[Common Name]]</f>
        <v>Access Token</v>
      </c>
      <c r="B16" s="3" t="str">
        <f>IF(NodesData[[#This Row],[Context Instanciation]]="","",NodesData[[#This Row],[Context Instanciation]])</f>
        <v/>
      </c>
      <c r="C16" s="22" t="str">
        <f>NodesData[[#This Row],[Node ID]]</f>
        <v>nAB8CC74A_69EA_4A1D_A0BB_7FA855D1CD4C</v>
      </c>
      <c r="D16" s="3" t="str">
        <f>IF(NodesData[[#This Row],[URL]]="","",NodesData[[#This Row],[URL]])</f>
        <v>https://open-measure.atlassian.net/wiki/spaces/DIC/pages/1600684040/Access+Token</v>
      </c>
      <c r="E16" s="25" t="str" cm="1">
        <f t="array" ref="E16">IF(ROW(NodesJSON[[#This Row],[label]])&gt;ROW(NodesJSON[[#Headers],[JSON]])+1,",","") &amp;"{"&amp;twoRangesToJSON(NodesJSON[[#Headers],[label]:[url]],NodesJSON[[#This Row],[label]:[url]])&amp;"}"</f>
        <v>,{"label":"Access Token","group":"","id":"nAB8CC74A_69EA_4A1D_A0BB_7FA855D1CD4C","url":"https://open-measure.atlassian.net/wiki/spaces/DIC/pages/1600684040/Access+Token"}</v>
      </c>
    </row>
    <row r="17" spans="1:5" ht="13.9" thickTop="1" thickBot="1" x14ac:dyDescent="0.4">
      <c r="A17" s="3" t="str">
        <f>NodesData[[#This Row],[Common Name]]</f>
        <v>Account</v>
      </c>
      <c r="B17" s="3" t="str">
        <f>IF(NodesData[[#This Row],[Context Instanciation]]="","",NodesData[[#This Row],[Context Instanciation]])</f>
        <v/>
      </c>
      <c r="C17" s="22" t="str">
        <f>NodesData[[#This Row],[Node ID]]</f>
        <v>n60E574D8_853F_46D9_A1FB_433B2771BF75</v>
      </c>
      <c r="D17" s="3" t="str">
        <f>IF(NodesData[[#This Row],[URL]]="","",NodesData[[#This Row],[URL]])</f>
        <v>https://open-measure.atlassian.net/wiki/spaces/DIC/pages/461308120/Account</v>
      </c>
      <c r="E17" s="25" t="str" cm="1">
        <f t="array" ref="E17">IF(ROW(NodesJSON[[#This Row],[label]])&gt;ROW(NodesJSON[[#Headers],[JSON]])+1,",","") &amp;"{"&amp;twoRangesToJSON(NodesJSON[[#Headers],[label]:[url]],NodesJSON[[#This Row],[label]:[url]])&amp;"}"</f>
        <v>,{"label":"Account","group":"","id":"n60E574D8_853F_46D9_A1FB_433B2771BF75","url":"https://open-measure.atlassian.net/wiki/spaces/DIC/pages/461308120/Account"}</v>
      </c>
    </row>
    <row r="18" spans="1:5" ht="13.9" thickTop="1" thickBot="1" x14ac:dyDescent="0.4">
      <c r="A18" s="3" t="str">
        <f>NodesData[[#This Row],[Common Name]]</f>
        <v>Account Lockout Policy</v>
      </c>
      <c r="B18" s="3" t="str">
        <f>IF(NodesData[[#This Row],[Context Instanciation]]="","",NodesData[[#This Row],[Context Instanciation]])</f>
        <v/>
      </c>
      <c r="C18" s="22" t="str">
        <f>NodesData[[#This Row],[Node ID]]</f>
        <v>n6CB6D4CB_AB42_4B54_8FC3_DD4C4D6C2B3E</v>
      </c>
      <c r="D18" s="3" t="str">
        <f>IF(NodesData[[#This Row],[URL]]="","",NodesData[[#This Row],[URL]])</f>
        <v>https://open-measure.atlassian.net/wiki/spaces/DIC/pages/67699360</v>
      </c>
      <c r="E18" s="25" t="str" cm="1">
        <f t="array" ref="E18">IF(ROW(NodesJSON[[#This Row],[label]])&gt;ROW(NodesJSON[[#Headers],[JSON]])+1,",","") &amp;"{"&amp;twoRangesToJSON(NodesJSON[[#Headers],[label]:[url]],NodesJSON[[#This Row],[label]:[url]])&amp;"}"</f>
        <v>,{"label":"Account Lockout Policy","group":"","id":"n6CB6D4CB_AB42_4B54_8FC3_DD4C4D6C2B3E","url":"https://open-measure.atlassian.net/wiki/spaces/DIC/pages/67699360"}</v>
      </c>
    </row>
    <row r="19" spans="1:5" ht="13.9" thickTop="1" thickBot="1" x14ac:dyDescent="0.4">
      <c r="A19" s="3" t="str">
        <f>NodesData[[#This Row],[Common Name]]</f>
        <v>Account Management</v>
      </c>
      <c r="B19" s="3" t="str">
        <f>IF(NodesData[[#This Row],[Context Instanciation]]="","",NodesData[[#This Row],[Context Instanciation]])</f>
        <v/>
      </c>
      <c r="C19" s="22" t="str">
        <f>NodesData[[#This Row],[Node ID]]</f>
        <v>nF83276D7_E44A_4A0B_A465_28B40B846C1C</v>
      </c>
      <c r="D19" s="3" t="str">
        <f>IF(NodesData[[#This Row],[URL]]="","",NodesData[[#This Row],[URL]])</f>
        <v>https://open-measure.atlassian.net/wiki/spaces/DIC/pages/1146847331</v>
      </c>
      <c r="E19" s="25" t="str" cm="1">
        <f t="array" ref="E19">IF(ROW(NodesJSON[[#This Row],[label]])&gt;ROW(NodesJSON[[#Headers],[JSON]])+1,",","") &amp;"{"&amp;twoRangesToJSON(NodesJSON[[#Headers],[label]:[url]],NodesJSON[[#This Row],[label]:[url]])&amp;"}"</f>
        <v>,{"label":"Account Management","group":"","id":"nF83276D7_E44A_4A0B_A465_28B40B846C1C","url":"https://open-measure.atlassian.net/wiki/spaces/DIC/pages/1146847331"}</v>
      </c>
    </row>
    <row r="20" spans="1:5" ht="13.9" thickTop="1" thickBot="1" x14ac:dyDescent="0.4">
      <c r="A20" s="3" t="str">
        <f>NodesData[[#This Row],[Common Name]]</f>
        <v>Account Takeover</v>
      </c>
      <c r="B20" s="3" t="str">
        <f>IF(NodesData[[#This Row],[Context Instanciation]]="","",NodesData[[#This Row],[Context Instanciation]])</f>
        <v/>
      </c>
      <c r="C20" s="22" t="str">
        <f>NodesData[[#This Row],[Node ID]]</f>
        <v>nE9C9661B_8C28_413E_A8E3_A720E03C04B7</v>
      </c>
      <c r="D20" s="3" t="str">
        <f>IF(NodesData[[#This Row],[URL]]="","",NodesData[[#This Row],[URL]])</f>
        <v>https://open-measure.atlassian.net/wiki/spaces/DIC/pages/1079050286/Account+Takeover</v>
      </c>
      <c r="E20" s="25" t="str" cm="1">
        <f t="array" ref="E20">IF(ROW(NodesJSON[[#This Row],[label]])&gt;ROW(NodesJSON[[#Headers],[JSON]])+1,",","") &amp;"{"&amp;twoRangesToJSON(NodesJSON[[#Headers],[label]:[url]],NodesJSON[[#This Row],[label]:[url]])&amp;"}"</f>
        <v>,{"label":"Account Takeover","group":"","id":"nE9C9661B_8C28_413E_A8E3_A720E03C04B7","url":"https://open-measure.atlassian.net/wiki/spaces/DIC/pages/1079050286/Account+Takeover"}</v>
      </c>
    </row>
    <row r="21" spans="1:5" ht="13.9" thickTop="1" thickBot="1" x14ac:dyDescent="0.4">
      <c r="A21" s="3" t="str">
        <f>NodesData[[#This Row],[Common Name]]</f>
        <v>Authorization</v>
      </c>
      <c r="B21" s="3" t="str">
        <f>IF(NodesData[[#This Row],[Context Instanciation]]="","",NodesData[[#This Row],[Context Instanciation]])</f>
        <v>Account Takeover</v>
      </c>
      <c r="C21" s="22" t="str">
        <f>NodesData[[#This Row],[Node ID]]</f>
        <v>n4E7B27FA_8562_4EC8_869A_378A5937334A</v>
      </c>
      <c r="D21" s="3" t="str">
        <f>IF(NodesData[[#This Row],[URL]]="","",NodesData[[#This Row],[URL]])</f>
        <v/>
      </c>
      <c r="E21" s="25" t="str" cm="1">
        <f t="array" ref="E21">IF(ROW(NodesJSON[[#This Row],[label]])&gt;ROW(NodesJSON[[#Headers],[JSON]])+1,",","") &amp;"{"&amp;twoRangesToJSON(NodesJSON[[#Headers],[label]:[url]],NodesJSON[[#This Row],[label]:[url]])&amp;"}"</f>
        <v>,{"label":"Authorization","group":"Account Takeover","id":"n4E7B27FA_8562_4EC8_869A_378A5937334A","url":""}</v>
      </c>
    </row>
    <row r="22" spans="1:5" ht="13.9" thickTop="1" thickBot="1" x14ac:dyDescent="0.4">
      <c r="A22" s="3" t="str">
        <f>NodesData[[#This Row],[Common Name]]</f>
        <v>Digital Identity</v>
      </c>
      <c r="B22" s="3" t="str">
        <f>IF(NodesData[[#This Row],[Context Instanciation]]="","",NodesData[[#This Row],[Context Instanciation]])</f>
        <v>Account Takeover</v>
      </c>
      <c r="C22" s="22" t="str">
        <f>NodesData[[#This Row],[Node ID]]</f>
        <v>n65057A73_5E5D_4997_843D_70FCDDBF4863</v>
      </c>
      <c r="D22" s="3" t="str">
        <f>IF(NodesData[[#This Row],[URL]]="","",NodesData[[#This Row],[URL]])</f>
        <v>https://open-measure.atlassian.net/wiki/spaces/DIC/pages/419528705/Digital+Identity</v>
      </c>
      <c r="E22" s="25" t="str" cm="1">
        <f t="array" ref="E22">IF(ROW(NodesJSON[[#This Row],[label]])&gt;ROW(NodesJSON[[#Headers],[JSON]])+1,",","") &amp;"{"&amp;twoRangesToJSON(NodesJSON[[#Headers],[label]:[url]],NodesJSON[[#This Row],[label]:[url]])&amp;"}"</f>
        <v>,{"label":"Digital Identity","group":"Account Takeover","id":"n65057A73_5E5D_4997_843D_70FCDDBF4863","url":"https://open-measure.atlassian.net/wiki/spaces/DIC/pages/419528705/Digital+Identity"}</v>
      </c>
    </row>
    <row r="23" spans="1:5" ht="13.9" thickTop="1" thickBot="1" x14ac:dyDescent="0.4">
      <c r="A23" s="3" t="str">
        <f>NodesData[[#This Row],[Common Name]]</f>
        <v>Motivation</v>
      </c>
      <c r="B23" s="3" t="str">
        <f>IF(NodesData[[#This Row],[Context Instanciation]]="","",NodesData[[#This Row],[Context Instanciation]])</f>
        <v>Account Takeover</v>
      </c>
      <c r="C23" s="22" t="str">
        <f>NodesData[[#This Row],[Node ID]]</f>
        <v>n4FA68550_C829_46CD_ADC2_9BE67FA41543</v>
      </c>
      <c r="D23" s="3" t="str">
        <f>IF(NodesData[[#This Row],[URL]]="","",NodesData[[#This Row],[URL]])</f>
        <v/>
      </c>
      <c r="E23" s="25" t="str" cm="1">
        <f t="array" ref="E23">IF(ROW(NodesJSON[[#This Row],[label]])&gt;ROW(NodesJSON[[#Headers],[JSON]])+1,",","") &amp;"{"&amp;twoRangesToJSON(NodesJSON[[#Headers],[label]:[url]],NodesJSON[[#This Row],[label]:[url]])&amp;"}"</f>
        <v>,{"label":"Motivation","group":"Account Takeover","id":"n4FA68550_C829_46CD_ADC2_9BE67FA41543","url":""}</v>
      </c>
    </row>
    <row r="24" spans="1:5" ht="13.9" thickTop="1" thickBot="1" x14ac:dyDescent="0.4">
      <c r="A24" s="3" t="str">
        <f>NodesData[[#This Row],[Common Name]]</f>
        <v>Perpetrator</v>
      </c>
      <c r="B24" s="3" t="str">
        <f>IF(NodesData[[#This Row],[Context Instanciation]]="","",NodesData[[#This Row],[Context Instanciation]])</f>
        <v>Account Takeover</v>
      </c>
      <c r="C24" s="22" t="str">
        <f>NodesData[[#This Row],[Node ID]]</f>
        <v>n02B81E29_1266_4611_897E_FD90C5DD5788</v>
      </c>
      <c r="D24" s="3" t="str">
        <f>IF(NodesData[[#This Row],[URL]]="","",NodesData[[#This Row],[URL]])</f>
        <v/>
      </c>
      <c r="E24" s="25" t="str" cm="1">
        <f t="array" ref="E24">IF(ROW(NodesJSON[[#This Row],[label]])&gt;ROW(NodesJSON[[#Headers],[JSON]])+1,",","") &amp;"{"&amp;twoRangesToJSON(NodesJSON[[#Headers],[label]:[url]],NodesJSON[[#This Row],[label]:[url]])&amp;"}"</f>
        <v>,{"label":"Perpetrator","group":"Account Takeover","id":"n02B81E29_1266_4611_897E_FD90C5DD5788","url":""}</v>
      </c>
    </row>
    <row r="25" spans="1:5" ht="13.9" thickTop="1" thickBot="1" x14ac:dyDescent="0.4">
      <c r="A25" s="3" t="str">
        <f>NodesData[[#This Row],[Common Name]]</f>
        <v>Victim</v>
      </c>
      <c r="B25" s="3" t="str">
        <f>IF(NodesData[[#This Row],[Context Instanciation]]="","",NodesData[[#This Row],[Context Instanciation]])</f>
        <v>Account Takeover</v>
      </c>
      <c r="C25" s="22" t="str">
        <f>NodesData[[#This Row],[Node ID]]</f>
        <v>n89FBB4A6_DF18_465F_9DA3_BD367759F09E</v>
      </c>
      <c r="D25" s="3" t="str">
        <f>IF(NodesData[[#This Row],[URL]]="","",NodesData[[#This Row],[URL]])</f>
        <v/>
      </c>
      <c r="E25" s="25" t="str" cm="1">
        <f t="array" ref="E25">IF(ROW(NodesJSON[[#This Row],[label]])&gt;ROW(NodesJSON[[#Headers],[JSON]])+1,",","") &amp;"{"&amp;twoRangesToJSON(NodesJSON[[#Headers],[label]:[url]],NodesJSON[[#This Row],[label]:[url]])&amp;"}"</f>
        <v>,{"label":"Victim","group":"Account Takeover","id":"n89FBB4A6_DF18_465F_9DA3_BD367759F09E","url":""}</v>
      </c>
    </row>
    <row r="26" spans="1:5" ht="13.9" thickTop="1" thickBot="1" x14ac:dyDescent="0.4">
      <c r="A26" s="3" t="str">
        <f>NodesData[[#This Row],[Common Name]]</f>
        <v>Accountability</v>
      </c>
      <c r="B26" s="3" t="str">
        <f>IF(NodesData[[#This Row],[Context Instanciation]]="","",NodesData[[#This Row],[Context Instanciation]])</f>
        <v/>
      </c>
      <c r="C26" s="22" t="str">
        <f>NodesData[[#This Row],[Node ID]]</f>
        <v>nE5052478_9D1A_4E9E_BA4E_FF57B8D216EC</v>
      </c>
      <c r="D26" s="3" t="str">
        <f>IF(NodesData[[#This Row],[URL]]="","",NodesData[[#This Row],[URL]])</f>
        <v>https://open-measure.atlassian.net/wiki/spaces/DIC/pages/425623718</v>
      </c>
      <c r="E26" s="25" t="str" cm="1">
        <f t="array" ref="E26">IF(ROW(NodesJSON[[#This Row],[label]])&gt;ROW(NodesJSON[[#Headers],[JSON]])+1,",","") &amp;"{"&amp;twoRangesToJSON(NodesJSON[[#Headers],[label]:[url]],NodesJSON[[#This Row],[label]:[url]])&amp;"}"</f>
        <v>,{"label":"Accountability","group":"","id":"nE5052478_9D1A_4E9E_BA4E_FF57B8D216EC","url":"https://open-measure.atlassian.net/wiki/spaces/DIC/pages/425623718"}</v>
      </c>
    </row>
    <row r="27" spans="1:5" ht="13.9" thickTop="1" thickBot="1" x14ac:dyDescent="0.4">
      <c r="A27" s="3" t="str">
        <f>NodesData[[#This Row],[Common Name]]</f>
        <v>Accreditation</v>
      </c>
      <c r="B27" s="3" t="str">
        <f>IF(NodesData[[#This Row],[Context Instanciation]]="","",NodesData[[#This Row],[Context Instanciation]])</f>
        <v/>
      </c>
      <c r="C27" s="22" t="str">
        <f>NodesData[[#This Row],[Node ID]]</f>
        <v>nFF744E9A_218E_4CDD_98E9_D977BAE7E561</v>
      </c>
      <c r="D27" s="3" t="str">
        <f>IF(NodesData[[#This Row],[URL]]="","",NodesData[[#This Row],[URL]])</f>
        <v>https://open-measure.atlassian.net/wiki/spaces/DIC/pages/446955580</v>
      </c>
      <c r="E27" s="25" t="str" cm="1">
        <f t="array" ref="E27">IF(ROW(NodesJSON[[#This Row],[label]])&gt;ROW(NodesJSON[[#Headers],[JSON]])+1,",","") &amp;"{"&amp;twoRangesToJSON(NodesJSON[[#Headers],[label]:[url]],NodesJSON[[#This Row],[label]:[url]])&amp;"}"</f>
        <v>,{"label":"Accreditation","group":"","id":"nFF744E9A_218E_4CDD_98E9_D977BAE7E561","url":"https://open-measure.atlassian.net/wiki/spaces/DIC/pages/446955580"}</v>
      </c>
    </row>
    <row r="28" spans="1:5" ht="13.9" thickTop="1" thickBot="1" x14ac:dyDescent="0.4">
      <c r="A28" s="3" t="str">
        <f>NodesData[[#This Row],[Common Name]]</f>
        <v>Active Impersonation Attack</v>
      </c>
      <c r="B28" s="3" t="str">
        <f>IF(NodesData[[#This Row],[Context Instanciation]]="","",NodesData[[#This Row],[Context Instanciation]])</f>
        <v/>
      </c>
      <c r="C28" s="22" t="str">
        <f>NodesData[[#This Row],[Node ID]]</f>
        <v>nCCFA1605_394C_4A41_9411_016EBBD1F932</v>
      </c>
      <c r="D28" s="3" t="str">
        <f>IF(NodesData[[#This Row],[URL]]="","",NodesData[[#This Row],[URL]])</f>
        <v>https://open-measure.atlassian.net/wiki/spaces/DIC/pages/974454812</v>
      </c>
      <c r="E28" s="25" t="str" cm="1">
        <f t="array" ref="E28">IF(ROW(NodesJSON[[#This Row],[label]])&gt;ROW(NodesJSON[[#Headers],[JSON]])+1,",","") &amp;"{"&amp;twoRangesToJSON(NodesJSON[[#Headers],[label]:[url]],NodesJSON[[#This Row],[label]:[url]])&amp;"}"</f>
        <v>,{"label":"Active Impersonation Attack","group":"","id":"nCCFA1605_394C_4A41_9411_016EBBD1F932","url":"https://open-measure.atlassian.net/wiki/spaces/DIC/pages/974454812"}</v>
      </c>
    </row>
    <row r="29" spans="1:5" ht="13.9" thickTop="1" thickBot="1" x14ac:dyDescent="0.4">
      <c r="A29" s="3" t="str">
        <f>NodesData[[#This Row],[Common Name]]</f>
        <v>AP</v>
      </c>
      <c r="B29" s="3" t="str">
        <f>IF(NodesData[[#This Row],[Context Instanciation]]="","",NodesData[[#This Row],[Context Instanciation]])</f>
        <v/>
      </c>
      <c r="C29" s="22" t="str">
        <f>NodesData[[#This Row],[Node ID]]</f>
        <v>nE25E9786_BF32_4FF9_AD96_CA6093825D81</v>
      </c>
      <c r="D29" s="3" t="str">
        <f>IF(NodesData[[#This Row],[URL]]="","",NodesData[[#This Row],[URL]])</f>
        <v>https://open-measure.atlassian.net/wiki/spaces/DIC/pages/81101665/AP</v>
      </c>
      <c r="E29" s="25" t="str" cm="1">
        <f t="array" ref="E29">IF(ROW(NodesJSON[[#This Row],[label]])&gt;ROW(NodesJSON[[#Headers],[JSON]])+1,",","") &amp;"{"&amp;twoRangesToJSON(NodesJSON[[#Headers],[label]:[url]],NodesJSON[[#This Row],[label]:[url]])&amp;"}"</f>
        <v>,{"label":"AP","group":"","id":"nE25E9786_BF32_4FF9_AD96_CA6093825D81","url":"https://open-measure.atlassian.net/wiki/spaces/DIC/pages/81101665/AP"}</v>
      </c>
    </row>
    <row r="30" spans="1:5" ht="13.9" thickTop="1" thickBot="1" x14ac:dyDescent="0.4">
      <c r="A30" s="3" t="str">
        <f>NodesData[[#This Row],[Common Name]]</f>
        <v>Applicant</v>
      </c>
      <c r="B30" s="3" t="str">
        <f>IF(NodesData[[#This Row],[Context Instanciation]]="","",NodesData[[#This Row],[Context Instanciation]])</f>
        <v/>
      </c>
      <c r="C30" s="22" t="str">
        <f>NodesData[[#This Row],[Node ID]]</f>
        <v>n84B52A55_528C_4D8E_AC41_6975F8BB6772</v>
      </c>
      <c r="D30" s="3" t="str">
        <f>IF(NodesData[[#This Row],[URL]]="","",NodesData[[#This Row],[URL]])</f>
        <v>https://open-measure.atlassian.net/wiki/spaces/DIC/pages/848625750</v>
      </c>
      <c r="E30" s="25" t="str" cm="1">
        <f t="array" ref="E30">IF(ROW(NodesJSON[[#This Row],[label]])&gt;ROW(NodesJSON[[#Headers],[JSON]])+1,",","") &amp;"{"&amp;twoRangesToJSON(NodesJSON[[#Headers],[label]:[url]],NodesJSON[[#This Row],[label]:[url]])&amp;"}"</f>
        <v>,{"label":"Applicant","group":"","id":"n84B52A55_528C_4D8E_AC41_6975F8BB6772","url":"https://open-measure.atlassian.net/wiki/spaces/DIC/pages/848625750"}</v>
      </c>
    </row>
    <row r="31" spans="1:5" ht="13.9" thickTop="1" thickBot="1" x14ac:dyDescent="0.4">
      <c r="A31" s="3" t="str">
        <f>NodesData[[#This Row],[Common Name]]</f>
        <v>Application</v>
      </c>
      <c r="B31" s="3" t="str">
        <f>IF(NodesData[[#This Row],[Context Instanciation]]="","",NodesData[[#This Row],[Context Instanciation]])</f>
        <v/>
      </c>
      <c r="C31" s="22" t="str">
        <f>NodesData[[#This Row],[Node ID]]</f>
        <v>n72B6719C_C19A_4205_B703_0239826216C6</v>
      </c>
      <c r="D31" s="3" t="str">
        <f>IF(NodesData[[#This Row],[URL]]="","",NodesData[[#This Row],[URL]])</f>
        <v>https://open-measure.atlassian.net/wiki/spaces/DIC/pages/5965602/Application</v>
      </c>
      <c r="E31" s="25" t="str" cm="1">
        <f t="array" ref="E31">IF(ROW(NodesJSON[[#This Row],[label]])&gt;ROW(NodesJSON[[#Headers],[JSON]])+1,",","") &amp;"{"&amp;twoRangesToJSON(NodesJSON[[#Headers],[label]:[url]],NodesJSON[[#This Row],[label]:[url]])&amp;"}"</f>
        <v>,{"label":"Application","group":"","id":"n72B6719C_C19A_4205_B703_0239826216C6","url":"https://open-measure.atlassian.net/wiki/spaces/DIC/pages/5965602/Application"}</v>
      </c>
    </row>
    <row r="32" spans="1:5" ht="13.9" thickTop="1" thickBot="1" x14ac:dyDescent="0.4">
      <c r="A32" s="3" t="str">
        <f>NodesData[[#This Row],[Common Name]]</f>
        <v>Application Administrator</v>
      </c>
      <c r="B32" s="3" t="str">
        <f>IF(NodesData[[#This Row],[Context Instanciation]]="","",NodesData[[#This Row],[Context Instanciation]])</f>
        <v/>
      </c>
      <c r="C32" s="22" t="str">
        <f>NodesData[[#This Row],[Node ID]]</f>
        <v>nC98FF4A8_B8CF_4F33_A0F7_9002E0B55993</v>
      </c>
      <c r="D32" s="3" t="str">
        <f>IF(NodesData[[#This Row],[URL]]="","",NodesData[[#This Row],[URL]])</f>
        <v>https://open-measure.atlassian.net/wiki/spaces/DIC/pages/274236090</v>
      </c>
      <c r="E32" s="25" t="str" cm="1">
        <f t="array" ref="E32">IF(ROW(NodesJSON[[#This Row],[label]])&gt;ROW(NodesJSON[[#Headers],[JSON]])+1,",","") &amp;"{"&amp;twoRangesToJSON(NodesJSON[[#Headers],[label]:[url]],NodesJSON[[#This Row],[label]:[url]])&amp;"}"</f>
        <v>,{"label":"Application Administrator","group":"","id":"nC98FF4A8_B8CF_4F33_A0F7_9002E0B55993","url":"https://open-measure.atlassian.net/wiki/spaces/DIC/pages/274236090"}</v>
      </c>
    </row>
    <row r="33" spans="1:5" ht="13.9" thickTop="1" thickBot="1" x14ac:dyDescent="0.4">
      <c r="A33" s="3" t="str">
        <f>NodesData[[#This Row],[Common Name]]</f>
        <v>Application Instance</v>
      </c>
      <c r="B33" s="3" t="str">
        <f>IF(NodesData[[#This Row],[Context Instanciation]]="","",NodesData[[#This Row],[Context Instanciation]])</f>
        <v/>
      </c>
      <c r="C33" s="22" t="str">
        <f>NodesData[[#This Row],[Node ID]]</f>
        <v>n330A99D3_39A5_4757_967F_1E72BB400D93</v>
      </c>
      <c r="D33" s="3" t="str">
        <f>IF(NodesData[[#This Row],[URL]]="","",NodesData[[#This Row],[URL]])</f>
        <v>https://open-measure.atlassian.net/wiki/spaces/DIC/pages/834044036</v>
      </c>
      <c r="E33" s="25" t="str" cm="1">
        <f t="array" ref="E33">IF(ROW(NodesJSON[[#This Row],[label]])&gt;ROW(NodesJSON[[#Headers],[JSON]])+1,",","") &amp;"{"&amp;twoRangesToJSON(NodesJSON[[#Headers],[label]:[url]],NodesJSON[[#This Row],[label]:[url]])&amp;"}"</f>
        <v>,{"label":"Application Instance","group":"","id":"n330A99D3_39A5_4757_967F_1E72BB400D93","url":"https://open-measure.atlassian.net/wiki/spaces/DIC/pages/834044036"}</v>
      </c>
    </row>
    <row r="34" spans="1:5" ht="13.9" thickTop="1" thickBot="1" x14ac:dyDescent="0.4">
      <c r="A34" s="3" t="str">
        <f>NodesData[[#This Row],[Common Name]]</f>
        <v>Application Multiplexing</v>
      </c>
      <c r="B34" s="3" t="str">
        <f>IF(NodesData[[#This Row],[Context Instanciation]]="","",NodesData[[#This Row],[Context Instanciation]])</f>
        <v/>
      </c>
      <c r="C34" s="22" t="str">
        <f>NodesData[[#This Row],[Node ID]]</f>
        <v>nD6A8B379_9D4E_4112_B9E5_B4588BCB49D9</v>
      </c>
      <c r="D34" s="3" t="str">
        <f>IF(NodesData[[#This Row],[URL]]="","",NodesData[[#This Row],[URL]])</f>
        <v>https://open-measure.atlassian.net/wiki/spaces/DIC/pages/1658355721/Application+Multiplexing</v>
      </c>
      <c r="E34" s="25" t="str" cm="1">
        <f t="array" ref="E34">IF(ROW(NodesJSON[[#This Row],[label]])&gt;ROW(NodesJSON[[#Headers],[JSON]])+1,",","") &amp;"{"&amp;twoRangesToJSON(NodesJSON[[#Headers],[label]:[url]],NodesJSON[[#This Row],[label]:[url]])&amp;"}"</f>
        <v>,{"label":"Application Multiplexing","group":"","id":"nD6A8B379_9D4E_4112_B9E5_B4588BCB49D9","url":"https://open-measure.atlassian.net/wiki/spaces/DIC/pages/1658355721/Application+Multiplexing"}</v>
      </c>
    </row>
    <row r="35" spans="1:5" ht="13.9" thickTop="1" thickBot="1" x14ac:dyDescent="0.4">
      <c r="A35" s="3" t="str">
        <f>NodesData[[#This Row],[Common Name]]</f>
        <v>Application Package</v>
      </c>
      <c r="B35" s="3" t="str">
        <f>IF(NodesData[[#This Row],[Context Instanciation]]="","",NodesData[[#This Row],[Context Instanciation]])</f>
        <v/>
      </c>
      <c r="C35" s="22" t="str">
        <f>NodesData[[#This Row],[Node ID]]</f>
        <v>nBF754068_D51A_4AC8_A362_C61F502C1D0B</v>
      </c>
      <c r="D35" s="3" t="str">
        <f>IF(NodesData[[#This Row],[URL]]="","",NodesData[[#This Row],[URL]])</f>
        <v>https://open-measure.atlassian.net/wiki/spaces/DIC/pages/5932704</v>
      </c>
      <c r="E35" s="25" t="str" cm="1">
        <f t="array" ref="E35">IF(ROW(NodesJSON[[#This Row],[label]])&gt;ROW(NodesJSON[[#Headers],[JSON]])+1,",","") &amp;"{"&amp;twoRangesToJSON(NodesJSON[[#Headers],[label]:[url]],NodesJSON[[#This Row],[label]:[url]])&amp;"}"</f>
        <v>,{"label":"Application Package","group":"","id":"nBF754068_D51A_4AC8_A362_C61F502C1D0B","url":"https://open-measure.atlassian.net/wiki/spaces/DIC/pages/5932704"}</v>
      </c>
    </row>
    <row r="36" spans="1:5" ht="13.9" thickTop="1" thickBot="1" x14ac:dyDescent="0.4">
      <c r="A36" s="3" t="str">
        <f>NodesData[[#This Row],[Common Name]]</f>
        <v>Application Program</v>
      </c>
      <c r="B36" s="3" t="str">
        <f>IF(NodesData[[#This Row],[Context Instanciation]]="","",NodesData[[#This Row],[Context Instanciation]])</f>
        <v/>
      </c>
      <c r="C36" s="22" t="str">
        <f>NodesData[[#This Row],[Node ID]]</f>
        <v>n53981EC2_9DED_4349_BC86_E5D6093333ED</v>
      </c>
      <c r="D36" s="3" t="str">
        <f>IF(NodesData[[#This Row],[URL]]="","",NodesData[[#This Row],[URL]])</f>
        <v>https://open-measure.atlassian.net/wiki/spaces/DIC/pages/6030793/Application+Program</v>
      </c>
      <c r="E36" s="25" t="str" cm="1">
        <f t="array" ref="E36">IF(ROW(NodesJSON[[#This Row],[label]])&gt;ROW(NodesJSON[[#Headers],[JSON]])+1,",","") &amp;"{"&amp;twoRangesToJSON(NodesJSON[[#Headers],[label]:[url]],NodesJSON[[#This Row],[label]:[url]])&amp;"}"</f>
        <v>,{"label":"Application Program","group":"","id":"n53981EC2_9DED_4349_BC86_E5D6093333ED","url":"https://open-measure.atlassian.net/wiki/spaces/DIC/pages/6030793/Application+Program"}</v>
      </c>
    </row>
    <row r="37" spans="1:5" ht="13.9" thickTop="1" thickBot="1" x14ac:dyDescent="0.4">
      <c r="A37" s="3" t="str">
        <f>NodesData[[#This Row],[Common Name]]</f>
        <v>Application-Level Policy</v>
      </c>
      <c r="B37" s="3" t="str">
        <f>IF(NodesData[[#This Row],[Context Instanciation]]="","",NodesData[[#This Row],[Context Instanciation]])</f>
        <v/>
      </c>
      <c r="C37" s="22" t="str">
        <f>NodesData[[#This Row],[Node ID]]</f>
        <v>n8511EC23_ED3A_42D2_86FC_40B1D3E32F2D</v>
      </c>
      <c r="D37" s="3" t="str">
        <f>IF(NodesData[[#This Row],[URL]]="","",NodesData[[#This Row],[URL]])</f>
        <v>https://open-measure.atlassian.net/wiki/spaces/DIC/pages/1122631854</v>
      </c>
      <c r="E37" s="25" t="str" cm="1">
        <f t="array" ref="E37">IF(ROW(NodesJSON[[#This Row],[label]])&gt;ROW(NodesJSON[[#Headers],[JSON]])+1,",","") &amp;"{"&amp;twoRangesToJSON(NodesJSON[[#Headers],[label]:[url]],NodesJSON[[#This Row],[label]:[url]])&amp;"}"</f>
        <v>,{"label":"Application-Level Policy","group":"","id":"n8511EC23_ED3A_42D2_86FC_40B1D3E32F2D","url":"https://open-measure.atlassian.net/wiki/spaces/DIC/pages/1122631854"}</v>
      </c>
    </row>
    <row r="38" spans="1:5" ht="13.9" thickTop="1" thickBot="1" x14ac:dyDescent="0.4">
      <c r="A38" s="3" t="str">
        <f>NodesData[[#This Row],[Common Name]]</f>
        <v>Archive</v>
      </c>
      <c r="B38" s="3" t="str">
        <f>IF(NodesData[[#This Row],[Context Instanciation]]="","",NodesData[[#This Row],[Context Instanciation]])</f>
        <v/>
      </c>
      <c r="C38" s="22" t="str">
        <f>NodesData[[#This Row],[Node ID]]</f>
        <v>n1FB40DB9_D8D0_4978_BD01_879C77DE04A8</v>
      </c>
      <c r="D38" s="3" t="str">
        <f>IF(NodesData[[#This Row],[URL]]="","",NodesData[[#This Row],[URL]])</f>
        <v>https://open-measure.atlassian.net/wiki/spaces/DIC/pages/425197720</v>
      </c>
      <c r="E38" s="25" t="str" cm="1">
        <f t="array" ref="E38">IF(ROW(NodesJSON[[#This Row],[label]])&gt;ROW(NodesJSON[[#Headers],[JSON]])+1,",","") &amp;"{"&amp;twoRangesToJSON(NodesJSON[[#Headers],[label]:[url]],NodesJSON[[#This Row],[label]:[url]])&amp;"}"</f>
        <v>,{"label":"Archive","group":"","id":"n1FB40DB9_D8D0_4978_BD01_879C77DE04A8","url":"https://open-measure.atlassian.net/wiki/spaces/DIC/pages/425197720"}</v>
      </c>
    </row>
    <row r="39" spans="1:5" ht="13.9" thickTop="1" thickBot="1" x14ac:dyDescent="0.4">
      <c r="A39" s="3" t="str">
        <f>NodesData[[#This Row],[Common Name]]</f>
        <v>ARM</v>
      </c>
      <c r="B39" s="3" t="str">
        <f>IF(NodesData[[#This Row],[Context Instanciation]]="","",NodesData[[#This Row],[Context Instanciation]])</f>
        <v/>
      </c>
      <c r="C39" s="22" t="str">
        <f>NodesData[[#This Row],[Node ID]]</f>
        <v>nB3F90AFA_FC46_4122_9901_4FF284E9E7EC</v>
      </c>
      <c r="D39" s="3" t="str">
        <f>IF(NodesData[[#This Row],[URL]]="","",NodesData[[#This Row],[URL]])</f>
        <v>https://open-measure.atlassian.net/wiki/spaces/DIC/pages/1703994/ARM</v>
      </c>
      <c r="E39" s="25" t="str" cm="1">
        <f t="array" ref="E39">IF(ROW(NodesJSON[[#This Row],[label]])&gt;ROW(NodesJSON[[#Headers],[JSON]])+1,",","") &amp;"{"&amp;twoRangesToJSON(NodesJSON[[#Headers],[label]:[url]],NodesJSON[[#This Row],[label]:[url]])&amp;"}"</f>
        <v>,{"label":"ARM","group":"","id":"nB3F90AFA_FC46_4122_9901_4FF284E9E7EC","url":"https://open-measure.atlassian.net/wiki/spaces/DIC/pages/1703994/ARM"}</v>
      </c>
    </row>
    <row r="40" spans="1:5" ht="13.9" thickTop="1" thickBot="1" x14ac:dyDescent="0.4">
      <c r="A40" s="3" t="str">
        <f>NodesData[[#This Row],[Common Name]]</f>
        <v>Asset Custody</v>
      </c>
      <c r="B40" s="3" t="str">
        <f>IF(NodesData[[#This Row],[Context Instanciation]]="","",NodesData[[#This Row],[Context Instanciation]])</f>
        <v/>
      </c>
      <c r="C40" s="22" t="str">
        <f>NodesData[[#This Row],[Node ID]]</f>
        <v>n941163ED_640B_408A_8AEE_A41839EAB169</v>
      </c>
      <c r="D40" s="3" t="str">
        <f>IF(NodesData[[#This Row],[URL]]="","",NodesData[[#This Row],[URL]])</f>
        <v>https://open-measure.atlassian.net/wiki/spaces/DIC/pages/1094516867</v>
      </c>
      <c r="E40" s="25" t="str" cm="1">
        <f t="array" ref="E40">IF(ROW(NodesJSON[[#This Row],[label]])&gt;ROW(NodesJSON[[#Headers],[JSON]])+1,",","") &amp;"{"&amp;twoRangesToJSON(NodesJSON[[#Headers],[label]:[url]],NodesJSON[[#This Row],[label]:[url]])&amp;"}"</f>
        <v>,{"label":"Asset Custody","group":"","id":"n941163ED_640B_408A_8AEE_A41839EAB169","url":"https://open-measure.atlassian.net/wiki/spaces/DIC/pages/1094516867"}</v>
      </c>
    </row>
    <row r="41" spans="1:5" ht="13.9" thickTop="1" thickBot="1" x14ac:dyDescent="0.4">
      <c r="A41" s="3" t="str">
        <f>NodesData[[#This Row],[Common Name]]</f>
        <v>Attack Class</v>
      </c>
      <c r="B41" s="3" t="str">
        <f>IF(NodesData[[#This Row],[Context Instanciation]]="","",NodesData[[#This Row],[Context Instanciation]])</f>
        <v/>
      </c>
      <c r="C41" s="22" t="str">
        <f>NodesData[[#This Row],[Node ID]]</f>
        <v>nBC613B66_5F94_4F48_91BD_5F6BBA766E79</v>
      </c>
      <c r="D41" s="3" t="str">
        <f>IF(NodesData[[#This Row],[URL]]="","",NodesData[[#This Row],[URL]])</f>
        <v/>
      </c>
      <c r="E41" s="25" t="str" cm="1">
        <f t="array" ref="E41">IF(ROW(NodesJSON[[#This Row],[label]])&gt;ROW(NodesJSON[[#Headers],[JSON]])+1,",","") &amp;"{"&amp;twoRangesToJSON(NodesJSON[[#Headers],[label]:[url]],NodesJSON[[#This Row],[label]:[url]])&amp;"}"</f>
        <v>,{"label":"Attack Class","group":"","id":"nBC613B66_5F94_4F48_91BD_5F6BBA766E79","url":""}</v>
      </c>
    </row>
    <row r="42" spans="1:5" ht="13.9" thickTop="1" thickBot="1" x14ac:dyDescent="0.4">
      <c r="A42" s="3" t="str">
        <f>NodesData[[#This Row],[Common Name]]</f>
        <v>Attestation</v>
      </c>
      <c r="B42" s="3" t="str">
        <f>IF(NodesData[[#This Row],[Context Instanciation]]="","",NodesData[[#This Row],[Context Instanciation]])</f>
        <v/>
      </c>
      <c r="C42" s="22" t="str">
        <f>NodesData[[#This Row],[Node ID]]</f>
        <v>n0CDD8E1B_608D_404D_AC1A_27954DBC282F</v>
      </c>
      <c r="D42" s="8"/>
      <c r="E42" s="25" t="str" cm="1">
        <f t="array" ref="E42">IF(ROW(NodesJSON[[#This Row],[label]])&gt;ROW(NodesJSON[[#Headers],[JSON]])+1,",","") &amp;"{"&amp;twoRangesToJSON(NodesJSON[[#Headers],[label]:[url]],NodesJSON[[#This Row],[label]:[url]])&amp;"}"</f>
        <v>,{"label":"Attestation","group":"","id":"n0CDD8E1B_608D_404D_AC1A_27954DBC282F","url":""}</v>
      </c>
    </row>
    <row r="43" spans="1:5" ht="13.9" thickTop="1" thickBot="1" x14ac:dyDescent="0.4">
      <c r="A43" s="3" t="str">
        <f>NodesData[[#This Row],[Common Name]]</f>
        <v>Attribute</v>
      </c>
      <c r="B43" s="3" t="str">
        <f>IF(NodesData[[#This Row],[Context Instanciation]]="","",NodesData[[#This Row],[Context Instanciation]])</f>
        <v/>
      </c>
      <c r="C43" s="22" t="str">
        <f>NodesData[[#This Row],[Node ID]]</f>
        <v>nD0FF0291_03AE_4248_8CFC_F92543A2535F</v>
      </c>
      <c r="D43" s="10" t="s">
        <v>586</v>
      </c>
      <c r="E43" s="25" t="str" cm="1">
        <f t="array" ref="E43">IF(ROW(NodesJSON[[#This Row],[label]])&gt;ROW(NodesJSON[[#Headers],[JSON]])+1,",","") &amp;"{"&amp;twoRangesToJSON(NodesJSON[[#Headers],[label]:[url]],NodesJSON[[#This Row],[label]:[url]])&amp;"}"</f>
        <v>,{"label":"Attribute","group":"","id":"nD0FF0291_03AE_4248_8CFC_F92543A2535F","url":"https://open-measure.atlassian.net/wiki/spaces/DIC/pages/848724060"}</v>
      </c>
    </row>
    <row r="44" spans="1:5" ht="13.9" thickTop="1" thickBot="1" x14ac:dyDescent="0.4">
      <c r="A44" s="3" t="str">
        <f>NodesData[[#This Row],[Common Name]]</f>
        <v>Attribute Provider</v>
      </c>
      <c r="B44" s="3" t="str">
        <f>IF(NodesData[[#This Row],[Context Instanciation]]="","",NodesData[[#This Row],[Context Instanciation]])</f>
        <v/>
      </c>
      <c r="C44" s="22" t="str">
        <f>NodesData[[#This Row],[Node ID]]</f>
        <v>n818AA88B_F47E_48A3_896A_B86B61970370</v>
      </c>
      <c r="D44" s="10" t="s">
        <v>588</v>
      </c>
      <c r="E44" s="25" t="str" cm="1">
        <f t="array" ref="E44">IF(ROW(NodesJSON[[#This Row],[label]])&gt;ROW(NodesJSON[[#Headers],[JSON]])+1,",","") &amp;"{"&amp;twoRangesToJSON(NodesJSON[[#Headers],[label]:[url]],NodesJSON[[#This Row],[label]:[url]])&amp;"}"</f>
        <v>,{"label":"Attribute Provider","group":"","id":"n818AA88B_F47E_48A3_896A_B86B61970370","url":"https://open-measure.atlassian.net/wiki/spaces/DIC/pages/998178905"}</v>
      </c>
    </row>
    <row r="45" spans="1:5" ht="13.9" thickTop="1" thickBot="1" x14ac:dyDescent="0.4">
      <c r="A45" s="3" t="str">
        <f>NodesData[[#This Row],[Common Name]]</f>
        <v>Authenticated Users</v>
      </c>
      <c r="B45" s="3" t="str">
        <f>IF(NodesData[[#This Row],[Context Instanciation]]="","",NodesData[[#This Row],[Context Instanciation]])</f>
        <v/>
      </c>
      <c r="C45" s="22" t="str">
        <f>NodesData[[#This Row],[Node ID]]</f>
        <v>nF97A2FB7_CEBC_41A2_93A3_8B494BBD7EDE</v>
      </c>
      <c r="D45" s="10" t="s">
        <v>590</v>
      </c>
      <c r="E45" s="25" t="str" cm="1">
        <f t="array" ref="E45">IF(ROW(NodesJSON[[#This Row],[label]])&gt;ROW(NodesJSON[[#Headers],[JSON]])+1,",","") &amp;"{"&amp;twoRangesToJSON(NodesJSON[[#Headers],[label]:[url]],NodesJSON[[#This Row],[label]:[url]])&amp;"}"</f>
        <v>,{"label":"Authenticated Users","group":"","id":"nF97A2FB7_CEBC_41A2_93A3_8B494BBD7EDE","url":"https://open-measure.atlassian.net/wiki/spaces/DIC/pages/60882993"}</v>
      </c>
    </row>
    <row r="46" spans="1:5" ht="13.9" thickTop="1" thickBot="1" x14ac:dyDescent="0.4">
      <c r="A46" s="3" t="str">
        <f>NodesData[[#This Row],[Common Name]]</f>
        <v>Authentication</v>
      </c>
      <c r="B46" s="3" t="str">
        <f>IF(NodesData[[#This Row],[Context Instanciation]]="","",NodesData[[#This Row],[Context Instanciation]])</f>
        <v/>
      </c>
      <c r="C46" s="22" t="str">
        <f>NodesData[[#This Row],[Node ID]]</f>
        <v>n5498F625_6E3B_46CB_976C_85F3529AECDF</v>
      </c>
      <c r="D46" s="10" t="s">
        <v>593</v>
      </c>
      <c r="E46" s="25" t="str" cm="1">
        <f t="array" ref="E46">IF(ROW(NodesJSON[[#This Row],[label]])&gt;ROW(NodesJSON[[#Headers],[JSON]])+1,",","") &amp;"{"&amp;twoRangesToJSON(NodesJSON[[#Headers],[label]:[url]],NodesJSON[[#This Row],[label]:[url]])&amp;"}"</f>
        <v>,{"label":"Authentication","group":"","id":"n5498F625_6E3B_46CB_976C_85F3529AECDF","url":"https://open-measure.atlassian.net/wiki/spaces/DIC/pages/1311472"}</v>
      </c>
    </row>
    <row r="47" spans="1:5" ht="13.9" thickTop="1" thickBot="1" x14ac:dyDescent="0.4">
      <c r="A47" s="3" t="str">
        <f>NodesData[[#This Row],[Common Name]]</f>
        <v>Authentication Factor</v>
      </c>
      <c r="B47" s="3" t="str">
        <f>IF(NodesData[[#This Row],[Context Instanciation]]="","",NodesData[[#This Row],[Context Instanciation]])</f>
        <v/>
      </c>
      <c r="C47" s="22" t="str">
        <f>NodesData[[#This Row],[Node ID]]</f>
        <v>n67C132A3_290E_4750_90DE_11E7C1778537</v>
      </c>
      <c r="D47" s="10" t="s">
        <v>595</v>
      </c>
      <c r="E47" s="25" t="str" cm="1">
        <f t="array" ref="E47">IF(ROW(NodesJSON[[#This Row],[label]])&gt;ROW(NodesJSON[[#Headers],[JSON]])+1,",","") &amp;"{"&amp;twoRangesToJSON(NodesJSON[[#Headers],[label]:[url]],NodesJSON[[#This Row],[label]:[url]])&amp;"}"</f>
        <v>,{"label":"Authentication Factor","group":"","id":"n67C132A3_290E_4750_90DE_11E7C1778537","url":"https://open-measure.atlassian.net/wiki/spaces/DIC/pages/998277774"}</v>
      </c>
    </row>
    <row r="48" spans="1:5" ht="13.9" thickTop="1" thickBot="1" x14ac:dyDescent="0.4">
      <c r="A48" s="3" t="str">
        <f>NodesData[[#This Row],[Common Name]]</f>
        <v>Authentication Method</v>
      </c>
      <c r="B48" s="3" t="str">
        <f>IF(NodesData[[#This Row],[Context Instanciation]]="","",NodesData[[#This Row],[Context Instanciation]])</f>
        <v/>
      </c>
      <c r="C48" s="22" t="str">
        <f>NodesData[[#This Row],[Node ID]]</f>
        <v>n53877DB9_77FA_44E9_974A_BE3344133398</v>
      </c>
      <c r="D48" s="10" t="s">
        <v>597</v>
      </c>
      <c r="E48" s="25" t="str" cm="1">
        <f t="array" ref="E48">IF(ROW(NodesJSON[[#This Row],[label]])&gt;ROW(NodesJSON[[#Headers],[JSON]])+1,",","") &amp;"{"&amp;twoRangesToJSON(NodesJSON[[#Headers],[label]:[url]],NodesJSON[[#This Row],[label]:[url]])&amp;"}"</f>
        <v>,{"label":"Authentication Method","group":"","id":"n53877DB9_77FA_44E9_974A_BE3344133398","url":"https://open-measure.atlassian.net/wiki/spaces/DIC/pages/998245198"}</v>
      </c>
    </row>
    <row r="49" spans="1:5" ht="13.9" thickTop="1" thickBot="1" x14ac:dyDescent="0.4">
      <c r="A49" s="3" t="str">
        <f>NodesData[[#This Row],[Common Name]]</f>
        <v>Authenticator</v>
      </c>
      <c r="B49" s="3" t="str">
        <f>IF(NodesData[[#This Row],[Context Instanciation]]="","",NodesData[[#This Row],[Context Instanciation]])</f>
        <v/>
      </c>
      <c r="C49" s="22" t="str">
        <f>NodesData[[#This Row],[Node ID]]</f>
        <v>n7A4D7599_F86F_4594_8B18_58AA2548C0B4</v>
      </c>
      <c r="D49" s="10" t="s">
        <v>599</v>
      </c>
      <c r="E49" s="25" t="str" cm="1">
        <f t="array" ref="E49">IF(ROW(NodesJSON[[#This Row],[label]])&gt;ROW(NodesJSON[[#Headers],[JSON]])+1,",","") &amp;"{"&amp;twoRangesToJSON(NodesJSON[[#Headers],[label]:[url]],NodesJSON[[#This Row],[label]:[url]])&amp;"}"</f>
        <v>,{"label":"Authenticator","group":"","id":"n7A4D7599_F86F_4594_8B18_58AA2548C0B4","url":"https://open-measure.atlassian.net/wiki/spaces/DIC/pages/998277876"}</v>
      </c>
    </row>
    <row r="50" spans="1:5" ht="13.9" thickTop="1" thickBot="1" x14ac:dyDescent="0.4">
      <c r="A50" s="3" t="str">
        <f>NodesData[[#This Row],[Common Name]]</f>
        <v>Authority</v>
      </c>
      <c r="B50" s="3" t="str">
        <f>IF(NodesData[[#This Row],[Context Instanciation]]="","",NodesData[[#This Row],[Context Instanciation]])</f>
        <v/>
      </c>
      <c r="C50" s="22" t="str">
        <f>NodesData[[#This Row],[Node ID]]</f>
        <v>nC7C1A468_0E1F_46E1_B73A_731992ABA6D5</v>
      </c>
      <c r="D50" s="10" t="s">
        <v>601</v>
      </c>
      <c r="E50" s="25" t="str" cm="1">
        <f t="array" ref="E50">IF(ROW(NodesJSON[[#This Row],[label]])&gt;ROW(NodesJSON[[#Headers],[JSON]])+1,",","") &amp;"{"&amp;twoRangesToJSON(NodesJSON[[#Headers],[label]:[url]],NodesJSON[[#This Row],[label]:[url]])&amp;"}"</f>
        <v>,{"label":"Authority","group":"","id":"nC7C1A468_0E1F_46E1_B73A_731992ABA6D5","url":"https://open-measure.atlassian.net/wiki/spaces/DIC/pages/998277805"}</v>
      </c>
    </row>
    <row r="51" spans="1:5" ht="13.9" thickTop="1" thickBot="1" x14ac:dyDescent="0.4">
      <c r="A51" s="3" t="str">
        <f>NodesData[[#This Row],[Common Name]]</f>
        <v>Authorization</v>
      </c>
      <c r="B51" s="3" t="str">
        <f>IF(NodesData[[#This Row],[Context Instanciation]]="","",NodesData[[#This Row],[Context Instanciation]])</f>
        <v/>
      </c>
      <c r="C51" s="22" t="str">
        <f>NodesData[[#This Row],[Node ID]]</f>
        <v>n88704212_4558_4B65_9E18_ACA6FB85434F</v>
      </c>
      <c r="D51" s="10" t="s">
        <v>603</v>
      </c>
      <c r="E51" s="25" t="str" cm="1">
        <f t="array" ref="E51">IF(ROW(NodesJSON[[#This Row],[label]])&gt;ROW(NodesJSON[[#Headers],[JSON]])+1,",","") &amp;"{"&amp;twoRangesToJSON(NodesJSON[[#Headers],[label]:[url]],NodesJSON[[#This Row],[label]:[url]])&amp;"}"</f>
        <v>,{"label":"Authorization","group":"","id":"n88704212_4558_4B65_9E18_ACA6FB85434F","url":"https://open-measure.atlassian.net/wiki/spaces/DIC/pages/998277852"}</v>
      </c>
    </row>
    <row r="52" spans="1:5" ht="13.9" thickTop="1" thickBot="1" x14ac:dyDescent="0.4">
      <c r="A52" s="3" t="str">
        <f>NodesData[[#This Row],[Common Name]]</f>
        <v>Authorization Externalization</v>
      </c>
      <c r="B52" s="3" t="str">
        <f>IF(NodesData[[#This Row],[Context Instanciation]]="","",NodesData[[#This Row],[Context Instanciation]])</f>
        <v/>
      </c>
      <c r="C52" s="22" t="str">
        <f>NodesData[[#This Row],[Node ID]]</f>
        <v>nEFD1A6B4_F1EC_40F7_985E_A79FDAFA5290</v>
      </c>
      <c r="D52" s="10" t="s">
        <v>605</v>
      </c>
      <c r="E52" s="25" t="str" cm="1">
        <f t="array" ref="E52">IF(ROW(NodesJSON[[#This Row],[label]])&gt;ROW(NodesJSON[[#Headers],[JSON]])+1,",","") &amp;"{"&amp;twoRangesToJSON(NodesJSON[[#Headers],[label]:[url]],NodesJSON[[#This Row],[label]:[url]])&amp;"}"</f>
        <v>,{"label":"Authorization Externalization","group":"","id":"nEFD1A6B4_F1EC_40F7_985E_A79FDAFA5290","url":"https://open-measure.atlassian.net/wiki/spaces/DIC/pages/1071251573"}</v>
      </c>
    </row>
    <row r="53" spans="1:5" ht="13.9" thickTop="1" thickBot="1" x14ac:dyDescent="0.4">
      <c r="A53" s="3" t="str">
        <f>NodesData[[#This Row],[Common Name]]</f>
        <v>Awareness</v>
      </c>
      <c r="B53" s="3" t="str">
        <f>IF(NodesData[[#This Row],[Context Instanciation]]="","",NodesData[[#This Row],[Context Instanciation]])</f>
        <v/>
      </c>
      <c r="C53" s="22" t="str">
        <f>NodesData[[#This Row],[Node ID]]</f>
        <v>nED52833B_3CB7_4602_8F07_AAFFA537007A</v>
      </c>
      <c r="D53" s="10" t="s">
        <v>607</v>
      </c>
      <c r="E53" s="25" t="str" cm="1">
        <f t="array" ref="E53">IF(ROW(NodesJSON[[#This Row],[label]])&gt;ROW(NodesJSON[[#Headers],[JSON]])+1,",","") &amp;"{"&amp;twoRangesToJSON(NodesJSON[[#Headers],[label]:[url]],NodesJSON[[#This Row],[label]:[url]])&amp;"}"</f>
        <v>,{"label":"Awareness","group":"","id":"nED52833B_3CB7_4602_8F07_AAFFA537007A","url":"https://open-measure.atlassian.net/wiki/spaces/DIC/pages/998245151"}</v>
      </c>
    </row>
    <row r="54" spans="1:5" ht="13.9" thickTop="1" thickBot="1" x14ac:dyDescent="0.4">
      <c r="A54" s="3" t="str">
        <f>NodesData[[#This Row],[Common Name]]</f>
        <v>AWS Account Root User</v>
      </c>
      <c r="B54" s="3" t="str">
        <f>IF(NodesData[[#This Row],[Context Instanciation]]="","",NodesData[[#This Row],[Context Instanciation]])</f>
        <v/>
      </c>
      <c r="C54" s="22" t="str">
        <f>NodesData[[#This Row],[Node ID]]</f>
        <v>n4D85EB1C_A961_426D_AEF6_EEE56E460849</v>
      </c>
      <c r="D54" s="10" t="s">
        <v>609</v>
      </c>
      <c r="E54" s="25" t="str" cm="1">
        <f t="array" ref="E54">IF(ROW(NodesJSON[[#This Row],[label]])&gt;ROW(NodesJSON[[#Headers],[JSON]])+1,",","") &amp;"{"&amp;twoRangesToJSON(NodesJSON[[#Headers],[label]:[url]],NodesJSON[[#This Row],[label]:[url]])&amp;"}"</f>
        <v>,{"label":"AWS Account Root User","group":"","id":"n4D85EB1C_A961_426D_AEF6_EEE56E460849","url":"https://open-measure.atlassian.net/wiki/spaces/DIC/pages/998277835"}</v>
      </c>
    </row>
    <row r="55" spans="1:5" ht="13.9" thickTop="1" thickBot="1" x14ac:dyDescent="0.4">
      <c r="A55" s="3" t="str">
        <f>NodesData[[#This Row],[Common Name]]</f>
        <v>AWS ACL</v>
      </c>
      <c r="B55" s="3" t="str">
        <f>IF(NodesData[[#This Row],[Context Instanciation]]="","",NodesData[[#This Row],[Context Instanciation]])</f>
        <v/>
      </c>
      <c r="C55" s="22" t="str">
        <f>NodesData[[#This Row],[Node ID]]</f>
        <v>nD9B0296D_0D3A_447A_941D_9C10A546E6EA</v>
      </c>
      <c r="D55" s="10" t="s">
        <v>611</v>
      </c>
      <c r="E55" s="25" t="str" cm="1">
        <f t="array" ref="E55">IF(ROW(NodesJSON[[#This Row],[label]])&gt;ROW(NodesJSON[[#Headers],[JSON]])+1,",","") &amp;"{"&amp;twoRangesToJSON(NodesJSON[[#Headers],[label]:[url]],NodesJSON[[#This Row],[label]:[url]])&amp;"}"</f>
        <v>,{"label":"AWS ACL","group":"","id":"nD9B0296D_0D3A_447A_941D_9C10A546E6EA","url":"https://open-measure.atlassian.net/wiki/spaces/DIC/pages/998245125"}</v>
      </c>
    </row>
    <row r="56" spans="1:5" ht="13.9" thickTop="1" thickBot="1" x14ac:dyDescent="0.4">
      <c r="A56" s="3" t="str">
        <f>NodesData[[#This Row],[Common Name]]</f>
        <v>AWS IAM Group</v>
      </c>
      <c r="B56" s="3" t="str">
        <f>IF(NodesData[[#This Row],[Context Instanciation]]="","",NodesData[[#This Row],[Context Instanciation]])</f>
        <v/>
      </c>
      <c r="C56" s="22" t="str">
        <f>NodesData[[#This Row],[Node ID]]</f>
        <v>nCCBCF09B_7033_4E6D_9851_D29BB7B648A6</v>
      </c>
      <c r="D56" s="10" t="s">
        <v>591</v>
      </c>
      <c r="E56" s="25" t="str" cm="1">
        <f t="array" ref="E56">IF(ROW(NodesJSON[[#This Row],[label]])&gt;ROW(NodesJSON[[#Headers],[JSON]])+1,",","") &amp;"{"&amp;twoRangesToJSON(NodesJSON[[#Headers],[label]:[url]],NodesJSON[[#This Row],[label]:[url]])&amp;"}"</f>
        <v>,{"label":"AWS IAM Group","group":"","id":"nCCBCF09B_7033_4E6D_9851_D29BB7B648A6","url":"https://open-measure.atlassian.net/wiki/spaces/DIC/pages/1137573936/Authorization+Externalization"}</v>
      </c>
    </row>
    <row r="57" spans="1:5" ht="13.9" thickTop="1" thickBot="1" x14ac:dyDescent="0.4">
      <c r="A57" s="3" t="str">
        <f>NodesData[[#This Row],[Common Name]]</f>
        <v>AWS IAM Policy</v>
      </c>
      <c r="B57" s="3" t="str">
        <f>IF(NodesData[[#This Row],[Context Instanciation]]="","",NodesData[[#This Row],[Context Instanciation]])</f>
        <v/>
      </c>
      <c r="C57" s="22" t="str">
        <f>NodesData[[#This Row],[Node ID]]</f>
        <v>n1875AE23_28E6_45EE_840E_8F1F9D6DA18E</v>
      </c>
      <c r="D57" s="10" t="s">
        <v>613</v>
      </c>
      <c r="E57" s="25" t="str" cm="1">
        <f t="array" ref="E57">IF(ROW(NodesJSON[[#This Row],[label]])&gt;ROW(NodesJSON[[#Headers],[JSON]])+1,",","") &amp;"{"&amp;twoRangesToJSON(NodesJSON[[#Headers],[label]:[url]],NodesJSON[[#This Row],[label]:[url]])&amp;"}"</f>
        <v>,{"label":"AWS IAM Policy","group":"","id":"n1875AE23_28E6_45EE_840E_8F1F9D6DA18E","url":"https://open-measure.atlassian.net/wiki/spaces/DIC/pages/797933843"}</v>
      </c>
    </row>
    <row r="58" spans="1:5" ht="13.9" thickTop="1" thickBot="1" x14ac:dyDescent="0.4">
      <c r="A58" s="3" t="str">
        <f>NodesData[[#This Row],[Common Name]]</f>
        <v>AWS IAM Principal</v>
      </c>
      <c r="B58" s="3" t="str">
        <f>IF(NodesData[[#This Row],[Context Instanciation]]="","",NodesData[[#This Row],[Context Instanciation]])</f>
        <v/>
      </c>
      <c r="C58" s="22" t="str">
        <f>NodesData[[#This Row],[Node ID]]</f>
        <v>nF9259DCB_1490_4C14_A807_E2EB6BAEBCD6</v>
      </c>
      <c r="D58" s="10" t="s">
        <v>615</v>
      </c>
      <c r="E58" s="25" t="str" cm="1">
        <f t="array" ref="E58">IF(ROW(NodesJSON[[#This Row],[label]])&gt;ROW(NodesJSON[[#Headers],[JSON]])+1,",","") &amp;"{"&amp;twoRangesToJSON(NodesJSON[[#Headers],[label]:[url]],NodesJSON[[#This Row],[label]:[url]])&amp;"}"</f>
        <v>,{"label":"AWS IAM Principal","group":"","id":"nF9259DCB_1490_4C14_A807_E2EB6BAEBCD6","url":"https://open-measure.atlassian.net/wiki/spaces/DIC/pages/1228079157"}</v>
      </c>
    </row>
    <row r="59" spans="1:5" ht="13.9" thickTop="1" thickBot="1" x14ac:dyDescent="0.4">
      <c r="A59" s="3" t="str">
        <f>NodesData[[#This Row],[Common Name]]</f>
        <v>AWS IAM Role</v>
      </c>
      <c r="B59" s="3" t="str">
        <f>IF(NodesData[[#This Row],[Context Instanciation]]="","",NodesData[[#This Row],[Context Instanciation]])</f>
        <v/>
      </c>
      <c r="C59" s="22" t="str">
        <f>NodesData[[#This Row],[Node ID]]</f>
        <v>n1523F730_02BA_4AF6_B7DC_8FA728AB8AEA</v>
      </c>
      <c r="D59" s="4"/>
      <c r="E59" s="25" t="str" cm="1">
        <f t="array" ref="E59">IF(ROW(NodesJSON[[#This Row],[label]])&gt;ROW(NodesJSON[[#Headers],[JSON]])+1,",","") &amp;"{"&amp;twoRangesToJSON(NodesJSON[[#Headers],[label]:[url]],NodesJSON[[#This Row],[label]:[url]])&amp;"}"</f>
        <v>,{"label":"AWS IAM Role","group":"","id":"n1523F730_02BA_4AF6_B7DC_8FA728AB8AEA","url":""}</v>
      </c>
    </row>
    <row r="60" spans="1:5" ht="13.9" thickTop="1" thickBot="1" x14ac:dyDescent="0.4">
      <c r="A60" s="3" t="str">
        <f>NodesData[[#This Row],[Common Name]]</f>
        <v>AWS IAM Temporary Security Credentials</v>
      </c>
      <c r="B60" s="3" t="str">
        <f>IF(NodesData[[#This Row],[Context Instanciation]]="","",NodesData[[#This Row],[Context Instanciation]])</f>
        <v/>
      </c>
      <c r="C60" s="22" t="str">
        <f>NodesData[[#This Row],[Node ID]]</f>
        <v>nB8600109_406A_41D5_A938_F40D2ABD263D</v>
      </c>
      <c r="D60" s="10" t="s">
        <v>617</v>
      </c>
      <c r="E60" s="25" t="str" cm="1">
        <f t="array" ref="E60">IF(ROW(NodesJSON[[#This Row],[label]])&gt;ROW(NodesJSON[[#Headers],[JSON]])+1,",","") &amp;"{"&amp;twoRangesToJSON(NodesJSON[[#Headers],[label]:[url]],NodesJSON[[#This Row],[label]:[url]])&amp;"}"</f>
        <v>,{"label":"AWS IAM Temporary Security Credentials","group":"","id":"nB8600109_406A_41D5_A938_F40D2ABD263D","url":"https://open-measure.atlassian.net/wiki/spaces/DIC/pages/1237549087/Bell-LaPadula+Model"}</v>
      </c>
    </row>
    <row r="61" spans="1:5" ht="13.9" thickTop="1" thickBot="1" x14ac:dyDescent="0.4">
      <c r="A61" s="3" t="str">
        <f>NodesData[[#This Row],[Common Name]]</f>
        <v>AWS IAM User</v>
      </c>
      <c r="B61" s="3" t="str">
        <f>IF(NodesData[[#This Row],[Context Instanciation]]="","",NodesData[[#This Row],[Context Instanciation]])</f>
        <v/>
      </c>
      <c r="C61" s="22" t="str">
        <f>NodesData[[#This Row],[Node ID]]</f>
        <v>n4E8EECAB_7960_4F74_8E07_F9D79BBA6BFD</v>
      </c>
      <c r="D61" s="10" t="s">
        <v>616</v>
      </c>
      <c r="E61" s="25" t="str" cm="1">
        <f t="array" ref="E61">IF(ROW(NodesJSON[[#This Row],[label]])&gt;ROW(NodesJSON[[#Headers],[JSON]])+1,",","") &amp;"{"&amp;twoRangesToJSON(NodesJSON[[#Headers],[label]:[url]],NodesJSON[[#This Row],[label]:[url]])&amp;"}"</f>
        <v>,{"label":"AWS IAM User","group":"","id":"n4E8EECAB_7960_4F74_8E07_F9D79BBA6BFD","url":"https://open-measure.atlassian.net/wiki/spaces/DIC/pages/1673527501/Behavioral+Authentication"}</v>
      </c>
    </row>
    <row r="62" spans="1:5" ht="13.9" thickTop="1" thickBot="1" x14ac:dyDescent="0.4">
      <c r="A62" s="3" t="str">
        <f>NodesData[[#This Row],[Common Name]]</f>
        <v>AWS IAM</v>
      </c>
      <c r="B62" s="3" t="str">
        <f>IF(NodesData[[#This Row],[Context Instanciation]]="","",NodesData[[#This Row],[Context Instanciation]])</f>
        <v/>
      </c>
      <c r="C62" s="22" t="str">
        <f>NodesData[[#This Row],[Node ID]]</f>
        <v>n1482D4D7_7EEE_42C9_A18A_162895B6DAD6</v>
      </c>
      <c r="D62" s="10" t="s">
        <v>619</v>
      </c>
      <c r="E62" s="25" t="str" cm="1">
        <f t="array" ref="E62">IF(ROW(NodesJSON[[#This Row],[label]])&gt;ROW(NodesJSON[[#Headers],[JSON]])+1,",","") &amp;"{"&amp;twoRangesToJSON(NodesJSON[[#Headers],[label]:[url]],NodesJSON[[#This Row],[label]:[url]])&amp;"}"</f>
        <v>,{"label":"AWS IAM","group":"","id":"n1482D4D7_7EEE_42C9_A18A_162895B6DAD6","url":"https://open-measure.atlassian.net/wiki/spaces/DIC/pages/409174210"}</v>
      </c>
    </row>
    <row r="63" spans="1:5" ht="13.9" thickTop="1" thickBot="1" x14ac:dyDescent="0.4">
      <c r="A63" s="3" t="str">
        <f>NodesData[[#This Row],[Common Name]]</f>
        <v>Back-end Authentication</v>
      </c>
      <c r="B63" s="3" t="str">
        <f>IF(NodesData[[#This Row],[Context Instanciation]]="","",NodesData[[#This Row],[Context Instanciation]])</f>
        <v/>
      </c>
      <c r="C63" s="22" t="str">
        <f>NodesData[[#This Row],[Node ID]]</f>
        <v>nDED8E2C9_B484_47BD_8A0C_4FC25D9ABA2F</v>
      </c>
      <c r="D63" s="10" t="s">
        <v>621</v>
      </c>
      <c r="E63" s="25" t="str" cm="1">
        <f t="array" ref="E63">IF(ROW(NodesJSON[[#This Row],[label]])&gt;ROW(NodesJSON[[#Headers],[JSON]])+1,",","") &amp;"{"&amp;twoRangesToJSON(NodesJSON[[#Headers],[label]:[url]],NodesJSON[[#This Row],[label]:[url]])&amp;"}"</f>
        <v>,{"label":"Back-end Authentication","group":"","id":"nDED8E2C9_B484_47BD_8A0C_4FC25D9ABA2F","url":"https://open-measure.atlassian.net/wiki/spaces/DIC/pages/409010581"}</v>
      </c>
    </row>
    <row r="64" spans="1:5" ht="13.9" thickTop="1" thickBot="1" x14ac:dyDescent="0.4">
      <c r="A64" s="3" t="str">
        <f>NodesData[[#This Row],[Common Name]]</f>
        <v>BankID</v>
      </c>
      <c r="B64" s="3" t="str">
        <f>IF(NodesData[[#This Row],[Context Instanciation]]="","",NodesData[[#This Row],[Context Instanciation]])</f>
        <v/>
      </c>
      <c r="C64" s="22" t="str">
        <f>NodesData[[#This Row],[Node ID]]</f>
        <v>nBB7D7752_E1E7_4228_B216_44BF27C469CE</v>
      </c>
      <c r="D64" s="10" t="s">
        <v>623</v>
      </c>
      <c r="E64" s="25" t="str" cm="1">
        <f t="array" ref="E64">IF(ROW(NodesJSON[[#This Row],[label]])&gt;ROW(NodesJSON[[#Headers],[JSON]])+1,",","") &amp;"{"&amp;twoRangesToJSON(NodesJSON[[#Headers],[label]:[url]],NodesJSON[[#This Row],[label]:[url]])&amp;"}"</f>
        <v>,{"label":"BankID","group":"","id":"nBB7D7752_E1E7_4228_B216_44BF27C469CE","url":"https://open-measure.atlassian.net/wiki/spaces/DIC/pages/1031209441"}</v>
      </c>
    </row>
    <row r="65" spans="1:5" ht="13.9" thickTop="1" thickBot="1" x14ac:dyDescent="0.4">
      <c r="A65" s="3" t="str">
        <f>NodesData[[#This Row],[Common Name]]</f>
        <v>Basic Z Rule</v>
      </c>
      <c r="B65" s="3" t="str">
        <f>IF(NodesData[[#This Row],[Context Instanciation]]="","",NodesData[[#This Row],[Context Instanciation]])</f>
        <v/>
      </c>
      <c r="C65" s="22" t="str">
        <f>NodesData[[#This Row],[Node ID]]</f>
        <v>nBC4E0E05_749F_4BAA_8247_C9B39135AB8E</v>
      </c>
      <c r="D65" s="10" t="s">
        <v>625</v>
      </c>
      <c r="E65" s="25" t="str" cm="1">
        <f t="array" ref="E65">IF(ROW(NodesJSON[[#This Row],[label]])&gt;ROW(NodesJSON[[#Headers],[JSON]])+1,",","") &amp;"{"&amp;twoRangesToJSON(NodesJSON[[#Headers],[label]:[url]],NodesJSON[[#This Row],[label]:[url]])&amp;"}"</f>
        <v>,{"label":"Basic Z Rule","group":"","id":"nBC4E0E05_749F_4BAA_8247_C9B39135AB8E","url":"https://open-measure.atlassian.net/wiki/spaces/DIC/pages/794492970"}</v>
      </c>
    </row>
    <row r="66" spans="1:5" ht="13.9" thickTop="1" thickBot="1" x14ac:dyDescent="0.4">
      <c r="A66" s="3" t="str">
        <f>NodesData[[#This Row],[Common Name]]</f>
        <v>Behavioral Authentication</v>
      </c>
      <c r="B66" s="3" t="str">
        <f>IF(NodesData[[#This Row],[Context Instanciation]]="","",NodesData[[#This Row],[Context Instanciation]])</f>
        <v/>
      </c>
      <c r="C66" s="22" t="str">
        <f>NodesData[[#This Row],[Node ID]]</f>
        <v>n3DDE93A9_BFEF_41F6_B831_7BC6CEAF25CD</v>
      </c>
      <c r="D66" s="10" t="s">
        <v>626</v>
      </c>
      <c r="E66" s="25" t="str" cm="1">
        <f t="array" ref="E66">IF(ROW(NodesJSON[[#This Row],[label]])&gt;ROW(NodesJSON[[#Headers],[JSON]])+1,",","") &amp;"{"&amp;twoRangesToJSON(NodesJSON[[#Headers],[label]:[url]],NodesJSON[[#This Row],[label]:[url]])&amp;"}"</f>
        <v>,{"label":"Behavioral Authentication","group":"","id":"n3DDE93A9_BFEF_41F6_B831_7BC6CEAF25CD","url":"https://open-measure.atlassian.net/wiki/spaces/DIC/pages/1571389777/Boundary+Control"}</v>
      </c>
    </row>
    <row r="67" spans="1:5" ht="13.9" thickTop="1" thickBot="1" x14ac:dyDescent="0.4">
      <c r="A67" s="3" t="str">
        <f>NodesData[[#This Row],[Common Name]]</f>
        <v>Bell-LaPadula Model</v>
      </c>
      <c r="B67" s="3" t="str">
        <f>IF(NodesData[[#This Row],[Context Instanciation]]="","",NodesData[[#This Row],[Context Instanciation]])</f>
        <v/>
      </c>
      <c r="C67" s="22" t="str">
        <f>NodesData[[#This Row],[Node ID]]</f>
        <v>n72711DB2_F0B3_4F52_A4E4_A4A5446CD2A8</v>
      </c>
      <c r="D67" s="4"/>
      <c r="E67" s="25" t="str" cm="1">
        <f t="array" ref="E67">IF(ROW(NodesJSON[[#This Row],[label]])&gt;ROW(NodesJSON[[#Headers],[JSON]])+1,",","") &amp;"{"&amp;twoRangesToJSON(NodesJSON[[#Headers],[label]:[url]],NodesJSON[[#This Row],[label]:[url]])&amp;"}"</f>
        <v>,{"label":"Bell-LaPadula Model","group":"","id":"n72711DB2_F0B3_4F52_A4E4_A4A5446CD2A8","url":""}</v>
      </c>
    </row>
    <row r="68" spans="1:5" ht="13.9" thickTop="1" thickBot="1" x14ac:dyDescent="0.4">
      <c r="A68" s="3" t="str">
        <f>NodesData[[#This Row],[Common Name]]</f>
        <v>Biometric Authentication</v>
      </c>
      <c r="B68" s="3" t="str">
        <f>IF(NodesData[[#This Row],[Context Instanciation]]="","",NodesData[[#This Row],[Context Instanciation]])</f>
        <v/>
      </c>
      <c r="C68" s="22" t="str">
        <f>NodesData[[#This Row],[Node ID]]</f>
        <v>n4781A6BD_729E_4392_B73C_0DA1C77F45BA</v>
      </c>
      <c r="D68" s="10" t="s">
        <v>628</v>
      </c>
      <c r="E68" s="25" t="str" cm="1">
        <f t="array" ref="E68">IF(ROW(NodesJSON[[#This Row],[label]])&gt;ROW(NodesJSON[[#Headers],[JSON]])+1,",","") &amp;"{"&amp;twoRangesToJSON(NodesJSON[[#Headers],[label]:[url]],NodesJSON[[#This Row],[label]:[url]])&amp;"}"</f>
        <v>,{"label":"Biometric Authentication","group":"","id":"n4781A6BD_729E_4392_B73C_0DA1C77F45BA","url":"https://open-measure.atlassian.net/wiki/spaces/DIC/pages/81101750"}</v>
      </c>
    </row>
    <row r="69" spans="1:5" ht="13.9" thickTop="1" thickBot="1" x14ac:dyDescent="0.4">
      <c r="A69" s="3" t="str">
        <f>NodesData[[#This Row],[Common Name]]</f>
        <v>Biometric Identification</v>
      </c>
      <c r="B69" s="3" t="str">
        <f>IF(NodesData[[#This Row],[Context Instanciation]]="","",NodesData[[#This Row],[Context Instanciation]])</f>
        <v/>
      </c>
      <c r="C69" s="22" t="str">
        <f>NodesData[[#This Row],[Node ID]]</f>
        <v>nAC688165_B606_4D82_A016_0263D701EDF2</v>
      </c>
      <c r="D69" s="10" t="s">
        <v>629</v>
      </c>
      <c r="E69" s="25" t="str" cm="1">
        <f t="array" ref="E69">IF(ROW(NodesJSON[[#This Row],[label]])&gt;ROW(NodesJSON[[#Headers],[JSON]])+1,",","") &amp;"{"&amp;twoRangesToJSON(NodesJSON[[#Headers],[label]:[url]],NodesJSON[[#This Row],[label]:[url]])&amp;"}"</f>
        <v>,{"label":"Biometric Identification","group":"","id":"nAC688165_B606_4D82_A016_0263D701EDF2","url":"https://open-measure.atlassian.net/wiki/spaces/DIC/pages/1348763687/Brute+Force+Attack"}</v>
      </c>
    </row>
    <row r="70" spans="1:5" ht="13.9" thickTop="1" thickBot="1" x14ac:dyDescent="0.4">
      <c r="A70" s="3" t="str">
        <f>NodesData[[#This Row],[Common Name]]</f>
        <v>Biometrics</v>
      </c>
      <c r="B70" s="3" t="str">
        <f>IF(NodesData[[#This Row],[Context Instanciation]]="","",NodesData[[#This Row],[Context Instanciation]])</f>
        <v/>
      </c>
      <c r="C70" s="22" t="str">
        <f>NodesData[[#This Row],[Node ID]]</f>
        <v>n58FC3163_C98D_45E6_8BD3_405AF26CA056</v>
      </c>
      <c r="D70" s="10" t="s">
        <v>631</v>
      </c>
      <c r="E70" s="25" t="str" cm="1">
        <f t="array" ref="E70">IF(ROW(NodesJSON[[#This Row],[label]])&gt;ROW(NodesJSON[[#Headers],[JSON]])+1,",","") &amp;"{"&amp;twoRangesToJSON(NodesJSON[[#Headers],[label]:[url]],NodesJSON[[#This Row],[label]:[url]])&amp;"}"</f>
        <v>,{"label":"Biometrics","group":"","id":"n58FC3163_C98D_45E6_8BD3_405AF26CA056","url":"https://open-measure.atlassian.net/wiki/spaces/DIC/pages/140772106"}</v>
      </c>
    </row>
    <row r="71" spans="1:5" ht="13.9" thickTop="1" thickBot="1" x14ac:dyDescent="0.4">
      <c r="A71" s="3" t="str">
        <f>NodesData[[#This Row],[Common Name]]</f>
        <v>Birth Certificate</v>
      </c>
      <c r="B71" s="3" t="str">
        <f>IF(NodesData[[#This Row],[Context Instanciation]]="","",NodesData[[#This Row],[Context Instanciation]])</f>
        <v/>
      </c>
      <c r="C71" s="22" t="str">
        <f>NodesData[[#This Row],[Node ID]]</f>
        <v>n5E88C9AF_9919_47E5_AC97_3C0F882D8992</v>
      </c>
      <c r="D71" s="10" t="s">
        <v>632</v>
      </c>
      <c r="E71" s="25" t="str" cm="1">
        <f t="array" ref="E71">IF(ROW(NodesJSON[[#This Row],[label]])&gt;ROW(NodesJSON[[#Headers],[JSON]])+1,",","") &amp;"{"&amp;twoRangesToJSON(NodesJSON[[#Headers],[label]:[url]],NodesJSON[[#This Row],[label]:[url]])&amp;"}"</f>
        <v>,{"label":"Birth Certificate","group":"","id":"n5E88C9AF_9919_47E5_AC97_3C0F882D8992","url":"https://open-measure.atlassian.net/wiki/spaces/DIC/pages/1228079170/BZR"}</v>
      </c>
    </row>
    <row r="72" spans="1:5" ht="13.9" thickTop="1" thickBot="1" x14ac:dyDescent="0.4">
      <c r="A72" s="3" t="str">
        <f>NodesData[[#This Row],[Common Name]]</f>
        <v>Blast Radius</v>
      </c>
      <c r="B72" s="3" t="str">
        <f>IF(NodesData[[#This Row],[Context Instanciation]]="","",NodesData[[#This Row],[Context Instanciation]])</f>
        <v/>
      </c>
      <c r="C72" s="22" t="str">
        <f>NodesData[[#This Row],[Node ID]]</f>
        <v>n242739C9_E8F8_40EF_98D0_C57F8BD3A408</v>
      </c>
      <c r="D72" s="10" t="s">
        <v>633</v>
      </c>
      <c r="E72" s="25" t="str" cm="1">
        <f t="array" ref="E72">IF(ROW(NodesJSON[[#This Row],[label]])&gt;ROW(NodesJSON[[#Headers],[JSON]])+1,",","") &amp;"{"&amp;twoRangesToJSON(NodesJSON[[#Headers],[label]:[url]],NodesJSON[[#This Row],[label]:[url]])&amp;"}"</f>
        <v>,{"label":"Blast Radius","group":"","id":"n242739C9_E8F8_40EF_98D0_C57F8BD3A408","url":"https://open-measure.atlassian.net/wiki/spaces/DIC/pages/1254588417/Cached+Credential"}</v>
      </c>
    </row>
    <row r="73" spans="1:5" ht="13.9" thickTop="1" thickBot="1" x14ac:dyDescent="0.4">
      <c r="A73" s="3" t="str">
        <f>NodesData[[#This Row],[Common Name]]</f>
        <v>Boundary Control</v>
      </c>
      <c r="B73" s="3" t="str">
        <f>IF(NodesData[[#This Row],[Context Instanciation]]="","",NodesData[[#This Row],[Context Instanciation]])</f>
        <v/>
      </c>
      <c r="C73" s="22" t="str">
        <f>NodesData[[#This Row],[Node ID]]</f>
        <v>n8B61F4C7_8FA2_43DC_B58C_AB2C5C0A8877</v>
      </c>
      <c r="D73" s="10" t="s">
        <v>634</v>
      </c>
      <c r="E73" s="25" t="str" cm="1">
        <f t="array" ref="E73">IF(ROW(NodesJSON[[#This Row],[label]])&gt;ROW(NodesJSON[[#Headers],[JSON]])+1,",","") &amp;"{"&amp;twoRangesToJSON(NodesJSON[[#Headers],[label]:[url]],NodesJSON[[#This Row],[label]:[url]])&amp;"}"</f>
        <v>,{"label":"Boundary Control","group":"","id":"n8B61F4C7_8FA2_43DC_B58C_AB2C5C0A8877","url":"https://open-measure.atlassian.net/wiki/spaces/DIC/pages/442466346/CDD"}</v>
      </c>
    </row>
    <row r="74" spans="1:5" ht="13.9" thickTop="1" thickBot="1" x14ac:dyDescent="0.4">
      <c r="A74" s="3" t="str">
        <f>NodesData[[#This Row],[Common Name]]</f>
        <v>Brainwaves Authentication</v>
      </c>
      <c r="B74" s="3" t="str">
        <f>IF(NodesData[[#This Row],[Context Instanciation]]="","",NodesData[[#This Row],[Context Instanciation]])</f>
        <v/>
      </c>
      <c r="C74" s="22" t="str">
        <f>NodesData[[#This Row],[Node ID]]</f>
        <v>n45A95ED6_6BE9_42DC_8F8E_4940542AA763</v>
      </c>
      <c r="D74" s="10" t="s">
        <v>636</v>
      </c>
      <c r="E74" s="25" t="str" cm="1">
        <f t="array" ref="E74">IF(ROW(NodesJSON[[#This Row],[label]])&gt;ROW(NodesJSON[[#Headers],[JSON]])+1,",","") &amp;"{"&amp;twoRangesToJSON(NodesJSON[[#Headers],[label]:[url]],NodesJSON[[#This Row],[label]:[url]])&amp;"}"</f>
        <v>,{"label":"Brainwaves Authentication","group":"","id":"n45A95ED6_6BE9_42DC_8F8E_4940542AA763","url":"https://open-measure.atlassian.net/wiki/spaces/DIC/pages/1152483641"}</v>
      </c>
    </row>
    <row r="75" spans="1:5" ht="13.9" thickTop="1" thickBot="1" x14ac:dyDescent="0.4">
      <c r="A75" s="3" t="str">
        <f>NodesData[[#This Row],[Common Name]]</f>
        <v>Broker</v>
      </c>
      <c r="B75" s="3" t="str">
        <f>IF(NodesData[[#This Row],[Context Instanciation]]="","",NodesData[[#This Row],[Context Instanciation]])</f>
        <v/>
      </c>
      <c r="C75" s="22" t="str">
        <f>NodesData[[#This Row],[Node ID]]</f>
        <v>nFEE07D8B_E1AA_4F0C_A615_463A81456806</v>
      </c>
      <c r="D75" s="4"/>
      <c r="E75" s="25" t="str" cm="1">
        <f t="array" ref="E75">IF(ROW(NodesJSON[[#This Row],[label]])&gt;ROW(NodesJSON[[#Headers],[JSON]])+1,",","") &amp;"{"&amp;twoRangesToJSON(NodesJSON[[#Headers],[label]:[url]],NodesJSON[[#This Row],[label]:[url]])&amp;"}"</f>
        <v>,{"label":"Broker","group":"","id":"nFEE07D8B_E1AA_4F0C_A615_463A81456806","url":""}</v>
      </c>
    </row>
    <row r="76" spans="1:5" ht="13.9" thickTop="1" thickBot="1" x14ac:dyDescent="0.4">
      <c r="A76" s="3" t="str">
        <f>NodesData[[#This Row],[Common Name]]</f>
        <v>Brute Force Attack</v>
      </c>
      <c r="B76" s="3" t="str">
        <f>IF(NodesData[[#This Row],[Context Instanciation]]="","",NodesData[[#This Row],[Context Instanciation]])</f>
        <v/>
      </c>
      <c r="C76" s="22" t="str">
        <f>NodesData[[#This Row],[Node ID]]</f>
        <v>n24D85D8A_2BBF_487D_999E_F0E1E9711A44</v>
      </c>
      <c r="D76" s="10" t="s">
        <v>638</v>
      </c>
      <c r="E76" s="25" t="str" cm="1">
        <f t="array" ref="E76">IF(ROW(NodesJSON[[#This Row],[label]])&gt;ROW(NodesJSON[[#Headers],[JSON]])+1,",","") &amp;"{"&amp;twoRangesToJSON(NodesJSON[[#Headers],[label]:[url]],NodesJSON[[#This Row],[label]:[url]])&amp;"}"</f>
        <v>,{"label":"Brute Force Attack","group":"","id":"n24D85D8A_2BBF_487D_999E_F0E1E9711A44","url":"https://open-measure.atlassian.net/wiki/spaces/DIC/pages/823459864"}</v>
      </c>
    </row>
    <row r="77" spans="1:5" ht="13.9" thickTop="1" thickBot="1" x14ac:dyDescent="0.4">
      <c r="A77" s="3" t="str">
        <f>NodesData[[#This Row],[Common Name]]</f>
        <v>Built-in</v>
      </c>
      <c r="B77" s="3" t="str">
        <f>IF(NodesData[[#This Row],[Context Instanciation]]="","",NodesData[[#This Row],[Context Instanciation]])</f>
        <v/>
      </c>
      <c r="C77" s="22" t="str">
        <f>NodesData[[#This Row],[Node ID]]</f>
        <v>n99E2345A_FF0B_4044_A4E5_0D26498BF352</v>
      </c>
      <c r="D77" s="10" t="s">
        <v>639</v>
      </c>
      <c r="E77" s="25" t="str" cm="1">
        <f t="array" ref="E77">IF(ROW(NodesJSON[[#This Row],[label]])&gt;ROW(NodesJSON[[#Headers],[JSON]])+1,",","") &amp;"{"&amp;twoRangesToJSON(NodesJSON[[#Headers],[label]:[url]],NodesJSON[[#This Row],[label]:[url]])&amp;"}"</f>
        <v>,{"label":"Built-in","group":"","id":"n99E2345A_FF0B_4044_A4E5_0D26498BF352","url":"https://open-measure.atlassian.net/wiki/spaces/DIC/pages/1290076214/CIBA"}</v>
      </c>
    </row>
    <row r="78" spans="1:5" ht="13.9" thickTop="1" thickBot="1" x14ac:dyDescent="0.4">
      <c r="A78" s="3" t="str">
        <f>NodesData[[#This Row],[Common Name]]</f>
        <v>BZR</v>
      </c>
      <c r="B78" s="3" t="str">
        <f>IF(NodesData[[#This Row],[Context Instanciation]]="","",NodesData[[#This Row],[Context Instanciation]])</f>
        <v/>
      </c>
      <c r="C78" s="22" t="str">
        <f>NodesData[[#This Row],[Node ID]]</f>
        <v>nB340D7B3_A560_4CAB_8C9A_4A7ECB00C604</v>
      </c>
      <c r="D78" s="10" t="s">
        <v>640</v>
      </c>
      <c r="E78" s="25" t="str" cm="1">
        <f t="array" ref="E78">IF(ROW(NodesJSON[[#This Row],[label]])&gt;ROW(NodesJSON[[#Headers],[JSON]])+1,",","") &amp;"{"&amp;twoRangesToJSON(NodesJSON[[#Headers],[label]:[url]],NodesJSON[[#This Row],[label]:[url]])&amp;"}"</f>
        <v>,{"label":"BZR","group":"","id":"nB340D7B3_A560_4CAB_8C9A_4A7ECB00C604","url":"https://open-measure.atlassian.net/wiki/spaces/DIC/pages/1323499650/Claim"}</v>
      </c>
    </row>
    <row r="79" spans="1:5" ht="13.9" thickTop="1" thickBot="1" x14ac:dyDescent="0.4">
      <c r="A79" s="3" t="str">
        <f>NodesData[[#This Row],[Common Name]]</f>
        <v>Cached Credential</v>
      </c>
      <c r="B79" s="3" t="str">
        <f>IF(NodesData[[#This Row],[Context Instanciation]]="","",NodesData[[#This Row],[Context Instanciation]])</f>
        <v/>
      </c>
      <c r="C79" s="22" t="str">
        <f>NodesData[[#This Row],[Node ID]]</f>
        <v>n2A6F0314_872D_4E0E_A944_F17EF346E29C</v>
      </c>
      <c r="D79" s="10" t="s">
        <v>641</v>
      </c>
      <c r="E79" s="25" t="str" cm="1">
        <f t="array" ref="E79">IF(ROW(NodesJSON[[#This Row],[label]])&gt;ROW(NodesJSON[[#Headers],[JSON]])+1,",","") &amp;"{"&amp;twoRangesToJSON(NodesJSON[[#Headers],[label]:[url]],NodesJSON[[#This Row],[label]:[url]])&amp;"}"</f>
        <v>,{"label":"Cached Credential","group":"","id":"n2A6F0314_872D_4E0E_A944_F17EF346E29C","url":"https://open-measure.atlassian.net/wiki/spaces/DIC/pages/1309605928/Claim+Registry+Model"}</v>
      </c>
    </row>
    <row r="80" spans="1:5" ht="13.9" thickTop="1" thickBot="1" x14ac:dyDescent="0.4">
      <c r="A80" s="3" t="str">
        <f>NodesData[[#This Row],[Common Name]]</f>
        <v>Capability to store information</v>
      </c>
      <c r="B80" s="3" t="str">
        <f>IF(NodesData[[#This Row],[Context Instanciation]]="","",NodesData[[#This Row],[Context Instanciation]])</f>
        <v/>
      </c>
      <c r="C80" s="22" t="str">
        <f>NodesData[[#This Row],[Node ID]]</f>
        <v>nFB32F479_4EF7_409C_900B_EE48AA0DE846</v>
      </c>
      <c r="D80" s="10" t="s">
        <v>643</v>
      </c>
      <c r="E80" s="25" t="str" cm="1">
        <f t="array" ref="E80">IF(ROW(NodesJSON[[#This Row],[label]])&gt;ROW(NodesJSON[[#Headers],[JSON]])+1,",","") &amp;"{"&amp;twoRangesToJSON(NodesJSON[[#Headers],[label]:[url]],NodesJSON[[#This Row],[label]:[url]])&amp;"}"</f>
        <v>,{"label":"Capability to store information","group":"","id":"nFB32F479_4EF7_409C_900B_EE48AA0DE846","url":"https://open-measure.atlassian.net/wiki/spaces/DIC/pages/848363630"}</v>
      </c>
    </row>
    <row r="81" spans="1:5" ht="13.9" thickTop="1" thickBot="1" x14ac:dyDescent="0.4">
      <c r="A81" s="3" t="str">
        <f>NodesData[[#This Row],[Common Name]]</f>
        <v>Capability to transform information</v>
      </c>
      <c r="B81" s="3" t="str">
        <f>IF(NodesData[[#This Row],[Context Instanciation]]="","",NodesData[[#This Row],[Context Instanciation]])</f>
        <v/>
      </c>
      <c r="C81" s="22" t="str">
        <f>NodesData[[#This Row],[Node ID]]</f>
        <v>nFA6C8A63_7071_4E20_BB02_F78403869E0B</v>
      </c>
      <c r="D81" s="10" t="s">
        <v>645</v>
      </c>
      <c r="E81" s="25" t="str" cm="1">
        <f t="array" ref="E81">IF(ROW(NodesJSON[[#This Row],[label]])&gt;ROW(NodesJSON[[#Headers],[JSON]])+1,",","") &amp;"{"&amp;twoRangesToJSON(NodesJSON[[#Headers],[label]:[url]],NodesJSON[[#This Row],[label]:[url]])&amp;"}"</f>
        <v>,{"label":"Capability to transform information","group":"","id":"nFA6C8A63_7071_4E20_BB02_F78403869E0B","url":"https://open-measure.atlassian.net/wiki/spaces/DIC/pages/140771387"}</v>
      </c>
    </row>
    <row r="82" spans="1:5" ht="13.9" thickTop="1" thickBot="1" x14ac:dyDescent="0.4">
      <c r="A82" s="3" t="str">
        <f>NodesData[[#This Row],[Common Name]]</f>
        <v>Capability to transmit information</v>
      </c>
      <c r="B82" s="3" t="str">
        <f>IF(NodesData[[#This Row],[Context Instanciation]]="","",NodesData[[#This Row],[Context Instanciation]])</f>
        <v/>
      </c>
      <c r="C82" s="22" t="str">
        <f>NodesData[[#This Row],[Node ID]]</f>
        <v>nAC062A15_C72B_42D8_BBDF_C7EB64B35F26</v>
      </c>
      <c r="D82" s="4"/>
      <c r="E82" s="25" t="str" cm="1">
        <f t="array" ref="E82">IF(ROW(NodesJSON[[#This Row],[label]])&gt;ROW(NodesJSON[[#Headers],[JSON]])+1,",","") &amp;"{"&amp;twoRangesToJSON(NodesJSON[[#Headers],[label]:[url]],NodesJSON[[#This Row],[label]:[url]])&amp;"}"</f>
        <v>,{"label":"Capability to transmit information","group":"","id":"nAC062A15_C72B_42D8_BBDF_C7EB64B35F26","url":""}</v>
      </c>
    </row>
    <row r="83" spans="1:5" ht="13.9" thickTop="1" thickBot="1" x14ac:dyDescent="0.4">
      <c r="A83" s="3" t="str">
        <f>NodesData[[#This Row],[Common Name]]</f>
        <v>Capabilty to collect information</v>
      </c>
      <c r="B83" s="3" t="str">
        <f>IF(NodesData[[#This Row],[Context Instanciation]]="","",NodesData[[#This Row],[Context Instanciation]])</f>
        <v/>
      </c>
      <c r="C83" s="22" t="str">
        <f>NodesData[[#This Row],[Node ID]]</f>
        <v>nF3A221C8_C126_458E_818C_DAE6B57CD442</v>
      </c>
      <c r="D83" s="10" t="s">
        <v>648</v>
      </c>
      <c r="E83" s="25" t="str" cm="1">
        <f t="array" ref="E83">IF(ROW(NodesJSON[[#This Row],[label]])&gt;ROW(NodesJSON[[#Headers],[JSON]])+1,",","") &amp;"{"&amp;twoRangesToJSON(NodesJSON[[#Headers],[label]:[url]],NodesJSON[[#This Row],[label]:[url]])&amp;"}"</f>
        <v>,{"label":"Capabilty to collect information","group":"","id":"nF3A221C8_C126_458E_818C_DAE6B57CD442","url":"https://open-measure.atlassian.net/wiki/spaces/DIC/pages/1152516136"}</v>
      </c>
    </row>
    <row r="84" spans="1:5" ht="13.9" thickTop="1" thickBot="1" x14ac:dyDescent="0.4">
      <c r="A84" s="3" t="str">
        <f>NodesData[[#This Row],[Common Name]]</f>
        <v>Causing Reputation Harm</v>
      </c>
      <c r="B84" s="3" t="str">
        <f>IF(NodesData[[#This Row],[Context Instanciation]]="","",NodesData[[#This Row],[Context Instanciation]])</f>
        <v/>
      </c>
      <c r="C84" s="22" t="str">
        <f>NodesData[[#This Row],[Node ID]]</f>
        <v>nA59D49F8_3819_4341_A310_19C77AB08AAB</v>
      </c>
      <c r="D84" s="10" t="s">
        <v>650</v>
      </c>
      <c r="E84" s="25" t="str" cm="1">
        <f t="array" ref="E84">IF(ROW(NodesJSON[[#This Row],[label]])&gt;ROW(NodesJSON[[#Headers],[JSON]])+1,",","") &amp;"{"&amp;twoRangesToJSON(NodesJSON[[#Headers],[label]:[url]],NodesJSON[[#This Row],[label]:[url]])&amp;"}"</f>
        <v>,{"label":"Causing Reputation Harm","group":"","id":"nA59D49F8_3819_4341_A310_19C77AB08AAB","url":"https://open-measure.atlassian.net/wiki/spaces/DIC/pages/1152516118"}</v>
      </c>
    </row>
    <row r="85" spans="1:5" ht="13.9" thickTop="1" thickBot="1" x14ac:dyDescent="0.4">
      <c r="A85" s="3" t="str">
        <f>NodesData[[#This Row],[Common Name]]</f>
        <v>CDD</v>
      </c>
      <c r="B85" s="3" t="str">
        <f>IF(NodesData[[#This Row],[Context Instanciation]]="","",NodesData[[#This Row],[Context Instanciation]])</f>
        <v/>
      </c>
      <c r="C85" s="22" t="str">
        <f>NodesData[[#This Row],[Node ID]]</f>
        <v>n8A9F74A8_A65F_42A3_9DB0_D40AD68EC967</v>
      </c>
      <c r="D85" s="10" t="s">
        <v>652</v>
      </c>
      <c r="E85" s="25" t="str" cm="1">
        <f t="array" ref="E85">IF(ROW(NodesJSON[[#This Row],[label]])&gt;ROW(NodesJSON[[#Headers],[JSON]])+1,",","") &amp;"{"&amp;twoRangesToJSON(NodesJSON[[#Headers],[label]:[url]],NodesJSON[[#This Row],[label]:[url]])&amp;"}"</f>
        <v>,{"label":"CDD","group":"","id":"n8A9F74A8_A65F_42A3_9DB0_D40AD68EC967","url":"https://open-measure.atlassian.net/wiki/spaces/DIC/pages/1147043959"}</v>
      </c>
    </row>
    <row r="86" spans="1:5" ht="13.9" thickTop="1" thickBot="1" x14ac:dyDescent="0.4">
      <c r="A86" s="3" t="str">
        <f>NodesData[[#This Row],[Common Name]]</f>
        <v>Centralized Identity Management System</v>
      </c>
      <c r="B86" s="3" t="str">
        <f>IF(NodesData[[#This Row],[Context Instanciation]]="","",NodesData[[#This Row],[Context Instanciation]])</f>
        <v/>
      </c>
      <c r="C86" s="22" t="str">
        <f>NodesData[[#This Row],[Node ID]]</f>
        <v>nD371E402_1DDA_467A_9EFD_7333BAD6987B</v>
      </c>
      <c r="D86" s="10" t="s">
        <v>654</v>
      </c>
      <c r="E86" s="25" t="str" cm="1">
        <f t="array" ref="E86">IF(ROW(NodesJSON[[#This Row],[label]])&gt;ROW(NodesJSON[[#Headers],[JSON]])+1,",","") &amp;"{"&amp;twoRangesToJSON(NodesJSON[[#Headers],[label]:[url]],NodesJSON[[#This Row],[label]:[url]])&amp;"}"</f>
        <v>,{"label":"Centralized Identity Management System","group":"","id":"nD371E402_1DDA_467A_9EFD_7333BAD6987B","url":"https://open-measure.atlassian.net/wiki/spaces/DIC/pages/206307528"}</v>
      </c>
    </row>
    <row r="87" spans="1:5" ht="13.9" thickTop="1" thickBot="1" x14ac:dyDescent="0.4">
      <c r="A87" s="3" t="str">
        <f>NodesData[[#This Row],[Common Name]]</f>
        <v>Certificate-based Authentication</v>
      </c>
      <c r="B87" s="3" t="str">
        <f>IF(NodesData[[#This Row],[Context Instanciation]]="","",NodesData[[#This Row],[Context Instanciation]])</f>
        <v/>
      </c>
      <c r="C87" s="22" t="str">
        <f>NodesData[[#This Row],[Node ID]]</f>
        <v>n736BFE87_02BE_46E7_8DB0_A2B034ECD6BC</v>
      </c>
      <c r="D87" s="10" t="s">
        <v>655</v>
      </c>
      <c r="E87" s="25" t="str" cm="1">
        <f t="array" ref="E87">IF(ROW(NodesJSON[[#This Row],[label]])&gt;ROW(NodesJSON[[#Headers],[JSON]])+1,",","") &amp;"{"&amp;twoRangesToJSON(NodesJSON[[#Headers],[label]:[url]],NodesJSON[[#This Row],[label]:[url]])&amp;"}"</f>
        <v>,{"label":"Certificate-based Authentication","group":"","id":"n736BFE87_02BE_46E7_8DB0_A2B034ECD6BC","url":"https://open-measure.atlassian.net/wiki/spaces/DIC/pages/206766142/Cloud+Service+User"}</v>
      </c>
    </row>
    <row r="88" spans="1:5" ht="13.9" thickTop="1" thickBot="1" x14ac:dyDescent="0.4">
      <c r="A88" s="3" t="str">
        <f>NodesData[[#This Row],[Common Name]]</f>
        <v>Certification</v>
      </c>
      <c r="B88" s="3" t="str">
        <f>IF(NodesData[[#This Row],[Context Instanciation]]="","",NodesData[[#This Row],[Context Instanciation]])</f>
        <v/>
      </c>
      <c r="C88" s="22" t="str">
        <f>NodesData[[#This Row],[Node ID]]</f>
        <v>nBF62899B_4BED_47AF_AF3B_1E10D830EA41</v>
      </c>
      <c r="D88" s="10" t="s">
        <v>657</v>
      </c>
      <c r="E88" s="25" t="str" cm="1">
        <f t="array" ref="E88">IF(ROW(NodesJSON[[#This Row],[label]])&gt;ROW(NodesJSON[[#Headers],[JSON]])+1,",","") &amp;"{"&amp;twoRangesToJSON(NodesJSON[[#Headers],[label]:[url]],NodesJSON[[#This Row],[label]:[url]])&amp;"}"</f>
        <v>,{"label":"Certification","group":"","id":"nBF62899B_4BED_47AF_AF3B_1E10D830EA41","url":"https://open-measure.atlassian.net/wiki/spaces/DIC/pages/998277125"}</v>
      </c>
    </row>
    <row r="89" spans="1:5" ht="13.9" thickTop="1" thickBot="1" x14ac:dyDescent="0.4">
      <c r="A89" s="3" t="str">
        <f>NodesData[[#This Row],[Common Name]]</f>
        <v>CIBA</v>
      </c>
      <c r="B89" s="3" t="str">
        <f>IF(NodesData[[#This Row],[Context Instanciation]]="","",NodesData[[#This Row],[Context Instanciation]])</f>
        <v/>
      </c>
      <c r="C89" s="22" t="str">
        <f>NodesData[[#This Row],[Node ID]]</f>
        <v>n7393F50C_2074_415B_8362_C7F0AD5AD8C9</v>
      </c>
      <c r="D89" s="10" t="s">
        <v>659</v>
      </c>
      <c r="E89" s="25" t="str" cm="1">
        <f t="array" ref="E89">IF(ROW(NodesJSON[[#This Row],[label]])&gt;ROW(NodesJSON[[#Headers],[JSON]])+1,",","") &amp;"{"&amp;twoRangesToJSON(NodesJSON[[#Headers],[label]:[url]],NodesJSON[[#This Row],[label]:[url]])&amp;"}"</f>
        <v>,{"label":"CIBA","group":"","id":"n7393F50C_2074_415B_8362_C7F0AD5AD8C9","url":"https://open-measure.atlassian.net/wiki/spaces/DIC/pages/461307985"}</v>
      </c>
    </row>
    <row r="90" spans="1:5" ht="13.9" thickTop="1" thickBot="1" x14ac:dyDescent="0.4">
      <c r="A90" s="3" t="str">
        <f>NodesData[[#This Row],[Common Name]]</f>
        <v>Claim</v>
      </c>
      <c r="B90" s="3" t="str">
        <f>IF(NodesData[[#This Row],[Context Instanciation]]="","",NodesData[[#This Row],[Context Instanciation]])</f>
        <v/>
      </c>
      <c r="C90" s="22" t="str">
        <f>NodesData[[#This Row],[Node ID]]</f>
        <v>nBCD1222E_E013_4743_9588_168A8E8A4CCC</v>
      </c>
      <c r="D90" s="10" t="s">
        <v>661</v>
      </c>
      <c r="E90" s="25" t="str" cm="1">
        <f t="array" ref="E90">IF(ROW(NodesJSON[[#This Row],[label]])&gt;ROW(NodesJSON[[#Headers],[JSON]])+1,",","") &amp;"{"&amp;twoRangesToJSON(NodesJSON[[#Headers],[label]:[url]],NodesJSON[[#This Row],[label]:[url]])&amp;"}"</f>
        <v>,{"label":"Claim","group":"","id":"nBCD1222E_E013_4743_9588_168A8E8A4CCC","url":"https://open-measure.atlassian.net/wiki/spaces/DIC/pages/974454827"}</v>
      </c>
    </row>
    <row r="91" spans="1:5" ht="13.9" thickTop="1" thickBot="1" x14ac:dyDescent="0.4">
      <c r="A91" s="3" t="str">
        <f>NodesData[[#This Row],[Common Name]]</f>
        <v>Claim Registry Model</v>
      </c>
      <c r="B91" s="3" t="str">
        <f>IF(NodesData[[#This Row],[Context Instanciation]]="","",NodesData[[#This Row],[Context Instanciation]])</f>
        <v/>
      </c>
      <c r="C91" s="22" t="str">
        <f>NodesData[[#This Row],[Node ID]]</f>
        <v>n09BFADD4_A980_40F3_A98A_B65C0F02447F</v>
      </c>
      <c r="D91" s="10" t="s">
        <v>646</v>
      </c>
      <c r="E91" s="25" t="str" cm="1">
        <f t="array" ref="E91">IF(ROW(NodesJSON[[#This Row],[label]])&gt;ROW(NodesJSON[[#Headers],[JSON]])+1,",","") &amp;"{"&amp;twoRangesToJSON(NodesJSON[[#Headers],[label]:[url]],NodesJSON[[#This Row],[label]:[url]])&amp;"}"</f>
        <v>,{"label":"Claim Registry Model","group":"","id":"n09BFADD4_A980_40F3_A98A_B65C0F02447F","url":"https://open-measure.atlassian.net/wiki/spaces/DIC/pages/1290076229/Client+Initiated+Backchannel+Authentication"}</v>
      </c>
    </row>
    <row r="92" spans="1:5" ht="13.9" thickTop="1" thickBot="1" x14ac:dyDescent="0.4">
      <c r="A92" s="3" t="str">
        <f>NodesData[[#This Row],[Common Name]]</f>
        <v>Claimant</v>
      </c>
      <c r="B92" s="3" t="str">
        <f>IF(NodesData[[#This Row],[Context Instanciation]]="","",NodesData[[#This Row],[Context Instanciation]])</f>
        <v/>
      </c>
      <c r="C92" s="22" t="str">
        <f>NodesData[[#This Row],[Node ID]]</f>
        <v>n67C38909_17F6_4502_B532_983E8C4AB8F8</v>
      </c>
      <c r="D92" s="10" t="s">
        <v>665</v>
      </c>
      <c r="E92" s="25" t="str" cm="1">
        <f t="array" ref="E92">IF(ROW(NodesJSON[[#This Row],[label]])&gt;ROW(NodesJSON[[#Headers],[JSON]])+1,",","") &amp;"{"&amp;twoRangesToJSON(NodesJSON[[#Headers],[label]:[url]],NodesJSON[[#This Row],[label]:[url]])&amp;"}"</f>
        <v>,{"label":"Claimant","group":"","id":"n67C38909_17F6_4502_B532_983E8C4AB8F8","url":"https://open-measure.atlassian.net/wiki/spaces/DIC/pages/82838169"}</v>
      </c>
    </row>
    <row r="93" spans="1:5" ht="13.9" thickTop="1" thickBot="1" x14ac:dyDescent="0.4">
      <c r="A93" s="3" t="str">
        <f>NodesData[[#This Row],[Common Name]]</f>
        <v>Classification</v>
      </c>
      <c r="B93" s="3" t="str">
        <f>IF(NodesData[[#This Row],[Context Instanciation]]="","",NodesData[[#This Row],[Context Instanciation]])</f>
        <v/>
      </c>
      <c r="C93" s="22" t="str">
        <f>NodesData[[#This Row],[Node ID]]</f>
        <v>n3AF44A35_CD82_4A03_B96B_2C8E7E9F40FE</v>
      </c>
      <c r="D93" s="10" t="s">
        <v>667</v>
      </c>
      <c r="E93" s="25" t="str" cm="1">
        <f t="array" ref="E93">IF(ROW(NodesJSON[[#This Row],[label]])&gt;ROW(NodesJSON[[#Headers],[JSON]])+1,",","") &amp;"{"&amp;twoRangesToJSON(NodesJSON[[#Headers],[label]:[url]],NodesJSON[[#This Row],[label]:[url]])&amp;"}"</f>
        <v>,{"label":"Classification","group":"","id":"n3AF44A35_CD82_4A03_B96B_2C8E7E9F40FE","url":"https://open-measure.atlassian.net/wiki/spaces/DIC/pages/138346642"}</v>
      </c>
    </row>
    <row r="94" spans="1:5" ht="13.9" thickTop="1" thickBot="1" x14ac:dyDescent="0.4">
      <c r="A94" s="3" t="str">
        <f>NodesData[[#This Row],[Common Name]]</f>
        <v>Client Initiated Backchannel Authentication</v>
      </c>
      <c r="B94" s="3" t="str">
        <f>IF(NodesData[[#This Row],[Context Instanciation]]="","",NodesData[[#This Row],[Context Instanciation]])</f>
        <v/>
      </c>
      <c r="C94" s="22" t="str">
        <f>NodesData[[#This Row],[Node ID]]</f>
        <v>n6362F1FB_53FB_45C5_A797_A947C7ECB972</v>
      </c>
      <c r="D94" s="10" t="s">
        <v>668</v>
      </c>
      <c r="E94" s="25" t="str" cm="1">
        <f t="array" ref="E94">IF(ROW(NodesJSON[[#This Row],[label]])&gt;ROW(NodesJSON[[#Headers],[JSON]])+1,",","") &amp;"{"&amp;twoRangesToJSON(NodesJSON[[#Headers],[label]:[url]],NodesJSON[[#This Row],[label]:[url]])&amp;"}"</f>
        <v>,{"label":"Client Initiated Backchannel Authentication","group":"","id":"n6362F1FB_53FB_45C5_A797_A947C7ECB972","url":"https://open-measure.atlassian.net/wiki/spaces/DIC/pages/67633343/Credential"}</v>
      </c>
    </row>
    <row r="95" spans="1:5" ht="13.9" thickTop="1" thickBot="1" x14ac:dyDescent="0.4">
      <c r="A95" s="3" t="str">
        <f>NodesData[[#This Row],[Common Name]]</f>
        <v>Cloud Identity Management System</v>
      </c>
      <c r="B95" s="3" t="str">
        <f>IF(NodesData[[#This Row],[Context Instanciation]]="","",NodesData[[#This Row],[Context Instanciation]])</f>
        <v/>
      </c>
      <c r="C95" s="22" t="str">
        <f>NodesData[[#This Row],[Node ID]]</f>
        <v>n80E713F8_140B_4FA1_AD0A_95353ACF23CE</v>
      </c>
      <c r="D95" s="10" t="s">
        <v>669</v>
      </c>
      <c r="E95" s="25" t="str" cm="1">
        <f t="array" ref="E95">IF(ROW(NodesJSON[[#This Row],[label]])&gt;ROW(NodesJSON[[#Headers],[JSON]])+1,",","") &amp;"{"&amp;twoRangesToJSON(NodesJSON[[#Headers],[label]:[url]],NodesJSON[[#This Row],[label]:[url]])&amp;"}"</f>
        <v>,{"label":"Cloud Identity Management System","group":"","id":"n80E713F8_140B_4FA1_AD0A_95353ACF23CE","url":"https://open-measure.atlassian.net/wiki/spaces/DIC/pages/1254719498/Credential+Harvesting"}</v>
      </c>
    </row>
    <row r="96" spans="1:5" ht="13.9" thickTop="1" thickBot="1" x14ac:dyDescent="0.4">
      <c r="A96" s="3" t="str">
        <f>NodesData[[#This Row],[Common Name]]</f>
        <v>Cloud IdMS</v>
      </c>
      <c r="B96" s="3" t="str">
        <f>IF(NodesData[[#This Row],[Context Instanciation]]="","",NodesData[[#This Row],[Context Instanciation]])</f>
        <v/>
      </c>
      <c r="C96" s="22" t="str">
        <f>NodesData[[#This Row],[Node ID]]</f>
        <v>nC7A5534A_F936_4092_AF5A_4868FEC6CF24</v>
      </c>
      <c r="D96" s="10" t="s">
        <v>671</v>
      </c>
      <c r="E96" s="25" t="str" cm="1">
        <f t="array" ref="E96">IF(ROW(NodesJSON[[#This Row],[label]])&gt;ROW(NodesJSON[[#Headers],[JSON]])+1,",","") &amp;"{"&amp;twoRangesToJSON(NodesJSON[[#Headers],[label]:[url]],NodesJSON[[#This Row],[label]:[url]])&amp;"}"</f>
        <v>,{"label":"Cloud IdMS","group":"","id":"nC7A5534A_F936_4092_AF5A_4868FEC6CF24","url":"https://open-measure.atlassian.net/wiki/spaces/DIC/pages/82870977"}</v>
      </c>
    </row>
    <row r="97" spans="1:5" ht="13.9" thickTop="1" thickBot="1" x14ac:dyDescent="0.4">
      <c r="A97" s="3" t="str">
        <f>NodesData[[#This Row],[Common Name]]</f>
        <v>Cloud Service Consumers</v>
      </c>
      <c r="B97" s="3" t="str">
        <f>IF(NodesData[[#This Row],[Context Instanciation]]="","",NodesData[[#This Row],[Context Instanciation]])</f>
        <v/>
      </c>
      <c r="C97" s="22" t="str">
        <f>NodesData[[#This Row],[Node ID]]</f>
        <v>n4180E5F4_C1E3_4F95_9CBB_CD85E0BCC655</v>
      </c>
      <c r="D97" s="10" t="s">
        <v>672</v>
      </c>
      <c r="E97" s="25" t="str" cm="1">
        <f t="array" ref="E97">IF(ROW(NodesJSON[[#This Row],[label]])&gt;ROW(NodesJSON[[#Headers],[JSON]])+1,",","") &amp;"{"&amp;twoRangesToJSON(NodesJSON[[#Headers],[label]:[url]],NodesJSON[[#This Row],[label]:[url]])&amp;"}"</f>
        <v>,{"label":"Cloud Service Consumers","group":"","id":"n4180E5F4_C1E3_4F95_9CBB_CD85E0BCC655","url":"https://open-measure.atlassian.net/wiki/spaces/DIC/pages/1348862053/Credential+Stuffing"}</v>
      </c>
    </row>
    <row r="98" spans="1:5" ht="13.9" thickTop="1" thickBot="1" x14ac:dyDescent="0.4">
      <c r="A98" s="3" t="str">
        <f>NodesData[[#This Row],[Common Name]]</f>
        <v>Cloud Service Provider</v>
      </c>
      <c r="B98" s="3" t="str">
        <f>IF(NodesData[[#This Row],[Context Instanciation]]="","",NodesData[[#This Row],[Context Instanciation]])</f>
        <v/>
      </c>
      <c r="C98" s="22" t="str">
        <f>NodesData[[#This Row],[Node ID]]</f>
        <v>nC844F971_544C_4338_94D2_6A965B7BCF89</v>
      </c>
      <c r="D98" s="10" t="s">
        <v>674</v>
      </c>
      <c r="E98" s="25" t="str" cm="1">
        <f t="array" ref="E98">IF(ROW(NodesJSON[[#This Row],[label]])&gt;ROW(NodesJSON[[#Headers],[JSON]])+1,",","") &amp;"{"&amp;twoRangesToJSON(NodesJSON[[#Headers],[label]:[url]],NodesJSON[[#This Row],[label]:[url]])&amp;"}"</f>
        <v>,{"label":"Cloud Service Provider","group":"","id":"nC844F971_544C_4338_94D2_6A965B7BCF89","url":"https://open-measure.atlassian.net/wiki/spaces/DIC/pages/461340725"}</v>
      </c>
    </row>
    <row r="99" spans="1:5" ht="13.9" thickTop="1" thickBot="1" x14ac:dyDescent="0.4">
      <c r="A99" s="3" t="str">
        <f>NodesData[[#This Row],[Common Name]]</f>
        <v>Cloud Service User</v>
      </c>
      <c r="B99" s="3" t="str">
        <f>IF(NodesData[[#This Row],[Context Instanciation]]="","",NodesData[[#This Row],[Context Instanciation]])</f>
        <v/>
      </c>
      <c r="C99" s="22" t="str">
        <f>NodesData[[#This Row],[Node ID]]</f>
        <v>nE857DAE9_4FEB_442D_A1CF_D7B687ABF6B7</v>
      </c>
      <c r="D99" s="10" t="s">
        <v>676</v>
      </c>
      <c r="E99" s="25" t="str" cm="1">
        <f t="array" ref="E99">IF(ROW(NodesJSON[[#This Row],[label]])&gt;ROW(NodesJSON[[#Headers],[JSON]])+1,",","") &amp;"{"&amp;twoRangesToJSON(NodesJSON[[#Headers],[label]:[url]],NodesJSON[[#This Row],[label]:[url]])&amp;"}"</f>
        <v>,{"label":"Cloud Service User","group":"","id":"nE857DAE9_4FEB_442D_A1CF_D7B687ABF6B7","url":"https://open-measure.atlassian.net/wiki/spaces/DIC/pages/427130918"}</v>
      </c>
    </row>
    <row r="100" spans="1:5" ht="13.9" thickTop="1" thickBot="1" x14ac:dyDescent="0.4">
      <c r="A100" s="3" t="str">
        <f>NodesData[[#This Row],[Common Name]]</f>
        <v>Coherent Whole</v>
      </c>
      <c r="B100" s="3" t="str">
        <f>IF(NodesData[[#This Row],[Context Instanciation]]="","",NodesData[[#This Row],[Context Instanciation]])</f>
        <v/>
      </c>
      <c r="C100" s="22" t="str">
        <f>NodesData[[#This Row],[Node ID]]</f>
        <v>n2E4A35A7_53BB_4F4B_8554_B6584F77D71D</v>
      </c>
      <c r="D100" s="10" t="s">
        <v>677</v>
      </c>
      <c r="E100" s="25" t="str" cm="1">
        <f t="array" ref="E100">IF(ROW(NodesJSON[[#This Row],[label]])&gt;ROW(NodesJSON[[#Headers],[JSON]])+1,",","") &amp;"{"&amp;twoRangesToJSON(NodesJSON[[#Headers],[label]:[url]],NodesJSON[[#This Row],[label]:[url]])&amp;"}"</f>
        <v>,{"label":"Coherent Whole","group":"","id":"n2E4A35A7_53BB_4F4B_8554_B6584F77D71D","url":"https://open-measure.atlassian.net/wiki/spaces/DIC/pages/1152516162/CSC"}</v>
      </c>
    </row>
    <row r="101" spans="1:5" ht="13.9" thickTop="1" thickBot="1" x14ac:dyDescent="0.4">
      <c r="A101" s="3" t="str">
        <f>NodesData[[#This Row],[Common Name]]</f>
        <v>Commission Error</v>
      </c>
      <c r="B101" s="3" t="str">
        <f>IF(NodesData[[#This Row],[Context Instanciation]]="","",NodesData[[#This Row],[Context Instanciation]])</f>
        <v/>
      </c>
      <c r="C101" s="22" t="str">
        <f>NodesData[[#This Row],[Node ID]]</f>
        <v>n4D29847A_7439_438F_9BF4_1A9AC6B66382</v>
      </c>
      <c r="D101" s="10" t="s">
        <v>678</v>
      </c>
      <c r="E101" s="25" t="str" cm="1">
        <f t="array" ref="E101">IF(ROW(NodesJSON[[#This Row],[label]])&gt;ROW(NodesJSON[[#Headers],[JSON]])+1,",","") &amp;"{"&amp;twoRangesToJSON(NodesJSON[[#Headers],[label]:[url]],NodesJSON[[#This Row],[label]:[url]])&amp;"}"</f>
        <v>,{"label":"Commission Error","group":"","id":"n4D29847A_7439_438F_9BF4_1A9AC6B66382","url":"https://open-measure.atlassian.net/wiki/spaces/DIC/pages/82903984/CSP"}</v>
      </c>
    </row>
    <row r="102" spans="1:5" ht="13.9" thickTop="1" thickBot="1" x14ac:dyDescent="0.4">
      <c r="A102" s="3" t="str">
        <f>NodesData[[#This Row],[Common Name]]</f>
        <v>Compromised Identity</v>
      </c>
      <c r="B102" s="3" t="str">
        <f>IF(NodesData[[#This Row],[Context Instanciation]]="","",NodesData[[#This Row],[Context Instanciation]])</f>
        <v/>
      </c>
      <c r="C102" s="22" t="str">
        <f>NodesData[[#This Row],[Node ID]]</f>
        <v>n5AE73A5D_7DC4_4E67_BA86_77F767004525</v>
      </c>
      <c r="D102" s="10" t="s">
        <v>679</v>
      </c>
      <c r="E102" s="25" t="str" cm="1">
        <f t="array" ref="E102">IF(ROW(NodesJSON[[#This Row],[label]])&gt;ROW(NodesJSON[[#Headers],[JSON]])+1,",","") &amp;"{"&amp;twoRangesToJSON(NodesJSON[[#Headers],[label]:[url]],NodesJSON[[#This Row],[label]:[url]])&amp;"}"</f>
        <v>,{"label":"Compromised Identity","group":"","id":"n5AE73A5D_7DC4_4E67_BA86_77F767004525","url":"https://open-measure.atlassian.net/wiki/spaces/DIC/pages/206667867/CSU"}</v>
      </c>
    </row>
    <row r="103" spans="1:5" ht="13.9" thickTop="1" thickBot="1" x14ac:dyDescent="0.4">
      <c r="A103" s="3" t="str">
        <f>NodesData[[#This Row],[Common Name]]</f>
        <v>Concurrent Impersonation Attack</v>
      </c>
      <c r="B103" s="3" t="str">
        <f>IF(NodesData[[#This Row],[Context Instanciation]]="","",NodesData[[#This Row],[Context Instanciation]])</f>
        <v/>
      </c>
      <c r="C103" s="22" t="str">
        <f>NodesData[[#This Row],[Node ID]]</f>
        <v>n7613977B_913F_4201_81B8_F2639D95D430</v>
      </c>
      <c r="D103" s="10" t="s">
        <v>681</v>
      </c>
      <c r="E103" s="25" t="str" cm="1">
        <f t="array" ref="E103">IF(ROW(NodesJSON[[#This Row],[label]])&gt;ROW(NodesJSON[[#Headers],[JSON]])+1,",","") &amp;"{"&amp;twoRangesToJSON(NodesJSON[[#Headers],[label]:[url]],NodesJSON[[#This Row],[label]:[url]])&amp;"}"</f>
        <v>,{"label":"Concurrent Impersonation Attack","group":"","id":"n7613977B_913F_4201_81B8_F2639D95D430","url":"https://open-measure.atlassian.net/wiki/spaces/DIC/pages/414482448"}</v>
      </c>
    </row>
    <row r="104" spans="1:5" ht="13.9" thickTop="1" thickBot="1" x14ac:dyDescent="0.4">
      <c r="A104" s="3" t="str">
        <f>NodesData[[#This Row],[Common Name]]</f>
        <v>Continuous Authentication</v>
      </c>
      <c r="B104" s="3" t="str">
        <f>IF(NodesData[[#This Row],[Context Instanciation]]="","",NodesData[[#This Row],[Context Instanciation]])</f>
        <v/>
      </c>
      <c r="C104" s="22" t="str">
        <f>NodesData[[#This Row],[Node ID]]</f>
        <v>n80A2BE7C_191D_425D_A7B8_93B0ACBEE01B</v>
      </c>
      <c r="D104" s="10" t="s">
        <v>683</v>
      </c>
      <c r="E104" s="25" t="str" cm="1">
        <f t="array" ref="E104">IF(ROW(NodesJSON[[#This Row],[label]])&gt;ROW(NodesJSON[[#Headers],[JSON]])+1,",","") &amp;"{"&amp;twoRangesToJSON(NodesJSON[[#Headers],[label]:[url]],NodesJSON[[#This Row],[label]:[url]])&amp;"}"</f>
        <v>,{"label":"Continuous Authentication","group":"","id":"n80A2BE7C_191D_425D_A7B8_93B0ACBEE01B","url":"https://open-measure.atlassian.net/wiki/spaces/DIC/pages/414548006"}</v>
      </c>
    </row>
    <row r="105" spans="1:5" ht="13.9" thickTop="1" thickBot="1" x14ac:dyDescent="0.4">
      <c r="A105" s="3" t="str">
        <f>NodesData[[#This Row],[Common Name]]</f>
        <v>Control Class</v>
      </c>
      <c r="B105" s="3" t="str">
        <f>IF(NodesData[[#This Row],[Context Instanciation]]="","",NodesData[[#This Row],[Context Instanciation]])</f>
        <v/>
      </c>
      <c r="C105" s="22" t="str">
        <f>NodesData[[#This Row],[Node ID]]</f>
        <v>nCEEB6DF9_D56B_4A1B_9B36_35674D25F038</v>
      </c>
      <c r="D105" s="10" t="s">
        <v>685</v>
      </c>
      <c r="E105" s="25" t="str" cm="1">
        <f t="array" ref="E105">IF(ROW(NodesJSON[[#This Row],[label]])&gt;ROW(NodesJSON[[#Headers],[JSON]])+1,",","") &amp;"{"&amp;twoRangesToJSON(NodesJSON[[#Headers],[label]:[url]],NodesJSON[[#This Row],[label]:[url]])&amp;"}"</f>
        <v>,{"label":"Control Class","group":"","id":"nCEEB6DF9_D56B_4A1B_9B36_35674D25F038","url":"https://open-measure.atlassian.net/wiki/spaces/DIC/pages/138444875"}</v>
      </c>
    </row>
    <row r="106" spans="1:5" ht="13.9" thickTop="1" thickBot="1" x14ac:dyDescent="0.4">
      <c r="A106" s="3" t="str">
        <f>NodesData[[#This Row],[Common Name]]</f>
        <v>Control Party</v>
      </c>
      <c r="B106" s="3" t="str">
        <f>IF(NodesData[[#This Row],[Context Instanciation]]="","",NodesData[[#This Row],[Context Instanciation]])</f>
        <v/>
      </c>
      <c r="C106" s="22" t="str">
        <f>NodesData[[#This Row],[Node ID]]</f>
        <v>n2036668D_41FC_42AC_A26E_DCB28C92BB42</v>
      </c>
      <c r="D106" s="10" t="s">
        <v>687</v>
      </c>
      <c r="E106" s="25" t="str" cm="1">
        <f t="array" ref="E106">IF(ROW(NodesJSON[[#This Row],[label]])&gt;ROW(NodesJSON[[#Headers],[JSON]])+1,",","") &amp;"{"&amp;twoRangesToJSON(NodesJSON[[#Headers],[label]:[url]],NodesJSON[[#This Row],[label]:[url]])&amp;"}"</f>
        <v>,{"label":"Control Party","group":"","id":"n2036668D_41FC_42AC_A26E_DCB28C92BB42","url":"https://open-measure.atlassian.net/wiki/spaces/DIC/pages/409010717"}</v>
      </c>
    </row>
    <row r="107" spans="1:5" ht="13.9" thickTop="1" thickBot="1" x14ac:dyDescent="0.4">
      <c r="A107" s="3" t="str">
        <f>NodesData[[#This Row],[Common Name]]</f>
        <v>Core Identity</v>
      </c>
      <c r="B107" s="3" t="str">
        <f>IF(NodesData[[#This Row],[Context Instanciation]]="","",NodesData[[#This Row],[Context Instanciation]])</f>
        <v/>
      </c>
      <c r="C107" s="22" t="str">
        <f>NodesData[[#This Row],[Node ID]]</f>
        <v>n3B5C4453_42D1_4B17_BE96_3CB27267BE34</v>
      </c>
      <c r="D107" s="10" t="s">
        <v>689</v>
      </c>
      <c r="E107" s="25" t="str" cm="1">
        <f t="array" ref="E107">IF(ROW(NodesJSON[[#This Row],[label]])&gt;ROW(NodesJSON[[#Headers],[JSON]])+1,",","") &amp;"{"&amp;twoRangesToJSON(NodesJSON[[#Headers],[label]:[url]],NodesJSON[[#This Row],[label]:[url]])&amp;"}"</f>
        <v>,{"label":"Core Identity","group":"","id":"n3B5C4453_42D1_4B17_BE96_3CB27267BE34","url":"https://open-measure.atlassian.net/wiki/spaces/DIC/pages/408944928"}</v>
      </c>
    </row>
    <row r="108" spans="1:5" ht="13.9" thickTop="1" thickBot="1" x14ac:dyDescent="0.4">
      <c r="A108" s="3" t="str">
        <f>NodesData[[#This Row],[Common Name]]</f>
        <v>Credential</v>
      </c>
      <c r="B108" s="3" t="str">
        <f>IF(NodesData[[#This Row],[Context Instanciation]]="","",NodesData[[#This Row],[Context Instanciation]])</f>
        <v/>
      </c>
      <c r="C108" s="22" t="str">
        <f>NodesData[[#This Row],[Node ID]]</f>
        <v>n71B0143B_00D4_447A_802A_D03702D2600F</v>
      </c>
      <c r="D108" s="10" t="s">
        <v>691</v>
      </c>
      <c r="E108" s="25" t="str" cm="1">
        <f t="array" ref="E108">IF(ROW(NodesJSON[[#This Row],[label]])&gt;ROW(NodesJSON[[#Headers],[JSON]])+1,",","") &amp;"{"&amp;twoRangesToJSON(NodesJSON[[#Headers],[label]:[url]],NodesJSON[[#This Row],[label]:[url]])&amp;"}"</f>
        <v>,{"label":"Credential","group":"","id":"n71B0143B_00D4_447A_802A_D03702D2600F","url":"https://open-measure.atlassian.net/wiki/spaces/DIC/pages/797900801"}</v>
      </c>
    </row>
    <row r="109" spans="1:5" ht="13.9" thickTop="1" thickBot="1" x14ac:dyDescent="0.4">
      <c r="A109" s="3" t="str">
        <f>NodesData[[#This Row],[Common Name]]</f>
        <v>Credential Harvesting</v>
      </c>
      <c r="B109" s="3" t="str">
        <f>IF(NodesData[[#This Row],[Context Instanciation]]="","",NodesData[[#This Row],[Context Instanciation]])</f>
        <v/>
      </c>
      <c r="C109" s="22" t="str">
        <f>NodesData[[#This Row],[Node ID]]</f>
        <v>n835E7716_4234_4D63_9E3D_53FD75BD48A0</v>
      </c>
      <c r="D109" s="10" t="s">
        <v>692</v>
      </c>
      <c r="E109" s="25" t="str" cm="1">
        <f t="array" ref="E109">IF(ROW(NodesJSON[[#This Row],[label]])&gt;ROW(NodesJSON[[#Headers],[JSON]])+1,",","") &amp;"{"&amp;twoRangesToJSON(NodesJSON[[#Headers],[label]:[url]],NodesJSON[[#This Row],[label]:[url]])&amp;"}"</f>
        <v>,{"label":"Credential Harvesting","group":"","id":"n835E7716_4234_4D63_9E3D_53FD75BD48A0","url":"https://open-measure.atlassian.net/wiki/spaces/DIC/pages/1451982933/Cyber-sabotage"}</v>
      </c>
    </row>
    <row r="110" spans="1:5" ht="13.9" thickTop="1" thickBot="1" x14ac:dyDescent="0.4">
      <c r="A110" s="3" t="str">
        <f>NodesData[[#This Row],[Common Name]]</f>
        <v>Credential Service Provider</v>
      </c>
      <c r="B110" s="3" t="str">
        <f>IF(NodesData[[#This Row],[Context Instanciation]]="","",NodesData[[#This Row],[Context Instanciation]])</f>
        <v/>
      </c>
      <c r="C110" s="22" t="str">
        <f>NodesData[[#This Row],[Node ID]]</f>
        <v>nC28A38BD_F29A_4E07_BDC5_A430C7F08178</v>
      </c>
      <c r="D110" s="10" t="s">
        <v>693</v>
      </c>
      <c r="E110" s="25" t="str" cm="1">
        <f t="array" ref="E110">IF(ROW(NodesJSON[[#This Row],[label]])&gt;ROW(NodesJSON[[#Headers],[JSON]])+1,",","") &amp;"{"&amp;twoRangesToJSON(NodesJSON[[#Headers],[label]:[url]],NodesJSON[[#This Row],[label]:[url]])&amp;"}"</f>
        <v>,{"label":"Credential Service Provider","group":"","id":"nC28A38BD_F29A_4E07_BDC5_A430C7F08178","url":"https://open-measure.atlassian.net/wiki/spaces/DIC/pages/1177845938/DAC"}</v>
      </c>
    </row>
    <row r="111" spans="1:5" ht="13.9" thickTop="1" thickBot="1" x14ac:dyDescent="0.4">
      <c r="A111" s="3" t="str">
        <f>NodesData[[#This Row],[Common Name]]</f>
        <v>Credential Stuffing</v>
      </c>
      <c r="B111" s="3" t="str">
        <f>IF(NodesData[[#This Row],[Context Instanciation]]="","",NodesData[[#This Row],[Context Instanciation]])</f>
        <v/>
      </c>
      <c r="C111" s="22" t="str">
        <f>NodesData[[#This Row],[Node ID]]</f>
        <v>nE507E167_D5A0_4734_A76D_1E688002EDB6</v>
      </c>
      <c r="D111" s="10" t="s">
        <v>694</v>
      </c>
      <c r="E111" s="25" t="str" cm="1">
        <f t="array" ref="E111">IF(ROW(NodesJSON[[#This Row],[label]])&gt;ROW(NodesJSON[[#Headers],[JSON]])+1,",","") &amp;"{"&amp;twoRangesToJSON(NodesJSON[[#Headers],[label]:[url]],NodesJSON[[#This Row],[label]:[url]])&amp;"}"</f>
        <v>,{"label":"Credential Stuffing","group":"","id":"nE507E167_D5A0_4734_A76D_1E688002EDB6","url":"https://open-measure.atlassian.net/wiki/spaces/DIC/pages/1267400850/Data+Anonymization"}</v>
      </c>
    </row>
    <row r="112" spans="1:5" ht="13.9" thickTop="1" thickBot="1" x14ac:dyDescent="0.4">
      <c r="A112" s="3" t="str">
        <f>NodesData[[#This Row],[Common Name]]</f>
        <v>Credential Theft</v>
      </c>
      <c r="B112" s="3" t="str">
        <f>IF(NodesData[[#This Row],[Context Instanciation]]="","",NodesData[[#This Row],[Context Instanciation]])</f>
        <v/>
      </c>
      <c r="C112" s="22" t="str">
        <f>NodesData[[#This Row],[Node ID]]</f>
        <v>nC30B0213_3434_4800_8A7F_F5D9753E7F4F</v>
      </c>
      <c r="D112" s="10" t="s">
        <v>696</v>
      </c>
      <c r="E112" s="25" t="str" cm="1">
        <f t="array" ref="E112">IF(ROW(NodesJSON[[#This Row],[label]])&gt;ROW(NodesJSON[[#Headers],[JSON]])+1,",","") &amp;"{"&amp;twoRangesToJSON(NodesJSON[[#Headers],[label]:[url]],NodesJSON[[#This Row],[label]:[url]])&amp;"}"</f>
        <v>,{"label":"Credential Theft","group":"","id":"nC30B0213_3434_4800_8A7F_F5D9753E7F4F","url":"https://open-measure.atlassian.net/wiki/spaces/DIC/pages/998244454"}</v>
      </c>
    </row>
    <row r="113" spans="1:5" ht="13.9" thickTop="1" thickBot="1" x14ac:dyDescent="0.4">
      <c r="A113" s="3" t="str">
        <f>NodesData[[#This Row],[Common Name]]</f>
        <v>Cryptographic Key</v>
      </c>
      <c r="B113" s="3" t="str">
        <f>IF(NodesData[[#This Row],[Context Instanciation]]="","",NodesData[[#This Row],[Context Instanciation]])</f>
        <v/>
      </c>
      <c r="C113" s="22" t="str">
        <f>NodesData[[#This Row],[Node ID]]</f>
        <v>nD6E2EFC3_D781_401F_AE1A_9DC8865CF67B</v>
      </c>
      <c r="D113" s="10" t="s">
        <v>704</v>
      </c>
      <c r="E113" s="25" t="str" cm="1">
        <f t="array" ref="E113">IF(ROW(NodesJSON[[#This Row],[label]])&gt;ROW(NodesJSON[[#Headers],[JSON]])+1,",","") &amp;"{"&amp;twoRangesToJSON(NodesJSON[[#Headers],[label]:[url]],NodesJSON[[#This Row],[label]:[url]])&amp;"}"</f>
        <v>,{"label":"Cryptographic Key","group":"","id":"nD6E2EFC3_D781_401F_AE1A_9DC8865CF67B","url":"https://open-measure.atlassian.net/wiki/spaces/DIC/pages/1132331029"}</v>
      </c>
    </row>
    <row r="114" spans="1:5" ht="13.9" thickTop="1" thickBot="1" x14ac:dyDescent="0.4">
      <c r="A114" s="3" t="str">
        <f>NodesData[[#This Row],[Common Name]]</f>
        <v>CSC</v>
      </c>
      <c r="B114" s="3" t="str">
        <f>IF(NodesData[[#This Row],[Context Instanciation]]="","",NodesData[[#This Row],[Context Instanciation]])</f>
        <v/>
      </c>
      <c r="C114" s="22" t="str">
        <f>NodesData[[#This Row],[Node ID]]</f>
        <v>n3CF9484A_E6FA_4D95_9D47_B5595CE2AD13</v>
      </c>
      <c r="D114" s="10" t="s">
        <v>698</v>
      </c>
      <c r="E114" s="25" t="str" cm="1">
        <f t="array" ref="E114">IF(ROW(NodesJSON[[#This Row],[label]])&gt;ROW(NodesJSON[[#Headers],[JSON]])+1,",","") &amp;"{"&amp;twoRangesToJSON(NodesJSON[[#Headers],[label]:[url]],NodesJSON[[#This Row],[label]:[url]])&amp;"}"</f>
        <v>,{"label":"CSC","group":"","id":"n3CF9484A_E6FA_4D95_9D47_B5595CE2AD13","url":"https://open-measure.atlassian.net/wiki/spaces/DIC/pages/508330028"}</v>
      </c>
    </row>
    <row r="115" spans="1:5" ht="13.9" thickTop="1" thickBot="1" x14ac:dyDescent="0.4">
      <c r="A115" s="3" t="str">
        <f>NodesData[[#This Row],[Common Name]]</f>
        <v>CSP</v>
      </c>
      <c r="B115" s="3" t="str">
        <f>IF(NodesData[[#This Row],[Context Instanciation]]="","",NodesData[[#This Row],[Context Instanciation]])</f>
        <v/>
      </c>
      <c r="C115" s="22" t="str">
        <f>NodesData[[#This Row],[Node ID]]</f>
        <v>n602C3EC3_8435_47BF_A604_7D75066CC857</v>
      </c>
      <c r="D115" s="10" t="s">
        <v>700</v>
      </c>
      <c r="E115" s="25" t="str" cm="1">
        <f t="array" ref="E115">IF(ROW(NodesJSON[[#This Row],[label]])&gt;ROW(NodesJSON[[#Headers],[JSON]])+1,",","") &amp;"{"&amp;twoRangesToJSON(NodesJSON[[#Headers],[label]:[url]],NodesJSON[[#This Row],[label]:[url]])&amp;"}"</f>
        <v>,{"label":"CSP","group":"","id":"n602C3EC3_8435_47BF_A604_7D75066CC857","url":"https://open-measure.atlassian.net/wiki/spaces/DIC/pages/1027048097"}</v>
      </c>
    </row>
    <row r="116" spans="1:5" ht="13.9" thickTop="1" thickBot="1" x14ac:dyDescent="0.4">
      <c r="A116" s="3" t="str">
        <f>NodesData[[#This Row],[Common Name]]</f>
        <v>CSU</v>
      </c>
      <c r="B116" s="3" t="str">
        <f>IF(NodesData[[#This Row],[Context Instanciation]]="","",NodesData[[#This Row],[Context Instanciation]])</f>
        <v/>
      </c>
      <c r="C116" s="22" t="str">
        <f>NodesData[[#This Row],[Node ID]]</f>
        <v>nFF6942C5_7966_4E4A_8491_8D4F0333B971</v>
      </c>
      <c r="D116" s="10" t="s">
        <v>702</v>
      </c>
      <c r="E116" s="25" t="str" cm="1">
        <f t="array" ref="E116">IF(ROW(NodesJSON[[#This Row],[label]])&gt;ROW(NodesJSON[[#Headers],[JSON]])+1,",","") &amp;"{"&amp;twoRangesToJSON(NodesJSON[[#Headers],[label]:[url]],NodesJSON[[#This Row],[label]:[url]])&amp;"}"</f>
        <v>,{"label":"CSU","group":"","id":"nFF6942C5_7966_4E4A_8491_8D4F0333B971","url":"https://open-measure.atlassian.net/wiki/spaces/DIC/pages/998179040"}</v>
      </c>
    </row>
    <row r="117" spans="1:5" ht="13.9" thickTop="1" thickBot="1" x14ac:dyDescent="0.4">
      <c r="A117" s="3" t="str">
        <f>NodesData[[#This Row],[Common Name]]</f>
        <v>Customer Due Diligence</v>
      </c>
      <c r="B117" s="3" t="str">
        <f>IF(NodesData[[#This Row],[Context Instanciation]]="","",NodesData[[#This Row],[Context Instanciation]])</f>
        <v/>
      </c>
      <c r="C117" s="22" t="str">
        <f>NodesData[[#This Row],[Node ID]]</f>
        <v>nAF7F194C_57F9_469D_96EF_9261A46CC7FC</v>
      </c>
      <c r="D117" s="10" t="s">
        <v>710</v>
      </c>
      <c r="E117" s="25" t="str" cm="1">
        <f t="array" ref="E117">IF(ROW(NodesJSON[[#This Row],[label]])&gt;ROW(NodesJSON[[#Headers],[JSON]])+1,",","") &amp;"{"&amp;twoRangesToJSON(NodesJSON[[#Headers],[label]:[url]],NodesJSON[[#This Row],[label]:[url]])&amp;"}"</f>
        <v>,{"label":"Customer Due Diligence","group":"","id":"nAF7F194C_57F9_469D_96EF_9261A46CC7FC","url":"https://open-measure.atlassian.net/wiki/spaces/DIC/pages/408977837"}</v>
      </c>
    </row>
    <row r="118" spans="1:5" ht="13.9" thickTop="1" thickBot="1" x14ac:dyDescent="0.4">
      <c r="A118" s="3" t="str">
        <f>NodesData[[#This Row],[Common Name]]</f>
        <v>Customer Identification</v>
      </c>
      <c r="B118" s="3" t="str">
        <f>IF(NodesData[[#This Row],[Context Instanciation]]="","",NodesData[[#This Row],[Context Instanciation]])</f>
        <v/>
      </c>
      <c r="C118" s="22" t="str">
        <f>NodesData[[#This Row],[Node ID]]</f>
        <v>nC4DE4DA0_78E1_4926_AF0C_F091AF13103D</v>
      </c>
      <c r="D118" s="10" t="s">
        <v>706</v>
      </c>
      <c r="E118" s="25" t="str" cm="1">
        <f t="array" ref="E118">IF(ROW(NodesJSON[[#This Row],[label]])&gt;ROW(NodesJSON[[#Headers],[JSON]])+1,",","") &amp;"{"&amp;twoRangesToJSON(NodesJSON[[#Headers],[label]:[url]],NodesJSON[[#This Row],[label]:[url]])&amp;"}"</f>
        <v>,{"label":"Customer Identification","group":"","id":"nC4DE4DA0_78E1_4926_AF0C_F091AF13103D","url":"https://open-measure.atlassian.net/wiki/spaces/DIC/pages/1031242134"}</v>
      </c>
    </row>
    <row r="119" spans="1:5" ht="13.9" thickTop="1" thickBot="1" x14ac:dyDescent="0.4">
      <c r="A119" s="3" t="str">
        <f>NodesData[[#This Row],[Common Name]]</f>
        <v>Customer Identity</v>
      </c>
      <c r="B119" s="3" t="str">
        <f>IF(NodesData[[#This Row],[Context Instanciation]]="","",NodesData[[#This Row],[Context Instanciation]])</f>
        <v/>
      </c>
      <c r="C119" s="22" t="str">
        <f>NodesData[[#This Row],[Node ID]]</f>
        <v>nE1CBAB67_758C_4F2C_BA6A_799375745B56</v>
      </c>
      <c r="D119" s="10" t="s">
        <v>708</v>
      </c>
      <c r="E119" s="25" t="str" cm="1">
        <f t="array" ref="E119">IF(ROW(NodesJSON[[#This Row],[label]])&gt;ROW(NodesJSON[[#Headers],[JSON]])+1,",","") &amp;"{"&amp;twoRangesToJSON(NodesJSON[[#Headers],[label]:[url]],NodesJSON[[#This Row],[label]:[url]])&amp;"}"</f>
        <v>,{"label":"Customer Identity","group":"","id":"nE1CBAB67_758C_4F2C_BA6A_799375745B56","url":"https://open-measure.atlassian.net/wiki/spaces/DIC/pages/782893122"}</v>
      </c>
    </row>
    <row r="120" spans="1:5" ht="13.9" thickTop="1" thickBot="1" x14ac:dyDescent="0.4">
      <c r="A120" s="3" t="str">
        <f>NodesData[[#This Row],[Common Name]]</f>
        <v>Customer Identity Verification</v>
      </c>
      <c r="B120" s="3" t="str">
        <f>IF(NodesData[[#This Row],[Context Instanciation]]="","",NodesData[[#This Row],[Context Instanciation]])</f>
        <v/>
      </c>
      <c r="C120" s="22" t="str">
        <f>NodesData[[#This Row],[Node ID]]</f>
        <v>nCD6230CD_7164_4B21_8324_961CA3471D9D</v>
      </c>
      <c r="D120" s="10" t="s">
        <v>712</v>
      </c>
      <c r="E120" s="25" t="str" cm="1">
        <f t="array" ref="E120">IF(ROW(NodesJSON[[#This Row],[label]])&gt;ROW(NodesJSON[[#Headers],[JSON]])+1,",","") &amp;"{"&amp;twoRangesToJSON(NodesJSON[[#Headers],[label]:[url]],NodesJSON[[#This Row],[label]:[url]])&amp;"}"</f>
        <v>,{"label":"Customer Identity Verification","group":"","id":"nCD6230CD_7164_4B21_8324_961CA3471D9D","url":"https://open-measure.atlassian.net/wiki/spaces/DIC/pages/62193665"}</v>
      </c>
    </row>
    <row r="121" spans="1:5" ht="13.9" thickTop="1" thickBot="1" x14ac:dyDescent="0.4">
      <c r="A121" s="3" t="str">
        <f>NodesData[[#This Row],[Common Name]]</f>
        <v>Customer On-Boarding</v>
      </c>
      <c r="B121" s="3" t="str">
        <f>IF(NodesData[[#This Row],[Context Instanciation]]="","",NodesData[[#This Row],[Context Instanciation]])</f>
        <v/>
      </c>
      <c r="C121" s="22" t="str">
        <f>NodesData[[#This Row],[Node ID]]</f>
        <v>n5A0D36D7_5907_497B_BDD0_B9F7946871C7</v>
      </c>
      <c r="D121" s="10" t="s">
        <v>713</v>
      </c>
      <c r="E121" s="25" t="str" cm="1">
        <f t="array" ref="E121">IF(ROW(NodesJSON[[#This Row],[label]])&gt;ROW(NodesJSON[[#Headers],[JSON]])+1,",","") &amp;"{"&amp;twoRangesToJSON(NodesJSON[[#Headers],[label]:[url]],NodesJSON[[#This Row],[label]:[url]])&amp;"}"</f>
        <v>,{"label":"Customer On-Boarding","group":"","id":"n5A0D36D7_5907_497B_BDD0_B9F7946871C7","url":"https://open-measure.atlassian.net/wiki/spaces/DIC/pages/782925889/DID"}</v>
      </c>
    </row>
    <row r="122" spans="1:5" ht="13.9" thickTop="1" thickBot="1" x14ac:dyDescent="0.4">
      <c r="A122" s="3" t="str">
        <f>NodesData[[#This Row],[Common Name]]</f>
        <v>Customer Privacy and Consent Management</v>
      </c>
      <c r="B122" s="3" t="str">
        <f>IF(NodesData[[#This Row],[Context Instanciation]]="","",NodesData[[#This Row],[Context Instanciation]])</f>
        <v/>
      </c>
      <c r="C122" s="22" t="str">
        <f>NodesData[[#This Row],[Node ID]]</f>
        <v>n4729C2B4_13E7_433F_8412_F95545EA75F7</v>
      </c>
      <c r="D122" s="10" t="s">
        <v>715</v>
      </c>
      <c r="E122" s="25" t="str" cm="1">
        <f t="array" ref="E122">IF(ROW(NodesJSON[[#This Row],[label]])&gt;ROW(NodesJSON[[#Headers],[JSON]])+1,",","") &amp;"{"&amp;twoRangesToJSON(NodesJSON[[#Headers],[label]:[url]],NodesJSON[[#This Row],[label]:[url]])&amp;"}"</f>
        <v>,{"label":"Customer Privacy and Consent Management","group":"","id":"n4729C2B4_13E7_433F_8412_F95545EA75F7","url":"https://open-measure.atlassian.net/wiki/spaces/DIC/pages/458326308"}</v>
      </c>
    </row>
    <row r="123" spans="1:5" ht="13.9" thickTop="1" thickBot="1" x14ac:dyDescent="0.4">
      <c r="A123" s="3" t="str">
        <f>NodesData[[#This Row],[Common Name]]</f>
        <v>Cyber-sabotage</v>
      </c>
      <c r="B123" s="3" t="str">
        <f>IF(NodesData[[#This Row],[Context Instanciation]]="","",NodesData[[#This Row],[Context Instanciation]])</f>
        <v/>
      </c>
      <c r="C123" s="22" t="str">
        <f>NodesData[[#This Row],[Node ID]]</f>
        <v>n359C7AF8_8BAE_4BC7_B009_BE445CDBFC35</v>
      </c>
      <c r="D123" s="10" t="s">
        <v>716</v>
      </c>
      <c r="E123" s="25" t="str" cm="1">
        <f t="array" ref="E123">IF(ROW(NodesJSON[[#This Row],[label]])&gt;ROW(NodesJSON[[#Headers],[JSON]])+1,",","") &amp;"{"&amp;twoRangesToJSON(NodesJSON[[#Headers],[label]:[url]],NodesJSON[[#This Row],[label]:[url]])&amp;"}"</f>
        <v>,{"label":"Cyber-sabotage","group":"","id":"n359C7AF8_8BAE_4BC7_B009_BE445CDBFC35","url":"https://open-measure.atlassian.net/wiki/spaces/DIC/pages/419561482/Digital+Identification+System"}</v>
      </c>
    </row>
    <row r="124" spans="1:5" ht="13.9" thickTop="1" thickBot="1" x14ac:dyDescent="0.4">
      <c r="A124" s="3" t="str">
        <f>NodesData[[#This Row],[Common Name]]</f>
        <v>DAC</v>
      </c>
      <c r="B124" s="3" t="str">
        <f>IF(NodesData[[#This Row],[Context Instanciation]]="","",NodesData[[#This Row],[Context Instanciation]])</f>
        <v/>
      </c>
      <c r="C124" s="22" t="str">
        <f>NodesData[[#This Row],[Node ID]]</f>
        <v>n5E2EE771_5FE7_4EBD_B53E_DD8D31F6490E</v>
      </c>
      <c r="D124" s="10" t="s">
        <v>717</v>
      </c>
      <c r="E124" s="25" t="str" cm="1">
        <f t="array" ref="E124">IF(ROW(NodesJSON[[#This Row],[label]])&gt;ROW(NodesJSON[[#Headers],[JSON]])+1,",","") &amp;"{"&amp;twoRangesToJSON(NodesJSON[[#Headers],[label]:[url]],NodesJSON[[#This Row],[label]:[url]])&amp;"}"</f>
        <v>,{"label":"DAC","group":"","id":"n5E2EE771_5FE7_4EBD_B53E_DD8D31F6490E","url":"https://open-measure.atlassian.net/wiki/spaces/DIC/pages/419528705/Digital+Identity"}</v>
      </c>
    </row>
    <row r="125" spans="1:5" ht="13.9" thickTop="1" thickBot="1" x14ac:dyDescent="0.4">
      <c r="A125" s="3" t="str">
        <f>NodesData[[#This Row],[Common Name]]</f>
        <v>Data</v>
      </c>
      <c r="B125" s="3" t="str">
        <f>IF(NodesData[[#This Row],[Context Instanciation]]="","",NodesData[[#This Row],[Context Instanciation]])</f>
        <v/>
      </c>
      <c r="C125" s="22" t="str">
        <f>NodesData[[#This Row],[Node ID]]</f>
        <v>n09E1C4DC_8D91_4A66_9C50_11DCDC2042FD</v>
      </c>
      <c r="D125" s="10" t="s">
        <v>663</v>
      </c>
      <c r="E125" s="25" t="str" cm="1">
        <f t="array" ref="E125">IF(ROW(NodesJSON[[#This Row],[label]])&gt;ROW(NodesJSON[[#Headers],[JSON]])+1,",","") &amp;"{"&amp;twoRangesToJSON(NodesJSON[[#Headers],[label]:[url]],NodesJSON[[#This Row],[label]:[url]])&amp;"}"</f>
        <v>,{"label":"Data","group":"","id":"n09E1C4DC_8D91_4A66_9C50_11DCDC2042FD","url":"https://open-measure.atlassian.net/wiki/spaces/DIC/pages/877297665"}</v>
      </c>
    </row>
    <row r="126" spans="1:5" ht="13.9" thickTop="1" thickBot="1" x14ac:dyDescent="0.4">
      <c r="A126" s="3" t="str">
        <f>NodesData[[#This Row],[Common Name]]</f>
        <v>Data Anonymization</v>
      </c>
      <c r="B126" s="3" t="str">
        <f>IF(NodesData[[#This Row],[Context Instanciation]]="","",NodesData[[#This Row],[Context Instanciation]])</f>
        <v/>
      </c>
      <c r="C126" s="22" t="str">
        <f>NodesData[[#This Row],[Node ID]]</f>
        <v>nDD3247E1_B272_4575_8CB0_C2E44239A9A8</v>
      </c>
      <c r="D126" s="10" t="s">
        <v>720</v>
      </c>
      <c r="E126" s="25" t="str" cm="1">
        <f t="array" ref="E126">IF(ROW(NodesJSON[[#This Row],[label]])&gt;ROW(NodesJSON[[#Headers],[JSON]])+1,",","") &amp;"{"&amp;twoRangesToJSON(NodesJSON[[#Headers],[label]:[url]],NodesJSON[[#This Row],[label]:[url]])&amp;"}"</f>
        <v>,{"label":"Data Anonymization","group":"","id":"nDD3247E1_B272_4575_8CB0_C2E44239A9A8","url":"https://open-measure.atlassian.net/wiki/spaces/DIC/pages/796983391"}</v>
      </c>
    </row>
    <row r="127" spans="1:5" ht="13.9" thickTop="1" thickBot="1" x14ac:dyDescent="0.4">
      <c r="A127" s="3" t="str">
        <f>NodesData[[#This Row],[Common Name]]</f>
        <v>Data Custodian</v>
      </c>
      <c r="B127" s="3" t="str">
        <f>IF(NodesData[[#This Row],[Context Instanciation]]="","",NodesData[[#This Row],[Context Instanciation]])</f>
        <v/>
      </c>
      <c r="C127" s="22" t="str">
        <f>NodesData[[#This Row],[Node ID]]</f>
        <v>nD28793FC_291F_4F11_A09A_228AE8B3A9FC</v>
      </c>
      <c r="D127" s="10" t="s">
        <v>722</v>
      </c>
      <c r="E127" s="25" t="str" cm="1">
        <f t="array" ref="E127">IF(ROW(NodesJSON[[#This Row],[label]])&gt;ROW(NodesJSON[[#Headers],[JSON]])+1,",","") &amp;"{"&amp;twoRangesToJSON(NodesJSON[[#Headers],[label]:[url]],NodesJSON[[#This Row],[label]:[url]])&amp;"}"</f>
        <v>,{"label":"Data Custodian","group":"","id":"nD28793FC_291F_4F11_A09A_228AE8B3A9FC","url":"https://open-measure.atlassian.net/wiki/spaces/DIC/pages/1181876315"}</v>
      </c>
    </row>
    <row r="128" spans="1:5" ht="13.9" thickTop="1" thickBot="1" x14ac:dyDescent="0.4">
      <c r="A128" s="3" t="str">
        <f>NodesData[[#This Row],[Common Name]]</f>
        <v>Data Lineage</v>
      </c>
      <c r="B128" s="3" t="str">
        <f>IF(NodesData[[#This Row],[Context Instanciation]]="","",NodesData[[#This Row],[Context Instanciation]])</f>
        <v/>
      </c>
      <c r="C128" s="22" t="str">
        <f>NodesData[[#This Row],[Node ID]]</f>
        <v>nE47A44FF_22A6_469C_82AD_696C71FBDD88</v>
      </c>
      <c r="D128" s="10" t="s">
        <v>724</v>
      </c>
      <c r="E128" s="25" t="str" cm="1">
        <f t="array" ref="E128">IF(ROW(NodesJSON[[#This Row],[label]])&gt;ROW(NodesJSON[[#Headers],[JSON]])+1,",","") &amp;"{"&amp;twoRangesToJSON(NodesJSON[[#Headers],[label]:[url]],NodesJSON[[#This Row],[label]:[url]])&amp;"}"</f>
        <v>,{"label":"Data Lineage","group":"","id":"nE47A44FF_22A6_469C_82AD_696C71FBDD88","url":"https://open-measure.atlassian.net/wiki/spaces/DIC/pages/810287202"}</v>
      </c>
    </row>
    <row r="129" spans="1:5" ht="13.9" thickTop="1" thickBot="1" x14ac:dyDescent="0.4">
      <c r="A129" s="3" t="str">
        <f>NodesData[[#This Row],[Common Name]]</f>
        <v>Data Obfuscation</v>
      </c>
      <c r="B129" s="3" t="str">
        <f>IF(NodesData[[#This Row],[Context Instanciation]]="","",NodesData[[#This Row],[Context Instanciation]])</f>
        <v/>
      </c>
      <c r="C129" s="22" t="str">
        <f>NodesData[[#This Row],[Node ID]]</f>
        <v>nF346FF0E_9E36_4061_B728_2051ECF4FE8F</v>
      </c>
      <c r="D129" s="10" t="s">
        <v>726</v>
      </c>
      <c r="E129" s="25" t="str" cm="1">
        <f t="array" ref="E129">IF(ROW(NodesJSON[[#This Row],[label]])&gt;ROW(NodesJSON[[#Headers],[JSON]])+1,",","") &amp;"{"&amp;twoRangesToJSON(NodesJSON[[#Headers],[label]:[url]],NodesJSON[[#This Row],[label]:[url]])&amp;"}"</f>
        <v>,{"label":"Data Obfuscation","group":"","id":"nF346FF0E_9E36_4061_B728_2051ECF4FE8F","url":"https://open-measure.atlassian.net/wiki/spaces/DIC/pages/419594251"}</v>
      </c>
    </row>
    <row r="130" spans="1:5" ht="13.9" thickTop="1" thickBot="1" x14ac:dyDescent="0.4">
      <c r="A130" s="3" t="str">
        <f>NodesData[[#This Row],[Common Name]]</f>
        <v>Data Operation</v>
      </c>
      <c r="B130" s="3" t="str">
        <f>IF(NodesData[[#This Row],[Context Instanciation]]="","",NodesData[[#This Row],[Context Instanciation]])</f>
        <v/>
      </c>
      <c r="C130" s="22" t="str">
        <f>NodesData[[#This Row],[Node ID]]</f>
        <v>nEE342468_B7F3_4FB0_BA73_C88BBEA8F59E</v>
      </c>
      <c r="D130" s="10" t="s">
        <v>718</v>
      </c>
      <c r="E130" s="25" t="str" cm="1">
        <f t="array" ref="E130">IF(ROW(NodesJSON[[#This Row],[label]])&gt;ROW(NodesJSON[[#Headers],[JSON]])+1,",","") &amp;"{"&amp;twoRangesToJSON(NodesJSON[[#Headers],[label]:[url]],NodesJSON[[#This Row],[label]:[url]])&amp;"}"</f>
        <v>,{"label":"Data Operation","group":"","id":"nEE342468_B7F3_4FB0_BA73_C88BBEA8F59E","url":"https://open-measure.atlassian.net/wiki/spaces/DIC/pages/1270153304/Digital+Identity+Authenticity"}</v>
      </c>
    </row>
    <row r="131" spans="1:5" ht="13.9" thickTop="1" thickBot="1" x14ac:dyDescent="0.4">
      <c r="A131" s="3" t="str">
        <f>NodesData[[#This Row],[Common Name]]</f>
        <v>Data Owner</v>
      </c>
      <c r="B131" s="3" t="str">
        <f>IF(NodesData[[#This Row],[Context Instanciation]]="","",NodesData[[#This Row],[Context Instanciation]])</f>
        <v/>
      </c>
      <c r="C131" s="22" t="str">
        <f>NodesData[[#This Row],[Node ID]]</f>
        <v>n6E2830C5_7B71_4569_B55F_4C2062560D57</v>
      </c>
      <c r="D131" s="10" t="s">
        <v>732</v>
      </c>
      <c r="E131" s="25" t="str" cm="1">
        <f t="array" ref="E131">IF(ROW(NodesJSON[[#This Row],[label]])&gt;ROW(NodesJSON[[#Headers],[JSON]])+1,",","") &amp;"{"&amp;twoRangesToJSON(NodesJSON[[#Headers],[label]:[url]],NodesJSON[[#This Row],[label]:[url]])&amp;"}"</f>
        <v>,{"label":"Data Owner","group":"","id":"n6E2830C5_7B71_4569_B55F_4C2062560D57","url":"https://open-measure.atlassian.net/wiki/spaces/DIC/pages/82903896"}</v>
      </c>
    </row>
    <row r="132" spans="1:5" ht="13.9" thickTop="1" thickBot="1" x14ac:dyDescent="0.4">
      <c r="A132" s="3" t="str">
        <f>NodesData[[#This Row],[Common Name]]</f>
        <v>Data-Level Policy</v>
      </c>
      <c r="B132" s="3" t="str">
        <f>IF(NodesData[[#This Row],[Context Instanciation]]="","",NodesData[[#This Row],[Context Instanciation]])</f>
        <v/>
      </c>
      <c r="C132" s="22" t="str">
        <f>NodesData[[#This Row],[Node ID]]</f>
        <v>nF3A98388_9120_4053_8EBD_936BE8BBDA6F</v>
      </c>
      <c r="D132" s="10" t="s">
        <v>730</v>
      </c>
      <c r="E132" s="25" t="str" cm="1">
        <f t="array" ref="E132">IF(ROW(NodesJSON[[#This Row],[label]])&gt;ROW(NodesJSON[[#Headers],[JSON]])+1,",","") &amp;"{"&amp;twoRangesToJSON(NodesJSON[[#Headers],[label]:[url]],NodesJSON[[#This Row],[label]:[url]])&amp;"}"</f>
        <v>,{"label":"Data-Level Policy","group":"","id":"nF3A98388_9120_4053_8EBD_936BE8BBDA6F","url":"https://open-measure.atlassian.net/wiki/spaces/DIC/pages/206766113"}</v>
      </c>
    </row>
    <row r="133" spans="1:5" ht="13.9" thickTop="1" thickBot="1" x14ac:dyDescent="0.4">
      <c r="A133" s="3" t="str">
        <f>NodesData[[#This Row],[Common Name]]</f>
        <v>Death Certificate</v>
      </c>
      <c r="B133" s="3" t="str">
        <f>IF(NodesData[[#This Row],[Context Instanciation]]="","",NodesData[[#This Row],[Context Instanciation]])</f>
        <v/>
      </c>
      <c r="C133" s="22" t="str">
        <f>NodesData[[#This Row],[Node ID]]</f>
        <v>n18684693_B96F_41F5_87E5_A8C82C5854F2</v>
      </c>
      <c r="D133" s="10" t="s">
        <v>734</v>
      </c>
      <c r="E133" s="25" t="str" cm="1">
        <f t="array" ref="E133">IF(ROW(NodesJSON[[#This Row],[label]])&gt;ROW(NodesJSON[[#Headers],[JSON]])+1,",","") &amp;"{"&amp;twoRangesToJSON(NodesJSON[[#Headers],[label]:[url]],NodesJSON[[#This Row],[label]:[url]])&amp;"}"</f>
        <v>,{"label":"Death Certificate","group":"","id":"n18684693_B96F_41F5_87E5_A8C82C5854F2","url":"https://open-measure.atlassian.net/wiki/spaces/DIC/pages/61964467"}</v>
      </c>
    </row>
    <row r="134" spans="1:5" ht="13.9" thickTop="1" thickBot="1" x14ac:dyDescent="0.4">
      <c r="A134" s="3" t="str">
        <f>NodesData[[#This Row],[Common Name]]</f>
        <v>Decentralized Identifier</v>
      </c>
      <c r="B134" s="3" t="str">
        <f>IF(NodesData[[#This Row],[Context Instanciation]]="","",NodesData[[#This Row],[Context Instanciation]])</f>
        <v/>
      </c>
      <c r="C134" s="22" t="str">
        <f>NodesData[[#This Row],[Node ID]]</f>
        <v>nF0624D2B_D1C4_476E_A9EA_53DD33D3EFFE</v>
      </c>
      <c r="D134" s="4"/>
      <c r="E134" s="25" t="str" cm="1">
        <f t="array" ref="E134">IF(ROW(NodesJSON[[#This Row],[label]])&gt;ROW(NodesJSON[[#Headers],[JSON]])+1,",","") &amp;"{"&amp;twoRangesToJSON(NodesJSON[[#Headers],[label]:[url]],NodesJSON[[#This Row],[label]:[url]])&amp;"}"</f>
        <v>,{"label":"Decentralized Identifier","group":"","id":"nF0624D2B_D1C4_476E_A9EA_53DD33D3EFFE","url":""}</v>
      </c>
    </row>
    <row r="135" spans="1:5" ht="13.9" thickTop="1" thickBot="1" x14ac:dyDescent="0.4">
      <c r="A135" s="3" t="str">
        <f>NodesData[[#This Row],[Common Name]]</f>
        <v>De-duplication</v>
      </c>
      <c r="B135" s="3" t="str">
        <f>IF(NodesData[[#This Row],[Context Instanciation]]="","",NodesData[[#This Row],[Context Instanciation]])</f>
        <v/>
      </c>
      <c r="C135" s="22" t="str">
        <f>NodesData[[#This Row],[Node ID]]</f>
        <v>nBFB13F76_57DB_46B7_8AE9_952A367FBA93</v>
      </c>
      <c r="D135" s="10" t="s">
        <v>736</v>
      </c>
      <c r="E135" s="25" t="str" cm="1">
        <f t="array" ref="E135">IF(ROW(NodesJSON[[#This Row],[label]])&gt;ROW(NodesJSON[[#Headers],[JSON]])+1,",","") &amp;"{"&amp;twoRangesToJSON(NodesJSON[[#Headers],[label]:[url]],NodesJSON[[#This Row],[label]:[url]])&amp;"}"</f>
        <v>,{"label":"De-duplication","group":"","id":"nBFB13F76_57DB_46B7_8AE9_952A367FBA93","url":"https://open-measure.atlassian.net/wiki/spaces/DIC/pages/1031209232"}</v>
      </c>
    </row>
    <row r="136" spans="1:5" ht="13.9" thickTop="1" thickBot="1" x14ac:dyDescent="0.4">
      <c r="A136" s="3" t="str">
        <f>NodesData[[#This Row],[Common Name]]</f>
        <v>Deprovisioning</v>
      </c>
      <c r="B136" s="3" t="str">
        <f>IF(NodesData[[#This Row],[Context Instanciation]]="","",NodesData[[#This Row],[Context Instanciation]])</f>
        <v/>
      </c>
      <c r="C136" s="22" t="str">
        <f>NodesData[[#This Row],[Node ID]]</f>
        <v>nB332A030_899A_4CDC_ABF6_7AB4C2B3D1C2</v>
      </c>
      <c r="D136" s="10" t="s">
        <v>738</v>
      </c>
      <c r="E136" s="25" t="str" cm="1">
        <f t="array" ref="E136">IF(ROW(NodesJSON[[#This Row],[label]])&gt;ROW(NodesJSON[[#Headers],[JSON]])+1,",","") &amp;"{"&amp;twoRangesToJSON(NodesJSON[[#Headers],[label]:[url]],NodesJSON[[#This Row],[label]:[url]])&amp;"}"</f>
        <v>,{"label":"Deprovisioning","group":"","id":"nB332A030_899A_4CDC_ABF6_7AB4C2B3D1C2","url":"https://open-measure.atlassian.net/wiki/spaces/DIC/pages/206766092"}</v>
      </c>
    </row>
    <row r="137" spans="1:5" ht="13.9" thickTop="1" thickBot="1" x14ac:dyDescent="0.4">
      <c r="A137" s="3" t="str">
        <f>NodesData[[#This Row],[Common Name]]</f>
        <v>DID</v>
      </c>
      <c r="B137" s="3" t="str">
        <f>IF(NodesData[[#This Row],[Context Instanciation]]="","",NodesData[[#This Row],[Context Instanciation]])</f>
        <v/>
      </c>
      <c r="C137" s="22" t="str">
        <f>NodesData[[#This Row],[Node ID]]</f>
        <v>n40BF751E_86C5_46B2_8F12_8406249504A5</v>
      </c>
      <c r="D137" s="10" t="s">
        <v>740</v>
      </c>
      <c r="E137" s="25" t="str" cm="1">
        <f t="array" ref="E137">IF(ROW(NodesJSON[[#This Row],[label]])&gt;ROW(NodesJSON[[#Headers],[JSON]])+1,",","") &amp;"{"&amp;twoRangesToJSON(NodesJSON[[#Headers],[label]:[url]],NodesJSON[[#This Row],[label]:[url]])&amp;"}"</f>
        <v>,{"label":"DID","group":"","id":"n40BF751E_86C5_46B2_8F12_8406249504A5","url":"https://open-measure.atlassian.net/wiki/spaces/DIC/pages/62455952"}</v>
      </c>
    </row>
    <row r="138" spans="1:5" ht="13.9" thickTop="1" thickBot="1" x14ac:dyDescent="0.4">
      <c r="A138" s="3" t="str">
        <f>NodesData[[#This Row],[Common Name]]</f>
        <v>Digital Continuity</v>
      </c>
      <c r="B138" s="3" t="str">
        <f>IF(NodesData[[#This Row],[Context Instanciation]]="","",NodesData[[#This Row],[Context Instanciation]])</f>
        <v/>
      </c>
      <c r="C138" s="22" t="str">
        <f>NodesData[[#This Row],[Node ID]]</f>
        <v>n9E54AC40_1534_4653_A579_A86A08A8489A</v>
      </c>
      <c r="D138" s="10" t="s">
        <v>742</v>
      </c>
      <c r="E138" s="25" t="str" cm="1">
        <f t="array" ref="E138">IF(ROW(NodesJSON[[#This Row],[label]])&gt;ROW(NodesJSON[[#Headers],[JSON]])+1,",","") &amp;"{"&amp;twoRangesToJSON(NodesJSON[[#Headers],[label]:[url]],NodesJSON[[#This Row],[label]:[url]])&amp;"}"</f>
        <v>,{"label":"Digital Continuity","group":"","id":"n9E54AC40_1534_4653_A579_A86A08A8489A","url":"https://open-measure.atlassian.net/wiki/spaces/DIC/pages/76021801"}</v>
      </c>
    </row>
    <row r="139" spans="1:5" ht="13.9" thickTop="1" thickBot="1" x14ac:dyDescent="0.4">
      <c r="A139" s="3" t="str">
        <f>NodesData[[#This Row],[Common Name]]</f>
        <v>Digital Identification System</v>
      </c>
      <c r="B139" s="3" t="str">
        <f>IF(NodesData[[#This Row],[Context Instanciation]]="","",NodesData[[#This Row],[Context Instanciation]])</f>
        <v/>
      </c>
      <c r="C139" s="22" t="str">
        <f>NodesData[[#This Row],[Node ID]]</f>
        <v>n0FBA5367_FBC8_4C86_A3A0_47FFA8B35813</v>
      </c>
      <c r="D139" s="10" t="s">
        <v>744</v>
      </c>
      <c r="E139" s="25" t="str" cm="1">
        <f t="array" ref="E139">IF(ROW(NodesJSON[[#This Row],[label]])&gt;ROW(NodesJSON[[#Headers],[JSON]])+1,",","") &amp;"{"&amp;twoRangesToJSON(NodesJSON[[#Headers],[label]:[url]],NodesJSON[[#This Row],[label]:[url]])&amp;"}"</f>
        <v>,{"label":"Digital Identification System","group":"","id":"n0FBA5367_FBC8_4C86_A3A0_47FFA8B35813","url":"https://open-measure.atlassian.net/wiki/spaces/DIC/pages/1121878049"}</v>
      </c>
    </row>
    <row r="140" spans="1:5" ht="13.9" thickTop="1" thickBot="1" x14ac:dyDescent="0.4">
      <c r="A140" s="3" t="str">
        <f>NodesData[[#This Row],[Common Name]]</f>
        <v>Digital Identity</v>
      </c>
      <c r="B140" s="3" t="str">
        <f>IF(NodesData[[#This Row],[Context Instanciation]]="","",NodesData[[#This Row],[Context Instanciation]])</f>
        <v/>
      </c>
      <c r="C140" s="22" t="str">
        <f>NodesData[[#This Row],[Node ID]]</f>
        <v>n2D85F484_089E_4E23_B816_91EC7B0A8538</v>
      </c>
      <c r="D140" s="10" t="s">
        <v>752</v>
      </c>
      <c r="E140" s="25" t="str" cm="1">
        <f t="array" ref="E140">IF(ROW(NodesJSON[[#This Row],[label]])&gt;ROW(NodesJSON[[#Headers],[JSON]])+1,",","") &amp;"{"&amp;twoRangesToJSON(NodesJSON[[#Headers],[label]:[url]],NodesJSON[[#This Row],[label]:[url]])&amp;"}"</f>
        <v>,{"label":"Digital Identity","group":"","id":"n2D85F484_089E_4E23_B816_91EC7B0A8538","url":"https://open-measure.atlassian.net/wiki/spaces/DIC/pages/1122566173"}</v>
      </c>
    </row>
    <row r="141" spans="1:5" ht="13.9" thickTop="1" thickBot="1" x14ac:dyDescent="0.4">
      <c r="A141" s="3" t="str">
        <f>NodesData[[#This Row],[Common Name]]</f>
        <v>Digital Identity Authenticity</v>
      </c>
      <c r="B141" s="3" t="str">
        <f>IF(NodesData[[#This Row],[Context Instanciation]]="","",NodesData[[#This Row],[Context Instanciation]])</f>
        <v/>
      </c>
      <c r="C141" s="22" t="str">
        <f>NodesData[[#This Row],[Node ID]]</f>
        <v>n0EA691C3_41F3_4D4D_9025_8F36DE6AEDC2</v>
      </c>
      <c r="D141" s="10" t="s">
        <v>746</v>
      </c>
      <c r="E141" s="25" t="str" cm="1">
        <f t="array" ref="E141">IF(ROW(NodesJSON[[#This Row],[label]])&gt;ROW(NodesJSON[[#Headers],[JSON]])+1,",","") &amp;"{"&amp;twoRangesToJSON(NodesJSON[[#Headers],[label]:[url]],NodesJSON[[#This Row],[label]:[url]])&amp;"}"</f>
        <v>,{"label":"Digital Identity Authenticity","group":"","id":"n0EA691C3_41F3_4D4D_9025_8F36DE6AEDC2","url":"https://open-measure.atlassian.net/wiki/spaces/DIC/pages/1122566465"}</v>
      </c>
    </row>
    <row r="142" spans="1:5" ht="13.9" thickTop="1" thickBot="1" x14ac:dyDescent="0.4">
      <c r="A142" s="3" t="str">
        <f>NodesData[[#This Row],[Common Name]]</f>
        <v>Digital Triangulation</v>
      </c>
      <c r="B142" s="3" t="str">
        <f>IF(NodesData[[#This Row],[Context Instanciation]]="","",NodesData[[#This Row],[Context Instanciation]])</f>
        <v/>
      </c>
      <c r="C142" s="22" t="str">
        <f>NodesData[[#This Row],[Node ID]]</f>
        <v>nE39BABFB_8F63_4F42_89E2_F06B01A51C5F</v>
      </c>
      <c r="D142" s="10" t="s">
        <v>748</v>
      </c>
      <c r="E142" s="25" t="str" cm="1">
        <f t="array" ref="E142">IF(ROW(NodesJSON[[#This Row],[label]])&gt;ROW(NodesJSON[[#Headers],[JSON]])+1,",","") &amp;"{"&amp;twoRangesToJSON(NodesJSON[[#Headers],[label]:[url]],NodesJSON[[#This Row],[label]:[url]])&amp;"}"</f>
        <v>,{"label":"Digital Triangulation","group":"","id":"nE39BABFB_8F63_4F42_89E2_F06B01A51C5F","url":"https://open-measure.atlassian.net/wiki/spaces/DIC/pages/1121910973"}</v>
      </c>
    </row>
    <row r="143" spans="1:5" ht="13.9" thickTop="1" thickBot="1" x14ac:dyDescent="0.4">
      <c r="A143" s="3" t="str">
        <f>NodesData[[#This Row],[Common Name]]</f>
        <v>Discretionary Access Control</v>
      </c>
      <c r="B143" s="3" t="str">
        <f>IF(NodesData[[#This Row],[Context Instanciation]]="","",NodesData[[#This Row],[Context Instanciation]])</f>
        <v/>
      </c>
      <c r="C143" s="22" t="str">
        <f>NodesData[[#This Row],[Node ID]]</f>
        <v>n561A2BF6_5A06_42D6_B158_5683F90E84BE</v>
      </c>
      <c r="D143" s="10" t="s">
        <v>750</v>
      </c>
      <c r="E143" s="25" t="str" cm="1">
        <f t="array" ref="E143">IF(ROW(NodesJSON[[#This Row],[label]])&gt;ROW(NodesJSON[[#Headers],[JSON]])+1,",","") &amp;"{"&amp;twoRangesToJSON(NodesJSON[[#Headers],[label]:[url]],NodesJSON[[#This Row],[label]:[url]])&amp;"}"</f>
        <v>,{"label":"Discretionary Access Control","group":"","id":"n561A2BF6_5A06_42D6_B158_5683F90E84BE","url":"https://open-measure.atlassian.net/wiki/spaces/DIC/pages/1122631800"}</v>
      </c>
    </row>
    <row r="144" spans="1:5" ht="13.9" thickTop="1" thickBot="1" x14ac:dyDescent="0.4">
      <c r="A144" s="3" t="str">
        <f>NodesData[[#This Row],[Common Name]]</f>
        <v>Distributed Identity</v>
      </c>
      <c r="B144" s="3" t="str">
        <f>IF(NodesData[[#This Row],[Context Instanciation]]="","",NodesData[[#This Row],[Context Instanciation]])</f>
        <v/>
      </c>
      <c r="C144" s="22" t="str">
        <f>NodesData[[#This Row],[Node ID]]</f>
        <v>nFE60A787_3D7D_423A_ACA8_7A815881DE4A</v>
      </c>
      <c r="D144" s="10" t="s">
        <v>754</v>
      </c>
      <c r="E144" s="25" t="str" cm="1">
        <f t="array" ref="E144">IF(ROW(NodesJSON[[#This Row],[label]])&gt;ROW(NodesJSON[[#Headers],[JSON]])+1,",","") &amp;"{"&amp;twoRangesToJSON(NodesJSON[[#Headers],[label]:[url]],NodesJSON[[#This Row],[label]:[url]])&amp;"}"</f>
        <v>,{"label":"Distributed Identity","group":"","id":"nFE60A787_3D7D_423A_ACA8_7A815881DE4A","url":"https://open-measure.atlassian.net/wiki/spaces/DIC/pages/123830932"}</v>
      </c>
    </row>
    <row r="145" spans="1:5" ht="13.9" thickTop="1" thickBot="1" x14ac:dyDescent="0.4">
      <c r="A145" s="3" t="str">
        <f>NodesData[[#This Row],[Common Name]]</f>
        <v>Distributed Ledger Technology</v>
      </c>
      <c r="B145" s="3" t="str">
        <f>IF(NodesData[[#This Row],[Context Instanciation]]="","",NodesData[[#This Row],[Context Instanciation]])</f>
        <v/>
      </c>
      <c r="C145" s="22" t="str">
        <f>NodesData[[#This Row],[Node ID]]</f>
        <v>nF24089B1_8B95_4756_903D_A8DFDC0769E3</v>
      </c>
      <c r="D145" s="10" t="s">
        <v>756</v>
      </c>
      <c r="E145" s="25" t="str" cm="1">
        <f t="array" ref="E145">IF(ROW(NodesJSON[[#This Row],[label]])&gt;ROW(NodesJSON[[#Headers],[JSON]])+1,",","") &amp;"{"&amp;twoRangesToJSON(NodesJSON[[#Headers],[label]:[url]],NodesJSON[[#This Row],[label]:[url]])&amp;"}"</f>
        <v>,{"label":"Distributed Ledger Technology","group":"","id":"nF24089B1_8B95_4756_903D_A8DFDC0769E3","url":"https://open-measure.atlassian.net/wiki/spaces/DIC/pages/75956266"}</v>
      </c>
    </row>
    <row r="146" spans="1:5" ht="13.9" thickTop="1" thickBot="1" x14ac:dyDescent="0.4">
      <c r="A146" s="3" t="str">
        <f>NodesData[[#This Row],[Common Name]]</f>
        <v>Dual Authorization</v>
      </c>
      <c r="B146" s="3" t="str">
        <f>IF(NodesData[[#This Row],[Context Instanciation]]="","",NodesData[[#This Row],[Context Instanciation]])</f>
        <v/>
      </c>
      <c r="C146" s="22" t="str">
        <f>NodesData[[#This Row],[Node ID]]</f>
        <v>n178DB8CF_C79B_49A8_900D_2EB5BD057DC7</v>
      </c>
      <c r="D146" s="10" t="s">
        <v>758</v>
      </c>
      <c r="E146" s="25" t="str" cm="1">
        <f t="array" ref="E146">IF(ROW(NodesJSON[[#This Row],[label]])&gt;ROW(NodesJSON[[#Headers],[JSON]])+1,",","") &amp;"{"&amp;twoRangesToJSON(NodesJSON[[#Headers],[label]:[url]],NodesJSON[[#This Row],[label]:[url]])&amp;"}"</f>
        <v>,{"label":"Dual Authorization","group":"","id":"n178DB8CF_C79B_49A8_900D_2EB5BD057DC7","url":"https://open-measure.atlassian.net/wiki/spaces/DIC/pages/1104904275"}</v>
      </c>
    </row>
    <row r="147" spans="1:5" ht="13.9" thickTop="1" thickBot="1" x14ac:dyDescent="0.4">
      <c r="A147" s="3" t="str">
        <f>NodesData[[#This Row],[Common Name]]</f>
        <v>ECS</v>
      </c>
      <c r="B147" s="3" t="str">
        <f>IF(NodesData[[#This Row],[Context Instanciation]]="","",NodesData[[#This Row],[Context Instanciation]])</f>
        <v/>
      </c>
      <c r="C147" s="22" t="str">
        <f>NodesData[[#This Row],[Node ID]]</f>
        <v>n746496EE_FC8C_4C19_AF3E_D8D3140567A6</v>
      </c>
      <c r="D147" s="10" t="s">
        <v>760</v>
      </c>
      <c r="E147" s="25" t="str" cm="1">
        <f t="array" ref="E147">IF(ROW(NodesJSON[[#This Row],[label]])&gt;ROW(NodesJSON[[#Headers],[JSON]])+1,",","") &amp;"{"&amp;twoRangesToJSON(NodesJSON[[#Headers],[label]:[url]],NodesJSON[[#This Row],[label]:[url]])&amp;"}"</f>
        <v>,{"label":"ECS","group":"","id":"n746496EE_FC8C_4C19_AF3E_D8D3140567A6","url":"https://open-measure.atlassian.net/wiki/spaces/DIC/pages/446824885"}</v>
      </c>
    </row>
    <row r="148" spans="1:5" ht="13.9" thickTop="1" thickBot="1" x14ac:dyDescent="0.4">
      <c r="A148" s="3" t="str">
        <f>NodesData[[#This Row],[Common Name]]</f>
        <v>e-Identity</v>
      </c>
      <c r="B148" s="3" t="str">
        <f>IF(NodesData[[#This Row],[Context Instanciation]]="","",NodesData[[#This Row],[Context Instanciation]])</f>
        <v/>
      </c>
      <c r="C148" s="22" t="str">
        <f>NodesData[[#This Row],[Node ID]]</f>
        <v>n29F8F3C1_3B5C_404B_985E_677B3F2469CE</v>
      </c>
      <c r="D148" s="10" t="s">
        <v>762</v>
      </c>
      <c r="E148" s="25" t="str" cm="1">
        <f t="array" ref="E148">IF(ROW(NodesJSON[[#This Row],[label]])&gt;ROW(NodesJSON[[#Headers],[JSON]])+1,",","") &amp;"{"&amp;twoRangesToJSON(NodesJSON[[#Headers],[label]:[url]],NodesJSON[[#This Row],[label]:[url]])&amp;"}"</f>
        <v>,{"label":"e-Identity","group":"","id":"n29F8F3C1_3B5C_404B_985E_677B3F2469CE","url":"https://open-measure.atlassian.net/wiki/spaces/DIC/pages/461275380"}</v>
      </c>
    </row>
    <row r="149" spans="1:5" ht="13.9" thickTop="1" thickBot="1" x14ac:dyDescent="0.4">
      <c r="A149" s="3" t="str">
        <f>NodesData[[#This Row],[Common Name]]</f>
        <v>EIdM</v>
      </c>
      <c r="B149" s="3" t="str">
        <f>IF(NodesData[[#This Row],[Context Instanciation]]="","",NodesData[[#This Row],[Context Instanciation]])</f>
        <v/>
      </c>
      <c r="C149" s="22" t="str">
        <f>NodesData[[#This Row],[Node ID]]</f>
        <v>n6DA75F23_C59A_4F3D_8369_62DF2833985B</v>
      </c>
      <c r="D149" s="10" t="s">
        <v>764</v>
      </c>
      <c r="E149" s="25" t="str" cm="1">
        <f t="array" ref="E149">IF(ROW(NodesJSON[[#This Row],[label]])&gt;ROW(NodesJSON[[#Headers],[JSON]])+1,",","") &amp;"{"&amp;twoRangesToJSON(NodesJSON[[#Headers],[label]:[url]],NodesJSON[[#This Row],[label]:[url]])&amp;"}"</f>
        <v>,{"label":"EIdM","group":"","id":"n6DA75F23_C59A_4F3D_8369_62DF2833985B","url":"https://open-measure.atlassian.net/wiki/spaces/DIC/pages/82870848"}</v>
      </c>
    </row>
    <row r="150" spans="1:5" ht="13.9" thickTop="1" thickBot="1" x14ac:dyDescent="0.4">
      <c r="A150" s="3" t="str">
        <f>NodesData[[#This Row],[Common Name]]</f>
        <v>Email OTP</v>
      </c>
      <c r="B150" s="3" t="str">
        <f>IF(NodesData[[#This Row],[Context Instanciation]]="","",NodesData[[#This Row],[Context Instanciation]])</f>
        <v/>
      </c>
      <c r="C150" s="22" t="str">
        <f>NodesData[[#This Row],[Node ID]]</f>
        <v>n2EA08174_481E_44C6_A012_159A6C58ECD7</v>
      </c>
      <c r="D150" s="10" t="s">
        <v>766</v>
      </c>
      <c r="E150" s="25" t="str" cm="1">
        <f t="array" ref="E150">IF(ROW(NodesJSON[[#This Row],[label]])&gt;ROW(NodesJSON[[#Headers],[JSON]])+1,",","") &amp;"{"&amp;twoRangesToJSON(NodesJSON[[#Headers],[label]:[url]],NodesJSON[[#This Row],[label]:[url]])&amp;"}"</f>
        <v>,{"label":"Email OTP","group":"","id":"n2EA08174_481E_44C6_A012_159A6C58ECD7","url":"https://open-measure.atlassian.net/wiki/spaces/DIC/pages/1121878505"}</v>
      </c>
    </row>
    <row r="151" spans="1:5" ht="13.9" thickTop="1" thickBot="1" x14ac:dyDescent="0.4">
      <c r="A151" s="3" t="str">
        <f>NodesData[[#This Row],[Common Name]]</f>
        <v>Employee</v>
      </c>
      <c r="B151" s="3" t="str">
        <f>IF(NodesData[[#This Row],[Context Instanciation]]="","",NodesData[[#This Row],[Context Instanciation]])</f>
        <v/>
      </c>
      <c r="C151" s="22" t="str">
        <f>NodesData[[#This Row],[Node ID]]</f>
        <v>n422D81D3_0EAB_4F1E_9F34_BA01B0B35CC0</v>
      </c>
      <c r="D151" s="10" t="s">
        <v>728</v>
      </c>
      <c r="E151" s="25" t="str" cm="1">
        <f t="array" ref="E151">IF(ROW(NodesJSON[[#This Row],[label]])&gt;ROW(NodesJSON[[#Headers],[JSON]])+1,",","") &amp;"{"&amp;twoRangesToJSON(NodesJSON[[#Headers],[label]:[url]],NodesJSON[[#This Row],[label]:[url]])&amp;"}"</f>
        <v>,{"label":"Employee","group":"","id":"n422D81D3_0EAB_4F1E_9F34_BA01B0B35CC0","url":"https://open-measure.atlassian.net/wiki/spaces/DIC/pages/806584322"}</v>
      </c>
    </row>
    <row r="152" spans="1:5" ht="13.9" thickTop="1" thickBot="1" x14ac:dyDescent="0.4">
      <c r="A152" s="3" t="str">
        <f>NodesData[[#This Row],[Common Name]]</f>
        <v>Enterprise Cloud Subscriber</v>
      </c>
      <c r="B152" s="3" t="str">
        <f>IF(NodesData[[#This Row],[Context Instanciation]]="","",NodesData[[#This Row],[Context Instanciation]])</f>
        <v/>
      </c>
      <c r="C152" s="22" t="str">
        <f>NodesData[[#This Row],[Node ID]]</f>
        <v>nDC7DA1B5_7FB1_493B_B76C_2A89395AAC8B</v>
      </c>
      <c r="D152" s="10" t="s">
        <v>767</v>
      </c>
      <c r="E152" s="25" t="str" cm="1">
        <f t="array" ref="E152">IF(ROW(NodesJSON[[#This Row],[label]])&gt;ROW(NodesJSON[[#Headers],[JSON]])+1,",","") &amp;"{"&amp;twoRangesToJSON(NodesJSON[[#Headers],[label]:[url]],NodesJSON[[#This Row],[label]:[url]])&amp;"}"</f>
        <v>,{"label":"Enterprise Cloud Subscriber","group":"","id":"nDC7DA1B5_7FB1_493B_B76C_2A89395AAC8B","url":"https://open-measure.atlassian.net/wiki/spaces/DIC/pages/1267433567/Fake+Digital+Identity"}</v>
      </c>
    </row>
    <row r="153" spans="1:5" ht="13.9" thickTop="1" thickBot="1" x14ac:dyDescent="0.4">
      <c r="A153" s="3" t="str">
        <f>NodesData[[#This Row],[Common Name]]</f>
        <v>Enterprise Identity Management</v>
      </c>
      <c r="B153" s="3" t="str">
        <f>IF(NodesData[[#This Row],[Context Instanciation]]="","",NodesData[[#This Row],[Context Instanciation]])</f>
        <v/>
      </c>
      <c r="C153" s="22" t="str">
        <f>NodesData[[#This Row],[Node ID]]</f>
        <v>nB5BB1D89_74C2_455D_B36D_E690E04C732E</v>
      </c>
      <c r="D153" s="10" t="s">
        <v>768</v>
      </c>
      <c r="E153" s="25" t="str" cm="1">
        <f t="array" ref="E153">IF(ROW(NodesJSON[[#This Row],[label]])&gt;ROW(NodesJSON[[#Headers],[JSON]])+1,",","") &amp;"{"&amp;twoRangesToJSON(NodesJSON[[#Headers],[label]:[url]],NodesJSON[[#This Row],[label]:[url]])&amp;"}"</f>
        <v>,{"label":"Enterprise Identity Management","group":"","id":"nB5BB1D89_74C2_455D_B36D_E690E04C732E","url":"https://open-measure.atlassian.net/wiki/spaces/DIC/pages/1290141697/FAPI"}</v>
      </c>
    </row>
    <row r="154" spans="1:5" ht="13.9" thickTop="1" thickBot="1" x14ac:dyDescent="0.4">
      <c r="A154" s="3" t="str">
        <f>NodesData[[#This Row],[Common Name]]</f>
        <v>Enterprise Single Sign-On</v>
      </c>
      <c r="B154" s="3" t="str">
        <f>IF(NodesData[[#This Row],[Context Instanciation]]="","",NodesData[[#This Row],[Context Instanciation]])</f>
        <v/>
      </c>
      <c r="C154" s="22" t="str">
        <f>NodesData[[#This Row],[Node ID]]</f>
        <v>n4F60AFDF_063A_4037_B18B_E4FDC3B1F048</v>
      </c>
      <c r="D154" s="10" t="s">
        <v>770</v>
      </c>
      <c r="E154" s="25" t="str" cm="1">
        <f t="array" ref="E154">IF(ROW(NodesJSON[[#This Row],[label]])&gt;ROW(NodesJSON[[#Headers],[JSON]])+1,",","") &amp;"{"&amp;twoRangesToJSON(NodesJSON[[#Headers],[label]:[url]],NodesJSON[[#This Row],[label]:[url]])&amp;"}"</f>
        <v>,{"label":"Enterprise Single Sign-On","group":"","id":"n4F60AFDF_063A_4037_B18B_E4FDC3B1F048","url":"https://open-measure.atlassian.net/wiki/spaces/DIC/pages/331579598"}</v>
      </c>
    </row>
    <row r="155" spans="1:5" ht="13.9" thickTop="1" thickBot="1" x14ac:dyDescent="0.4">
      <c r="A155" s="3" t="str">
        <f>NodesData[[#This Row],[Common Name]]</f>
        <v>Entitlement</v>
      </c>
      <c r="B155" s="3" t="str">
        <f>IF(NodesData[[#This Row],[Context Instanciation]]="","",NodesData[[#This Row],[Context Instanciation]])</f>
        <v/>
      </c>
      <c r="C155" s="22" t="str">
        <f>NodesData[[#This Row],[Node ID]]</f>
        <v>n6B1C5DA7_6A6A_4239_8359_406101FDA296</v>
      </c>
      <c r="D155" s="10" t="s">
        <v>772</v>
      </c>
      <c r="E155" s="25" t="str" cm="1">
        <f t="array" ref="E155">IF(ROW(NodesJSON[[#This Row],[label]])&gt;ROW(NodesJSON[[#Headers],[JSON]])+1,",","") &amp;"{"&amp;twoRangesToJSON(NodesJSON[[#Headers],[label]:[url]],NodesJSON[[#This Row],[label]:[url]])&amp;"}"</f>
        <v>,{"label":"Entitlement","group":"","id":"n6B1C5DA7_6A6A_4239_8359_406101FDA296","url":"https://open-measure.atlassian.net/wiki/spaces/DIC/pages/1152483703"}</v>
      </c>
    </row>
    <row r="156" spans="1:5" ht="13.9" thickTop="1" thickBot="1" x14ac:dyDescent="0.4">
      <c r="A156" s="3" t="str">
        <f>NodesData[[#This Row],[Common Name]]</f>
        <v>Entitlement Management</v>
      </c>
      <c r="B156" s="3" t="str">
        <f>IF(NodesData[[#This Row],[Context Instanciation]]="","",NodesData[[#This Row],[Context Instanciation]])</f>
        <v/>
      </c>
      <c r="C156" s="22" t="str">
        <f>NodesData[[#This Row],[Node ID]]</f>
        <v>n8CCC3658_FD2A_4108_B8F8_F090D2FDA25F</v>
      </c>
      <c r="D156" s="10" t="s">
        <v>774</v>
      </c>
      <c r="E156" s="25" t="str" cm="1">
        <f t="array" ref="E156">IF(ROW(NodesJSON[[#This Row],[label]])&gt;ROW(NodesJSON[[#Headers],[JSON]])+1,",","") &amp;"{"&amp;twoRangesToJSON(NodesJSON[[#Headers],[label]:[url]],NodesJSON[[#This Row],[label]:[url]])&amp;"}"</f>
        <v>,{"label":"Entitlement Management","group":"","id":"n8CCC3658_FD2A_4108_B8F8_F090D2FDA25F","url":"https://open-measure.atlassian.net/wiki/spaces/DIC/pages/75890786"}</v>
      </c>
    </row>
    <row r="157" spans="1:5" ht="13.9" thickTop="1" thickBot="1" x14ac:dyDescent="0.4">
      <c r="A157" s="3" t="str">
        <f>NodesData[[#This Row],[Common Name]]</f>
        <v>Entitlement Management Process</v>
      </c>
      <c r="B157" s="3" t="str">
        <f>IF(NodesData[[#This Row],[Context Instanciation]]="","",NodesData[[#This Row],[Context Instanciation]])</f>
        <v/>
      </c>
      <c r="C157" s="22" t="str">
        <f>NodesData[[#This Row],[Node ID]]</f>
        <v>n6F5621C1_CD35_410A_A944_409F79163AD4</v>
      </c>
      <c r="D157" s="10" t="s">
        <v>776</v>
      </c>
      <c r="E157" s="25" t="str" cm="1">
        <f t="array" ref="E157">IF(ROW(NodesJSON[[#This Row],[label]])&gt;ROW(NodesJSON[[#Headers],[JSON]])+1,",","") &amp;"{"&amp;twoRangesToJSON(NodesJSON[[#Headers],[label]:[url]],NodesJSON[[#This Row],[label]:[url]])&amp;"}"</f>
        <v>,{"label":"Entitlement Management Process","group":"","id":"n6F5621C1_CD35_410A_A944_409F79163AD4","url":"https://open-measure.atlassian.net/wiki/spaces/DIC/pages/763035693"}</v>
      </c>
    </row>
    <row r="158" spans="1:5" ht="13.9" thickTop="1" thickBot="1" x14ac:dyDescent="0.4">
      <c r="A158" s="3" t="str">
        <f>NodesData[[#This Row],[Common Name]]</f>
        <v>Entitlement Management Solution</v>
      </c>
      <c r="B158" s="3" t="str">
        <f>IF(NodesData[[#This Row],[Context Instanciation]]="","",NodesData[[#This Row],[Context Instanciation]])</f>
        <v/>
      </c>
      <c r="C158" s="22" t="str">
        <f>NodesData[[#This Row],[Node ID]]</f>
        <v>n1C189EA0_AB0A_4D8B_AC8A_A6B086B9D1C8</v>
      </c>
      <c r="D158" s="10" t="s">
        <v>778</v>
      </c>
      <c r="E158" s="25" t="str" cm="1">
        <f t="array" ref="E158">IF(ROW(NodesJSON[[#This Row],[label]])&gt;ROW(NodesJSON[[#Headers],[JSON]])+1,",","") &amp;"{"&amp;twoRangesToJSON(NodesJSON[[#Headers],[label]:[url]],NodesJSON[[#This Row],[label]:[url]])&amp;"}"</f>
        <v>,{"label":"Entitlement Management Solution","group":"","id":"n1C189EA0_AB0A_4D8B_AC8A_A6B086B9D1C8","url":"https://open-measure.atlassian.net/wiki/spaces/DIC/pages/331579618"}</v>
      </c>
    </row>
    <row r="159" spans="1:5" ht="13.9" thickTop="1" thickBot="1" x14ac:dyDescent="0.4">
      <c r="A159" s="3" t="str">
        <f>NodesData[[#This Row],[Common Name]]</f>
        <v>Entitlement-Based Access Control</v>
      </c>
      <c r="B159" s="3" t="str">
        <f>IF(NodesData[[#This Row],[Context Instanciation]]="","",NodesData[[#This Row],[Context Instanciation]])</f>
        <v/>
      </c>
      <c r="C159" s="22" t="str">
        <f>NodesData[[#This Row],[Node ID]]</f>
        <v>n9A7FB9C7_BA60_455F_AF09_E8FB3AD8331D</v>
      </c>
      <c r="D159" s="10" t="s">
        <v>779</v>
      </c>
      <c r="E159" s="25" t="str" cm="1">
        <f t="array" ref="E159">IF(ROW(NodesJSON[[#This Row],[label]])&gt;ROW(NodesJSON[[#Headers],[JSON]])+1,",","") &amp;"{"&amp;twoRangesToJSON(NodesJSON[[#Headers],[label]:[url]],NodesJSON[[#This Row],[label]:[url]])&amp;"}"</f>
        <v>,{"label":"Entitlement-Based Access Control","group":"","id":"n9A7FB9C7_BA60_455F_AF09_E8FB3AD8331D","url":"https://open-measure.atlassian.net/wiki/spaces/DIC/pages/1290207237/Financial-grade+API"}</v>
      </c>
    </row>
    <row r="160" spans="1:5" ht="13.9" thickTop="1" thickBot="1" x14ac:dyDescent="0.4">
      <c r="A160" s="3" t="str">
        <f>NodesData[[#This Row],[Common Name]]</f>
        <v>Entity</v>
      </c>
      <c r="B160" s="3" t="str">
        <f>IF(NodesData[[#This Row],[Context Instanciation]]="","",NodesData[[#This Row],[Context Instanciation]])</f>
        <v/>
      </c>
      <c r="C160" s="22" t="str">
        <f>NodesData[[#This Row],[Node ID]]</f>
        <v>nD14A84EB_07B3_4B5F_BFAB_30031258CD6F</v>
      </c>
      <c r="D160" s="4"/>
      <c r="E160" s="25" t="str" cm="1">
        <f t="array" ref="E160">IF(ROW(NodesJSON[[#This Row],[label]])&gt;ROW(NodesJSON[[#Headers],[JSON]])+1,",","") &amp;"{"&amp;twoRangesToJSON(NodesJSON[[#Headers],[label]:[url]],NodesJSON[[#This Row],[label]:[url]])&amp;"}"</f>
        <v>,{"label":"Entity","group":"","id":"nD14A84EB_07B3_4B5F_BFAB_30031258CD6F","url":""}</v>
      </c>
    </row>
    <row r="161" spans="1:5" ht="13.9" thickTop="1" thickBot="1" x14ac:dyDescent="0.4">
      <c r="A161" s="3" t="str">
        <f>NodesData[[#This Row],[Common Name]]</f>
        <v>ESSO</v>
      </c>
      <c r="B161" s="3" t="str">
        <f>IF(NodesData[[#This Row],[Context Instanciation]]="","",NodesData[[#This Row],[Context Instanciation]])</f>
        <v/>
      </c>
      <c r="C161" s="22" t="str">
        <f>NodesData[[#This Row],[Node ID]]</f>
        <v>nB81C8B35_F18D_45DB_BF0B_52A7F64CFDB9</v>
      </c>
      <c r="D161" s="10" t="s">
        <v>780</v>
      </c>
      <c r="E161" s="25" t="str" cm="1">
        <f t="array" ref="E161">IF(ROW(NodesJSON[[#This Row],[label]])&gt;ROW(NodesJSON[[#Headers],[JSON]])+1,",","") &amp;"{"&amp;twoRangesToJSON(NodesJSON[[#Headers],[label]:[url]],NodesJSON[[#This Row],[label]:[url]])&amp;"}"</f>
        <v>,{"label":"ESSO","group":"","id":"nB81C8B35_F18D_45DB_BF0B_52A7F64CFDB9","url":"https://open-measure.atlassian.net/wiki/spaces/DIC/pages/1378091043/FinTech"}</v>
      </c>
    </row>
    <row r="162" spans="1:5" ht="13.9" thickTop="1" thickBot="1" x14ac:dyDescent="0.4">
      <c r="A162" s="3" t="str">
        <f>NodesData[[#This Row],[Common Name]]</f>
        <v>Excessive Privilege Abuse</v>
      </c>
      <c r="B162" s="3" t="str">
        <f>IF(NodesData[[#This Row],[Context Instanciation]]="","",NodesData[[#This Row],[Context Instanciation]])</f>
        <v/>
      </c>
      <c r="C162" s="22" t="str">
        <f>NodesData[[#This Row],[Node ID]]</f>
        <v>n606F27DD_7057_4C49_BC05_BD18E6E8BCAE</v>
      </c>
      <c r="D162" s="10" t="s">
        <v>782</v>
      </c>
      <c r="E162" s="25" t="str" cm="1">
        <f t="array" ref="E162">IF(ROW(NodesJSON[[#This Row],[label]])&gt;ROW(NodesJSON[[#Headers],[JSON]])+1,",","") &amp;"{"&amp;twoRangesToJSON(NodesJSON[[#Headers],[label]:[url]],NodesJSON[[#This Row],[label]:[url]])&amp;"}"</f>
        <v>,{"label":"Excessive Privilege Abuse","group":"","id":"n606F27DD_7057_4C49_BC05_BD18E6E8BCAE","url":"https://open-measure.atlassian.net/wiki/spaces/DIC/pages/438698048"}</v>
      </c>
    </row>
    <row r="163" spans="1:5" ht="13.9" thickTop="1" thickBot="1" x14ac:dyDescent="0.4">
      <c r="A163" s="3" t="str">
        <f>NodesData[[#This Row],[Common Name]]</f>
        <v>Expanded Password System</v>
      </c>
      <c r="B163" s="3" t="str">
        <f>IF(NodesData[[#This Row],[Context Instanciation]]="","",NodesData[[#This Row],[Context Instanciation]])</f>
        <v/>
      </c>
      <c r="C163" s="22" t="str">
        <f>NodesData[[#This Row],[Node ID]]</f>
        <v>nF9F63BDF_0C15_417E_9C40_9CFAF09A44FE</v>
      </c>
      <c r="D163" s="10" t="s">
        <v>784</v>
      </c>
      <c r="E163" s="25" t="str" cm="1">
        <f t="array" ref="E163">IF(ROW(NodesJSON[[#This Row],[label]])&gt;ROW(NodesJSON[[#Headers],[JSON]])+1,",","") &amp;"{"&amp;twoRangesToJSON(NodesJSON[[#Headers],[label]:[url]],NodesJSON[[#This Row],[label]:[url]])&amp;"}"</f>
        <v>,{"label":"Expanded Password System","group":"","id":"nF9F63BDF_0C15_417E_9C40_9CFAF09A44FE","url":"https://open-measure.atlassian.net/wiki/spaces/DIC/pages/1223884872"}</v>
      </c>
    </row>
    <row r="164" spans="1:5" ht="13.9" thickTop="1" thickBot="1" x14ac:dyDescent="0.4">
      <c r="A164" s="3" t="str">
        <f>NodesData[[#This Row],[Common Name]]</f>
        <v>Exploited Identity</v>
      </c>
      <c r="B164" s="3" t="str">
        <f>IF(NodesData[[#This Row],[Context Instanciation]]="","",NodesData[[#This Row],[Context Instanciation]])</f>
        <v/>
      </c>
      <c r="C164" s="22" t="str">
        <f>NodesData[[#This Row],[Node ID]]</f>
        <v>n84A25376_673B_437D_A0B8_E206A3A557A1</v>
      </c>
      <c r="D164" s="10" t="s">
        <v>786</v>
      </c>
      <c r="E164" s="25" t="str" cm="1">
        <f t="array" ref="E164">IF(ROW(NodesJSON[[#This Row],[label]])&gt;ROW(NodesJSON[[#Headers],[JSON]])+1,",","") &amp;"{"&amp;twoRangesToJSON(NodesJSON[[#Headers],[label]:[url]],NodesJSON[[#This Row],[label]:[url]])&amp;"}"</f>
        <v>,{"label":"Exploited Identity","group":"","id":"n84A25376_673B_437D_A0B8_E206A3A557A1","url":"https://open-measure.atlassian.net/wiki/spaces/DIC/pages/1173585921"}</v>
      </c>
    </row>
    <row r="165" spans="1:5" ht="13.9" thickTop="1" thickBot="1" x14ac:dyDescent="0.4">
      <c r="A165" s="3" t="str">
        <f>NodesData[[#This Row],[Common Name]]</f>
        <v>Extended Enterprise</v>
      </c>
      <c r="B165" s="3" t="str">
        <f>IF(NodesData[[#This Row],[Context Instanciation]]="","",NodesData[[#This Row],[Context Instanciation]])</f>
        <v/>
      </c>
      <c r="C165" s="22" t="str">
        <f>NodesData[[#This Row],[Node ID]]</f>
        <v>n59206519_5BB4_4BDF_BF6E_C333745B95BB</v>
      </c>
      <c r="D165" s="10" t="s">
        <v>788</v>
      </c>
      <c r="E165" s="25" t="str" cm="1">
        <f t="array" ref="E165">IF(ROW(NodesJSON[[#This Row],[label]])&gt;ROW(NodesJSON[[#Headers],[JSON]])+1,",","") &amp;"{"&amp;twoRangesToJSON(NodesJSON[[#Headers],[label]:[url]],NodesJSON[[#This Row],[label]:[url]])&amp;"}"</f>
        <v>,{"label":"Extended Enterprise","group":"","id":"n59206519_5BB4_4BDF_BF6E_C333745B95BB","url":"https://open-measure.atlassian.net/wiki/spaces/DIC/pages/1226833964"}</v>
      </c>
    </row>
    <row r="166" spans="1:5" ht="13.9" thickTop="1" thickBot="1" x14ac:dyDescent="0.4">
      <c r="A166" s="3" t="str">
        <f>NodesData[[#This Row],[Common Name]]</f>
        <v>Extensible Access Control Markup Language</v>
      </c>
      <c r="B166" s="3" t="str">
        <f>IF(NodesData[[#This Row],[Context Instanciation]]="","",NodesData[[#This Row],[Context Instanciation]])</f>
        <v/>
      </c>
      <c r="C166" s="22" t="str">
        <f>NodesData[[#This Row],[Node ID]]</f>
        <v>n9D4266BF_D624_4D96_974A_C169D11071F2</v>
      </c>
      <c r="D166" s="10" t="s">
        <v>789</v>
      </c>
      <c r="E166" s="25" t="str" cm="1">
        <f t="array" ref="E166">IF(ROW(NodesJSON[[#This Row],[label]])&gt;ROW(NodesJSON[[#Headers],[JSON]])+1,",","") &amp;"{"&amp;twoRangesToJSON(NodesJSON[[#Headers],[label]:[url]],NodesJSON[[#This Row],[label]:[url]])&amp;"}"</f>
        <v>,{"label":"Extensible Access Control Markup Language","group":"","id":"n9D4266BF_D624_4D96_974A_C169D11071F2","url":"https://open-measure.atlassian.net/wiki/spaces/DIC/pages/419561522/Foundational+Identification+System"}</v>
      </c>
    </row>
    <row r="167" spans="1:5" ht="13.9" thickTop="1" thickBot="1" x14ac:dyDescent="0.4">
      <c r="A167" s="3" t="str">
        <f>NodesData[[#This Row],[Common Name]]</f>
        <v>External Threat Agent</v>
      </c>
      <c r="B167" s="3" t="str">
        <f>IF(NodesData[[#This Row],[Context Instanciation]]="","",NodesData[[#This Row],[Context Instanciation]])</f>
        <v/>
      </c>
      <c r="C167" s="22" t="str">
        <f>NodesData[[#This Row],[Node ID]]</f>
        <v>n1546AAB1_79BC_427B_AC2C_31B1E8FA4616</v>
      </c>
      <c r="D167" s="4"/>
      <c r="E167" s="25" t="str" cm="1">
        <f t="array" ref="E167">IF(ROW(NodesJSON[[#This Row],[label]])&gt;ROW(NodesJSON[[#Headers],[JSON]])+1,",","") &amp;"{"&amp;twoRangesToJSON(NodesJSON[[#Headers],[label]:[url]],NodesJSON[[#This Row],[label]:[url]])&amp;"}"</f>
        <v>,{"label":"External Threat Agent","group":"","id":"n1546AAB1_79BC_427B_AC2C_31B1E8FA4616","url":""}</v>
      </c>
    </row>
    <row r="168" spans="1:5" ht="13.9" thickTop="1" thickBot="1" x14ac:dyDescent="0.4">
      <c r="A168" s="3" t="str">
        <f>NodesData[[#This Row],[Common Name]]</f>
        <v>Facial Recognition Authentication</v>
      </c>
      <c r="B168" s="3" t="str">
        <f>IF(NodesData[[#This Row],[Context Instanciation]]="","",NodesData[[#This Row],[Context Instanciation]])</f>
        <v/>
      </c>
      <c r="C168" s="22" t="str">
        <f>NodesData[[#This Row],[Node ID]]</f>
        <v>nA4759A9D_95C0_47CA_B519_8CEF217B2F74</v>
      </c>
      <c r="D168" s="10" t="s">
        <v>791</v>
      </c>
      <c r="E168" s="25" t="str" cm="1">
        <f t="array" ref="E168">IF(ROW(NodesJSON[[#This Row],[label]])&gt;ROW(NodesJSON[[#Headers],[JSON]])+1,",","") &amp;"{"&amp;twoRangesToJSON(NodesJSON[[#Headers],[label]:[url]],NodesJSON[[#This Row],[label]:[url]])&amp;"}"</f>
        <v>,{"label":"Facial Recognition Authentication","group":"","id":"nA4759A9D_95C0_47CA_B519_8CEF217B2F74","url":"https://open-measure.atlassian.net/wiki/spaces/DIC/pages/419528747"}</v>
      </c>
    </row>
    <row r="169" spans="1:5" ht="13.9" thickTop="1" thickBot="1" x14ac:dyDescent="0.4">
      <c r="A169" s="3" t="str">
        <f>NodesData[[#This Row],[Common Name]]</f>
        <v>Fake Digital Identity</v>
      </c>
      <c r="B169" s="3" t="str">
        <f>IF(NodesData[[#This Row],[Context Instanciation]]="","",NodesData[[#This Row],[Context Instanciation]])</f>
        <v/>
      </c>
      <c r="C169" s="22" t="str">
        <f>NodesData[[#This Row],[Node ID]]</f>
        <v>n553E3D82_733E_45F2_B9EC_3768F51696D9</v>
      </c>
      <c r="D169" s="10" t="s">
        <v>793</v>
      </c>
      <c r="E169" s="25" t="str" cm="1">
        <f t="array" ref="E169">IF(ROW(NodesJSON[[#This Row],[label]])&gt;ROW(NodesJSON[[#Headers],[JSON]])+1,",","") &amp;"{"&amp;twoRangesToJSON(NodesJSON[[#Headers],[label]:[url]],NodesJSON[[#This Row],[label]:[url]])&amp;"}"</f>
        <v>,{"label":"Fake Digital Identity","group":"","id":"n553E3D82_733E_45F2_B9EC_3768F51696D9","url":"https://open-measure.atlassian.net/wiki/spaces/DIC/pages/1229619254"}</v>
      </c>
    </row>
    <row r="170" spans="1:5" ht="13.9" thickTop="1" thickBot="1" x14ac:dyDescent="0.4">
      <c r="A170" s="3" t="str">
        <f>NodesData[[#This Row],[Common Name]]</f>
        <v>FAPI</v>
      </c>
      <c r="B170" s="3" t="str">
        <f>IF(NodesData[[#This Row],[Context Instanciation]]="","",NodesData[[#This Row],[Context Instanciation]])</f>
        <v/>
      </c>
      <c r="C170" s="22" t="str">
        <f>NodesData[[#This Row],[Node ID]]</f>
        <v>nFB67A715_39E8_48D0_B1F1_AE50FDB72B9F</v>
      </c>
      <c r="D170" s="4"/>
      <c r="E170" s="25" t="str" cm="1">
        <f t="array" ref="E170">IF(ROW(NodesJSON[[#This Row],[label]])&gt;ROW(NodesJSON[[#Headers],[JSON]])+1,",","") &amp;"{"&amp;twoRangesToJSON(NodesJSON[[#Headers],[label]:[url]],NodesJSON[[#This Row],[label]:[url]])&amp;"}"</f>
        <v>,{"label":"FAPI","group":"","id":"nFB67A715_39E8_48D0_B1F1_AE50FDB72B9F","url":""}</v>
      </c>
    </row>
    <row r="171" spans="1:5" ht="13.9" thickTop="1" thickBot="1" x14ac:dyDescent="0.4">
      <c r="A171" s="3" t="str">
        <f>NodesData[[#This Row],[Common Name]]</f>
        <v>Federated Identity Management</v>
      </c>
      <c r="B171" s="3" t="str">
        <f>IF(NodesData[[#This Row],[Context Instanciation]]="","",NodesData[[#This Row],[Context Instanciation]])</f>
        <v/>
      </c>
      <c r="C171" s="22" t="str">
        <f>NodesData[[#This Row],[Node ID]]</f>
        <v>n8300F70D_DC84_420B_90D6_F00C4D874F30</v>
      </c>
      <c r="D171" s="4"/>
      <c r="E171" s="25" t="str" cm="1">
        <f t="array" ref="E171">IF(ROW(NodesJSON[[#This Row],[label]])&gt;ROW(NodesJSON[[#Headers],[JSON]])+1,",","") &amp;"{"&amp;twoRangesToJSON(NodesJSON[[#Headers],[label]:[url]],NodesJSON[[#This Row],[label]:[url]])&amp;"}"</f>
        <v>,{"label":"Federated Identity Management","group":"","id":"n8300F70D_DC84_420B_90D6_F00C4D874F30","url":""}</v>
      </c>
    </row>
    <row r="172" spans="1:5" ht="13.9" thickTop="1" thickBot="1" x14ac:dyDescent="0.4">
      <c r="A172" s="3" t="str">
        <f>NodesData[[#This Row],[Common Name]]</f>
        <v>Federated Identity Management System</v>
      </c>
      <c r="B172" s="3" t="str">
        <f>IF(NodesData[[#This Row],[Context Instanciation]]="","",NodesData[[#This Row],[Context Instanciation]])</f>
        <v/>
      </c>
      <c r="C172" s="22" t="str">
        <f>NodesData[[#This Row],[Node ID]]</f>
        <v>nB2F055B2_845D_45D7_A034_0DE4107D299F</v>
      </c>
      <c r="D172" s="4"/>
      <c r="E172" s="25" t="str" cm="1">
        <f t="array" ref="E172">IF(ROW(NodesJSON[[#This Row],[label]])&gt;ROW(NodesJSON[[#Headers],[JSON]])+1,",","") &amp;"{"&amp;twoRangesToJSON(NodesJSON[[#Headers],[label]:[url]],NodesJSON[[#This Row],[label]:[url]])&amp;"}"</f>
        <v>,{"label":"Federated Identity Management System","group":"","id":"nB2F055B2_845D_45D7_A034_0DE4107D299F","url":""}</v>
      </c>
    </row>
    <row r="173" spans="1:5" ht="13.9" thickTop="1" thickBot="1" x14ac:dyDescent="0.4">
      <c r="A173" s="3" t="str">
        <f>NodesData[[#This Row],[Common Name]]</f>
        <v>Federated SSO</v>
      </c>
      <c r="B173" s="3" t="str">
        <f>IF(NodesData[[#This Row],[Context Instanciation]]="","",NodesData[[#This Row],[Context Instanciation]])</f>
        <v/>
      </c>
      <c r="C173" s="22" t="str">
        <f>NodesData[[#This Row],[Node ID]]</f>
        <v>n74954D1A_7A80_4122_B782_01D5A8EB539E</v>
      </c>
      <c r="D173" s="10" t="s">
        <v>795</v>
      </c>
      <c r="E173" s="25" t="str" cm="1">
        <f t="array" ref="E173">IF(ROW(NodesJSON[[#This Row],[label]])&gt;ROW(NodesJSON[[#Headers],[JSON]])+1,",","") &amp;"{"&amp;twoRangesToJSON(NodesJSON[[#Headers],[label]:[url]],NodesJSON[[#This Row],[label]:[url]])&amp;"}"</f>
        <v>,{"label":"Federated SSO","group":"","id":"n74954D1A_7A80_4122_B782_01D5A8EB539E","url":"https://open-measure.atlassian.net/wiki/spaces/DIC/pages/966557699"}</v>
      </c>
    </row>
    <row r="174" spans="1:5" ht="13.9" thickTop="1" thickBot="1" x14ac:dyDescent="0.4">
      <c r="A174" s="3" t="str">
        <f>NodesData[[#This Row],[Common Name]]</f>
        <v>Federation Bridge</v>
      </c>
      <c r="B174" s="3" t="str">
        <f>IF(NodesData[[#This Row],[Context Instanciation]]="","",NodesData[[#This Row],[Context Instanciation]])</f>
        <v/>
      </c>
      <c r="C174" s="22" t="str">
        <f>NodesData[[#This Row],[Node ID]]</f>
        <v>nDD4D0EA3_423E_4998_B182_34DD6C3BE9A8</v>
      </c>
      <c r="D174" s="8"/>
      <c r="E174" s="25" t="str" cm="1">
        <f t="array" ref="E174">IF(ROW(NodesJSON[[#This Row],[label]])&gt;ROW(NodesJSON[[#Headers],[JSON]])+1,",","") &amp;"{"&amp;twoRangesToJSON(NodesJSON[[#Headers],[label]:[url]],NodesJSON[[#This Row],[label]:[url]])&amp;"}"</f>
        <v>,{"label":"Federation Bridge","group":"","id":"nDD4D0EA3_423E_4998_B182_34DD6C3BE9A8","url":""}</v>
      </c>
    </row>
    <row r="175" spans="1:5" ht="13.9" thickTop="1" thickBot="1" x14ac:dyDescent="0.4">
      <c r="A175" s="3" t="str">
        <f>NodesData[[#This Row],[Common Name]]</f>
        <v>FIM</v>
      </c>
      <c r="B175" s="3" t="str">
        <f>IF(NodesData[[#This Row],[Context Instanciation]]="","",NodesData[[#This Row],[Context Instanciation]])</f>
        <v/>
      </c>
      <c r="C175" s="22" t="str">
        <f>NodesData[[#This Row],[Node ID]]</f>
        <v>nC7FE17A9_7896_460F_B18F_651313DE938B</v>
      </c>
      <c r="D175" s="4"/>
      <c r="E175" s="25" t="str" cm="1">
        <f t="array" ref="E175">IF(ROW(NodesJSON[[#This Row],[label]])&gt;ROW(NodesJSON[[#Headers],[JSON]])+1,",","") &amp;"{"&amp;twoRangesToJSON(NodesJSON[[#Headers],[label]:[url]],NodesJSON[[#This Row],[label]:[url]])&amp;"}"</f>
        <v>,{"label":"FIM","group":"","id":"nC7FE17A9_7896_460F_B18F_651313DE938B","url":""}</v>
      </c>
    </row>
    <row r="176" spans="1:5" ht="13.9" thickTop="1" thickBot="1" x14ac:dyDescent="0.4">
      <c r="A176" s="3" t="str">
        <f>NodesData[[#This Row],[Common Name]]</f>
        <v>Financial Gain</v>
      </c>
      <c r="B176" s="3" t="str">
        <f>IF(NodesData[[#This Row],[Context Instanciation]]="","",NodesData[[#This Row],[Context Instanciation]])</f>
        <v/>
      </c>
      <c r="C176" s="22" t="str">
        <f>NodesData[[#This Row],[Node ID]]</f>
        <v>n52564682_5FAD_48CB_A320_6CFE17950D03</v>
      </c>
      <c r="D176" s="10" t="s">
        <v>797</v>
      </c>
      <c r="E176" s="25" t="str" cm="1">
        <f t="array" ref="E176">IF(ROW(NodesJSON[[#This Row],[label]])&gt;ROW(NodesJSON[[#Headers],[JSON]])+1,",","") &amp;"{"&amp;twoRangesToJSON(NodesJSON[[#Headers],[label]:[url]],NodesJSON[[#This Row],[label]:[url]])&amp;"}"</f>
        <v>,{"label":"Financial Gain","group":"","id":"n52564682_5FAD_48CB_A320_6CFE17950D03","url":"https://open-measure.atlassian.net/wiki/spaces/DIC/pages/1177846011"}</v>
      </c>
    </row>
    <row r="177" spans="1:5" ht="13.9" thickTop="1" thickBot="1" x14ac:dyDescent="0.4">
      <c r="A177" s="3" t="str">
        <f>NodesData[[#This Row],[Common Name]]</f>
        <v>Financial-grade API</v>
      </c>
      <c r="B177" s="3" t="str">
        <f>IF(NodesData[[#This Row],[Context Instanciation]]="","",NodesData[[#This Row],[Context Instanciation]])</f>
        <v/>
      </c>
      <c r="C177" s="22" t="str">
        <f>NodesData[[#This Row],[Node ID]]</f>
        <v>n7ED0A0F0_C8C5_4D50_B320_7841B6D641DC</v>
      </c>
      <c r="D177" s="10" t="s">
        <v>799</v>
      </c>
      <c r="E177" s="25" t="str" cm="1">
        <f t="array" ref="E177">IF(ROW(NodesJSON[[#This Row],[label]])&gt;ROW(NodesJSON[[#Headers],[JSON]])+1,",","") &amp;"{"&amp;twoRangesToJSON(NodesJSON[[#Headers],[label]:[url]],NodesJSON[[#This Row],[label]:[url]])&amp;"}"</f>
        <v>,{"label":"Financial-grade API","group":"","id":"n7ED0A0F0_C8C5_4D50_B320_7841B6D641DC","url":"https://open-measure.atlassian.net/wiki/spaces/DIC/pages/998047786"}</v>
      </c>
    </row>
    <row r="178" spans="1:5" ht="13.9" thickTop="1" thickBot="1" x14ac:dyDescent="0.4">
      <c r="A178" s="3" t="str">
        <f>NodesData[[#This Row],[Common Name]]</f>
        <v>Fingerprint Recognition Authentication</v>
      </c>
      <c r="B178" s="3" t="str">
        <f>IF(NodesData[[#This Row],[Context Instanciation]]="","",NodesData[[#This Row],[Context Instanciation]])</f>
        <v/>
      </c>
      <c r="C178" s="22" t="str">
        <f>NodesData[[#This Row],[Node ID]]</f>
        <v>nAACCE65E_6554_4FBD_B4D7_A3BA8E3BDB92</v>
      </c>
      <c r="D178" s="10" t="s">
        <v>801</v>
      </c>
      <c r="E178" s="25" t="str" cm="1">
        <f t="array" ref="E178">IF(ROW(NodesJSON[[#This Row],[label]])&gt;ROW(NodesJSON[[#Headers],[JSON]])+1,",","") &amp;"{"&amp;twoRangesToJSON(NodesJSON[[#Headers],[label]:[url]],NodesJSON[[#This Row],[label]:[url]])&amp;"}"</f>
        <v>,{"label":"Fingerprint Recognition Authentication","group":"","id":"nAACCE65E_6554_4FBD_B4D7_A3BA8E3BDB92","url":"https://open-measure.atlassian.net/wiki/spaces/DIC/pages/998277156"}</v>
      </c>
    </row>
    <row r="179" spans="1:5" ht="13.9" thickTop="1" thickBot="1" x14ac:dyDescent="0.4">
      <c r="A179" s="3" t="str">
        <f>NodesData[[#This Row],[Common Name]]</f>
        <v>FinTech</v>
      </c>
      <c r="B179" s="3" t="str">
        <f>IF(NodesData[[#This Row],[Context Instanciation]]="","",NodesData[[#This Row],[Context Instanciation]])</f>
        <v/>
      </c>
      <c r="C179" s="22" t="str">
        <f>NodesData[[#This Row],[Node ID]]</f>
        <v>n24C70F4C_4BF0_490D_B57B_FE1D78BCC3DF</v>
      </c>
      <c r="D179" s="10" t="s">
        <v>802</v>
      </c>
      <c r="E179" s="25" t="str" cm="1">
        <f t="array" ref="E179">IF(ROW(NodesJSON[[#This Row],[label]])&gt;ROW(NodesJSON[[#Headers],[JSON]])+1,",","") &amp;"{"&amp;twoRangesToJSON(NodesJSON[[#Headers],[label]:[url]],NodesJSON[[#This Row],[label]:[url]])&amp;"}"</f>
        <v>,{"label":"FinTech","group":"","id":"n24C70F4C_4BF0_490D_B57B_FE1D78BCC3DF","url":"https://open-measure.atlassian.net/wiki/spaces/DIC/pages/1572865/IAG"}</v>
      </c>
    </row>
    <row r="180" spans="1:5" ht="13.9" thickTop="1" thickBot="1" x14ac:dyDescent="0.4">
      <c r="A180" s="3" t="str">
        <f>NodesData[[#This Row],[Common Name]]</f>
        <v>Flexibility</v>
      </c>
      <c r="B180" s="3" t="str">
        <f>IF(NodesData[[#This Row],[Context Instanciation]]="","",NodesData[[#This Row],[Context Instanciation]])</f>
        <v/>
      </c>
      <c r="C180" s="22" t="str">
        <f>NodesData[[#This Row],[Node ID]]</f>
        <v>nC4DC482E_7938_4C4B_B8F7_24B6E883D324</v>
      </c>
      <c r="D180" s="10" t="s">
        <v>803</v>
      </c>
      <c r="E180" s="25" t="str" cm="1">
        <f t="array" ref="E180">IF(ROW(NodesJSON[[#This Row],[label]])&gt;ROW(NodesJSON[[#Headers],[JSON]])+1,",","") &amp;"{"&amp;twoRangesToJSON(NodesJSON[[#Headers],[label]:[url]],NodesJSON[[#This Row],[label]:[url]])&amp;"}"</f>
        <v>,{"label":"Flexibility","group":"","id":"nC4DC482E_7938_4C4B_B8F7_24B6E883D324","url":"https://open-measure.atlassian.net/wiki/spaces/DIC/pages/1081356/IAM"}</v>
      </c>
    </row>
    <row r="181" spans="1:5" ht="13.9" thickTop="1" thickBot="1" x14ac:dyDescent="0.4">
      <c r="A181" s="3" t="str">
        <f>NodesData[[#This Row],[Common Name]]</f>
        <v>Flow Analysis</v>
      </c>
      <c r="B181" s="3" t="str">
        <f>IF(NodesData[[#This Row],[Context Instanciation]]="","",NodesData[[#This Row],[Context Instanciation]])</f>
        <v/>
      </c>
      <c r="C181" s="22" t="str">
        <f>NodesData[[#This Row],[Node ID]]</f>
        <v>n37CDF385_8395_4EBE_AD68_6B887D23D64B</v>
      </c>
      <c r="D181" s="10" t="s">
        <v>805</v>
      </c>
      <c r="E181" s="25" t="str" cm="1">
        <f t="array" ref="E181">IF(ROW(NodesJSON[[#This Row],[label]])&gt;ROW(NodesJSON[[#Headers],[JSON]])+1,",","") &amp;"{"&amp;twoRangesToJSON(NodesJSON[[#Headers],[label]:[url]],NodesJSON[[#This Row],[label]:[url]])&amp;"}"</f>
        <v>,{"label":"Flow Analysis","group":"","id":"n37CDF385_8395_4EBE_AD68_6B887D23D64B","url":"https://open-measure.atlassian.net/wiki/spaces/DIC/pages/1037926677"}</v>
      </c>
    </row>
    <row r="182" spans="1:5" ht="13.9" thickTop="1" thickBot="1" x14ac:dyDescent="0.4">
      <c r="A182" s="3" t="str">
        <f>NodesData[[#This Row],[Common Name]]</f>
        <v>Forged Identity</v>
      </c>
      <c r="B182" s="3" t="str">
        <f>IF(NodesData[[#This Row],[Context Instanciation]]="","",NodesData[[#This Row],[Context Instanciation]])</f>
        <v/>
      </c>
      <c r="C182" s="22" t="str">
        <f>NodesData[[#This Row],[Node ID]]</f>
        <v>n958F4918_D853_4DF1_A3CD_255CE2FA5AD2</v>
      </c>
      <c r="D182" s="10" t="s">
        <v>807</v>
      </c>
      <c r="E182" s="25" t="str" cm="1">
        <f t="array" ref="E182">IF(ROW(NodesJSON[[#This Row],[label]])&gt;ROW(NodesJSON[[#Headers],[JSON]])+1,",","") &amp;"{"&amp;twoRangesToJSON(NodesJSON[[#Headers],[label]:[url]],NodesJSON[[#This Row],[label]:[url]])&amp;"}"</f>
        <v>,{"label":"Forged Identity","group":"","id":"n958F4918_D853_4DF1_A3CD_255CE2FA5AD2","url":"https://open-measure.atlassian.net/wiki/spaces/DIC/pages/82838735"}</v>
      </c>
    </row>
    <row r="183" spans="1:5" ht="13.9" thickTop="1" thickBot="1" x14ac:dyDescent="0.4">
      <c r="A183" s="3" t="str">
        <f>NodesData[[#This Row],[Common Name]]</f>
        <v>Formal Verification</v>
      </c>
      <c r="B183" s="3" t="str">
        <f>IF(NodesData[[#This Row],[Context Instanciation]]="","",NodesData[[#This Row],[Context Instanciation]])</f>
        <v/>
      </c>
      <c r="C183" s="22" t="str">
        <f>NodesData[[#This Row],[Node ID]]</f>
        <v>nFEC9BD6E_999E_4253_A00A_CDCD708BCD59</v>
      </c>
      <c r="D183" s="10" t="s">
        <v>809</v>
      </c>
      <c r="E183" s="25" t="str" cm="1">
        <f t="array" ref="E183">IF(ROW(NodesJSON[[#This Row],[label]])&gt;ROW(NodesJSON[[#Headers],[JSON]])+1,",","") &amp;"{"&amp;twoRangesToJSON(NodesJSON[[#Headers],[label]:[url]],NodesJSON[[#This Row],[label]:[url]])&amp;"}"</f>
        <v>,{"label":"Formal Verification","group":"","id":"nFEC9BD6E_999E_4253_A00A_CDCD708BCD59","url":"https://open-measure.atlassian.net/wiki/spaces/DIC/pages/234487971"}</v>
      </c>
    </row>
    <row r="184" spans="1:5" ht="13.9" thickTop="1" thickBot="1" x14ac:dyDescent="0.4">
      <c r="A184" s="3" t="str">
        <f>NodesData[[#This Row],[Common Name]]</f>
        <v>Foundational Identification System</v>
      </c>
      <c r="B184" s="3" t="str">
        <f>IF(NodesData[[#This Row],[Context Instanciation]]="","",NodesData[[#This Row],[Context Instanciation]])</f>
        <v/>
      </c>
      <c r="C184" s="22" t="str">
        <f>NodesData[[#This Row],[Node ID]]</f>
        <v>n57922764_7F8B_43B4_9441_59AC52F06D1B</v>
      </c>
      <c r="D184" s="10" t="s">
        <v>811</v>
      </c>
      <c r="E184" s="25" t="str" cm="1">
        <f t="array" ref="E184">IF(ROW(NodesJSON[[#This Row],[label]])&gt;ROW(NodesJSON[[#Headers],[JSON]])+1,",","") &amp;"{"&amp;twoRangesToJSON(NodesJSON[[#Headers],[label]:[url]],NodesJSON[[#This Row],[label]:[url]])&amp;"}"</f>
        <v>,{"label":"Foundational Identification System","group":"","id":"n57922764_7F8B_43B4_9441_59AC52F06D1B","url":"https://open-measure.atlassian.net/wiki/spaces/DIC/pages/1149468857"}</v>
      </c>
    </row>
    <row r="185" spans="1:5" ht="13.9" thickTop="1" thickBot="1" x14ac:dyDescent="0.4">
      <c r="A185" s="3" t="str">
        <f>NodesData[[#This Row],[Common Name]]</f>
        <v>Front-end Authentication</v>
      </c>
      <c r="B185" s="3" t="str">
        <f>IF(NodesData[[#This Row],[Context Instanciation]]="","",NodesData[[#This Row],[Context Instanciation]])</f>
        <v/>
      </c>
      <c r="C185" s="22" t="str">
        <f>NodesData[[#This Row],[Node ID]]</f>
        <v>nA316CFA4_7E99_428D_92EE_4261D71E8D69</v>
      </c>
      <c r="D185" s="10" t="s">
        <v>813</v>
      </c>
      <c r="E185" s="25" t="str" cm="1">
        <f t="array" ref="E185">IF(ROW(NodesJSON[[#This Row],[label]])&gt;ROW(NodesJSON[[#Headers],[JSON]])+1,",","") &amp;"{"&amp;twoRangesToJSON(NodesJSON[[#Headers],[label]:[url]],NodesJSON[[#This Row],[label]:[url]])&amp;"}"</f>
        <v>,{"label":"Front-end Authentication","group":"","id":"nA316CFA4_7E99_428D_92EE_4261D71E8D69","url":"https://open-measure.atlassian.net/wiki/spaces/DIC/pages/149356545"}</v>
      </c>
    </row>
    <row r="186" spans="1:5" ht="13.9" thickTop="1" thickBot="1" x14ac:dyDescent="0.4">
      <c r="A186" s="3" t="str">
        <f>NodesData[[#This Row],[Common Name]]</f>
        <v>Functional Identification System</v>
      </c>
      <c r="B186" s="3" t="str">
        <f>IF(NodesData[[#This Row],[Context Instanciation]]="","",NodesData[[#This Row],[Context Instanciation]])</f>
        <v/>
      </c>
      <c r="C186" s="22" t="str">
        <f>NodesData[[#This Row],[Node ID]]</f>
        <v>n38A1520C_9EE3_4410_BDCE_EF269F09EC11</v>
      </c>
      <c r="D186" s="10" t="s">
        <v>815</v>
      </c>
      <c r="E186" s="25" t="str" cm="1">
        <f t="array" ref="E186">IF(ROW(NodesJSON[[#This Row],[label]])&gt;ROW(NodesJSON[[#Headers],[JSON]])+1,",","") &amp;"{"&amp;twoRangesToJSON(NodesJSON[[#Headers],[label]:[url]],NodesJSON[[#This Row],[label]:[url]])&amp;"}"</f>
        <v>,{"label":"Functional Identification System","group":"","id":"n38A1520C_9EE3_4410_BDCE_EF269F09EC11","url":"https://open-measure.atlassian.net/wiki/spaces/DIC/pages/419659837"}</v>
      </c>
    </row>
    <row r="187" spans="1:5" ht="13.9" thickTop="1" thickBot="1" x14ac:dyDescent="0.4">
      <c r="A187" s="3" t="str">
        <f>NodesData[[#This Row],[Common Name]]</f>
        <v>Functional System</v>
      </c>
      <c r="B187" s="3" t="str">
        <f>IF(NodesData[[#This Row],[Context Instanciation]]="","",NodesData[[#This Row],[Context Instanciation]])</f>
        <v/>
      </c>
      <c r="C187" s="22" t="str">
        <f>NodesData[[#This Row],[Node ID]]</f>
        <v>n053A92F1_5083_4E3C_8C99_65FB345EE29F</v>
      </c>
      <c r="D187" s="10" t="s">
        <v>817</v>
      </c>
      <c r="E187" s="25" t="str" cm="1">
        <f t="array" ref="E187">IF(ROW(NodesJSON[[#This Row],[label]])&gt;ROW(NodesJSON[[#Headers],[JSON]])+1,",","") &amp;"{"&amp;twoRangesToJSON(NodesJSON[[#Headers],[label]:[url]],NodesJSON[[#This Row],[label]:[url]])&amp;"}"</f>
        <v>,{"label":"Functional System","group":"","id":"n053A92F1_5083_4E3C_8C99_65FB345EE29F","url":"https://open-measure.atlassian.net/wiki/spaces/DIC/pages/419758113"}</v>
      </c>
    </row>
    <row r="188" spans="1:5" ht="13.9" thickTop="1" thickBot="1" x14ac:dyDescent="0.4">
      <c r="A188" s="3" t="str">
        <f>NodesData[[#This Row],[Common Name]]</f>
        <v>Gait Recognition Authentication</v>
      </c>
      <c r="B188" s="3" t="str">
        <f>IF(NodesData[[#This Row],[Context Instanciation]]="","",NodesData[[#This Row],[Context Instanciation]])</f>
        <v/>
      </c>
      <c r="C188" s="22" t="str">
        <f>NodesData[[#This Row],[Node ID]]</f>
        <v>nF5B3A52F_6645_4E18_BE53_3CA330AAEC4A</v>
      </c>
      <c r="D188" s="10" t="s">
        <v>819</v>
      </c>
      <c r="E188" s="25" t="str" cm="1">
        <f t="array" ref="E188">IF(ROW(NodesJSON[[#This Row],[label]])&gt;ROW(NodesJSON[[#Headers],[JSON]])+1,",","") &amp;"{"&amp;twoRangesToJSON(NodesJSON[[#Headers],[label]:[url]],NodesJSON[[#This Row],[label]:[url]])&amp;"}"</f>
        <v>,{"label":"Gait Recognition Authentication","group":"","id":"nF5B3A52F_6645_4E18_BE53_3CA330AAEC4A","url":"https://open-measure.atlassian.net/wiki/spaces/DIC/pages/435322922"}</v>
      </c>
    </row>
    <row r="189" spans="1:5" ht="13.9" thickTop="1" thickBot="1" x14ac:dyDescent="0.4">
      <c r="A189" s="3" t="str">
        <f>NodesData[[#This Row],[Common Name]]</f>
        <v>Geo-localization Authentication</v>
      </c>
      <c r="B189" s="3" t="str">
        <f>IF(NodesData[[#This Row],[Context Instanciation]]="","",NodesData[[#This Row],[Context Instanciation]])</f>
        <v/>
      </c>
      <c r="C189" s="22" t="str">
        <f>NodesData[[#This Row],[Node ID]]</f>
        <v>nFA8764B3_A099_4BC5_A496_69DDA8F0CAC5</v>
      </c>
      <c r="D189" s="10" t="s">
        <v>820</v>
      </c>
      <c r="E189" s="25" t="str" cm="1">
        <f t="array" ref="E189">IF(ROW(NodesJSON[[#This Row],[label]])&gt;ROW(NodesJSON[[#Headers],[JSON]])+1,",","") &amp;"{"&amp;twoRangesToJSON(NodesJSON[[#Headers],[label]:[url]],NodesJSON[[#This Row],[label]:[url]])&amp;"}"</f>
        <v>,{"label":"Geo-localization Authentication","group":"","id":"nFA8764B3_A099_4BC5_A496_69DDA8F0CAC5","url":"https://open-measure.atlassian.net/wiki/spaces/DIC/pages/1311113273/Identifier+Registry+Model"}</v>
      </c>
    </row>
    <row r="190" spans="1:5" ht="13.9" thickTop="1" thickBot="1" x14ac:dyDescent="0.4">
      <c r="A190" s="3" t="str">
        <f>NodesData[[#This Row],[Common Name]]</f>
        <v>Graphical Password-Based Authentication</v>
      </c>
      <c r="B190" s="3" t="str">
        <f>IF(NodesData[[#This Row],[Context Instanciation]]="","",NodesData[[#This Row],[Context Instanciation]])</f>
        <v/>
      </c>
      <c r="C190" s="22" t="str">
        <f>NodesData[[#This Row],[Node ID]]</f>
        <v>nBEC4F328_7640_4005_B2B5_DE2C74B06CE0</v>
      </c>
      <c r="D190" s="10" t="s">
        <v>822</v>
      </c>
      <c r="E190" s="25" t="str" cm="1">
        <f t="array" ref="E190">IF(ROW(NodesJSON[[#This Row],[label]])&gt;ROW(NodesJSON[[#Headers],[JSON]])+1,",","") &amp;"{"&amp;twoRangesToJSON(NodesJSON[[#Headers],[label]:[url]],NodesJSON[[#This Row],[label]:[url]])&amp;"}"</f>
        <v>,{"label":"Graphical Password-Based Authentication","group":"","id":"nBEC4F328_7640_4005_B2B5_DE2C74B06CE0","url":"https://open-measure.atlassian.net/wiki/spaces/DIC/pages/67600948"}</v>
      </c>
    </row>
    <row r="191" spans="1:5" ht="13.9" thickTop="1" thickBot="1" x14ac:dyDescent="0.4">
      <c r="A191" s="3" t="str">
        <f>NodesData[[#This Row],[Common Name]]</f>
        <v>Guest Account</v>
      </c>
      <c r="B191" s="3" t="str">
        <f>IF(NodesData[[#This Row],[Context Instanciation]]="","",NodesData[[#This Row],[Context Instanciation]])</f>
        <v/>
      </c>
      <c r="C191" s="22" t="str">
        <f>NodesData[[#This Row],[Node ID]]</f>
        <v>nE943B166_DDA1_4E51_8018_B658EF2F6050</v>
      </c>
      <c r="D191" s="10" t="s">
        <v>823</v>
      </c>
      <c r="E191" s="25" t="str" cm="1">
        <f t="array" ref="E191">IF(ROW(NodesJSON[[#This Row],[label]])&gt;ROW(NodesJSON[[#Headers],[JSON]])+1,",","") &amp;"{"&amp;twoRangesToJSON(NodesJSON[[#Headers],[label]:[url]],NodesJSON[[#This Row],[label]:[url]])&amp;"}"</f>
        <v>,{"label":"Guest Account","group":"","id":"nE943B166_DDA1_4E51_8018_B658EF2F6050","url":"https://open-measure.atlassian.net/wiki/spaces/DIC/pages/1600618542/Identity+Aggregation"}</v>
      </c>
    </row>
    <row r="192" spans="1:5" ht="13.9" thickTop="1" thickBot="1" x14ac:dyDescent="0.4">
      <c r="A192" s="3" t="str">
        <f>NodesData[[#This Row],[Common Name]]</f>
        <v>Hand Gestures Recognition Authentication</v>
      </c>
      <c r="B192" s="3" t="str">
        <f>IF(NodesData[[#This Row],[Context Instanciation]]="","",NodesData[[#This Row],[Context Instanciation]])</f>
        <v/>
      </c>
      <c r="C192" s="22" t="str">
        <f>NodesData[[#This Row],[Node ID]]</f>
        <v>nE75296C8_9CA1_417E_B05B_CC1BDF26F9C3</v>
      </c>
      <c r="D192" s="10" t="s">
        <v>824</v>
      </c>
      <c r="E192" s="25" t="str" cm="1">
        <f t="array" ref="E192">IF(ROW(NodesJSON[[#This Row],[label]])&gt;ROW(NodesJSON[[#Headers],[JSON]])+1,",","") &amp;"{"&amp;twoRangesToJSON(NodesJSON[[#Headers],[label]:[url]],NodesJSON[[#This Row],[label]:[url]])&amp;"}"</f>
        <v>,{"label":"Hand Gestures Recognition Authentication","group":"","id":"nE75296C8_9CA1_417E_B05B_CC1BDF26F9C3","url":"https://open-measure.atlassian.net/wiki/spaces/DIC/pages/1458176007/Identity+and+Access+Governance"}</v>
      </c>
    </row>
    <row r="193" spans="1:5" ht="13.9" thickTop="1" thickBot="1" x14ac:dyDescent="0.4">
      <c r="A193" s="3" t="str">
        <f>NodesData[[#This Row],[Common Name]]</f>
        <v>Heartbeats Recognition Authentication</v>
      </c>
      <c r="B193" s="3" t="str">
        <f>IF(NodesData[[#This Row],[Context Instanciation]]="","",NodesData[[#This Row],[Context Instanciation]])</f>
        <v/>
      </c>
      <c r="C193" s="22" t="str">
        <f>NodesData[[#This Row],[Node ID]]</f>
        <v>n3E35442D_91A0_4B21_B0FC_31EF1D8BC55F</v>
      </c>
      <c r="D193" s="10" t="s">
        <v>825</v>
      </c>
      <c r="E193" s="25" t="str" cm="1">
        <f t="array" ref="E193">IF(ROW(NodesJSON[[#This Row],[label]])&gt;ROW(NodesJSON[[#Headers],[JSON]])+1,",","") &amp;"{"&amp;twoRangesToJSON(NodesJSON[[#Headers],[label]:[url]],NodesJSON[[#This Row],[label]:[url]])&amp;"}"</f>
        <v>,{"label":"Heartbeats Recognition Authentication","group":"","id":"n3E35442D_91A0_4B21_B0FC_31EF1D8BC55F","url":"https://open-measure.atlassian.net/wiki/spaces/DIC/pages/1409143/Identity+and+Access+Management"}</v>
      </c>
    </row>
    <row r="194" spans="1:5" ht="13.9" thickTop="1" thickBot="1" x14ac:dyDescent="0.4">
      <c r="A194" s="3" t="str">
        <f>NodesData[[#This Row],[Common Name]]</f>
        <v>High Water Mark Principle</v>
      </c>
      <c r="B194" s="3" t="str">
        <f>IF(NodesData[[#This Row],[Context Instanciation]]="","",NodesData[[#This Row],[Context Instanciation]])</f>
        <v/>
      </c>
      <c r="C194" s="22" t="str">
        <f>NodesData[[#This Row],[Node ID]]</f>
        <v>n7457AC3C_F0BA_459B_9A5D_91BA732BAF2F</v>
      </c>
      <c r="D194" s="10" t="s">
        <v>848</v>
      </c>
      <c r="E194" s="25" t="str" cm="1">
        <f t="array" ref="E194">IF(ROW(NodesJSON[[#This Row],[label]])&gt;ROW(NodesJSON[[#Headers],[JSON]])+1,",","") &amp;"{"&amp;twoRangesToJSON(NodesJSON[[#Headers],[label]:[url]],NodesJSON[[#This Row],[label]:[url]])&amp;"}"</f>
        <v>,{"label":"High Water Mark Principle","group":"","id":"n7457AC3C_F0BA_459B_9A5D_91BA732BAF2F","url":"https://open-measure.atlassian.net/wiki/spaces/DIC/pages/1152516217"}</v>
      </c>
    </row>
    <row r="195" spans="1:5" ht="13.9" thickTop="1" thickBot="1" x14ac:dyDescent="0.4">
      <c r="A195" s="3" t="str">
        <f>NodesData[[#This Row],[Common Name]]</f>
        <v>Human Error</v>
      </c>
      <c r="B195" s="3" t="str">
        <f>IF(NodesData[[#This Row],[Context Instanciation]]="","",NodesData[[#This Row],[Context Instanciation]])</f>
        <v/>
      </c>
      <c r="C195" s="22" t="str">
        <f>NodesData[[#This Row],[Node ID]]</f>
        <v>nDB531138_5CD4_4604_965F_9676F4CF6D57</v>
      </c>
      <c r="D195" s="10" t="s">
        <v>826</v>
      </c>
      <c r="E195" s="25" t="str" cm="1">
        <f t="array" ref="E195">IF(ROW(NodesJSON[[#This Row],[label]])&gt;ROW(NodesJSON[[#Headers],[JSON]])+1,",","") &amp;"{"&amp;twoRangesToJSON(NodesJSON[[#Headers],[label]:[url]],NodesJSON[[#This Row],[label]:[url]])&amp;"}"</f>
        <v>,{"label":"Human Error","group":"","id":"nDB531138_5CD4_4604_965F_9676F4CF6D57","url":"https://open-measure.atlassian.net/wiki/spaces/DIC/pages/1600749655/Identity+Assurance"}</v>
      </c>
    </row>
    <row r="196" spans="1:5" ht="13.9" thickTop="1" thickBot="1" x14ac:dyDescent="0.4">
      <c r="A196" s="3" t="str">
        <f>NodesData[[#This Row],[Common Name]]</f>
        <v>Human Reliability</v>
      </c>
      <c r="B196" s="3" t="str">
        <f>IF(NodesData[[#This Row],[Context Instanciation]]="","",NodesData[[#This Row],[Context Instanciation]])</f>
        <v/>
      </c>
      <c r="C196" s="22" t="str">
        <f>NodesData[[#This Row],[Node ID]]</f>
        <v>n2C274975_7B46_4E24_8A70_7B0858D9811F</v>
      </c>
      <c r="D196" s="10" t="s">
        <v>828</v>
      </c>
      <c r="E196" s="25" t="str" cm="1">
        <f t="array" ref="E196">IF(ROW(NodesJSON[[#This Row],[label]])&gt;ROW(NodesJSON[[#Headers],[JSON]])+1,",","") &amp;"{"&amp;twoRangesToJSON(NodesJSON[[#Headers],[label]:[url]],NodesJSON[[#This Row],[label]:[url]])&amp;"}"</f>
        <v>,{"label":"Human Reliability","group":"","id":"n2C274975_7B46_4E24_8A70_7B0858D9811F","url":"https://open-measure.atlassian.net/wiki/spaces/DIC/pages/82903275"}</v>
      </c>
    </row>
    <row r="197" spans="1:5" ht="13.9" thickTop="1" thickBot="1" x14ac:dyDescent="0.4">
      <c r="A197" s="3" t="str">
        <f>NodesData[[#This Row],[Common Name]]</f>
        <v>IAG</v>
      </c>
      <c r="B197" s="3" t="str">
        <f>IF(NodesData[[#This Row],[Context Instanciation]]="","",NodesData[[#This Row],[Context Instanciation]])</f>
        <v/>
      </c>
      <c r="C197" s="22" t="str">
        <f>NodesData[[#This Row],[Node ID]]</f>
        <v>nE137080A_673D_49B5_B79E_E40DCA00457A</v>
      </c>
      <c r="D197" s="10" t="s">
        <v>850</v>
      </c>
      <c r="E197" s="25" t="str" cm="1">
        <f t="array" ref="E197">IF(ROW(NodesJSON[[#This Row],[label]])&gt;ROW(NodesJSON[[#Headers],[JSON]])+1,",","") &amp;"{"&amp;twoRangesToJSON(NodesJSON[[#Headers],[label]:[url]],NodesJSON[[#This Row],[label]:[url]])&amp;"}"</f>
        <v>,{"label":"IAG","group":"","id":"nE137080A_673D_49B5_B79E_E40DCA00457A","url":"https://open-measure.atlassian.net/wiki/spaces/DIC/pages/236748873"}</v>
      </c>
    </row>
    <row r="198" spans="1:5" ht="13.9" thickTop="1" thickBot="1" x14ac:dyDescent="0.4">
      <c r="A198" s="3" t="str">
        <f>NodesData[[#This Row],[Common Name]]</f>
        <v>IAM ARN</v>
      </c>
      <c r="B198" s="3" t="str">
        <f>IF(NodesData[[#This Row],[Context Instanciation]]="","",NodesData[[#This Row],[Context Instanciation]])</f>
        <v/>
      </c>
      <c r="C198" s="22" t="str">
        <f>NodesData[[#This Row],[Node ID]]</f>
        <v>nD20859BA_5BFA_4068_B1B8_4E74C6744811</v>
      </c>
      <c r="D198" s="10" t="s">
        <v>829</v>
      </c>
      <c r="E198" s="25" t="str" cm="1">
        <f t="array" ref="E198">IF(ROW(NodesJSON[[#This Row],[label]])&gt;ROW(NodesJSON[[#Headers],[JSON]])+1,",","") &amp;"{"&amp;twoRangesToJSON(NodesJSON[[#Headers],[label]:[url]],NodesJSON[[#This Row],[label]:[url]])&amp;"}"</f>
        <v>,{"label":"IAM ARN","group":"","id":"nD20859BA_5BFA_4068_B1B8_4E74C6744811","url":"https://open-measure.atlassian.net/wiki/spaces/DIC/pages/123896632/Identity+Establishment"}</v>
      </c>
    </row>
    <row r="199" spans="1:5" ht="13.9" thickTop="1" thickBot="1" x14ac:dyDescent="0.4">
      <c r="A199" s="3" t="str">
        <f>NodesData[[#This Row],[Common Name]]</f>
        <v>IAM Management</v>
      </c>
      <c r="B199" s="3" t="str">
        <f>IF(NodesData[[#This Row],[Context Instanciation]]="","",NodesData[[#This Row],[Context Instanciation]])</f>
        <v/>
      </c>
      <c r="C199" s="22" t="str">
        <f>NodesData[[#This Row],[Node ID]]</f>
        <v>n4D07384C_221F_41CD_941F_F0FD865EE0EB</v>
      </c>
      <c r="D199" s="10" t="s">
        <v>830</v>
      </c>
      <c r="E199" s="25" t="str" cm="1">
        <f t="array" ref="E199">IF(ROW(NodesJSON[[#This Row],[label]])&gt;ROW(NodesJSON[[#Headers],[JSON]])+1,",","") &amp;"{"&amp;twoRangesToJSON(NodesJSON[[#Headers],[label]:[url]],NodesJSON[[#This Row],[label]:[url]])&amp;"}"</f>
        <v>,{"label":"IAM Management","group":"","id":"n4D07384C_221F_41CD_941F_F0FD865EE0EB","url":"https://open-measure.atlassian.net/wiki/spaces/DIC/pages/336035929/Identity+Federation"}</v>
      </c>
    </row>
    <row r="200" spans="1:5" ht="13.9" thickTop="1" thickBot="1" x14ac:dyDescent="0.4">
      <c r="A200" s="3" t="str">
        <f>NodesData[[#This Row],[Common Name]]</f>
        <v>IAM</v>
      </c>
      <c r="B200" s="3" t="str">
        <f>IF(NodesData[[#This Row],[Context Instanciation]]="","",NodesData[[#This Row],[Context Instanciation]])</f>
        <v/>
      </c>
      <c r="C200" s="22" t="str">
        <f>NodesData[[#This Row],[Node ID]]</f>
        <v>n9E70E20F_8AC9_4A48_83FE_BA2E942E7C88</v>
      </c>
      <c r="D200" s="10" t="s">
        <v>831</v>
      </c>
      <c r="E200" s="25" t="str" cm="1">
        <f t="array" ref="E200">IF(ROW(NodesJSON[[#This Row],[label]])&gt;ROW(NodesJSON[[#Headers],[JSON]])+1,",","") &amp;"{"&amp;twoRangesToJSON(NodesJSON[[#Headers],[label]:[url]],NodesJSON[[#This Row],[label]:[url]])&amp;"}"</f>
        <v>,{"label":"IAM","group":"","id":"n9E70E20F_8AC9_4A48_83FE_BA2E942E7C88","url":"https://open-measure.atlassian.net/wiki/spaces/DIC/pages/1323597918/Identity+Guardian"}</v>
      </c>
    </row>
    <row r="201" spans="1:5" ht="13.9" thickTop="1" thickBot="1" x14ac:dyDescent="0.4">
      <c r="A201" s="3" t="str">
        <f>NodesData[[#This Row],[Common Name]]</f>
        <v>IAP</v>
      </c>
      <c r="B201" s="3" t="str">
        <f>IF(NodesData[[#This Row],[Context Instanciation]]="","",NodesData[[#This Row],[Context Instanciation]])</f>
        <v/>
      </c>
      <c r="C201" s="22" t="str">
        <f>NodesData[[#This Row],[Node ID]]</f>
        <v>nA093745B_C215_44C5_9618_075099F0D7DA</v>
      </c>
      <c r="D201" s="10" t="s">
        <v>833</v>
      </c>
      <c r="E201" s="25" t="str" cm="1">
        <f t="array" ref="E201">IF(ROW(NodesJSON[[#This Row],[label]])&gt;ROW(NodesJSON[[#Headers],[JSON]])+1,",","") &amp;"{"&amp;twoRangesToJSON(NodesJSON[[#Headers],[label]:[url]],NodesJSON[[#This Row],[label]:[url]])&amp;"}"</f>
        <v>,{"label":"IAP","group":"","id":"nA093745B_C215_44C5_9618_075099F0D7DA","url":"https://open-measure.atlassian.net/wiki/spaces/DIC/pages/67600436"}</v>
      </c>
    </row>
    <row r="202" spans="1:5" ht="13.9" thickTop="1" thickBot="1" x14ac:dyDescent="0.4">
      <c r="A202" s="3" t="str">
        <f>NodesData[[#This Row],[Common Name]]</f>
        <v>IDaaS</v>
      </c>
      <c r="B202" s="3" t="str">
        <f>IF(NodesData[[#This Row],[Context Instanciation]]="","",NodesData[[#This Row],[Context Instanciation]])</f>
        <v/>
      </c>
      <c r="C202" s="22" t="str">
        <f>NodesData[[#This Row],[Node ID]]</f>
        <v>nDCAD400F_962A_4D5B_A523_07C3D5D11C2F</v>
      </c>
      <c r="D202" s="10" t="s">
        <v>835</v>
      </c>
      <c r="E202" s="25" t="str" cm="1">
        <f t="array" ref="E202">IF(ROW(NodesJSON[[#This Row],[label]])&gt;ROW(NodesJSON[[#Headers],[JSON]])+1,",","") &amp;"{"&amp;twoRangesToJSON(NodesJSON[[#Headers],[label]:[url]],NodesJSON[[#This Row],[label]:[url]])&amp;"}"</f>
        <v>,{"label":"IDaaS","group":"","id":"nDCAD400F_962A_4D5B_A523_07C3D5D11C2F","url":"https://open-measure.atlassian.net/wiki/spaces/DIC/pages/1122533530"}</v>
      </c>
    </row>
    <row r="203" spans="1:5" ht="13.9" thickTop="1" thickBot="1" x14ac:dyDescent="0.4">
      <c r="A203" s="3" t="str">
        <f>NodesData[[#This Row],[Common Name]]</f>
        <v>Ideal Type</v>
      </c>
      <c r="B203" s="3" t="str">
        <f>IF(NodesData[[#This Row],[Context Instanciation]]="","",NodesData[[#This Row],[Context Instanciation]])</f>
        <v/>
      </c>
      <c r="C203" s="22" t="str">
        <f>NodesData[[#This Row],[Node ID]]</f>
        <v>n36ADA97B_45B1_4B3E_9BB8_5ED9EE8FFF07</v>
      </c>
      <c r="D203" s="10" t="s">
        <v>837</v>
      </c>
      <c r="E203" s="25" t="str" cm="1">
        <f t="array" ref="E203">IF(ROW(NodesJSON[[#This Row],[label]])&gt;ROW(NodesJSON[[#Headers],[JSON]])+1,",","") &amp;"{"&amp;twoRangesToJSON(NodesJSON[[#Headers],[label]:[url]],NodesJSON[[#This Row],[label]:[url]])&amp;"}"</f>
        <v>,{"label":"Ideal Type","group":"","id":"n36ADA97B_45B1_4B3E_9BB8_5ED9EE8FFF07","url":"https://open-measure.atlassian.net/wiki/spaces/DIC/pages/1146847286"}</v>
      </c>
    </row>
    <row r="204" spans="1:5" ht="13.9" thickTop="1" thickBot="1" x14ac:dyDescent="0.4">
      <c r="A204" s="3" t="str">
        <f>NodesData[[#This Row],[Common Name]]</f>
        <v>Identification</v>
      </c>
      <c r="B204" s="3" t="str">
        <f>IF(NodesData[[#This Row],[Context Instanciation]]="","",NodesData[[#This Row],[Context Instanciation]])</f>
        <v/>
      </c>
      <c r="C204" s="22" t="str">
        <f>NodesData[[#This Row],[Node ID]]</f>
        <v>nDE675697_10CB_42A7_971F_C62CCDC742AB</v>
      </c>
      <c r="D204" s="10" t="s">
        <v>838</v>
      </c>
      <c r="E204" s="25" t="str" cm="1">
        <f t="array" ref="E204">IF(ROW(NodesJSON[[#This Row],[label]])&gt;ROW(NodesJSON[[#Headers],[JSON]])+1,",","") &amp;"{"&amp;twoRangesToJSON(NodesJSON[[#Headers],[label]:[url]],NodesJSON[[#This Row],[label]:[url]])&amp;"}"</f>
        <v>,{"label":"Identification","group":"","id":"nDE675697_10CB_42A7_971F_C62CCDC742AB","url":"https://open-measure.atlassian.net/wiki/spaces/DIC/pages/1323434004/Identity+Portability"}</v>
      </c>
    </row>
    <row r="205" spans="1:5" ht="13.9" thickTop="1" thickBot="1" x14ac:dyDescent="0.4">
      <c r="A205" s="3" t="str">
        <f>NodesData[[#This Row],[Common Name]]</f>
        <v>Identification System</v>
      </c>
      <c r="B205" s="3" t="str">
        <f>IF(NodesData[[#This Row],[Context Instanciation]]="","",NodesData[[#This Row],[Context Instanciation]])</f>
        <v/>
      </c>
      <c r="C205" s="22" t="str">
        <f>NodesData[[#This Row],[Node ID]]</f>
        <v>n07633555_1CF5_4F31_8EB2_BF5AE15BFE5B</v>
      </c>
      <c r="D205" s="10" t="s">
        <v>840</v>
      </c>
      <c r="E205" s="25" t="str" cm="1">
        <f t="array" ref="E205">IF(ROW(NodesJSON[[#This Row],[label]])&gt;ROW(NodesJSON[[#Headers],[JSON]])+1,",","") &amp;"{"&amp;twoRangesToJSON(NodesJSON[[#Headers],[label]:[url]],NodesJSON[[#This Row],[label]:[url]])&amp;"}"</f>
        <v>,{"label":"Identification System","group":"","id":"n07633555_1CF5_4F31_8EB2_BF5AE15BFE5B","url":"https://open-measure.atlassian.net/wiki/spaces/DIC/pages/858522094"}</v>
      </c>
    </row>
    <row r="206" spans="1:5" ht="13.9" thickTop="1" thickBot="1" x14ac:dyDescent="0.4">
      <c r="A206" s="3" t="str">
        <f>NodesData[[#This Row],[Common Name]]</f>
        <v>Identifier</v>
      </c>
      <c r="B206" s="3" t="str">
        <f>IF(NodesData[[#This Row],[Context Instanciation]]="","",NodesData[[#This Row],[Context Instanciation]])</f>
        <v/>
      </c>
      <c r="C206" s="22" t="str">
        <f>NodesData[[#This Row],[Node ID]]</f>
        <v>n12D825BF_1AD6_45DA_A3EE_F24F0C494771</v>
      </c>
      <c r="D206" s="10" t="s">
        <v>842</v>
      </c>
      <c r="E206" s="25" t="str" cm="1">
        <f t="array" ref="E206">IF(ROW(NodesJSON[[#This Row],[label]])&gt;ROW(NodesJSON[[#Headers],[JSON]])+1,",","") &amp;"{"&amp;twoRangesToJSON(NodesJSON[[#Headers],[label]:[url]],NodesJSON[[#This Row],[label]:[url]])&amp;"}"</f>
        <v>,{"label":"Identifier","group":"","id":"n12D825BF_1AD6_45DA_A3EE_F24F0C494771","url":"https://open-measure.atlassian.net/wiki/spaces/DIC/pages/810254353"}</v>
      </c>
    </row>
    <row r="207" spans="1:5" ht="13.9" thickTop="1" thickBot="1" x14ac:dyDescent="0.4">
      <c r="A207" s="3" t="str">
        <f>NodesData[[#This Row],[Common Name]]</f>
        <v>Identifier Registry Model</v>
      </c>
      <c r="B207" s="3" t="str">
        <f>IF(NodesData[[#This Row],[Context Instanciation]]="","",NodesData[[#This Row],[Context Instanciation]])</f>
        <v/>
      </c>
      <c r="C207" s="22" t="str">
        <f>NodesData[[#This Row],[Node ID]]</f>
        <v>n1A14A6FB_7322_4971_AD06_EE6FE1DBEF85</v>
      </c>
      <c r="D207" s="10" t="s">
        <v>844</v>
      </c>
      <c r="E207" s="25" t="str" cm="1">
        <f t="array" ref="E207">IF(ROW(NodesJSON[[#This Row],[label]])&gt;ROW(NodesJSON[[#Headers],[JSON]])+1,",","") &amp;"{"&amp;twoRangesToJSON(NodesJSON[[#Headers],[label]:[url]],NodesJSON[[#This Row],[label]:[url]])&amp;"}"</f>
        <v>,{"label":"Identifier Registry Model","group":"","id":"n1A14A6FB_7322_4971_AD06_EE6FE1DBEF85","url":"https://open-measure.atlassian.net/wiki/spaces/DIC/pages/82838020"}</v>
      </c>
    </row>
    <row r="208" spans="1:5" ht="13.9" thickTop="1" thickBot="1" x14ac:dyDescent="0.4">
      <c r="A208" s="3" t="str">
        <f>NodesData[[#This Row],[Common Name]]</f>
        <v>Identity</v>
      </c>
      <c r="B208" s="3" t="str">
        <f>IF(NodesData[[#This Row],[Context Instanciation]]="","",NodesData[[#This Row],[Context Instanciation]])</f>
        <v/>
      </c>
      <c r="C208" s="22" t="str">
        <f>NodesData[[#This Row],[Node ID]]</f>
        <v>n5D6597B4_7390_4065_87F6_BFCDCE5625EB</v>
      </c>
      <c r="D208" s="10" t="s">
        <v>846</v>
      </c>
      <c r="E208" s="25" t="str" cm="1">
        <f t="array" ref="E208">IF(ROW(NodesJSON[[#This Row],[label]])&gt;ROW(NodesJSON[[#Headers],[JSON]])+1,",","") &amp;"{"&amp;twoRangesToJSON(NodesJSON[[#Headers],[label]:[url]],NodesJSON[[#This Row],[label]:[url]])&amp;"}"</f>
        <v>,{"label":"Identity","group":"","id":"n5D6597B4_7390_4065_87F6_BFCDCE5625EB","url":"https://open-measure.atlassian.net/wiki/spaces/DIC/pages/1117913089"}</v>
      </c>
    </row>
    <row r="209" spans="1:5" ht="13.9" thickTop="1" thickBot="1" x14ac:dyDescent="0.4">
      <c r="A209" s="3" t="str">
        <f>NodesData[[#This Row],[Common Name]]</f>
        <v>Identity Aggregation</v>
      </c>
      <c r="B209" s="3" t="str">
        <f>IF(NodesData[[#This Row],[Context Instanciation]]="","",NodesData[[#This Row],[Context Instanciation]])</f>
        <v/>
      </c>
      <c r="C209" s="22" t="str">
        <f>NodesData[[#This Row],[Node ID]]</f>
        <v>n5FE194E6_55B4_4F11_8A29_041408582E45</v>
      </c>
      <c r="D209" s="10" t="s">
        <v>852</v>
      </c>
      <c r="E209" s="25" t="str" cm="1">
        <f t="array" ref="E209">IF(ROW(NodesJSON[[#This Row],[label]])&gt;ROW(NodesJSON[[#Headers],[JSON]])+1,",","") &amp;"{"&amp;twoRangesToJSON(NodesJSON[[#Headers],[label]:[url]],NodesJSON[[#This Row],[label]:[url]])&amp;"}"</f>
        <v>,{"label":"Identity Aggregation","group":"","id":"n5FE194E6_55B4_4F11_8A29_041408582E45","url":"https://open-measure.atlassian.net/wiki/spaces/DIC/pages/1147043904"}</v>
      </c>
    </row>
    <row r="210" spans="1:5" ht="13.9" thickTop="1" thickBot="1" x14ac:dyDescent="0.4">
      <c r="A210" s="3" t="str">
        <f>NodesData[[#This Row],[Common Name]]</f>
        <v>Identity and Access Governance</v>
      </c>
      <c r="B210" s="3" t="str">
        <f>IF(NodesData[[#This Row],[Context Instanciation]]="","",NodesData[[#This Row],[Context Instanciation]])</f>
        <v/>
      </c>
      <c r="C210" s="22" t="str">
        <f>NodesData[[#This Row],[Node ID]]</f>
        <v>nAC531F4A_1CDD_4F70_94C5_8473E1965EEA</v>
      </c>
      <c r="D210" s="10" t="s">
        <v>854</v>
      </c>
      <c r="E210" s="25" t="str" cm="1">
        <f t="array" ref="E210">IF(ROW(NodesJSON[[#This Row],[label]])&gt;ROW(NodesJSON[[#Headers],[JSON]])+1,",","") &amp;"{"&amp;twoRangesToJSON(NodesJSON[[#Headers],[label]:[url]],NodesJSON[[#This Row],[label]:[url]])&amp;"}"</f>
        <v>,{"label":"Identity and Access Governance","group":"","id":"nAC531F4A_1CDD_4F70_94C5_8473E1965EEA","url":"https://open-measure.atlassian.net/wiki/spaces/DIC/pages/81101362"}</v>
      </c>
    </row>
    <row r="211" spans="1:5" ht="13.9" thickTop="1" thickBot="1" x14ac:dyDescent="0.4">
      <c r="A211" s="3" t="str">
        <f>NodesData[[#This Row],[Common Name]]</f>
        <v>Identity and Access Management</v>
      </c>
      <c r="B211" s="3" t="str">
        <f>IF(NodesData[[#This Row],[Context Instanciation]]="","",NodesData[[#This Row],[Context Instanciation]])</f>
        <v/>
      </c>
      <c r="C211" s="22" t="str">
        <f>NodesData[[#This Row],[Node ID]]</f>
        <v>n95B65CD1_4E0F_4180_9C1E_3B497411E687</v>
      </c>
      <c r="D211" s="10" t="s">
        <v>856</v>
      </c>
      <c r="E211" s="25" t="str" cm="1">
        <f t="array" ref="E211">IF(ROW(NodesJSON[[#This Row],[label]])&gt;ROW(NodesJSON[[#Headers],[JSON]])+1,",","") &amp;"{"&amp;twoRangesToJSON(NodesJSON[[#Headers],[label]:[url]],NodesJSON[[#This Row],[label]:[url]])&amp;"}"</f>
        <v>,{"label":"Identity and Access Management","group":"","id":"n95B65CD1_4E0F_4180_9C1E_3B497411E687","url":"https://open-measure.atlassian.net/wiki/spaces/DIC/pages/107708597"}</v>
      </c>
    </row>
    <row r="212" spans="1:5" ht="13.9" thickTop="1" thickBot="1" x14ac:dyDescent="0.4">
      <c r="A212" s="3" t="str">
        <f>NodesData[[#This Row],[Common Name]]</f>
        <v>Identity Assurance</v>
      </c>
      <c r="B212" s="3" t="str">
        <f>IF(NodesData[[#This Row],[Context Instanciation]]="","",NodesData[[#This Row],[Context Instanciation]])</f>
        <v/>
      </c>
      <c r="C212" s="22" t="str">
        <f>NodesData[[#This Row],[Node ID]]</f>
        <v>n63259FD4_267B_439E_81C4_0877FBB2B1F4</v>
      </c>
      <c r="D212" s="10" t="s">
        <v>858</v>
      </c>
      <c r="E212" s="25" t="str" cm="1">
        <f t="array" ref="E212">IF(ROW(NodesJSON[[#This Row],[label]])&gt;ROW(NodesJSON[[#Headers],[JSON]])+1,",","") &amp;"{"&amp;twoRangesToJSON(NodesJSON[[#Headers],[label]:[url]],NodesJSON[[#This Row],[label]:[url]])&amp;"}"</f>
        <v>,{"label":"Identity Assurance","group":"","id":"n63259FD4_267B_439E_81C4_0877FBB2B1F4","url":"https://open-measure.atlassian.net/wiki/spaces/DIC/pages/974323719"}</v>
      </c>
    </row>
    <row r="213" spans="1:5" ht="13.9" thickTop="1" thickBot="1" x14ac:dyDescent="0.4">
      <c r="A213" s="3" t="str">
        <f>NodesData[[#This Row],[Common Name]]</f>
        <v>Identity Attribute</v>
      </c>
      <c r="B213" s="3" t="str">
        <f>IF(NodesData[[#This Row],[Context Instanciation]]="","",NodesData[[#This Row],[Context Instanciation]])</f>
        <v/>
      </c>
      <c r="C213" s="22" t="str">
        <f>NodesData[[#This Row],[Node ID]]</f>
        <v>n2D781A60_CB81_46E7_B4BE_BFEC7B061FE5</v>
      </c>
      <c r="D213" s="4"/>
      <c r="E213" s="25" t="str" cm="1">
        <f t="array" ref="E213">IF(ROW(NodesJSON[[#This Row],[label]])&gt;ROW(NodesJSON[[#Headers],[JSON]])+1,",","") &amp;"{"&amp;twoRangesToJSON(NodesJSON[[#Headers],[label]:[url]],NodesJSON[[#This Row],[label]:[url]])&amp;"}"</f>
        <v>,{"label":"Identity Attribute","group":"","id":"n2D781A60_CB81_46E7_B4BE_BFEC7B061FE5","url":""}</v>
      </c>
    </row>
    <row r="214" spans="1:5" ht="13.9" thickTop="1" thickBot="1" x14ac:dyDescent="0.4">
      <c r="A214" s="3" t="str">
        <f>NodesData[[#This Row],[Common Name]]</f>
        <v>Identity Deception</v>
      </c>
      <c r="B214" s="3" t="str">
        <f>IF(NodesData[[#This Row],[Context Instanciation]]="","",NodesData[[#This Row],[Context Instanciation]])</f>
        <v/>
      </c>
      <c r="C214" s="22" t="str">
        <f>NodesData[[#This Row],[Node ID]]</f>
        <v>nC0AF8721_A868_4A4D_9F85_3A6D9B88B489</v>
      </c>
      <c r="D214" s="10" t="s">
        <v>860</v>
      </c>
      <c r="E214" s="25" t="str" cm="1">
        <f t="array" ref="E214">IF(ROW(NodesJSON[[#This Row],[label]])&gt;ROW(NodesJSON[[#Headers],[JSON]])+1,",","") &amp;"{"&amp;twoRangesToJSON(NodesJSON[[#Headers],[label]:[url]],NodesJSON[[#This Row],[label]:[url]])&amp;"}"</f>
        <v>,{"label":"Identity Deception","group":"","id":"nC0AF8721_A868_4A4D_9F85_3A6D9B88B489","url":"https://open-measure.atlassian.net/wiki/spaces/DIC/pages/1027342618"}</v>
      </c>
    </row>
    <row r="215" spans="1:5" ht="13.9" thickTop="1" thickBot="1" x14ac:dyDescent="0.4">
      <c r="A215" s="3" t="str">
        <f>NodesData[[#This Row],[Common Name]]</f>
        <v>Identity Establishment</v>
      </c>
      <c r="B215" s="3" t="str">
        <f>IF(NodesData[[#This Row],[Context Instanciation]]="","",NodesData[[#This Row],[Context Instanciation]])</f>
        <v/>
      </c>
      <c r="C215" s="22" t="str">
        <f>NodesData[[#This Row],[Node ID]]</f>
        <v>nDE7DDB58_F055_42EF_B2D7_1F23FA251512</v>
      </c>
      <c r="D215" s="10" t="s">
        <v>862</v>
      </c>
      <c r="E215" s="25" t="str" cm="1">
        <f t="array" ref="E215">IF(ROW(NodesJSON[[#This Row],[label]])&gt;ROW(NodesJSON[[#Headers],[JSON]])+1,",","") &amp;"{"&amp;twoRangesToJSON(NodesJSON[[#Headers],[label]:[url]],NodesJSON[[#This Row],[label]:[url]])&amp;"}"</f>
        <v>,{"label":"Identity Establishment","group":"","id":"nDE7DDB58_F055_42EF_B2D7_1F23FA251512","url":"https://open-measure.atlassian.net/wiki/spaces/DIC/pages/455508212"}</v>
      </c>
    </row>
    <row r="216" spans="1:5" ht="13.9" thickTop="1" thickBot="1" x14ac:dyDescent="0.4">
      <c r="A216" s="3" t="str">
        <f>NodesData[[#This Row],[Common Name]]</f>
        <v>Identity Federation</v>
      </c>
      <c r="B216" s="3" t="str">
        <f>IF(NodesData[[#This Row],[Context Instanciation]]="","",NodesData[[#This Row],[Context Instanciation]])</f>
        <v/>
      </c>
      <c r="C216" s="22" t="str">
        <f>NodesData[[#This Row],[Node ID]]</f>
        <v>nA28C3DFF_EE9A_433F_8E87_6F1C3611654C</v>
      </c>
      <c r="D216" s="10" t="s">
        <v>864</v>
      </c>
      <c r="E216" s="25" t="str" cm="1">
        <f t="array" ref="E216">IF(ROW(NodesJSON[[#This Row],[label]])&gt;ROW(NodesJSON[[#Headers],[JSON]])+1,",","") &amp;"{"&amp;twoRangesToJSON(NodesJSON[[#Headers],[label]:[url]],NodesJSON[[#This Row],[label]:[url]])&amp;"}"</f>
        <v>,{"label":"Identity Federation","group":"","id":"nA28C3DFF_EE9A_433F_8E87_6F1C3611654C","url":"https://open-measure.atlassian.net/wiki/spaces/DIC/pages/1004896257"}</v>
      </c>
    </row>
    <row r="217" spans="1:5" ht="13.9" thickTop="1" thickBot="1" x14ac:dyDescent="0.4">
      <c r="A217" s="3" t="str">
        <f>NodesData[[#This Row],[Common Name]]</f>
        <v>Identity Guardian</v>
      </c>
      <c r="B217" s="3" t="str">
        <f>IF(NodesData[[#This Row],[Context Instanciation]]="","",NodesData[[#This Row],[Context Instanciation]])</f>
        <v/>
      </c>
      <c r="C217" s="22" t="str">
        <f>NodesData[[#This Row],[Node ID]]</f>
        <v>n57BE0CB5_BAC2_4A6C_BB09_BA0710799A01</v>
      </c>
      <c r="D217" s="10" t="s">
        <v>866</v>
      </c>
      <c r="E217" s="25" t="str" cm="1">
        <f t="array" ref="E217">IF(ROW(NodesJSON[[#This Row],[label]])&gt;ROW(NodesJSON[[#Headers],[JSON]])+1,",","") &amp;"{"&amp;twoRangesToJSON(NodesJSON[[#Headers],[label]:[url]],NodesJSON[[#This Row],[label]:[url]])&amp;"}"</f>
        <v>,{"label":"Identity Guardian","group":"","id":"n57BE0CB5_BAC2_4A6C_BB09_BA0710799A01","url":"https://open-measure.atlassian.net/wiki/spaces/DIC/pages/1177714758"}</v>
      </c>
    </row>
    <row r="218" spans="1:5" ht="13.9" thickTop="1" thickBot="1" x14ac:dyDescent="0.4">
      <c r="A218" s="3" t="str">
        <f>NodesData[[#This Row],[Common Name]]</f>
        <v>Identity Lifecycle</v>
      </c>
      <c r="B218" s="3" t="str">
        <f>IF(NodesData[[#This Row],[Context Instanciation]]="","",NodesData[[#This Row],[Context Instanciation]])</f>
        <v/>
      </c>
      <c r="C218" s="22" t="str">
        <f>NodesData[[#This Row],[Node ID]]</f>
        <v>n18B21D41_7371_42BA_AD55_EBF42E646C44</v>
      </c>
      <c r="D218" s="10" t="s">
        <v>868</v>
      </c>
      <c r="E218" s="25" t="str" cm="1">
        <f t="array" ref="E218">IF(ROW(NodesJSON[[#This Row],[label]])&gt;ROW(NodesJSON[[#Headers],[JSON]])+1,",","") &amp;"{"&amp;twoRangesToJSON(NodesJSON[[#Headers],[label]:[url]],NodesJSON[[#This Row],[label]:[url]])&amp;"}"</f>
        <v>,{"label":"Identity Lifecycle","group":"","id":"n18B21D41_7371_42BA_AD55_EBF42E646C44","url":"https://open-measure.atlassian.net/wiki/spaces/DIC/pages/998113409"}</v>
      </c>
    </row>
    <row r="219" spans="1:5" ht="13.9" thickTop="1" thickBot="1" x14ac:dyDescent="0.4">
      <c r="A219" s="3" t="str">
        <f>NodesData[[#This Row],[Common Name]]</f>
        <v>Identity Management</v>
      </c>
      <c r="B219" s="3" t="str">
        <f>IF(NodesData[[#This Row],[Context Instanciation]]="","",NodesData[[#This Row],[Context Instanciation]])</f>
        <v/>
      </c>
      <c r="C219" s="22" t="str">
        <f>NodesData[[#This Row],[Node ID]]</f>
        <v>nE76134B5_D4DF_454A_B8A9_6698D084CDB1</v>
      </c>
      <c r="D219" s="10" t="s">
        <v>869</v>
      </c>
      <c r="E219" s="25" t="str" cm="1">
        <f t="array" ref="E219">IF(ROW(NodesJSON[[#This Row],[label]])&gt;ROW(NodesJSON[[#Headers],[JSON]])+1,",","") &amp;"{"&amp;twoRangesToJSON(NodesJSON[[#Headers],[label]:[url]],NodesJSON[[#This Row],[label]:[url]])&amp;"}"</f>
        <v>,{"label":"Identity Management","group":"","id":"nE76134B5_D4DF_454A_B8A9_6698D084CDB1","url":"https://open-measure.atlassian.net/wiki/spaces/DIC/pages/438698009/Information+Security+Domain"}</v>
      </c>
    </row>
    <row r="220" spans="1:5" ht="13.9" thickTop="1" thickBot="1" x14ac:dyDescent="0.4">
      <c r="A220" s="3" t="str">
        <f>NodesData[[#This Row],[Common Name]]</f>
        <v>Identity Management System</v>
      </c>
      <c r="B220" s="3" t="str">
        <f>IF(NodesData[[#This Row],[Context Instanciation]]="","",NodesData[[#This Row],[Context Instanciation]])</f>
        <v/>
      </c>
      <c r="C220" s="22" t="str">
        <f>NodesData[[#This Row],[Node ID]]</f>
        <v>n3F575B2E_542A_4EE1_86A9_93DA3991C61D</v>
      </c>
      <c r="D220" s="10" t="s">
        <v>870</v>
      </c>
      <c r="E220" s="25" t="str" cm="1">
        <f t="array" ref="E220">IF(ROW(NodesJSON[[#This Row],[label]])&gt;ROW(NodesJSON[[#Headers],[JSON]])+1,",","") &amp;"{"&amp;twoRangesToJSON(NodesJSON[[#Headers],[label]:[url]],NodesJSON[[#This Row],[label]:[url]])&amp;"}"</f>
        <v>,{"label":"Identity Management System","group":"","id":"n3F575B2E_542A_4EE1_86A9_93DA3991C61D","url":"https://open-measure.atlassian.net/wiki/spaces/DIC/pages/1031241830/Information+System"}</v>
      </c>
    </row>
    <row r="221" spans="1:5" ht="13.9" thickTop="1" thickBot="1" x14ac:dyDescent="0.4">
      <c r="A221" s="3" t="str">
        <f>NodesData[[#This Row],[Common Name]]</f>
        <v>Identity Portability</v>
      </c>
      <c r="B221" s="3" t="str">
        <f>IF(NodesData[[#This Row],[Context Instanciation]]="","",NodesData[[#This Row],[Context Instanciation]])</f>
        <v/>
      </c>
      <c r="C221" s="22" t="str">
        <f>NodesData[[#This Row],[Node ID]]</f>
        <v>nB826581E_8230_4CC8_9A14_B1F944C22935</v>
      </c>
      <c r="D221" s="3"/>
      <c r="E221" s="25" t="str" cm="1">
        <f t="array" ref="E221">IF(ROW(NodesJSON[[#This Row],[label]])&gt;ROW(NodesJSON[[#Headers],[JSON]])+1,",","") &amp;"{"&amp;twoRangesToJSON(NodesJSON[[#Headers],[label]:[url]],NodesJSON[[#This Row],[label]:[url]])&amp;"}"</f>
        <v>,{"label":"Identity Portability","group":"","id":"nB826581E_8230_4CC8_9A14_B1F944C22935","url":""}</v>
      </c>
    </row>
    <row r="222" spans="1:5" ht="13.9" thickTop="1" thickBot="1" x14ac:dyDescent="0.4">
      <c r="A222" s="3" t="str">
        <f>NodesData[[#This Row],[Common Name]]</f>
        <v>Identity Proofing</v>
      </c>
      <c r="B222" s="3" t="str">
        <f>IF(NodesData[[#This Row],[Context Instanciation]]="","",NodesData[[#This Row],[Context Instanciation]])</f>
        <v/>
      </c>
      <c r="C222" s="22" t="str">
        <f>NodesData[[#This Row],[Node ID]]</f>
        <v>nA168EF24_837F_4964_BE44_E7CADDEC08AE</v>
      </c>
      <c r="D222" s="10" t="s">
        <v>871</v>
      </c>
      <c r="E222" s="25" t="str" cm="1">
        <f t="array" ref="E222">IF(ROW(NodesJSON[[#This Row],[label]])&gt;ROW(NodesJSON[[#Headers],[JSON]])+1,",","") &amp;"{"&amp;twoRangesToJSON(NodesJSON[[#Headers],[label]:[url]],NodesJSON[[#This Row],[label]:[url]])&amp;"}"</f>
        <v>,{"label":"Identity Proofing","group":"","id":"nA168EF24_837F_4964_BE44_E7CADDEC08AE","url":"https://open-measure.atlassian.net/wiki/spaces/DIC/pages/1477869651/Inside+Attacker"}</v>
      </c>
    </row>
    <row r="223" spans="1:5" ht="13.9" thickTop="1" thickBot="1" x14ac:dyDescent="0.4">
      <c r="A223" s="3" t="str">
        <f>NodesData[[#This Row],[Common Name]]</f>
        <v>Identity Propagation</v>
      </c>
      <c r="B223" s="3" t="str">
        <f>IF(NodesData[[#This Row],[Context Instanciation]]="","",NodesData[[#This Row],[Context Instanciation]])</f>
        <v/>
      </c>
      <c r="C223" s="22" t="str">
        <f>NodesData[[#This Row],[Node ID]]</f>
        <v>n34461AB4_2CB5_4D9C_ACD7_11E6DB87C391</v>
      </c>
      <c r="D223" s="10" t="s">
        <v>872</v>
      </c>
      <c r="E223" s="25" t="str" cm="1">
        <f t="array" ref="E223">IF(ROW(NodesJSON[[#This Row],[label]])&gt;ROW(NodesJSON[[#Headers],[JSON]])+1,",","") &amp;"{"&amp;twoRangesToJSON(NodesJSON[[#Headers],[label]:[url]],NodesJSON[[#This Row],[label]:[url]])&amp;"}"</f>
        <v>,{"label":"Identity Propagation","group":"","id":"n34461AB4_2CB5_4D9C_ACD7_11E6DB87C391","url":"https://open-measure.atlassian.net/wiki/spaces/DIC/pages/1451884782/Insider"}</v>
      </c>
    </row>
    <row r="224" spans="1:5" ht="13.9" thickTop="1" thickBot="1" x14ac:dyDescent="0.4">
      <c r="A224" s="3" t="str">
        <f>NodesData[[#This Row],[Common Name]]</f>
        <v>Identity Provider</v>
      </c>
      <c r="B224" s="3" t="str">
        <f>IF(NodesData[[#This Row],[Context Instanciation]]="","",NodesData[[#This Row],[Context Instanciation]])</f>
        <v/>
      </c>
      <c r="C224" s="22" t="str">
        <f>NodesData[[#This Row],[Node ID]]</f>
        <v>n5F66D728_84BD_4BB4_98BF_785C5DAD60D5</v>
      </c>
      <c r="D224" s="10" t="s">
        <v>873</v>
      </c>
      <c r="E224" s="25" t="str" cm="1">
        <f t="array" ref="E224">IF(ROW(NodesJSON[[#This Row],[label]])&gt;ROW(NodesJSON[[#Headers],[JSON]])+1,",","") &amp;"{"&amp;twoRangesToJSON(NodesJSON[[#Headers],[label]:[url]],NodesJSON[[#This Row],[label]:[url]])&amp;"}"</f>
        <v>,{"label":"Identity Provider","group":"","id":"n5F66D728_84BD_4BB4_98BF_785C5DAD60D5","url":"https://open-measure.atlassian.net/wiki/spaces/DIC/pages/1478459402/Insider+Attack"}</v>
      </c>
    </row>
    <row r="225" spans="1:5" ht="13.9" thickTop="1" thickBot="1" x14ac:dyDescent="0.4">
      <c r="A225" s="3" t="str">
        <f>NodesData[[#This Row],[Common Name]]</f>
        <v>Identity Repository</v>
      </c>
      <c r="B225" s="3" t="str">
        <f>IF(NodesData[[#This Row],[Context Instanciation]]="","",NodesData[[#This Row],[Context Instanciation]])</f>
        <v/>
      </c>
      <c r="C225" s="22" t="str">
        <f>NodesData[[#This Row],[Node ID]]</f>
        <v>n168F06B1_8C97_4DA7_90D4_CC52279D2500</v>
      </c>
      <c r="D225" s="10" t="s">
        <v>874</v>
      </c>
      <c r="E225" s="25" t="str" cm="1">
        <f t="array" ref="E225">IF(ROW(NodesJSON[[#This Row],[label]])&gt;ROW(NodesJSON[[#Headers],[JSON]])+1,",","") &amp;"{"&amp;twoRangesToJSON(NodesJSON[[#Headers],[label]:[url]],NodesJSON[[#This Row],[label]:[url]])&amp;"}"</f>
        <v>,{"label":"Identity Repository","group":"","id":"n168F06B1_8C97_4DA7_90D4_CC52279D2500","url":"https://open-measure.atlassian.net/wiki/spaces/DIC/pages/1451098397/Insider+Threat"}</v>
      </c>
    </row>
    <row r="226" spans="1:5" ht="13.9" thickTop="1" thickBot="1" x14ac:dyDescent="0.4">
      <c r="A226" s="3" t="str">
        <f>NodesData[[#This Row],[Common Name]]</f>
        <v>Identity Theft</v>
      </c>
      <c r="B226" s="3" t="str">
        <f>IF(NodesData[[#This Row],[Context Instanciation]]="","",NodesData[[#This Row],[Context Instanciation]])</f>
        <v/>
      </c>
      <c r="C226" s="22" t="str">
        <f>NodesData[[#This Row],[Node ID]]</f>
        <v>n23656C0A_A156_405F_9FF8_7AE62FD6FB07</v>
      </c>
      <c r="D226" s="10" t="s">
        <v>876</v>
      </c>
      <c r="E226" s="25" t="str" cm="1">
        <f t="array" ref="E226">IF(ROW(NodesJSON[[#This Row],[label]])&gt;ROW(NodesJSON[[#Headers],[JSON]])+1,",","") &amp;"{"&amp;twoRangesToJSON(NodesJSON[[#Headers],[label]:[url]],NodesJSON[[#This Row],[label]:[url]])&amp;"}"</f>
        <v>,{"label":"Identity Theft","group":"","id":"n23656C0A_A156_405F_9FF8_7AE62FD6FB07","url":"https://open-measure.atlassian.net/wiki/spaces/DIC/pages/822476843"}</v>
      </c>
    </row>
    <row r="227" spans="1:5" ht="13.9" thickTop="1" thickBot="1" x14ac:dyDescent="0.4">
      <c r="A227" s="3" t="str">
        <f>NodesData[[#This Row],[Common Name]]</f>
        <v>Identity-as-a-Service</v>
      </c>
      <c r="B227" s="3" t="str">
        <f>IF(NodesData[[#This Row],[Context Instanciation]]="","",NodesData[[#This Row],[Context Instanciation]])</f>
        <v/>
      </c>
      <c r="C227" s="22" t="str">
        <f>NodesData[[#This Row],[Node ID]]</f>
        <v>nE705445E_1259_48CD_9B7E_9243AD8DAA5B</v>
      </c>
      <c r="D227" s="10" t="s">
        <v>878</v>
      </c>
      <c r="E227" s="25" t="str" cm="1">
        <f t="array" ref="E227">IF(ROW(NodesJSON[[#This Row],[label]])&gt;ROW(NodesJSON[[#Headers],[JSON]])+1,",","") &amp;"{"&amp;twoRangesToJSON(NodesJSON[[#Headers],[label]:[url]],NodesJSON[[#This Row],[label]:[url]])&amp;"}"</f>
        <v>,{"label":"Identity-as-a-Service","group":"","id":"nE705445E_1259_48CD_9B7E_9243AD8DAA5B","url":"https://open-measure.atlassian.net/wiki/spaces/DIC/pages/998277141"}</v>
      </c>
    </row>
    <row r="228" spans="1:5" ht="13.9" thickTop="1" thickBot="1" x14ac:dyDescent="0.4">
      <c r="A228" s="3" t="str">
        <f>NodesData[[#This Row],[Common Name]]</f>
        <v>Identity-Aware Proxy</v>
      </c>
      <c r="B228" s="3" t="str">
        <f>IF(NodesData[[#This Row],[Context Instanciation]]="","",NodesData[[#This Row],[Context Instanciation]])</f>
        <v/>
      </c>
      <c r="C228" s="22" t="str">
        <f>NodesData[[#This Row],[Node ID]]</f>
        <v>n9AB3CC59_5E4C_4E34_BC2C_1596F01FC5F3</v>
      </c>
      <c r="D228" s="10" t="s">
        <v>880</v>
      </c>
      <c r="E228" s="25" t="str" cm="1">
        <f t="array" ref="E228">IF(ROW(NodesJSON[[#This Row],[label]])&gt;ROW(NodesJSON[[#Headers],[JSON]])+1,",","") &amp;"{"&amp;twoRangesToJSON(NodesJSON[[#Headers],[label]:[url]],NodesJSON[[#This Row],[label]:[url]])&amp;"}"</f>
        <v>,{"label":"Identity-Aware Proxy","group":"","id":"n9AB3CC59_5E4C_4E34_BC2C_1596F01FC5F3","url":"https://open-measure.atlassian.net/wiki/spaces/DIC/pages/1311417"}</v>
      </c>
    </row>
    <row r="229" spans="1:5" ht="13.9" thickTop="1" thickBot="1" x14ac:dyDescent="0.4">
      <c r="A229" s="3" t="str">
        <f>NodesData[[#This Row],[Common Name]]</f>
        <v>IdMS</v>
      </c>
      <c r="B229" s="3" t="str">
        <f>IF(NodesData[[#This Row],[Context Instanciation]]="","",NodesData[[#This Row],[Context Instanciation]])</f>
        <v/>
      </c>
      <c r="C229" s="22" t="str">
        <f>NodesData[[#This Row],[Node ID]]</f>
        <v>n0625B885_15FF_4EC6_89B2_0542A53D54F0</v>
      </c>
      <c r="D229" s="10" t="s">
        <v>882</v>
      </c>
      <c r="E229" s="25" t="str" cm="1">
        <f t="array" ref="E229">IF(ROW(NodesJSON[[#This Row],[label]])&gt;ROW(NodesJSON[[#Headers],[JSON]])+1,",","") &amp;"{"&amp;twoRangesToJSON(NodesJSON[[#Headers],[label]:[url]],NodesJSON[[#This Row],[label]:[url]])&amp;"}"</f>
        <v>,{"label":"IdMS","group":"","id":"n0625B885_15FF_4EC6_89B2_0542A53D54F0","url":"https://open-measure.atlassian.net/wiki/spaces/DIC/pages/442466314"}</v>
      </c>
    </row>
    <row r="230" spans="1:5" ht="13.9" thickTop="1" thickBot="1" x14ac:dyDescent="0.4">
      <c r="A230" s="3" t="str">
        <f>NodesData[[#This Row],[Common Name]]</f>
        <v>IdP</v>
      </c>
      <c r="B230" s="3" t="str">
        <f>IF(NodesData[[#This Row],[Context Instanciation]]="","",NodesData[[#This Row],[Context Instanciation]])</f>
        <v/>
      </c>
      <c r="C230" s="22" t="str">
        <f>NodesData[[#This Row],[Node ID]]</f>
        <v>n6C8D27BA_3A49_456D_9605_33E2EBC545E0</v>
      </c>
      <c r="D230" s="10" t="s">
        <v>884</v>
      </c>
      <c r="E230" s="25" t="str" cm="1">
        <f t="array" ref="E230">IF(ROW(NodesJSON[[#This Row],[label]])&gt;ROW(NodesJSON[[#Headers],[JSON]])+1,",","") &amp;"{"&amp;twoRangesToJSON(NodesJSON[[#Headers],[label]:[url]],NodesJSON[[#This Row],[label]:[url]])&amp;"}"</f>
        <v>,{"label":"IdP","group":"","id":"n6C8D27BA_3A49_456D_9605_33E2EBC545E0","url":"https://open-measure.atlassian.net/wiki/spaces/DIC/pages/11567191"}</v>
      </c>
    </row>
    <row r="231" spans="1:5" ht="13.9" thickTop="1" thickBot="1" x14ac:dyDescent="0.4">
      <c r="A231" s="3" t="str">
        <f>NodesData[[#This Row],[Common Name]]</f>
        <v>Illegal Action</v>
      </c>
      <c r="B231" s="3" t="str">
        <f>IF(NodesData[[#This Row],[Context Instanciation]]="","",NodesData[[#This Row],[Context Instanciation]])</f>
        <v/>
      </c>
      <c r="C231" s="22" t="str">
        <f>NodesData[[#This Row],[Node ID]]</f>
        <v>nE0352234_7814_467F_8B8B_EF900BACC357</v>
      </c>
      <c r="D231" s="3"/>
      <c r="E231" s="25" t="str" cm="1">
        <f t="array" ref="E231">IF(ROW(NodesJSON[[#This Row],[label]])&gt;ROW(NodesJSON[[#Headers],[JSON]])+1,",","") &amp;"{"&amp;twoRangesToJSON(NodesJSON[[#Headers],[label]:[url]],NodesJSON[[#This Row],[label]:[url]])&amp;"}"</f>
        <v>,{"label":"Illegal Action","group":"","id":"nE0352234_7814_467F_8B8B_EF900BACC357","url":""}</v>
      </c>
    </row>
    <row r="232" spans="1:5" ht="13.9" thickTop="1" thickBot="1" x14ac:dyDescent="0.4">
      <c r="A232" s="3" t="str">
        <f>NodesData[[#This Row],[Common Name]]</f>
        <v>IMG</v>
      </c>
      <c r="B232" s="3" t="str">
        <f>IF(NodesData[[#This Row],[Context Instanciation]]="","",NodesData[[#This Row],[Context Instanciation]])</f>
        <v/>
      </c>
      <c r="C232" s="22" t="str">
        <f>NodesData[[#This Row],[Node ID]]</f>
        <v>nC513AF63_36CC_4FB7_911F_7E98C3C107B2</v>
      </c>
      <c r="D232" s="10" t="s">
        <v>886</v>
      </c>
      <c r="E232" s="25" t="str" cm="1">
        <f t="array" ref="E232">IF(ROW(NodesJSON[[#This Row],[label]])&gt;ROW(NodesJSON[[#Headers],[JSON]])+1,",","") &amp;"{"&amp;twoRangesToJSON(NodesJSON[[#Headers],[label]:[url]],NodesJSON[[#This Row],[label]:[url]])&amp;"}"</f>
        <v>,{"label":"IMG","group":"","id":"nC513AF63_36CC_4FB7_911F_7E98C3C107B2","url":"https://open-measure.atlassian.net/wiki/spaces/DIC/pages/1152483625"}</v>
      </c>
    </row>
    <row r="233" spans="1:5" ht="13.9" thickTop="1" thickBot="1" x14ac:dyDescent="0.4">
      <c r="A233" s="3" t="str">
        <f>NodesData[[#This Row],[Common Name]]</f>
        <v>Impersonation</v>
      </c>
      <c r="B233" s="3" t="str">
        <f>IF(NodesData[[#This Row],[Context Instanciation]]="","",NodesData[[#This Row],[Context Instanciation]])</f>
        <v/>
      </c>
      <c r="C233" s="22" t="str">
        <f>NodesData[[#This Row],[Node ID]]</f>
        <v>nBE119251_3169_4F9E_A3A9_744A248EAAA6</v>
      </c>
      <c r="D233" s="10" t="s">
        <v>888</v>
      </c>
      <c r="E233" s="25" t="str" cm="1">
        <f t="array" ref="E233">IF(ROW(NodesJSON[[#This Row],[label]])&gt;ROW(NodesJSON[[#Headers],[JSON]])+1,",","") &amp;"{"&amp;twoRangesToJSON(NodesJSON[[#Headers],[label]:[url]],NodesJSON[[#This Row],[label]:[url]])&amp;"}"</f>
        <v>,{"label":"Impersonation","group":"","id":"nBE119251_3169_4F9E_A3A9_744A248EAAA6","url":"https://open-measure.atlassian.net/wiki/spaces/DIC/pages/720902"}</v>
      </c>
    </row>
    <row r="234" spans="1:5" ht="13.9" thickTop="1" thickBot="1" x14ac:dyDescent="0.4">
      <c r="A234" s="3" t="str">
        <f>NodesData[[#This Row],[Common Name]]</f>
        <v>In-band Authentication</v>
      </c>
      <c r="B234" s="3" t="str">
        <f>IF(NodesData[[#This Row],[Context Instanciation]]="","",NodesData[[#This Row],[Context Instanciation]])</f>
        <v/>
      </c>
      <c r="C234" s="22" t="str">
        <f>NodesData[[#This Row],[Node ID]]</f>
        <v>n4DC17AF9_0DFB_478B_B5A5_3463E37CAB92</v>
      </c>
      <c r="D234" s="10" t="s">
        <v>889</v>
      </c>
      <c r="E234" s="25" t="str" cm="1">
        <f t="array" ref="E234">IF(ROW(NodesJSON[[#This Row],[label]])&gt;ROW(NodesJSON[[#Headers],[JSON]])+1,",","") &amp;"{"&amp;twoRangesToJSON(NodesJSON[[#Headers],[label]:[url]],NodesJSON[[#This Row],[label]:[url]])&amp;"}"</f>
        <v>,{"label":"In-band Authentication","group":"","id":"n4DC17AF9_0DFB_478B_B5A5_3463E37CAB92","url":"https://open-measure.atlassian.net/wiki/spaces/DIC/pages/1569095803/IT+System"}</v>
      </c>
    </row>
    <row r="235" spans="1:5" ht="13.9" thickTop="1" thickBot="1" x14ac:dyDescent="0.4">
      <c r="A235" s="3" t="str">
        <f>NodesData[[#This Row],[Common Name]]</f>
        <v>Information</v>
      </c>
      <c r="B235" s="3" t="str">
        <f>IF(NodesData[[#This Row],[Context Instanciation]]="","",NodesData[[#This Row],[Context Instanciation]])</f>
        <v/>
      </c>
      <c r="C235" s="22" t="str">
        <f>NodesData[[#This Row],[Node ID]]</f>
        <v>n21D68DDF_6871_4E72_BC2D_303C40ED5E42</v>
      </c>
      <c r="D235" s="10" t="s">
        <v>891</v>
      </c>
      <c r="E235" s="25" t="str" cm="1">
        <f t="array" ref="E235">IF(ROW(NodesJSON[[#This Row],[label]])&gt;ROW(NodesJSON[[#Headers],[JSON]])+1,",","") &amp;"{"&amp;twoRangesToJSON(NodesJSON[[#Headers],[label]:[url]],NodesJSON[[#This Row],[label]:[url]])&amp;"}"</f>
        <v>,{"label":"Information","group":"","id":"n21D68DDF_6871_4E72_BC2D_303C40ED5E42","url":"https://open-measure.atlassian.net/wiki/spaces/DIC/pages/858488984"}</v>
      </c>
    </row>
    <row r="236" spans="1:5" ht="13.9" thickTop="1" thickBot="1" x14ac:dyDescent="0.4">
      <c r="A236" s="3" t="str">
        <f>NodesData[[#This Row],[Common Name]]</f>
        <v>Information Asset</v>
      </c>
      <c r="B236" s="3" t="str">
        <f>IF(NodesData[[#This Row],[Context Instanciation]]="","",NodesData[[#This Row],[Context Instanciation]])</f>
        <v/>
      </c>
      <c r="C236" s="22" t="str">
        <f>NodesData[[#This Row],[Node ID]]</f>
        <v>n28E78E51_49BC_40D3_A073_5C152D095C48</v>
      </c>
      <c r="D236" s="10" t="s">
        <v>893</v>
      </c>
      <c r="E236" s="25" t="str" cm="1">
        <f t="array" ref="E236">IF(ROW(NodesJSON[[#This Row],[label]])&gt;ROW(NodesJSON[[#Headers],[JSON]])+1,",","") &amp;"{"&amp;twoRangesToJSON(NodesJSON[[#Headers],[label]:[url]],NodesJSON[[#This Row],[label]:[url]])&amp;"}"</f>
        <v>,{"label":"Information Asset","group":"","id":"n28E78E51_49BC_40D3_A073_5C152D095C48","url":"https://open-measure.atlassian.net/wiki/spaces/DIC/pages/855506953"}</v>
      </c>
    </row>
    <row r="237" spans="1:5" ht="13.9" thickTop="1" thickBot="1" x14ac:dyDescent="0.4">
      <c r="A237" s="3" t="str">
        <f>NodesData[[#This Row],[Common Name]]</f>
        <v>Information Custodian</v>
      </c>
      <c r="B237" s="3" t="str">
        <f>IF(NodesData[[#This Row],[Context Instanciation]]="","",NodesData[[#This Row],[Context Instanciation]])</f>
        <v/>
      </c>
      <c r="C237" s="22" t="str">
        <f>NodesData[[#This Row],[Node ID]]</f>
        <v>n7FA93F24_5E66_4779_BA3D_3A073C96F04F</v>
      </c>
      <c r="D237" s="10" t="s">
        <v>895</v>
      </c>
      <c r="E237" s="25" t="str" cm="1">
        <f t="array" ref="E237">IF(ROW(NodesJSON[[#This Row],[label]])&gt;ROW(NodesJSON[[#Headers],[JSON]])+1,",","") &amp;"{"&amp;twoRangesToJSON(NodesJSON[[#Headers],[label]:[url]],NodesJSON[[#This Row],[label]:[url]])&amp;"}"</f>
        <v>,{"label":"Information Custodian","group":"","id":"n7FA93F24_5E66_4779_BA3D_3A073C96F04F","url":"https://open-measure.atlassian.net/wiki/spaces/DIC/pages/858456203"}</v>
      </c>
    </row>
    <row r="238" spans="1:5" ht="13.9" thickTop="1" thickBot="1" x14ac:dyDescent="0.4">
      <c r="A238" s="3" t="str">
        <f>NodesData[[#This Row],[Common Name]]</f>
        <v>Information Flow Policy</v>
      </c>
      <c r="B238" s="3" t="str">
        <f>IF(NodesData[[#This Row],[Context Instanciation]]="","",NodesData[[#This Row],[Context Instanciation]])</f>
        <v/>
      </c>
      <c r="C238" s="22" t="str">
        <f>NodesData[[#This Row],[Node ID]]</f>
        <v>n88A9AD71_624D_49D1_933C_A9F4498456BE</v>
      </c>
      <c r="D238" s="10" t="s">
        <v>897</v>
      </c>
      <c r="E238" s="25" t="str" cm="1">
        <f t="array" ref="E238">IF(ROW(NodesJSON[[#This Row],[label]])&gt;ROW(NodesJSON[[#Headers],[JSON]])+1,",","") &amp;"{"&amp;twoRangesToJSON(NodesJSON[[#Headers],[label]:[url]],NodesJSON[[#This Row],[label]:[url]])&amp;"}"</f>
        <v>,{"label":"Information Flow Policy","group":"","id":"n88A9AD71_624D_49D1_933C_A9F4498456BE","url":"https://open-measure.atlassian.net/wiki/spaces/DIC/pages/852492379"}</v>
      </c>
    </row>
    <row r="239" spans="1:5" ht="13.9" thickTop="1" thickBot="1" x14ac:dyDescent="0.4">
      <c r="A239" s="3" t="str">
        <f>NodesData[[#This Row],[Common Name]]</f>
        <v>Information Owner</v>
      </c>
      <c r="B239" s="3" t="str">
        <f>IF(NodesData[[#This Row],[Context Instanciation]]="","",NodesData[[#This Row],[Context Instanciation]])</f>
        <v/>
      </c>
      <c r="C239" s="22" t="str">
        <f>NodesData[[#This Row],[Node ID]]</f>
        <v>nAF966081_CDB0_45B3_BB9A_12F39BA05533</v>
      </c>
      <c r="D239" s="10" t="s">
        <v>899</v>
      </c>
      <c r="E239" s="25" t="str" cm="1">
        <f t="array" ref="E239">IF(ROW(NodesJSON[[#This Row],[label]])&gt;ROW(NodesJSON[[#Headers],[JSON]])+1,",","") &amp;"{"&amp;twoRangesToJSON(NodesJSON[[#Headers],[label]:[url]],NodesJSON[[#This Row],[label]:[url]])&amp;"}"</f>
        <v>,{"label":"Information Owner","group":"","id":"nAF966081_CDB0_45B3_BB9A_12F39BA05533","url":"https://open-measure.atlassian.net/wiki/spaces/DIC/pages/858521641"}</v>
      </c>
    </row>
    <row r="240" spans="1:5" ht="13.9" thickTop="1" thickBot="1" x14ac:dyDescent="0.4">
      <c r="A240" s="3" t="str">
        <f>NodesData[[#This Row],[Common Name]]</f>
        <v>Information Security Domain</v>
      </c>
      <c r="B240" s="3" t="str">
        <f>IF(NodesData[[#This Row],[Context Instanciation]]="","",NodesData[[#This Row],[Context Instanciation]])</f>
        <v/>
      </c>
      <c r="C240" s="22" t="str">
        <f>NodesData[[#This Row],[Node ID]]</f>
        <v>n9A6A0946_FAF0_4301_9CFA_1EAAAF6EFADF</v>
      </c>
      <c r="D240" s="10" t="s">
        <v>901</v>
      </c>
      <c r="E240" s="25" t="str" cm="1">
        <f t="array" ref="E240">IF(ROW(NodesJSON[[#This Row],[label]])&gt;ROW(NodesJSON[[#Headers],[JSON]])+1,",","") &amp;"{"&amp;twoRangesToJSON(NodesJSON[[#Headers],[label]:[url]],NodesJSON[[#This Row],[label]:[url]])&amp;"}"</f>
        <v>,{"label":"Information Security Domain","group":"","id":"n9A6A0946_FAF0_4301_9CFA_1EAAAF6EFADF","url":"https://open-measure.atlassian.net/wiki/spaces/DIC/pages/852492338"}</v>
      </c>
    </row>
    <row r="241" spans="1:5" ht="13.9" thickTop="1" thickBot="1" x14ac:dyDescent="0.4">
      <c r="A241" s="3" t="str">
        <f>NodesData[[#This Row],[Common Name]]</f>
        <v>Information System</v>
      </c>
      <c r="B241" s="3" t="str">
        <f>IF(NodesData[[#This Row],[Context Instanciation]]="","",NodesData[[#This Row],[Context Instanciation]])</f>
        <v/>
      </c>
      <c r="C241" s="22" t="str">
        <f>NodesData[[#This Row],[Node ID]]</f>
        <v>nB0B5F503_B8FC_4496_972E_66927B58AF67</v>
      </c>
      <c r="D241" s="10" t="s">
        <v>903</v>
      </c>
      <c r="E241" s="25" t="str" cm="1">
        <f t="array" ref="E241">IF(ROW(NodesJSON[[#This Row],[label]])&gt;ROW(NodesJSON[[#Headers],[JSON]])+1,",","") &amp;"{"&amp;twoRangesToJSON(NodesJSON[[#Headers],[label]:[url]],NodesJSON[[#This Row],[label]:[url]])&amp;"}"</f>
        <v>,{"label":"Information System","group":"","id":"nB0B5F503_B8FC_4496_972E_66927B58AF67","url":"https://open-measure.atlassian.net/wiki/spaces/DIC/pages/140706011"}</v>
      </c>
    </row>
    <row r="242" spans="1:5" ht="13.9" thickTop="1" thickBot="1" x14ac:dyDescent="0.4">
      <c r="A242" s="3" t="str">
        <f>NodesData[[#This Row],[Common Name]]</f>
        <v>Inherence Factor</v>
      </c>
      <c r="B242" s="3" t="str">
        <f>IF(NodesData[[#This Row],[Context Instanciation]]="","",NodesData[[#This Row],[Context Instanciation]])</f>
        <v/>
      </c>
      <c r="C242" s="22" t="str">
        <f>NodesData[[#This Row],[Node ID]]</f>
        <v>n99E2EC41_CA7B_41FD_8304_3926884533F9</v>
      </c>
      <c r="D242" s="10" t="s">
        <v>905</v>
      </c>
      <c r="E242" s="25" t="str" cm="1">
        <f t="array" ref="E242">IF(ROW(NodesJSON[[#This Row],[label]])&gt;ROW(NodesJSON[[#Headers],[JSON]])+1,",","") &amp;"{"&amp;twoRangesToJSON(NodesJSON[[#Headers],[label]:[url]],NodesJSON[[#This Row],[label]:[url]])&amp;"}"</f>
        <v>,{"label":"Inherence Factor","group":"","id":"n99E2EC41_CA7B_41FD_8304_3926884533F9","url":"https://open-measure.atlassian.net/wiki/spaces/DIC/pages/425623701"}</v>
      </c>
    </row>
    <row r="243" spans="1:5" ht="13.9" thickTop="1" thickBot="1" x14ac:dyDescent="0.4">
      <c r="A243" s="3" t="str">
        <f>NodesData[[#This Row],[Common Name]]</f>
        <v>Inside Attacker</v>
      </c>
      <c r="B243" s="3" t="str">
        <f>IF(NodesData[[#This Row],[Context Instanciation]]="","",NodesData[[#This Row],[Context Instanciation]])</f>
        <v/>
      </c>
      <c r="C243" s="22" t="str">
        <f>NodesData[[#This Row],[Node ID]]</f>
        <v>nE918EA94_ED3D_49AA_8C98_9382D56885C2</v>
      </c>
      <c r="D243" s="10" t="s">
        <v>907</v>
      </c>
      <c r="E243" s="25" t="str" cm="1">
        <f t="array" ref="E243">IF(ROW(NodesJSON[[#This Row],[label]])&gt;ROW(NodesJSON[[#Headers],[JSON]])+1,",","") &amp;"{"&amp;twoRangesToJSON(NodesJSON[[#Headers],[label]:[url]],NodesJSON[[#This Row],[label]:[url]])&amp;"}"</f>
        <v>,{"label":"Inside Attacker","group":"","id":"nE918EA94_ED3D_49AA_8C98_9382D56885C2","url":"https://open-measure.atlassian.net/wiki/spaces/DIC/pages/427163745"}</v>
      </c>
    </row>
    <row r="244" spans="1:5" ht="13.9" thickTop="1" thickBot="1" x14ac:dyDescent="0.4">
      <c r="A244" s="3" t="str">
        <f>NodesData[[#This Row],[Common Name]]</f>
        <v>Insider</v>
      </c>
      <c r="B244" s="3" t="str">
        <f>IF(NodesData[[#This Row],[Context Instanciation]]="","",NodesData[[#This Row],[Context Instanciation]])</f>
        <v/>
      </c>
      <c r="C244" s="22" t="str">
        <f>NodesData[[#This Row],[Node ID]]</f>
        <v>n4FB0018B_54D8_4931_8F94_16C63A3F8C83</v>
      </c>
      <c r="D244" s="4"/>
      <c r="E244" s="25" t="str" cm="1">
        <f t="array" ref="E244">IF(ROW(NodesJSON[[#This Row],[label]])&gt;ROW(NodesJSON[[#Headers],[JSON]])+1,",","") &amp;"{"&amp;twoRangesToJSON(NodesJSON[[#Headers],[label]:[url]],NodesJSON[[#This Row],[label]:[url]])&amp;"}"</f>
        <v>,{"label":"Insider","group":"","id":"n4FB0018B_54D8_4931_8F94_16C63A3F8C83","url":""}</v>
      </c>
    </row>
    <row r="245" spans="1:5" ht="13.9" thickTop="1" thickBot="1" x14ac:dyDescent="0.4">
      <c r="A245" s="3" t="str">
        <f>NodesData[[#This Row],[Common Name]]</f>
        <v>Insider Attack</v>
      </c>
      <c r="B245" s="3" t="str">
        <f>IF(NodesData[[#This Row],[Context Instanciation]]="","",NodesData[[#This Row],[Context Instanciation]])</f>
        <v/>
      </c>
      <c r="C245" s="22" t="str">
        <f>NodesData[[#This Row],[Node ID]]</f>
        <v>n429FED9F_D609_402A_A4D4_27BF7F04F154</v>
      </c>
      <c r="D245" s="3"/>
      <c r="E245" s="25" t="str" cm="1">
        <f t="array" ref="E245">IF(ROW(NodesJSON[[#This Row],[label]])&gt;ROW(NodesJSON[[#Headers],[JSON]])+1,",","") &amp;"{"&amp;twoRangesToJSON(NodesJSON[[#Headers],[label]:[url]],NodesJSON[[#This Row],[label]:[url]])&amp;"}"</f>
        <v>,{"label":"Insider Attack","group":"","id":"n429FED9F_D609_402A_A4D4_27BF7F04F154","url":""}</v>
      </c>
    </row>
    <row r="246" spans="1:5" ht="13.9" thickTop="1" thickBot="1" x14ac:dyDescent="0.4">
      <c r="A246" s="3" t="str">
        <f>NodesData[[#This Row],[Common Name]]</f>
        <v>Insider Threat</v>
      </c>
      <c r="B246" s="3" t="str">
        <f>IF(NodesData[[#This Row],[Context Instanciation]]="","",NodesData[[#This Row],[Context Instanciation]])</f>
        <v/>
      </c>
      <c r="C246" s="22" t="str">
        <f>NodesData[[#This Row],[Node ID]]</f>
        <v>n4BBD1B98_1E78_4A7C_AFAA_86753DB40829</v>
      </c>
      <c r="D246" s="4"/>
      <c r="E246" s="25" t="str" cm="1">
        <f t="array" ref="E246">IF(ROW(NodesJSON[[#This Row],[label]])&gt;ROW(NodesJSON[[#Headers],[JSON]])+1,",","") &amp;"{"&amp;twoRangesToJSON(NodesJSON[[#Headers],[label]:[url]],NodesJSON[[#This Row],[label]:[url]])&amp;"}"</f>
        <v>,{"label":"Insider Threat","group":"","id":"n4BBD1B98_1E78_4A7C_AFAA_86753DB40829","url":""}</v>
      </c>
    </row>
    <row r="247" spans="1:5" ht="13.9" thickTop="1" thickBot="1" x14ac:dyDescent="0.4">
      <c r="A247" s="3" t="str">
        <f>NodesData[[#This Row],[Common Name]]</f>
        <v>Insufficient Granularity of Access Control</v>
      </c>
      <c r="B247" s="3" t="str">
        <f>IF(NodesData[[#This Row],[Context Instanciation]]="","",NodesData[[#This Row],[Context Instanciation]])</f>
        <v/>
      </c>
      <c r="C247" s="22" t="str">
        <f>NodesData[[#This Row],[Node ID]]</f>
        <v>n5C69F995_02F9_4641_8DDC_1DEAB80E3377</v>
      </c>
      <c r="D247" s="10" t="s">
        <v>909</v>
      </c>
      <c r="E247" s="25" t="str" cm="1">
        <f t="array" ref="E247">IF(ROW(NodesJSON[[#This Row],[label]])&gt;ROW(NodesJSON[[#Headers],[JSON]])+1,",","") &amp;"{"&amp;twoRangesToJSON(NodesJSON[[#Headers],[label]:[url]],NodesJSON[[#This Row],[label]:[url]])&amp;"}"</f>
        <v>,{"label":"Insufficient Granularity of Access Control","group":"","id":"n5C69F995_02F9_4641_8DDC_1DEAB80E3377","url":"https://open-measure.atlassian.net/wiki/spaces/DIC/pages/442499114"}</v>
      </c>
    </row>
    <row r="248" spans="1:5" ht="13.9" thickTop="1" thickBot="1" x14ac:dyDescent="0.4">
      <c r="A248" s="3" t="str">
        <f>NodesData[[#This Row],[Common Name]]</f>
        <v>Intentional Error</v>
      </c>
      <c r="B248" s="3" t="str">
        <f>IF(NodesData[[#This Row],[Context Instanciation]]="","",NodesData[[#This Row],[Context Instanciation]])</f>
        <v/>
      </c>
      <c r="C248" s="22" t="str">
        <f>NodesData[[#This Row],[Node ID]]</f>
        <v>nA9BAB0B4_F590_4EA4_BCC5_9C8C3863E83A</v>
      </c>
      <c r="D248" s="10" t="s">
        <v>911</v>
      </c>
      <c r="E248" s="25" t="str" cm="1">
        <f t="array" ref="E248">IF(ROW(NodesJSON[[#This Row],[label]])&gt;ROW(NodesJSON[[#Headers],[JSON]])+1,",","") &amp;"{"&amp;twoRangesToJSON(NodesJSON[[#Headers],[label]:[url]],NodesJSON[[#This Row],[label]:[url]])&amp;"}"</f>
        <v>,{"label":"Intentional Error","group":"","id":"nA9BAB0B4_F590_4EA4_BCC5_9C8C3863E83A","url":"https://open-measure.atlassian.net/wiki/spaces/DIC/pages/442400811"}</v>
      </c>
    </row>
    <row r="249" spans="1:5" ht="13.9" thickTop="1" thickBot="1" x14ac:dyDescent="0.4">
      <c r="A249" s="3" t="str">
        <f>NodesData[[#This Row],[Common Name]]</f>
        <v>Interested Party</v>
      </c>
      <c r="B249" s="3" t="str">
        <f>IF(NodesData[[#This Row],[Context Instanciation]]="","",NodesData[[#This Row],[Context Instanciation]])</f>
        <v/>
      </c>
      <c r="C249" s="22" t="str">
        <f>NodesData[[#This Row],[Node ID]]</f>
        <v>n0C1E6A85_DF85_4330_881B_C5F42F671FD5</v>
      </c>
      <c r="D249" s="10" t="s">
        <v>913</v>
      </c>
      <c r="E249" s="25" t="str" cm="1">
        <f t="array" ref="E249">IF(ROW(NodesJSON[[#This Row],[label]])&gt;ROW(NodesJSON[[#Headers],[JSON]])+1,",","") &amp;"{"&amp;twoRangesToJSON(NodesJSON[[#Headers],[label]:[url]],NodesJSON[[#This Row],[label]:[url]])&amp;"}"</f>
        <v>,{"label":"Interested Party","group":"","id":"n0C1E6A85_DF85_4330_881B_C5F42F671FD5","url":"https://open-measure.atlassian.net/wiki/spaces/DIC/pages/1177681925"}</v>
      </c>
    </row>
    <row r="250" spans="1:5" ht="13.9" thickTop="1" thickBot="1" x14ac:dyDescent="0.4">
      <c r="A250" s="3" t="str">
        <f>NodesData[[#This Row],[Common Name]]</f>
        <v>Interoperability</v>
      </c>
      <c r="B250" s="3" t="str">
        <f>IF(NodesData[[#This Row],[Context Instanciation]]="","",NodesData[[#This Row],[Context Instanciation]])</f>
        <v/>
      </c>
      <c r="C250" s="22" t="str">
        <f>NodesData[[#This Row],[Node ID]]</f>
        <v>nE94C80F1_064A_44B2_BDBC_0056E1019A9F</v>
      </c>
      <c r="D250" s="10" t="s">
        <v>915</v>
      </c>
      <c r="E250" s="25" t="str" cm="1">
        <f t="array" ref="E250">IF(ROW(NodesJSON[[#This Row],[label]])&gt;ROW(NodesJSON[[#Headers],[JSON]])+1,",","") &amp;"{"&amp;twoRangesToJSON(NodesJSON[[#Headers],[label]:[url]],NodesJSON[[#This Row],[label]:[url]])&amp;"}"</f>
        <v>,{"label":"Interoperability","group":"","id":"nE94C80F1_064A_44B2_BDBC_0056E1019A9F","url":"https://open-measure.atlassian.net/wiki/spaces/DIC/pages/1181843548"}</v>
      </c>
    </row>
    <row r="251" spans="1:5" ht="13.9" thickTop="1" thickBot="1" x14ac:dyDescent="0.4">
      <c r="A251" s="3" t="str">
        <f>NodesData[[#This Row],[Common Name]]</f>
        <v>Interval Scale</v>
      </c>
      <c r="B251" s="3" t="str">
        <f>IF(NodesData[[#This Row],[Context Instanciation]]="","",NodesData[[#This Row],[Context Instanciation]])</f>
        <v/>
      </c>
      <c r="C251" s="22" t="str">
        <f>NodesData[[#This Row],[Node ID]]</f>
        <v>n3EBA3C47_F9ED_429B_BC3D_679D12721192</v>
      </c>
      <c r="D251" s="10" t="s">
        <v>917</v>
      </c>
      <c r="E251" s="25" t="str" cm="1">
        <f t="array" ref="E251">IF(ROW(NodesJSON[[#This Row],[label]])&gt;ROW(NodesJSON[[#Headers],[JSON]])+1,",","") &amp;"{"&amp;twoRangesToJSON(NodesJSON[[#Headers],[label]:[url]],NodesJSON[[#This Row],[label]:[url]])&amp;"}"</f>
        <v>,{"label":"Interval Scale","group":"","id":"n3EBA3C47_F9ED_429B_BC3D_679D12721192","url":"https://open-measure.atlassian.net/wiki/spaces/DIC/pages/1177780225"}</v>
      </c>
    </row>
    <row r="252" spans="1:5" ht="13.9" thickTop="1" thickBot="1" x14ac:dyDescent="0.4">
      <c r="A252" s="3" t="str">
        <f>NodesData[[#This Row],[Common Name]]</f>
        <v>Iris Recognition Authentication</v>
      </c>
      <c r="B252" s="3" t="str">
        <f>IF(NodesData[[#This Row],[Context Instanciation]]="","",NodesData[[#This Row],[Context Instanciation]])</f>
        <v/>
      </c>
      <c r="C252" s="22" t="str">
        <f>NodesData[[#This Row],[Node ID]]</f>
        <v>nFF2EA87E_84ED_44A7_83DE_4A3C4C0F01DF</v>
      </c>
      <c r="D252" s="10" t="s">
        <v>919</v>
      </c>
      <c r="E252" s="25" t="str" cm="1">
        <f t="array" ref="E252">IF(ROW(NodesJSON[[#This Row],[label]])&gt;ROW(NodesJSON[[#Headers],[JSON]])+1,",","") &amp;"{"&amp;twoRangesToJSON(NodesJSON[[#Headers],[label]:[url]],NodesJSON[[#This Row],[label]:[url]])&amp;"}"</f>
        <v>,{"label":"Iris Recognition Authentication","group":"","id":"nFF2EA87E_84ED_44A7_83DE_4A3C4C0F01DF","url":"https://open-measure.atlassian.net/wiki/spaces/DIC/pages/49250375"}</v>
      </c>
    </row>
    <row r="253" spans="1:5" ht="13.9" thickTop="1" thickBot="1" x14ac:dyDescent="0.4">
      <c r="A253" s="3" t="str">
        <f>NodesData[[#This Row],[Common Name]]</f>
        <v>Isolated Identity Management System</v>
      </c>
      <c r="B253" s="3" t="str">
        <f>IF(NodesData[[#This Row],[Context Instanciation]]="","",NodesData[[#This Row],[Context Instanciation]])</f>
        <v/>
      </c>
      <c r="C253" s="22" t="str">
        <f>NodesData[[#This Row],[Node ID]]</f>
        <v>n06B404BB_42D7_49A0_87EF_0BD1066C228B</v>
      </c>
      <c r="D253" s="10" t="s">
        <v>921</v>
      </c>
      <c r="E253" s="25" t="str" cm="1">
        <f t="array" ref="E253">IF(ROW(NodesJSON[[#This Row],[label]])&gt;ROW(NodesJSON[[#Headers],[JSON]])+1,",","") &amp;"{"&amp;twoRangesToJSON(NodesJSON[[#Headers],[label]:[url]],NodesJSON[[#This Row],[label]:[url]])&amp;"}"</f>
        <v>,{"label":"Isolated Identity Management System","group":"","id":"n06B404BB_42D7_49A0_87EF_0BD1066C228B","url":"https://open-measure.atlassian.net/wiki/spaces/DIC/pages/1006698533"}</v>
      </c>
    </row>
    <row r="254" spans="1:5" ht="13.9" thickTop="1" thickBot="1" x14ac:dyDescent="0.4">
      <c r="A254" s="3" t="str">
        <f>NodesData[[#This Row],[Common Name]]</f>
        <v>IT Asset Scope</v>
      </c>
      <c r="B254" s="3" t="str">
        <f>IF(NodesData[[#This Row],[Context Instanciation]]="","",NodesData[[#This Row],[Context Instanciation]])</f>
        <v/>
      </c>
      <c r="C254" s="22" t="str">
        <f>NodesData[[#This Row],[Node ID]]</f>
        <v>n29ED772E_0526_4755_B8BE_2218FA7602F9</v>
      </c>
      <c r="D254" s="10" t="s">
        <v>923</v>
      </c>
      <c r="E254" s="25" t="str" cm="1">
        <f t="array" ref="E254">IF(ROW(NodesJSON[[#This Row],[label]])&gt;ROW(NodesJSON[[#Headers],[JSON]])+1,",","") &amp;"{"&amp;twoRangesToJSON(NodesJSON[[#Headers],[label]:[url]],NodesJSON[[#This Row],[label]:[url]])&amp;"}"</f>
        <v>,{"label":"IT Asset Scope","group":"","id":"n29ED772E_0526_4755_B8BE_2218FA7602F9","url":"https://open-measure.atlassian.net/wiki/spaces/DIC/pages/442466361"}</v>
      </c>
    </row>
    <row r="255" spans="1:5" ht="13.9" thickTop="1" thickBot="1" x14ac:dyDescent="0.4">
      <c r="A255" s="3" t="str">
        <f>NodesData[[#This Row],[Common Name]]</f>
        <v>IT Component</v>
      </c>
      <c r="B255" s="3" t="str">
        <f>IF(NodesData[[#This Row],[Context Instanciation]]="","",NodesData[[#This Row],[Context Instanciation]])</f>
        <v/>
      </c>
      <c r="C255" s="22" t="str">
        <f>NodesData[[#This Row],[Node ID]]</f>
        <v>n80310A12_2F48_48B9_A9C3_E6FADD4B55C9</v>
      </c>
      <c r="D255" s="10" t="s">
        <v>925</v>
      </c>
      <c r="E255" s="25" t="str" cm="1">
        <f t="array" ref="E255">IF(ROW(NodesJSON[[#This Row],[label]])&gt;ROW(NodesJSON[[#Headers],[JSON]])+1,",","") &amp;"{"&amp;twoRangesToJSON(NodesJSON[[#Headers],[label]:[url]],NodesJSON[[#This Row],[label]:[url]])&amp;"}"</f>
        <v>,{"label":"IT Component","group":"","id":"n80310A12_2F48_48B9_A9C3_E6FADD4B55C9","url":"https://open-measure.atlassian.net/wiki/spaces/DIC/pages/1104936974"}</v>
      </c>
    </row>
    <row r="256" spans="1:5" ht="13.9" thickTop="1" thickBot="1" x14ac:dyDescent="0.4">
      <c r="A256" s="3" t="str">
        <f>NodesData[[#This Row],[Common Name]]</f>
        <v>IT Hardware</v>
      </c>
      <c r="B256" s="3" t="str">
        <f>IF(NodesData[[#This Row],[Context Instanciation]]="","",NodesData[[#This Row],[Context Instanciation]])</f>
        <v/>
      </c>
      <c r="C256" s="22" t="str">
        <f>NodesData[[#This Row],[Node ID]]</f>
        <v>n940256DD_635E_4F4B_91EA_B3366D40E947</v>
      </c>
      <c r="D256" s="10" t="s">
        <v>927</v>
      </c>
      <c r="E256" s="25" t="str" cm="1">
        <f t="array" ref="E256">IF(ROW(NodesJSON[[#This Row],[label]])&gt;ROW(NodesJSON[[#Headers],[JSON]])+1,",","") &amp;"{"&amp;twoRangesToJSON(NodesJSON[[#Headers],[label]:[url]],NodesJSON[[#This Row],[label]:[url]])&amp;"}"</f>
        <v>,{"label":"IT Hardware","group":"","id":"n940256DD_635E_4F4B_91EA_B3366D40E947","url":"https://open-measure.atlassian.net/wiki/spaces/DIC/pages/442368033"}</v>
      </c>
    </row>
    <row r="257" spans="1:5" ht="13.9" thickTop="1" thickBot="1" x14ac:dyDescent="0.4">
      <c r="A257" s="3" t="str">
        <f>NodesData[[#This Row],[Common Name]]</f>
        <v>IT Software</v>
      </c>
      <c r="B257" s="3" t="str">
        <f>IF(NodesData[[#This Row],[Context Instanciation]]="","",NodesData[[#This Row],[Context Instanciation]])</f>
        <v/>
      </c>
      <c r="C257" s="22" t="str">
        <f>NodesData[[#This Row],[Node ID]]</f>
        <v>nBB725018_7327_49FB_A48A_74839D0C04F9</v>
      </c>
      <c r="D257" s="10" t="s">
        <v>929</v>
      </c>
      <c r="E257" s="25" t="str" cm="1">
        <f t="array" ref="E257">IF(ROW(NodesJSON[[#This Row],[label]])&gt;ROW(NodesJSON[[#Headers],[JSON]])+1,",","") &amp;"{"&amp;twoRangesToJSON(NodesJSON[[#Headers],[label]:[url]],NodesJSON[[#This Row],[label]:[url]])&amp;"}"</f>
        <v>,{"label":"IT Software","group":"","id":"nBB725018_7327_49FB_A48A_74839D0C04F9","url":"https://open-measure.atlassian.net/wiki/spaces/DIC/pages/442466381"}</v>
      </c>
    </row>
    <row r="258" spans="1:5" ht="13.9" thickTop="1" thickBot="1" x14ac:dyDescent="0.4">
      <c r="A258" s="3" t="str">
        <f>NodesData[[#This Row],[Common Name]]</f>
        <v>IT System</v>
      </c>
      <c r="B258" s="3" t="str">
        <f>IF(NodesData[[#This Row],[Context Instanciation]]="","",NodesData[[#This Row],[Context Instanciation]])</f>
        <v/>
      </c>
      <c r="C258" s="22" t="str">
        <f>NodesData[[#This Row],[Node ID]]</f>
        <v>nC607594D_D597_4C8E_9605_EED87566C2FD</v>
      </c>
      <c r="D258" s="10" t="s">
        <v>931</v>
      </c>
      <c r="E258" s="25" t="str" cm="1">
        <f t="array" ref="E258">IF(ROW(NodesJSON[[#This Row],[label]])&gt;ROW(NodesJSON[[#Headers],[JSON]])+1,",","") &amp;"{"&amp;twoRangesToJSON(NodesJSON[[#Headers],[label]:[url]],NodesJSON[[#This Row],[label]:[url]])&amp;"}"</f>
        <v>,{"label":"IT System","group":"","id":"nC607594D_D597_4C8E_9605_EED87566C2FD","url":"https://open-measure.atlassian.net/wiki/spaces/DIC/pages/1177845957"}</v>
      </c>
    </row>
    <row r="259" spans="1:5" ht="13.9" thickTop="1" thickBot="1" x14ac:dyDescent="0.4">
      <c r="A259" s="3" t="str">
        <f>NodesData[[#This Row],[Common Name]]</f>
        <v>JML</v>
      </c>
      <c r="B259" s="3" t="str">
        <f>IF(NodesData[[#This Row],[Context Instanciation]]="","",NodesData[[#This Row],[Context Instanciation]])</f>
        <v/>
      </c>
      <c r="C259" s="22" t="str">
        <f>NodesData[[#This Row],[Node ID]]</f>
        <v>n4BA874E7_FD38_4B95_9C12_7EC786240F23</v>
      </c>
      <c r="D259" s="10" t="s">
        <v>933</v>
      </c>
      <c r="E259" s="25" t="str" cm="1">
        <f t="array" ref="E259">IF(ROW(NodesJSON[[#This Row],[label]])&gt;ROW(NodesJSON[[#Headers],[JSON]])+1,",","") &amp;"{"&amp;twoRangesToJSON(NodesJSON[[#Headers],[label]:[url]],NodesJSON[[#This Row],[label]:[url]])&amp;"}"</f>
        <v>,{"label":"JML","group":"","id":"n4BA874E7_FD38_4B95_9C12_7EC786240F23","url":"https://open-measure.atlassian.net/wiki/spaces/DIC/pages/442400912"}</v>
      </c>
    </row>
    <row r="260" spans="1:5" ht="13.9" thickTop="1" thickBot="1" x14ac:dyDescent="0.4">
      <c r="A260" s="3" t="str">
        <f>NodesData[[#This Row],[Common Name]]</f>
        <v>Joiner</v>
      </c>
      <c r="B260" s="3" t="str">
        <f>IF(NodesData[[#This Row],[Context Instanciation]]="","",NodesData[[#This Row],[Context Instanciation]])</f>
        <v/>
      </c>
      <c r="C260" s="22" t="str">
        <f>NodesData[[#This Row],[Node ID]]</f>
        <v>n919E37D7_0E0D_437A_A4B9_F0C63FC91592</v>
      </c>
      <c r="D260" s="3"/>
      <c r="E260" s="25" t="str" cm="1">
        <f t="array" ref="E260">IF(ROW(NodesJSON[[#This Row],[label]])&gt;ROW(NodesJSON[[#Headers],[JSON]])+1,",","") &amp;"{"&amp;twoRangesToJSON(NodesJSON[[#Headers],[label]:[url]],NodesJSON[[#This Row],[label]:[url]])&amp;"}"</f>
        <v>,{"label":"Joiner","group":"","id":"n919E37D7_0E0D_437A_A4B9_F0C63FC91592","url":""}</v>
      </c>
    </row>
    <row r="261" spans="1:5" ht="13.9" thickTop="1" thickBot="1" x14ac:dyDescent="0.4">
      <c r="A261" s="3" t="str">
        <f>NodesData[[#This Row],[Common Name]]</f>
        <v>Joiner Hire Date</v>
      </c>
      <c r="B261" s="3" t="str">
        <f>IF(NodesData[[#This Row],[Context Instanciation]]="","",NodesData[[#This Row],[Context Instanciation]])</f>
        <v/>
      </c>
      <c r="C261" s="22" t="str">
        <f>NodesData[[#This Row],[Node ID]]</f>
        <v>nF036ACA7_5DED_4C47_BEC4_43A7941A1A11</v>
      </c>
      <c r="D261" s="10" t="s">
        <v>934</v>
      </c>
      <c r="E261" s="25" t="str" cm="1">
        <f t="array" ref="E261">IF(ROW(NodesJSON[[#This Row],[label]])&gt;ROW(NodesJSON[[#Headers],[JSON]])+1,",","") &amp;"{"&amp;twoRangesToJSON(NodesJSON[[#Headers],[label]:[url]],NodesJSON[[#This Row],[label]:[url]])&amp;"}"</f>
        <v>,{"label":"Joiner Hire Date","group":"","id":"nF036ACA7_5DED_4C47_BEC4_43A7941A1A11","url":"https://open-measure.atlassian.net/wiki/spaces/DIC/pages/1452048577/Logic+Bomb"}</v>
      </c>
    </row>
    <row r="262" spans="1:5" ht="13.9" thickTop="1" thickBot="1" x14ac:dyDescent="0.4">
      <c r="A262" s="3" t="str">
        <f>NodesData[[#This Row],[Common Name]]</f>
        <v>Joiner Lead Time</v>
      </c>
      <c r="B262" s="3" t="str">
        <f>IF(NodesData[[#This Row],[Context Instanciation]]="","",NodesData[[#This Row],[Context Instanciation]])</f>
        <v/>
      </c>
      <c r="C262" s="22" t="str">
        <f>NodesData[[#This Row],[Node ID]]</f>
        <v>n85D3D9C0_BF0A_457D_9E9E_918869EE6A60</v>
      </c>
      <c r="D262" s="10" t="s">
        <v>935</v>
      </c>
      <c r="E262" s="25" t="str" cm="1">
        <f t="array" ref="E262">IF(ROW(NodesJSON[[#This Row],[label]])&gt;ROW(NodesJSON[[#Headers],[JSON]])+1,",","") &amp;"{"&amp;twoRangesToJSON(NodesJSON[[#Headers],[label]:[url]],NodesJSON[[#This Row],[label]:[url]])&amp;"}"</f>
        <v>,{"label":"Joiner Lead Time","group":"","id":"n85D3D9C0_BF0A_457D_9E9E_918869EE6A60","url":"https://open-measure.atlassian.net/wiki/spaces/DIC/pages/1440153606/Login"}</v>
      </c>
    </row>
    <row r="263" spans="1:5" ht="13.9" thickTop="1" thickBot="1" x14ac:dyDescent="0.4">
      <c r="A263" s="3" t="str">
        <f>NodesData[[#This Row],[Common Name]]</f>
        <v>Joiner Process</v>
      </c>
      <c r="B263" s="3" t="str">
        <f>IF(NodesData[[#This Row],[Context Instanciation]]="","",NodesData[[#This Row],[Context Instanciation]])</f>
        <v/>
      </c>
      <c r="C263" s="22" t="str">
        <f>NodesData[[#This Row],[Node ID]]</f>
        <v>n2156A14C_9F0A_4133_9B6B_E2F493C2DDE5</v>
      </c>
      <c r="D263" s="10" t="s">
        <v>936</v>
      </c>
      <c r="E263" s="25" t="str" cm="1">
        <f t="array" ref="E263">IF(ROW(NodesJSON[[#This Row],[label]])&gt;ROW(NodesJSON[[#Headers],[JSON]])+1,",","") &amp;"{"&amp;twoRangesToJSON(NodesJSON[[#Headers],[label]:[url]],NodesJSON[[#This Row],[label]:[url]])&amp;"}"</f>
        <v>,{"label":"Joiner Process","group":"","id":"n2156A14C_9F0A_4133_9B6B_E2F493C2DDE5","url":"https://open-measure.atlassian.net/wiki/spaces/DIC/pages/1428685307/Login+ID"}</v>
      </c>
    </row>
    <row r="264" spans="1:5" ht="13.9" thickTop="1" thickBot="1" x14ac:dyDescent="0.4">
      <c r="A264" s="3" t="str">
        <f>NodesData[[#This Row],[Common Name]]</f>
        <v>Joiner Start Date</v>
      </c>
      <c r="B264" s="3" t="str">
        <f>IF(NodesData[[#This Row],[Context Instanciation]]="","",NodesData[[#This Row],[Context Instanciation]])</f>
        <v/>
      </c>
      <c r="C264" s="22" t="str">
        <f>NodesData[[#This Row],[Node ID]]</f>
        <v>n9DBB71BC_1401_49CF_8C61_CD7DE85382A7</v>
      </c>
      <c r="D264" s="10" t="s">
        <v>937</v>
      </c>
      <c r="E264" s="25" t="str" cm="1">
        <f t="array" ref="E264">IF(ROW(NodesJSON[[#This Row],[label]])&gt;ROW(NodesJSON[[#Headers],[JSON]])+1,",","") &amp;"{"&amp;twoRangesToJSON(NodesJSON[[#Headers],[label]:[url]],NodesJSON[[#This Row],[label]:[url]])&amp;"}"</f>
        <v>,{"label":"Joiner Start Date","group":"","id":"n9DBB71BC_1401_49CF_8C61_CD7DE85382A7","url":"https://open-measure.atlassian.net/wiki/spaces/DIC/pages/1428685365/Login+Name"}</v>
      </c>
    </row>
    <row r="265" spans="1:5" ht="13.9" thickTop="1" thickBot="1" x14ac:dyDescent="0.4">
      <c r="A265" s="3" t="str">
        <f>NodesData[[#This Row],[Common Name]]</f>
        <v>Key Criteria Type</v>
      </c>
      <c r="B265" s="3" t="str">
        <f>IF(NodesData[[#This Row],[Context Instanciation]]="","",NodesData[[#This Row],[Context Instanciation]])</f>
        <v/>
      </c>
      <c r="C265" s="22" t="str">
        <f>NodesData[[#This Row],[Node ID]]</f>
        <v>n8B8EDDAB_CC41_45B7_8B8A_AC9D282F1C05</v>
      </c>
      <c r="D265" s="10" t="s">
        <v>939</v>
      </c>
      <c r="E265" s="25" t="str" cm="1">
        <f t="array" ref="E265">IF(ROW(NodesJSON[[#This Row],[label]])&gt;ROW(NodesJSON[[#Headers],[JSON]])+1,",","") &amp;"{"&amp;twoRangesToJSON(NodesJSON[[#Headers],[label]:[url]],NodesJSON[[#This Row],[label]:[url]])&amp;"}"</f>
        <v>,{"label":"Key Criteria Type","group":"","id":"n8B8EDDAB_CC41_45B7_8B8A_AC9D282F1C05","url":"https://open-measure.atlassian.net/wiki/spaces/DIC/pages/67699227"}</v>
      </c>
    </row>
    <row r="266" spans="1:5" ht="13.9" thickTop="1" thickBot="1" x14ac:dyDescent="0.4">
      <c r="A266" s="3" t="str">
        <f>NodesData[[#This Row],[Common Name]]</f>
        <v>Key Information</v>
      </c>
      <c r="B266" s="3" t="str">
        <f>IF(NodesData[[#This Row],[Context Instanciation]]="","",NodesData[[#This Row],[Context Instanciation]])</f>
        <v/>
      </c>
      <c r="C266" s="22" t="str">
        <f>NodesData[[#This Row],[Node ID]]</f>
        <v>n3073C6C9_12F8_44C9_8D1B_2F7187AD9F60</v>
      </c>
      <c r="D266" s="10" t="s">
        <v>941</v>
      </c>
      <c r="E266" s="25" t="str" cm="1">
        <f t="array" ref="E266">IF(ROW(NodesJSON[[#This Row],[label]])&gt;ROW(NodesJSON[[#Headers],[JSON]])+1,",","") &amp;"{"&amp;twoRangesToJSON(NodesJSON[[#Headers],[label]:[url]],NodesJSON[[#This Row],[label]:[url]])&amp;"}"</f>
        <v>,{"label":"Key Information","group":"","id":"n3073C6C9_12F8_44C9_8D1B_2F7187AD9F60","url":"https://open-measure.atlassian.net/wiki/spaces/DIC/pages/834044288"}</v>
      </c>
    </row>
    <row r="267" spans="1:5" ht="13.9" thickTop="1" thickBot="1" x14ac:dyDescent="0.4">
      <c r="A267" s="3" t="str">
        <f>NodesData[[#This Row],[Common Name]]</f>
        <v>Keying Material</v>
      </c>
      <c r="B267" s="3" t="str">
        <f>IF(NodesData[[#This Row],[Context Instanciation]]="","",NodesData[[#This Row],[Context Instanciation]])</f>
        <v/>
      </c>
      <c r="C267" s="22" t="str">
        <f>NodesData[[#This Row],[Node ID]]</f>
        <v>n6AE1B549_6E17_4533_A2B8_5AFB4B73B654</v>
      </c>
      <c r="D267" s="4"/>
      <c r="E267" s="25" t="str" cm="1">
        <f t="array" ref="E267">IF(ROW(NodesJSON[[#This Row],[label]])&gt;ROW(NodesJSON[[#Headers],[JSON]])+1,",","") &amp;"{"&amp;twoRangesToJSON(NodesJSON[[#Headers],[label]:[url]],NodesJSON[[#This Row],[label]:[url]])&amp;"}"</f>
        <v>,{"label":"Keying Material","group":"","id":"n6AE1B549_6E17_4533_A2B8_5AFB4B73B654","url":""}</v>
      </c>
    </row>
    <row r="268" spans="1:5" ht="13.9" thickTop="1" thickBot="1" x14ac:dyDescent="0.4">
      <c r="A268" s="3" t="str">
        <f>NodesData[[#This Row],[Common Name]]</f>
        <v>Keystroke Recognition Authentication</v>
      </c>
      <c r="B268" s="3" t="str">
        <f>IF(NodesData[[#This Row],[Context Instanciation]]="","",NodesData[[#This Row],[Context Instanciation]])</f>
        <v/>
      </c>
      <c r="C268" s="22" t="str">
        <f>NodesData[[#This Row],[Node ID]]</f>
        <v>n35F5759D_AAFF_439C_A04E_623AA07EE4D9</v>
      </c>
      <c r="D268" s="10" t="s">
        <v>943</v>
      </c>
      <c r="E268" s="25" t="str" cm="1">
        <f t="array" ref="E268">IF(ROW(NodesJSON[[#This Row],[label]])&gt;ROW(NodesJSON[[#Headers],[JSON]])+1,",","") &amp;"{"&amp;twoRangesToJSON(NodesJSON[[#Headers],[label]:[url]],NodesJSON[[#This Row],[label]:[url]])&amp;"}"</f>
        <v>,{"label":"Keystroke Recognition Authentication","group":"","id":"n35F5759D_AAFF_439C_A04E_623AA07EE4D9","url":"https://open-measure.atlassian.net/wiki/spaces/DIC/pages/75890760"}</v>
      </c>
    </row>
    <row r="269" spans="1:5" ht="13.9" thickTop="1" thickBot="1" x14ac:dyDescent="0.4">
      <c r="A269" s="3" t="str">
        <f>NodesData[[#This Row],[Common Name]]</f>
        <v>Knowledge Factor</v>
      </c>
      <c r="B269" s="3" t="str">
        <f>IF(NodesData[[#This Row],[Context Instanciation]]="","",NodesData[[#This Row],[Context Instanciation]])</f>
        <v/>
      </c>
      <c r="C269" s="22" t="str">
        <f>NodesData[[#This Row],[Node ID]]</f>
        <v>n63EDDBAD_A168_4974_B9D5_9B90FB3F688E</v>
      </c>
      <c r="D269" s="10" t="s">
        <v>945</v>
      </c>
      <c r="E269" s="25" t="str" cm="1">
        <f t="array" ref="E269">IF(ROW(NodesJSON[[#This Row],[label]])&gt;ROW(NodesJSON[[#Headers],[JSON]])+1,",","") &amp;"{"&amp;twoRangesToJSON(NodesJSON[[#Headers],[label]:[url]],NodesJSON[[#This Row],[label]:[url]])&amp;"}"</f>
        <v>,{"label":"Knowledge Factor","group":"","id":"n63EDDBAD_A168_4974_B9D5_9B90FB3F688E","url":"https://open-measure.atlassian.net/wiki/spaces/DIC/pages/1031241799"}</v>
      </c>
    </row>
    <row r="270" spans="1:5" ht="13.9" thickTop="1" thickBot="1" x14ac:dyDescent="0.4">
      <c r="A270" s="3" t="str">
        <f>NodesData[[#This Row],[Common Name]]</f>
        <v>Knuckleprint Recognition Authentication</v>
      </c>
      <c r="B270" s="3" t="str">
        <f>IF(NodesData[[#This Row],[Context Instanciation]]="","",NodesData[[#This Row],[Context Instanciation]])</f>
        <v/>
      </c>
      <c r="C270" s="22" t="str">
        <f>NodesData[[#This Row],[Node ID]]</f>
        <v>nC63D5B91_5DF9_4B35_856B_670E59CF1CA0</v>
      </c>
      <c r="D270" s="10" t="s">
        <v>946</v>
      </c>
      <c r="E270" s="25" t="str" cm="1">
        <f t="array" ref="E270">IF(ROW(NodesJSON[[#This Row],[label]])&gt;ROW(NodesJSON[[#Headers],[JSON]])+1,",","") &amp;"{"&amp;twoRangesToJSON(NodesJSON[[#Headers],[label]:[url]],NodesJSON[[#This Row],[label]:[url]])&amp;"}"</f>
        <v>,{"label":"Knuckleprint Recognition Authentication","group":"","id":"nC63D5B91_5DF9_4B35_856B_670E59CF1CA0","url":"https://open-measure.atlassian.net/wiki/spaces/DIC/pages/1600684160/Multiple+Accounts"}</v>
      </c>
    </row>
    <row r="271" spans="1:5" ht="13.9" thickTop="1" thickBot="1" x14ac:dyDescent="0.4">
      <c r="A271" s="3" t="str">
        <f>NodesData[[#This Row],[Common Name]]</f>
        <v>KYC Registry</v>
      </c>
      <c r="B271" s="3" t="str">
        <f>IF(NodesData[[#This Row],[Context Instanciation]]="","",NodesData[[#This Row],[Context Instanciation]])</f>
        <v/>
      </c>
      <c r="C271" s="22" t="str">
        <f>NodesData[[#This Row],[Node ID]]</f>
        <v>n118336A6_0C60_4B0E_8F22_B48CA99CA2F4</v>
      </c>
      <c r="D271" s="4"/>
      <c r="E271" s="25" t="str" cm="1">
        <f t="array" ref="E271">IF(ROW(NodesJSON[[#This Row],[label]])&gt;ROW(NodesJSON[[#Headers],[JSON]])+1,",","") &amp;"{"&amp;twoRangesToJSON(NodesJSON[[#Headers],[label]:[url]],NodesJSON[[#This Row],[label]:[url]])&amp;"}"</f>
        <v>,{"label":"KYC Registry","group":"","id":"n118336A6_0C60_4B0E_8F22_B48CA99CA2F4","url":""}</v>
      </c>
    </row>
    <row r="272" spans="1:5" ht="13.9" thickTop="1" thickBot="1" x14ac:dyDescent="0.4">
      <c r="A272" s="3" t="str">
        <f>NodesData[[#This Row],[Common Name]]</f>
        <v>KYC</v>
      </c>
      <c r="B272" s="3" t="str">
        <f>IF(NodesData[[#This Row],[Context Instanciation]]="","",NodesData[[#This Row],[Context Instanciation]])</f>
        <v/>
      </c>
      <c r="C272" s="22" t="str">
        <f>NodesData[[#This Row],[Node ID]]</f>
        <v>nD722A063_3ADB_4367_9941_1F20AAC0CAEC</v>
      </c>
      <c r="D272" s="10" t="s">
        <v>949</v>
      </c>
      <c r="E272" s="25" t="str" cm="1">
        <f t="array" ref="E272">IF(ROW(NodesJSON[[#This Row],[label]])&gt;ROW(NodesJSON[[#Headers],[JSON]])+1,",","") &amp;"{"&amp;twoRangesToJSON(NodesJSON[[#Headers],[label]:[url]],NodesJSON[[#This Row],[label]:[url]])&amp;"}"</f>
        <v>,{"label":"KYC","group":"","id":"nD722A063_3ADB_4367_9941_1F20AAC0CAEC","url":"https://open-measure.atlassian.net/wiki/spaces/DIC/pages/1474592794/Need-to-Know"}</v>
      </c>
    </row>
    <row r="273" spans="1:5" ht="13.9" thickTop="1" thickBot="1" x14ac:dyDescent="0.4">
      <c r="A273" s="3" t="str">
        <f>NodesData[[#This Row],[Common Name]]</f>
        <v>Lattice-Based Access Control</v>
      </c>
      <c r="B273" s="3" t="str">
        <f>IF(NodesData[[#This Row],[Context Instanciation]]="","",NodesData[[#This Row],[Context Instanciation]])</f>
        <v/>
      </c>
      <c r="C273" s="22" t="str">
        <f>NodesData[[#This Row],[Node ID]]</f>
        <v>nA1358380_830F_4EEB_80CE_CC83C065B2E4</v>
      </c>
      <c r="D273" s="10" t="s">
        <v>951</v>
      </c>
      <c r="E273" s="25" t="str" cm="1">
        <f t="array" ref="E273">IF(ROW(NodesJSON[[#This Row],[label]])&gt;ROW(NodesJSON[[#Headers],[JSON]])+1,",","") &amp;"{"&amp;twoRangesToJSON(NodesJSON[[#Headers],[label]:[url]],NodesJSON[[#This Row],[label]:[url]])&amp;"}"</f>
        <v>,{"label":"Lattice-Based Access Control","group":"","id":"nA1358380_830F_4EEB_80CE_CC83C065B2E4","url":"https://open-measure.atlassian.net/wiki/spaces/DIC/pages/858456124"}</v>
      </c>
    </row>
    <row r="274" spans="1:5" ht="13.9" thickTop="1" thickBot="1" x14ac:dyDescent="0.4">
      <c r="A274" s="3" t="str">
        <f>NodesData[[#This Row],[Common Name]]</f>
        <v>Layers Architectural Pattern</v>
      </c>
      <c r="B274" s="3" t="str">
        <f>IF(NodesData[[#This Row],[Context Instanciation]]="","",NodesData[[#This Row],[Context Instanciation]])</f>
        <v/>
      </c>
      <c r="C274" s="22" t="str">
        <f>NodesData[[#This Row],[Node ID]]</f>
        <v>n3EAC848A_1433_441F_9E9A_7FE06432D202</v>
      </c>
      <c r="D274" s="10" t="s">
        <v>953</v>
      </c>
      <c r="E274" s="25" t="str" cm="1">
        <f t="array" ref="E274">IF(ROW(NodesJSON[[#This Row],[label]])&gt;ROW(NodesJSON[[#Headers],[JSON]])+1,",","") &amp;"{"&amp;twoRangesToJSON(NodesJSON[[#Headers],[label]:[url]],NodesJSON[[#This Row],[label]:[url]])&amp;"}"</f>
        <v>,{"label":"Layers Architectural Pattern","group":"","id":"n3EAC848A_1433_441F_9E9A_7FE06432D202","url":"https://open-measure.atlassian.net/wiki/spaces/DIC/pages/1237483723"}</v>
      </c>
    </row>
    <row r="275" spans="1:5" ht="13.9" thickTop="1" thickBot="1" x14ac:dyDescent="0.4">
      <c r="A275" s="3" t="str">
        <f>NodesData[[#This Row],[Common Name]]</f>
        <v>LBAC</v>
      </c>
      <c r="B275" s="3" t="str">
        <f>IF(NodesData[[#This Row],[Context Instanciation]]="","",NodesData[[#This Row],[Context Instanciation]])</f>
        <v/>
      </c>
      <c r="C275" s="22" t="str">
        <f>NodesData[[#This Row],[Node ID]]</f>
        <v>n7F5407C3_E9C5_4FD3_A4BC_1BF68CE94502</v>
      </c>
      <c r="D275" s="10" t="s">
        <v>955</v>
      </c>
      <c r="E275" s="25" t="str" cm="1">
        <f t="array" ref="E275">IF(ROW(NodesJSON[[#This Row],[label]])&gt;ROW(NodesJSON[[#Headers],[JSON]])+1,",","") &amp;"{"&amp;twoRangesToJSON(NodesJSON[[#Headers],[label]:[url]],NodesJSON[[#This Row],[label]:[url]])&amp;"}"</f>
        <v>,{"label":"LBAC","group":"","id":"n7F5407C3_E9C5_4FD3_A4BC_1BF68CE94502","url":"https://open-measure.atlassian.net/wiki/spaces/DIC/pages/858554692"}</v>
      </c>
    </row>
    <row r="276" spans="1:5" ht="13.9" thickTop="1" thickBot="1" x14ac:dyDescent="0.4">
      <c r="A276" s="3" t="str">
        <f>NodesData[[#This Row],[Common Name]]</f>
        <v>Leading Indicator</v>
      </c>
      <c r="B276" s="3" t="str">
        <f>IF(NodesData[[#This Row],[Context Instanciation]]="","",NodesData[[#This Row],[Context Instanciation]])</f>
        <v/>
      </c>
      <c r="C276" s="22" t="str">
        <f>NodesData[[#This Row],[Node ID]]</f>
        <v>nCDB2CA01_F37D_45DF_8EBF_86192F36727D</v>
      </c>
      <c r="D276" s="10" t="s">
        <v>956</v>
      </c>
      <c r="E276" s="25" t="str" cm="1">
        <f t="array" ref="E276">IF(ROW(NodesJSON[[#This Row],[label]])&gt;ROW(NodesJSON[[#Headers],[JSON]])+1,",","") &amp;"{"&amp;twoRangesToJSON(NodesJSON[[#Headers],[label]:[url]],NodesJSON[[#This Row],[label]:[url]])&amp;"}"</f>
        <v>,{"label":"Leading Indicator","group":"","id":"nCDB2CA01_F37D_45DF_8EBF_86192F36727D","url":"https://open-measure.atlassian.net/wiki/spaces/DIC/pages/1323336029/Numerical+Identity"}</v>
      </c>
    </row>
    <row r="277" spans="1:5" ht="13.9" thickTop="1" thickBot="1" x14ac:dyDescent="0.4">
      <c r="A277" s="3" t="str">
        <f>NodesData[[#This Row],[Common Name]]</f>
        <v>Least Privilege</v>
      </c>
      <c r="B277" s="3" t="str">
        <f>IF(NodesData[[#This Row],[Context Instanciation]]="","",NodesData[[#This Row],[Context Instanciation]])</f>
        <v/>
      </c>
      <c r="C277" s="22" t="str">
        <f>NodesData[[#This Row],[Node ID]]</f>
        <v>n55E83346_C5D9_4522_AAFE_41AFD850D242</v>
      </c>
      <c r="D277" s="10" t="s">
        <v>948</v>
      </c>
      <c r="E277" s="25" t="str" cm="1">
        <f t="array" ref="E277">IF(ROW(NodesJSON[[#This Row],[label]])&gt;ROW(NodesJSON[[#Headers],[JSON]])+1,",","") &amp;"{"&amp;twoRangesToJSON(NodesJSON[[#Headers],[label]:[url]],NodesJSON[[#This Row],[label]:[url]])&amp;"}"</f>
        <v>,{"label":"Least Privilege","group":"","id":"n55E83346_C5D9_4522_AAFE_41AFD850D242","url":"https://open-measure.atlassian.net/wiki/spaces/DIC/pages/998244664"}</v>
      </c>
    </row>
    <row r="278" spans="1:5" ht="13.9" thickTop="1" thickBot="1" x14ac:dyDescent="0.4">
      <c r="A278" s="3" t="str">
        <f>NodesData[[#This Row],[Common Name]]</f>
        <v>Legal Entity Identifier</v>
      </c>
      <c r="B278" s="3" t="str">
        <f>IF(NodesData[[#This Row],[Context Instanciation]]="","",NodesData[[#This Row],[Context Instanciation]])</f>
        <v/>
      </c>
      <c r="C278" s="22" t="str">
        <f>NodesData[[#This Row],[Node ID]]</f>
        <v>n532F9243_3E60_4095_B0E5_8AEED1D0ED9A</v>
      </c>
      <c r="D278" s="10" t="s">
        <v>960</v>
      </c>
      <c r="E278" s="25" t="str" cm="1">
        <f t="array" ref="E278">IF(ROW(NodesJSON[[#This Row],[label]])&gt;ROW(NodesJSON[[#Headers],[JSON]])+1,",","") &amp;"{"&amp;twoRangesToJSON(NodesJSON[[#Headers],[label]:[url]],NodesJSON[[#This Row],[label]:[url]])&amp;"}"</f>
        <v>,{"label":"Legal Entity Identifier","group":"","id":"n532F9243_3E60_4095_B0E5_8AEED1D0ED9A","url":"https://open-measure.atlassian.net/wiki/spaces/DIC/pages/67568133"}</v>
      </c>
    </row>
    <row r="279" spans="1:5" ht="13.9" thickTop="1" thickBot="1" x14ac:dyDescent="0.4">
      <c r="A279" s="3" t="str">
        <f>NodesData[[#This Row],[Common Name]]</f>
        <v>Legitimate Privilege Abuse</v>
      </c>
      <c r="B279" s="3" t="str">
        <f>IF(NodesData[[#This Row],[Context Instanciation]]="","",NodesData[[#This Row],[Context Instanciation]])</f>
        <v/>
      </c>
      <c r="C279" s="22" t="str">
        <f>NodesData[[#This Row],[Node ID]]</f>
        <v>n9DB8F87B_0E27_4ADC_A89D_30DC429109ED</v>
      </c>
      <c r="D279" s="10" t="s">
        <v>962</v>
      </c>
      <c r="E279" s="25" t="str" cm="1">
        <f t="array" ref="E279">IF(ROW(NodesJSON[[#This Row],[label]])&gt;ROW(NodesJSON[[#Headers],[JSON]])+1,",","") &amp;"{"&amp;twoRangesToJSON(NodesJSON[[#Headers],[label]:[url]],NodesJSON[[#This Row],[label]:[url]])&amp;"}"</f>
        <v>,{"label":"Legitimate Privilege Abuse","group":"","id":"n9DB8F87B_0E27_4ADC_A89D_30DC429109ED","url":"https://open-measure.atlassian.net/wiki/spaces/DIC/pages/998244357"}</v>
      </c>
    </row>
    <row r="280" spans="1:5" ht="13.9" thickTop="1" thickBot="1" x14ac:dyDescent="0.4">
      <c r="A280" s="3" t="str">
        <f>NodesData[[#This Row],[Common Name]]</f>
        <v>LEI</v>
      </c>
      <c r="B280" s="3" t="str">
        <f>IF(NodesData[[#This Row],[Context Instanciation]]="","",NodesData[[#This Row],[Context Instanciation]])</f>
        <v/>
      </c>
      <c r="C280" s="22" t="str">
        <f>NodesData[[#This Row],[Node ID]]</f>
        <v>nE1D131E1_6E4B_4128_ACFC_B11E0284331D</v>
      </c>
      <c r="D280" s="10" t="s">
        <v>958</v>
      </c>
      <c r="E280" s="25" t="str" cm="1">
        <f t="array" ref="E280">IF(ROW(NodesJSON[[#This Row],[label]])&gt;ROW(NodesJSON[[#Headers],[JSON]])+1,",","") &amp;"{"&amp;twoRangesToJSON(NodesJSON[[#Headers],[label]:[url]],NodesJSON[[#This Row],[label]:[url]])&amp;"}"</f>
        <v>,{"label":"LEI","group":"","id":"nE1D131E1_6E4B_4128_ACFC_B11E0284331D","url":"https://open-measure.atlassian.net/wiki/spaces/DIC/pages/446825168"}</v>
      </c>
    </row>
    <row r="281" spans="1:5" ht="13.9" thickTop="1" thickBot="1" x14ac:dyDescent="0.4">
      <c r="A281" s="3" t="str">
        <f>NodesData[[#This Row],[Common Name]]</f>
        <v>Levels of Assurance</v>
      </c>
      <c r="B281" s="3" t="str">
        <f>IF(NodesData[[#This Row],[Context Instanciation]]="","",NodesData[[#This Row],[Context Instanciation]])</f>
        <v/>
      </c>
      <c r="C281" s="22" t="str">
        <f>NodesData[[#This Row],[Node ID]]</f>
        <v>n42CABDEA_283C_4884_BBFF_7B24A5E715E6</v>
      </c>
      <c r="D281" s="10" t="s">
        <v>964</v>
      </c>
      <c r="E281" s="25" t="str" cm="1">
        <f t="array" ref="E281">IF(ROW(NodesJSON[[#This Row],[label]])&gt;ROW(NodesJSON[[#Headers],[JSON]])+1,",","") &amp;"{"&amp;twoRangesToJSON(NodesJSON[[#Headers],[label]:[url]],NodesJSON[[#This Row],[label]:[url]])&amp;"}"</f>
        <v>,{"label":"Levels of Assurance","group":"","id":"n42CABDEA_283C_4884_BBFF_7B24A5E715E6","url":"https://open-measure.atlassian.net/wiki/spaces/DIC/pages/1142358051"}</v>
      </c>
    </row>
    <row r="282" spans="1:5" ht="13.9" thickTop="1" thickBot="1" x14ac:dyDescent="0.4">
      <c r="A282" s="3" t="str">
        <f>NodesData[[#This Row],[Common Name]]</f>
        <v>Liberal Discretionary Access Control</v>
      </c>
      <c r="B282" s="3" t="str">
        <f>IF(NodesData[[#This Row],[Context Instanciation]]="","",NodesData[[#This Row],[Context Instanciation]])</f>
        <v/>
      </c>
      <c r="C282" s="22" t="str">
        <f>NodesData[[#This Row],[Node ID]]</f>
        <v>n6803C365_1074_4F24_A95A_585E021E5FF0</v>
      </c>
      <c r="D282" s="10" t="s">
        <v>966</v>
      </c>
      <c r="E282" s="25" t="str" cm="1">
        <f t="array" ref="E282">IF(ROW(NodesJSON[[#This Row],[label]])&gt;ROW(NodesJSON[[#Headers],[JSON]])+1,",","") &amp;"{"&amp;twoRangesToJSON(NodesJSON[[#Headers],[label]:[url]],NodesJSON[[#This Row],[label]:[url]])&amp;"}"</f>
        <v>,{"label":"Liberal Discretionary Access Control","group":"","id":"n6803C365_1074_4F24_A95A_585E021E5FF0","url":"https://open-measure.atlassian.net/wiki/spaces/DIC/pages/1142259761"}</v>
      </c>
    </row>
    <row r="283" spans="1:5" ht="13.9" thickTop="1" thickBot="1" x14ac:dyDescent="0.4">
      <c r="A283" s="3" t="str">
        <f>NodesData[[#This Row],[Common Name]]</f>
        <v>LOA</v>
      </c>
      <c r="B283" s="3" t="str">
        <f>IF(NodesData[[#This Row],[Context Instanciation]]="","",NodesData[[#This Row],[Context Instanciation]])</f>
        <v/>
      </c>
      <c r="C283" s="22" t="str">
        <f>NodesData[[#This Row],[Node ID]]</f>
        <v>n0CFBF92C_8241_4364_871A_4D3705CF95A0</v>
      </c>
      <c r="D283" s="10" t="s">
        <v>968</v>
      </c>
      <c r="E283" s="25" t="str" cm="1">
        <f t="array" ref="E283">IF(ROW(NodesJSON[[#This Row],[label]])&gt;ROW(NodesJSON[[#Headers],[JSON]])+1,",","") &amp;"{"&amp;twoRangesToJSON(NodesJSON[[#Headers],[label]:[url]],NodesJSON[[#This Row],[label]:[url]])&amp;"}"</f>
        <v>,{"label":"LOA","group":"","id":"n0CFBF92C_8241_4364_871A_4D3705CF95A0","url":"https://open-measure.atlassian.net/wiki/spaces/DIC/pages/3211353"}</v>
      </c>
    </row>
    <row r="284" spans="1:5" ht="13.9" thickTop="1" thickBot="1" x14ac:dyDescent="0.4">
      <c r="A284" s="3" t="str">
        <f>NodesData[[#This Row],[Common Name]]</f>
        <v>Location Factor</v>
      </c>
      <c r="B284" s="3" t="str">
        <f>IF(NodesData[[#This Row],[Context Instanciation]]="","",NodesData[[#This Row],[Context Instanciation]])</f>
        <v/>
      </c>
      <c r="C284" s="22" t="str">
        <f>NodesData[[#This Row],[Node ID]]</f>
        <v>nE61E61F3_D210_49D4_9FB5_8E7744490C9D</v>
      </c>
      <c r="D284" s="10" t="s">
        <v>970</v>
      </c>
      <c r="E284" s="25" t="str" cm="1">
        <f t="array" ref="E284">IF(ROW(NodesJSON[[#This Row],[label]])&gt;ROW(NodesJSON[[#Headers],[JSON]])+1,",","") &amp;"{"&amp;twoRangesToJSON(NodesJSON[[#Headers],[label]:[url]],NodesJSON[[#This Row],[label]:[url]])&amp;"}"</f>
        <v>,{"label":"Location Factor","group":"","id":"nE61E61F3_D210_49D4_9FB5_8E7744490C9D","url":"https://open-measure.atlassian.net/wiki/spaces/DIC/pages/148439181"}</v>
      </c>
    </row>
    <row r="285" spans="1:5" ht="13.9" thickTop="1" thickBot="1" x14ac:dyDescent="0.4">
      <c r="A285" s="3" t="str">
        <f>NodesData[[#This Row],[Common Name]]</f>
        <v>Logic Bomb</v>
      </c>
      <c r="B285" s="3" t="str">
        <f>IF(NodesData[[#This Row],[Context Instanciation]]="","",NodesData[[#This Row],[Context Instanciation]])</f>
        <v/>
      </c>
      <c r="C285" s="22" t="str">
        <f>NodesData[[#This Row],[Node ID]]</f>
        <v>n0824A767_06E0_42E4_86AA_C7ECB7A1A81E</v>
      </c>
      <c r="D285" s="10" t="s">
        <v>972</v>
      </c>
      <c r="E285" s="25" t="str" cm="1">
        <f t="array" ref="E285">IF(ROW(NodesJSON[[#This Row],[label]])&gt;ROW(NodesJSON[[#Headers],[JSON]])+1,",","") &amp;"{"&amp;twoRangesToJSON(NodesJSON[[#Headers],[label]:[url]],NodesJSON[[#This Row],[label]:[url]])&amp;"}"</f>
        <v>,{"label":"Logic Bomb","group":"","id":"n0824A767_06E0_42E4_86AA_C7ECB7A1A81E","url":"https://open-measure.atlassian.net/wiki/spaces/DIC/pages/5932838"}</v>
      </c>
    </row>
    <row r="286" spans="1:5" ht="13.9" thickTop="1" thickBot="1" x14ac:dyDescent="0.4">
      <c r="A286" s="3" t="str">
        <f>NodesData[[#This Row],[Common Name]]</f>
        <v>Login</v>
      </c>
      <c r="B286" s="3" t="str">
        <f>IF(NodesData[[#This Row],[Context Instanciation]]="","",NodesData[[#This Row],[Context Instanciation]])</f>
        <v/>
      </c>
      <c r="C286" s="22" t="str">
        <f>NodesData[[#This Row],[Node ID]]</f>
        <v>n46EF9D9A_E262_42CE_84DD_31B44FFFC872</v>
      </c>
      <c r="D286" s="10" t="s">
        <v>973</v>
      </c>
      <c r="E286" s="25" t="str" cm="1">
        <f t="array" ref="E286">IF(ROW(NodesJSON[[#This Row],[label]])&gt;ROW(NodesJSON[[#Headers],[JSON]])+1,",","") &amp;"{"&amp;twoRangesToJSON(NodesJSON[[#Headers],[label]:[url]],NodesJSON[[#This Row],[label]:[url]])&amp;"}"</f>
        <v>,{"label":"Login","group":"","id":"n46EF9D9A_E262_42CE_84DD_31B44FFFC872","url":"https://open-measure.atlassian.net/wiki/spaces/DIC/pages/1311403"}</v>
      </c>
    </row>
    <row r="287" spans="1:5" ht="13.9" thickTop="1" thickBot="1" x14ac:dyDescent="0.4">
      <c r="A287" s="3" t="str">
        <f>NodesData[[#This Row],[Common Name]]</f>
        <v>Login ID</v>
      </c>
      <c r="B287" s="3" t="str">
        <f>IF(NodesData[[#This Row],[Context Instanciation]]="","",NodesData[[#This Row],[Context Instanciation]])</f>
        <v/>
      </c>
      <c r="C287" s="22" t="str">
        <f>NodesData[[#This Row],[Node ID]]</f>
        <v>nE45E61D9_9369_4987_B110_303B87C7DD18</v>
      </c>
      <c r="D287" s="10" t="s">
        <v>974</v>
      </c>
      <c r="E287" s="25" t="str" cm="1">
        <f t="array" ref="E287">IF(ROW(NodesJSON[[#This Row],[label]])&gt;ROW(NodesJSON[[#Headers],[JSON]])+1,",","") &amp;"{"&amp;twoRangesToJSON(NodesJSON[[#Headers],[label]:[url]],NodesJSON[[#This Row],[label]:[url]])&amp;"}"</f>
        <v>,{"label":"Login ID","group":"","id":"nE45E61D9_9369_4987_B110_303B87C7DD18","url":"https://open-measure.atlassian.net/wiki/spaces/DIC/pages/557057"}</v>
      </c>
    </row>
    <row r="288" spans="1:5" ht="13.9" thickTop="1" thickBot="1" x14ac:dyDescent="0.4">
      <c r="A288" s="3" t="str">
        <f>NodesData[[#This Row],[Common Name]]</f>
        <v>Login Name</v>
      </c>
      <c r="B288" s="3" t="str">
        <f>IF(NodesData[[#This Row],[Context Instanciation]]="","",NodesData[[#This Row],[Context Instanciation]])</f>
        <v/>
      </c>
      <c r="C288" s="22" t="str">
        <f>NodesData[[#This Row],[Node ID]]</f>
        <v>n7CFF42F4_F82C_4184_81FE_6459832E495C</v>
      </c>
      <c r="D288" s="10" t="s">
        <v>976</v>
      </c>
      <c r="E288" s="25" t="str" cm="1">
        <f t="array" ref="E288">IF(ROW(NodesJSON[[#This Row],[label]])&gt;ROW(NodesJSON[[#Headers],[JSON]])+1,",","") &amp;"{"&amp;twoRangesToJSON(NodesJSON[[#Headers],[label]:[url]],NodesJSON[[#This Row],[label]:[url]])&amp;"}"</f>
        <v>,{"label":"Login Name","group":"","id":"n7CFF42F4_F82C_4184_81FE_6459832E495C","url":"https://open-measure.atlassian.net/wiki/spaces/DIC/pages/1061650550"}</v>
      </c>
    </row>
    <row r="289" spans="1:5" ht="13.9" thickTop="1" thickBot="1" x14ac:dyDescent="0.4">
      <c r="A289" s="3" t="str">
        <f>NodesData[[#This Row],[Common Name]]</f>
        <v>Mechanism</v>
      </c>
      <c r="B289" s="3" t="str">
        <f>IF(NodesData[[#This Row],[Context Instanciation]]="","",NodesData[[#This Row],[Context Instanciation]])</f>
        <v/>
      </c>
      <c r="C289" s="22" t="str">
        <f>NodesData[[#This Row],[Node ID]]</f>
        <v>n5093C332_EBE3_4146_9E6E_13A644D6709F</v>
      </c>
      <c r="D289" s="10" t="s">
        <v>977</v>
      </c>
      <c r="E289" s="25" t="str" cm="1">
        <f t="array" ref="E289">IF(ROW(NodesJSON[[#This Row],[label]])&gt;ROW(NodesJSON[[#Headers],[JSON]])+1,",","") &amp;"{"&amp;twoRangesToJSON(NodesJSON[[#Headers],[label]:[url]],NodesJSON[[#This Row],[label]:[url]])&amp;"}"</f>
        <v>,{"label":"Mechanism","group":"","id":"n5093C332_EBE3_4146_9E6E_13A644D6709F","url":"https://open-measure.atlassian.net/wiki/spaces/DIC/pages/1062207530/Orphan+Account"}</v>
      </c>
    </row>
    <row r="290" spans="1:5" ht="13.9" thickTop="1" thickBot="1" x14ac:dyDescent="0.4">
      <c r="A290" s="3" t="str">
        <f>NodesData[[#This Row],[Common Name]]</f>
        <v>Metadirectory</v>
      </c>
      <c r="B290" s="3" t="str">
        <f>IF(NodesData[[#This Row],[Context Instanciation]]="","",NodesData[[#This Row],[Context Instanciation]])</f>
        <v/>
      </c>
      <c r="C290" s="22" t="str">
        <f>NodesData[[#This Row],[Node ID]]</f>
        <v>nFADAB6B8_8A3D_435C_9AD9_15538E50E471</v>
      </c>
      <c r="D290" s="10" t="s">
        <v>979</v>
      </c>
      <c r="E290" s="25" t="str" cm="1">
        <f t="array" ref="E290">IF(ROW(NodesJSON[[#This Row],[label]])&gt;ROW(NodesJSON[[#Headers],[JSON]])+1,",","") &amp;"{"&amp;twoRangesToJSON(NodesJSON[[#Headers],[label]:[url]],NodesJSON[[#This Row],[label]:[url]])&amp;"}"</f>
        <v>,{"label":"Metadirectory","group":"","id":"nFADAB6B8_8A3D_435C_9AD9_15538E50E471","url":"https://open-measure.atlassian.net/wiki/spaces/DIC/pages/1061748965"}</v>
      </c>
    </row>
    <row r="291" spans="1:5" ht="13.9" thickTop="1" thickBot="1" x14ac:dyDescent="0.4">
      <c r="A291" s="3" t="str">
        <f>NodesData[[#This Row],[Common Name]]</f>
        <v>Multidomain Single Sign-On</v>
      </c>
      <c r="B291" s="3" t="str">
        <f>IF(NodesData[[#This Row],[Context Instanciation]]="","",NodesData[[#This Row],[Context Instanciation]])</f>
        <v/>
      </c>
      <c r="C291" s="22" t="str">
        <f>NodesData[[#This Row],[Node ID]]</f>
        <v>nE2E1BE6A_43E8_4B96_8DF5_2E30C8EF3BDF</v>
      </c>
      <c r="D291" s="10" t="s">
        <v>981</v>
      </c>
      <c r="E291" s="25" t="str" cm="1">
        <f t="array" ref="E291">IF(ROW(NodesJSON[[#This Row],[label]])&gt;ROW(NodesJSON[[#Headers],[JSON]])+1,",","") &amp;"{"&amp;twoRangesToJSON(NodesJSON[[#Headers],[label]:[url]],NodesJSON[[#This Row],[label]:[url]])&amp;"}"</f>
        <v>,{"label":"Multidomain Single Sign-On","group":"","id":"nE2E1BE6A_43E8_4B96_8DF5_2E30C8EF3BDF","url":"https://open-measure.atlassian.net/wiki/spaces/DIC/pages/1061650653"}</v>
      </c>
    </row>
    <row r="292" spans="1:5" ht="13.9" thickTop="1" thickBot="1" x14ac:dyDescent="0.4">
      <c r="A292" s="3" t="str">
        <f>NodesData[[#This Row],[Common Name]]</f>
        <v>Multilevel Security</v>
      </c>
      <c r="B292" s="3" t="str">
        <f>IF(NodesData[[#This Row],[Context Instanciation]]="","",NodesData[[#This Row],[Context Instanciation]])</f>
        <v/>
      </c>
      <c r="C292" s="22" t="str">
        <f>NodesData[[#This Row],[Node ID]]</f>
        <v>nF7063463_177E_42A8_8F09_57EF6B9D00BD</v>
      </c>
      <c r="D292" s="10" t="s">
        <v>983</v>
      </c>
      <c r="E292" s="25" t="str" cm="1">
        <f t="array" ref="E292">IF(ROW(NodesJSON[[#This Row],[label]])&gt;ROW(NodesJSON[[#Headers],[JSON]])+1,",","") &amp;"{"&amp;twoRangesToJSON(NodesJSON[[#Headers],[label]:[url]],NodesJSON[[#This Row],[label]:[url]])&amp;"}"</f>
        <v>,{"label":"Multilevel Security","group":"","id":"nF7063463_177E_42A8_8F09_57EF6B9D00BD","url":"https://open-measure.atlassian.net/wiki/spaces/DIC/pages/1061748925"}</v>
      </c>
    </row>
    <row r="293" spans="1:5" ht="13.9" thickTop="1" thickBot="1" x14ac:dyDescent="0.4">
      <c r="A293" s="3" t="str">
        <f>NodesData[[#This Row],[Common Name]]</f>
        <v>Multi-Modal Biometric Authentication</v>
      </c>
      <c r="B293" s="3" t="str">
        <f>IF(NodesData[[#This Row],[Context Instanciation]]="","",NodesData[[#This Row],[Context Instanciation]])</f>
        <v/>
      </c>
      <c r="C293" s="22" t="str">
        <f>NodesData[[#This Row],[Node ID]]</f>
        <v>nF4329B4E_89AE_4B13_8BA2_B6BEFB931A12</v>
      </c>
      <c r="D293" s="10" t="s">
        <v>985</v>
      </c>
      <c r="E293" s="25" t="str" cm="1">
        <f t="array" ref="E293">IF(ROW(NodesJSON[[#This Row],[label]])&gt;ROW(NodesJSON[[#Headers],[JSON]])+1,",","") &amp;"{"&amp;twoRangesToJSON(NodesJSON[[#Headers],[label]:[url]],NodesJSON[[#This Row],[label]:[url]])&amp;"}"</f>
        <v>,{"label":"Multi-Modal Biometric Authentication","group":"","id":"nF4329B4E_89AE_4B13_8BA2_B6BEFB931A12","url":"https://open-measure.atlassian.net/wiki/spaces/DIC/pages/1061749016"}</v>
      </c>
    </row>
    <row r="294" spans="1:5" ht="13.9" thickTop="1" thickBot="1" x14ac:dyDescent="0.4">
      <c r="A294" s="3" t="str">
        <f>NodesData[[#This Row],[Common Name]]</f>
        <v>Multiple Accounts</v>
      </c>
      <c r="B294" s="3" t="str">
        <f>IF(NodesData[[#This Row],[Context Instanciation]]="","",NodesData[[#This Row],[Context Instanciation]])</f>
        <v/>
      </c>
      <c r="C294" s="22" t="str">
        <f>NodesData[[#This Row],[Node ID]]</f>
        <v>n526624DF_C2E0_4B21_9A61_CEED4CD47F26</v>
      </c>
      <c r="D294" s="10" t="s">
        <v>987</v>
      </c>
      <c r="E294" s="25" t="str" cm="1">
        <f t="array" ref="E294">IF(ROW(NodesJSON[[#This Row],[label]])&gt;ROW(NodesJSON[[#Headers],[JSON]])+1,",","") &amp;"{"&amp;twoRangesToJSON(NodesJSON[[#Headers],[label]:[url]],NodesJSON[[#This Row],[label]:[url]])&amp;"}"</f>
        <v>,{"label":"Multiple Accounts","group":"","id":"n526624DF_C2E0_4B21_9A61_CEED4CD47F26","url":"https://open-measure.atlassian.net/wiki/spaces/DIC/pages/1063845889"}</v>
      </c>
    </row>
    <row r="295" spans="1:5" ht="13.9" thickTop="1" thickBot="1" x14ac:dyDescent="0.4">
      <c r="A295" s="3" t="str">
        <f>NodesData[[#This Row],[Common Name]]</f>
        <v>Mutual Authentication</v>
      </c>
      <c r="B295" s="3" t="str">
        <f>IF(NodesData[[#This Row],[Context Instanciation]]="","",NodesData[[#This Row],[Context Instanciation]])</f>
        <v/>
      </c>
      <c r="C295" s="22" t="str">
        <f>NodesData[[#This Row],[Node ID]]</f>
        <v>n64D10171_0B22_4711_A563_45B7D52F62A1</v>
      </c>
      <c r="D295" s="10" t="s">
        <v>989</v>
      </c>
      <c r="E295" s="25" t="str" cm="1">
        <f t="array" ref="E295">IF(ROW(NodesJSON[[#This Row],[label]])&gt;ROW(NodesJSON[[#Headers],[JSON]])+1,",","") &amp;"{"&amp;twoRangesToJSON(NodesJSON[[#Headers],[label]:[url]],NodesJSON[[#This Row],[label]:[url]])&amp;"}"</f>
        <v>,{"label":"Mutual Authentication","group":"","id":"n64D10171_0B22_4711_A563_45B7D52F62A1","url":"https://open-measure.atlassian.net/wiki/spaces/DIC/pages/1061650689"}</v>
      </c>
    </row>
    <row r="296" spans="1:5" ht="13.9" thickTop="1" thickBot="1" x14ac:dyDescent="0.4">
      <c r="A296" s="3" t="str">
        <f>NodesData[[#This Row],[Common Name]]</f>
        <v>Need-to-Know</v>
      </c>
      <c r="B296" s="3" t="str">
        <f>IF(NodesData[[#This Row],[Context Instanciation]]="","",NodesData[[#This Row],[Context Instanciation]])</f>
        <v/>
      </c>
      <c r="C296" s="22" t="str">
        <f>NodesData[[#This Row],[Node ID]]</f>
        <v>n5E26B41D_6E03_4C12_AACA_F0C33BED131F</v>
      </c>
      <c r="D296" s="10" t="s">
        <v>991</v>
      </c>
      <c r="E296" s="25" t="str" cm="1">
        <f t="array" ref="E296">IF(ROW(NodesJSON[[#This Row],[label]])&gt;ROW(NodesJSON[[#Headers],[JSON]])+1,",","") &amp;"{"&amp;twoRangesToJSON(NodesJSON[[#Headers],[label]:[url]],NodesJSON[[#This Row],[label]:[url]])&amp;"}"</f>
        <v>,{"label":"Need-to-Know","group":"","id":"n5E26B41D_6E03_4C12_AACA_F0C33BED131F","url":"https://open-measure.atlassian.net/wiki/spaces/DIC/pages/1061748885"}</v>
      </c>
    </row>
    <row r="297" spans="1:5" ht="13.9" thickTop="1" thickBot="1" x14ac:dyDescent="0.4">
      <c r="A297" s="3" t="str">
        <f>NodesData[[#This Row],[Common Name]]</f>
        <v>New Joiner</v>
      </c>
      <c r="B297" s="3" t="str">
        <f>IF(NodesData[[#This Row],[Context Instanciation]]="","",NodesData[[#This Row],[Context Instanciation]])</f>
        <v/>
      </c>
      <c r="C297" s="22" t="str">
        <f>NodesData[[#This Row],[Node ID]]</f>
        <v>n42AE1DFB_EDB7_42D2_89EE_3945EA0F348C</v>
      </c>
      <c r="D297" s="4"/>
      <c r="E297" s="25" t="str" cm="1">
        <f t="array" ref="E297">IF(ROW(NodesJSON[[#This Row],[label]])&gt;ROW(NodesJSON[[#Headers],[JSON]])+1,",","") &amp;"{"&amp;twoRangesToJSON(NodesJSON[[#Headers],[label]:[url]],NodesJSON[[#This Row],[label]:[url]])&amp;"}"</f>
        <v>,{"label":"New Joiner","group":"","id":"n42AE1DFB_EDB7_42D2_89EE_3945EA0F348C","url":""}</v>
      </c>
    </row>
    <row r="298" spans="1:5" ht="13.9" thickTop="1" thickBot="1" x14ac:dyDescent="0.4">
      <c r="A298" s="3" t="str">
        <f>NodesData[[#This Row],[Common Name]]</f>
        <v>No Tranquility Property</v>
      </c>
      <c r="B298" s="3" t="str">
        <f>IF(NodesData[[#This Row],[Context Instanciation]]="","",NodesData[[#This Row],[Context Instanciation]])</f>
        <v/>
      </c>
      <c r="C298" s="22" t="str">
        <f>NodesData[[#This Row],[Node ID]]</f>
        <v>n4ED00BBB_87C8_4B44_B7F1_FEDB8DD6A7D4</v>
      </c>
      <c r="D298" s="10" t="s">
        <v>992</v>
      </c>
      <c r="E298" s="25" t="str" cm="1">
        <f t="array" ref="E298">IF(ROW(NodesJSON[[#This Row],[label]])&gt;ROW(NodesJSON[[#Headers],[JSON]])+1,",","") &amp;"{"&amp;twoRangesToJSON(NodesJSON[[#Headers],[label]:[url]],NodesJSON[[#This Row],[label]:[url]])&amp;"}"</f>
        <v>,{"label":"No Tranquility Property","group":"","id":"n4ED00BBB_87C8_4B44_B7F1_FEDB8DD6A7D4","url":"https://open-measure.atlassian.net/wiki/spaces/DIC/pages/1472692289/Outsider"}</v>
      </c>
    </row>
    <row r="299" spans="1:5" ht="13.9" thickTop="1" thickBot="1" x14ac:dyDescent="0.4">
      <c r="A299" s="3" t="str">
        <f>NodesData[[#This Row],[Common Name]]</f>
        <v>Nonworker</v>
      </c>
      <c r="B299" s="3" t="str">
        <f>IF(NodesData[[#This Row],[Context Instanciation]]="","",NodesData[[#This Row],[Context Instanciation]])</f>
        <v/>
      </c>
      <c r="C299" s="22" t="str">
        <f>NodesData[[#This Row],[Node ID]]</f>
        <v>n2B01D047_3E55_4928_89FF_89BF0E4C9A55</v>
      </c>
      <c r="D299" s="4"/>
      <c r="E299" s="25" t="str" cm="1">
        <f t="array" ref="E299">IF(ROW(NodesJSON[[#This Row],[label]])&gt;ROW(NodesJSON[[#Headers],[JSON]])+1,",","") &amp;"{"&amp;twoRangesToJSON(NodesJSON[[#Headers],[label]:[url]],NodesJSON[[#This Row],[label]:[url]])&amp;"}"</f>
        <v>,{"label":"Nonworker","group":"","id":"n2B01D047_3E55_4928_89FF_89BF0E4C9A55","url":""}</v>
      </c>
    </row>
    <row r="300" spans="1:5" ht="13.9" thickTop="1" thickBot="1" x14ac:dyDescent="0.4">
      <c r="A300" s="3" t="str">
        <f>NodesData[[#This Row],[Common Name]]</f>
        <v>Numerical Identity</v>
      </c>
      <c r="B300" s="3" t="str">
        <f>IF(NodesData[[#This Row],[Context Instanciation]]="","",NodesData[[#This Row],[Context Instanciation]])</f>
        <v/>
      </c>
      <c r="C300" s="22" t="str">
        <f>NodesData[[#This Row],[Node ID]]</f>
        <v>n5FC0E690_BD8A_4D6A_8185_1DC8FF5EE7BE</v>
      </c>
      <c r="D300" s="10" t="s">
        <v>994</v>
      </c>
      <c r="E300" s="25" t="str" cm="1">
        <f t="array" ref="E300">IF(ROW(NodesJSON[[#This Row],[label]])&gt;ROW(NodesJSON[[#Headers],[JSON]])+1,",","") &amp;"{"&amp;twoRangesToJSON(NodesJSON[[#Headers],[label]:[url]],NodesJSON[[#This Row],[label]:[url]])&amp;"}"</f>
        <v>,{"label":"Numerical Identity","group":"","id":"n5FC0E690_BD8A_4D6A_8185_1DC8FF5EE7BE","url":"https://open-measure.atlassian.net/wiki/spaces/DIC/pages/974323764"}</v>
      </c>
    </row>
    <row r="301" spans="1:5" ht="13.9" thickTop="1" thickBot="1" x14ac:dyDescent="0.4">
      <c r="A301" s="3" t="str">
        <f>NodesData[[#This Row],[Common Name]]</f>
        <v>OAuth</v>
      </c>
      <c r="B301" s="3" t="str">
        <f>IF(NodesData[[#This Row],[Context Instanciation]]="","",NodesData[[#This Row],[Context Instanciation]])</f>
        <v/>
      </c>
      <c r="C301" s="22" t="str">
        <f>NodesData[[#This Row],[Node ID]]</f>
        <v>n59BB7020_7AB1_4728_86F2_1E393E0E8707</v>
      </c>
      <c r="D301" s="4"/>
      <c r="E301" s="25" t="str" cm="1">
        <f t="array" ref="E301">IF(ROW(NodesJSON[[#This Row],[label]])&gt;ROW(NodesJSON[[#Headers],[JSON]])+1,",","") &amp;"{"&amp;twoRangesToJSON(NodesJSON[[#Headers],[label]:[url]],NodesJSON[[#This Row],[label]:[url]])&amp;"}"</f>
        <v>,{"label":"OAuth","group":"","id":"n59BB7020_7AB1_4728_86F2_1E393E0E8707","url":""}</v>
      </c>
    </row>
    <row r="302" spans="1:5" ht="13.9" thickTop="1" thickBot="1" x14ac:dyDescent="0.4">
      <c r="A302" s="3" t="str">
        <f>NodesData[[#This Row],[Common Name]]</f>
        <v>Object</v>
      </c>
      <c r="B302" s="3" t="str">
        <f>IF(NodesData[[#This Row],[Context Instanciation]]="","",NodesData[[#This Row],[Context Instanciation]])</f>
        <v/>
      </c>
      <c r="C302" s="22" t="str">
        <f>NodesData[[#This Row],[Node ID]]</f>
        <v>nBB8CA37A_77F7_45A6_8D48_E3EAE7C070CC</v>
      </c>
      <c r="D302" s="8"/>
      <c r="E302" s="25" t="str" cm="1">
        <f t="array" ref="E302">IF(ROW(NodesJSON[[#This Row],[label]])&gt;ROW(NodesJSON[[#Headers],[JSON]])+1,",","") &amp;"{"&amp;twoRangesToJSON(NodesJSON[[#Headers],[label]:[url]],NodesJSON[[#This Row],[label]:[url]])&amp;"}"</f>
        <v>,{"label":"Object","group":"","id":"nBB8CA37A_77F7_45A6_8D48_E3EAE7C070CC","url":""}</v>
      </c>
    </row>
    <row r="303" spans="1:5" ht="13.9" thickTop="1" thickBot="1" x14ac:dyDescent="0.4">
      <c r="A303" s="3" t="str">
        <f>NodesData[[#This Row],[Common Name]]</f>
        <v>Omission Error</v>
      </c>
      <c r="B303" s="3" t="str">
        <f>IF(NodesData[[#This Row],[Context Instanciation]]="","",NodesData[[#This Row],[Context Instanciation]])</f>
        <v/>
      </c>
      <c r="C303" s="22" t="str">
        <f>NodesData[[#This Row],[Node ID]]</f>
        <v>nE5FB6AFC_FC63_4B56_A4C6_E23F16E9BC61</v>
      </c>
      <c r="D303" s="10" t="s">
        <v>995</v>
      </c>
      <c r="E303" s="25" t="str" cm="1">
        <f t="array" ref="E303">IF(ROW(NodesJSON[[#This Row],[label]])&gt;ROW(NodesJSON[[#Headers],[JSON]])+1,",","") &amp;"{"&amp;twoRangesToJSON(NodesJSON[[#Headers],[label]:[url]],NodesJSON[[#This Row],[label]:[url]])&amp;"}"</f>
        <v>,{"label":"Omission Error","group":"","id":"nE5FB6AFC_FC63_4B56_A4C6_E23F16E9BC61","url":"https://open-measure.atlassian.net/wiki/spaces/DIC/pages/1428652394/Password+Guessing+Attack"}</v>
      </c>
    </row>
    <row r="304" spans="1:5" ht="13.9" thickTop="1" thickBot="1" x14ac:dyDescent="0.4">
      <c r="A304" s="3" t="str">
        <f>NodesData[[#This Row],[Common Name]]</f>
        <v>One-Time Passcode Authentication</v>
      </c>
      <c r="B304" s="3" t="str">
        <f>IF(NodesData[[#This Row],[Context Instanciation]]="","",NodesData[[#This Row],[Context Instanciation]])</f>
        <v/>
      </c>
      <c r="C304" s="22" t="str">
        <f>NodesData[[#This Row],[Node ID]]</f>
        <v>n476800A3_2E26_4AE7_BDA9_7E883266BCE1</v>
      </c>
      <c r="D304" s="10" t="s">
        <v>997</v>
      </c>
      <c r="E304" s="25" t="str" cm="1">
        <f t="array" ref="E304">IF(ROW(NodesJSON[[#This Row],[label]])&gt;ROW(NodesJSON[[#Headers],[JSON]])+1,",","") &amp;"{"&amp;twoRangesToJSON(NodesJSON[[#Headers],[label]:[url]],NodesJSON[[#This Row],[label]:[url]])&amp;"}"</f>
        <v>,{"label":"One-Time Passcode Authentication","group":"","id":"n476800A3_2E26_4AE7_BDA9_7E883266BCE1","url":"https://open-measure.atlassian.net/wiki/spaces/DIC/pages/1027048058"}</v>
      </c>
    </row>
    <row r="305" spans="1:5" ht="13.9" thickTop="1" thickBot="1" x14ac:dyDescent="0.4">
      <c r="A305" s="3" t="str">
        <f>NodesData[[#This Row],[Common Name]]</f>
        <v>OPA</v>
      </c>
      <c r="B305" s="3" t="str">
        <f>IF(NodesData[[#This Row],[Context Instanciation]]="","",NodesData[[#This Row],[Context Instanciation]])</f>
        <v/>
      </c>
      <c r="C305" s="22" t="str">
        <f>NodesData[[#This Row],[Node ID]]</f>
        <v>n6C614E81_1E4F_490D_BA0A_44FBC9CBCFE0</v>
      </c>
      <c r="D305" s="10" t="s">
        <v>998</v>
      </c>
      <c r="E305" s="25" t="str" cm="1">
        <f t="array" ref="E305">IF(ROW(NodesJSON[[#This Row],[label]])&gt;ROW(NodesJSON[[#Headers],[JSON]])+1,",","") &amp;"{"&amp;twoRangesToJSON(NodesJSON[[#Headers],[label]:[url]],NodesJSON[[#This Row],[label]:[url]])&amp;"}"</f>
        <v>,{"label":"OPA","group":"","id":"n6C614E81_1E4F_490D_BA0A_44FBC9CBCFE0","url":"https://open-measure.atlassian.net/wiki/spaces/DIC/pages/1348730921/Password+Spraying+Attack"}</v>
      </c>
    </row>
    <row r="306" spans="1:5" ht="13.9" thickTop="1" thickBot="1" x14ac:dyDescent="0.4">
      <c r="A306" s="3" t="str">
        <f>NodesData[[#This Row],[Common Name]]</f>
        <v>Open Policy Agent</v>
      </c>
      <c r="B306" s="3" t="str">
        <f>IF(NodesData[[#This Row],[Context Instanciation]]="","",NodesData[[#This Row],[Context Instanciation]])</f>
        <v/>
      </c>
      <c r="C306" s="22" t="str">
        <f>NodesData[[#This Row],[Node ID]]</f>
        <v>nD995A6A9_C3A9_4283_82AA_4AB97DA2B578</v>
      </c>
      <c r="D306" s="8"/>
      <c r="E306" s="25" t="str" cm="1">
        <f t="array" ref="E306">IF(ROW(NodesJSON[[#This Row],[label]])&gt;ROW(NodesJSON[[#Headers],[JSON]])+1,",","") &amp;"{"&amp;twoRangesToJSON(NodesJSON[[#Headers],[label]:[url]],NodesJSON[[#This Row],[label]:[url]])&amp;"}"</f>
        <v>,{"label":"Open Policy Agent","group":"","id":"nD995A6A9_C3A9_4283_82AA_4AB97DA2B578","url":""}</v>
      </c>
    </row>
    <row r="307" spans="1:5" ht="13.9" thickTop="1" thickBot="1" x14ac:dyDescent="0.4">
      <c r="A307" s="3" t="str">
        <f>NodesData[[#This Row],[Common Name]]</f>
        <v>Operational Definition</v>
      </c>
      <c r="B307" s="3" t="str">
        <f>IF(NodesData[[#This Row],[Context Instanciation]]="","",NodesData[[#This Row],[Context Instanciation]])</f>
        <v/>
      </c>
      <c r="C307" s="22" t="str">
        <f>NodesData[[#This Row],[Node ID]]</f>
        <v>n9C348411_DBC2_4D83_98F6_DA323939AD65</v>
      </c>
      <c r="D307" s="10" t="s">
        <v>1000</v>
      </c>
      <c r="E307" s="25" t="str" cm="1">
        <f t="array" ref="E307">IF(ROW(NodesJSON[[#This Row],[label]])&gt;ROW(NodesJSON[[#Headers],[JSON]])+1,",","") &amp;"{"&amp;twoRangesToJSON(NodesJSON[[#Headers],[label]:[url]],NodesJSON[[#This Row],[label]:[url]])&amp;"}"</f>
        <v>,{"label":"Operational Definition","group":"","id":"n9C348411_DBC2_4D83_98F6_DA323939AD65","url":"https://open-measure.atlassian.net/wiki/spaces/DIC/pages/1409753"}</v>
      </c>
    </row>
    <row r="308" spans="1:5" ht="13.9" thickTop="1" thickBot="1" x14ac:dyDescent="0.4">
      <c r="A308" s="3" t="str">
        <f>NodesData[[#This Row],[Common Name]]</f>
        <v>Operational Taxonomic Unit</v>
      </c>
      <c r="B308" s="3" t="str">
        <f>IF(NodesData[[#This Row],[Context Instanciation]]="","",NodesData[[#This Row],[Context Instanciation]])</f>
        <v/>
      </c>
      <c r="C308" s="22" t="str">
        <f>NodesData[[#This Row],[Node ID]]</f>
        <v>nE33FC009_B7E4_40FD_9745_D826E24B6E94</v>
      </c>
      <c r="D308" s="10" t="s">
        <v>1002</v>
      </c>
      <c r="E308" s="25" t="str" cm="1">
        <f t="array" ref="E308">IF(ROW(NodesJSON[[#This Row],[label]])&gt;ROW(NodesJSON[[#Headers],[JSON]])+1,",","") &amp;"{"&amp;twoRangesToJSON(NodesJSON[[#Headers],[label]:[url]],NodesJSON[[#This Row],[label]:[url]])&amp;"}"</f>
        <v>,{"label":"Operational Taxonomic Unit","group":"","id":"nE33FC009_B7E4_40FD_9745_D826E24B6E94","url":"https://open-measure.atlassian.net/wiki/spaces/DIC/pages/67699129"}</v>
      </c>
    </row>
    <row r="309" spans="1:5" ht="13.9" thickTop="1" thickBot="1" x14ac:dyDescent="0.4">
      <c r="A309" s="3" t="str">
        <f>NodesData[[#This Row],[Common Name]]</f>
        <v>Ordinal Scale</v>
      </c>
      <c r="B309" s="3" t="str">
        <f>IF(NodesData[[#This Row],[Context Instanciation]]="","",NodesData[[#This Row],[Context Instanciation]])</f>
        <v/>
      </c>
      <c r="C309" s="22" t="str">
        <f>NodesData[[#This Row],[Node ID]]</f>
        <v>nF7D4524F_C6C0_4EC5_9552_75B99B9D5A42</v>
      </c>
      <c r="D309" s="10" t="s">
        <v>1003</v>
      </c>
      <c r="E309" s="25" t="str" cm="1">
        <f t="array" ref="E309">IF(ROW(NodesJSON[[#This Row],[label]])&gt;ROW(NodesJSON[[#Headers],[JSON]])+1,",","") &amp;"{"&amp;twoRangesToJSON(NodesJSON[[#Headers],[label]:[url]],NodesJSON[[#This Row],[label]:[url]])&amp;"}"</f>
        <v>,{"label":"Ordinal Scale","group":"","id":"nF7D4524F_C6C0_4EC5_9552_75B99B9D5A42","url":"https://open-measure.atlassian.net/wiki/spaces/DIC/pages/1323499709/Persona"}</v>
      </c>
    </row>
    <row r="310" spans="1:5" ht="13.9" thickTop="1" thickBot="1" x14ac:dyDescent="0.4">
      <c r="A310" s="3" t="str">
        <f>NodesData[[#This Row],[Common Name]]</f>
        <v>Organization Context</v>
      </c>
      <c r="B310" s="3" t="str">
        <f>IF(NodesData[[#This Row],[Context Instanciation]]="","",NodesData[[#This Row],[Context Instanciation]])</f>
        <v/>
      </c>
      <c r="C310" s="22" t="str">
        <f>NodesData[[#This Row],[Node ID]]</f>
        <v>n33A86B12_0EA4_4F3E_BC6D_E3702F9EAE81</v>
      </c>
      <c r="D310" s="10" t="s">
        <v>999</v>
      </c>
      <c r="E310" s="25" t="str" cm="1">
        <f t="array" ref="E310">IF(ROW(NodesJSON[[#This Row],[label]])&gt;ROW(NodesJSON[[#Headers],[JSON]])+1,",","") &amp;"{"&amp;twoRangesToJSON(NodesJSON[[#Headers],[label]:[url]],NodesJSON[[#This Row],[label]:[url]])&amp;"}"</f>
        <v>,{"label":"Organization Context","group":"","id":"n33A86B12_0EA4_4F3E_BC6D_E3702F9EAE81","url":"https://open-measure.atlassian.net/wiki/spaces/DIC/pages/1677164566/Passwordless+Authentication"}</v>
      </c>
    </row>
    <row r="311" spans="1:5" ht="13.9" thickTop="1" thickBot="1" x14ac:dyDescent="0.4">
      <c r="A311" s="3" t="str">
        <f>NodesData[[#This Row],[Common Name]]</f>
        <v>Organization Scope</v>
      </c>
      <c r="B311" s="3" t="str">
        <f>IF(NodesData[[#This Row],[Context Instanciation]]="","",NodesData[[#This Row],[Context Instanciation]])</f>
        <v/>
      </c>
      <c r="C311" s="22" t="str">
        <f>NodesData[[#This Row],[Node ID]]</f>
        <v>nA41D81DD_A231_43DB_A8BF_E136E86BDC97</v>
      </c>
      <c r="D311" s="4"/>
      <c r="E311" s="25" t="str" cm="1">
        <f t="array" ref="E311">IF(ROW(NodesJSON[[#This Row],[label]])&gt;ROW(NodesJSON[[#Headers],[JSON]])+1,",","") &amp;"{"&amp;twoRangesToJSON(NodesJSON[[#Headers],[label]:[url]],NodesJSON[[#This Row],[label]:[url]])&amp;"}"</f>
        <v>,{"label":"Organization Scope","group":"","id":"nA41D81DD_A231_43DB_A8BF_E136E86BDC97","url":""}</v>
      </c>
    </row>
    <row r="312" spans="1:5" ht="13.9" thickTop="1" thickBot="1" x14ac:dyDescent="0.4">
      <c r="A312" s="3" t="str">
        <f>NodesData[[#This Row],[Common Name]]</f>
        <v>Orphan</v>
      </c>
      <c r="B312" s="3" t="str">
        <f>IF(NodesData[[#This Row],[Context Instanciation]]="","",NodesData[[#This Row],[Context Instanciation]])</f>
        <v/>
      </c>
      <c r="C312" s="22" t="str">
        <f>NodesData[[#This Row],[Node ID]]</f>
        <v>n4AE20DB0_76C4_4F45_8465_74F243AABAEF</v>
      </c>
      <c r="D312" s="10" t="s">
        <v>1005</v>
      </c>
      <c r="E312" s="25" t="str" cm="1">
        <f t="array" ref="E312">IF(ROW(NodesJSON[[#This Row],[label]])&gt;ROW(NodesJSON[[#Headers],[JSON]])+1,",","") &amp;"{"&amp;twoRangesToJSON(NodesJSON[[#Headers],[label]:[url]],NodesJSON[[#This Row],[label]:[url]])&amp;"}"</f>
        <v>,{"label":"Orphan","group":"","id":"n4AE20DB0_76C4_4F45_8465_74F243AABAEF","url":"https://open-measure.atlassian.net/wiki/spaces/DIC/pages/1572948"}</v>
      </c>
    </row>
    <row r="313" spans="1:5" ht="13.9" thickTop="1" thickBot="1" x14ac:dyDescent="0.4">
      <c r="A313" s="3" t="str">
        <f>NodesData[[#This Row],[Common Name]]</f>
        <v>Orphan Account</v>
      </c>
      <c r="B313" s="3" t="str">
        <f>IF(NodesData[[#This Row],[Context Instanciation]]="","",NodesData[[#This Row],[Context Instanciation]])</f>
        <v/>
      </c>
      <c r="C313" s="22" t="str">
        <f>NodesData[[#This Row],[Node ID]]</f>
        <v>n9BFEB967_7B86_4B3D_9C7E_0511B974AE4D</v>
      </c>
      <c r="D313" s="10" t="s">
        <v>1007</v>
      </c>
      <c r="E313" s="25" t="str" cm="1">
        <f t="array" ref="E313">IF(ROW(NodesJSON[[#This Row],[label]])&gt;ROW(NodesJSON[[#Headers],[JSON]])+1,",","") &amp;"{"&amp;twoRangesToJSON(NodesJSON[[#Headers],[label]:[url]],NodesJSON[[#This Row],[label]:[url]])&amp;"}"</f>
        <v>,{"label":"Orphan Account","group":"","id":"n9BFEB967_7B86_4B3D_9C7E_0511B974AE4D","url":"https://open-measure.atlassian.net/wiki/spaces/DIC/pages/67568272"}</v>
      </c>
    </row>
    <row r="314" spans="1:5" ht="13.9" thickTop="1" thickBot="1" x14ac:dyDescent="0.4">
      <c r="A314" s="3" t="str">
        <f>NodesData[[#This Row],[Common Name]]</f>
        <v>Orphan File</v>
      </c>
      <c r="B314" s="3" t="str">
        <f>IF(NodesData[[#This Row],[Context Instanciation]]="","",NodesData[[#This Row],[Context Instanciation]])</f>
        <v/>
      </c>
      <c r="C314" s="22" t="str">
        <f>NodesData[[#This Row],[Node ID]]</f>
        <v>n5AE1D03E_6BE9_4D64_877A_463F2CD1823C</v>
      </c>
      <c r="D314" s="10" t="s">
        <v>1009</v>
      </c>
      <c r="E314" s="25" t="str" cm="1">
        <f t="array" ref="E314">IF(ROW(NodesJSON[[#This Row],[label]])&gt;ROW(NodesJSON[[#Headers],[JSON]])+1,",","") &amp;"{"&amp;twoRangesToJSON(NodesJSON[[#Headers],[label]:[url]],NodesJSON[[#This Row],[label]:[url]])&amp;"}"</f>
        <v>,{"label":"Orphan File","group":"","id":"n5AE1D03E_6BE9_4D64_877A_463F2CD1823C","url":"https://open-measure.atlassian.net/wiki/spaces/DIC/pages/1104904334"}</v>
      </c>
    </row>
    <row r="315" spans="1:5" ht="13.9" thickTop="1" thickBot="1" x14ac:dyDescent="0.4">
      <c r="A315" s="3" t="str">
        <f>NodesData[[#This Row],[Common Name]]</f>
        <v>Orphan Object</v>
      </c>
      <c r="B315" s="3" t="str">
        <f>IF(NodesData[[#This Row],[Context Instanciation]]="","",NodesData[[#This Row],[Context Instanciation]])</f>
        <v/>
      </c>
      <c r="C315" s="22" t="str">
        <f>NodesData[[#This Row],[Node ID]]</f>
        <v>nBF0C1B68_F08A_4202_9757_9E8291426C10</v>
      </c>
      <c r="D315" s="10" t="s">
        <v>1011</v>
      </c>
      <c r="E315" s="25" t="str" cm="1">
        <f t="array" ref="E315">IF(ROW(NodesJSON[[#This Row],[label]])&gt;ROW(NodesJSON[[#Headers],[JSON]])+1,",","") &amp;"{"&amp;twoRangesToJSON(NodesJSON[[#Headers],[label]:[url]],NodesJSON[[#This Row],[label]:[url]])&amp;"}"</f>
        <v>,{"label":"Orphan Object","group":"","id":"nBF0C1B68_F08A_4202_9757_9E8291426C10","url":"https://open-measure.atlassian.net/wiki/spaces/DIC/pages/1132331103"}</v>
      </c>
    </row>
    <row r="316" spans="1:5" ht="13.9" thickTop="1" thickBot="1" x14ac:dyDescent="0.4">
      <c r="A316" s="3" t="str">
        <f>NodesData[[#This Row],[Common Name]]</f>
        <v>Orphan Process</v>
      </c>
      <c r="B316" s="3" t="str">
        <f>IF(NodesData[[#This Row],[Context Instanciation]]="","",NodesData[[#This Row],[Context Instanciation]])</f>
        <v/>
      </c>
      <c r="C316" s="22" t="str">
        <f>NodesData[[#This Row],[Node ID]]</f>
        <v>nAEC674BE_91C6_4A77_962B_1FC629184791</v>
      </c>
      <c r="D316" s="10" t="s">
        <v>1013</v>
      </c>
      <c r="E316" s="25" t="str" cm="1">
        <f t="array" ref="E316">IF(ROW(NodesJSON[[#This Row],[label]])&gt;ROW(NodesJSON[[#Headers],[JSON]])+1,",","") &amp;"{"&amp;twoRangesToJSON(NodesJSON[[#Headers],[label]:[url]],NodesJSON[[#This Row],[label]:[url]])&amp;"}"</f>
        <v>,{"label":"Orphan Process","group":"","id":"nAEC674BE_91C6_4A77_962B_1FC629184791","url":"https://open-measure.atlassian.net/wiki/spaces/DIC/pages/1132331086"}</v>
      </c>
    </row>
    <row r="317" spans="1:5" ht="13.9" thickTop="1" thickBot="1" x14ac:dyDescent="0.4">
      <c r="A317" s="3" t="str">
        <f>NodesData[[#This Row],[Common Name]]</f>
        <v>Orphan Product</v>
      </c>
      <c r="B317" s="3" t="str">
        <f>IF(NodesData[[#This Row],[Context Instanciation]]="","",NodesData[[#This Row],[Context Instanciation]])</f>
        <v/>
      </c>
      <c r="C317" s="22" t="str">
        <f>NodesData[[#This Row],[Node ID]]</f>
        <v>n6F060A06_4EC7_40D0_BE25_18BB706EAC33</v>
      </c>
      <c r="D317" s="10" t="s">
        <v>1015</v>
      </c>
      <c r="E317" s="25" t="str" cm="1">
        <f t="array" ref="E317">IF(ROW(NodesJSON[[#This Row],[label]])&gt;ROW(NodesJSON[[#Headers],[JSON]])+1,",","") &amp;"{"&amp;twoRangesToJSON(NodesJSON[[#Headers],[label]:[url]],NodesJSON[[#This Row],[label]:[url]])&amp;"}"</f>
        <v>,{"label":"Orphan Product","group":"","id":"n6F060A06_4EC7_40D0_BE25_18BB706EAC33","url":"https://open-measure.atlassian.net/wiki/spaces/DIC/pages/1122631903"}</v>
      </c>
    </row>
    <row r="318" spans="1:5" ht="13.9" thickTop="1" thickBot="1" x14ac:dyDescent="0.4">
      <c r="A318" s="3" t="str">
        <f>NodesData[[#This Row],[Common Name]]</f>
        <v>Orphan Role</v>
      </c>
      <c r="B318" s="3" t="str">
        <f>IF(NodesData[[#This Row],[Context Instanciation]]="","",NodesData[[#This Row],[Context Instanciation]])</f>
        <v/>
      </c>
      <c r="C318" s="22" t="str">
        <f>NodesData[[#This Row],[Node ID]]</f>
        <v>n0D10D535_12CA_43D7_8C25_D56FF795B5EB</v>
      </c>
      <c r="D318" s="10" t="s">
        <v>1017</v>
      </c>
      <c r="E318" s="25" t="str" cm="1">
        <f t="array" ref="E318">IF(ROW(NodesJSON[[#This Row],[label]])&gt;ROW(NodesJSON[[#Headers],[JSON]])+1,",","") &amp;"{"&amp;twoRangesToJSON(NodesJSON[[#Headers],[label]:[url]],NodesJSON[[#This Row],[label]:[url]])&amp;"}"</f>
        <v>,{"label":"Orphan Role","group":"","id":"n0D10D535_12CA_43D7_8C25_D56FF795B5EB","url":"https://open-measure.atlassian.net/wiki/spaces/DIC/pages/1105068063"}</v>
      </c>
    </row>
    <row r="319" spans="1:5" ht="13.9" thickTop="1" thickBot="1" x14ac:dyDescent="0.4">
      <c r="A319" s="3" t="str">
        <f>NodesData[[#This Row],[Common Name]]</f>
        <v>Orphan Routes / APIs</v>
      </c>
      <c r="B319" s="3" t="str">
        <f>IF(NodesData[[#This Row],[Context Instanciation]]="","",NodesData[[#This Row],[Context Instanciation]])</f>
        <v/>
      </c>
      <c r="C319" s="22" t="str">
        <f>NodesData[[#This Row],[Node ID]]</f>
        <v>nFB81B88B_935E_4937_8C9D_107D390BB8B5</v>
      </c>
      <c r="D319" s="10" t="s">
        <v>1019</v>
      </c>
      <c r="E319" s="25" t="str" cm="1">
        <f t="array" ref="E319">IF(ROW(NodesJSON[[#This Row],[label]])&gt;ROW(NodesJSON[[#Headers],[JSON]])+1,",","") &amp;"{"&amp;twoRangesToJSON(NodesJSON[[#Headers],[label]:[url]],NodesJSON[[#This Row],[label]:[url]])&amp;"}"</f>
        <v>,{"label":"Orphan Routes / APIs","group":"","id":"nFB81B88B_935E_4937_8C9D_107D390BB8B5","url":"https://open-measure.atlassian.net/wiki/spaces/DIC/pages/1130987523"}</v>
      </c>
    </row>
    <row r="320" spans="1:5" ht="13.9" thickTop="1" thickBot="1" x14ac:dyDescent="0.4">
      <c r="A320" s="3" t="str">
        <f>NodesData[[#This Row],[Common Name]]</f>
        <v>Orphan System</v>
      </c>
      <c r="B320" s="3" t="str">
        <f>IF(NodesData[[#This Row],[Context Instanciation]]="","",NodesData[[#This Row],[Context Instanciation]])</f>
        <v/>
      </c>
      <c r="C320" s="22" t="str">
        <f>NodesData[[#This Row],[Node ID]]</f>
        <v>nEF01C104_C9F5_4399_B8A7_5AEEE0AEED69</v>
      </c>
      <c r="D320" s="3"/>
      <c r="E320" s="25" t="str" cm="1">
        <f t="array" ref="E320">IF(ROW(NodesJSON[[#This Row],[label]])&gt;ROW(NodesJSON[[#Headers],[JSON]])+1,",","") &amp;"{"&amp;twoRangesToJSON(NodesJSON[[#Headers],[label]:[url]],NodesJSON[[#This Row],[label]:[url]])&amp;"}"</f>
        <v>,{"label":"Orphan System","group":"","id":"nEF01C104_C9F5_4399_B8A7_5AEEE0AEED69","url":""}</v>
      </c>
    </row>
    <row r="321" spans="1:5" ht="13.9" thickTop="1" thickBot="1" x14ac:dyDescent="0.4">
      <c r="A321" s="3" t="str">
        <f>NodesData[[#This Row],[Common Name]]</f>
        <v>Out-of-band Authentication</v>
      </c>
      <c r="B321" s="3" t="str">
        <f>IF(NodesData[[#This Row],[Context Instanciation]]="","",NodesData[[#This Row],[Context Instanciation]])</f>
        <v/>
      </c>
      <c r="C321" s="22" t="str">
        <f>NodesData[[#This Row],[Node ID]]</f>
        <v>n7044B2C5_B689_4BDB_A361_6960562C0FC0</v>
      </c>
      <c r="D321" s="10" t="s">
        <v>1021</v>
      </c>
      <c r="E321" s="25" t="str" cm="1">
        <f t="array" ref="E321">IF(ROW(NodesJSON[[#This Row],[label]])&gt;ROW(NodesJSON[[#Headers],[JSON]])+1,",","") &amp;"{"&amp;twoRangesToJSON(NodesJSON[[#Headers],[label]:[url]],NodesJSON[[#This Row],[label]:[url]])&amp;"}"</f>
        <v>,{"label":"Out-of-band Authentication","group":"","id":"n7044B2C5_B689_4BDB_A361_6960562C0FC0","url":"https://open-measure.atlassian.net/wiki/spaces/DIC/pages/1094549649"}</v>
      </c>
    </row>
    <row r="322" spans="1:5" ht="13.9" thickTop="1" thickBot="1" x14ac:dyDescent="0.4">
      <c r="A322" s="3" t="str">
        <f>NodesData[[#This Row],[Common Name]]</f>
        <v>Outsider</v>
      </c>
      <c r="B322" s="3" t="str">
        <f>IF(NodesData[[#This Row],[Context Instanciation]]="","",NodesData[[#This Row],[Context Instanciation]])</f>
        <v/>
      </c>
      <c r="C322" s="22" t="str">
        <f>NodesData[[#This Row],[Node ID]]</f>
        <v>n04522218_BC1E_4939_A068_7AA0277A1265</v>
      </c>
      <c r="D322" s="10" t="s">
        <v>1023</v>
      </c>
      <c r="E322" s="25" t="str" cm="1">
        <f t="array" ref="E322">IF(ROW(NodesJSON[[#This Row],[label]])&gt;ROW(NodesJSON[[#Headers],[JSON]])+1,",","") &amp;"{"&amp;twoRangesToJSON(NodesJSON[[#Headers],[label]:[url]],NodesJSON[[#This Row],[label]:[url]])&amp;"}"</f>
        <v>,{"label":"Outsider","group":"","id":"n04522218_BC1E_4939_A068_7AA0277A1265","url":"https://open-measure.atlassian.net/wiki/spaces/DIC/pages/67699046"}</v>
      </c>
    </row>
    <row r="323" spans="1:5" ht="13.9" thickTop="1" thickBot="1" x14ac:dyDescent="0.4">
      <c r="A323" s="3" t="str">
        <f>NodesData[[#This Row],[Common Name]]</f>
        <v>Palmprint Recognition Authentication</v>
      </c>
      <c r="B323" s="3" t="str">
        <f>IF(NodesData[[#This Row],[Context Instanciation]]="","",NodesData[[#This Row],[Context Instanciation]])</f>
        <v/>
      </c>
      <c r="C323" s="22" t="str">
        <f>NodesData[[#This Row],[Node ID]]</f>
        <v>nD67337C3_82D6_4A00_9312_77ECF955E4EE</v>
      </c>
      <c r="D323" s="10" t="s">
        <v>1024</v>
      </c>
      <c r="E323" s="25" t="str" cm="1">
        <f t="array" ref="E323">IF(ROW(NodesJSON[[#This Row],[label]])&gt;ROW(NodesJSON[[#Headers],[JSON]])+1,",","") &amp;"{"&amp;twoRangesToJSON(NodesJSON[[#Headers],[label]:[url]],NodesJSON[[#This Row],[label]:[url]])&amp;"}"</f>
        <v>,{"label":"Palmprint Recognition Authentication","group":"","id":"nD67337C3_82D6_4A00_9312_77ECF955E4EE","url":"https://open-measure.atlassian.net/wiki/spaces/DIC/pages/1323434264/Private+Key+Loss"}</v>
      </c>
    </row>
    <row r="324" spans="1:5" ht="13.9" thickTop="1" thickBot="1" x14ac:dyDescent="0.4">
      <c r="A324" s="3" t="str">
        <f>NodesData[[#This Row],[Common Name]]</f>
        <v>Passive Impersonation Attack</v>
      </c>
      <c r="B324" s="3" t="str">
        <f>IF(NodesData[[#This Row],[Context Instanciation]]="","",NodesData[[#This Row],[Context Instanciation]])</f>
        <v/>
      </c>
      <c r="C324" s="22" t="str">
        <f>NodesData[[#This Row],[Node ID]]</f>
        <v>n4734DAE8_90B6_45CA_8550_5A34B658FAEC</v>
      </c>
      <c r="D324" s="10" t="s">
        <v>1026</v>
      </c>
      <c r="E324" s="25" t="str" cm="1">
        <f t="array" ref="E324">IF(ROW(NodesJSON[[#This Row],[label]])&gt;ROW(NodesJSON[[#Headers],[JSON]])+1,",","") &amp;"{"&amp;twoRangesToJSON(NodesJSON[[#Headers],[label]:[url]],NodesJSON[[#This Row],[label]:[url]])&amp;"}"</f>
        <v>,{"label":"Passive Impersonation Attack","group":"","id":"n4734DAE8_90B6_45CA_8550_5A34B658FAEC","url":"https://open-measure.atlassian.net/wiki/spaces/DIC/pages/67568310"}</v>
      </c>
    </row>
    <row r="325" spans="1:5" ht="13.9" thickTop="1" thickBot="1" x14ac:dyDescent="0.4">
      <c r="A325" s="3" t="str">
        <f>NodesData[[#This Row],[Common Name]]</f>
        <v>Passphrase Authentication</v>
      </c>
      <c r="B325" s="3" t="str">
        <f>IF(NodesData[[#This Row],[Context Instanciation]]="","",NodesData[[#This Row],[Context Instanciation]])</f>
        <v/>
      </c>
      <c r="C325" s="22" t="str">
        <f>NodesData[[#This Row],[Node ID]]</f>
        <v>n3CB32145_0EE1_4C68_8C6C_279904089B9A</v>
      </c>
      <c r="D325" s="10" t="s">
        <v>1027</v>
      </c>
      <c r="E325" s="25" t="str" cm="1">
        <f t="array" ref="E325">IF(ROW(NodesJSON[[#This Row],[label]])&gt;ROW(NodesJSON[[#Headers],[JSON]])+1,",","") &amp;"{"&amp;twoRangesToJSON(NodesJSON[[#Headers],[label]:[url]],NodesJSON[[#This Row],[label]:[url]])&amp;"}"</f>
        <v>,{"label":"Passphrase Authentication","group":"","id":"n3CB32145_0EE1_4C68_8C6C_279904089B9A","url":"https://open-measure.atlassian.net/wiki/spaces/DIC/pages/814449037/Privilege+Abuse"}</v>
      </c>
    </row>
    <row r="326" spans="1:5" ht="13.9" thickTop="1" thickBot="1" x14ac:dyDescent="0.4">
      <c r="A326" s="3" t="str">
        <f>NodesData[[#This Row],[Common Name]]</f>
        <v>Password Guessing Attack</v>
      </c>
      <c r="B326" s="3" t="str">
        <f>IF(NodesData[[#This Row],[Context Instanciation]]="","",NodesData[[#This Row],[Context Instanciation]])</f>
        <v/>
      </c>
      <c r="C326" s="22" t="str">
        <f>NodesData[[#This Row],[Node ID]]</f>
        <v>n8F169889_C3EB_49DF_A679_4F5F53173B73</v>
      </c>
      <c r="D326" s="10" t="s">
        <v>1029</v>
      </c>
      <c r="E326" s="25" t="str" cm="1">
        <f t="array" ref="E326">IF(ROW(NodesJSON[[#This Row],[label]])&gt;ROW(NodesJSON[[#Headers],[JSON]])+1,",","") &amp;"{"&amp;twoRangesToJSON(NodesJSON[[#Headers],[label]:[url]],NodesJSON[[#This Row],[label]:[url]])&amp;"}"</f>
        <v>,{"label":"Password Guessing Attack","group":"","id":"n8F169889_C3EB_49DF_A679_4F5F53173B73","url":"https://open-measure.atlassian.net/wiki/spaces/DIC/pages/473890861"}</v>
      </c>
    </row>
    <row r="327" spans="1:5" ht="13.9" thickTop="1" thickBot="1" x14ac:dyDescent="0.4">
      <c r="A327" s="3" t="str">
        <f>NodesData[[#This Row],[Common Name]]</f>
        <v>Password Rotation</v>
      </c>
      <c r="B327" s="3" t="str">
        <f>IF(NodesData[[#This Row],[Context Instanciation]]="","",NodesData[[#This Row],[Context Instanciation]])</f>
        <v/>
      </c>
      <c r="C327" s="22" t="str">
        <f>NodesData[[#This Row],[Node ID]]</f>
        <v>n6265AECA_324C_41E3_B3D3_84135CF3C7BD</v>
      </c>
      <c r="D327" s="10" t="s">
        <v>1031</v>
      </c>
      <c r="E327" s="25" t="str" cm="1">
        <f t="array" ref="E327">IF(ROW(NodesJSON[[#This Row],[label]])&gt;ROW(NodesJSON[[#Headers],[JSON]])+1,",","") &amp;"{"&amp;twoRangesToJSON(NodesJSON[[#Headers],[label]:[url]],NodesJSON[[#This Row],[label]:[url]])&amp;"}"</f>
        <v>,{"label":"Password Rotation","group":"","id":"n6265AECA_324C_41E3_B3D3_84135CF3C7BD","url":"https://open-measure.atlassian.net/wiki/spaces/DIC/pages/810320380"}</v>
      </c>
    </row>
    <row r="328" spans="1:5" ht="13.9" thickTop="1" thickBot="1" x14ac:dyDescent="0.4">
      <c r="A328" s="3" t="str">
        <f>NodesData[[#This Row],[Common Name]]</f>
        <v>Password Spraying Attack</v>
      </c>
      <c r="B328" s="3" t="str">
        <f>IF(NodesData[[#This Row],[Context Instanciation]]="","",NodesData[[#This Row],[Context Instanciation]])</f>
        <v/>
      </c>
      <c r="C328" s="22" t="str">
        <f>NodesData[[#This Row],[Node ID]]</f>
        <v>nD75B5C62_D379_4138_8BEA_4403C4F682CA</v>
      </c>
      <c r="D328" s="10" t="s">
        <v>1033</v>
      </c>
      <c r="E328" s="25" t="str" cm="1">
        <f t="array" ref="E328">IF(ROW(NodesJSON[[#This Row],[label]])&gt;ROW(NodesJSON[[#Headers],[JSON]])+1,",","") &amp;"{"&amp;twoRangesToJSON(NodesJSON[[#Headers],[label]:[url]],NodesJSON[[#This Row],[label]:[url]])&amp;"}"</f>
        <v>,{"label":"Password Spraying Attack","group":"","id":"nD75B5C62_D379_4138_8BEA_4403C4F682CA","url":"https://open-measure.atlassian.net/wiki/spaces/DIC/pages/138346661"}</v>
      </c>
    </row>
    <row r="329" spans="1:5" ht="13.9" thickTop="1" thickBot="1" x14ac:dyDescent="0.4">
      <c r="A329" s="3" t="str">
        <f>NodesData[[#This Row],[Common Name]]</f>
        <v>Password-Based Authentication</v>
      </c>
      <c r="B329" s="3" t="str">
        <f>IF(NodesData[[#This Row],[Context Instanciation]]="","",NodesData[[#This Row],[Context Instanciation]])</f>
        <v/>
      </c>
      <c r="C329" s="22" t="str">
        <f>NodesData[[#This Row],[Node ID]]</f>
        <v>nC40BED13_84D6_4487_B1D8_408847C59080</v>
      </c>
      <c r="D329" s="10" t="s">
        <v>1034</v>
      </c>
      <c r="E329" s="25" t="str" cm="1">
        <f t="array" ref="E329">IF(ROW(NodesJSON[[#This Row],[label]])&gt;ROW(NodesJSON[[#Headers],[JSON]])+1,",","") &amp;"{"&amp;twoRangesToJSON(NodesJSON[[#Headers],[label]:[url]],NodesJSON[[#This Row],[label]:[url]])&amp;"}"</f>
        <v>,{"label":"Password-Based Authentication","group":"","id":"nC40BED13_84D6_4487_B1D8_408847C59080","url":"https://open-measure.atlassian.net/wiki/spaces/DIC/pages/1477902403/Privileged+Insider"}</v>
      </c>
    </row>
    <row r="330" spans="1:5" ht="13.9" thickTop="1" thickBot="1" x14ac:dyDescent="0.4">
      <c r="A330" s="3" t="str">
        <f>NodesData[[#This Row],[Common Name]]</f>
        <v>Passwordless Authentication</v>
      </c>
      <c r="B330" s="3" t="str">
        <f>IF(NodesData[[#This Row],[Context Instanciation]]="","",NodesData[[#This Row],[Context Instanciation]])</f>
        <v/>
      </c>
      <c r="C330" s="22" t="str">
        <f>NodesData[[#This Row],[Node ID]]</f>
        <v>n78F6BABC_A65F_473D_BCDE_FEE7D54A424A</v>
      </c>
      <c r="D330" s="10" t="s">
        <v>1036</v>
      </c>
      <c r="E330" s="25" t="str" cm="1">
        <f t="array" ref="E330">IF(ROW(NodesJSON[[#This Row],[label]])&gt;ROW(NodesJSON[[#Headers],[JSON]])+1,",","") &amp;"{"&amp;twoRangesToJSON(NodesJSON[[#Headers],[label]:[url]],NodesJSON[[#This Row],[label]:[url]])&amp;"}"</f>
        <v>,{"label":"Passwordless Authentication","group":"","id":"n78F6BABC_A65F_473D_BCDE_FEE7D54A424A","url":"https://open-measure.atlassian.net/wiki/spaces/DIC/pages/61964289"}</v>
      </c>
    </row>
    <row r="331" spans="1:5" ht="13.9" thickTop="1" thickBot="1" x14ac:dyDescent="0.4">
      <c r="A331" s="3" t="str">
        <f>NodesData[[#This Row],[Common Name]]</f>
        <v>People</v>
      </c>
      <c r="B331" s="3" t="str">
        <f>IF(NodesData[[#This Row],[Context Instanciation]]="","",NodesData[[#This Row],[Context Instanciation]])</f>
        <v/>
      </c>
      <c r="C331" s="22" t="str">
        <f>NodesData[[#This Row],[Node ID]]</f>
        <v>n4CF1B3F5_CACC_4AD2_BDA1_4AF301F4C65D</v>
      </c>
      <c r="D331" s="8"/>
      <c r="E331" s="25" t="str" cm="1">
        <f t="array" ref="E331">IF(ROW(NodesJSON[[#This Row],[label]])&gt;ROW(NodesJSON[[#Headers],[JSON]])+1,",","") &amp;"{"&amp;twoRangesToJSON(NodesJSON[[#Headers],[label]:[url]],NodesJSON[[#This Row],[label]:[url]])&amp;"}"</f>
        <v>,{"label":"People","group":"","id":"n4CF1B3F5_CACC_4AD2_BDA1_4AF301F4C65D","url":""}</v>
      </c>
    </row>
    <row r="332" spans="1:5" ht="13.9" thickTop="1" thickBot="1" x14ac:dyDescent="0.4">
      <c r="A332" s="3" t="str">
        <f>NodesData[[#This Row],[Common Name]]</f>
        <v>Permission</v>
      </c>
      <c r="B332" s="3" t="str">
        <f>IF(NodesData[[#This Row],[Context Instanciation]]="","",NodesData[[#This Row],[Context Instanciation]])</f>
        <v/>
      </c>
      <c r="C332" s="22" t="str">
        <f>NodesData[[#This Row],[Node ID]]</f>
        <v>n01EF8E33_9CCC_40C8_9331_68F0F5358EC1</v>
      </c>
      <c r="D332" s="10" t="s">
        <v>1038</v>
      </c>
      <c r="E332" s="25" t="str" cm="1">
        <f t="array" ref="E332">IF(ROW(NodesJSON[[#This Row],[label]])&gt;ROW(NodesJSON[[#Headers],[JSON]])+1,",","") &amp;"{"&amp;twoRangesToJSON(NodesJSON[[#Headers],[label]:[url]],NodesJSON[[#This Row],[label]:[url]])&amp;"}"</f>
        <v>,{"label":"Permission","group":"","id":"n01EF8E33_9CCC_40C8_9331_68F0F5358EC1","url":"https://open-measure.atlassian.net/wiki/spaces/DIC/pages/1323598109/Qualitative+Identity"}</v>
      </c>
    </row>
    <row r="333" spans="1:5" ht="13.9" thickTop="1" thickBot="1" x14ac:dyDescent="0.4">
      <c r="A333" s="3" t="str">
        <f>NodesData[[#This Row],[Common Name]]</f>
        <v>Persona</v>
      </c>
      <c r="B333" s="3" t="str">
        <f>IF(NodesData[[#This Row],[Context Instanciation]]="","",NodesData[[#This Row],[Context Instanciation]])</f>
        <v/>
      </c>
      <c r="C333" s="22" t="str">
        <f>NodesData[[#This Row],[Node ID]]</f>
        <v>n36E8FD72_C9A2_4D50_986E_5DC62C773748</v>
      </c>
      <c r="D333" s="10" t="s">
        <v>1040</v>
      </c>
      <c r="E333" s="25" t="str" cm="1">
        <f t="array" ref="E333">IF(ROW(NodesJSON[[#This Row],[label]])&gt;ROW(NodesJSON[[#Headers],[JSON]])+1,",","") &amp;"{"&amp;twoRangesToJSON(NodesJSON[[#Headers],[label]:[url]],NodesJSON[[#This Row],[label]:[url]])&amp;"}"</f>
        <v>,{"label":"Persona","group":"","id":"n36E8FD72_C9A2_4D50_986E_5DC62C773748","url":"https://open-measure.atlassian.net/wiki/spaces/DIC/pages/82903928"}</v>
      </c>
    </row>
    <row r="334" spans="1:5" ht="13.9" thickTop="1" thickBot="1" x14ac:dyDescent="0.4">
      <c r="A334" s="3" t="str">
        <f>NodesData[[#This Row],[Common Name]]</f>
        <v>Personal Identification Number Authentication</v>
      </c>
      <c r="B334" s="3" t="str">
        <f>IF(NodesData[[#This Row],[Context Instanciation]]="","",NodesData[[#This Row],[Context Instanciation]])</f>
        <v/>
      </c>
      <c r="C334" s="22" t="str">
        <f>NodesData[[#This Row],[Node ID]]</f>
        <v>n7A6515A7_E313_45AC_A024_B7321A51BBF0</v>
      </c>
      <c r="D334" s="10" t="s">
        <v>1042</v>
      </c>
      <c r="E334" s="25" t="str" cm="1">
        <f t="array" ref="E334">IF(ROW(NodesJSON[[#This Row],[label]])&gt;ROW(NodesJSON[[#Headers],[JSON]])+1,",","") &amp;"{"&amp;twoRangesToJSON(NodesJSON[[#Headers],[label]:[url]],NodesJSON[[#This Row],[label]:[url]])&amp;"}"</f>
        <v>,{"label":"Personal Identification Number Authentication","group":"","id":"n7A6515A7_E313_45AC_A024_B7321A51BBF0","url":"https://open-measure.atlassian.net/wiki/spaces/DIC/pages/11567198"}</v>
      </c>
    </row>
    <row r="335" spans="1:5" ht="13.9" thickTop="1" thickBot="1" x14ac:dyDescent="0.4">
      <c r="A335" s="3" t="str">
        <f>NodesData[[#This Row],[Common Name]]</f>
        <v>Physical Token OTP</v>
      </c>
      <c r="B335" s="3" t="str">
        <f>IF(NodesData[[#This Row],[Context Instanciation]]="","",NodesData[[#This Row],[Context Instanciation]])</f>
        <v/>
      </c>
      <c r="C335" s="22" t="str">
        <f>NodesData[[#This Row],[Node ID]]</f>
        <v>n464C132D_5900_4F55_8F96_F62557EA18BE</v>
      </c>
      <c r="D335" s="10" t="s">
        <v>1044</v>
      </c>
      <c r="E335" s="25" t="str" cm="1">
        <f t="array" ref="E335">IF(ROW(NodesJSON[[#This Row],[label]])&gt;ROW(NodesJSON[[#Headers],[JSON]])+1,",","") &amp;"{"&amp;twoRangesToJSON(NodesJSON[[#Headers],[label]:[url]],NodesJSON[[#This Row],[label]:[url]])&amp;"}"</f>
        <v>,{"label":"Physical Token OTP","group":"","id":"n464C132D_5900_4F55_8F96_F62557EA18BE","url":"https://open-measure.atlassian.net/wiki/spaces/DIC/pages/408944908"}</v>
      </c>
    </row>
    <row r="336" spans="1:5" ht="13.9" thickTop="1" thickBot="1" x14ac:dyDescent="0.4">
      <c r="A336" s="3" t="str">
        <f>NodesData[[#This Row],[Common Name]]</f>
        <v>PMS</v>
      </c>
      <c r="B336" s="3" t="str">
        <f>IF(NodesData[[#This Row],[Context Instanciation]]="","",NodesData[[#This Row],[Context Instanciation]])</f>
        <v/>
      </c>
      <c r="C336" s="22" t="str">
        <f>NodesData[[#This Row],[Node ID]]</f>
        <v>nEBC962F0_3340_49DC_9E34_B2B7557F9372</v>
      </c>
      <c r="D336" s="10" t="s">
        <v>1037</v>
      </c>
      <c r="E336" s="25" t="str" cm="1">
        <f t="array" ref="E336">IF(ROW(NodesJSON[[#This Row],[label]])&gt;ROW(NodesJSON[[#Headers],[JSON]])+1,",","") &amp;"{"&amp;twoRangesToJSON(NodesJSON[[#Headers],[label]:[url]],NodesJSON[[#This Row],[label]:[url]])&amp;"}"</f>
        <v>,{"label":"PMS","group":"","id":"nEBC962F0_3340_49DC_9E34_B2B7557F9372","url":"https://open-measure.atlassian.net/wiki/spaces/DIC/pages/1677164768/QR+Code+Authentication"}</v>
      </c>
    </row>
    <row r="337" spans="1:5" ht="13.9" thickTop="1" thickBot="1" x14ac:dyDescent="0.4">
      <c r="A337" s="3" t="str">
        <f>NodesData[[#This Row],[Common Name]]</f>
        <v>Policy</v>
      </c>
      <c r="B337" s="3" t="str">
        <f>IF(NodesData[[#This Row],[Context Instanciation]]="","",NodesData[[#This Row],[Context Instanciation]])</f>
        <v/>
      </c>
      <c r="C337" s="22" t="str">
        <f>NodesData[[#This Row],[Node ID]]</f>
        <v>nAA77CC85_5C4B_467C_8062_029385C2AF09</v>
      </c>
      <c r="D337" s="10" t="s">
        <v>1048</v>
      </c>
      <c r="E337" s="25" t="str" cm="1">
        <f t="array" ref="E337">IF(ROW(NodesJSON[[#This Row],[label]])&gt;ROW(NodesJSON[[#Headers],[JSON]])+1,",","") &amp;"{"&amp;twoRangesToJSON(NodesJSON[[#Headers],[label]:[url]],NodesJSON[[#This Row],[label]:[url]])&amp;"}"</f>
        <v>,{"label":"Policy","group":"","id":"nAA77CC85_5C4B_467C_8062_029385C2AF09","url":"https://open-measure.atlassian.net/wiki/spaces/DIC/pages/107840129"}</v>
      </c>
    </row>
    <row r="338" spans="1:5" ht="13.9" thickTop="1" thickBot="1" x14ac:dyDescent="0.4">
      <c r="A338" s="3" t="str">
        <f>NodesData[[#This Row],[Common Name]]</f>
        <v>Policy Analysis</v>
      </c>
      <c r="B338" s="3" t="str">
        <f>IF(NodesData[[#This Row],[Context Instanciation]]="","",NodesData[[#This Row],[Context Instanciation]])</f>
        <v/>
      </c>
      <c r="C338" s="22" t="str">
        <f>NodesData[[#This Row],[Node ID]]</f>
        <v>n5873E20E_7DC8_43B0_B048_106A80E87640</v>
      </c>
      <c r="D338" s="10" t="s">
        <v>1050</v>
      </c>
      <c r="E338" s="25" t="str" cm="1">
        <f t="array" ref="E338">IF(ROW(NodesJSON[[#This Row],[label]])&gt;ROW(NodesJSON[[#Headers],[JSON]])+1,",","") &amp;"{"&amp;twoRangesToJSON(NodesJSON[[#Headers],[label]:[url]],NodesJSON[[#This Row],[label]:[url]])&amp;"}"</f>
        <v>,{"label":"Policy Analysis","group":"","id":"n5873E20E_7DC8_43B0_B048_106A80E87640","url":"https://open-measure.atlassian.net/wiki/spaces/DIC/pages/123962234"}</v>
      </c>
    </row>
    <row r="339" spans="1:5" ht="13.9" thickTop="1" thickBot="1" x14ac:dyDescent="0.4">
      <c r="A339" s="3" t="str">
        <f>NodesData[[#This Row],[Common Name]]</f>
        <v>Policy Centralization</v>
      </c>
      <c r="B339" s="3" t="str">
        <f>IF(NodesData[[#This Row],[Context Instanciation]]="","",NodesData[[#This Row],[Context Instanciation]])</f>
        <v/>
      </c>
      <c r="C339" s="22" t="str">
        <f>NodesData[[#This Row],[Node ID]]</f>
        <v>n10B244A8_21C9_4D9D_9E27_FE5ABBED56A5</v>
      </c>
      <c r="D339" s="10" t="s">
        <v>1046</v>
      </c>
      <c r="E339" s="25" t="str" cm="1">
        <f t="array" ref="E339">IF(ROW(NodesJSON[[#This Row],[label]])&gt;ROW(NodesJSON[[#Headers],[JSON]])+1,",","") &amp;"{"&amp;twoRangesToJSON(NodesJSON[[#Headers],[label]:[url]],NodesJSON[[#This Row],[label]:[url]])&amp;"}"</f>
        <v>,{"label":"Policy Centralization","group":"","id":"n10B244A8_21C9_4D9D_9E27_FE5ABBED56A5","url":"https://open-measure.atlassian.net/wiki/spaces/DIC/pages/873201665"}</v>
      </c>
    </row>
    <row r="340" spans="1:5" ht="13.9" thickTop="1" thickBot="1" x14ac:dyDescent="0.4">
      <c r="A340" s="3" t="str">
        <f>NodesData[[#This Row],[Common Name]]</f>
        <v>Policy Interoperability</v>
      </c>
      <c r="B340" s="3" t="str">
        <f>IF(NodesData[[#This Row],[Context Instanciation]]="","",NodesData[[#This Row],[Context Instanciation]])</f>
        <v/>
      </c>
      <c r="C340" s="22" t="str">
        <f>NodesData[[#This Row],[Node ID]]</f>
        <v>n76740F74_7039_4200_B48A_59A8A4A3D1A0</v>
      </c>
      <c r="D340" s="10" t="s">
        <v>1054</v>
      </c>
      <c r="E340" s="25" t="str" cm="1">
        <f t="array" ref="E340">IF(ROW(NodesJSON[[#This Row],[label]])&gt;ROW(NodesJSON[[#Headers],[JSON]])+1,",","") &amp;"{"&amp;twoRangesToJSON(NodesJSON[[#Headers],[label]:[url]],NodesJSON[[#This Row],[label]:[url]])&amp;"}"</f>
        <v>,{"label":"Policy Interoperability","group":"","id":"n76740F74_7039_4200_B48A_59A8A4A3D1A0","url":"https://open-measure.atlassian.net/wiki/spaces/DIC/pages/858521682"}</v>
      </c>
    </row>
    <row r="341" spans="1:5" ht="13.9" thickTop="1" thickBot="1" x14ac:dyDescent="0.4">
      <c r="A341" s="3" t="str">
        <f>NodesData[[#This Row],[Common Name]]</f>
        <v>Policy Manageability</v>
      </c>
      <c r="B341" s="3" t="str">
        <f>IF(NodesData[[#This Row],[Context Instanciation]]="","",NodesData[[#This Row],[Context Instanciation]])</f>
        <v/>
      </c>
      <c r="C341" s="22" t="str">
        <f>NodesData[[#This Row],[Node ID]]</f>
        <v>nD3DD18B2_66DE_48D3_962B_511205F74E07</v>
      </c>
      <c r="D341" s="10" t="s">
        <v>1056</v>
      </c>
      <c r="E341" s="25" t="str" cm="1">
        <f t="array" ref="E341">IF(ROW(NodesJSON[[#This Row],[label]])&gt;ROW(NodesJSON[[#Headers],[JSON]])+1,",","") &amp;"{"&amp;twoRangesToJSON(NodesJSON[[#Headers],[label]:[url]],NodesJSON[[#This Row],[label]:[url]])&amp;"}"</f>
        <v>,{"label":"Policy Manageability","group":"","id":"nD3DD18B2_66DE_48D3_962B_511205F74E07","url":"https://open-measure.atlassian.net/wiki/spaces/DIC/pages/67699423"}</v>
      </c>
    </row>
    <row r="342" spans="1:5" ht="13.9" thickTop="1" thickBot="1" x14ac:dyDescent="0.4">
      <c r="A342" s="3" t="str">
        <f>NodesData[[#This Row],[Common Name]]</f>
        <v>Policy Mining</v>
      </c>
      <c r="B342" s="3" t="str">
        <f>IF(NodesData[[#This Row],[Context Instanciation]]="","",NodesData[[#This Row],[Context Instanciation]])</f>
        <v/>
      </c>
      <c r="C342" s="22" t="str">
        <f>NodesData[[#This Row],[Node ID]]</f>
        <v>nB5D0C15D_30A8_4D8C_9DF1_B0D78AC0EB44</v>
      </c>
      <c r="D342" s="10" t="s">
        <v>1058</v>
      </c>
      <c r="E342" s="25" t="str" cm="1">
        <f t="array" ref="E342">IF(ROW(NodesJSON[[#This Row],[label]])&gt;ROW(NodesJSON[[#Headers],[JSON]])+1,",","") &amp;"{"&amp;twoRangesToJSON(NodesJSON[[#Headers],[label]:[url]],NodesJSON[[#This Row],[label]:[url]])&amp;"}"</f>
        <v>,{"label":"Policy Mining","group":"","id":"nB5D0C15D_30A8_4D8C_9DF1_B0D78AC0EB44","url":"https://open-measure.atlassian.net/wiki/spaces/DIC/pages/427130881"}</v>
      </c>
    </row>
    <row r="343" spans="1:5" ht="13.9" thickTop="1" thickBot="1" x14ac:dyDescent="0.4">
      <c r="A343" s="3" t="str">
        <f>NodesData[[#This Row],[Common Name]]</f>
        <v>Policy Modeling</v>
      </c>
      <c r="B343" s="3" t="str">
        <f>IF(NodesData[[#This Row],[Context Instanciation]]="","",NodesData[[#This Row],[Context Instanciation]])</f>
        <v/>
      </c>
      <c r="C343" s="22" t="str">
        <f>NodesData[[#This Row],[Node ID]]</f>
        <v>n455C0775_9E71_475A_9F9D_FE0281B80BC0</v>
      </c>
      <c r="D343" s="10" t="s">
        <v>1060</v>
      </c>
      <c r="E343" s="25" t="str" cm="1">
        <f t="array" ref="E343">IF(ROW(NodesJSON[[#This Row],[label]])&gt;ROW(NodesJSON[[#Headers],[JSON]])+1,",","") &amp;"{"&amp;twoRangesToJSON(NodesJSON[[#Headers],[label]:[url]],NodesJSON[[#This Row],[label]:[url]])&amp;"}"</f>
        <v>,{"label":"Policy Modeling","group":"","id":"n455C0775_9E71_475A_9F9D_FE0281B80BC0","url":"https://open-measure.atlassian.net/wiki/spaces/DIC/pages/2589003"}</v>
      </c>
    </row>
    <row r="344" spans="1:5" ht="13.9" thickTop="1" thickBot="1" x14ac:dyDescent="0.4">
      <c r="A344" s="3" t="str">
        <f>NodesData[[#This Row],[Common Name]]</f>
        <v>Possession Factor</v>
      </c>
      <c r="B344" s="3" t="str">
        <f>IF(NodesData[[#This Row],[Context Instanciation]]="","",NodesData[[#This Row],[Context Instanciation]])</f>
        <v/>
      </c>
      <c r="C344" s="22" t="str">
        <f>NodesData[[#This Row],[Node ID]]</f>
        <v>n8B4BB7FC_2E2A_4C1A_8657_58EEC2DF8A9A</v>
      </c>
      <c r="D344" s="10" t="s">
        <v>1062</v>
      </c>
      <c r="E344" s="25" t="str" cm="1">
        <f t="array" ref="E344">IF(ROW(NodesJSON[[#This Row],[label]])&gt;ROW(NodesJSON[[#Headers],[JSON]])+1,",","") &amp;"{"&amp;twoRangesToJSON(NodesJSON[[#Headers],[label]:[url]],NodesJSON[[#This Row],[label]:[url]])&amp;"}"</f>
        <v>,{"label":"Possession Factor","group":"","id":"n8B4BB7FC_2E2A_4C1A_8657_58EEC2DF8A9A","url":"https://open-measure.atlassian.net/wiki/spaces/DIC/pages/11141464"}</v>
      </c>
    </row>
    <row r="345" spans="1:5" ht="13.9" thickTop="1" thickBot="1" x14ac:dyDescent="0.4">
      <c r="A345" s="3" t="str">
        <f>NodesData[[#This Row],[Common Name]]</f>
        <v>Pre-approval</v>
      </c>
      <c r="B345" s="3" t="str">
        <f>IF(NodesData[[#This Row],[Context Instanciation]]="","",NodesData[[#This Row],[Context Instanciation]])</f>
        <v/>
      </c>
      <c r="C345" s="22" t="str">
        <f>NodesData[[#This Row],[Node ID]]</f>
        <v>n709A4E65_BD24_4FB3_AF6D_E95E57F0157C</v>
      </c>
      <c r="D345" s="10" t="s">
        <v>1064</v>
      </c>
      <c r="E345" s="25" t="str" cm="1">
        <f t="array" ref="E345">IF(ROW(NodesJSON[[#This Row],[label]])&gt;ROW(NodesJSON[[#Headers],[JSON]])+1,",","") &amp;"{"&amp;twoRangesToJSON(NodesJSON[[#Headers],[label]:[url]],NodesJSON[[#This Row],[label]:[url]])&amp;"}"</f>
        <v>,{"label":"Pre-approval","group":"","id":"n709A4E65_BD24_4FB3_AF6D_E95E57F0157C","url":"https://open-measure.atlassian.net/wiki/spaces/DIC/pages/2588994"}</v>
      </c>
    </row>
    <row r="346" spans="1:5" ht="13.9" thickTop="1" thickBot="1" x14ac:dyDescent="0.4">
      <c r="A346" s="3" t="str">
        <f>NodesData[[#This Row],[Common Name]]</f>
        <v>Principal</v>
      </c>
      <c r="B346" s="3" t="str">
        <f>IF(NodesData[[#This Row],[Context Instanciation]]="","",NodesData[[#This Row],[Context Instanciation]])</f>
        <v/>
      </c>
      <c r="C346" s="22" t="str">
        <f>NodesData[[#This Row],[Node ID]]</f>
        <v>nE2F3A772_EEDF_4F78_9194_533B50B4644F</v>
      </c>
      <c r="D346" s="10" t="s">
        <v>1066</v>
      </c>
      <c r="E346" s="25" t="str" cm="1">
        <f t="array" ref="E346">IF(ROW(NodesJSON[[#This Row],[label]])&gt;ROW(NodesJSON[[#Headers],[JSON]])+1,",","") &amp;"{"&amp;twoRangesToJSON(NodesJSON[[#Headers],[label]:[url]],NodesJSON[[#This Row],[label]:[url]])&amp;"}"</f>
        <v>,{"label":"Principal","group":"","id":"nE2F3A772_EEDF_4F78_9194_533B50B4644F","url":"https://open-measure.atlassian.net/wiki/spaces/DIC/pages/67698769"}</v>
      </c>
    </row>
    <row r="347" spans="1:5" ht="13.9" thickTop="1" thickBot="1" x14ac:dyDescent="0.4">
      <c r="A347" s="3" t="str">
        <f>NodesData[[#This Row],[Common Name]]</f>
        <v>Private Key Loss</v>
      </c>
      <c r="B347" s="3" t="str">
        <f>IF(NodesData[[#This Row],[Context Instanciation]]="","",NodesData[[#This Row],[Context Instanciation]])</f>
        <v/>
      </c>
      <c r="C347" s="22" t="str">
        <f>NodesData[[#This Row],[Node ID]]</f>
        <v>n3805BE20_DE10_4929_A9F5_5042661EDA36</v>
      </c>
      <c r="D347" s="10" t="s">
        <v>1068</v>
      </c>
      <c r="E347" s="25" t="str" cm="1">
        <f t="array" ref="E347">IF(ROW(NodesJSON[[#This Row],[label]])&gt;ROW(NodesJSON[[#Headers],[JSON]])+1,",","") &amp;"{"&amp;twoRangesToJSON(NodesJSON[[#Headers],[label]:[url]],NodesJSON[[#This Row],[label]:[url]])&amp;"}"</f>
        <v>,{"label":"Private Key Loss","group":"","id":"n3805BE20_DE10_4929_A9F5_5042661EDA36","url":"https://open-measure.atlassian.net/wiki/spaces/DIC/pages/425623561"}</v>
      </c>
    </row>
    <row r="348" spans="1:5" ht="13.9" thickTop="1" thickBot="1" x14ac:dyDescent="0.4">
      <c r="A348" s="3" t="str">
        <f>NodesData[[#This Row],[Common Name]]</f>
        <v>Privilege</v>
      </c>
      <c r="B348" s="3" t="str">
        <f>IF(NodesData[[#This Row],[Context Instanciation]]="","",NodesData[[#This Row],[Context Instanciation]])</f>
        <v/>
      </c>
      <c r="C348" s="22" t="str">
        <f>NodesData[[#This Row],[Node ID]]</f>
        <v>n3A9A58DA_FA73_4A42_AD4D_20181F1594F1</v>
      </c>
      <c r="D348" s="10" t="s">
        <v>1052</v>
      </c>
      <c r="E348" s="25" t="str" cm="1">
        <f t="array" ref="E348">IF(ROW(NodesJSON[[#This Row],[label]])&gt;ROW(NodesJSON[[#Headers],[JSON]])+1,",","") &amp;"{"&amp;twoRangesToJSON(NodesJSON[[#Headers],[label]:[url]],NodesJSON[[#This Row],[label]:[url]])&amp;"}"</f>
        <v>,{"label":"Privilege","group":"","id":"n3A9A58DA_FA73_4A42_AD4D_20181F1594F1","url":"https://open-measure.atlassian.net/wiki/spaces/DIC/pages/82870985"}</v>
      </c>
    </row>
    <row r="349" spans="1:5" ht="13.9" thickTop="1" thickBot="1" x14ac:dyDescent="0.4">
      <c r="A349" s="3" t="str">
        <f>NodesData[[#This Row],[Common Name]]</f>
        <v>Privilege Abuse</v>
      </c>
      <c r="B349" s="3" t="str">
        <f>IF(NodesData[[#This Row],[Context Instanciation]]="","",NodesData[[#This Row],[Context Instanciation]])</f>
        <v/>
      </c>
      <c r="C349" s="22" t="str">
        <f>NodesData[[#This Row],[Node ID]]</f>
        <v>nC8E821DA_5F6B_4960_9FEF_DC5199DC42F0</v>
      </c>
      <c r="D349" s="10" t="s">
        <v>1072</v>
      </c>
      <c r="E349" s="25" t="str" cm="1">
        <f t="array" ref="E349">IF(ROW(NodesJSON[[#This Row],[label]])&gt;ROW(NodesJSON[[#Headers],[JSON]])+1,",","") &amp;"{"&amp;twoRangesToJSON(NodesJSON[[#Headers],[label]:[url]],NodesJSON[[#This Row],[label]:[url]])&amp;"}"</f>
        <v>,{"label":"Privilege Abuse","group":"","id":"nC8E821DA_5F6B_4960_9FEF_DC5199DC42F0","url":"https://open-measure.atlassian.net/wiki/spaces/DIC/pages/86442069"}</v>
      </c>
    </row>
    <row r="350" spans="1:5" ht="13.9" thickTop="1" thickBot="1" x14ac:dyDescent="0.4">
      <c r="A350" s="3" t="str">
        <f>NodesData[[#This Row],[Common Name]]</f>
        <v>Privilege Chaining</v>
      </c>
      <c r="B350" s="3" t="str">
        <f>IF(NodesData[[#This Row],[Context Instanciation]]="","",NodesData[[#This Row],[Context Instanciation]])</f>
        <v/>
      </c>
      <c r="C350" s="22" t="str">
        <f>NodesData[[#This Row],[Node ID]]</f>
        <v>n6AAB869E_8FFB_43B2_BCDE_C4BB8F0E0948</v>
      </c>
      <c r="D350" s="10" t="s">
        <v>1086</v>
      </c>
      <c r="E350" s="25" t="str" cm="1">
        <f t="array" ref="E350">IF(ROW(NodesJSON[[#This Row],[label]])&gt;ROW(NodesJSON[[#Headers],[JSON]])+1,",","") &amp;"{"&amp;twoRangesToJSON(NodesJSON[[#Headers],[label]:[url]],NodesJSON[[#This Row],[label]:[url]])&amp;"}"</f>
        <v>,{"label":"Privilege Chaining","group":"","id":"n6AAB869E_8FFB_43B2_BCDE_C4BB8F0E0948","url":"https://open-measure.atlassian.net/wiki/spaces/DIC/pages/1122566198"}</v>
      </c>
    </row>
    <row r="351" spans="1:5" ht="13.9" thickTop="1" thickBot="1" x14ac:dyDescent="0.4">
      <c r="A351" s="3" t="str">
        <f>NodesData[[#This Row],[Common Name]]</f>
        <v>Privilege Escalation</v>
      </c>
      <c r="B351" s="3" t="str">
        <f>IF(NodesData[[#This Row],[Context Instanciation]]="","",NodesData[[#This Row],[Context Instanciation]])</f>
        <v/>
      </c>
      <c r="C351" s="22" t="str">
        <f>NodesData[[#This Row],[Node ID]]</f>
        <v>n640E2EBF_F163_41EF_A5E7_E328911BBC8E</v>
      </c>
      <c r="D351" s="10" t="s">
        <v>1074</v>
      </c>
      <c r="E351" s="25" t="str" cm="1">
        <f t="array" ref="E351">IF(ROW(NodesJSON[[#This Row],[label]])&gt;ROW(NodesJSON[[#Headers],[JSON]])+1,",","") &amp;"{"&amp;twoRangesToJSON(NodesJSON[[#Headers],[label]:[url]],NodesJSON[[#This Row],[label]:[url]])&amp;"}"</f>
        <v>,{"label":"Privilege Escalation","group":"","id":"n640E2EBF_F163_41EF_A5E7_E328911BBC8E","url":"https://open-measure.atlassian.net/wiki/spaces/DIC/pages/814514401"}</v>
      </c>
    </row>
    <row r="352" spans="1:5" ht="13.9" thickTop="1" thickBot="1" x14ac:dyDescent="0.4">
      <c r="A352" s="3" t="str">
        <f>NodesData[[#This Row],[Common Name]]</f>
        <v>Privileged Identity</v>
      </c>
      <c r="B352" s="3" t="str">
        <f>IF(NodesData[[#This Row],[Context Instanciation]]="","",NodesData[[#This Row],[Context Instanciation]])</f>
        <v/>
      </c>
      <c r="C352" s="22" t="str">
        <f>NodesData[[#This Row],[Node ID]]</f>
        <v>n38442FF1_AFF1_4481_B414_D70DEE27F0EC</v>
      </c>
      <c r="D352" s="10" t="s">
        <v>1076</v>
      </c>
      <c r="E352" s="25" t="str" cm="1">
        <f t="array" ref="E352">IF(ROW(NodesJSON[[#This Row],[label]])&gt;ROW(NodesJSON[[#Headers],[JSON]])+1,",","") &amp;"{"&amp;twoRangesToJSON(NodesJSON[[#Headers],[label]:[url]],NodesJSON[[#This Row],[label]:[url]])&amp;"}"</f>
        <v>,{"label":"Privileged Identity","group":"","id":"n38442FF1_AFF1_4481_B414_D70DEE27F0EC","url":"https://open-measure.atlassian.net/wiki/spaces/DIC/pages/1164902443"}</v>
      </c>
    </row>
    <row r="353" spans="1:5" ht="13.9" thickTop="1" thickBot="1" x14ac:dyDescent="0.4">
      <c r="A353" s="3" t="str">
        <f>NodesData[[#This Row],[Common Name]]</f>
        <v>Privileged Insider</v>
      </c>
      <c r="B353" s="3" t="str">
        <f>IF(NodesData[[#This Row],[Context Instanciation]]="","",NodesData[[#This Row],[Context Instanciation]])</f>
        <v/>
      </c>
      <c r="C353" s="22" t="str">
        <f>NodesData[[#This Row],[Node ID]]</f>
        <v>nB8B1D9E3_CCB1_4B48_8962_EA0A592DA1E6</v>
      </c>
      <c r="D353" s="10" t="s">
        <v>1078</v>
      </c>
      <c r="E353" s="25" t="str" cm="1">
        <f t="array" ref="E353">IF(ROW(NodesJSON[[#This Row],[label]])&gt;ROW(NodesJSON[[#Headers],[JSON]])+1,",","") &amp;"{"&amp;twoRangesToJSON(NodesJSON[[#Headers],[label]:[url]],NodesJSON[[#This Row],[label]:[url]])&amp;"}"</f>
        <v>,{"label":"Privileged Insider","group":"","id":"nB8B1D9E3_CCB1_4B48_8962_EA0A592DA1E6","url":"https://open-measure.atlassian.net/wiki/spaces/DIC/pages/1164869655"}</v>
      </c>
    </row>
    <row r="354" spans="1:5" ht="13.9" thickTop="1" thickBot="1" x14ac:dyDescent="0.4">
      <c r="A354" s="3" t="str">
        <f>NodesData[[#This Row],[Common Name]]</f>
        <v>Provisioning</v>
      </c>
      <c r="B354" s="3" t="str">
        <f>IF(NodesData[[#This Row],[Context Instanciation]]="","",NodesData[[#This Row],[Context Instanciation]])</f>
        <v/>
      </c>
      <c r="C354" s="22" t="str">
        <f>NodesData[[#This Row],[Node ID]]</f>
        <v>nD0A7D3C9_1A0B_49DC_A3E2_41483CB017E4</v>
      </c>
      <c r="D354" s="10" t="s">
        <v>1080</v>
      </c>
      <c r="E354" s="25" t="str" cm="1">
        <f t="array" ref="E354">IF(ROW(NodesJSON[[#This Row],[label]])&gt;ROW(NodesJSON[[#Headers],[JSON]])+1,",","") &amp;"{"&amp;twoRangesToJSON(NodesJSON[[#Headers],[label]:[url]],NodesJSON[[#This Row],[label]:[url]])&amp;"}"</f>
        <v>,{"label":"Provisioning","group":"","id":"nD0A7D3C9_1A0B_49DC_A3E2_41483CB017E4","url":"https://open-measure.atlassian.net/wiki/spaces/DIC/pages/1164902498"}</v>
      </c>
    </row>
    <row r="355" spans="1:5" ht="13.9" thickTop="1" thickBot="1" x14ac:dyDescent="0.4">
      <c r="A355" s="3" t="str">
        <f>NodesData[[#This Row],[Common Name]]</f>
        <v>QR Code Authentication</v>
      </c>
      <c r="B355" s="3" t="str">
        <f>IF(NodesData[[#This Row],[Context Instanciation]]="","",NodesData[[#This Row],[Context Instanciation]])</f>
        <v/>
      </c>
      <c r="C355" s="22" t="str">
        <f>NodesData[[#This Row],[Node ID]]</f>
        <v>n797F89B7_EBFE_4624_B7EE_5952C851879E</v>
      </c>
      <c r="D355" s="10" t="s">
        <v>1082</v>
      </c>
      <c r="E355" s="25" t="str" cm="1">
        <f t="array" ref="E355">IF(ROW(NodesJSON[[#This Row],[label]])&gt;ROW(NodesJSON[[#Headers],[JSON]])+1,",","") &amp;"{"&amp;twoRangesToJSON(NodesJSON[[#Headers],[label]:[url]],NodesJSON[[#This Row],[label]:[url]])&amp;"}"</f>
        <v>,{"label":"QR Code Authentication","group":"","id":"n797F89B7_EBFE_4624_B7EE_5952C851879E","url":"https://open-measure.atlassian.net/wiki/spaces/DIC/pages/1152483772"}</v>
      </c>
    </row>
    <row r="356" spans="1:5" ht="13.9" thickTop="1" thickBot="1" x14ac:dyDescent="0.4">
      <c r="A356" s="3" t="str">
        <f>NodesData[[#This Row],[Common Name]]</f>
        <v>Qualitative Identity</v>
      </c>
      <c r="B356" s="3" t="str">
        <f>IF(NodesData[[#This Row],[Context Instanciation]]="","",NodesData[[#This Row],[Context Instanciation]])</f>
        <v/>
      </c>
      <c r="C356" s="22" t="str">
        <f>NodesData[[#This Row],[Node ID]]</f>
        <v>n2D4F2CD5_91A2_4116_8CF5_9FA6ED9E736D</v>
      </c>
      <c r="D356" s="10" t="s">
        <v>1084</v>
      </c>
      <c r="E356" s="25" t="str" cm="1">
        <f t="array" ref="E356">IF(ROW(NodesJSON[[#This Row],[label]])&gt;ROW(NodesJSON[[#Headers],[JSON]])+1,",","") &amp;"{"&amp;twoRangesToJSON(NodesJSON[[#Headers],[label]:[url]],NodesJSON[[#This Row],[label]:[url]])&amp;"}"</f>
        <v>,{"label":"Qualitative Identity","group":"","id":"n2D4F2CD5_91A2_4116_8CF5_9FA6ED9E736D","url":"https://open-measure.atlassian.net/wiki/spaces/DIC/pages/1130921985"}</v>
      </c>
    </row>
    <row r="357" spans="1:5" ht="13.9" thickTop="1" thickBot="1" x14ac:dyDescent="0.4">
      <c r="A357" s="3" t="str">
        <f>NodesData[[#This Row],[Common Name]]</f>
        <v>RA</v>
      </c>
      <c r="B357" s="3" t="str">
        <f>IF(NodesData[[#This Row],[Context Instanciation]]="","",NodesData[[#This Row],[Context Instanciation]])</f>
        <v/>
      </c>
      <c r="C357" s="22" t="str">
        <f>NodesData[[#This Row],[Node ID]]</f>
        <v>n9F7D871B_3DEB_4A88_B41B_59E3F5381286</v>
      </c>
      <c r="D357" s="10" t="s">
        <v>1088</v>
      </c>
      <c r="E357" s="25" t="str" cm="1">
        <f t="array" ref="E357">IF(ROW(NodesJSON[[#This Row],[label]])&gt;ROW(NodesJSON[[#Headers],[JSON]])+1,",","") &amp;"{"&amp;twoRangesToJSON(NodesJSON[[#Headers],[label]:[url]],NodesJSON[[#This Row],[label]:[url]])&amp;"}"</f>
        <v>,{"label":"RA","group":"","id":"n9F7D871B_3DEB_4A88_B41B_59E3F5381286","url":"https://open-measure.atlassian.net/wiki/spaces/DIC/pages/82903488"}</v>
      </c>
    </row>
    <row r="358" spans="1:5" ht="13.9" thickTop="1" thickBot="1" x14ac:dyDescent="0.4">
      <c r="A358" s="3" t="str">
        <f>NodesData[[#This Row],[Common Name]]</f>
        <v>Ratio Scale</v>
      </c>
      <c r="B358" s="3" t="str">
        <f>IF(NodesData[[#This Row],[Context Instanciation]]="","",NodesData[[#This Row],[Context Instanciation]])</f>
        <v/>
      </c>
      <c r="C358" s="22" t="str">
        <f>NodesData[[#This Row],[Node ID]]</f>
        <v>n9EABB6A3_3B7A_42A6_A127_9CD98E43B6C0</v>
      </c>
      <c r="D358" s="10" t="s">
        <v>1089</v>
      </c>
      <c r="E358" s="25" t="str" cm="1">
        <f t="array" ref="E358">IF(ROW(NodesJSON[[#This Row],[label]])&gt;ROW(NodesJSON[[#Headers],[JSON]])+1,",","") &amp;"{"&amp;twoRangesToJSON(NodesJSON[[#Headers],[label]:[url]],NodesJSON[[#This Row],[label]:[url]])&amp;"}"</f>
        <v>,{"label":"Ratio Scale","group":"","id":"n9EABB6A3_3B7A_42A6_A127_9CD98E43B6C0","url":"https://open-measure.atlassian.net/wiki/spaces/DIC/pages/140739068/SAM+Database"}</v>
      </c>
    </row>
    <row r="359" spans="1:5" ht="13.9" thickTop="1" thickBot="1" x14ac:dyDescent="0.4">
      <c r="A359" s="3" t="str">
        <f>NodesData[[#This Row],[Common Name]]</f>
        <v>RBA</v>
      </c>
      <c r="B359" s="3" t="str">
        <f>IF(NodesData[[#This Row],[Context Instanciation]]="","",NodesData[[#This Row],[Context Instanciation]])</f>
        <v/>
      </c>
      <c r="C359" s="22" t="str">
        <f>NodesData[[#This Row],[Node ID]]</f>
        <v>nA3D07637_D18C_4A84_B9BE_EC33462CCE27</v>
      </c>
      <c r="D359" s="10" t="s">
        <v>1090</v>
      </c>
      <c r="E359" s="25" t="str" cm="1">
        <f t="array" ref="E359">IF(ROW(NodesJSON[[#This Row],[label]])&gt;ROW(NodesJSON[[#Headers],[JSON]])+1,",","") &amp;"{"&amp;twoRangesToJSON(NodesJSON[[#Headers],[label]:[url]],NodesJSON[[#This Row],[label]:[url]])&amp;"}"</f>
        <v>,{"label":"RBA","group":"","id":"nA3D07637_D18C_4A84_B9BE_EC33462CCE27","url":"https://open-measure.atlassian.net/wiki/spaces/DIC/pages/1428586729/SAML"}</v>
      </c>
    </row>
    <row r="360" spans="1:5" ht="13.9" thickTop="1" thickBot="1" x14ac:dyDescent="0.4">
      <c r="A360" s="3" t="str">
        <f>NodesData[[#This Row],[Common Name]]</f>
        <v>Re-authentication</v>
      </c>
      <c r="B360" s="3" t="str">
        <f>IF(NodesData[[#This Row],[Context Instanciation]]="","",NodesData[[#This Row],[Context Instanciation]])</f>
        <v/>
      </c>
      <c r="C360" s="22" t="str">
        <f>NodesData[[#This Row],[Node ID]]</f>
        <v>n7F9AFAF9_8A03_4A7B_B9E6_BFE1D2A9302D</v>
      </c>
      <c r="D360" s="10" t="s">
        <v>1092</v>
      </c>
      <c r="E360" s="25" t="str" cm="1">
        <f t="array" ref="E360">IF(ROW(NodesJSON[[#This Row],[label]])&gt;ROW(NodesJSON[[#Headers],[JSON]])+1,",","") &amp;"{"&amp;twoRangesToJSON(NodesJSON[[#Headers],[label]:[url]],NodesJSON[[#This Row],[label]:[url]])&amp;"}"</f>
        <v>,{"label":"Re-authentication","group":"","id":"n7F9AFAF9_8A03_4A7B_B9E6_BFE1D2A9302D","url":"https://open-measure.atlassian.net/wiki/spaces/DIC/pages/206307343"}</v>
      </c>
    </row>
    <row r="361" spans="1:5" ht="13.9" thickTop="1" thickBot="1" x14ac:dyDescent="0.4">
      <c r="A361" s="3" t="str">
        <f>NodesData[[#This Row],[Common Name]]</f>
        <v>Recertification</v>
      </c>
      <c r="B361" s="3" t="str">
        <f>IF(NodesData[[#This Row],[Context Instanciation]]="","",NodesData[[#This Row],[Context Instanciation]])</f>
        <v/>
      </c>
      <c r="C361" s="22" t="str">
        <f>NodesData[[#This Row],[Node ID]]</f>
        <v>nD44F34C0_2002_47C7_8592_BF38B5BF83F8</v>
      </c>
      <c r="D361" s="10" t="s">
        <v>1094</v>
      </c>
      <c r="E361" s="25" t="str" cm="1">
        <f t="array" ref="E361">IF(ROW(NodesJSON[[#This Row],[label]])&gt;ROW(NodesJSON[[#Headers],[JSON]])+1,",","") &amp;"{"&amp;twoRangesToJSON(NodesJSON[[#Headers],[label]:[url]],NodesJSON[[#This Row],[label]:[url]])&amp;"}"</f>
        <v>,{"label":"Recertification","group":"","id":"nD44F34C0_2002_47C7_8592_BF38B5BF83F8","url":"https://open-measure.atlassian.net/wiki/spaces/DIC/pages/206372879"}</v>
      </c>
    </row>
    <row r="362" spans="1:5" ht="13.9" thickTop="1" thickBot="1" x14ac:dyDescent="0.4">
      <c r="A362" s="3" t="str">
        <f>NodesData[[#This Row],[Common Name]]</f>
        <v>Reference Monitor</v>
      </c>
      <c r="B362" s="3" t="str">
        <f>IF(NodesData[[#This Row],[Context Instanciation]]="","",NodesData[[#This Row],[Context Instanciation]])</f>
        <v/>
      </c>
      <c r="C362" s="22" t="str">
        <f>NodesData[[#This Row],[Node ID]]</f>
        <v>n000D1617_D659_4780_A829_736ADFBC46B9</v>
      </c>
      <c r="D362" s="10" t="s">
        <v>1096</v>
      </c>
      <c r="E362" s="25" t="str" cm="1">
        <f t="array" ref="E362">IF(ROW(NodesJSON[[#This Row],[label]])&gt;ROW(NodesJSON[[#Headers],[JSON]])+1,",","") &amp;"{"&amp;twoRangesToJSON(NodesJSON[[#Headers],[label]:[url]],NodesJSON[[#This Row],[label]:[url]])&amp;"}"</f>
        <v>,{"label":"Reference Monitor","group":"","id":"n000D1617_D659_4780_A829_736ADFBC46B9","url":"https://open-measure.atlassian.net/wiki/spaces/DIC/pages/206307350"}</v>
      </c>
    </row>
    <row r="363" spans="1:5" ht="13.9" thickTop="1" thickBot="1" x14ac:dyDescent="0.4">
      <c r="A363" s="3" t="str">
        <f>NodesData[[#This Row],[Common Name]]</f>
        <v>Registration Authority</v>
      </c>
      <c r="B363" s="3" t="str">
        <f>IF(NodesData[[#This Row],[Context Instanciation]]="","",NodesData[[#This Row],[Context Instanciation]])</f>
        <v/>
      </c>
      <c r="C363" s="22" t="str">
        <f>NodesData[[#This Row],[Node ID]]</f>
        <v>nA28366D4_CC5A_467A_B4DC_EB619866BB17</v>
      </c>
      <c r="D363" s="10" t="s">
        <v>1098</v>
      </c>
      <c r="E363" s="25" t="str" cm="1">
        <f t="array" ref="E363">IF(ROW(NodesJSON[[#This Row],[label]])&gt;ROW(NodesJSON[[#Headers],[JSON]])+1,",","") &amp;"{"&amp;twoRangesToJSON(NodesJSON[[#Headers],[label]:[url]],NodesJSON[[#This Row],[label]:[url]])&amp;"}"</f>
        <v>,{"label":"Registration Authority","group":"","id":"nA28366D4_CC5A_467A_B4DC_EB619866BB17","url":"https://open-measure.atlassian.net/wiki/spaces/DIC/pages/206307373"}</v>
      </c>
    </row>
    <row r="364" spans="1:5" ht="13.9" thickTop="1" thickBot="1" x14ac:dyDescent="0.4">
      <c r="A364" s="3" t="str">
        <f>NodesData[[#This Row],[Common Name]]</f>
        <v>Rejoiner</v>
      </c>
      <c r="B364" s="3" t="str">
        <f>IF(NodesData[[#This Row],[Context Instanciation]]="","",NodesData[[#This Row],[Context Instanciation]])</f>
        <v/>
      </c>
      <c r="C364" s="22" t="str">
        <f>NodesData[[#This Row],[Node ID]]</f>
        <v>nFFC60251_1B95_42A0_9516_E5AC18B9BF28</v>
      </c>
      <c r="D364" s="10" t="s">
        <v>1100</v>
      </c>
      <c r="E364" s="25" t="str" cm="1">
        <f t="array" ref="E364">IF(ROW(NodesJSON[[#This Row],[label]])&gt;ROW(NodesJSON[[#Headers],[JSON]])+1,",","") &amp;"{"&amp;twoRangesToJSON(NodesJSON[[#Headers],[label]:[url]],NodesJSON[[#This Row],[label]:[url]])&amp;"}"</f>
        <v>,{"label":"Rejoiner","group":"","id":"nFFC60251_1B95_42A0_9516_E5AC18B9BF28","url":"https://open-measure.atlassian.net/wiki/spaces/DIC/pages/1376383"}</v>
      </c>
    </row>
    <row r="365" spans="1:5" ht="13.9" thickTop="1" thickBot="1" x14ac:dyDescent="0.4">
      <c r="A365" s="3" t="str">
        <f>NodesData[[#This Row],[Common Name]]</f>
        <v>Relying Party</v>
      </c>
      <c r="B365" s="3" t="str">
        <f>IF(NodesData[[#This Row],[Context Instanciation]]="","",NodesData[[#This Row],[Context Instanciation]])</f>
        <v/>
      </c>
      <c r="C365" s="22" t="str">
        <f>NodesData[[#This Row],[Node ID]]</f>
        <v>n85520257_66D0_4CD1_A52A_85A6885DB4CE</v>
      </c>
      <c r="D365" s="10" t="s">
        <v>1102</v>
      </c>
      <c r="E365" s="25" t="str" cm="1">
        <f t="array" ref="E365">IF(ROW(NodesJSON[[#This Row],[label]])&gt;ROW(NodesJSON[[#Headers],[JSON]])+1,",","") &amp;"{"&amp;twoRangesToJSON(NodesJSON[[#Headers],[label]:[url]],NodesJSON[[#This Row],[label]:[url]])&amp;"}"</f>
        <v>,{"label":"Relying Party","group":"","id":"n85520257_66D0_4CD1_A52A_85A6885DB4CE","url":"https://open-measure.atlassian.net/wiki/spaces/DIC/pages/5931115"}</v>
      </c>
    </row>
    <row r="366" spans="1:5" ht="13.9" thickTop="1" thickBot="1" x14ac:dyDescent="0.4">
      <c r="A366" s="3" t="str">
        <f>NodesData[[#This Row],[Common Name]]</f>
        <v>Remote Identity Proofing</v>
      </c>
      <c r="B366" s="3" t="str">
        <f>IF(NodesData[[#This Row],[Context Instanciation]]="","",NodesData[[#This Row],[Context Instanciation]])</f>
        <v/>
      </c>
      <c r="C366" s="22" t="str">
        <f>NodesData[[#This Row],[Node ID]]</f>
        <v>nCF5B4529_F5E4_4C1C_9CD1_0E67643481B4</v>
      </c>
      <c r="D366" s="10" t="s">
        <v>1104</v>
      </c>
      <c r="E366" s="25" t="str" cm="1">
        <f t="array" ref="E366">IF(ROW(NodesJSON[[#This Row],[label]])&gt;ROW(NodesJSON[[#Headers],[JSON]])+1,",","") &amp;"{"&amp;twoRangesToJSON(NodesJSON[[#Headers],[label]:[url]],NodesJSON[[#This Row],[label]:[url]])&amp;"}"</f>
        <v>,{"label":"Remote Identity Proofing","group":"","id":"nCF5B4529_F5E4_4C1C_9CD1_0E67643481B4","url":"https://open-measure.atlassian.net/wiki/spaces/DIC/pages/234356901"}</v>
      </c>
    </row>
    <row r="367" spans="1:5" ht="13.9" thickTop="1" thickBot="1" x14ac:dyDescent="0.4">
      <c r="A367" s="3" t="str">
        <f>NodesData[[#This Row],[Common Name]]</f>
        <v>Repeatability</v>
      </c>
      <c r="B367" s="3" t="str">
        <f>IF(NodesData[[#This Row],[Context Instanciation]]="","",NodesData[[#This Row],[Context Instanciation]])</f>
        <v/>
      </c>
      <c r="C367" s="22" t="str">
        <f>NodesData[[#This Row],[Node ID]]</f>
        <v>n27D0EABD_A0B3_47A6_A86A_8C13F8721BE1</v>
      </c>
      <c r="D367" s="10" t="s">
        <v>1106</v>
      </c>
      <c r="E367" s="25" t="str" cm="1">
        <f t="array" ref="E367">IF(ROW(NodesJSON[[#This Row],[label]])&gt;ROW(NodesJSON[[#Headers],[JSON]])+1,",","") &amp;"{"&amp;twoRangesToJSON(NodesJSON[[#Headers],[label]:[url]],NodesJSON[[#This Row],[label]:[url]])&amp;"}"</f>
        <v>,{"label":"Repeatability","group":"","id":"n27D0EABD_A0B3_47A6_A86A_8C13F8721BE1","url":"https://open-measure.atlassian.net/wiki/spaces/DIC/pages/1142390785"}</v>
      </c>
    </row>
    <row r="368" spans="1:5" ht="13.9" thickTop="1" thickBot="1" x14ac:dyDescent="0.4">
      <c r="A368" s="3" t="str">
        <f>NodesData[[#This Row],[Common Name]]</f>
        <v>Representation Target</v>
      </c>
      <c r="B368" s="3" t="str">
        <f>IF(NodesData[[#This Row],[Context Instanciation]]="","",NodesData[[#This Row],[Context Instanciation]])</f>
        <v/>
      </c>
      <c r="C368" s="22" t="str">
        <f>NodesData[[#This Row],[Node ID]]</f>
        <v>nE99045EA_CC68_44E2_A22A_2917BDB8276C</v>
      </c>
      <c r="D368" s="10" t="s">
        <v>1108</v>
      </c>
      <c r="E368" s="25" t="str" cm="1">
        <f t="array" ref="E368">IF(ROW(NodesJSON[[#This Row],[label]])&gt;ROW(NodesJSON[[#Headers],[JSON]])+1,",","") &amp;"{"&amp;twoRangesToJSON(NodesJSON[[#Headers],[label]:[url]],NodesJSON[[#This Row],[label]:[url]])&amp;"}"</f>
        <v>,{"label":"Representation Target","group":"","id":"nE99045EA_CC68_44E2_A22A_2917BDB8276C","url":"https://open-measure.atlassian.net/wiki/spaces/DIC/pages/1230831633"}</v>
      </c>
    </row>
    <row r="369" spans="1:5" ht="13.9" thickTop="1" thickBot="1" x14ac:dyDescent="0.4">
      <c r="A369" s="3" t="str">
        <f>NodesData[[#This Row],[Common Name]]</f>
        <v>Reproducibility</v>
      </c>
      <c r="B369" s="3" t="str">
        <f>IF(NodesData[[#This Row],[Context Instanciation]]="","",NodesData[[#This Row],[Context Instanciation]])</f>
        <v/>
      </c>
      <c r="C369" s="22" t="str">
        <f>NodesData[[#This Row],[Node ID]]</f>
        <v>n92552E85_6D6E_4D55_B4F1_C478A4FB8BC6</v>
      </c>
      <c r="D369" s="10" t="s">
        <v>1110</v>
      </c>
      <c r="E369" s="25" t="str" cm="1">
        <f t="array" ref="E369">IF(ROW(NodesJSON[[#This Row],[label]])&gt;ROW(NodesJSON[[#Headers],[JSON]])+1,",","") &amp;"{"&amp;twoRangesToJSON(NodesJSON[[#Headers],[label]:[url]],NodesJSON[[#This Row],[label]:[url]])&amp;"}"</f>
        <v>,{"label":"Reproducibility","group":"","id":"n92552E85_6D6E_4D55_B4F1_C478A4FB8BC6","url":"https://open-measure.atlassian.net/wiki/spaces/DIC/pages/1231159321"}</v>
      </c>
    </row>
    <row r="370" spans="1:5" ht="13.9" thickTop="1" thickBot="1" x14ac:dyDescent="0.4">
      <c r="A370" s="3" t="str">
        <f>NodesData[[#This Row],[Common Name]]</f>
        <v>Revocation</v>
      </c>
      <c r="B370" s="3" t="str">
        <f>IF(NodesData[[#This Row],[Context Instanciation]]="","",NodesData[[#This Row],[Context Instanciation]])</f>
        <v/>
      </c>
      <c r="C370" s="22" t="str">
        <f>NodesData[[#This Row],[Node ID]]</f>
        <v>n019EE7D0_AFF3_44D6_B229_9F7E8C9D4151</v>
      </c>
      <c r="D370" s="10" t="s">
        <v>1112</v>
      </c>
      <c r="E370" s="25" t="str" cm="1">
        <f t="array" ref="E370">IF(ROW(NodesJSON[[#This Row],[label]])&gt;ROW(NodesJSON[[#Headers],[JSON]])+1,",","") &amp;"{"&amp;twoRangesToJSON(NodesJSON[[#Headers],[label]:[url]],NodesJSON[[#This Row],[label]:[url]])&amp;"}"</f>
        <v>,{"label":"Revocation","group":"","id":"n019EE7D0_AFF3_44D6_B229_9F7E8C9D4151","url":"https://open-measure.atlassian.net/wiki/spaces/DIC/pages/140673497"}</v>
      </c>
    </row>
    <row r="371" spans="1:5" ht="13.9" thickTop="1" thickBot="1" x14ac:dyDescent="0.4">
      <c r="A371" s="3" t="str">
        <f>NodesData[[#This Row],[Common Name]]</f>
        <v>RIDP</v>
      </c>
      <c r="B371" s="3" t="str">
        <f>IF(NodesData[[#This Row],[Context Instanciation]]="","",NodesData[[#This Row],[Context Instanciation]])</f>
        <v/>
      </c>
      <c r="C371" s="22" t="str">
        <f>NodesData[[#This Row],[Node ID]]</f>
        <v>n2B1493D9_E52C_47E8_875B_74265080C8CB</v>
      </c>
      <c r="D371" s="10" t="s">
        <v>1113</v>
      </c>
      <c r="E371" s="25" t="str" cm="1">
        <f t="array" ref="E371">IF(ROW(NodesJSON[[#This Row],[label]])&gt;ROW(NodesJSON[[#Headers],[JSON]])+1,",","") &amp;"{"&amp;twoRangesToJSON(NodesJSON[[#Headers],[label]:[url]],NodesJSON[[#This Row],[label]:[url]])&amp;"}"</f>
        <v>,{"label":"RIDP","group":"","id":"n2B1493D9_E52C_47E8_875B_74265080C8CB","url":"https://open-measure.atlassian.net/wiki/spaces/DIC/pages/1428619445/Security+Assertion+Markup+Language"}</v>
      </c>
    </row>
    <row r="372" spans="1:5" ht="13.9" thickTop="1" thickBot="1" x14ac:dyDescent="0.4">
      <c r="A372" s="3" t="str">
        <f>NodesData[[#This Row],[Common Name]]</f>
        <v>Risk-Based Authentication</v>
      </c>
      <c r="B372" s="3" t="str">
        <f>IF(NodesData[[#This Row],[Context Instanciation]]="","",NodesData[[#This Row],[Context Instanciation]])</f>
        <v/>
      </c>
      <c r="C372" s="22" t="str">
        <f>NodesData[[#This Row],[Node ID]]</f>
        <v>n963C5840_F55F_44D3_ABCE_9B86FAE16FEF</v>
      </c>
      <c r="D372" s="10" t="s">
        <v>1115</v>
      </c>
      <c r="E372" s="25" t="str" cm="1">
        <f t="array" ref="E372">IF(ROW(NodesJSON[[#This Row],[label]])&gt;ROW(NodesJSON[[#Headers],[JSON]])+1,",","") &amp;"{"&amp;twoRangesToJSON(NodesJSON[[#Headers],[label]:[url]],NodesJSON[[#This Row],[label]:[url]])&amp;"}"</f>
        <v>,{"label":"Risk-Based Authentication","group":"","id":"n963C5840_F55F_44D3_ABCE_9B86FAE16FEF","url":"https://open-measure.atlassian.net/wiki/spaces/DIC/pages/1177747653"}</v>
      </c>
    </row>
    <row r="373" spans="1:5" ht="13.9" thickTop="1" thickBot="1" x14ac:dyDescent="0.4">
      <c r="A373" s="3" t="str">
        <f>NodesData[[#This Row],[Common Name]]</f>
        <v>Role</v>
      </c>
      <c r="B373" s="3" t="str">
        <f>IF(NodesData[[#This Row],[Context Instanciation]]="","",NodesData[[#This Row],[Context Instanciation]])</f>
        <v/>
      </c>
      <c r="C373" s="22" t="str">
        <f>NodesData[[#This Row],[Node ID]]</f>
        <v>nE1050999_27A0_46D4_AFD8_BAFC2970E276</v>
      </c>
      <c r="D373" s="10" t="s">
        <v>1117</v>
      </c>
      <c r="E373" s="25" t="str" cm="1">
        <f t="array" ref="E373">IF(ROW(NodesJSON[[#This Row],[label]])&gt;ROW(NodesJSON[[#Headers],[JSON]])+1,",","") &amp;"{"&amp;twoRangesToJSON(NodesJSON[[#Headers],[label]:[url]],NodesJSON[[#This Row],[label]:[url]])&amp;"}"</f>
        <v>,{"label":"Role","group":"","id":"nE1050999_27A0_46D4_AFD8_BAFC2970E276","url":"https://open-measure.atlassian.net/wiki/spaces/DIC/pages/1181843719"}</v>
      </c>
    </row>
    <row r="374" spans="1:5" ht="13.9" thickTop="1" thickBot="1" x14ac:dyDescent="0.4">
      <c r="A374" s="3" t="str">
        <f>NodesData[[#This Row],[Common Name]]</f>
        <v>Role Bloating</v>
      </c>
      <c r="B374" s="3" t="str">
        <f>IF(NodesData[[#This Row],[Context Instanciation]]="","",NodesData[[#This Row],[Context Instanciation]])</f>
        <v/>
      </c>
      <c r="C374" s="22" t="str">
        <f>NodesData[[#This Row],[Node ID]]</f>
        <v>n5B801607_99C5_4D93_91CB_94A21227408C</v>
      </c>
      <c r="D374" s="10" t="s">
        <v>1119</v>
      </c>
      <c r="E374" s="25" t="str" cm="1">
        <f t="array" ref="E374">IF(ROW(NodesJSON[[#This Row],[label]])&gt;ROW(NodesJSON[[#Headers],[JSON]])+1,",","") &amp;"{"&amp;twoRangesToJSON(NodesJSON[[#Headers],[label]:[url]],NodesJSON[[#This Row],[label]:[url]])&amp;"}"</f>
        <v>,{"label":"Role Bloating","group":"","id":"n5B801607_99C5_4D93_91CB_94A21227408C","url":"https://open-measure.atlassian.net/wiki/spaces/DIC/pages/1177747630"}</v>
      </c>
    </row>
    <row r="375" spans="1:5" ht="13.9" thickTop="1" thickBot="1" x14ac:dyDescent="0.4">
      <c r="A375" s="3" t="str">
        <f>NodesData[[#This Row],[Common Name]]</f>
        <v>Role Capacity</v>
      </c>
      <c r="B375" s="3" t="str">
        <f>IF(NodesData[[#This Row],[Context Instanciation]]="","",NodesData[[#This Row],[Context Instanciation]])</f>
        <v/>
      </c>
      <c r="C375" s="22" t="str">
        <f>NodesData[[#This Row],[Node ID]]</f>
        <v>n4129C99E_02BA_4B11_AED3_6029D49927EE</v>
      </c>
      <c r="D375" s="10" t="s">
        <v>1070</v>
      </c>
      <c r="E375" s="25" t="str" cm="1">
        <f t="array" ref="E375">IF(ROW(NodesJSON[[#This Row],[label]])&gt;ROW(NodesJSON[[#Headers],[JSON]])+1,",","") &amp;"{"&amp;twoRangesToJSON(NodesJSON[[#Headers],[label]:[url]],NodesJSON[[#This Row],[label]:[url]])&amp;"}"</f>
        <v>,{"label":"Role Capacity","group":"","id":"n4129C99E_02BA_4B11_AED3_6029D49927EE","url":"https://open-measure.atlassian.net/wiki/spaces/DIC/pages/795836567"}</v>
      </c>
    </row>
    <row r="376" spans="1:5" ht="13.9" thickTop="1" thickBot="1" x14ac:dyDescent="0.4">
      <c r="A376" s="3" t="str">
        <f>NodesData[[#This Row],[Common Name]]</f>
        <v>Role Cardinality</v>
      </c>
      <c r="B376" s="3" t="str">
        <f>IF(NodesData[[#This Row],[Context Instanciation]]="","",NodesData[[#This Row],[Context Instanciation]])</f>
        <v/>
      </c>
      <c r="C376" s="22" t="str">
        <f>NodesData[[#This Row],[Node ID]]</f>
        <v>nD9EF9B83_2494_406B_95F4_C53820EE35CA</v>
      </c>
      <c r="D376" s="10" t="s">
        <v>1121</v>
      </c>
      <c r="E376" s="25" t="str" cm="1">
        <f t="array" ref="E376">IF(ROW(NodesJSON[[#This Row],[label]])&gt;ROW(NodesJSON[[#Headers],[JSON]])+1,",","") &amp;"{"&amp;twoRangesToJSON(NodesJSON[[#Headers],[label]:[url]],NodesJSON[[#This Row],[label]:[url]])&amp;"}"</f>
        <v>,{"label":"Role Cardinality","group":"","id":"nD9EF9B83_2494_406B_95F4_C53820EE35CA","url":"https://open-measure.atlassian.net/wiki/spaces/DIC/pages/1071185955"}</v>
      </c>
    </row>
    <row r="377" spans="1:5" ht="13.9" thickTop="1" thickBot="1" x14ac:dyDescent="0.4">
      <c r="A377" s="3" t="str">
        <f>NodesData[[#This Row],[Common Name]]</f>
        <v>Role Cardinality Activation Control</v>
      </c>
      <c r="B377" s="3" t="str">
        <f>IF(NodesData[[#This Row],[Context Instanciation]]="","",NodesData[[#This Row],[Context Instanciation]])</f>
        <v/>
      </c>
      <c r="C377" s="22" t="str">
        <f>NodesData[[#This Row],[Node ID]]</f>
        <v>nC1D0A8DC_6691_4020_A24F_A3218608CDB9</v>
      </c>
      <c r="D377" s="10" t="s">
        <v>1122</v>
      </c>
      <c r="E377" s="25" t="str" cm="1">
        <f t="array" ref="E377">IF(ROW(NodesJSON[[#This Row],[label]])&gt;ROW(NodesJSON[[#Headers],[JSON]])+1,",","") &amp;"{"&amp;twoRangesToJSON(NodesJSON[[#Headers],[label]:[url]],NodesJSON[[#This Row],[label]:[url]])&amp;"}"</f>
        <v>,{"label":"Role Cardinality Activation Control","group":"","id":"nC1D0A8DC_6691_4020_A24F_A3218608CDB9","url":"https://open-measure.atlassian.net/wiki/spaces/DIC/pages/446955653/Self-Sovereign+Identity"}</v>
      </c>
    </row>
    <row r="378" spans="1:5" ht="13.9" thickTop="1" thickBot="1" x14ac:dyDescent="0.4">
      <c r="A378" s="3" t="str">
        <f>NodesData[[#This Row],[Common Name]]</f>
        <v>Role Explosion</v>
      </c>
      <c r="B378" s="3" t="str">
        <f>IF(NodesData[[#This Row],[Context Instanciation]]="","",NodesData[[#This Row],[Context Instanciation]])</f>
        <v/>
      </c>
      <c r="C378" s="22" t="str">
        <f>NodesData[[#This Row],[Node ID]]</f>
        <v>nF3022911_57AF_4961_BB85_E6B8E9F54AEF</v>
      </c>
      <c r="D378" s="10" t="s">
        <v>1124</v>
      </c>
      <c r="E378" s="25" t="str" cm="1">
        <f t="array" ref="E378">IF(ROW(NodesJSON[[#This Row],[label]])&gt;ROW(NodesJSON[[#Headers],[JSON]])+1,",","") &amp;"{"&amp;twoRangesToJSON(NodesJSON[[#Headers],[label]:[url]],NodesJSON[[#This Row],[label]:[url]])&amp;"}"</f>
        <v>,{"label":"Role Explosion","group":"","id":"nF3022911_57AF_4961_BB85_E6B8E9F54AEF","url":"https://open-measure.atlassian.net/wiki/spaces/DIC/pages/6029526"}</v>
      </c>
    </row>
    <row r="379" spans="1:5" ht="13.9" thickTop="1" thickBot="1" x14ac:dyDescent="0.4">
      <c r="A379" s="3" t="str">
        <f>NodesData[[#This Row],[Common Name]]</f>
        <v>Role Management</v>
      </c>
      <c r="B379" s="3" t="str">
        <f>IF(NodesData[[#This Row],[Context Instanciation]]="","",NodesData[[#This Row],[Context Instanciation]])</f>
        <v/>
      </c>
      <c r="C379" s="22" t="str">
        <f>NodesData[[#This Row],[Node ID]]</f>
        <v>n5A5CD70F_DB4D_4769_97A2_CE29EAE58971</v>
      </c>
      <c r="D379" s="10" t="s">
        <v>1126</v>
      </c>
      <c r="E379" s="25" t="str" cm="1">
        <f t="array" ref="E379">IF(ROW(NodesJSON[[#This Row],[label]])&gt;ROW(NodesJSON[[#Headers],[JSON]])+1,",","") &amp;"{"&amp;twoRangesToJSON(NodesJSON[[#Headers],[label]:[url]],NodesJSON[[#This Row],[label]:[url]])&amp;"}"</f>
        <v>,{"label":"Role Management","group":"","id":"n5A5CD70F_DB4D_4769_97A2_CE29EAE58971","url":"https://open-measure.atlassian.net/wiki/spaces/DIC/pages/805142555"}</v>
      </c>
    </row>
    <row r="380" spans="1:5" ht="13.9" thickTop="1" thickBot="1" x14ac:dyDescent="0.4">
      <c r="A380" s="3" t="str">
        <f>NodesData[[#This Row],[Common Name]]</f>
        <v>Role-Based Access Control</v>
      </c>
      <c r="B380" s="3" t="str">
        <f>IF(NodesData[[#This Row],[Context Instanciation]]="","",NodesData[[#This Row],[Context Instanciation]])</f>
        <v/>
      </c>
      <c r="C380" s="22" t="str">
        <f>NodesData[[#This Row],[Node ID]]</f>
        <v>nC663B247_7314_44F0_87C7_6C58BAD193CB</v>
      </c>
      <c r="D380" s="10" t="s">
        <v>1127</v>
      </c>
      <c r="E380" s="25" t="str" cm="1">
        <f t="array" ref="E380">IF(ROW(NodesJSON[[#This Row],[label]])&gt;ROW(NodesJSON[[#Headers],[JSON]])+1,",","") &amp;"{"&amp;twoRangesToJSON(NodesJSON[[#Headers],[label]:[url]],NodesJSON[[#This Row],[label]:[url]])&amp;"}"</f>
        <v>,{"label":"Role-Based Access Control","group":"","id":"nC663B247_7314_44F0_87C7_6C58BAD193CB","url":"https://open-measure.atlassian.net/wiki/spaces/DIC/pages/1313538143/Service-Centric+Identity+Management+System"}</v>
      </c>
    </row>
    <row r="381" spans="1:5" ht="13.9" thickTop="1" thickBot="1" x14ac:dyDescent="0.4">
      <c r="A381" s="3" t="str">
        <f>NodesData[[#This Row],[Common Name]]</f>
        <v>RP</v>
      </c>
      <c r="B381" s="3" t="str">
        <f>IF(NodesData[[#This Row],[Context Instanciation]]="","",NodesData[[#This Row],[Context Instanciation]])</f>
        <v/>
      </c>
      <c r="C381" s="22" t="str">
        <f>NodesData[[#This Row],[Node ID]]</f>
        <v>nD0324B54_4F7D_4DD3_BBD1_3E5B237DE6B4</v>
      </c>
      <c r="D381" s="10" t="s">
        <v>1129</v>
      </c>
      <c r="E381" s="25" t="str" cm="1">
        <f t="array" ref="E381">IF(ROW(NodesJSON[[#This Row],[label]])&gt;ROW(NodesJSON[[#Headers],[JSON]])+1,",","") &amp;"{"&amp;twoRangesToJSON(NodesJSON[[#Headers],[label]:[url]],NodesJSON[[#This Row],[label]:[url]])&amp;"}"</f>
        <v>,{"label":"RP","group":"","id":"nD0324B54_4F7D_4DD3_BBD1_3E5B237DE6B4","url":"https://open-measure.atlassian.net/wiki/spaces/DIC/pages/881197061"}</v>
      </c>
    </row>
    <row r="382" spans="1:5" ht="13.9" thickTop="1" thickBot="1" x14ac:dyDescent="0.4">
      <c r="A382" s="3" t="str">
        <f>NodesData[[#This Row],[Common Name]]</f>
        <v>SAM Database</v>
      </c>
      <c r="B382" s="3" t="str">
        <f>IF(NodesData[[#This Row],[Context Instanciation]]="","",NodesData[[#This Row],[Context Instanciation]])</f>
        <v/>
      </c>
      <c r="C382" s="22" t="str">
        <f>NodesData[[#This Row],[Node ID]]</f>
        <v>nD9C66A40_325F_45DA_A6E3_E4C20F9377A4</v>
      </c>
      <c r="D382" s="8"/>
      <c r="E382" s="25" t="str" cm="1">
        <f t="array" ref="E382">IF(ROW(NodesJSON[[#This Row],[label]])&gt;ROW(NodesJSON[[#Headers],[JSON]])+1,",","") &amp;"{"&amp;twoRangesToJSON(NodesJSON[[#Headers],[label]:[url]],NodesJSON[[#This Row],[label]:[url]])&amp;"}"</f>
        <v>,{"label":"SAM Database","group":"","id":"nD9C66A40_325F_45DA_A6E3_E4C20F9377A4","url":""}</v>
      </c>
    </row>
    <row r="383" spans="1:5" ht="13.9" thickTop="1" thickBot="1" x14ac:dyDescent="0.4">
      <c r="A383" s="3" t="str">
        <f>NodesData[[#This Row],[Common Name]]</f>
        <v>SAML</v>
      </c>
      <c r="B383" s="3" t="str">
        <f>IF(NodesData[[#This Row],[Context Instanciation]]="","",NodesData[[#This Row],[Context Instanciation]])</f>
        <v/>
      </c>
      <c r="C383" s="22" t="str">
        <f>NodesData[[#This Row],[Node ID]]</f>
        <v>nDCCE280E_D684_42A8_B37B_5711CE76BC43</v>
      </c>
      <c r="D383" s="10" t="s">
        <v>1131</v>
      </c>
      <c r="E383" s="25" t="str" cm="1">
        <f t="array" ref="E383">IF(ROW(NodesJSON[[#This Row],[label]])&gt;ROW(NodesJSON[[#Headers],[JSON]])+1,",","") &amp;"{"&amp;twoRangesToJSON(NodesJSON[[#Headers],[label]:[url]],NodesJSON[[#This Row],[label]:[url]])&amp;"}"</f>
        <v>,{"label":"SAML","group":"","id":"nDCCE280E_D684_42A8_B37B_5711CE76BC43","url":"https://open-measure.atlassian.net/wiki/spaces/DIC/pages/78741548"}</v>
      </c>
    </row>
    <row r="384" spans="1:5" ht="13.9" thickTop="1" thickBot="1" x14ac:dyDescent="0.4">
      <c r="A384" s="3" t="str">
        <f>NodesData[[#This Row],[Common Name]]</f>
        <v>SCIM 1.0</v>
      </c>
      <c r="B384" s="3" t="str">
        <f>IF(NodesData[[#This Row],[Context Instanciation]]="","",NodesData[[#This Row],[Context Instanciation]])</f>
        <v/>
      </c>
      <c r="C384" s="22" t="str">
        <f>NodesData[[#This Row],[Node ID]]</f>
        <v>n0FF516F1_21CA_4A0C_8AC4_4487F5E1E2CB</v>
      </c>
      <c r="D384" s="10" t="s">
        <v>1133</v>
      </c>
      <c r="E384" s="25" t="str" cm="1">
        <f t="array" ref="E384">IF(ROW(NodesJSON[[#This Row],[label]])&gt;ROW(NodesJSON[[#Headers],[JSON]])+1,",","") &amp;"{"&amp;twoRangesToJSON(NodesJSON[[#Headers],[label]:[url]],NodesJSON[[#This Row],[label]:[url]])&amp;"}"</f>
        <v>,{"label":"SCIM 1.0","group":"","id":"n0FF516F1_21CA_4A0C_8AC4_4487F5E1E2CB","url":"https://open-measure.atlassian.net/wiki/spaces/DIC/pages/75956255"}</v>
      </c>
    </row>
    <row r="385" spans="1:5" ht="13.9" thickTop="1" thickBot="1" x14ac:dyDescent="0.4">
      <c r="A385" s="3" t="str">
        <f>NodesData[[#This Row],[Common Name]]</f>
        <v>SCIM 1.1</v>
      </c>
      <c r="B385" s="3" t="str">
        <f>IF(NodesData[[#This Row],[Context Instanciation]]="","",NodesData[[#This Row],[Context Instanciation]])</f>
        <v/>
      </c>
      <c r="C385" s="22" t="str">
        <f>NodesData[[#This Row],[Node ID]]</f>
        <v>n205B8D02_E855_4B2F_91EF_26C1B23CFC50</v>
      </c>
      <c r="D385" s="8"/>
      <c r="E385" s="25" t="str" cm="1">
        <f t="array" ref="E385">IF(ROW(NodesJSON[[#This Row],[label]])&gt;ROW(NodesJSON[[#Headers],[JSON]])+1,",","") &amp;"{"&amp;twoRangesToJSON(NodesJSON[[#Headers],[label]:[url]],NodesJSON[[#This Row],[label]:[url]])&amp;"}"</f>
        <v>,{"label":"SCIM 1.1","group":"","id":"n205B8D02_E855_4B2F_91EF_26C1B23CFC50","url":""}</v>
      </c>
    </row>
    <row r="386" spans="1:5" ht="13.9" thickTop="1" thickBot="1" x14ac:dyDescent="0.4">
      <c r="A386" s="3" t="str">
        <f>NodesData[[#This Row],[Common Name]]</f>
        <v>SCIM 2.0</v>
      </c>
      <c r="B386" s="3" t="str">
        <f>IF(NodesData[[#This Row],[Context Instanciation]]="","",NodesData[[#This Row],[Context Instanciation]])</f>
        <v/>
      </c>
      <c r="C386" s="22" t="str">
        <f>NodesData[[#This Row],[Node ID]]</f>
        <v>n1A99C52D_471D_462A_87B9_5E8D4560D58F</v>
      </c>
      <c r="D386" s="4"/>
      <c r="E386" s="25" t="str" cm="1">
        <f t="array" ref="E386">IF(ROW(NodesJSON[[#This Row],[label]])&gt;ROW(NodesJSON[[#Headers],[JSON]])+1,",","") &amp;"{"&amp;twoRangesToJSON(NodesJSON[[#Headers],[label]:[url]],NodesJSON[[#This Row],[label]:[url]])&amp;"}"</f>
        <v>,{"label":"SCIM 2.0","group":"","id":"n1A99C52D_471D_462A_87B9_5E8D4560D58F","url":""}</v>
      </c>
    </row>
    <row r="387" spans="1:5" ht="13.9" thickTop="1" thickBot="1" x14ac:dyDescent="0.4">
      <c r="A387" s="3" t="str">
        <f>NodesData[[#This Row],[Common Name]]</f>
        <v>SCIM</v>
      </c>
      <c r="B387" s="3" t="str">
        <f>IF(NodesData[[#This Row],[Context Instanciation]]="","",NodesData[[#This Row],[Context Instanciation]])</f>
        <v/>
      </c>
      <c r="C387" s="22" t="str">
        <f>NodesData[[#This Row],[Node ID]]</f>
        <v>n149B4F80_9A70_4D1D_8260_94C137DBFBBE</v>
      </c>
      <c r="D387" s="8"/>
      <c r="E387" s="25" t="str" cm="1">
        <f t="array" ref="E387">IF(ROW(NodesJSON[[#This Row],[label]])&gt;ROW(NodesJSON[[#Headers],[JSON]])+1,",","") &amp;"{"&amp;twoRangesToJSON(NodesJSON[[#Headers],[label]:[url]],NodesJSON[[#This Row],[label]:[url]])&amp;"}"</f>
        <v>,{"label":"SCIM","group":"","id":"n149B4F80_9A70_4D1D_8260_94C137DBFBBE","url":""}</v>
      </c>
    </row>
    <row r="388" spans="1:5" ht="13.9" thickTop="1" thickBot="1" x14ac:dyDescent="0.4">
      <c r="A388" s="3" t="str">
        <f>NodesData[[#This Row],[Common Name]]</f>
        <v>Scoping</v>
      </c>
      <c r="B388" s="3" t="str">
        <f>IF(NodesData[[#This Row],[Context Instanciation]]="","",NodesData[[#This Row],[Context Instanciation]])</f>
        <v/>
      </c>
      <c r="C388" s="22" t="str">
        <f>NodesData[[#This Row],[Node ID]]</f>
        <v>n6E3234B2_E757_4333_BA58_DAFF5B1D943A</v>
      </c>
      <c r="D388" s="10" t="s">
        <v>1135</v>
      </c>
      <c r="E388" s="25" t="str" cm="1">
        <f t="array" ref="E388">IF(ROW(NodesJSON[[#This Row],[label]])&gt;ROW(NodesJSON[[#Headers],[JSON]])+1,",","") &amp;"{"&amp;twoRangesToJSON(NodesJSON[[#Headers],[label]:[url]],NodesJSON[[#This Row],[label]:[url]])&amp;"}"</f>
        <v>,{"label":"Scoping","group":"","id":"n6E3234B2_E757_4333_BA58_DAFF5B1D943A","url":"https://open-measure.atlassian.net/wiki/spaces/DIC/pages/1270055026/Social+Honeypot"}</v>
      </c>
    </row>
    <row r="389" spans="1:5" ht="13.9" thickTop="1" thickBot="1" x14ac:dyDescent="0.4">
      <c r="A389" s="3" t="str">
        <f>NodesData[[#This Row],[Common Name]]</f>
        <v>SD</v>
      </c>
      <c r="B389" s="3" t="str">
        <f>IF(NodesData[[#This Row],[Context Instanciation]]="","",NodesData[[#This Row],[Context Instanciation]])</f>
        <v/>
      </c>
      <c r="C389" s="22" t="str">
        <f>NodesData[[#This Row],[Node ID]]</f>
        <v>nD3FFB967_77A4_45B9_A5A4_A9FBB2367C89</v>
      </c>
      <c r="D389" s="10" t="s">
        <v>1137</v>
      </c>
      <c r="E389" s="25" t="str" cm="1">
        <f t="array" ref="E389">IF(ROW(NodesJSON[[#This Row],[label]])&gt;ROW(NodesJSON[[#Headers],[JSON]])+1,",","") &amp;"{"&amp;twoRangesToJSON(NodesJSON[[#Headers],[label]:[url]],NodesJSON[[#This Row],[label]:[url]])&amp;"}"</f>
        <v>,{"label":"SD","group":"","id":"nD3FFB967_77A4_45B9_A5A4_A9FBB2367C89","url":"https://open-measure.atlassian.net/wiki/spaces/DIC/pages/1071317018"}</v>
      </c>
    </row>
    <row r="390" spans="1:5" ht="13.9" thickTop="1" thickBot="1" x14ac:dyDescent="0.4">
      <c r="A390" s="3" t="str">
        <f>NodesData[[#This Row],[Common Name]]</f>
        <v>SDP</v>
      </c>
      <c r="B390" s="3" t="str">
        <f>IF(NodesData[[#This Row],[Context Instanciation]]="","",NodesData[[#This Row],[Context Instanciation]])</f>
        <v/>
      </c>
      <c r="C390" s="22" t="str">
        <f>NodesData[[#This Row],[Node ID]]</f>
        <v>n1CD1BA03_756A_4932_9441_C0DBAE224934</v>
      </c>
      <c r="D390" s="4"/>
      <c r="E390" s="25" t="str" cm="1">
        <f t="array" ref="E390">IF(ROW(NodesJSON[[#This Row],[label]])&gt;ROW(NodesJSON[[#Headers],[JSON]])+1,",","") &amp;"{"&amp;twoRangesToJSON(NodesJSON[[#Headers],[label]:[url]],NodesJSON[[#This Row],[label]:[url]])&amp;"}"</f>
        <v>,{"label":"SDP","group":"","id":"n1CD1BA03_756A_4932_9441_C0DBAE224934","url":""}</v>
      </c>
    </row>
    <row r="391" spans="1:5" ht="13.9" thickTop="1" thickBot="1" x14ac:dyDescent="0.4">
      <c r="A391" s="3" t="str">
        <f>NodesData[[#This Row],[Common Name]]</f>
        <v>Secure Production Identity Framework for Everyone</v>
      </c>
      <c r="B391" s="3" t="str">
        <f>IF(NodesData[[#This Row],[Context Instanciation]]="","",NodesData[[#This Row],[Context Instanciation]])</f>
        <v/>
      </c>
      <c r="C391" s="22" t="str">
        <f>NodesData[[#This Row],[Node ID]]</f>
        <v>nDFF0F332_91D0_4DCD_9272_B0AC7CB47061</v>
      </c>
      <c r="D391" s="10" t="s">
        <v>1139</v>
      </c>
      <c r="E391" s="25" t="str" cm="1">
        <f t="array" ref="E391">IF(ROW(NodesJSON[[#This Row],[label]])&gt;ROW(NodesJSON[[#Headers],[JSON]])+1,",","") &amp;"{"&amp;twoRangesToJSON(NodesJSON[[#Headers],[label]:[url]],NodesJSON[[#This Row],[label]:[url]])&amp;"}"</f>
        <v>,{"label":"Secure Production Identity Framework for Everyone","group":"","id":"nDFF0F332_91D0_4DCD_9272_B0AC7CB47061","url":"https://open-measure.atlassian.net/wiki/spaces/DIC/pages/234487981"}</v>
      </c>
    </row>
    <row r="392" spans="1:5" ht="13.9" thickTop="1" thickBot="1" x14ac:dyDescent="0.4">
      <c r="A392" s="3" t="str">
        <f>NodesData[[#This Row],[Common Name]]</f>
        <v>Secure System</v>
      </c>
      <c r="B392" s="3" t="str">
        <f>IF(NodesData[[#This Row],[Context Instanciation]]="","",NodesData[[#This Row],[Context Instanciation]])</f>
        <v/>
      </c>
      <c r="C392" s="22" t="str">
        <f>NodesData[[#This Row],[Node ID]]</f>
        <v>n684E2CA8_D61D_459D_846A_4F41E87E62C9</v>
      </c>
      <c r="D392" s="10" t="s">
        <v>1141</v>
      </c>
      <c r="E392" s="25" t="str" cm="1">
        <f t="array" ref="E392">IF(ROW(NodesJSON[[#This Row],[label]])&gt;ROW(NodesJSON[[#Headers],[JSON]])+1,",","") &amp;"{"&amp;twoRangesToJSON(NodesJSON[[#Headers],[label]:[url]],NodesJSON[[#This Row],[label]:[url]])&amp;"}"</f>
        <v>,{"label":"Secure System","group":"","id":"n684E2CA8_D61D_459D_846A_4F41E87E62C9","url":"https://open-measure.atlassian.net/wiki/spaces/DIC/pages/1142292486"}</v>
      </c>
    </row>
    <row r="393" spans="1:5" ht="13.9" thickTop="1" thickBot="1" x14ac:dyDescent="0.4">
      <c r="A393" s="3" t="str">
        <f>NodesData[[#This Row],[Common Name]]</f>
        <v>Security</v>
      </c>
      <c r="B393" s="3" t="str">
        <f>IF(NodesData[[#This Row],[Context Instanciation]]="","",NodesData[[#This Row],[Context Instanciation]])</f>
        <v/>
      </c>
      <c r="C393" s="22" t="str">
        <f>NodesData[[#This Row],[Node ID]]</f>
        <v>nCC901E67_11E1_4971_ACD2_99886D05F2BB</v>
      </c>
      <c r="D393" s="10" t="s">
        <v>1143</v>
      </c>
      <c r="E393" s="25" t="str" cm="1">
        <f t="array" ref="E393">IF(ROW(NodesJSON[[#This Row],[label]])&gt;ROW(NodesJSON[[#Headers],[JSON]])+1,",","") &amp;"{"&amp;twoRangesToJSON(NodesJSON[[#Headers],[label]:[url]],NodesJSON[[#This Row],[label]:[url]])&amp;"}"</f>
        <v>,{"label":"Security","group":"","id":"nCC901E67_11E1_4971_ACD2_99886D05F2BB","url":"https://open-measure.atlassian.net/wiki/spaces/DIC/pages/1605648"}</v>
      </c>
    </row>
    <row r="394" spans="1:5" ht="13.9" thickTop="1" thickBot="1" x14ac:dyDescent="0.4">
      <c r="A394" s="3" t="str">
        <f>NodesData[[#This Row],[Common Name]]</f>
        <v>Security Accounts Manager</v>
      </c>
      <c r="B394" s="3" t="str">
        <f>IF(NodesData[[#This Row],[Context Instanciation]]="","",NodesData[[#This Row],[Context Instanciation]])</f>
        <v/>
      </c>
      <c r="C394" s="22" t="str">
        <f>NodesData[[#This Row],[Node ID]]</f>
        <v>nF2255395_848A_427B_89E9_3BB7DD7580BB</v>
      </c>
      <c r="D394" s="10" t="s">
        <v>1145</v>
      </c>
      <c r="E394" s="25" t="str" cm="1">
        <f t="array" ref="E394">IF(ROW(NodesJSON[[#This Row],[label]])&gt;ROW(NodesJSON[[#Headers],[JSON]])+1,",","") &amp;"{"&amp;twoRangesToJSON(NodesJSON[[#Headers],[label]:[url]],NodesJSON[[#This Row],[label]:[url]])&amp;"}"</f>
        <v>,{"label":"Security Accounts Manager","group":"","id":"nF2255395_848A_427B_89E9_3BB7DD7580BB","url":"https://open-measure.atlassian.net/wiki/spaces/DIC/pages/1027342899"}</v>
      </c>
    </row>
    <row r="395" spans="1:5" ht="13.9" thickTop="1" thickBot="1" x14ac:dyDescent="0.4">
      <c r="A395" s="3" t="str">
        <f>NodesData[[#This Row],[Common Name]]</f>
        <v>Security Assertion Markup Language</v>
      </c>
      <c r="B395" s="3" t="str">
        <f>IF(NodesData[[#This Row],[Context Instanciation]]="","",NodesData[[#This Row],[Context Instanciation]])</f>
        <v/>
      </c>
      <c r="C395" s="22" t="str">
        <f>NodesData[[#This Row],[Node ID]]</f>
        <v>nE58B987B_C4CB_4FB3_9868_F8040123B702</v>
      </c>
      <c r="D395" s="10" t="s">
        <v>1146</v>
      </c>
      <c r="E395" s="25" t="str" cm="1">
        <f t="array" ref="E395">IF(ROW(NodesJSON[[#This Row],[label]])&gt;ROW(NodesJSON[[#Headers],[JSON]])+1,",","") &amp;"{"&amp;twoRangesToJSON(NodesJSON[[#Headers],[label]:[url]],NodesJSON[[#This Row],[label]:[url]])&amp;"}"</f>
        <v>,{"label":"Security Assertion Markup Language","group":"","id":"nE58B987B_C4CB_4FB3_9868_F8040123B702","url":"https://open-measure.atlassian.net/wiki/spaces/DIC/pages/1311113221/SSI"}</v>
      </c>
    </row>
    <row r="396" spans="1:5" ht="13.9" thickTop="1" thickBot="1" x14ac:dyDescent="0.4">
      <c r="A396" s="3" t="str">
        <f>NodesData[[#This Row],[Common Name]]</f>
        <v>Security Clearance Level</v>
      </c>
      <c r="B396" s="3" t="str">
        <f>IF(NodesData[[#This Row],[Context Instanciation]]="","",NodesData[[#This Row],[Context Instanciation]])</f>
        <v/>
      </c>
      <c r="C396" s="22" t="str">
        <f>NodesData[[#This Row],[Node ID]]</f>
        <v>n9AE9641B_8E15_44BE_BE39_5928AF98C403</v>
      </c>
      <c r="D396" s="10" t="s">
        <v>1148</v>
      </c>
      <c r="E396" s="25" t="str" cm="1">
        <f t="array" ref="E396">IF(ROW(NodesJSON[[#This Row],[label]])&gt;ROW(NodesJSON[[#Headers],[JSON]])+1,",","") &amp;"{"&amp;twoRangesToJSON(NodesJSON[[#Headers],[label]:[url]],NodesJSON[[#This Row],[label]:[url]])&amp;"}"</f>
        <v>,{"label":"Security Clearance Level","group":"","id":"n9AE9641B_8E15_44BE_BE39_5928AF98C403","url":"https://open-measure.atlassian.net/wiki/spaces/DIC/pages/75956237"}</v>
      </c>
    </row>
    <row r="397" spans="1:5" ht="13.9" thickTop="1" thickBot="1" x14ac:dyDescent="0.4">
      <c r="A397" s="3" t="str">
        <f>NodesData[[#This Row],[Common Name]]</f>
        <v>Security Compartment</v>
      </c>
      <c r="B397" s="3" t="str">
        <f>IF(NodesData[[#This Row],[Context Instanciation]]="","",NodesData[[#This Row],[Context Instanciation]])</f>
        <v/>
      </c>
      <c r="C397" s="22" t="str">
        <f>NodesData[[#This Row],[Node ID]]</f>
        <v>n4AB9C40A_FFE6_4F52_BBD5_1C60BD60C22D</v>
      </c>
      <c r="D397" s="8"/>
      <c r="E397" s="25" t="str" cm="1">
        <f t="array" ref="E397">IF(ROW(NodesJSON[[#This Row],[label]])&gt;ROW(NodesJSON[[#Headers],[JSON]])+1,",","") &amp;"{"&amp;twoRangesToJSON(NodesJSON[[#Headers],[label]:[url]],NodesJSON[[#This Row],[label]:[url]])&amp;"}"</f>
        <v>,{"label":"Security Compartment","group":"","id":"n4AB9C40A_FFE6_4F52_BBD5_1C60BD60C22D","url":""}</v>
      </c>
    </row>
    <row r="398" spans="1:5" ht="13.9" thickTop="1" thickBot="1" x14ac:dyDescent="0.4">
      <c r="A398" s="3" t="str">
        <f>NodesData[[#This Row],[Common Name]]</f>
        <v>Security Label</v>
      </c>
      <c r="B398" s="3" t="str">
        <f>IF(NodesData[[#This Row],[Context Instanciation]]="","",NodesData[[#This Row],[Context Instanciation]])</f>
        <v/>
      </c>
      <c r="C398" s="22" t="str">
        <f>NodesData[[#This Row],[Node ID]]</f>
        <v>nB97D2A38_A342_46DA_ABE9_AE6CB1417AAE</v>
      </c>
      <c r="D398" s="10" t="s">
        <v>1150</v>
      </c>
      <c r="E398" s="25" t="str" cm="1">
        <f t="array" ref="E398">IF(ROW(NodesJSON[[#This Row],[label]])&gt;ROW(NodesJSON[[#Headers],[JSON]])+1,",","") &amp;"{"&amp;twoRangesToJSON(NodesJSON[[#Headers],[label]:[url]],NodesJSON[[#This Row],[label]:[url]])&amp;"}"</f>
        <v>,{"label":"Security Label","group":"","id":"nB97D2A38_A342_46DA_ABE9_AE6CB1417AAE","url":"https://open-measure.atlassian.net/wiki/spaces/DIC/pages/998244645"}</v>
      </c>
    </row>
    <row r="399" spans="1:5" ht="13.9" thickTop="1" thickBot="1" x14ac:dyDescent="0.4">
      <c r="A399" s="3" t="str">
        <f>NodesData[[#This Row],[Common Name]]</f>
        <v>Security Question Authentication</v>
      </c>
      <c r="B399" s="3" t="str">
        <f>IF(NodesData[[#This Row],[Context Instanciation]]="","",NodesData[[#This Row],[Context Instanciation]])</f>
        <v/>
      </c>
      <c r="C399" s="22" t="str">
        <f>NodesData[[#This Row],[Node ID]]</f>
        <v>n3C201BF8_F9EA_4428_B9FA_FC0267427653</v>
      </c>
      <c r="D399" s="10" t="s">
        <v>1152</v>
      </c>
      <c r="E399" s="25" t="str" cm="1">
        <f t="array" ref="E399">IF(ROW(NodesJSON[[#This Row],[label]])&gt;ROW(NodesJSON[[#Headers],[JSON]])+1,",","") &amp;"{"&amp;twoRangesToJSON(NodesJSON[[#Headers],[label]:[url]],NodesJSON[[#This Row],[label]:[url]])&amp;"}"</f>
        <v>,{"label":"Security Question Authentication","group":"","id":"n3C201BF8_F9EA_4428_B9FA_FC0267427653","url":"https://open-measure.atlassian.net/wiki/spaces/DIC/pages/1311763"}</v>
      </c>
    </row>
    <row r="400" spans="1:5" ht="13.9" thickTop="1" thickBot="1" x14ac:dyDescent="0.4">
      <c r="A400" s="3" t="str">
        <f>NodesData[[#This Row],[Common Name]]</f>
        <v>Segregation of Duties</v>
      </c>
      <c r="B400" s="3" t="str">
        <f>IF(NodesData[[#This Row],[Context Instanciation]]="","",NodesData[[#This Row],[Context Instanciation]])</f>
        <v/>
      </c>
      <c r="C400" s="22" t="str">
        <f>NodesData[[#This Row],[Node ID]]</f>
        <v>nD567DDAF_88E4_460A_8360_AB49285CB8DD</v>
      </c>
      <c r="D400" s="10" t="s">
        <v>1134</v>
      </c>
      <c r="E400" s="25" t="str" cm="1">
        <f t="array" ref="E400">IF(ROW(NodesJSON[[#This Row],[label]])&gt;ROW(NodesJSON[[#Headers],[JSON]])+1,",","") &amp;"{"&amp;twoRangesToJSON(NodesJSON[[#Headers],[label]:[url]],NodesJSON[[#This Row],[label]:[url]])&amp;"}"</f>
        <v>,{"label":"Segregation of Duties","group":"","id":"nD567DDAF_88E4_460A_8360_AB49285CB8DD","url":"https://open-measure.atlassian.net/wiki/spaces/DIC/pages/1600684200/Social+Authentication"}</v>
      </c>
    </row>
    <row r="401" spans="1:5" ht="13.9" thickTop="1" thickBot="1" x14ac:dyDescent="0.4">
      <c r="A401" s="3" t="str">
        <f>NodesData[[#This Row],[Common Name]]</f>
        <v>Self-Sovereign Identity</v>
      </c>
      <c r="B401" s="3" t="str">
        <f>IF(NodesData[[#This Row],[Context Instanciation]]="","",NodesData[[#This Row],[Context Instanciation]])</f>
        <v/>
      </c>
      <c r="C401" s="22" t="str">
        <f>NodesData[[#This Row],[Node ID]]</f>
        <v>nB870A42F_E8DF_49EE_839E_8237D0D08E6C</v>
      </c>
      <c r="D401" s="10" t="s">
        <v>1155</v>
      </c>
      <c r="E401" s="25" t="str" cm="1">
        <f t="array" ref="E401">IF(ROW(NodesJSON[[#This Row],[label]])&gt;ROW(NodesJSON[[#Headers],[JSON]])+1,",","") &amp;"{"&amp;twoRangesToJSON(NodesJSON[[#Headers],[label]:[url]],NodesJSON[[#This Row],[label]:[url]])&amp;"}"</f>
        <v>,{"label":"Self-Sovereign Identity","group":"","id":"nB870A42F_E8DF_49EE_839E_8237D0D08E6C","url":"https://open-measure.atlassian.net/wiki/spaces/DIC/pages/1540175"}</v>
      </c>
    </row>
    <row r="402" spans="1:5" ht="13.9" thickTop="1" thickBot="1" x14ac:dyDescent="0.4">
      <c r="A402" s="3" t="str">
        <f>NodesData[[#This Row],[Common Name]]</f>
        <v>Semantic Differential</v>
      </c>
      <c r="B402" s="3" t="str">
        <f>IF(NodesData[[#This Row],[Context Instanciation]]="","",NodesData[[#This Row],[Context Instanciation]])</f>
        <v/>
      </c>
      <c r="C402" s="22" t="str">
        <f>NodesData[[#This Row],[Node ID]]</f>
        <v>n05769AFC_D0B1_4FEC_A0E1_842407E11B7A</v>
      </c>
      <c r="D402" s="10" t="s">
        <v>1157</v>
      </c>
      <c r="E402" s="25" t="str" cm="1">
        <f t="array" ref="E402">IF(ROW(NodesJSON[[#This Row],[label]])&gt;ROW(NodesJSON[[#Headers],[JSON]])+1,",","") &amp;"{"&amp;twoRangesToJSON(NodesJSON[[#Headers],[label]:[url]],NodesJSON[[#This Row],[label]:[url]])&amp;"}"</f>
        <v>,{"label":"Semantic Differential","group":"","id":"n05769AFC_D0B1_4FEC_A0E1_842407E11B7A","url":"https://open-measure.atlassian.net/wiki/spaces/DIC/pages/1181909085"}</v>
      </c>
    </row>
    <row r="403" spans="1:5" ht="13.9" thickTop="1" thickBot="1" x14ac:dyDescent="0.4">
      <c r="A403" s="3" t="str">
        <f>NodesData[[#This Row],[Common Name]]</f>
        <v>Service Account</v>
      </c>
      <c r="B403" s="3" t="str">
        <f>IF(NodesData[[#This Row],[Context Instanciation]]="","",NodesData[[#This Row],[Context Instanciation]])</f>
        <v/>
      </c>
      <c r="C403" s="22" t="str">
        <f>NodesData[[#This Row],[Node ID]]</f>
        <v>n901E5DAB_D27E_4BEE_8BBB_AC47FA69CFBA</v>
      </c>
      <c r="D403" s="10" t="s">
        <v>1153</v>
      </c>
      <c r="E403" s="25" t="str" cm="1">
        <f t="array" ref="E403">IF(ROW(NodesJSON[[#This Row],[label]])&gt;ROW(NodesJSON[[#Headers],[JSON]])+1,",","") &amp;"{"&amp;twoRangesToJSON(NodesJSON[[#Headers],[label]:[url]],NodesJSON[[#This Row],[label]:[url]])&amp;"}"</f>
        <v>,{"label":"Service Account","group":"","id":"n901E5DAB_D27E_4BEE_8BBB_AC47FA69CFBA","url":"https://open-measure.atlassian.net/wiki/spaces/DIC/pages/663257097/Step-Up+Authentication"}</v>
      </c>
    </row>
    <row r="404" spans="1:5" ht="13.9" thickTop="1" thickBot="1" x14ac:dyDescent="0.4">
      <c r="A404" s="3" t="str">
        <f>NodesData[[#This Row],[Common Name]]</f>
        <v>Service-Centric Identity Management System</v>
      </c>
      <c r="B404" s="3" t="str">
        <f>IF(NodesData[[#This Row],[Context Instanciation]]="","",NodesData[[#This Row],[Context Instanciation]])</f>
        <v/>
      </c>
      <c r="C404" s="22" t="str">
        <f>NodesData[[#This Row],[Node ID]]</f>
        <v>n491440D0_18B1_419D_82A7_5E14101A7E9B</v>
      </c>
      <c r="D404" s="10" t="s">
        <v>1161</v>
      </c>
      <c r="E404" s="25" t="str" cm="1">
        <f t="array" ref="E404">IF(ROW(NodesJSON[[#This Row],[label]])&gt;ROW(NodesJSON[[#Headers],[JSON]])+1,",","") &amp;"{"&amp;twoRangesToJSON(NodesJSON[[#Headers],[label]:[url]],NodesJSON[[#This Row],[label]:[url]])&amp;"}"</f>
        <v>,{"label":"Service-Centric Identity Management System","group":"","id":"n491440D0_18B1_419D_82A7_5E14101A7E9B","url":"https://open-measure.atlassian.net/wiki/spaces/DIC/pages/1177747756"}</v>
      </c>
    </row>
    <row r="405" spans="1:5" ht="13.9" thickTop="1" thickBot="1" x14ac:dyDescent="0.4">
      <c r="A405" s="3" t="str">
        <f>NodesData[[#This Row],[Common Name]]</f>
        <v>Session</v>
      </c>
      <c r="B405" s="3" t="str">
        <f>IF(NodesData[[#This Row],[Context Instanciation]]="","",NodesData[[#This Row],[Context Instanciation]])</f>
        <v/>
      </c>
      <c r="C405" s="22" t="str">
        <f>NodesData[[#This Row],[Node ID]]</f>
        <v>n279CC740_4E96_4D2A_923D_3603EA0FD247</v>
      </c>
      <c r="D405" s="10" t="s">
        <v>1163</v>
      </c>
      <c r="E405" s="25" t="str" cm="1">
        <f t="array" ref="E405">IF(ROW(NodesJSON[[#This Row],[label]])&gt;ROW(NodesJSON[[#Headers],[JSON]])+1,",","") &amp;"{"&amp;twoRangesToJSON(NodesJSON[[#Headers],[label]:[url]],NodesJSON[[#This Row],[label]:[url]])&amp;"}"</f>
        <v>,{"label":"Session","group":"","id":"n279CC740_4E96_4D2A_923D_3603EA0FD247","url":"https://open-measure.atlassian.net/wiki/spaces/DIC/pages/67600697"}</v>
      </c>
    </row>
    <row r="406" spans="1:5" ht="13.9" thickTop="1" thickBot="1" x14ac:dyDescent="0.4">
      <c r="A406" s="3" t="str">
        <f>NodesData[[#This Row],[Common Name]]</f>
        <v>Session Authentication</v>
      </c>
      <c r="B406" s="3" t="str">
        <f>IF(NodesData[[#This Row],[Context Instanciation]]="","",NodesData[[#This Row],[Context Instanciation]])</f>
        <v/>
      </c>
      <c r="C406" s="22" t="str">
        <f>NodesData[[#This Row],[Node ID]]</f>
        <v>nDF95A25A_2B47_4C54_8D11_CCEA52064067</v>
      </c>
      <c r="D406" s="10" t="s">
        <v>1165</v>
      </c>
      <c r="E406" s="25" t="str" cm="1">
        <f t="array" ref="E406">IF(ROW(NodesJSON[[#This Row],[label]])&gt;ROW(NodesJSON[[#Headers],[JSON]])+1,",","") &amp;"{"&amp;twoRangesToJSON(NodesJSON[[#Headers],[label]:[url]],NodesJSON[[#This Row],[label]:[url]])&amp;"}"</f>
        <v>,{"label":"Session Authentication","group":"","id":"nDF95A25A_2B47_4C54_8D11_CCEA52064067","url":"https://open-measure.atlassian.net/wiki/spaces/DIC/pages/2981920"}</v>
      </c>
    </row>
    <row r="407" spans="1:5" ht="13.9" thickTop="1" thickBot="1" x14ac:dyDescent="0.4">
      <c r="A407" s="3" t="str">
        <f>NodesData[[#This Row],[Common Name]]</f>
        <v>Single Login</v>
      </c>
      <c r="B407" s="3" t="str">
        <f>IF(NodesData[[#This Row],[Context Instanciation]]="","",NodesData[[#This Row],[Context Instanciation]])</f>
        <v/>
      </c>
      <c r="C407" s="22" t="str">
        <f>NodesData[[#This Row],[Node ID]]</f>
        <v>n95300591_0D21_454A_83B8_F3C9C74C21E3</v>
      </c>
      <c r="D407" s="10" t="s">
        <v>1166</v>
      </c>
      <c r="E407" s="25" t="str" cm="1">
        <f t="array" ref="E407">IF(ROW(NodesJSON[[#This Row],[label]])&gt;ROW(NodesJSON[[#Headers],[JSON]])+1,",","") &amp;"{"&amp;twoRangesToJSON(NodesJSON[[#Headers],[label]:[url]],NodesJSON[[#This Row],[label]:[url]])&amp;"}"</f>
        <v>,{"label":"Single Login","group":"","id":"n95300591_0D21_454A_83B8_F3C9C74C21E3","url":"https://open-measure.atlassian.net/wiki/spaces/DIC/pages/1477869640/Supply+Chain+Attack"}</v>
      </c>
    </row>
    <row r="408" spans="1:5" ht="13.9" thickTop="1" thickBot="1" x14ac:dyDescent="0.4">
      <c r="A408" s="3" t="str">
        <f>NodesData[[#This Row],[Common Name]]</f>
        <v>Single Sign-On</v>
      </c>
      <c r="B408" s="3" t="str">
        <f>IF(NodesData[[#This Row],[Context Instanciation]]="","",NodesData[[#This Row],[Context Instanciation]])</f>
        <v/>
      </c>
      <c r="C408" s="22" t="str">
        <f>NodesData[[#This Row],[Node ID]]</f>
        <v>nCDC41020_7C5B_4C7F_9A4D_8C0F159CD585</v>
      </c>
      <c r="D408" s="10" t="s">
        <v>1167</v>
      </c>
      <c r="E408" s="25" t="str" cm="1">
        <f t="array" ref="E408">IF(ROW(NodesJSON[[#This Row],[label]])&gt;ROW(NodesJSON[[#Headers],[JSON]])+1,",","") &amp;"{"&amp;twoRangesToJSON(NodesJSON[[#Headers],[label]:[url]],NodesJSON[[#This Row],[label]:[url]])&amp;"}"</f>
        <v>,{"label":"Single Sign-On","group":"","id":"nCDC41020_7C5B_4C7F_9A4D_8C0F159CD585","url":"https://open-measure.atlassian.net/wiki/spaces/DIC/pages/1254588545/Sybil+Attack"}</v>
      </c>
    </row>
    <row r="409" spans="1:5" ht="13.9" thickTop="1" thickBot="1" x14ac:dyDescent="0.4">
      <c r="A409" s="3" t="str">
        <f>NodesData[[#This Row],[Common Name]]</f>
        <v>Single Sign-On</v>
      </c>
      <c r="B409" s="3" t="str">
        <f>IF(NodesData[[#This Row],[Context Instanciation]]="","",NodesData[[#This Row],[Context Instanciation]])</f>
        <v/>
      </c>
      <c r="C409" s="22" t="str">
        <f>NodesData[[#This Row],[Node ID]]</f>
        <v>nF3399109_259D_4ABC_BC52_EDB47E2CAF1A</v>
      </c>
      <c r="D409" s="10" t="s">
        <v>1169</v>
      </c>
      <c r="E409" s="25" t="str" cm="1">
        <f t="array" ref="E409">IF(ROW(NodesJSON[[#This Row],[label]])&gt;ROW(NodesJSON[[#Headers],[JSON]])+1,",","") &amp;"{"&amp;twoRangesToJSON(NodesJSON[[#Headers],[label]:[url]],NodesJSON[[#This Row],[label]:[url]])&amp;"}"</f>
        <v>,{"label":"Single Sign-On","group":"","id":"nF3399109_259D_4ABC_BC52_EDB47E2CAF1A","url":"https://open-measure.atlassian.net/wiki/spaces/DIC/pages/794296433"}</v>
      </c>
    </row>
    <row r="410" spans="1:5" ht="13.9" thickTop="1" thickBot="1" x14ac:dyDescent="0.4">
      <c r="A410" s="3" t="str">
        <f>NodesData[[#This Row],[Common Name]]</f>
        <v>SMS OTP</v>
      </c>
      <c r="B410" s="3" t="str">
        <f>IF(NodesData[[#This Row],[Context Instanciation]]="","",NodesData[[#This Row],[Context Instanciation]])</f>
        <v/>
      </c>
      <c r="C410" s="22" t="str">
        <f>NodesData[[#This Row],[Node ID]]</f>
        <v>nC659F8FA_B1EB_46E9_B13C_FE5C1B62DEA3</v>
      </c>
      <c r="D410" s="10" t="s">
        <v>1170</v>
      </c>
      <c r="E410" s="25" t="str" cm="1">
        <f t="array" ref="E410">IF(ROW(NodesJSON[[#This Row],[label]])&gt;ROW(NodesJSON[[#Headers],[JSON]])+1,",","") &amp;"{"&amp;twoRangesToJSON(NodesJSON[[#Headers],[label]:[url]],NodesJSON[[#This Row],[label]:[url]])&amp;"}"</f>
        <v>,{"label":"SMS OTP","group":"","id":"nC659F8FA_B1EB_46E9_B13C_FE5C1B62DEA3","url":"https://open-measure.atlassian.net/wiki/spaces/DIC/pages/5965562/System"}</v>
      </c>
    </row>
    <row r="411" spans="1:5" ht="13.9" thickTop="1" thickBot="1" x14ac:dyDescent="0.4">
      <c r="A411" s="3" t="str">
        <f>NodesData[[#This Row],[Common Name]]</f>
        <v>Social Authentication</v>
      </c>
      <c r="B411" s="3" t="str">
        <f>IF(NodesData[[#This Row],[Context Instanciation]]="","",NodesData[[#This Row],[Context Instanciation]])</f>
        <v/>
      </c>
      <c r="C411" s="22" t="str">
        <f>NodesData[[#This Row],[Node ID]]</f>
        <v>n60A42831_8FFC_43B5_9189_8FC2450794A3</v>
      </c>
      <c r="D411" s="10" t="s">
        <v>1171</v>
      </c>
      <c r="E411" s="25" t="str" cm="1">
        <f t="array" ref="E411">IF(ROW(NodesJSON[[#This Row],[label]])&gt;ROW(NodesJSON[[#Headers],[JSON]])+1,",","") &amp;"{"&amp;twoRangesToJSON(NodesJSON[[#Headers],[label]:[url]],NodesJSON[[#This Row],[label]:[url]])&amp;"}"</f>
        <v>,{"label":"Social Authentication","group":"","id":"n60A42831_8FFC_43B5_9189_8FC2450794A3","url":"https://open-measure.atlassian.net/wiki/spaces/DIC/pages/446824644/System+Boundaries"}</v>
      </c>
    </row>
    <row r="412" spans="1:5" ht="13.9" thickTop="1" thickBot="1" x14ac:dyDescent="0.4">
      <c r="A412" s="3" t="str">
        <f>NodesData[[#This Row],[Common Name]]</f>
        <v>Social Honeypot</v>
      </c>
      <c r="B412" s="3" t="str">
        <f>IF(NodesData[[#This Row],[Context Instanciation]]="","",NodesData[[#This Row],[Context Instanciation]])</f>
        <v/>
      </c>
      <c r="C412" s="22" t="str">
        <f>NodesData[[#This Row],[Node ID]]</f>
        <v>n56573FF9_22B4_4629_B28C_392B006A4AA8</v>
      </c>
      <c r="D412" s="10" t="s">
        <v>1173</v>
      </c>
      <c r="E412" s="25" t="str" cm="1">
        <f t="array" ref="E412">IF(ROW(NodesJSON[[#This Row],[label]])&gt;ROW(NodesJSON[[#Headers],[JSON]])+1,",","") &amp;"{"&amp;twoRangesToJSON(NodesJSON[[#Headers],[label]:[url]],NodesJSON[[#This Row],[label]:[url]])&amp;"}"</f>
        <v>,{"label":"Social Honeypot","group":"","id":"n56573FF9_22B4_4629_B28C_392B006A4AA8","url":"https://open-measure.atlassian.net/wiki/spaces/DIC/pages/206372869"}</v>
      </c>
    </row>
    <row r="413" spans="1:5" ht="13.9" thickTop="1" thickBot="1" x14ac:dyDescent="0.4">
      <c r="A413" s="3" t="str">
        <f>NodesData[[#This Row],[Common Name]]</f>
        <v>SoD</v>
      </c>
      <c r="B413" s="3" t="str">
        <f>IF(NodesData[[#This Row],[Context Instanciation]]="","",NodesData[[#This Row],[Context Instanciation]])</f>
        <v/>
      </c>
      <c r="C413" s="22" t="str">
        <f>NodesData[[#This Row],[Node ID]]</f>
        <v>nA9A30C47_5F47_4988_8FC5_F4CF9EB080CC</v>
      </c>
      <c r="D413" s="10" t="s">
        <v>1175</v>
      </c>
      <c r="E413" s="25" t="str" cm="1">
        <f t="array" ref="E413">IF(ROW(NodesJSON[[#This Row],[label]])&gt;ROW(NodesJSON[[#Headers],[JSON]])+1,",","") &amp;"{"&amp;twoRangesToJSON(NodesJSON[[#Headers],[label]:[url]],NodesJSON[[#This Row],[label]:[url]])&amp;"}"</f>
        <v>,{"label":"SoD","group":"","id":"nA9A30C47_5F47_4988_8FC5_F4CF9EB080CC","url":"https://open-measure.atlassian.net/wiki/spaces/DIC/pages/1004961963"}</v>
      </c>
    </row>
    <row r="414" spans="1:5" ht="13.9" thickTop="1" thickBot="1" x14ac:dyDescent="0.4">
      <c r="A414" s="3" t="str">
        <f>NodesData[[#This Row],[Common Name]]</f>
        <v>Software / App OTP</v>
      </c>
      <c r="B414" s="3" t="str">
        <f>IF(NodesData[[#This Row],[Context Instanciation]]="","",NodesData[[#This Row],[Context Instanciation]])</f>
        <v/>
      </c>
      <c r="C414" s="22" t="str">
        <f>NodesData[[#This Row],[Node ID]]</f>
        <v>n53FEC273_D9E0_42F6_BEB3_18333BB567ED</v>
      </c>
      <c r="D414" s="10" t="s">
        <v>1177</v>
      </c>
      <c r="E414" s="25" t="str" cm="1">
        <f t="array" ref="E414">IF(ROW(NodesJSON[[#This Row],[label]])&gt;ROW(NodesJSON[[#Headers],[JSON]])+1,",","") &amp;"{"&amp;twoRangesToJSON(NodesJSON[[#Headers],[label]:[url]],NodesJSON[[#This Row],[label]:[url]])&amp;"}"</f>
        <v>,{"label":"Software / App OTP","group":"","id":"n53FEC273_D9E0_42F6_BEB3_18333BB567ED","url":"https://open-measure.atlassian.net/wiki/spaces/DIC/pages/1226571890"}</v>
      </c>
    </row>
    <row r="415" spans="1:5" ht="13.9" thickTop="1" thickBot="1" x14ac:dyDescent="0.4">
      <c r="A415" s="3" t="str">
        <f>NodesData[[#This Row],[Common Name]]</f>
        <v>Software-Defined Perimeter</v>
      </c>
      <c r="B415" s="3" t="str">
        <f>IF(NodesData[[#This Row],[Context Instanciation]]="","",NodesData[[#This Row],[Context Instanciation]])</f>
        <v/>
      </c>
      <c r="C415" s="22" t="str">
        <f>NodesData[[#This Row],[Node ID]]</f>
        <v>n5E41A9D4_819D_4864_B6AE_33A53A7DDD7C</v>
      </c>
      <c r="D415" s="4"/>
      <c r="E415" s="25" t="str" cm="1">
        <f t="array" ref="E415">IF(ROW(NodesJSON[[#This Row],[label]])&gt;ROW(NodesJSON[[#Headers],[JSON]])+1,",","") &amp;"{"&amp;twoRangesToJSON(NodesJSON[[#Headers],[label]:[url]],NodesJSON[[#This Row],[label]:[url]])&amp;"}"</f>
        <v>,{"label":"Software-Defined Perimeter","group":"","id":"n5E41A9D4_819D_4864_B6AE_33A53A7DDD7C","url":""}</v>
      </c>
    </row>
    <row r="416" spans="1:5" ht="13.9" thickTop="1" thickBot="1" x14ac:dyDescent="0.4">
      <c r="A416" s="3" t="str">
        <f>NodesData[[#This Row],[Common Name]]</f>
        <v>SPIFFE</v>
      </c>
      <c r="B416" s="3" t="str">
        <f>IF(NodesData[[#This Row],[Context Instanciation]]="","",NodesData[[#This Row],[Context Instanciation]])</f>
        <v/>
      </c>
      <c r="C416" s="22" t="str">
        <f>NodesData[[#This Row],[Node ID]]</f>
        <v>n00E1D349_3D00_4487_9F58_1785F1B304DB</v>
      </c>
      <c r="D416" s="10" t="s">
        <v>1179</v>
      </c>
      <c r="E416" s="25" t="str" cm="1">
        <f t="array" ref="E416">IF(ROW(NodesJSON[[#This Row],[label]])&gt;ROW(NodesJSON[[#Headers],[JSON]])+1,",","") &amp;"{"&amp;twoRangesToJSON(NodesJSON[[#Headers],[label]:[url]],NodesJSON[[#This Row],[label]:[url]])&amp;"}"</f>
        <v>,{"label":"SPIFFE","group":"","id":"n00E1D349_3D00_4487_9F58_1785F1B304DB","url":"https://open-measure.atlassian.net/wiki/spaces/DIC/pages/1122631693"}</v>
      </c>
    </row>
    <row r="417" spans="1:5" ht="13.9" thickTop="1" thickBot="1" x14ac:dyDescent="0.4">
      <c r="A417" s="3" t="str">
        <f>NodesData[[#This Row],[Common Name]]</f>
        <v>SPMS</v>
      </c>
      <c r="B417" s="3" t="str">
        <f>IF(NodesData[[#This Row],[Context Instanciation]]="","",NodesData[[#This Row],[Context Instanciation]])</f>
        <v/>
      </c>
      <c r="C417" s="22" t="str">
        <f>NodesData[[#This Row],[Node ID]]</f>
        <v>n5CF2F923_671C_4D8A_ADA8_855ACC57144A</v>
      </c>
      <c r="D417" s="10" t="s">
        <v>1159</v>
      </c>
      <c r="E417" s="25" t="str" cm="1">
        <f t="array" ref="E417">IF(ROW(NodesJSON[[#This Row],[label]])&gt;ROW(NodesJSON[[#Headers],[JSON]])+1,",","") &amp;"{"&amp;twoRangesToJSON(NodesJSON[[#Headers],[label]:[url]],NodesJSON[[#This Row],[label]:[url]])&amp;"}"</f>
        <v>,{"label":"SPMS","group":"","id":"n5CF2F923_671C_4D8A_ADA8_855ACC57144A","url":"https://open-measure.atlassian.net/wiki/spaces/DIC/pages/81199126"}</v>
      </c>
    </row>
    <row r="418" spans="1:5" ht="13.9" thickTop="1" thickBot="1" x14ac:dyDescent="0.4">
      <c r="A418" s="3" t="str">
        <f>NodesData[[#This Row],[Common Name]]</f>
        <v>SSH Key</v>
      </c>
      <c r="B418" s="3" t="str">
        <f>IF(NodesData[[#This Row],[Context Instanciation]]="","",NodesData[[#This Row],[Context Instanciation]])</f>
        <v/>
      </c>
      <c r="C418" s="22" t="str">
        <f>NodesData[[#This Row],[Node ID]]</f>
        <v>nFC3909FF_29C6_47F9_B90A_122BDED44AF9</v>
      </c>
      <c r="D418" s="3"/>
      <c r="E418" s="25" t="str" cm="1">
        <f t="array" ref="E418">IF(ROW(NodesJSON[[#This Row],[label]])&gt;ROW(NodesJSON[[#Headers],[JSON]])+1,",","") &amp;"{"&amp;twoRangesToJSON(NodesJSON[[#Headers],[label]:[url]],NodesJSON[[#This Row],[label]:[url]])&amp;"}"</f>
        <v>,{"label":"SSH Key","group":"","id":"nFC3909FF_29C6_47F9_B90A_122BDED44AF9","url":""}</v>
      </c>
    </row>
    <row r="419" spans="1:5" ht="13.9" thickTop="1" thickBot="1" x14ac:dyDescent="0.4">
      <c r="A419" s="3" t="str">
        <f>NodesData[[#This Row],[Common Name]]</f>
        <v>SSI</v>
      </c>
      <c r="B419" s="3" t="str">
        <f>IF(NodesData[[#This Row],[Context Instanciation]]="","",NodesData[[#This Row],[Context Instanciation]])</f>
        <v/>
      </c>
      <c r="C419" s="22" t="str">
        <f>NodesData[[#This Row],[Node ID]]</f>
        <v>n71631819_91CD_4603_8446_336EBC6B18B2</v>
      </c>
      <c r="D419" s="8"/>
      <c r="E419" s="25" t="str" cm="1">
        <f t="array" ref="E419">IF(ROW(NodesJSON[[#This Row],[label]])&gt;ROW(NodesJSON[[#Headers],[JSON]])+1,",","") &amp;"{"&amp;twoRangesToJSON(NodesJSON[[#Headers],[label]:[url]],NodesJSON[[#This Row],[label]:[url]])&amp;"}"</f>
        <v>,{"label":"SSI","group":"","id":"n71631819_91CD_4603_8446_336EBC6B18B2","url":""}</v>
      </c>
    </row>
    <row r="420" spans="1:5" ht="13.9" thickTop="1" thickBot="1" x14ac:dyDescent="0.4">
      <c r="A420" s="3" t="str">
        <f>NodesData[[#This Row],[Common Name]]</f>
        <v>SSO</v>
      </c>
      <c r="B420" s="3" t="str">
        <f>IF(NodesData[[#This Row],[Context Instanciation]]="","",NodesData[[#This Row],[Context Instanciation]])</f>
        <v/>
      </c>
      <c r="C420" s="22" t="str">
        <f>NodesData[[#This Row],[Node ID]]</f>
        <v>n5453D8E7_0829_46D3_846B_6D89F4AE4CFF</v>
      </c>
      <c r="D420" s="8"/>
      <c r="E420" s="25" t="str" cm="1">
        <f t="array" ref="E420">IF(ROW(NodesJSON[[#This Row],[label]])&gt;ROW(NodesJSON[[#Headers],[JSON]])+1,",","") &amp;"{"&amp;twoRangesToJSON(NodesJSON[[#Headers],[label]:[url]],NodesJSON[[#This Row],[label]:[url]])&amp;"}"</f>
        <v>,{"label":"SSO","group":"","id":"n5453D8E7_0829_46D3_846B_6D89F4AE4CFF","url":""}</v>
      </c>
    </row>
    <row r="421" spans="1:5" ht="13.9" thickTop="1" thickBot="1" x14ac:dyDescent="0.4">
      <c r="A421" s="3" t="str">
        <f>NodesData[[#This Row],[Common Name]]</f>
        <v>SSO</v>
      </c>
      <c r="B421" s="3" t="str">
        <f>IF(NodesData[[#This Row],[Context Instanciation]]="","",NodesData[[#This Row],[Context Instanciation]])</f>
        <v/>
      </c>
      <c r="C421" s="22" t="str">
        <f>NodesData[[#This Row],[Node ID]]</f>
        <v>n36B26A4D_4DE5_4EE8_8425_C5A7DB251D84</v>
      </c>
      <c r="D421" s="10" t="s">
        <v>1181</v>
      </c>
      <c r="E421" s="25" t="str" cm="1">
        <f t="array" ref="E421">IF(ROW(NodesJSON[[#This Row],[label]])&gt;ROW(NodesJSON[[#Headers],[JSON]])+1,",","") &amp;"{"&amp;twoRangesToJSON(NodesJSON[[#Headers],[label]:[url]],NodesJSON[[#This Row],[label]:[url]])&amp;"}"</f>
        <v>,{"label":"SSO","group":"","id":"n36B26A4D_4DE5_4EE8_8425_C5A7DB251D84","url":"https://open-measure.atlassian.net/wiki/spaces/DIC/pages/1130954862"}</v>
      </c>
    </row>
    <row r="422" spans="1:5" ht="13.9" thickTop="1" thickBot="1" x14ac:dyDescent="0.4">
      <c r="A422" s="3" t="str">
        <f>NodesData[[#This Row],[Common Name]]</f>
        <v>Stability of Access Decision Factors</v>
      </c>
      <c r="B422" s="3" t="str">
        <f>IF(NodesData[[#This Row],[Context Instanciation]]="","",NodesData[[#This Row],[Context Instanciation]])</f>
        <v/>
      </c>
      <c r="C422" s="22" t="str">
        <f>NodesData[[#This Row],[Node ID]]</f>
        <v>n0219DCF8_A0BC_4743_BBAA_4F0ADEC98D8A</v>
      </c>
      <c r="D422" s="10" t="s">
        <v>1182</v>
      </c>
      <c r="E422" s="25" t="str" cm="1">
        <f t="array" ref="E422">IF(ROW(NodesJSON[[#This Row],[label]])&gt;ROW(NodesJSON[[#Headers],[JSON]])+1,",","") &amp;"{"&amp;twoRangesToJSON(NodesJSON[[#Headers],[label]:[url]],NodesJSON[[#This Row],[label]:[url]])&amp;"}"</f>
        <v>,{"label":"Stability of Access Decision Factors","group":"","id":"n0219DCF8_A0BC_4743_BBAA_4F0ADEC98D8A","url":"https://open-measure.atlassian.net/wiki/spaces/DIC/pages/360467"}</v>
      </c>
    </row>
    <row r="423" spans="1:5" ht="13.9" thickTop="1" thickBot="1" x14ac:dyDescent="0.4">
      <c r="A423" s="3" t="str">
        <f>NodesData[[#This Row],[Common Name]]</f>
        <v>Stakeholder</v>
      </c>
      <c r="B423" s="3" t="str">
        <f>IF(NodesData[[#This Row],[Context Instanciation]]="","",NodesData[[#This Row],[Context Instanciation]])</f>
        <v/>
      </c>
      <c r="C423" s="22" t="str">
        <f>NodesData[[#This Row],[Node ID]]</f>
        <v>n545A7A4F_E40A_4229_9889_14B9524363FA</v>
      </c>
      <c r="D423" s="10" t="s">
        <v>1183</v>
      </c>
      <c r="E423" s="25" t="str" cm="1">
        <f t="array" ref="E423">IF(ROW(NodesJSON[[#This Row],[label]])&gt;ROW(NodesJSON[[#Headers],[JSON]])+1,",","") &amp;"{"&amp;twoRangesToJSON(NodesJSON[[#Headers],[label]:[url]],NodesJSON[[#This Row],[label]:[url]])&amp;"}"</f>
        <v>,{"label":"Stakeholder","group":"","id":"n545A7A4F_E40A_4229_9889_14B9524363FA","url":"https://open-measure.atlassian.net/wiki/spaces/DIC/pages/1237582070/Tranquil"}</v>
      </c>
    </row>
    <row r="424" spans="1:5" ht="13.9" thickTop="1" thickBot="1" x14ac:dyDescent="0.4">
      <c r="A424" s="3" t="str">
        <f>NodesData[[#This Row],[Common Name]]</f>
        <v>Step-Up Authentication</v>
      </c>
      <c r="B424" s="3" t="str">
        <f>IF(NodesData[[#This Row],[Context Instanciation]]="","",NodesData[[#This Row],[Context Instanciation]])</f>
        <v/>
      </c>
      <c r="C424" s="22" t="str">
        <f>NodesData[[#This Row],[Node ID]]</f>
        <v>n57ECA222_A996_4EAF_82B4_F90085182E5A</v>
      </c>
      <c r="D424" s="10" t="s">
        <v>1185</v>
      </c>
      <c r="E424" s="25" t="str" cm="1">
        <f t="array" ref="E424">IF(ROW(NodesJSON[[#This Row],[label]])&gt;ROW(NodesJSON[[#Headers],[JSON]])+1,",","") &amp;"{"&amp;twoRangesToJSON(NodesJSON[[#Headers],[label]:[url]],NodesJSON[[#This Row],[label]:[url]])&amp;"}"</f>
        <v>,{"label":"Step-Up Authentication","group":"","id":"n57ECA222_A996_4EAF_82B4_F90085182E5A","url":"https://open-measure.atlassian.net/wiki/spaces/DIC/pages/1237483759"}</v>
      </c>
    </row>
    <row r="425" spans="1:5" ht="13.9" thickTop="1" thickBot="1" x14ac:dyDescent="0.4">
      <c r="A425" s="3" t="str">
        <f>NodesData[[#This Row],[Common Name]]</f>
        <v>Strategic Performance Measurement System</v>
      </c>
      <c r="B425" s="3" t="str">
        <f>IF(NodesData[[#This Row],[Context Instanciation]]="","",NodesData[[#This Row],[Context Instanciation]])</f>
        <v/>
      </c>
      <c r="C425" s="22" t="str">
        <f>NodesData[[#This Row],[Node ID]]</f>
        <v>nD412B947_EA40_439A_B717_8C39D2BC4CB9</v>
      </c>
      <c r="D425" s="10" t="s">
        <v>1187</v>
      </c>
      <c r="E425" s="25" t="str" cm="1">
        <f t="array" ref="E425">IF(ROW(NodesJSON[[#This Row],[label]])&gt;ROW(NodesJSON[[#Headers],[JSON]])+1,",","") &amp;"{"&amp;twoRangesToJSON(NodesJSON[[#Headers],[label]:[url]],NodesJSON[[#This Row],[label]:[url]])&amp;"}"</f>
        <v>,{"label":"Strategic Performance Measurement System","group":"","id":"nD412B947_EA40_439A_B717_8C39D2BC4CB9","url":"https://open-measure.atlassian.net/wiki/spaces/DIC/pages/1181876587"}</v>
      </c>
    </row>
    <row r="426" spans="1:5" ht="13.9" thickTop="1" thickBot="1" x14ac:dyDescent="0.4">
      <c r="A426" s="3" t="str">
        <f>NodesData[[#This Row],[Common Name]]</f>
        <v>Strict Discretionary Access Control</v>
      </c>
      <c r="B426" s="3" t="str">
        <f>IF(NodesData[[#This Row],[Context Instanciation]]="","",NodesData[[#This Row],[Context Instanciation]])</f>
        <v/>
      </c>
      <c r="C426" s="22" t="str">
        <f>NodesData[[#This Row],[Node ID]]</f>
        <v>n1678B11E_DE4E_4E9D_959E_B70C80A07265</v>
      </c>
      <c r="D426" s="10" t="s">
        <v>1188</v>
      </c>
      <c r="E426" s="25" t="str" cm="1">
        <f t="array" ref="E426">IF(ROW(NodesJSON[[#This Row],[label]])&gt;ROW(NodesJSON[[#Headers],[JSON]])+1,",","") &amp;"{"&amp;twoRangesToJSON(NodesJSON[[#Headers],[label]:[url]],NodesJSON[[#This Row],[label]:[url]])&amp;"}"</f>
        <v>,{"label":"Strict Discretionary Access Control","group":"","id":"n1678B11E_DE4E_4E9D_959E_B70C80A07265","url":"https://open-measure.atlassian.net/wiki/spaces/DIC/pages/1037926452/Trust"}</v>
      </c>
    </row>
    <row r="427" spans="1:5" ht="13.9" thickTop="1" thickBot="1" x14ac:dyDescent="0.4">
      <c r="A427" s="3" t="str">
        <f>NodesData[[#This Row],[Common Name]]</f>
        <v>Strong Authentication</v>
      </c>
      <c r="B427" s="3" t="str">
        <f>IF(NodesData[[#This Row],[Context Instanciation]]="","",NodesData[[#This Row],[Context Instanciation]])</f>
        <v/>
      </c>
      <c r="C427" s="22" t="str">
        <f>NodesData[[#This Row],[Node ID]]</f>
        <v>n7A087586_32C2_44CA_B3C5_9B643CFB3E63</v>
      </c>
      <c r="D427" s="10" t="s">
        <v>1190</v>
      </c>
      <c r="E427" s="25" t="str" cm="1">
        <f t="array" ref="E427">IF(ROW(NodesJSON[[#This Row],[label]])&gt;ROW(NodesJSON[[#Headers],[JSON]])+1,",","") &amp;"{"&amp;twoRangesToJSON(NodesJSON[[#Headers],[label]:[url]],NodesJSON[[#This Row],[label]:[url]])&amp;"}"</f>
        <v>,{"label":"Strong Authentication","group":"","id":"n7A087586_32C2_44CA_B3C5_9B643CFB3E63","url":"https://open-measure.atlassian.net/wiki/spaces/DIC/pages/1027048185"}</v>
      </c>
    </row>
    <row r="428" spans="1:5" ht="13.9" thickTop="1" thickBot="1" x14ac:dyDescent="0.4">
      <c r="A428" s="3" t="str">
        <f>NodesData[[#This Row],[Common Name]]</f>
        <v>Strong Tranquility Property</v>
      </c>
      <c r="B428" s="3" t="str">
        <f>IF(NodesData[[#This Row],[Context Instanciation]]="","",NodesData[[#This Row],[Context Instanciation]])</f>
        <v/>
      </c>
      <c r="C428" s="22" t="str">
        <f>NodesData[[#This Row],[Node ID]]</f>
        <v>n54565563_BC74_470C_A56B_A1B9C7F1324E</v>
      </c>
      <c r="D428" s="10" t="s">
        <v>1192</v>
      </c>
      <c r="E428" s="25" t="str" cm="1">
        <f t="array" ref="E428">IF(ROW(NodesJSON[[#This Row],[label]])&gt;ROW(NodesJSON[[#Headers],[JSON]])+1,",","") &amp;"{"&amp;twoRangesToJSON(NodesJSON[[#Headers],[label]:[url]],NodesJSON[[#This Row],[label]:[url]])&amp;"}"</f>
        <v>,{"label":"Strong Tranquility Property","group":"","id":"n54565563_BC74_470C_A56B_A1B9C7F1324E","url":"https://open-measure.atlassian.net/wiki/spaces/DIC/pages/1027048128"}</v>
      </c>
    </row>
    <row r="429" spans="1:5" ht="13.9" thickTop="1" thickBot="1" x14ac:dyDescent="0.4">
      <c r="A429" s="3" t="str">
        <f>NodesData[[#This Row],[Common Name]]</f>
        <v>Subject</v>
      </c>
      <c r="B429" s="3" t="str">
        <f>IF(NodesData[[#This Row],[Context Instanciation]]="","",NodesData[[#This Row],[Context Instanciation]])</f>
        <v/>
      </c>
      <c r="C429" s="22" t="str">
        <f>NodesData[[#This Row],[Node ID]]</f>
        <v>nB7ADCBF6_0721_463C_82E5_DBB277A6AEE9</v>
      </c>
      <c r="D429" s="10" t="s">
        <v>1194</v>
      </c>
      <c r="E429" s="25" t="str" cm="1">
        <f t="array" ref="E429">IF(ROW(NodesJSON[[#This Row],[label]])&gt;ROW(NodesJSON[[#Headers],[JSON]])+1,",","") &amp;"{"&amp;twoRangesToJSON(NodesJSON[[#Headers],[label]:[url]],NodesJSON[[#This Row],[label]:[url]])&amp;"}"</f>
        <v>,{"label":"Subject","group":"","id":"nB7ADCBF6_0721_463C_82E5_DBB277A6AEE9","url":"https://open-measure.atlassian.net/wiki/spaces/DIC/pages/1027048209"}</v>
      </c>
    </row>
    <row r="430" spans="1:5" ht="13.9" thickTop="1" thickBot="1" x14ac:dyDescent="0.4">
      <c r="A430" s="3" t="str">
        <f>NodesData[[#This Row],[Common Name]]</f>
        <v>Subjective Indicator</v>
      </c>
      <c r="B430" s="3" t="str">
        <f>IF(NodesData[[#This Row],[Context Instanciation]]="","",NodesData[[#This Row],[Context Instanciation]])</f>
        <v/>
      </c>
      <c r="C430" s="22" t="str">
        <f>NodesData[[#This Row],[Node ID]]</f>
        <v>nE6B7AC16_FE87_47A2_899A_64FC08C8DD98</v>
      </c>
      <c r="D430" s="10" t="s">
        <v>1196</v>
      </c>
      <c r="E430" s="25" t="str" cm="1">
        <f t="array" ref="E430">IF(ROW(NodesJSON[[#This Row],[label]])&gt;ROW(NodesJSON[[#Headers],[JSON]])+1,",","") &amp;"{"&amp;twoRangesToJSON(NodesJSON[[#Headers],[label]:[url]],NodesJSON[[#This Row],[label]:[url]])&amp;"}"</f>
        <v>,{"label":"Subjective Indicator","group":"","id":"nE6B7AC16_FE87_47A2_899A_64FC08C8DD98","url":"https://open-measure.atlassian.net/wiki/spaces/DIC/pages/1031242345"}</v>
      </c>
    </row>
    <row r="431" spans="1:5" ht="13.9" thickTop="1" thickBot="1" x14ac:dyDescent="0.4">
      <c r="A431" s="3" t="str">
        <f>NodesData[[#This Row],[Common Name]]</f>
        <v>Supply Chain Attack</v>
      </c>
      <c r="B431" s="3" t="str">
        <f>IF(NodesData[[#This Row],[Context Instanciation]]="","",NodesData[[#This Row],[Context Instanciation]])</f>
        <v/>
      </c>
      <c r="C431" s="22" t="str">
        <f>NodesData[[#This Row],[Node ID]]</f>
        <v>n3A185D2E_8467_4AA3_9CDB_FB22389BF715</v>
      </c>
      <c r="D431" s="10" t="s">
        <v>1197</v>
      </c>
      <c r="E431" s="25" t="str" cm="1">
        <f t="array" ref="E431">IF(ROW(NodesJSON[[#This Row],[label]])&gt;ROW(NodesJSON[[#Headers],[JSON]])+1,",","") &amp;"{"&amp;twoRangesToJSON(NodesJSON[[#Headers],[label]:[url]],NodesJSON[[#This Row],[label]:[url]])&amp;"}"</f>
        <v>,{"label":"Supply Chain Attack","group":"","id":"n3A185D2E_8467_4AA3_9CDB_FB22389BF715","url":"https://open-measure.atlassian.net/wiki/spaces/DIC/pages/1417084929/Typing+Biometrics"}</v>
      </c>
    </row>
    <row r="432" spans="1:5" ht="13.9" thickTop="1" thickBot="1" x14ac:dyDescent="0.4">
      <c r="A432" s="3" t="str">
        <f>NodesData[[#This Row],[Common Name]]</f>
        <v>Sybil Attack</v>
      </c>
      <c r="B432" s="3" t="str">
        <f>IF(NodesData[[#This Row],[Context Instanciation]]="","",NodesData[[#This Row],[Context Instanciation]])</f>
        <v/>
      </c>
      <c r="C432" s="22" t="str">
        <f>NodesData[[#This Row],[Node ID]]</f>
        <v>n0FECC4A6_A665_444E_BE48_8AA390BB1974</v>
      </c>
      <c r="D432" s="10" t="s">
        <v>1199</v>
      </c>
      <c r="E432" s="25" t="str" cm="1">
        <f t="array" ref="E432">IF(ROW(NodesJSON[[#This Row],[label]])&gt;ROW(NodesJSON[[#Headers],[JSON]])+1,",","") &amp;"{"&amp;twoRangesToJSON(NodesJSON[[#Headers],[label]:[url]],NodesJSON[[#This Row],[label]:[url]])&amp;"}"</f>
        <v>,{"label":"Sybil Attack","group":"","id":"n0FECC4A6_A665_444E_BE48_8AA390BB1974","url":"https://open-measure.atlassian.net/wiki/spaces/DIC/pages/140673267"}</v>
      </c>
    </row>
    <row r="433" spans="1:5" ht="13.9" thickTop="1" thickBot="1" x14ac:dyDescent="0.4">
      <c r="A433" s="3" t="str">
        <f>NodesData[[#This Row],[Common Name]]</f>
        <v>Synthetic Identity Fraud</v>
      </c>
      <c r="B433" s="3" t="str">
        <f>IF(NodesData[[#This Row],[Context Instanciation]]="","",NodesData[[#This Row],[Context Instanciation]])</f>
        <v/>
      </c>
      <c r="C433" s="22" t="str">
        <f>NodesData[[#This Row],[Node ID]]</f>
        <v>nD9FD15A1_6465_481B_B71D_ADCD17B9954F</v>
      </c>
      <c r="D433" s="10" t="s">
        <v>1200</v>
      </c>
      <c r="E433" s="25" t="str" cm="1">
        <f t="array" ref="E433">IF(ROW(NodesJSON[[#This Row],[label]])&gt;ROW(NodesJSON[[#Headers],[JSON]])+1,",","") &amp;"{"&amp;twoRangesToJSON(NodesJSON[[#Headers],[label]:[url]],NodesJSON[[#This Row],[label]:[url]])&amp;"}"</f>
        <v>,{"label":"Synthetic Identity Fraud","group":"","id":"nD9FD15A1_6465_481B_B71D_ADCD17B9954F","url":"https://open-measure.atlassian.net/wiki/spaces/DIC/pages/1027080193/Unanticipated+User"}</v>
      </c>
    </row>
    <row r="434" spans="1:5" ht="13.9" thickTop="1" thickBot="1" x14ac:dyDescent="0.4">
      <c r="A434" s="3" t="str">
        <f>NodesData[[#This Row],[Common Name]]</f>
        <v>System</v>
      </c>
      <c r="B434" s="3" t="str">
        <f>IF(NodesData[[#This Row],[Context Instanciation]]="","",NodesData[[#This Row],[Context Instanciation]])</f>
        <v/>
      </c>
      <c r="C434" s="22" t="str">
        <f>NodesData[[#This Row],[Node ID]]</f>
        <v>nFC4AFBE3_7D71_456A_AFC1_16F1F34558F5</v>
      </c>
      <c r="D434" s="4"/>
      <c r="E434" s="25" t="str" cm="1">
        <f t="array" ref="E434">IF(ROW(NodesJSON[[#This Row],[label]])&gt;ROW(NodesJSON[[#Headers],[JSON]])+1,",","") &amp;"{"&amp;twoRangesToJSON(NodesJSON[[#Headers],[label]:[url]],NodesJSON[[#This Row],[label]:[url]])&amp;"}"</f>
        <v>,{"label":"System","group":"","id":"nFC4AFBE3_7D71_456A_AFC1_16F1F34558F5","url":""}</v>
      </c>
    </row>
    <row r="435" spans="1:5" ht="13.9" thickTop="1" thickBot="1" x14ac:dyDescent="0.4">
      <c r="A435" s="3" t="str">
        <f>NodesData[[#This Row],[Common Name]]</f>
        <v>System Boundaries</v>
      </c>
      <c r="B435" s="3" t="str">
        <f>IF(NodesData[[#This Row],[Context Instanciation]]="","",NodesData[[#This Row],[Context Instanciation]])</f>
        <v/>
      </c>
      <c r="C435" s="22" t="str">
        <f>NodesData[[#This Row],[Node ID]]</f>
        <v>n31C5E305_499C_46E4_98C8_6261960997B6</v>
      </c>
      <c r="D435" s="10" t="s">
        <v>1202</v>
      </c>
      <c r="E435" s="25" t="str" cm="1">
        <f t="array" ref="E435">IF(ROW(NodesJSON[[#This Row],[label]])&gt;ROW(NodesJSON[[#Headers],[JSON]])+1,",","") &amp;"{"&amp;twoRangesToJSON(NodesJSON[[#Headers],[label]:[url]],NodesJSON[[#This Row],[label]:[url]])&amp;"}"</f>
        <v>,{"label":"System Boundaries","group":"","id":"n31C5E305_499C_46E4_98C8_6261960997B6","url":"https://open-measure.atlassian.net/wiki/spaces/DIC/pages/446955662/Unique+ID+Number"}</v>
      </c>
    </row>
    <row r="436" spans="1:5" ht="13.9" thickTop="1" thickBot="1" x14ac:dyDescent="0.4">
      <c r="A436" s="3" t="str">
        <f>NodesData[[#This Row],[Common Name]]</f>
        <v>System for Cross-domain Identity Management</v>
      </c>
      <c r="B436" s="3" t="str">
        <f>IF(NodesData[[#This Row],[Context Instanciation]]="","",NodesData[[#This Row],[Context Instanciation]])</f>
        <v/>
      </c>
      <c r="C436" s="22" t="str">
        <f>NodesData[[#This Row],[Node ID]]</f>
        <v>nFA34207B_F87E_487A_A8A3_4664359FB1CD</v>
      </c>
      <c r="D436" s="10" t="s">
        <v>1203</v>
      </c>
      <c r="E436" s="25" t="str" cm="1">
        <f t="array" ref="E436">IF(ROW(NodesJSON[[#This Row],[label]])&gt;ROW(NodesJSON[[#Headers],[JSON]])+1,",","") &amp;"{"&amp;twoRangesToJSON(NodesJSON[[#Headers],[label]:[url]],NodesJSON[[#This Row],[label]:[url]])&amp;"}"</f>
        <v>,{"label":"System for Cross-domain Identity Management","group":"","id":"nFA34207B_F87E_487A_A8A3_4664359FB1CD","url":"https://open-measure.atlassian.net/wiki/spaces/DIC/pages/1477902414/Unprivileged+Insider"}</v>
      </c>
    </row>
    <row r="437" spans="1:5" ht="13.9" thickTop="1" thickBot="1" x14ac:dyDescent="0.4">
      <c r="A437" s="3" t="str">
        <f>NodesData[[#This Row],[Common Name]]</f>
        <v>System Owner</v>
      </c>
      <c r="B437" s="3" t="str">
        <f>IF(NodesData[[#This Row],[Context Instanciation]]="","",NodesData[[#This Row],[Context Instanciation]])</f>
        <v/>
      </c>
      <c r="C437" s="22" t="str">
        <f>NodesData[[#This Row],[Node ID]]</f>
        <v>nC9A420A4_4B49_4499_BCB2_7C9AD66395E7</v>
      </c>
      <c r="D437" s="10" t="s">
        <v>1204</v>
      </c>
      <c r="E437" s="25" t="str" cm="1">
        <f t="array" ref="E437">IF(ROW(NodesJSON[[#This Row],[label]])&gt;ROW(NodesJSON[[#Headers],[JSON]])+1,",","") &amp;"{"&amp;twoRangesToJSON(NodesJSON[[#Headers],[label]:[url]],NodesJSON[[#This Row],[label]:[url]])&amp;"}"</f>
        <v>,{"label":"System Owner","group":"","id":"nC9A420A4_4B49_4499_BCB2_7C9AD66395E7","url":"https://open-measure.atlassian.net/wiki/spaces/DIC/pages/82839586/User"}</v>
      </c>
    </row>
    <row r="438" spans="1:5" ht="13.9" thickTop="1" thickBot="1" x14ac:dyDescent="0.4">
      <c r="A438" s="3" t="str">
        <f>NodesData[[#This Row],[Common Name]]</f>
        <v>System Z</v>
      </c>
      <c r="B438" s="3" t="str">
        <f>IF(NodesData[[#This Row],[Context Instanciation]]="","",NodesData[[#This Row],[Context Instanciation]])</f>
        <v/>
      </c>
      <c r="C438" s="22" t="str">
        <f>NodesData[[#This Row],[Node ID]]</f>
        <v>n6935A8E7_1B1E_43B2_B342_5B9C31895DD1</v>
      </c>
      <c r="D438" s="10" t="s">
        <v>1205</v>
      </c>
      <c r="E438" s="25" t="str" cm="1">
        <f t="array" ref="E438">IF(ROW(NodesJSON[[#This Row],[label]])&gt;ROW(NodesJSON[[#Headers],[JSON]])+1,",","") &amp;"{"&amp;twoRangesToJSON(NodesJSON[[#Headers],[label]:[url]],NodesJSON[[#This Row],[label]:[url]])&amp;"}"</f>
        <v>,{"label":"System Z","group":"","id":"n6935A8E7_1B1E_43B2_B342_5B9C31895DD1","url":"https://open-measure.atlassian.net/wiki/spaces/DIC/pages/1428587273/User+Account"}</v>
      </c>
    </row>
    <row r="439" spans="1:5" ht="13.9" thickTop="1" thickBot="1" x14ac:dyDescent="0.4">
      <c r="A439" s="3" t="str">
        <f>NodesData[[#This Row],[Common Name]]</f>
        <v>TAN List OTP</v>
      </c>
      <c r="B439" s="3" t="str">
        <f>IF(NodesData[[#This Row],[Context Instanciation]]="","",NodesData[[#This Row],[Context Instanciation]])</f>
        <v/>
      </c>
      <c r="C439" s="22" t="str">
        <f>NodesData[[#This Row],[Node ID]]</f>
        <v>nACEE5BE1_AEF4_45DF_A913_1C3530C50C54</v>
      </c>
      <c r="D439" s="10" t="s">
        <v>1211</v>
      </c>
      <c r="E439" s="25" t="str" cm="1">
        <f t="array" ref="E439">IF(ROW(NodesJSON[[#This Row],[label]])&gt;ROW(NodesJSON[[#Headers],[JSON]])+1,",","") &amp;"{"&amp;twoRangesToJSON(NodesJSON[[#Headers],[label]:[url]],NodesJSON[[#This Row],[label]:[url]])&amp;"}"</f>
        <v>,{"label":"TAN List OTP","group":"","id":"nACEE5BE1_AEF4_45DF_A913_1C3530C50C54","url":"https://open-measure.atlassian.net/wiki/spaces/DIC/pages/1323597878/User-Centric+Identity+Management+System"}</v>
      </c>
    </row>
    <row r="440" spans="1:5" ht="13.9" thickTop="1" thickBot="1" x14ac:dyDescent="0.4">
      <c r="A440" s="3" t="str">
        <f>NodesData[[#This Row],[Common Name]]</f>
        <v>Task-Based Access Control</v>
      </c>
      <c r="B440" s="3" t="str">
        <f>IF(NodesData[[#This Row],[Context Instanciation]]="","",NodesData[[#This Row],[Context Instanciation]])</f>
        <v/>
      </c>
      <c r="C440" s="22" t="str">
        <f>NodesData[[#This Row],[Node ID]]</f>
        <v>n351C03A9_7E95_4292_8F00_0D294823C744</v>
      </c>
      <c r="D440" s="10" t="s">
        <v>1206</v>
      </c>
      <c r="E440" s="25" t="str" cm="1">
        <f t="array" ref="E440">IF(ROW(NodesJSON[[#This Row],[label]])&gt;ROW(NodesJSON[[#Headers],[JSON]])+1,",","") &amp;"{"&amp;twoRangesToJSON(NodesJSON[[#Headers],[label]:[url]],NodesJSON[[#This Row],[label]:[url]])&amp;"}"</f>
        <v>,{"label":"Task-Based Access Control","group":"","id":"n351C03A9_7E95_4292_8F00_0D294823C744","url":"https://open-measure.atlassian.net/wiki/spaces/DIC/pages/1146847344/User+De-Provisioning"}</v>
      </c>
    </row>
    <row r="441" spans="1:5" ht="13.9" thickTop="1" thickBot="1" x14ac:dyDescent="0.4">
      <c r="A441" s="3" t="str">
        <f>NodesData[[#This Row],[Common Name]]</f>
        <v>Text Password Authentication</v>
      </c>
      <c r="B441" s="3" t="str">
        <f>IF(NodesData[[#This Row],[Context Instanciation]]="","",NodesData[[#This Row],[Context Instanciation]])</f>
        <v/>
      </c>
      <c r="C441" s="22" t="str">
        <f>NodesData[[#This Row],[Node ID]]</f>
        <v>nB34CDBC0_988E_401A_93CC_C6103DC30B68</v>
      </c>
      <c r="D441" s="10" t="s">
        <v>1208</v>
      </c>
      <c r="E441" s="25" t="str" cm="1">
        <f t="array" ref="E441">IF(ROW(NodesJSON[[#This Row],[label]])&gt;ROW(NodesJSON[[#Headers],[JSON]])+1,",","") &amp;"{"&amp;twoRangesToJSON(NodesJSON[[#Headers],[label]:[url]],NodesJSON[[#This Row],[label]:[url]])&amp;"}"</f>
        <v>,{"label":"Text Password Authentication","group":"","id":"nB34CDBC0_988E_401A_93CC_C6103DC30B68","url":"https://open-measure.atlassian.net/wiki/spaces/DIC/pages/1121878257"}</v>
      </c>
    </row>
    <row r="442" spans="1:5" ht="13.9" thickTop="1" thickBot="1" x14ac:dyDescent="0.4">
      <c r="A442" s="3" t="str">
        <f>NodesData[[#This Row],[Common Name]]</f>
        <v>Threat Agent</v>
      </c>
      <c r="B442" s="3" t="str">
        <f>IF(NodesData[[#This Row],[Context Instanciation]]="","",NodesData[[#This Row],[Context Instanciation]])</f>
        <v/>
      </c>
      <c r="C442" s="22" t="str">
        <f>NodesData[[#This Row],[Node ID]]</f>
        <v>n385B2A02_580E_49B6_8C97_A00DC541C516</v>
      </c>
      <c r="D442" s="10" t="s">
        <v>1209</v>
      </c>
      <c r="E442" s="25" t="str" cm="1">
        <f t="array" ref="E442">IF(ROW(NodesJSON[[#This Row],[label]])&gt;ROW(NodesJSON[[#Headers],[JSON]])+1,",","") &amp;"{"&amp;twoRangesToJSON(NodesJSON[[#Headers],[label]:[url]],NodesJSON[[#This Row],[label]:[url]])&amp;"}"</f>
        <v>,{"label":"Threat Agent","group":"","id":"n385B2A02_580E_49B6_8C97_A00DC541C516","url":"https://open-measure.atlassian.net/wiki/spaces/DIC/pages/1428652448/User+ID"}</v>
      </c>
    </row>
    <row r="443" spans="1:5" ht="13.9" thickTop="1" thickBot="1" x14ac:dyDescent="0.4">
      <c r="A443" s="3" t="str">
        <f>NodesData[[#This Row],[Common Name]]</f>
        <v>Time Factor</v>
      </c>
      <c r="B443" s="3" t="str">
        <f>IF(NodesData[[#This Row],[Context Instanciation]]="","",NodesData[[#This Row],[Context Instanciation]])</f>
        <v/>
      </c>
      <c r="C443" s="22" t="str">
        <f>NodesData[[#This Row],[Node ID]]</f>
        <v>nF44C30A8_A797_4F0C_9C18_D87E7D5A8B88</v>
      </c>
      <c r="D443" s="10" t="s">
        <v>1210</v>
      </c>
      <c r="E443" s="25" t="str" cm="1">
        <f t="array" ref="E443">IF(ROW(NodesJSON[[#This Row],[label]])&gt;ROW(NodesJSON[[#Headers],[JSON]])+1,",","") &amp;"{"&amp;twoRangesToJSON(NodesJSON[[#Headers],[label]:[url]],NodesJSON[[#This Row],[label]:[url]])&amp;"}"</f>
        <v>,{"label":"Time Factor","group":"","id":"nF44C30A8_A797_4F0C_9C18_D87E7D5A8B88","url":"https://open-measure.atlassian.net/wiki/spaces/DIC/pages/1147043973/User+Provisioning"}</v>
      </c>
    </row>
    <row r="444" spans="1:5" ht="13.9" thickTop="1" thickBot="1" x14ac:dyDescent="0.4">
      <c r="A444" s="3" t="str">
        <f>NodesData[[#This Row],[Common Name]]</f>
        <v>Token-Based Authentication</v>
      </c>
      <c r="B444" s="3" t="str">
        <f>IF(NodesData[[#This Row],[Context Instanciation]]="","",NodesData[[#This Row],[Context Instanciation]])</f>
        <v/>
      </c>
      <c r="C444" s="22" t="str">
        <f>NodesData[[#This Row],[Node ID]]</f>
        <v>n1A55C21B_DE0A_4FE1_A1DF_11745E5BD4FF</v>
      </c>
      <c r="D444" s="10" t="s">
        <v>1212</v>
      </c>
      <c r="E444" s="25" t="str" cm="1">
        <f t="array" ref="E444">IF(ROW(NodesJSON[[#This Row],[label]])&gt;ROW(NodesJSON[[#Headers],[JSON]])+1,",","") &amp;"{"&amp;twoRangesToJSON(NodesJSON[[#Headers],[label]:[url]],NodesJSON[[#This Row],[label]:[url]])&amp;"}"</f>
        <v>,{"label":"Token-Based Authentication","group":"","id":"n1A55C21B_DE0A_4FE1_A1DF_11745E5BD4FF","url":"https://open-measure.atlassian.net/wiki/spaces/DIC/pages/1428652183/Username"}</v>
      </c>
    </row>
    <row r="445" spans="1:5" ht="13.9" thickTop="1" thickBot="1" x14ac:dyDescent="0.4">
      <c r="A445" s="3" t="str">
        <f>NodesData[[#This Row],[Common Name]]</f>
        <v>Touchstroke Recognition Authentication</v>
      </c>
      <c r="B445" s="3" t="str">
        <f>IF(NodesData[[#This Row],[Context Instanciation]]="","",NodesData[[#This Row],[Context Instanciation]])</f>
        <v/>
      </c>
      <c r="C445" s="22" t="str">
        <f>NodesData[[#This Row],[Node ID]]</f>
        <v>n2F27DDAD_459D_4B06_9152_168BDF5063F5</v>
      </c>
      <c r="D445" s="10" t="s">
        <v>1213</v>
      </c>
      <c r="E445" s="25" t="str" cm="1">
        <f t="array" ref="E445">IF(ROW(NodesJSON[[#This Row],[label]])&gt;ROW(NodesJSON[[#Headers],[JSON]])+1,",","") &amp;"{"&amp;twoRangesToJSON(NodesJSON[[#Headers],[label]:[url]],NodesJSON[[#This Row],[label]:[url]])&amp;"}"</f>
        <v>,{"label":"Touchstroke Recognition Authentication","group":"","id":"n2F27DDAD_459D_4B06_9152_168BDF5063F5","url":"https://open-measure.atlassian.net/wiki/spaces/DIC/pages/1311146179/Verifiable+Claim"}</v>
      </c>
    </row>
    <row r="446" spans="1:5" ht="13.9" thickTop="1" thickBot="1" x14ac:dyDescent="0.4">
      <c r="A446" s="3" t="str">
        <f>NodesData[[#This Row],[Common Name]]</f>
        <v>Toxic Combinations</v>
      </c>
      <c r="B446" s="3" t="str">
        <f>IF(NodesData[[#This Row],[Context Instanciation]]="","",NodesData[[#This Row],[Context Instanciation]])</f>
        <v/>
      </c>
      <c r="C446" s="22" t="str">
        <f>NodesData[[#This Row],[Node ID]]</f>
        <v>n88E112AD_03BC_452F_B011_4262CD8C0BF3</v>
      </c>
      <c r="D446" s="10" t="s">
        <v>1214</v>
      </c>
      <c r="E446" s="25" t="str" cm="1">
        <f t="array" ref="E446">IF(ROW(NodesJSON[[#This Row],[label]])&gt;ROW(NodesJSON[[#Headers],[JSON]])+1,",","") &amp;"{"&amp;twoRangesToJSON(NodesJSON[[#Headers],[label]:[url]],NodesJSON[[#This Row],[label]:[url]])&amp;"}"</f>
        <v>,{"label":"Toxic Combinations","group":"","id":"n88E112AD_03BC_452F_B011_4262CD8C0BF3","url":"https://open-measure.atlassian.net/wiki/spaces/DIC/pages/446988510/Verification"}</v>
      </c>
    </row>
    <row r="447" spans="1:5" ht="13.9" thickTop="1" thickBot="1" x14ac:dyDescent="0.4">
      <c r="A447" s="3" t="str">
        <f>NodesData[[#This Row],[Common Name]]</f>
        <v>Toxic Right Rule (Definition)</v>
      </c>
      <c r="B447" s="3" t="str">
        <f>IF(NodesData[[#This Row],[Context Instanciation]]="","",NodesData[[#This Row],[Context Instanciation]])</f>
        <v/>
      </c>
      <c r="C447" s="22" t="str">
        <f>NodesData[[#This Row],[Node ID]]</f>
        <v>n0A784E7B_0620_41F8_886C_EE73E3D5B725</v>
      </c>
      <c r="D447" s="10" t="s">
        <v>1216</v>
      </c>
      <c r="E447" s="25" t="str" cm="1">
        <f t="array" ref="E447">IF(ROW(NodesJSON[[#This Row],[label]])&gt;ROW(NodesJSON[[#Headers],[JSON]])+1,",","") &amp;"{"&amp;twoRangesToJSON(NodesJSON[[#Headers],[label]:[url]],NodesJSON[[#This Row],[label]:[url]])&amp;"}"</f>
        <v>,{"label":"Toxic Right Rule (Definition)","group":"","id":"n0A784E7B_0620_41F8_886C_EE73E3D5B725","url":"https://open-measure.atlassian.net/wiki/spaces/DIC/pages/834044330"}</v>
      </c>
    </row>
    <row r="448" spans="1:5" ht="13.9" thickTop="1" thickBot="1" x14ac:dyDescent="0.4">
      <c r="A448" s="3" t="str">
        <f>NodesData[[#This Row],[Common Name]]</f>
        <v>Tranquil</v>
      </c>
      <c r="B448" s="3" t="str">
        <f>IF(NodesData[[#This Row],[Context Instanciation]]="","",NodesData[[#This Row],[Context Instanciation]])</f>
        <v/>
      </c>
      <c r="C448" s="22" t="str">
        <f>NodesData[[#This Row],[Node ID]]</f>
        <v>nEA19C95D_BE71_4511_BD9B_2BAB20932E47</v>
      </c>
      <c r="D448" s="10" t="s">
        <v>1218</v>
      </c>
      <c r="E448" s="25" t="str" cm="1">
        <f t="array" ref="E448">IF(ROW(NodesJSON[[#This Row],[label]])&gt;ROW(NodesJSON[[#Headers],[JSON]])+1,",","") &amp;"{"&amp;twoRangesToJSON(NodesJSON[[#Headers],[label]:[url]],NodesJSON[[#This Row],[label]:[url]])&amp;"}"</f>
        <v>,{"label":"Tranquil","group":"","id":"nEA19C95D_BE71_4511_BD9B_2BAB20932E47","url":"https://open-measure.atlassian.net/wiki/spaces/DIC/pages/236748839"}</v>
      </c>
    </row>
    <row r="449" spans="1:5" ht="13.9" thickTop="1" thickBot="1" x14ac:dyDescent="0.4">
      <c r="A449" s="3" t="str">
        <f>NodesData[[#This Row],[Common Name]]</f>
        <v>Tranquility Principle</v>
      </c>
      <c r="B449" s="3" t="str">
        <f>IF(NodesData[[#This Row],[Context Instanciation]]="","",NodesData[[#This Row],[Context Instanciation]])</f>
        <v/>
      </c>
      <c r="C449" s="22" t="str">
        <f>NodesData[[#This Row],[Node ID]]</f>
        <v>nF8EFEF04_B182_49B6_873F_E26615F57EC1</v>
      </c>
      <c r="D449" s="10" t="s">
        <v>1220</v>
      </c>
      <c r="E449" s="25" t="str" cm="1">
        <f t="array" ref="E449">IF(ROW(NodesJSON[[#This Row],[label]])&gt;ROW(NodesJSON[[#Headers],[JSON]])+1,",","") &amp;"{"&amp;twoRangesToJSON(NodesJSON[[#Headers],[label]:[url]],NodesJSON[[#This Row],[label]:[url]])&amp;"}"</f>
        <v>,{"label":"Tranquility Principle","group":"","id":"nF8EFEF04_B182_49B6_873F_E26615F57EC1","url":"https://open-measure.atlassian.net/wiki/spaces/DIC/pages/542146561"}</v>
      </c>
    </row>
    <row r="450" spans="1:5" ht="13.9" thickTop="1" thickBot="1" x14ac:dyDescent="0.4">
      <c r="A450" s="3" t="str">
        <f>NodesData[[#This Row],[Common Name]]</f>
        <v>Tranquility Property</v>
      </c>
      <c r="B450" s="3" t="str">
        <f>IF(NodesData[[#This Row],[Context Instanciation]]="","",NodesData[[#This Row],[Context Instanciation]])</f>
        <v/>
      </c>
      <c r="C450" s="22" t="str">
        <f>NodesData[[#This Row],[Node ID]]</f>
        <v>nC855E8C7_E00C_40A0_87CC_0A3D02D20B4E</v>
      </c>
      <c r="D450" s="8"/>
      <c r="E450" s="25" t="str" cm="1">
        <f t="array" ref="E450">IF(ROW(NodesJSON[[#This Row],[label]])&gt;ROW(NodesJSON[[#Headers],[JSON]])+1,",","") &amp;"{"&amp;twoRangesToJSON(NodesJSON[[#Headers],[label]:[url]],NodesJSON[[#This Row],[label]:[url]])&amp;"}"</f>
        <v>,{"label":"Tranquility Property","group":"","id":"nC855E8C7_E00C_40A0_87CC_0A3D02D20B4E","url":""}</v>
      </c>
    </row>
    <row r="451" spans="1:5" ht="13.9" thickTop="1" thickBot="1" x14ac:dyDescent="0.4">
      <c r="A451" s="3" t="str">
        <f>NodesData[[#This Row],[Common Name]]</f>
        <v>Trust</v>
      </c>
      <c r="B451" s="3" t="str">
        <f>IF(NodesData[[#This Row],[Context Instanciation]]="","",NodesData[[#This Row],[Context Instanciation]])</f>
        <v/>
      </c>
      <c r="C451" s="22" t="str">
        <f>NodesData[[#This Row],[Node ID]]</f>
        <v>nB2793506_A460_4407_B469_4566BAD26901</v>
      </c>
      <c r="D451" s="10" t="s">
        <v>1201</v>
      </c>
      <c r="E451" s="25" t="str" cm="1">
        <f t="array" ref="E451">IF(ROW(NodesJSON[[#This Row],[label]])&gt;ROW(NodesJSON[[#Headers],[JSON]])+1,",","") &amp;"{"&amp;twoRangesToJSON(NodesJSON[[#Headers],[label]:[url]],NodesJSON[[#This Row],[label]:[url]])&amp;"}"</f>
        <v>,{"label":"Trust","group":"","id":"nB2793506_A460_4407_B469_4566BAD26901","url":"https://open-measure.atlassian.net/wiki/spaces/DIC/pages/1231126540/Unauthorized+Access"}</v>
      </c>
    </row>
    <row r="452" spans="1:5" ht="13.9" thickTop="1" thickBot="1" x14ac:dyDescent="0.4">
      <c r="A452" s="3" t="str">
        <f>NodesData[[#This Row],[Common Name]]</f>
        <v>Trust Asymmetry</v>
      </c>
      <c r="B452" s="3" t="str">
        <f>IF(NodesData[[#This Row],[Context Instanciation]]="","",NodesData[[#This Row],[Context Instanciation]])</f>
        <v/>
      </c>
      <c r="C452" s="22" t="str">
        <f>NodesData[[#This Row],[Node ID]]</f>
        <v>nC47D35F2_7A1A_41A1_8195_7670F9EF176A</v>
      </c>
      <c r="D452" s="10" t="s">
        <v>1222</v>
      </c>
      <c r="E452" s="25" t="str" cm="1">
        <f t="array" ref="E452">IF(ROW(NodesJSON[[#This Row],[label]])&gt;ROW(NodesJSON[[#Headers],[JSON]])+1,",","") &amp;"{"&amp;twoRangesToJSON(NodesJSON[[#Headers],[label]:[url]],NodesJSON[[#This Row],[label]:[url]])&amp;"}"</f>
        <v>,{"label":"Trust Asymmetry","group":"","id":"nC47D35F2_7A1A_41A1_8195_7670F9EF176A","url":"https://open-measure.atlassian.net/wiki/spaces/DIC/pages/234389605"}</v>
      </c>
    </row>
    <row r="453" spans="1:5" ht="13.9" thickTop="1" thickBot="1" x14ac:dyDescent="0.4">
      <c r="A453" s="3" t="str">
        <f>NodesData[[#This Row],[Common Name]]</f>
        <v>Trust Composability</v>
      </c>
      <c r="B453" s="3" t="str">
        <f>IF(NodesData[[#This Row],[Context Instanciation]]="","",NodesData[[#This Row],[Context Instanciation]])</f>
        <v/>
      </c>
      <c r="C453" s="22" t="str">
        <f>NodesData[[#This Row],[Node ID]]</f>
        <v>n8641763B_1732_427E_AF37_EF5DD6632158</v>
      </c>
      <c r="D453" s="4"/>
      <c r="E453" s="25" t="str" cm="1">
        <f t="array" ref="E453">IF(ROW(NodesJSON[[#This Row],[label]])&gt;ROW(NodesJSON[[#Headers],[JSON]])+1,",","") &amp;"{"&amp;twoRangesToJSON(NodesJSON[[#Headers],[label]:[url]],NodesJSON[[#This Row],[label]:[url]])&amp;"}"</f>
        <v>,{"label":"Trust Composability","group":"","id":"n8641763B_1732_427E_AF37_EF5DD6632158","url":""}</v>
      </c>
    </row>
    <row r="454" spans="1:5" ht="13.9" thickTop="1" thickBot="1" x14ac:dyDescent="0.4">
      <c r="A454" s="3" t="str">
        <f>NodesData[[#This Row],[Common Name]]</f>
        <v>Trust Personalization</v>
      </c>
      <c r="B454" s="3" t="str">
        <f>IF(NodesData[[#This Row],[Context Instanciation]]="","",NodesData[[#This Row],[Context Instanciation]])</f>
        <v/>
      </c>
      <c r="C454" s="22" t="str">
        <f>NodesData[[#This Row],[Node ID]]</f>
        <v>n18083FD1_D5F0_4E0D_A480_197792E123C8</v>
      </c>
      <c r="D454" s="10" t="s">
        <v>1226</v>
      </c>
      <c r="E454" s="25" t="str" cm="1">
        <f t="array" ref="E454">IF(ROW(NodesJSON[[#This Row],[label]])&gt;ROW(NodesJSON[[#Headers],[JSON]])+1,",","") &amp;"{"&amp;twoRangesToJSON(NodesJSON[[#Headers],[label]:[url]],NodesJSON[[#This Row],[label]:[url]])&amp;"}"</f>
        <v>,{"label":"Trust Personalization","group":"","id":"n18083FD1_D5F0_4E0D_A480_197792E123C8","url":"https://open-measure.atlassian.net/wiki/spaces/DIC/pages/1177845999"}</v>
      </c>
    </row>
    <row r="455" spans="1:5" ht="13.9" thickTop="1" thickBot="1" x14ac:dyDescent="0.4">
      <c r="A455" s="3" t="str">
        <f>NodesData[[#This Row],[Common Name]]</f>
        <v>Trust Transitivity</v>
      </c>
      <c r="B455" s="3" t="str">
        <f>IF(NodesData[[#This Row],[Context Instanciation]]="","",NodesData[[#This Row],[Context Instanciation]])</f>
        <v/>
      </c>
      <c r="C455" s="22" t="str">
        <f>NodesData[[#This Row],[Node ID]]</f>
        <v>nCD00A5EF_798C_4F7D_9B92_119FBE900ECA</v>
      </c>
      <c r="D455" s="10" t="s">
        <v>1228</v>
      </c>
      <c r="E455" s="25" t="str" cm="1">
        <f t="array" ref="E455">IF(ROW(NodesJSON[[#This Row],[label]])&gt;ROW(NodesJSON[[#Headers],[JSON]])+1,",","") &amp;"{"&amp;twoRangesToJSON(NodesJSON[[#Headers],[label]:[url]],NodesJSON[[#This Row],[label]:[url]])&amp;"}"</f>
        <v>,{"label":"Trust Transitivity","group":"","id":"nCD00A5EF_798C_4F7D_9B92_119FBE900ECA","url":"https://open-measure.atlassian.net/wiki/spaces/DIC/pages/75923587"}</v>
      </c>
    </row>
    <row r="456" spans="1:5" ht="13.9" thickTop="1" thickBot="1" x14ac:dyDescent="0.4">
      <c r="A456" s="3" t="str">
        <f>NodesData[[#This Row],[Common Name]]</f>
        <v>Typing Biometrics</v>
      </c>
      <c r="B456" s="3" t="str">
        <f>IF(NodesData[[#This Row],[Context Instanciation]]="","",NodesData[[#This Row],[Context Instanciation]])</f>
        <v/>
      </c>
      <c r="C456" s="22" t="str">
        <f>NodesData[[#This Row],[Node ID]]</f>
        <v>n09F029F1_A06C_4F7F_8CAF_95CAC4F6F97C</v>
      </c>
      <c r="D456" s="10" t="s">
        <v>1230</v>
      </c>
      <c r="E456" s="25" t="str" cm="1">
        <f t="array" ref="E456">IF(ROW(NodesJSON[[#This Row],[label]])&gt;ROW(NodesJSON[[#Headers],[JSON]])+1,",","") &amp;"{"&amp;twoRangesToJSON(NodesJSON[[#Headers],[label]:[url]],NodesJSON[[#This Row],[label]:[url]])&amp;"}"</f>
        <v>,{"label":"Typing Biometrics","group":"","id":"n09F029F1_A06C_4F7F_8CAF_95CAC4F6F97C","url":"https://open-measure.atlassian.net/wiki/spaces/DIC/pages/140673566"}</v>
      </c>
    </row>
    <row r="457" spans="1:5" ht="13.9" thickTop="1" thickBot="1" x14ac:dyDescent="0.4">
      <c r="A457" s="3" t="str">
        <f>NodesData[[#This Row],[Common Name]]</f>
        <v>Typology</v>
      </c>
      <c r="B457" s="3" t="str">
        <f>IF(NodesData[[#This Row],[Context Instanciation]]="","",NodesData[[#This Row],[Context Instanciation]])</f>
        <v/>
      </c>
      <c r="C457" s="22" t="str">
        <f>NodesData[[#This Row],[Node ID]]</f>
        <v>n2E25798C_AEE6_442B_83C3_21A39D1F4E2E</v>
      </c>
      <c r="D457" s="10" t="s">
        <v>1232</v>
      </c>
      <c r="E457" s="25" t="str" cm="1">
        <f t="array" ref="E457">IF(ROW(NodesJSON[[#This Row],[label]])&gt;ROW(NodesJSON[[#Headers],[JSON]])+1,",","") &amp;"{"&amp;twoRangesToJSON(NodesJSON[[#Headers],[label]:[url]],NodesJSON[[#This Row],[label]:[url]])&amp;"}"</f>
        <v>,{"label":"Typology","group":"","id":"n2E25798C_AEE6_442B_83C3_21A39D1F4E2E","url":"https://open-measure.atlassian.net/wiki/spaces/DIC/pages/140739507"}</v>
      </c>
    </row>
    <row r="458" spans="1:5" ht="13.9" thickTop="1" thickBot="1" x14ac:dyDescent="0.4">
      <c r="A458" s="3" t="str">
        <f>NodesData[[#This Row],[Common Name]]</f>
        <v>Unanticipated User</v>
      </c>
      <c r="B458" s="3" t="str">
        <f>IF(NodesData[[#This Row],[Context Instanciation]]="","",NodesData[[#This Row],[Context Instanciation]])</f>
        <v/>
      </c>
      <c r="C458" s="22" t="str">
        <f>NodesData[[#This Row],[Node ID]]</f>
        <v>n049772BC_8F65_4681_926F_AB741F518CEF</v>
      </c>
      <c r="D458" s="10" t="s">
        <v>1234</v>
      </c>
      <c r="E458" s="25" t="str" cm="1">
        <f t="array" ref="E458">IF(ROW(NodesJSON[[#This Row],[label]])&gt;ROW(NodesJSON[[#Headers],[JSON]])+1,",","") &amp;"{"&amp;twoRangesToJSON(NodesJSON[[#Headers],[label]:[url]],NodesJSON[[#This Row],[label]:[url]])&amp;"}"</f>
        <v>,{"label":"Unanticipated User","group":"","id":"n049772BC_8F65_4681_926F_AB741F518CEF","url":"https://open-measure.atlassian.net/wiki/spaces/DIC/pages/140673594"}</v>
      </c>
    </row>
    <row r="459" spans="1:5" ht="13.9" thickTop="1" thickBot="1" x14ac:dyDescent="0.4">
      <c r="A459" s="3" t="str">
        <f>NodesData[[#This Row],[Common Name]]</f>
        <v>Unauthorized Access</v>
      </c>
      <c r="B459" s="3" t="str">
        <f>IF(NodesData[[#This Row],[Context Instanciation]]="","",NodesData[[#This Row],[Context Instanciation]])</f>
        <v/>
      </c>
      <c r="C459" s="22" t="str">
        <f>NodesData[[#This Row],[Node ID]]</f>
        <v>n79D52FB7_6D56_40B0_A404_F332AF6DE5A6</v>
      </c>
      <c r="D459" s="10" t="s">
        <v>1236</v>
      </c>
      <c r="E459" s="25" t="str" cm="1">
        <f t="array" ref="E459">IF(ROW(NodesJSON[[#This Row],[label]])&gt;ROW(NodesJSON[[#Headers],[JSON]])+1,",","") &amp;"{"&amp;twoRangesToJSON(NodesJSON[[#Headers],[label]:[url]],NodesJSON[[#This Row],[label]:[url]])&amp;"}"</f>
        <v>,{"label":"Unauthorized Access","group":"","id":"n79D52FB7_6D56_40B0_A404_F332AF6DE5A6","url":"https://open-measure.atlassian.net/wiki/spaces/DIC/pages/140739482"}</v>
      </c>
    </row>
    <row r="460" spans="1:5" ht="13.9" thickTop="1" thickBot="1" x14ac:dyDescent="0.4">
      <c r="A460" s="3" t="str">
        <f>NodesData[[#This Row],[Common Name]]</f>
        <v>Unique ID Number</v>
      </c>
      <c r="B460" s="3" t="str">
        <f>IF(NodesData[[#This Row],[Context Instanciation]]="","",NodesData[[#This Row],[Context Instanciation]])</f>
        <v/>
      </c>
      <c r="C460" s="22" t="str">
        <f>NodesData[[#This Row],[Node ID]]</f>
        <v>nEE2DD2E7_A2A2_44AC_9F06_D2358264FA2D</v>
      </c>
      <c r="D460" s="10" t="s">
        <v>1238</v>
      </c>
      <c r="E460" s="25" t="str" cm="1">
        <f t="array" ref="E460">IF(ROW(NodesJSON[[#This Row],[label]])&gt;ROW(NodesJSON[[#Headers],[JSON]])+1,",","") &amp;"{"&amp;twoRangesToJSON(NodesJSON[[#Headers],[label]:[url]],NodesJSON[[#This Row],[label]:[url]])&amp;"}"</f>
        <v>,{"label":"Unique ID Number","group":"","id":"nEE2DD2E7_A2A2_44AC_9F06_D2358264FA2D","url":"https://open-measure.atlassian.net/wiki/spaces/DIC/pages/140673653"}</v>
      </c>
    </row>
    <row r="461" spans="1:5" ht="13.9" thickTop="1" thickBot="1" x14ac:dyDescent="0.4">
      <c r="A461" s="3" t="str">
        <f>NodesData[[#This Row],[Common Name]]</f>
        <v>Unprivileged Insider</v>
      </c>
      <c r="B461" s="3" t="str">
        <f>IF(NodesData[[#This Row],[Context Instanciation]]="","",NodesData[[#This Row],[Context Instanciation]])</f>
        <v/>
      </c>
      <c r="C461" s="22" t="str">
        <f>NodesData[[#This Row],[Node ID]]</f>
        <v>n3D40EC0D_C7CE_4C19_B8E2_09518A62B569</v>
      </c>
      <c r="D461" s="10" t="s">
        <v>1240</v>
      </c>
      <c r="E461" s="25" t="str" cm="1">
        <f t="array" ref="E461">IF(ROW(NodesJSON[[#This Row],[label]])&gt;ROW(NodesJSON[[#Headers],[JSON]])+1,",","") &amp;"{"&amp;twoRangesToJSON(NodesJSON[[#Headers],[label]:[url]],NodesJSON[[#This Row],[label]:[url]])&amp;"}"</f>
        <v>,{"label":"Unprivileged Insider","group":"","id":"n3D40EC0D_C7CE_4C19_B8E2_09518A62B569","url":"https://open-measure.atlassian.net/wiki/spaces/DIC/pages/140771901"}</v>
      </c>
    </row>
    <row r="462" spans="1:5" ht="13.9" thickTop="1" thickBot="1" x14ac:dyDescent="0.4">
      <c r="A462" s="3" t="str">
        <f>NodesData[[#This Row],[Common Name]]</f>
        <v>User</v>
      </c>
      <c r="B462" s="3" t="str">
        <f>IF(NodesData[[#This Row],[Context Instanciation]]="","",NodesData[[#This Row],[Context Instanciation]])</f>
        <v/>
      </c>
      <c r="C462" s="22" t="str">
        <f>NodesData[[#This Row],[Node ID]]</f>
        <v>nA5E34595_12DD_4352_8631_FB7FFCBB533D</v>
      </c>
      <c r="D462" s="10" t="s">
        <v>1242</v>
      </c>
      <c r="E462" s="25" t="str" cm="1">
        <f t="array" ref="E462">IF(ROW(NodesJSON[[#This Row],[label]])&gt;ROW(NodesJSON[[#Headers],[JSON]])+1,",","") &amp;"{"&amp;twoRangesToJSON(NodesJSON[[#Headers],[label]:[url]],NodesJSON[[#This Row],[label]:[url]])&amp;"}"</f>
        <v>,{"label":"User","group":"","id":"nA5E34595_12DD_4352_8631_FB7FFCBB533D","url":"https://open-measure.atlassian.net/wiki/spaces/DIC/pages/140772047"}</v>
      </c>
    </row>
    <row r="463" spans="1:5" ht="13.9" thickTop="1" thickBot="1" x14ac:dyDescent="0.4">
      <c r="A463" s="3" t="str">
        <f>NodesData[[#This Row],[Common Name]]</f>
        <v>User Account</v>
      </c>
      <c r="B463" s="3" t="str">
        <f>IF(NodesData[[#This Row],[Context Instanciation]]="","",NodesData[[#This Row],[Context Instanciation]])</f>
        <v/>
      </c>
      <c r="C463" s="22" t="str">
        <f>NodesData[[#This Row],[Node ID]]</f>
        <v>n6B5455A2_414F_4D8D_A36C_895CC996359A</v>
      </c>
      <c r="D463" s="10" t="s">
        <v>1244</v>
      </c>
      <c r="E463" s="25" t="str" cm="1">
        <f t="array" ref="E463">IF(ROW(NodesJSON[[#This Row],[label]])&gt;ROW(NodesJSON[[#Headers],[JSON]])+1,",","") &amp;"{"&amp;twoRangesToJSON(NodesJSON[[#Headers],[label]:[url]],NodesJSON[[#This Row],[label]:[url]])&amp;"}"</f>
        <v>,{"label":"User Account","group":"","id":"n6B5455A2_414F_4D8D_A36C_895CC996359A","url":"https://open-measure.atlassian.net/wiki/spaces/DIC/pages/140739277"}</v>
      </c>
    </row>
    <row r="464" spans="1:5" ht="13.9" thickTop="1" thickBot="1" x14ac:dyDescent="0.4">
      <c r="A464" s="3" t="str">
        <f>NodesData[[#This Row],[Common Name]]</f>
        <v>User De-Provisioning</v>
      </c>
      <c r="B464" s="3" t="str">
        <f>IF(NodesData[[#This Row],[Context Instanciation]]="","",NodesData[[#This Row],[Context Instanciation]])</f>
        <v/>
      </c>
      <c r="C464" s="22" t="str">
        <f>NodesData[[#This Row],[Node ID]]</f>
        <v>n5BB42061_7CD1_4689_84B8_77016A34CE94</v>
      </c>
      <c r="D464" s="10" t="s">
        <v>1246</v>
      </c>
      <c r="E464" s="25" t="str" cm="1">
        <f t="array" ref="E464">IF(ROW(NodesJSON[[#This Row],[label]])&gt;ROW(NodesJSON[[#Headers],[JSON]])+1,",","") &amp;"{"&amp;twoRangesToJSON(NodesJSON[[#Headers],[label]:[url]],NodesJSON[[#This Row],[label]:[url]])&amp;"}"</f>
        <v>,{"label":"User De-Provisioning","group":"","id":"n5BB42061_7CD1_4689_84B8_77016A34CE94","url":"https://open-measure.atlassian.net/wiki/spaces/DIC/pages/140673818"}</v>
      </c>
    </row>
    <row r="465" spans="1:6" ht="13.9" thickTop="1" thickBot="1" x14ac:dyDescent="0.4">
      <c r="A465" s="3" t="str">
        <f>NodesData[[#This Row],[Common Name]]</f>
        <v>User Entitlement Reviews</v>
      </c>
      <c r="B465" s="3" t="str">
        <f>IF(NodesData[[#This Row],[Context Instanciation]]="","",NodesData[[#This Row],[Context Instanciation]])</f>
        <v/>
      </c>
      <c r="C465" s="22" t="str">
        <f>NodesData[[#This Row],[Node ID]]</f>
        <v>n50576DCB_DC90_4189_AEDA_22168AAD0DC2</v>
      </c>
      <c r="D465" s="10" t="s">
        <v>1248</v>
      </c>
      <c r="E465" s="25" t="str" cm="1">
        <f t="array" ref="E465">IF(ROW(NodesJSON[[#This Row],[label]])&gt;ROW(NodesJSON[[#Headers],[JSON]])+1,",","") &amp;"{"&amp;twoRangesToJSON(NodesJSON[[#Headers],[label]:[url]],NodesJSON[[#This Row],[label]:[url]])&amp;"}"</f>
        <v>,{"label":"User Entitlement Reviews","group":"","id":"n50576DCB_DC90_4189_AEDA_22168AAD0DC2","url":"https://open-measure.atlassian.net/wiki/spaces/DIC/pages/140772011"}</v>
      </c>
    </row>
    <row r="466" spans="1:6" ht="13.9" thickTop="1" thickBot="1" x14ac:dyDescent="0.4">
      <c r="A466" s="3" t="str">
        <f>NodesData[[#This Row],[Common Name]]</f>
        <v>User ID</v>
      </c>
      <c r="B466" s="3" t="str">
        <f>IF(NodesData[[#This Row],[Context Instanciation]]="","",NodesData[[#This Row],[Context Instanciation]])</f>
        <v/>
      </c>
      <c r="C466" s="22" t="str">
        <f>NodesData[[#This Row],[Node ID]]</f>
        <v>n1148493D_DE5A_4FAF_941A_234122DBF560</v>
      </c>
      <c r="D466" s="10" t="s">
        <v>1250</v>
      </c>
      <c r="E466" s="25" t="str" cm="1">
        <f t="array" ref="E466">IF(ROW(NodesJSON[[#This Row],[label]])&gt;ROW(NodesJSON[[#Headers],[JSON]])+1,",","") &amp;"{"&amp;twoRangesToJSON(NodesJSON[[#Headers],[label]:[url]],NodesJSON[[#This Row],[label]:[url]])&amp;"}"</f>
        <v>,{"label":"User ID","group":"","id":"n1148493D_DE5A_4FAF_941A_234122DBF560","url":"https://open-measure.atlassian.net/wiki/spaces/DIC/pages/140706624"}</v>
      </c>
    </row>
    <row r="467" spans="1:6" ht="13.9" thickTop="1" thickBot="1" x14ac:dyDescent="0.4">
      <c r="A467" s="3" t="str">
        <f>NodesData[[#This Row],[Common Name]]</f>
        <v>User Provisioning</v>
      </c>
      <c r="B467" s="3" t="str">
        <f>IF(NodesData[[#This Row],[Context Instanciation]]="","",NodesData[[#This Row],[Context Instanciation]])</f>
        <v/>
      </c>
      <c r="C467" s="22" t="str">
        <f>NodesData[[#This Row],[Node ID]]</f>
        <v>n67A7DB08_4CCF_4966_AEF4_89B2AC2A297A</v>
      </c>
      <c r="D467" s="10" t="s">
        <v>1252</v>
      </c>
      <c r="E467" s="25" t="str" cm="1">
        <f t="array" ref="E467">IF(ROW(NodesJSON[[#This Row],[label]])&gt;ROW(NodesJSON[[#Headers],[JSON]])+1,",","") &amp;"{"&amp;twoRangesToJSON(NodesJSON[[#Headers],[label]:[url]],NodesJSON[[#This Row],[label]:[url]])&amp;"}"</f>
        <v>,{"label":"User Provisioning","group":"","id":"n67A7DB08_4CCF_4966_AEF4_89B2AC2A297A","url":"https://open-measure.atlassian.net/wiki/spaces/DIC/pages/140706700"}</v>
      </c>
    </row>
    <row r="468" spans="1:6" ht="13.9" thickTop="1" thickBot="1" x14ac:dyDescent="0.4">
      <c r="A468" s="3" t="str">
        <f>NodesData[[#This Row],[Common Name]]</f>
        <v>User-Centric Identity Management System</v>
      </c>
      <c r="B468" s="3" t="str">
        <f>IF(NodesData[[#This Row],[Context Instanciation]]="","",NodesData[[#This Row],[Context Instanciation]])</f>
        <v/>
      </c>
      <c r="C468" s="22" t="str">
        <f>NodesData[[#This Row],[Node ID]]</f>
        <v>nC19BDC8E_5AE1_49EE_B831_B43B924ECC1B</v>
      </c>
      <c r="D468" s="10" t="s">
        <v>1254</v>
      </c>
      <c r="E468" s="25" t="str" cm="1">
        <f t="array" ref="E468">IF(ROW(NodesJSON[[#This Row],[label]])&gt;ROW(NodesJSON[[#Headers],[JSON]])+1,",","") &amp;"{"&amp;twoRangesToJSON(NodesJSON[[#Headers],[label]:[url]],NodesJSON[[#This Row],[label]:[url]])&amp;"}"</f>
        <v>,{"label":"User-Centric Identity Management System","group":"","id":"nC19BDC8E_5AE1_49EE_B831_B43B924ECC1B","url":"https://open-measure.atlassian.net/wiki/spaces/DIC/pages/855638141"}</v>
      </c>
    </row>
    <row r="469" spans="1:6" ht="13.9" thickTop="1" thickBot="1" x14ac:dyDescent="0.4">
      <c r="A469" s="3" t="str">
        <f>NodesData[[#This Row],[Common Name]]</f>
        <v>Username</v>
      </c>
      <c r="B469" s="3" t="str">
        <f>IF(NodesData[[#This Row],[Context Instanciation]]="","",NodesData[[#This Row],[Context Instanciation]])</f>
        <v/>
      </c>
      <c r="C469" s="22" t="str">
        <f>NodesData[[#This Row],[Node ID]]</f>
        <v>nF75517D5_69C2_4310_B3EF_77311A1A8188</v>
      </c>
      <c r="D469" s="10" t="s">
        <v>1256</v>
      </c>
      <c r="E469" s="25" t="str" cm="1">
        <f t="array" ref="E469">IF(ROW(NodesJSON[[#This Row],[label]])&gt;ROW(NodesJSON[[#Headers],[JSON]])+1,",","") &amp;"{"&amp;twoRangesToJSON(NodesJSON[[#Headers],[label]:[url]],NodesJSON[[#This Row],[label]:[url]])&amp;"}"</f>
        <v>,{"label":"Username","group":"","id":"nF75517D5_69C2_4310_B3EF_77311A1A8188","url":"https://open-measure.atlassian.net/wiki/spaces/DIC/pages/814448722"}</v>
      </c>
    </row>
    <row r="470" spans="1:6" ht="13.9" thickTop="1" thickBot="1" x14ac:dyDescent="0.4">
      <c r="A470" s="3" t="str">
        <f>NodesData[[#This Row],[Common Name]]</f>
        <v>Verifiable Claim</v>
      </c>
      <c r="B470" s="3" t="str">
        <f>IF(NodesData[[#This Row],[Context Instanciation]]="","",NodesData[[#This Row],[Context Instanciation]])</f>
        <v/>
      </c>
      <c r="C470" s="22" t="str">
        <f>NodesData[[#This Row],[Node ID]]</f>
        <v>nBAB37068_1EF4_414F_B40B_EB8997E19974</v>
      </c>
      <c r="D470" s="10" t="s">
        <v>1258</v>
      </c>
      <c r="E470" s="25" t="str" cm="1">
        <f t="array" ref="E470">IF(ROW(NodesJSON[[#This Row],[label]])&gt;ROW(NodesJSON[[#Headers],[JSON]])+1,",","") &amp;"{"&amp;twoRangesToJSON(NodesJSON[[#Headers],[label]:[url]],NodesJSON[[#This Row],[label]:[url]])&amp;"}"</f>
        <v>,{"label":"Verifiable Claim","group":"","id":"nBAB37068_1EF4_414F_B40B_EB8997E19974","url":"https://open-measure.atlassian.net/wiki/spaces/DIC/pages/852492409"}</v>
      </c>
    </row>
    <row r="471" spans="1:6" ht="13.9" thickTop="1" thickBot="1" x14ac:dyDescent="0.4">
      <c r="A471" s="3" t="str">
        <f>NodesData[[#This Row],[Common Name]]</f>
        <v>Verification</v>
      </c>
      <c r="B471" s="3" t="str">
        <f>IF(NodesData[[#This Row],[Context Instanciation]]="","",NodesData[[#This Row],[Context Instanciation]])</f>
        <v/>
      </c>
      <c r="C471" s="22" t="str">
        <f>NodesData[[#This Row],[Node ID]]</f>
        <v>nB3A3E0DE_D501_4C64_92EE_6EED35F0E8F7</v>
      </c>
      <c r="D471" s="10" t="s">
        <v>1260</v>
      </c>
      <c r="E471" s="25" t="str" cm="1">
        <f t="array" ref="E471">IF(ROW(NodesJSON[[#This Row],[label]])&gt;ROW(NodesJSON[[#Headers],[JSON]])+1,",","") &amp;"{"&amp;twoRangesToJSON(NodesJSON[[#Headers],[label]:[url]],NodesJSON[[#This Row],[label]:[url]])&amp;"}"</f>
        <v>,{"label":"Verification","group":"","id":"nB3A3E0DE_D501_4C64_92EE_6EED35F0E8F7","url":"https://open-measure.atlassian.net/wiki/spaces/DIC/pages/1122631791"}</v>
      </c>
    </row>
    <row r="472" spans="1:6" ht="13.9" thickTop="1" thickBot="1" x14ac:dyDescent="0.4">
      <c r="A472" s="3" t="str">
        <f>NodesData[[#This Row],[Common Name]]</f>
        <v>Virtual Directory</v>
      </c>
      <c r="B472" s="3" t="str">
        <f>IF(NodesData[[#This Row],[Context Instanciation]]="","",NodesData[[#This Row],[Context Instanciation]])</f>
        <v/>
      </c>
      <c r="C472" s="22" t="str">
        <f>NodesData[[#This Row],[Node ID]]</f>
        <v>n1AA5AE61_B346_43B1_87DF_35A927EA0AED</v>
      </c>
      <c r="D472" s="10" t="s">
        <v>1261</v>
      </c>
      <c r="E472" s="25" t="str" cm="1">
        <f t="array" ref="E472">IF(ROW(NodesJSON[[#This Row],[label]])&gt;ROW(NodesJSON[[#Headers],[JSON]])+1,",","") &amp;"{"&amp;twoRangesToJSON(NodesJSON[[#Headers],[label]:[url]],NodesJSON[[#This Row],[label]:[url]])&amp;"}"</f>
        <v>,{"label":"Virtual Directory","group":"","id":"n1AA5AE61_B346_43B1_87DF_35A927EA0AED","url":"https://open-measure.atlassian.net/wiki/spaces/DIC/pages/234356891/Zero-Trust+Access"}</v>
      </c>
    </row>
    <row r="473" spans="1:6" ht="13.9" thickTop="1" thickBot="1" x14ac:dyDescent="0.4">
      <c r="A473" s="3" t="str">
        <f>NodesData[[#This Row],[Common Name]]</f>
        <v>Virtual Private Network</v>
      </c>
      <c r="B473" s="3" t="str">
        <f>IF(NodesData[[#This Row],[Context Instanciation]]="","",NodesData[[#This Row],[Context Instanciation]])</f>
        <v/>
      </c>
      <c r="C473" s="22" t="str">
        <f>NodesData[[#This Row],[Node ID]]</f>
        <v>nF173E0D3_8348_4DCB_B1D7_16C85C1013B0</v>
      </c>
      <c r="D473" s="10" t="s">
        <v>1262</v>
      </c>
      <c r="E473" s="25" t="str" cm="1">
        <f t="array" ref="E473">IF(ROW(NodesJSON[[#This Row],[label]])&gt;ROW(NodesJSON[[#Headers],[JSON]])+1,",","") &amp;"{"&amp;twoRangesToJSON(NodesJSON[[#Headers],[label]:[url]],NodesJSON[[#This Row],[label]:[url]])&amp;"}"</f>
        <v>,{"label":"Virtual Private Network","group":"","id":"nF173E0D3_8348_4DCB_B1D7_16C85C1013B0","url":"https://open-measure.atlassian.net/wiki/spaces/DIC/pages/782893195/Zombie+Account"}</v>
      </c>
    </row>
    <row r="474" spans="1:6" ht="13.9" thickTop="1" thickBot="1" x14ac:dyDescent="0.4">
      <c r="A474" s="3" t="str">
        <f>NodesData[[#This Row],[Common Name]]</f>
        <v>Virtual Risk and Security Site Review</v>
      </c>
      <c r="B474" s="3" t="str">
        <f>IF(NodesData[[#This Row],[Context Instanciation]]="","",NodesData[[#This Row],[Context Instanciation]])</f>
        <v/>
      </c>
      <c r="C474" s="22" t="str">
        <f>NodesData[[#This Row],[Node ID]]</f>
        <v>n5EF5EB18_F868_43E0_BC5D_FB928B82CC59</v>
      </c>
      <c r="D474" s="10" t="s">
        <v>1263</v>
      </c>
      <c r="E474" s="25" t="str" cm="1">
        <f t="array" ref="E474">IF(ROW(NodesJSON[[#This Row],[label]])&gt;ROW(NodesJSON[[#Headers],[JSON]])+1,",","") &amp;"{"&amp;twoRangesToJSON(NodesJSON[[#Headers],[label]:[url]],NodesJSON[[#This Row],[label]:[url]])&amp;"}"</f>
        <v>,{"label":"Virtual Risk and Security Site Review","group":"","id":"n5EF5EB18_F868_43E0_BC5D_FB928B82CC59","url":"https://open-measure.atlassian.net/wiki/spaces/DIC/pages/234389671/ZTA"}</v>
      </c>
    </row>
    <row r="475" spans="1:6" ht="13.9" thickTop="1" thickBot="1" x14ac:dyDescent="0.4">
      <c r="A475" s="3" t="str">
        <f>NodesData[[#This Row],[Common Name]]</f>
        <v>Voice OTP</v>
      </c>
      <c r="B475" s="3" t="str">
        <f>IF(NodesData[[#This Row],[Context Instanciation]]="","",NodesData[[#This Row],[Context Instanciation]])</f>
        <v/>
      </c>
      <c r="C475" s="22" t="str">
        <f>NodesData[[#This Row],[Node ID]]</f>
        <v>nC0D8C0B5_1A70_4CB1_9F83_D00B0375C928</v>
      </c>
      <c r="D475" s="10" t="s">
        <v>1224</v>
      </c>
      <c r="E475" s="25" t="str" cm="1">
        <f t="array" ref="E475">IF(ROW(NodesJSON[[#This Row],[label]])&gt;ROW(NodesJSON[[#Headers],[JSON]])+1,",","") &amp;"{"&amp;twoRangesToJSON(NodesJSON[[#Headers],[label]:[url]],NodesJSON[[#This Row],[label]:[url]])&amp;"}"</f>
        <v>,{"label":"Voice OTP","group":"","id":"nC0D8C0B5_1A70_4CB1_9F83_D00B0375C928","url":"https://open-measure.atlassian.net/wiki/spaces/DIC/pages/81068120"}</v>
      </c>
    </row>
    <row r="476" spans="1:6" ht="13.9" thickTop="1" thickBot="1" x14ac:dyDescent="0.4">
      <c r="A476" s="8" t="str">
        <f>NodesData[[#This Row],[Common Name]]</f>
        <v>Voice Recognition Authentication</v>
      </c>
      <c r="B476" s="8" t="str">
        <f>IF(NodesData[[#This Row],[Context Instanciation]]="","",NodesData[[#This Row],[Context Instanciation]])</f>
        <v/>
      </c>
      <c r="C476" s="27" t="str">
        <f>NodesData[[#This Row],[Node ID]]</f>
        <v>nC196E133_4263_4398_B44A_B3053AC5D0E8</v>
      </c>
      <c r="D476" s="8"/>
      <c r="E476" s="25" t="str" cm="1">
        <f t="array" ref="E476">IF(ROW(NodesJSON[[#This Row],[label]])&gt;ROW(NodesJSON[[#Headers],[JSON]])+1,",","") &amp;"{"&amp;twoRangesToJSON(NodesJSON[[#Headers],[label]:[url]],NodesJSON[[#This Row],[label]:[url]])&amp;"}"</f>
        <v>,{"label":"Voice Recognition Authentication","group":"","id":"nC196E133_4263_4398_B44A_B3053AC5D0E8","url":""}</v>
      </c>
      <c r="F476" s="26"/>
    </row>
    <row r="477" spans="1:6" ht="13.9" thickTop="1" thickBot="1" x14ac:dyDescent="0.4">
      <c r="A477" s="8" t="str">
        <f>NodesData[[#This Row],[Common Name]]</f>
        <v>VPN</v>
      </c>
      <c r="B477" s="8" t="str">
        <f>IF(NodesData[[#This Row],[Context Instanciation]]="","",NodesData[[#This Row],[Context Instanciation]])</f>
        <v/>
      </c>
      <c r="C477" s="27" t="str">
        <f>NodesData[[#This Row],[Node ID]]</f>
        <v>n792AF52F_202C_4B84_9837_C86A7BE5C6D4</v>
      </c>
      <c r="D477" s="8"/>
      <c r="E477" s="25" t="str" cm="1">
        <f t="array" ref="E477">IF(ROW(NodesJSON[[#This Row],[label]])&gt;ROW(NodesJSON[[#Headers],[JSON]])+1,",","") &amp;"{"&amp;twoRangesToJSON(NodesJSON[[#Headers],[label]:[url]],NodesJSON[[#This Row],[label]:[url]])&amp;"}"</f>
        <v>,{"label":"VPN","group":"","id":"n792AF52F_202C_4B84_9837_C86A7BE5C6D4","url":""}</v>
      </c>
      <c r="F477" s="26"/>
    </row>
    <row r="478" spans="1:6" ht="13.9" thickTop="1" thickBot="1" x14ac:dyDescent="0.4">
      <c r="A478" s="8" t="str">
        <f>NodesData[[#This Row],[Common Name]]</f>
        <v>Weak Authentication</v>
      </c>
      <c r="B478" s="8" t="str">
        <f>IF(NodesData[[#This Row],[Context Instanciation]]="","",NodesData[[#This Row],[Context Instanciation]])</f>
        <v/>
      </c>
      <c r="C478" s="27" t="str">
        <f>NodesData[[#This Row],[Node ID]]</f>
        <v>n20C6E76A_E99F_4AC3_B579_997897697AA6</v>
      </c>
      <c r="D478" s="8"/>
      <c r="E478" s="25" t="str" cm="1">
        <f t="array" ref="E478">IF(ROW(NodesJSON[[#This Row],[label]])&gt;ROW(NodesJSON[[#Headers],[JSON]])+1,",","") &amp;"{"&amp;twoRangesToJSON(NodesJSON[[#Headers],[label]:[url]],NodesJSON[[#This Row],[label]:[url]])&amp;"}"</f>
        <v>,{"label":"Weak Authentication","group":"","id":"n20C6E76A_E99F_4AC3_B579_997897697AA6","url":""}</v>
      </c>
      <c r="F478" s="26"/>
    </row>
    <row r="479" spans="1:6" ht="13.9" thickTop="1" thickBot="1" x14ac:dyDescent="0.4">
      <c r="A479" s="8" t="str">
        <f>NodesData[[#This Row],[Common Name]]</f>
        <v>Weak Tranquility Property</v>
      </c>
      <c r="B479" s="8" t="str">
        <f>IF(NodesData[[#This Row],[Context Instanciation]]="","",NodesData[[#This Row],[Context Instanciation]])</f>
        <v/>
      </c>
      <c r="C479" s="27" t="str">
        <f>NodesData[[#This Row],[Node ID]]</f>
        <v>nE5CAB332_46E5_4872_9347_07D71C60B1DD</v>
      </c>
      <c r="D479" s="8"/>
      <c r="E479" s="25" t="str" cm="1">
        <f t="array" ref="E479">IF(ROW(NodesJSON[[#This Row],[label]])&gt;ROW(NodesJSON[[#Headers],[JSON]])+1,",","") &amp;"{"&amp;twoRangesToJSON(NodesJSON[[#Headers],[label]:[url]],NodesJSON[[#This Row],[label]:[url]])&amp;"}"</f>
        <v>,{"label":"Weak Tranquility Property","group":"","id":"nE5CAB332_46E5_4872_9347_07D71C60B1DD","url":""}</v>
      </c>
      <c r="F479" s="26"/>
    </row>
    <row r="480" spans="1:6" ht="13.9" thickTop="1" thickBot="1" x14ac:dyDescent="0.4">
      <c r="A480" s="8" t="str">
        <f>NodesData[[#This Row],[Common Name]]</f>
        <v>Web-based Single Sign-On</v>
      </c>
      <c r="B480" s="8" t="str">
        <f>IF(NodesData[[#This Row],[Context Instanciation]]="","",NodesData[[#This Row],[Context Instanciation]])</f>
        <v/>
      </c>
      <c r="C480" s="27" t="str">
        <f>NodesData[[#This Row],[Node ID]]</f>
        <v>nA714C34F_E109_4195_A309_62764B001097</v>
      </c>
      <c r="D480" s="8"/>
      <c r="E480" s="25" t="str" cm="1">
        <f t="array" ref="E480">IF(ROW(NodesJSON[[#This Row],[label]])&gt;ROW(NodesJSON[[#Headers],[JSON]])+1,",","") &amp;"{"&amp;twoRangesToJSON(NodesJSON[[#Headers],[label]:[url]],NodesJSON[[#This Row],[label]:[url]])&amp;"}"</f>
        <v>,{"label":"Web-based Single Sign-On","group":"","id":"nA714C34F_E109_4195_A309_62764B001097","url":""}</v>
      </c>
      <c r="F480" s="26"/>
    </row>
    <row r="481" spans="1:6" ht="13.9" thickTop="1" thickBot="1" x14ac:dyDescent="0.4">
      <c r="A481" s="8" t="str">
        <f>NodesData[[#This Row],[Common Name]]</f>
        <v>Windows (Non-Default) Local User Account</v>
      </c>
      <c r="B481" s="8" t="str">
        <f>IF(NodesData[[#This Row],[Context Instanciation]]="","",NodesData[[#This Row],[Context Instanciation]])</f>
        <v/>
      </c>
      <c r="C481" s="27" t="str">
        <f>NodesData[[#This Row],[Node ID]]</f>
        <v>nAF6BA4B5_C4EC_4B28_8369_799EADD91BB8</v>
      </c>
      <c r="D481" s="8"/>
      <c r="E481" s="25" t="str" cm="1">
        <f t="array" ref="E481">IF(ROW(NodesJSON[[#This Row],[label]])&gt;ROW(NodesJSON[[#Headers],[JSON]])+1,",","") &amp;"{"&amp;twoRangesToJSON(NodesJSON[[#Headers],[label]:[url]],NodesJSON[[#This Row],[label]:[url]])&amp;"}"</f>
        <v>,{"label":"Windows (Non-Default) Local User Account","group":"","id":"nAF6BA4B5_C4EC_4B28_8369_799EADD91BB8","url":""}</v>
      </c>
      <c r="F481" s="26"/>
    </row>
    <row r="482" spans="1:6" ht="13.9" thickTop="1" thickBot="1" x14ac:dyDescent="0.4">
      <c r="A482" s="8" t="str">
        <f>NodesData[[#This Row],[Common Name]]</f>
        <v>Windows Default Local System Account</v>
      </c>
      <c r="B482" s="8" t="str">
        <f>IF(NodesData[[#This Row],[Context Instanciation]]="","",NodesData[[#This Row],[Context Instanciation]])</f>
        <v/>
      </c>
      <c r="C482" s="27" t="str">
        <f>NodesData[[#This Row],[Node ID]]</f>
        <v>n30C769A5_3901_4FE2_A484_26752443F078</v>
      </c>
      <c r="D482" s="8"/>
      <c r="E482" s="25" t="str" cm="1">
        <f t="array" ref="E482">IF(ROW(NodesJSON[[#This Row],[label]])&gt;ROW(NodesJSON[[#Headers],[JSON]])+1,",","") &amp;"{"&amp;twoRangesToJSON(NodesJSON[[#Headers],[label]:[url]],NodesJSON[[#This Row],[label]:[url]])&amp;"}"</f>
        <v>,{"label":"Windows Default Local System Account","group":"","id":"n30C769A5_3901_4FE2_A484_26752443F078","url":""}</v>
      </c>
      <c r="F482" s="26"/>
    </row>
    <row r="483" spans="1:6" ht="13.9" thickTop="1" thickBot="1" x14ac:dyDescent="0.4">
      <c r="A483" s="8" t="str">
        <f>NodesData[[#This Row],[Common Name]]</f>
        <v>Windows Default Local User Account</v>
      </c>
      <c r="B483" s="8" t="str">
        <f>IF(NodesData[[#This Row],[Context Instanciation]]="","",NodesData[[#This Row],[Context Instanciation]])</f>
        <v/>
      </c>
      <c r="C483" s="27" t="str">
        <f>NodesData[[#This Row],[Node ID]]</f>
        <v>n57652DD2_8622_4048_95C6_3D1CA71B338F</v>
      </c>
      <c r="D483" s="8"/>
      <c r="E483" s="25" t="str" cm="1">
        <f t="array" ref="E483">IF(ROW(NodesJSON[[#This Row],[label]])&gt;ROW(NodesJSON[[#Headers],[JSON]])+1,",","") &amp;"{"&amp;twoRangesToJSON(NodesJSON[[#Headers],[label]:[url]],NodesJSON[[#This Row],[label]:[url]])&amp;"}"</f>
        <v>,{"label":"Windows Default Local User Account","group":"","id":"n57652DD2_8622_4048_95C6_3D1CA71B338F","url":""}</v>
      </c>
      <c r="F483" s="26"/>
    </row>
    <row r="484" spans="1:6" ht="13.9" thickTop="1" thickBot="1" x14ac:dyDescent="0.4">
      <c r="A484" s="8" t="str">
        <f>NodesData[[#This Row],[Common Name]]</f>
        <v>Windows DefaultAccount Account</v>
      </c>
      <c r="B484" s="8" t="str">
        <f>IF(NodesData[[#This Row],[Context Instanciation]]="","",NodesData[[#This Row],[Context Instanciation]])</f>
        <v/>
      </c>
      <c r="C484" s="27" t="str">
        <f>NodesData[[#This Row],[Node ID]]</f>
        <v>nDB980524_D5B2_4D4E_A6E4_3725625E9ED0</v>
      </c>
      <c r="D484" s="8"/>
      <c r="E484" s="25" t="str" cm="1">
        <f t="array" ref="E484">IF(ROW(NodesJSON[[#This Row],[label]])&gt;ROW(NodesJSON[[#Headers],[JSON]])+1,",","") &amp;"{"&amp;twoRangesToJSON(NodesJSON[[#Headers],[label]:[url]],NodesJSON[[#This Row],[label]:[url]])&amp;"}"</f>
        <v>,{"label":"Windows DefaultAccount Account","group":"","id":"nDB980524_D5B2_4D4E_A6E4_3725625E9ED0","url":""}</v>
      </c>
      <c r="F484" s="26"/>
    </row>
    <row r="485" spans="1:6" ht="13.9" thickTop="1" thickBot="1" x14ac:dyDescent="0.4">
      <c r="A485" s="8" t="str">
        <f>NodesData[[#This Row],[Common Name]]</f>
        <v>Windows Guest Account</v>
      </c>
      <c r="B485" s="8" t="str">
        <f>IF(NodesData[[#This Row],[Context Instanciation]]="","",NodesData[[#This Row],[Context Instanciation]])</f>
        <v/>
      </c>
      <c r="C485" s="27" t="str">
        <f>NodesData[[#This Row],[Node ID]]</f>
        <v>n7B6F5266_C940_417B_9FB2_8373338B3D43</v>
      </c>
      <c r="D485" s="8"/>
      <c r="E485" s="25" t="str" cm="1">
        <f t="array" ref="E485">IF(ROW(NodesJSON[[#This Row],[label]])&gt;ROW(NodesJSON[[#Headers],[JSON]])+1,",","") &amp;"{"&amp;twoRangesToJSON(NodesJSON[[#Headers],[label]:[url]],NodesJSON[[#This Row],[label]:[url]])&amp;"}"</f>
        <v>,{"label":"Windows Guest Account","group":"","id":"n7B6F5266_C940_417B_9FB2_8373338B3D43","url":""}</v>
      </c>
      <c r="F485" s="26"/>
    </row>
    <row r="486" spans="1:6" ht="13.9" thickTop="1" thickBot="1" x14ac:dyDescent="0.4">
      <c r="A486" s="8" t="str">
        <f>NodesData[[#This Row],[Common Name]]</f>
        <v>Windows HelpAssistant Account</v>
      </c>
      <c r="B486" s="8" t="str">
        <f>IF(NodesData[[#This Row],[Context Instanciation]]="","",NodesData[[#This Row],[Context Instanciation]])</f>
        <v/>
      </c>
      <c r="C486" s="27" t="str">
        <f>NodesData[[#This Row],[Node ID]]</f>
        <v>n6E36BCF4_0D2E_423E_A7F2_1859C5F43F22</v>
      </c>
      <c r="D486" s="8"/>
      <c r="E486" s="25" t="str" cm="1">
        <f t="array" ref="E486">IF(ROW(NodesJSON[[#This Row],[label]])&gt;ROW(NodesJSON[[#Headers],[JSON]])+1,",","") &amp;"{"&amp;twoRangesToJSON(NodesJSON[[#Headers],[label]:[url]],NodesJSON[[#This Row],[label]:[url]])&amp;"}"</f>
        <v>,{"label":"Windows HelpAssistant Account","group":"","id":"n6E36BCF4_0D2E_423E_A7F2_1859C5F43F22","url":""}</v>
      </c>
      <c r="F486" s="26"/>
    </row>
    <row r="487" spans="1:6" ht="13.9" thickTop="1" thickBot="1" x14ac:dyDescent="0.4">
      <c r="A487" s="8" t="str">
        <f>NodesData[[#This Row],[Common Name]]</f>
        <v>Windows Local Account</v>
      </c>
      <c r="B487" s="8" t="str">
        <f>IF(NodesData[[#This Row],[Context Instanciation]]="","",NodesData[[#This Row],[Context Instanciation]])</f>
        <v/>
      </c>
      <c r="C487" s="27" t="str">
        <f>NodesData[[#This Row],[Node ID]]</f>
        <v>n3B7CBF53_A57C_44ED_AD36_C72517D3DEF6</v>
      </c>
      <c r="D487" s="8"/>
      <c r="E487" s="25" t="str" cm="1">
        <f t="array" ref="E487">IF(ROW(NodesJSON[[#This Row],[label]])&gt;ROW(NodesJSON[[#Headers],[JSON]])+1,",","") &amp;"{"&amp;twoRangesToJSON(NodesJSON[[#Headers],[label]:[url]],NodesJSON[[#This Row],[label]:[url]])&amp;"}"</f>
        <v>,{"label":"Windows Local Account","group":"","id":"n3B7CBF53_A57C_44ED_AD36_C72517D3DEF6","url":""}</v>
      </c>
      <c r="F487" s="26"/>
    </row>
    <row r="488" spans="1:6" ht="13.9" thickTop="1" thickBot="1" x14ac:dyDescent="0.4">
      <c r="A488" s="8" t="str">
        <f>NodesData[[#This Row],[Common Name]]</f>
        <v>Windows Local Administrator Account</v>
      </c>
      <c r="B488" s="8" t="str">
        <f>IF(NodesData[[#This Row],[Context Instanciation]]="","",NodesData[[#This Row],[Context Instanciation]])</f>
        <v/>
      </c>
      <c r="C488" s="27" t="str">
        <f>NodesData[[#This Row],[Node ID]]</f>
        <v>nCDE26EDC_0440_4B98_9517_E35E3F6BE7DF</v>
      </c>
      <c r="D488" s="8"/>
      <c r="E488" s="25" t="str" cm="1">
        <f t="array" ref="E488">IF(ROW(NodesJSON[[#This Row],[label]])&gt;ROW(NodesJSON[[#Headers],[JSON]])+1,",","") &amp;"{"&amp;twoRangesToJSON(NodesJSON[[#Headers],[label]:[url]],NodesJSON[[#This Row],[label]:[url]])&amp;"}"</f>
        <v>,{"label":"Windows Local Administrator Account","group":"","id":"nCDE26EDC_0440_4B98_9517_E35E3F6BE7DF","url":""}</v>
      </c>
      <c r="F488" s="26"/>
    </row>
    <row r="489" spans="1:6" ht="13.9" thickTop="1" thickBot="1" x14ac:dyDescent="0.4">
      <c r="A489" s="8" t="str">
        <f>NodesData[[#This Row],[Common Name]]</f>
        <v>Windows LOCAL SERVICE Account</v>
      </c>
      <c r="B489" s="8" t="str">
        <f>IF(NodesData[[#This Row],[Context Instanciation]]="","",NodesData[[#This Row],[Context Instanciation]])</f>
        <v/>
      </c>
      <c r="C489" s="27" t="str">
        <f>NodesData[[#This Row],[Node ID]]</f>
        <v>nBFD644BE_EADE_44D5_BDAE_64B1E095A11B</v>
      </c>
      <c r="D489" s="8"/>
      <c r="E489" s="25" t="str" cm="1">
        <f t="array" ref="E489">IF(ROW(NodesJSON[[#This Row],[label]])&gt;ROW(NodesJSON[[#Headers],[JSON]])+1,",","") &amp;"{"&amp;twoRangesToJSON(NodesJSON[[#Headers],[label]:[url]],NodesJSON[[#This Row],[label]:[url]])&amp;"}"</f>
        <v>,{"label":"Windows LOCAL SERVICE Account","group":"","id":"nBFD644BE_EADE_44D5_BDAE_64B1E095A11B","url":""}</v>
      </c>
      <c r="F489" s="26"/>
    </row>
    <row r="490" spans="1:6" ht="13.5" thickTop="1" thickBot="1" x14ac:dyDescent="0.4">
      <c r="A490" s="4" t="str">
        <f>NodesData[[#This Row],[Common Name]]</f>
        <v>Windows NETWORK SERVICE Account</v>
      </c>
      <c r="B490" s="8" t="str">
        <f>IF(NodesData[[#This Row],[Context Instanciation]]="","",NodesData[[#This Row],[Context Instanciation]])</f>
        <v/>
      </c>
      <c r="C490" s="27" t="str">
        <f>NodesData[[#This Row],[Node ID]]</f>
        <v>n24EDEEBB_184D_4CD9_AF97_8ED49C048AC4</v>
      </c>
      <c r="D490" s="4"/>
      <c r="E490" s="34" t="str" cm="1">
        <f t="array" ref="E490">IF(ROW(NodesJSON[[#This Row],[label]])&gt;ROW(NodesJSON[[#Headers],[JSON]])+1,",","") &amp;"{"&amp;twoRangesToJSON(NodesJSON[[#Headers],[label]:[url]],NodesJSON[[#This Row],[label]:[url]])&amp;"}"</f>
        <v>,{"label":"Windows NETWORK SERVICE Account","group":"","id":"n24EDEEBB_184D_4CD9_AF97_8ED49C048AC4","url":""}</v>
      </c>
    </row>
    <row r="491" spans="1:6" ht="13.5" thickTop="1" thickBot="1" x14ac:dyDescent="0.4">
      <c r="A491" s="4" t="str">
        <f>NodesData[[#This Row],[Common Name]]</f>
        <v>Windows Security Identifier</v>
      </c>
      <c r="B491" s="8" t="str">
        <f>IF(NodesData[[#This Row],[Context Instanciation]]="","",NodesData[[#This Row],[Context Instanciation]])</f>
        <v/>
      </c>
      <c r="C491" s="27" t="str">
        <f>NodesData[[#This Row],[Node ID]]</f>
        <v>n4442B948_CB96_4FB1_B197_0CB8512232F5</v>
      </c>
      <c r="D491" s="4"/>
      <c r="E491" s="34" t="str" cm="1">
        <f t="array" ref="E491">IF(ROW(NodesJSON[[#This Row],[label]])&gt;ROW(NodesJSON[[#Headers],[JSON]])+1,",","") &amp;"{"&amp;twoRangesToJSON(NodesJSON[[#Headers],[label]:[url]],NodesJSON[[#This Row],[label]:[url]])&amp;"}"</f>
        <v>,{"label":"Windows Security Identifier","group":"","id":"n4442B948_CB96_4FB1_B197_0CB8512232F5","url":""}</v>
      </c>
    </row>
    <row r="492" spans="1:6" ht="13.5" thickTop="1" thickBot="1" x14ac:dyDescent="0.4">
      <c r="A492" s="4" t="str">
        <f>NodesData[[#This Row],[Common Name]]</f>
        <v>Windows SYSTEM Account</v>
      </c>
      <c r="B492" s="8" t="str">
        <f>IF(NodesData[[#This Row],[Context Instanciation]]="","",NodesData[[#This Row],[Context Instanciation]])</f>
        <v/>
      </c>
      <c r="C492" s="27" t="str">
        <f>NodesData[[#This Row],[Node ID]]</f>
        <v>n3B05549C_D612_4F93_B225_856E09571963</v>
      </c>
      <c r="D492" s="4"/>
      <c r="E492" s="34" t="str" cm="1">
        <f t="array" ref="E492">IF(ROW(NodesJSON[[#This Row],[label]])&gt;ROW(NodesJSON[[#Headers],[JSON]])+1,",","") &amp;"{"&amp;twoRangesToJSON(NodesJSON[[#Headers],[label]:[url]],NodesJSON[[#This Row],[label]:[url]])&amp;"}"</f>
        <v>,{"label":"Windows SYSTEM Account","group":"","id":"n3B05549C_D612_4F93_B225_856E09571963","url":""}</v>
      </c>
    </row>
    <row r="493" spans="1:6" ht="13.5" thickTop="1" thickBot="1" x14ac:dyDescent="0.4">
      <c r="A493" s="4" t="str">
        <f>NodesData[[#This Row],[Common Name]]</f>
        <v>Worker</v>
      </c>
      <c r="B493" s="8" t="str">
        <f>IF(NodesData[[#This Row],[Context Instanciation]]="","",NodesData[[#This Row],[Context Instanciation]])</f>
        <v/>
      </c>
      <c r="C493" s="27" t="str">
        <f>NodesData[[#This Row],[Node ID]]</f>
        <v>nA88BF1ED_4AE8_4B89_B290_4D73E6D0E99B</v>
      </c>
      <c r="D493" s="4"/>
      <c r="E493" s="34" t="str" cm="1">
        <f t="array" ref="E493">IF(ROW(NodesJSON[[#This Row],[label]])&gt;ROW(NodesJSON[[#Headers],[JSON]])+1,",","") &amp;"{"&amp;twoRangesToJSON(NodesJSON[[#Headers],[label]:[url]],NodesJSON[[#This Row],[label]:[url]])&amp;"}"</f>
        <v>,{"label":"Worker","group":"","id":"nA88BF1ED_4AE8_4B89_B290_4D73E6D0E99B","url":""}</v>
      </c>
    </row>
    <row r="494" spans="1:6" ht="13.5" thickTop="1" thickBot="1" x14ac:dyDescent="0.4">
      <c r="A494" s="4" t="str">
        <f>NodesData[[#This Row],[Common Name]]</f>
        <v>Workflow-Sensitive Access Control</v>
      </c>
      <c r="B494" s="8" t="str">
        <f>IF(NodesData[[#This Row],[Context Instanciation]]="","",NodesData[[#This Row],[Context Instanciation]])</f>
        <v/>
      </c>
      <c r="C494" s="27" t="str">
        <f>NodesData[[#This Row],[Node ID]]</f>
        <v>nFAD010FC_681A_4C15_94C3_71AEB684C44D</v>
      </c>
      <c r="D494" s="4"/>
      <c r="E494" s="34" t="str" cm="1">
        <f t="array" ref="E494">IF(ROW(NodesJSON[[#This Row],[label]])&gt;ROW(NodesJSON[[#Headers],[JSON]])+1,",","") &amp;"{"&amp;twoRangesToJSON(NodesJSON[[#Headers],[label]:[url]],NodesJSON[[#This Row],[label]:[url]])&amp;"}"</f>
        <v>,{"label":"Workflow-Sensitive Access Control","group":"","id":"nFAD010FC_681A_4C15_94C3_71AEB684C44D","url":""}</v>
      </c>
    </row>
    <row r="495" spans="1:6" ht="13.5" thickTop="1" thickBot="1" x14ac:dyDescent="0.4">
      <c r="A495" s="4" t="str">
        <f>NodesData[[#This Row],[Common Name]]</f>
        <v>Workforce</v>
      </c>
      <c r="B495" s="8" t="str">
        <f>IF(NodesData[[#This Row],[Context Instanciation]]="","",NodesData[[#This Row],[Context Instanciation]])</f>
        <v/>
      </c>
      <c r="C495" s="27" t="str">
        <f>NodesData[[#This Row],[Node ID]]</f>
        <v>nCC381DA1_CA00_4281_80DE_4480AA826170</v>
      </c>
      <c r="D495" s="4"/>
      <c r="E495" s="34" t="str" cm="1">
        <f t="array" ref="E495">IF(ROW(NodesJSON[[#This Row],[label]])&gt;ROW(NodesJSON[[#Headers],[JSON]])+1,",","") &amp;"{"&amp;twoRangesToJSON(NodesJSON[[#Headers],[label]:[url]],NodesJSON[[#This Row],[label]:[url]])&amp;"}"</f>
        <v>,{"label":"Workforce","group":"","id":"nCC381DA1_CA00_4281_80DE_4480AA826170","url":""}</v>
      </c>
    </row>
    <row r="496" spans="1:6" ht="13.5" thickTop="1" thickBot="1" x14ac:dyDescent="0.4">
      <c r="A496" s="4" t="str">
        <f>NodesData[[#This Row],[Common Name]]</f>
        <v>XACML</v>
      </c>
      <c r="B496" s="8" t="str">
        <f>IF(NodesData[[#This Row],[Context Instanciation]]="","",NodesData[[#This Row],[Context Instanciation]])</f>
        <v/>
      </c>
      <c r="C496" s="27" t="str">
        <f>NodesData[[#This Row],[Node ID]]</f>
        <v>n3EE5AC73_62B3_4719_B4EA_AF76F43BF4D4</v>
      </c>
      <c r="D496" s="4"/>
      <c r="E496" s="34" t="str" cm="1">
        <f t="array" ref="E496">IF(ROW(NodesJSON[[#This Row],[label]])&gt;ROW(NodesJSON[[#Headers],[JSON]])+1,",","") &amp;"{"&amp;twoRangesToJSON(NodesJSON[[#Headers],[label]:[url]],NodesJSON[[#This Row],[label]:[url]])&amp;"}"</f>
        <v>,{"label":"XACML","group":"","id":"n3EE5AC73_62B3_4719_B4EA_AF76F43BF4D4","url":""}</v>
      </c>
    </row>
    <row r="497" spans="1:5" ht="13.5" thickTop="1" thickBot="1" x14ac:dyDescent="0.4">
      <c r="A497" s="4" t="str">
        <f>NodesData[[#This Row],[Common Name]]</f>
        <v>Zero-Trust Access</v>
      </c>
      <c r="B497" s="8" t="str">
        <f>IF(NodesData[[#This Row],[Context Instanciation]]="","",NodesData[[#This Row],[Context Instanciation]])</f>
        <v/>
      </c>
      <c r="C497" s="27" t="str">
        <f>NodesData[[#This Row],[Node ID]]</f>
        <v>nA083172A_2D30_45C1_A7AA_C0950BF75AF5</v>
      </c>
      <c r="D497" s="4"/>
      <c r="E497" s="34" t="str" cm="1">
        <f t="array" ref="E497">IF(ROW(NodesJSON[[#This Row],[label]])&gt;ROW(NodesJSON[[#Headers],[JSON]])+1,",","") &amp;"{"&amp;twoRangesToJSON(NodesJSON[[#Headers],[label]:[url]],NodesJSON[[#This Row],[label]:[url]])&amp;"}"</f>
        <v>,{"label":"Zero-Trust Access","group":"","id":"nA083172A_2D30_45C1_A7AA_C0950BF75AF5","url":""}</v>
      </c>
    </row>
    <row r="498" spans="1:5" ht="13.5" thickTop="1" thickBot="1" x14ac:dyDescent="0.4">
      <c r="A498" s="4" t="str">
        <f>NodesData[[#This Row],[Common Name]]</f>
        <v>Zombie Account</v>
      </c>
      <c r="B498" s="8" t="str">
        <f>IF(NodesData[[#This Row],[Context Instanciation]]="","",NodesData[[#This Row],[Context Instanciation]])</f>
        <v/>
      </c>
      <c r="C498" s="27" t="str">
        <f>NodesData[[#This Row],[Node ID]]</f>
        <v>n32F8B5A2_2FF3_46A6_92A0_A0A74C77207C</v>
      </c>
      <c r="D498" s="4"/>
      <c r="E498" s="34" t="str" cm="1">
        <f t="array" ref="E498">IF(ROW(NodesJSON[[#This Row],[label]])&gt;ROW(NodesJSON[[#Headers],[JSON]])+1,",","") &amp;"{"&amp;twoRangesToJSON(NodesJSON[[#Headers],[label]:[url]],NodesJSON[[#This Row],[label]:[url]])&amp;"}"</f>
        <v>,{"label":"Zombie Account","group":"","id":"n32F8B5A2_2FF3_46A6_92A0_A0A74C77207C","url":""}</v>
      </c>
    </row>
    <row r="499" spans="1:5" ht="13.5" thickTop="1" thickBot="1" x14ac:dyDescent="0.4">
      <c r="A499" s="4" t="str">
        <f>NodesData[[#This Row],[Common Name]]</f>
        <v>ZTA</v>
      </c>
      <c r="B499" s="8" t="str">
        <f>IF(NodesData[[#This Row],[Context Instanciation]]="","",NodesData[[#This Row],[Context Instanciation]])</f>
        <v/>
      </c>
      <c r="C499" s="27" t="str">
        <f>NodesData[[#This Row],[Node ID]]</f>
        <v>n0BF6DF94_3689_4DC6_A2E2_4E916F963D9A</v>
      </c>
      <c r="D499" s="4"/>
      <c r="E499" s="34" t="str" cm="1">
        <f t="array" ref="E499">IF(ROW(NodesJSON[[#This Row],[label]])&gt;ROW(NodesJSON[[#Headers],[JSON]])+1,",","") &amp;"{"&amp;twoRangesToJSON(NodesJSON[[#Headers],[label]:[url]],NodesJSON[[#This Row],[label]:[url]])&amp;"}"</f>
        <v>,{"label":"ZTA","group":"","id":"n0BF6DF94_3689_4DC6_A2E2_4E916F963D9A","url":""}</v>
      </c>
    </row>
    <row r="500" spans="1:5" ht="13.15" thickTop="1" x14ac:dyDescent="0.35">
      <c r="A500" s="4" t="e">
        <f>NodesData[[#This Row],[Common Name]]</f>
        <v>#VALUE!</v>
      </c>
      <c r="B500" s="8" t="e">
        <f>IF(NodesData[[#This Row],[Context Instanciation]]="","",NodesData[[#This Row],[Context Instanciation]])</f>
        <v>#VALUE!</v>
      </c>
      <c r="C500" s="27" t="e">
        <f>NodesData[[#This Row],[Node ID]]</f>
        <v>#VALUE!</v>
      </c>
      <c r="D500" s="4"/>
      <c r="E500" s="34" t="str" cm="1">
        <f t="array" ref="E500">IF(ROW(NodesJSON[[#This Row],[label]])&gt;ROW(NodesJSON[[#Headers],[JSON]])+1,",","") &amp;"{"&amp;twoRangesToJSON(NodesJSON[[#Headers],[label]:[url]],NodesJSON[[#This Row],[label]:[url]])&amp;"}"</f>
        <v>,{"label":"","group":"","id":"","url":""}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buttonExportNodes">
          <controlPr defaultSize="0" autoLine="0" r:id="rId5">
            <anchor moveWithCells="1">
              <from>
                <xdr:col>0</xdr:col>
                <xdr:colOff>2262188</xdr:colOff>
                <xdr:row>0</xdr:row>
                <xdr:rowOff>85725</xdr:rowOff>
              </from>
              <to>
                <xdr:col>0</xdr:col>
                <xdr:colOff>3048000</xdr:colOff>
                <xdr:row>1</xdr:row>
                <xdr:rowOff>104775</xdr:rowOff>
              </to>
            </anchor>
          </controlPr>
        </control>
      </mc:Choice>
      <mc:Fallback>
        <control shapeId="7169" r:id="rId4" name="buttonExportNodes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6D80-232D-4E8B-B6CB-C383C4761304}">
  <sheetPr codeName="Sheet12">
    <tabColor theme="1"/>
  </sheetPr>
  <dimension ref="A1:E66"/>
  <sheetViews>
    <sheetView zoomScale="120" zoomScaleNormal="120" workbookViewId="0">
      <selection activeCell="B8" sqref="B8"/>
    </sheetView>
  </sheetViews>
  <sheetFormatPr defaultRowHeight="12.75" x14ac:dyDescent="0.35"/>
  <cols>
    <col min="1" max="1" width="23" style="2" bestFit="1" customWidth="1"/>
    <col min="2" max="3" width="23" style="3" bestFit="1" customWidth="1"/>
    <col min="4" max="4" width="32.59765625" style="18" customWidth="1"/>
    <col min="5" max="5" width="120.3984375" style="26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1909</v>
      </c>
      <c r="B1" s="9"/>
      <c r="C1" s="9"/>
      <c r="D1" s="23"/>
    </row>
    <row r="2" spans="1:5" s="12" customFormat="1" ht="15" thickTop="1" thickBot="1" x14ac:dyDescent="0.5">
      <c r="A2" s="15" t="s">
        <v>1334</v>
      </c>
      <c r="B2" s="15" t="s">
        <v>1353</v>
      </c>
      <c r="C2" s="15" t="s">
        <v>1354</v>
      </c>
      <c r="D2" s="15" t="s">
        <v>1335</v>
      </c>
      <c r="E2" s="24" t="s">
        <v>1333</v>
      </c>
    </row>
    <row r="3" spans="1:5" ht="13.9" thickTop="1" thickBot="1" x14ac:dyDescent="0.4">
      <c r="A3" s="21" t="str">
        <f>EdgesData[[#This Row],[Edge ID]]</f>
        <v>n96BD0C0B_9A7F_45ED_9519_30416CA253CB</v>
      </c>
      <c r="B3" s="21" t="str">
        <f>EdgesData[[#This Row],[Node A ID]]</f>
        <v>nAC688165_B606_4D82_A016_0263D701EDF2</v>
      </c>
      <c r="C3" s="21" t="str">
        <f>EdgesData[[#This Row],[Node B ID]]</f>
        <v>n53877DB9_77FA_44E9_974A_BE3344133398</v>
      </c>
      <c r="D3" s="3" t="str">
        <f>EdgesData[[#This Row],[Rel]]</f>
        <v>is</v>
      </c>
      <c r="E3" s="25" t="str" cm="1">
        <f t="array" ref="E3">IF(ROW(EdgesJSON[[#This Row],[id]])&gt;ROW(EdgesJSON[[#Headers],[JSON]])+1,",","") &amp;"{"&amp;twoRangesToJSON(EdgesJSON[[#Headers],[id]:[label]],EdgesJSON[[#This Row],[id]:[label]])&amp;"}"</f>
        <v>{"id":"n96BD0C0B_9A7F_45ED_9519_30416CA253CB","from":"nAC688165_B606_4D82_A016_0263D701EDF2","to":"n53877DB9_77FA_44E9_974A_BE3344133398","label":"is"}</v>
      </c>
    </row>
    <row r="4" spans="1:5" ht="13.9" thickTop="1" thickBot="1" x14ac:dyDescent="0.4">
      <c r="A4" s="21" t="str">
        <f>EdgesData[[#This Row],[Edge ID]]</f>
        <v>nCFA197D3_9344_415D_9209_905E09487E5F</v>
      </c>
      <c r="B4" s="21" t="str">
        <f>EdgesData[[#This Row],[Node A ID]]</f>
        <v>n8B61F4C7_8FA2_43DC_B58C_AB2C5C0A8877</v>
      </c>
      <c r="C4" s="21" t="str">
        <f>EdgesData[[#This Row],[Node B ID]]</f>
        <v>nCEEB6DF9_D56B_4A1B_9B36_35674D25F038</v>
      </c>
      <c r="D4" s="3" t="str">
        <f>EdgesData[[#This Row],[Rel]]</f>
        <v>is</v>
      </c>
      <c r="E4" s="25" t="str" cm="1">
        <f t="array" ref="E4">IF(ROW(EdgesJSON[[#This Row],[id]])&gt;ROW(EdgesJSON[[#Headers],[JSON]])+1,",","") &amp;"{"&amp;twoRangesToJSON(EdgesJSON[[#Headers],[id]:[label]],EdgesJSON[[#This Row],[id]:[label]])&amp;"}"</f>
        <v>,{"id":"nCFA197D3_9344_415D_9209_905E09487E5F","from":"n8B61F4C7_8FA2_43DC_B58C_AB2C5C0A8877","to":"nCEEB6DF9_D56B_4A1B_9B36_35674D25F038","label":"is"}</v>
      </c>
    </row>
    <row r="5" spans="1:5" ht="13.9" thickTop="1" thickBot="1" x14ac:dyDescent="0.4">
      <c r="A5" s="21" t="str">
        <f>EdgesData[[#This Row],[Edge ID]]</f>
        <v>n185B7D84_8C31_44D8_907D_0EEC1E5DC38A</v>
      </c>
      <c r="B5" s="21" t="str">
        <f>EdgesData[[#This Row],[Node A ID]]</f>
        <v>n8B61F4C7_8FA2_43DC_B58C_AB2C5C0A8877</v>
      </c>
      <c r="C5" s="21" t="str">
        <f>EdgesData[[#This Row],[Node B ID]]</f>
        <v>nFC4AFBE3_7D71_456A_AFC1_16F1F34558F5</v>
      </c>
      <c r="D5" s="3" t="str">
        <f>EdgesData[[#This Row],[Rel]]</f>
        <v>protects</v>
      </c>
      <c r="E5" s="25" t="str" cm="1">
        <f t="array" ref="E5">IF(ROW(EdgesJSON[[#This Row],[id]])&gt;ROW(EdgesJSON[[#Headers],[JSON]])+1,",","") &amp;"{"&amp;twoRangesToJSON(EdgesJSON[[#Headers],[id]:[label]],EdgesJSON[[#This Row],[id]:[label]])&amp;"}"</f>
        <v>,{"id":"n185B7D84_8C31_44D8_907D_0EEC1E5DC38A","from":"n8B61F4C7_8FA2_43DC_B58C_AB2C5C0A8877","to":"nFC4AFBE3_7D71_456A_AFC1_16F1F34558F5","label":"protects"}</v>
      </c>
    </row>
    <row r="6" spans="1:5" ht="13.9" thickTop="1" thickBot="1" x14ac:dyDescent="0.4">
      <c r="A6" s="21" t="str">
        <f>EdgesData[[#This Row],[Edge ID]]</f>
        <v>n6EA23684_7375_433D_8170_212A6AB58564</v>
      </c>
      <c r="B6" s="21" t="str">
        <f>EdgesData[[#This Row],[Node A ID]]</f>
        <v>n8B61F4C7_8FA2_43DC_B58C_AB2C5C0A8877</v>
      </c>
      <c r="C6" s="21" t="str">
        <f>EdgesData[[#This Row],[Node B ID]]</f>
        <v>n1546AAB1_79BC_427B_AC2C_31B1E8FA4616</v>
      </c>
      <c r="D6" s="3" t="str">
        <f>EdgesData[[#This Row],[Rel]]</f>
        <v>protects from</v>
      </c>
      <c r="E6" s="25" t="str" cm="1">
        <f t="array" ref="E6">IF(ROW(EdgesJSON[[#This Row],[id]])&gt;ROW(EdgesJSON[[#Headers],[JSON]])+1,",","") &amp;"{"&amp;twoRangesToJSON(EdgesJSON[[#Headers],[id]:[label]],EdgesJSON[[#This Row],[id]:[label]])&amp;"}"</f>
        <v>,{"id":"n6EA23684_7375_433D_8170_212A6AB58564","from":"n8B61F4C7_8FA2_43DC_B58C_AB2C5C0A8877","to":"n1546AAB1_79BC_427B_AC2C_31B1E8FA4616","label":"protects from"}</v>
      </c>
    </row>
    <row r="7" spans="1:5" ht="13.9" thickTop="1" thickBot="1" x14ac:dyDescent="0.4">
      <c r="A7" s="21" t="str">
        <f>EdgesData[[#This Row],[Edge ID]]</f>
        <v>n7CFCDE36_D268_40C8_9818_5F762B04D5C3</v>
      </c>
      <c r="B7" s="21" t="str">
        <f>EdgesData[[#This Row],[Node A ID]]</f>
        <v>n45A95ED6_6BE9_42DC_8F8E_4940542AA763</v>
      </c>
      <c r="C7" s="21" t="str">
        <f>EdgesData[[#This Row],[Node B ID]]</f>
        <v>n53877DB9_77FA_44E9_974A_BE3344133398</v>
      </c>
      <c r="D7" s="3" t="str">
        <f>EdgesData[[#This Row],[Rel]]</f>
        <v>is</v>
      </c>
      <c r="E7" s="25" t="str" cm="1">
        <f t="array" ref="E7">IF(ROW(EdgesJSON[[#This Row],[id]])&gt;ROW(EdgesJSON[[#Headers],[JSON]])+1,",","") &amp;"{"&amp;twoRangesToJSON(EdgesJSON[[#Headers],[id]:[label]],EdgesJSON[[#This Row],[id]:[label]])&amp;"}"</f>
        <v>,{"id":"n7CFCDE36_D268_40C8_9818_5F762B04D5C3","from":"n45A95ED6_6BE9_42DC_8F8E_4940542AA763","to":"n53877DB9_77FA_44E9_974A_BE3344133398","label":"is"}</v>
      </c>
    </row>
    <row r="8" spans="1:5" ht="13.9" thickTop="1" thickBot="1" x14ac:dyDescent="0.4">
      <c r="A8" s="21" t="str">
        <f>EdgesData[[#This Row],[Edge ID]]</f>
        <v>n9E30E2ED_A60B_4197_A894_F66D9251EA8D</v>
      </c>
      <c r="B8" s="21" t="str">
        <f>EdgesData[[#This Row],[Node A ID]]</f>
        <v>n45A95ED6_6BE9_42DC_8F8E_4940542AA763</v>
      </c>
      <c r="C8" s="21" t="str">
        <f>EdgesData[[#This Row],[Node B ID]]</f>
        <v>nAC688165_B606_4D82_A016_0263D701EDF2</v>
      </c>
      <c r="D8" s="3" t="str">
        <f>EdgesData[[#This Row],[Rel]]</f>
        <v>is</v>
      </c>
      <c r="E8" s="25" t="str" cm="1">
        <f t="array" ref="E8">IF(ROW(EdgesJSON[[#This Row],[id]])&gt;ROW(EdgesJSON[[#Headers],[JSON]])+1,",","") &amp;"{"&amp;twoRangesToJSON(EdgesJSON[[#Headers],[id]:[label]],EdgesJSON[[#This Row],[id]:[label]])&amp;"}"</f>
        <v>,{"id":"n9E30E2ED_A60B_4197_A894_F66D9251EA8D","from":"n45A95ED6_6BE9_42DC_8F8E_4940542AA763","to":"nAC688165_B606_4D82_A016_0263D701EDF2","label":"is"}</v>
      </c>
    </row>
    <row r="9" spans="1:5" ht="13.9" thickTop="1" thickBot="1" x14ac:dyDescent="0.4">
      <c r="A9" s="21" t="str">
        <f>EdgesData[[#This Row],[Edge ID]]</f>
        <v>n0FA15067_803F_459E_A370_46E2E4164F90</v>
      </c>
      <c r="B9" s="21" t="str">
        <f>EdgesData[[#This Row],[Node A ID]]</f>
        <v>n09E1C4DC_8D91_4A66_9C50_11DCDC2042FD</v>
      </c>
      <c r="C9" s="21" t="str">
        <f>EdgesData[[#This Row],[Node B ID]]</f>
        <v>n80310A12_2F48_48B9_A9C3_E6FADD4B55C9</v>
      </c>
      <c r="D9" s="3" t="str">
        <f>EdgesData[[#This Row],[Rel]]</f>
        <v>is</v>
      </c>
      <c r="E9" s="25" t="str" cm="1">
        <f t="array" ref="E9">IF(ROW(EdgesJSON[[#This Row],[id]])&gt;ROW(EdgesJSON[[#Headers],[JSON]])+1,",","") &amp;"{"&amp;twoRangesToJSON(EdgesJSON[[#Headers],[id]:[label]],EdgesJSON[[#This Row],[id]:[label]])&amp;"}"</f>
        <v>,{"id":"n0FA15067_803F_459E_A370_46E2E4164F90","from":"n09E1C4DC_8D91_4A66_9C50_11DCDC2042FD","to":"n80310A12_2F48_48B9_A9C3_E6FADD4B55C9","label":"is"}</v>
      </c>
    </row>
    <row r="10" spans="1:5" ht="13.9" thickTop="1" thickBot="1" x14ac:dyDescent="0.4">
      <c r="A10" s="21" t="str">
        <f>EdgesData[[#This Row],[Edge ID]]</f>
        <v>n16067629_26D5_42A1_BDB2_97473A56EAB7</v>
      </c>
      <c r="B10" s="21" t="str">
        <f>EdgesData[[#This Row],[Node A ID]]</f>
        <v>nEE342468_B7F3_4FB0_BA73_C88BBEA8F59E</v>
      </c>
      <c r="C10" s="21" t="str">
        <f>EdgesData[[#This Row],[Node B ID]]</f>
        <v>n80310A12_2F48_48B9_A9C3_E6FADD4B55C9</v>
      </c>
      <c r="D10" s="3" t="str">
        <f>EdgesData[[#This Row],[Rel]]</f>
        <v>is</v>
      </c>
      <c r="E10" s="25" t="str" cm="1">
        <f t="array" ref="E10">IF(ROW(EdgesJSON[[#This Row],[id]])&gt;ROW(EdgesJSON[[#Headers],[JSON]])+1,",","") &amp;"{"&amp;twoRangesToJSON(EdgesJSON[[#Headers],[id]:[label]],EdgesJSON[[#This Row],[id]:[label]])&amp;"}"</f>
        <v>,{"id":"n16067629_26D5_42A1_BDB2_97473A56EAB7","from":"nEE342468_B7F3_4FB0_BA73_C88BBEA8F59E","to":"n80310A12_2F48_48B9_A9C3_E6FADD4B55C9","label":"is"}</v>
      </c>
    </row>
    <row r="11" spans="1:5" ht="13.9" thickTop="1" thickBot="1" x14ac:dyDescent="0.4">
      <c r="A11" s="21" t="str">
        <f>EdgesData[[#This Row],[Edge ID]]</f>
        <v>n79C52E10_73FE_4CAF_A156_854467FC67DC</v>
      </c>
      <c r="B11" s="21" t="str">
        <f>EdgesData[[#This Row],[Node A ID]]</f>
        <v>n1546AAB1_79BC_427B_AC2C_31B1E8FA4616</v>
      </c>
      <c r="C11" s="21" t="str">
        <f>EdgesData[[#This Row],[Node B ID]]</f>
        <v>n385B2A02_580E_49B6_8C97_A00DC541C516</v>
      </c>
      <c r="D11" s="3" t="str">
        <f>EdgesData[[#This Row],[Rel]]</f>
        <v>is</v>
      </c>
      <c r="E11" s="25" t="str" cm="1">
        <f t="array" ref="E11">IF(ROW(EdgesJSON[[#This Row],[id]])&gt;ROW(EdgesJSON[[#Headers],[JSON]])+1,",","") &amp;"{"&amp;twoRangesToJSON(EdgesJSON[[#Headers],[id]:[label]],EdgesJSON[[#This Row],[id]:[label]])&amp;"}"</f>
        <v>,{"id":"n79C52E10_73FE_4CAF_A156_854467FC67DC","from":"n1546AAB1_79BC_427B_AC2C_31B1E8FA4616","to":"n385B2A02_580E_49B6_8C97_A00DC541C516","label":"is"}</v>
      </c>
    </row>
    <row r="12" spans="1:5" ht="13.9" thickTop="1" thickBot="1" x14ac:dyDescent="0.4">
      <c r="A12" s="21" t="str">
        <f>EdgesData[[#This Row],[Edge ID]]</f>
        <v>n74EDF48C_1856_4E54_BBD1_44DC4A97ABCE</v>
      </c>
      <c r="B12" s="21" t="str">
        <f>EdgesData[[#This Row],[Node A ID]]</f>
        <v>nA4759A9D_95C0_47CA_B519_8CEF217B2F74</v>
      </c>
      <c r="C12" s="21" t="str">
        <f>EdgesData[[#This Row],[Node B ID]]</f>
        <v>n53877DB9_77FA_44E9_974A_BE3344133398</v>
      </c>
      <c r="D12" s="3" t="str">
        <f>EdgesData[[#This Row],[Rel]]</f>
        <v>is</v>
      </c>
      <c r="E12" s="25" t="str" cm="1">
        <f t="array" ref="E12">IF(ROW(EdgesJSON[[#This Row],[id]])&gt;ROW(EdgesJSON[[#Headers],[JSON]])+1,",","") &amp;"{"&amp;twoRangesToJSON(EdgesJSON[[#Headers],[id]:[label]],EdgesJSON[[#This Row],[id]:[label]])&amp;"}"</f>
        <v>,{"id":"n74EDF48C_1856_4E54_BBD1_44DC4A97ABCE","from":"nA4759A9D_95C0_47CA_B519_8CEF217B2F74","to":"n53877DB9_77FA_44E9_974A_BE3344133398","label":"is"}</v>
      </c>
    </row>
    <row r="13" spans="1:5" ht="13.9" thickTop="1" thickBot="1" x14ac:dyDescent="0.4">
      <c r="A13" s="21" t="str">
        <f>EdgesData[[#This Row],[Edge ID]]</f>
        <v>n433C0CE8_199B_41A4_BBC0_39E1F2549476</v>
      </c>
      <c r="B13" s="21" t="str">
        <f>EdgesData[[#This Row],[Node A ID]]</f>
        <v>nA4759A9D_95C0_47CA_B519_8CEF217B2F74</v>
      </c>
      <c r="C13" s="21" t="str">
        <f>EdgesData[[#This Row],[Node B ID]]</f>
        <v>nAC688165_B606_4D82_A016_0263D701EDF2</v>
      </c>
      <c r="D13" s="3" t="str">
        <f>EdgesData[[#This Row],[Rel]]</f>
        <v>is</v>
      </c>
      <c r="E13" s="25" t="str" cm="1">
        <f t="array" ref="E13">IF(ROW(EdgesJSON[[#This Row],[id]])&gt;ROW(EdgesJSON[[#Headers],[JSON]])+1,",","") &amp;"{"&amp;twoRangesToJSON(EdgesJSON[[#Headers],[id]:[label]],EdgesJSON[[#This Row],[id]:[label]])&amp;"}"</f>
        <v>,{"id":"n433C0CE8_199B_41A4_BBC0_39E1F2549476","from":"nA4759A9D_95C0_47CA_B519_8CEF217B2F74","to":"nAC688165_B606_4D82_A016_0263D701EDF2","label":"is"}</v>
      </c>
    </row>
    <row r="14" spans="1:5" ht="13.9" thickTop="1" thickBot="1" x14ac:dyDescent="0.4">
      <c r="A14" s="21" t="str">
        <f>EdgesData[[#This Row],[Edge ID]]</f>
        <v>n0C9CFDC8_E9C2_4E79_8947_C460FAB26FA9</v>
      </c>
      <c r="B14" s="21" t="str">
        <f>EdgesData[[#This Row],[Node A ID]]</f>
        <v>nAACCE65E_6554_4FBD_B4D7_A3BA8E3BDB92</v>
      </c>
      <c r="C14" s="21" t="str">
        <f>EdgesData[[#This Row],[Node B ID]]</f>
        <v>n53877DB9_77FA_44E9_974A_BE3344133398</v>
      </c>
      <c r="D14" s="3" t="str">
        <f>EdgesData[[#This Row],[Rel]]</f>
        <v>is</v>
      </c>
      <c r="E14" s="25" t="str" cm="1">
        <f t="array" ref="E14">IF(ROW(EdgesJSON[[#This Row],[id]])&gt;ROW(EdgesJSON[[#Headers],[JSON]])+1,",","") &amp;"{"&amp;twoRangesToJSON(EdgesJSON[[#Headers],[id]:[label]],EdgesJSON[[#This Row],[id]:[label]])&amp;"}"</f>
        <v>,{"id":"n0C9CFDC8_E9C2_4E79_8947_C460FAB26FA9","from":"nAACCE65E_6554_4FBD_B4D7_A3BA8E3BDB92","to":"n53877DB9_77FA_44E9_974A_BE3344133398","label":"is"}</v>
      </c>
    </row>
    <row r="15" spans="1:5" ht="13.9" thickTop="1" thickBot="1" x14ac:dyDescent="0.4">
      <c r="A15" s="21" t="str">
        <f>EdgesData[[#This Row],[Edge ID]]</f>
        <v>n4AB9C546_49D0_4EA2_8498_0D2C04578B1D</v>
      </c>
      <c r="B15" s="21" t="str">
        <f>EdgesData[[#This Row],[Node A ID]]</f>
        <v>nAACCE65E_6554_4FBD_B4D7_A3BA8E3BDB92</v>
      </c>
      <c r="C15" s="21" t="str">
        <f>EdgesData[[#This Row],[Node B ID]]</f>
        <v>nAC688165_B606_4D82_A016_0263D701EDF2</v>
      </c>
      <c r="D15" s="3" t="str">
        <f>EdgesData[[#This Row],[Rel]]</f>
        <v>is</v>
      </c>
      <c r="E15" s="25" t="str" cm="1">
        <f t="array" ref="E15">IF(ROW(EdgesJSON[[#This Row],[id]])&gt;ROW(EdgesJSON[[#Headers],[JSON]])+1,",","") &amp;"{"&amp;twoRangesToJSON(EdgesJSON[[#Headers],[id]:[label]],EdgesJSON[[#This Row],[id]:[label]])&amp;"}"</f>
        <v>,{"id":"n4AB9C546_49D0_4EA2_8498_0D2C04578B1D","from":"nAACCE65E_6554_4FBD_B4D7_A3BA8E3BDB92","to":"nAC688165_B606_4D82_A016_0263D701EDF2","label":"is"}</v>
      </c>
    </row>
    <row r="16" spans="1:5" ht="13.9" thickTop="1" thickBot="1" x14ac:dyDescent="0.4">
      <c r="A16" s="21" t="str">
        <f>EdgesData[[#This Row],[Edge ID]]</f>
        <v>n1774DB80_05C1_4022_AD00_69849ED81D66</v>
      </c>
      <c r="B16" s="21" t="str">
        <f>EdgesData[[#This Row],[Node A ID]]</f>
        <v>nF5B3A52F_6645_4E18_BE53_3CA330AAEC4A</v>
      </c>
      <c r="C16" s="21" t="str">
        <f>EdgesData[[#This Row],[Node B ID]]</f>
        <v>n53877DB9_77FA_44E9_974A_BE3344133398</v>
      </c>
      <c r="D16" s="3" t="str">
        <f>EdgesData[[#This Row],[Rel]]</f>
        <v>is</v>
      </c>
      <c r="E16" s="25" t="str" cm="1">
        <f t="array" ref="E16">IF(ROW(EdgesJSON[[#This Row],[id]])&gt;ROW(EdgesJSON[[#Headers],[JSON]])+1,",","") &amp;"{"&amp;twoRangesToJSON(EdgesJSON[[#Headers],[id]:[label]],EdgesJSON[[#This Row],[id]:[label]])&amp;"}"</f>
        <v>,{"id":"n1774DB80_05C1_4022_AD00_69849ED81D66","from":"nF5B3A52F_6645_4E18_BE53_3CA330AAEC4A","to":"n53877DB9_77FA_44E9_974A_BE3344133398","label":"is"}</v>
      </c>
    </row>
    <row r="17" spans="1:5" ht="13.9" thickTop="1" thickBot="1" x14ac:dyDescent="0.4">
      <c r="A17" s="21" t="str">
        <f>EdgesData[[#This Row],[Edge ID]]</f>
        <v>n5FE7C068_1E39_497D_A95C_9B7E7A82CB68</v>
      </c>
      <c r="B17" s="21" t="str">
        <f>EdgesData[[#This Row],[Node A ID]]</f>
        <v>nF5B3A52F_6645_4E18_BE53_3CA330AAEC4A</v>
      </c>
      <c r="C17" s="21" t="str">
        <f>EdgesData[[#This Row],[Node B ID]]</f>
        <v>nAC688165_B606_4D82_A016_0263D701EDF2</v>
      </c>
      <c r="D17" s="3" t="str">
        <f>EdgesData[[#This Row],[Rel]]</f>
        <v>is</v>
      </c>
      <c r="E17" s="25" t="str" cm="1">
        <f t="array" ref="E17">IF(ROW(EdgesJSON[[#This Row],[id]])&gt;ROW(EdgesJSON[[#Headers],[JSON]])+1,",","") &amp;"{"&amp;twoRangesToJSON(EdgesJSON[[#Headers],[id]:[label]],EdgesJSON[[#This Row],[id]:[label]])&amp;"}"</f>
        <v>,{"id":"n5FE7C068_1E39_497D_A95C_9B7E7A82CB68","from":"nF5B3A52F_6645_4E18_BE53_3CA330AAEC4A","to":"nAC688165_B606_4D82_A016_0263D701EDF2","label":"is"}</v>
      </c>
    </row>
    <row r="18" spans="1:5" ht="13.9" thickTop="1" thickBot="1" x14ac:dyDescent="0.4">
      <c r="A18" s="21" t="str">
        <f>EdgesData[[#This Row],[Edge ID]]</f>
        <v>n1590C804_C1D3_45D7_9BD1_A699E03C4480</v>
      </c>
      <c r="B18" s="21" t="str">
        <f>EdgesData[[#This Row],[Node A ID]]</f>
        <v>nE75296C8_9CA1_417E_B05B_CC1BDF26F9C3</v>
      </c>
      <c r="C18" s="21" t="str">
        <f>EdgesData[[#This Row],[Node B ID]]</f>
        <v>n53877DB9_77FA_44E9_974A_BE3344133398</v>
      </c>
      <c r="D18" s="3" t="str">
        <f>EdgesData[[#This Row],[Rel]]</f>
        <v>is</v>
      </c>
      <c r="E18" s="25" t="str" cm="1">
        <f t="array" ref="E18">IF(ROW(EdgesJSON[[#This Row],[id]])&gt;ROW(EdgesJSON[[#Headers],[JSON]])+1,",","") &amp;"{"&amp;twoRangesToJSON(EdgesJSON[[#Headers],[id]:[label]],EdgesJSON[[#This Row],[id]:[label]])&amp;"}"</f>
        <v>,{"id":"n1590C804_C1D3_45D7_9BD1_A699E03C4480","from":"nE75296C8_9CA1_417E_B05B_CC1BDF26F9C3","to":"n53877DB9_77FA_44E9_974A_BE3344133398","label":"is"}</v>
      </c>
    </row>
    <row r="19" spans="1:5" ht="13.9" thickTop="1" thickBot="1" x14ac:dyDescent="0.4">
      <c r="A19" s="21" t="str">
        <f>EdgesData[[#This Row],[Edge ID]]</f>
        <v>n1C84502F_9CE4_45AD_8152_4C28CF43CC7A</v>
      </c>
      <c r="B19" s="21" t="str">
        <f>EdgesData[[#This Row],[Node A ID]]</f>
        <v>nE75296C8_9CA1_417E_B05B_CC1BDF26F9C3</v>
      </c>
      <c r="C19" s="21" t="str">
        <f>EdgesData[[#This Row],[Node B ID]]</f>
        <v>nAC688165_B606_4D82_A016_0263D701EDF2</v>
      </c>
      <c r="D19" s="3" t="str">
        <f>EdgesData[[#This Row],[Rel]]</f>
        <v>is</v>
      </c>
      <c r="E19" s="25" t="str" cm="1">
        <f t="array" ref="E19">IF(ROW(EdgesJSON[[#This Row],[id]])&gt;ROW(EdgesJSON[[#Headers],[JSON]])+1,",","") &amp;"{"&amp;twoRangesToJSON(EdgesJSON[[#Headers],[id]:[label]],EdgesJSON[[#This Row],[id]:[label]])&amp;"}"</f>
        <v>,{"id":"n1C84502F_9CE4_45AD_8152_4C28CF43CC7A","from":"nE75296C8_9CA1_417E_B05B_CC1BDF26F9C3","to":"nAC688165_B606_4D82_A016_0263D701EDF2","label":"is"}</v>
      </c>
    </row>
    <row r="20" spans="1:5" ht="13.9" thickTop="1" thickBot="1" x14ac:dyDescent="0.4">
      <c r="A20" s="21" t="str">
        <f>EdgesData[[#This Row],[Edge ID]]</f>
        <v>n58FF34AB_C0AD_4329_B54F_8DA88A1CEA2B</v>
      </c>
      <c r="B20" s="21" t="str">
        <f>EdgesData[[#This Row],[Node A ID]]</f>
        <v>n3E35442D_91A0_4B21_B0FC_31EF1D8BC55F</v>
      </c>
      <c r="C20" s="21" t="str">
        <f>EdgesData[[#This Row],[Node B ID]]</f>
        <v>n53877DB9_77FA_44E9_974A_BE3344133398</v>
      </c>
      <c r="D20" s="3" t="str">
        <f>EdgesData[[#This Row],[Rel]]</f>
        <v>is</v>
      </c>
      <c r="E20" s="25" t="str" cm="1">
        <f t="array" ref="E20">IF(ROW(EdgesJSON[[#This Row],[id]])&gt;ROW(EdgesJSON[[#Headers],[JSON]])+1,",","") &amp;"{"&amp;twoRangesToJSON(EdgesJSON[[#Headers],[id]:[label]],EdgesJSON[[#This Row],[id]:[label]])&amp;"}"</f>
        <v>,{"id":"n58FF34AB_C0AD_4329_B54F_8DA88A1CEA2B","from":"n3E35442D_91A0_4B21_B0FC_31EF1D8BC55F","to":"n53877DB9_77FA_44E9_974A_BE3344133398","label":"is"}</v>
      </c>
    </row>
    <row r="21" spans="1:5" ht="13.9" thickTop="1" thickBot="1" x14ac:dyDescent="0.4">
      <c r="A21" s="21" t="str">
        <f>EdgesData[[#This Row],[Edge ID]]</f>
        <v>nC04D4E4C_23D6_4E6A_B5A4_713BF692C4A9</v>
      </c>
      <c r="B21" s="21" t="str">
        <f>EdgesData[[#This Row],[Node A ID]]</f>
        <v>n3E35442D_91A0_4B21_B0FC_31EF1D8BC55F</v>
      </c>
      <c r="C21" s="21" t="str">
        <f>EdgesData[[#This Row],[Node B ID]]</f>
        <v>nAC688165_B606_4D82_A016_0263D701EDF2</v>
      </c>
      <c r="D21" s="3" t="str">
        <f>EdgesData[[#This Row],[Rel]]</f>
        <v>is</v>
      </c>
      <c r="E21" s="25" t="str" cm="1">
        <f t="array" ref="E21">IF(ROW(EdgesJSON[[#This Row],[id]])&gt;ROW(EdgesJSON[[#Headers],[JSON]])+1,",","") &amp;"{"&amp;twoRangesToJSON(EdgesJSON[[#Headers],[id]:[label]],EdgesJSON[[#This Row],[id]:[label]])&amp;"}"</f>
        <v>,{"id":"nC04D4E4C_23D6_4E6A_B5A4_713BF692C4A9","from":"n3E35442D_91A0_4B21_B0FC_31EF1D8BC55F","to":"nAC688165_B606_4D82_A016_0263D701EDF2","label":"is"}</v>
      </c>
    </row>
    <row r="22" spans="1:5" ht="13.9" thickTop="1" thickBot="1" x14ac:dyDescent="0.4">
      <c r="A22" s="21" t="str">
        <f>EdgesData[[#This Row],[Edge ID]]</f>
        <v>nA91494B0_E4BA_4773_AE36_FBC723F16E58</v>
      </c>
      <c r="B22" s="21" t="str">
        <f>EdgesData[[#This Row],[Node A ID]]</f>
        <v>n99E2EC41_CA7B_41FD_8304_3926884533F9</v>
      </c>
      <c r="C22" s="21" t="str">
        <f>EdgesData[[#This Row],[Node B ID]]</f>
        <v>n67C132A3_290E_4750_90DE_11E7C1778537</v>
      </c>
      <c r="D22" s="3" t="str">
        <f>EdgesData[[#This Row],[Rel]]</f>
        <v>is</v>
      </c>
      <c r="E22" s="25" t="str" cm="1">
        <f t="array" ref="E22">IF(ROW(EdgesJSON[[#This Row],[id]])&gt;ROW(EdgesJSON[[#Headers],[JSON]])+1,",","") &amp;"{"&amp;twoRangesToJSON(EdgesJSON[[#Headers],[id]:[label]],EdgesJSON[[#This Row],[id]:[label]])&amp;"}"</f>
        <v>,{"id":"nA91494B0_E4BA_4773_AE36_FBC723F16E58","from":"n99E2EC41_CA7B_41FD_8304_3926884533F9","to":"n67C132A3_290E_4750_90DE_11E7C1778537","label":"is"}</v>
      </c>
    </row>
    <row r="23" spans="1:5" ht="13.9" thickTop="1" thickBot="1" x14ac:dyDescent="0.4">
      <c r="A23" s="21" t="str">
        <f>EdgesData[[#This Row],[Edge ID]]</f>
        <v>n2A19C71F_AFEB_4CB7_ABBC_B7834D29F28C</v>
      </c>
      <c r="B23" s="21" t="str">
        <f>EdgesData[[#This Row],[Node A ID]]</f>
        <v>nFF2EA87E_84ED_44A7_83DE_4A3C4C0F01DF</v>
      </c>
      <c r="C23" s="21" t="str">
        <f>EdgesData[[#This Row],[Node B ID]]</f>
        <v>n53877DB9_77FA_44E9_974A_BE3344133398</v>
      </c>
      <c r="D23" s="3" t="str">
        <f>EdgesData[[#This Row],[Rel]]</f>
        <v>is</v>
      </c>
      <c r="E23" s="25" t="str" cm="1">
        <f t="array" ref="E23">IF(ROW(EdgesJSON[[#This Row],[id]])&gt;ROW(EdgesJSON[[#Headers],[JSON]])+1,",","") &amp;"{"&amp;twoRangesToJSON(EdgesJSON[[#Headers],[id]:[label]],EdgesJSON[[#This Row],[id]:[label]])&amp;"}"</f>
        <v>,{"id":"n2A19C71F_AFEB_4CB7_ABBC_B7834D29F28C","from":"nFF2EA87E_84ED_44A7_83DE_4A3C4C0F01DF","to":"n53877DB9_77FA_44E9_974A_BE3344133398","label":"is"}</v>
      </c>
    </row>
    <row r="24" spans="1:5" ht="13.9" thickTop="1" thickBot="1" x14ac:dyDescent="0.4">
      <c r="A24" s="21" t="str">
        <f>EdgesData[[#This Row],[Edge ID]]</f>
        <v>nD0C6BF06_6975_4E42_948E_4BA9B597C722</v>
      </c>
      <c r="B24" s="21" t="str">
        <f>EdgesData[[#This Row],[Node A ID]]</f>
        <v>nFF2EA87E_84ED_44A7_83DE_4A3C4C0F01DF</v>
      </c>
      <c r="C24" s="21" t="str">
        <f>EdgesData[[#This Row],[Node B ID]]</f>
        <v>nAC688165_B606_4D82_A016_0263D701EDF2</v>
      </c>
      <c r="D24" s="3" t="str">
        <f>EdgesData[[#This Row],[Rel]]</f>
        <v>is</v>
      </c>
      <c r="E24" s="25" t="str" cm="1">
        <f t="array" ref="E24">IF(ROW(EdgesJSON[[#This Row],[id]])&gt;ROW(EdgesJSON[[#Headers],[JSON]])+1,",","") &amp;"{"&amp;twoRangesToJSON(EdgesJSON[[#Headers],[id]:[label]],EdgesJSON[[#This Row],[id]:[label]])&amp;"}"</f>
        <v>,{"id":"nD0C6BF06_6975_4E42_948E_4BA9B597C722","from":"nFF2EA87E_84ED_44A7_83DE_4A3C4C0F01DF","to":"nAC688165_B606_4D82_A016_0263D701EDF2","label":"is"}</v>
      </c>
    </row>
    <row r="25" spans="1:5" ht="13.9" thickTop="1" thickBot="1" x14ac:dyDescent="0.4">
      <c r="A25" s="21" t="str">
        <f>EdgesData[[#This Row],[Edge ID]]</f>
        <v>n65CE68B0_0066_483B_B881_3572D2E95D0A</v>
      </c>
      <c r="B25" s="21" t="str">
        <f>EdgesData[[#This Row],[Node A ID]]</f>
        <v>n940256DD_635E_4F4B_91EA_B3366D40E947</v>
      </c>
      <c r="C25" s="21" t="str">
        <f>EdgesData[[#This Row],[Node B ID]]</f>
        <v>n80310A12_2F48_48B9_A9C3_E6FADD4B55C9</v>
      </c>
      <c r="D25" s="3" t="str">
        <f>EdgesData[[#This Row],[Rel]]</f>
        <v>is</v>
      </c>
      <c r="E25" s="25" t="str" cm="1">
        <f t="array" ref="E25">IF(ROW(EdgesJSON[[#This Row],[id]])&gt;ROW(EdgesJSON[[#Headers],[JSON]])+1,",","") &amp;"{"&amp;twoRangesToJSON(EdgesJSON[[#Headers],[id]:[label]],EdgesJSON[[#This Row],[id]:[label]])&amp;"}"</f>
        <v>,{"id":"n65CE68B0_0066_483B_B881_3572D2E95D0A","from":"n940256DD_635E_4F4B_91EA_B3366D40E947","to":"n80310A12_2F48_48B9_A9C3_E6FADD4B55C9","label":"is"}</v>
      </c>
    </row>
    <row r="26" spans="1:5" ht="13.9" thickTop="1" thickBot="1" x14ac:dyDescent="0.4">
      <c r="A26" s="21" t="str">
        <f>EdgesData[[#This Row],[Edge ID]]</f>
        <v>nF451769F_A5E2_475A_89F0_5DCF08D27D4F</v>
      </c>
      <c r="B26" s="21" t="str">
        <f>EdgesData[[#This Row],[Node A ID]]</f>
        <v>nBB725018_7327_49FB_A48A_74839D0C04F9</v>
      </c>
      <c r="C26" s="21" t="str">
        <f>EdgesData[[#This Row],[Node B ID]]</f>
        <v>n80310A12_2F48_48B9_A9C3_E6FADD4B55C9</v>
      </c>
      <c r="D26" s="3" t="str">
        <f>EdgesData[[#This Row],[Rel]]</f>
        <v>is</v>
      </c>
      <c r="E26" s="25" t="str" cm="1">
        <f t="array" ref="E26">IF(ROW(EdgesJSON[[#This Row],[id]])&gt;ROW(EdgesJSON[[#Headers],[JSON]])+1,",","") &amp;"{"&amp;twoRangesToJSON(EdgesJSON[[#Headers],[id]:[label]],EdgesJSON[[#This Row],[id]:[label]])&amp;"}"</f>
        <v>,{"id":"nF451769F_A5E2_475A_89F0_5DCF08D27D4F","from":"nBB725018_7327_49FB_A48A_74839D0C04F9","to":"n80310A12_2F48_48B9_A9C3_E6FADD4B55C9","label":"is"}</v>
      </c>
    </row>
    <row r="27" spans="1:5" ht="13.9" thickTop="1" thickBot="1" x14ac:dyDescent="0.4">
      <c r="A27" s="21" t="str">
        <f>EdgesData[[#This Row],[Edge ID]]</f>
        <v>n73EBE6B5_2ED2_404F_A9CE_C06A461A9CF9</v>
      </c>
      <c r="B27" s="21" t="str">
        <f>EdgesData[[#This Row],[Node A ID]]</f>
        <v>nC607594D_D597_4C8E_9605_EED87566C2FD</v>
      </c>
      <c r="C27" s="21" t="str">
        <f>EdgesData[[#This Row],[Node B ID]]</f>
        <v>n80310A12_2F48_48B9_A9C3_E6FADD4B55C9</v>
      </c>
      <c r="D27" s="3" t="str">
        <f>EdgesData[[#This Row],[Rel]]</f>
        <v>composed of</v>
      </c>
      <c r="E27" s="25" t="str" cm="1">
        <f t="array" ref="E27">IF(ROW(EdgesJSON[[#This Row],[id]])&gt;ROW(EdgesJSON[[#Headers],[JSON]])+1,",","") &amp;"{"&amp;twoRangesToJSON(EdgesJSON[[#Headers],[id]:[label]],EdgesJSON[[#This Row],[id]:[label]])&amp;"}"</f>
        <v>,{"id":"n73EBE6B5_2ED2_404F_A9CE_C06A461A9CF9","from":"nC607594D_D597_4C8E_9605_EED87566C2FD","to":"n80310A12_2F48_48B9_A9C3_E6FADD4B55C9","label":"composed of"}</v>
      </c>
    </row>
    <row r="28" spans="1:5" ht="13.9" thickTop="1" thickBot="1" x14ac:dyDescent="0.4">
      <c r="A28" s="21" t="str">
        <f>EdgesData[[#This Row],[Edge ID]]</f>
        <v>n9CA40070_6FEB_4067_8535_532D52F5CC18</v>
      </c>
      <c r="B28" s="21" t="str">
        <f>EdgesData[[#This Row],[Node A ID]]</f>
        <v>nC607594D_D597_4C8E_9605_EED87566C2FD</v>
      </c>
      <c r="C28" s="21" t="str">
        <f>EdgesData[[#This Row],[Node B ID]]</f>
        <v>nFB32F479_4EF7_409C_900B_EE48AA0DE846</v>
      </c>
      <c r="D28" s="3" t="str">
        <f>EdgesData[[#This Row],[Rel]]</f>
        <v>may have</v>
      </c>
      <c r="E28" s="25" t="str" cm="1">
        <f t="array" ref="E28">IF(ROW(EdgesJSON[[#This Row],[id]])&gt;ROW(EdgesJSON[[#Headers],[JSON]])+1,",","") &amp;"{"&amp;twoRangesToJSON(EdgesJSON[[#Headers],[id]:[label]],EdgesJSON[[#This Row],[id]:[label]])&amp;"}"</f>
        <v>,{"id":"n9CA40070_6FEB_4067_8535_532D52F5CC18","from":"nC607594D_D597_4C8E_9605_EED87566C2FD","to":"nFB32F479_4EF7_409C_900B_EE48AA0DE846","label":"may have"}</v>
      </c>
    </row>
    <row r="29" spans="1:5" ht="13.9" thickTop="1" thickBot="1" x14ac:dyDescent="0.4">
      <c r="A29" s="21" t="str">
        <f>EdgesData[[#This Row],[Edge ID]]</f>
        <v>n87E71156_879E_4B20_B1C3_DA6DCBD5E697</v>
      </c>
      <c r="B29" s="21" t="str">
        <f>EdgesData[[#This Row],[Node A ID]]</f>
        <v>nC607594D_D597_4C8E_9605_EED87566C2FD</v>
      </c>
      <c r="C29" s="21" t="str">
        <f>EdgesData[[#This Row],[Node B ID]]</f>
        <v>nFA6C8A63_7071_4E20_BB02_F78403869E0B</v>
      </c>
      <c r="D29" s="3" t="str">
        <f>EdgesData[[#This Row],[Rel]]</f>
        <v>may have</v>
      </c>
      <c r="E29" s="25" t="str" cm="1">
        <f t="array" ref="E29">IF(ROW(EdgesJSON[[#This Row],[id]])&gt;ROW(EdgesJSON[[#Headers],[JSON]])+1,",","") &amp;"{"&amp;twoRangesToJSON(EdgesJSON[[#Headers],[id]:[label]],EdgesJSON[[#This Row],[id]:[label]])&amp;"}"</f>
        <v>,{"id":"n87E71156_879E_4B20_B1C3_DA6DCBD5E697","from":"nC607594D_D597_4C8E_9605_EED87566C2FD","to":"nFA6C8A63_7071_4E20_BB02_F78403869E0B","label":"may have"}</v>
      </c>
    </row>
    <row r="30" spans="1:5" ht="13.9" thickTop="1" thickBot="1" x14ac:dyDescent="0.4">
      <c r="A30" s="21" t="str">
        <f>EdgesData[[#This Row],[Edge ID]]</f>
        <v>n27C3DAA7_18CE_4679_BFDF_AE332BA90AF5</v>
      </c>
      <c r="B30" s="21" t="str">
        <f>EdgesData[[#This Row],[Node A ID]]</f>
        <v>nC607594D_D597_4C8E_9605_EED87566C2FD</v>
      </c>
      <c r="C30" s="21" t="str">
        <f>EdgesData[[#This Row],[Node B ID]]</f>
        <v>nAC062A15_C72B_42D8_BBDF_C7EB64B35F26</v>
      </c>
      <c r="D30" s="3" t="str">
        <f>EdgesData[[#This Row],[Rel]]</f>
        <v>may have</v>
      </c>
      <c r="E30" s="25" t="str" cm="1">
        <f t="array" ref="E30">IF(ROW(EdgesJSON[[#This Row],[id]])&gt;ROW(EdgesJSON[[#Headers],[JSON]])+1,",","") &amp;"{"&amp;twoRangesToJSON(EdgesJSON[[#Headers],[id]:[label]],EdgesJSON[[#This Row],[id]:[label]])&amp;"}"</f>
        <v>,{"id":"n27C3DAA7_18CE_4679_BFDF_AE332BA90AF5","from":"nC607594D_D597_4C8E_9605_EED87566C2FD","to":"nAC062A15_C72B_42D8_BBDF_C7EB64B35F26","label":"may have"}</v>
      </c>
    </row>
    <row r="31" spans="1:5" ht="13.9" thickTop="1" thickBot="1" x14ac:dyDescent="0.4">
      <c r="A31" s="21" t="str">
        <f>EdgesData[[#This Row],[Edge ID]]</f>
        <v>n0CBC93F4_6EAE_4195_8F35_23C763EA6BED</v>
      </c>
      <c r="B31" s="21" t="str">
        <f>EdgesData[[#This Row],[Node A ID]]</f>
        <v>nC607594D_D597_4C8E_9605_EED87566C2FD</v>
      </c>
      <c r="C31" s="21" t="str">
        <f>EdgesData[[#This Row],[Node B ID]]</f>
        <v>nF3A221C8_C126_458E_818C_DAE6B57CD442</v>
      </c>
      <c r="D31" s="3" t="str">
        <f>EdgesData[[#This Row],[Rel]]</f>
        <v>may have</v>
      </c>
      <c r="E31" s="25" t="str" cm="1">
        <f t="array" ref="E31">IF(ROW(EdgesJSON[[#This Row],[id]])&gt;ROW(EdgesJSON[[#Headers],[JSON]])+1,",","") &amp;"{"&amp;twoRangesToJSON(EdgesJSON[[#Headers],[id]:[label]],EdgesJSON[[#This Row],[id]:[label]])&amp;"}"</f>
        <v>,{"id":"n0CBC93F4_6EAE_4195_8F35_23C763EA6BED","from":"nC607594D_D597_4C8E_9605_EED87566C2FD","to":"nF3A221C8_C126_458E_818C_DAE6B57CD442","label":"may have"}</v>
      </c>
    </row>
    <row r="32" spans="1:5" ht="13.9" thickTop="1" thickBot="1" x14ac:dyDescent="0.4">
      <c r="A32" s="21" t="str">
        <f>EdgesData[[#This Row],[Edge ID]]</f>
        <v>nD167F915_A861_4436_9497_FFE4AB13F611</v>
      </c>
      <c r="B32" s="21" t="str">
        <f>EdgesData[[#This Row],[Node A ID]]</f>
        <v>nC607594D_D597_4C8E_9605_EED87566C2FD</v>
      </c>
      <c r="C32" s="21" t="str">
        <f>EdgesData[[#This Row],[Node B ID]]</f>
        <v>n2E4A35A7_53BB_4F4B_8554_B6584F77D71D</v>
      </c>
      <c r="D32" s="3" t="str">
        <f>EdgesData[[#This Row],[Rel]]</f>
        <v>regarded as</v>
      </c>
      <c r="E32" s="25" t="str" cm="1">
        <f t="array" ref="E32">IF(ROW(EdgesJSON[[#This Row],[id]])&gt;ROW(EdgesJSON[[#Headers],[JSON]])+1,",","") &amp;"{"&amp;twoRangesToJSON(EdgesJSON[[#Headers],[id]:[label]],EdgesJSON[[#This Row],[id]:[label]])&amp;"}"</f>
        <v>,{"id":"nD167F915_A861_4436_9497_FFE4AB13F611","from":"nC607594D_D597_4C8E_9605_EED87566C2FD","to":"n2E4A35A7_53BB_4F4B_8554_B6584F77D71D","label":"regarded as"}</v>
      </c>
    </row>
    <row r="33" spans="1:5" ht="13.9" thickTop="1" thickBot="1" x14ac:dyDescent="0.4">
      <c r="A33" s="21" t="str">
        <f>EdgesData[[#This Row],[Edge ID]]</f>
        <v>nD1A0D0FD_3118_45AC_BAD3_26E89DBD57DC</v>
      </c>
      <c r="B33" s="21" t="str">
        <f>EdgesData[[#This Row],[Node A ID]]</f>
        <v>n35F5759D_AAFF_439C_A04E_623AA07EE4D9</v>
      </c>
      <c r="C33" s="21" t="str">
        <f>EdgesData[[#This Row],[Node B ID]]</f>
        <v>n2F27DDAD_459D_4B06_9152_168BDF5063F5</v>
      </c>
      <c r="D33" s="3" t="str">
        <f>EdgesData[[#This Row],[Rel]]</f>
        <v>synonym for</v>
      </c>
      <c r="E33" s="25" t="str" cm="1">
        <f t="array" ref="E33">IF(ROW(EdgesJSON[[#This Row],[id]])&gt;ROW(EdgesJSON[[#Headers],[JSON]])+1,",","") &amp;"{"&amp;twoRangesToJSON(EdgesJSON[[#Headers],[id]:[label]],EdgesJSON[[#This Row],[id]:[label]])&amp;"}"</f>
        <v>,{"id":"nD1A0D0FD_3118_45AC_BAD3_26E89DBD57DC","from":"n35F5759D_AAFF_439C_A04E_623AA07EE4D9","to":"n2F27DDAD_459D_4B06_9152_168BDF5063F5","label":"synonym for"}</v>
      </c>
    </row>
    <row r="34" spans="1:5" ht="13.9" thickTop="1" thickBot="1" x14ac:dyDescent="0.4">
      <c r="A34" s="21" t="str">
        <f>EdgesData[[#This Row],[Edge ID]]</f>
        <v>n2B5ADEF6_C211_4176_ACE9_EC6BB881B4B9</v>
      </c>
      <c r="B34" s="21" t="str">
        <f>EdgesData[[#This Row],[Node A ID]]</f>
        <v>n35F5759D_AAFF_439C_A04E_623AA07EE4D9</v>
      </c>
      <c r="C34" s="21" t="str">
        <f>EdgesData[[#This Row],[Node B ID]]</f>
        <v>n53877DB9_77FA_44E9_974A_BE3344133398</v>
      </c>
      <c r="D34" s="3" t="str">
        <f>EdgesData[[#This Row],[Rel]]</f>
        <v>is</v>
      </c>
      <c r="E34" s="25" t="str" cm="1">
        <f t="array" ref="E34">IF(ROW(EdgesJSON[[#This Row],[id]])&gt;ROW(EdgesJSON[[#Headers],[JSON]])+1,",","") &amp;"{"&amp;twoRangesToJSON(EdgesJSON[[#Headers],[id]:[label]],EdgesJSON[[#This Row],[id]:[label]])&amp;"}"</f>
        <v>,{"id":"n2B5ADEF6_C211_4176_ACE9_EC6BB881B4B9","from":"n35F5759D_AAFF_439C_A04E_623AA07EE4D9","to":"n53877DB9_77FA_44E9_974A_BE3344133398","label":"is"}</v>
      </c>
    </row>
    <row r="35" spans="1:5" ht="13.9" thickTop="1" thickBot="1" x14ac:dyDescent="0.4">
      <c r="A35" s="21" t="str">
        <f>EdgesData[[#This Row],[Edge ID]]</f>
        <v>n11F85AC2_D11B_452F_BF41_FAA417F534DE</v>
      </c>
      <c r="B35" s="21" t="str">
        <f>EdgesData[[#This Row],[Node A ID]]</f>
        <v>n35F5759D_AAFF_439C_A04E_623AA07EE4D9</v>
      </c>
      <c r="C35" s="21" t="str">
        <f>EdgesData[[#This Row],[Node B ID]]</f>
        <v>nAC688165_B606_4D82_A016_0263D701EDF2</v>
      </c>
      <c r="D35" s="3" t="str">
        <f>EdgesData[[#This Row],[Rel]]</f>
        <v>is</v>
      </c>
      <c r="E35" s="25" t="str" cm="1">
        <f t="array" ref="E35">IF(ROW(EdgesJSON[[#This Row],[id]])&gt;ROW(EdgesJSON[[#Headers],[JSON]])+1,",","") &amp;"{"&amp;twoRangesToJSON(EdgesJSON[[#Headers],[id]:[label]],EdgesJSON[[#This Row],[id]:[label]])&amp;"}"</f>
        <v>,{"id":"n11F85AC2_D11B_452F_BF41_FAA417F534DE","from":"n35F5759D_AAFF_439C_A04E_623AA07EE4D9","to":"nAC688165_B606_4D82_A016_0263D701EDF2","label":"is"}</v>
      </c>
    </row>
    <row r="36" spans="1:5" ht="13.9" thickTop="1" thickBot="1" x14ac:dyDescent="0.4">
      <c r="A36" s="21" t="str">
        <f>EdgesData[[#This Row],[Edge ID]]</f>
        <v>n001F8278_2466_4E46_AF78_4E1474840B61</v>
      </c>
      <c r="B36" s="21" t="str">
        <f>EdgesData[[#This Row],[Node A ID]]</f>
        <v>n63EDDBAD_A168_4974_B9D5_9B90FB3F688E</v>
      </c>
      <c r="C36" s="21" t="str">
        <f>EdgesData[[#This Row],[Node B ID]]</f>
        <v>n67C132A3_290E_4750_90DE_11E7C1778537</v>
      </c>
      <c r="D36" s="3" t="str">
        <f>EdgesData[[#This Row],[Rel]]</f>
        <v>is</v>
      </c>
      <c r="E36" s="25" t="str" cm="1">
        <f t="array" ref="E36">IF(ROW(EdgesJSON[[#This Row],[id]])&gt;ROW(EdgesJSON[[#Headers],[JSON]])+1,",","") &amp;"{"&amp;twoRangesToJSON(EdgesJSON[[#Headers],[id]:[label]],EdgesJSON[[#This Row],[id]:[label]])&amp;"}"</f>
        <v>,{"id":"n001F8278_2466_4E46_AF78_4E1474840B61","from":"n63EDDBAD_A168_4974_B9D5_9B90FB3F688E","to":"n67C132A3_290E_4750_90DE_11E7C1778537","label":"is"}</v>
      </c>
    </row>
    <row r="37" spans="1:5" ht="13.9" thickTop="1" thickBot="1" x14ac:dyDescent="0.4">
      <c r="A37" s="21" t="str">
        <f>EdgesData[[#This Row],[Edge ID]]</f>
        <v>nEDB85302_2B45_41AE_A687_7FC6755CC78A</v>
      </c>
      <c r="B37" s="21" t="str">
        <f>EdgesData[[#This Row],[Node A ID]]</f>
        <v>nC63D5B91_5DF9_4B35_856B_670E59CF1CA0</v>
      </c>
      <c r="C37" s="21" t="str">
        <f>EdgesData[[#This Row],[Node B ID]]</f>
        <v>n53877DB9_77FA_44E9_974A_BE3344133398</v>
      </c>
      <c r="D37" s="3" t="str">
        <f>EdgesData[[#This Row],[Rel]]</f>
        <v>is</v>
      </c>
      <c r="E37" s="25" t="str" cm="1">
        <f t="array" ref="E37">IF(ROW(EdgesJSON[[#This Row],[id]])&gt;ROW(EdgesJSON[[#Headers],[JSON]])+1,",","") &amp;"{"&amp;twoRangesToJSON(EdgesJSON[[#Headers],[id]:[label]],EdgesJSON[[#This Row],[id]:[label]])&amp;"}"</f>
        <v>,{"id":"nEDB85302_2B45_41AE_A687_7FC6755CC78A","from":"nC63D5B91_5DF9_4B35_856B_670E59CF1CA0","to":"n53877DB9_77FA_44E9_974A_BE3344133398","label":"is"}</v>
      </c>
    </row>
    <row r="38" spans="1:5" ht="13.9" thickTop="1" thickBot="1" x14ac:dyDescent="0.4">
      <c r="A38" s="21" t="str">
        <f>EdgesData[[#This Row],[Edge ID]]</f>
        <v>n70FF5999_70A6_4341_A798_FF05730D05E4</v>
      </c>
      <c r="B38" s="21" t="str">
        <f>EdgesData[[#This Row],[Node A ID]]</f>
        <v>nC63D5B91_5DF9_4B35_856B_670E59CF1CA0</v>
      </c>
      <c r="C38" s="21" t="str">
        <f>EdgesData[[#This Row],[Node B ID]]</f>
        <v>nAC688165_B606_4D82_A016_0263D701EDF2</v>
      </c>
      <c r="D38" s="3" t="str">
        <f>EdgesData[[#This Row],[Rel]]</f>
        <v>is</v>
      </c>
      <c r="E38" s="25" t="str" cm="1">
        <f t="array" ref="E38">IF(ROW(EdgesJSON[[#This Row],[id]])&gt;ROW(EdgesJSON[[#Headers],[JSON]])+1,",","") &amp;"{"&amp;twoRangesToJSON(EdgesJSON[[#Headers],[id]:[label]],EdgesJSON[[#This Row],[id]:[label]])&amp;"}"</f>
        <v>,{"id":"n70FF5999_70A6_4341_A798_FF05730D05E4","from":"nC63D5B91_5DF9_4B35_856B_670E59CF1CA0","to":"nAC688165_B606_4D82_A016_0263D701EDF2","label":"is"}</v>
      </c>
    </row>
    <row r="39" spans="1:5" ht="13.9" thickTop="1" thickBot="1" x14ac:dyDescent="0.4">
      <c r="A39" s="21" t="str">
        <f>EdgesData[[#This Row],[Edge ID]]</f>
        <v>n15F3F73F_656D_4BBB_9AC3_F84EFC304F9B</v>
      </c>
      <c r="B39" s="21" t="str">
        <f>EdgesData[[#This Row],[Node A ID]]</f>
        <v>nE61E61F3_D210_49D4_9FB5_8E7744490C9D</v>
      </c>
      <c r="C39" s="21" t="str">
        <f>EdgesData[[#This Row],[Node B ID]]</f>
        <v>n67C132A3_290E_4750_90DE_11E7C1778537</v>
      </c>
      <c r="D39" s="3" t="str">
        <f>EdgesData[[#This Row],[Rel]]</f>
        <v>is</v>
      </c>
      <c r="E39" s="25" t="str" cm="1">
        <f t="array" ref="E39">IF(ROW(EdgesJSON[[#This Row],[id]])&gt;ROW(EdgesJSON[[#Headers],[JSON]])+1,",","") &amp;"{"&amp;twoRangesToJSON(EdgesJSON[[#Headers],[id]:[label]],EdgesJSON[[#This Row],[id]:[label]])&amp;"}"</f>
        <v>,{"id":"n15F3F73F_656D_4BBB_9AC3_F84EFC304F9B","from":"nE61E61F3_D210_49D4_9FB5_8E7744490C9D","to":"n67C132A3_290E_4750_90DE_11E7C1778537","label":"is"}</v>
      </c>
    </row>
    <row r="40" spans="1:5" ht="13.9" thickTop="1" thickBot="1" x14ac:dyDescent="0.4">
      <c r="A40" s="21" t="str">
        <f>EdgesData[[#This Row],[Edge ID]]</f>
        <v>nFD6CE81D_6B06_469F_A64B_3ECF2578FB31</v>
      </c>
      <c r="B40" s="21" t="str">
        <f>EdgesData[[#This Row],[Node A ID]]</f>
        <v>nF4329B4E_89AE_4B13_8BA2_B6BEFB931A12</v>
      </c>
      <c r="C40" s="21" t="str">
        <f>EdgesData[[#This Row],[Node B ID]]</f>
        <v>n53877DB9_77FA_44E9_974A_BE3344133398</v>
      </c>
      <c r="D40" s="3" t="str">
        <f>EdgesData[[#This Row],[Rel]]</f>
        <v>is</v>
      </c>
      <c r="E40" s="25" t="str" cm="1">
        <f t="array" ref="E40">IF(ROW(EdgesJSON[[#This Row],[id]])&gt;ROW(EdgesJSON[[#Headers],[JSON]])+1,",","") &amp;"{"&amp;twoRangesToJSON(EdgesJSON[[#Headers],[id]:[label]],EdgesJSON[[#This Row],[id]:[label]])&amp;"}"</f>
        <v>,{"id":"nFD6CE81D_6B06_469F_A64B_3ECF2578FB31","from":"nF4329B4E_89AE_4B13_8BA2_B6BEFB931A12","to":"n53877DB9_77FA_44E9_974A_BE3344133398","label":"is"}</v>
      </c>
    </row>
    <row r="41" spans="1:5" ht="13.9" thickTop="1" thickBot="1" x14ac:dyDescent="0.4">
      <c r="A41" s="21" t="str">
        <f>EdgesData[[#This Row],[Edge ID]]</f>
        <v>n6D604365_C71A_4947_B0C6_C3C723101DA5</v>
      </c>
      <c r="B41" s="21" t="str">
        <f>EdgesData[[#This Row],[Node A ID]]</f>
        <v>nF4329B4E_89AE_4B13_8BA2_B6BEFB931A12</v>
      </c>
      <c r="C41" s="21" t="str">
        <f>EdgesData[[#This Row],[Node B ID]]</f>
        <v>nAC688165_B606_4D82_A016_0263D701EDF2</v>
      </c>
      <c r="D41" s="3" t="str">
        <f>EdgesData[[#This Row],[Rel]]</f>
        <v>is</v>
      </c>
      <c r="E41" s="25" t="str" cm="1">
        <f t="array" ref="E41">IF(ROW(EdgesJSON[[#This Row],[id]])&gt;ROW(EdgesJSON[[#Headers],[JSON]])+1,",","") &amp;"{"&amp;twoRangesToJSON(EdgesJSON[[#Headers],[id]:[label]],EdgesJSON[[#This Row],[id]:[label]])&amp;"}"</f>
        <v>,{"id":"n6D604365_C71A_4947_B0C6_C3C723101DA5","from":"nF4329B4E_89AE_4B13_8BA2_B6BEFB931A12","to":"nAC688165_B606_4D82_A016_0263D701EDF2","label":"is"}</v>
      </c>
    </row>
    <row r="42" spans="1:5" ht="13.9" thickTop="1" thickBot="1" x14ac:dyDescent="0.4">
      <c r="A42" s="21" t="str">
        <f>EdgesData[[#This Row],[Edge ID]]</f>
        <v>n4884F8ED_EB06_4C77_8CB8_03E3BD0B0DF6</v>
      </c>
      <c r="B42" s="21" t="str">
        <f>EdgesData[[#This Row],[Node A ID]]</f>
        <v>nD67337C3_82D6_4A00_9312_77ECF955E4EE</v>
      </c>
      <c r="C42" s="21" t="str">
        <f>EdgesData[[#This Row],[Node B ID]]</f>
        <v>n53877DB9_77FA_44E9_974A_BE3344133398</v>
      </c>
      <c r="D42" s="3" t="str">
        <f>EdgesData[[#This Row],[Rel]]</f>
        <v>is</v>
      </c>
      <c r="E42" s="25" t="str" cm="1">
        <f t="array" ref="E42">IF(ROW(EdgesJSON[[#This Row],[id]])&gt;ROW(EdgesJSON[[#Headers],[JSON]])+1,",","") &amp;"{"&amp;twoRangesToJSON(EdgesJSON[[#Headers],[id]:[label]],EdgesJSON[[#This Row],[id]:[label]])&amp;"}"</f>
        <v>,{"id":"n4884F8ED_EB06_4C77_8CB8_03E3BD0B0DF6","from":"nD67337C3_82D6_4A00_9312_77ECF955E4EE","to":"n53877DB9_77FA_44E9_974A_BE3344133398","label":"is"}</v>
      </c>
    </row>
    <row r="43" spans="1:5" ht="13.9" thickTop="1" thickBot="1" x14ac:dyDescent="0.4">
      <c r="A43" s="21" t="str">
        <f>EdgesData[[#This Row],[Edge ID]]</f>
        <v>n59BAA06D_2BF6_4A51_B53B_A8361236B480</v>
      </c>
      <c r="B43" s="21" t="str">
        <f>EdgesData[[#This Row],[Node A ID]]</f>
        <v>nD67337C3_82D6_4A00_9312_77ECF955E4EE</v>
      </c>
      <c r="C43" s="21" t="str">
        <f>EdgesData[[#This Row],[Node B ID]]</f>
        <v>nAC688165_B606_4D82_A016_0263D701EDF2</v>
      </c>
      <c r="D43" s="3" t="str">
        <f>EdgesData[[#This Row],[Rel]]</f>
        <v>is</v>
      </c>
      <c r="E43" s="25" t="str" cm="1">
        <f t="array" ref="E43">IF(ROW(EdgesJSON[[#This Row],[id]])&gt;ROW(EdgesJSON[[#Headers],[JSON]])+1,",","") &amp;"{"&amp;twoRangesToJSON(EdgesJSON[[#Headers],[id]:[label]],EdgesJSON[[#This Row],[id]:[label]])&amp;"}"</f>
        <v>,{"id":"n59BAA06D_2BF6_4A51_B53B_A8361236B480","from":"nD67337C3_82D6_4A00_9312_77ECF955E4EE","to":"nAC688165_B606_4D82_A016_0263D701EDF2","label":"is"}</v>
      </c>
    </row>
    <row r="44" spans="1:5" ht="13.9" thickTop="1" thickBot="1" x14ac:dyDescent="0.4">
      <c r="A44" s="21" t="str">
        <f>EdgesData[[#This Row],[Edge ID]]</f>
        <v>n1077CFA1_7D9B_4396_844D_B149B6ABF35D</v>
      </c>
      <c r="B44" s="21" t="str">
        <f>EdgesData[[#This Row],[Node A ID]]</f>
        <v>n8B4BB7FC_2E2A_4C1A_8657_58EEC2DF8A9A</v>
      </c>
      <c r="C44" s="21" t="str">
        <f>EdgesData[[#This Row],[Node B ID]]</f>
        <v>n67C132A3_290E_4750_90DE_11E7C1778537</v>
      </c>
      <c r="D44" s="3" t="str">
        <f>EdgesData[[#This Row],[Rel]]</f>
        <v>is</v>
      </c>
      <c r="E44" s="25" t="str" cm="1">
        <f t="array" ref="E44">IF(ROW(EdgesJSON[[#This Row],[id]])&gt;ROW(EdgesJSON[[#Headers],[JSON]])+1,",","") &amp;"{"&amp;twoRangesToJSON(EdgesJSON[[#Headers],[id]:[label]],EdgesJSON[[#This Row],[id]:[label]])&amp;"}"</f>
        <v>,{"id":"n1077CFA1_7D9B_4396_844D_B149B6ABF35D","from":"n8B4BB7FC_2E2A_4C1A_8657_58EEC2DF8A9A","to":"n67C132A3_290E_4750_90DE_11E7C1778537","label":"is"}</v>
      </c>
    </row>
    <row r="45" spans="1:5" ht="13.9" thickTop="1" thickBot="1" x14ac:dyDescent="0.4">
      <c r="A45" s="21" t="str">
        <f>EdgesData[[#This Row],[Edge ID]]</f>
        <v>nE94E97D6_EDA3_48F8_B3A2_FF2D38612803</v>
      </c>
      <c r="B45" s="21" t="str">
        <f>EdgesData[[#This Row],[Node A ID]]</f>
        <v>nF44C30A8_A797_4F0C_9C18_D87E7D5A8B88</v>
      </c>
      <c r="C45" s="21" t="str">
        <f>EdgesData[[#This Row],[Node B ID]]</f>
        <v>n67C132A3_290E_4750_90DE_11E7C1778537</v>
      </c>
      <c r="D45" s="3" t="str">
        <f>EdgesData[[#This Row],[Rel]]</f>
        <v>is</v>
      </c>
      <c r="E45" s="25" t="str" cm="1">
        <f t="array" ref="E45">IF(ROW(EdgesJSON[[#This Row],[id]])&gt;ROW(EdgesJSON[[#Headers],[JSON]])+1,",","") &amp;"{"&amp;twoRangesToJSON(EdgesJSON[[#Headers],[id]:[label]],EdgesJSON[[#This Row],[id]:[label]])&amp;"}"</f>
        <v>,{"id":"nE94E97D6_EDA3_48F8_B3A2_FF2D38612803","from":"nF44C30A8_A797_4F0C_9C18_D87E7D5A8B88","to":"n67C132A3_290E_4750_90DE_11E7C1778537","label":"is"}</v>
      </c>
    </row>
    <row r="46" spans="1:5" ht="13.9" thickTop="1" thickBot="1" x14ac:dyDescent="0.4">
      <c r="A46" s="21" t="str">
        <f>EdgesData[[#This Row],[Edge ID]]</f>
        <v>n54777CBB_23A1_4D88_9399_8132024209B6</v>
      </c>
      <c r="B46" s="21" t="str">
        <f>EdgesData[[#This Row],[Node A ID]]</f>
        <v>n2F27DDAD_459D_4B06_9152_168BDF5063F5</v>
      </c>
      <c r="C46" s="21" t="str">
        <f>EdgesData[[#This Row],[Node B ID]]</f>
        <v>n53877DB9_77FA_44E9_974A_BE3344133398</v>
      </c>
      <c r="D46" s="3" t="str">
        <f>EdgesData[[#This Row],[Rel]]</f>
        <v>is</v>
      </c>
      <c r="E46" s="25" t="str" cm="1">
        <f t="array" ref="E46">IF(ROW(EdgesJSON[[#This Row],[id]])&gt;ROW(EdgesJSON[[#Headers],[JSON]])+1,",","") &amp;"{"&amp;twoRangesToJSON(EdgesJSON[[#Headers],[id]:[label]],EdgesJSON[[#This Row],[id]:[label]])&amp;"}"</f>
        <v>,{"id":"n54777CBB_23A1_4D88_9399_8132024209B6","from":"n2F27DDAD_459D_4B06_9152_168BDF5063F5","to":"n53877DB9_77FA_44E9_974A_BE3344133398","label":"is"}</v>
      </c>
    </row>
    <row r="47" spans="1:5" ht="13.9" thickTop="1" thickBot="1" x14ac:dyDescent="0.4">
      <c r="A47" s="21" t="str">
        <f>EdgesData[[#This Row],[Edge ID]]</f>
        <v>n08F36C07_95CB_4A9F_8AF7_DA92D0D85FAD</v>
      </c>
      <c r="B47" s="21" t="str">
        <f>EdgesData[[#This Row],[Node A ID]]</f>
        <v>n2F27DDAD_459D_4B06_9152_168BDF5063F5</v>
      </c>
      <c r="C47" s="21" t="str">
        <f>EdgesData[[#This Row],[Node B ID]]</f>
        <v>nAC688165_B606_4D82_A016_0263D701EDF2</v>
      </c>
      <c r="D47" s="3" t="str">
        <f>EdgesData[[#This Row],[Rel]]</f>
        <v>is</v>
      </c>
      <c r="E47" s="25" t="str" cm="1">
        <f t="array" ref="E47">IF(ROW(EdgesJSON[[#This Row],[id]])&gt;ROW(EdgesJSON[[#Headers],[JSON]])+1,",","") &amp;"{"&amp;twoRangesToJSON(EdgesJSON[[#Headers],[id]:[label]],EdgesJSON[[#This Row],[id]:[label]])&amp;"}"</f>
        <v>,{"id":"n08F36C07_95CB_4A9F_8AF7_DA92D0D85FAD","from":"n2F27DDAD_459D_4B06_9152_168BDF5063F5","to":"nAC688165_B606_4D82_A016_0263D701EDF2","label":"is"}</v>
      </c>
    </row>
    <row r="48" spans="1:5" ht="13.9" thickTop="1" thickBot="1" x14ac:dyDescent="0.4">
      <c r="A48" s="21" t="str">
        <f>EdgesData[[#This Row],[Edge ID]]</f>
        <v>nA8B2A66F_C080_41DF_B473_E0485D490580</v>
      </c>
      <c r="B48" s="21" t="str">
        <f>EdgesData[[#This Row],[Node A ID]]</f>
        <v>nC196E133_4263_4398_B44A_B3053AC5D0E8</v>
      </c>
      <c r="C48" s="21" t="str">
        <f>EdgesData[[#This Row],[Node B ID]]</f>
        <v>n53877DB9_77FA_44E9_974A_BE3344133398</v>
      </c>
      <c r="D48" s="3" t="str">
        <f>EdgesData[[#This Row],[Rel]]</f>
        <v>is</v>
      </c>
      <c r="E48" s="25" t="str" cm="1">
        <f t="array" ref="E48">IF(ROW(EdgesJSON[[#This Row],[id]])&gt;ROW(EdgesJSON[[#Headers],[JSON]])+1,",","") &amp;"{"&amp;twoRangesToJSON(EdgesJSON[[#Headers],[id]:[label]],EdgesJSON[[#This Row],[id]:[label]])&amp;"}"</f>
        <v>,{"id":"nA8B2A66F_C080_41DF_B473_E0485D490580","from":"nC196E133_4263_4398_B44A_B3053AC5D0E8","to":"n53877DB9_77FA_44E9_974A_BE3344133398","label":"is"}</v>
      </c>
    </row>
    <row r="49" spans="1:5" ht="13.9" thickTop="1" thickBot="1" x14ac:dyDescent="0.4">
      <c r="A49" s="21" t="str">
        <f>EdgesData[[#This Row],[Edge ID]]</f>
        <v>nE1568646_8A29_4498_8C6C_7219DE88E7DA</v>
      </c>
      <c r="B49" s="21" t="str">
        <f>EdgesData[[#This Row],[Node A ID]]</f>
        <v>nC196E133_4263_4398_B44A_B3053AC5D0E8</v>
      </c>
      <c r="C49" s="21" t="str">
        <f>EdgesData[[#This Row],[Node B ID]]</f>
        <v>nAC688165_B606_4D82_A016_0263D701EDF2</v>
      </c>
      <c r="D49" s="3" t="str">
        <f>EdgesData[[#This Row],[Rel]]</f>
        <v>is</v>
      </c>
      <c r="E49" s="25" t="str" cm="1">
        <f t="array" ref="E49">IF(ROW(EdgesJSON[[#This Row],[id]])&gt;ROW(EdgesJSON[[#Headers],[JSON]])+1,",","") &amp;"{"&amp;twoRangesToJSON(EdgesJSON[[#Headers],[id]:[label]],EdgesJSON[[#This Row],[id]:[label]])&amp;"}"</f>
        <v>,{"id":"nE1568646_8A29_4498_8C6C_7219DE88E7DA","from":"nC196E133_4263_4398_B44A_B3053AC5D0E8","to":"nAC688165_B606_4D82_A016_0263D701EDF2","label":"is"}</v>
      </c>
    </row>
    <row r="50" spans="1:5" ht="13.9" thickTop="1" thickBot="1" x14ac:dyDescent="0.4">
      <c r="A50" s="21" t="str">
        <f>EdgesData[[#This Row],[Edge ID]]</f>
        <v>n0A451CF0_22E0_44D3_AB03_3E608F7531FA</v>
      </c>
      <c r="B50" s="21" t="str">
        <f>EdgesData[[#This Row],[Node A ID]]</f>
        <v>nE9C9661B_8C28_413E_A8E3_A720E03C04B7</v>
      </c>
      <c r="C50" s="21" t="str">
        <f>EdgesData[[#This Row],[Node B ID]]</f>
        <v>n23656C0A_A156_405F_9FF8_7AE62FD6FB07</v>
      </c>
      <c r="D50" s="3" t="str">
        <f>EdgesData[[#This Row],[Rel]]</f>
        <v>is</v>
      </c>
      <c r="E50" s="25" t="str" cm="1">
        <f t="array" ref="E50">IF(ROW(EdgesJSON[[#This Row],[id]])&gt;ROW(EdgesJSON[[#Headers],[JSON]])+1,",","") &amp;"{"&amp;twoRangesToJSON(EdgesJSON[[#Headers],[id]:[label]],EdgesJSON[[#This Row],[id]:[label]])&amp;"}"</f>
        <v>,{"id":"n0A451CF0_22E0_44D3_AB03_3E608F7531FA","from":"nE9C9661B_8C28_413E_A8E3_A720E03C04B7","to":"n23656C0A_A156_405F_9FF8_7AE62FD6FB07","label":"is"}</v>
      </c>
    </row>
    <row r="51" spans="1:5" ht="13.9" thickTop="1" thickBot="1" x14ac:dyDescent="0.4">
      <c r="A51" s="27" t="str">
        <f>EdgesData[[#This Row],[Edge ID]]</f>
        <v>nE8DE4BFE_8184_4CDB_AB2B_F5BBB01DDEC9</v>
      </c>
      <c r="B51" s="27" t="str">
        <f>EdgesData[[#This Row],[Node A ID]]</f>
        <v>n23656C0A_A156_405F_9FF8_7AE62FD6FB07</v>
      </c>
      <c r="C51" s="27" t="str">
        <f>EdgesData[[#This Row],[Node B ID]]</f>
        <v>nBC613B66_5F94_4F48_91BD_5F6BBA766E79</v>
      </c>
      <c r="D51" s="4" t="str">
        <f>EdgesData[[#This Row],[Rel]]</f>
        <v>is</v>
      </c>
      <c r="E51" s="25" t="str" cm="1">
        <f t="array" ref="E51">IF(ROW(EdgesJSON[[#This Row],[id]])&gt;ROW(EdgesJSON[[#Headers],[JSON]])+1,",","") &amp;"{"&amp;twoRangesToJSON(EdgesJSON[[#Headers],[id]:[label]],EdgesJSON[[#This Row],[id]:[label]])&amp;"}"</f>
        <v>,{"id":"nE8DE4BFE_8184_4CDB_AB2B_F5BBB01DDEC9","from":"n23656C0A_A156_405F_9FF8_7AE62FD6FB07","to":"nBC613B66_5F94_4F48_91BD_5F6BBA766E79","label":"is"}</v>
      </c>
    </row>
    <row r="52" spans="1:5" ht="13.9" thickTop="1" thickBot="1" x14ac:dyDescent="0.4">
      <c r="A52" s="27" t="str">
        <f>EdgesData[[#This Row],[Edge ID]]</f>
        <v>n4DCA1FCE_1B55_469F_A7BE_191D25CCF3FD</v>
      </c>
      <c r="B52" s="27" t="str">
        <f>EdgesData[[#This Row],[Node A ID]]</f>
        <v>nE9C9661B_8C28_413E_A8E3_A720E03C04B7</v>
      </c>
      <c r="C52" s="27" t="str">
        <f>EdgesData[[#This Row],[Node B ID]]</f>
        <v>n02B81E29_1266_4611_897E_FD90C5DD5788</v>
      </c>
      <c r="D52" s="4" t="str">
        <f>EdgesData[[#This Row],[Rel]]</f>
        <v>committed by</v>
      </c>
      <c r="E52" s="25" t="str" cm="1">
        <f t="array" ref="E52">IF(ROW(EdgesJSON[[#This Row],[id]])&gt;ROW(EdgesJSON[[#Headers],[JSON]])+1,",","") &amp;"{"&amp;twoRangesToJSON(EdgesJSON[[#Headers],[id]:[label]],EdgesJSON[[#This Row],[id]:[label]])&amp;"}"</f>
        <v>,{"id":"n4DCA1FCE_1B55_469F_A7BE_191D25CCF3FD","from":"nE9C9661B_8C28_413E_A8E3_A720E03C04B7","to":"n02B81E29_1266_4611_897E_FD90C5DD5788","label":"committed by"}</v>
      </c>
    </row>
    <row r="53" spans="1:5" ht="13.9" thickTop="1" thickBot="1" x14ac:dyDescent="0.4">
      <c r="A53" s="27" t="str">
        <f>EdgesData[[#This Row],[Edge ID]]</f>
        <v>n13EF72AA_08CA_410B_B24C_89AAA3D27701</v>
      </c>
      <c r="B53" s="27" t="str">
        <f>EdgesData[[#This Row],[Node A ID]]</f>
        <v>nE9C9661B_8C28_413E_A8E3_A720E03C04B7</v>
      </c>
      <c r="C53" s="27" t="str">
        <f>EdgesData[[#This Row],[Node B ID]]</f>
        <v>n89FBB4A6_DF18_465F_9DA3_BD367759F09E</v>
      </c>
      <c r="D53" s="4" t="str">
        <f>EdgesData[[#This Row],[Rel]]</f>
        <v>victimize</v>
      </c>
      <c r="E53" s="25" t="str" cm="1">
        <f t="array" ref="E53">IF(ROW(EdgesJSON[[#This Row],[id]])&gt;ROW(EdgesJSON[[#Headers],[JSON]])+1,",","") &amp;"{"&amp;twoRangesToJSON(EdgesJSON[[#Headers],[id]:[label]],EdgesJSON[[#This Row],[id]:[label]])&amp;"}"</f>
        <v>,{"id":"n13EF72AA_08CA_410B_B24C_89AAA3D27701","from":"nE9C9661B_8C28_413E_A8E3_A720E03C04B7","to":"n89FBB4A6_DF18_465F_9DA3_BD367759F09E","label":"victimize"}</v>
      </c>
    </row>
    <row r="54" spans="1:5" ht="13.9" thickTop="1" thickBot="1" x14ac:dyDescent="0.4">
      <c r="A54" s="27" t="str">
        <f>EdgesData[[#This Row],[Edge ID]]</f>
        <v>nB26195B6_F9CB_4615_844F_03A801F54319</v>
      </c>
      <c r="B54" s="27" t="str">
        <f>EdgesData[[#This Row],[Node A ID]]</f>
        <v>n02B81E29_1266_4611_897E_FD90C5DD5788</v>
      </c>
      <c r="C54" s="27" t="str">
        <f>EdgesData[[#This Row],[Node B ID]]</f>
        <v>n65057A73_5E5D_4997_843D_70FCDDBF4863</v>
      </c>
      <c r="D54" s="4" t="str">
        <f>EdgesData[[#This Row],[Rel]]</f>
        <v>control</v>
      </c>
      <c r="E54" s="25" t="str" cm="1">
        <f t="array" ref="E54">IF(ROW(EdgesJSON[[#This Row],[id]])&gt;ROW(EdgesJSON[[#Headers],[JSON]])+1,",","") &amp;"{"&amp;twoRangesToJSON(EdgesJSON[[#Headers],[id]:[label]],EdgesJSON[[#This Row],[id]:[label]])&amp;"}"</f>
        <v>,{"id":"nB26195B6_F9CB_4615_844F_03A801F54319","from":"n02B81E29_1266_4611_897E_FD90C5DD5788","to":"n65057A73_5E5D_4997_843D_70FCDDBF4863","label":"control"}</v>
      </c>
    </row>
    <row r="55" spans="1:5" ht="13.9" thickTop="1" thickBot="1" x14ac:dyDescent="0.4">
      <c r="A55" s="27" t="str">
        <f>EdgesData[[#This Row],[Edge ID]]</f>
        <v>n7E6F3531_1C90_4207_87E3_03DC75297CD1</v>
      </c>
      <c r="B55" s="27" t="str">
        <f>EdgesData[[#This Row],[Node A ID]]</f>
        <v>n89FBB4A6_DF18_465F_9DA3_BD367759F09E</v>
      </c>
      <c r="C55" s="27" t="str">
        <f>EdgesData[[#This Row],[Node B ID]]</f>
        <v>n65057A73_5E5D_4997_843D_70FCDDBF4863</v>
      </c>
      <c r="D55" s="4" t="str">
        <f>EdgesData[[#This Row],[Rel]]</f>
        <v>owns</v>
      </c>
      <c r="E55" s="25" t="str" cm="1">
        <f t="array" ref="E55">IF(ROW(EdgesJSON[[#This Row],[id]])&gt;ROW(EdgesJSON[[#Headers],[JSON]])+1,",","") &amp;"{"&amp;twoRangesToJSON(EdgesJSON[[#Headers],[id]:[label]],EdgesJSON[[#This Row],[id]:[label]])&amp;"}"</f>
        <v>,{"id":"n7E6F3531_1C90_4207_87E3_03DC75297CD1","from":"n89FBB4A6_DF18_465F_9DA3_BD367759F09E","to":"n65057A73_5E5D_4997_843D_70FCDDBF4863","label":"owns"}</v>
      </c>
    </row>
    <row r="56" spans="1:5" ht="13.9" thickTop="1" thickBot="1" x14ac:dyDescent="0.4">
      <c r="A56" s="27" t="str">
        <f>EdgesData[[#This Row],[Edge ID]]</f>
        <v>n486B9FB2_ED32_4106_B93F_8269064F6641</v>
      </c>
      <c r="B56" s="27" t="str">
        <f>EdgesData[[#This Row],[Node A ID]]</f>
        <v>n02B81E29_1266_4611_897E_FD90C5DD5788</v>
      </c>
      <c r="C56" s="27" t="str">
        <f>EdgesData[[#This Row],[Node B ID]]</f>
        <v>n89FBB4A6_DF18_465F_9DA3_BD367759F09E</v>
      </c>
      <c r="D56" s="4" t="str">
        <f>EdgesData[[#This Row],[Rel]]</f>
        <v>distinct from</v>
      </c>
      <c r="E56" s="25" t="str" cm="1">
        <f t="array" ref="E56">IF(ROW(EdgesJSON[[#This Row],[id]])&gt;ROW(EdgesJSON[[#Headers],[JSON]])+1,",","") &amp;"{"&amp;twoRangesToJSON(EdgesJSON[[#Headers],[id]:[label]],EdgesJSON[[#This Row],[id]:[label]])&amp;"}"</f>
        <v>,{"id":"n486B9FB2_ED32_4106_B93F_8269064F6641","from":"n02B81E29_1266_4611_897E_FD90C5DD5788","to":"n89FBB4A6_DF18_465F_9DA3_BD367759F09E","label":"distinct from"}</v>
      </c>
    </row>
    <row r="57" spans="1:5" ht="13.9" thickTop="1" thickBot="1" x14ac:dyDescent="0.4">
      <c r="A57" s="27" t="str">
        <f>EdgesData[[#This Row],[Edge ID]]</f>
        <v>nB02D7F5B_26E1_4631_97FB_9B92CB3DD9A1</v>
      </c>
      <c r="B57" s="27" t="str">
        <f>EdgesData[[#This Row],[Node A ID]]</f>
        <v>n4FA68550_C829_46CD_ADC2_9BE67FA41543</v>
      </c>
      <c r="C57" s="27" t="str">
        <f>EdgesData[[#This Row],[Node B ID]]</f>
        <v>n52564682_5FAD_48CB_A320_6CFE17950D03</v>
      </c>
      <c r="D57" s="4" t="str">
        <f>EdgesData[[#This Row],[Rel]]</f>
        <v>may be</v>
      </c>
      <c r="E57" s="25" t="str" cm="1">
        <f t="array" ref="E57">IF(ROW(EdgesJSON[[#This Row],[id]])&gt;ROW(EdgesJSON[[#Headers],[JSON]])+1,",","") &amp;"{"&amp;twoRangesToJSON(EdgesJSON[[#Headers],[id]:[label]],EdgesJSON[[#This Row],[id]:[label]])&amp;"}"</f>
        <v>,{"id":"nB02D7F5B_26E1_4631_97FB_9B92CB3DD9A1","from":"n4FA68550_C829_46CD_ADC2_9BE67FA41543","to":"n52564682_5FAD_48CB_A320_6CFE17950D03","label":"may be"}</v>
      </c>
    </row>
    <row r="58" spans="1:5" ht="13.9" thickTop="1" thickBot="1" x14ac:dyDescent="0.4">
      <c r="A58" s="27" t="str">
        <f>EdgesData[[#This Row],[Edge ID]]</f>
        <v>nD595CAD7_ED6F_44F0_86BB_0C88B965A46D</v>
      </c>
      <c r="B58" s="27" t="str">
        <f>EdgesData[[#This Row],[Node A ID]]</f>
        <v>n4FA68550_C829_46CD_ADC2_9BE67FA41543</v>
      </c>
      <c r="C58" s="27" t="str">
        <f>EdgesData[[#This Row],[Node B ID]]</f>
        <v>nA59D49F8_3819_4341_A310_19C77AB08AAB</v>
      </c>
      <c r="D58" s="4" t="str">
        <f>EdgesData[[#This Row],[Rel]]</f>
        <v>may be</v>
      </c>
      <c r="E58" s="25" t="str" cm="1">
        <f t="array" ref="E58">IF(ROW(EdgesJSON[[#This Row],[id]])&gt;ROW(EdgesJSON[[#Headers],[JSON]])+1,",","") &amp;"{"&amp;twoRangesToJSON(EdgesJSON[[#Headers],[id]:[label]],EdgesJSON[[#This Row],[id]:[label]])&amp;"}"</f>
        <v>,{"id":"nD595CAD7_ED6F_44F0_86BB_0C88B965A46D","from":"n4FA68550_C829_46CD_ADC2_9BE67FA41543","to":"nA59D49F8_3819_4341_A310_19C77AB08AAB","label":"may be"}</v>
      </c>
    </row>
    <row r="59" spans="1:5" ht="13.9" thickTop="1" thickBot="1" x14ac:dyDescent="0.4">
      <c r="A59" s="27" t="str">
        <f>EdgesData[[#This Row],[Edge ID]]</f>
        <v>n0D36835E_CF22_467A_933C_A4A55A23D57C</v>
      </c>
      <c r="B59" s="27" t="str">
        <f>EdgesData[[#This Row],[Node A ID]]</f>
        <v>n4FA68550_C829_46CD_ADC2_9BE67FA41543</v>
      </c>
      <c r="C59" s="27" t="str">
        <f>EdgesData[[#This Row],[Node B ID]]</f>
        <v>nC0AF8721_A868_4A4D_9F85_3A6D9B88B489</v>
      </c>
      <c r="D59" s="4" t="str">
        <f>EdgesData[[#This Row],[Rel]]</f>
        <v>may be</v>
      </c>
      <c r="E59" s="25" t="str" cm="1">
        <f t="array" ref="E59">IF(ROW(EdgesJSON[[#This Row],[id]])&gt;ROW(EdgesJSON[[#Headers],[JSON]])+1,",","") &amp;"{"&amp;twoRangesToJSON(EdgesJSON[[#Headers],[id]:[label]],EdgesJSON[[#This Row],[id]:[label]])&amp;"}"</f>
        <v>,{"id":"n0D36835E_CF22_467A_933C_A4A55A23D57C","from":"n4FA68550_C829_46CD_ADC2_9BE67FA41543","to":"nC0AF8721_A868_4A4D_9F85_3A6D9B88B489","label":"may be"}</v>
      </c>
    </row>
    <row r="60" spans="1:5" ht="13.9" thickTop="1" thickBot="1" x14ac:dyDescent="0.4">
      <c r="A60" s="27" t="str">
        <f>EdgesData[[#This Row],[Edge ID]]</f>
        <v>nCB175E38_E6C9_499C_9540_9A5CB69E8E36</v>
      </c>
      <c r="B60" s="27" t="str">
        <f>EdgesData[[#This Row],[Node A ID]]</f>
        <v>n02B81E29_1266_4611_897E_FD90C5DD5788</v>
      </c>
      <c r="C60" s="27" t="str">
        <f>EdgesData[[#This Row],[Node B ID]]</f>
        <v>n4E7B27FA_8562_4EC8_869A_378A5937334A</v>
      </c>
      <c r="D60" s="4" t="str">
        <f>EdgesData[[#This Row],[Rel]]</f>
        <v>has not</v>
      </c>
      <c r="E60" s="25" t="str" cm="1">
        <f t="array" ref="E60">IF(ROW(EdgesJSON[[#This Row],[id]])&gt;ROW(EdgesJSON[[#Headers],[JSON]])+1,",","") &amp;"{"&amp;twoRangesToJSON(EdgesJSON[[#Headers],[id]:[label]],EdgesJSON[[#This Row],[id]:[label]])&amp;"}"</f>
        <v>,{"id":"nCB175E38_E6C9_499C_9540_9A5CB69E8E36","from":"n02B81E29_1266_4611_897E_FD90C5DD5788","to":"n4E7B27FA_8562_4EC8_869A_378A5937334A","label":"has not"}</v>
      </c>
    </row>
    <row r="61" spans="1:5" ht="13.9" thickTop="1" thickBot="1" x14ac:dyDescent="0.4">
      <c r="A61" s="27" t="str">
        <f>EdgesData[[#This Row],[Edge ID]]</f>
        <v>n17260B5F_F54A_4609_A340_8AF19FDCD912</v>
      </c>
      <c r="B61" s="27" t="str">
        <f>EdgesData[[#This Row],[Node A ID]]</f>
        <v>n89FBB4A6_DF18_465F_9DA3_BD367759F09E</v>
      </c>
      <c r="C61" s="27" t="str">
        <f>EdgesData[[#This Row],[Node B ID]]</f>
        <v>n4E7B27FA_8562_4EC8_869A_378A5937334A</v>
      </c>
      <c r="D61" s="4" t="str">
        <f>EdgesData[[#This Row],[Rel]]</f>
        <v>has</v>
      </c>
      <c r="E61" s="25" t="str" cm="1">
        <f t="array" ref="E61">IF(ROW(EdgesJSON[[#This Row],[id]])&gt;ROW(EdgesJSON[[#Headers],[JSON]])+1,",","") &amp;"{"&amp;twoRangesToJSON(EdgesJSON[[#Headers],[id]:[label]],EdgesJSON[[#This Row],[id]:[label]])&amp;"}"</f>
        <v>,{"id":"n17260B5F_F54A_4609_A340_8AF19FDCD912","from":"n89FBB4A6_DF18_465F_9DA3_BD367759F09E","to":"n4E7B27FA_8562_4EC8_869A_378A5937334A","label":"has"}</v>
      </c>
    </row>
    <row r="62" spans="1:5" ht="13.9" thickTop="1" thickBot="1" x14ac:dyDescent="0.4">
      <c r="A62" s="27" t="str">
        <f>EdgesData[[#This Row],[Edge ID]]</f>
        <v>n0C8BC5FF_37C2_4FD1_990A_A9B822774FB2</v>
      </c>
      <c r="B62" s="27" t="str">
        <f>EdgesData[[#This Row],[Node A ID]]</f>
        <v>nE9C9661B_8C28_413E_A8E3_A720E03C04B7</v>
      </c>
      <c r="C62" s="27" t="str">
        <f>EdgesData[[#This Row],[Node B ID]]</f>
        <v>nE0352234_7814_467F_8B8B_EF900BACC357</v>
      </c>
      <c r="D62" s="4" t="str">
        <f>EdgesData[[#This Row],[Rel]]</f>
        <v>is</v>
      </c>
      <c r="E62" s="25" t="str" cm="1">
        <f t="array" ref="E62">IF(ROW(EdgesJSON[[#This Row],[id]])&gt;ROW(EdgesJSON[[#Headers],[JSON]])+1,",","") &amp;"{"&amp;twoRangesToJSON(EdgesJSON[[#Headers],[id]:[label]],EdgesJSON[[#This Row],[id]:[label]])&amp;"}"</f>
        <v>,{"id":"n0C8BC5FF_37C2_4FD1_990A_A9B822774FB2","from":"nE9C9661B_8C28_413E_A8E3_A720E03C04B7","to":"nE0352234_7814_467F_8B8B_EF900BACC357","label":"is"}</v>
      </c>
    </row>
    <row r="63" spans="1:5" ht="13.9" thickTop="1" thickBot="1" x14ac:dyDescent="0.4">
      <c r="A63" s="27" t="str">
        <f>EdgesData[[#This Row],[Edge ID]]</f>
        <v>n228330D7_7E4B_46EA_A89C_F44DF98A27FA</v>
      </c>
      <c r="B63" s="27" t="str">
        <f>EdgesData[[#This Row],[Node A ID]]</f>
        <v>n4E7B27FA_8562_4EC8_869A_378A5937334A</v>
      </c>
      <c r="C63" s="27" t="str">
        <f>EdgesData[[#This Row],[Node B ID]]</f>
        <v>n2D85F484_089E_4E23_B816_91EC7B0A8538</v>
      </c>
      <c r="D63" s="4" t="str">
        <f>EdgesData[[#This Row],[Rel]]</f>
        <v>to impersonate</v>
      </c>
      <c r="E63" s="25" t="str" cm="1">
        <f t="array" ref="E63">IF(ROW(EdgesJSON[[#This Row],[id]])&gt;ROW(EdgesJSON[[#Headers],[JSON]])+1,",","") &amp;"{"&amp;twoRangesToJSON(EdgesJSON[[#Headers],[id]:[label]],EdgesJSON[[#This Row],[id]:[label]])&amp;"}"</f>
        <v>,{"id":"n228330D7_7E4B_46EA_A89C_F44DF98A27FA","from":"n4E7B27FA_8562_4EC8_869A_378A5937334A","to":"n2D85F484_089E_4E23_B816_91EC7B0A8538","label":"to impersonate"}</v>
      </c>
    </row>
    <row r="64" spans="1:5" ht="13.9" thickTop="1" thickBot="1" x14ac:dyDescent="0.4">
      <c r="A64" s="27" t="str">
        <f>EdgesData[[#This Row],[Edge ID]]</f>
        <v>n7E99EFA2_7827_4773_91E4_D9B34E3CAA5A</v>
      </c>
      <c r="B64" s="27" t="str">
        <f>EdgesData[[#This Row],[Node A ID]]</f>
        <v>n02B81E29_1266_4611_897E_FD90C5DD5788</v>
      </c>
      <c r="C64" s="27" t="str">
        <f>EdgesData[[#This Row],[Node B ID]]</f>
        <v>n4FA68550_C829_46CD_ADC2_9BE67FA41543</v>
      </c>
      <c r="D64" s="4" t="str">
        <f>EdgesData[[#This Row],[Rel]]</f>
        <v>has</v>
      </c>
      <c r="E64" s="25" t="str" cm="1">
        <f t="array" ref="E64">IF(ROW(EdgesJSON[[#This Row],[id]])&gt;ROW(EdgesJSON[[#Headers],[JSON]])+1,",","") &amp;"{"&amp;twoRangesToJSON(EdgesJSON[[#Headers],[id]:[label]],EdgesJSON[[#This Row],[id]:[label]])&amp;"}"</f>
        <v>,{"id":"n7E99EFA2_7827_4773_91E4_D9B34E3CAA5A","from":"n02B81E29_1266_4611_897E_FD90C5DD5788","to":"n4FA68550_C829_46CD_ADC2_9BE67FA41543","label":"has"}</v>
      </c>
    </row>
    <row r="65" spans="1:5" ht="13.9" thickTop="1" thickBot="1" x14ac:dyDescent="0.4">
      <c r="A65" s="27" t="str">
        <f>EdgesData[[#This Row],[Edge ID]]</f>
        <v>n0028F731_EC86_4C20_B77F_946A63CC2AC9</v>
      </c>
      <c r="B65" s="27" t="str">
        <f>EdgesData[[#This Row],[Node A ID]]</f>
        <v>nA59D49F8_3819_4341_A310_19C77AB08AAB</v>
      </c>
      <c r="C65" s="27" t="str">
        <f>EdgesData[[#This Row],[Node B ID]]</f>
        <v>n89FBB4A6_DF18_465F_9DA3_BD367759F09E</v>
      </c>
      <c r="D65" s="4" t="str">
        <f>EdgesData[[#This Row],[Rel]]</f>
        <v>to</v>
      </c>
      <c r="E65" s="25" t="str" cm="1">
        <f t="array" ref="E65">IF(ROW(EdgesJSON[[#This Row],[id]])&gt;ROW(EdgesJSON[[#Headers],[JSON]])+1,",","") &amp;"{"&amp;twoRangesToJSON(EdgesJSON[[#Headers],[id]:[label]],EdgesJSON[[#This Row],[id]:[label]])&amp;"}"</f>
        <v>,{"id":"n0028F731_EC86_4C20_B77F_946A63CC2AC9","from":"nA59D49F8_3819_4341_A310_19C77AB08AAB","to":"n89FBB4A6_DF18_465F_9DA3_BD367759F09E","label":"to"}</v>
      </c>
    </row>
    <row r="66" spans="1:5" ht="13.15" thickTop="1" x14ac:dyDescent="0.35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EBCB-44CD-4DDA-90F7-D5220F1CA51F}">
  <sheetPr codeName="Sheet2"/>
  <dimension ref="A2:C521"/>
  <sheetViews>
    <sheetView workbookViewId="0">
      <selection activeCell="B21" sqref="B21"/>
    </sheetView>
  </sheetViews>
  <sheetFormatPr defaultRowHeight="12.75" x14ac:dyDescent="0.35"/>
  <cols>
    <col min="1" max="1" width="73.46484375" customWidth="1"/>
    <col min="2" max="2" width="90.3984375" customWidth="1"/>
    <col min="3" max="3" width="119.53125" customWidth="1"/>
  </cols>
  <sheetData>
    <row r="2" spans="1:3" x14ac:dyDescent="0.35">
      <c r="A2" s="7" t="s">
        <v>1269</v>
      </c>
    </row>
    <row r="4" spans="1:3" x14ac:dyDescent="0.35">
      <c r="A4" s="7" t="s">
        <v>522</v>
      </c>
      <c r="B4" s="7" t="s">
        <v>521</v>
      </c>
      <c r="C4" s="7" t="s">
        <v>520</v>
      </c>
    </row>
    <row r="5" spans="1:3" x14ac:dyDescent="0.35">
      <c r="A5" s="5" t="s">
        <v>5</v>
      </c>
      <c r="B5" t="str">
        <f>SUBSTITUTE(CLEAN(A5)," (Dictionary Entry)","")</f>
        <v>4-Eyes Principle</v>
      </c>
      <c r="C5" s="6" t="str" cm="1">
        <f t="array" ref="C5">GetHyperlinkAddress(A5)</f>
        <v>https://open-measure.atlassian.net/wiki/spaces/DIC/pages/805175450/4-Eyes+Principle</v>
      </c>
    </row>
    <row r="6" spans="1:3" x14ac:dyDescent="0.35">
      <c r="A6" s="5" t="s">
        <v>6</v>
      </c>
      <c r="B6" t="str">
        <f t="shared" ref="B6:B69" si="0">SUBSTITUTE(CLEAN(A6)," (Dictionary Entry)","")</f>
        <v>Absolute Scale</v>
      </c>
      <c r="C6" s="6" t="str" cm="1">
        <f t="array" ref="C6">GetHyperlinkAddress(A6)</f>
        <v>https://open-measure.atlassian.net/wiki/spaces/DIC/pages/5932924/Absolute+Scale</v>
      </c>
    </row>
    <row r="7" spans="1:3" x14ac:dyDescent="0.35">
      <c r="A7" s="5" t="s">
        <v>7</v>
      </c>
      <c r="B7" t="str">
        <f t="shared" si="0"/>
        <v>Access</v>
      </c>
      <c r="C7" s="6" t="str" cm="1">
        <f t="array" ref="C7">GetHyperlinkAddress(A7)</f>
        <v>https://open-measure.atlassian.net/wiki/spaces/DIC/pages/123962347/Access</v>
      </c>
    </row>
    <row r="8" spans="1:3" x14ac:dyDescent="0.35">
      <c r="A8" s="5" t="s">
        <v>8</v>
      </c>
      <c r="B8" t="str">
        <f t="shared" si="0"/>
        <v>Access Audit</v>
      </c>
      <c r="C8" s="6" t="str" cm="1">
        <f t="array" ref="C8">GetHyperlinkAddress(A8)</f>
        <v>https://open-measure.atlassian.net/wiki/spaces/DIC/pages/1121878227</v>
      </c>
    </row>
    <row r="9" spans="1:3" x14ac:dyDescent="0.35">
      <c r="A9" s="5" t="s">
        <v>9</v>
      </c>
      <c r="B9" t="str">
        <f t="shared" si="0"/>
        <v>Access Continuum</v>
      </c>
      <c r="C9" s="6" t="str" cm="1">
        <f t="array" ref="C9">GetHyperlinkAddress(A9)</f>
        <v>https://open-measure.atlassian.net/wiki/spaces/DIC/pages/1034223816/Access+Continuum</v>
      </c>
    </row>
    <row r="10" spans="1:3" x14ac:dyDescent="0.35">
      <c r="A10" s="5" t="s">
        <v>10</v>
      </c>
      <c r="B10" t="str">
        <f t="shared" si="0"/>
        <v>Access Control</v>
      </c>
      <c r="C10" s="6" t="str" cm="1">
        <f t="array" ref="C10">GetHyperlinkAddress(A10)</f>
        <v>https://open-measure.atlassian.net/wiki/spaces/DIC/pages/427163781</v>
      </c>
    </row>
    <row r="11" spans="1:3" x14ac:dyDescent="0.35">
      <c r="A11" s="5" t="s">
        <v>11</v>
      </c>
      <c r="B11" t="str">
        <f t="shared" si="0"/>
        <v>Access Control List</v>
      </c>
      <c r="C11" s="6" t="str" cm="1">
        <f t="array" ref="C11">GetHyperlinkAddress(A11)</f>
        <v>https://open-measure.atlassian.net/wiki/spaces/DIC/pages/822345754</v>
      </c>
    </row>
    <row r="12" spans="1:3" x14ac:dyDescent="0.35">
      <c r="A12" s="5" t="s">
        <v>12</v>
      </c>
      <c r="B12" t="str">
        <f t="shared" si="0"/>
        <v>Access Control Mechanism</v>
      </c>
      <c r="C12" s="6" t="str" cm="1">
        <f t="array" ref="C12">GetHyperlinkAddress(A12)</f>
        <v>https://open-measure.atlassian.net/wiki/spaces/DIC/pages/67633606</v>
      </c>
    </row>
    <row r="13" spans="1:3" x14ac:dyDescent="0.35">
      <c r="A13" s="5" t="s">
        <v>13</v>
      </c>
      <c r="B13" t="str">
        <f t="shared" si="0"/>
        <v>Access Control Model</v>
      </c>
      <c r="C13" s="6" t="str" cm="1">
        <f t="array" ref="C13">GetHyperlinkAddress(A13)</f>
        <v>https://open-measure.atlassian.net/wiki/spaces/DIC/pages/67699193</v>
      </c>
    </row>
    <row r="14" spans="1:3" x14ac:dyDescent="0.35">
      <c r="A14" s="5" t="s">
        <v>14</v>
      </c>
      <c r="B14" t="str">
        <f t="shared" si="0"/>
        <v>Access Control Policy</v>
      </c>
      <c r="C14" s="6" t="str" cm="1">
        <f t="array" ref="C14">GetHyperlinkAddress(A14)</f>
        <v>https://open-measure.atlassian.net/wiki/spaces/DIC/pages/67633597</v>
      </c>
    </row>
    <row r="15" spans="1:3" x14ac:dyDescent="0.35">
      <c r="A15" s="5" t="s">
        <v>15</v>
      </c>
      <c r="B15" t="str">
        <f t="shared" si="0"/>
        <v>Access Granularity</v>
      </c>
      <c r="C15" s="6" t="str" cm="1">
        <f t="array" ref="C15">GetHyperlinkAddress(A15)</f>
        <v>https://open-measure.atlassian.net/wiki/spaces/DIC/pages/1006632974</v>
      </c>
    </row>
    <row r="16" spans="1:3" x14ac:dyDescent="0.35">
      <c r="A16" s="5" t="s">
        <v>16</v>
      </c>
      <c r="B16" t="str">
        <f t="shared" si="0"/>
        <v>Access Privilege</v>
      </c>
      <c r="C16" s="6" t="str" cm="1">
        <f t="array" ref="C16">GetHyperlinkAddress(A16)</f>
        <v>https://open-measure.atlassian.net/wiki/spaces/DIC/pages/1122631723</v>
      </c>
    </row>
    <row r="17" spans="1:3" x14ac:dyDescent="0.35">
      <c r="A17" s="5" t="s">
        <v>17</v>
      </c>
      <c r="B17" t="str">
        <f t="shared" si="0"/>
        <v>Access Right</v>
      </c>
      <c r="C17" s="6" t="str" cm="1">
        <f t="array" ref="C17">GetHyperlinkAddress(A17)</f>
        <v>https://open-measure.atlassian.net/wiki/spaces/DIC/pages/1122599013</v>
      </c>
    </row>
    <row r="18" spans="1:3" x14ac:dyDescent="0.35">
      <c r="A18" s="5" t="s">
        <v>18</v>
      </c>
      <c r="B18" t="str">
        <f t="shared" si="0"/>
        <v>Access Rights Management</v>
      </c>
      <c r="C18" s="6" t="str" cm="1">
        <f t="array" ref="C18">GetHyperlinkAddress(A18)</f>
        <v>https://open-measure.atlassian.net/wiki/spaces/DIC/pages/1704003</v>
      </c>
    </row>
    <row r="19" spans="1:3" x14ac:dyDescent="0.35">
      <c r="A19" s="5" t="s">
        <v>19</v>
      </c>
      <c r="B19" t="str">
        <f t="shared" si="0"/>
        <v>Access Token</v>
      </c>
      <c r="C19" s="6" t="str" cm="1">
        <f t="array" ref="C19">GetHyperlinkAddress(A19)</f>
        <v>https://open-measure.atlassian.net/wiki/spaces/DIC/pages/1600684040/Access+Token</v>
      </c>
    </row>
    <row r="20" spans="1:3" x14ac:dyDescent="0.35">
      <c r="A20" s="5" t="s">
        <v>20</v>
      </c>
      <c r="B20" t="str">
        <f t="shared" si="0"/>
        <v>Account</v>
      </c>
      <c r="C20" s="6" t="str" cm="1">
        <f t="array" ref="C20">GetHyperlinkAddress(A20)</f>
        <v>https://open-measure.atlassian.net/wiki/spaces/DIC/pages/461308120/Account</v>
      </c>
    </row>
    <row r="21" spans="1:3" x14ac:dyDescent="0.35">
      <c r="A21" s="5" t="s">
        <v>22</v>
      </c>
      <c r="B21" t="str">
        <f t="shared" si="0"/>
        <v>Account Lockout Policy</v>
      </c>
      <c r="C21" s="6" t="str" cm="1">
        <f t="array" ref="C21">GetHyperlinkAddress(A21)</f>
        <v>https://open-measure.atlassian.net/wiki/spaces/DIC/pages/67699360</v>
      </c>
    </row>
    <row r="22" spans="1:3" x14ac:dyDescent="0.35">
      <c r="A22" s="5" t="s">
        <v>23</v>
      </c>
      <c r="B22" t="str">
        <f t="shared" si="0"/>
        <v>Account Management</v>
      </c>
      <c r="C22" s="6" t="str" cm="1">
        <f t="array" ref="C22">GetHyperlinkAddress(A22)</f>
        <v>https://open-measure.atlassian.net/wiki/spaces/DIC/pages/1146847331</v>
      </c>
    </row>
    <row r="23" spans="1:3" x14ac:dyDescent="0.35">
      <c r="A23" s="5" t="s">
        <v>4</v>
      </c>
      <c r="B23" t="str">
        <f t="shared" si="0"/>
        <v>Account Takeover</v>
      </c>
      <c r="C23" s="6" t="str" cm="1">
        <f t="array" ref="C23">GetHyperlinkAddress(A23)</f>
        <v>https://open-measure.atlassian.net/wiki/spaces/DIC/pages/1079050286/Account+Takeover</v>
      </c>
    </row>
    <row r="24" spans="1:3" x14ac:dyDescent="0.35">
      <c r="A24" s="5" t="s">
        <v>21</v>
      </c>
      <c r="B24" t="str">
        <f t="shared" si="0"/>
        <v>Accountability (Dictionary Term)</v>
      </c>
      <c r="C24" s="6" t="str" cm="1">
        <f t="array" ref="C24">GetHyperlinkAddress(A24)</f>
        <v>https://open-measure.atlassian.net/wiki/spaces/DIC/pages/425623718</v>
      </c>
    </row>
    <row r="25" spans="1:3" x14ac:dyDescent="0.35">
      <c r="A25" s="5" t="s">
        <v>24</v>
      </c>
      <c r="B25" t="str">
        <f t="shared" si="0"/>
        <v>Accreditation</v>
      </c>
      <c r="C25" s="6" t="str" cm="1">
        <f t="array" ref="C25">GetHyperlinkAddress(A25)</f>
        <v>https://open-measure.atlassian.net/wiki/spaces/DIC/pages/446955580</v>
      </c>
    </row>
    <row r="26" spans="1:3" x14ac:dyDescent="0.35">
      <c r="A26" s="5" t="s">
        <v>25</v>
      </c>
      <c r="B26" t="str">
        <f t="shared" si="0"/>
        <v>Action Research</v>
      </c>
      <c r="C26" s="6" t="str" cm="1">
        <f t="array" ref="C26">GetHyperlinkAddress(A26)</f>
        <v>https://open-measure.atlassian.net/wiki/spaces/DIC/pages/73892144/Action+Research</v>
      </c>
    </row>
    <row r="27" spans="1:3" x14ac:dyDescent="0.35">
      <c r="A27" s="5" t="s">
        <v>26</v>
      </c>
      <c r="B27" t="str">
        <f t="shared" si="0"/>
        <v>Active Impersonation Attack</v>
      </c>
      <c r="C27" s="6" t="str" cm="1">
        <f t="array" ref="C27">GetHyperlinkAddress(A27)</f>
        <v>https://open-measure.atlassian.net/wiki/spaces/DIC/pages/974454812</v>
      </c>
    </row>
    <row r="28" spans="1:3" x14ac:dyDescent="0.35">
      <c r="A28" s="5" t="s">
        <v>27</v>
      </c>
      <c r="B28" t="str">
        <f t="shared" si="0"/>
        <v>Admissible Scale Transformation</v>
      </c>
      <c r="C28" s="6" t="str" cm="1">
        <f t="array" ref="C28">GetHyperlinkAddress(A28)</f>
        <v>https://open-measure.atlassian.net/wiki/spaces/DIC/pages/11141273</v>
      </c>
    </row>
    <row r="29" spans="1:3" x14ac:dyDescent="0.35">
      <c r="A29" s="5" t="s">
        <v>28</v>
      </c>
      <c r="B29" t="str">
        <f t="shared" si="0"/>
        <v>Algebra</v>
      </c>
      <c r="C29" s="6" t="str" cm="1">
        <f t="array" ref="C29">GetHyperlinkAddress(A29)</f>
        <v>https://open-measure.atlassian.net/wiki/spaces/DIC/pages/6030518</v>
      </c>
    </row>
    <row r="30" spans="1:3" x14ac:dyDescent="0.35">
      <c r="A30" s="5" t="s">
        <v>29</v>
      </c>
      <c r="B30" t="str">
        <f t="shared" si="0"/>
        <v>AP</v>
      </c>
      <c r="C30" s="6" t="str" cm="1">
        <f t="array" ref="C30">GetHyperlinkAddress(A30)</f>
        <v>https://open-measure.atlassian.net/wiki/spaces/DIC/pages/81101665/AP</v>
      </c>
    </row>
    <row r="31" spans="1:3" x14ac:dyDescent="0.35">
      <c r="A31" s="5" t="s">
        <v>30</v>
      </c>
      <c r="B31" t="str">
        <f t="shared" si="0"/>
        <v>Applicant</v>
      </c>
      <c r="C31" s="6" t="str" cm="1">
        <f t="array" ref="C31">GetHyperlinkAddress(A31)</f>
        <v>https://open-measure.atlassian.net/wiki/spaces/DIC/pages/848625750</v>
      </c>
    </row>
    <row r="32" spans="1:3" x14ac:dyDescent="0.35">
      <c r="A32" s="5" t="s">
        <v>31</v>
      </c>
      <c r="B32" t="str">
        <f t="shared" si="0"/>
        <v>Application</v>
      </c>
      <c r="C32" s="6" t="str" cm="1">
        <f t="array" ref="C32">GetHyperlinkAddress(A32)</f>
        <v>https://open-measure.atlassian.net/wiki/spaces/DIC/pages/5965602/Application</v>
      </c>
    </row>
    <row r="33" spans="1:3" x14ac:dyDescent="0.35">
      <c r="A33" s="5" t="s">
        <v>32</v>
      </c>
      <c r="B33" t="str">
        <f t="shared" si="0"/>
        <v>Application Administrator</v>
      </c>
      <c r="C33" s="6" t="str" cm="1">
        <f t="array" ref="C33">GetHyperlinkAddress(A33)</f>
        <v>https://open-measure.atlassian.net/wiki/spaces/DIC/pages/274236090</v>
      </c>
    </row>
    <row r="34" spans="1:3" x14ac:dyDescent="0.35">
      <c r="A34" s="5" t="s">
        <v>33</v>
      </c>
      <c r="B34" t="str">
        <f t="shared" si="0"/>
        <v>Application Instance</v>
      </c>
      <c r="C34" s="6" t="str" cm="1">
        <f t="array" ref="C34">GetHyperlinkAddress(A34)</f>
        <v>https://open-measure.atlassian.net/wiki/spaces/DIC/pages/834044036</v>
      </c>
    </row>
    <row r="35" spans="1:3" x14ac:dyDescent="0.35">
      <c r="A35" s="5" t="s">
        <v>35</v>
      </c>
      <c r="B35" t="str">
        <f t="shared" si="0"/>
        <v>Application Multiplexing</v>
      </c>
      <c r="C35" s="6" t="str" cm="1">
        <f t="array" ref="C35">GetHyperlinkAddress(A35)</f>
        <v>https://open-measure.atlassian.net/wiki/spaces/DIC/pages/1658355721/Application+Multiplexing</v>
      </c>
    </row>
    <row r="36" spans="1:3" x14ac:dyDescent="0.35">
      <c r="A36" s="5" t="s">
        <v>36</v>
      </c>
      <c r="B36" t="str">
        <f t="shared" si="0"/>
        <v>Application Package</v>
      </c>
      <c r="C36" s="6" t="str" cm="1">
        <f t="array" ref="C36">GetHyperlinkAddress(A36)</f>
        <v>https://open-measure.atlassian.net/wiki/spaces/DIC/pages/5932704</v>
      </c>
    </row>
    <row r="37" spans="1:3" x14ac:dyDescent="0.35">
      <c r="A37" s="5" t="s">
        <v>37</v>
      </c>
      <c r="B37" t="str">
        <f t="shared" si="0"/>
        <v>Application Program</v>
      </c>
      <c r="C37" s="6" t="str" cm="1">
        <f t="array" ref="C37">GetHyperlinkAddress(A37)</f>
        <v>https://open-measure.atlassian.net/wiki/spaces/DIC/pages/6030793/Application+Program</v>
      </c>
    </row>
    <row r="38" spans="1:3" x14ac:dyDescent="0.35">
      <c r="A38" s="5" t="s">
        <v>34</v>
      </c>
      <c r="B38" t="str">
        <f t="shared" si="0"/>
        <v>Application-Level Policy</v>
      </c>
      <c r="C38" s="6" t="str" cm="1">
        <f t="array" ref="C38">GetHyperlinkAddress(A38)</f>
        <v>https://open-measure.atlassian.net/wiki/spaces/DIC/pages/1122631854</v>
      </c>
    </row>
    <row r="39" spans="1:3" x14ac:dyDescent="0.35">
      <c r="A39" s="5" t="s">
        <v>38</v>
      </c>
      <c r="B39" t="str">
        <f t="shared" si="0"/>
        <v>Archive</v>
      </c>
      <c r="C39" s="6" t="str" cm="1">
        <f t="array" ref="C39">GetHyperlinkAddress(A39)</f>
        <v>https://open-measure.atlassian.net/wiki/spaces/DIC/pages/425197720</v>
      </c>
    </row>
    <row r="40" spans="1:3" x14ac:dyDescent="0.35">
      <c r="A40" s="5" t="s">
        <v>39</v>
      </c>
      <c r="B40" t="str">
        <f t="shared" si="0"/>
        <v>ARM</v>
      </c>
      <c r="C40" s="6" t="str" cm="1">
        <f t="array" ref="C40">GetHyperlinkAddress(A40)</f>
        <v>https://open-measure.atlassian.net/wiki/spaces/DIC/pages/1703994/ARM</v>
      </c>
    </row>
    <row r="41" spans="1:3" x14ac:dyDescent="0.35">
      <c r="A41" s="5" t="s">
        <v>40</v>
      </c>
      <c r="B41" t="str">
        <f t="shared" si="0"/>
        <v>Asset Custody</v>
      </c>
      <c r="C41" s="6" t="str" cm="1">
        <f t="array" ref="C41">GetHyperlinkAddress(A41)</f>
        <v>https://open-measure.atlassian.net/wiki/spaces/DIC/pages/1094516867</v>
      </c>
    </row>
    <row r="42" spans="1:3" x14ac:dyDescent="0.35">
      <c r="A42" s="5" t="s">
        <v>41</v>
      </c>
      <c r="B42" t="str">
        <f t="shared" si="0"/>
        <v>Attestation</v>
      </c>
      <c r="C42" s="6" t="str" cm="1">
        <f t="array" ref="C42">GetHyperlinkAddress(A42)</f>
        <v>https://open-measure.atlassian.net/wiki/spaces/DIC/pages/1323368851/Attestation</v>
      </c>
    </row>
    <row r="43" spans="1:3" x14ac:dyDescent="0.35">
      <c r="A43" s="5" t="s">
        <v>42</v>
      </c>
      <c r="B43" t="str">
        <f t="shared" si="0"/>
        <v>Attribute (Dictionary Entry - IAM)</v>
      </c>
      <c r="C43" s="6" t="str" cm="1">
        <f t="array" ref="C43">GetHyperlinkAddress(A43)</f>
        <v>https://open-measure.atlassian.net/wiki/spaces/DIC/pages/409174161</v>
      </c>
    </row>
    <row r="44" spans="1:3" x14ac:dyDescent="0.35">
      <c r="A44" s="5" t="s">
        <v>43</v>
      </c>
      <c r="B44" t="str">
        <f t="shared" si="0"/>
        <v>Attribute Provider</v>
      </c>
      <c r="C44" s="6" t="str" cm="1">
        <f t="array" ref="C44">GetHyperlinkAddress(A44)</f>
        <v>https://open-measure.atlassian.net/wiki/spaces/DIC/pages/81101655</v>
      </c>
    </row>
    <row r="45" spans="1:3" x14ac:dyDescent="0.35">
      <c r="A45" s="5" t="s">
        <v>44</v>
      </c>
      <c r="B45" t="str">
        <f t="shared" si="0"/>
        <v>Authenticated Users</v>
      </c>
      <c r="C45" s="6" t="str" cm="1">
        <f t="array" ref="C45">GetHyperlinkAddress(A45)</f>
        <v>https://open-measure.atlassian.net/wiki/spaces/DIC/pages/966492169</v>
      </c>
    </row>
    <row r="46" spans="1:3" x14ac:dyDescent="0.35">
      <c r="A46" s="5" t="s">
        <v>45</v>
      </c>
      <c r="B46" t="str">
        <f t="shared" si="0"/>
        <v>Authentication</v>
      </c>
      <c r="C46" s="6" t="str" cm="1">
        <f t="array" ref="C46">GetHyperlinkAddress(A46)</f>
        <v>https://open-measure.atlassian.net/wiki/spaces/DIC/pages/61177884</v>
      </c>
    </row>
    <row r="47" spans="1:3" x14ac:dyDescent="0.35">
      <c r="A47" s="5" t="s">
        <v>46</v>
      </c>
      <c r="B47" t="str">
        <f t="shared" si="0"/>
        <v>Authentication Factor</v>
      </c>
      <c r="C47" s="6" t="str" cm="1">
        <f t="array" ref="C47">GetHyperlinkAddress(A47)</f>
        <v>https://open-measure.atlassian.net/wiki/spaces/DIC/pages/81199158</v>
      </c>
    </row>
    <row r="48" spans="1:3" x14ac:dyDescent="0.35">
      <c r="A48" s="5" t="s">
        <v>47</v>
      </c>
      <c r="B48" t="str">
        <f t="shared" si="0"/>
        <v>Authenticator</v>
      </c>
      <c r="C48" s="6" t="str" cm="1">
        <f t="array" ref="C48">GetHyperlinkAddress(A48)</f>
        <v>https://open-measure.atlassian.net/wiki/spaces/DIC/pages/848724060</v>
      </c>
    </row>
    <row r="49" spans="1:3" x14ac:dyDescent="0.35">
      <c r="A49" s="5" t="s">
        <v>48</v>
      </c>
      <c r="B49" t="str">
        <f t="shared" si="0"/>
        <v>Authority</v>
      </c>
      <c r="C49" s="6" t="str" cm="1">
        <f t="array" ref="C49">GetHyperlinkAddress(A49)</f>
        <v>https://open-measure.atlassian.net/wiki/spaces/DIC/pages/998178905</v>
      </c>
    </row>
    <row r="50" spans="1:3" x14ac:dyDescent="0.35">
      <c r="A50" s="5" t="s">
        <v>49</v>
      </c>
      <c r="B50" t="str">
        <f t="shared" si="0"/>
        <v>Authorization</v>
      </c>
      <c r="C50" s="6" t="str" cm="1">
        <f t="array" ref="C50">GetHyperlinkAddress(A50)</f>
        <v>https://open-measure.atlassian.net/wiki/spaces/DIC/pages/60882993</v>
      </c>
    </row>
    <row r="51" spans="1:3" x14ac:dyDescent="0.35">
      <c r="A51" s="5" t="s">
        <v>50</v>
      </c>
      <c r="B51" t="str">
        <f t="shared" si="0"/>
        <v>Authorization Externalization</v>
      </c>
      <c r="C51" s="6" t="str" cm="1">
        <f t="array" ref="C51">GetHyperlinkAddress(A51)</f>
        <v>https://open-measure.atlassian.net/wiki/spaces/DIC/pages/1137573936/Authorization+Externalization</v>
      </c>
    </row>
    <row r="52" spans="1:3" x14ac:dyDescent="0.35">
      <c r="A52" s="5" t="s">
        <v>51</v>
      </c>
      <c r="B52" t="str">
        <f t="shared" si="0"/>
        <v>Awareness</v>
      </c>
      <c r="C52" s="6" t="str" cm="1">
        <f t="array" ref="C52">GetHyperlinkAddress(A52)</f>
        <v>https://open-measure.atlassian.net/wiki/spaces/DIC/pages/1311472</v>
      </c>
    </row>
    <row r="53" spans="1:3" x14ac:dyDescent="0.35">
      <c r="A53" s="5" t="s">
        <v>52</v>
      </c>
      <c r="B53" t="str">
        <f t="shared" si="0"/>
        <v>AWS Account Root User</v>
      </c>
      <c r="C53" s="6" t="str" cm="1">
        <f t="array" ref="C53">GetHyperlinkAddress(A53)</f>
        <v>https://open-measure.atlassian.net/wiki/spaces/DIC/pages/998277774</v>
      </c>
    </row>
    <row r="54" spans="1:3" x14ac:dyDescent="0.35">
      <c r="A54" s="5" t="s">
        <v>53</v>
      </c>
      <c r="B54" t="str">
        <f t="shared" si="0"/>
        <v>AWS ACL</v>
      </c>
      <c r="C54" s="6" t="str" cm="1">
        <f t="array" ref="C54">GetHyperlinkAddress(A54)</f>
        <v>https://open-measure.atlassian.net/wiki/spaces/DIC/pages/998245198</v>
      </c>
    </row>
    <row r="55" spans="1:3" x14ac:dyDescent="0.35">
      <c r="A55" s="5" t="s">
        <v>54</v>
      </c>
      <c r="B55" t="str">
        <f t="shared" si="0"/>
        <v>AWS IAM</v>
      </c>
      <c r="C55" s="6" t="str" cm="1">
        <f t="array" ref="C55">GetHyperlinkAddress(A55)</f>
        <v>https://open-measure.atlassian.net/wiki/spaces/DIC/pages/998277876</v>
      </c>
    </row>
    <row r="56" spans="1:3" x14ac:dyDescent="0.35">
      <c r="A56" s="5" t="s">
        <v>55</v>
      </c>
      <c r="B56" t="str">
        <f t="shared" si="0"/>
        <v>AWS IAM Group</v>
      </c>
      <c r="C56" s="6" t="str" cm="1">
        <f t="array" ref="C56">GetHyperlinkAddress(A56)</f>
        <v>https://open-measure.atlassian.net/wiki/spaces/DIC/pages/998277805</v>
      </c>
    </row>
    <row r="57" spans="1:3" x14ac:dyDescent="0.35">
      <c r="A57" s="5" t="s">
        <v>56</v>
      </c>
      <c r="B57" t="str">
        <f t="shared" si="0"/>
        <v>AWS IAM Policy</v>
      </c>
      <c r="C57" s="6" t="str" cm="1">
        <f t="array" ref="C57">GetHyperlinkAddress(A57)</f>
        <v>https://open-measure.atlassian.net/wiki/spaces/DIC/pages/998277852</v>
      </c>
    </row>
    <row r="58" spans="1:3" x14ac:dyDescent="0.35">
      <c r="A58" s="5" t="s">
        <v>57</v>
      </c>
      <c r="B58" t="str">
        <f t="shared" si="0"/>
        <v>AWS IAM Principal</v>
      </c>
      <c r="C58" s="6" t="str" cm="1">
        <f t="array" ref="C58">GetHyperlinkAddress(A58)</f>
        <v>https://open-measure.atlassian.net/wiki/spaces/DIC/pages/1071251573</v>
      </c>
    </row>
    <row r="59" spans="1:3" x14ac:dyDescent="0.35">
      <c r="A59" s="5" t="s">
        <v>58</v>
      </c>
      <c r="B59" t="str">
        <f t="shared" si="0"/>
        <v>AWS IAM Role</v>
      </c>
      <c r="C59" s="6" t="str" cm="1">
        <f t="array" ref="C59">GetHyperlinkAddress(A59)</f>
        <v>https://open-measure.atlassian.net/wiki/spaces/DIC/pages/998245151</v>
      </c>
    </row>
    <row r="60" spans="1:3" x14ac:dyDescent="0.35">
      <c r="A60" s="5" t="s">
        <v>59</v>
      </c>
      <c r="B60" t="str">
        <f t="shared" si="0"/>
        <v>AWS IAM Temporary Security Credentials</v>
      </c>
      <c r="C60" s="6" t="str" cm="1">
        <f t="array" ref="C60">GetHyperlinkAddress(A60)</f>
        <v>https://open-measure.atlassian.net/wiki/spaces/DIC/pages/998277835</v>
      </c>
    </row>
    <row r="61" spans="1:3" x14ac:dyDescent="0.35">
      <c r="A61" s="5" t="s">
        <v>60</v>
      </c>
      <c r="B61" t="str">
        <f t="shared" si="0"/>
        <v>AWS IAM User</v>
      </c>
      <c r="C61" s="6" t="str" cm="1">
        <f t="array" ref="C61">GetHyperlinkAddress(A61)</f>
        <v>https://open-measure.atlassian.net/wiki/spaces/DIC/pages/998245125</v>
      </c>
    </row>
    <row r="62" spans="1:3" x14ac:dyDescent="0.35">
      <c r="A62" s="5" t="s">
        <v>61</v>
      </c>
      <c r="B62" t="str">
        <f t="shared" si="0"/>
        <v>Axioms of Conjointness</v>
      </c>
      <c r="C62" s="6" t="str" cm="1">
        <f t="array" ref="C62">GetHyperlinkAddress(A62)</f>
        <v>https://open-measure.atlassian.net/wiki/spaces/DIC/pages/5899336</v>
      </c>
    </row>
    <row r="63" spans="1:3" x14ac:dyDescent="0.35">
      <c r="A63" s="5" t="s">
        <v>62</v>
      </c>
      <c r="B63" t="str">
        <f t="shared" si="0"/>
        <v>Axioms of Difference</v>
      </c>
      <c r="C63" s="6" t="str" cm="1">
        <f t="array" ref="C63">GetHyperlinkAddress(A63)</f>
        <v>https://open-measure.atlassian.net/wiki/spaces/DIC/pages/5899322</v>
      </c>
    </row>
    <row r="64" spans="1:3" x14ac:dyDescent="0.35">
      <c r="A64" s="5" t="s">
        <v>63</v>
      </c>
      <c r="B64" t="str">
        <f t="shared" si="0"/>
        <v>Axioms of Extension</v>
      </c>
      <c r="C64" s="6" t="str" cm="1">
        <f t="array" ref="C64">GetHyperlinkAddress(A64)</f>
        <v>https://open-measure.atlassian.net/wiki/spaces/DIC/pages/5932067</v>
      </c>
    </row>
    <row r="65" spans="1:3" x14ac:dyDescent="0.35">
      <c r="A65" s="5" t="s">
        <v>64</v>
      </c>
      <c r="B65" t="str">
        <f t="shared" si="0"/>
        <v>Axioms of Geometry</v>
      </c>
      <c r="C65" s="6" t="str" cm="1">
        <f t="array" ref="C65">GetHyperlinkAddress(A65)</f>
        <v>https://open-measure.atlassian.net/wiki/spaces/DIC/pages/5899351</v>
      </c>
    </row>
    <row r="66" spans="1:3" x14ac:dyDescent="0.35">
      <c r="A66" s="5" t="s">
        <v>65</v>
      </c>
      <c r="B66" t="str">
        <f t="shared" si="0"/>
        <v>Axioms of Order</v>
      </c>
      <c r="C66" s="6" t="str" cm="1">
        <f t="array" ref="C66">GetHyperlinkAddress(A66)</f>
        <v>https://open-measure.atlassian.net/wiki/spaces/DIC/pages/5965008</v>
      </c>
    </row>
    <row r="67" spans="1:3" x14ac:dyDescent="0.35">
      <c r="A67" s="5" t="s">
        <v>66</v>
      </c>
      <c r="B67" t="str">
        <f t="shared" si="0"/>
        <v>Balance</v>
      </c>
      <c r="C67" s="6" t="str" cm="1">
        <f t="array" ref="C67">GetHyperlinkAddress(A67)</f>
        <v>https://open-measure.atlassian.net/wiki/spaces/DIC/pages/59441158</v>
      </c>
    </row>
    <row r="68" spans="1:3" x14ac:dyDescent="0.35">
      <c r="A68" s="5" t="s">
        <v>67</v>
      </c>
      <c r="B68" t="str">
        <f t="shared" si="0"/>
        <v>BankID</v>
      </c>
      <c r="C68" s="6" t="str" cm="1">
        <f t="array" ref="C68">GetHyperlinkAddress(A68)</f>
        <v>https://open-measure.atlassian.net/wiki/spaces/DIC/pages/797933843</v>
      </c>
    </row>
    <row r="69" spans="1:3" x14ac:dyDescent="0.35">
      <c r="A69" s="5" t="s">
        <v>68</v>
      </c>
      <c r="B69" t="str">
        <f t="shared" si="0"/>
        <v>Basic Indicator</v>
      </c>
      <c r="C69" s="6" t="str" cm="1">
        <f t="array" ref="C69">GetHyperlinkAddress(A69)</f>
        <v>https://open-measure.atlassian.net/wiki/spaces/DIC/pages/43581631</v>
      </c>
    </row>
    <row r="70" spans="1:3" x14ac:dyDescent="0.35">
      <c r="A70" s="5" t="s">
        <v>69</v>
      </c>
      <c r="B70" t="str">
        <f t="shared" ref="B70:B133" si="1">SUBSTITUTE(CLEAN(A70)," (Dictionary Entry)","")</f>
        <v>Basic Z Rule</v>
      </c>
      <c r="C70" s="6" t="str" cm="1">
        <f t="array" ref="C70">GetHyperlinkAddress(A70)</f>
        <v>https://open-measure.atlassian.net/wiki/spaces/DIC/pages/1228079157</v>
      </c>
    </row>
    <row r="71" spans="1:3" x14ac:dyDescent="0.35">
      <c r="A71" s="5" t="s">
        <v>70</v>
      </c>
      <c r="B71" t="str">
        <f t="shared" si="1"/>
        <v>Behavioral Authentication</v>
      </c>
      <c r="C71" s="6" t="str" cm="1">
        <f t="array" ref="C71">GetHyperlinkAddress(A71)</f>
        <v>https://open-measure.atlassian.net/wiki/spaces/DIC/pages/1673527501/Behavioral+Authentication</v>
      </c>
    </row>
    <row r="72" spans="1:3" x14ac:dyDescent="0.35">
      <c r="A72" s="5" t="s">
        <v>71</v>
      </c>
      <c r="B72" t="str">
        <f t="shared" si="1"/>
        <v>Behavioural Indicator</v>
      </c>
      <c r="C72" s="6" t="str" cm="1">
        <f t="array" ref="C72">GetHyperlinkAddress(A72)</f>
        <v>https://open-measure.atlassian.net/wiki/spaces/DIC/pages/49250383</v>
      </c>
    </row>
    <row r="73" spans="1:3" x14ac:dyDescent="0.35">
      <c r="A73" s="5" t="s">
        <v>72</v>
      </c>
      <c r="B73" t="str">
        <f t="shared" si="1"/>
        <v>Bell-LaPadula Model</v>
      </c>
      <c r="C73" s="6" t="str" cm="1">
        <f t="array" ref="C73">GetHyperlinkAddress(A73)</f>
        <v>https://open-measure.atlassian.net/wiki/spaces/DIC/pages/1237549087/Bell-LaPadula+Model</v>
      </c>
    </row>
    <row r="74" spans="1:3" x14ac:dyDescent="0.35">
      <c r="A74" s="5" t="s">
        <v>73</v>
      </c>
      <c r="B74" t="str">
        <f t="shared" si="1"/>
        <v>Benchmarking</v>
      </c>
      <c r="C74" s="6" t="str" cm="1">
        <f t="array" ref="C74">GetHyperlinkAddress(A74)</f>
        <v>https://open-measure.atlassian.net/wiki/spaces/DIC/pages/1015823</v>
      </c>
    </row>
    <row r="75" spans="1:3" x14ac:dyDescent="0.35">
      <c r="A75" s="5" t="s">
        <v>74</v>
      </c>
      <c r="B75" t="str">
        <f t="shared" si="1"/>
        <v>Biometric Identification</v>
      </c>
      <c r="C75" s="6" t="str" cm="1">
        <f t="array" ref="C75">GetHyperlinkAddress(A75)</f>
        <v>https://open-measure.atlassian.net/wiki/spaces/DIC/pages/409174210</v>
      </c>
    </row>
    <row r="76" spans="1:3" x14ac:dyDescent="0.35">
      <c r="A76" s="5" t="s">
        <v>75</v>
      </c>
      <c r="B76" t="str">
        <f t="shared" si="1"/>
        <v>Biometrics</v>
      </c>
      <c r="C76" s="6" t="str" cm="1">
        <f t="array" ref="C76">GetHyperlinkAddress(A76)</f>
        <v>https://open-measure.atlassian.net/wiki/spaces/DIC/pages/409010581</v>
      </c>
    </row>
    <row r="77" spans="1:3" x14ac:dyDescent="0.35">
      <c r="A77" s="5" t="s">
        <v>76</v>
      </c>
      <c r="B77" t="str">
        <f t="shared" si="1"/>
        <v>Birth Certificate</v>
      </c>
      <c r="C77" s="6" t="str" cm="1">
        <f t="array" ref="C77">GetHyperlinkAddress(A77)</f>
        <v>https://open-measure.atlassian.net/wiki/spaces/DIC/pages/1031209441</v>
      </c>
    </row>
    <row r="78" spans="1:3" x14ac:dyDescent="0.35">
      <c r="A78" s="5" t="s">
        <v>77</v>
      </c>
      <c r="B78" t="str">
        <f t="shared" si="1"/>
        <v>Blast Radius</v>
      </c>
      <c r="C78" s="6" t="str" cm="1">
        <f t="array" ref="C78">GetHyperlinkAddress(A78)</f>
        <v>https://open-measure.atlassian.net/wiki/spaces/DIC/pages/794492970</v>
      </c>
    </row>
    <row r="79" spans="1:3" x14ac:dyDescent="0.35">
      <c r="A79" s="5" t="s">
        <v>78</v>
      </c>
      <c r="B79" t="str">
        <f t="shared" si="1"/>
        <v>Blockchain</v>
      </c>
      <c r="C79" s="6" t="str" cm="1">
        <f t="array" ref="C79">GetHyperlinkAddress(A79)</f>
        <v>https://open-measure.atlassian.net/wiki/spaces/DIC/pages/408944842</v>
      </c>
    </row>
    <row r="80" spans="1:3" x14ac:dyDescent="0.35">
      <c r="A80" s="5" t="s">
        <v>79</v>
      </c>
      <c r="B80" t="str">
        <f t="shared" si="1"/>
        <v>Boundary Control</v>
      </c>
      <c r="C80" s="6" t="str" cm="1">
        <f t="array" ref="C80">GetHyperlinkAddress(A80)</f>
        <v>https://open-measure.atlassian.net/wiki/spaces/DIC/pages/1571389777/Boundary+Control</v>
      </c>
    </row>
    <row r="81" spans="1:3" x14ac:dyDescent="0.35">
      <c r="A81" s="5" t="s">
        <v>80</v>
      </c>
      <c r="B81" t="str">
        <f t="shared" si="1"/>
        <v>Broker</v>
      </c>
      <c r="C81" s="6" t="str" cm="1">
        <f t="array" ref="C81">GetHyperlinkAddress(A81)</f>
        <v>https://open-measure.atlassian.net/wiki/spaces/DIC/pages/81101750</v>
      </c>
    </row>
    <row r="82" spans="1:3" x14ac:dyDescent="0.35">
      <c r="A82" s="5" t="s">
        <v>81</v>
      </c>
      <c r="B82" t="str">
        <f t="shared" si="1"/>
        <v>Brute Force Attack</v>
      </c>
      <c r="C82" s="6" t="str" cm="1">
        <f t="array" ref="C82">GetHyperlinkAddress(A82)</f>
        <v>https://open-measure.atlassian.net/wiki/spaces/DIC/pages/1348763687/Brute+Force+Attack</v>
      </c>
    </row>
    <row r="83" spans="1:3" x14ac:dyDescent="0.35">
      <c r="A83" s="5" t="s">
        <v>82</v>
      </c>
      <c r="B83" t="str">
        <f t="shared" si="1"/>
        <v>Built-in</v>
      </c>
      <c r="C83" s="6" t="str" cm="1">
        <f t="array" ref="C83">GetHyperlinkAddress(A83)</f>
        <v>https://open-measure.atlassian.net/wiki/spaces/DIC/pages/140772106</v>
      </c>
    </row>
    <row r="84" spans="1:3" x14ac:dyDescent="0.35">
      <c r="A84" s="5" t="s">
        <v>83</v>
      </c>
      <c r="B84" t="str">
        <f t="shared" si="1"/>
        <v>BZR</v>
      </c>
      <c r="C84" s="6" t="str" cm="1">
        <f t="array" ref="C84">GetHyperlinkAddress(A84)</f>
        <v>https://open-measure.atlassian.net/wiki/spaces/DIC/pages/1228079170/BZR</v>
      </c>
    </row>
    <row r="85" spans="1:3" x14ac:dyDescent="0.35">
      <c r="A85" s="5" t="s">
        <v>84</v>
      </c>
      <c r="B85" t="str">
        <f t="shared" si="1"/>
        <v>Cached Credential</v>
      </c>
      <c r="C85" s="6" t="str" cm="1">
        <f t="array" ref="C85">GetHyperlinkAddress(A85)</f>
        <v>https://open-measure.atlassian.net/wiki/spaces/DIC/pages/1254588417/Cached+Credential</v>
      </c>
    </row>
    <row r="86" spans="1:3" x14ac:dyDescent="0.35">
      <c r="A86" s="5" t="s">
        <v>85</v>
      </c>
      <c r="B86" t="str">
        <f t="shared" si="1"/>
        <v>Capability</v>
      </c>
      <c r="C86" s="6" t="str" cm="1">
        <f t="array" ref="C86">GetHyperlinkAddress(A86)</f>
        <v>https://open-measure.atlassian.net/wiki/spaces/DIC/pages/823394314</v>
      </c>
    </row>
    <row r="87" spans="1:3" x14ac:dyDescent="0.35">
      <c r="A87" s="5" t="s">
        <v>86</v>
      </c>
      <c r="B87" t="str">
        <f t="shared" si="1"/>
        <v>Cardinal Scale</v>
      </c>
      <c r="C87" s="6" t="str" cm="1">
        <f t="array" ref="C87">GetHyperlinkAddress(A87)</f>
        <v>https://open-measure.atlassian.net/wiki/spaces/DIC/pages/11567293</v>
      </c>
    </row>
    <row r="88" spans="1:3" x14ac:dyDescent="0.35">
      <c r="A88" s="5" t="s">
        <v>87</v>
      </c>
      <c r="B88" t="str">
        <f t="shared" si="1"/>
        <v>Categorical Scale</v>
      </c>
      <c r="C88" s="6" t="str" cm="1">
        <f t="array" ref="C88">GetHyperlinkAddress(A88)</f>
        <v>https://open-measure.atlassian.net/wiki/spaces/DIC/pages/5900130</v>
      </c>
    </row>
    <row r="89" spans="1:3" x14ac:dyDescent="0.35">
      <c r="A89" s="5" t="s">
        <v>88</v>
      </c>
      <c r="B89" t="str">
        <f t="shared" si="1"/>
        <v>CDD</v>
      </c>
      <c r="C89" s="6" t="str" cm="1">
        <f t="array" ref="C89">GetHyperlinkAddress(A89)</f>
        <v>https://open-measure.atlassian.net/wiki/spaces/DIC/pages/442466346/CDD</v>
      </c>
    </row>
    <row r="90" spans="1:3" x14ac:dyDescent="0.35">
      <c r="A90" s="5" t="s">
        <v>89</v>
      </c>
      <c r="B90" t="str">
        <f t="shared" si="1"/>
        <v>Centralized Identity Management System</v>
      </c>
      <c r="C90" s="6" t="str" cm="1">
        <f t="array" ref="C90">GetHyperlinkAddress(A90)</f>
        <v>https://open-measure.atlassian.net/wiki/spaces/DIC/pages/1152483641</v>
      </c>
    </row>
    <row r="91" spans="1:3" x14ac:dyDescent="0.35">
      <c r="A91" s="5" t="s">
        <v>90</v>
      </c>
      <c r="B91" t="str">
        <f t="shared" si="1"/>
        <v>Certification</v>
      </c>
      <c r="C91" s="6" t="str" cm="1">
        <f t="array" ref="C91">GetHyperlinkAddress(A91)</f>
        <v>https://open-measure.atlassian.net/wiki/spaces/DIC/pages/823459864</v>
      </c>
    </row>
    <row r="92" spans="1:3" x14ac:dyDescent="0.35">
      <c r="A92" s="5" t="s">
        <v>91</v>
      </c>
      <c r="B92" t="str">
        <f t="shared" si="1"/>
        <v>CIBA</v>
      </c>
      <c r="C92" s="6" t="str" cm="1">
        <f t="array" ref="C92">GetHyperlinkAddress(A92)</f>
        <v>https://open-measure.atlassian.net/wiki/spaces/DIC/pages/1290076214/CIBA</v>
      </c>
    </row>
    <row r="93" spans="1:3" x14ac:dyDescent="0.35">
      <c r="A93" s="5" t="s">
        <v>92</v>
      </c>
      <c r="B93" t="str">
        <f t="shared" si="1"/>
        <v>Claim</v>
      </c>
      <c r="C93" s="6" t="str" cm="1">
        <f t="array" ref="C93">GetHyperlinkAddress(A93)</f>
        <v>https://open-measure.atlassian.net/wiki/spaces/DIC/pages/1323499650/Claim</v>
      </c>
    </row>
    <row r="94" spans="1:3" x14ac:dyDescent="0.35">
      <c r="A94" s="5" t="s">
        <v>94</v>
      </c>
      <c r="B94" t="str">
        <f t="shared" si="1"/>
        <v>Claim Registry Model</v>
      </c>
      <c r="C94" s="6" t="str" cm="1">
        <f t="array" ref="C94">GetHyperlinkAddress(A94)</f>
        <v>https://open-measure.atlassian.net/wiki/spaces/DIC/pages/1309605928/Claim+Registry+Model</v>
      </c>
    </row>
    <row r="95" spans="1:3" x14ac:dyDescent="0.35">
      <c r="A95" s="5" t="s">
        <v>93</v>
      </c>
      <c r="B95" t="str">
        <f t="shared" si="1"/>
        <v>Claimant</v>
      </c>
      <c r="C95" s="6" t="str" cm="1">
        <f t="array" ref="C95">GetHyperlinkAddress(A95)</f>
        <v>https://open-measure.atlassian.net/wiki/spaces/DIC/pages/848363630</v>
      </c>
    </row>
    <row r="96" spans="1:3" x14ac:dyDescent="0.35">
      <c r="A96" s="5" t="s">
        <v>95</v>
      </c>
      <c r="B96" t="str">
        <f t="shared" si="1"/>
        <v>Classification</v>
      </c>
      <c r="C96" s="6" t="str" cm="1">
        <f t="array" ref="C96">GetHyperlinkAddress(A96)</f>
        <v>https://open-measure.atlassian.net/wiki/spaces/DIC/pages/140771387</v>
      </c>
    </row>
    <row r="97" spans="1:3" x14ac:dyDescent="0.35">
      <c r="A97" s="5" t="s">
        <v>96</v>
      </c>
      <c r="B97" t="str">
        <f t="shared" si="1"/>
        <v>Client Initiated Backchannel Authentication</v>
      </c>
      <c r="C97" s="6" t="str" cm="1">
        <f t="array" ref="C97">GetHyperlinkAddress(A97)</f>
        <v>https://open-measure.atlassian.net/wiki/spaces/DIC/pages/1290076229/Client+Initiated+Backchannel+Authentication</v>
      </c>
    </row>
    <row r="98" spans="1:3" x14ac:dyDescent="0.35">
      <c r="A98" s="5" t="s">
        <v>97</v>
      </c>
      <c r="B98" t="str">
        <f t="shared" si="1"/>
        <v>Cloud Identity Management System</v>
      </c>
      <c r="C98" s="6" t="str" cm="1">
        <f t="array" ref="C98">GetHyperlinkAddress(A98)</f>
        <v>https://open-measure.atlassian.net/wiki/spaces/DIC/pages/1152516136</v>
      </c>
    </row>
    <row r="99" spans="1:3" x14ac:dyDescent="0.35">
      <c r="A99" s="5" t="s">
        <v>98</v>
      </c>
      <c r="B99" t="str">
        <f t="shared" si="1"/>
        <v>Cloud IdMS</v>
      </c>
      <c r="C99" s="6" t="str" cm="1">
        <f t="array" ref="C99">GetHyperlinkAddress(A99)</f>
        <v>https://open-measure.atlassian.net/wiki/spaces/DIC/pages/1152516118</v>
      </c>
    </row>
    <row r="100" spans="1:3" x14ac:dyDescent="0.35">
      <c r="A100" s="5" t="s">
        <v>99</v>
      </c>
      <c r="B100" t="str">
        <f t="shared" si="1"/>
        <v>Cloud Service Consumers</v>
      </c>
      <c r="C100" s="6" t="str" cm="1">
        <f t="array" ref="C100">GetHyperlinkAddress(A100)</f>
        <v>https://open-measure.atlassian.net/wiki/spaces/DIC/pages/1147043959</v>
      </c>
    </row>
    <row r="101" spans="1:3" x14ac:dyDescent="0.35">
      <c r="A101" s="5" t="s">
        <v>100</v>
      </c>
      <c r="B101" t="str">
        <f t="shared" si="1"/>
        <v>Cloud Service Provider</v>
      </c>
      <c r="C101" s="6" t="str" cm="1">
        <f t="array" ref="C101">GetHyperlinkAddress(A101)</f>
        <v>https://open-measure.atlassian.net/wiki/spaces/DIC/pages/206307528</v>
      </c>
    </row>
    <row r="102" spans="1:3" x14ac:dyDescent="0.35">
      <c r="A102" s="5" t="s">
        <v>101</v>
      </c>
      <c r="B102" t="str">
        <f t="shared" si="1"/>
        <v>Cloud Service User</v>
      </c>
      <c r="C102" s="6" t="str" cm="1">
        <f t="array" ref="C102">GetHyperlinkAddress(A102)</f>
        <v>https://open-measure.atlassian.net/wiki/spaces/DIC/pages/206766142/Cloud+Service+User</v>
      </c>
    </row>
    <row r="103" spans="1:3" x14ac:dyDescent="0.35">
      <c r="A103" s="5" t="s">
        <v>102</v>
      </c>
      <c r="B103" t="str">
        <f t="shared" si="1"/>
        <v>Cluster Analysis</v>
      </c>
      <c r="C103" s="6" t="str" cm="1">
        <f t="array" ref="C103">GetHyperlinkAddress(A103)</f>
        <v>https://open-measure.atlassian.net/wiki/spaces/DIC/pages/148308199</v>
      </c>
    </row>
    <row r="104" spans="1:3" x14ac:dyDescent="0.35">
      <c r="A104" s="5" t="s">
        <v>103</v>
      </c>
      <c r="B104" t="str">
        <f t="shared" si="1"/>
        <v>Code</v>
      </c>
      <c r="C104" s="6" t="str" cm="1">
        <f t="array" ref="C104">GetHyperlinkAddress(A104)</f>
        <v>https://open-measure.atlassian.net/wiki/spaces/DIC/pages/1311881</v>
      </c>
    </row>
    <row r="105" spans="1:3" x14ac:dyDescent="0.35">
      <c r="A105" s="5" t="s">
        <v>104</v>
      </c>
      <c r="B105" t="str">
        <f t="shared" si="1"/>
        <v>Commission Error</v>
      </c>
      <c r="C105" s="6" t="str" cm="1">
        <f t="array" ref="C105">GetHyperlinkAddress(A105)</f>
        <v>https://open-measure.atlassian.net/wiki/spaces/DIC/pages/998277125</v>
      </c>
    </row>
    <row r="106" spans="1:3" x14ac:dyDescent="0.35">
      <c r="A106" s="5" t="s">
        <v>105</v>
      </c>
      <c r="B106" t="str">
        <f t="shared" si="1"/>
        <v>Compensation</v>
      </c>
      <c r="C106" s="6" t="str" cm="1">
        <f t="array" ref="C106">GetHyperlinkAddress(A106)</f>
        <v>https://open-measure.atlassian.net/wiki/spaces/DIC/pages/43516102</v>
      </c>
    </row>
    <row r="107" spans="1:3" x14ac:dyDescent="0.35">
      <c r="A107" s="5" t="s">
        <v>106</v>
      </c>
      <c r="B107" t="str">
        <f t="shared" si="1"/>
        <v>Competence</v>
      </c>
      <c r="C107" s="6" t="str" cm="1">
        <f t="array" ref="C107">GetHyperlinkAddress(A107)</f>
        <v>https://open-measure.atlassian.net/wiki/spaces/DIC/pages/1442363</v>
      </c>
    </row>
    <row r="108" spans="1:3" x14ac:dyDescent="0.35">
      <c r="A108" s="5" t="s">
        <v>107</v>
      </c>
      <c r="B108" t="str">
        <f t="shared" si="1"/>
        <v>Compromised Identity</v>
      </c>
      <c r="C108" s="6" t="str" cm="1">
        <f t="array" ref="C108">GetHyperlinkAddress(A108)</f>
        <v>https://open-measure.atlassian.net/wiki/spaces/DIC/pages/461307985</v>
      </c>
    </row>
    <row r="109" spans="1:3" x14ac:dyDescent="0.35">
      <c r="A109" s="5" t="s">
        <v>108</v>
      </c>
      <c r="B109" t="str">
        <f t="shared" si="1"/>
        <v>Concept</v>
      </c>
      <c r="C109" s="6" t="str" cm="1">
        <f t="array" ref="C109">GetHyperlinkAddress(A109)</f>
        <v>https://open-measure.atlassian.net/wiki/spaces/DIC/pages/3244066</v>
      </c>
    </row>
    <row r="110" spans="1:3" x14ac:dyDescent="0.35">
      <c r="A110" s="5" t="s">
        <v>109</v>
      </c>
      <c r="B110" t="str">
        <f t="shared" si="1"/>
        <v>Conceptual Classification</v>
      </c>
      <c r="C110" s="6" t="str" cm="1">
        <f t="array" ref="C110">GetHyperlinkAddress(A110)</f>
        <v>https://open-measure.atlassian.net/wiki/spaces/DIC/pages/140738810</v>
      </c>
    </row>
    <row r="111" spans="1:3" x14ac:dyDescent="0.35">
      <c r="A111" s="5" t="s">
        <v>110</v>
      </c>
      <c r="B111" t="str">
        <f t="shared" si="1"/>
        <v>Concurrent Impersonation Attack</v>
      </c>
      <c r="C111" s="6" t="str" cm="1">
        <f t="array" ref="C111">GetHyperlinkAddress(A111)</f>
        <v>https://open-measure.atlassian.net/wiki/spaces/DIC/pages/974454827</v>
      </c>
    </row>
    <row r="112" spans="1:3" x14ac:dyDescent="0.35">
      <c r="A112" s="5" t="s">
        <v>111</v>
      </c>
      <c r="B112" t="str">
        <f t="shared" si="1"/>
        <v>Consistency with Representation Target</v>
      </c>
      <c r="C112" s="6" t="str" cm="1">
        <f t="array" ref="C112">GetHyperlinkAddress(A112)</f>
        <v>https://open-measure.atlassian.net/wiki/spaces/DIC/pages/43581505</v>
      </c>
    </row>
    <row r="113" spans="1:3" x14ac:dyDescent="0.35">
      <c r="A113" s="5" t="s">
        <v>112</v>
      </c>
      <c r="B113" t="str">
        <f t="shared" si="1"/>
        <v>Construct</v>
      </c>
      <c r="C113" s="6" t="str" cm="1">
        <f t="array" ref="C113">GetHyperlinkAddress(A113)</f>
        <v>https://open-measure.atlassian.net/wiki/spaces/DIC/pages/3178516</v>
      </c>
    </row>
    <row r="114" spans="1:3" x14ac:dyDescent="0.35">
      <c r="A114" s="5" t="s">
        <v>113</v>
      </c>
      <c r="B114" t="str">
        <f t="shared" si="1"/>
        <v>Constructed Type</v>
      </c>
      <c r="C114" s="6" t="str" cm="1">
        <f t="array" ref="C114">GetHyperlinkAddress(A114)</f>
        <v>https://open-measure.atlassian.net/wiki/spaces/DIC/pages/148308282</v>
      </c>
    </row>
    <row r="115" spans="1:3" x14ac:dyDescent="0.35">
      <c r="A115" s="5" t="s">
        <v>114</v>
      </c>
      <c r="B115" t="str">
        <f t="shared" si="1"/>
        <v>Continuous Authentication</v>
      </c>
      <c r="C115" s="6" t="str" cm="1">
        <f t="array" ref="C115">GetHyperlinkAddress(A115)</f>
        <v>https://open-measure.atlassian.net/wiki/spaces/DIC/pages/877297665</v>
      </c>
    </row>
    <row r="116" spans="1:3" x14ac:dyDescent="0.35">
      <c r="A116" s="5" t="s">
        <v>115</v>
      </c>
      <c r="B116" t="str">
        <f t="shared" si="1"/>
        <v>Control Party</v>
      </c>
      <c r="C116" s="6" t="str" cm="1">
        <f t="array" ref="C116">GetHyperlinkAddress(A116)</f>
        <v>https://open-measure.atlassian.net/wiki/spaces/DIC/pages/82838169</v>
      </c>
    </row>
    <row r="117" spans="1:3" x14ac:dyDescent="0.35">
      <c r="A117" s="5" t="s">
        <v>116</v>
      </c>
      <c r="B117" t="str">
        <f t="shared" si="1"/>
        <v>Core Identity</v>
      </c>
      <c r="C117" s="6" t="str" cm="1">
        <f t="array" ref="C117">GetHyperlinkAddress(A117)</f>
        <v>https://open-measure.atlassian.net/wiki/spaces/DIC/pages/138346642</v>
      </c>
    </row>
    <row r="118" spans="1:3" x14ac:dyDescent="0.35">
      <c r="A118" s="5" t="s">
        <v>117</v>
      </c>
      <c r="B118" t="str">
        <f t="shared" si="1"/>
        <v>Credential</v>
      </c>
      <c r="C118" s="6" t="str" cm="1">
        <f t="array" ref="C118">GetHyperlinkAddress(A118)</f>
        <v>https://open-measure.atlassian.net/wiki/spaces/DIC/pages/67633343/Credential</v>
      </c>
    </row>
    <row r="119" spans="1:3" x14ac:dyDescent="0.35">
      <c r="A119" s="5" t="s">
        <v>118</v>
      </c>
      <c r="B119" t="str">
        <f t="shared" si="1"/>
        <v>Credential Harvesting</v>
      </c>
      <c r="C119" s="6" t="str" cm="1">
        <f t="array" ref="C119">GetHyperlinkAddress(A119)</f>
        <v>https://open-measure.atlassian.net/wiki/spaces/DIC/pages/1254719498/Credential+Harvesting</v>
      </c>
    </row>
    <row r="120" spans="1:3" x14ac:dyDescent="0.35">
      <c r="A120" s="5" t="s">
        <v>119</v>
      </c>
      <c r="B120" t="str">
        <f t="shared" si="1"/>
        <v>Credential Service Provider</v>
      </c>
      <c r="C120" s="6" t="str" cm="1">
        <f t="array" ref="C120">GetHyperlinkAddress(A120)</f>
        <v>https://open-measure.atlassian.net/wiki/spaces/DIC/pages/82870977</v>
      </c>
    </row>
    <row r="121" spans="1:3" x14ac:dyDescent="0.35">
      <c r="A121" s="5" t="s">
        <v>120</v>
      </c>
      <c r="B121" t="str">
        <f t="shared" si="1"/>
        <v>Credential Stuffing</v>
      </c>
      <c r="C121" s="6" t="str" cm="1">
        <f t="array" ref="C121">GetHyperlinkAddress(A121)</f>
        <v>https://open-measure.atlassian.net/wiki/spaces/DIC/pages/1348862053/Credential+Stuffing</v>
      </c>
    </row>
    <row r="122" spans="1:3" x14ac:dyDescent="0.35">
      <c r="A122" s="5" t="s">
        <v>121</v>
      </c>
      <c r="B122" t="str">
        <f t="shared" si="1"/>
        <v>Credential Theft</v>
      </c>
      <c r="C122" s="6" t="str" cm="1">
        <f t="array" ref="C122">GetHyperlinkAddress(A122)</f>
        <v>https://open-measure.atlassian.net/wiki/spaces/DIC/pages/461340725</v>
      </c>
    </row>
    <row r="123" spans="1:3" x14ac:dyDescent="0.35">
      <c r="A123" s="5" t="s">
        <v>122</v>
      </c>
      <c r="B123" t="str">
        <f t="shared" si="1"/>
        <v>Cryptographic Key</v>
      </c>
      <c r="C123" s="6" t="str" cm="1">
        <f t="array" ref="C123">GetHyperlinkAddress(A123)</f>
        <v>https://open-measure.atlassian.net/wiki/spaces/DIC/pages/427130918</v>
      </c>
    </row>
    <row r="124" spans="1:3" x14ac:dyDescent="0.35">
      <c r="A124" s="5" t="s">
        <v>123</v>
      </c>
      <c r="B124" t="str">
        <f t="shared" si="1"/>
        <v>CSC</v>
      </c>
      <c r="C124" s="6" t="str" cm="1">
        <f t="array" ref="C124">GetHyperlinkAddress(A124)</f>
        <v>https://open-measure.atlassian.net/wiki/spaces/DIC/pages/1152516162/CSC</v>
      </c>
    </row>
    <row r="125" spans="1:3" x14ac:dyDescent="0.35">
      <c r="A125" s="5" t="s">
        <v>124</v>
      </c>
      <c r="B125" t="str">
        <f t="shared" si="1"/>
        <v>CSP</v>
      </c>
      <c r="C125" s="6" t="str" cm="1">
        <f t="array" ref="C125">GetHyperlinkAddress(A125)</f>
        <v>https://open-measure.atlassian.net/wiki/spaces/DIC/pages/82903984/CSP</v>
      </c>
    </row>
    <row r="126" spans="1:3" x14ac:dyDescent="0.35">
      <c r="A126" s="5" t="s">
        <v>125</v>
      </c>
      <c r="B126" t="str">
        <f t="shared" si="1"/>
        <v>CSU</v>
      </c>
      <c r="C126" s="6" t="str" cm="1">
        <f t="array" ref="C126">GetHyperlinkAddress(A126)</f>
        <v>https://open-measure.atlassian.net/wiki/spaces/DIC/pages/206667867/CSU</v>
      </c>
    </row>
    <row r="127" spans="1:3" x14ac:dyDescent="0.35">
      <c r="A127" s="5" t="s">
        <v>126</v>
      </c>
      <c r="B127" t="str">
        <f t="shared" si="1"/>
        <v>Customer Due Diligence</v>
      </c>
      <c r="C127" s="6" t="str" cm="1">
        <f t="array" ref="C127">GetHyperlinkAddress(A127)</f>
        <v>https://open-measure.atlassian.net/wiki/spaces/DIC/pages/414482448</v>
      </c>
    </row>
    <row r="128" spans="1:3" x14ac:dyDescent="0.35">
      <c r="A128" s="5" t="s">
        <v>127</v>
      </c>
      <c r="B128" t="str">
        <f t="shared" si="1"/>
        <v>Customer Identification</v>
      </c>
      <c r="C128" s="6" t="str" cm="1">
        <f t="array" ref="C128">GetHyperlinkAddress(A128)</f>
        <v>https://open-measure.atlassian.net/wiki/spaces/DIC/pages/414548006</v>
      </c>
    </row>
    <row r="129" spans="1:3" x14ac:dyDescent="0.35">
      <c r="A129" s="5" t="s">
        <v>128</v>
      </c>
      <c r="B129" t="str">
        <f t="shared" si="1"/>
        <v>Customer Identity</v>
      </c>
      <c r="C129" s="6" t="str" cm="1">
        <f t="array" ref="C129">GetHyperlinkAddress(A129)</f>
        <v>https://open-measure.atlassian.net/wiki/spaces/DIC/pages/138444875</v>
      </c>
    </row>
    <row r="130" spans="1:3" x14ac:dyDescent="0.35">
      <c r="A130" s="5" t="s">
        <v>129</v>
      </c>
      <c r="B130" t="str">
        <f t="shared" si="1"/>
        <v>Customer Identity Verification</v>
      </c>
      <c r="C130" s="6" t="str" cm="1">
        <f t="array" ref="C130">GetHyperlinkAddress(A130)</f>
        <v>https://open-measure.atlassian.net/wiki/spaces/DIC/pages/409010717</v>
      </c>
    </row>
    <row r="131" spans="1:3" x14ac:dyDescent="0.35">
      <c r="A131" s="5" t="s">
        <v>130</v>
      </c>
      <c r="B131" t="str">
        <f t="shared" si="1"/>
        <v>Customer On-Boarding</v>
      </c>
      <c r="C131" s="6" t="str" cm="1">
        <f t="array" ref="C131">GetHyperlinkAddress(A131)</f>
        <v>https://open-measure.atlassian.net/wiki/spaces/DIC/pages/408944928</v>
      </c>
    </row>
    <row r="132" spans="1:3" x14ac:dyDescent="0.35">
      <c r="A132" s="5" t="s">
        <v>131</v>
      </c>
      <c r="B132" t="str">
        <f t="shared" si="1"/>
        <v>Customer Privacy and Consent Management</v>
      </c>
      <c r="C132" s="6" t="str" cm="1">
        <f t="array" ref="C132">GetHyperlinkAddress(A132)</f>
        <v>https://open-measure.atlassian.net/wiki/spaces/DIC/pages/797900801</v>
      </c>
    </row>
    <row r="133" spans="1:3" x14ac:dyDescent="0.35">
      <c r="A133" s="5" t="s">
        <v>132</v>
      </c>
      <c r="B133" t="str">
        <f t="shared" si="1"/>
        <v>Cyber-sabotage</v>
      </c>
      <c r="C133" s="6" t="str" cm="1">
        <f t="array" ref="C133">GetHyperlinkAddress(A133)</f>
        <v>https://open-measure.atlassian.net/wiki/spaces/DIC/pages/1451982933/Cyber-sabotage</v>
      </c>
    </row>
    <row r="134" spans="1:3" x14ac:dyDescent="0.35">
      <c r="A134" s="5" t="s">
        <v>133</v>
      </c>
      <c r="B134" t="str">
        <f t="shared" ref="B134:B197" si="2">SUBSTITUTE(CLEAN(A134)," (Dictionary Entry)","")</f>
        <v>DAC</v>
      </c>
      <c r="C134" s="6" t="str" cm="1">
        <f t="array" ref="C134">GetHyperlinkAddress(A134)</f>
        <v>https://open-measure.atlassian.net/wiki/spaces/DIC/pages/1177845938/DAC</v>
      </c>
    </row>
    <row r="135" spans="1:3" x14ac:dyDescent="0.35">
      <c r="A135" s="5" t="s">
        <v>134</v>
      </c>
      <c r="B135" t="str">
        <f t="shared" si="2"/>
        <v>Data Anonymization</v>
      </c>
      <c r="C135" s="6" t="str" cm="1">
        <f t="array" ref="C135">GetHyperlinkAddress(A135)</f>
        <v>https://open-measure.atlassian.net/wiki/spaces/DIC/pages/1267400850/Data+Anonymization</v>
      </c>
    </row>
    <row r="136" spans="1:3" x14ac:dyDescent="0.35">
      <c r="A136" s="5" t="s">
        <v>135</v>
      </c>
      <c r="B136" t="str">
        <f t="shared" si="2"/>
        <v>Data Custodian</v>
      </c>
      <c r="C136" s="6" t="str" cm="1">
        <f t="array" ref="C136">GetHyperlinkAddress(A136)</f>
        <v>https://open-measure.atlassian.net/wiki/spaces/DIC/pages/998244454</v>
      </c>
    </row>
    <row r="137" spans="1:3" x14ac:dyDescent="0.35">
      <c r="A137" s="5" t="s">
        <v>137</v>
      </c>
      <c r="B137" t="str">
        <f t="shared" si="2"/>
        <v>Data Lineage</v>
      </c>
      <c r="C137" s="6" t="str" cm="1">
        <f t="array" ref="C137">GetHyperlinkAddress(A137)</f>
        <v>https://open-measure.atlassian.net/wiki/spaces/DIC/pages/508330028</v>
      </c>
    </row>
    <row r="138" spans="1:3" x14ac:dyDescent="0.35">
      <c r="A138" s="5" t="s">
        <v>138</v>
      </c>
      <c r="B138" t="str">
        <f t="shared" si="2"/>
        <v>Data Obfuscation</v>
      </c>
      <c r="C138" s="6" t="str" cm="1">
        <f t="array" ref="C138">GetHyperlinkAddress(A138)</f>
        <v>https://open-measure.atlassian.net/wiki/spaces/DIC/pages/1027048097</v>
      </c>
    </row>
    <row r="139" spans="1:3" x14ac:dyDescent="0.35">
      <c r="A139" s="5" t="s">
        <v>139</v>
      </c>
      <c r="B139" t="str">
        <f t="shared" si="2"/>
        <v>Data Owner</v>
      </c>
      <c r="C139" s="6" t="str" cm="1">
        <f t="array" ref="C139">GetHyperlinkAddress(A139)</f>
        <v>https://open-measure.atlassian.net/wiki/spaces/DIC/pages/998179040</v>
      </c>
    </row>
    <row r="140" spans="1:3" x14ac:dyDescent="0.35">
      <c r="A140" s="5" t="s">
        <v>136</v>
      </c>
      <c r="B140" t="str">
        <f t="shared" si="2"/>
        <v>Data-Level Policy</v>
      </c>
      <c r="C140" s="6" t="str" cm="1">
        <f t="array" ref="C140">GetHyperlinkAddress(A140)</f>
        <v>https://open-measure.atlassian.net/wiki/spaces/DIC/pages/1132331029</v>
      </c>
    </row>
    <row r="141" spans="1:3" x14ac:dyDescent="0.35">
      <c r="A141" s="5" t="s">
        <v>140</v>
      </c>
      <c r="B141" t="str">
        <f t="shared" si="2"/>
        <v>Death Certificate</v>
      </c>
      <c r="C141" s="6" t="str" cm="1">
        <f t="array" ref="C141">GetHyperlinkAddress(A141)</f>
        <v>https://open-measure.atlassian.net/wiki/spaces/DIC/pages/1031242134</v>
      </c>
    </row>
    <row r="142" spans="1:3" x14ac:dyDescent="0.35">
      <c r="A142" s="5" t="s">
        <v>141</v>
      </c>
      <c r="B142" t="str">
        <f t="shared" si="2"/>
        <v>Decentralized Identifier</v>
      </c>
      <c r="C142" s="6" t="str" cm="1">
        <f t="array" ref="C142">GetHyperlinkAddress(A142)</f>
        <v>https://open-measure.atlassian.net/wiki/spaces/DIC/pages/782893122</v>
      </c>
    </row>
    <row r="143" spans="1:3" x14ac:dyDescent="0.35">
      <c r="A143" s="5" t="s">
        <v>142</v>
      </c>
      <c r="B143" t="str">
        <f t="shared" si="2"/>
        <v>De-duplication</v>
      </c>
      <c r="C143" s="6" t="str" cm="1">
        <f t="array" ref="C143">GetHyperlinkAddress(A143)</f>
        <v>https://open-measure.atlassian.net/wiki/spaces/DIC/pages/408977837</v>
      </c>
    </row>
    <row r="144" spans="1:3" x14ac:dyDescent="0.35">
      <c r="A144" s="5" t="s">
        <v>143</v>
      </c>
      <c r="B144" t="str">
        <f t="shared" si="2"/>
        <v>Deprovisioning</v>
      </c>
      <c r="C144" s="6" t="str" cm="1">
        <f t="array" ref="C144">GetHyperlinkAddress(A144)</f>
        <v>https://open-measure.atlassian.net/wiki/spaces/DIC/pages/62193665</v>
      </c>
    </row>
    <row r="145" spans="1:3" x14ac:dyDescent="0.35">
      <c r="A145" s="5" t="s">
        <v>144</v>
      </c>
      <c r="B145" t="str">
        <f t="shared" si="2"/>
        <v>Derived Indicator</v>
      </c>
      <c r="C145" s="6" t="str" cm="1">
        <f t="array" ref="C145">GetHyperlinkAddress(A145)</f>
        <v>https://open-measure.atlassian.net/wiki/spaces/DIC/pages/43548767</v>
      </c>
    </row>
    <row r="146" spans="1:3" x14ac:dyDescent="0.35">
      <c r="A146" s="5" t="s">
        <v>145</v>
      </c>
      <c r="B146" t="str">
        <f t="shared" si="2"/>
        <v>DID</v>
      </c>
      <c r="C146" s="6" t="str" cm="1">
        <f t="array" ref="C146">GetHyperlinkAddress(A146)</f>
        <v>https://open-measure.atlassian.net/wiki/spaces/DIC/pages/782925889/DID</v>
      </c>
    </row>
    <row r="147" spans="1:3" x14ac:dyDescent="0.35">
      <c r="A147" s="5" t="s">
        <v>146</v>
      </c>
      <c r="B147" t="str">
        <f t="shared" si="2"/>
        <v>Digital Continuity</v>
      </c>
      <c r="C147" s="6" t="str" cm="1">
        <f t="array" ref="C147">GetHyperlinkAddress(A147)</f>
        <v>https://open-measure.atlassian.net/wiki/spaces/DIC/pages/458326308</v>
      </c>
    </row>
    <row r="148" spans="1:3" x14ac:dyDescent="0.35">
      <c r="A148" s="5" t="s">
        <v>147</v>
      </c>
      <c r="B148" t="str">
        <f t="shared" si="2"/>
        <v>Digital Identification System</v>
      </c>
      <c r="C148" s="6" t="str" cm="1">
        <f t="array" ref="C148">GetHyperlinkAddress(A148)</f>
        <v>https://open-measure.atlassian.net/wiki/spaces/DIC/pages/419561482/Digital+Identification+System</v>
      </c>
    </row>
    <row r="149" spans="1:3" x14ac:dyDescent="0.35">
      <c r="A149" s="5" t="s">
        <v>148</v>
      </c>
      <c r="B149" t="str">
        <f t="shared" si="2"/>
        <v>Digital Identity</v>
      </c>
      <c r="C149" s="6" t="str" cm="1">
        <f t="array" ref="C149">GetHyperlinkAddress(A149)</f>
        <v>https://open-measure.atlassian.net/wiki/spaces/DIC/pages/419528705/Digital+Identity</v>
      </c>
    </row>
    <row r="150" spans="1:3" x14ac:dyDescent="0.35">
      <c r="A150" s="5" t="s">
        <v>149</v>
      </c>
      <c r="B150" t="str">
        <f t="shared" si="2"/>
        <v>Digital Identity Authenticity</v>
      </c>
      <c r="C150" s="6" t="str" cm="1">
        <f t="array" ref="C150">GetHyperlinkAddress(A150)</f>
        <v>https://open-measure.atlassian.net/wiki/spaces/DIC/pages/1270153304/Digital+Identity+Authenticity</v>
      </c>
    </row>
    <row r="151" spans="1:3" x14ac:dyDescent="0.35">
      <c r="A151" s="5" t="s">
        <v>150</v>
      </c>
      <c r="B151" t="str">
        <f t="shared" si="2"/>
        <v>Digital Triangulation</v>
      </c>
      <c r="C151" s="6" t="str" cm="1">
        <f t="array" ref="C151">GetHyperlinkAddress(A151)</f>
        <v>https://open-measure.atlassian.net/wiki/spaces/DIC/pages/796983391</v>
      </c>
    </row>
    <row r="152" spans="1:3" x14ac:dyDescent="0.35">
      <c r="A152" s="5" t="s">
        <v>151</v>
      </c>
      <c r="B152" t="str">
        <f t="shared" si="2"/>
        <v>Discretionary Access Control</v>
      </c>
      <c r="C152" s="6" t="str" cm="1">
        <f t="array" ref="C152">GetHyperlinkAddress(A152)</f>
        <v>https://open-measure.atlassian.net/wiki/spaces/DIC/pages/1181876315</v>
      </c>
    </row>
    <row r="153" spans="1:3" x14ac:dyDescent="0.35">
      <c r="A153" s="5" t="s">
        <v>152</v>
      </c>
      <c r="B153" t="str">
        <f t="shared" si="2"/>
        <v>Distributed Identity</v>
      </c>
      <c r="C153" s="6" t="str" cm="1">
        <f t="array" ref="C153">GetHyperlinkAddress(A153)</f>
        <v>https://open-measure.atlassian.net/wiki/spaces/DIC/pages/810287202</v>
      </c>
    </row>
    <row r="154" spans="1:3" x14ac:dyDescent="0.35">
      <c r="A154" s="5" t="s">
        <v>153</v>
      </c>
      <c r="B154" t="str">
        <f t="shared" si="2"/>
        <v>Distributed Ledger Technology</v>
      </c>
      <c r="C154" s="6" t="str" cm="1">
        <f t="array" ref="C154">GetHyperlinkAddress(A154)</f>
        <v>https://open-measure.atlassian.net/wiki/spaces/DIC/pages/419594251</v>
      </c>
    </row>
    <row r="155" spans="1:3" x14ac:dyDescent="0.35">
      <c r="A155" s="5" t="s">
        <v>154</v>
      </c>
      <c r="B155" t="str">
        <f t="shared" si="2"/>
        <v>Dual Authorization</v>
      </c>
      <c r="C155" s="6" t="str" cm="1">
        <f t="array" ref="C155">GetHyperlinkAddress(A155)</f>
        <v>https://open-measure.atlassian.net/wiki/spaces/DIC/pages/806584322</v>
      </c>
    </row>
    <row r="156" spans="1:3" x14ac:dyDescent="0.35">
      <c r="A156" s="5" t="s">
        <v>155</v>
      </c>
      <c r="B156" t="str">
        <f t="shared" si="2"/>
        <v>ECS</v>
      </c>
      <c r="C156" s="6" t="str" cm="1">
        <f t="array" ref="C156">GetHyperlinkAddress(A156)</f>
        <v>https://open-measure.atlassian.net/wiki/spaces/DIC/pages/206766113</v>
      </c>
    </row>
    <row r="157" spans="1:3" x14ac:dyDescent="0.35">
      <c r="A157" s="5" t="s">
        <v>156</v>
      </c>
      <c r="B157" t="str">
        <f t="shared" si="2"/>
        <v>e-Identity</v>
      </c>
      <c r="C157" s="6" t="str" cm="1">
        <f t="array" ref="C157">GetHyperlinkAddress(A157)</f>
        <v>https://open-measure.atlassian.net/wiki/spaces/DIC/pages/82903896</v>
      </c>
    </row>
    <row r="158" spans="1:3" x14ac:dyDescent="0.35">
      <c r="A158" s="5" t="s">
        <v>157</v>
      </c>
      <c r="B158" t="str">
        <f t="shared" si="2"/>
        <v>EIdM</v>
      </c>
      <c r="C158" s="6" t="str" cm="1">
        <f t="array" ref="C158">GetHyperlinkAddress(A158)</f>
        <v>https://open-measure.atlassian.net/wiki/spaces/DIC/pages/61964467</v>
      </c>
    </row>
    <row r="159" spans="1:3" x14ac:dyDescent="0.35">
      <c r="A159" s="5" t="s">
        <v>158</v>
      </c>
      <c r="B159" t="str">
        <f t="shared" si="2"/>
        <v>Empirical Classification</v>
      </c>
      <c r="C159" s="6" t="str" cm="1">
        <f t="array" ref="C159">GetHyperlinkAddress(A159)</f>
        <v>https://open-measure.atlassian.net/wiki/spaces/DIC/pages/148340918</v>
      </c>
    </row>
    <row r="160" spans="1:3" x14ac:dyDescent="0.35">
      <c r="A160" s="5" t="s">
        <v>159</v>
      </c>
      <c r="B160" t="str">
        <f t="shared" si="2"/>
        <v>Empiricity</v>
      </c>
      <c r="C160" s="6" t="str" cm="1">
        <f t="array" ref="C160">GetHyperlinkAddress(A160)</f>
        <v>https://open-measure.atlassian.net/wiki/spaces/DIC/pages/5965976</v>
      </c>
    </row>
    <row r="161" spans="1:3" x14ac:dyDescent="0.35">
      <c r="A161" s="5" t="s">
        <v>160</v>
      </c>
      <c r="B161" t="str">
        <f t="shared" si="2"/>
        <v>Employee</v>
      </c>
      <c r="C161" s="6" t="str" cm="1">
        <f t="array" ref="C161">GetHyperlinkAddress(A161)</f>
        <v>https://open-measure.atlassian.net/wiki/spaces/DIC/pages/1031209232</v>
      </c>
    </row>
    <row r="162" spans="1:3" x14ac:dyDescent="0.35">
      <c r="A162" s="5" t="s">
        <v>161</v>
      </c>
      <c r="B162" t="str">
        <f t="shared" si="2"/>
        <v>Enterprise Cloud Subscriber</v>
      </c>
      <c r="C162" s="6" t="str" cm="1">
        <f t="array" ref="C162">GetHyperlinkAddress(A162)</f>
        <v>https://open-measure.atlassian.net/wiki/spaces/DIC/pages/206766092</v>
      </c>
    </row>
    <row r="163" spans="1:3" x14ac:dyDescent="0.35">
      <c r="A163" s="5" t="s">
        <v>162</v>
      </c>
      <c r="B163" t="str">
        <f t="shared" si="2"/>
        <v>Enterprise Identity Management</v>
      </c>
      <c r="C163" s="6" t="str" cm="1">
        <f t="array" ref="C163">GetHyperlinkAddress(A163)</f>
        <v>https://open-measure.atlassian.net/wiki/spaces/DIC/pages/62455952</v>
      </c>
    </row>
    <row r="164" spans="1:3" x14ac:dyDescent="0.35">
      <c r="A164" s="5" t="s">
        <v>163</v>
      </c>
      <c r="B164" t="str">
        <f t="shared" si="2"/>
        <v>Enterprise Single Sign-On</v>
      </c>
      <c r="C164" s="6" t="str" cm="1">
        <f t="array" ref="C164">GetHyperlinkAddress(A164)</f>
        <v>https://open-measure.atlassian.net/wiki/spaces/DIC/pages/76021801</v>
      </c>
    </row>
    <row r="165" spans="1:3" x14ac:dyDescent="0.35">
      <c r="A165" s="5" t="s">
        <v>164</v>
      </c>
      <c r="B165" t="str">
        <f t="shared" si="2"/>
        <v>Entitlement</v>
      </c>
      <c r="C165" s="6" t="str" cm="1">
        <f t="array" ref="C165">GetHyperlinkAddress(A165)</f>
        <v>https://open-measure.atlassian.net/wiki/spaces/DIC/pages/1121878049</v>
      </c>
    </row>
    <row r="166" spans="1:3" x14ac:dyDescent="0.35">
      <c r="A166" s="5" t="s">
        <v>166</v>
      </c>
      <c r="B166" t="str">
        <f t="shared" si="2"/>
        <v>Entitlement Management</v>
      </c>
      <c r="C166" s="6" t="str" cm="1">
        <f t="array" ref="C166">GetHyperlinkAddress(A166)</f>
        <v>https://open-measure.atlassian.net/wiki/spaces/DIC/pages/1122566465</v>
      </c>
    </row>
    <row r="167" spans="1:3" x14ac:dyDescent="0.35">
      <c r="A167" s="5" t="s">
        <v>167</v>
      </c>
      <c r="B167" t="str">
        <f t="shared" si="2"/>
        <v>Entitlement Management Process</v>
      </c>
      <c r="C167" s="6" t="str" cm="1">
        <f t="array" ref="C167">GetHyperlinkAddress(A167)</f>
        <v>https://open-measure.atlassian.net/wiki/spaces/DIC/pages/1121910973</v>
      </c>
    </row>
    <row r="168" spans="1:3" x14ac:dyDescent="0.35">
      <c r="A168" s="5" t="s">
        <v>168</v>
      </c>
      <c r="B168" t="str">
        <f t="shared" si="2"/>
        <v>Entitlement Management Solution</v>
      </c>
      <c r="C168" s="6" t="str" cm="1">
        <f t="array" ref="C168">GetHyperlinkAddress(A168)</f>
        <v>https://open-measure.atlassian.net/wiki/spaces/DIC/pages/1122631800</v>
      </c>
    </row>
    <row r="169" spans="1:3" x14ac:dyDescent="0.35">
      <c r="A169" s="5" t="s">
        <v>165</v>
      </c>
      <c r="B169" t="str">
        <f t="shared" si="2"/>
        <v>Entitlement-Based Access Control</v>
      </c>
      <c r="C169" s="6" t="str" cm="1">
        <f t="array" ref="C169">GetHyperlinkAddress(A169)</f>
        <v>https://open-measure.atlassian.net/wiki/spaces/DIC/pages/1122566173</v>
      </c>
    </row>
    <row r="170" spans="1:3" x14ac:dyDescent="0.35">
      <c r="A170" s="5" t="s">
        <v>169</v>
      </c>
      <c r="B170" t="str">
        <f t="shared" si="2"/>
        <v>Entity</v>
      </c>
      <c r="C170" s="6" t="str" cm="1">
        <f t="array" ref="C170">GetHyperlinkAddress(A170)</f>
        <v>https://open-measure.atlassian.net/wiki/spaces/DIC/pages/123830932</v>
      </c>
    </row>
    <row r="171" spans="1:3" x14ac:dyDescent="0.35">
      <c r="A171" s="5" t="s">
        <v>170</v>
      </c>
      <c r="B171" t="str">
        <f t="shared" si="2"/>
        <v>ESSO</v>
      </c>
      <c r="C171" s="6" t="str" cm="1">
        <f t="array" ref="C171">GetHyperlinkAddress(A171)</f>
        <v>https://open-measure.atlassian.net/wiki/spaces/DIC/pages/75956266</v>
      </c>
    </row>
    <row r="172" spans="1:3" x14ac:dyDescent="0.35">
      <c r="A172" s="5" t="s">
        <v>171</v>
      </c>
      <c r="B172" t="str">
        <f t="shared" si="2"/>
        <v>Evaluation Indicator</v>
      </c>
      <c r="C172" s="6" t="str" cm="1">
        <f t="array" ref="C172">GetHyperlinkAddress(A172)</f>
        <v>https://open-measure.atlassian.net/wiki/spaces/DIC/pages/17301568</v>
      </c>
    </row>
    <row r="173" spans="1:3" x14ac:dyDescent="0.35">
      <c r="A173" s="5" t="s">
        <v>172</v>
      </c>
      <c r="B173" t="str">
        <f t="shared" si="2"/>
        <v>Excessive Privilege Abuse</v>
      </c>
      <c r="C173" s="6" t="str" cm="1">
        <f t="array" ref="C173">GetHyperlinkAddress(A173)</f>
        <v>https://open-measure.atlassian.net/wiki/spaces/DIC/pages/1104904275</v>
      </c>
    </row>
    <row r="174" spans="1:3" x14ac:dyDescent="0.35">
      <c r="A174" s="5" t="s">
        <v>173</v>
      </c>
      <c r="B174" t="str">
        <f t="shared" si="2"/>
        <v>Exhaustiveness</v>
      </c>
      <c r="C174" s="6" t="str" cm="1">
        <f t="array" ref="C174">GetHyperlinkAddress(A174)</f>
        <v>https://open-measure.atlassian.net/wiki/spaces/DIC/pages/49316293</v>
      </c>
    </row>
    <row r="175" spans="1:3" x14ac:dyDescent="0.35">
      <c r="A175" s="5" t="s">
        <v>174</v>
      </c>
      <c r="B175" t="str">
        <f t="shared" si="2"/>
        <v>Expanded Password System</v>
      </c>
      <c r="C175" s="6" t="str" cm="1">
        <f t="array" ref="C175">GetHyperlinkAddress(A175)</f>
        <v>https://open-measure.atlassian.net/wiki/spaces/DIC/pages/446824885</v>
      </c>
    </row>
    <row r="176" spans="1:3" x14ac:dyDescent="0.35">
      <c r="A176" s="5" t="s">
        <v>175</v>
      </c>
      <c r="B176" t="str">
        <f t="shared" si="2"/>
        <v>Exploited Identity</v>
      </c>
      <c r="C176" s="6" t="str" cm="1">
        <f t="array" ref="C176">GetHyperlinkAddress(A176)</f>
        <v>https://open-measure.atlassian.net/wiki/spaces/DIC/pages/461275380</v>
      </c>
    </row>
    <row r="177" spans="1:3" x14ac:dyDescent="0.35">
      <c r="A177" s="5" t="s">
        <v>176</v>
      </c>
      <c r="B177" t="str">
        <f t="shared" si="2"/>
        <v>Extended Enterprise</v>
      </c>
      <c r="C177" s="6" t="str" cm="1">
        <f t="array" ref="C177">GetHyperlinkAddress(A177)</f>
        <v>https://open-measure.atlassian.net/wiki/spaces/DIC/pages/82870848</v>
      </c>
    </row>
    <row r="178" spans="1:3" x14ac:dyDescent="0.35">
      <c r="A178" s="5" t="s">
        <v>177</v>
      </c>
      <c r="B178" t="str">
        <f t="shared" si="2"/>
        <v>Extensible Access Control Markup Language</v>
      </c>
      <c r="C178" s="6" t="str" cm="1">
        <f t="array" ref="C178">GetHyperlinkAddress(A178)</f>
        <v>https://open-measure.atlassian.net/wiki/spaces/DIC/pages/1121878505</v>
      </c>
    </row>
    <row r="179" spans="1:3" x14ac:dyDescent="0.35">
      <c r="A179" s="5" t="s">
        <v>178</v>
      </c>
      <c r="B179" t="str">
        <f t="shared" si="2"/>
        <v>Fake Digital Identity</v>
      </c>
      <c r="C179" s="6" t="str" cm="1">
        <f t="array" ref="C179">GetHyperlinkAddress(A179)</f>
        <v>https://open-measure.atlassian.net/wiki/spaces/DIC/pages/1267433567/Fake+Digital+Identity</v>
      </c>
    </row>
    <row r="180" spans="1:3" x14ac:dyDescent="0.35">
      <c r="A180" s="5" t="s">
        <v>179</v>
      </c>
      <c r="B180" t="str">
        <f t="shared" si="2"/>
        <v>FAPI</v>
      </c>
      <c r="C180" s="6" t="str" cm="1">
        <f t="array" ref="C180">GetHyperlinkAddress(A180)</f>
        <v>https://open-measure.atlassian.net/wiki/spaces/DIC/pages/1290141697/FAPI</v>
      </c>
    </row>
    <row r="181" spans="1:3" x14ac:dyDescent="0.35">
      <c r="A181" s="5" t="s">
        <v>180</v>
      </c>
      <c r="B181" t="str">
        <f t="shared" si="2"/>
        <v>Federated Identity Management</v>
      </c>
      <c r="C181" s="6" t="str" cm="1">
        <f t="array" ref="C181">GetHyperlinkAddress(A181)</f>
        <v>https://open-measure.atlassian.net/wiki/spaces/DIC/pages/331579598</v>
      </c>
    </row>
    <row r="182" spans="1:3" x14ac:dyDescent="0.35">
      <c r="A182" s="5" t="s">
        <v>181</v>
      </c>
      <c r="B182" t="str">
        <f t="shared" si="2"/>
        <v>Federated Identity Management System</v>
      </c>
      <c r="C182" s="6" t="str" cm="1">
        <f t="array" ref="C182">GetHyperlinkAddress(A182)</f>
        <v>https://open-measure.atlassian.net/wiki/spaces/DIC/pages/1152483703</v>
      </c>
    </row>
    <row r="183" spans="1:3" x14ac:dyDescent="0.35">
      <c r="A183" s="5" t="s">
        <v>182</v>
      </c>
      <c r="B183" t="str">
        <f t="shared" si="2"/>
        <v>Federated SSO</v>
      </c>
      <c r="C183" s="6" t="str" cm="1">
        <f t="array" ref="C183">GetHyperlinkAddress(A183)</f>
        <v>https://open-measure.atlassian.net/wiki/spaces/DIC/pages/75890786</v>
      </c>
    </row>
    <row r="184" spans="1:3" x14ac:dyDescent="0.35">
      <c r="A184" s="5" t="s">
        <v>183</v>
      </c>
      <c r="B184" t="str">
        <f t="shared" si="2"/>
        <v>Federation Bridge</v>
      </c>
      <c r="C184" s="6" t="str" cm="1">
        <f t="array" ref="C184">GetHyperlinkAddress(A184)</f>
        <v>https://open-measure.atlassian.net/wiki/spaces/DIC/pages/763035693</v>
      </c>
    </row>
    <row r="185" spans="1:3" x14ac:dyDescent="0.35">
      <c r="A185" s="5" t="s">
        <v>184</v>
      </c>
      <c r="B185" t="str">
        <f t="shared" si="2"/>
        <v>FIM</v>
      </c>
      <c r="C185" s="6" t="str" cm="1">
        <f t="array" ref="C185">GetHyperlinkAddress(A185)</f>
        <v>https://open-measure.atlassian.net/wiki/spaces/DIC/pages/331579618</v>
      </c>
    </row>
    <row r="186" spans="1:3" x14ac:dyDescent="0.35">
      <c r="A186" s="5" t="s">
        <v>185</v>
      </c>
      <c r="B186" t="str">
        <f t="shared" si="2"/>
        <v>Financial-grade API</v>
      </c>
      <c r="C186" s="6" t="str" cm="1">
        <f t="array" ref="C186">GetHyperlinkAddress(A186)</f>
        <v>https://open-measure.atlassian.net/wiki/spaces/DIC/pages/1290207237/Financial-grade+API</v>
      </c>
    </row>
    <row r="187" spans="1:3" x14ac:dyDescent="0.35">
      <c r="A187" s="5" t="s">
        <v>186</v>
      </c>
      <c r="B187" t="str">
        <f t="shared" si="2"/>
        <v>FinTech</v>
      </c>
      <c r="C187" s="6" t="str" cm="1">
        <f t="array" ref="C187">GetHyperlinkAddress(A187)</f>
        <v>https://open-measure.atlassian.net/wiki/spaces/DIC/pages/1378091043/FinTech</v>
      </c>
    </row>
    <row r="188" spans="1:3" x14ac:dyDescent="0.35">
      <c r="A188" s="5" t="s">
        <v>187</v>
      </c>
      <c r="B188" t="str">
        <f t="shared" si="2"/>
        <v>Flexibility</v>
      </c>
      <c r="C188" s="6" t="str" cm="1">
        <f t="array" ref="C188">GetHyperlinkAddress(A188)</f>
        <v>https://open-measure.atlassian.net/wiki/spaces/DIC/pages/438698048</v>
      </c>
    </row>
    <row r="189" spans="1:3" x14ac:dyDescent="0.35">
      <c r="A189" s="5" t="s">
        <v>188</v>
      </c>
      <c r="B189" t="str">
        <f t="shared" si="2"/>
        <v>Flow Analysis</v>
      </c>
      <c r="C189" s="6" t="str" cm="1">
        <f t="array" ref="C189">GetHyperlinkAddress(A189)</f>
        <v>https://open-measure.atlassian.net/wiki/spaces/DIC/pages/1223884872</v>
      </c>
    </row>
    <row r="190" spans="1:3" x14ac:dyDescent="0.35">
      <c r="A190" s="5" t="s">
        <v>189</v>
      </c>
      <c r="B190" t="str">
        <f t="shared" si="2"/>
        <v>Forged Identity</v>
      </c>
      <c r="C190" s="6" t="str" cm="1">
        <f t="array" ref="C190">GetHyperlinkAddress(A190)</f>
        <v>https://open-measure.atlassian.net/wiki/spaces/DIC/pages/1173585921</v>
      </c>
    </row>
    <row r="191" spans="1:3" x14ac:dyDescent="0.35">
      <c r="A191" s="5" t="s">
        <v>190</v>
      </c>
      <c r="B191" t="str">
        <f t="shared" si="2"/>
        <v>Formal TCO</v>
      </c>
      <c r="C191" s="6" t="str" cm="1">
        <f t="array" ref="C191">GetHyperlinkAddress(A191)</f>
        <v>https://open-measure.atlassian.net/wiki/spaces/DIC/pages/158794590</v>
      </c>
    </row>
    <row r="192" spans="1:3" x14ac:dyDescent="0.35">
      <c r="A192" s="5" t="s">
        <v>191</v>
      </c>
      <c r="B192" t="str">
        <f t="shared" si="2"/>
        <v>Formal Verification</v>
      </c>
      <c r="C192" s="6" t="str" cm="1">
        <f t="array" ref="C192">GetHyperlinkAddress(A192)</f>
        <v>https://open-measure.atlassian.net/wiki/spaces/DIC/pages/1226833964</v>
      </c>
    </row>
    <row r="193" spans="1:3" x14ac:dyDescent="0.35">
      <c r="A193" s="5" t="s">
        <v>192</v>
      </c>
      <c r="B193" t="str">
        <f t="shared" si="2"/>
        <v>Foundational Identification System</v>
      </c>
      <c r="C193" s="6" t="str" cm="1">
        <f t="array" ref="C193">GetHyperlinkAddress(A193)</f>
        <v>https://open-measure.atlassian.net/wiki/spaces/DIC/pages/419561522/Foundational+Identification+System</v>
      </c>
    </row>
    <row r="194" spans="1:3" x14ac:dyDescent="0.35">
      <c r="A194" s="5" t="s">
        <v>193</v>
      </c>
      <c r="B194" t="str">
        <f t="shared" si="2"/>
        <v>Fully Polythetic Class</v>
      </c>
      <c r="C194" s="6" t="str" cm="1">
        <f t="array" ref="C194">GetHyperlinkAddress(A194)</f>
        <v>https://open-measure.atlassian.net/wiki/spaces/DIC/pages/148340978</v>
      </c>
    </row>
    <row r="195" spans="1:3" x14ac:dyDescent="0.35">
      <c r="A195" s="5" t="s">
        <v>194</v>
      </c>
      <c r="B195" t="str">
        <f t="shared" si="2"/>
        <v>Functional Identification System</v>
      </c>
      <c r="C195" s="6" t="str" cm="1">
        <f t="array" ref="C195">GetHyperlinkAddress(A195)</f>
        <v>https://open-measure.atlassian.net/wiki/spaces/DIC/pages/419528747</v>
      </c>
    </row>
    <row r="196" spans="1:3" x14ac:dyDescent="0.35">
      <c r="A196" s="5" t="s">
        <v>195</v>
      </c>
      <c r="B196" t="str">
        <f t="shared" si="2"/>
        <v>Functional System</v>
      </c>
      <c r="C196" s="6" t="str" cm="1">
        <f t="array" ref="C196">GetHyperlinkAddress(A196)</f>
        <v>https://open-measure.atlassian.net/wiki/spaces/DIC/pages/1229619254</v>
      </c>
    </row>
    <row r="197" spans="1:3" x14ac:dyDescent="0.35">
      <c r="A197" s="5" t="s">
        <v>196</v>
      </c>
      <c r="B197" t="str">
        <f t="shared" si="2"/>
        <v>Goal</v>
      </c>
      <c r="C197" s="6" t="str" cm="1">
        <f t="array" ref="C197">GetHyperlinkAddress(A197)</f>
        <v>https://open-measure.atlassian.net/wiki/spaces/DIC/pages/1409494</v>
      </c>
    </row>
    <row r="198" spans="1:3" x14ac:dyDescent="0.35">
      <c r="A198" s="5" t="s">
        <v>197</v>
      </c>
      <c r="B198" t="str">
        <f t="shared" ref="B198:B261" si="3">SUBSTITUTE(CLEAN(A198)," (Dictionary Entry)","")</f>
        <v>Guest Account</v>
      </c>
      <c r="C198" s="6" t="str" cm="1">
        <f t="array" ref="C198">GetHyperlinkAddress(A198)</f>
        <v>https://open-measure.atlassian.net/wiki/spaces/DIC/pages/966557699</v>
      </c>
    </row>
    <row r="199" spans="1:3" x14ac:dyDescent="0.35">
      <c r="A199" s="5" t="s">
        <v>198</v>
      </c>
      <c r="B199" t="str">
        <f t="shared" si="3"/>
        <v>High Water Mark Principle</v>
      </c>
      <c r="C199" s="6" t="str" cm="1">
        <f t="array" ref="C199">GetHyperlinkAddress(A199)</f>
        <v>https://open-measure.atlassian.net/wiki/spaces/DIC/pages/1177846011</v>
      </c>
    </row>
    <row r="200" spans="1:3" x14ac:dyDescent="0.35">
      <c r="A200" s="5" t="s">
        <v>199</v>
      </c>
      <c r="B200" t="str">
        <f t="shared" si="3"/>
        <v>Human Error</v>
      </c>
      <c r="C200" s="6" t="str" cm="1">
        <f t="array" ref="C200">GetHyperlinkAddress(A200)</f>
        <v>https://open-measure.atlassian.net/wiki/spaces/DIC/pages/998047786</v>
      </c>
    </row>
    <row r="201" spans="1:3" x14ac:dyDescent="0.35">
      <c r="A201" s="5" t="s">
        <v>200</v>
      </c>
      <c r="B201" t="str">
        <f t="shared" si="3"/>
        <v>Human Reliability</v>
      </c>
      <c r="C201" s="6" t="str" cm="1">
        <f t="array" ref="C201">GetHyperlinkAddress(A201)</f>
        <v>https://open-measure.atlassian.net/wiki/spaces/DIC/pages/998277156</v>
      </c>
    </row>
    <row r="202" spans="1:3" x14ac:dyDescent="0.35">
      <c r="A202" s="5" t="s">
        <v>201</v>
      </c>
      <c r="B202" t="str">
        <f t="shared" si="3"/>
        <v>IAG</v>
      </c>
      <c r="C202" s="6" t="str" cm="1">
        <f t="array" ref="C202">GetHyperlinkAddress(A202)</f>
        <v>https://open-measure.atlassian.net/wiki/spaces/DIC/pages/1572865/IAG</v>
      </c>
    </row>
    <row r="203" spans="1:3" x14ac:dyDescent="0.35">
      <c r="A203" s="5" t="s">
        <v>202</v>
      </c>
      <c r="B203" t="str">
        <f t="shared" si="3"/>
        <v>IAM</v>
      </c>
      <c r="C203" s="6" t="str" cm="1">
        <f t="array" ref="C203">GetHyperlinkAddress(A203)</f>
        <v>https://open-measure.atlassian.net/wiki/spaces/DIC/pages/1081356/IAM</v>
      </c>
    </row>
    <row r="204" spans="1:3" x14ac:dyDescent="0.35">
      <c r="A204" s="5" t="s">
        <v>203</v>
      </c>
      <c r="B204" t="str">
        <f t="shared" si="3"/>
        <v>IAM ARN</v>
      </c>
      <c r="C204" s="6" t="str" cm="1">
        <f t="array" ref="C204">GetHyperlinkAddress(A204)</f>
        <v>https://open-measure.atlassian.net/wiki/spaces/DIC/pages/1037926677</v>
      </c>
    </row>
    <row r="205" spans="1:3" x14ac:dyDescent="0.35">
      <c r="A205" s="5" t="s">
        <v>204</v>
      </c>
      <c r="B205" t="str">
        <f t="shared" si="3"/>
        <v>IAM Management</v>
      </c>
      <c r="C205" s="6" t="str" cm="1">
        <f t="array" ref="C205">GetHyperlinkAddress(A205)</f>
        <v>https://open-measure.atlassian.net/wiki/spaces/DIC/pages/82838735</v>
      </c>
    </row>
    <row r="206" spans="1:3" x14ac:dyDescent="0.35">
      <c r="A206" s="5" t="s">
        <v>205</v>
      </c>
      <c r="B206" t="str">
        <f t="shared" si="3"/>
        <v>IAP</v>
      </c>
      <c r="C206" s="6" t="str" cm="1">
        <f t="array" ref="C206">GetHyperlinkAddress(A206)</f>
        <v>https://open-measure.atlassian.net/wiki/spaces/DIC/pages/234487971</v>
      </c>
    </row>
    <row r="207" spans="1:3" x14ac:dyDescent="0.35">
      <c r="A207" s="5" t="s">
        <v>206</v>
      </c>
      <c r="B207" t="str">
        <f t="shared" si="3"/>
        <v>IDaaS</v>
      </c>
      <c r="C207" s="6" t="str" cm="1">
        <f t="array" ref="C207">GetHyperlinkAddress(A207)</f>
        <v>https://open-measure.atlassian.net/wiki/spaces/DIC/pages/1149468857</v>
      </c>
    </row>
    <row r="208" spans="1:3" x14ac:dyDescent="0.35">
      <c r="A208" s="5" t="s">
        <v>207</v>
      </c>
      <c r="B208" t="str">
        <f t="shared" si="3"/>
        <v>Ideal Type</v>
      </c>
      <c r="C208" s="6" t="str" cm="1">
        <f t="array" ref="C208">GetHyperlinkAddress(A208)</f>
        <v>https://open-measure.atlassian.net/wiki/spaces/DIC/pages/149356545</v>
      </c>
    </row>
    <row r="209" spans="1:3" x14ac:dyDescent="0.35">
      <c r="A209" s="5" t="s">
        <v>208</v>
      </c>
      <c r="B209" t="str">
        <f t="shared" si="3"/>
        <v>Identification</v>
      </c>
      <c r="C209" s="6" t="str" cm="1">
        <f t="array" ref="C209">GetHyperlinkAddress(A209)</f>
        <v>https://open-measure.atlassian.net/wiki/spaces/DIC/pages/419659837</v>
      </c>
    </row>
    <row r="210" spans="1:3" x14ac:dyDescent="0.35">
      <c r="A210" s="5" t="s">
        <v>209</v>
      </c>
      <c r="B210" t="str">
        <f t="shared" si="3"/>
        <v>Identification System</v>
      </c>
      <c r="C210" s="6" t="str" cm="1">
        <f t="array" ref="C210">GetHyperlinkAddress(A210)</f>
        <v>https://open-measure.atlassian.net/wiki/spaces/DIC/pages/419758113</v>
      </c>
    </row>
    <row r="211" spans="1:3" x14ac:dyDescent="0.35">
      <c r="A211" s="5" t="s">
        <v>210</v>
      </c>
      <c r="B211" t="str">
        <f t="shared" si="3"/>
        <v>Identifier</v>
      </c>
      <c r="C211" s="6" t="str" cm="1">
        <f t="array" ref="C211">GetHyperlinkAddress(A211)</f>
        <v>https://open-measure.atlassian.net/wiki/spaces/DIC/pages/435322922</v>
      </c>
    </row>
    <row r="212" spans="1:3" x14ac:dyDescent="0.35">
      <c r="A212" s="5" t="s">
        <v>211</v>
      </c>
      <c r="B212" t="str">
        <f t="shared" si="3"/>
        <v>Identifier Registry Model</v>
      </c>
      <c r="C212" s="6" t="str" cm="1">
        <f t="array" ref="C212">GetHyperlinkAddress(A212)</f>
        <v>https://open-measure.atlassian.net/wiki/spaces/DIC/pages/1311113273/Identifier+Registry+Model</v>
      </c>
    </row>
    <row r="213" spans="1:3" x14ac:dyDescent="0.35">
      <c r="A213" s="5" t="s">
        <v>212</v>
      </c>
      <c r="B213" t="str">
        <f t="shared" si="3"/>
        <v>Identity</v>
      </c>
      <c r="C213" s="6" t="str" cm="1">
        <f t="array" ref="C213">GetHyperlinkAddress(A213)</f>
        <v>https://open-measure.atlassian.net/wiki/spaces/DIC/pages/67600948</v>
      </c>
    </row>
    <row r="214" spans="1:3" x14ac:dyDescent="0.35">
      <c r="A214" s="5" t="s">
        <v>213</v>
      </c>
      <c r="B214" t="str">
        <f t="shared" si="3"/>
        <v>Identity Aggregation</v>
      </c>
      <c r="C214" s="6" t="str" cm="1">
        <f t="array" ref="C214">GetHyperlinkAddress(A214)</f>
        <v>https://open-measure.atlassian.net/wiki/spaces/DIC/pages/1600618542/Identity+Aggregation</v>
      </c>
    </row>
    <row r="215" spans="1:3" x14ac:dyDescent="0.35">
      <c r="A215" s="5" t="s">
        <v>214</v>
      </c>
      <c r="B215" t="str">
        <f t="shared" si="3"/>
        <v>Identity and Access Governance</v>
      </c>
      <c r="C215" s="6" t="str" cm="1">
        <f t="array" ref="C215">GetHyperlinkAddress(A215)</f>
        <v>https://open-measure.atlassian.net/wiki/spaces/DIC/pages/1458176007/Identity+and+Access+Governance</v>
      </c>
    </row>
    <row r="216" spans="1:3" x14ac:dyDescent="0.35">
      <c r="A216" s="5" t="s">
        <v>215</v>
      </c>
      <c r="B216" t="str">
        <f t="shared" si="3"/>
        <v>Identity and Access Management</v>
      </c>
      <c r="C216" s="6" t="str" cm="1">
        <f t="array" ref="C216">GetHyperlinkAddress(A216)</f>
        <v>https://open-measure.atlassian.net/wiki/spaces/DIC/pages/1409143/Identity+and+Access+Management</v>
      </c>
    </row>
    <row r="217" spans="1:3" x14ac:dyDescent="0.35">
      <c r="A217" s="5" t="s">
        <v>217</v>
      </c>
      <c r="B217" t="str">
        <f t="shared" si="3"/>
        <v>Identity Assurance</v>
      </c>
      <c r="C217" s="6" t="str" cm="1">
        <f t="array" ref="C217">GetHyperlinkAddress(A217)</f>
        <v>https://open-measure.atlassian.net/wiki/spaces/DIC/pages/1600749655/Identity+Assurance</v>
      </c>
    </row>
    <row r="218" spans="1:3" x14ac:dyDescent="0.35">
      <c r="A218" s="5" t="s">
        <v>218</v>
      </c>
      <c r="B218" t="str">
        <f t="shared" si="3"/>
        <v>Identity Attribute</v>
      </c>
      <c r="C218" s="6" t="str" cm="1">
        <f t="array" ref="C218">GetHyperlinkAddress(A218)</f>
        <v>https://open-measure.atlassian.net/wiki/spaces/DIC/pages/82903275</v>
      </c>
    </row>
    <row r="219" spans="1:3" x14ac:dyDescent="0.35">
      <c r="A219" s="5" t="s">
        <v>220</v>
      </c>
      <c r="B219" t="str">
        <f t="shared" si="3"/>
        <v>Identity Establishment</v>
      </c>
      <c r="C219" s="6" t="str" cm="1">
        <f t="array" ref="C219">GetHyperlinkAddress(A219)</f>
        <v>https://open-measure.atlassian.net/wiki/spaces/DIC/pages/123896632/Identity+Establishment</v>
      </c>
    </row>
    <row r="220" spans="1:3" x14ac:dyDescent="0.35">
      <c r="A220" s="5" t="s">
        <v>221</v>
      </c>
      <c r="B220" t="str">
        <f t="shared" si="3"/>
        <v>Identity Federation</v>
      </c>
      <c r="C220" s="6" t="str" cm="1">
        <f t="array" ref="C220">GetHyperlinkAddress(A220)</f>
        <v>https://open-measure.atlassian.net/wiki/spaces/DIC/pages/336035929/Identity+Federation</v>
      </c>
    </row>
    <row r="221" spans="1:3" x14ac:dyDescent="0.35">
      <c r="A221" s="5" t="s">
        <v>222</v>
      </c>
      <c r="B221" t="str">
        <f t="shared" si="3"/>
        <v>Identity Guardian</v>
      </c>
      <c r="C221" s="6" t="str" cm="1">
        <f t="array" ref="C221">GetHyperlinkAddress(A221)</f>
        <v>https://open-measure.atlassian.net/wiki/spaces/DIC/pages/1323597918/Identity+Guardian</v>
      </c>
    </row>
    <row r="222" spans="1:3" x14ac:dyDescent="0.35">
      <c r="A222" s="5" t="s">
        <v>223</v>
      </c>
      <c r="B222" t="str">
        <f t="shared" si="3"/>
        <v>Identity Lifecycle</v>
      </c>
      <c r="C222" s="6" t="str" cm="1">
        <f t="array" ref="C222">GetHyperlinkAddress(A222)</f>
        <v>https://open-measure.atlassian.net/wiki/spaces/DIC/pages/67600436</v>
      </c>
    </row>
    <row r="223" spans="1:3" x14ac:dyDescent="0.35">
      <c r="A223" s="5" t="s">
        <v>224</v>
      </c>
      <c r="B223" t="str">
        <f t="shared" si="3"/>
        <v>Identity Management</v>
      </c>
      <c r="C223" s="6" t="str" cm="1">
        <f t="array" ref="C223">GetHyperlinkAddress(A223)</f>
        <v>https://open-measure.atlassian.net/wiki/spaces/DIC/pages/1122533530</v>
      </c>
    </row>
    <row r="224" spans="1:3" x14ac:dyDescent="0.35">
      <c r="A224" s="5" t="s">
        <v>225</v>
      </c>
      <c r="B224" t="str">
        <f t="shared" si="3"/>
        <v>Identity Management System</v>
      </c>
      <c r="C224" s="6" t="str" cm="1">
        <f t="array" ref="C224">GetHyperlinkAddress(A224)</f>
        <v>https://open-measure.atlassian.net/wiki/spaces/DIC/pages/1146847286</v>
      </c>
    </row>
    <row r="225" spans="1:3" x14ac:dyDescent="0.35">
      <c r="A225" s="5" t="s">
        <v>226</v>
      </c>
      <c r="B225" t="str">
        <f t="shared" si="3"/>
        <v>Identity Portability</v>
      </c>
      <c r="C225" s="6" t="str" cm="1">
        <f t="array" ref="C225">GetHyperlinkAddress(A225)</f>
        <v>https://open-measure.atlassian.net/wiki/spaces/DIC/pages/1323434004/Identity+Portability</v>
      </c>
    </row>
    <row r="226" spans="1:3" x14ac:dyDescent="0.35">
      <c r="A226" s="5" t="s">
        <v>227</v>
      </c>
      <c r="B226" t="str">
        <f t="shared" si="3"/>
        <v>Identity Proofing</v>
      </c>
      <c r="C226" s="6" t="str" cm="1">
        <f t="array" ref="C226">GetHyperlinkAddress(A226)</f>
        <v>https://open-measure.atlassian.net/wiki/spaces/DIC/pages/858522094</v>
      </c>
    </row>
    <row r="227" spans="1:3" x14ac:dyDescent="0.35">
      <c r="A227" s="5" t="s">
        <v>228</v>
      </c>
      <c r="B227" t="str">
        <f t="shared" si="3"/>
        <v>Identity Propagation</v>
      </c>
      <c r="C227" s="6" t="str" cm="1">
        <f t="array" ref="C227">GetHyperlinkAddress(A227)</f>
        <v>https://open-measure.atlassian.net/wiki/spaces/DIC/pages/810254353</v>
      </c>
    </row>
    <row r="228" spans="1:3" x14ac:dyDescent="0.35">
      <c r="A228" s="5" t="s">
        <v>229</v>
      </c>
      <c r="B228" t="str">
        <f t="shared" si="3"/>
        <v>Identity Provider</v>
      </c>
      <c r="C228" s="6" t="str" cm="1">
        <f t="array" ref="C228">GetHyperlinkAddress(A228)</f>
        <v>https://open-measure.atlassian.net/wiki/spaces/DIC/pages/82838020</v>
      </c>
    </row>
    <row r="229" spans="1:3" x14ac:dyDescent="0.35">
      <c r="A229" s="5" t="s">
        <v>230</v>
      </c>
      <c r="B229" t="str">
        <f t="shared" si="3"/>
        <v>Identity Repository</v>
      </c>
      <c r="C229" s="6" t="str" cm="1">
        <f t="array" ref="C229">GetHyperlinkAddress(A229)</f>
        <v>https://open-measure.atlassian.net/wiki/spaces/DIC/pages/1117913089</v>
      </c>
    </row>
    <row r="230" spans="1:3" x14ac:dyDescent="0.35">
      <c r="A230" s="5" t="s">
        <v>216</v>
      </c>
      <c r="B230" t="str">
        <f t="shared" si="3"/>
        <v>Identity-as-a-Service</v>
      </c>
      <c r="C230" s="6" t="str" cm="1">
        <f t="array" ref="C230">GetHyperlinkAddress(A230)</f>
        <v>https://open-measure.atlassian.net/wiki/spaces/DIC/pages/1152516217</v>
      </c>
    </row>
    <row r="231" spans="1:3" x14ac:dyDescent="0.35">
      <c r="A231" s="5" t="s">
        <v>219</v>
      </c>
      <c r="B231" t="str">
        <f t="shared" si="3"/>
        <v>Identity-Aware Proxy</v>
      </c>
      <c r="C231" s="6" t="str" cm="1">
        <f t="array" ref="C231">GetHyperlinkAddress(A231)</f>
        <v>https://open-measure.atlassian.net/wiki/spaces/DIC/pages/236748873</v>
      </c>
    </row>
    <row r="232" spans="1:3" x14ac:dyDescent="0.35">
      <c r="A232" s="5" t="s">
        <v>231</v>
      </c>
      <c r="B232" t="str">
        <f t="shared" si="3"/>
        <v>IdMS</v>
      </c>
      <c r="C232" s="6" t="str" cm="1">
        <f t="array" ref="C232">GetHyperlinkAddress(A232)</f>
        <v>https://open-measure.atlassian.net/wiki/spaces/DIC/pages/1147043904</v>
      </c>
    </row>
    <row r="233" spans="1:3" x14ac:dyDescent="0.35">
      <c r="A233" s="5" t="s">
        <v>232</v>
      </c>
      <c r="B233" t="str">
        <f t="shared" si="3"/>
        <v>IdP</v>
      </c>
      <c r="C233" s="6" t="str" cm="1">
        <f t="array" ref="C233">GetHyperlinkAddress(A233)</f>
        <v>https://open-measure.atlassian.net/wiki/spaces/DIC/pages/81101362</v>
      </c>
    </row>
    <row r="234" spans="1:3" x14ac:dyDescent="0.35">
      <c r="A234" s="5" t="s">
        <v>233</v>
      </c>
      <c r="B234" t="str">
        <f t="shared" si="3"/>
        <v>IMG</v>
      </c>
      <c r="C234" s="6" t="str" cm="1">
        <f t="array" ref="C234">GetHyperlinkAddress(A234)</f>
        <v>https://open-measure.atlassian.net/wiki/spaces/DIC/pages/107708597</v>
      </c>
    </row>
    <row r="235" spans="1:3" x14ac:dyDescent="0.35">
      <c r="A235" s="5" t="s">
        <v>234</v>
      </c>
      <c r="B235" t="str">
        <f t="shared" si="3"/>
        <v>Impact Indicator</v>
      </c>
      <c r="C235" s="6" t="str" cm="1">
        <f t="array" ref="C235">GetHyperlinkAddress(A235)</f>
        <v>https://open-measure.atlassian.net/wiki/spaces/DIC/pages/46104660</v>
      </c>
    </row>
    <row r="236" spans="1:3" x14ac:dyDescent="0.35">
      <c r="A236" s="5" t="s">
        <v>235</v>
      </c>
      <c r="B236" t="str">
        <f t="shared" si="3"/>
        <v>Impersonation</v>
      </c>
      <c r="C236" s="6" t="str" cm="1">
        <f t="array" ref="C236">GetHyperlinkAddress(A236)</f>
        <v>https://open-measure.atlassian.net/wiki/spaces/DIC/pages/974323719</v>
      </c>
    </row>
    <row r="237" spans="1:3" x14ac:dyDescent="0.35">
      <c r="A237" s="5" t="s">
        <v>236</v>
      </c>
      <c r="B237" t="str">
        <f t="shared" si="3"/>
        <v>Indicator</v>
      </c>
      <c r="C237" s="6" t="str" cm="1">
        <f t="array" ref="C237">GetHyperlinkAddress(A237)</f>
        <v>https://open-measure.atlassian.net/wiki/spaces/DIC/pages/1311218</v>
      </c>
    </row>
    <row r="238" spans="1:3" x14ac:dyDescent="0.35">
      <c r="A238" s="5" t="s">
        <v>237</v>
      </c>
      <c r="B238" t="str">
        <f t="shared" si="3"/>
        <v>Indicator Categories</v>
      </c>
      <c r="C238" s="6" t="str" cm="1">
        <f t="array" ref="C238">GetHyperlinkAddress(A238)</f>
        <v>https://open-measure.atlassian.net/wiki/spaces/DIC/pages/49250393</v>
      </c>
    </row>
    <row r="239" spans="1:3" x14ac:dyDescent="0.35">
      <c r="A239" s="5" t="s">
        <v>238</v>
      </c>
      <c r="B239" t="str">
        <f t="shared" si="3"/>
        <v>Indicator Property</v>
      </c>
      <c r="C239" s="6" t="str" cm="1">
        <f t="array" ref="C239">GetHyperlinkAddress(A239)</f>
        <v>https://open-measure.atlassian.net/wiki/spaces/DIC/pages/43515956</v>
      </c>
    </row>
    <row r="240" spans="1:3" x14ac:dyDescent="0.35">
      <c r="A240" s="5" t="s">
        <v>239</v>
      </c>
      <c r="B240" t="str">
        <f t="shared" si="3"/>
        <v>Indicator Selection</v>
      </c>
      <c r="C240" s="6" t="str" cm="1">
        <f t="array" ref="C240">GetHyperlinkAddress(A240)</f>
        <v>https://open-measure.atlassian.net/wiki/spaces/DIC/pages/11141519</v>
      </c>
    </row>
    <row r="241" spans="1:3" x14ac:dyDescent="0.35">
      <c r="A241" s="5" t="s">
        <v>240</v>
      </c>
      <c r="B241" t="str">
        <f t="shared" si="3"/>
        <v>Indicators Set</v>
      </c>
      <c r="C241" s="6" t="str" cm="1">
        <f t="array" ref="C241">GetHyperlinkAddress(A241)</f>
        <v>https://open-measure.atlassian.net/wiki/spaces/DIC/pages/59473923</v>
      </c>
    </row>
    <row r="242" spans="1:3" x14ac:dyDescent="0.35">
      <c r="A242" s="5" t="s">
        <v>241</v>
      </c>
      <c r="B242" t="str">
        <f t="shared" si="3"/>
        <v>Informal TCO</v>
      </c>
      <c r="C242" s="6" t="str" cm="1">
        <f t="array" ref="C242">GetHyperlinkAddress(A242)</f>
        <v>https://open-measure.atlassian.net/wiki/spaces/DIC/pages/158827185</v>
      </c>
    </row>
    <row r="243" spans="1:3" x14ac:dyDescent="0.35">
      <c r="A243" s="5" t="s">
        <v>242</v>
      </c>
      <c r="B243" t="str">
        <f t="shared" si="3"/>
        <v>Information</v>
      </c>
      <c r="C243" s="6" t="str" cm="1">
        <f t="array" ref="C243">GetHyperlinkAddress(A243)</f>
        <v>https://open-measure.atlassian.net/wiki/spaces/DIC/pages/1027342618</v>
      </c>
    </row>
    <row r="244" spans="1:3" x14ac:dyDescent="0.35">
      <c r="A244" s="5" t="s">
        <v>243</v>
      </c>
      <c r="B244" t="str">
        <f t="shared" si="3"/>
        <v>Information Asset</v>
      </c>
      <c r="C244" s="6" t="str" cm="1">
        <f t="array" ref="C244">GetHyperlinkAddress(A244)</f>
        <v>https://open-measure.atlassian.net/wiki/spaces/DIC/pages/455508212</v>
      </c>
    </row>
    <row r="245" spans="1:3" x14ac:dyDescent="0.35">
      <c r="A245" s="5" t="s">
        <v>244</v>
      </c>
      <c r="B245" t="str">
        <f t="shared" si="3"/>
        <v>Information Custodian</v>
      </c>
      <c r="C245" s="6" t="str" cm="1">
        <f t="array" ref="C245">GetHyperlinkAddress(A245)</f>
        <v>https://open-measure.atlassian.net/wiki/spaces/DIC/pages/1004896257</v>
      </c>
    </row>
    <row r="246" spans="1:3" x14ac:dyDescent="0.35">
      <c r="A246" s="5" t="s">
        <v>245</v>
      </c>
      <c r="B246" t="str">
        <f t="shared" si="3"/>
        <v>Information Flow Policy</v>
      </c>
      <c r="C246" s="6" t="str" cm="1">
        <f t="array" ref="C246">GetHyperlinkAddress(A246)</f>
        <v>https://open-measure.atlassian.net/wiki/spaces/DIC/pages/1177714758</v>
      </c>
    </row>
    <row r="247" spans="1:3" x14ac:dyDescent="0.35">
      <c r="A247" s="5" t="s">
        <v>246</v>
      </c>
      <c r="B247" t="str">
        <f t="shared" si="3"/>
        <v>Information Owner</v>
      </c>
      <c r="C247" s="6" t="str" cm="1">
        <f t="array" ref="C247">GetHyperlinkAddress(A247)</f>
        <v>https://open-measure.atlassian.net/wiki/spaces/DIC/pages/998113409</v>
      </c>
    </row>
    <row r="248" spans="1:3" x14ac:dyDescent="0.35">
      <c r="A248" s="5" t="s">
        <v>247</v>
      </c>
      <c r="B248" t="str">
        <f t="shared" si="3"/>
        <v>Information Security Domain</v>
      </c>
      <c r="C248" s="6" t="str" cm="1">
        <f t="array" ref="C248">GetHyperlinkAddress(A248)</f>
        <v>https://open-measure.atlassian.net/wiki/spaces/DIC/pages/438698009/Information+Security+Domain</v>
      </c>
    </row>
    <row r="249" spans="1:3" x14ac:dyDescent="0.35">
      <c r="A249" s="5" t="s">
        <v>248</v>
      </c>
      <c r="B249" t="str">
        <f t="shared" si="3"/>
        <v>Information System</v>
      </c>
      <c r="C249" s="6" t="str" cm="1">
        <f t="array" ref="C249">GetHyperlinkAddress(A249)</f>
        <v>https://open-measure.atlassian.net/wiki/spaces/DIC/pages/1031241830/Information+System</v>
      </c>
    </row>
    <row r="250" spans="1:3" x14ac:dyDescent="0.35">
      <c r="A250" s="5" t="s">
        <v>249</v>
      </c>
      <c r="B250" t="str">
        <f t="shared" si="3"/>
        <v>Input Indicator</v>
      </c>
      <c r="C250" s="6" t="str" cm="1">
        <f t="array" ref="C250">GetHyperlinkAddress(A250)</f>
        <v>https://open-measure.atlassian.net/wiki/spaces/DIC/pages/49250305</v>
      </c>
    </row>
    <row r="251" spans="1:3" x14ac:dyDescent="0.35">
      <c r="A251" s="5" t="s">
        <v>250</v>
      </c>
      <c r="B251" t="str">
        <f t="shared" si="3"/>
        <v>Inside Attacker</v>
      </c>
      <c r="C251" s="6" t="str" cm="1">
        <f t="array" ref="C251">GetHyperlinkAddress(A251)</f>
        <v>https://open-measure.atlassian.net/wiki/spaces/DIC/pages/1477869651/Inside+Attacker</v>
      </c>
    </row>
    <row r="252" spans="1:3" x14ac:dyDescent="0.35">
      <c r="A252" s="5" t="s">
        <v>251</v>
      </c>
      <c r="B252" t="str">
        <f t="shared" si="3"/>
        <v>Insider</v>
      </c>
      <c r="C252" s="6" t="str" cm="1">
        <f t="array" ref="C252">GetHyperlinkAddress(A252)</f>
        <v>https://open-measure.atlassian.net/wiki/spaces/DIC/pages/1451884782/Insider</v>
      </c>
    </row>
    <row r="253" spans="1:3" x14ac:dyDescent="0.35">
      <c r="A253" s="5" t="s">
        <v>252</v>
      </c>
      <c r="B253" t="str">
        <f t="shared" si="3"/>
        <v>Insider Attack</v>
      </c>
      <c r="C253" s="6" t="str" cm="1">
        <f t="array" ref="C253">GetHyperlinkAddress(A253)</f>
        <v>https://open-measure.atlassian.net/wiki/spaces/DIC/pages/1478459402/Insider+Attack</v>
      </c>
    </row>
    <row r="254" spans="1:3" x14ac:dyDescent="0.35">
      <c r="A254" s="5" t="s">
        <v>253</v>
      </c>
      <c r="B254" t="str">
        <f t="shared" si="3"/>
        <v>Insider Threat</v>
      </c>
      <c r="C254" s="6" t="str" cm="1">
        <f t="array" ref="C254">GetHyperlinkAddress(A254)</f>
        <v>https://open-measure.atlassian.net/wiki/spaces/DIC/pages/1451098397/Insider+Threat</v>
      </c>
    </row>
    <row r="255" spans="1:3" x14ac:dyDescent="0.35">
      <c r="A255" s="5" t="s">
        <v>254</v>
      </c>
      <c r="B255" t="str">
        <f t="shared" si="3"/>
        <v>Insufficient Granularity of Access Control</v>
      </c>
      <c r="C255" s="6" t="str" cm="1">
        <f t="array" ref="C255">GetHyperlinkAddress(A255)</f>
        <v>https://open-measure.atlassian.net/wiki/spaces/DIC/pages/822476843</v>
      </c>
    </row>
    <row r="256" spans="1:3" x14ac:dyDescent="0.35">
      <c r="A256" s="5" t="s">
        <v>255</v>
      </c>
      <c r="B256" t="str">
        <f t="shared" si="3"/>
        <v>Intentional Error</v>
      </c>
      <c r="C256" s="6" t="str" cm="1">
        <f t="array" ref="C256">GetHyperlinkAddress(A256)</f>
        <v>https://open-measure.atlassian.net/wiki/spaces/DIC/pages/998277141</v>
      </c>
    </row>
    <row r="257" spans="1:3" x14ac:dyDescent="0.35">
      <c r="A257" s="5" t="s">
        <v>256</v>
      </c>
      <c r="B257" t="str">
        <f t="shared" si="3"/>
        <v>Interested Party</v>
      </c>
      <c r="C257" s="6" t="str" cm="1">
        <f t="array" ref="C257">GetHyperlinkAddress(A257)</f>
        <v>https://open-measure.atlassian.net/wiki/spaces/DIC/pages/1311417</v>
      </c>
    </row>
    <row r="258" spans="1:3" x14ac:dyDescent="0.35">
      <c r="A258" s="5" t="s">
        <v>257</v>
      </c>
      <c r="B258" t="str">
        <f t="shared" si="3"/>
        <v>Interoperability</v>
      </c>
      <c r="C258" s="6" t="str" cm="1">
        <f t="array" ref="C258">GetHyperlinkAddress(A258)</f>
        <v>https://open-measure.atlassian.net/wiki/spaces/DIC/pages/442466314</v>
      </c>
    </row>
    <row r="259" spans="1:3" x14ac:dyDescent="0.35">
      <c r="A259" s="5" t="s">
        <v>258</v>
      </c>
      <c r="B259" t="str">
        <f t="shared" si="3"/>
        <v>Interval Scale</v>
      </c>
      <c r="C259" s="6" t="str" cm="1">
        <f t="array" ref="C259">GetHyperlinkAddress(A259)</f>
        <v>https://open-measure.atlassian.net/wiki/spaces/DIC/pages/11567191</v>
      </c>
    </row>
    <row r="260" spans="1:3" x14ac:dyDescent="0.35">
      <c r="A260" s="5" t="s">
        <v>259</v>
      </c>
      <c r="B260" t="str">
        <f t="shared" si="3"/>
        <v>Isolated Identity Management System</v>
      </c>
      <c r="C260" s="6" t="str" cm="1">
        <f t="array" ref="C260">GetHyperlinkAddress(A260)</f>
        <v>https://open-measure.atlassian.net/wiki/spaces/DIC/pages/1152483625</v>
      </c>
    </row>
    <row r="261" spans="1:3" x14ac:dyDescent="0.35">
      <c r="A261" s="5" t="s">
        <v>260</v>
      </c>
      <c r="B261" t="str">
        <f t="shared" si="3"/>
        <v>IT Asset Scope</v>
      </c>
      <c r="C261" s="6" t="str" cm="1">
        <f t="array" ref="C261">GetHyperlinkAddress(A261)</f>
        <v>https://open-measure.atlassian.net/wiki/spaces/DIC/pages/720902</v>
      </c>
    </row>
    <row r="262" spans="1:3" x14ac:dyDescent="0.35">
      <c r="A262" s="5" t="s">
        <v>261</v>
      </c>
      <c r="B262" t="str">
        <f t="shared" ref="B262:B325" si="4">SUBSTITUTE(CLEAN(A262)," (Dictionary Entry)","")</f>
        <v>IT System</v>
      </c>
      <c r="C262" s="6" t="str" cm="1">
        <f t="array" ref="C262">GetHyperlinkAddress(A262)</f>
        <v>https://open-measure.atlassian.net/wiki/spaces/DIC/pages/1569095803/IT+System</v>
      </c>
    </row>
    <row r="263" spans="1:3" x14ac:dyDescent="0.35">
      <c r="A263" s="5" t="s">
        <v>262</v>
      </c>
      <c r="B263" t="str">
        <f t="shared" si="4"/>
        <v>JML</v>
      </c>
      <c r="C263" s="6" t="str" cm="1">
        <f t="array" ref="C263">GetHyperlinkAddress(A263)</f>
        <v>https://open-measure.atlassian.net/wiki/spaces/DIC/pages/858488984</v>
      </c>
    </row>
    <row r="264" spans="1:3" x14ac:dyDescent="0.35">
      <c r="A264" s="5" t="s">
        <v>263</v>
      </c>
      <c r="B264" t="str">
        <f t="shared" si="4"/>
        <v>Joiner</v>
      </c>
      <c r="C264" s="6" t="str" cm="1">
        <f t="array" ref="C264">GetHyperlinkAddress(A264)</f>
        <v>https://open-measure.atlassian.net/wiki/spaces/DIC/pages/855506953</v>
      </c>
    </row>
    <row r="265" spans="1:3" x14ac:dyDescent="0.35">
      <c r="A265" s="5" t="s">
        <v>264</v>
      </c>
      <c r="B265" t="str">
        <f t="shared" si="4"/>
        <v>Joiner Hire Date</v>
      </c>
      <c r="C265" s="6" t="str" cm="1">
        <f t="array" ref="C265">GetHyperlinkAddress(A265)</f>
        <v>https://open-measure.atlassian.net/wiki/spaces/DIC/pages/858456203</v>
      </c>
    </row>
    <row r="266" spans="1:3" x14ac:dyDescent="0.35">
      <c r="A266" s="5" t="s">
        <v>265</v>
      </c>
      <c r="B266" t="str">
        <f t="shared" si="4"/>
        <v>Joiner Lead Time</v>
      </c>
      <c r="C266" s="6" t="str" cm="1">
        <f t="array" ref="C266">GetHyperlinkAddress(A266)</f>
        <v>https://open-measure.atlassian.net/wiki/spaces/DIC/pages/852492379</v>
      </c>
    </row>
    <row r="267" spans="1:3" x14ac:dyDescent="0.35">
      <c r="A267" s="5" t="s">
        <v>266</v>
      </c>
      <c r="B267" t="str">
        <f t="shared" si="4"/>
        <v>Joiner Process</v>
      </c>
      <c r="C267" s="6" t="str" cm="1">
        <f t="array" ref="C267">GetHyperlinkAddress(A267)</f>
        <v>https://open-measure.atlassian.net/wiki/spaces/DIC/pages/858521641</v>
      </c>
    </row>
    <row r="268" spans="1:3" x14ac:dyDescent="0.35">
      <c r="A268" s="5" t="s">
        <v>267</v>
      </c>
      <c r="B268" t="str">
        <f t="shared" si="4"/>
        <v>Joiner Start Date</v>
      </c>
      <c r="C268" s="6" t="str" cm="1">
        <f t="array" ref="C268">GetHyperlinkAddress(A268)</f>
        <v>https://open-measure.atlassian.net/wiki/spaces/DIC/pages/852492338</v>
      </c>
    </row>
    <row r="269" spans="1:3" x14ac:dyDescent="0.35">
      <c r="A269" s="5" t="s">
        <v>268</v>
      </c>
      <c r="B269" t="str">
        <f t="shared" si="4"/>
        <v>Key Criteria Type</v>
      </c>
      <c r="C269" s="6" t="str" cm="1">
        <f t="array" ref="C269">GetHyperlinkAddress(A269)</f>
        <v>https://open-measure.atlassian.net/wiki/spaces/DIC/pages/140706011</v>
      </c>
    </row>
    <row r="270" spans="1:3" x14ac:dyDescent="0.35">
      <c r="A270" s="5" t="s">
        <v>269</v>
      </c>
      <c r="B270" t="str">
        <f t="shared" si="4"/>
        <v>Key Information</v>
      </c>
      <c r="C270" s="6" t="str" cm="1">
        <f t="array" ref="C270">GetHyperlinkAddress(A270)</f>
        <v>https://open-measure.atlassian.net/wiki/spaces/DIC/pages/425623701</v>
      </c>
    </row>
    <row r="271" spans="1:3" x14ac:dyDescent="0.35">
      <c r="A271" s="5" t="s">
        <v>270</v>
      </c>
      <c r="B271" t="str">
        <f t="shared" si="4"/>
        <v>Keying Material</v>
      </c>
      <c r="C271" s="6" t="str" cm="1">
        <f t="array" ref="C271">GetHyperlinkAddress(A271)</f>
        <v>https://open-measure.atlassian.net/wiki/spaces/DIC/pages/427163745</v>
      </c>
    </row>
    <row r="272" spans="1:3" x14ac:dyDescent="0.35">
      <c r="A272" s="5" t="s">
        <v>271</v>
      </c>
      <c r="B272" t="str">
        <f t="shared" si="4"/>
        <v>KYC</v>
      </c>
      <c r="C272" s="6" t="str" cm="1">
        <f t="array" ref="C272">GetHyperlinkAddress(A272)</f>
        <v>https://open-measure.atlassian.net/wiki/spaces/DIC/pages/442499114</v>
      </c>
    </row>
    <row r="273" spans="1:3" x14ac:dyDescent="0.35">
      <c r="A273" s="5" t="s">
        <v>272</v>
      </c>
      <c r="B273" t="str">
        <f t="shared" si="4"/>
        <v>KYC Registry</v>
      </c>
      <c r="C273" s="6" t="str" cm="1">
        <f t="array" ref="C273">GetHyperlinkAddress(A273)</f>
        <v>https://open-measure.atlassian.net/wiki/spaces/DIC/pages/442400811</v>
      </c>
    </row>
    <row r="274" spans="1:3" x14ac:dyDescent="0.35">
      <c r="A274" s="5" t="s">
        <v>273</v>
      </c>
      <c r="B274" t="str">
        <f t="shared" si="4"/>
        <v>Lagging Indicator</v>
      </c>
      <c r="C274" s="6" t="str" cm="1">
        <f t="array" ref="C274">GetHyperlinkAddress(A274)</f>
        <v>https://open-measure.atlassian.net/wiki/spaces/DIC/pages/49250357</v>
      </c>
    </row>
    <row r="275" spans="1:3" x14ac:dyDescent="0.35">
      <c r="A275" s="5" t="s">
        <v>274</v>
      </c>
      <c r="B275" t="str">
        <f t="shared" si="4"/>
        <v>Lattice-Based Access Control</v>
      </c>
      <c r="C275" s="6" t="str" cm="1">
        <f t="array" ref="C275">GetHyperlinkAddress(A275)</f>
        <v>https://open-measure.atlassian.net/wiki/spaces/DIC/pages/1177681925</v>
      </c>
    </row>
    <row r="276" spans="1:3" x14ac:dyDescent="0.35">
      <c r="A276" s="5" t="s">
        <v>275</v>
      </c>
      <c r="B276" t="str">
        <f t="shared" si="4"/>
        <v>Layers Architectural Pattern</v>
      </c>
      <c r="C276" s="6" t="str" cm="1">
        <f t="array" ref="C276">GetHyperlinkAddress(A276)</f>
        <v>https://open-measure.atlassian.net/wiki/spaces/DIC/pages/1181843548</v>
      </c>
    </row>
    <row r="277" spans="1:3" x14ac:dyDescent="0.35">
      <c r="A277" s="5" t="s">
        <v>276</v>
      </c>
      <c r="B277" t="str">
        <f t="shared" si="4"/>
        <v>LBAC</v>
      </c>
      <c r="C277" s="6" t="str" cm="1">
        <f t="array" ref="C277">GetHyperlinkAddress(A277)</f>
        <v>https://open-measure.atlassian.net/wiki/spaces/DIC/pages/1177780225</v>
      </c>
    </row>
    <row r="278" spans="1:3" x14ac:dyDescent="0.35">
      <c r="A278" s="5" t="s">
        <v>277</v>
      </c>
      <c r="B278" t="str">
        <f t="shared" si="4"/>
        <v>Leading Indicator</v>
      </c>
      <c r="C278" s="6" t="str" cm="1">
        <f t="array" ref="C278">GetHyperlinkAddress(A278)</f>
        <v>https://open-measure.atlassian.net/wiki/spaces/DIC/pages/49250375</v>
      </c>
    </row>
    <row r="279" spans="1:3" x14ac:dyDescent="0.35">
      <c r="A279" s="5" t="s">
        <v>278</v>
      </c>
      <c r="B279" t="str">
        <f t="shared" si="4"/>
        <v>Least Privilege</v>
      </c>
      <c r="C279" s="6" t="str" cm="1">
        <f t="array" ref="C279">GetHyperlinkAddress(A279)</f>
        <v>https://open-measure.atlassian.net/wiki/spaces/DIC/pages/1006698533</v>
      </c>
    </row>
    <row r="280" spans="1:3" x14ac:dyDescent="0.35">
      <c r="A280" s="5" t="s">
        <v>279</v>
      </c>
      <c r="B280" t="str">
        <f t="shared" si="4"/>
        <v>Legal Entity Identifier</v>
      </c>
      <c r="C280" s="6" t="str" cm="1">
        <f t="array" ref="C280">GetHyperlinkAddress(A280)</f>
        <v>https://open-measure.atlassian.net/wiki/spaces/DIC/pages/442466361</v>
      </c>
    </row>
    <row r="281" spans="1:3" x14ac:dyDescent="0.35">
      <c r="A281" s="5" t="s">
        <v>280</v>
      </c>
      <c r="B281" t="str">
        <f t="shared" si="4"/>
        <v>Legitimate Privilege Abuse</v>
      </c>
      <c r="C281" s="6" t="str" cm="1">
        <f t="array" ref="C281">GetHyperlinkAddress(A281)</f>
        <v>https://open-measure.atlassian.net/wiki/spaces/DIC/pages/1104936974</v>
      </c>
    </row>
    <row r="282" spans="1:3" x14ac:dyDescent="0.35">
      <c r="A282" s="5" t="s">
        <v>281</v>
      </c>
      <c r="B282" t="str">
        <f t="shared" si="4"/>
        <v>LEI</v>
      </c>
      <c r="C282" s="6" t="str" cm="1">
        <f t="array" ref="C282">GetHyperlinkAddress(A282)</f>
        <v>https://open-measure.atlassian.net/wiki/spaces/DIC/pages/442368033</v>
      </c>
    </row>
    <row r="283" spans="1:3" x14ac:dyDescent="0.35">
      <c r="A283" s="5" t="s">
        <v>282</v>
      </c>
      <c r="B283" t="str">
        <f t="shared" si="4"/>
        <v>Levels of Assurance</v>
      </c>
      <c r="C283" s="6" t="str" cm="1">
        <f t="array" ref="C283">GetHyperlinkAddress(A283)</f>
        <v>https://open-measure.atlassian.net/wiki/spaces/DIC/pages/442466381</v>
      </c>
    </row>
    <row r="284" spans="1:3" x14ac:dyDescent="0.35">
      <c r="A284" s="5" t="s">
        <v>283</v>
      </c>
      <c r="B284" t="str">
        <f t="shared" si="4"/>
        <v>Liberal Discretionary Access Control</v>
      </c>
      <c r="C284" s="6" t="str" cm="1">
        <f t="array" ref="C284">GetHyperlinkAddress(A284)</f>
        <v>https://open-measure.atlassian.net/wiki/spaces/DIC/pages/1177845957</v>
      </c>
    </row>
    <row r="285" spans="1:3" x14ac:dyDescent="0.35">
      <c r="A285" s="5" t="s">
        <v>284</v>
      </c>
      <c r="B285" t="str">
        <f t="shared" si="4"/>
        <v>LOA</v>
      </c>
      <c r="C285" s="6" t="str" cm="1">
        <f t="array" ref="C285">GetHyperlinkAddress(A285)</f>
        <v>https://open-measure.atlassian.net/wiki/spaces/DIC/pages/442400912</v>
      </c>
    </row>
    <row r="286" spans="1:3" x14ac:dyDescent="0.35">
      <c r="A286" s="5" t="s">
        <v>285</v>
      </c>
      <c r="B286" t="str">
        <f t="shared" si="4"/>
        <v>Logic Bomb</v>
      </c>
      <c r="C286" s="6" t="str" cm="1">
        <f t="array" ref="C286">GetHyperlinkAddress(A286)</f>
        <v>https://open-measure.atlassian.net/wiki/spaces/DIC/pages/1452048577/Logic+Bomb</v>
      </c>
    </row>
    <row r="287" spans="1:3" x14ac:dyDescent="0.35">
      <c r="A287" s="5" t="s">
        <v>286</v>
      </c>
      <c r="B287" t="str">
        <f t="shared" si="4"/>
        <v>Login</v>
      </c>
      <c r="C287" s="6" t="str" cm="1">
        <f t="array" ref="C287">GetHyperlinkAddress(A287)</f>
        <v>https://open-measure.atlassian.net/wiki/spaces/DIC/pages/1440153606/Login</v>
      </c>
    </row>
    <row r="288" spans="1:3" x14ac:dyDescent="0.35">
      <c r="A288" s="5" t="s">
        <v>287</v>
      </c>
      <c r="B288" t="str">
        <f t="shared" si="4"/>
        <v>Login ID</v>
      </c>
      <c r="C288" s="6" t="str" cm="1">
        <f t="array" ref="C288">GetHyperlinkAddress(A288)</f>
        <v>https://open-measure.atlassian.net/wiki/spaces/DIC/pages/1428685307/Login+ID</v>
      </c>
    </row>
    <row r="289" spans="1:3" x14ac:dyDescent="0.35">
      <c r="A289" s="5" t="s">
        <v>288</v>
      </c>
      <c r="B289" t="str">
        <f t="shared" si="4"/>
        <v>Login Name</v>
      </c>
      <c r="C289" s="6" t="str" cm="1">
        <f t="array" ref="C289">GetHyperlinkAddress(A289)</f>
        <v>https://open-measure.atlassian.net/wiki/spaces/DIC/pages/1428685365/Login+Name</v>
      </c>
    </row>
    <row r="290" spans="1:3" x14ac:dyDescent="0.35">
      <c r="A290" s="5" t="s">
        <v>289</v>
      </c>
      <c r="B290" t="str">
        <f t="shared" si="4"/>
        <v>Meaningful Statement using Scales</v>
      </c>
      <c r="C290" s="6" t="str" cm="1">
        <f t="array" ref="C290">GetHyperlinkAddress(A290)</f>
        <v>https://open-measure.atlassian.net/wiki/spaces/DIC/pages/5900142</v>
      </c>
    </row>
    <row r="291" spans="1:3" x14ac:dyDescent="0.35">
      <c r="A291" s="5" t="s">
        <v>290</v>
      </c>
      <c r="B291" t="str">
        <f t="shared" si="4"/>
        <v>Measurable Quantity</v>
      </c>
      <c r="C291" s="6" t="str" cm="1">
        <f t="array" ref="C291">GetHyperlinkAddress(A291)</f>
        <v>https://open-measure.atlassian.net/wiki/spaces/DIC/pages/5899544</v>
      </c>
    </row>
    <row r="292" spans="1:3" x14ac:dyDescent="0.35">
      <c r="A292" s="5" t="s">
        <v>291</v>
      </c>
      <c r="B292" t="str">
        <f t="shared" si="4"/>
        <v>Measurement</v>
      </c>
      <c r="C292" s="6" t="str" cm="1">
        <f t="array" ref="C292">GetHyperlinkAddress(A292)</f>
        <v>https://open-measure.atlassian.net/wiki/spaces/DIC/pages/1310994</v>
      </c>
    </row>
    <row r="293" spans="1:3" x14ac:dyDescent="0.35">
      <c r="A293" s="5" t="s">
        <v>292</v>
      </c>
      <c r="B293" t="str">
        <f t="shared" si="4"/>
        <v>Measurement Indicator</v>
      </c>
      <c r="C293" s="6" t="str" cm="1">
        <f t="array" ref="C293">GetHyperlinkAddress(A293)</f>
        <v>https://open-measure.atlassian.net/wiki/spaces/DIC/pages/5933244</v>
      </c>
    </row>
    <row r="294" spans="1:3" x14ac:dyDescent="0.35">
      <c r="A294" s="5" t="s">
        <v>293</v>
      </c>
      <c r="B294" t="str">
        <f t="shared" si="4"/>
        <v>Measurement Scale</v>
      </c>
      <c r="C294" s="6" t="str" cm="1">
        <f t="array" ref="C294">GetHyperlinkAddress(A294)</f>
        <v>https://open-measure.atlassian.net/wiki/spaces/DIC/pages/11567150</v>
      </c>
    </row>
    <row r="295" spans="1:3" x14ac:dyDescent="0.35">
      <c r="A295" s="5" t="s">
        <v>294</v>
      </c>
      <c r="B295" t="str">
        <f t="shared" si="4"/>
        <v>Measurement Theory</v>
      </c>
      <c r="C295" s="6" t="str" cm="1">
        <f t="array" ref="C295">GetHyperlinkAddress(A295)</f>
        <v>https://open-measure.atlassian.net/wiki/spaces/DIC/pages/5899260</v>
      </c>
    </row>
    <row r="296" spans="1:3" x14ac:dyDescent="0.35">
      <c r="A296" s="5" t="s">
        <v>295</v>
      </c>
      <c r="B296" t="str">
        <f t="shared" si="4"/>
        <v>Measuring Instrument</v>
      </c>
      <c r="C296" s="6" t="str" cm="1">
        <f t="array" ref="C296">GetHyperlinkAddress(A296)</f>
        <v>https://open-measure.atlassian.net/wiki/spaces/DIC/pages/2588851</v>
      </c>
    </row>
    <row r="297" spans="1:3" x14ac:dyDescent="0.35">
      <c r="A297" s="5" t="s">
        <v>296</v>
      </c>
      <c r="B297" t="str">
        <f t="shared" si="4"/>
        <v>Mechanism</v>
      </c>
      <c r="C297" s="6" t="str" cm="1">
        <f t="array" ref="C297">GetHyperlinkAddress(A297)</f>
        <v>https://open-measure.atlassian.net/wiki/spaces/DIC/pages/67699227</v>
      </c>
    </row>
    <row r="298" spans="1:3" x14ac:dyDescent="0.35">
      <c r="A298" s="5" t="s">
        <v>297</v>
      </c>
      <c r="B298" t="str">
        <f t="shared" si="4"/>
        <v>Metadata (Dictionary Term)</v>
      </c>
      <c r="C298" s="6" t="str" cm="1">
        <f t="array" ref="C298">GetHyperlinkAddress(A298)</f>
        <v>https://open-measure.atlassian.net/wiki/spaces/DIC/pages/427163759</v>
      </c>
    </row>
    <row r="299" spans="1:3" x14ac:dyDescent="0.35">
      <c r="A299" s="5" t="s">
        <v>298</v>
      </c>
      <c r="B299" t="str">
        <f t="shared" si="4"/>
        <v>Metadirectory</v>
      </c>
      <c r="C299" s="6" t="str" cm="1">
        <f t="array" ref="C299">GetHyperlinkAddress(A299)</f>
        <v>https://open-measure.atlassian.net/wiki/spaces/DIC/pages/834044288</v>
      </c>
    </row>
    <row r="300" spans="1:3" x14ac:dyDescent="0.35">
      <c r="A300" s="5" t="s">
        <v>299</v>
      </c>
      <c r="B300" t="str">
        <f t="shared" si="4"/>
        <v>Metric</v>
      </c>
      <c r="C300" s="6" t="str" cm="1">
        <f t="array" ref="C300">GetHyperlinkAddress(A300)</f>
        <v>https://open-measure.atlassian.net/wiki/spaces/DIC/pages/1311226</v>
      </c>
    </row>
    <row r="301" spans="1:3" x14ac:dyDescent="0.35">
      <c r="A301" s="5" t="s">
        <v>300</v>
      </c>
      <c r="B301" t="str">
        <f t="shared" si="4"/>
        <v>Model</v>
      </c>
      <c r="C301" s="6" t="str" cm="1">
        <f t="array" ref="C301">GetHyperlinkAddress(A301)</f>
        <v>https://open-measure.atlassian.net/wiki/spaces/DIC/pages/67633632</v>
      </c>
    </row>
    <row r="302" spans="1:3" x14ac:dyDescent="0.35">
      <c r="A302" s="5" t="s">
        <v>301</v>
      </c>
      <c r="B302" t="str">
        <f t="shared" si="4"/>
        <v>Monothetic Class</v>
      </c>
      <c r="C302" s="6" t="str" cm="1">
        <f t="array" ref="C302">GetHyperlinkAddress(A302)</f>
        <v>https://open-measure.atlassian.net/wiki/spaces/DIC/pages/148439237</v>
      </c>
    </row>
    <row r="303" spans="1:3" x14ac:dyDescent="0.35">
      <c r="A303" s="5" t="s">
        <v>302</v>
      </c>
      <c r="B303" t="str">
        <f t="shared" si="4"/>
        <v>Monotony</v>
      </c>
      <c r="C303" s="6" t="str" cm="1">
        <f t="array" ref="C303">GetHyperlinkAddress(A303)</f>
        <v>https://open-measure.atlassian.net/wiki/spaces/DIC/pages/43581457</v>
      </c>
    </row>
    <row r="304" spans="1:3" x14ac:dyDescent="0.35">
      <c r="A304" s="5" t="s">
        <v>303</v>
      </c>
      <c r="B304" t="str">
        <f t="shared" si="4"/>
        <v>Multidomain Single Sign-On</v>
      </c>
      <c r="C304" s="6" t="str" cm="1">
        <f t="array" ref="C304">GetHyperlinkAddress(A304)</f>
        <v>https://open-measure.atlassian.net/wiki/spaces/DIC/pages/75890760</v>
      </c>
    </row>
    <row r="305" spans="1:3" x14ac:dyDescent="0.35">
      <c r="A305" s="5" t="s">
        <v>304</v>
      </c>
      <c r="B305" t="str">
        <f t="shared" si="4"/>
        <v>Multilevel Security</v>
      </c>
      <c r="C305" s="6" t="str" cm="1">
        <f t="array" ref="C305">GetHyperlinkAddress(A305)</f>
        <v>https://open-measure.atlassian.net/wiki/spaces/DIC/pages/1031241799</v>
      </c>
    </row>
    <row r="306" spans="1:3" x14ac:dyDescent="0.35">
      <c r="A306" s="5" t="s">
        <v>305</v>
      </c>
      <c r="B306" t="str">
        <f t="shared" si="4"/>
        <v>Multiple Accounts</v>
      </c>
      <c r="C306" s="6" t="str" cm="1">
        <f t="array" ref="C306">GetHyperlinkAddress(A306)</f>
        <v>https://open-measure.atlassian.net/wiki/spaces/DIC/pages/1600684160/Multiple+Accounts</v>
      </c>
    </row>
    <row r="307" spans="1:3" x14ac:dyDescent="0.35">
      <c r="A307" s="5" t="s">
        <v>306</v>
      </c>
      <c r="B307" t="str">
        <f t="shared" si="4"/>
        <v>Mutual Authentication</v>
      </c>
      <c r="C307" s="6" t="str" cm="1">
        <f t="array" ref="C307">GetHyperlinkAddress(A307)</f>
        <v>https://open-measure.atlassian.net/wiki/spaces/DIC/pages/998244664</v>
      </c>
    </row>
    <row r="308" spans="1:3" x14ac:dyDescent="0.35">
      <c r="A308" s="5" t="s">
        <v>307</v>
      </c>
      <c r="B308" t="str">
        <f t="shared" si="4"/>
        <v>Need-to-Know</v>
      </c>
      <c r="C308" s="6" t="str" cm="1">
        <f t="array" ref="C308">GetHyperlinkAddress(A308)</f>
        <v>https://open-measure.atlassian.net/wiki/spaces/DIC/pages/1474592794/Need-to-Know</v>
      </c>
    </row>
    <row r="309" spans="1:3" x14ac:dyDescent="0.35">
      <c r="A309" s="5" t="s">
        <v>308</v>
      </c>
      <c r="B309" t="str">
        <f t="shared" si="4"/>
        <v>New Joiner</v>
      </c>
      <c r="C309" s="6" t="str" cm="1">
        <f t="array" ref="C309">GetHyperlinkAddress(A309)</f>
        <v>https://open-measure.atlassian.net/wiki/spaces/DIC/pages/858456124</v>
      </c>
    </row>
    <row r="310" spans="1:3" x14ac:dyDescent="0.35">
      <c r="A310" s="5" t="s">
        <v>311</v>
      </c>
      <c r="B310" t="str">
        <f t="shared" si="4"/>
        <v>No Tranquility Property</v>
      </c>
      <c r="C310" s="6" t="str" cm="1">
        <f t="array" ref="C310">GetHyperlinkAddress(A310)</f>
        <v>https://open-measure.atlassian.net/wiki/spaces/DIC/pages/1237483723</v>
      </c>
    </row>
    <row r="311" spans="1:3" x14ac:dyDescent="0.35">
      <c r="A311" s="5" t="s">
        <v>309</v>
      </c>
      <c r="B311" t="str">
        <f t="shared" si="4"/>
        <v>Nominal Scale</v>
      </c>
      <c r="C311" s="6" t="str" cm="1">
        <f t="array" ref="C311">GetHyperlinkAddress(A311)</f>
        <v>https://open-measure.atlassian.net/wiki/spaces/DIC/pages/6030903</v>
      </c>
    </row>
    <row r="312" spans="1:3" x14ac:dyDescent="0.35">
      <c r="A312" s="5" t="s">
        <v>310</v>
      </c>
      <c r="B312" t="str">
        <f t="shared" si="4"/>
        <v>Nonworker</v>
      </c>
      <c r="C312" s="6" t="str" cm="1">
        <f t="array" ref="C312">GetHyperlinkAddress(A312)</f>
        <v>https://open-measure.atlassian.net/wiki/spaces/DIC/pages/858554692</v>
      </c>
    </row>
    <row r="313" spans="1:3" x14ac:dyDescent="0.35">
      <c r="A313" s="5" t="s">
        <v>312</v>
      </c>
      <c r="B313" t="str">
        <f t="shared" si="4"/>
        <v>Numerical Identity</v>
      </c>
      <c r="C313" s="6" t="str" cm="1">
        <f t="array" ref="C313">GetHyperlinkAddress(A313)</f>
        <v>https://open-measure.atlassian.net/wiki/spaces/DIC/pages/1323336029/Numerical+Identity</v>
      </c>
    </row>
    <row r="314" spans="1:3" x14ac:dyDescent="0.35">
      <c r="A314" s="5" t="s">
        <v>313</v>
      </c>
      <c r="B314" t="str">
        <f t="shared" si="4"/>
        <v>Numerical Taxonomy</v>
      </c>
      <c r="C314" s="6" t="str" cm="1">
        <f t="array" ref="C314">GetHyperlinkAddress(A314)</f>
        <v>https://open-measure.atlassian.net/wiki/spaces/DIC/pages/148308170</v>
      </c>
    </row>
    <row r="315" spans="1:3" x14ac:dyDescent="0.35">
      <c r="A315" s="5" t="s">
        <v>314</v>
      </c>
      <c r="B315" t="str">
        <f t="shared" si="4"/>
        <v>Numerical Value of Measurement</v>
      </c>
      <c r="C315" s="6" t="str" cm="1">
        <f t="array" ref="C315">GetHyperlinkAddress(A315)</f>
        <v>https://open-measure.atlassian.net/wiki/spaces/DIC/pages/5965213</v>
      </c>
    </row>
    <row r="316" spans="1:3" x14ac:dyDescent="0.35">
      <c r="A316" s="5" t="s">
        <v>315</v>
      </c>
      <c r="B316" t="str">
        <f t="shared" si="4"/>
        <v>OAuth</v>
      </c>
      <c r="C316" s="6" t="str" cm="1">
        <f t="array" ref="C316">GetHyperlinkAddress(A316)</f>
        <v>https://open-measure.atlassian.net/wiki/spaces/DIC/pages/446825168</v>
      </c>
    </row>
    <row r="317" spans="1:3" x14ac:dyDescent="0.35">
      <c r="A317" s="5" t="s">
        <v>316</v>
      </c>
      <c r="B317" t="str">
        <f t="shared" si="4"/>
        <v>Object</v>
      </c>
      <c r="C317" s="6" t="str" cm="1">
        <f t="array" ref="C317">GetHyperlinkAddress(A317)</f>
        <v>https://open-measure.atlassian.net/wiki/spaces/DIC/pages/67568133</v>
      </c>
    </row>
    <row r="318" spans="1:3" x14ac:dyDescent="0.35">
      <c r="A318" s="5" t="s">
        <v>317</v>
      </c>
      <c r="B318" t="str">
        <f t="shared" si="4"/>
        <v>Objective</v>
      </c>
      <c r="C318" s="6" t="str" cm="1">
        <f t="array" ref="C318">GetHyperlinkAddress(A318)</f>
        <v>https://open-measure.atlassian.net/wiki/spaces/DIC/pages/1376617</v>
      </c>
    </row>
    <row r="319" spans="1:3" x14ac:dyDescent="0.35">
      <c r="A319" s="5" t="s">
        <v>318</v>
      </c>
      <c r="B319" t="str">
        <f t="shared" si="4"/>
        <v>Objective Indicator</v>
      </c>
      <c r="C319" s="6" t="str" cm="1">
        <f t="array" ref="C319">GetHyperlinkAddress(A319)</f>
        <v>https://open-measure.atlassian.net/wiki/spaces/DIC/pages/2981904</v>
      </c>
    </row>
    <row r="320" spans="1:3" x14ac:dyDescent="0.35">
      <c r="A320" s="5" t="s">
        <v>319</v>
      </c>
      <c r="B320" t="str">
        <f t="shared" si="4"/>
        <v>Objectivity</v>
      </c>
      <c r="C320" s="6" t="str" cm="1">
        <f t="array" ref="C320">GetHyperlinkAddress(A320)</f>
        <v>https://open-measure.atlassian.net/wiki/spaces/DIC/pages/11141406</v>
      </c>
    </row>
    <row r="321" spans="1:3" x14ac:dyDescent="0.35">
      <c r="A321" s="5" t="s">
        <v>320</v>
      </c>
      <c r="B321" t="str">
        <f t="shared" si="4"/>
        <v>Omission Error</v>
      </c>
      <c r="C321" s="6" t="str" cm="1">
        <f t="array" ref="C321">GetHyperlinkAddress(A321)</f>
        <v>https://open-measure.atlassian.net/wiki/spaces/DIC/pages/998244357</v>
      </c>
    </row>
    <row r="322" spans="1:3" x14ac:dyDescent="0.35">
      <c r="A322" s="5" t="s">
        <v>321</v>
      </c>
      <c r="B322" t="str">
        <f t="shared" si="4"/>
        <v>OPA</v>
      </c>
      <c r="C322" s="6" t="str" cm="1">
        <f t="array" ref="C322">GetHyperlinkAddress(A322)</f>
        <v>https://open-measure.atlassian.net/wiki/spaces/DIC/pages/1142358051</v>
      </c>
    </row>
    <row r="323" spans="1:3" x14ac:dyDescent="0.35">
      <c r="A323" s="5" t="s">
        <v>322</v>
      </c>
      <c r="B323" t="str">
        <f t="shared" si="4"/>
        <v>Open Policy Agent</v>
      </c>
      <c r="C323" s="6" t="str" cm="1">
        <f t="array" ref="C323">GetHyperlinkAddress(A323)</f>
        <v>https://open-measure.atlassian.net/wiki/spaces/DIC/pages/1142259761</v>
      </c>
    </row>
    <row r="324" spans="1:3" x14ac:dyDescent="0.35">
      <c r="A324" s="5" t="s">
        <v>323</v>
      </c>
      <c r="B324" t="str">
        <f t="shared" si="4"/>
        <v>Operational Definition</v>
      </c>
      <c r="C324" s="6" t="str" cm="1">
        <f t="array" ref="C324">GetHyperlinkAddress(A324)</f>
        <v>https://open-measure.atlassian.net/wiki/spaces/DIC/pages/3211353</v>
      </c>
    </row>
    <row r="325" spans="1:3" x14ac:dyDescent="0.35">
      <c r="A325" s="5" t="s">
        <v>324</v>
      </c>
      <c r="B325" t="str">
        <f t="shared" si="4"/>
        <v>Operational Taxonomic Unit</v>
      </c>
      <c r="C325" s="6" t="str" cm="1">
        <f t="array" ref="C325">GetHyperlinkAddress(A325)</f>
        <v>https://open-measure.atlassian.net/wiki/spaces/DIC/pages/148439181</v>
      </c>
    </row>
    <row r="326" spans="1:3" x14ac:dyDescent="0.35">
      <c r="A326" s="5" t="s">
        <v>325</v>
      </c>
      <c r="B326" t="str">
        <f t="shared" ref="B326:B389" si="5">SUBSTITUTE(CLEAN(A326)," (Dictionary Entry)","")</f>
        <v>Ordinal Scale</v>
      </c>
      <c r="C326" s="6" t="str" cm="1">
        <f t="array" ref="C326">GetHyperlinkAddress(A326)</f>
        <v>https://open-measure.atlassian.net/wiki/spaces/DIC/pages/5932838</v>
      </c>
    </row>
    <row r="327" spans="1:3" x14ac:dyDescent="0.35">
      <c r="A327" s="5" t="s">
        <v>326</v>
      </c>
      <c r="B327" t="str">
        <f t="shared" si="5"/>
        <v>Organization Context (Definition)</v>
      </c>
      <c r="C327" s="6" t="str" cm="1">
        <f t="array" ref="C327">GetHyperlinkAddress(A327)</f>
        <v>https://open-measure.atlassian.net/wiki/spaces/DIC/pages/1311403</v>
      </c>
    </row>
    <row r="328" spans="1:3" x14ac:dyDescent="0.35">
      <c r="A328" s="5" t="s">
        <v>327</v>
      </c>
      <c r="B328" t="str">
        <f t="shared" si="5"/>
        <v>Organization Scope (Definition)</v>
      </c>
      <c r="C328" s="6" t="str" cm="1">
        <f t="array" ref="C328">GetHyperlinkAddress(A328)</f>
        <v>https://open-measure.atlassian.net/wiki/spaces/DIC/pages/557057</v>
      </c>
    </row>
    <row r="329" spans="1:3" x14ac:dyDescent="0.35">
      <c r="A329" s="5" t="s">
        <v>328</v>
      </c>
      <c r="B329" t="str">
        <f t="shared" si="5"/>
        <v>Orphan</v>
      </c>
      <c r="C329" s="6" t="str" cm="1">
        <f t="array" ref="C329">GetHyperlinkAddress(A329)</f>
        <v>https://open-measure.atlassian.net/wiki/spaces/DIC/pages/1061650550</v>
      </c>
    </row>
    <row r="330" spans="1:3" x14ac:dyDescent="0.35">
      <c r="A330" s="5" t="s">
        <v>329</v>
      </c>
      <c r="B330" t="str">
        <f t="shared" si="5"/>
        <v>Orphan Account</v>
      </c>
      <c r="C330" s="6" t="str" cm="1">
        <f t="array" ref="C330">GetHyperlinkAddress(A330)</f>
        <v>https://open-measure.atlassian.net/wiki/spaces/DIC/pages/1062207530/Orphan+Account</v>
      </c>
    </row>
    <row r="331" spans="1:3" x14ac:dyDescent="0.35">
      <c r="A331" s="5" t="s">
        <v>330</v>
      </c>
      <c r="B331" t="str">
        <f t="shared" si="5"/>
        <v>Orphan File</v>
      </c>
      <c r="C331" s="6" t="str" cm="1">
        <f t="array" ref="C331">GetHyperlinkAddress(A331)</f>
        <v>https://open-measure.atlassian.net/wiki/spaces/DIC/pages/1061748965</v>
      </c>
    </row>
    <row r="332" spans="1:3" x14ac:dyDescent="0.35">
      <c r="A332" s="5" t="s">
        <v>331</v>
      </c>
      <c r="B332" t="str">
        <f t="shared" si="5"/>
        <v>Orphan Object</v>
      </c>
      <c r="C332" s="6" t="str" cm="1">
        <f t="array" ref="C332">GetHyperlinkAddress(A332)</f>
        <v>https://open-measure.atlassian.net/wiki/spaces/DIC/pages/1061650653</v>
      </c>
    </row>
    <row r="333" spans="1:3" x14ac:dyDescent="0.35">
      <c r="A333" s="5" t="s">
        <v>332</v>
      </c>
      <c r="B333" t="str">
        <f t="shared" si="5"/>
        <v>Orphan Process</v>
      </c>
      <c r="C333" s="6" t="str" cm="1">
        <f t="array" ref="C333">GetHyperlinkAddress(A333)</f>
        <v>https://open-measure.atlassian.net/wiki/spaces/DIC/pages/1061748925</v>
      </c>
    </row>
    <row r="334" spans="1:3" x14ac:dyDescent="0.35">
      <c r="A334" s="5" t="s">
        <v>333</v>
      </c>
      <c r="B334" t="str">
        <f t="shared" si="5"/>
        <v>Orphan Product</v>
      </c>
      <c r="C334" s="6" t="str" cm="1">
        <f t="array" ref="C334">GetHyperlinkAddress(A334)</f>
        <v>https://open-measure.atlassian.net/wiki/spaces/DIC/pages/1061749016</v>
      </c>
    </row>
    <row r="335" spans="1:3" x14ac:dyDescent="0.35">
      <c r="A335" s="5" t="s">
        <v>334</v>
      </c>
      <c r="B335" t="str">
        <f t="shared" si="5"/>
        <v>Orphan Role</v>
      </c>
      <c r="C335" s="6" t="str" cm="1">
        <f t="array" ref="C335">GetHyperlinkAddress(A335)</f>
        <v>https://open-measure.atlassian.net/wiki/spaces/DIC/pages/1063845889</v>
      </c>
    </row>
    <row r="336" spans="1:3" x14ac:dyDescent="0.35">
      <c r="A336" s="5" t="s">
        <v>335</v>
      </c>
      <c r="B336" t="str">
        <f t="shared" si="5"/>
        <v>Orphan Routes / APIs</v>
      </c>
      <c r="C336" s="6" t="str" cm="1">
        <f t="array" ref="C336">GetHyperlinkAddress(A336)</f>
        <v>https://open-measure.atlassian.net/wiki/spaces/DIC/pages/1061650689</v>
      </c>
    </row>
    <row r="337" spans="1:3" x14ac:dyDescent="0.35">
      <c r="A337" s="5" t="s">
        <v>336</v>
      </c>
      <c r="B337" t="str">
        <f t="shared" si="5"/>
        <v>Orphan System</v>
      </c>
      <c r="C337" s="6" t="str" cm="1">
        <f t="array" ref="C337">GetHyperlinkAddress(A337)</f>
        <v>https://open-measure.atlassian.net/wiki/spaces/DIC/pages/1061748885</v>
      </c>
    </row>
    <row r="338" spans="1:3" x14ac:dyDescent="0.35">
      <c r="A338" s="5" t="s">
        <v>337</v>
      </c>
      <c r="B338" t="str">
        <f t="shared" si="5"/>
        <v>Outcome Indicator</v>
      </c>
      <c r="C338" s="6" t="str" cm="1">
        <f t="array" ref="C338">GetHyperlinkAddress(A338)</f>
        <v>https://open-measure.atlassian.net/wiki/spaces/DIC/pages/49283090</v>
      </c>
    </row>
    <row r="339" spans="1:3" x14ac:dyDescent="0.35">
      <c r="A339" s="5" t="s">
        <v>338</v>
      </c>
      <c r="B339" t="str">
        <f t="shared" si="5"/>
        <v>Output Indicator</v>
      </c>
      <c r="C339" s="6" t="str" cm="1">
        <f t="array" ref="C339">GetHyperlinkAddress(A339)</f>
        <v>https://open-measure.atlassian.net/wiki/spaces/DIC/pages/49315842</v>
      </c>
    </row>
    <row r="340" spans="1:3" x14ac:dyDescent="0.35">
      <c r="A340" s="5" t="s">
        <v>339</v>
      </c>
      <c r="B340" t="str">
        <f t="shared" si="5"/>
        <v>Outsider</v>
      </c>
      <c r="C340" s="6" t="str" cm="1">
        <f t="array" ref="C340">GetHyperlinkAddress(A340)</f>
        <v>https://open-measure.atlassian.net/wiki/spaces/DIC/pages/1472692289/Outsider</v>
      </c>
    </row>
    <row r="341" spans="1:3" x14ac:dyDescent="0.35">
      <c r="A341" s="5" t="s">
        <v>340</v>
      </c>
      <c r="B341" t="str">
        <f t="shared" si="5"/>
        <v>Parsimony</v>
      </c>
      <c r="C341" s="6" t="str" cm="1">
        <f t="array" ref="C341">GetHyperlinkAddress(A341)</f>
        <v>https://open-measure.atlassian.net/wiki/spaces/DIC/pages/438665302</v>
      </c>
    </row>
    <row r="342" spans="1:3" x14ac:dyDescent="0.35">
      <c r="A342" s="5" t="s">
        <v>341</v>
      </c>
      <c r="B342" t="str">
        <f t="shared" si="5"/>
        <v>Partial Typology</v>
      </c>
      <c r="C342" s="6" t="str" cm="1">
        <f t="array" ref="C342">GetHyperlinkAddress(A342)</f>
        <v>https://open-measure.atlassian.net/wiki/spaces/DIC/pages/140673286</v>
      </c>
    </row>
    <row r="343" spans="1:3" x14ac:dyDescent="0.35">
      <c r="A343" s="5" t="s">
        <v>342</v>
      </c>
      <c r="B343" t="str">
        <f t="shared" si="5"/>
        <v>Passive Impersonation Attack</v>
      </c>
      <c r="C343" s="6" t="str" cm="1">
        <f t="array" ref="C343">GetHyperlinkAddress(A343)</f>
        <v>https://open-measure.atlassian.net/wiki/spaces/DIC/pages/974323764</v>
      </c>
    </row>
    <row r="344" spans="1:3" x14ac:dyDescent="0.35">
      <c r="A344" s="5" t="s">
        <v>343</v>
      </c>
      <c r="B344" t="str">
        <f t="shared" si="5"/>
        <v>Password Guessing Attack</v>
      </c>
      <c r="C344" s="6" t="str" cm="1">
        <f t="array" ref="C344">GetHyperlinkAddress(A344)</f>
        <v>https://open-measure.atlassian.net/wiki/spaces/DIC/pages/1428652394/Password+Guessing+Attack</v>
      </c>
    </row>
    <row r="345" spans="1:3" x14ac:dyDescent="0.35">
      <c r="A345" s="5" t="s">
        <v>345</v>
      </c>
      <c r="B345" t="str">
        <f t="shared" si="5"/>
        <v>Password Rotation</v>
      </c>
      <c r="C345" s="6" t="str" cm="1">
        <f t="array" ref="C345">GetHyperlinkAddress(A345)</f>
        <v>https://open-measure.atlassian.net/wiki/spaces/DIC/pages/1027048058</v>
      </c>
    </row>
    <row r="346" spans="1:3" x14ac:dyDescent="0.35">
      <c r="A346" s="5" t="s">
        <v>3</v>
      </c>
      <c r="B346" t="str">
        <f t="shared" si="5"/>
        <v>Password Spraying Attack</v>
      </c>
      <c r="C346" s="6" t="str" cm="1">
        <f t="array" ref="C346">GetHyperlinkAddress(A346)</f>
        <v>https://open-measure.atlassian.net/wiki/spaces/DIC/pages/1348730921/Password+Spraying+Attack</v>
      </c>
    </row>
    <row r="347" spans="1:3" x14ac:dyDescent="0.35">
      <c r="A347" s="5" t="s">
        <v>344</v>
      </c>
      <c r="B347" t="str">
        <f t="shared" si="5"/>
        <v>Passwordless Authentication</v>
      </c>
      <c r="C347" s="6" t="str" cm="1">
        <f t="array" ref="C347">GetHyperlinkAddress(A347)</f>
        <v>https://open-measure.atlassian.net/wiki/spaces/DIC/pages/1677164566/Passwordless+Authentication</v>
      </c>
    </row>
    <row r="348" spans="1:3" x14ac:dyDescent="0.35">
      <c r="A348" s="5" t="s">
        <v>346</v>
      </c>
      <c r="B348" t="str">
        <f t="shared" si="5"/>
        <v>People (Definition)</v>
      </c>
      <c r="C348" s="6" t="str" cm="1">
        <f t="array" ref="C348">GetHyperlinkAddress(A348)</f>
        <v>https://open-measure.atlassian.net/wiki/spaces/DIC/pages/1409753</v>
      </c>
    </row>
    <row r="349" spans="1:3" x14ac:dyDescent="0.35">
      <c r="A349" s="5" t="s">
        <v>347</v>
      </c>
      <c r="B349" t="str">
        <f t="shared" si="5"/>
        <v>Performance (Definition)</v>
      </c>
      <c r="C349" s="6" t="str" cm="1">
        <f t="array" ref="C349">GetHyperlinkAddress(A349)</f>
        <v>https://open-measure.atlassian.net/wiki/spaces/DIC/pages/140707141</v>
      </c>
    </row>
    <row r="350" spans="1:3" x14ac:dyDescent="0.35">
      <c r="A350" s="5" t="s">
        <v>348</v>
      </c>
      <c r="B350" t="str">
        <f t="shared" si="5"/>
        <v>Performance Measurement System</v>
      </c>
      <c r="C350" s="6" t="str" cm="1">
        <f t="array" ref="C350">GetHyperlinkAddress(A350)</f>
        <v>https://open-measure.atlassian.net/wiki/spaces/DIC/pages/1572966</v>
      </c>
    </row>
    <row r="351" spans="1:3" x14ac:dyDescent="0.35">
      <c r="A351" s="5" t="s">
        <v>349</v>
      </c>
      <c r="B351" t="str">
        <f t="shared" si="5"/>
        <v>Permission</v>
      </c>
      <c r="C351" s="6" t="str" cm="1">
        <f t="array" ref="C351">GetHyperlinkAddress(A351)</f>
        <v>https://open-measure.atlassian.net/wiki/spaces/DIC/pages/67699129</v>
      </c>
    </row>
    <row r="352" spans="1:3" x14ac:dyDescent="0.35">
      <c r="A352" s="5" t="s">
        <v>350</v>
      </c>
      <c r="B352" t="str">
        <f t="shared" si="5"/>
        <v>Persona</v>
      </c>
      <c r="C352" s="6" t="str" cm="1">
        <f t="array" ref="C352">GetHyperlinkAddress(A352)</f>
        <v>https://open-measure.atlassian.net/wiki/spaces/DIC/pages/1323499709/Persona</v>
      </c>
    </row>
    <row r="353" spans="1:3" x14ac:dyDescent="0.35">
      <c r="A353" s="5" t="s">
        <v>351</v>
      </c>
      <c r="B353" t="str">
        <f t="shared" si="5"/>
        <v>PMS</v>
      </c>
      <c r="C353" s="6" t="str" cm="1">
        <f t="array" ref="C353">GetHyperlinkAddress(A353)</f>
        <v>https://open-measure.atlassian.net/wiki/spaces/DIC/pages/1572948</v>
      </c>
    </row>
    <row r="354" spans="1:3" x14ac:dyDescent="0.35">
      <c r="A354" s="5" t="s">
        <v>352</v>
      </c>
      <c r="B354" t="str">
        <f t="shared" si="5"/>
        <v>Polar Types</v>
      </c>
      <c r="C354" s="6" t="str" cm="1">
        <f t="array" ref="C354">GetHyperlinkAddress(A354)</f>
        <v>https://open-measure.atlassian.net/wiki/spaces/DIC/pages/140771596</v>
      </c>
    </row>
    <row r="355" spans="1:3" x14ac:dyDescent="0.35">
      <c r="A355" s="5" t="s">
        <v>353</v>
      </c>
      <c r="B355" t="str">
        <f t="shared" si="5"/>
        <v>Policy</v>
      </c>
      <c r="C355" s="6" t="str" cm="1">
        <f t="array" ref="C355">GetHyperlinkAddress(A355)</f>
        <v>https://open-measure.atlassian.net/wiki/spaces/DIC/pages/67568272</v>
      </c>
    </row>
    <row r="356" spans="1:3" x14ac:dyDescent="0.35">
      <c r="A356" s="5" t="s">
        <v>354</v>
      </c>
      <c r="B356" t="str">
        <f t="shared" si="5"/>
        <v>Policy Analysis</v>
      </c>
      <c r="C356" s="6" t="str" cm="1">
        <f t="array" ref="C356">GetHyperlinkAddress(A356)</f>
        <v>https://open-measure.atlassian.net/wiki/spaces/DIC/pages/1104904334</v>
      </c>
    </row>
    <row r="357" spans="1:3" x14ac:dyDescent="0.35">
      <c r="A357" s="5" t="s">
        <v>355</v>
      </c>
      <c r="B357" t="str">
        <f t="shared" si="5"/>
        <v>Policy Centralization</v>
      </c>
      <c r="C357" s="6" t="str" cm="1">
        <f t="array" ref="C357">GetHyperlinkAddress(A357)</f>
        <v>https://open-measure.atlassian.net/wiki/spaces/DIC/pages/1132331103</v>
      </c>
    </row>
    <row r="358" spans="1:3" x14ac:dyDescent="0.35">
      <c r="A358" s="5" t="s">
        <v>356</v>
      </c>
      <c r="B358" t="str">
        <f t="shared" si="5"/>
        <v>Policy Interoperability</v>
      </c>
      <c r="C358" s="6" t="str" cm="1">
        <f t="array" ref="C358">GetHyperlinkAddress(A358)</f>
        <v>https://open-measure.atlassian.net/wiki/spaces/DIC/pages/1132331086</v>
      </c>
    </row>
    <row r="359" spans="1:3" x14ac:dyDescent="0.35">
      <c r="A359" s="5" t="s">
        <v>357</v>
      </c>
      <c r="B359" t="str">
        <f t="shared" si="5"/>
        <v>Policy Manageability</v>
      </c>
      <c r="C359" s="6" t="str" cm="1">
        <f t="array" ref="C359">GetHyperlinkAddress(A359)</f>
        <v>https://open-measure.atlassian.net/wiki/spaces/DIC/pages/1122631903</v>
      </c>
    </row>
    <row r="360" spans="1:3" x14ac:dyDescent="0.35">
      <c r="A360" s="5" t="s">
        <v>358</v>
      </c>
      <c r="B360" t="str">
        <f t="shared" si="5"/>
        <v>Policy Mining</v>
      </c>
      <c r="C360" s="6" t="str" cm="1">
        <f t="array" ref="C360">GetHyperlinkAddress(A360)</f>
        <v>https://open-measure.atlassian.net/wiki/spaces/DIC/pages/1105068063</v>
      </c>
    </row>
    <row r="361" spans="1:3" x14ac:dyDescent="0.35">
      <c r="A361" s="5" t="s">
        <v>359</v>
      </c>
      <c r="B361" t="str">
        <f t="shared" si="5"/>
        <v>Policy Modeling</v>
      </c>
      <c r="C361" s="6" t="str" cm="1">
        <f t="array" ref="C361">GetHyperlinkAddress(A361)</f>
        <v>https://open-measure.atlassian.net/wiki/spaces/DIC/pages/1130987523</v>
      </c>
    </row>
    <row r="362" spans="1:3" x14ac:dyDescent="0.35">
      <c r="A362" s="5" t="s">
        <v>360</v>
      </c>
      <c r="B362" t="str">
        <f t="shared" si="5"/>
        <v>Polythetic Class</v>
      </c>
      <c r="C362" s="6" t="str" cm="1">
        <f t="array" ref="C362">GetHyperlinkAddress(A362)</f>
        <v>https://open-measure.atlassian.net/wiki/spaces/DIC/pages/148373776</v>
      </c>
    </row>
    <row r="363" spans="1:3" x14ac:dyDescent="0.35">
      <c r="A363" s="5" t="s">
        <v>361</v>
      </c>
      <c r="B363" t="str">
        <f t="shared" si="5"/>
        <v>Pre-approval</v>
      </c>
      <c r="C363" s="6" t="str" cm="1">
        <f t="array" ref="C363">GetHyperlinkAddress(A363)</f>
        <v>https://open-measure.atlassian.net/wiki/spaces/DIC/pages/1094549649</v>
      </c>
    </row>
    <row r="364" spans="1:3" x14ac:dyDescent="0.35">
      <c r="A364" s="5" t="s">
        <v>362</v>
      </c>
      <c r="B364" t="str">
        <f t="shared" si="5"/>
        <v>Preference Indicator</v>
      </c>
      <c r="C364" s="6" t="str" cm="1">
        <f t="array" ref="C364">GetHyperlinkAddress(A364)</f>
        <v>https://open-measure.atlassian.net/wiki/spaces/DIC/pages/5933189</v>
      </c>
    </row>
    <row r="365" spans="1:3" x14ac:dyDescent="0.35">
      <c r="A365" s="5" t="s">
        <v>363</v>
      </c>
      <c r="B365" t="str">
        <f t="shared" si="5"/>
        <v>Principal</v>
      </c>
      <c r="C365" s="6" t="str" cm="1">
        <f t="array" ref="C365">GetHyperlinkAddress(A365)</f>
        <v>https://open-measure.atlassian.net/wiki/spaces/DIC/pages/67699046</v>
      </c>
    </row>
    <row r="366" spans="1:3" x14ac:dyDescent="0.35">
      <c r="A366" s="5" t="s">
        <v>364</v>
      </c>
      <c r="B366" t="str">
        <f t="shared" si="5"/>
        <v>Private Key Loss</v>
      </c>
      <c r="C366" s="6" t="str" cm="1">
        <f t="array" ref="C366">GetHyperlinkAddress(A366)</f>
        <v>https://open-measure.atlassian.net/wiki/spaces/DIC/pages/1323434264/Private+Key+Loss</v>
      </c>
    </row>
    <row r="367" spans="1:3" x14ac:dyDescent="0.35">
      <c r="A367" s="5" t="s">
        <v>365</v>
      </c>
      <c r="B367" t="str">
        <f t="shared" si="5"/>
        <v>Privilege</v>
      </c>
      <c r="C367" s="6" t="str" cm="1">
        <f t="array" ref="C367">GetHyperlinkAddress(A367)</f>
        <v>https://open-measure.atlassian.net/wiki/spaces/DIC/pages/67568310</v>
      </c>
    </row>
    <row r="368" spans="1:3" x14ac:dyDescent="0.35">
      <c r="A368" s="5" t="s">
        <v>366</v>
      </c>
      <c r="B368" t="str">
        <f t="shared" si="5"/>
        <v>Privilege Abuse</v>
      </c>
      <c r="C368" s="6" t="str" cm="1">
        <f t="array" ref="C368">GetHyperlinkAddress(A368)</f>
        <v>https://open-measure.atlassian.net/wiki/spaces/DIC/pages/814449037/Privilege+Abuse</v>
      </c>
    </row>
    <row r="369" spans="1:3" x14ac:dyDescent="0.35">
      <c r="A369" s="5" t="s">
        <v>367</v>
      </c>
      <c r="B369" t="str">
        <f t="shared" si="5"/>
        <v>Privilege Chaining</v>
      </c>
      <c r="C369" s="6" t="str" cm="1">
        <f t="array" ref="C369">GetHyperlinkAddress(A369)</f>
        <v>https://open-measure.atlassian.net/wiki/spaces/DIC/pages/473890861</v>
      </c>
    </row>
    <row r="370" spans="1:3" x14ac:dyDescent="0.35">
      <c r="A370" s="5" t="s">
        <v>370</v>
      </c>
      <c r="B370" t="str">
        <f t="shared" si="5"/>
        <v>Privilege Escalation</v>
      </c>
      <c r="C370" s="6" t="str" cm="1">
        <f t="array" ref="C370">GetHyperlinkAddress(A370)</f>
        <v>https://open-measure.atlassian.net/wiki/spaces/DIC/pages/810320380</v>
      </c>
    </row>
    <row r="371" spans="1:3" x14ac:dyDescent="0.35">
      <c r="A371" s="5" t="s">
        <v>368</v>
      </c>
      <c r="B371" t="str">
        <f t="shared" si="5"/>
        <v>Privileged Identity</v>
      </c>
      <c r="C371" s="6" t="str" cm="1">
        <f t="array" ref="C371">GetHyperlinkAddress(A371)</f>
        <v>https://open-measure.atlassian.net/wiki/spaces/DIC/pages/138346661</v>
      </c>
    </row>
    <row r="372" spans="1:3" x14ac:dyDescent="0.35">
      <c r="A372" s="5" t="s">
        <v>369</v>
      </c>
      <c r="B372" t="str">
        <f t="shared" si="5"/>
        <v>Privileged Insider</v>
      </c>
      <c r="C372" s="6" t="str" cm="1">
        <f t="array" ref="C372">GetHyperlinkAddress(A372)</f>
        <v>https://open-measure.atlassian.net/wiki/spaces/DIC/pages/1477902403/Privileged+Insider</v>
      </c>
    </row>
    <row r="373" spans="1:3" x14ac:dyDescent="0.35">
      <c r="A373" s="5" t="s">
        <v>371</v>
      </c>
      <c r="B373" t="str">
        <f t="shared" si="5"/>
        <v>Process</v>
      </c>
      <c r="C373" s="6" t="str" cm="1">
        <f t="array" ref="C373">GetHyperlinkAddress(A373)</f>
        <v>https://open-measure.atlassian.net/wiki/spaces/DIC/pages/1377214</v>
      </c>
    </row>
    <row r="374" spans="1:3" x14ac:dyDescent="0.35">
      <c r="A374" s="5" t="s">
        <v>372</v>
      </c>
      <c r="B374" t="str">
        <f t="shared" si="5"/>
        <v>Process Indicator</v>
      </c>
      <c r="C374" s="6" t="str" cm="1">
        <f t="array" ref="C374">GetHyperlinkAddress(A374)</f>
        <v>https://open-measure.atlassian.net/wiki/spaces/DIC/pages/49250316</v>
      </c>
    </row>
    <row r="375" spans="1:3" x14ac:dyDescent="0.35">
      <c r="A375" s="5" t="s">
        <v>373</v>
      </c>
      <c r="B375" t="str">
        <f t="shared" si="5"/>
        <v>Production Lead Time</v>
      </c>
      <c r="C375" s="6" t="str" cm="1">
        <f t="array" ref="C375">GetHyperlinkAddress(A375)</f>
        <v>https://open-measure.atlassian.net/wiki/spaces/DIC/pages/858521752</v>
      </c>
    </row>
    <row r="376" spans="1:3" x14ac:dyDescent="0.35">
      <c r="A376" s="5" t="s">
        <v>374</v>
      </c>
      <c r="B376" t="str">
        <f t="shared" si="5"/>
        <v>Protocol</v>
      </c>
      <c r="C376" s="6" t="str" cm="1">
        <f t="array" ref="C376">GetHyperlinkAddress(A376)</f>
        <v>https://open-measure.atlassian.net/wiki/spaces/DIC/pages/446955521</v>
      </c>
    </row>
    <row r="377" spans="1:3" x14ac:dyDescent="0.35">
      <c r="A377" s="5" t="s">
        <v>375</v>
      </c>
      <c r="B377" t="str">
        <f t="shared" si="5"/>
        <v>Provisioning</v>
      </c>
      <c r="C377" s="6" t="str" cm="1">
        <f t="array" ref="C377">GetHyperlinkAddress(A377)</f>
        <v>https://open-measure.atlassian.net/wiki/spaces/DIC/pages/61964289</v>
      </c>
    </row>
    <row r="378" spans="1:3" x14ac:dyDescent="0.35">
      <c r="A378" s="5" t="s">
        <v>376</v>
      </c>
      <c r="B378" t="str">
        <f t="shared" si="5"/>
        <v>QR Code Authentication</v>
      </c>
      <c r="C378" s="6" t="str" cm="1">
        <f t="array" ref="C378">GetHyperlinkAddress(A378)</f>
        <v>https://open-measure.atlassian.net/wiki/spaces/DIC/pages/1677164768/QR+Code+Authentication</v>
      </c>
    </row>
    <row r="379" spans="1:3" x14ac:dyDescent="0.35">
      <c r="A379" s="5" t="s">
        <v>377</v>
      </c>
      <c r="B379" t="str">
        <f t="shared" si="5"/>
        <v>Qualitative Classification</v>
      </c>
      <c r="C379" s="6" t="str" cm="1">
        <f t="array" ref="C379">GetHyperlinkAddress(A379)</f>
        <v>https://open-measure.atlassian.net/wiki/spaces/DIC/pages/140706128</v>
      </c>
    </row>
    <row r="380" spans="1:3" x14ac:dyDescent="0.35">
      <c r="A380" s="5" t="s">
        <v>378</v>
      </c>
      <c r="B380" t="str">
        <f t="shared" si="5"/>
        <v>Qualitative Identity</v>
      </c>
      <c r="C380" s="6" t="str" cm="1">
        <f t="array" ref="C380">GetHyperlinkAddress(A380)</f>
        <v>https://open-measure.atlassian.net/wiki/spaces/DIC/pages/1323598109/Qualitative+Identity</v>
      </c>
    </row>
    <row r="381" spans="1:3" x14ac:dyDescent="0.35">
      <c r="A381" s="5" t="s">
        <v>379</v>
      </c>
      <c r="B381" t="str">
        <f t="shared" si="5"/>
        <v>Quality (Definition)</v>
      </c>
      <c r="C381" s="6" t="str" cm="1">
        <f t="array" ref="C381">GetHyperlinkAddress(A381)</f>
        <v>https://open-measure.atlassian.net/wiki/spaces/DIC/pages/1442240</v>
      </c>
    </row>
    <row r="382" spans="1:3" x14ac:dyDescent="0.35">
      <c r="A382" s="5" t="s">
        <v>380</v>
      </c>
      <c r="B382" t="str">
        <f t="shared" si="5"/>
        <v>Quantitative Classification</v>
      </c>
      <c r="C382" s="6" t="str" cm="1">
        <f t="array" ref="C382">GetHyperlinkAddress(A382)</f>
        <v>https://open-measure.atlassian.net/wiki/spaces/DIC/pages/148308223</v>
      </c>
    </row>
    <row r="383" spans="1:3" x14ac:dyDescent="0.35">
      <c r="A383" s="5" t="s">
        <v>381</v>
      </c>
      <c r="B383" t="str">
        <f t="shared" si="5"/>
        <v>Quantity</v>
      </c>
      <c r="C383" s="6" t="str" cm="1">
        <f t="array" ref="C383">GetHyperlinkAddress(A383)</f>
        <v>https://open-measure.atlassian.net/wiki/spaces/DIC/pages/6030426</v>
      </c>
    </row>
    <row r="384" spans="1:3" x14ac:dyDescent="0.35">
      <c r="A384" s="5" t="s">
        <v>382</v>
      </c>
      <c r="B384" t="str">
        <f t="shared" si="5"/>
        <v>RA</v>
      </c>
      <c r="C384" s="6" t="str" cm="1">
        <f t="array" ref="C384">GetHyperlinkAddress(A384)</f>
        <v>https://open-measure.atlassian.net/wiki/spaces/DIC/pages/82903928</v>
      </c>
    </row>
    <row r="385" spans="1:3" x14ac:dyDescent="0.35">
      <c r="A385" s="5" t="s">
        <v>383</v>
      </c>
      <c r="B385" t="str">
        <f t="shared" si="5"/>
        <v>Ratio Scale</v>
      </c>
      <c r="C385" s="6" t="str" cm="1">
        <f t="array" ref="C385">GetHyperlinkAddress(A385)</f>
        <v>https://open-measure.atlassian.net/wiki/spaces/DIC/pages/11567198</v>
      </c>
    </row>
    <row r="386" spans="1:3" x14ac:dyDescent="0.35">
      <c r="A386" s="5" t="s">
        <v>384</v>
      </c>
      <c r="B386" t="str">
        <f t="shared" si="5"/>
        <v>RBA</v>
      </c>
      <c r="C386" s="6" t="str" cm="1">
        <f t="array" ref="C386">GetHyperlinkAddress(A386)</f>
        <v>https://open-measure.atlassian.net/wiki/spaces/DIC/pages/408944908</v>
      </c>
    </row>
    <row r="387" spans="1:3" x14ac:dyDescent="0.35">
      <c r="A387" s="5" t="s">
        <v>385</v>
      </c>
      <c r="B387" t="str">
        <f t="shared" si="5"/>
        <v>Re-authentication</v>
      </c>
      <c r="C387" s="6" t="str" cm="1">
        <f t="array" ref="C387">GetHyperlinkAddress(A387)</f>
        <v>https://open-measure.atlassian.net/wiki/spaces/DIC/pages/873201665</v>
      </c>
    </row>
    <row r="388" spans="1:3" x14ac:dyDescent="0.35">
      <c r="A388" s="5" t="s">
        <v>386</v>
      </c>
      <c r="B388" t="str">
        <f t="shared" si="5"/>
        <v>Recertification</v>
      </c>
      <c r="C388" s="6" t="str" cm="1">
        <f t="array" ref="C388">GetHyperlinkAddress(A388)</f>
        <v>https://open-measure.atlassian.net/wiki/spaces/DIC/pages/107840129</v>
      </c>
    </row>
    <row r="389" spans="1:3" x14ac:dyDescent="0.35">
      <c r="A389" s="5" t="s">
        <v>387</v>
      </c>
      <c r="B389" t="str">
        <f t="shared" si="5"/>
        <v>Reference Monitor</v>
      </c>
      <c r="C389" s="6" t="str" cm="1">
        <f t="array" ref="C389">GetHyperlinkAddress(A389)</f>
        <v>https://open-measure.atlassian.net/wiki/spaces/DIC/pages/123962234</v>
      </c>
    </row>
    <row r="390" spans="1:3" x14ac:dyDescent="0.35">
      <c r="A390" s="5" t="s">
        <v>388</v>
      </c>
      <c r="B390" t="str">
        <f t="shared" ref="B390:B453" si="6">SUBSTITUTE(CLEAN(A390)," (Dictionary Entry)","")</f>
        <v>Registration Authority</v>
      </c>
      <c r="C390" s="6" t="str" cm="1">
        <f t="array" ref="C390">GetHyperlinkAddress(A390)</f>
        <v>https://open-measure.atlassian.net/wiki/spaces/DIC/pages/82870985</v>
      </c>
    </row>
    <row r="391" spans="1:3" x14ac:dyDescent="0.35">
      <c r="A391" s="5" t="s">
        <v>389</v>
      </c>
      <c r="B391" t="str">
        <f t="shared" si="6"/>
        <v>Rejoiner</v>
      </c>
      <c r="C391" s="6" t="str" cm="1">
        <f t="array" ref="C391">GetHyperlinkAddress(A391)</f>
        <v>https://open-measure.atlassian.net/wiki/spaces/DIC/pages/858521682</v>
      </c>
    </row>
    <row r="392" spans="1:3" x14ac:dyDescent="0.35">
      <c r="A392" s="5" t="s">
        <v>390</v>
      </c>
      <c r="B392" t="str">
        <f t="shared" si="6"/>
        <v>Relying Party</v>
      </c>
      <c r="C392" s="6" t="str" cm="1">
        <f t="array" ref="C392">GetHyperlinkAddress(A392)</f>
        <v>https://open-measure.atlassian.net/wiki/spaces/DIC/pages/67699423</v>
      </c>
    </row>
    <row r="393" spans="1:3" x14ac:dyDescent="0.35">
      <c r="A393" s="5" t="s">
        <v>391</v>
      </c>
      <c r="B393" t="str">
        <f t="shared" si="6"/>
        <v>Remote Identity Proofing</v>
      </c>
      <c r="C393" s="6" t="str" cm="1">
        <f t="array" ref="C393">GetHyperlinkAddress(A393)</f>
        <v>https://open-measure.atlassian.net/wiki/spaces/DIC/pages/427130881</v>
      </c>
    </row>
    <row r="394" spans="1:3" x14ac:dyDescent="0.35">
      <c r="A394" s="5" t="s">
        <v>392</v>
      </c>
      <c r="B394" t="str">
        <f t="shared" si="6"/>
        <v>Repeatability</v>
      </c>
      <c r="C394" s="6" t="str" cm="1">
        <f t="array" ref="C394">GetHyperlinkAddress(A394)</f>
        <v>https://open-measure.atlassian.net/wiki/spaces/DIC/pages/2589003</v>
      </c>
    </row>
    <row r="395" spans="1:3" x14ac:dyDescent="0.35">
      <c r="A395" s="5" t="s">
        <v>393</v>
      </c>
      <c r="B395" t="str">
        <f t="shared" si="6"/>
        <v>Representation Target</v>
      </c>
      <c r="C395" s="6" t="str" cm="1">
        <f t="array" ref="C395">GetHyperlinkAddress(A395)</f>
        <v>https://open-measure.atlassian.net/wiki/spaces/DIC/pages/11141464</v>
      </c>
    </row>
    <row r="396" spans="1:3" x14ac:dyDescent="0.35">
      <c r="A396" s="5" t="s">
        <v>394</v>
      </c>
      <c r="B396" t="str">
        <f t="shared" si="6"/>
        <v>Reproducibility</v>
      </c>
      <c r="C396" s="6" t="str" cm="1">
        <f t="array" ref="C396">GetHyperlinkAddress(A396)</f>
        <v>https://open-measure.atlassian.net/wiki/spaces/DIC/pages/2588994</v>
      </c>
    </row>
    <row r="397" spans="1:3" x14ac:dyDescent="0.35">
      <c r="A397" s="5" t="s">
        <v>395</v>
      </c>
      <c r="B397" t="str">
        <f t="shared" si="6"/>
        <v>Revocation</v>
      </c>
      <c r="C397" s="6" t="str" cm="1">
        <f t="array" ref="C397">GetHyperlinkAddress(A397)</f>
        <v>https://open-measure.atlassian.net/wiki/spaces/DIC/pages/67698769</v>
      </c>
    </row>
    <row r="398" spans="1:3" x14ac:dyDescent="0.35">
      <c r="A398" s="5" t="s">
        <v>396</v>
      </c>
      <c r="B398" t="str">
        <f t="shared" si="6"/>
        <v>RIDP</v>
      </c>
      <c r="C398" s="6" t="str" cm="1">
        <f t="array" ref="C398">GetHyperlinkAddress(A398)</f>
        <v>https://open-measure.atlassian.net/wiki/spaces/DIC/pages/425623561</v>
      </c>
    </row>
    <row r="399" spans="1:3" x14ac:dyDescent="0.35">
      <c r="A399" s="5" t="s">
        <v>397</v>
      </c>
      <c r="B399" t="str">
        <f t="shared" si="6"/>
        <v>Risk-Based Authentication</v>
      </c>
      <c r="C399" s="6" t="str" cm="1">
        <f t="array" ref="C399">GetHyperlinkAddress(A399)</f>
        <v>https://open-measure.atlassian.net/wiki/spaces/DIC/pages/795836567</v>
      </c>
    </row>
    <row r="400" spans="1:3" x14ac:dyDescent="0.35">
      <c r="A400" s="5" t="s">
        <v>398</v>
      </c>
      <c r="B400" t="str">
        <f t="shared" si="6"/>
        <v>Role</v>
      </c>
      <c r="C400" s="6" t="str" cm="1">
        <f t="array" ref="C400">GetHyperlinkAddress(A400)</f>
        <v>https://open-measure.atlassian.net/wiki/spaces/DIC/pages/86442069</v>
      </c>
    </row>
    <row r="401" spans="1:3" x14ac:dyDescent="0.35">
      <c r="A401" s="5" t="s">
        <v>400</v>
      </c>
      <c r="B401" t="str">
        <f t="shared" si="6"/>
        <v>Role Bloating</v>
      </c>
      <c r="C401" s="6" t="str" cm="1">
        <f t="array" ref="C401">GetHyperlinkAddress(A401)</f>
        <v>https://open-measure.atlassian.net/wiki/spaces/DIC/pages/814514401</v>
      </c>
    </row>
    <row r="402" spans="1:3" x14ac:dyDescent="0.35">
      <c r="A402" s="5" t="s">
        <v>401</v>
      </c>
      <c r="B402" t="str">
        <f t="shared" si="6"/>
        <v>Role Capacity</v>
      </c>
      <c r="C402" s="6" t="str" cm="1">
        <f t="array" ref="C402">GetHyperlinkAddress(A402)</f>
        <v>https://open-measure.atlassian.net/wiki/spaces/DIC/pages/1164902443</v>
      </c>
    </row>
    <row r="403" spans="1:3" x14ac:dyDescent="0.35">
      <c r="A403" s="5" t="s">
        <v>402</v>
      </c>
      <c r="B403" t="str">
        <f t="shared" si="6"/>
        <v>Role Cardinality</v>
      </c>
      <c r="C403" s="6" t="str" cm="1">
        <f t="array" ref="C403">GetHyperlinkAddress(A403)</f>
        <v>https://open-measure.atlassian.net/wiki/spaces/DIC/pages/1164869655</v>
      </c>
    </row>
    <row r="404" spans="1:3" x14ac:dyDescent="0.35">
      <c r="A404" s="5" t="s">
        <v>403</v>
      </c>
      <c r="B404" t="str">
        <f t="shared" si="6"/>
        <v>Role Cardinality Activation Control</v>
      </c>
      <c r="C404" s="6" t="str" cm="1">
        <f t="array" ref="C404">GetHyperlinkAddress(A404)</f>
        <v>https://open-measure.atlassian.net/wiki/spaces/DIC/pages/1164902498</v>
      </c>
    </row>
    <row r="405" spans="1:3" x14ac:dyDescent="0.35">
      <c r="A405" s="5" t="s">
        <v>404</v>
      </c>
      <c r="B405" t="str">
        <f t="shared" si="6"/>
        <v>Role Explosion</v>
      </c>
      <c r="C405" s="6" t="str" cm="1">
        <f t="array" ref="C405">GetHyperlinkAddress(A405)</f>
        <v>https://open-measure.atlassian.net/wiki/spaces/DIC/pages/1152483772</v>
      </c>
    </row>
    <row r="406" spans="1:3" x14ac:dyDescent="0.35">
      <c r="A406" s="5" t="s">
        <v>405</v>
      </c>
      <c r="B406" t="str">
        <f t="shared" si="6"/>
        <v>Role Management</v>
      </c>
      <c r="C406" s="6" t="str" cm="1">
        <f t="array" ref="C406">GetHyperlinkAddress(A406)</f>
        <v>https://open-measure.atlassian.net/wiki/spaces/DIC/pages/1130921985</v>
      </c>
    </row>
    <row r="407" spans="1:3" x14ac:dyDescent="0.35">
      <c r="A407" s="5" t="s">
        <v>399</v>
      </c>
      <c r="B407" t="str">
        <f t="shared" si="6"/>
        <v>Role-Based Access Control</v>
      </c>
      <c r="C407" s="6" t="str" cm="1">
        <f t="array" ref="C407">GetHyperlinkAddress(A407)</f>
        <v>https://open-measure.atlassian.net/wiki/spaces/DIC/pages/1122566198</v>
      </c>
    </row>
    <row r="408" spans="1:3" x14ac:dyDescent="0.35">
      <c r="A408" s="5" t="s">
        <v>406</v>
      </c>
      <c r="B408" t="str">
        <f t="shared" si="6"/>
        <v>RP</v>
      </c>
      <c r="C408" s="6" t="str" cm="1">
        <f t="array" ref="C408">GetHyperlinkAddress(A408)</f>
        <v>https://open-measure.atlassian.net/wiki/spaces/DIC/pages/82903488</v>
      </c>
    </row>
    <row r="409" spans="1:3" x14ac:dyDescent="0.35">
      <c r="A409" s="5" t="s">
        <v>407</v>
      </c>
      <c r="B409" t="str">
        <f t="shared" si="6"/>
        <v>SAM Database</v>
      </c>
      <c r="C409" s="6" t="str" cm="1">
        <f t="array" ref="C409">GetHyperlinkAddress(A409)</f>
        <v>https://open-measure.atlassian.net/wiki/spaces/DIC/pages/140739068/SAM+Database</v>
      </c>
    </row>
    <row r="410" spans="1:3" x14ac:dyDescent="0.35">
      <c r="A410" s="5" t="s">
        <v>408</v>
      </c>
      <c r="B410" t="str">
        <f t="shared" si="6"/>
        <v>SAML</v>
      </c>
      <c r="C410" s="6" t="str" cm="1">
        <f t="array" ref="C410">GetHyperlinkAddress(A410)</f>
        <v>https://open-measure.atlassian.net/wiki/spaces/DIC/pages/1428586729/SAML</v>
      </c>
    </row>
    <row r="411" spans="1:3" x14ac:dyDescent="0.35">
      <c r="A411" s="5" t="s">
        <v>409</v>
      </c>
      <c r="B411" t="str">
        <f t="shared" si="6"/>
        <v>Scale</v>
      </c>
      <c r="C411" s="6" t="str" cm="1">
        <f t="array" ref="C411">GetHyperlinkAddress(A411)</f>
        <v>https://open-measure.atlassian.net/wiki/spaces/DIC/pages/5899940</v>
      </c>
    </row>
    <row r="412" spans="1:3" x14ac:dyDescent="0.35">
      <c r="A412" s="5" t="s">
        <v>410</v>
      </c>
      <c r="B412" t="str">
        <f t="shared" si="6"/>
        <v>SCIM</v>
      </c>
      <c r="C412" s="6" t="str" cm="1">
        <f t="array" ref="C412">GetHyperlinkAddress(A412)</f>
        <v>https://open-measure.atlassian.net/wiki/spaces/DIC/pages/206307343</v>
      </c>
    </row>
    <row r="413" spans="1:3" x14ac:dyDescent="0.35">
      <c r="A413" s="5" t="s">
        <v>411</v>
      </c>
      <c r="B413" t="str">
        <f t="shared" si="6"/>
        <v>SCIM 1.0</v>
      </c>
      <c r="C413" s="6" t="str" cm="1">
        <f t="array" ref="C413">GetHyperlinkAddress(A413)</f>
        <v>https://open-measure.atlassian.net/wiki/spaces/DIC/pages/206372879</v>
      </c>
    </row>
    <row r="414" spans="1:3" x14ac:dyDescent="0.35">
      <c r="A414" s="5" t="s">
        <v>412</v>
      </c>
      <c r="B414" t="str">
        <f t="shared" si="6"/>
        <v>SCIM 1.1</v>
      </c>
      <c r="C414" s="6" t="str" cm="1">
        <f t="array" ref="C414">GetHyperlinkAddress(A414)</f>
        <v>https://open-measure.atlassian.net/wiki/spaces/DIC/pages/206307350</v>
      </c>
    </row>
    <row r="415" spans="1:3" x14ac:dyDescent="0.35">
      <c r="A415" s="5" t="s">
        <v>413</v>
      </c>
      <c r="B415" t="str">
        <f t="shared" si="6"/>
        <v>SCIM 2.0</v>
      </c>
      <c r="C415" s="6" t="str" cm="1">
        <f t="array" ref="C415">GetHyperlinkAddress(A415)</f>
        <v>https://open-measure.atlassian.net/wiki/spaces/DIC/pages/206307373</v>
      </c>
    </row>
    <row r="416" spans="1:3" x14ac:dyDescent="0.35">
      <c r="A416" s="5" t="s">
        <v>414</v>
      </c>
      <c r="B416" t="str">
        <f t="shared" si="6"/>
        <v>Scoping</v>
      </c>
      <c r="C416" s="6" t="str" cm="1">
        <f t="array" ref="C416">GetHyperlinkAddress(A416)</f>
        <v>https://open-measure.atlassian.net/wiki/spaces/DIC/pages/1376383</v>
      </c>
    </row>
    <row r="417" spans="1:3" x14ac:dyDescent="0.35">
      <c r="A417" s="5" t="s">
        <v>415</v>
      </c>
      <c r="B417" t="str">
        <f t="shared" si="6"/>
        <v>SD</v>
      </c>
      <c r="C417" s="6" t="str" cm="1">
        <f t="array" ref="C417">GetHyperlinkAddress(A417)</f>
        <v>https://open-measure.atlassian.net/wiki/spaces/DIC/pages/5931115</v>
      </c>
    </row>
    <row r="418" spans="1:3" x14ac:dyDescent="0.35">
      <c r="A418" s="5" t="s">
        <v>416</v>
      </c>
      <c r="B418" t="str">
        <f t="shared" si="6"/>
        <v>SDP</v>
      </c>
      <c r="C418" s="6" t="str" cm="1">
        <f t="array" ref="C418">GetHyperlinkAddress(A418)</f>
        <v>https://open-measure.atlassian.net/wiki/spaces/DIC/pages/234356901</v>
      </c>
    </row>
    <row r="419" spans="1:3" x14ac:dyDescent="0.35">
      <c r="A419" s="5" t="s">
        <v>417</v>
      </c>
      <c r="B419" t="str">
        <f t="shared" si="6"/>
        <v>Secure Production Identity Framework for Everyone</v>
      </c>
      <c r="C419" s="6" t="str" cm="1">
        <f t="array" ref="C419">GetHyperlinkAddress(A419)</f>
        <v>https://open-measure.atlassian.net/wiki/spaces/DIC/pages/1142390785</v>
      </c>
    </row>
    <row r="420" spans="1:3" x14ac:dyDescent="0.35">
      <c r="A420" s="5" t="s">
        <v>418</v>
      </c>
      <c r="B420" t="str">
        <f t="shared" si="6"/>
        <v>Secure System</v>
      </c>
      <c r="C420" s="6" t="str" cm="1">
        <f t="array" ref="C420">GetHyperlinkAddress(A420)</f>
        <v>https://open-measure.atlassian.net/wiki/spaces/DIC/pages/1230831633</v>
      </c>
    </row>
    <row r="421" spans="1:3" x14ac:dyDescent="0.35">
      <c r="A421" s="5" t="s">
        <v>419</v>
      </c>
      <c r="B421" t="str">
        <f t="shared" si="6"/>
        <v>Security</v>
      </c>
      <c r="C421" s="6" t="str" cm="1">
        <f t="array" ref="C421">GetHyperlinkAddress(A421)</f>
        <v>https://open-measure.atlassian.net/wiki/spaces/DIC/pages/1231159321</v>
      </c>
    </row>
    <row r="422" spans="1:3" x14ac:dyDescent="0.35">
      <c r="A422" s="5" t="s">
        <v>420</v>
      </c>
      <c r="B422" t="str">
        <f t="shared" si="6"/>
        <v>Security Accounts Manager</v>
      </c>
      <c r="C422" s="6" t="str" cm="1">
        <f t="array" ref="C422">GetHyperlinkAddress(A422)</f>
        <v>https://open-measure.atlassian.net/wiki/spaces/DIC/pages/140673497</v>
      </c>
    </row>
    <row r="423" spans="1:3" x14ac:dyDescent="0.35">
      <c r="A423" s="5" t="s">
        <v>421</v>
      </c>
      <c r="B423" t="str">
        <f t="shared" si="6"/>
        <v>Security Assertion Markup Language</v>
      </c>
      <c r="C423" s="6" t="str" cm="1">
        <f t="array" ref="C423">GetHyperlinkAddress(A423)</f>
        <v>https://open-measure.atlassian.net/wiki/spaces/DIC/pages/1428619445/Security+Assertion+Markup+Language</v>
      </c>
    </row>
    <row r="424" spans="1:3" x14ac:dyDescent="0.35">
      <c r="A424" s="5" t="s">
        <v>422</v>
      </c>
      <c r="B424" t="str">
        <f t="shared" si="6"/>
        <v>Security Clearance Level</v>
      </c>
      <c r="C424" s="6" t="str" cm="1">
        <f t="array" ref="C424">GetHyperlinkAddress(A424)</f>
        <v>https://open-measure.atlassian.net/wiki/spaces/DIC/pages/1177747653</v>
      </c>
    </row>
    <row r="425" spans="1:3" x14ac:dyDescent="0.35">
      <c r="A425" s="5" t="s">
        <v>423</v>
      </c>
      <c r="B425" t="str">
        <f t="shared" si="6"/>
        <v>Security Compartment</v>
      </c>
      <c r="C425" s="6" t="str" cm="1">
        <f t="array" ref="C425">GetHyperlinkAddress(A425)</f>
        <v>https://open-measure.atlassian.net/wiki/spaces/DIC/pages/1181843719</v>
      </c>
    </row>
    <row r="426" spans="1:3" x14ac:dyDescent="0.35">
      <c r="A426" s="5" t="s">
        <v>424</v>
      </c>
      <c r="B426" t="str">
        <f t="shared" si="6"/>
        <v>Security Label</v>
      </c>
      <c r="C426" s="6" t="str" cm="1">
        <f t="array" ref="C426">GetHyperlinkAddress(A426)</f>
        <v>https://open-measure.atlassian.net/wiki/spaces/DIC/pages/1177747630</v>
      </c>
    </row>
    <row r="427" spans="1:3" x14ac:dyDescent="0.35">
      <c r="A427" s="5" t="s">
        <v>425</v>
      </c>
      <c r="B427" t="str">
        <f t="shared" si="6"/>
        <v>Segregation of Duties</v>
      </c>
      <c r="C427" s="6" t="str" cm="1">
        <f t="array" ref="C427">GetHyperlinkAddress(A427)</f>
        <v>https://open-measure.atlassian.net/wiki/spaces/DIC/pages/1071185955</v>
      </c>
    </row>
    <row r="428" spans="1:3" x14ac:dyDescent="0.35">
      <c r="A428" s="5" t="s">
        <v>426</v>
      </c>
      <c r="B428" t="str">
        <f t="shared" si="6"/>
        <v>Self-Sovereign Identity</v>
      </c>
      <c r="C428" s="6" t="str" cm="1">
        <f t="array" ref="C428">GetHyperlinkAddress(A428)</f>
        <v>https://open-measure.atlassian.net/wiki/spaces/DIC/pages/446955653/Self-Sovereign+Identity</v>
      </c>
    </row>
    <row r="429" spans="1:3" x14ac:dyDescent="0.35">
      <c r="A429" s="5" t="s">
        <v>427</v>
      </c>
      <c r="B429" t="str">
        <f t="shared" si="6"/>
        <v>Semantic Differential</v>
      </c>
      <c r="C429" s="6" t="str" cm="1">
        <f t="array" ref="C429">GetHyperlinkAddress(A429)</f>
        <v>https://open-measure.atlassian.net/wiki/spaces/DIC/pages/6029526</v>
      </c>
    </row>
    <row r="430" spans="1:3" x14ac:dyDescent="0.35">
      <c r="A430" s="5" t="s">
        <v>428</v>
      </c>
      <c r="B430" t="str">
        <f t="shared" si="6"/>
        <v>Service Account</v>
      </c>
      <c r="C430" s="6" t="str" cm="1">
        <f t="array" ref="C430">GetHyperlinkAddress(A430)</f>
        <v>https://open-measure.atlassian.net/wiki/spaces/DIC/pages/805142555</v>
      </c>
    </row>
    <row r="431" spans="1:3" x14ac:dyDescent="0.35">
      <c r="A431" s="5" t="s">
        <v>429</v>
      </c>
      <c r="B431" t="str">
        <f t="shared" si="6"/>
        <v>Service-Centric Identity Management System</v>
      </c>
      <c r="C431" s="6" t="str" cm="1">
        <f t="array" ref="C431">GetHyperlinkAddress(A431)</f>
        <v>https://open-measure.atlassian.net/wiki/spaces/DIC/pages/1313538143/Service-Centric+Identity+Management+System</v>
      </c>
    </row>
    <row r="432" spans="1:3" x14ac:dyDescent="0.35">
      <c r="A432" s="5" t="s">
        <v>430</v>
      </c>
      <c r="B432" t="str">
        <f t="shared" si="6"/>
        <v>Session</v>
      </c>
      <c r="C432" s="6" t="str" cm="1">
        <f t="array" ref="C432">GetHyperlinkAddress(A432)</f>
        <v>https://open-measure.atlassian.net/wiki/spaces/DIC/pages/881197061</v>
      </c>
    </row>
    <row r="433" spans="1:3" x14ac:dyDescent="0.35">
      <c r="A433" s="5" t="s">
        <v>431</v>
      </c>
      <c r="B433" t="str">
        <f t="shared" si="6"/>
        <v>Single Login</v>
      </c>
      <c r="C433" s="6" t="str" cm="1">
        <f t="array" ref="C433">GetHyperlinkAddress(A433)</f>
        <v>https://open-measure.atlassian.net/wiki/spaces/DIC/pages/78741548</v>
      </c>
    </row>
    <row r="434" spans="1:3" x14ac:dyDescent="0.35">
      <c r="A434" s="5" t="s">
        <v>432</v>
      </c>
      <c r="B434" t="str">
        <f t="shared" si="6"/>
        <v>Single Sign-On</v>
      </c>
      <c r="C434" s="6" t="str" cm="1">
        <f t="array" ref="C434">GetHyperlinkAddress(A434)</f>
        <v>https://open-measure.atlassian.net/wiki/spaces/DIC/pages/75956255</v>
      </c>
    </row>
    <row r="435" spans="1:3" x14ac:dyDescent="0.35">
      <c r="A435" s="5" t="s">
        <v>433</v>
      </c>
      <c r="B435" t="str">
        <f t="shared" si="6"/>
        <v>Social Authentication</v>
      </c>
      <c r="C435" s="6" t="str" cm="1">
        <f t="array" ref="C435">GetHyperlinkAddress(A435)</f>
        <v>https://open-measure.atlassian.net/wiki/spaces/DIC/pages/1600684200/Social+Authentication</v>
      </c>
    </row>
    <row r="436" spans="1:3" x14ac:dyDescent="0.35">
      <c r="A436" s="5" t="s">
        <v>434</v>
      </c>
      <c r="B436" t="str">
        <f t="shared" si="6"/>
        <v>Social Honeypot</v>
      </c>
      <c r="C436" s="6" t="str" cm="1">
        <f t="array" ref="C436">GetHyperlinkAddress(A436)</f>
        <v>https://open-measure.atlassian.net/wiki/spaces/DIC/pages/1270055026/Social+Honeypot</v>
      </c>
    </row>
    <row r="437" spans="1:3" x14ac:dyDescent="0.35">
      <c r="A437" s="5" t="s">
        <v>435</v>
      </c>
      <c r="B437" t="str">
        <f t="shared" si="6"/>
        <v>SoD</v>
      </c>
      <c r="C437" s="6" t="str" cm="1">
        <f t="array" ref="C437">GetHyperlinkAddress(A437)</f>
        <v>https://open-measure.atlassian.net/wiki/spaces/DIC/pages/1071317018</v>
      </c>
    </row>
    <row r="438" spans="1:3" x14ac:dyDescent="0.35">
      <c r="A438" s="5" t="s">
        <v>436</v>
      </c>
      <c r="B438" t="str">
        <f t="shared" si="6"/>
        <v>Software-Defined Perimeter</v>
      </c>
      <c r="C438" s="6" t="str" cm="1">
        <f t="array" ref="C438">GetHyperlinkAddress(A438)</f>
        <v>https://open-measure.atlassian.net/wiki/spaces/DIC/pages/234487981</v>
      </c>
    </row>
    <row r="439" spans="1:3" x14ac:dyDescent="0.35">
      <c r="A439" s="5" t="s">
        <v>437</v>
      </c>
      <c r="B439" t="str">
        <f t="shared" si="6"/>
        <v>SPIFFE</v>
      </c>
      <c r="C439" s="6" t="str" cm="1">
        <f t="array" ref="C439">GetHyperlinkAddress(A439)</f>
        <v>https://open-measure.atlassian.net/wiki/spaces/DIC/pages/1142292486</v>
      </c>
    </row>
    <row r="440" spans="1:3" x14ac:dyDescent="0.35">
      <c r="A440" s="5" t="s">
        <v>438</v>
      </c>
      <c r="B440" t="str">
        <f t="shared" si="6"/>
        <v>SPMS</v>
      </c>
      <c r="C440" s="6" t="str" cm="1">
        <f t="array" ref="C440">GetHyperlinkAddress(A440)</f>
        <v>https://open-measure.atlassian.net/wiki/spaces/DIC/pages/1605648</v>
      </c>
    </row>
    <row r="441" spans="1:3" x14ac:dyDescent="0.35">
      <c r="A441" s="5" t="s">
        <v>439</v>
      </c>
      <c r="B441" t="str">
        <f t="shared" si="6"/>
        <v>SSH Key</v>
      </c>
      <c r="C441" s="6" t="str" cm="1">
        <f t="array" ref="C441">GetHyperlinkAddress(A441)</f>
        <v>https://open-measure.atlassian.net/wiki/spaces/DIC/pages/1027342899</v>
      </c>
    </row>
    <row r="442" spans="1:3" x14ac:dyDescent="0.35">
      <c r="A442" s="5" t="s">
        <v>440</v>
      </c>
      <c r="B442" t="str">
        <f t="shared" si="6"/>
        <v>SSI</v>
      </c>
      <c r="C442" s="6" t="str" cm="1">
        <f t="array" ref="C442">GetHyperlinkAddress(A442)</f>
        <v>https://open-measure.atlassian.net/wiki/spaces/DIC/pages/1311113221/SSI</v>
      </c>
    </row>
    <row r="443" spans="1:3" x14ac:dyDescent="0.35">
      <c r="A443" s="5" t="s">
        <v>441</v>
      </c>
      <c r="B443" t="str">
        <f t="shared" si="6"/>
        <v>SSO</v>
      </c>
      <c r="C443" s="6" t="str" cm="1">
        <f t="array" ref="C443">GetHyperlinkAddress(A443)</f>
        <v>https://open-measure.atlassian.net/wiki/spaces/DIC/pages/75956237</v>
      </c>
    </row>
    <row r="444" spans="1:3" x14ac:dyDescent="0.35">
      <c r="A444" s="5" t="s">
        <v>442</v>
      </c>
      <c r="B444" t="str">
        <f t="shared" si="6"/>
        <v>Stability of Access Decision Factors</v>
      </c>
      <c r="C444" s="6" t="str" cm="1">
        <f t="array" ref="C444">GetHyperlinkAddress(A444)</f>
        <v>https://open-measure.atlassian.net/wiki/spaces/DIC/pages/998244645</v>
      </c>
    </row>
    <row r="445" spans="1:3" x14ac:dyDescent="0.35">
      <c r="A445" s="5" t="s">
        <v>443</v>
      </c>
      <c r="B445" t="str">
        <f t="shared" si="6"/>
        <v>Stakeholder</v>
      </c>
      <c r="C445" s="6" t="str" cm="1">
        <f t="array" ref="C445">GetHyperlinkAddress(A445)</f>
        <v>https://open-measure.atlassian.net/wiki/spaces/DIC/pages/1311763</v>
      </c>
    </row>
    <row r="446" spans="1:3" x14ac:dyDescent="0.35">
      <c r="A446" s="5" t="s">
        <v>444</v>
      </c>
      <c r="B446" t="str">
        <f t="shared" si="6"/>
        <v>Step-Up Authentication</v>
      </c>
      <c r="C446" s="6" t="str" cm="1">
        <f t="array" ref="C446">GetHyperlinkAddress(A446)</f>
        <v>https://open-measure.atlassian.net/wiki/spaces/DIC/pages/663257097/Step-Up+Authentication</v>
      </c>
    </row>
    <row r="447" spans="1:3" x14ac:dyDescent="0.35">
      <c r="A447" s="5" t="s">
        <v>445</v>
      </c>
      <c r="B447" t="str">
        <f t="shared" si="6"/>
        <v>Strategic Performance Measurement System</v>
      </c>
      <c r="C447" s="6" t="str" cm="1">
        <f t="array" ref="C447">GetHyperlinkAddress(A447)</f>
        <v>https://open-measure.atlassian.net/wiki/spaces/DIC/pages/1540175</v>
      </c>
    </row>
    <row r="448" spans="1:3" x14ac:dyDescent="0.35">
      <c r="A448" s="5" t="s">
        <v>446</v>
      </c>
      <c r="B448" t="str">
        <f t="shared" si="6"/>
        <v>Strict Discretionary Access Control</v>
      </c>
      <c r="C448" s="6" t="str" cm="1">
        <f t="array" ref="C448">GetHyperlinkAddress(A448)</f>
        <v>https://open-measure.atlassian.net/wiki/spaces/DIC/pages/1181909085</v>
      </c>
    </row>
    <row r="449" spans="1:3" x14ac:dyDescent="0.35">
      <c r="A449" s="5" t="s">
        <v>447</v>
      </c>
      <c r="B449" t="str">
        <f t="shared" si="6"/>
        <v>Strong Authentication</v>
      </c>
      <c r="C449" s="6" t="str" cm="1">
        <f t="array" ref="C449">GetHyperlinkAddress(A449)</f>
        <v>https://open-measure.atlassian.net/wiki/spaces/DIC/pages/81199126</v>
      </c>
    </row>
    <row r="450" spans="1:3" x14ac:dyDescent="0.35">
      <c r="A450" s="5" t="s">
        <v>448</v>
      </c>
      <c r="B450" t="str">
        <f t="shared" si="6"/>
        <v>Strong Tranquility Property</v>
      </c>
      <c r="C450" s="6" t="str" cm="1">
        <f t="array" ref="C450">GetHyperlinkAddress(A450)</f>
        <v>https://open-measure.atlassian.net/wiki/spaces/DIC/pages/1177747756</v>
      </c>
    </row>
    <row r="451" spans="1:3" x14ac:dyDescent="0.35">
      <c r="A451" s="5" t="s">
        <v>449</v>
      </c>
      <c r="B451" t="str">
        <f t="shared" si="6"/>
        <v>Subject</v>
      </c>
      <c r="C451" s="6" t="str" cm="1">
        <f t="array" ref="C451">GetHyperlinkAddress(A451)</f>
        <v>https://open-measure.atlassian.net/wiki/spaces/DIC/pages/67600697</v>
      </c>
    </row>
    <row r="452" spans="1:3" x14ac:dyDescent="0.35">
      <c r="A452" s="5" t="s">
        <v>450</v>
      </c>
      <c r="B452" t="str">
        <f t="shared" si="6"/>
        <v>Subjective Indicator</v>
      </c>
      <c r="C452" s="6" t="str" cm="1">
        <f t="array" ref="C452">GetHyperlinkAddress(A452)</f>
        <v>https://open-measure.atlassian.net/wiki/spaces/DIC/pages/2981920</v>
      </c>
    </row>
    <row r="453" spans="1:3" x14ac:dyDescent="0.35">
      <c r="A453" s="5" t="s">
        <v>451</v>
      </c>
      <c r="B453" t="str">
        <f t="shared" si="6"/>
        <v>Supply Chain Attack</v>
      </c>
      <c r="C453" s="6" t="str" cm="1">
        <f t="array" ref="C453">GetHyperlinkAddress(A453)</f>
        <v>https://open-measure.atlassian.net/wiki/spaces/DIC/pages/1477869640/Supply+Chain+Attack</v>
      </c>
    </row>
    <row r="454" spans="1:3" x14ac:dyDescent="0.35">
      <c r="A454" s="5" t="s">
        <v>452</v>
      </c>
      <c r="B454" t="str">
        <f t="shared" ref="B454:B517" si="7">SUBSTITUTE(CLEAN(A454)," (Dictionary Entry)","")</f>
        <v>Sybil Attack</v>
      </c>
      <c r="C454" s="6" t="str" cm="1">
        <f t="array" ref="C454">GetHyperlinkAddress(A454)</f>
        <v>https://open-measure.atlassian.net/wiki/spaces/DIC/pages/1254588545/Sybil+Attack</v>
      </c>
    </row>
    <row r="455" spans="1:3" x14ac:dyDescent="0.35">
      <c r="A455" s="5" t="s">
        <v>453</v>
      </c>
      <c r="B455" t="str">
        <f t="shared" si="7"/>
        <v>Synthetic Identity Fraud</v>
      </c>
      <c r="C455" s="6" t="str" cm="1">
        <f t="array" ref="C455">GetHyperlinkAddress(A455)</f>
        <v>https://open-measure.atlassian.net/wiki/spaces/DIC/pages/794296433</v>
      </c>
    </row>
    <row r="456" spans="1:3" x14ac:dyDescent="0.35">
      <c r="A456" s="5" t="s">
        <v>454</v>
      </c>
      <c r="B456" t="str">
        <f t="shared" si="7"/>
        <v>System</v>
      </c>
      <c r="C456" s="6" t="str" cm="1">
        <f t="array" ref="C456">GetHyperlinkAddress(A456)</f>
        <v>https://open-measure.atlassian.net/wiki/spaces/DIC/pages/5965562/System</v>
      </c>
    </row>
    <row r="457" spans="1:3" x14ac:dyDescent="0.35">
      <c r="A457" s="5" t="s">
        <v>455</v>
      </c>
      <c r="B457" t="str">
        <f t="shared" si="7"/>
        <v>System Boundaries</v>
      </c>
      <c r="C457" s="6" t="str" cm="1">
        <f t="array" ref="C457">GetHyperlinkAddress(A457)</f>
        <v>https://open-measure.atlassian.net/wiki/spaces/DIC/pages/446824644/System+Boundaries</v>
      </c>
    </row>
    <row r="458" spans="1:3" x14ac:dyDescent="0.35">
      <c r="A458" s="5" t="s">
        <v>456</v>
      </c>
      <c r="B458" t="str">
        <f t="shared" si="7"/>
        <v>System for Cross-domain Identity Management</v>
      </c>
      <c r="C458" s="6" t="str" cm="1">
        <f t="array" ref="C458">GetHyperlinkAddress(A458)</f>
        <v>https://open-measure.atlassian.net/wiki/spaces/DIC/pages/206372869</v>
      </c>
    </row>
    <row r="459" spans="1:3" x14ac:dyDescent="0.35">
      <c r="A459" s="5" t="s">
        <v>457</v>
      </c>
      <c r="B459" t="str">
        <f t="shared" si="7"/>
        <v>System Owner</v>
      </c>
      <c r="C459" s="6" t="str" cm="1">
        <f t="array" ref="C459">GetHyperlinkAddress(A459)</f>
        <v>https://open-measure.atlassian.net/wiki/spaces/DIC/pages/1004961963</v>
      </c>
    </row>
    <row r="460" spans="1:3" x14ac:dyDescent="0.35">
      <c r="A460" s="5" t="s">
        <v>458</v>
      </c>
      <c r="B460" t="str">
        <f t="shared" si="7"/>
        <v>System Z</v>
      </c>
      <c r="C460" s="6" t="str" cm="1">
        <f t="array" ref="C460">GetHyperlinkAddress(A460)</f>
        <v>https://open-measure.atlassian.net/wiki/spaces/DIC/pages/1226571890</v>
      </c>
    </row>
    <row r="461" spans="1:3" x14ac:dyDescent="0.35">
      <c r="A461" s="5" t="s">
        <v>459</v>
      </c>
      <c r="B461" t="str">
        <f t="shared" si="7"/>
        <v>Task-Based Access Control</v>
      </c>
      <c r="C461" s="6" t="str" cm="1">
        <f t="array" ref="C461">GetHyperlinkAddress(A461)</f>
        <v>https://open-measure.atlassian.net/wiki/spaces/DIC/pages/1122631693</v>
      </c>
    </row>
    <row r="462" spans="1:3" x14ac:dyDescent="0.35">
      <c r="A462" s="5" t="s">
        <v>460</v>
      </c>
      <c r="B462" t="str">
        <f t="shared" si="7"/>
        <v>Taxa</v>
      </c>
      <c r="C462" s="6" t="str" cm="1">
        <f t="array" ref="C462">GetHyperlinkAddress(A462)</f>
        <v>https://open-measure.atlassian.net/wiki/spaces/DIC/pages/148373634</v>
      </c>
    </row>
    <row r="463" spans="1:3" x14ac:dyDescent="0.35">
      <c r="A463" s="5" t="s">
        <v>461</v>
      </c>
      <c r="B463" t="str">
        <f t="shared" si="7"/>
        <v>Taxon</v>
      </c>
      <c r="C463" s="6" t="str" cm="1">
        <f t="array" ref="C463">GetHyperlinkAddress(A463)</f>
        <v>https://open-measure.atlassian.net/wiki/spaces/DIC/pages/148340845</v>
      </c>
    </row>
    <row r="464" spans="1:3" x14ac:dyDescent="0.35">
      <c r="A464" s="5" t="s">
        <v>462</v>
      </c>
      <c r="B464" t="str">
        <f t="shared" si="7"/>
        <v>Taxonomy</v>
      </c>
      <c r="C464" s="6" t="str" cm="1">
        <f t="array" ref="C464">GetHyperlinkAddress(A464)</f>
        <v>https://open-measure.atlassian.net/wiki/spaces/DIC/pages/140706175</v>
      </c>
    </row>
    <row r="465" spans="1:3" x14ac:dyDescent="0.35">
      <c r="A465" s="5" t="s">
        <v>463</v>
      </c>
      <c r="B465" t="str">
        <f t="shared" si="7"/>
        <v>TCO</v>
      </c>
      <c r="C465" s="6" t="str" cm="1">
        <f t="array" ref="C465">GetHyperlinkAddress(A465)</f>
        <v>https://open-measure.atlassian.net/wiki/spaces/DIC/pages/158794291</v>
      </c>
    </row>
    <row r="466" spans="1:3" x14ac:dyDescent="0.35">
      <c r="A466" s="5" t="s">
        <v>464</v>
      </c>
      <c r="B466" t="str">
        <f t="shared" si="7"/>
        <v>Term</v>
      </c>
      <c r="C466" s="6" t="str" cm="1">
        <f t="array" ref="C466">GetHyperlinkAddress(A466)</f>
        <v>https://open-measure.atlassian.net/wiki/spaces/DIC/pages/1061617735</v>
      </c>
    </row>
    <row r="467" spans="1:3" x14ac:dyDescent="0.35">
      <c r="A467" s="5" t="s">
        <v>465</v>
      </c>
      <c r="B467" t="str">
        <f t="shared" si="7"/>
        <v>Total Cost of Ownership</v>
      </c>
      <c r="C467" s="6" t="str" cm="1">
        <f t="array" ref="C467">GetHyperlinkAddress(A467)</f>
        <v>https://open-measure.atlassian.net/wiki/spaces/DIC/pages/158728598</v>
      </c>
    </row>
    <row r="468" spans="1:3" x14ac:dyDescent="0.35">
      <c r="A468" s="5" t="s">
        <v>466</v>
      </c>
      <c r="B468" t="str">
        <f t="shared" si="7"/>
        <v>Toxic Combinations</v>
      </c>
      <c r="C468" s="6" t="str" cm="1">
        <f t="array" ref="C468">GetHyperlinkAddress(A468)</f>
        <v>https://open-measure.atlassian.net/wiki/spaces/DIC/pages/1130954862</v>
      </c>
    </row>
    <row r="469" spans="1:3" x14ac:dyDescent="0.35">
      <c r="A469" s="5" t="s">
        <v>467</v>
      </c>
      <c r="B469" t="str">
        <f t="shared" si="7"/>
        <v>Toxic Right Rule (Definition)</v>
      </c>
      <c r="C469" s="6" t="str" cm="1">
        <f t="array" ref="C469">GetHyperlinkAddress(A469)</f>
        <v>https://open-measure.atlassian.net/wiki/spaces/DIC/pages/360467</v>
      </c>
    </row>
    <row r="470" spans="1:3" x14ac:dyDescent="0.35">
      <c r="A470" s="5" t="s">
        <v>468</v>
      </c>
      <c r="B470" t="str">
        <f t="shared" si="7"/>
        <v>Tranquil</v>
      </c>
      <c r="C470" s="6" t="str" cm="1">
        <f t="array" ref="C470">GetHyperlinkAddress(A470)</f>
        <v>https://open-measure.atlassian.net/wiki/spaces/DIC/pages/1237582070/Tranquil</v>
      </c>
    </row>
    <row r="471" spans="1:3" x14ac:dyDescent="0.35">
      <c r="A471" s="5" t="s">
        <v>469</v>
      </c>
      <c r="B471" t="str">
        <f t="shared" si="7"/>
        <v>Tranquility Principle</v>
      </c>
      <c r="C471" s="6" t="str" cm="1">
        <f t="array" ref="C471">GetHyperlinkAddress(A471)</f>
        <v>https://open-measure.atlassian.net/wiki/spaces/DIC/pages/1237483759</v>
      </c>
    </row>
    <row r="472" spans="1:3" x14ac:dyDescent="0.35">
      <c r="A472" s="5" t="s">
        <v>470</v>
      </c>
      <c r="B472" t="str">
        <f t="shared" si="7"/>
        <v>Tranquility Property</v>
      </c>
      <c r="C472" s="6" t="str" cm="1">
        <f t="array" ref="C472">GetHyperlinkAddress(A472)</f>
        <v>https://open-measure.atlassian.net/wiki/spaces/DIC/pages/1181876587</v>
      </c>
    </row>
    <row r="473" spans="1:3" x14ac:dyDescent="0.35">
      <c r="A473" s="5" t="s">
        <v>471</v>
      </c>
      <c r="B473" t="str">
        <f t="shared" si="7"/>
        <v>Trust</v>
      </c>
      <c r="C473" s="6" t="str" cm="1">
        <f t="array" ref="C473">GetHyperlinkAddress(A473)</f>
        <v>https://open-measure.atlassian.net/wiki/spaces/DIC/pages/1037926452/Trust</v>
      </c>
    </row>
    <row r="474" spans="1:3" x14ac:dyDescent="0.35">
      <c r="A474" s="5" t="s">
        <v>472</v>
      </c>
      <c r="B474" t="str">
        <f t="shared" si="7"/>
        <v>Trust Asymmetry</v>
      </c>
      <c r="C474" s="6" t="str" cm="1">
        <f t="array" ref="C474">GetHyperlinkAddress(A474)</f>
        <v>https://open-measure.atlassian.net/wiki/spaces/DIC/pages/1027048185</v>
      </c>
    </row>
    <row r="475" spans="1:3" x14ac:dyDescent="0.35">
      <c r="A475" s="5" t="s">
        <v>473</v>
      </c>
      <c r="B475" t="str">
        <f t="shared" si="7"/>
        <v>Trust Composability</v>
      </c>
      <c r="C475" s="6" t="str" cm="1">
        <f t="array" ref="C475">GetHyperlinkAddress(A475)</f>
        <v>https://open-measure.atlassian.net/wiki/spaces/DIC/pages/1027048128</v>
      </c>
    </row>
    <row r="476" spans="1:3" x14ac:dyDescent="0.35">
      <c r="A476" s="5" t="s">
        <v>474</v>
      </c>
      <c r="B476" t="str">
        <f t="shared" si="7"/>
        <v>Trust Personalization</v>
      </c>
      <c r="C476" s="6" t="str" cm="1">
        <f t="array" ref="C476">GetHyperlinkAddress(A476)</f>
        <v>https://open-measure.atlassian.net/wiki/spaces/DIC/pages/1027048209</v>
      </c>
    </row>
    <row r="477" spans="1:3" x14ac:dyDescent="0.35">
      <c r="A477" s="5" t="s">
        <v>475</v>
      </c>
      <c r="B477" t="str">
        <f t="shared" si="7"/>
        <v>Trust Transitivity</v>
      </c>
      <c r="C477" s="6" t="str" cm="1">
        <f t="array" ref="C477">GetHyperlinkAddress(A477)</f>
        <v>https://open-measure.atlassian.net/wiki/spaces/DIC/pages/1031242345</v>
      </c>
    </row>
    <row r="478" spans="1:3" x14ac:dyDescent="0.35">
      <c r="A478" s="5" t="s">
        <v>476</v>
      </c>
      <c r="B478" t="str">
        <f t="shared" si="7"/>
        <v>Type</v>
      </c>
      <c r="C478" s="6" t="str" cm="1">
        <f t="array" ref="C478">GetHyperlinkAddress(A478)</f>
        <v>https://open-measure.atlassian.net/wiki/spaces/DIC/pages/140705998</v>
      </c>
    </row>
    <row r="479" spans="1:3" x14ac:dyDescent="0.35">
      <c r="A479" s="5" t="s">
        <v>477</v>
      </c>
      <c r="B479" t="str">
        <f t="shared" si="7"/>
        <v>Typing Biometrics</v>
      </c>
      <c r="C479" s="6" t="str" cm="1">
        <f t="array" ref="C479">GetHyperlinkAddress(A479)</f>
        <v>https://open-measure.atlassian.net/wiki/spaces/DIC/pages/1417084929/Typing+Biometrics</v>
      </c>
    </row>
    <row r="480" spans="1:3" x14ac:dyDescent="0.35">
      <c r="A480" s="5" t="s">
        <v>478</v>
      </c>
      <c r="B480" t="str">
        <f t="shared" si="7"/>
        <v>Typology</v>
      </c>
      <c r="C480" s="6" t="str" cm="1">
        <f t="array" ref="C480">GetHyperlinkAddress(A480)</f>
        <v>https://open-measure.atlassian.net/wiki/spaces/DIC/pages/140673267</v>
      </c>
    </row>
    <row r="481" spans="1:3" x14ac:dyDescent="0.35">
      <c r="A481" s="5" t="s">
        <v>479</v>
      </c>
      <c r="B481" t="str">
        <f t="shared" si="7"/>
        <v>Unanticipated User</v>
      </c>
      <c r="C481" s="6" t="str" cm="1">
        <f t="array" ref="C481">GetHyperlinkAddress(A481)</f>
        <v>https://open-measure.atlassian.net/wiki/spaces/DIC/pages/1027080193/Unanticipated+User</v>
      </c>
    </row>
    <row r="482" spans="1:3" x14ac:dyDescent="0.35">
      <c r="A482" s="5" t="s">
        <v>480</v>
      </c>
      <c r="B482" t="str">
        <f t="shared" si="7"/>
        <v>Unauthorized Access</v>
      </c>
      <c r="C482" s="6" t="str" cm="1">
        <f t="array" ref="C482">GetHyperlinkAddress(A482)</f>
        <v>https://open-measure.atlassian.net/wiki/spaces/DIC/pages/1231126540/Unauthorized+Access</v>
      </c>
    </row>
    <row r="483" spans="1:3" x14ac:dyDescent="0.35">
      <c r="A483" s="5" t="s">
        <v>481</v>
      </c>
      <c r="B483" t="str">
        <f t="shared" si="7"/>
        <v>Unique ID Number</v>
      </c>
      <c r="C483" s="6" t="str" cm="1">
        <f t="array" ref="C483">GetHyperlinkAddress(A483)</f>
        <v>https://open-measure.atlassian.net/wiki/spaces/DIC/pages/446955662/Unique+ID+Number</v>
      </c>
    </row>
    <row r="484" spans="1:3" x14ac:dyDescent="0.35">
      <c r="A484" s="5" t="s">
        <v>482</v>
      </c>
      <c r="B484" t="str">
        <f t="shared" si="7"/>
        <v>Unit of measurement</v>
      </c>
      <c r="C484" s="6" t="str" cm="1">
        <f t="array" ref="C484">GetHyperlinkAddress(A484)</f>
        <v>https://open-measure.atlassian.net/wiki/spaces/DIC/pages/2523320/Unit+of+measurement</v>
      </c>
    </row>
    <row r="485" spans="1:3" x14ac:dyDescent="0.35">
      <c r="A485" s="5" t="s">
        <v>483</v>
      </c>
      <c r="B485" t="str">
        <f t="shared" si="7"/>
        <v>Unprivileged Insider</v>
      </c>
      <c r="C485" s="6" t="str" cm="1">
        <f t="array" ref="C485">GetHyperlinkAddress(A485)</f>
        <v>https://open-measure.atlassian.net/wiki/spaces/DIC/pages/1477902414/Unprivileged+Insider</v>
      </c>
    </row>
    <row r="486" spans="1:3" x14ac:dyDescent="0.35">
      <c r="A486" s="5" t="s">
        <v>484</v>
      </c>
      <c r="B486" t="str">
        <f t="shared" si="7"/>
        <v>User</v>
      </c>
      <c r="C486" s="6" t="str" cm="1">
        <f t="array" ref="C486">GetHyperlinkAddress(A486)</f>
        <v>https://open-measure.atlassian.net/wiki/spaces/DIC/pages/82839586/User</v>
      </c>
    </row>
    <row r="487" spans="1:3" x14ac:dyDescent="0.35">
      <c r="A487" s="5" t="s">
        <v>485</v>
      </c>
      <c r="B487" t="str">
        <f t="shared" si="7"/>
        <v>User Account</v>
      </c>
      <c r="C487" s="6" t="str" cm="1">
        <f t="array" ref="C487">GetHyperlinkAddress(A487)</f>
        <v>https://open-measure.atlassian.net/wiki/spaces/DIC/pages/1428587273/User+Account</v>
      </c>
    </row>
    <row r="488" spans="1:3" x14ac:dyDescent="0.35">
      <c r="A488" s="5" t="s">
        <v>487</v>
      </c>
      <c r="B488" t="str">
        <f t="shared" si="7"/>
        <v>User De-Provisioning</v>
      </c>
      <c r="C488" s="6" t="str" cm="1">
        <f t="array" ref="C488">GetHyperlinkAddress(A488)</f>
        <v>https://open-measure.atlassian.net/wiki/spaces/DIC/pages/1146847344/User+De-Provisioning</v>
      </c>
    </row>
    <row r="489" spans="1:3" x14ac:dyDescent="0.35">
      <c r="A489" s="5" t="s">
        <v>488</v>
      </c>
      <c r="B489" t="str">
        <f t="shared" si="7"/>
        <v>User Entitlement Reviews</v>
      </c>
      <c r="C489" s="6" t="str" cm="1">
        <f t="array" ref="C489">GetHyperlinkAddress(A489)</f>
        <v>https://open-measure.atlassian.net/wiki/spaces/DIC/pages/1121878257</v>
      </c>
    </row>
    <row r="490" spans="1:3" x14ac:dyDescent="0.35">
      <c r="A490" s="5" t="s">
        <v>489</v>
      </c>
      <c r="B490" t="str">
        <f t="shared" si="7"/>
        <v>User ID</v>
      </c>
      <c r="C490" s="6" t="str" cm="1">
        <f t="array" ref="C490">GetHyperlinkAddress(A490)</f>
        <v>https://open-measure.atlassian.net/wiki/spaces/DIC/pages/1428652448/User+ID</v>
      </c>
    </row>
    <row r="491" spans="1:3" x14ac:dyDescent="0.35">
      <c r="A491" s="5" t="s">
        <v>491</v>
      </c>
      <c r="B491" t="str">
        <f t="shared" si="7"/>
        <v>User Provisioning</v>
      </c>
      <c r="C491" s="6" t="str" cm="1">
        <f t="array" ref="C491">GetHyperlinkAddress(A491)</f>
        <v>https://open-measure.atlassian.net/wiki/spaces/DIC/pages/1147043973/User+Provisioning</v>
      </c>
    </row>
    <row r="492" spans="1:3" x14ac:dyDescent="0.35">
      <c r="A492" s="5" t="s">
        <v>486</v>
      </c>
      <c r="B492" t="str">
        <f t="shared" si="7"/>
        <v>User-Centric Identity Management System</v>
      </c>
      <c r="C492" s="6" t="str" cm="1">
        <f t="array" ref="C492">GetHyperlinkAddress(A492)</f>
        <v>https://open-measure.atlassian.net/wiki/spaces/DIC/pages/1323597878/User-Centric+Identity+Management+System</v>
      </c>
    </row>
    <row r="493" spans="1:3" x14ac:dyDescent="0.35">
      <c r="A493" s="5" t="s">
        <v>490</v>
      </c>
      <c r="B493" t="str">
        <f t="shared" si="7"/>
        <v>Username</v>
      </c>
      <c r="C493" s="6" t="str" cm="1">
        <f t="array" ref="C493">GetHyperlinkAddress(A493)</f>
        <v>https://open-measure.atlassian.net/wiki/spaces/DIC/pages/1428652183/Username</v>
      </c>
    </row>
    <row r="494" spans="1:3" x14ac:dyDescent="0.35">
      <c r="A494" s="5" t="s">
        <v>492</v>
      </c>
      <c r="B494" t="str">
        <f t="shared" si="7"/>
        <v>Verifiable Claim</v>
      </c>
      <c r="C494" s="6" t="str" cm="1">
        <f t="array" ref="C494">GetHyperlinkAddress(A494)</f>
        <v>https://open-measure.atlassian.net/wiki/spaces/DIC/pages/1311146179/Verifiable+Claim</v>
      </c>
    </row>
    <row r="495" spans="1:3" x14ac:dyDescent="0.35">
      <c r="A495" s="5" t="s">
        <v>493</v>
      </c>
      <c r="B495" t="str">
        <f t="shared" si="7"/>
        <v>Verification</v>
      </c>
      <c r="C495" s="6" t="str" cm="1">
        <f t="array" ref="C495">GetHyperlinkAddress(A495)</f>
        <v>https://open-measure.atlassian.net/wiki/spaces/DIC/pages/446988510/Verification</v>
      </c>
    </row>
    <row r="496" spans="1:3" x14ac:dyDescent="0.35">
      <c r="A496" s="5" t="s">
        <v>494</v>
      </c>
      <c r="B496" t="str">
        <f t="shared" si="7"/>
        <v>Virtual Directory</v>
      </c>
      <c r="C496" s="6" t="str" cm="1">
        <f t="array" ref="C496">GetHyperlinkAddress(A496)</f>
        <v>https://open-measure.atlassian.net/wiki/spaces/DIC/pages/834044330</v>
      </c>
    </row>
    <row r="497" spans="1:3" x14ac:dyDescent="0.35">
      <c r="A497" s="5" t="s">
        <v>495</v>
      </c>
      <c r="B497" t="str">
        <f t="shared" si="7"/>
        <v>Virtual Private Network</v>
      </c>
      <c r="C497" s="6" t="str" cm="1">
        <f t="array" ref="C497">GetHyperlinkAddress(A497)</f>
        <v>https://open-measure.atlassian.net/wiki/spaces/DIC/pages/236748839</v>
      </c>
    </row>
    <row r="498" spans="1:3" x14ac:dyDescent="0.35">
      <c r="A498" s="5" t="s">
        <v>496</v>
      </c>
      <c r="B498" t="str">
        <f t="shared" si="7"/>
        <v>Virtual Risk and Security Site Review</v>
      </c>
      <c r="C498" s="6" t="str" cm="1">
        <f t="array" ref="C498">GetHyperlinkAddress(A498)</f>
        <v>https://open-measure.atlassian.net/wiki/spaces/DIC/pages/542146561</v>
      </c>
    </row>
    <row r="499" spans="1:3" x14ac:dyDescent="0.35">
      <c r="A499" s="5" t="s">
        <v>497</v>
      </c>
      <c r="B499" t="str">
        <f t="shared" si="7"/>
        <v>VPN</v>
      </c>
      <c r="C499" s="6" t="str" cm="1">
        <f t="array" ref="C499">GetHyperlinkAddress(A499)</f>
        <v>https://open-measure.atlassian.net/wiki/spaces/DIC/pages/234389605</v>
      </c>
    </row>
    <row r="500" spans="1:3" x14ac:dyDescent="0.35">
      <c r="A500" s="5" t="s">
        <v>498</v>
      </c>
      <c r="B500" t="str">
        <f t="shared" si="7"/>
        <v>Weak Authentication</v>
      </c>
      <c r="C500" s="6" t="str" cm="1">
        <f t="array" ref="C500">GetHyperlinkAddress(A500)</f>
        <v>https://open-measure.atlassian.net/wiki/spaces/DIC/pages/81068120</v>
      </c>
    </row>
    <row r="501" spans="1:3" x14ac:dyDescent="0.35">
      <c r="A501" s="5" t="s">
        <v>499</v>
      </c>
      <c r="B501" t="str">
        <f t="shared" si="7"/>
        <v>Weak Tranquility Property</v>
      </c>
      <c r="C501" s="6" t="str" cm="1">
        <f t="array" ref="C501">GetHyperlinkAddress(A501)</f>
        <v>https://open-measure.atlassian.net/wiki/spaces/DIC/pages/1177845999</v>
      </c>
    </row>
    <row r="502" spans="1:3" x14ac:dyDescent="0.35">
      <c r="A502" s="5" t="s">
        <v>500</v>
      </c>
      <c r="B502" t="str">
        <f t="shared" si="7"/>
        <v>Web-based Single Sign-On</v>
      </c>
      <c r="C502" s="6" t="str" cm="1">
        <f t="array" ref="C502">GetHyperlinkAddress(A502)</f>
        <v>https://open-measure.atlassian.net/wiki/spaces/DIC/pages/75923587</v>
      </c>
    </row>
    <row r="503" spans="1:3" x14ac:dyDescent="0.35">
      <c r="A503" s="5" t="s">
        <v>501</v>
      </c>
      <c r="B503" t="str">
        <f t="shared" si="7"/>
        <v>Windows (Non-Default) Local User Account</v>
      </c>
      <c r="C503" s="6" t="str" cm="1">
        <f t="array" ref="C503">GetHyperlinkAddress(A503)</f>
        <v>https://open-measure.atlassian.net/wiki/spaces/DIC/pages/140673566</v>
      </c>
    </row>
    <row r="504" spans="1:3" x14ac:dyDescent="0.35">
      <c r="A504" s="5" t="s">
        <v>503</v>
      </c>
      <c r="B504" t="str">
        <f t="shared" si="7"/>
        <v>Windows Default Local System Account</v>
      </c>
      <c r="C504" s="6" t="str" cm="1">
        <f t="array" ref="C504">GetHyperlinkAddress(A504)</f>
        <v>https://open-measure.atlassian.net/wiki/spaces/DIC/pages/140739507</v>
      </c>
    </row>
    <row r="505" spans="1:3" x14ac:dyDescent="0.35">
      <c r="A505" s="5" t="s">
        <v>504</v>
      </c>
      <c r="B505" t="str">
        <f t="shared" si="7"/>
        <v>Windows Default Local User Account</v>
      </c>
      <c r="C505" s="6" t="str" cm="1">
        <f t="array" ref="C505">GetHyperlinkAddress(A505)</f>
        <v>https://open-measure.atlassian.net/wiki/spaces/DIC/pages/140673594</v>
      </c>
    </row>
    <row r="506" spans="1:3" x14ac:dyDescent="0.35">
      <c r="A506" s="5" t="s">
        <v>502</v>
      </c>
      <c r="B506" t="str">
        <f t="shared" si="7"/>
        <v>Windows DefaultAccount Account</v>
      </c>
      <c r="C506" s="6" t="str" cm="1">
        <f t="array" ref="C506">GetHyperlinkAddress(A506)</f>
        <v>https://open-measure.atlassian.net/wiki/spaces/DIC/pages/140739482</v>
      </c>
    </row>
    <row r="507" spans="1:3" x14ac:dyDescent="0.35">
      <c r="A507" s="5" t="s">
        <v>505</v>
      </c>
      <c r="B507" t="str">
        <f t="shared" si="7"/>
        <v>Windows Guest Account</v>
      </c>
      <c r="C507" s="6" t="str" cm="1">
        <f t="array" ref="C507">GetHyperlinkAddress(A507)</f>
        <v>https://open-measure.atlassian.net/wiki/spaces/DIC/pages/140673653</v>
      </c>
    </row>
    <row r="508" spans="1:3" x14ac:dyDescent="0.35">
      <c r="A508" s="5" t="s">
        <v>506</v>
      </c>
      <c r="B508" t="str">
        <f t="shared" si="7"/>
        <v>Windows HelpAssistant Account</v>
      </c>
      <c r="C508" s="6" t="str" cm="1">
        <f t="array" ref="C508">GetHyperlinkAddress(A508)</f>
        <v>https://open-measure.atlassian.net/wiki/spaces/DIC/pages/140771901</v>
      </c>
    </row>
    <row r="509" spans="1:3" x14ac:dyDescent="0.35">
      <c r="A509" s="5" t="s">
        <v>507</v>
      </c>
      <c r="B509" t="str">
        <f t="shared" si="7"/>
        <v>Windows Local Account</v>
      </c>
      <c r="C509" s="6" t="str" cm="1">
        <f t="array" ref="C509">GetHyperlinkAddress(A509)</f>
        <v>https://open-measure.atlassian.net/wiki/spaces/DIC/pages/140772047</v>
      </c>
    </row>
    <row r="510" spans="1:3" x14ac:dyDescent="0.35">
      <c r="A510" s="5" t="s">
        <v>508</v>
      </c>
      <c r="B510" t="str">
        <f t="shared" si="7"/>
        <v>Windows Local Administrator Account</v>
      </c>
      <c r="C510" s="6" t="str" cm="1">
        <f t="array" ref="C510">GetHyperlinkAddress(A510)</f>
        <v>https://open-measure.atlassian.net/wiki/spaces/DIC/pages/140739277</v>
      </c>
    </row>
    <row r="511" spans="1:3" x14ac:dyDescent="0.35">
      <c r="A511" s="5" t="s">
        <v>509</v>
      </c>
      <c r="B511" t="str">
        <f t="shared" si="7"/>
        <v>Windows LOCAL SERVICE Account</v>
      </c>
      <c r="C511" s="6" t="str" cm="1">
        <f t="array" ref="C511">GetHyperlinkAddress(A511)</f>
        <v>https://open-measure.atlassian.net/wiki/spaces/DIC/pages/140673818</v>
      </c>
    </row>
    <row r="512" spans="1:3" x14ac:dyDescent="0.35">
      <c r="A512" s="5" t="s">
        <v>510</v>
      </c>
      <c r="B512" t="str">
        <f t="shared" si="7"/>
        <v>Windows NETWORK SERVICE Account</v>
      </c>
      <c r="C512" s="6" t="str" cm="1">
        <f t="array" ref="C512">GetHyperlinkAddress(A512)</f>
        <v>https://open-measure.atlassian.net/wiki/spaces/DIC/pages/140772011</v>
      </c>
    </row>
    <row r="513" spans="1:3" x14ac:dyDescent="0.35">
      <c r="A513" s="5" t="s">
        <v>511</v>
      </c>
      <c r="B513" t="str">
        <f t="shared" si="7"/>
        <v>Windows Security Identifier</v>
      </c>
      <c r="C513" s="6" t="str" cm="1">
        <f t="array" ref="C513">GetHyperlinkAddress(A513)</f>
        <v>https://open-measure.atlassian.net/wiki/spaces/DIC/pages/140706624</v>
      </c>
    </row>
    <row r="514" spans="1:3" x14ac:dyDescent="0.35">
      <c r="A514" s="5" t="s">
        <v>512</v>
      </c>
      <c r="B514" t="str">
        <f t="shared" si="7"/>
        <v>Windows SYSTEM Account</v>
      </c>
      <c r="C514" s="6" t="str" cm="1">
        <f t="array" ref="C514">GetHyperlinkAddress(A514)</f>
        <v>https://open-measure.atlassian.net/wiki/spaces/DIC/pages/140706700</v>
      </c>
    </row>
    <row r="515" spans="1:3" x14ac:dyDescent="0.35">
      <c r="A515" s="5" t="s">
        <v>513</v>
      </c>
      <c r="B515" t="str">
        <f t="shared" si="7"/>
        <v>Worker</v>
      </c>
      <c r="C515" s="6" t="str" cm="1">
        <f t="array" ref="C515">GetHyperlinkAddress(A515)</f>
        <v>https://open-measure.atlassian.net/wiki/spaces/DIC/pages/855638141</v>
      </c>
    </row>
    <row r="516" spans="1:3" x14ac:dyDescent="0.35">
      <c r="A516" s="5" t="s">
        <v>514</v>
      </c>
      <c r="B516" t="str">
        <f t="shared" si="7"/>
        <v>Workflow-Sensitive Access Control</v>
      </c>
      <c r="C516" s="6" t="str" cm="1">
        <f t="array" ref="C516">GetHyperlinkAddress(A516)</f>
        <v>https://open-measure.atlassian.net/wiki/spaces/DIC/pages/814448722</v>
      </c>
    </row>
    <row r="517" spans="1:3" x14ac:dyDescent="0.35">
      <c r="A517" s="5" t="s">
        <v>515</v>
      </c>
      <c r="B517" t="str">
        <f t="shared" si="7"/>
        <v>Workforce</v>
      </c>
      <c r="C517" s="6" t="str" cm="1">
        <f t="array" ref="C517">GetHyperlinkAddress(A517)</f>
        <v>https://open-measure.atlassian.net/wiki/spaces/DIC/pages/852492409</v>
      </c>
    </row>
    <row r="518" spans="1:3" x14ac:dyDescent="0.35">
      <c r="A518" s="5" t="s">
        <v>516</v>
      </c>
      <c r="B518" t="str">
        <f t="shared" ref="B518:B521" si="8">SUBSTITUTE(CLEAN(A518)," (Dictionary Entry)","")</f>
        <v>XACML</v>
      </c>
      <c r="C518" s="6" t="str" cm="1">
        <f t="array" ref="C518">GetHyperlinkAddress(A518)</f>
        <v>https://open-measure.atlassian.net/wiki/spaces/DIC/pages/1122631791</v>
      </c>
    </row>
    <row r="519" spans="1:3" x14ac:dyDescent="0.35">
      <c r="A519" s="5" t="s">
        <v>517</v>
      </c>
      <c r="B519" t="str">
        <f t="shared" si="8"/>
        <v>Zero-Trust Access</v>
      </c>
      <c r="C519" s="6" t="str" cm="1">
        <f t="array" ref="C519">GetHyperlinkAddress(A519)</f>
        <v>https://open-measure.atlassian.net/wiki/spaces/DIC/pages/234356891/Zero-Trust+Access</v>
      </c>
    </row>
    <row r="520" spans="1:3" x14ac:dyDescent="0.35">
      <c r="A520" s="5" t="s">
        <v>518</v>
      </c>
      <c r="B520" t="str">
        <f t="shared" si="8"/>
        <v>Zombie Account</v>
      </c>
      <c r="C520" s="6" t="str" cm="1">
        <f t="array" ref="C520">GetHyperlinkAddress(A520)</f>
        <v>https://open-measure.atlassian.net/wiki/spaces/DIC/pages/782893195/Zombie+Account</v>
      </c>
    </row>
    <row r="521" spans="1:3" x14ac:dyDescent="0.35">
      <c r="A521" s="5" t="s">
        <v>519</v>
      </c>
      <c r="B521" t="str">
        <f t="shared" si="8"/>
        <v>ZTA</v>
      </c>
      <c r="C521" s="6" t="str" cm="1">
        <f t="array" ref="C521">GetHyperlinkAddress(A521)</f>
        <v>https://open-measure.atlassian.net/wiki/spaces/DIC/pages/234389671/ZTA</v>
      </c>
    </row>
  </sheetData>
  <hyperlinks>
    <hyperlink ref="A5" r:id="rId1" display="https://open-measure.atlassian.net/wiki/spaces/DIC/pages/805175450/4-Eyes+Principle" xr:uid="{9C70F0F7-468B-447B-B554-0DCA38D6D95C}"/>
    <hyperlink ref="A6" r:id="rId2" display="https://open-measure.atlassian.net/wiki/spaces/DIC/pages/5932924/Absolute+Scale" xr:uid="{557F4E27-108E-4DA5-83D1-D29517723873}"/>
    <hyperlink ref="A7" r:id="rId3" display="https://open-measure.atlassian.net/wiki/spaces/DIC/pages/123962347/Access" xr:uid="{85B349E7-332E-45DB-BE26-CF2F7866C6A9}"/>
    <hyperlink ref="A8" r:id="rId4" display="https://open-measure.atlassian.net/wiki/spaces/DIC/pages/1121878227" xr:uid="{947FF521-7883-4830-A510-99C273768115}"/>
    <hyperlink ref="A9" r:id="rId5" display="https://open-measure.atlassian.net/wiki/spaces/DIC/pages/1034223816/Access+Continuum" xr:uid="{E981323F-1281-4E14-8AB8-CA51827186A3}"/>
    <hyperlink ref="A10" r:id="rId6" display="https://open-measure.atlassian.net/wiki/spaces/DIC/pages/427163781" xr:uid="{33FB87B0-A799-43F8-9471-CBF8F94B41E8}"/>
    <hyperlink ref="A11" r:id="rId7" display="https://open-measure.atlassian.net/wiki/spaces/DIC/pages/822345754" xr:uid="{58953EAF-DD43-4E8A-91B9-C7941711FA00}"/>
    <hyperlink ref="A12" r:id="rId8" display="https://open-measure.atlassian.net/wiki/spaces/DIC/pages/67633606" xr:uid="{170BBD75-86F1-40B1-A4FD-0426DB2E7381}"/>
    <hyperlink ref="A13" r:id="rId9" display="https://open-measure.atlassian.net/wiki/spaces/DIC/pages/67699193" xr:uid="{C21B33B9-CD7E-4547-99ED-FCC05D865F3D}"/>
    <hyperlink ref="A14" r:id="rId10" display="https://open-measure.atlassian.net/wiki/spaces/DIC/pages/67633597" xr:uid="{043DDE5E-2CF4-4ED2-B1C4-780A2477F1B2}"/>
    <hyperlink ref="A15" r:id="rId11" display="https://open-measure.atlassian.net/wiki/spaces/DIC/pages/1006632974" xr:uid="{9E0A152E-A9F6-4F54-A171-E058D4CFC36E}"/>
    <hyperlink ref="A16" r:id="rId12" display="https://open-measure.atlassian.net/wiki/spaces/DIC/pages/1122631723" xr:uid="{5035A790-7E41-4C1E-B245-4D9F086FD683}"/>
    <hyperlink ref="A17" r:id="rId13" display="https://open-measure.atlassian.net/wiki/spaces/DIC/pages/1122599013" xr:uid="{B0F44AD9-22D2-432F-852E-516E31DD38AB}"/>
    <hyperlink ref="A18" r:id="rId14" display="https://open-measure.atlassian.net/wiki/spaces/DIC/pages/1704003" xr:uid="{2A6AD7E0-7CB7-414A-B806-1DE357148314}"/>
    <hyperlink ref="A19" r:id="rId15" display="https://open-measure.atlassian.net/wiki/spaces/DIC/pages/1600684040/Access+Token" xr:uid="{3DB13B5A-FDEA-448D-8A03-0DD92C99766C}"/>
    <hyperlink ref="A20" r:id="rId16" display="https://open-measure.atlassian.net/wiki/spaces/DIC/pages/461308120/Account" xr:uid="{4C3D6A48-B811-4CB7-8B75-CBB805DDDE31}"/>
    <hyperlink ref="A24" r:id="rId17" display="https://open-measure.atlassian.net/wiki/spaces/DIC/pages/425623718" xr:uid="{F9C5B719-2881-4A87-A0B2-CE4A9440765F}"/>
    <hyperlink ref="A21" r:id="rId18" display="https://open-measure.atlassian.net/wiki/spaces/DIC/pages/67699360" xr:uid="{05461E2A-5D54-45F9-A7EE-680DB94FC322}"/>
    <hyperlink ref="A22" r:id="rId19" display="https://open-measure.atlassian.net/wiki/spaces/DIC/pages/1146847331" xr:uid="{C80C1815-C9B1-4E7E-93B8-F82EAF70BDF3}"/>
    <hyperlink ref="A23" r:id="rId20" display="https://open-measure.atlassian.net/wiki/spaces/DIC/pages/1079050286/Account+Takeover" xr:uid="{B5AD39D1-2C3E-4409-ABC3-4D7766D3972A}"/>
    <hyperlink ref="A25" r:id="rId21" display="https://open-measure.atlassian.net/wiki/spaces/DIC/pages/446955580" xr:uid="{05B80C80-2904-4A77-A4DE-F069F5227753}"/>
    <hyperlink ref="A26" r:id="rId22" display="https://open-measure.atlassian.net/wiki/spaces/DIC/pages/73892144/Action+Research" xr:uid="{65A38D16-B537-4640-9104-5B8770C53C69}"/>
    <hyperlink ref="A27" r:id="rId23" display="https://open-measure.atlassian.net/wiki/spaces/DIC/pages/974454812" xr:uid="{D6BAB336-0921-4D8D-85C1-9AA624D80353}"/>
    <hyperlink ref="A28" r:id="rId24" display="https://open-measure.atlassian.net/wiki/spaces/DIC/pages/11141273" xr:uid="{B84C4872-B916-415F-BB7C-7161E0895C74}"/>
    <hyperlink ref="A29" r:id="rId25" display="https://open-measure.atlassian.net/wiki/spaces/DIC/pages/6030518" xr:uid="{9764428F-2698-42D5-B5AA-3ED6DB5CB678}"/>
    <hyperlink ref="A30" r:id="rId26" display="https://open-measure.atlassian.net/wiki/spaces/DIC/pages/81101665/AP" xr:uid="{20C0FA6D-CF43-495C-9B90-6D97ACA45DDD}"/>
    <hyperlink ref="A31" r:id="rId27" display="https://open-measure.atlassian.net/wiki/spaces/DIC/pages/848625750" xr:uid="{68E5CBF0-F915-45FC-849C-D5801C2AA415}"/>
    <hyperlink ref="A32" r:id="rId28" display="https://open-measure.atlassian.net/wiki/spaces/DIC/pages/5965602/Application" xr:uid="{215A4170-1F3D-40DD-9C5F-145D104203EC}"/>
    <hyperlink ref="A33" r:id="rId29" display="https://open-measure.atlassian.net/wiki/spaces/DIC/pages/274236090" xr:uid="{9CE0A592-8123-4414-AFD0-03F6FE0D4310}"/>
    <hyperlink ref="A34" r:id="rId30" display="https://open-measure.atlassian.net/wiki/spaces/DIC/pages/834044036" xr:uid="{AC192DFC-56FD-4A2F-A514-AB7173BEE194}"/>
    <hyperlink ref="A38" r:id="rId31" display="https://open-measure.atlassian.net/wiki/spaces/DIC/pages/1122631854" xr:uid="{8CB3CA76-5A98-46AF-89EF-4A418895ECDA}"/>
    <hyperlink ref="A35" r:id="rId32" display="https://open-measure.atlassian.net/wiki/spaces/DIC/pages/1658355721/Application+Multiplexing" xr:uid="{3BB00D9F-E249-4B82-9508-C3AE8DF23C6A}"/>
    <hyperlink ref="A36" r:id="rId33" display="https://open-measure.atlassian.net/wiki/spaces/DIC/pages/5932704" xr:uid="{0DBE2DD5-6ACA-4B66-99B6-4EFAE97C119E}"/>
    <hyperlink ref="A37" r:id="rId34" display="https://open-measure.atlassian.net/wiki/spaces/DIC/pages/6030793/Application+Program" xr:uid="{11AB7D73-576F-47B6-8271-92BC5A96C8BA}"/>
    <hyperlink ref="A39" r:id="rId35" display="https://open-measure.atlassian.net/wiki/spaces/DIC/pages/425197720" xr:uid="{74838A52-BD8C-476E-B11F-F6CF88DC433D}"/>
    <hyperlink ref="A40" r:id="rId36" display="https://open-measure.atlassian.net/wiki/spaces/DIC/pages/1703994/ARM" xr:uid="{C4F52A8F-7904-4FA7-896A-EDEF37AA87B5}"/>
    <hyperlink ref="A41" r:id="rId37" display="https://open-measure.atlassian.net/wiki/spaces/DIC/pages/1094516867" xr:uid="{DE27E0AB-93EA-43FD-A9DD-1D4F1FC4E0A4}"/>
    <hyperlink ref="A42" r:id="rId38" display="https://open-measure.atlassian.net/wiki/spaces/DIC/pages/1323368851/Attestation" xr:uid="{DBB66D18-C22A-40B5-8D02-69E513805D62}"/>
    <hyperlink ref="A43" r:id="rId39" display="https://open-measure.atlassian.net/wiki/spaces/DIC/pages/409174161" xr:uid="{F162C1F0-852B-4EE5-A372-65F227502805}"/>
    <hyperlink ref="A44" r:id="rId40" display="https://open-measure.atlassian.net/wiki/spaces/DIC/pages/81101655" xr:uid="{3204F43A-2EF1-4C9B-834A-A99777C2AA2A}"/>
    <hyperlink ref="A45" r:id="rId41" display="https://open-measure.atlassian.net/wiki/spaces/DIC/pages/966492169" xr:uid="{929D0E67-2084-448D-9154-0BF7B50B76A8}"/>
    <hyperlink ref="A46" r:id="rId42" display="https://open-measure.atlassian.net/wiki/spaces/DIC/pages/61177884" xr:uid="{A97981E2-27D2-423B-A668-52C40212CAA8}"/>
    <hyperlink ref="A47" r:id="rId43" display="https://open-measure.atlassian.net/wiki/spaces/DIC/pages/81199158" xr:uid="{4C31CA25-C91F-44CC-A02A-8D7EE2901859}"/>
    <hyperlink ref="A48" r:id="rId44" display="https://open-measure.atlassian.net/wiki/spaces/DIC/pages/848724060" xr:uid="{66902EA3-1CAC-4D70-AF46-6684C0D7C6D0}"/>
    <hyperlink ref="A49" r:id="rId45" display="https://open-measure.atlassian.net/wiki/spaces/DIC/pages/998178905" xr:uid="{DA5AABF0-6EB8-4A05-A08B-09C9CA204410}"/>
    <hyperlink ref="A50" r:id="rId46" display="https://open-measure.atlassian.net/wiki/spaces/DIC/pages/60882993" xr:uid="{E80488AC-762D-4A63-980F-1FC48204EDFD}"/>
    <hyperlink ref="A51" r:id="rId47" display="https://open-measure.atlassian.net/wiki/spaces/DIC/pages/1137573936/Authorization+Externalization" xr:uid="{F3B66CF2-3A5D-45A2-927F-89552736AEF0}"/>
    <hyperlink ref="A52" r:id="rId48" display="https://open-measure.atlassian.net/wiki/spaces/DIC/pages/1311472" xr:uid="{8C3716AA-245E-40BE-98E2-929F11499EF2}"/>
    <hyperlink ref="A53" r:id="rId49" display="https://open-measure.atlassian.net/wiki/spaces/DIC/pages/998277774" xr:uid="{5D2838A9-1BE2-4516-A19E-B223BDA4517F}"/>
    <hyperlink ref="A54" r:id="rId50" display="https://open-measure.atlassian.net/wiki/spaces/DIC/pages/998245198" xr:uid="{7FD6BC28-9E24-49B8-B13A-6E89AB3C6D1C}"/>
    <hyperlink ref="A55" r:id="rId51" display="https://open-measure.atlassian.net/wiki/spaces/DIC/pages/998277876" xr:uid="{EC7AD8E8-0380-4B80-84F5-906397E62EB1}"/>
    <hyperlink ref="A56" r:id="rId52" display="https://open-measure.atlassian.net/wiki/spaces/DIC/pages/998277805" xr:uid="{D495234C-F484-4124-9A71-C22E257D281B}"/>
    <hyperlink ref="A57" r:id="rId53" display="https://open-measure.atlassian.net/wiki/spaces/DIC/pages/998277852" xr:uid="{5E4091CD-362A-449B-BDCA-D7E6D54236C8}"/>
    <hyperlink ref="A58" r:id="rId54" display="https://open-measure.atlassian.net/wiki/spaces/DIC/pages/1071251573" xr:uid="{BD042FD7-73C7-48D4-A4CA-510FBC63B48E}"/>
    <hyperlink ref="A59" r:id="rId55" display="https://open-measure.atlassian.net/wiki/spaces/DIC/pages/998245151" xr:uid="{58685EDE-56CC-4037-82A2-61CB02977672}"/>
    <hyperlink ref="A60" r:id="rId56" display="https://open-measure.atlassian.net/wiki/spaces/DIC/pages/998277835" xr:uid="{CB901E7B-544B-4146-8800-AB212129ED84}"/>
    <hyperlink ref="A61" r:id="rId57" display="https://open-measure.atlassian.net/wiki/spaces/DIC/pages/998245125" xr:uid="{7DA674D2-D70E-4F06-AA3F-3B51B6707791}"/>
    <hyperlink ref="A62" r:id="rId58" display="https://open-measure.atlassian.net/wiki/spaces/DIC/pages/5899336" xr:uid="{1D782D6F-F34C-462C-96E9-2E02E9A4010F}"/>
    <hyperlink ref="A63" r:id="rId59" display="https://open-measure.atlassian.net/wiki/spaces/DIC/pages/5899322" xr:uid="{42F9EA48-9D4C-42B1-974B-DEB795A9A825}"/>
    <hyperlink ref="A64" r:id="rId60" display="https://open-measure.atlassian.net/wiki/spaces/DIC/pages/5932067" xr:uid="{B962997E-A47B-4BCB-8BB7-58BFAA946E5A}"/>
    <hyperlink ref="A65" r:id="rId61" display="https://open-measure.atlassian.net/wiki/spaces/DIC/pages/5899351" xr:uid="{6E00C597-CAF1-4F69-9DC9-ADD885238DC7}"/>
    <hyperlink ref="A66" r:id="rId62" display="https://open-measure.atlassian.net/wiki/spaces/DIC/pages/5965008" xr:uid="{B57BD90D-2E22-4559-AB91-BF4E0B789824}"/>
    <hyperlink ref="A67" r:id="rId63" display="https://open-measure.atlassian.net/wiki/spaces/DIC/pages/59441158" xr:uid="{756EDEF5-41E9-4315-AAEE-7F241814E9EB}"/>
    <hyperlink ref="A68" r:id="rId64" display="https://open-measure.atlassian.net/wiki/spaces/DIC/pages/797933843" xr:uid="{F2123008-1D3D-43D1-86B7-5A5797989D70}"/>
    <hyperlink ref="A69" r:id="rId65" display="https://open-measure.atlassian.net/wiki/spaces/DIC/pages/43581631" xr:uid="{50DCC22C-6861-42D0-BB41-F8D7A0950D85}"/>
    <hyperlink ref="A70" r:id="rId66" display="https://open-measure.atlassian.net/wiki/spaces/DIC/pages/1228079157" xr:uid="{BD6C6DEF-5C0A-45FC-8F83-ABD5F5D38B52}"/>
    <hyperlink ref="A71" r:id="rId67" display="https://open-measure.atlassian.net/wiki/spaces/DIC/pages/1673527501/Behavioral+Authentication" xr:uid="{FF96EB44-E6BB-487C-A21B-431E7EA3F600}"/>
    <hyperlink ref="A72" r:id="rId68" display="https://open-measure.atlassian.net/wiki/spaces/DIC/pages/49250383" xr:uid="{C01B648F-3621-4F57-A262-AA2F487FA163}"/>
    <hyperlink ref="A73" r:id="rId69" display="https://open-measure.atlassian.net/wiki/spaces/DIC/pages/1237549087/Bell-LaPadula+Model" xr:uid="{D1C4086E-3270-44EE-B08C-7F8CAC51EB5D}"/>
    <hyperlink ref="A74" r:id="rId70" display="https://open-measure.atlassian.net/wiki/spaces/DIC/pages/1015823" xr:uid="{2655C653-8A21-435F-9AB0-5B53EA2FEF3B}"/>
    <hyperlink ref="A75" r:id="rId71" display="https://open-measure.atlassian.net/wiki/spaces/DIC/pages/409174210" xr:uid="{D65E3949-0AAF-4DAA-9D55-0FC13A6A8DE6}"/>
    <hyperlink ref="A76" r:id="rId72" display="https://open-measure.atlassian.net/wiki/spaces/DIC/pages/409010581" xr:uid="{B128A26B-55DF-416E-A4A2-D54C372ADE50}"/>
    <hyperlink ref="A77" r:id="rId73" display="https://open-measure.atlassian.net/wiki/spaces/DIC/pages/1031209441" xr:uid="{202D7F8E-0309-4A72-8C6D-46AA17B9BD0E}"/>
    <hyperlink ref="A78" r:id="rId74" display="https://open-measure.atlassian.net/wiki/spaces/DIC/pages/794492970" xr:uid="{8E40E231-1F20-46B9-93A5-0071B69DADA9}"/>
    <hyperlink ref="A79" r:id="rId75" display="https://open-measure.atlassian.net/wiki/spaces/DIC/pages/408944842" xr:uid="{2D9689E3-8004-4212-A3F6-B48352B86206}"/>
    <hyperlink ref="A80" r:id="rId76" display="https://open-measure.atlassian.net/wiki/spaces/DIC/pages/1571389777/Boundary+Control" xr:uid="{E52BD063-476D-4992-A34A-1F101465FDC0}"/>
    <hyperlink ref="A81" r:id="rId77" display="https://open-measure.atlassian.net/wiki/spaces/DIC/pages/81101750" xr:uid="{398D07F7-3E8E-4B99-80FB-8D0ADA6F9900}"/>
    <hyperlink ref="A82" r:id="rId78" display="https://open-measure.atlassian.net/wiki/spaces/DIC/pages/1348763687/Brute+Force+Attack" xr:uid="{A0BBC66F-BB68-49FD-A889-D45B62E40B88}"/>
    <hyperlink ref="A83" r:id="rId79" display="https://open-measure.atlassian.net/wiki/spaces/DIC/pages/140772106" xr:uid="{9164F157-33C2-4B87-9DF2-D916926A9752}"/>
    <hyperlink ref="A84" r:id="rId80" display="https://open-measure.atlassian.net/wiki/spaces/DIC/pages/1228079170/BZR" xr:uid="{19F3ABC3-A02E-4638-A3F1-0DDBF56D0740}"/>
    <hyperlink ref="A85" r:id="rId81" display="https://open-measure.atlassian.net/wiki/spaces/DIC/pages/1254588417/Cached+Credential" xr:uid="{57087A4D-D38D-4CE9-8F56-9107253854EE}"/>
    <hyperlink ref="A86" r:id="rId82" display="https://open-measure.atlassian.net/wiki/spaces/DIC/pages/823394314" xr:uid="{712B59E7-2DBC-4E4E-B186-CC3C34AD8D68}"/>
    <hyperlink ref="A87" r:id="rId83" display="https://open-measure.atlassian.net/wiki/spaces/DIC/pages/11567293" xr:uid="{966DB3EA-5470-410B-A60F-2F23259361FA}"/>
    <hyperlink ref="A88" r:id="rId84" display="https://open-measure.atlassian.net/wiki/spaces/DIC/pages/5900130" xr:uid="{E2C3BFD5-871B-4CBA-A746-F28BEF5AB315}"/>
    <hyperlink ref="A89" r:id="rId85" display="https://open-measure.atlassian.net/wiki/spaces/DIC/pages/442466346/CDD" xr:uid="{C0755AEE-5ED8-4E0F-8D48-BD76726F298F}"/>
    <hyperlink ref="A90" r:id="rId86" display="https://open-measure.atlassian.net/wiki/spaces/DIC/pages/1152483641" xr:uid="{55960D96-4EBF-4839-BA31-6BED17BBFD0E}"/>
    <hyperlink ref="A91" r:id="rId87" display="https://open-measure.atlassian.net/wiki/spaces/DIC/pages/823459864" xr:uid="{9A813190-BD24-41E3-A07E-B197C43537DE}"/>
    <hyperlink ref="A92" r:id="rId88" display="https://open-measure.atlassian.net/wiki/spaces/DIC/pages/1290076214/CIBA" xr:uid="{2C225ED2-AB39-40C2-B780-994E65ACFC8D}"/>
    <hyperlink ref="A93" r:id="rId89" display="https://open-measure.atlassian.net/wiki/spaces/DIC/pages/1323499650/Claim" xr:uid="{84CCC30B-E5BA-4C6E-85CE-DD5C683FE0CA}"/>
    <hyperlink ref="A95" r:id="rId90" display="https://open-measure.atlassian.net/wiki/spaces/DIC/pages/848363630" xr:uid="{A551DCBE-94E0-4555-89AF-CAF8B1049148}"/>
    <hyperlink ref="A94" r:id="rId91" display="https://open-measure.atlassian.net/wiki/spaces/DIC/pages/1309605928/Claim+Registry+Model" xr:uid="{C38D11B4-7DE3-4EA0-ADFC-FD27EA8B5435}"/>
    <hyperlink ref="A96" r:id="rId92" display="https://open-measure.atlassian.net/wiki/spaces/DIC/pages/140771387" xr:uid="{AF05775F-BEF4-42DB-BFE6-1D70D76A2BBA}"/>
    <hyperlink ref="A97" r:id="rId93" display="https://open-measure.atlassian.net/wiki/spaces/DIC/pages/1290076229/Client+Initiated+Backchannel+Authentication" xr:uid="{6416E2FC-F837-49E1-8C3D-14D23D4791F5}"/>
    <hyperlink ref="A98" r:id="rId94" display="https://open-measure.atlassian.net/wiki/spaces/DIC/pages/1152516136" xr:uid="{4500D03C-AE78-449E-B348-6C5BC4131742}"/>
    <hyperlink ref="A99" r:id="rId95" display="https://open-measure.atlassian.net/wiki/spaces/DIC/pages/1152516118" xr:uid="{773E4C3F-6D58-4019-8C25-DFBE0488AD3C}"/>
    <hyperlink ref="A100" r:id="rId96" display="https://open-measure.atlassian.net/wiki/spaces/DIC/pages/1147043959" xr:uid="{6AA1EF15-6A4F-45D7-ABAD-0EF84FF3F0E7}"/>
    <hyperlink ref="A101" r:id="rId97" display="https://open-measure.atlassian.net/wiki/spaces/DIC/pages/206307528" xr:uid="{3FA886EE-31C7-4D44-BC29-15782361A4A9}"/>
    <hyperlink ref="A102" r:id="rId98" display="https://open-measure.atlassian.net/wiki/spaces/DIC/pages/206766142/Cloud+Service+User" xr:uid="{CC541152-0C61-4606-B97C-CE25B6D86D6B}"/>
    <hyperlink ref="A103" r:id="rId99" display="https://open-measure.atlassian.net/wiki/spaces/DIC/pages/148308199" xr:uid="{BE648E90-87C3-4820-B563-53BCCD4F76CB}"/>
    <hyperlink ref="A104" r:id="rId100" display="https://open-measure.atlassian.net/wiki/spaces/DIC/pages/1311881" xr:uid="{9C03C60D-BBC2-4807-B99C-583FE4D7F8D0}"/>
    <hyperlink ref="A105" r:id="rId101" display="https://open-measure.atlassian.net/wiki/spaces/DIC/pages/998277125" xr:uid="{494231A8-3A8C-4C50-A401-0E9CEC3F80FE}"/>
    <hyperlink ref="A106" r:id="rId102" display="https://open-measure.atlassian.net/wiki/spaces/DIC/pages/43516102" xr:uid="{D2750981-EF32-44FC-8417-263FFEBEA9E4}"/>
    <hyperlink ref="A107" r:id="rId103" display="https://open-measure.atlassian.net/wiki/spaces/DIC/pages/1442363" xr:uid="{D43EB1AA-1076-49DD-95A1-FE546DDE7854}"/>
    <hyperlink ref="A108" r:id="rId104" display="https://open-measure.atlassian.net/wiki/spaces/DIC/pages/461307985" xr:uid="{AD30CAEC-030C-44DA-8FB6-238174530BD1}"/>
    <hyperlink ref="A109" r:id="rId105" display="https://open-measure.atlassian.net/wiki/spaces/DIC/pages/3244066" xr:uid="{3ABB1AAF-D75C-46CA-814C-50F53D9FFE4B}"/>
    <hyperlink ref="A110" r:id="rId106" display="https://open-measure.atlassian.net/wiki/spaces/DIC/pages/140738810" xr:uid="{ADD8957A-B9B7-4A6C-B966-D22953E52FDC}"/>
    <hyperlink ref="A111" r:id="rId107" display="https://open-measure.atlassian.net/wiki/spaces/DIC/pages/974454827" xr:uid="{5C38458E-7490-44D0-8089-362CE26E79A2}"/>
    <hyperlink ref="A112" r:id="rId108" display="https://open-measure.atlassian.net/wiki/spaces/DIC/pages/43581505" xr:uid="{394E76DB-47EE-46B1-B899-D38FB219467C}"/>
    <hyperlink ref="A113" r:id="rId109" display="https://open-measure.atlassian.net/wiki/spaces/DIC/pages/3178516" xr:uid="{98FFD3E1-DE49-4253-8120-D6A27FFB8608}"/>
    <hyperlink ref="A114" r:id="rId110" display="https://open-measure.atlassian.net/wiki/spaces/DIC/pages/148308282" xr:uid="{652CEC76-3717-4B77-9456-BE911D17DE50}"/>
    <hyperlink ref="A115" r:id="rId111" display="https://open-measure.atlassian.net/wiki/spaces/DIC/pages/877297665" xr:uid="{CB7E7395-0348-4205-BD70-A90467F2E7FE}"/>
    <hyperlink ref="A116" r:id="rId112" display="https://open-measure.atlassian.net/wiki/spaces/DIC/pages/82838169" xr:uid="{5DFADE73-5EB9-42DC-921F-00DCEB00E600}"/>
    <hyperlink ref="A117" r:id="rId113" display="https://open-measure.atlassian.net/wiki/spaces/DIC/pages/138346642" xr:uid="{C99223B1-99D0-4C40-9722-CFA78CDD8AA3}"/>
    <hyperlink ref="A118" r:id="rId114" display="https://open-measure.atlassian.net/wiki/spaces/DIC/pages/67633343/Credential" xr:uid="{8E2AE1A6-F39B-437B-9921-4C5E5819B608}"/>
    <hyperlink ref="A119" r:id="rId115" display="https://open-measure.atlassian.net/wiki/spaces/DIC/pages/1254719498/Credential+Harvesting" xr:uid="{AF01457D-FEF6-4768-86BB-266FD7FA8613}"/>
    <hyperlink ref="A120" r:id="rId116" display="https://open-measure.atlassian.net/wiki/spaces/DIC/pages/82870977" xr:uid="{345DA9AB-5515-4D4D-A616-B300E44E6BA2}"/>
    <hyperlink ref="A121" r:id="rId117" display="https://open-measure.atlassian.net/wiki/spaces/DIC/pages/1348862053/Credential+Stuffing" xr:uid="{EBC2A151-3ED2-49BD-9D78-98186D4EEECE}"/>
    <hyperlink ref="A122" r:id="rId118" display="https://open-measure.atlassian.net/wiki/spaces/DIC/pages/461340725" xr:uid="{ECFB7D02-5727-4F1D-A96F-C9EF65095862}"/>
    <hyperlink ref="A123" r:id="rId119" display="https://open-measure.atlassian.net/wiki/spaces/DIC/pages/427130918" xr:uid="{5D64124D-F4C1-48C7-BD48-811E1A9159E5}"/>
    <hyperlink ref="A124" r:id="rId120" display="https://open-measure.atlassian.net/wiki/spaces/DIC/pages/1152516162/CSC" xr:uid="{5F167142-6B2D-4443-9E34-C19C6D27DBF2}"/>
    <hyperlink ref="A125" r:id="rId121" display="https://open-measure.atlassian.net/wiki/spaces/DIC/pages/82903984/CSP" xr:uid="{141863F1-9622-4461-B20A-134781F66490}"/>
    <hyperlink ref="A126" r:id="rId122" display="https://open-measure.atlassian.net/wiki/spaces/DIC/pages/206667867/CSU" xr:uid="{E741E095-626F-42E2-88B3-E602FCDE6F4D}"/>
    <hyperlink ref="A127" r:id="rId123" display="https://open-measure.atlassian.net/wiki/spaces/DIC/pages/414482448" xr:uid="{9F320206-A127-4B45-A90A-0A1B3CF0D977}"/>
    <hyperlink ref="A128" r:id="rId124" display="https://open-measure.atlassian.net/wiki/spaces/DIC/pages/414548006" xr:uid="{47564E7B-7173-48FC-A3AD-70ABA8F8966A}"/>
    <hyperlink ref="A129" r:id="rId125" display="https://open-measure.atlassian.net/wiki/spaces/DIC/pages/138444875" xr:uid="{2C938BF3-8FB0-467B-8BC6-6228A43A815D}"/>
    <hyperlink ref="A130" r:id="rId126" display="https://open-measure.atlassian.net/wiki/spaces/DIC/pages/409010717" xr:uid="{F17D452A-02FC-499B-B311-AA312E7169CA}"/>
    <hyperlink ref="A131" r:id="rId127" display="https://open-measure.atlassian.net/wiki/spaces/DIC/pages/408944928" xr:uid="{0FBE9C43-71B6-4E41-83E9-6D2ECE0A75DF}"/>
    <hyperlink ref="A132" r:id="rId128" display="https://open-measure.atlassian.net/wiki/spaces/DIC/pages/797900801" xr:uid="{DAE05A98-BCFD-439F-B7E3-2D74F564CCCB}"/>
    <hyperlink ref="A133" r:id="rId129" display="https://open-measure.atlassian.net/wiki/spaces/DIC/pages/1451982933/Cyber-sabotage" xr:uid="{DBBB1917-F0DF-4328-B18A-8389919AFB96}"/>
    <hyperlink ref="A134" r:id="rId130" display="https://open-measure.atlassian.net/wiki/spaces/DIC/pages/1177845938/DAC" xr:uid="{9F0E5164-630B-46B0-8CC1-CF0A3E0B16FC}"/>
    <hyperlink ref="A135" r:id="rId131" display="https://open-measure.atlassian.net/wiki/spaces/DIC/pages/1267400850/Data+Anonymization" xr:uid="{E9E6C115-2EB1-457F-B194-6F2268794A19}"/>
    <hyperlink ref="A136" r:id="rId132" display="https://open-measure.atlassian.net/wiki/spaces/DIC/pages/998244454" xr:uid="{EC2F2786-18F6-4886-949F-179B177320AC}"/>
    <hyperlink ref="A140" r:id="rId133" display="https://open-measure.atlassian.net/wiki/spaces/DIC/pages/1132331029" xr:uid="{66CB2F0B-4C4D-45D6-9036-1B12C3807BD1}"/>
    <hyperlink ref="A137" r:id="rId134" display="https://open-measure.atlassian.net/wiki/spaces/DIC/pages/508330028" xr:uid="{43A93B14-05F0-4225-854D-C5B30FD0DF43}"/>
    <hyperlink ref="A138" r:id="rId135" display="https://open-measure.atlassian.net/wiki/spaces/DIC/pages/1027048097" xr:uid="{BB717A17-C092-4A27-865F-BB98CD98142D}"/>
    <hyperlink ref="A139" r:id="rId136" display="https://open-measure.atlassian.net/wiki/spaces/DIC/pages/998179040" xr:uid="{AD482BFD-5676-44A4-99EA-8DE1539F17AE}"/>
    <hyperlink ref="A141" r:id="rId137" display="https://open-measure.atlassian.net/wiki/spaces/DIC/pages/1031242134" xr:uid="{57A9C48C-91BE-4668-BCB3-A89B46CC7C4E}"/>
    <hyperlink ref="A142" r:id="rId138" display="https://open-measure.atlassian.net/wiki/spaces/DIC/pages/782893122" xr:uid="{E55F34A9-9EC1-4620-965D-20B43D6A9FFE}"/>
    <hyperlink ref="A143" r:id="rId139" display="https://open-measure.atlassian.net/wiki/spaces/DIC/pages/408977837" xr:uid="{ADFACB9E-CFF5-4740-A11F-1D4EDF720B89}"/>
    <hyperlink ref="A144" r:id="rId140" display="https://open-measure.atlassian.net/wiki/spaces/DIC/pages/62193665" xr:uid="{0DB495C5-771F-4CE4-9483-62FDB9FA4EB0}"/>
    <hyperlink ref="A145" r:id="rId141" display="https://open-measure.atlassian.net/wiki/spaces/DIC/pages/43548767" xr:uid="{6D5C9ED4-CD34-4053-AC00-25BEC0A441FC}"/>
    <hyperlink ref="A146" r:id="rId142" display="https://open-measure.atlassian.net/wiki/spaces/DIC/pages/782925889/DID" xr:uid="{D136445A-C11B-4615-81FF-03BA980EA42A}"/>
    <hyperlink ref="A147" r:id="rId143" display="https://open-measure.atlassian.net/wiki/spaces/DIC/pages/458326308" xr:uid="{59B898BB-01EC-41B3-BCD2-E24D13DF211E}"/>
    <hyperlink ref="A148" r:id="rId144" display="https://open-measure.atlassian.net/wiki/spaces/DIC/pages/419561482/Digital+Identification+System" xr:uid="{E22730B9-09AC-405D-93C9-5B770150FF5E}"/>
    <hyperlink ref="A149" r:id="rId145" display="https://open-measure.atlassian.net/wiki/spaces/DIC/pages/419528705/Digital+Identity" xr:uid="{FDF0D467-18EF-4338-B5D8-36B0060C2D01}"/>
    <hyperlink ref="A150" r:id="rId146" display="https://open-measure.atlassian.net/wiki/spaces/DIC/pages/1270153304/Digital+Identity+Authenticity" xr:uid="{6C85FD53-FE0A-4A91-9161-3910ACB445D6}"/>
    <hyperlink ref="A151" r:id="rId147" display="https://open-measure.atlassian.net/wiki/spaces/DIC/pages/796983391" xr:uid="{F250224D-C120-4540-B1AB-A07B7F843522}"/>
    <hyperlink ref="A152" r:id="rId148" display="https://open-measure.atlassian.net/wiki/spaces/DIC/pages/1181876315" xr:uid="{9C8A8DBF-2518-4C2B-8205-4AF706464BB5}"/>
    <hyperlink ref="A153" r:id="rId149" display="https://open-measure.atlassian.net/wiki/spaces/DIC/pages/810287202" xr:uid="{0E7AD4AB-AC83-4DAD-A4C3-33DA7BD11106}"/>
    <hyperlink ref="A154" r:id="rId150" display="https://open-measure.atlassian.net/wiki/spaces/DIC/pages/419594251" xr:uid="{EC633C37-ACC9-4992-8DFF-15A7CF386035}"/>
    <hyperlink ref="A155" r:id="rId151" display="https://open-measure.atlassian.net/wiki/spaces/DIC/pages/806584322" xr:uid="{ABA2ED7F-29D4-41BA-BD2B-CA470F791056}"/>
    <hyperlink ref="A156" r:id="rId152" display="https://open-measure.atlassian.net/wiki/spaces/DIC/pages/206766113" xr:uid="{5F3425C8-A87D-4BE0-AE99-963BF22CDAAF}"/>
    <hyperlink ref="A157" r:id="rId153" display="https://open-measure.atlassian.net/wiki/spaces/DIC/pages/82903896" xr:uid="{E4F47599-14FE-40C9-AA1D-5C873FC430B4}"/>
    <hyperlink ref="A158" r:id="rId154" display="https://open-measure.atlassian.net/wiki/spaces/DIC/pages/61964467" xr:uid="{EA23555D-5A4C-4648-8100-62D44430292E}"/>
    <hyperlink ref="A159" r:id="rId155" display="https://open-measure.atlassian.net/wiki/spaces/DIC/pages/148340918" xr:uid="{EA97A2BA-79B9-45D6-BD12-5D4998C7EBC5}"/>
    <hyperlink ref="A160" r:id="rId156" display="https://open-measure.atlassian.net/wiki/spaces/DIC/pages/5965976" xr:uid="{4C9ECC83-ED3C-4ED6-9696-9CE213FFB8AC}"/>
    <hyperlink ref="A161" r:id="rId157" display="https://open-measure.atlassian.net/wiki/spaces/DIC/pages/1031209232" xr:uid="{B7C42E0D-FF58-4591-9263-85C91D141C49}"/>
    <hyperlink ref="A162" r:id="rId158" display="https://open-measure.atlassian.net/wiki/spaces/DIC/pages/206766092" xr:uid="{108F24AD-F975-423E-AFDD-89B528725B8F}"/>
    <hyperlink ref="A163" r:id="rId159" display="https://open-measure.atlassian.net/wiki/spaces/DIC/pages/62455952" xr:uid="{3681923F-87B1-4DA3-A191-A12D06888D5F}"/>
    <hyperlink ref="A164" r:id="rId160" display="https://open-measure.atlassian.net/wiki/spaces/DIC/pages/76021801" xr:uid="{057BFDD7-46F1-44BA-AA40-83619D5A0092}"/>
    <hyperlink ref="A165" r:id="rId161" display="https://open-measure.atlassian.net/wiki/spaces/DIC/pages/1121878049" xr:uid="{663FBC8E-8DFF-425E-ABE7-C1E90235C0B0}"/>
    <hyperlink ref="A169" r:id="rId162" display="https://open-measure.atlassian.net/wiki/spaces/DIC/pages/1122566173" xr:uid="{88B5862C-478C-4B4B-A06F-08889FBEABC0}"/>
    <hyperlink ref="A166" r:id="rId163" display="https://open-measure.atlassian.net/wiki/spaces/DIC/pages/1122566465" xr:uid="{D973A201-B17F-4B02-A2D2-3AAD55D944F6}"/>
    <hyperlink ref="A167" r:id="rId164" display="https://open-measure.atlassian.net/wiki/spaces/DIC/pages/1121910973" xr:uid="{B6BA1A5E-FFC2-401E-955A-E386610E4984}"/>
    <hyperlink ref="A168" r:id="rId165" display="https://open-measure.atlassian.net/wiki/spaces/DIC/pages/1122631800" xr:uid="{D59F9F65-690D-44DE-949A-58B6C380B349}"/>
    <hyperlink ref="A170" r:id="rId166" display="https://open-measure.atlassian.net/wiki/spaces/DIC/pages/123830932" xr:uid="{646FCFDB-6206-487B-B959-07ACE132C674}"/>
    <hyperlink ref="A171" r:id="rId167" display="https://open-measure.atlassian.net/wiki/spaces/DIC/pages/75956266" xr:uid="{6A59BF5B-9BCD-4810-9CF4-FA76289D4596}"/>
    <hyperlink ref="A172" r:id="rId168" display="https://open-measure.atlassian.net/wiki/spaces/DIC/pages/17301568" xr:uid="{288AFB31-7CB2-4AE6-82AC-29BC8C9D54F9}"/>
    <hyperlink ref="A173" r:id="rId169" display="https://open-measure.atlassian.net/wiki/spaces/DIC/pages/1104904275" xr:uid="{BB04188B-0994-475A-A5B9-136E58E5EDC2}"/>
    <hyperlink ref="A174" r:id="rId170" display="https://open-measure.atlassian.net/wiki/spaces/DIC/pages/49316293" xr:uid="{FC6A912E-46B9-412E-B69B-37FBE8A6EF48}"/>
    <hyperlink ref="A175" r:id="rId171" display="https://open-measure.atlassian.net/wiki/spaces/DIC/pages/446824885" xr:uid="{D1015890-F4D0-4E75-B9E8-E16F9EF215CF}"/>
    <hyperlink ref="A176" r:id="rId172" display="https://open-measure.atlassian.net/wiki/spaces/DIC/pages/461275380" xr:uid="{559CB1C1-32CC-422D-BDC1-551733955948}"/>
    <hyperlink ref="A177" r:id="rId173" display="https://open-measure.atlassian.net/wiki/spaces/DIC/pages/82870848" xr:uid="{0ADC1EC2-5EDB-428B-A104-74A4BF432438}"/>
    <hyperlink ref="A178" r:id="rId174" display="https://open-measure.atlassian.net/wiki/spaces/DIC/pages/1121878505" xr:uid="{E01D79C9-77C6-4916-9C12-AC6CB7D4E19A}"/>
    <hyperlink ref="A179" r:id="rId175" display="https://open-measure.atlassian.net/wiki/spaces/DIC/pages/1267433567/Fake+Digital+Identity" xr:uid="{C0F3CA95-E8F1-4549-9DF9-371345314007}"/>
    <hyperlink ref="A180" r:id="rId176" display="https://open-measure.atlassian.net/wiki/spaces/DIC/pages/1290141697/FAPI" xr:uid="{4707EFFF-8B56-4923-91CF-3212CB960F6D}"/>
    <hyperlink ref="A181" r:id="rId177" display="https://open-measure.atlassian.net/wiki/spaces/DIC/pages/331579598" xr:uid="{31B109C7-1578-4905-B753-5D28DE6771CF}"/>
    <hyperlink ref="A182" r:id="rId178" display="https://open-measure.atlassian.net/wiki/spaces/DIC/pages/1152483703" xr:uid="{A55E0703-C04E-4469-9957-83F1C7F3C521}"/>
    <hyperlink ref="A183" r:id="rId179" display="https://open-measure.atlassian.net/wiki/spaces/DIC/pages/75890786" xr:uid="{1A8413BD-090E-47CA-AAEA-7BCBE7B7CFD8}"/>
    <hyperlink ref="A184" r:id="rId180" display="https://open-measure.atlassian.net/wiki/spaces/DIC/pages/763035693" xr:uid="{E8CAAE3E-A356-4ED9-8E59-F129A8874542}"/>
    <hyperlink ref="A185" r:id="rId181" display="https://open-measure.atlassian.net/wiki/spaces/DIC/pages/331579618" xr:uid="{AAA590B9-29E9-46D9-AC37-14589C7AEB8D}"/>
    <hyperlink ref="A186" r:id="rId182" display="https://open-measure.atlassian.net/wiki/spaces/DIC/pages/1290207237/Financial-grade+API" xr:uid="{155BA60C-F8AB-4C59-84EF-983F2F1C3AC9}"/>
    <hyperlink ref="A187" r:id="rId183" display="https://open-measure.atlassian.net/wiki/spaces/DIC/pages/1378091043/FinTech" xr:uid="{19E358AF-6811-4FD4-BE74-A38121E5F459}"/>
    <hyperlink ref="A188" r:id="rId184" display="https://open-measure.atlassian.net/wiki/spaces/DIC/pages/438698048" xr:uid="{580DFE43-4DCB-464D-BE40-4C65716C8CFD}"/>
    <hyperlink ref="A189" r:id="rId185" display="https://open-measure.atlassian.net/wiki/spaces/DIC/pages/1223884872" xr:uid="{79AF07AA-F7F2-41E0-941F-30795D60A323}"/>
    <hyperlink ref="A190" r:id="rId186" display="https://open-measure.atlassian.net/wiki/spaces/DIC/pages/1173585921" xr:uid="{8BE268DA-C0BE-4AA3-9078-27BC9DBB485C}"/>
    <hyperlink ref="A191" r:id="rId187" display="https://open-measure.atlassian.net/wiki/spaces/DIC/pages/158794590" xr:uid="{2C106480-FD78-4C35-AE22-81EA93EC4F1F}"/>
    <hyperlink ref="A192" r:id="rId188" display="https://open-measure.atlassian.net/wiki/spaces/DIC/pages/1226833964" xr:uid="{8A84A18F-5DC7-48E3-9DC9-F4761A292FC7}"/>
    <hyperlink ref="A193" r:id="rId189" display="https://open-measure.atlassian.net/wiki/spaces/DIC/pages/419561522/Foundational+Identification+System" xr:uid="{951B7761-1C82-4720-8E6E-8B9D7BEDC6E4}"/>
    <hyperlink ref="A194" r:id="rId190" display="https://open-measure.atlassian.net/wiki/spaces/DIC/pages/148340978" xr:uid="{5079B621-FBEC-4A75-9A4C-1B31F37007AB}"/>
    <hyperlink ref="A195" r:id="rId191" display="https://open-measure.atlassian.net/wiki/spaces/DIC/pages/419528747" xr:uid="{CA902C6A-F49F-46EF-A684-1E714573EEAA}"/>
    <hyperlink ref="A196" r:id="rId192" display="https://open-measure.atlassian.net/wiki/spaces/DIC/pages/1229619254" xr:uid="{5A1000E2-3DCB-4DA7-BB42-BB6134AE70AE}"/>
    <hyperlink ref="A197" r:id="rId193" display="https://open-measure.atlassian.net/wiki/spaces/DIC/pages/1409494" xr:uid="{750B43D1-B42C-4280-AAA9-CD06E3AD9FBC}"/>
    <hyperlink ref="A198" r:id="rId194" display="https://open-measure.atlassian.net/wiki/spaces/DIC/pages/966557699" xr:uid="{1B830C34-9ABA-496B-B89B-9AAF5208E76E}"/>
    <hyperlink ref="A199" r:id="rId195" display="https://open-measure.atlassian.net/wiki/spaces/DIC/pages/1177846011" xr:uid="{A8369E87-58DC-42D8-9B8F-331720C76AC4}"/>
    <hyperlink ref="A200" r:id="rId196" display="https://open-measure.atlassian.net/wiki/spaces/DIC/pages/998047786" xr:uid="{2D7E398D-2615-46BE-BE50-B7DFC5C3FB24}"/>
    <hyperlink ref="A201" r:id="rId197" display="https://open-measure.atlassian.net/wiki/spaces/DIC/pages/998277156" xr:uid="{68D1D357-4FE9-4F1A-9520-90D6A5BD3820}"/>
    <hyperlink ref="A202" r:id="rId198" display="https://open-measure.atlassian.net/wiki/spaces/DIC/pages/1572865/IAG" xr:uid="{BF7A7A47-1703-46FA-BB5A-41C09B91026E}"/>
    <hyperlink ref="A203" r:id="rId199" display="https://open-measure.atlassian.net/wiki/spaces/DIC/pages/1081356/IAM" xr:uid="{00AE5B5C-52DD-4E72-AB00-461D3C0B72A3}"/>
    <hyperlink ref="A204" r:id="rId200" display="https://open-measure.atlassian.net/wiki/spaces/DIC/pages/1037926677" xr:uid="{383800AC-0BB7-4A12-A112-ED807469F762}"/>
    <hyperlink ref="A205" r:id="rId201" display="https://open-measure.atlassian.net/wiki/spaces/DIC/pages/82838735" xr:uid="{7BB90A22-5D39-4113-9979-E556533E602D}"/>
    <hyperlink ref="A206" r:id="rId202" display="https://open-measure.atlassian.net/wiki/spaces/DIC/pages/234487971" xr:uid="{E0D2125A-D878-4BF7-B6A1-B58E7C66904D}"/>
    <hyperlink ref="A207" r:id="rId203" display="https://open-measure.atlassian.net/wiki/spaces/DIC/pages/1149468857" xr:uid="{5F2AAF6B-3795-4C8D-AF69-166225240E25}"/>
    <hyperlink ref="A208" r:id="rId204" display="https://open-measure.atlassian.net/wiki/spaces/DIC/pages/149356545" xr:uid="{54F7F2A4-5BA0-4294-9698-C638F9546B3E}"/>
    <hyperlink ref="A209" r:id="rId205" display="https://open-measure.atlassian.net/wiki/spaces/DIC/pages/419659837" xr:uid="{3F5C3EE1-32BC-4FA4-929E-5C53754A86CA}"/>
    <hyperlink ref="A210" r:id="rId206" display="https://open-measure.atlassian.net/wiki/spaces/DIC/pages/419758113" xr:uid="{DCB2558E-B2B4-4EDD-8EE6-25DB821CBBDD}"/>
    <hyperlink ref="A211" r:id="rId207" display="https://open-measure.atlassian.net/wiki/spaces/DIC/pages/435322922" xr:uid="{C5623FE3-1D78-484F-A311-A6538D32103B}"/>
    <hyperlink ref="A212" r:id="rId208" display="https://open-measure.atlassian.net/wiki/spaces/DIC/pages/1311113273/Identifier+Registry+Model" xr:uid="{2D17B488-76CD-4A1E-80F3-F15A9FF875EE}"/>
    <hyperlink ref="A213" r:id="rId209" display="https://open-measure.atlassian.net/wiki/spaces/DIC/pages/67600948" xr:uid="{D9C010FD-EB18-422D-B504-6D7880409136}"/>
    <hyperlink ref="A214" r:id="rId210" display="https://open-measure.atlassian.net/wiki/spaces/DIC/pages/1600618542/Identity+Aggregation" xr:uid="{CE75296C-22FB-4A91-AA16-7D1316E32BDC}"/>
    <hyperlink ref="A215" r:id="rId211" display="https://open-measure.atlassian.net/wiki/spaces/DIC/pages/1458176007/Identity+and+Access+Governance" xr:uid="{AD06886A-A773-49EE-8758-D616379557C4}"/>
    <hyperlink ref="A216" r:id="rId212" display="https://open-measure.atlassian.net/wiki/spaces/DIC/pages/1409143/Identity+and+Access+Management" xr:uid="{EB1A0D05-082F-46EE-A13E-CB8FD97FA2C5}"/>
    <hyperlink ref="A230" r:id="rId213" display="https://open-measure.atlassian.net/wiki/spaces/DIC/pages/1152516217" xr:uid="{4B8CE23F-999A-4C60-9DA9-F841857ED307}"/>
    <hyperlink ref="A217" r:id="rId214" display="https://open-measure.atlassian.net/wiki/spaces/DIC/pages/1600749655/Identity+Assurance" xr:uid="{95338B3A-22FD-4985-A83E-717DB712141C}"/>
    <hyperlink ref="A218" r:id="rId215" display="https://open-measure.atlassian.net/wiki/spaces/DIC/pages/82903275" xr:uid="{5322EE65-A102-42E8-8022-60C1B6467D88}"/>
    <hyperlink ref="A231" r:id="rId216" display="https://open-measure.atlassian.net/wiki/spaces/DIC/pages/236748873" xr:uid="{D4E753C6-C30E-464C-8031-223A4B2B99F6}"/>
    <hyperlink ref="A219" r:id="rId217" display="https://open-measure.atlassian.net/wiki/spaces/DIC/pages/123896632/Identity+Establishment" xr:uid="{7E0F8A49-16E1-4605-B166-662A05CA188D}"/>
    <hyperlink ref="A220" r:id="rId218" display="https://open-measure.atlassian.net/wiki/spaces/DIC/pages/336035929/Identity+Federation" xr:uid="{AA5235C8-B8F9-4C2A-8F82-0B4BFF557C9C}"/>
    <hyperlink ref="A221" r:id="rId219" display="https://open-measure.atlassian.net/wiki/spaces/DIC/pages/1323597918/Identity+Guardian" xr:uid="{B15A5890-C446-464C-9970-86F7EDCD15E8}"/>
    <hyperlink ref="A222" r:id="rId220" display="https://open-measure.atlassian.net/wiki/spaces/DIC/pages/67600436" xr:uid="{3DFF24A5-5349-4B6D-90C7-D019DAC31525}"/>
    <hyperlink ref="A223" r:id="rId221" display="https://open-measure.atlassian.net/wiki/spaces/DIC/pages/1122533530" xr:uid="{47595697-55DD-4FF4-8333-8A126FC62FB5}"/>
    <hyperlink ref="A224" r:id="rId222" display="https://open-measure.atlassian.net/wiki/spaces/DIC/pages/1146847286" xr:uid="{D24AEEFB-0F0C-4C1B-AD23-2FDDCAFD12BB}"/>
    <hyperlink ref="A225" r:id="rId223" display="https://open-measure.atlassian.net/wiki/spaces/DIC/pages/1323434004/Identity+Portability" xr:uid="{45046EC6-8D35-40A7-962C-9BDA48203909}"/>
    <hyperlink ref="A226" r:id="rId224" display="https://open-measure.atlassian.net/wiki/spaces/DIC/pages/858522094" xr:uid="{69FED61B-D0F8-4044-9E27-86630803695F}"/>
    <hyperlink ref="A227" r:id="rId225" display="https://open-measure.atlassian.net/wiki/spaces/DIC/pages/810254353" xr:uid="{70BAC3B4-5B65-4423-91D7-B69623BD541D}"/>
    <hyperlink ref="A228" r:id="rId226" display="https://open-measure.atlassian.net/wiki/spaces/DIC/pages/82838020" xr:uid="{82925526-52B2-4288-9BBC-5ECE80B35BBE}"/>
    <hyperlink ref="A229" r:id="rId227" display="https://open-measure.atlassian.net/wiki/spaces/DIC/pages/1117913089" xr:uid="{B4DF13A9-AB43-4ADD-BD9F-434170403630}"/>
    <hyperlink ref="A232" r:id="rId228" display="https://open-measure.atlassian.net/wiki/spaces/DIC/pages/1147043904" xr:uid="{7D146273-9C1D-414C-93D9-CF9B58636EA0}"/>
    <hyperlink ref="A233" r:id="rId229" display="https://open-measure.atlassian.net/wiki/spaces/DIC/pages/81101362" xr:uid="{7F1EBC50-7A00-473F-8C2D-264BE7D95D0C}"/>
    <hyperlink ref="A234" r:id="rId230" display="https://open-measure.atlassian.net/wiki/spaces/DIC/pages/107708597" xr:uid="{09C7B23B-26CC-4AE7-A5C0-2167C0089183}"/>
    <hyperlink ref="A235" r:id="rId231" display="https://open-measure.atlassian.net/wiki/spaces/DIC/pages/46104660" xr:uid="{97802FAA-AD2F-47E9-BD01-58D7F579813F}"/>
    <hyperlink ref="A236" r:id="rId232" display="https://open-measure.atlassian.net/wiki/spaces/DIC/pages/974323719" xr:uid="{33671248-F599-478E-85E6-2EF1116FB95A}"/>
    <hyperlink ref="A237" r:id="rId233" display="https://open-measure.atlassian.net/wiki/spaces/DIC/pages/1311218" xr:uid="{BA8EC689-58FA-4A80-848A-1B966FE9BB78}"/>
    <hyperlink ref="A238" r:id="rId234" display="https://open-measure.atlassian.net/wiki/spaces/DIC/pages/49250393" xr:uid="{6EF3020A-42CE-4884-A38E-DB3D24410944}"/>
    <hyperlink ref="A239" r:id="rId235" display="https://open-measure.atlassian.net/wiki/spaces/DIC/pages/43515956" xr:uid="{4AD5CE99-B23A-4265-AEA0-5A822C289B73}"/>
    <hyperlink ref="A240" r:id="rId236" display="https://open-measure.atlassian.net/wiki/spaces/DIC/pages/11141519" xr:uid="{36FEEFAA-E69E-41EF-A22D-286BEA505294}"/>
    <hyperlink ref="A241" r:id="rId237" display="https://open-measure.atlassian.net/wiki/spaces/DIC/pages/59473923" xr:uid="{D26722C0-13FB-48D4-B525-7DB6CBFAD503}"/>
    <hyperlink ref="A242" r:id="rId238" display="https://open-measure.atlassian.net/wiki/spaces/DIC/pages/158827185" xr:uid="{85BD78DB-043E-4BD0-963F-5F3BCB027597}"/>
    <hyperlink ref="A243" r:id="rId239" display="https://open-measure.atlassian.net/wiki/spaces/DIC/pages/1027342618" xr:uid="{645D6875-7D34-4088-BEA6-562A52934780}"/>
    <hyperlink ref="A244" r:id="rId240" display="https://open-measure.atlassian.net/wiki/spaces/DIC/pages/455508212" xr:uid="{EEF928D4-6509-4733-B7E9-88E34A03316C}"/>
    <hyperlink ref="A245" r:id="rId241" display="https://open-measure.atlassian.net/wiki/spaces/DIC/pages/1004896257" xr:uid="{3FD353E1-937A-451C-8CDF-21C5EA011E5B}"/>
    <hyperlink ref="A246" r:id="rId242" display="https://open-measure.atlassian.net/wiki/spaces/DIC/pages/1177714758" xr:uid="{C277DDB4-CD7C-474A-AA9A-FF8DB643FC83}"/>
    <hyperlink ref="A247" r:id="rId243" display="https://open-measure.atlassian.net/wiki/spaces/DIC/pages/998113409" xr:uid="{312B3DC5-DCBF-4CCB-95C3-EB0B95844C5C}"/>
    <hyperlink ref="A248" r:id="rId244" display="https://open-measure.atlassian.net/wiki/spaces/DIC/pages/438698009/Information+Security+Domain" xr:uid="{F45D52A7-7D88-46D7-ACA0-FBF3714256F4}"/>
    <hyperlink ref="A249" r:id="rId245" display="https://open-measure.atlassian.net/wiki/spaces/DIC/pages/1031241830/Information+System" xr:uid="{7EE44D9C-AC8C-4984-8B28-DAFAD214FEEF}"/>
    <hyperlink ref="A250" r:id="rId246" display="https://open-measure.atlassian.net/wiki/spaces/DIC/pages/49250305" xr:uid="{51F0C9EA-AA9C-4A36-865E-F0FBD98D0E21}"/>
    <hyperlink ref="A251" r:id="rId247" display="https://open-measure.atlassian.net/wiki/spaces/DIC/pages/1477869651/Inside+Attacker" xr:uid="{B02B6B1B-D244-40EC-B322-5CE1EE8FABAC}"/>
    <hyperlink ref="A252" r:id="rId248" display="https://open-measure.atlassian.net/wiki/spaces/DIC/pages/1451884782/Insider" xr:uid="{DDC04867-8E16-4165-A22A-14ED6C0C8D69}"/>
    <hyperlink ref="A253" r:id="rId249" display="https://open-measure.atlassian.net/wiki/spaces/DIC/pages/1478459402/Insider+Attack" xr:uid="{7F8ACD00-DE98-4AD2-9869-6E9F7EB106F0}"/>
    <hyperlink ref="A254" r:id="rId250" display="https://open-measure.atlassian.net/wiki/spaces/DIC/pages/1451098397/Insider+Threat" xr:uid="{AAE175B8-A9CB-4103-819B-E6ECF844772B}"/>
    <hyperlink ref="A255" r:id="rId251" display="https://open-measure.atlassian.net/wiki/spaces/DIC/pages/822476843" xr:uid="{4CE9D2D5-3B8D-4D3B-945E-132EAD5DC6B9}"/>
    <hyperlink ref="A256" r:id="rId252" display="https://open-measure.atlassian.net/wiki/spaces/DIC/pages/998277141" xr:uid="{869E8636-3E02-4A6A-8B9C-16BEC1846C36}"/>
    <hyperlink ref="A257" r:id="rId253" display="https://open-measure.atlassian.net/wiki/spaces/DIC/pages/1311417" xr:uid="{E6F278CB-8C9B-4692-927B-F5DE4EE5E9E9}"/>
    <hyperlink ref="A258" r:id="rId254" display="https://open-measure.atlassian.net/wiki/spaces/DIC/pages/442466314" xr:uid="{0A0CA25F-123F-49EE-A04C-AEE763691FD5}"/>
    <hyperlink ref="A259" r:id="rId255" display="https://open-measure.atlassian.net/wiki/spaces/DIC/pages/11567191" xr:uid="{5EDC0D20-6C38-4520-9417-C7D39E15A820}"/>
    <hyperlink ref="A260" r:id="rId256" display="https://open-measure.atlassian.net/wiki/spaces/DIC/pages/1152483625" xr:uid="{8CEF2694-22F3-4712-816C-501BA71C422C}"/>
    <hyperlink ref="A261" r:id="rId257" display="https://open-measure.atlassian.net/wiki/spaces/DIC/pages/720902" xr:uid="{0D09E6DA-7415-4695-A0C9-25F4470E86C3}"/>
    <hyperlink ref="A262" r:id="rId258" display="https://open-measure.atlassian.net/wiki/spaces/DIC/pages/1569095803/IT+System" xr:uid="{13FE2030-C065-492D-89E0-177653F22B68}"/>
    <hyperlink ref="A263" r:id="rId259" display="https://open-measure.atlassian.net/wiki/spaces/DIC/pages/858488984" xr:uid="{1916C5FE-992C-434B-BF7E-0340D6690BE9}"/>
    <hyperlink ref="A264" r:id="rId260" display="https://open-measure.atlassian.net/wiki/spaces/DIC/pages/855506953" xr:uid="{02C1184B-157A-4AE0-95B5-2ACF0B1688B3}"/>
    <hyperlink ref="A265" r:id="rId261" display="https://open-measure.atlassian.net/wiki/spaces/DIC/pages/858456203" xr:uid="{80D2979F-E4A1-4347-9F76-CA821C4C8EDA}"/>
    <hyperlink ref="A266" r:id="rId262" display="https://open-measure.atlassian.net/wiki/spaces/DIC/pages/852492379" xr:uid="{18BF145B-3EBE-41C5-8FD0-42D0985097F1}"/>
    <hyperlink ref="A267" r:id="rId263" display="https://open-measure.atlassian.net/wiki/spaces/DIC/pages/858521641" xr:uid="{53E25D8E-1594-4607-A478-CB7C58320F94}"/>
    <hyperlink ref="A268" r:id="rId264" display="https://open-measure.atlassian.net/wiki/spaces/DIC/pages/852492338" xr:uid="{276DEA0D-841B-4F08-9887-147B9134FE86}"/>
    <hyperlink ref="A269" r:id="rId265" display="https://open-measure.atlassian.net/wiki/spaces/DIC/pages/140706011" xr:uid="{4A1FFF93-96A6-4674-99B0-B9765382B782}"/>
    <hyperlink ref="A270" r:id="rId266" display="https://open-measure.atlassian.net/wiki/spaces/DIC/pages/425623701" xr:uid="{BEAEFB7A-014C-471E-9799-305A859D8659}"/>
    <hyperlink ref="A271" r:id="rId267" display="https://open-measure.atlassian.net/wiki/spaces/DIC/pages/427163745" xr:uid="{696FCFD3-9F26-44C5-B90D-02F01809A977}"/>
    <hyperlink ref="A272" r:id="rId268" display="https://open-measure.atlassian.net/wiki/spaces/DIC/pages/442499114" xr:uid="{5E4755BC-9252-4938-87B6-60E6BEB60884}"/>
    <hyperlink ref="A273" r:id="rId269" display="https://open-measure.atlassian.net/wiki/spaces/DIC/pages/442400811" xr:uid="{27C35968-DA12-415B-86B4-C8105FF632C1}"/>
    <hyperlink ref="A274" r:id="rId270" display="https://open-measure.atlassian.net/wiki/spaces/DIC/pages/49250357" xr:uid="{9174AB2A-7FCB-4171-88FB-18D4500973F5}"/>
    <hyperlink ref="A275" r:id="rId271" display="https://open-measure.atlassian.net/wiki/spaces/DIC/pages/1177681925" xr:uid="{4775CA2E-9FD2-468B-976C-8AA37451B029}"/>
    <hyperlink ref="A276" r:id="rId272" display="https://open-measure.atlassian.net/wiki/spaces/DIC/pages/1181843548" xr:uid="{7D326EDA-3430-42F6-976E-80EC94DBA924}"/>
    <hyperlink ref="A277" r:id="rId273" display="https://open-measure.atlassian.net/wiki/spaces/DIC/pages/1177780225" xr:uid="{7FC07AAC-791E-4ADF-90FC-6276C5A93D4C}"/>
    <hyperlink ref="A278" r:id="rId274" display="https://open-measure.atlassian.net/wiki/spaces/DIC/pages/49250375" xr:uid="{E5985597-9E87-49A8-AEAF-CE6F049C64F0}"/>
    <hyperlink ref="A279" r:id="rId275" display="https://open-measure.atlassian.net/wiki/spaces/DIC/pages/1006698533" xr:uid="{620A7078-0B66-4A40-8431-09019A90E1B5}"/>
    <hyperlink ref="A280" r:id="rId276" display="https://open-measure.atlassian.net/wiki/spaces/DIC/pages/442466361" xr:uid="{16127A03-1219-4D82-A6AC-2F058DFC7AFD}"/>
    <hyperlink ref="A281" r:id="rId277" display="https://open-measure.atlassian.net/wiki/spaces/DIC/pages/1104936974" xr:uid="{5F3AB30C-01AB-42FE-9456-5196999F4B7D}"/>
    <hyperlink ref="A282" r:id="rId278" display="https://open-measure.atlassian.net/wiki/spaces/DIC/pages/442368033" xr:uid="{28075153-5D70-4C0B-85AC-1B60EF6F2F3A}"/>
    <hyperlink ref="A283" r:id="rId279" display="https://open-measure.atlassian.net/wiki/spaces/DIC/pages/442466381" xr:uid="{6FDA5766-4776-4B70-A719-4F649E5A29DA}"/>
    <hyperlink ref="A284" r:id="rId280" display="https://open-measure.atlassian.net/wiki/spaces/DIC/pages/1177845957" xr:uid="{707F0722-744F-471D-9A87-1EB45CAE7800}"/>
    <hyperlink ref="A285" r:id="rId281" display="https://open-measure.atlassian.net/wiki/spaces/DIC/pages/442400912" xr:uid="{CD272B06-0824-4CFB-98A4-122DB19BC8B1}"/>
    <hyperlink ref="A286" r:id="rId282" display="https://open-measure.atlassian.net/wiki/spaces/DIC/pages/1452048577/Logic+Bomb" xr:uid="{F9F15BCA-5E93-40E7-84E3-6C94BCFFE4FA}"/>
    <hyperlink ref="A287" r:id="rId283" display="https://open-measure.atlassian.net/wiki/spaces/DIC/pages/1440153606/Login" xr:uid="{FFD16050-292D-4624-AE95-92718FA4D0FC}"/>
    <hyperlink ref="A288" r:id="rId284" display="https://open-measure.atlassian.net/wiki/spaces/DIC/pages/1428685307/Login+ID" xr:uid="{A68C41A2-16D9-4439-AD27-9BEF79098B05}"/>
    <hyperlink ref="A289" r:id="rId285" display="https://open-measure.atlassian.net/wiki/spaces/DIC/pages/1428685365/Login+Name" xr:uid="{C3E289DA-8E2C-4933-BE20-591D4CEF1150}"/>
    <hyperlink ref="A290" r:id="rId286" display="https://open-measure.atlassian.net/wiki/spaces/DIC/pages/5900142" xr:uid="{47D05D83-6781-4260-A496-CAD4D34BBD71}"/>
    <hyperlink ref="A291" r:id="rId287" display="https://open-measure.atlassian.net/wiki/spaces/DIC/pages/5899544" xr:uid="{381D4224-ABA5-4900-8A3F-DC82FD33C0CA}"/>
    <hyperlink ref="A292" r:id="rId288" display="https://open-measure.atlassian.net/wiki/spaces/DIC/pages/1310994" xr:uid="{2D3E1EBE-8FFE-42D0-A158-981BB9EDD222}"/>
    <hyperlink ref="A293" r:id="rId289" display="https://open-measure.atlassian.net/wiki/spaces/DIC/pages/5933244" xr:uid="{165A2A92-46CF-4208-B5BC-D83C3FBB6150}"/>
    <hyperlink ref="A294" r:id="rId290" display="https://open-measure.atlassian.net/wiki/spaces/DIC/pages/11567150" xr:uid="{72D7FB1D-9734-4206-891F-81A4DE62D80D}"/>
    <hyperlink ref="A295" r:id="rId291" display="https://open-measure.atlassian.net/wiki/spaces/DIC/pages/5899260" xr:uid="{2F38F1C8-1BC9-48B6-BB51-85BDC1B7FC30}"/>
    <hyperlink ref="A296" r:id="rId292" display="https://open-measure.atlassian.net/wiki/spaces/DIC/pages/2588851" xr:uid="{84B9BBA5-E2F9-475C-934B-35F6C399B50E}"/>
    <hyperlink ref="A297" r:id="rId293" display="https://open-measure.atlassian.net/wiki/spaces/DIC/pages/67699227" xr:uid="{029166DB-3D33-468E-AC9E-2B9E584237BC}"/>
    <hyperlink ref="A298" r:id="rId294" display="https://open-measure.atlassian.net/wiki/spaces/DIC/pages/427163759" xr:uid="{94BCBE14-E1F6-4B08-A397-B3093E1A43BE}"/>
    <hyperlink ref="A299" r:id="rId295" display="https://open-measure.atlassian.net/wiki/spaces/DIC/pages/834044288" xr:uid="{DBF5ECD7-5791-4F79-A775-25C7EAAE9ACB}"/>
    <hyperlink ref="A300" r:id="rId296" display="https://open-measure.atlassian.net/wiki/spaces/DIC/pages/1311226" xr:uid="{A0BE4241-0865-4775-B5EE-819022745DA6}"/>
    <hyperlink ref="A301" r:id="rId297" display="https://open-measure.atlassian.net/wiki/spaces/DIC/pages/67633632" xr:uid="{D7F8762E-4BF6-4DC9-8125-CA7DAA8EB5F0}"/>
    <hyperlink ref="A302" r:id="rId298" display="https://open-measure.atlassian.net/wiki/spaces/DIC/pages/148439237" xr:uid="{7DCC5ACD-3AD6-45F9-8667-C166A144C4AB}"/>
    <hyperlink ref="A303" r:id="rId299" display="https://open-measure.atlassian.net/wiki/spaces/DIC/pages/43581457" xr:uid="{F8D7B830-62A5-4947-8113-29CD9D252599}"/>
    <hyperlink ref="A304" r:id="rId300" display="https://open-measure.atlassian.net/wiki/spaces/DIC/pages/75890760" xr:uid="{FD23E629-5720-47D3-B8A0-66D422E16887}"/>
    <hyperlink ref="A305" r:id="rId301" display="https://open-measure.atlassian.net/wiki/spaces/DIC/pages/1031241799" xr:uid="{3EDE7895-3BB9-4620-B74A-A68DB6CE8065}"/>
    <hyperlink ref="A306" r:id="rId302" display="https://open-measure.atlassian.net/wiki/spaces/DIC/pages/1600684160/Multiple+Accounts" xr:uid="{CDD3C104-4CD3-48F0-ADD8-D3F44C6CB5C1}"/>
    <hyperlink ref="A307" r:id="rId303" display="https://open-measure.atlassian.net/wiki/spaces/DIC/pages/998244664" xr:uid="{5FADFA90-3B65-479E-8C60-23F398107724}"/>
    <hyperlink ref="A308" r:id="rId304" display="https://open-measure.atlassian.net/wiki/spaces/DIC/pages/1474592794/Need-to-Know" xr:uid="{A89AB19F-0FD9-4A17-80CE-6CCF8E002B39}"/>
    <hyperlink ref="A309" r:id="rId305" display="https://open-measure.atlassian.net/wiki/spaces/DIC/pages/858456124" xr:uid="{18DF0580-5C3A-44A3-B8C9-BA6F77685233}"/>
    <hyperlink ref="A311" r:id="rId306" display="https://open-measure.atlassian.net/wiki/spaces/DIC/pages/6030903" xr:uid="{F084C560-3D68-4A2D-A35F-6903AB82EEC6}"/>
    <hyperlink ref="A312" r:id="rId307" display="https://open-measure.atlassian.net/wiki/spaces/DIC/pages/858554692" xr:uid="{8C926C8C-FB00-4726-AA8B-E4051112F2EF}"/>
    <hyperlink ref="A310" r:id="rId308" display="https://open-measure.atlassian.net/wiki/spaces/DIC/pages/1237483723" xr:uid="{91E41868-B5FE-4BA7-A2D6-9D3F8BD390F2}"/>
    <hyperlink ref="A313" r:id="rId309" display="https://open-measure.atlassian.net/wiki/spaces/DIC/pages/1323336029/Numerical+Identity" xr:uid="{6F6ABA4B-61AC-4FB7-9936-82308F2D4058}"/>
    <hyperlink ref="A314" r:id="rId310" display="https://open-measure.atlassian.net/wiki/spaces/DIC/pages/148308170" xr:uid="{05A950E3-68D5-4775-A3B7-0C73D70766B1}"/>
    <hyperlink ref="A315" r:id="rId311" display="https://open-measure.atlassian.net/wiki/spaces/DIC/pages/5965213" xr:uid="{5B428BCF-AB5B-40AC-B9F5-CD91E2605D5C}"/>
    <hyperlink ref="A316" r:id="rId312" display="https://open-measure.atlassian.net/wiki/spaces/DIC/pages/446825168" xr:uid="{84018CAE-173C-40B3-995A-57247FA04018}"/>
    <hyperlink ref="A317" r:id="rId313" display="https://open-measure.atlassian.net/wiki/spaces/DIC/pages/67568133" xr:uid="{30E19D2C-1EF5-4861-99A6-17FE2069960D}"/>
    <hyperlink ref="A318" r:id="rId314" display="https://open-measure.atlassian.net/wiki/spaces/DIC/pages/1376617" xr:uid="{04430D17-A3EF-44B4-9C3E-A02360C5E952}"/>
    <hyperlink ref="A319" r:id="rId315" display="https://open-measure.atlassian.net/wiki/spaces/DIC/pages/2981904" xr:uid="{0C86508E-03A4-46CE-9F2D-276895808905}"/>
    <hyperlink ref="A320" r:id="rId316" display="https://open-measure.atlassian.net/wiki/spaces/DIC/pages/11141406" xr:uid="{FDA8C8A6-70EC-46F8-83DC-10BE5343E117}"/>
    <hyperlink ref="A321" r:id="rId317" display="https://open-measure.atlassian.net/wiki/spaces/DIC/pages/998244357" xr:uid="{2099C55E-6D4A-45CC-80B9-EE8FE01B2649}"/>
    <hyperlink ref="A322" r:id="rId318" display="https://open-measure.atlassian.net/wiki/spaces/DIC/pages/1142358051" xr:uid="{BDD8D0D5-694D-4E03-B08F-FF2E4E0189F3}"/>
    <hyperlink ref="A323" r:id="rId319" display="https://open-measure.atlassian.net/wiki/spaces/DIC/pages/1142259761" xr:uid="{EDB79FCF-76AF-4EB3-A8EB-8FAEB213F982}"/>
    <hyperlink ref="A324" r:id="rId320" display="https://open-measure.atlassian.net/wiki/spaces/DIC/pages/3211353" xr:uid="{A15041D4-8F14-485F-8A22-05738BCA0A19}"/>
    <hyperlink ref="A325" r:id="rId321" display="https://open-measure.atlassian.net/wiki/spaces/DIC/pages/148439181" xr:uid="{F77BF5CE-1F32-4E27-95A5-7647FC78344A}"/>
    <hyperlink ref="A326" r:id="rId322" display="https://open-measure.atlassian.net/wiki/spaces/DIC/pages/5932838" xr:uid="{C3949D56-E7E5-48A1-AED6-E438B0B368F4}"/>
    <hyperlink ref="A327" r:id="rId323" display="https://open-measure.atlassian.net/wiki/spaces/DIC/pages/1311403" xr:uid="{F22CE9F9-F741-4B36-903A-0ED8C50C2AD4}"/>
    <hyperlink ref="A328" r:id="rId324" display="https://open-measure.atlassian.net/wiki/spaces/DIC/pages/557057" xr:uid="{C7A5D591-F12A-4A86-AFBC-0B6BEF53AF59}"/>
    <hyperlink ref="A329" r:id="rId325" display="https://open-measure.atlassian.net/wiki/spaces/DIC/pages/1061650550" xr:uid="{B26AC1DD-746D-40C7-B3DC-BACEA995A71E}"/>
    <hyperlink ref="A330" r:id="rId326" display="https://open-measure.atlassian.net/wiki/spaces/DIC/pages/1062207530/Orphan+Account" xr:uid="{9C44342A-6606-4A44-A039-9FCE16AFC750}"/>
    <hyperlink ref="A331" r:id="rId327" display="https://open-measure.atlassian.net/wiki/spaces/DIC/pages/1061748965" xr:uid="{7FEB3204-CDFC-4AF3-ADF2-9E6CD519B270}"/>
    <hyperlink ref="A332" r:id="rId328" display="https://open-measure.atlassian.net/wiki/spaces/DIC/pages/1061650653" xr:uid="{F34F5C2D-9435-4AF7-8A64-49A351E5168C}"/>
    <hyperlink ref="A333" r:id="rId329" display="https://open-measure.atlassian.net/wiki/spaces/DIC/pages/1061748925" xr:uid="{DFB67E4D-9CAB-4BF9-941B-20F0CC5367F8}"/>
    <hyperlink ref="A334" r:id="rId330" display="https://open-measure.atlassian.net/wiki/spaces/DIC/pages/1061749016" xr:uid="{CFEE446A-EC89-415C-A3F6-4BACC3F5A95C}"/>
    <hyperlink ref="A335" r:id="rId331" display="https://open-measure.atlassian.net/wiki/spaces/DIC/pages/1063845889" xr:uid="{5FEA2AD3-52F2-4741-B256-D5F70FBB9B55}"/>
    <hyperlink ref="A336" r:id="rId332" display="https://open-measure.atlassian.net/wiki/spaces/DIC/pages/1061650689" xr:uid="{C39A6F94-354B-4AA9-938F-B61D833E7788}"/>
    <hyperlink ref="A337" r:id="rId333" display="https://open-measure.atlassian.net/wiki/spaces/DIC/pages/1061748885" xr:uid="{EC25B12F-FC45-4FD2-8ACB-0D13801F6F79}"/>
    <hyperlink ref="A338" r:id="rId334" display="https://open-measure.atlassian.net/wiki/spaces/DIC/pages/49283090" xr:uid="{788D54F9-CB62-4DFC-B585-C40BEDC101F3}"/>
    <hyperlink ref="A339" r:id="rId335" display="https://open-measure.atlassian.net/wiki/spaces/DIC/pages/49315842" xr:uid="{5ED311CD-9AE4-464F-BDB2-BCD04C7F5851}"/>
    <hyperlink ref="A340" r:id="rId336" display="https://open-measure.atlassian.net/wiki/spaces/DIC/pages/1472692289/Outsider" xr:uid="{85FF8F45-D87E-429B-836E-3796526312CB}"/>
    <hyperlink ref="A341" r:id="rId337" display="https://open-measure.atlassian.net/wiki/spaces/DIC/pages/438665302" xr:uid="{3B180B46-4223-4534-8C89-EE80BFF43BA9}"/>
    <hyperlink ref="A342" r:id="rId338" display="https://open-measure.atlassian.net/wiki/spaces/DIC/pages/140673286" xr:uid="{BB18FEFE-C8EC-4383-ADC3-BBF7AC5F5282}"/>
    <hyperlink ref="A343" r:id="rId339" display="https://open-measure.atlassian.net/wiki/spaces/DIC/pages/974323764" xr:uid="{E57C1F34-881D-434D-8979-B9E5015B4BB4}"/>
    <hyperlink ref="A344" r:id="rId340" display="https://open-measure.atlassian.net/wiki/spaces/DIC/pages/1428652394/Password+Guessing+Attack" xr:uid="{23B21BB8-2C4B-4892-9B6B-BA716DDEB436}"/>
    <hyperlink ref="A347" r:id="rId341" display="https://open-measure.atlassian.net/wiki/spaces/DIC/pages/1677164566/Passwordless+Authentication" xr:uid="{90A5C3AC-AD1B-4626-89DB-392845AD0862}"/>
    <hyperlink ref="A345" r:id="rId342" display="https://open-measure.atlassian.net/wiki/spaces/DIC/pages/1027048058" xr:uid="{9EA5B3E9-BCFF-44F4-B11D-61EE8469B285}"/>
    <hyperlink ref="A346" r:id="rId343" display="https://open-measure.atlassian.net/wiki/spaces/DIC/pages/1348730921/Password+Spraying+Attack" xr:uid="{60AEBF8A-6C9F-4A77-9B9B-A71F6103A591}"/>
    <hyperlink ref="A348" r:id="rId344" display="https://open-measure.atlassian.net/wiki/spaces/DIC/pages/1409753" xr:uid="{711C898D-32D7-433B-993D-8D8564E76C3E}"/>
    <hyperlink ref="A349" r:id="rId345" display="https://open-measure.atlassian.net/wiki/spaces/DIC/pages/140707141" xr:uid="{7EC48DF6-6E4A-45BE-A91F-D4A9645D0E78}"/>
    <hyperlink ref="A350" r:id="rId346" display="https://open-measure.atlassian.net/wiki/spaces/DIC/pages/1572966" xr:uid="{F55648D4-36CD-4206-9B5D-3390F9934C75}"/>
    <hyperlink ref="A351" r:id="rId347" display="https://open-measure.atlassian.net/wiki/spaces/DIC/pages/67699129" xr:uid="{A8CDFBFC-0007-44B6-9AD5-DB393339335B}"/>
    <hyperlink ref="A352" r:id="rId348" display="https://open-measure.atlassian.net/wiki/spaces/DIC/pages/1323499709/Persona" xr:uid="{39FFB335-60DE-43D5-B8E6-AF54837C3B71}"/>
    <hyperlink ref="A353" r:id="rId349" display="https://open-measure.atlassian.net/wiki/spaces/DIC/pages/1572948" xr:uid="{484260FC-7ADF-4E6C-B54D-FA40F766AB4B}"/>
    <hyperlink ref="A354" r:id="rId350" display="https://open-measure.atlassian.net/wiki/spaces/DIC/pages/140771596" xr:uid="{ACC553BD-A995-4788-A365-3D153F6A84A6}"/>
    <hyperlink ref="A355" r:id="rId351" display="https://open-measure.atlassian.net/wiki/spaces/DIC/pages/67568272" xr:uid="{13E5DD01-D41B-45E4-8FC9-3E1AE465BDA0}"/>
    <hyperlink ref="A356" r:id="rId352" display="https://open-measure.atlassian.net/wiki/spaces/DIC/pages/1104904334" xr:uid="{37A3BA95-2378-4AED-A4AB-507A7EF7F299}"/>
    <hyperlink ref="A357" r:id="rId353" display="https://open-measure.atlassian.net/wiki/spaces/DIC/pages/1132331103" xr:uid="{B08F4A78-B4E2-46EE-8982-690FC3AC44DB}"/>
    <hyperlink ref="A358" r:id="rId354" display="https://open-measure.atlassian.net/wiki/spaces/DIC/pages/1132331086" xr:uid="{5B6B3EFF-98A7-423E-804C-451648C15282}"/>
    <hyperlink ref="A359" r:id="rId355" display="https://open-measure.atlassian.net/wiki/spaces/DIC/pages/1122631903" xr:uid="{2A65BA0F-C79E-4DBE-8BE7-8F828C620567}"/>
    <hyperlink ref="A360" r:id="rId356" display="https://open-measure.atlassian.net/wiki/spaces/DIC/pages/1105068063" xr:uid="{A44BD66F-C430-495E-99AC-B679778C5411}"/>
    <hyperlink ref="A361" r:id="rId357" display="https://open-measure.atlassian.net/wiki/spaces/DIC/pages/1130987523" xr:uid="{381FBFBA-8B04-4898-BBC8-56A8D822A508}"/>
    <hyperlink ref="A362" r:id="rId358" display="https://open-measure.atlassian.net/wiki/spaces/DIC/pages/148373776" xr:uid="{08BD45AD-C366-49CC-9A86-0A33CB55ACCF}"/>
    <hyperlink ref="A363" r:id="rId359" display="https://open-measure.atlassian.net/wiki/spaces/DIC/pages/1094549649" xr:uid="{68C4CFC9-C11E-4C43-86AB-973788D7E42C}"/>
    <hyperlink ref="A364" r:id="rId360" display="https://open-measure.atlassian.net/wiki/spaces/DIC/pages/5933189" xr:uid="{F4DD5565-8C97-4767-9CDA-F86B8E8A2149}"/>
    <hyperlink ref="A365" r:id="rId361" display="https://open-measure.atlassian.net/wiki/spaces/DIC/pages/67699046" xr:uid="{F6D4724F-928E-4173-BC52-2A9EA6589730}"/>
    <hyperlink ref="A366" r:id="rId362" display="https://open-measure.atlassian.net/wiki/spaces/DIC/pages/1323434264/Private+Key+Loss" xr:uid="{D814844B-14C4-4EF5-8541-B757FB68E58B}"/>
    <hyperlink ref="A367" r:id="rId363" display="https://open-measure.atlassian.net/wiki/spaces/DIC/pages/67568310" xr:uid="{05D07FE9-9A44-402B-94C4-1842CD06E1F1}"/>
    <hyperlink ref="A368" r:id="rId364" display="https://open-measure.atlassian.net/wiki/spaces/DIC/pages/814449037/Privilege+Abuse" xr:uid="{F5BFE2BF-4992-4E5C-9D44-EE0C110C8A75}"/>
    <hyperlink ref="A369" r:id="rId365" display="https://open-measure.atlassian.net/wiki/spaces/DIC/pages/473890861" xr:uid="{B89ED037-D969-4B1B-95D6-08EBF9BC3BEC}"/>
    <hyperlink ref="A371" r:id="rId366" display="https://open-measure.atlassian.net/wiki/spaces/DIC/pages/138346661" xr:uid="{B42D0B48-0D5D-4EDB-9F1D-3E7DE8EA591C}"/>
    <hyperlink ref="A372" r:id="rId367" display="https://open-measure.atlassian.net/wiki/spaces/DIC/pages/1477902403/Privileged+Insider" xr:uid="{145CD1D6-6EAC-4E2A-A145-611BE7630E1D}"/>
    <hyperlink ref="A370" r:id="rId368" display="https://open-measure.atlassian.net/wiki/spaces/DIC/pages/810320380" xr:uid="{0FFE7CB4-125B-44ED-B688-F16C68C14B8E}"/>
    <hyperlink ref="A373" r:id="rId369" display="https://open-measure.atlassian.net/wiki/spaces/DIC/pages/1377214" xr:uid="{2FCA87E0-78A4-47A3-946C-2958A87282D8}"/>
    <hyperlink ref="A374" r:id="rId370" display="https://open-measure.atlassian.net/wiki/spaces/DIC/pages/49250316" xr:uid="{65378E36-F0E3-4989-9168-A65AAE8B5895}"/>
    <hyperlink ref="A375" r:id="rId371" display="https://open-measure.atlassian.net/wiki/spaces/DIC/pages/858521752" xr:uid="{5F9DFDFE-FE95-4834-806A-589C9A94CA75}"/>
    <hyperlink ref="A376" r:id="rId372" display="https://open-measure.atlassian.net/wiki/spaces/DIC/pages/446955521" xr:uid="{8D253F6B-74B1-45C1-A433-FB86F1292D61}"/>
    <hyperlink ref="A377" r:id="rId373" display="https://open-measure.atlassian.net/wiki/spaces/DIC/pages/61964289" xr:uid="{697A3322-8B22-41D2-89EE-051B64D7EDC9}"/>
    <hyperlink ref="A378" r:id="rId374" display="https://open-measure.atlassian.net/wiki/spaces/DIC/pages/1677164768/QR+Code+Authentication" xr:uid="{811D24BE-0560-4AB3-9326-020AF7BB65DB}"/>
    <hyperlink ref="A379" r:id="rId375" display="https://open-measure.atlassian.net/wiki/spaces/DIC/pages/140706128" xr:uid="{8E99369D-E1DD-4D49-9084-4C0746CF0585}"/>
    <hyperlink ref="A380" r:id="rId376" display="https://open-measure.atlassian.net/wiki/spaces/DIC/pages/1323598109/Qualitative+Identity" xr:uid="{ABB6A794-BD74-4F39-86CA-F20E2B024641}"/>
    <hyperlink ref="A381" r:id="rId377" display="https://open-measure.atlassian.net/wiki/spaces/DIC/pages/1442240" xr:uid="{C397D27C-0DA1-4CB7-AF4C-EA6CB37A8861}"/>
    <hyperlink ref="A382" r:id="rId378" display="https://open-measure.atlassian.net/wiki/spaces/DIC/pages/148308223" xr:uid="{9EC351CC-E49A-4B8B-A9C9-2F860084A52D}"/>
    <hyperlink ref="A383" r:id="rId379" display="https://open-measure.atlassian.net/wiki/spaces/DIC/pages/6030426" xr:uid="{8ADAD9CA-8A5E-45DA-94E9-B439A6DFA647}"/>
    <hyperlink ref="A384" r:id="rId380" display="https://open-measure.atlassian.net/wiki/spaces/DIC/pages/82903928" xr:uid="{3EFD975F-9E88-4577-A719-50B2E4384AD0}"/>
    <hyperlink ref="A385" r:id="rId381" display="https://open-measure.atlassian.net/wiki/spaces/DIC/pages/11567198" xr:uid="{CB649CB2-2875-4093-988F-0D89E3B31CDA}"/>
    <hyperlink ref="A386" r:id="rId382" display="https://open-measure.atlassian.net/wiki/spaces/DIC/pages/408944908" xr:uid="{24BB6390-5420-47F9-A375-B616C2B5F7F9}"/>
    <hyperlink ref="A387" r:id="rId383" display="https://open-measure.atlassian.net/wiki/spaces/DIC/pages/873201665" xr:uid="{889A867E-5035-4AE4-9C84-4B585D36A4BD}"/>
    <hyperlink ref="A388" r:id="rId384" display="https://open-measure.atlassian.net/wiki/spaces/DIC/pages/107840129" xr:uid="{F0FCCA9E-40C0-4A51-A3B6-F47AC7C2D5D2}"/>
    <hyperlink ref="A389" r:id="rId385" display="https://open-measure.atlassian.net/wiki/spaces/DIC/pages/123962234" xr:uid="{36CAF03D-26F5-4CB9-B552-DA00F4073961}"/>
    <hyperlink ref="A390" r:id="rId386" display="https://open-measure.atlassian.net/wiki/spaces/DIC/pages/82870985" xr:uid="{254DA5AA-EA7F-4E37-8B47-DF39FE06C1F5}"/>
    <hyperlink ref="A391" r:id="rId387" display="https://open-measure.atlassian.net/wiki/spaces/DIC/pages/858521682" xr:uid="{B3D1BFFD-AC49-4E43-BB24-E1E980AC2F9F}"/>
    <hyperlink ref="A392" r:id="rId388" display="https://open-measure.atlassian.net/wiki/spaces/DIC/pages/67699423" xr:uid="{C7859313-6F3F-4AAD-B404-2B98AAA6939A}"/>
    <hyperlink ref="A393" r:id="rId389" display="https://open-measure.atlassian.net/wiki/spaces/DIC/pages/427130881" xr:uid="{C225AFCF-D455-4B1B-B6C6-26A0C5461B8B}"/>
    <hyperlink ref="A394" r:id="rId390" display="https://open-measure.atlassian.net/wiki/spaces/DIC/pages/2589003" xr:uid="{20F8D8AC-FA3B-4BDA-93A7-1012BB0AAA6D}"/>
    <hyperlink ref="A395" r:id="rId391" display="https://open-measure.atlassian.net/wiki/spaces/DIC/pages/11141464" xr:uid="{24D55E3E-98E6-45EC-BEFC-CE69913A8294}"/>
    <hyperlink ref="A396" r:id="rId392" display="https://open-measure.atlassian.net/wiki/spaces/DIC/pages/2588994" xr:uid="{EB98DF86-D87D-4B80-A725-20FD3276BCDA}"/>
    <hyperlink ref="A397" r:id="rId393" display="https://open-measure.atlassian.net/wiki/spaces/DIC/pages/67698769" xr:uid="{80F4D4E7-CACC-471E-9B49-4629F6FF282B}"/>
    <hyperlink ref="A398" r:id="rId394" display="https://open-measure.atlassian.net/wiki/spaces/DIC/pages/425623561" xr:uid="{3BA10F2D-3FA5-4017-AEAD-681BA81E06A6}"/>
    <hyperlink ref="A399" r:id="rId395" display="https://open-measure.atlassian.net/wiki/spaces/DIC/pages/795836567" xr:uid="{9F3C97A2-31A2-4005-B306-5437E803140C}"/>
    <hyperlink ref="A400" r:id="rId396" display="https://open-measure.atlassian.net/wiki/spaces/DIC/pages/86442069" xr:uid="{D7B09F9C-7E41-467C-A7A3-603E8D2B3C09}"/>
    <hyperlink ref="A407" r:id="rId397" display="https://open-measure.atlassian.net/wiki/spaces/DIC/pages/1122566198" xr:uid="{8C14A87D-4569-4334-ADB7-21A9E3D0F8D6}"/>
    <hyperlink ref="A401" r:id="rId398" display="https://open-measure.atlassian.net/wiki/spaces/DIC/pages/814514401" xr:uid="{1086474B-132E-470B-8B87-0AD75F2C8824}"/>
    <hyperlink ref="A402" r:id="rId399" display="https://open-measure.atlassian.net/wiki/spaces/DIC/pages/1164902443" xr:uid="{38410CB8-E138-42F8-825C-1CF2BE11B76D}"/>
    <hyperlink ref="A403" r:id="rId400" display="https://open-measure.atlassian.net/wiki/spaces/DIC/pages/1164869655" xr:uid="{041B848A-FDDE-4E9F-B71A-7C91A08DD464}"/>
    <hyperlink ref="A404" r:id="rId401" display="https://open-measure.atlassian.net/wiki/spaces/DIC/pages/1164902498" xr:uid="{608A9AD7-FFEA-40D3-BCE2-555CF35666B0}"/>
    <hyperlink ref="A405" r:id="rId402" display="https://open-measure.atlassian.net/wiki/spaces/DIC/pages/1152483772" xr:uid="{0879C09A-295B-4C6A-B531-B0A3BF800BD9}"/>
    <hyperlink ref="A406" r:id="rId403" display="https://open-measure.atlassian.net/wiki/spaces/DIC/pages/1130921985" xr:uid="{8F339E77-1A36-496D-8E02-2211B5DFBFE0}"/>
    <hyperlink ref="A408" r:id="rId404" display="https://open-measure.atlassian.net/wiki/spaces/DIC/pages/82903488" xr:uid="{4B851582-8196-4F9D-846D-9FB049444600}"/>
    <hyperlink ref="A409" r:id="rId405" display="https://open-measure.atlassian.net/wiki/spaces/DIC/pages/140739068/SAM+Database" xr:uid="{C33AFB60-2587-4603-B871-DBF475F5410F}"/>
    <hyperlink ref="A410" r:id="rId406" display="https://open-measure.atlassian.net/wiki/spaces/DIC/pages/1428586729/SAML" xr:uid="{DFE71794-833B-4B0E-BBE0-FDA2B41B95A4}"/>
    <hyperlink ref="A411" r:id="rId407" display="https://open-measure.atlassian.net/wiki/spaces/DIC/pages/5899940" xr:uid="{B625881F-1ACD-47E5-BABF-A00A87D097D9}"/>
    <hyperlink ref="A412" r:id="rId408" display="https://open-measure.atlassian.net/wiki/spaces/DIC/pages/206307343" xr:uid="{10AEDE90-85A3-48EB-95FB-A5043DDEAD7F}"/>
    <hyperlink ref="A413" r:id="rId409" display="https://open-measure.atlassian.net/wiki/spaces/DIC/pages/206372879" xr:uid="{266C8C51-CA63-4D0E-97C1-5FF4CAA71E5C}"/>
    <hyperlink ref="A414" r:id="rId410" display="https://open-measure.atlassian.net/wiki/spaces/DIC/pages/206307350" xr:uid="{41039313-F409-478B-B3C3-1838575B5131}"/>
    <hyperlink ref="A415" r:id="rId411" display="https://open-measure.atlassian.net/wiki/spaces/DIC/pages/206307373" xr:uid="{DD438944-098C-4E05-8827-1FF4E1AA1F4D}"/>
    <hyperlink ref="A416" r:id="rId412" display="https://open-measure.atlassian.net/wiki/spaces/DIC/pages/1376383" xr:uid="{227350AC-81C0-4EB4-B45F-564D9FEF945F}"/>
    <hyperlink ref="A417" r:id="rId413" display="https://open-measure.atlassian.net/wiki/spaces/DIC/pages/5931115" xr:uid="{1497873A-81C0-40EF-89DD-323C0CEDF90B}"/>
    <hyperlink ref="A418" r:id="rId414" display="https://open-measure.atlassian.net/wiki/spaces/DIC/pages/234356901" xr:uid="{9FA605F5-AA78-464E-B8DD-CDD22F64111C}"/>
    <hyperlink ref="A419" r:id="rId415" display="https://open-measure.atlassian.net/wiki/spaces/DIC/pages/1142390785" xr:uid="{B3BF5220-E4E3-4946-AE70-F4A3AD494321}"/>
    <hyperlink ref="A420" r:id="rId416" display="https://open-measure.atlassian.net/wiki/spaces/DIC/pages/1230831633" xr:uid="{B98349DB-380D-453B-9DAD-65B2ACC8269A}"/>
    <hyperlink ref="A421" r:id="rId417" display="https://open-measure.atlassian.net/wiki/spaces/DIC/pages/1231159321" xr:uid="{E01E9C0A-3EA6-4B26-A358-D8A6DB037856}"/>
    <hyperlink ref="A422" r:id="rId418" display="https://open-measure.atlassian.net/wiki/spaces/DIC/pages/140673497" xr:uid="{046A385A-5D40-4069-BC03-7CF6EA01A90D}"/>
    <hyperlink ref="A423" r:id="rId419" display="https://open-measure.atlassian.net/wiki/spaces/DIC/pages/1428619445/Security+Assertion+Markup+Language" xr:uid="{3C725A2C-38BE-4BBC-ABFA-E80AA1923095}"/>
    <hyperlink ref="A424" r:id="rId420" display="https://open-measure.atlassian.net/wiki/spaces/DIC/pages/1177747653" xr:uid="{DAC2F39F-AF97-43E6-BF8F-389EF5336BF8}"/>
    <hyperlink ref="A425" r:id="rId421" display="https://open-measure.atlassian.net/wiki/spaces/DIC/pages/1181843719" xr:uid="{AA5D232A-08BD-4ECE-815C-B2846E59D2CB}"/>
    <hyperlink ref="A426" r:id="rId422" display="https://open-measure.atlassian.net/wiki/spaces/DIC/pages/1177747630" xr:uid="{AE30C4E3-866B-406B-92E2-405A99924941}"/>
    <hyperlink ref="A427" r:id="rId423" display="https://open-measure.atlassian.net/wiki/spaces/DIC/pages/1071185955" xr:uid="{45BDE673-30B0-4293-9A81-896A8C01A984}"/>
    <hyperlink ref="A428" r:id="rId424" display="https://open-measure.atlassian.net/wiki/spaces/DIC/pages/446955653/Self-Sovereign+Identity" xr:uid="{D9DA8477-8083-4639-BA11-8B1AEBFED67B}"/>
    <hyperlink ref="A429" r:id="rId425" display="https://open-measure.atlassian.net/wiki/spaces/DIC/pages/6029526" xr:uid="{FB806C1E-FDB0-48D6-B5EE-BA44B81C4C1D}"/>
    <hyperlink ref="A430" r:id="rId426" display="https://open-measure.atlassian.net/wiki/spaces/DIC/pages/805142555" xr:uid="{770A04BB-651B-4C17-B08D-5D3DF3723E7B}"/>
    <hyperlink ref="A431" r:id="rId427" display="https://open-measure.atlassian.net/wiki/spaces/DIC/pages/1313538143/Service-Centric+Identity+Management+System" xr:uid="{AD292EB2-BDF7-49F9-BBD8-DE2E1689C336}"/>
    <hyperlink ref="A432" r:id="rId428" display="https://open-measure.atlassian.net/wiki/spaces/DIC/pages/881197061" xr:uid="{DCD54FBC-42B5-4CA3-92B4-4232575A84BA}"/>
    <hyperlink ref="A433" r:id="rId429" display="https://open-measure.atlassian.net/wiki/spaces/DIC/pages/78741548" xr:uid="{F4DDE8A0-07B9-42DE-9A2B-CA33B7F1B938}"/>
    <hyperlink ref="A434" r:id="rId430" display="https://open-measure.atlassian.net/wiki/spaces/DIC/pages/75956255" xr:uid="{0B361F61-E617-47FB-92A2-430250335B76}"/>
    <hyperlink ref="A435" r:id="rId431" display="https://open-measure.atlassian.net/wiki/spaces/DIC/pages/1600684200/Social+Authentication" xr:uid="{B5758B8A-2127-4956-B4DB-564BF45F405C}"/>
    <hyperlink ref="A436" r:id="rId432" display="https://open-measure.atlassian.net/wiki/spaces/DIC/pages/1270055026/Social+Honeypot" xr:uid="{B39C6A59-6BEC-47FE-B742-1C007D87874B}"/>
    <hyperlink ref="A437" r:id="rId433" display="https://open-measure.atlassian.net/wiki/spaces/DIC/pages/1071317018" xr:uid="{81417142-EA32-4351-A624-D141CD76C262}"/>
    <hyperlink ref="A438" r:id="rId434" display="https://open-measure.atlassian.net/wiki/spaces/DIC/pages/234487981" xr:uid="{91F3C353-B40A-4005-9DE6-07093B58585A}"/>
    <hyperlink ref="A439" r:id="rId435" display="https://open-measure.atlassian.net/wiki/spaces/DIC/pages/1142292486" xr:uid="{06BEE1B5-E3E1-470A-83E3-FDDB129C43D1}"/>
    <hyperlink ref="A440" r:id="rId436" display="https://open-measure.atlassian.net/wiki/spaces/DIC/pages/1605648" xr:uid="{E4340CF7-E1AD-41FD-BBE8-5001A3A25702}"/>
    <hyperlink ref="A441" r:id="rId437" display="https://open-measure.atlassian.net/wiki/spaces/DIC/pages/1027342899" xr:uid="{873ED58E-8C1D-4D5E-8D5C-8F16D90D42D5}"/>
    <hyperlink ref="A442" r:id="rId438" display="https://open-measure.atlassian.net/wiki/spaces/DIC/pages/1311113221/SSI" xr:uid="{D2F1770A-A68C-4FCF-A5C8-58A240B67930}"/>
    <hyperlink ref="A443" r:id="rId439" display="https://open-measure.atlassian.net/wiki/spaces/DIC/pages/75956237" xr:uid="{0514E924-FD4B-426B-9DF4-76FA6D709358}"/>
    <hyperlink ref="A444" r:id="rId440" display="https://open-measure.atlassian.net/wiki/spaces/DIC/pages/998244645" xr:uid="{BEFFBD1C-CB53-406E-957D-A1A0E7AFBE43}"/>
    <hyperlink ref="A445" r:id="rId441" display="https://open-measure.atlassian.net/wiki/spaces/DIC/pages/1311763" xr:uid="{E35AF49D-1FCB-4030-85F9-D1DD73C654B2}"/>
    <hyperlink ref="A446" r:id="rId442" display="https://open-measure.atlassian.net/wiki/spaces/DIC/pages/663257097/Step-Up+Authentication" xr:uid="{580613C9-E5B4-4A8C-9F74-A6F1AC8C4D9D}"/>
    <hyperlink ref="A447" r:id="rId443" display="https://open-measure.atlassian.net/wiki/spaces/DIC/pages/1540175" xr:uid="{B586439A-064B-41D7-AB14-230B9475DBCE}"/>
    <hyperlink ref="A448" r:id="rId444" display="https://open-measure.atlassian.net/wiki/spaces/DIC/pages/1181909085" xr:uid="{6A2368DF-1584-4F11-89BA-292F838CACC1}"/>
    <hyperlink ref="A449" r:id="rId445" display="https://open-measure.atlassian.net/wiki/spaces/DIC/pages/81199126" xr:uid="{1655B890-2AFC-40AC-98D7-03D359A53F08}"/>
    <hyperlink ref="A450" r:id="rId446" display="https://open-measure.atlassian.net/wiki/spaces/DIC/pages/1177747756" xr:uid="{0C835897-C506-4C8B-91F7-39BF1516DD63}"/>
    <hyperlink ref="A451" r:id="rId447" display="https://open-measure.atlassian.net/wiki/spaces/DIC/pages/67600697" xr:uid="{27A20032-A591-475E-A4DA-C5996C3C1E60}"/>
    <hyperlink ref="A452" r:id="rId448" display="https://open-measure.atlassian.net/wiki/spaces/DIC/pages/2981920" xr:uid="{99B9DD78-46BF-49B2-B10C-0FD1591088CE}"/>
    <hyperlink ref="A453" r:id="rId449" display="https://open-measure.atlassian.net/wiki/spaces/DIC/pages/1477869640/Supply+Chain+Attack" xr:uid="{2DCD952F-5425-476E-964E-E44DB15B99A1}"/>
    <hyperlink ref="A454" r:id="rId450" display="https://open-measure.atlassian.net/wiki/spaces/DIC/pages/1254588545/Sybil+Attack" xr:uid="{EB7A6339-AC13-411C-BBAC-DA85B6138474}"/>
    <hyperlink ref="A455" r:id="rId451" display="https://open-measure.atlassian.net/wiki/spaces/DIC/pages/794296433" xr:uid="{8F7AED10-7A13-41C1-A662-3AE062019396}"/>
    <hyperlink ref="A456" r:id="rId452" display="https://open-measure.atlassian.net/wiki/spaces/DIC/pages/5965562/System" xr:uid="{AAFF46D7-9563-48C1-8FD2-E6CED43669F4}"/>
    <hyperlink ref="A457" r:id="rId453" display="https://open-measure.atlassian.net/wiki/spaces/DIC/pages/446824644/System+Boundaries" xr:uid="{96C38054-2CCC-4AF1-AE5C-A393AC0C2BF2}"/>
    <hyperlink ref="A458" r:id="rId454" display="https://open-measure.atlassian.net/wiki/spaces/DIC/pages/206372869" xr:uid="{61CEA5D2-860F-4554-A5E7-389A2FA9F53C}"/>
    <hyperlink ref="A459" r:id="rId455" display="https://open-measure.atlassian.net/wiki/spaces/DIC/pages/1004961963" xr:uid="{06ADDF04-77CF-47DF-A409-F58D6A44E8B5}"/>
    <hyperlink ref="A460" r:id="rId456" display="https://open-measure.atlassian.net/wiki/spaces/DIC/pages/1226571890" xr:uid="{9ECC02C8-397B-4C6F-AA96-8210DB14473D}"/>
    <hyperlink ref="A461" r:id="rId457" display="https://open-measure.atlassian.net/wiki/spaces/DIC/pages/1122631693" xr:uid="{AC6F8BE1-45A4-45C8-A1A4-0FC605E55553}"/>
    <hyperlink ref="A462" r:id="rId458" display="https://open-measure.atlassian.net/wiki/spaces/DIC/pages/148373634" xr:uid="{CA09C3FD-F199-498B-BE19-BD7105600B52}"/>
    <hyperlink ref="A463" r:id="rId459" display="https://open-measure.atlassian.net/wiki/spaces/DIC/pages/148340845" xr:uid="{0270C6DA-FA1A-422E-BAD1-C4A356F223B4}"/>
    <hyperlink ref="A464" r:id="rId460" display="https://open-measure.atlassian.net/wiki/spaces/DIC/pages/140706175" xr:uid="{6BA26816-ABDE-4405-B13B-BE6548625546}"/>
    <hyperlink ref="A465" r:id="rId461" display="https://open-measure.atlassian.net/wiki/spaces/DIC/pages/158794291" xr:uid="{91117087-F452-41BD-86F2-EAC0A96B1789}"/>
    <hyperlink ref="A466" r:id="rId462" display="https://open-measure.atlassian.net/wiki/spaces/DIC/pages/1061617735" xr:uid="{560CF353-0228-47F9-8311-40482B27A08F}"/>
    <hyperlink ref="A467" r:id="rId463" display="https://open-measure.atlassian.net/wiki/spaces/DIC/pages/158728598" xr:uid="{99C7DA67-B9BD-49A0-AE7E-4291EAFB648A}"/>
    <hyperlink ref="A468" r:id="rId464" display="https://open-measure.atlassian.net/wiki/spaces/DIC/pages/1130954862" xr:uid="{7D5CC357-1306-4EB8-8062-4BD42D5F609A}"/>
    <hyperlink ref="A469" r:id="rId465" display="https://open-measure.atlassian.net/wiki/spaces/DIC/pages/360467" xr:uid="{CADD35D1-BEE9-45B6-8737-6A97875B3346}"/>
    <hyperlink ref="A470" r:id="rId466" display="https://open-measure.atlassian.net/wiki/spaces/DIC/pages/1237582070/Tranquil" xr:uid="{3503C23E-4ED1-4262-9967-771900113D94}"/>
    <hyperlink ref="A471" r:id="rId467" display="https://open-measure.atlassian.net/wiki/spaces/DIC/pages/1237483759" xr:uid="{27449584-2D47-490B-8B45-A1CAD7C0CEB7}"/>
    <hyperlink ref="A472" r:id="rId468" display="https://open-measure.atlassian.net/wiki/spaces/DIC/pages/1181876587" xr:uid="{9ADBDDF0-A6ED-4342-A28B-99070689DAB7}"/>
    <hyperlink ref="A473" r:id="rId469" display="https://open-measure.atlassian.net/wiki/spaces/DIC/pages/1037926452/Trust" xr:uid="{ACF19BA2-1D66-4894-BB8B-EDE4FE740956}"/>
    <hyperlink ref="A474" r:id="rId470" display="https://open-measure.atlassian.net/wiki/spaces/DIC/pages/1027048185" xr:uid="{F7C4B9AE-4607-467C-8731-057F4D52BCB8}"/>
    <hyperlink ref="A475" r:id="rId471" display="https://open-measure.atlassian.net/wiki/spaces/DIC/pages/1027048128" xr:uid="{0318D4BC-883F-4D82-826E-86B017CC9129}"/>
    <hyperlink ref="A476" r:id="rId472" display="https://open-measure.atlassian.net/wiki/spaces/DIC/pages/1027048209" xr:uid="{297B2888-C8C5-48F4-9715-8D8B87196DD0}"/>
    <hyperlink ref="A477" r:id="rId473" display="https://open-measure.atlassian.net/wiki/spaces/DIC/pages/1031242345" xr:uid="{6CCD6A33-0C4C-4FCA-9B85-E9D8D50FA3D4}"/>
    <hyperlink ref="A478" r:id="rId474" display="https://open-measure.atlassian.net/wiki/spaces/DIC/pages/140705998" xr:uid="{C54F5C35-F0A2-42CD-8FA8-3A3E24FBAD6E}"/>
    <hyperlink ref="A479" r:id="rId475" display="https://open-measure.atlassian.net/wiki/spaces/DIC/pages/1417084929/Typing+Biometrics" xr:uid="{ECBEAED1-0160-4EE7-9676-1CA5DAA6C192}"/>
    <hyperlink ref="A480" r:id="rId476" display="https://open-measure.atlassian.net/wiki/spaces/DIC/pages/140673267" xr:uid="{C9B12D0D-FEA7-49EC-AC83-4B138B25E07D}"/>
    <hyperlink ref="A481" r:id="rId477" display="https://open-measure.atlassian.net/wiki/spaces/DIC/pages/1027080193/Unanticipated+User" xr:uid="{0133F962-9C12-4E65-906D-2EBD52FDCD52}"/>
    <hyperlink ref="A482" r:id="rId478" display="https://open-measure.atlassian.net/wiki/spaces/DIC/pages/1231126540/Unauthorized+Access" xr:uid="{DF00A998-72E3-4933-98E7-B5CB1CA598A0}"/>
    <hyperlink ref="A483" r:id="rId479" display="https://open-measure.atlassian.net/wiki/spaces/DIC/pages/446955662/Unique+ID+Number" xr:uid="{B20B35F3-7027-44D0-B9D2-5C285DE49887}"/>
    <hyperlink ref="A484" r:id="rId480" display="https://open-measure.atlassian.net/wiki/spaces/DIC/pages/2523320/Unit+of+measurement" xr:uid="{B914DE1A-41B3-4D07-A610-FAC5E20E9760}"/>
    <hyperlink ref="A485" r:id="rId481" display="https://open-measure.atlassian.net/wiki/spaces/DIC/pages/1477902414/Unprivileged+Insider" xr:uid="{1BB055FC-8451-43E9-B2B9-09635A28EFBC}"/>
    <hyperlink ref="A486" r:id="rId482" display="https://open-measure.atlassian.net/wiki/spaces/DIC/pages/82839586/User" xr:uid="{ED332AA7-0DC7-4D2A-84D6-6A8CC90FE60B}"/>
    <hyperlink ref="A487" r:id="rId483" display="https://open-measure.atlassian.net/wiki/spaces/DIC/pages/1428587273/User+Account" xr:uid="{6F3615BC-F6C2-47FB-87D7-9BFF1CACFD46}"/>
    <hyperlink ref="A492" r:id="rId484" display="https://open-measure.atlassian.net/wiki/spaces/DIC/pages/1323597878/User-Centric+Identity+Management+System" xr:uid="{422D91DB-E242-4ED3-B7A8-B41D3A0D83A4}"/>
    <hyperlink ref="A488" r:id="rId485" display="https://open-measure.atlassian.net/wiki/spaces/DIC/pages/1146847344/User+De-Provisioning" xr:uid="{E6286229-8F9A-483F-BBE3-599DF5153E28}"/>
    <hyperlink ref="A489" r:id="rId486" display="https://open-measure.atlassian.net/wiki/spaces/DIC/pages/1121878257" xr:uid="{D9A5380D-45C6-4BF5-8867-736559897551}"/>
    <hyperlink ref="A490" r:id="rId487" display="https://open-measure.atlassian.net/wiki/spaces/DIC/pages/1428652448/User+ID" xr:uid="{98FC0A9E-2C04-443D-B84B-8C85F3F884B2}"/>
    <hyperlink ref="A493" r:id="rId488" display="https://open-measure.atlassian.net/wiki/spaces/DIC/pages/1428652183/Username" xr:uid="{00A6E27A-CACB-4234-B791-76BF9A7ECBCF}"/>
    <hyperlink ref="A491" r:id="rId489" display="https://open-measure.atlassian.net/wiki/spaces/DIC/pages/1147043973/User+Provisioning" xr:uid="{E45EB57A-AB06-4C44-AE36-148BF8AA746F}"/>
    <hyperlink ref="A494" r:id="rId490" display="https://open-measure.atlassian.net/wiki/spaces/DIC/pages/1311146179/Verifiable+Claim" xr:uid="{501CCD0A-4857-4D48-A1D0-6AAE2AEFE263}"/>
    <hyperlink ref="A495" r:id="rId491" display="https://open-measure.atlassian.net/wiki/spaces/DIC/pages/446988510/Verification" xr:uid="{B99E9B2A-22A2-4D5A-A1D1-9477D3847A94}"/>
    <hyperlink ref="A496" r:id="rId492" display="https://open-measure.atlassian.net/wiki/spaces/DIC/pages/834044330" xr:uid="{E69944FD-387E-4AD5-80B3-8E58971FE040}"/>
    <hyperlink ref="A497" r:id="rId493" display="https://open-measure.atlassian.net/wiki/spaces/DIC/pages/236748839" xr:uid="{3A856D0A-6B80-452C-8845-78F5C560AD4B}"/>
    <hyperlink ref="A498" r:id="rId494" display="https://open-measure.atlassian.net/wiki/spaces/DIC/pages/542146561" xr:uid="{988A2A61-C08A-4C4C-93AD-808163B21E51}"/>
    <hyperlink ref="A499" r:id="rId495" display="https://open-measure.atlassian.net/wiki/spaces/DIC/pages/234389605" xr:uid="{4E5A6FDC-C7EC-4BD2-A227-149BDF634F35}"/>
    <hyperlink ref="A500" r:id="rId496" display="https://open-measure.atlassian.net/wiki/spaces/DIC/pages/81068120" xr:uid="{4F7597AC-EDDB-46B8-B437-5761A2C2B941}"/>
    <hyperlink ref="A501" r:id="rId497" display="https://open-measure.atlassian.net/wiki/spaces/DIC/pages/1177845999" xr:uid="{C27272D8-025B-4EFF-AA66-C51895B51D62}"/>
    <hyperlink ref="A502" r:id="rId498" display="https://open-measure.atlassian.net/wiki/spaces/DIC/pages/75923587" xr:uid="{A19F6CB7-7E52-48E0-AB97-13B312352642}"/>
    <hyperlink ref="A503" r:id="rId499" display="https://open-measure.atlassian.net/wiki/spaces/DIC/pages/140673566" xr:uid="{FD3CDE6F-5A89-49E7-A8F2-7D915C5BD4E5}"/>
    <hyperlink ref="A506" r:id="rId500" display="https://open-measure.atlassian.net/wiki/spaces/DIC/pages/140739482" xr:uid="{753E6FCB-7F40-4633-80D4-18B25325C013}"/>
    <hyperlink ref="A504" r:id="rId501" display="https://open-measure.atlassian.net/wiki/spaces/DIC/pages/140739507" xr:uid="{3103A70A-4A7D-4F2A-9F83-73E1DB7F2F48}"/>
    <hyperlink ref="A505" r:id="rId502" display="https://open-measure.atlassian.net/wiki/spaces/DIC/pages/140673594" xr:uid="{19041BAB-B0B2-441C-B3EB-B643B92A1F0B}"/>
    <hyperlink ref="A507" r:id="rId503" display="https://open-measure.atlassian.net/wiki/spaces/DIC/pages/140673653" xr:uid="{40C4695F-44A0-4571-B0C2-D17BA2844A59}"/>
    <hyperlink ref="A508" r:id="rId504" display="https://open-measure.atlassian.net/wiki/spaces/DIC/pages/140771901" xr:uid="{2F615481-E44B-49E4-A309-9909D5B08271}"/>
    <hyperlink ref="A509" r:id="rId505" display="https://open-measure.atlassian.net/wiki/spaces/DIC/pages/140772047" xr:uid="{ACBBE00B-5035-4574-82CC-E530438D6BC9}"/>
    <hyperlink ref="A510" r:id="rId506" display="https://open-measure.atlassian.net/wiki/spaces/DIC/pages/140739277" xr:uid="{EF9D286C-C587-4622-BB33-E68E6758E240}"/>
    <hyperlink ref="A511" r:id="rId507" display="https://open-measure.atlassian.net/wiki/spaces/DIC/pages/140673818" xr:uid="{678413DF-B9C6-40EB-8188-5FD891F43EF4}"/>
    <hyperlink ref="A512" r:id="rId508" display="https://open-measure.atlassian.net/wiki/spaces/DIC/pages/140772011" xr:uid="{B25736E1-F23F-474F-994E-60EF1AFEC578}"/>
    <hyperlink ref="A513" r:id="rId509" display="https://open-measure.atlassian.net/wiki/spaces/DIC/pages/140706624" xr:uid="{D5555026-D748-4073-A0C7-8520B55CA7C3}"/>
    <hyperlink ref="A514" r:id="rId510" display="https://open-measure.atlassian.net/wiki/spaces/DIC/pages/140706700" xr:uid="{64C1D62E-E979-4A98-87AB-27B84823A8A9}"/>
    <hyperlink ref="A515" r:id="rId511" display="https://open-measure.atlassian.net/wiki/spaces/DIC/pages/855638141" xr:uid="{8259BE83-49F3-4AF9-BBA1-1908FEB09AF4}"/>
    <hyperlink ref="A516" r:id="rId512" display="https://open-measure.atlassian.net/wiki/spaces/DIC/pages/814448722" xr:uid="{B232E99D-80C0-4CCA-94CE-4083E5AAE8D2}"/>
    <hyperlink ref="A517" r:id="rId513" display="https://open-measure.atlassian.net/wiki/spaces/DIC/pages/852492409" xr:uid="{2EA435CF-270C-40AB-BA59-418C041FA25C}"/>
    <hyperlink ref="A518" r:id="rId514" display="https://open-measure.atlassian.net/wiki/spaces/DIC/pages/1122631791" xr:uid="{0172DA44-7596-436F-AC67-88A77CB900D3}"/>
    <hyperlink ref="A519" r:id="rId515" display="https://open-measure.atlassian.net/wiki/spaces/DIC/pages/234356891/Zero-Trust+Access" xr:uid="{ED50D094-8300-47AA-B789-85E142FF8262}"/>
    <hyperlink ref="A520" r:id="rId516" display="https://open-measure.atlassian.net/wiki/spaces/DIC/pages/782893195/Zombie+Account" xr:uid="{A9BC4AB3-C087-4F3B-A0DA-56822005B6F4}"/>
    <hyperlink ref="A521" r:id="rId517" display="https://open-measure.atlassian.net/wiki/spaces/DIC/pages/234389671/ZTA" xr:uid="{1FEBEF58-7467-45A6-9594-9018EB5B8E47}"/>
  </hyperlinks>
  <pageMargins left="0.7" right="0.7" top="0.75" bottom="0.75" header="0.3" footer="0.3"/>
  <pageSetup paperSize="9" orientation="portrait" r:id="rId518"/>
  <tableParts count="1">
    <tablePart r:id="rId5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EE4B2-B843-4AE1-B95A-71D674D61B5B}">
  <sheetPr codeName="Sheet4"/>
  <dimension ref="A4:F9"/>
  <sheetViews>
    <sheetView topLeftCell="A4" workbookViewId="0">
      <selection activeCell="D16" sqref="D16"/>
    </sheetView>
  </sheetViews>
  <sheetFormatPr defaultRowHeight="12.75" x14ac:dyDescent="0.35"/>
  <cols>
    <col min="1" max="2" width="20.59765625" customWidth="1"/>
    <col min="3" max="3" width="20.73046875" customWidth="1"/>
    <col min="4" max="4" width="22.06640625" customWidth="1"/>
    <col min="5" max="5" width="21.46484375" customWidth="1"/>
    <col min="6" max="6" width="29" customWidth="1"/>
  </cols>
  <sheetData>
    <row r="4" spans="1:6" x14ac:dyDescent="0.35">
      <c r="A4" t="s">
        <v>1271</v>
      </c>
      <c r="B4" t="s">
        <v>1293</v>
      </c>
      <c r="C4" t="s">
        <v>1276</v>
      </c>
      <c r="D4" t="s">
        <v>1277</v>
      </c>
      <c r="E4" t="s">
        <v>1278</v>
      </c>
      <c r="F4" t="s">
        <v>1279</v>
      </c>
    </row>
    <row r="5" spans="1:6" x14ac:dyDescent="0.35">
      <c r="A5" t="s">
        <v>1280</v>
      </c>
      <c r="B5" t="s">
        <v>1274</v>
      </c>
      <c r="C5" t="s">
        <v>1281</v>
      </c>
      <c r="D5" t="s">
        <v>1282</v>
      </c>
      <c r="E5" t="s">
        <v>1283</v>
      </c>
      <c r="F5" t="s">
        <v>1284</v>
      </c>
    </row>
    <row r="6" spans="1:6" x14ac:dyDescent="0.35">
      <c r="A6" t="s">
        <v>1285</v>
      </c>
      <c r="B6" t="s">
        <v>1274</v>
      </c>
    </row>
    <row r="7" spans="1:6" x14ac:dyDescent="0.35">
      <c r="A7" t="s">
        <v>1286</v>
      </c>
      <c r="B7" t="s">
        <v>1274</v>
      </c>
      <c r="C7" t="s">
        <v>1289</v>
      </c>
      <c r="D7" t="s">
        <v>1290</v>
      </c>
      <c r="E7" t="s">
        <v>1287</v>
      </c>
      <c r="F7" t="s">
        <v>1288</v>
      </c>
    </row>
    <row r="8" spans="1:6" x14ac:dyDescent="0.35">
      <c r="A8" t="s">
        <v>1291</v>
      </c>
      <c r="B8" t="s">
        <v>1275</v>
      </c>
    </row>
    <row r="9" spans="1:6" x14ac:dyDescent="0.35">
      <c r="A9" t="s">
        <v>1292</v>
      </c>
      <c r="B9" t="s">
        <v>1275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460B-0C7D-47E9-9637-9AA627802F3C}">
  <sheetPr codeName="Sheet9"/>
  <dimension ref="A1:A5"/>
  <sheetViews>
    <sheetView zoomScale="85" zoomScaleNormal="85" workbookViewId="0">
      <selection activeCell="H25" sqref="H25"/>
    </sheetView>
  </sheetViews>
  <sheetFormatPr defaultRowHeight="12.75" x14ac:dyDescent="0.35"/>
  <cols>
    <col min="1" max="1" width="21" customWidth="1"/>
  </cols>
  <sheetData>
    <row r="1" spans="1:1" x14ac:dyDescent="0.35">
      <c r="A1" t="s">
        <v>1273</v>
      </c>
    </row>
    <row r="3" spans="1:1" x14ac:dyDescent="0.35">
      <c r="A3" t="s">
        <v>1272</v>
      </c>
    </row>
    <row r="4" spans="1:1" x14ac:dyDescent="0.35">
      <c r="A4" t="s">
        <v>1274</v>
      </c>
    </row>
    <row r="5" spans="1:1" x14ac:dyDescent="0.35">
      <c r="A5" t="s">
        <v>1275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Export</vt:lpstr>
      <vt:lpstr>nodes_data</vt:lpstr>
      <vt:lpstr>edges_data</vt:lpstr>
      <vt:lpstr>nodes_json</vt:lpstr>
      <vt:lpstr>edges_json</vt:lpstr>
      <vt:lpstr>DIC Pages</vt:lpstr>
      <vt:lpstr>relation_types</vt:lpstr>
      <vt:lpstr>direction_types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Doret</cp:lastModifiedBy>
  <dcterms:created xsi:type="dcterms:W3CDTF">2021-06-28T18:02:32Z</dcterms:created>
  <dcterms:modified xsi:type="dcterms:W3CDTF">2021-07-11T06:34:29Z</dcterms:modified>
</cp:coreProperties>
</file>