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2ABE3A30-E55D-4A47-BDC1-C07372490399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04" i="12" l="1" a="1"/>
  <c r="F504" i="12" s="1"/>
  <c r="F505" i="12" a="1"/>
  <c r="F505" i="12"/>
  <c r="F506" i="12" a="1"/>
  <c r="F506" i="12" s="1"/>
  <c r="F507" i="12" a="1"/>
  <c r="F507" i="12" s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B507" i="12"/>
  <c r="C507" i="12"/>
  <c r="D507" i="12"/>
  <c r="B506" i="12"/>
  <c r="C506" i="12"/>
  <c r="D506" i="12"/>
  <c r="B505" i="12"/>
  <c r="C505" i="12"/>
  <c r="D505" i="12"/>
  <c r="B504" i="12"/>
  <c r="C504" i="12"/>
  <c r="D504" i="12"/>
  <c r="B87" i="14"/>
  <c r="A87" i="14" s="1"/>
  <c r="F87" i="14" s="1" a="1"/>
  <c r="F87" i="14" s="1"/>
  <c r="C87" i="14"/>
  <c r="D87" i="14"/>
  <c r="E87" i="14"/>
  <c r="B86" i="14"/>
  <c r="A86" i="14" s="1"/>
  <c r="F86" i="14" s="1" a="1"/>
  <c r="F86" i="14" s="1"/>
  <c r="C86" i="14"/>
  <c r="D86" i="14"/>
  <c r="E86" i="14"/>
  <c r="B85" i="14"/>
  <c r="A85" i="14" s="1"/>
  <c r="F85" i="14" s="1" a="1"/>
  <c r="F85" i="14" s="1"/>
  <c r="C85" i="14"/>
  <c r="D85" i="14"/>
  <c r="E85" i="14"/>
  <c r="B84" i="14"/>
  <c r="A84" i="14" s="1"/>
  <c r="F84" i="14" s="1" a="1"/>
  <c r="F84" i="14" s="1"/>
  <c r="C84" i="14"/>
  <c r="D84" i="14"/>
  <c r="E84" i="14"/>
  <c r="A83" i="14"/>
  <c r="F83" i="14" s="1" a="1"/>
  <c r="F83" i="14" s="1"/>
  <c r="B83" i="14"/>
  <c r="C83" i="14"/>
  <c r="D83" i="14"/>
  <c r="E83" i="14"/>
  <c r="A82" i="14"/>
  <c r="F82" i="14" s="1" a="1"/>
  <c r="F82" i="14" s="1"/>
  <c r="B82" i="14"/>
  <c r="C82" i="14"/>
  <c r="D82" i="14"/>
  <c r="E82" i="14"/>
  <c r="A81" i="14"/>
  <c r="F81" i="14" s="1" a="1"/>
  <c r="F81" i="14" s="1"/>
  <c r="B81" i="14"/>
  <c r="C81" i="14"/>
  <c r="D81" i="14"/>
  <c r="E81" i="14"/>
  <c r="A80" i="14"/>
  <c r="F80" i="14" s="1" a="1"/>
  <c r="F80" i="14" s="1"/>
  <c r="B80" i="14"/>
  <c r="C80" i="14"/>
  <c r="D80" i="14"/>
  <c r="E80" i="14"/>
  <c r="A79" i="14"/>
  <c r="F79" i="14" s="1" a="1"/>
  <c r="F79" i="14" s="1"/>
  <c r="B79" i="14"/>
  <c r="C79" i="14"/>
  <c r="D79" i="14"/>
  <c r="E79" i="14"/>
  <c r="B78" i="14"/>
  <c r="A78" i="14" s="1"/>
  <c r="F78" i="14" s="1" a="1"/>
  <c r="F78" i="14" s="1"/>
  <c r="C78" i="14"/>
  <c r="D78" i="14"/>
  <c r="E78" i="14"/>
  <c r="A77" i="14"/>
  <c r="F77" i="14" s="1" a="1"/>
  <c r="F77" i="14" s="1"/>
  <c r="B77" i="14"/>
  <c r="C77" i="14"/>
  <c r="D77" i="14"/>
  <c r="E77" i="14"/>
  <c r="A76" i="14"/>
  <c r="F76" i="14" s="1" a="1"/>
  <c r="F76" i="14" s="1"/>
  <c r="B76" i="14"/>
  <c r="C76" i="14"/>
  <c r="D76" i="14"/>
  <c r="E76" i="14"/>
  <c r="A75" i="14"/>
  <c r="F75" i="14" s="1" a="1"/>
  <c r="F75" i="14" s="1"/>
  <c r="B75" i="14"/>
  <c r="C75" i="14"/>
  <c r="D75" i="14"/>
  <c r="E75" i="14"/>
  <c r="A74" i="14"/>
  <c r="F74" i="14" s="1" a="1"/>
  <c r="F74" i="14" s="1"/>
  <c r="B74" i="14"/>
  <c r="C74" i="14"/>
  <c r="D74" i="14"/>
  <c r="E74" i="14"/>
  <c r="A73" i="14"/>
  <c r="F73" i="14" s="1" a="1"/>
  <c r="F73" i="14" s="1"/>
  <c r="B73" i="14"/>
  <c r="C73" i="14"/>
  <c r="D73" i="14"/>
  <c r="E73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F71" i="14" s="1" a="1"/>
  <c r="F71" i="14" s="1"/>
  <c r="A72" i="14"/>
  <c r="F72" i="14" s="1" a="1"/>
  <c r="F72" i="14" s="1"/>
  <c r="B72" i="14"/>
  <c r="C72" i="14"/>
  <c r="D72" i="14"/>
  <c r="E72" i="14"/>
  <c r="B71" i="14"/>
  <c r="C71" i="14"/>
  <c r="D71" i="14"/>
  <c r="E71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4" i="3"/>
  <c r="D25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9" i="3"/>
  <c r="D60" i="3"/>
  <c r="D61" i="3"/>
  <c r="D62" i="3"/>
  <c r="D63" i="3"/>
  <c r="D64" i="3"/>
  <c r="D58" i="3"/>
  <c r="D65" i="3"/>
  <c r="D66" i="3"/>
  <c r="D67" i="3"/>
  <c r="D68" i="3"/>
  <c r="D69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2" i="3"/>
  <c r="D203" i="3"/>
  <c r="D201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5" i="3"/>
  <c r="D274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9" i="3"/>
  <c r="D390" i="3"/>
  <c r="D391" i="3"/>
  <c r="D388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292" i="3"/>
  <c r="D70" i="3"/>
  <c r="D26" i="3"/>
  <c r="D23" i="3"/>
  <c r="B503" i="12"/>
  <c r="C503" i="12"/>
  <c r="D503" i="12"/>
  <c r="B502" i="12"/>
  <c r="C502" i="12"/>
  <c r="D502" i="12"/>
  <c r="B501" i="12"/>
  <c r="C501" i="12"/>
  <c r="D501" i="12"/>
  <c r="B500" i="12"/>
  <c r="C500" i="12"/>
  <c r="D500" i="12"/>
  <c r="B70" i="14"/>
  <c r="E70" i="14"/>
  <c r="B69" i="14"/>
  <c r="E69" i="14"/>
  <c r="B68" i="14"/>
  <c r="E68" i="14"/>
  <c r="F23" i="3"/>
  <c r="A23" i="3" s="1"/>
  <c r="F26" i="3"/>
  <c r="A26" i="3" s="1"/>
  <c r="F70" i="3"/>
  <c r="A70" i="3" s="1"/>
  <c r="F292" i="3"/>
  <c r="A292" i="3" s="1"/>
  <c r="B67" i="14"/>
  <c r="E67" i="14"/>
  <c r="B66" i="14"/>
  <c r="E66" i="14"/>
  <c r="B65" i="14"/>
  <c r="E65" i="14"/>
  <c r="B64" i="14"/>
  <c r="E64" i="14"/>
  <c r="B499" i="12"/>
  <c r="C499" i="12"/>
  <c r="D499" i="12"/>
  <c r="B498" i="12"/>
  <c r="C498" i="12"/>
  <c r="D498" i="12"/>
  <c r="B497" i="12"/>
  <c r="C497" i="12"/>
  <c r="D497" i="12"/>
  <c r="B496" i="12"/>
  <c r="C496" i="12"/>
  <c r="D496" i="12"/>
  <c r="B495" i="12"/>
  <c r="C495" i="12"/>
  <c r="D495" i="12"/>
  <c r="B494" i="12"/>
  <c r="C494" i="12"/>
  <c r="D494" i="12"/>
  <c r="B493" i="12"/>
  <c r="C493" i="12"/>
  <c r="D493" i="12"/>
  <c r="B492" i="12"/>
  <c r="C492" i="12"/>
  <c r="D492" i="12"/>
  <c r="B491" i="12"/>
  <c r="C491" i="12"/>
  <c r="D491" i="12"/>
  <c r="F24" i="3"/>
  <c r="A24" i="3" s="1"/>
  <c r="B490" i="12"/>
  <c r="C490" i="12"/>
  <c r="D490" i="12"/>
  <c r="F143" i="3"/>
  <c r="A143" i="3" s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F27" i="3"/>
  <c r="A27" i="3" s="1"/>
  <c r="F43" i="3"/>
  <c r="A43" i="3" s="1"/>
  <c r="F87" i="3"/>
  <c r="A87" i="3" s="1"/>
  <c r="F179" i="3"/>
  <c r="A179" i="3" s="1"/>
  <c r="F217" i="3"/>
  <c r="A217" i="3" s="1"/>
  <c r="F229" i="3"/>
  <c r="A229" i="3" s="1"/>
  <c r="F21" i="3"/>
  <c r="A21" i="3" s="1"/>
  <c r="F234" i="3"/>
  <c r="A234" i="3" s="1"/>
  <c r="F25" i="3"/>
  <c r="A25" i="3" s="1"/>
  <c r="B63" i="14"/>
  <c r="E63" i="14"/>
  <c r="B62" i="14"/>
  <c r="E62" i="14"/>
  <c r="B61" i="14"/>
  <c r="E61" i="14"/>
  <c r="B60" i="14"/>
  <c r="E60" i="14"/>
  <c r="B59" i="14"/>
  <c r="E59" i="14"/>
  <c r="B58" i="14"/>
  <c r="E58" i="14"/>
  <c r="B57" i="14"/>
  <c r="E57" i="14"/>
  <c r="B56" i="14"/>
  <c r="E56" i="14"/>
  <c r="B55" i="14"/>
  <c r="E55" i="14"/>
  <c r="B54" i="14"/>
  <c r="E54" i="14"/>
  <c r="B53" i="14"/>
  <c r="E53" i="14"/>
  <c r="B52" i="14"/>
  <c r="E52" i="14"/>
  <c r="B51" i="14"/>
  <c r="E51" i="14"/>
  <c r="E50" i="14"/>
  <c r="B50" i="14"/>
  <c r="E49" i="14"/>
  <c r="B49" i="14"/>
  <c r="E48" i="14"/>
  <c r="B48" i="14"/>
  <c r="E47" i="14"/>
  <c r="B47" i="14"/>
  <c r="E46" i="14"/>
  <c r="B46" i="14"/>
  <c r="E45" i="14"/>
  <c r="B45" i="14"/>
  <c r="E44" i="14"/>
  <c r="B44" i="14"/>
  <c r="E43" i="14"/>
  <c r="B43" i="14"/>
  <c r="E42" i="14"/>
  <c r="B42" i="14"/>
  <c r="E41" i="14"/>
  <c r="B41" i="14"/>
  <c r="E40" i="14"/>
  <c r="B40" i="14"/>
  <c r="E39" i="14"/>
  <c r="B39" i="14"/>
  <c r="E38" i="14"/>
  <c r="B38" i="14"/>
  <c r="E37" i="14"/>
  <c r="B37" i="14"/>
  <c r="E36" i="14"/>
  <c r="B36" i="14"/>
  <c r="E35" i="14"/>
  <c r="B35" i="14"/>
  <c r="E34" i="14"/>
  <c r="B34" i="14"/>
  <c r="E33" i="14"/>
  <c r="B33" i="14"/>
  <c r="E32" i="14"/>
  <c r="B32" i="14"/>
  <c r="E31" i="14"/>
  <c r="B31" i="14"/>
  <c r="E30" i="14"/>
  <c r="B30" i="14"/>
  <c r="E29" i="14"/>
  <c r="B29" i="14"/>
  <c r="E28" i="14"/>
  <c r="B28" i="14"/>
  <c r="E27" i="14"/>
  <c r="B27" i="14"/>
  <c r="E26" i="14"/>
  <c r="B26" i="14"/>
  <c r="E25" i="14"/>
  <c r="B25" i="14"/>
  <c r="E24" i="14"/>
  <c r="B24" i="14"/>
  <c r="E23" i="14"/>
  <c r="B23" i="14"/>
  <c r="E22" i="14"/>
  <c r="B22" i="14"/>
  <c r="E21" i="14"/>
  <c r="B21" i="14"/>
  <c r="E20" i="14"/>
  <c r="B20" i="14"/>
  <c r="E19" i="14"/>
  <c r="B19" i="14"/>
  <c r="E18" i="14"/>
  <c r="B18" i="14"/>
  <c r="E17" i="14"/>
  <c r="B17" i="14"/>
  <c r="E16" i="14"/>
  <c r="B16" i="14"/>
  <c r="E15" i="14"/>
  <c r="B15" i="14"/>
  <c r="E14" i="14"/>
  <c r="B14" i="14"/>
  <c r="E13" i="14"/>
  <c r="B13" i="14"/>
  <c r="E12" i="14"/>
  <c r="B12" i="14"/>
  <c r="E11" i="14"/>
  <c r="B11" i="14"/>
  <c r="E10" i="14"/>
  <c r="B10" i="14"/>
  <c r="E9" i="14"/>
  <c r="B9" i="14"/>
  <c r="E8" i="14"/>
  <c r="B8" i="14"/>
  <c r="E7" i="14"/>
  <c r="B7" i="14"/>
  <c r="E6" i="14"/>
  <c r="B6" i="14"/>
  <c r="E5" i="14"/>
  <c r="B5" i="14"/>
  <c r="E4" i="14"/>
  <c r="B4" i="14"/>
  <c r="B489" i="12"/>
  <c r="D489" i="12"/>
  <c r="B488" i="12"/>
  <c r="D488" i="12"/>
  <c r="B487" i="12"/>
  <c r="D487" i="12"/>
  <c r="B486" i="12"/>
  <c r="D486" i="12"/>
  <c r="B485" i="12"/>
  <c r="D485" i="12"/>
  <c r="F103" i="3"/>
  <c r="A103" i="3" s="1"/>
  <c r="F86" i="3"/>
  <c r="A86" i="3" s="1"/>
  <c r="F85" i="3"/>
  <c r="A85" i="3" s="1"/>
  <c r="F84" i="3"/>
  <c r="A84" i="3" s="1"/>
  <c r="F83" i="3"/>
  <c r="A83" i="3" s="1"/>
  <c r="B484" i="12"/>
  <c r="D484" i="12"/>
  <c r="B483" i="12"/>
  <c r="D483" i="12"/>
  <c r="B482" i="12"/>
  <c r="D482" i="12"/>
  <c r="B481" i="12"/>
  <c r="D481" i="12"/>
  <c r="B480" i="12"/>
  <c r="D480" i="12"/>
  <c r="B479" i="12"/>
  <c r="D479" i="12"/>
  <c r="B478" i="12"/>
  <c r="D478" i="12"/>
  <c r="B477" i="12"/>
  <c r="D477" i="12"/>
  <c r="B476" i="12"/>
  <c r="D476" i="12"/>
  <c r="E3" i="14"/>
  <c r="B3" i="14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F108" i="3"/>
  <c r="A108" i="3" s="1"/>
  <c r="F446" i="3"/>
  <c r="A446" i="3" s="1"/>
  <c r="F133" i="3"/>
  <c r="A133" i="3" s="1"/>
  <c r="F259" i="3"/>
  <c r="A259" i="3" s="1"/>
  <c r="F260" i="3"/>
  <c r="A260" i="3" s="1"/>
  <c r="F170" i="3"/>
  <c r="A170" i="3" s="1"/>
  <c r="F128" i="3"/>
  <c r="A128" i="3" s="1"/>
  <c r="F258" i="3"/>
  <c r="A258" i="3" s="1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F2" i="3"/>
  <c r="A2" i="3" s="1"/>
  <c r="F482" i="3"/>
  <c r="A482" i="3" s="1"/>
  <c r="F503" i="3"/>
  <c r="A503" i="3" s="1"/>
  <c r="F502" i="3"/>
  <c r="A502" i="3" s="1"/>
  <c r="F501" i="3"/>
  <c r="A501" i="3" s="1"/>
  <c r="F500" i="3"/>
  <c r="A500" i="3" s="1"/>
  <c r="F499" i="3"/>
  <c r="A499" i="3" s="1"/>
  <c r="F498" i="3"/>
  <c r="A498" i="3" s="1"/>
  <c r="F497" i="3"/>
  <c r="A497" i="3" s="1"/>
  <c r="F496" i="3"/>
  <c r="A496" i="3" s="1"/>
  <c r="F495" i="3"/>
  <c r="A495" i="3" s="1"/>
  <c r="F494" i="3"/>
  <c r="A494" i="3" s="1"/>
  <c r="F493" i="3"/>
  <c r="A493" i="3" s="1"/>
  <c r="F492" i="3"/>
  <c r="A492" i="3" s="1"/>
  <c r="F491" i="3"/>
  <c r="A491" i="3" s="1"/>
  <c r="F490" i="3"/>
  <c r="A490" i="3" s="1"/>
  <c r="F489" i="3"/>
  <c r="A489" i="3" s="1"/>
  <c r="F488" i="3"/>
  <c r="A488" i="3" s="1"/>
  <c r="F487" i="3"/>
  <c r="A487" i="3" s="1"/>
  <c r="F486" i="3"/>
  <c r="A486" i="3" s="1"/>
  <c r="F485" i="3"/>
  <c r="A485" i="3" s="1"/>
  <c r="F484" i="3"/>
  <c r="A484" i="3" s="1"/>
  <c r="F483" i="3"/>
  <c r="A483" i="3" s="1"/>
  <c r="F480" i="3"/>
  <c r="A480" i="3" s="1"/>
  <c r="F481" i="3"/>
  <c r="A481" i="3" s="1"/>
  <c r="F463" i="3"/>
  <c r="A463" i="3" s="1"/>
  <c r="F479" i="3"/>
  <c r="A479" i="3" s="1"/>
  <c r="F478" i="3"/>
  <c r="A478" i="3" s="1"/>
  <c r="F477" i="3"/>
  <c r="A477" i="3" s="1"/>
  <c r="F476" i="3"/>
  <c r="A476" i="3" s="1"/>
  <c r="F475" i="3"/>
  <c r="A475" i="3" s="1"/>
  <c r="F474" i="3"/>
  <c r="A474" i="3" s="1"/>
  <c r="F473" i="3"/>
  <c r="A473" i="3" s="1"/>
  <c r="F471" i="3"/>
  <c r="A471" i="3" s="1"/>
  <c r="F470" i="3"/>
  <c r="A470" i="3" s="1"/>
  <c r="F469" i="3"/>
  <c r="A469" i="3" s="1"/>
  <c r="F468" i="3"/>
  <c r="A468" i="3" s="1"/>
  <c r="F472" i="3"/>
  <c r="A472" i="3" s="1"/>
  <c r="F467" i="3"/>
  <c r="A467" i="3" s="1"/>
  <c r="F466" i="3"/>
  <c r="A466" i="3" s="1"/>
  <c r="F465" i="3"/>
  <c r="A465" i="3" s="1"/>
  <c r="F464" i="3"/>
  <c r="A464" i="3" s="1"/>
  <c r="F449" i="3"/>
  <c r="A449" i="3" s="1"/>
  <c r="F462" i="3"/>
  <c r="A462" i="3" s="1"/>
  <c r="F461" i="3"/>
  <c r="A461" i="3" s="1"/>
  <c r="F460" i="3"/>
  <c r="A460" i="3" s="1"/>
  <c r="F459" i="3"/>
  <c r="A459" i="3" s="1"/>
  <c r="F458" i="3"/>
  <c r="A458" i="3" s="1"/>
  <c r="F457" i="3"/>
  <c r="A457" i="3" s="1"/>
  <c r="F456" i="3"/>
  <c r="A456" i="3" s="1"/>
  <c r="F455" i="3"/>
  <c r="A455" i="3" s="1"/>
  <c r="F454" i="3"/>
  <c r="A454" i="3" s="1"/>
  <c r="F453" i="3"/>
  <c r="A453" i="3" s="1"/>
  <c r="F452" i="3"/>
  <c r="A452" i="3" s="1"/>
  <c r="F451" i="3"/>
  <c r="A451" i="3" s="1"/>
  <c r="F450" i="3"/>
  <c r="A450" i="3" s="1"/>
  <c r="F448" i="3"/>
  <c r="A448" i="3" s="1"/>
  <c r="F445" i="3"/>
  <c r="A445" i="3" s="1"/>
  <c r="F447" i="3"/>
  <c r="A447" i="3" s="1"/>
  <c r="F431" i="3"/>
  <c r="A431" i="3" s="1"/>
  <c r="F444" i="3"/>
  <c r="A444" i="3" s="1"/>
  <c r="F443" i="3"/>
  <c r="A443" i="3" s="1"/>
  <c r="F442" i="3"/>
  <c r="A442" i="3" s="1"/>
  <c r="F441" i="3"/>
  <c r="A441" i="3" s="1"/>
  <c r="F440" i="3"/>
  <c r="A440" i="3" s="1"/>
  <c r="F439" i="3"/>
  <c r="A439" i="3" s="1"/>
  <c r="F438" i="3"/>
  <c r="A438" i="3" s="1"/>
  <c r="F437" i="3"/>
  <c r="A437" i="3" s="1"/>
  <c r="F436" i="3"/>
  <c r="A436" i="3" s="1"/>
  <c r="F435" i="3"/>
  <c r="A435" i="3" s="1"/>
  <c r="F434" i="3"/>
  <c r="A434" i="3" s="1"/>
  <c r="F433" i="3"/>
  <c r="A433" i="3" s="1"/>
  <c r="F432" i="3"/>
  <c r="A432" i="3" s="1"/>
  <c r="F428" i="3"/>
  <c r="A428" i="3" s="1"/>
  <c r="F430" i="3"/>
  <c r="A430" i="3" s="1"/>
  <c r="F429" i="3"/>
  <c r="A429" i="3" s="1"/>
  <c r="F415" i="3"/>
  <c r="A415" i="3" s="1"/>
  <c r="F427" i="3"/>
  <c r="A427" i="3" s="1"/>
  <c r="F426" i="3"/>
  <c r="A426" i="3" s="1"/>
  <c r="F424" i="3"/>
  <c r="A424" i="3" s="1"/>
  <c r="F425" i="3"/>
  <c r="A425" i="3" s="1"/>
  <c r="F423" i="3"/>
  <c r="A423" i="3" s="1"/>
  <c r="F422" i="3"/>
  <c r="A422" i="3" s="1"/>
  <c r="F421" i="3"/>
  <c r="A421" i="3" s="1"/>
  <c r="F420" i="3"/>
  <c r="A420" i="3" s="1"/>
  <c r="F419" i="3"/>
  <c r="A419" i="3" s="1"/>
  <c r="F418" i="3"/>
  <c r="A418" i="3" s="1"/>
  <c r="F417" i="3"/>
  <c r="A417" i="3" s="1"/>
  <c r="F416" i="3"/>
  <c r="A416" i="3" s="1"/>
  <c r="F410" i="3"/>
  <c r="A410" i="3" s="1"/>
  <c r="F414" i="3"/>
  <c r="A414" i="3" s="1"/>
  <c r="F413" i="3"/>
  <c r="A413" i="3" s="1"/>
  <c r="F412" i="3"/>
  <c r="A412" i="3" s="1"/>
  <c r="F411" i="3"/>
  <c r="A411" i="3" s="1"/>
  <c r="F403" i="3"/>
  <c r="A403" i="3" s="1"/>
  <c r="F409" i="3"/>
  <c r="A409" i="3" s="1"/>
  <c r="F408" i="3"/>
  <c r="A408" i="3" s="1"/>
  <c r="F407" i="3"/>
  <c r="A407" i="3" s="1"/>
  <c r="F406" i="3"/>
  <c r="A406" i="3" s="1"/>
  <c r="F405" i="3"/>
  <c r="A405" i="3" s="1"/>
  <c r="F404" i="3"/>
  <c r="A404" i="3" s="1"/>
  <c r="F376" i="3"/>
  <c r="A376" i="3" s="1"/>
  <c r="F402" i="3"/>
  <c r="A402" i="3" s="1"/>
  <c r="F401" i="3"/>
  <c r="A401" i="3" s="1"/>
  <c r="F400" i="3"/>
  <c r="A400" i="3" s="1"/>
  <c r="F399" i="3"/>
  <c r="A399" i="3" s="1"/>
  <c r="F398" i="3"/>
  <c r="A398" i="3" s="1"/>
  <c r="F397" i="3"/>
  <c r="A397" i="3" s="1"/>
  <c r="F396" i="3"/>
  <c r="A396" i="3" s="1"/>
  <c r="F395" i="3"/>
  <c r="A395" i="3" s="1"/>
  <c r="F394" i="3"/>
  <c r="A394" i="3" s="1"/>
  <c r="F393" i="3"/>
  <c r="A393" i="3" s="1"/>
  <c r="F392" i="3"/>
  <c r="A392" i="3" s="1"/>
  <c r="F391" i="3"/>
  <c r="A391" i="3" s="1"/>
  <c r="F390" i="3"/>
  <c r="A390" i="3" s="1"/>
  <c r="F389" i="3"/>
  <c r="A389" i="3" s="1"/>
  <c r="F388" i="3"/>
  <c r="A388" i="3" s="1"/>
  <c r="F387" i="3"/>
  <c r="A387" i="3" s="1"/>
  <c r="F386" i="3"/>
  <c r="A386" i="3" s="1"/>
  <c r="F385" i="3"/>
  <c r="A385" i="3" s="1"/>
  <c r="F383" i="3"/>
  <c r="A383" i="3" s="1"/>
  <c r="F382" i="3"/>
  <c r="A382" i="3" s="1"/>
  <c r="F381" i="3"/>
  <c r="A381" i="3" s="1"/>
  <c r="F380" i="3"/>
  <c r="A380" i="3" s="1"/>
  <c r="F379" i="3"/>
  <c r="A379" i="3" s="1"/>
  <c r="F378" i="3"/>
  <c r="A378" i="3" s="1"/>
  <c r="F384" i="3"/>
  <c r="A384" i="3" s="1"/>
  <c r="F377" i="3"/>
  <c r="A377" i="3" s="1"/>
  <c r="F367" i="3"/>
  <c r="A367" i="3" s="1"/>
  <c r="F375" i="3"/>
  <c r="A375" i="3" s="1"/>
  <c r="F374" i="3"/>
  <c r="A374" i="3" s="1"/>
  <c r="F373" i="3"/>
  <c r="A373" i="3" s="1"/>
  <c r="F372" i="3"/>
  <c r="A372" i="3" s="1"/>
  <c r="F371" i="3"/>
  <c r="A371" i="3" s="1"/>
  <c r="F370" i="3"/>
  <c r="A370" i="3" s="1"/>
  <c r="F369" i="3"/>
  <c r="A369" i="3" s="1"/>
  <c r="F368" i="3"/>
  <c r="A368" i="3" s="1"/>
  <c r="F364" i="3"/>
  <c r="A364" i="3" s="1"/>
  <c r="F366" i="3"/>
  <c r="A366" i="3" s="1"/>
  <c r="F365" i="3"/>
  <c r="A365" i="3" s="1"/>
  <c r="F359" i="3"/>
  <c r="A359" i="3" s="1"/>
  <c r="F363" i="3"/>
  <c r="A363" i="3" s="1"/>
  <c r="F362" i="3"/>
  <c r="A362" i="3" s="1"/>
  <c r="F361" i="3"/>
  <c r="A361" i="3" s="1"/>
  <c r="F360" i="3"/>
  <c r="A360" i="3" s="1"/>
  <c r="F338" i="3"/>
  <c r="A338" i="3" s="1"/>
  <c r="F358" i="3"/>
  <c r="A358" i="3" s="1"/>
  <c r="F357" i="3"/>
  <c r="A357" i="3" s="1"/>
  <c r="F356" i="3"/>
  <c r="A356" i="3" s="1"/>
  <c r="F355" i="3"/>
  <c r="A355" i="3" s="1"/>
  <c r="F354" i="3"/>
  <c r="A354" i="3" s="1"/>
  <c r="F353" i="3"/>
  <c r="A353" i="3" s="1"/>
  <c r="F352" i="3"/>
  <c r="A352" i="3" s="1"/>
  <c r="F351" i="3"/>
  <c r="A351" i="3" s="1"/>
  <c r="F350" i="3"/>
  <c r="A350" i="3" s="1"/>
  <c r="F349" i="3"/>
  <c r="A349" i="3" s="1"/>
  <c r="F348" i="3"/>
  <c r="A348" i="3" s="1"/>
  <c r="F347" i="3"/>
  <c r="A347" i="3" s="1"/>
  <c r="F346" i="3"/>
  <c r="A346" i="3" s="1"/>
  <c r="F345" i="3"/>
  <c r="A345" i="3" s="1"/>
  <c r="F344" i="3"/>
  <c r="A344" i="3" s="1"/>
  <c r="F343" i="3"/>
  <c r="A343" i="3" s="1"/>
  <c r="F342" i="3"/>
  <c r="A342" i="3" s="1"/>
  <c r="F341" i="3"/>
  <c r="A341" i="3" s="1"/>
  <c r="F340" i="3"/>
  <c r="A340" i="3" s="1"/>
  <c r="F339" i="3"/>
  <c r="A339" i="3" s="1"/>
  <c r="F334" i="3"/>
  <c r="A334" i="3" s="1"/>
  <c r="F337" i="3"/>
  <c r="A337" i="3" s="1"/>
  <c r="F336" i="3"/>
  <c r="A336" i="3" s="1"/>
  <c r="F335" i="3"/>
  <c r="A335" i="3" s="1"/>
  <c r="F333" i="3"/>
  <c r="A333" i="3" s="1"/>
  <c r="F332" i="3"/>
  <c r="A332" i="3" s="1"/>
  <c r="F331" i="3"/>
  <c r="A331" i="3" s="1"/>
  <c r="F330" i="3"/>
  <c r="A330" i="3" s="1"/>
  <c r="F329" i="3"/>
  <c r="A329" i="3" s="1"/>
  <c r="F327" i="3"/>
  <c r="A327" i="3" s="1"/>
  <c r="F328" i="3"/>
  <c r="A328" i="3" s="1"/>
  <c r="F325" i="3"/>
  <c r="A325" i="3" s="1"/>
  <c r="F326" i="3"/>
  <c r="A326" i="3" s="1"/>
  <c r="F308" i="3"/>
  <c r="A308" i="3" s="1"/>
  <c r="F324" i="3"/>
  <c r="A324" i="3" s="1"/>
  <c r="F323" i="3"/>
  <c r="A323" i="3" s="1"/>
  <c r="F322" i="3"/>
  <c r="A322" i="3" s="1"/>
  <c r="F321" i="3"/>
  <c r="A321" i="3" s="1"/>
  <c r="F320" i="3"/>
  <c r="A320" i="3" s="1"/>
  <c r="F319" i="3"/>
  <c r="A319" i="3" s="1"/>
  <c r="F318" i="3"/>
  <c r="A318" i="3" s="1"/>
  <c r="F317" i="3"/>
  <c r="A317" i="3" s="1"/>
  <c r="F316" i="3"/>
  <c r="A316" i="3" s="1"/>
  <c r="F315" i="3"/>
  <c r="A315" i="3" s="1"/>
  <c r="F314" i="3"/>
  <c r="A314" i="3" s="1"/>
  <c r="F313" i="3"/>
  <c r="A313" i="3" s="1"/>
  <c r="F312" i="3"/>
  <c r="A312" i="3" s="1"/>
  <c r="F311" i="3"/>
  <c r="A311" i="3" s="1"/>
  <c r="F310" i="3"/>
  <c r="A310" i="3" s="1"/>
  <c r="F309" i="3"/>
  <c r="A309" i="3" s="1"/>
  <c r="F305" i="3"/>
  <c r="A305" i="3" s="1"/>
  <c r="F307" i="3"/>
  <c r="A307" i="3" s="1"/>
  <c r="F306" i="3"/>
  <c r="A306" i="3" s="1"/>
  <c r="F299" i="3"/>
  <c r="A299" i="3" s="1"/>
  <c r="F304" i="3"/>
  <c r="A304" i="3" s="1"/>
  <c r="F303" i="3"/>
  <c r="A303" i="3" s="1"/>
  <c r="F302" i="3"/>
  <c r="A302" i="3" s="1"/>
  <c r="F301" i="3"/>
  <c r="A301" i="3" s="1"/>
  <c r="F300" i="3"/>
  <c r="A300" i="3" s="1"/>
  <c r="F297" i="3"/>
  <c r="A297" i="3" s="1"/>
  <c r="F298" i="3"/>
  <c r="A298" i="3" s="1"/>
  <c r="F296" i="3"/>
  <c r="A296" i="3" s="1"/>
  <c r="F295" i="3"/>
  <c r="A295" i="3" s="1"/>
  <c r="F273" i="3"/>
  <c r="A273" i="3" s="1"/>
  <c r="F294" i="3"/>
  <c r="A294" i="3" s="1"/>
  <c r="F293" i="3"/>
  <c r="A293" i="3" s="1"/>
  <c r="F291" i="3"/>
  <c r="A291" i="3" s="1"/>
  <c r="F290" i="3"/>
  <c r="A290" i="3" s="1"/>
  <c r="F289" i="3"/>
  <c r="A289" i="3" s="1"/>
  <c r="F288" i="3"/>
  <c r="A288" i="3" s="1"/>
  <c r="F287" i="3"/>
  <c r="A287" i="3" s="1"/>
  <c r="F286" i="3"/>
  <c r="A286" i="3" s="1"/>
  <c r="F285" i="3"/>
  <c r="A285" i="3" s="1"/>
  <c r="F284" i="3"/>
  <c r="A284" i="3" s="1"/>
  <c r="F283" i="3"/>
  <c r="A283" i="3" s="1"/>
  <c r="F282" i="3"/>
  <c r="A282" i="3" s="1"/>
  <c r="F281" i="3"/>
  <c r="A281" i="3" s="1"/>
  <c r="F280" i="3"/>
  <c r="A280" i="3" s="1"/>
  <c r="F279" i="3"/>
  <c r="A279" i="3" s="1"/>
  <c r="F278" i="3"/>
  <c r="A278" i="3" s="1"/>
  <c r="F277" i="3"/>
  <c r="A277" i="3" s="1"/>
  <c r="F276" i="3"/>
  <c r="A276" i="3" s="1"/>
  <c r="F275" i="3"/>
  <c r="A275" i="3" s="1"/>
  <c r="F274" i="3"/>
  <c r="A274" i="3" s="1"/>
  <c r="F271" i="3"/>
  <c r="A271" i="3" s="1"/>
  <c r="F272" i="3"/>
  <c r="A272" i="3" s="1"/>
  <c r="F255" i="3"/>
  <c r="A255" i="3" s="1"/>
  <c r="F270" i="3"/>
  <c r="A270" i="3" s="1"/>
  <c r="F269" i="3"/>
  <c r="A269" i="3" s="1"/>
  <c r="F268" i="3"/>
  <c r="A268" i="3" s="1"/>
  <c r="F267" i="3"/>
  <c r="A267" i="3" s="1"/>
  <c r="F266" i="3"/>
  <c r="A266" i="3" s="1"/>
  <c r="F265" i="3"/>
  <c r="A265" i="3" s="1"/>
  <c r="F264" i="3"/>
  <c r="A264" i="3" s="1"/>
  <c r="F263" i="3"/>
  <c r="A263" i="3" s="1"/>
  <c r="F262" i="3"/>
  <c r="A262" i="3" s="1"/>
  <c r="F261" i="3"/>
  <c r="A261" i="3" s="1"/>
  <c r="F257" i="3"/>
  <c r="A257" i="3" s="1"/>
  <c r="F256" i="3"/>
  <c r="A256" i="3" s="1"/>
  <c r="F237" i="3"/>
  <c r="A237" i="3" s="1"/>
  <c r="F254" i="3"/>
  <c r="A254" i="3" s="1"/>
  <c r="F253" i="3"/>
  <c r="A253" i="3" s="1"/>
  <c r="F252" i="3"/>
  <c r="A252" i="3" s="1"/>
  <c r="F251" i="3"/>
  <c r="A251" i="3" s="1"/>
  <c r="F250" i="3"/>
  <c r="A250" i="3" s="1"/>
  <c r="F249" i="3"/>
  <c r="A249" i="3" s="1"/>
  <c r="F248" i="3"/>
  <c r="A248" i="3" s="1"/>
  <c r="F247" i="3"/>
  <c r="A247" i="3" s="1"/>
  <c r="F246" i="3"/>
  <c r="A246" i="3" s="1"/>
  <c r="F245" i="3"/>
  <c r="A245" i="3" s="1"/>
  <c r="F244" i="3"/>
  <c r="A244" i="3" s="1"/>
  <c r="F243" i="3"/>
  <c r="A243" i="3" s="1"/>
  <c r="F242" i="3"/>
  <c r="A242" i="3" s="1"/>
  <c r="F241" i="3"/>
  <c r="A241" i="3" s="1"/>
  <c r="F240" i="3"/>
  <c r="A240" i="3" s="1"/>
  <c r="F239" i="3"/>
  <c r="A239" i="3" s="1"/>
  <c r="F238" i="3"/>
  <c r="A238" i="3" s="1"/>
  <c r="F196" i="3"/>
  <c r="A196" i="3" s="1"/>
  <c r="F236" i="3"/>
  <c r="A236" i="3" s="1"/>
  <c r="F235" i="3"/>
  <c r="A235" i="3" s="1"/>
  <c r="F233" i="3"/>
  <c r="A233" i="3" s="1"/>
  <c r="F232" i="3"/>
  <c r="A232" i="3" s="1"/>
  <c r="F228" i="3"/>
  <c r="A228" i="3" s="1"/>
  <c r="F227" i="3"/>
  <c r="A227" i="3" s="1"/>
  <c r="F226" i="3"/>
  <c r="A226" i="3" s="1"/>
  <c r="F225" i="3"/>
  <c r="A225" i="3" s="1"/>
  <c r="F224" i="3"/>
  <c r="A224" i="3" s="1"/>
  <c r="F223" i="3"/>
  <c r="A223" i="3" s="1"/>
  <c r="F222" i="3"/>
  <c r="A222" i="3" s="1"/>
  <c r="F221" i="3"/>
  <c r="A221" i="3" s="1"/>
  <c r="F220" i="3"/>
  <c r="A220" i="3" s="1"/>
  <c r="F219" i="3"/>
  <c r="A219" i="3" s="1"/>
  <c r="F218" i="3"/>
  <c r="A218" i="3" s="1"/>
  <c r="F231" i="3"/>
  <c r="A231" i="3" s="1"/>
  <c r="F216" i="3"/>
  <c r="A216" i="3" s="1"/>
  <c r="F215" i="3"/>
  <c r="A215" i="3" s="1"/>
  <c r="F230" i="3"/>
  <c r="A230" i="3" s="1"/>
  <c r="F214" i="3"/>
  <c r="A214" i="3" s="1"/>
  <c r="F213" i="3"/>
  <c r="A213" i="3" s="1"/>
  <c r="F212" i="3"/>
  <c r="A212" i="3" s="1"/>
  <c r="F211" i="3"/>
  <c r="A211" i="3" s="1"/>
  <c r="F210" i="3"/>
  <c r="A210" i="3" s="1"/>
  <c r="F209" i="3"/>
  <c r="A209" i="3" s="1"/>
  <c r="F208" i="3"/>
  <c r="A208" i="3" s="1"/>
  <c r="F207" i="3"/>
  <c r="A207" i="3" s="1"/>
  <c r="F206" i="3"/>
  <c r="A206" i="3" s="1"/>
  <c r="F205" i="3"/>
  <c r="A205" i="3" s="1"/>
  <c r="F204" i="3"/>
  <c r="A204" i="3" s="1"/>
  <c r="F203" i="3"/>
  <c r="A203" i="3" s="1"/>
  <c r="F202" i="3"/>
  <c r="A202" i="3" s="1"/>
  <c r="F201" i="3"/>
  <c r="A201" i="3" s="1"/>
  <c r="F200" i="3"/>
  <c r="A200" i="3" s="1"/>
  <c r="F199" i="3"/>
  <c r="A199" i="3" s="1"/>
  <c r="F198" i="3"/>
  <c r="A198" i="3" s="1"/>
  <c r="F197" i="3"/>
  <c r="A197" i="3" s="1"/>
  <c r="F195" i="3"/>
  <c r="A195" i="3" s="1"/>
  <c r="F193" i="3"/>
  <c r="A193" i="3" s="1"/>
  <c r="F194" i="3"/>
  <c r="A194" i="3" s="1"/>
  <c r="F192" i="3"/>
  <c r="A192" i="3" s="1"/>
  <c r="F191" i="3"/>
  <c r="A191" i="3" s="1"/>
  <c r="F188" i="3"/>
  <c r="A188" i="3" s="1"/>
  <c r="F190" i="3"/>
  <c r="A190" i="3" s="1"/>
  <c r="F189" i="3"/>
  <c r="A189" i="3" s="1"/>
  <c r="F181" i="3"/>
  <c r="A181" i="3" s="1"/>
  <c r="F187" i="3"/>
  <c r="A187" i="3" s="1"/>
  <c r="F186" i="3"/>
  <c r="A186" i="3" s="1"/>
  <c r="F185" i="3"/>
  <c r="A185" i="3" s="1"/>
  <c r="F184" i="3"/>
  <c r="A184" i="3" s="1"/>
  <c r="F183" i="3"/>
  <c r="A183" i="3" s="1"/>
  <c r="F182" i="3"/>
  <c r="A182" i="3" s="1"/>
  <c r="F171" i="3"/>
  <c r="A171" i="3" s="1"/>
  <c r="F180" i="3"/>
  <c r="A180" i="3" s="1"/>
  <c r="F178" i="3"/>
  <c r="A178" i="3" s="1"/>
  <c r="F177" i="3"/>
  <c r="A177" i="3" s="1"/>
  <c r="F176" i="3"/>
  <c r="A176" i="3" s="1"/>
  <c r="F175" i="3"/>
  <c r="A175" i="3" s="1"/>
  <c r="F174" i="3"/>
  <c r="A174" i="3" s="1"/>
  <c r="F173" i="3"/>
  <c r="A173" i="3" s="1"/>
  <c r="F172" i="3"/>
  <c r="A172" i="3" s="1"/>
  <c r="F149" i="3"/>
  <c r="A149" i="3" s="1"/>
  <c r="F169" i="3"/>
  <c r="A169" i="3" s="1"/>
  <c r="F168" i="3"/>
  <c r="A168" i="3" s="1"/>
  <c r="F167" i="3"/>
  <c r="A167" i="3" s="1"/>
  <c r="F166" i="3"/>
  <c r="A166" i="3" s="1"/>
  <c r="F165" i="3"/>
  <c r="A165" i="3" s="1"/>
  <c r="F164" i="3"/>
  <c r="A164" i="3" s="1"/>
  <c r="F163" i="3"/>
  <c r="A163" i="3" s="1"/>
  <c r="F161" i="3"/>
  <c r="A161" i="3" s="1"/>
  <c r="F160" i="3"/>
  <c r="A160" i="3" s="1"/>
  <c r="F159" i="3"/>
  <c r="A159" i="3" s="1"/>
  <c r="F162" i="3"/>
  <c r="A162" i="3" s="1"/>
  <c r="F158" i="3"/>
  <c r="A158" i="3" s="1"/>
  <c r="F157" i="3"/>
  <c r="A157" i="3" s="1"/>
  <c r="F156" i="3"/>
  <c r="A156" i="3" s="1"/>
  <c r="F155" i="3"/>
  <c r="A155" i="3" s="1"/>
  <c r="F154" i="3"/>
  <c r="A154" i="3" s="1"/>
  <c r="F153" i="3"/>
  <c r="A153" i="3" s="1"/>
  <c r="F152" i="3"/>
  <c r="A152" i="3" s="1"/>
  <c r="F150" i="3"/>
  <c r="A150" i="3" s="1"/>
  <c r="F151" i="3"/>
  <c r="A151" i="3" s="1"/>
  <c r="F144" i="3"/>
  <c r="A144" i="3" s="1"/>
  <c r="F148" i="3"/>
  <c r="A148" i="3" s="1"/>
  <c r="F147" i="3"/>
  <c r="A147" i="3" s="1"/>
  <c r="F146" i="3"/>
  <c r="A146" i="3" s="1"/>
  <c r="F145" i="3"/>
  <c r="A145" i="3" s="1"/>
  <c r="F107" i="3"/>
  <c r="A107" i="3" s="1"/>
  <c r="F22" i="3"/>
  <c r="A22" i="3" s="1"/>
  <c r="F142" i="3"/>
  <c r="A142" i="3" s="1"/>
  <c r="F141" i="3"/>
  <c r="A141" i="3" s="1"/>
  <c r="F140" i="3"/>
  <c r="A140" i="3" s="1"/>
  <c r="F139" i="3"/>
  <c r="A139" i="3" s="1"/>
  <c r="F137" i="3"/>
  <c r="A137" i="3" s="1"/>
  <c r="F136" i="3"/>
  <c r="A136" i="3" s="1"/>
  <c r="F138" i="3"/>
  <c r="A138" i="3" s="1"/>
  <c r="F134" i="3"/>
  <c r="A134" i="3" s="1"/>
  <c r="F132" i="3"/>
  <c r="A132" i="3" s="1"/>
  <c r="F131" i="3"/>
  <c r="A131" i="3" s="1"/>
  <c r="F135" i="3"/>
  <c r="A135" i="3" s="1"/>
  <c r="F130" i="3"/>
  <c r="A130" i="3" s="1"/>
  <c r="F129" i="3"/>
  <c r="A129" i="3" s="1"/>
  <c r="F127" i="3"/>
  <c r="A127" i="3" s="1"/>
  <c r="F126" i="3"/>
  <c r="A126" i="3" s="1"/>
  <c r="F125" i="3"/>
  <c r="A125" i="3" s="1"/>
  <c r="F124" i="3"/>
  <c r="A124" i="3" s="1"/>
  <c r="F123" i="3"/>
  <c r="A123" i="3" s="1"/>
  <c r="F122" i="3"/>
  <c r="A122" i="3" s="1"/>
  <c r="F121" i="3"/>
  <c r="A121" i="3" s="1"/>
  <c r="F120" i="3"/>
  <c r="A120" i="3" s="1"/>
  <c r="F119" i="3"/>
  <c r="A119" i="3" s="1"/>
  <c r="F118" i="3"/>
  <c r="A118" i="3" s="1"/>
  <c r="F117" i="3"/>
  <c r="A117" i="3" s="1"/>
  <c r="F116" i="3"/>
  <c r="A116" i="3" s="1"/>
  <c r="F115" i="3"/>
  <c r="A115" i="3" s="1"/>
  <c r="F114" i="3"/>
  <c r="A114" i="3" s="1"/>
  <c r="F113" i="3"/>
  <c r="A113" i="3" s="1"/>
  <c r="F112" i="3"/>
  <c r="A112" i="3" s="1"/>
  <c r="F111" i="3"/>
  <c r="A111" i="3" s="1"/>
  <c r="F110" i="3"/>
  <c r="A110" i="3" s="1"/>
  <c r="F109" i="3"/>
  <c r="A109" i="3" s="1"/>
  <c r="F97" i="3"/>
  <c r="A97" i="3" s="1"/>
  <c r="F106" i="3"/>
  <c r="A106" i="3" s="1"/>
  <c r="F105" i="3"/>
  <c r="A105" i="3" s="1"/>
  <c r="F104" i="3"/>
  <c r="A104" i="3" s="1"/>
  <c r="F102" i="3"/>
  <c r="A102" i="3" s="1"/>
  <c r="F101" i="3"/>
  <c r="A101" i="3" s="1"/>
  <c r="F100" i="3"/>
  <c r="A100" i="3" s="1"/>
  <c r="F99" i="3"/>
  <c r="A99" i="3" s="1"/>
  <c r="F98" i="3"/>
  <c r="A98" i="3" s="1"/>
  <c r="F90" i="3"/>
  <c r="A90" i="3" s="1"/>
  <c r="F96" i="3"/>
  <c r="A96" i="3" s="1"/>
  <c r="F95" i="3"/>
  <c r="A95" i="3" s="1"/>
  <c r="F94" i="3"/>
  <c r="A94" i="3" s="1"/>
  <c r="F93" i="3"/>
  <c r="A93" i="3" s="1"/>
  <c r="F92" i="3"/>
  <c r="A92" i="3" s="1"/>
  <c r="F91" i="3"/>
  <c r="A91" i="3" s="1"/>
  <c r="F77" i="3"/>
  <c r="A77" i="3" s="1"/>
  <c r="F89" i="3"/>
  <c r="A89" i="3" s="1"/>
  <c r="F88" i="3"/>
  <c r="A88" i="3" s="1"/>
  <c r="F82" i="3"/>
  <c r="A82" i="3" s="1"/>
  <c r="F81" i="3"/>
  <c r="A81" i="3" s="1"/>
  <c r="F80" i="3"/>
  <c r="A80" i="3" s="1"/>
  <c r="F79" i="3"/>
  <c r="A79" i="3" s="1"/>
  <c r="F78" i="3"/>
  <c r="A78" i="3" s="1"/>
  <c r="F71" i="3"/>
  <c r="A71" i="3" s="1"/>
  <c r="F76" i="3"/>
  <c r="A76" i="3" s="1"/>
  <c r="F75" i="3"/>
  <c r="A75" i="3" s="1"/>
  <c r="F74" i="3"/>
  <c r="A74" i="3" s="1"/>
  <c r="F73" i="3"/>
  <c r="A73" i="3" s="1"/>
  <c r="F72" i="3"/>
  <c r="A72" i="3" s="1"/>
  <c r="F68" i="3"/>
  <c r="A68" i="3" s="1"/>
  <c r="F69" i="3"/>
  <c r="A69" i="3" s="1"/>
  <c r="F65" i="3"/>
  <c r="A65" i="3" s="1"/>
  <c r="F67" i="3"/>
  <c r="A67" i="3" s="1"/>
  <c r="F66" i="3"/>
  <c r="A66" i="3" s="1"/>
  <c r="F54" i="3"/>
  <c r="A54" i="3" s="1"/>
  <c r="F64" i="3"/>
  <c r="A64" i="3" s="1"/>
  <c r="F63" i="3"/>
  <c r="A63" i="3" s="1"/>
  <c r="F62" i="3"/>
  <c r="A62" i="3" s="1"/>
  <c r="F61" i="3"/>
  <c r="A61" i="3" s="1"/>
  <c r="F60" i="3"/>
  <c r="A60" i="3" s="1"/>
  <c r="F59" i="3"/>
  <c r="A59" i="3" s="1"/>
  <c r="F58" i="3"/>
  <c r="A58" i="3" s="1"/>
  <c r="F57" i="3"/>
  <c r="A57" i="3" s="1"/>
  <c r="F56" i="3"/>
  <c r="A56" i="3" s="1"/>
  <c r="F55" i="3"/>
  <c r="A55" i="3" s="1"/>
  <c r="F53" i="3"/>
  <c r="A53" i="3" s="1"/>
  <c r="F52" i="3"/>
  <c r="A52" i="3" s="1"/>
  <c r="F51" i="3"/>
  <c r="A51" i="3" s="1"/>
  <c r="F50" i="3"/>
  <c r="A50" i="3" s="1"/>
  <c r="F49" i="3"/>
  <c r="A49" i="3" s="1"/>
  <c r="F48" i="3"/>
  <c r="A48" i="3" s="1"/>
  <c r="F47" i="3"/>
  <c r="A47" i="3" s="1"/>
  <c r="F46" i="3"/>
  <c r="A46" i="3" s="1"/>
  <c r="F45" i="3"/>
  <c r="A45" i="3" s="1"/>
  <c r="F44" i="3"/>
  <c r="A44" i="3" s="1"/>
  <c r="F42" i="3"/>
  <c r="A42" i="3" s="1"/>
  <c r="F41" i="3"/>
  <c r="A41" i="3" s="1"/>
  <c r="F40" i="3"/>
  <c r="A40" i="3" s="1"/>
  <c r="F38" i="3"/>
  <c r="A38" i="3" s="1"/>
  <c r="F37" i="3"/>
  <c r="A37" i="3" s="1"/>
  <c r="F36" i="3"/>
  <c r="A36" i="3" s="1"/>
  <c r="F39" i="3"/>
  <c r="A39" i="3" s="1"/>
  <c r="F35" i="3"/>
  <c r="A35" i="3" s="1"/>
  <c r="F34" i="3"/>
  <c r="A34" i="3" s="1"/>
  <c r="F33" i="3"/>
  <c r="A33" i="3" s="1"/>
  <c r="F32" i="3"/>
  <c r="A32" i="3" s="1"/>
  <c r="F31" i="3"/>
  <c r="A31" i="3" s="1"/>
  <c r="F30" i="3"/>
  <c r="A30" i="3" s="1"/>
  <c r="F29" i="3"/>
  <c r="A29" i="3" s="1"/>
  <c r="F28" i="3"/>
  <c r="A28" i="3" s="1"/>
  <c r="F20" i="3"/>
  <c r="A20" i="3" s="1"/>
  <c r="F19" i="3"/>
  <c r="A19" i="3" s="1"/>
  <c r="F18" i="3"/>
  <c r="A18" i="3" s="1"/>
  <c r="F17" i="3"/>
  <c r="A17" i="3" s="1"/>
  <c r="F16" i="3"/>
  <c r="A16" i="3" s="1"/>
  <c r="F15" i="3"/>
  <c r="A15" i="3" s="1"/>
  <c r="F14" i="3"/>
  <c r="A14" i="3" s="1"/>
  <c r="F13" i="3"/>
  <c r="A13" i="3" s="1"/>
  <c r="F12" i="3"/>
  <c r="A12" i="3" s="1"/>
  <c r="F11" i="3"/>
  <c r="A11" i="3" s="1"/>
  <c r="F10" i="3"/>
  <c r="A10" i="3" s="1"/>
  <c r="F9" i="3"/>
  <c r="A9" i="3" s="1"/>
  <c r="F8" i="3"/>
  <c r="A8" i="3" s="1"/>
  <c r="F7" i="3"/>
  <c r="A7" i="3" s="1"/>
  <c r="F6" i="3"/>
  <c r="A6" i="3" s="1"/>
  <c r="F5" i="3"/>
  <c r="A5" i="3" s="1"/>
  <c r="F4" i="3"/>
  <c r="A4" i="3" s="1"/>
  <c r="F3" i="3"/>
  <c r="A3" i="3" s="1"/>
  <c r="H69" i="13" s="1"/>
  <c r="D69" i="14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F4" i="12" a="1"/>
  <c r="F3" i="12" a="1"/>
  <c r="F6" i="12" a="1"/>
  <c r="F9" i="12" a="1"/>
  <c r="F14" i="12" a="1"/>
  <c r="F17" i="12" a="1"/>
  <c r="F22" i="12" a="1"/>
  <c r="F25" i="12" a="1"/>
  <c r="F30" i="12" a="1"/>
  <c r="F33" i="12" a="1"/>
  <c r="F38" i="12" a="1"/>
  <c r="F41" i="12" a="1"/>
  <c r="F46" i="12" a="1"/>
  <c r="F49" i="12" a="1"/>
  <c r="F54" i="12" a="1"/>
  <c r="F57" i="12" a="1"/>
  <c r="F62" i="12" a="1"/>
  <c r="F65" i="12" a="1"/>
  <c r="F70" i="12" a="1"/>
  <c r="F73" i="12" a="1"/>
  <c r="F78" i="12" a="1"/>
  <c r="F81" i="12" a="1"/>
  <c r="F86" i="12" a="1"/>
  <c r="F89" i="12" a="1"/>
  <c r="F94" i="12" a="1"/>
  <c r="F97" i="12" a="1"/>
  <c r="F102" i="12" a="1"/>
  <c r="F105" i="12" a="1"/>
  <c r="F110" i="12" a="1"/>
  <c r="F113" i="12" a="1"/>
  <c r="F118" i="12" a="1"/>
  <c r="F121" i="12" a="1"/>
  <c r="F126" i="12" a="1"/>
  <c r="F129" i="12" a="1"/>
  <c r="F134" i="12" a="1"/>
  <c r="F137" i="12" a="1"/>
  <c r="F142" i="12" a="1"/>
  <c r="F145" i="12" a="1"/>
  <c r="F150" i="12" a="1"/>
  <c r="F153" i="12" a="1"/>
  <c r="F158" i="12" a="1"/>
  <c r="F161" i="12" a="1"/>
  <c r="F166" i="12" a="1"/>
  <c r="F169" i="12" a="1"/>
  <c r="F174" i="12" a="1"/>
  <c r="F176" i="12" a="1"/>
  <c r="F178" i="12" a="1"/>
  <c r="F180" i="12" a="1"/>
  <c r="F182" i="12" a="1"/>
  <c r="F184" i="12" a="1"/>
  <c r="F186" i="12" a="1"/>
  <c r="F188" i="12" a="1"/>
  <c r="F190" i="12" a="1"/>
  <c r="F192" i="12" a="1"/>
  <c r="F7" i="12" a="1"/>
  <c r="F12" i="12" a="1"/>
  <c r="F15" i="12" a="1"/>
  <c r="F20" i="12" a="1"/>
  <c r="F23" i="12" a="1"/>
  <c r="F28" i="12" a="1"/>
  <c r="F31" i="12" a="1"/>
  <c r="F36" i="12" a="1"/>
  <c r="F39" i="12" a="1"/>
  <c r="F44" i="12" a="1"/>
  <c r="F47" i="12" a="1"/>
  <c r="F52" i="12" a="1"/>
  <c r="F55" i="12" a="1"/>
  <c r="F60" i="12" a="1"/>
  <c r="F63" i="12" a="1"/>
  <c r="F68" i="12" a="1"/>
  <c r="F71" i="12" a="1"/>
  <c r="F76" i="12" a="1"/>
  <c r="F79" i="12" a="1"/>
  <c r="F84" i="12" a="1"/>
  <c r="F87" i="12" a="1"/>
  <c r="F92" i="12" a="1"/>
  <c r="F95" i="12" a="1"/>
  <c r="F100" i="12" a="1"/>
  <c r="F103" i="12" a="1"/>
  <c r="F108" i="12" a="1"/>
  <c r="F111" i="12" a="1"/>
  <c r="F116" i="12" a="1"/>
  <c r="F119" i="12" a="1"/>
  <c r="F124" i="12" a="1"/>
  <c r="F127" i="12" a="1"/>
  <c r="F132" i="12" a="1"/>
  <c r="F135" i="12" a="1"/>
  <c r="F140" i="12" a="1"/>
  <c r="F143" i="12" a="1"/>
  <c r="F148" i="12" a="1"/>
  <c r="F151" i="12" a="1"/>
  <c r="F156" i="12" a="1"/>
  <c r="F159" i="12" a="1"/>
  <c r="F164" i="12" a="1"/>
  <c r="F167" i="12" a="1"/>
  <c r="F172" i="12" a="1"/>
  <c r="F5" i="12" a="1"/>
  <c r="F10" i="12" a="1"/>
  <c r="F13" i="12" a="1"/>
  <c r="F18" i="12" a="1"/>
  <c r="F21" i="12" a="1"/>
  <c r="F26" i="12" a="1"/>
  <c r="F29" i="12" a="1"/>
  <c r="F34" i="12" a="1"/>
  <c r="F37" i="12" a="1"/>
  <c r="F42" i="12" a="1"/>
  <c r="F45" i="12" a="1"/>
  <c r="F50" i="12" a="1"/>
  <c r="F53" i="12" a="1"/>
  <c r="F58" i="12" a="1"/>
  <c r="F61" i="12" a="1"/>
  <c r="F66" i="12" a="1"/>
  <c r="F69" i="12" a="1"/>
  <c r="F74" i="12" a="1"/>
  <c r="F77" i="12" a="1"/>
  <c r="F82" i="12" a="1"/>
  <c r="F85" i="12" a="1"/>
  <c r="F90" i="12" a="1"/>
  <c r="F93" i="12" a="1"/>
  <c r="F98" i="12" a="1"/>
  <c r="F101" i="12" a="1"/>
  <c r="F106" i="12" a="1"/>
  <c r="F109" i="12" a="1"/>
  <c r="F114" i="12" a="1"/>
  <c r="F117" i="12" a="1"/>
  <c r="F122" i="12" a="1"/>
  <c r="F125" i="12" a="1"/>
  <c r="F130" i="12" a="1"/>
  <c r="F133" i="12" a="1"/>
  <c r="F138" i="12" a="1"/>
  <c r="F141" i="12" a="1"/>
  <c r="F146" i="12" a="1"/>
  <c r="F149" i="12" a="1"/>
  <c r="F154" i="12" a="1"/>
  <c r="F157" i="12" a="1"/>
  <c r="F162" i="12" a="1"/>
  <c r="F165" i="12" a="1"/>
  <c r="F170" i="12" a="1"/>
  <c r="F173" i="12" a="1"/>
  <c r="F175" i="12" a="1"/>
  <c r="F177" i="12" a="1"/>
  <c r="F179" i="12" a="1"/>
  <c r="F181" i="12" a="1"/>
  <c r="F183" i="12" a="1"/>
  <c r="F185" i="12" a="1"/>
  <c r="F187" i="12" a="1"/>
  <c r="F189" i="12" a="1"/>
  <c r="F16" i="12" a="1"/>
  <c r="F27" i="12" a="1"/>
  <c r="F48" i="12" a="1"/>
  <c r="F59" i="12" a="1"/>
  <c r="F80" i="12" a="1"/>
  <c r="F91" i="12" a="1"/>
  <c r="F112" i="12" a="1"/>
  <c r="F123" i="12" a="1"/>
  <c r="F144" i="12" a="1"/>
  <c r="F155" i="12" a="1"/>
  <c r="F191" i="12" a="1"/>
  <c r="F194" i="12" a="1"/>
  <c r="F197" i="12" a="1"/>
  <c r="F202" i="12" a="1"/>
  <c r="F205" i="12" a="1"/>
  <c r="F210" i="12" a="1"/>
  <c r="F213" i="12" a="1"/>
  <c r="F218" i="12" a="1"/>
  <c r="F221" i="12" a="1"/>
  <c r="F226" i="12" a="1"/>
  <c r="F229" i="12" a="1"/>
  <c r="F234" i="12" a="1"/>
  <c r="F237" i="12" a="1"/>
  <c r="F242" i="12" a="1"/>
  <c r="F8" i="12" a="1"/>
  <c r="F19" i="12" a="1"/>
  <c r="F40" i="12" a="1"/>
  <c r="F51" i="12" a="1"/>
  <c r="F72" i="12" a="1"/>
  <c r="F83" i="12" a="1"/>
  <c r="F104" i="12" a="1"/>
  <c r="F115" i="12" a="1"/>
  <c r="F136" i="12" a="1"/>
  <c r="F147" i="12" a="1"/>
  <c r="F168" i="12" a="1"/>
  <c r="F195" i="12" a="1"/>
  <c r="F200" i="12" a="1"/>
  <c r="F203" i="12" a="1"/>
  <c r="F208" i="12" a="1"/>
  <c r="F211" i="12" a="1"/>
  <c r="F216" i="12" a="1"/>
  <c r="F219" i="12" a="1"/>
  <c r="F224" i="12" a="1"/>
  <c r="F227" i="12" a="1"/>
  <c r="F232" i="12" a="1"/>
  <c r="F235" i="12" a="1"/>
  <c r="F240" i="12" a="1"/>
  <c r="F243" i="12" a="1"/>
  <c r="F245" i="12" a="1"/>
  <c r="F247" i="12" a="1"/>
  <c r="F249" i="12" a="1"/>
  <c r="F251" i="12" a="1"/>
  <c r="F253" i="12" a="1"/>
  <c r="F255" i="12" a="1"/>
  <c r="F257" i="12" a="1"/>
  <c r="F259" i="12" a="1"/>
  <c r="F261" i="12" a="1"/>
  <c r="F263" i="12" a="1"/>
  <c r="F265" i="12" a="1"/>
  <c r="F267" i="12" a="1"/>
  <c r="F269" i="12" a="1"/>
  <c r="F271" i="12" a="1"/>
  <c r="F273" i="12" a="1"/>
  <c r="F11" i="12" a="1"/>
  <c r="F32" i="12" a="1"/>
  <c r="F43" i="12" a="1"/>
  <c r="F64" i="12" a="1"/>
  <c r="F75" i="12" a="1"/>
  <c r="F96" i="12" a="1"/>
  <c r="F107" i="12" a="1"/>
  <c r="F128" i="12" a="1"/>
  <c r="F139" i="12" a="1"/>
  <c r="F160" i="12" a="1"/>
  <c r="F171" i="12" a="1"/>
  <c r="F193" i="12" a="1"/>
  <c r="F198" i="12" a="1"/>
  <c r="F201" i="12" a="1"/>
  <c r="F206" i="12" a="1"/>
  <c r="F209" i="12" a="1"/>
  <c r="F214" i="12" a="1"/>
  <c r="F217" i="12" a="1"/>
  <c r="F222" i="12" a="1"/>
  <c r="F225" i="12" a="1"/>
  <c r="F230" i="12" a="1"/>
  <c r="F233" i="12" a="1"/>
  <c r="F238" i="12" a="1"/>
  <c r="F241" i="12" a="1"/>
  <c r="F56" i="12" a="1"/>
  <c r="F99" i="12" a="1"/>
  <c r="F199" i="12" a="1"/>
  <c r="F220" i="12" a="1"/>
  <c r="F231" i="12" a="1"/>
  <c r="F250" i="12" a="1"/>
  <c r="F258" i="12" a="1"/>
  <c r="F276" i="12" a="1"/>
  <c r="F279" i="12" a="1"/>
  <c r="F284" i="12" a="1"/>
  <c r="F287" i="12" a="1"/>
  <c r="F292" i="12" a="1"/>
  <c r="F295" i="12" a="1"/>
  <c r="F300" i="12" a="1"/>
  <c r="F303" i="12" a="1"/>
  <c r="F308" i="12" a="1"/>
  <c r="F311" i="12" a="1"/>
  <c r="F24" i="12" a="1"/>
  <c r="F67" i="12" a="1"/>
  <c r="F152" i="12" a="1"/>
  <c r="F212" i="12" a="1"/>
  <c r="F223" i="12" a="1"/>
  <c r="F244" i="12" a="1"/>
  <c r="F252" i="12" a="1"/>
  <c r="F260" i="12" a="1"/>
  <c r="F266" i="12" a="1"/>
  <c r="F270" i="12" a="1"/>
  <c r="F274" i="12" a="1"/>
  <c r="F277" i="12" a="1"/>
  <c r="F282" i="12" a="1"/>
  <c r="F285" i="12" a="1"/>
  <c r="F290" i="12" a="1"/>
  <c r="F293" i="12" a="1"/>
  <c r="F298" i="12" a="1"/>
  <c r="F301" i="12" a="1"/>
  <c r="F35" i="12" a="1"/>
  <c r="F120" i="12" a="1"/>
  <c r="F163" i="12" a="1"/>
  <c r="F204" i="12" a="1"/>
  <c r="F215" i="12" a="1"/>
  <c r="F236" i="12" a="1"/>
  <c r="F246" i="12" a="1"/>
  <c r="F254" i="12" a="1"/>
  <c r="F262" i="12" a="1"/>
  <c r="F275" i="12" a="1"/>
  <c r="F280" i="12" a="1"/>
  <c r="F283" i="12" a="1"/>
  <c r="F288" i="12" a="1"/>
  <c r="F291" i="12" a="1"/>
  <c r="F296" i="12" a="1"/>
  <c r="F299" i="12" a="1"/>
  <c r="F304" i="12" a="1"/>
  <c r="F307" i="12" a="1"/>
  <c r="F312" i="12" a="1"/>
  <c r="F315" i="12" a="1"/>
  <c r="F320" i="12" a="1"/>
  <c r="F323" i="12" a="1"/>
  <c r="F328" i="12" a="1"/>
  <c r="F331" i="12" a="1"/>
  <c r="F336" i="12" a="1"/>
  <c r="F339" i="12" a="1"/>
  <c r="F344" i="12" a="1"/>
  <c r="F347" i="12" a="1"/>
  <c r="F352" i="12" a="1"/>
  <c r="F196" i="12" a="1"/>
  <c r="F239" i="12" a="1"/>
  <c r="F268" i="12" a="1"/>
  <c r="F281" i="12" a="1"/>
  <c r="F302" i="12" a="1"/>
  <c r="F313" i="12" a="1"/>
  <c r="F316" i="12" a="1"/>
  <c r="F327" i="12" a="1"/>
  <c r="F330" i="12" a="1"/>
  <c r="F334" i="12" a="1"/>
  <c r="F341" i="12" a="1"/>
  <c r="F345" i="12" a="1"/>
  <c r="F348" i="12" a="1"/>
  <c r="F355" i="12" a="1"/>
  <c r="F360" i="12" a="1"/>
  <c r="F363" i="12" a="1"/>
  <c r="F368" i="12" a="1"/>
  <c r="F371" i="12" a="1"/>
  <c r="F376" i="12" a="1"/>
  <c r="F379" i="12" a="1"/>
  <c r="F384" i="12" a="1"/>
  <c r="F387" i="12" a="1"/>
  <c r="F392" i="12" a="1"/>
  <c r="F395" i="12" a="1"/>
  <c r="F400" i="12" a="1"/>
  <c r="F403" i="12" a="1"/>
  <c r="F408" i="12" a="1"/>
  <c r="F411" i="12" a="1"/>
  <c r="F416" i="12" a="1"/>
  <c r="F419" i="12" a="1"/>
  <c r="F424" i="12" a="1"/>
  <c r="F427" i="12" a="1"/>
  <c r="F432" i="12" a="1"/>
  <c r="F435" i="12" a="1"/>
  <c r="F440" i="12" a="1"/>
  <c r="F443" i="12" a="1"/>
  <c r="F448" i="12" a="1"/>
  <c r="F451" i="12" a="1"/>
  <c r="F456" i="12" a="1"/>
  <c r="F458" i="12" a="1"/>
  <c r="F460" i="12" a="1"/>
  <c r="F462" i="12" a="1"/>
  <c r="F464" i="12" a="1"/>
  <c r="F466" i="12" a="1"/>
  <c r="F468" i="12" a="1"/>
  <c r="F470" i="12" a="1"/>
  <c r="F472" i="12" a="1"/>
  <c r="F474" i="12" a="1"/>
  <c r="F476" i="12" a="1"/>
  <c r="F478" i="12" a="1"/>
  <c r="F480" i="12" a="1"/>
  <c r="F482" i="12" a="1"/>
  <c r="F484" i="12" a="1"/>
  <c r="F486" i="12" a="1"/>
  <c r="F488" i="12" a="1"/>
  <c r="F490" i="12" a="1"/>
  <c r="F492" i="12" a="1"/>
  <c r="F494" i="12" a="1"/>
  <c r="F496" i="12" a="1"/>
  <c r="F498" i="12" a="1"/>
  <c r="F500" i="12" a="1"/>
  <c r="F502" i="12" a="1"/>
  <c r="F278" i="12" a="1"/>
  <c r="F397" i="12" a="1"/>
  <c r="F413" i="12" a="1"/>
  <c r="F421" i="12" a="1"/>
  <c r="F429" i="12" a="1"/>
  <c r="F437" i="12" a="1"/>
  <c r="F445" i="12" a="1"/>
  <c r="F450" i="12" a="1"/>
  <c r="F88" i="12" a="1"/>
  <c r="F207" i="12" a="1"/>
  <c r="F248" i="12" a="1"/>
  <c r="F272" i="12" a="1"/>
  <c r="F294" i="12" a="1"/>
  <c r="F309" i="12" a="1"/>
  <c r="F317" i="12" a="1"/>
  <c r="F321" i="12" a="1"/>
  <c r="F324" i="12" a="1"/>
  <c r="F335" i="12" a="1"/>
  <c r="F338" i="12" a="1"/>
  <c r="F342" i="12" a="1"/>
  <c r="F349" i="12" a="1"/>
  <c r="F353" i="12" a="1"/>
  <c r="F358" i="12" a="1"/>
  <c r="F361" i="12" a="1"/>
  <c r="F366" i="12" a="1"/>
  <c r="F369" i="12" a="1"/>
  <c r="F374" i="12" a="1"/>
  <c r="F377" i="12" a="1"/>
  <c r="F382" i="12" a="1"/>
  <c r="F385" i="12" a="1"/>
  <c r="F390" i="12" a="1"/>
  <c r="F393" i="12" a="1"/>
  <c r="F398" i="12" a="1"/>
  <c r="F401" i="12" a="1"/>
  <c r="F406" i="12" a="1"/>
  <c r="F409" i="12" a="1"/>
  <c r="F414" i="12" a="1"/>
  <c r="F417" i="12" a="1"/>
  <c r="F422" i="12" a="1"/>
  <c r="F425" i="12" a="1"/>
  <c r="F430" i="12" a="1"/>
  <c r="F433" i="12" a="1"/>
  <c r="F438" i="12" a="1"/>
  <c r="F441" i="12" a="1"/>
  <c r="F446" i="12" a="1"/>
  <c r="F449" i="12" a="1"/>
  <c r="F454" i="12" a="1"/>
  <c r="F228" i="12" a="1"/>
  <c r="F306" i="12" a="1"/>
  <c r="F319" i="12" a="1"/>
  <c r="F326" i="12" a="1"/>
  <c r="F337" i="12" a="1"/>
  <c r="F354" i="12" a="1"/>
  <c r="F362" i="12" a="1"/>
  <c r="F370" i="12" a="1"/>
  <c r="F378" i="12" a="1"/>
  <c r="F386" i="12" a="1"/>
  <c r="F394" i="12" a="1"/>
  <c r="F405" i="12" a="1"/>
  <c r="F410" i="12" a="1"/>
  <c r="F418" i="12" a="1"/>
  <c r="F426" i="12" a="1"/>
  <c r="F434" i="12" a="1"/>
  <c r="F442" i="12" a="1"/>
  <c r="F453" i="12" a="1"/>
  <c r="F131" i="12" a="1"/>
  <c r="F256" i="12" a="1"/>
  <c r="F286" i="12" a="1"/>
  <c r="F297" i="12" a="1"/>
  <c r="F305" i="12" a="1"/>
  <c r="F310" i="12" a="1"/>
  <c r="F314" i="12" a="1"/>
  <c r="F318" i="12" a="1"/>
  <c r="F325" i="12" a="1"/>
  <c r="F329" i="12" a="1"/>
  <c r="F332" i="12" a="1"/>
  <c r="F343" i="12" a="1"/>
  <c r="F346" i="12" a="1"/>
  <c r="F350" i="12" a="1"/>
  <c r="F356" i="12" a="1"/>
  <c r="F359" i="12" a="1"/>
  <c r="F364" i="12" a="1"/>
  <c r="F367" i="12" a="1"/>
  <c r="F372" i="12" a="1"/>
  <c r="F375" i="12" a="1"/>
  <c r="F380" i="12" a="1"/>
  <c r="F383" i="12" a="1"/>
  <c r="F388" i="12" a="1"/>
  <c r="F391" i="12" a="1"/>
  <c r="F396" i="12" a="1"/>
  <c r="F399" i="12" a="1"/>
  <c r="F404" i="12" a="1"/>
  <c r="F407" i="12" a="1"/>
  <c r="F412" i="12" a="1"/>
  <c r="F415" i="12" a="1"/>
  <c r="F420" i="12" a="1"/>
  <c r="F423" i="12" a="1"/>
  <c r="F428" i="12" a="1"/>
  <c r="F431" i="12" a="1"/>
  <c r="F436" i="12" a="1"/>
  <c r="F439" i="12" a="1"/>
  <c r="F444" i="12" a="1"/>
  <c r="F447" i="12" a="1"/>
  <c r="F452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F481" i="12" a="1"/>
  <c r="F483" i="12" a="1"/>
  <c r="F485" i="12" a="1"/>
  <c r="F487" i="12" a="1"/>
  <c r="F489" i="12" a="1"/>
  <c r="F491" i="12" a="1"/>
  <c r="F493" i="12" a="1"/>
  <c r="F495" i="12" a="1"/>
  <c r="F497" i="12" a="1"/>
  <c r="F499" i="12" a="1"/>
  <c r="F501" i="12" a="1"/>
  <c r="F503" i="12" a="1"/>
  <c r="F264" i="12" a="1"/>
  <c r="F289" i="12" a="1"/>
  <c r="F322" i="12" a="1"/>
  <c r="F333" i="12" a="1"/>
  <c r="F340" i="12" a="1"/>
  <c r="F351" i="12" a="1"/>
  <c r="F357" i="12" a="1"/>
  <c r="F365" i="12" a="1"/>
  <c r="F373" i="12" a="1"/>
  <c r="F381" i="12" a="1"/>
  <c r="F389" i="12" a="1"/>
  <c r="F402" i="12" a="1"/>
  <c r="F3" i="14" a="1"/>
  <c r="F5" i="14" a="1"/>
  <c r="F7" i="14" a="1"/>
  <c r="F9" i="14" a="1"/>
  <c r="F11" i="14" a="1"/>
  <c r="F13" i="14" a="1"/>
  <c r="F15" i="14" a="1"/>
  <c r="F17" i="14" a="1"/>
  <c r="F19" i="14" a="1"/>
  <c r="F21" i="14" a="1"/>
  <c r="F23" i="14" a="1"/>
  <c r="F25" i="14" a="1"/>
  <c r="F27" i="14" a="1"/>
  <c r="F29" i="14" a="1"/>
  <c r="F31" i="14" a="1"/>
  <c r="F33" i="14" a="1"/>
  <c r="F35" i="14" a="1"/>
  <c r="F37" i="14" a="1"/>
  <c r="F39" i="14" a="1"/>
  <c r="F41" i="14" a="1"/>
  <c r="F43" i="14" a="1"/>
  <c r="F45" i="14" a="1"/>
  <c r="F47" i="14" a="1"/>
  <c r="F49" i="14" a="1"/>
  <c r="F51" i="14" a="1"/>
  <c r="F53" i="14" a="1"/>
  <c r="F55" i="14" a="1"/>
  <c r="F57" i="14" a="1"/>
  <c r="F59" i="14" a="1"/>
  <c r="F61" i="14" a="1"/>
  <c r="F63" i="14" a="1"/>
  <c r="F65" i="14" a="1"/>
  <c r="F67" i="14" a="1"/>
  <c r="F70" i="14" a="1"/>
  <c r="F4" i="14" a="1"/>
  <c r="F6" i="14" a="1"/>
  <c r="F8" i="14" a="1"/>
  <c r="F10" i="14" a="1"/>
  <c r="F12" i="14" a="1"/>
  <c r="F14" i="14" a="1"/>
  <c r="F16" i="14" a="1"/>
  <c r="F18" i="14" a="1"/>
  <c r="F20" i="14" a="1"/>
  <c r="F22" i="14" a="1"/>
  <c r="F24" i="14" a="1"/>
  <c r="F26" i="14" a="1"/>
  <c r="F28" i="14" a="1"/>
  <c r="F30" i="14" a="1"/>
  <c r="F32" i="14" a="1"/>
  <c r="F34" i="14" a="1"/>
  <c r="F36" i="14" a="1"/>
  <c r="F38" i="14" a="1"/>
  <c r="F40" i="14" a="1"/>
  <c r="F42" i="14" a="1"/>
  <c r="F44" i="14" a="1"/>
  <c r="F46" i="14" a="1"/>
  <c r="F48" i="14" a="1"/>
  <c r="F50" i="14" a="1"/>
  <c r="F52" i="14" a="1"/>
  <c r="F54" i="14" a="1"/>
  <c r="F56" i="14" a="1"/>
  <c r="F58" i="14" a="1"/>
  <c r="F60" i="14" a="1"/>
  <c r="F62" i="14" a="1"/>
  <c r="F64" i="14" a="1"/>
  <c r="F66" i="14" a="1"/>
  <c r="F68" i="14" a="1"/>
  <c r="F69" i="14" a="1"/>
  <c r="I70" i="13" a="1"/>
  <c r="I69" i="13" a="1"/>
  <c r="I68" i="13" a="1"/>
  <c r="I23" i="3" a="1"/>
  <c r="I26" i="3" a="1"/>
  <c r="I70" i="3" a="1"/>
  <c r="I292" i="3" a="1"/>
  <c r="I67" i="13" a="1"/>
  <c r="I66" i="13" a="1"/>
  <c r="I24" i="3" a="1"/>
  <c r="I65" i="13" a="1"/>
  <c r="I15" i="13" a="1"/>
  <c r="I2" i="13" a="1"/>
  <c r="I41" i="13" a="1"/>
  <c r="I35" i="13" a="1"/>
  <c r="I19" i="13" a="1"/>
  <c r="I31" i="13" a="1"/>
  <c r="I45" i="13" a="1"/>
  <c r="I21" i="13" a="1"/>
  <c r="I6" i="13" a="1"/>
  <c r="I27" i="13" a="1"/>
  <c r="I42" i="13" a="1"/>
  <c r="I43" i="13" a="1"/>
  <c r="I60" i="13" a="1"/>
  <c r="I56" i="13" a="1"/>
  <c r="I52" i="13" a="1"/>
  <c r="I23" i="13" a="1"/>
  <c r="I33" i="13" a="1"/>
  <c r="I49" i="13" a="1"/>
  <c r="I9" i="13" a="1"/>
  <c r="I36" i="13" a="1"/>
  <c r="I12" i="13" a="1"/>
  <c r="I25" i="13" a="1"/>
  <c r="I38" i="13" a="1"/>
  <c r="I14" i="13" a="1"/>
  <c r="I3" i="13" a="1"/>
  <c r="I4" i="13" a="1"/>
  <c r="I47" i="13" a="1"/>
  <c r="I59" i="13" a="1"/>
  <c r="I55" i="13" a="1"/>
  <c r="I51" i="13" a="1"/>
  <c r="I58" i="13" a="1"/>
  <c r="I48" i="13" a="1"/>
  <c r="I24" i="13" a="1"/>
  <c r="I8" i="13" a="1"/>
  <c r="I37" i="13" a="1"/>
  <c r="I26" i="13" a="1"/>
  <c r="I34" i="13" a="1"/>
  <c r="I61" i="13" a="1"/>
  <c r="I53" i="13" a="1"/>
  <c r="I11" i="13" a="1"/>
  <c r="I40" i="13" a="1"/>
  <c r="I16" i="13" a="1"/>
  <c r="I28" i="13" a="1"/>
  <c r="I30" i="13" a="1"/>
  <c r="I44" i="13" a="1"/>
  <c r="I20" i="13" a="1"/>
  <c r="I5" i="13" a="1"/>
  <c r="I46" i="13" a="1"/>
  <c r="I22" i="13" a="1"/>
  <c r="I17" i="13" a="1"/>
  <c r="I7" i="13" a="1"/>
  <c r="I62" i="13" a="1"/>
  <c r="I54" i="13" a="1"/>
  <c r="I50" i="13" a="1"/>
  <c r="I32" i="13" a="1"/>
  <c r="I29" i="13" a="1"/>
  <c r="I10" i="13" a="1"/>
  <c r="I13" i="13" a="1"/>
  <c r="I39" i="13" a="1"/>
  <c r="I18" i="13" a="1"/>
  <c r="I57" i="13" a="1"/>
  <c r="I63" i="13" a="1"/>
  <c r="I64" i="13" a="1"/>
  <c r="I143" i="3" a="1"/>
  <c r="I83" i="3" a="1"/>
  <c r="I41" i="3" a="1"/>
  <c r="I115" i="3" a="1"/>
  <c r="I183" i="3" a="1"/>
  <c r="I219" i="3" a="1"/>
  <c r="I237" i="3" a="1"/>
  <c r="I290" i="3" a="1"/>
  <c r="I323" i="3" a="1"/>
  <c r="I355" i="3" a="1"/>
  <c r="I47" i="3" a="1"/>
  <c r="I120" i="3" a="1"/>
  <c r="I181" i="3" a="1"/>
  <c r="I69" i="3" a="1"/>
  <c r="I22" i="3" a="1"/>
  <c r="I201" i="3" a="1"/>
  <c r="I236" i="3" a="1"/>
  <c r="I255" i="3" a="1"/>
  <c r="I304" i="3" a="1"/>
  <c r="I336" i="3" a="1"/>
  <c r="I368" i="3" a="1"/>
  <c r="I88" i="3" a="1"/>
  <c r="I387" i="3" a="1"/>
  <c r="I419" i="3" a="1"/>
  <c r="I374" i="3" a="1"/>
  <c r="I464" i="3" a="1"/>
  <c r="I383" i="3" a="1"/>
  <c r="I468" i="3" a="1"/>
  <c r="I402" i="3" a="1"/>
  <c r="I478" i="3" a="1"/>
  <c r="I426" i="3" a="1"/>
  <c r="I492" i="3" a="1"/>
  <c r="I103" i="3" a="1"/>
  <c r="I260" i="3" a="1"/>
  <c r="I63" i="3" a="1"/>
  <c r="I136" i="3" a="1"/>
  <c r="I198" i="3" a="1"/>
  <c r="I232" i="3" a="1"/>
  <c r="I268" i="3" a="1"/>
  <c r="I301" i="3" a="1"/>
  <c r="I332" i="3" a="1"/>
  <c r="I365" i="3" a="1"/>
  <c r="I65" i="3" a="1"/>
  <c r="I142" i="3" a="1"/>
  <c r="I16" i="3" a="1"/>
  <c r="I95" i="3" a="1"/>
  <c r="I163" i="3" a="1"/>
  <c r="I211" i="3" a="1"/>
  <c r="I246" i="3" a="1"/>
  <c r="I281" i="3" a="1"/>
  <c r="I314" i="3" a="1"/>
  <c r="I346" i="3" a="1"/>
  <c r="I79" i="3" a="1"/>
  <c r="I173" i="3" a="1"/>
  <c r="I397" i="3" a="1"/>
  <c r="I53" i="3" a="1"/>
  <c r="I414" i="3" a="1"/>
  <c r="I480" i="3" a="1"/>
  <c r="I425" i="3" a="1"/>
  <c r="I488" i="3" a="1"/>
  <c r="I433" i="3" a="1"/>
  <c r="I499" i="3" a="1"/>
  <c r="I447" i="3" a="1"/>
  <c r="I87" i="3" a="1"/>
  <c r="I259" i="3" a="1"/>
  <c r="I127" i="3" a="1"/>
  <c r="I225" i="3" a="1"/>
  <c r="I296" i="3" a="1"/>
  <c r="I361" i="3" a="1"/>
  <c r="I132" i="3" a="1"/>
  <c r="I82" i="3" a="1"/>
  <c r="I207" i="3" a="1"/>
  <c r="I277" i="3" a="1"/>
  <c r="I342" i="3" a="1"/>
  <c r="I140" i="3" a="1"/>
  <c r="I13" i="3" a="1"/>
  <c r="I476" i="3" a="1"/>
  <c r="I463" i="3" a="1"/>
  <c r="I491" i="3" a="1"/>
  <c r="I258" i="3" a="1"/>
  <c r="I223" i="3" a="1"/>
  <c r="I94" i="3" a="1"/>
  <c r="I291" i="3" a="1"/>
  <c r="I503" i="3" a="1"/>
  <c r="I179" i="3" a="1"/>
  <c r="I106" i="3" a="1"/>
  <c r="I215" i="3" a="1"/>
  <c r="I286" i="3" a="1"/>
  <c r="I351" i="3" a="1"/>
  <c r="I112" i="3" a="1"/>
  <c r="I61" i="3" a="1"/>
  <c r="I197" i="3" a="1"/>
  <c r="I267" i="3" a="1"/>
  <c r="I331" i="3" a="1"/>
  <c r="I49" i="3" a="1"/>
  <c r="I410" i="3" a="1"/>
  <c r="I456" i="3" a="1"/>
  <c r="I461" i="3" a="1"/>
  <c r="I469" i="3" a="1"/>
  <c r="I484" i="3" a="1"/>
  <c r="I262" i="3" a="1"/>
  <c r="I44" i="3" a="1"/>
  <c r="I305" i="3" a="1"/>
  <c r="I439" i="3" a="1"/>
  <c r="I434" i="3" a="1"/>
  <c r="I111" i="3" a="1"/>
  <c r="I231" i="3" a="1"/>
  <c r="I288" i="3" a="1"/>
  <c r="I353" i="3" a="1"/>
  <c r="I116" i="3" a="1"/>
  <c r="I54" i="3" a="1"/>
  <c r="I199" i="3" a="1"/>
  <c r="I269" i="3" a="1"/>
  <c r="I333" i="3" a="1"/>
  <c r="I66" i="3" a="1"/>
  <c r="I417" i="3" a="1"/>
  <c r="I460" i="3" a="1"/>
  <c r="I465" i="3" a="1"/>
  <c r="I474" i="3" a="1"/>
  <c r="I489" i="3" a="1"/>
  <c r="I208" i="3" a="1"/>
  <c r="I56" i="3" a="1"/>
  <c r="I240" i="3" a="1"/>
  <c r="I168" i="3" a="1"/>
  <c r="I471" i="3" a="1"/>
  <c r="I467" i="3" a="1"/>
  <c r="I133" i="3" a="1"/>
  <c r="I59" i="3" a="1"/>
  <c r="I18" i="3" a="1"/>
  <c r="I144" i="3" a="1"/>
  <c r="I212" i="3" a="1"/>
  <c r="I266" i="3" a="1"/>
  <c r="I307" i="3" a="1"/>
  <c r="I347" i="3" a="1"/>
  <c r="I64" i="3" a="1"/>
  <c r="I154" i="3" a="1"/>
  <c r="I52" i="3" a="1"/>
  <c r="I162" i="3" a="1"/>
  <c r="I216" i="3" a="1"/>
  <c r="I263" i="3" a="1"/>
  <c r="I312" i="3" a="1"/>
  <c r="I352" i="3" a="1"/>
  <c r="I9" i="3" a="1"/>
  <c r="I395" i="3" a="1"/>
  <c r="I110" i="3" a="1"/>
  <c r="I445" i="3" a="1"/>
  <c r="I416" i="3" a="1"/>
  <c r="I501" i="3" a="1"/>
  <c r="I462" i="3" a="1"/>
  <c r="I442" i="3" a="1"/>
  <c r="I84" i="3" a="1"/>
  <c r="I80" i="3" a="1"/>
  <c r="I169" i="3" a="1"/>
  <c r="I221" i="3" a="1"/>
  <c r="I276" i="3" a="1"/>
  <c r="I317" i="3" a="1"/>
  <c r="I357" i="3" a="1"/>
  <c r="I77" i="3" a="1"/>
  <c r="I175" i="3" a="1"/>
  <c r="I74" i="3" a="1"/>
  <c r="I171" i="3" a="1"/>
  <c r="I226" i="3" a="1"/>
  <c r="I271" i="3" a="1"/>
  <c r="I322" i="3" a="1"/>
  <c r="I362" i="3" a="1"/>
  <c r="I105" i="3" a="1"/>
  <c r="I405" i="3" a="1"/>
  <c r="I17" i="3" a="1"/>
  <c r="I472" i="3" a="1"/>
  <c r="I440" i="3" a="1"/>
  <c r="I384" i="3" a="1"/>
  <c r="I483" i="3" a="1"/>
  <c r="I449" i="3" a="1"/>
  <c r="I25" i="3" a="1"/>
  <c r="I93" i="3" a="1"/>
  <c r="I245" i="3" a="1"/>
  <c r="I327" i="3" a="1"/>
  <c r="I98" i="3" a="1"/>
  <c r="I121" i="3" a="1"/>
  <c r="I242" i="3" a="1"/>
  <c r="I326" i="3" a="1"/>
  <c r="I377" i="3" a="1"/>
  <c r="I398" i="3" a="1"/>
  <c r="I448" i="3" a="1"/>
  <c r="I388" i="3" a="1"/>
  <c r="I89" i="3" a="1"/>
  <c r="I338" i="3" a="1"/>
  <c r="I28" i="3" a="1"/>
  <c r="I486" i="3" a="1"/>
  <c r="I67" i="3" a="1"/>
  <c r="I235" i="3" a="1"/>
  <c r="I319" i="3" a="1"/>
  <c r="I73" i="3" a="1"/>
  <c r="I99" i="3" a="1"/>
  <c r="I228" i="3" a="1"/>
  <c r="I316" i="3" a="1"/>
  <c r="I190" i="3" a="1"/>
  <c r="I96" i="3" a="1"/>
  <c r="I415" i="3" a="1"/>
  <c r="I502" i="3" a="1"/>
  <c r="I170" i="3" a="1"/>
  <c r="I129" i="3" a="1"/>
  <c r="I356" i="3" a="1"/>
  <c r="I477" i="3" a="1"/>
  <c r="I72" i="3" a="1"/>
  <c r="I196" i="3" a="1"/>
  <c r="I321" i="3" a="1"/>
  <c r="I71" i="3" a="1"/>
  <c r="I104" i="3" a="1"/>
  <c r="I233" i="3" a="1"/>
  <c r="I318" i="3" a="1"/>
  <c r="I369" i="3" a="1"/>
  <c r="I164" i="3" a="1"/>
  <c r="I432" i="3" a="1"/>
  <c r="I75" i="3" a="1"/>
  <c r="I50" i="3" a="1"/>
  <c r="I343" i="3" a="1"/>
  <c r="I275" i="3" a="1"/>
  <c r="I407" i="3" a="1"/>
  <c r="I379" i="3" a="1"/>
  <c r="I76" i="3" a="1"/>
  <c r="I165" i="3" a="1"/>
  <c r="I227" i="3" a="1"/>
  <c r="I274" i="3" a="1"/>
  <c r="I315" i="3" a="1"/>
  <c r="I363" i="3" a="1"/>
  <c r="I81" i="3" a="1"/>
  <c r="I149" i="3" a="1"/>
  <c r="I91" i="3" a="1"/>
  <c r="I176" i="3" a="1"/>
  <c r="I224" i="3" a="1"/>
  <c r="I279" i="3" a="1"/>
  <c r="I320" i="3" a="1"/>
  <c r="I360" i="3" a="1"/>
  <c r="I156" i="3" a="1"/>
  <c r="I376" i="3" a="1"/>
  <c r="I177" i="3" a="1"/>
  <c r="I479" i="3" a="1"/>
  <c r="I436" i="3" a="1"/>
  <c r="I370" i="3" a="1"/>
  <c r="I494" i="3" a="1"/>
  <c r="I459" i="3" a="1"/>
  <c r="I234" i="3" a="1"/>
  <c r="I6" i="3" a="1"/>
  <c r="I101" i="3" a="1"/>
  <c r="I187" i="3" a="1"/>
  <c r="I241" i="3" a="1"/>
  <c r="I284" i="3" a="1"/>
  <c r="I308" i="3" a="1"/>
  <c r="I11" i="3" a="1"/>
  <c r="I97" i="3" a="1"/>
  <c r="I191" i="3" a="1"/>
  <c r="I113" i="3" a="1"/>
  <c r="I193" i="3" a="1"/>
  <c r="I2" i="3" a="1"/>
  <c r="I204" i="3" a="1"/>
  <c r="I297" i="3" a="1"/>
  <c r="I30" i="3" a="1"/>
  <c r="I35" i="3" a="1"/>
  <c r="I209" i="3" a="1"/>
  <c r="I295" i="3" a="1"/>
  <c r="I138" i="3" a="1"/>
  <c r="I39" i="3" a="1"/>
  <c r="I40" i="3" a="1"/>
  <c r="I431" i="3" a="1"/>
  <c r="I27" i="3" a="1"/>
  <c r="I46" i="3" a="1"/>
  <c r="I214" i="3" a="1"/>
  <c r="I309" i="3" a="1"/>
  <c r="I51" i="3" a="1"/>
  <c r="I57" i="3" a="1"/>
  <c r="I218" i="3" a="1"/>
  <c r="I289" i="3" a="1"/>
  <c r="I334" i="3" a="1"/>
  <c r="I32" i="3" a="1"/>
  <c r="I413" i="3" a="1"/>
  <c r="I435" i="3" a="1"/>
  <c r="I392" i="3" a="1"/>
  <c r="I403" i="3" a="1"/>
  <c r="I404" i="3" a="1"/>
  <c r="I43" i="3" a="1"/>
  <c r="I160" i="3" a="1"/>
  <c r="I280" i="3" a="1"/>
  <c r="I60" i="3" a="1"/>
  <c r="I155" i="3" a="1"/>
  <c r="I294" i="3" a="1"/>
  <c r="I186" i="3" a="1"/>
  <c r="I443" i="3" a="1"/>
  <c r="I424" i="3" a="1"/>
  <c r="I229" i="3" a="1"/>
  <c r="I4" i="3" a="1"/>
  <c r="I107" i="3" a="1"/>
  <c r="I33" i="3" a="1"/>
  <c r="I251" i="3" a="1"/>
  <c r="I364" i="3" a="1"/>
  <c r="I20" i="3" a="1"/>
  <c r="I248" i="3" a="1"/>
  <c r="I359" i="3" a="1"/>
  <c r="I68" i="3" a="1"/>
  <c r="I493" i="3" a="1"/>
  <c r="I451" i="3" a="1"/>
  <c r="I15" i="3" a="1"/>
  <c r="I122" i="3" a="1"/>
  <c r="I108" i="3" a="1"/>
  <c r="I202" i="3" a="1"/>
  <c r="I337" i="3" a="1"/>
  <c r="I184" i="3" a="1"/>
  <c r="I230" i="3" a="1"/>
  <c r="I350" i="3" a="1"/>
  <c r="I401" i="3" a="1"/>
  <c r="I367" i="3" a="1"/>
  <c r="I420" i="3" a="1"/>
  <c r="I243" i="3" a="1"/>
  <c r="I185" i="3" a="1"/>
  <c r="I390" i="3" a="1"/>
  <c r="I58" i="3" a="1"/>
  <c r="I141" i="3" a="1"/>
  <c r="I270" i="3" a="1"/>
  <c r="I37" i="3" a="1"/>
  <c r="I134" i="3" a="1"/>
  <c r="I283" i="3" a="1"/>
  <c r="I100" i="3" a="1"/>
  <c r="I422" i="3" a="1"/>
  <c r="I386" i="3" a="1"/>
  <c r="I217" i="3" a="1"/>
  <c r="I150" i="3" a="1"/>
  <c r="I423" i="3" a="1"/>
  <c r="I36" i="3" a="1"/>
  <c r="I253" i="3" a="1"/>
  <c r="I3" i="3" a="1"/>
  <c r="I31" i="3" a="1"/>
  <c r="I250" i="3" a="1"/>
  <c r="I366" i="3" a="1"/>
  <c r="I496" i="3" a="1"/>
  <c r="I455" i="3" a="1"/>
  <c r="I273" i="3" a="1"/>
  <c r="I324" i="3" a="1"/>
  <c r="I444" i="3" a="1"/>
  <c r="I247" i="3" a="1"/>
  <c r="I339" i="3" a="1"/>
  <c r="I137" i="3" a="1"/>
  <c r="I125" i="3" a="1"/>
  <c r="I252" i="3" a="1"/>
  <c r="I378" i="3" a="1"/>
  <c r="I428" i="3" a="1"/>
  <c r="I396" i="3" a="1"/>
  <c r="I153" i="3" a="1"/>
  <c r="I349" i="3" a="1"/>
  <c r="I147" i="3" a="1"/>
  <c r="I306" i="3" a="1"/>
  <c r="I380" i="3" a="1"/>
  <c r="I498" i="3" a="1"/>
  <c r="I466" i="3" a="1"/>
  <c r="I14" i="3" a="1"/>
  <c r="I345" i="3" a="1"/>
  <c r="I222" i="3" a="1"/>
  <c r="I409" i="3" a="1"/>
  <c r="I438" i="3" a="1"/>
  <c r="I205" i="3" a="1"/>
  <c r="I174" i="3" a="1"/>
  <c r="I146" i="3" a="1"/>
  <c r="I300" i="3" a="1"/>
  <c r="I487" i="3" a="1"/>
  <c r="I188" i="3" a="1"/>
  <c r="I400" i="3" a="1"/>
  <c r="I272" i="3" a="1"/>
  <c r="I139" i="3" a="1"/>
  <c r="I118" i="3" a="1"/>
  <c r="I394" i="3" a="1"/>
  <c r="I161" i="3" a="1"/>
  <c r="I418" i="3" a="1"/>
  <c r="I7" i="3" a="1"/>
  <c r="I192" i="3" a="1"/>
  <c r="I62" i="3" a="1"/>
  <c r="I495" i="3" a="1"/>
  <c r="I475" i="3" a="1"/>
  <c r="I206" i="3" a="1"/>
  <c r="I34" i="3" a="1"/>
  <c r="I203" i="3" a="1"/>
  <c r="I329" i="3" a="1"/>
  <c r="I389" i="3" a="1"/>
  <c r="I114" i="3" a="1"/>
  <c r="I372" i="3" a="1"/>
  <c r="I55" i="3" a="1"/>
  <c r="I19" i="3" a="1"/>
  <c r="I261" i="3" a="1"/>
  <c r="I159" i="3" a="1"/>
  <c r="I470" i="3" a="1"/>
  <c r="I391" i="3" a="1"/>
  <c r="I200" i="3" a="1"/>
  <c r="I180" i="3" a="1"/>
  <c r="I348" i="3" a="1"/>
  <c r="I182" i="3" a="1"/>
  <c r="I325" i="3" a="1"/>
  <c r="I454" i="3" a="1"/>
  <c r="I299" i="3" a="1"/>
  <c r="I172" i="3" a="1"/>
  <c r="I385" i="3" a="1"/>
  <c r="I441" i="3" a="1"/>
  <c r="I78" i="3" a="1"/>
  <c r="I90" i="3" a="1"/>
  <c r="I239" i="3" a="1"/>
  <c r="I330" i="3" a="1"/>
  <c r="I102" i="3" a="1"/>
  <c r="I109" i="3" a="1"/>
  <c r="I244" i="3" a="1"/>
  <c r="I328" i="3" a="1"/>
  <c r="I371" i="3" a="1"/>
  <c r="I406" i="3" a="1"/>
  <c r="I453" i="3" a="1"/>
  <c r="I148" i="3" a="1"/>
  <c r="I10" i="3" a="1"/>
  <c r="I119" i="3" a="1"/>
  <c r="I249" i="3" a="1"/>
  <c r="I341" i="3" a="1"/>
  <c r="I124" i="3" a="1"/>
  <c r="I130" i="3" a="1"/>
  <c r="I238" i="3" a="1"/>
  <c r="I298" i="3" a="1"/>
  <c r="I354" i="3" a="1"/>
  <c r="I373" i="3" a="1"/>
  <c r="I421" i="3" a="1"/>
  <c r="I452" i="3" a="1"/>
  <c r="I457" i="3" a="1"/>
  <c r="I450" i="3" a="1"/>
  <c r="I430" i="3" a="1"/>
  <c r="I446" i="3" a="1"/>
  <c r="I194" i="3" a="1"/>
  <c r="I313" i="3" a="1"/>
  <c r="I166" i="3" a="1"/>
  <c r="I189" i="3" a="1"/>
  <c r="I310" i="3" a="1"/>
  <c r="I393" i="3" a="1"/>
  <c r="I128" i="3" a="1"/>
  <c r="I458" i="3" a="1"/>
  <c r="I157" i="3" a="1"/>
  <c r="I117" i="3" a="1"/>
  <c r="I92" i="3" a="1"/>
  <c r="I131" i="3" a="1"/>
  <c r="I344" i="3" a="1"/>
  <c r="I485" i="3" a="1"/>
  <c r="I86" i="3" a="1"/>
  <c r="I257" i="3" a="1"/>
  <c r="I158" i="3" a="1"/>
  <c r="I254" i="3" a="1"/>
  <c r="I5" i="3" a="1"/>
  <c r="I126" i="3" a="1"/>
  <c r="I473" i="3" a="1"/>
  <c r="I481" i="3" a="1"/>
  <c r="I210" i="3" a="1"/>
  <c r="I8" i="3" a="1"/>
  <c r="I358" i="3" a="1"/>
  <c r="I408" i="3" a="1"/>
  <c r="I278" i="3" a="1"/>
  <c r="I500" i="3" a="1"/>
  <c r="I303" i="3" a="1"/>
  <c r="I167" i="3" a="1"/>
  <c r="I382" i="3" a="1"/>
  <c r="I437" i="3" a="1"/>
  <c r="I220" i="3" a="1"/>
  <c r="I145" i="3" a="1"/>
  <c r="I42" i="3" a="1"/>
  <c r="I285" i="3" a="1"/>
  <c r="I427" i="3" a="1"/>
  <c r="I21" i="3" a="1"/>
  <c r="I340" i="3" a="1"/>
  <c r="I195" i="3" a="1"/>
  <c r="I282" i="3" a="1"/>
  <c r="I12" i="3" a="1"/>
  <c r="I287" i="3" a="1"/>
  <c r="I411" i="3" a="1"/>
  <c r="I429" i="3" a="1"/>
  <c r="I29" i="3" a="1"/>
  <c r="I293" i="3" a="1"/>
  <c r="I38" i="3" a="1"/>
  <c r="I265" i="3" a="1"/>
  <c r="I152" i="3" a="1"/>
  <c r="I381" i="3" a="1"/>
  <c r="I482" i="3" a="1"/>
  <c r="I497" i="3" a="1"/>
  <c r="I264" i="3" a="1"/>
  <c r="I48" i="3" a="1"/>
  <c r="I45" i="3" a="1"/>
  <c r="I135" i="3" a="1"/>
  <c r="I311" i="3" a="1"/>
  <c r="I85" i="3" a="1"/>
  <c r="I335" i="3" a="1"/>
  <c r="I213" i="3" a="1"/>
  <c r="I399" i="3" a="1"/>
  <c r="I412" i="3" a="1"/>
  <c r="I256" i="3" a="1"/>
  <c r="I178" i="3" a="1"/>
  <c r="I151" i="3" a="1"/>
  <c r="I302" i="3" a="1"/>
  <c r="I490" i="3" a="1"/>
  <c r="I123" i="3" a="1"/>
  <c r="I375" i="3" a="1"/>
  <c r="F402" i="12" l="1"/>
  <c r="F389" i="12"/>
  <c r="F381" i="12"/>
  <c r="F373" i="12"/>
  <c r="F365" i="12"/>
  <c r="F357" i="12"/>
  <c r="F351" i="12"/>
  <c r="F340" i="12"/>
  <c r="F333" i="12"/>
  <c r="F322" i="12"/>
  <c r="F289" i="12"/>
  <c r="F264" i="12"/>
  <c r="F503" i="12"/>
  <c r="F501" i="12"/>
  <c r="F499" i="12"/>
  <c r="F497" i="12"/>
  <c r="F495" i="12"/>
  <c r="F493" i="12"/>
  <c r="F491" i="12"/>
  <c r="F489" i="12"/>
  <c r="F487" i="12"/>
  <c r="F485" i="12"/>
  <c r="F483" i="12"/>
  <c r="F481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2" i="12"/>
  <c r="F447" i="12"/>
  <c r="F444" i="12"/>
  <c r="F439" i="12"/>
  <c r="F436" i="12"/>
  <c r="F431" i="12"/>
  <c r="F428" i="12"/>
  <c r="F423" i="12"/>
  <c r="F420" i="12"/>
  <c r="F415" i="12"/>
  <c r="F412" i="12"/>
  <c r="F407" i="12"/>
  <c r="F404" i="12"/>
  <c r="F399" i="12"/>
  <c r="F396" i="12"/>
  <c r="F391" i="12"/>
  <c r="F388" i="12"/>
  <c r="F383" i="12"/>
  <c r="F380" i="12"/>
  <c r="F375" i="12"/>
  <c r="F372" i="12"/>
  <c r="F367" i="12"/>
  <c r="F364" i="12"/>
  <c r="F359" i="12"/>
  <c r="F356" i="12"/>
  <c r="F350" i="12"/>
  <c r="F346" i="12"/>
  <c r="F343" i="12"/>
  <c r="F332" i="12"/>
  <c r="F329" i="12"/>
  <c r="F325" i="12"/>
  <c r="F318" i="12"/>
  <c r="F314" i="12"/>
  <c r="F310" i="12"/>
  <c r="F305" i="12"/>
  <c r="F297" i="12"/>
  <c r="F286" i="12"/>
  <c r="F256" i="12"/>
  <c r="F131" i="12"/>
  <c r="F453" i="12"/>
  <c r="F442" i="12"/>
  <c r="F434" i="12"/>
  <c r="F426" i="12"/>
  <c r="F418" i="12"/>
  <c r="F410" i="12"/>
  <c r="F405" i="12"/>
  <c r="F394" i="12"/>
  <c r="F386" i="12"/>
  <c r="F378" i="12"/>
  <c r="F370" i="12"/>
  <c r="F362" i="12"/>
  <c r="F354" i="12"/>
  <c r="F337" i="12"/>
  <c r="F326" i="12"/>
  <c r="F319" i="12"/>
  <c r="F306" i="12"/>
  <c r="F228" i="12"/>
  <c r="F454" i="12"/>
  <c r="F449" i="12"/>
  <c r="F446" i="12"/>
  <c r="F441" i="12"/>
  <c r="F438" i="12"/>
  <c r="F433" i="12"/>
  <c r="F430" i="12"/>
  <c r="F425" i="12"/>
  <c r="F422" i="12"/>
  <c r="F417" i="12"/>
  <c r="F414" i="12"/>
  <c r="F409" i="12"/>
  <c r="F406" i="12"/>
  <c r="F401" i="12"/>
  <c r="F398" i="12"/>
  <c r="F393" i="12"/>
  <c r="F390" i="12"/>
  <c r="F385" i="12"/>
  <c r="F382" i="12"/>
  <c r="F377" i="12"/>
  <c r="F374" i="12"/>
  <c r="F369" i="12"/>
  <c r="F366" i="12"/>
  <c r="F361" i="12"/>
  <c r="F358" i="12"/>
  <c r="F353" i="12"/>
  <c r="F349" i="12"/>
  <c r="F342" i="12"/>
  <c r="F338" i="12"/>
  <c r="F335" i="12"/>
  <c r="F324" i="12"/>
  <c r="F321" i="12"/>
  <c r="F317" i="12"/>
  <c r="F309" i="12"/>
  <c r="F294" i="12"/>
  <c r="F272" i="12"/>
  <c r="F248" i="12"/>
  <c r="F207" i="12"/>
  <c r="F88" i="12"/>
  <c r="F450" i="12"/>
  <c r="F445" i="12"/>
  <c r="F437" i="12"/>
  <c r="F429" i="12"/>
  <c r="F421" i="12"/>
  <c r="F413" i="12"/>
  <c r="F397" i="12"/>
  <c r="F278" i="12"/>
  <c r="F502" i="12"/>
  <c r="F500" i="12"/>
  <c r="F498" i="12"/>
  <c r="F496" i="12"/>
  <c r="F494" i="12"/>
  <c r="F492" i="12"/>
  <c r="F490" i="12"/>
  <c r="F488" i="12"/>
  <c r="F486" i="12"/>
  <c r="F484" i="12"/>
  <c r="F482" i="12"/>
  <c r="F480" i="12"/>
  <c r="F478" i="12"/>
  <c r="F476" i="12"/>
  <c r="F474" i="12"/>
  <c r="F472" i="12"/>
  <c r="F470" i="12"/>
  <c r="F468" i="12"/>
  <c r="F466" i="12"/>
  <c r="F464" i="12"/>
  <c r="F462" i="12"/>
  <c r="F460" i="12"/>
  <c r="F458" i="12"/>
  <c r="F456" i="12"/>
  <c r="F451" i="12"/>
  <c r="F448" i="12"/>
  <c r="F443" i="12"/>
  <c r="F440" i="12"/>
  <c r="F435" i="12"/>
  <c r="F432" i="12"/>
  <c r="F427" i="12"/>
  <c r="F424" i="12"/>
  <c r="F419" i="12"/>
  <c r="F416" i="12"/>
  <c r="F411" i="12"/>
  <c r="F408" i="12"/>
  <c r="F403" i="12"/>
  <c r="F400" i="12"/>
  <c r="F395" i="12"/>
  <c r="F392" i="12"/>
  <c r="F387" i="12"/>
  <c r="F384" i="12"/>
  <c r="F379" i="12"/>
  <c r="F376" i="12"/>
  <c r="F371" i="12"/>
  <c r="F368" i="12"/>
  <c r="F363" i="12"/>
  <c r="F360" i="12"/>
  <c r="F355" i="12"/>
  <c r="F348" i="12"/>
  <c r="F345" i="12"/>
  <c r="F341" i="12"/>
  <c r="F334" i="12"/>
  <c r="F330" i="12"/>
  <c r="F327" i="12"/>
  <c r="F316" i="12"/>
  <c r="F313" i="12"/>
  <c r="F302" i="12"/>
  <c r="F281" i="12"/>
  <c r="F268" i="12"/>
  <c r="F239" i="12"/>
  <c r="F196" i="12"/>
  <c r="F352" i="12"/>
  <c r="F347" i="12"/>
  <c r="F344" i="12"/>
  <c r="F339" i="12"/>
  <c r="F336" i="12"/>
  <c r="F331" i="12"/>
  <c r="F328" i="12"/>
  <c r="F323" i="12"/>
  <c r="F320" i="12"/>
  <c r="F315" i="12"/>
  <c r="F312" i="12"/>
  <c r="F307" i="12"/>
  <c r="F304" i="12"/>
  <c r="F299" i="12"/>
  <c r="F296" i="12"/>
  <c r="F291" i="12"/>
  <c r="F288" i="12"/>
  <c r="F283" i="12"/>
  <c r="F280" i="12"/>
  <c r="F275" i="12"/>
  <c r="F262" i="12"/>
  <c r="F254" i="12"/>
  <c r="F246" i="12"/>
  <c r="F236" i="12"/>
  <c r="F215" i="12"/>
  <c r="F204" i="12"/>
  <c r="F163" i="12"/>
  <c r="F120" i="12"/>
  <c r="F35" i="12"/>
  <c r="F301" i="12"/>
  <c r="F298" i="12"/>
  <c r="F293" i="12"/>
  <c r="F290" i="12"/>
  <c r="F285" i="12"/>
  <c r="F282" i="12"/>
  <c r="F277" i="12"/>
  <c r="F274" i="12"/>
  <c r="F270" i="12"/>
  <c r="F266" i="12"/>
  <c r="F260" i="12"/>
  <c r="F252" i="12"/>
  <c r="F244" i="12"/>
  <c r="F223" i="12"/>
  <c r="F212" i="12"/>
  <c r="F152" i="12"/>
  <c r="F67" i="12"/>
  <c r="F24" i="12"/>
  <c r="F311" i="12"/>
  <c r="F308" i="12"/>
  <c r="F303" i="12"/>
  <c r="F300" i="12"/>
  <c r="F295" i="12"/>
  <c r="F292" i="12"/>
  <c r="F287" i="12"/>
  <c r="F284" i="12"/>
  <c r="F279" i="12"/>
  <c r="F276" i="12"/>
  <c r="F258" i="12"/>
  <c r="F250" i="12"/>
  <c r="F231" i="12"/>
  <c r="F220" i="12"/>
  <c r="F199" i="12"/>
  <c r="F99" i="12"/>
  <c r="F56" i="12"/>
  <c r="F241" i="12"/>
  <c r="F238" i="12"/>
  <c r="F233" i="12"/>
  <c r="F230" i="12"/>
  <c r="F225" i="12"/>
  <c r="F222" i="12"/>
  <c r="F217" i="12"/>
  <c r="F214" i="12"/>
  <c r="F209" i="12"/>
  <c r="F206" i="12"/>
  <c r="F201" i="12"/>
  <c r="F198" i="12"/>
  <c r="F193" i="12"/>
  <c r="F171" i="12"/>
  <c r="F160" i="12"/>
  <c r="F139" i="12"/>
  <c r="F128" i="12"/>
  <c r="F107" i="12"/>
  <c r="F96" i="12"/>
  <c r="F75" i="12"/>
  <c r="F64" i="12"/>
  <c r="F43" i="12"/>
  <c r="F32" i="12"/>
  <c r="F11" i="12"/>
  <c r="F273" i="12"/>
  <c r="F271" i="12"/>
  <c r="F269" i="12"/>
  <c r="F267" i="12"/>
  <c r="F265" i="12"/>
  <c r="F263" i="12"/>
  <c r="F261" i="12"/>
  <c r="F259" i="12"/>
  <c r="F257" i="12"/>
  <c r="F255" i="12"/>
  <c r="F253" i="12"/>
  <c r="F251" i="12"/>
  <c r="F249" i="12"/>
  <c r="F247" i="12"/>
  <c r="F245" i="12"/>
  <c r="F243" i="12"/>
  <c r="F240" i="12"/>
  <c r="F235" i="12"/>
  <c r="F232" i="12"/>
  <c r="F227" i="12"/>
  <c r="F224" i="12"/>
  <c r="F219" i="12"/>
  <c r="F216" i="12"/>
  <c r="F211" i="12"/>
  <c r="F208" i="12"/>
  <c r="F203" i="12"/>
  <c r="F200" i="12"/>
  <c r="F195" i="12"/>
  <c r="F168" i="12"/>
  <c r="F147" i="12"/>
  <c r="F136" i="12"/>
  <c r="F115" i="12"/>
  <c r="F104" i="12"/>
  <c r="F83" i="12"/>
  <c r="F72" i="12"/>
  <c r="F51" i="12"/>
  <c r="F40" i="12"/>
  <c r="F19" i="12"/>
  <c r="F8" i="12"/>
  <c r="F242" i="12"/>
  <c r="F237" i="12"/>
  <c r="F234" i="12"/>
  <c r="F229" i="12"/>
  <c r="F226" i="12"/>
  <c r="F221" i="12"/>
  <c r="F218" i="12"/>
  <c r="F213" i="12"/>
  <c r="F210" i="12"/>
  <c r="F205" i="12"/>
  <c r="F202" i="12"/>
  <c r="F197" i="12"/>
  <c r="F194" i="12"/>
  <c r="F191" i="12"/>
  <c r="F155" i="12"/>
  <c r="F144" i="12"/>
  <c r="F123" i="12"/>
  <c r="F112" i="12"/>
  <c r="F91" i="12"/>
  <c r="F80" i="12"/>
  <c r="F59" i="12"/>
  <c r="F48" i="12"/>
  <c r="F27" i="12"/>
  <c r="F16" i="12"/>
  <c r="F189" i="12"/>
  <c r="F187" i="12"/>
  <c r="F185" i="12"/>
  <c r="F183" i="12"/>
  <c r="F181" i="12"/>
  <c r="F179" i="12"/>
  <c r="F177" i="12"/>
  <c r="F175" i="12"/>
  <c r="F173" i="12"/>
  <c r="F170" i="12"/>
  <c r="F165" i="12"/>
  <c r="F162" i="12"/>
  <c r="F157" i="12"/>
  <c r="F154" i="12"/>
  <c r="F149" i="12"/>
  <c r="F146" i="12"/>
  <c r="F141" i="12"/>
  <c r="F138" i="12"/>
  <c r="F133" i="12"/>
  <c r="F130" i="12"/>
  <c r="F125" i="12"/>
  <c r="F122" i="12"/>
  <c r="F117" i="12"/>
  <c r="F114" i="12"/>
  <c r="F109" i="12"/>
  <c r="F106" i="12"/>
  <c r="F101" i="12"/>
  <c r="F98" i="12"/>
  <c r="F93" i="12"/>
  <c r="F90" i="12"/>
  <c r="F85" i="12"/>
  <c r="F82" i="12"/>
  <c r="F77" i="12"/>
  <c r="F74" i="12"/>
  <c r="F69" i="12"/>
  <c r="F66" i="12"/>
  <c r="F61" i="12"/>
  <c r="F58" i="12"/>
  <c r="F53" i="12"/>
  <c r="F50" i="12"/>
  <c r="F45" i="12"/>
  <c r="F42" i="12"/>
  <c r="F37" i="12"/>
  <c r="F34" i="12"/>
  <c r="F29" i="12"/>
  <c r="F26" i="12"/>
  <c r="F21" i="12"/>
  <c r="F18" i="12"/>
  <c r="F13" i="12"/>
  <c r="F10" i="12"/>
  <c r="F5" i="12"/>
  <c r="F172" i="12"/>
  <c r="F167" i="12"/>
  <c r="F164" i="12"/>
  <c r="F159" i="12"/>
  <c r="F156" i="12"/>
  <c r="F151" i="12"/>
  <c r="F148" i="12"/>
  <c r="F143" i="12"/>
  <c r="F140" i="12"/>
  <c r="F135" i="12"/>
  <c r="F132" i="12"/>
  <c r="F127" i="12"/>
  <c r="F124" i="12"/>
  <c r="F119" i="12"/>
  <c r="F116" i="12"/>
  <c r="F111" i="12"/>
  <c r="F108" i="12"/>
  <c r="F103" i="12"/>
  <c r="F100" i="12"/>
  <c r="F95" i="12"/>
  <c r="F92" i="12"/>
  <c r="F87" i="12"/>
  <c r="F84" i="12"/>
  <c r="F79" i="12"/>
  <c r="F76" i="12"/>
  <c r="F71" i="12"/>
  <c r="F68" i="12"/>
  <c r="F63" i="12"/>
  <c r="F60" i="12"/>
  <c r="F55" i="12"/>
  <c r="F52" i="12"/>
  <c r="F47" i="12"/>
  <c r="F44" i="12"/>
  <c r="F39" i="12"/>
  <c r="F36" i="12"/>
  <c r="F31" i="12"/>
  <c r="F28" i="12"/>
  <c r="F23" i="12"/>
  <c r="F20" i="12"/>
  <c r="F15" i="12"/>
  <c r="F12" i="12"/>
  <c r="F7" i="12"/>
  <c r="F192" i="12"/>
  <c r="F190" i="12"/>
  <c r="F188" i="12"/>
  <c r="F186" i="12"/>
  <c r="F184" i="12"/>
  <c r="F182" i="12"/>
  <c r="F180" i="12"/>
  <c r="F178" i="12"/>
  <c r="F176" i="12"/>
  <c r="F174" i="12"/>
  <c r="F169" i="12"/>
  <c r="F166" i="12"/>
  <c r="F161" i="12"/>
  <c r="F158" i="12"/>
  <c r="F153" i="12"/>
  <c r="F150" i="12"/>
  <c r="F145" i="12"/>
  <c r="F142" i="12"/>
  <c r="F137" i="12"/>
  <c r="F134" i="12"/>
  <c r="F129" i="12"/>
  <c r="F126" i="12"/>
  <c r="F121" i="12"/>
  <c r="F118" i="12"/>
  <c r="F113" i="12"/>
  <c r="F110" i="12"/>
  <c r="F105" i="12"/>
  <c r="F102" i="12"/>
  <c r="F97" i="12"/>
  <c r="F94" i="12"/>
  <c r="F89" i="12"/>
  <c r="F86" i="12"/>
  <c r="F81" i="12"/>
  <c r="F78" i="12"/>
  <c r="F73" i="12"/>
  <c r="F70" i="12"/>
  <c r="F65" i="12"/>
  <c r="F62" i="12"/>
  <c r="F57" i="12"/>
  <c r="F54" i="12"/>
  <c r="F49" i="12"/>
  <c r="F46" i="12"/>
  <c r="F41" i="12"/>
  <c r="F38" i="12"/>
  <c r="F33" i="12"/>
  <c r="F30" i="12"/>
  <c r="F25" i="12"/>
  <c r="F22" i="12"/>
  <c r="F17" i="12"/>
  <c r="F14" i="12"/>
  <c r="F9" i="12"/>
  <c r="F6" i="12"/>
  <c r="F3" i="12"/>
  <c r="F4" i="12"/>
  <c r="F69" i="14"/>
  <c r="F68" i="14"/>
  <c r="F66" i="14"/>
  <c r="F64" i="14"/>
  <c r="F62" i="14"/>
  <c r="F60" i="14"/>
  <c r="F58" i="14"/>
  <c r="F56" i="14"/>
  <c r="F54" i="14"/>
  <c r="F52" i="14"/>
  <c r="F50" i="14"/>
  <c r="F48" i="14"/>
  <c r="F46" i="14"/>
  <c r="F44" i="14"/>
  <c r="F42" i="14"/>
  <c r="F40" i="14"/>
  <c r="F38" i="14"/>
  <c r="F36" i="14"/>
  <c r="F34" i="14"/>
  <c r="F32" i="14"/>
  <c r="F30" i="14"/>
  <c r="F28" i="14"/>
  <c r="F26" i="14"/>
  <c r="F24" i="14"/>
  <c r="F22" i="14"/>
  <c r="F20" i="14"/>
  <c r="F18" i="14"/>
  <c r="F16" i="14"/>
  <c r="F14" i="14"/>
  <c r="F12" i="14"/>
  <c r="F10" i="14"/>
  <c r="F8" i="14"/>
  <c r="F6" i="14"/>
  <c r="F4" i="14"/>
  <c r="F70" i="14"/>
  <c r="F67" i="14"/>
  <c r="F65" i="14"/>
  <c r="F63" i="14"/>
  <c r="F61" i="14"/>
  <c r="F59" i="14"/>
  <c r="F57" i="14"/>
  <c r="F55" i="14"/>
  <c r="F53" i="14"/>
  <c r="F51" i="14"/>
  <c r="F49" i="14"/>
  <c r="F47" i="14"/>
  <c r="F45" i="14"/>
  <c r="F43" i="14"/>
  <c r="F41" i="14"/>
  <c r="F39" i="14"/>
  <c r="F37" i="14"/>
  <c r="F35" i="14"/>
  <c r="F33" i="14"/>
  <c r="F31" i="14"/>
  <c r="F29" i="14"/>
  <c r="F27" i="14"/>
  <c r="F25" i="14"/>
  <c r="F23" i="14"/>
  <c r="F21" i="14"/>
  <c r="F19" i="14"/>
  <c r="F17" i="14"/>
  <c r="F15" i="14"/>
  <c r="F13" i="14"/>
  <c r="F11" i="14"/>
  <c r="F9" i="14"/>
  <c r="F7" i="14"/>
  <c r="F5" i="14"/>
  <c r="F3" i="14"/>
  <c r="C68" i="13"/>
  <c r="C68" i="14" s="1"/>
  <c r="C69" i="13"/>
  <c r="C69" i="14" s="1"/>
  <c r="H68" i="13"/>
  <c r="D68" i="14" s="1"/>
  <c r="C70" i="13"/>
  <c r="C70" i="14" s="1"/>
  <c r="H70" i="13"/>
  <c r="D70" i="14" s="1"/>
  <c r="I70" i="13"/>
  <c r="I69" i="13"/>
  <c r="I68" i="13"/>
  <c r="I23" i="3"/>
  <c r="I26" i="3"/>
  <c r="I70" i="3"/>
  <c r="H2" i="13"/>
  <c r="I292" i="3"/>
  <c r="H66" i="13"/>
  <c r="D66" i="14" s="1"/>
  <c r="C36" i="13"/>
  <c r="C67" i="13"/>
  <c r="C67" i="14" s="1"/>
  <c r="H67" i="13"/>
  <c r="D67" i="14" s="1"/>
  <c r="I67" i="13"/>
  <c r="C60" i="13"/>
  <c r="C56" i="13"/>
  <c r="C44" i="13"/>
  <c r="C32" i="13"/>
  <c r="C24" i="13"/>
  <c r="C16" i="13"/>
  <c r="C16" i="14" s="1"/>
  <c r="C8" i="13"/>
  <c r="H64" i="13"/>
  <c r="H60" i="13"/>
  <c r="H48" i="13"/>
  <c r="D48" i="14" s="1"/>
  <c r="H40" i="13"/>
  <c r="D40" i="14" s="1"/>
  <c r="H36" i="13"/>
  <c r="D36" i="14" s="1"/>
  <c r="H24" i="13"/>
  <c r="H16" i="13"/>
  <c r="D16" i="14" s="1"/>
  <c r="H8" i="13"/>
  <c r="D8" i="14" s="1"/>
  <c r="H4" i="13"/>
  <c r="C63" i="13"/>
  <c r="C63" i="14" s="1"/>
  <c r="C59" i="13"/>
  <c r="C59" i="14" s="1"/>
  <c r="C55" i="13"/>
  <c r="C51" i="13"/>
  <c r="C47" i="13"/>
  <c r="C43" i="13"/>
  <c r="C39" i="13"/>
  <c r="C35" i="13"/>
  <c r="C31" i="13"/>
  <c r="C31" i="14" s="1"/>
  <c r="C27" i="13"/>
  <c r="C23" i="13"/>
  <c r="C19" i="13"/>
  <c r="C15" i="13"/>
  <c r="C11" i="13"/>
  <c r="C7" i="13"/>
  <c r="C3" i="13"/>
  <c r="C3" i="14" s="1"/>
  <c r="H63" i="13"/>
  <c r="H59" i="13"/>
  <c r="H55" i="13"/>
  <c r="D55" i="14" s="1"/>
  <c r="H51" i="13"/>
  <c r="D51" i="14" s="1"/>
  <c r="H47" i="13"/>
  <c r="H43" i="13"/>
  <c r="H39" i="13"/>
  <c r="H35" i="13"/>
  <c r="H31" i="13"/>
  <c r="H27" i="13"/>
  <c r="H23" i="13"/>
  <c r="D23" i="14" s="1"/>
  <c r="H19" i="13"/>
  <c r="D19" i="14" s="1"/>
  <c r="H15" i="13"/>
  <c r="H11" i="13"/>
  <c r="H7" i="13"/>
  <c r="H3" i="13"/>
  <c r="C64" i="13"/>
  <c r="C52" i="13"/>
  <c r="C48" i="13"/>
  <c r="C40" i="13"/>
  <c r="C28" i="13"/>
  <c r="C20" i="13"/>
  <c r="C12" i="13"/>
  <c r="C4" i="13"/>
  <c r="H56" i="13"/>
  <c r="H52" i="13"/>
  <c r="H44" i="13"/>
  <c r="D44" i="14" s="1"/>
  <c r="H32" i="13"/>
  <c r="H28" i="13"/>
  <c r="H20" i="13"/>
  <c r="H12" i="13"/>
  <c r="C66" i="13"/>
  <c r="C66" i="14" s="1"/>
  <c r="C62" i="13"/>
  <c r="C58" i="13"/>
  <c r="C54" i="13"/>
  <c r="C50" i="13"/>
  <c r="C46" i="13"/>
  <c r="C42" i="13"/>
  <c r="C38" i="13"/>
  <c r="C34" i="13"/>
  <c r="C30" i="13"/>
  <c r="C26" i="13"/>
  <c r="C22" i="13"/>
  <c r="C22" i="14" s="1"/>
  <c r="C18" i="13"/>
  <c r="C14" i="13"/>
  <c r="C14" i="14" s="1"/>
  <c r="C10" i="13"/>
  <c r="C6" i="13"/>
  <c r="C2" i="13"/>
  <c r="H62" i="13"/>
  <c r="H58" i="13"/>
  <c r="H54" i="13"/>
  <c r="H50" i="13"/>
  <c r="H46" i="13"/>
  <c r="H42" i="13"/>
  <c r="H38" i="13"/>
  <c r="D38" i="14" s="1"/>
  <c r="H34" i="13"/>
  <c r="H30" i="13"/>
  <c r="D30" i="14" s="1"/>
  <c r="H26" i="13"/>
  <c r="H22" i="13"/>
  <c r="H18" i="13"/>
  <c r="H14" i="13"/>
  <c r="H10" i="13"/>
  <c r="H6" i="13"/>
  <c r="C65" i="13"/>
  <c r="C61" i="13"/>
  <c r="C61" i="14" s="1"/>
  <c r="C57" i="13"/>
  <c r="C53" i="13"/>
  <c r="C49" i="13"/>
  <c r="C45" i="13"/>
  <c r="C41" i="13"/>
  <c r="C37" i="13"/>
  <c r="C37" i="14" s="1"/>
  <c r="C33" i="13"/>
  <c r="C29" i="13"/>
  <c r="C25" i="13"/>
  <c r="C21" i="13"/>
  <c r="C17" i="13"/>
  <c r="C13" i="13"/>
  <c r="C9" i="13"/>
  <c r="C5" i="13"/>
  <c r="H65" i="13"/>
  <c r="D65" i="14" s="1"/>
  <c r="H61" i="13"/>
  <c r="H57" i="13"/>
  <c r="D57" i="14" s="1"/>
  <c r="H53" i="13"/>
  <c r="D53" i="14" s="1"/>
  <c r="H49" i="13"/>
  <c r="H45" i="13"/>
  <c r="H41" i="13"/>
  <c r="H37" i="13"/>
  <c r="H33" i="13"/>
  <c r="H29" i="13"/>
  <c r="H25" i="13"/>
  <c r="H21" i="13"/>
  <c r="H17" i="13"/>
  <c r="D17" i="14" s="1"/>
  <c r="H13" i="13"/>
  <c r="D13" i="14" s="1"/>
  <c r="H9" i="13"/>
  <c r="H5" i="13"/>
  <c r="D5" i="14" s="1"/>
  <c r="I66" i="13"/>
  <c r="D64" i="14"/>
  <c r="I24" i="3"/>
  <c r="C65" i="14"/>
  <c r="C64" i="14"/>
  <c r="I65" i="13"/>
  <c r="I64" i="13"/>
  <c r="D31" i="14"/>
  <c r="D63" i="14"/>
  <c r="C24" i="14"/>
  <c r="D15" i="14"/>
  <c r="I143" i="3"/>
  <c r="I63" i="13"/>
  <c r="I234" i="3"/>
  <c r="I229" i="3"/>
  <c r="I179" i="3"/>
  <c r="I43" i="3"/>
  <c r="I21" i="3"/>
  <c r="I217" i="3"/>
  <c r="I87" i="3"/>
  <c r="I27" i="3"/>
  <c r="I25" i="3"/>
  <c r="I62" i="13"/>
  <c r="I61" i="13"/>
  <c r="I59" i="13"/>
  <c r="I60" i="13"/>
  <c r="I58" i="13"/>
  <c r="I57" i="13"/>
  <c r="I56" i="13"/>
  <c r="I55" i="13"/>
  <c r="I54" i="13"/>
  <c r="I53" i="13"/>
  <c r="I52" i="13"/>
  <c r="I51" i="13"/>
  <c r="I50" i="13"/>
  <c r="I85" i="3"/>
  <c r="I103" i="3"/>
  <c r="I86" i="3"/>
  <c r="I84" i="3"/>
  <c r="I83" i="3"/>
  <c r="I49" i="13"/>
  <c r="I47" i="13"/>
  <c r="I45" i="13"/>
  <c r="I43" i="13"/>
  <c r="I41" i="13"/>
  <c r="I39" i="13"/>
  <c r="I37" i="13"/>
  <c r="I35" i="13"/>
  <c r="I24" i="13"/>
  <c r="I22" i="13"/>
  <c r="I20" i="13"/>
  <c r="I18" i="13"/>
  <c r="I16" i="13"/>
  <c r="I14" i="13"/>
  <c r="I12" i="13"/>
  <c r="I7" i="13"/>
  <c r="I33" i="13"/>
  <c r="I6" i="13"/>
  <c r="I31" i="13"/>
  <c r="I29" i="13"/>
  <c r="I2" i="13"/>
  <c r="I26" i="13"/>
  <c r="I10" i="13"/>
  <c r="I4" i="13"/>
  <c r="I48" i="13"/>
  <c r="I46" i="13"/>
  <c r="I44" i="13"/>
  <c r="I42" i="13"/>
  <c r="I40" i="13"/>
  <c r="I38" i="13"/>
  <c r="I36" i="13"/>
  <c r="I34" i="13"/>
  <c r="I23" i="13"/>
  <c r="I21" i="13"/>
  <c r="I19" i="13"/>
  <c r="I17" i="13"/>
  <c r="I15" i="13"/>
  <c r="I13" i="13"/>
  <c r="I8" i="13"/>
  <c r="I3" i="13"/>
  <c r="I32" i="13"/>
  <c r="I5" i="13"/>
  <c r="I30" i="13"/>
  <c r="I28" i="13"/>
  <c r="I11" i="13"/>
  <c r="I25" i="13"/>
  <c r="I9" i="13"/>
  <c r="I27" i="13"/>
  <c r="I108" i="3"/>
  <c r="I446" i="3"/>
  <c r="I170" i="3"/>
  <c r="I259" i="3"/>
  <c r="I260" i="3"/>
  <c r="I133" i="3"/>
  <c r="I258" i="3"/>
  <c r="I500" i="3"/>
  <c r="I497" i="3"/>
  <c r="I492" i="3"/>
  <c r="I489" i="3"/>
  <c r="I484" i="3"/>
  <c r="I481" i="3"/>
  <c r="I475" i="3"/>
  <c r="I470" i="3"/>
  <c r="I467" i="3"/>
  <c r="I449" i="3"/>
  <c r="I459" i="3"/>
  <c r="I455" i="3"/>
  <c r="I451" i="3"/>
  <c r="I447" i="3"/>
  <c r="I442" i="3"/>
  <c r="I438" i="3"/>
  <c r="I434" i="3"/>
  <c r="I430" i="3"/>
  <c r="I426" i="3"/>
  <c r="I420" i="3"/>
  <c r="I412" i="3"/>
  <c r="I404" i="3"/>
  <c r="I396" i="3"/>
  <c r="I388" i="3"/>
  <c r="I379" i="3"/>
  <c r="I372" i="3"/>
  <c r="I148" i="3"/>
  <c r="I75" i="3"/>
  <c r="I502" i="3"/>
  <c r="I499" i="3"/>
  <c r="I494" i="3"/>
  <c r="I491" i="3"/>
  <c r="I486" i="3"/>
  <c r="I483" i="3"/>
  <c r="I478" i="3"/>
  <c r="I474" i="3"/>
  <c r="I469" i="3"/>
  <c r="I466" i="3"/>
  <c r="I462" i="3"/>
  <c r="I458" i="3"/>
  <c r="I454" i="3"/>
  <c r="I450" i="3"/>
  <c r="I431" i="3"/>
  <c r="I441" i="3"/>
  <c r="I437" i="3"/>
  <c r="I433" i="3"/>
  <c r="I429" i="3"/>
  <c r="I424" i="3"/>
  <c r="I418" i="3"/>
  <c r="I403" i="3"/>
  <c r="I402" i="3"/>
  <c r="I394" i="3"/>
  <c r="I386" i="3"/>
  <c r="I384" i="3"/>
  <c r="I370" i="3"/>
  <c r="I135" i="3"/>
  <c r="I58" i="3"/>
  <c r="I482" i="3"/>
  <c r="I501" i="3"/>
  <c r="I496" i="3"/>
  <c r="I493" i="3"/>
  <c r="I488" i="3"/>
  <c r="I485" i="3"/>
  <c r="I463" i="3"/>
  <c r="I477" i="3"/>
  <c r="I473" i="3"/>
  <c r="I468" i="3"/>
  <c r="I465" i="3"/>
  <c r="I461" i="3"/>
  <c r="I457" i="3"/>
  <c r="I453" i="3"/>
  <c r="I448" i="3"/>
  <c r="I444" i="3"/>
  <c r="I440" i="3"/>
  <c r="I436" i="3"/>
  <c r="I432" i="3"/>
  <c r="I415" i="3"/>
  <c r="I425" i="3"/>
  <c r="I416" i="3"/>
  <c r="I408" i="3"/>
  <c r="I400" i="3"/>
  <c r="I392" i="3"/>
  <c r="I383" i="3"/>
  <c r="I367" i="3"/>
  <c r="I182" i="3"/>
  <c r="I114" i="3"/>
  <c r="I40" i="3"/>
  <c r="I128" i="3"/>
  <c r="I503" i="3"/>
  <c r="I498" i="3"/>
  <c r="I495" i="3"/>
  <c r="I490" i="3"/>
  <c r="I487" i="3"/>
  <c r="I480" i="3"/>
  <c r="I479" i="3"/>
  <c r="I476" i="3"/>
  <c r="I471" i="3"/>
  <c r="I472" i="3"/>
  <c r="I464" i="3"/>
  <c r="I460" i="3"/>
  <c r="I456" i="3"/>
  <c r="I452" i="3"/>
  <c r="I445" i="3"/>
  <c r="I443" i="3"/>
  <c r="I439" i="3"/>
  <c r="I435" i="3"/>
  <c r="I428" i="3"/>
  <c r="I427" i="3"/>
  <c r="I422" i="3"/>
  <c r="I414" i="3"/>
  <c r="I406" i="3"/>
  <c r="I398" i="3"/>
  <c r="I390" i="3"/>
  <c r="I381" i="3"/>
  <c r="I374" i="3"/>
  <c r="I164" i="3"/>
  <c r="I96" i="3"/>
  <c r="I17" i="3"/>
  <c r="I177" i="3"/>
  <c r="I159" i="3"/>
  <c r="I107" i="3"/>
  <c r="I126" i="3"/>
  <c r="I110" i="3"/>
  <c r="I92" i="3"/>
  <c r="I68" i="3"/>
  <c r="I53" i="3"/>
  <c r="I39" i="3"/>
  <c r="I13" i="3"/>
  <c r="I423" i="3"/>
  <c r="I421" i="3"/>
  <c r="I419" i="3"/>
  <c r="I417" i="3"/>
  <c r="I410" i="3"/>
  <c r="I413" i="3"/>
  <c r="I411" i="3"/>
  <c r="I409" i="3"/>
  <c r="I407" i="3"/>
  <c r="I405" i="3"/>
  <c r="I376" i="3"/>
  <c r="I401" i="3"/>
  <c r="I399" i="3"/>
  <c r="I397" i="3"/>
  <c r="I395" i="3"/>
  <c r="I393" i="3"/>
  <c r="I391" i="3"/>
  <c r="I389" i="3"/>
  <c r="I387" i="3"/>
  <c r="I385" i="3"/>
  <c r="I382" i="3"/>
  <c r="I380" i="3"/>
  <c r="I378" i="3"/>
  <c r="I377" i="3"/>
  <c r="I375" i="3"/>
  <c r="I373" i="3"/>
  <c r="I371" i="3"/>
  <c r="I369" i="3"/>
  <c r="I190" i="3"/>
  <c r="I173" i="3"/>
  <c r="I156" i="3"/>
  <c r="I140" i="3"/>
  <c r="I122" i="3"/>
  <c r="I105" i="3"/>
  <c r="I88" i="3"/>
  <c r="I66" i="3"/>
  <c r="I49" i="3"/>
  <c r="I32" i="3"/>
  <c r="I9" i="3"/>
  <c r="I186" i="3"/>
  <c r="I168" i="3"/>
  <c r="I152" i="3"/>
  <c r="I138" i="3"/>
  <c r="I118" i="3"/>
  <c r="I100" i="3"/>
  <c r="I79" i="3"/>
  <c r="I62" i="3"/>
  <c r="I45" i="3"/>
  <c r="I28" i="3"/>
  <c r="I5" i="3"/>
  <c r="I368" i="3"/>
  <c r="I366" i="3"/>
  <c r="I359" i="3"/>
  <c r="I362" i="3"/>
  <c r="I360" i="3"/>
  <c r="I358" i="3"/>
  <c r="I356" i="3"/>
  <c r="I354" i="3"/>
  <c r="I352" i="3"/>
  <c r="I350" i="3"/>
  <c r="I348" i="3"/>
  <c r="I346" i="3"/>
  <c r="I344" i="3"/>
  <c r="I342" i="3"/>
  <c r="I340" i="3"/>
  <c r="I334" i="3"/>
  <c r="I336" i="3"/>
  <c r="I333" i="3"/>
  <c r="I331" i="3"/>
  <c r="I329" i="3"/>
  <c r="I328" i="3"/>
  <c r="I326" i="3"/>
  <c r="I324" i="3"/>
  <c r="I322" i="3"/>
  <c r="I320" i="3"/>
  <c r="I318" i="3"/>
  <c r="I316" i="3"/>
  <c r="I314" i="3"/>
  <c r="I312" i="3"/>
  <c r="I310" i="3"/>
  <c r="I305" i="3"/>
  <c r="I306" i="3"/>
  <c r="I304" i="3"/>
  <c r="I302" i="3"/>
  <c r="I300" i="3"/>
  <c r="I298" i="3"/>
  <c r="I295" i="3"/>
  <c r="I294" i="3"/>
  <c r="I291" i="3"/>
  <c r="I289" i="3"/>
  <c r="I287" i="3"/>
  <c r="I285" i="3"/>
  <c r="I283" i="3"/>
  <c r="I281" i="3"/>
  <c r="I279" i="3"/>
  <c r="I277" i="3"/>
  <c r="I275" i="3"/>
  <c r="I271" i="3"/>
  <c r="I255" i="3"/>
  <c r="I269" i="3"/>
  <c r="I267" i="3"/>
  <c r="I265" i="3"/>
  <c r="I263" i="3"/>
  <c r="I261" i="3"/>
  <c r="I256" i="3"/>
  <c r="I254" i="3"/>
  <c r="I252" i="3"/>
  <c r="I250" i="3"/>
  <c r="I248" i="3"/>
  <c r="I246" i="3"/>
  <c r="I244" i="3"/>
  <c r="I242" i="3"/>
  <c r="I240" i="3"/>
  <c r="I238" i="3"/>
  <c r="I236" i="3"/>
  <c r="I233" i="3"/>
  <c r="I228" i="3"/>
  <c r="I226" i="3"/>
  <c r="I224" i="3"/>
  <c r="I222" i="3"/>
  <c r="I220" i="3"/>
  <c r="I218" i="3"/>
  <c r="I216" i="3"/>
  <c r="I230" i="3"/>
  <c r="I213" i="3"/>
  <c r="I211" i="3"/>
  <c r="I209" i="3"/>
  <c r="I207" i="3"/>
  <c r="I205" i="3"/>
  <c r="I203" i="3"/>
  <c r="I201" i="3"/>
  <c r="I199" i="3"/>
  <c r="I197" i="3"/>
  <c r="I193" i="3"/>
  <c r="I192" i="3"/>
  <c r="I189" i="3"/>
  <c r="I185" i="3"/>
  <c r="I171" i="3"/>
  <c r="I176" i="3"/>
  <c r="I172" i="3"/>
  <c r="I167" i="3"/>
  <c r="I163" i="3"/>
  <c r="I162" i="3"/>
  <c r="I155" i="3"/>
  <c r="I150" i="3"/>
  <c r="I147" i="3"/>
  <c r="I22" i="3"/>
  <c r="I139" i="3"/>
  <c r="I134" i="3"/>
  <c r="I130" i="3"/>
  <c r="I125" i="3"/>
  <c r="I121" i="3"/>
  <c r="I117" i="3"/>
  <c r="I113" i="3"/>
  <c r="I109" i="3"/>
  <c r="I104" i="3"/>
  <c r="I99" i="3"/>
  <c r="I95" i="3"/>
  <c r="I91" i="3"/>
  <c r="I82" i="3"/>
  <c r="I78" i="3"/>
  <c r="I74" i="3"/>
  <c r="I69" i="3"/>
  <c r="I54" i="3"/>
  <c r="I61" i="3"/>
  <c r="I57" i="3"/>
  <c r="I52" i="3"/>
  <c r="I48" i="3"/>
  <c r="I44" i="3"/>
  <c r="I38" i="3"/>
  <c r="I35" i="3"/>
  <c r="I31" i="3"/>
  <c r="I20" i="3"/>
  <c r="I16" i="3"/>
  <c r="I12" i="3"/>
  <c r="I8" i="3"/>
  <c r="I4" i="3"/>
  <c r="I191" i="3"/>
  <c r="I181" i="3"/>
  <c r="I184" i="3"/>
  <c r="I180" i="3"/>
  <c r="I175" i="3"/>
  <c r="I149" i="3"/>
  <c r="I166" i="3"/>
  <c r="I161" i="3"/>
  <c r="I158" i="3"/>
  <c r="I154" i="3"/>
  <c r="I151" i="3"/>
  <c r="I146" i="3"/>
  <c r="I142" i="3"/>
  <c r="I137" i="3"/>
  <c r="I132" i="3"/>
  <c r="I129" i="3"/>
  <c r="I124" i="3"/>
  <c r="I120" i="3"/>
  <c r="I116" i="3"/>
  <c r="I112" i="3"/>
  <c r="I97" i="3"/>
  <c r="I102" i="3"/>
  <c r="I98" i="3"/>
  <c r="I94" i="3"/>
  <c r="I77" i="3"/>
  <c r="I81" i="3"/>
  <c r="I71" i="3"/>
  <c r="I73" i="3"/>
  <c r="I65" i="3"/>
  <c r="I64" i="3"/>
  <c r="I60" i="3"/>
  <c r="I56" i="3"/>
  <c r="I51" i="3"/>
  <c r="I47" i="3"/>
  <c r="I42" i="3"/>
  <c r="I37" i="3"/>
  <c r="I34" i="3"/>
  <c r="I30" i="3"/>
  <c r="I19" i="3"/>
  <c r="I15" i="3"/>
  <c r="I11" i="3"/>
  <c r="I7" i="3"/>
  <c r="I3" i="3"/>
  <c r="I364" i="3"/>
  <c r="I365" i="3"/>
  <c r="I363" i="3"/>
  <c r="I361" i="3"/>
  <c r="I338" i="3"/>
  <c r="I357" i="3"/>
  <c r="I355" i="3"/>
  <c r="I353" i="3"/>
  <c r="I351" i="3"/>
  <c r="I349" i="3"/>
  <c r="I347" i="3"/>
  <c r="I345" i="3"/>
  <c r="I343" i="3"/>
  <c r="I341" i="3"/>
  <c r="I339" i="3"/>
  <c r="I337" i="3"/>
  <c r="I335" i="3"/>
  <c r="I332" i="3"/>
  <c r="I330" i="3"/>
  <c r="I327" i="3"/>
  <c r="I325" i="3"/>
  <c r="I308" i="3"/>
  <c r="I323" i="3"/>
  <c r="I321" i="3"/>
  <c r="I319" i="3"/>
  <c r="I317" i="3"/>
  <c r="I315" i="3"/>
  <c r="I313" i="3"/>
  <c r="I311" i="3"/>
  <c r="I309" i="3"/>
  <c r="I307" i="3"/>
  <c r="I299" i="3"/>
  <c r="I303" i="3"/>
  <c r="I301" i="3"/>
  <c r="I297" i="3"/>
  <c r="I296" i="3"/>
  <c r="I273" i="3"/>
  <c r="I293" i="3"/>
  <c r="I290" i="3"/>
  <c r="I288" i="3"/>
  <c r="I286" i="3"/>
  <c r="I284" i="3"/>
  <c r="I282" i="3"/>
  <c r="I280" i="3"/>
  <c r="I278" i="3"/>
  <c r="I276" i="3"/>
  <c r="I274" i="3"/>
  <c r="I272" i="3"/>
  <c r="I270" i="3"/>
  <c r="I268" i="3"/>
  <c r="I266" i="3"/>
  <c r="I264" i="3"/>
  <c r="I262" i="3"/>
  <c r="I257" i="3"/>
  <c r="I237" i="3"/>
  <c r="I253" i="3"/>
  <c r="I251" i="3"/>
  <c r="I249" i="3"/>
  <c r="I247" i="3"/>
  <c r="I245" i="3"/>
  <c r="I243" i="3"/>
  <c r="I241" i="3"/>
  <c r="I239" i="3"/>
  <c r="I196" i="3"/>
  <c r="I235" i="3"/>
  <c r="I232" i="3"/>
  <c r="I227" i="3"/>
  <c r="I225" i="3"/>
  <c r="I223" i="3"/>
  <c r="I221" i="3"/>
  <c r="I219" i="3"/>
  <c r="I231" i="3"/>
  <c r="I215" i="3"/>
  <c r="I214" i="3"/>
  <c r="I212" i="3"/>
  <c r="I210" i="3"/>
  <c r="I208" i="3"/>
  <c r="I206" i="3"/>
  <c r="I204" i="3"/>
  <c r="I202" i="3"/>
  <c r="I200" i="3"/>
  <c r="I198" i="3"/>
  <c r="I195" i="3"/>
  <c r="I194" i="3"/>
  <c r="I188" i="3"/>
  <c r="I187" i="3"/>
  <c r="I183" i="3"/>
  <c r="I178" i="3"/>
  <c r="I174" i="3"/>
  <c r="I169" i="3"/>
  <c r="I165" i="3"/>
  <c r="I160" i="3"/>
  <c r="I157" i="3"/>
  <c r="I153" i="3"/>
  <c r="I144" i="3"/>
  <c r="I145" i="3"/>
  <c r="I141" i="3"/>
  <c r="I136" i="3"/>
  <c r="I131" i="3"/>
  <c r="I127" i="3"/>
  <c r="I123" i="3"/>
  <c r="I119" i="3"/>
  <c r="I115" i="3"/>
  <c r="I111" i="3"/>
  <c r="I106" i="3"/>
  <c r="I101" i="3"/>
  <c r="I90" i="3"/>
  <c r="I93" i="3"/>
  <c r="I89" i="3"/>
  <c r="I80" i="3"/>
  <c r="I76" i="3"/>
  <c r="I72" i="3"/>
  <c r="I67" i="3"/>
  <c r="I63" i="3"/>
  <c r="I59" i="3"/>
  <c r="I55" i="3"/>
  <c r="I50" i="3"/>
  <c r="I46" i="3"/>
  <c r="I41" i="3"/>
  <c r="I36" i="3"/>
  <c r="I33" i="3"/>
  <c r="I29" i="3"/>
  <c r="I18" i="3"/>
  <c r="I14" i="3"/>
  <c r="I10" i="3"/>
  <c r="I6" i="3"/>
  <c r="I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C5" i="14" l="1"/>
  <c r="D61" i="14"/>
  <c r="D21" i="14"/>
  <c r="C39" i="14"/>
  <c r="C51" i="14"/>
  <c r="C45" i="14"/>
  <c r="C11" i="14"/>
  <c r="D34" i="14"/>
  <c r="C12" i="14"/>
  <c r="C55" i="14"/>
  <c r="C9" i="14"/>
  <c r="D24" i="14"/>
  <c r="D42" i="14"/>
  <c r="D59" i="14"/>
  <c r="C57" i="14"/>
  <c r="C20" i="14"/>
  <c r="D41" i="14"/>
  <c r="C7" i="14"/>
  <c r="C49" i="14"/>
  <c r="C41" i="14"/>
  <c r="C28" i="14"/>
  <c r="D46" i="14"/>
  <c r="D12" i="14"/>
  <c r="C54" i="14"/>
  <c r="C44" i="14"/>
  <c r="C19" i="14"/>
  <c r="C10" i="14"/>
  <c r="C56" i="14"/>
  <c r="C43" i="14"/>
  <c r="D18" i="14"/>
  <c r="C26" i="14"/>
  <c r="D29" i="14"/>
  <c r="C13" i="14"/>
  <c r="D4" i="14"/>
  <c r="C33" i="14"/>
  <c r="C32" i="14"/>
  <c r="D7" i="14"/>
  <c r="D20" i="14"/>
  <c r="D45" i="14"/>
  <c r="C40" i="14"/>
  <c r="C15" i="14"/>
  <c r="C52" i="14"/>
  <c r="C35" i="14"/>
  <c r="D62" i="14"/>
  <c r="D43" i="14"/>
  <c r="D22" i="14"/>
  <c r="C6" i="14"/>
  <c r="D35" i="14"/>
  <c r="C46" i="14"/>
  <c r="C53" i="14"/>
  <c r="C47" i="14"/>
  <c r="C29" i="14"/>
  <c r="D49" i="14"/>
  <c r="C36" i="14"/>
  <c r="C8" i="14"/>
  <c r="C34" i="14"/>
  <c r="D32" i="14"/>
  <c r="C18" i="14"/>
  <c r="C62" i="14"/>
  <c r="D54" i="14"/>
  <c r="C42" i="14"/>
  <c r="D60" i="14"/>
  <c r="D47" i="14"/>
  <c r="C50" i="14"/>
  <c r="C21" i="14"/>
  <c r="D56" i="14"/>
  <c r="C58" i="14"/>
  <c r="C27" i="14"/>
  <c r="D37" i="14"/>
  <c r="C48" i="14"/>
  <c r="C23" i="14"/>
  <c r="C30" i="14"/>
  <c r="C60" i="14"/>
  <c r="D33" i="14"/>
  <c r="D50" i="14"/>
  <c r="C4" i="14"/>
  <c r="D6" i="14"/>
  <c r="C17" i="14"/>
  <c r="D52" i="14"/>
  <c r="C38" i="14"/>
  <c r="D58" i="14"/>
  <c r="C25" i="14"/>
  <c r="D14" i="14"/>
  <c r="D39" i="14"/>
  <c r="D28" i="14"/>
  <c r="D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D26" i="14" l="1"/>
  <c r="D10" i="14"/>
  <c r="D27" i="14"/>
  <c r="D25" i="14"/>
  <c r="D9" i="14"/>
  <c r="D3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<sst xmlns="http://schemas.openxmlformats.org/spreadsheetml/2006/main" count="2763" uniqueCount="1991">
  <si>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</si>
  <si>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</si>
  <si>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</si>
  <si>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</si>
  <si>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</si>
  <si>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</si>
  <si>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</si>
  <si>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</si>
  <si>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</si>
  <si>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</si>
  <si>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</si>
  <si>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</si>
  <si>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</si>
  <si>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</si>
  <si>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</si>
  <si>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</si>
  <si>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</si>
  <si>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</si>
  <si>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</si>
  <si>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</si>
  <si>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</si>
  <si>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</si>
  <si>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</si>
  <si>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</si>
  <si>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</si>
  <si>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</si>
  <si>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</si>
  <si>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</si>
  <si>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</si>
  <si>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</si>
  <si>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</si>
  <si>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</si>
  <si>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</si>
  <si>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</si>
  <si>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</si>
  <si>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</si>
  <si>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</si>
  <si>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</si>
  <si>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</si>
  <si>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</si>
  <si>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</si>
  <si>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</si>
  <si>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</si>
  <si>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</si>
  <si>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</si>
  <si>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</si>
  <si>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</si>
  <si>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</si>
  <si>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</si>
  <si>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</si>
  <si>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</si>
  <si>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</si>
  <si>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</si>
  <si>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</si>
  <si>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</si>
  <si>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</si>
  <si>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</si>
  <si>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</si>
  <si>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</si>
  <si>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</si>
  <si>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</si>
  <si>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</si>
  <si>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</si>
  <si>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</si>
  <si>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</si>
  <si>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</si>
  <si>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</si>
  <si>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</si>
  <si>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</si>
  <si>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</si>
  <si>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</si>
  <si>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</si>
  <si>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</si>
  <si>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</si>
  <si>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</si>
  <si>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</si>
  <si>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</si>
  <si>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</si>
  <si>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</si>
  <si>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</si>
  <si>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</si>
  <si>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</si>
  <si>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</si>
  <si>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</si>
  <si>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</si>
  <si>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</si>
  <si>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</si>
  <si>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</si>
  <si>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</si>
  <si>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</si>
  <si>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</si>
  <si>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</si>
  <si>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</si>
  <si>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</si>
  <si>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</si>
  <si>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</si>
  <si>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</si>
  <si>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</si>
  <si>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</si>
  <si>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</si>
  <si>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</si>
  <si>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</si>
  <si>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</si>
  <si>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</si>
  <si>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</si>
  <si>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</si>
  <si>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</si>
  <si>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</si>
  <si>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</si>
  <si>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</si>
  <si>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</si>
  <si>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</si>
  <si>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</si>
  <si>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</si>
  <si>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</si>
  <si>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</si>
  <si>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</si>
  <si>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</si>
  <si>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</si>
  <si>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</si>
  <si>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</si>
  <si>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</si>
  <si>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</si>
  <si>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</si>
  <si>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</si>
  <si>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</si>
  <si>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</si>
  <si>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</si>
  <si>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</si>
  <si>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</si>
  <si>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</si>
  <si>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</si>
  <si>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</si>
  <si>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</si>
  <si>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</si>
  <si>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</si>
  <si>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</si>
  <si>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</si>
  <si>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</si>
  <si>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</si>
  <si>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</si>
  <si>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</si>
  <si>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</si>
  <si>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</si>
  <si>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</si>
  <si>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</si>
  <si>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</si>
  <si>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</si>
  <si>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</si>
  <si>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</si>
  <si>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</si>
  <si>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</si>
  <si>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</si>
  <si>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</si>
  <si>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</si>
  <si>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</si>
  <si>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</si>
  <si>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</si>
  <si>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</si>
  <si>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</si>
  <si>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</si>
  <si>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</si>
  <si>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</si>
  <si>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</si>
  <si>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</si>
  <si>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</si>
  <si>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</si>
  <si>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</si>
  <si>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</si>
  <si>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</si>
  <si>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</si>
  <si>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</si>
  <si>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</si>
  <si>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</si>
  <si>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</si>
  <si>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</si>
  <si>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</si>
  <si>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</si>
  <si>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</si>
  <si>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</si>
  <si>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</si>
  <si>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</si>
  <si>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</si>
  <si>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</si>
  <si>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</si>
  <si>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</si>
  <si>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</si>
  <si>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</si>
  <si>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</si>
  <si>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</si>
  <si>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</si>
  <si>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</si>
  <si>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</si>
  <si>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</si>
  <si>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</si>
  <si>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</si>
  <si>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</si>
  <si>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</si>
  <si>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</si>
  <si>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</si>
  <si>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</si>
  <si>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</si>
  <si>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</si>
  <si>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</si>
  <si>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</si>
  <si>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</si>
  <si>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</si>
  <si>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</si>
  <si>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</si>
  <si>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</si>
  <si>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</si>
  <si>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</si>
  <si>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</si>
  <si>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</si>
  <si>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</si>
  <si>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</si>
  <si>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</si>
  <si>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</si>
  <si>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</si>
  <si>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</si>
  <si>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</si>
  <si>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</si>
  <si>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</si>
  <si>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</si>
  <si>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</si>
  <si>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</si>
  <si>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</si>
  <si>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</si>
  <si>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</si>
  <si>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</si>
  <si>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</si>
  <si>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</si>
  <si>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</si>
  <si>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</si>
  <si>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</si>
  <si>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</si>
  <si>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</si>
  <si>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</si>
  <si>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</si>
  <si>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</si>
  <si>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</si>
  <si>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</si>
  <si>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</si>
  <si>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</si>
  <si>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</si>
  <si>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</si>
  <si>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</si>
  <si>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</si>
  <si>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</si>
  <si>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</si>
  <si>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</si>
  <si>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</si>
  <si>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</si>
  <si>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</si>
  <si>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</si>
  <si>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</si>
  <si>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</si>
  <si>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</si>
  <si>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</si>
  <si>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</si>
  <si>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</si>
  <si>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</si>
  <si>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</si>
  <si>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</si>
  <si>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</si>
  <si>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</si>
  <si>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</si>
  <si>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</si>
  <si>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</si>
  <si>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</si>
  <si>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</si>
  <si>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</si>
  <si>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</si>
  <si>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</si>
  <si>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</si>
  <si>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</si>
  <si>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</si>
  <si>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</si>
  <si>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</si>
  <si>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</si>
  <si>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</si>
  <si>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</si>
  <si>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</si>
  <si>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</si>
  <si>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</si>
  <si>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</si>
  <si>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</si>
  <si>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</si>
  <si>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</si>
  <si>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</si>
  <si>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</si>
  <si>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</si>
  <si>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</si>
  <si>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</si>
  <si>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</si>
  <si>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</si>
  <si>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</si>
  <si>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</si>
  <si>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</si>
  <si>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</si>
  <si>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</si>
  <si>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</si>
  <si>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</si>
  <si>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</si>
  <si>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</si>
  <si>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</si>
  <si>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</si>
  <si>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</si>
  <si>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</si>
  <si>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</si>
  <si>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</si>
  <si>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</si>
  <si>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</si>
  <si>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</si>
  <si>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</si>
  <si>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</si>
  <si>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</si>
  <si>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</si>
  <si>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</si>
  <si>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</si>
  <si>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</si>
  <si>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</si>
  <si>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</si>
  <si>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</si>
  <si>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</si>
  <si>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</si>
  <si>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</si>
  <si>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</si>
  <si>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</si>
  <si>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</si>
  <si>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</si>
  <si>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</si>
  <si>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</si>
  <si>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</si>
  <si>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</si>
  <si>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</si>
  <si>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</si>
  <si>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</si>
  <si>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</si>
  <si>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</si>
  <si>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</si>
  <si>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</si>
  <si>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</si>
  <si>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</si>
  <si>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</si>
  <si>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</si>
  <si>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</si>
  <si>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</si>
  <si>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</si>
  <si>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</si>
  <si>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</si>
  <si>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</si>
  <si>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</si>
  <si>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</si>
  <si>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</si>
  <si>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</si>
  <si>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</si>
  <si>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</si>
  <si>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</si>
  <si>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</si>
  <si>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</si>
  <si>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</si>
  <si>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</si>
  <si>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</si>
  <si>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</si>
  <si>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</si>
  <si>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</si>
  <si>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</si>
  <si>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</si>
  <si>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</si>
  <si>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</si>
  <si>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</si>
  <si>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</si>
  <si>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</si>
  <si>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</si>
  <si>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</si>
  <si>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</si>
  <si>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</si>
  <si>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</si>
  <si>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</si>
  <si>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</si>
  <si>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</si>
  <si>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</si>
  <si>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</si>
  <si>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</si>
  <si>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</si>
  <si>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</si>
  <si>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</si>
  <si>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</si>
  <si>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</si>
  <si>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</si>
  <si>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</si>
  <si>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</si>
  <si>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</si>
  <si>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</si>
  <si>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</si>
  <si>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</si>
  <si>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</si>
  <si>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</si>
  <si>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</si>
  <si>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</si>
  <si>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</si>
  <si>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</si>
  <si>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</si>
  <si>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</si>
  <si>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</si>
  <si>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</si>
  <si>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</si>
  <si>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</si>
  <si>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</si>
  <si>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</si>
  <si>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</si>
  <si>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</si>
  <si>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</si>
  <si>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</si>
  <si>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</si>
  <si>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</si>
  <si>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</si>
  <si>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</si>
  <si>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</si>
  <si>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</si>
  <si>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</si>
  <si>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</si>
  <si>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</si>
  <si>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</si>
  <si>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</si>
  <si>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</si>
  <si>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</si>
  <si>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</si>
  <si>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</si>
  <si>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</si>
  <si>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</si>
  <si>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</si>
  <si>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</si>
  <si>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</si>
  <si>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</si>
  <si>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</si>
  <si>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</si>
  <si>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</si>
  <si>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</si>
  <si>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</si>
  <si>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</si>
  <si>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</si>
  <si>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</si>
  <si>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</si>
  <si>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</si>
  <si>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</si>
  <si>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</si>
  <si>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</si>
  <si>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</si>
  <si>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</si>
  <si>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</si>
  <si>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</si>
  <si>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</si>
  <si>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</si>
  <si>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</si>
  <si>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</si>
  <si>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</si>
  <si>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</si>
  <si>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</si>
  <si>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</si>
  <si>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</si>
  <si>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</si>
  <si>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</si>
  <si>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</si>
  <si>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</si>
  <si>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</si>
  <si>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</si>
  <si>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</si>
  <si>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</si>
  <si>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</si>
  <si>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</si>
  <si>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</si>
  <si>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</si>
  <si>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</si>
  <si>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</si>
  <si>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</si>
  <si>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</si>
  <si>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</si>
  <si>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</si>
  <si>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</si>
  <si>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</si>
  <si>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</si>
  <si>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</si>
  <si>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</si>
  <si>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</si>
  <si>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</si>
  <si>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</si>
  <si>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</si>
  <si>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</si>
  <si>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</si>
  <si>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</si>
  <si>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</si>
  <si>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</si>
  <si>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</si>
  <si>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</si>
  <si>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</si>
  <si>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</si>
  <si>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</si>
  <si>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</si>
  <si>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</si>
  <si>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</si>
  <si>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</si>
  <si>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</si>
  <si>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</si>
  <si>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</si>
  <si>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</si>
  <si>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</si>
  <si>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</si>
  <si>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</si>
  <si>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</si>
  <si>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</si>
  <si>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</si>
  <si>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</si>
  <si>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</si>
  <si>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</si>
  <si>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</si>
  <si>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</si>
  <si>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</si>
  <si>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</si>
  <si>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</si>
  <si>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</si>
  <si>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</si>
  <si>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</si>
  <si>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</si>
  <si>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</si>
  <si>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</si>
  <si>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</si>
  <si>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</si>
  <si>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</si>
  <si>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</si>
  <si>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</si>
  <si>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</si>
  <si>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</si>
  <si>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</si>
  <si>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</si>
  <si>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</si>
  <si>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</si>
  <si>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</si>
  <si>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</si>
  <si>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</si>
  <si>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</si>
  <si>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</si>
  <si>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</si>
  <si>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</si>
  <si>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</si>
  <si>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</si>
  <si>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</si>
  <si>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</si>
  <si>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</si>
  <si>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</si>
  <si>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</si>
  <si>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</si>
  <si>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</si>
  <si>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</si>
  <si>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</si>
  <si>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</si>
  <si>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</si>
  <si>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</si>
  <si>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</si>
  <si>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</si>
  <si>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</si>
  <si>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</si>
  <si>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</si>
  <si>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</si>
  <si>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</si>
  <si>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</si>
  <si>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</si>
  <si>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</si>
  <si>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</si>
  <si>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</si>
  <si>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</si>
  <si>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</si>
  <si>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</si>
  <si>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</si>
  <si>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</si>
  <si>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</si>
  <si>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</si>
  <si>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</si>
  <si>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</si>
  <si>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</si>
  <si>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</si>
  <si>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</si>
  <si>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</si>
  <si>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</si>
  <si>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</si>
  <si>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</si>
  <si>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</si>
  <si>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</si>
  <si>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</si>
  <si>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</si>
  <si>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</si>
  <si>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</si>
  <si>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</si>
  <si>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</si>
  <si>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</si>
  <si>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</si>
  <si>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</si>
  <si>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</si>
  <si>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</si>
  <si>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</si>
  <si>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</si>
  <si>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</si>
  <si>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</si>
  <si>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</si>
  <si>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</si>
  <si>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</si>
  <si>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</si>
  <si>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</si>
  <si>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</si>
  <si>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</si>
  <si>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</si>
  <si>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</si>
  <si>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</si>
  <si>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</si>
  <si>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</si>
  <si>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</si>
  <si>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</si>
  <si>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</si>
  <si>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</si>
  <si>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</si>
  <si>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</si>
  <si>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</si>
  <si>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</si>
  <si>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</si>
  <si>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</si>
  <si>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</si>
  <si>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</si>
  <si>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</si>
  <si>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</si>
  <si>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</si>
  <si>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</si>
  <si>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</si>
  <si>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</si>
  <si>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</si>
  <si>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</si>
  <si>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</si>
  <si>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</si>
  <si>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</si>
  <si>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</si>
  <si>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</si>
  <si>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</si>
  <si>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</si>
  <si>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</si>
  <si>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</si>
  <si>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</si>
  <si>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</si>
  <si>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</si>
  <si>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</si>
  <si>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</si>
  <si>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</si>
  <si>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</si>
  <si>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</si>
  <si>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</si>
  <si>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</si>
  <si>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</si>
  <si>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</si>
  <si>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</si>
  <si>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</si>
  <si>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</si>
  <si>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</si>
  <si>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</si>
  <si>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</si>
  <si>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</si>
  <si>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</si>
  <si>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</si>
  <si>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</si>
  <si>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</si>
  <si>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</si>
  <si>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</si>
  <si>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</si>
  <si>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</si>
  <si>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</si>
  <si>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</si>
  <si>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</si>
  <si>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</si>
  <si>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</si>
  <si>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</si>
  <si>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</si>
  <si>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</si>
  <si>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</si>
  <si>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</si>
  <si>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</si>
  <si>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</si>
  <si>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</si>
  <si>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</si>
  <si>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</si>
  <si>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</si>
  <si>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</si>
  <si>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</si>
  <si>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</si>
  <si>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</si>
  <si>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</si>
  <si>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</si>
  <si>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</si>
  <si>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</si>
  <si>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</si>
  <si>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</si>
  <si>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</si>
  <si>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</si>
  <si>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</si>
  <si>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</si>
  <si>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</si>
  <si>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</si>
  <si>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</si>
  <si>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</si>
  <si>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</si>
  <si>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</si>
  <si>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</si>
  <si>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</si>
  <si>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</si>
  <si>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</si>
  <si>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</si>
  <si>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</si>
  <si>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</si>
  <si>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</si>
  <si>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</si>
  <si>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</si>
  <si>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</si>
  <si>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</si>
  <si>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</si>
  <si>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</si>
  <si>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</si>
  <si>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</si>
  <si>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</si>
  <si>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</si>
  <si>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</si>
  <si>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</si>
  <si>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</si>
  <si>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</si>
  <si>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</si>
  <si>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</si>
  <si>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</si>
  <si>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</si>
  <si>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</si>
  <si>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</si>
  <si>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</si>
  <si>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</si>
  <si>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</si>
  <si>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</si>
  <si>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</si>
  <si>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</si>
  <si>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</si>
  <si>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</si>
  <si>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</si>
  <si>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</si>
  <si>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</si>
  <si>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</si>
  <si>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</si>
  <si>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</si>
  <si>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</si>
  <si>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</si>
  <si>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</si>
  <si>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</si>
  <si>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</si>
  <si>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</si>
  <si>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</si>
  <si>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</si>
  <si>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</si>
  <si>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</si>
  <si>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</si>
  <si>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</si>
  <si>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</si>
  <si>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</si>
  <si>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</si>
  <si>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</si>
  <si>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</si>
  <si>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</si>
  <si>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</si>
  <si>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</si>
  <si>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</si>
  <si>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</si>
  <si>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</si>
  <si>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</si>
  <si>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</si>
  <si>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</si>
  <si>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</si>
  <si>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</si>
  <si>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</si>
  <si>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</si>
  <si>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</si>
  <si>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</si>
  <si>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</si>
  <si>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</si>
  <si>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</si>
  <si>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</si>
  <si>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</si>
  <si>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</si>
  <si>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</si>
  <si>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</si>
  <si>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</si>
  <si>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</si>
  <si>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</si>
  <si>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</si>
  <si>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</si>
  <si>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</si>
  <si>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</si>
  <si>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</si>
  <si>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</si>
  <si>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</si>
  <si>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</si>
  <si>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</si>
  <si>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</si>
  <si>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</si>
  <si>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</si>
  <si>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</si>
  <si>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</si>
  <si>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</si>
  <si>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</si>
  <si>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</si>
  <si>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</si>
  <si>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</si>
  <si>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</si>
  <si>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</si>
  <si>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</si>
  <si>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</si>
  <si>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</si>
  <si>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</si>
  <si>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</si>
  <si>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</si>
  <si>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</si>
  <si>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</si>
  <si>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</si>
  <si>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</si>
  <si>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</si>
  <si>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</si>
  <si>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</si>
  <si>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</si>
  <si>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</si>
  <si>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</si>
  <si>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</si>
  <si>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</si>
  <si>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</si>
  <si>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</si>
  <si>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</si>
  <si>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</si>
  <si>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</si>
  <si>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</si>
  <si>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</si>
  <si>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</si>
  <si>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</si>
  <si>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</si>
  <si>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</si>
  <si>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</si>
  <si>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</si>
  <si>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</si>
  <si>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</si>
  <si>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</si>
  <si>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</si>
  <si>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</si>
  <si>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</si>
  <si>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</si>
  <si>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</si>
  <si>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</si>
  <si>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</si>
  <si>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</si>
  <si>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</si>
  <si>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</si>
  <si>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</si>
  <si>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</si>
  <si>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</si>
  <si>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</si>
  <si>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</si>
  <si>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</si>
  <si>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</si>
  <si>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</si>
  <si>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</si>
  <si>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</si>
  <si>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</si>
  <si>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</si>
  <si>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</si>
  <si>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</si>
  <si>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</si>
  <si>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</si>
  <si>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</si>
  <si>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</si>
  <si>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</si>
  <si>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</si>
  <si>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</si>
  <si>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</si>
  <si>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</si>
  <si>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</si>
  <si>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</si>
  <si>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</si>
  <si>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</si>
  <si>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</si>
  <si>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</si>
  <si>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</si>
  <si>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</si>
  <si>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</si>
  <si>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</si>
  <si>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</si>
  <si>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</si>
  <si>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</si>
  <si>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</si>
  <si>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</si>
  <si>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</si>
  <si>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</si>
  <si>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</si>
  <si>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</si>
  <si>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</si>
  <si>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</si>
  <si>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</si>
  <si>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</si>
  <si>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</si>
  <si>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</si>
  <si>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</si>
  <si>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</si>
  <si>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</si>
  <si>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</si>
  <si>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</si>
  <si>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</si>
  <si>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</si>
  <si>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</si>
  <si>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</si>
  <si>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</si>
  <si>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</si>
  <si>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</si>
  <si>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</si>
  <si>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</si>
  <si>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</si>
  <si>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</si>
  <si>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</si>
  <si>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</si>
  <si>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</si>
  <si>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</si>
  <si>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</si>
  <si>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</si>
  <si>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</si>
  <si>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</si>
  <si>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</si>
  <si>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</si>
  <si>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</si>
  <si>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</si>
  <si>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</si>
  <si>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</si>
  <si>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</si>
  <si>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</si>
  <si>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</si>
  <si>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</si>
  <si>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</si>
  <si>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</si>
  <si>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</si>
  <si>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</si>
  <si>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</si>
  <si>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</si>
  <si>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</si>
  <si>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</si>
  <si>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</si>
  <si>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</si>
  <si>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</si>
  <si>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</si>
  <si>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</si>
  <si>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</si>
  <si>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</si>
  <si>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</si>
  <si>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</si>
  <si>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</si>
  <si>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</si>
  <si>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</si>
  <si>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</si>
  <si>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</si>
  <si>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</si>
  <si>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</si>
  <si>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</si>
  <si>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</si>
  <si>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</si>
  <si>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</si>
  <si>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</si>
  <si>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</si>
  <si>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</si>
  <si>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</si>
  <si>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</si>
  <si>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</si>
  <si>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</si>
  <si>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</si>
  <si>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</si>
  <si>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</si>
  <si>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</si>
  <si>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</si>
  <si>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</si>
  <si>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</si>
  <si>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</si>
  <si>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</si>
  <si>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</si>
  <si>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</si>
  <si>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</si>
  <si>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</si>
  <si>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</si>
  <si>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</si>
  <si>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</si>
  <si>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</si>
  <si>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</si>
  <si>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</si>
  <si>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</si>
  <si>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</si>
  <si>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</si>
  <si>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</si>
  <si>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</si>
  <si>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</si>
  <si>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</si>
  <si>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</si>
  <si>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</si>
  <si>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</si>
  <si>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</si>
  <si>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</si>
  <si>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</si>
  <si>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</si>
  <si>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</si>
  <si>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</si>
  <si>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</si>
  <si>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</si>
  <si>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</si>
  <si>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</si>
  <si>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</si>
  <si>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</si>
  <si>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</si>
  <si>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</si>
  <si>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</si>
  <si>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</si>
  <si>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</si>
  <si>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</si>
  <si>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</si>
  <si>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</si>
  <si>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</si>
  <si>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</si>
  <si>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</si>
  <si>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</si>
  <si>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</si>
  <si>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</si>
  <si>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</si>
  <si>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</si>
  <si>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</si>
  <si>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</si>
  <si>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</si>
  <si>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</si>
  <si>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</si>
  <si>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</si>
  <si>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</si>
  <si>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</si>
  <si>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</si>
  <si>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</si>
  <si>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</si>
  <si>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</si>
  <si>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</si>
  <si>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</si>
  <si>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</si>
  <si>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</si>
  <si>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</si>
  <si>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</si>
  <si>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</si>
  <si>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</si>
  <si>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</si>
  <si>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</si>
  <si>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</si>
  <si>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</si>
  <si>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</si>
  <si>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</si>
  <si>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</si>
  <si>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</si>
  <si>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</si>
  <si>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</si>
  <si>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</si>
  <si>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</si>
  <si>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</si>
  <si>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</si>
  <si>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</si>
  <si>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</si>
  <si>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</si>
  <si>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</si>
  <si>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</si>
  <si>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</si>
  <si>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</si>
  <si>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</si>
  <si>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</si>
  <si>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</si>
  <si>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</si>
  <si>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</si>
  <si>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</si>
  <si>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</si>
  <si>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</si>
  <si>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</si>
  <si>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</si>
  <si>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</si>
  <si>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</si>
  <si>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</si>
  <si>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</si>
  <si>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</si>
  <si>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</si>
  <si>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</si>
  <si>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</si>
  <si>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</si>
  <si>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</si>
  <si>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</si>
  <si>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</si>
  <si>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</si>
  <si>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</si>
  <si>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</si>
  <si>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</si>
  <si>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</si>
  <si>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</si>
  <si>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</si>
  <si>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</si>
  <si>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</si>
  <si>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</si>
  <si>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</si>
  <si>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</si>
  <si>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</si>
  <si>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</si>
  <si>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</si>
  <si>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</si>
  <si>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</si>
  <si>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</si>
  <si>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</si>
  <si>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</si>
  <si>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</si>
  <si>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</si>
  <si>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</si>
  <si>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</si>
  <si>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</si>
  <si>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</si>
  <si>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</si>
  <si>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</si>
  <si>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</si>
  <si>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</si>
  <si>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</si>
  <si>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</si>
  <si>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</si>
  <si>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</si>
  <si>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</si>
  <si>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</si>
  <si>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</si>
  <si>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</si>
  <si>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</si>
  <si>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</si>
  <si>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</si>
  <si>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</si>
  <si>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</si>
  <si>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</si>
  <si>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</si>
  <si>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</si>
  <si>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</si>
  <si>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</si>
  <si>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</si>
  <si>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</si>
  <si>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</si>
  <si>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</si>
  <si>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</si>
  <si>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</si>
  <si>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</si>
  <si>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</si>
  <si>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</si>
  <si>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</si>
  <si>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</si>
  <si>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</si>
  <si>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</si>
  <si>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</si>
  <si>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</si>
  <si>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</si>
  <si>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</si>
  <si>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</si>
  <si>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</si>
  <si>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</si>
  <si>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</si>
  <si>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</si>
  <si>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</si>
  <si>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</si>
  <si>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</si>
  <si>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</si>
  <si>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</si>
  <si>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</si>
  <si>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</si>
  <si>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</si>
  <si>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</si>
  <si>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</si>
  <si>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</si>
  <si>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</si>
  <si>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</si>
  <si>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</si>
  <si>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</si>
  <si>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</si>
  <si>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</si>
  <si>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</si>
  <si>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</si>
  <si>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</si>
  <si>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</si>
  <si>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</si>
  <si>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</si>
  <si>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</si>
  <si>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</si>
  <si>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</si>
  <si>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</si>
  <si>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</si>
  <si>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</si>
  <si>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</si>
  <si>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</si>
  <si>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</si>
  <si>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</si>
  <si>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</si>
  <si>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</si>
  <si>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</si>
  <si>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</si>
  <si>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</si>
  <si>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</si>
  <si>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</si>
  <si>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</si>
  <si>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</si>
  <si>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</si>
  <si>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</si>
  <si>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</si>
  <si>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</si>
  <si>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</si>
  <si>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</si>
  <si>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</si>
  <si>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</si>
  <si>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</si>
  <si>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</si>
  <si>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</si>
  <si>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</si>
  <si>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</si>
  <si>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</si>
  <si>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</si>
  <si>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</si>
  <si>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</si>
  <si>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</si>
  <si>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</si>
  <si>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</si>
  <si>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</si>
  <si>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</si>
  <si>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</si>
  <si>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</si>
  <si>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</si>
  <si>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</si>
  <si>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</si>
  <si>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</si>
  <si>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</si>
  <si>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</si>
  <si>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</si>
  <si>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</si>
  <si>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</si>
  <si>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</si>
  <si>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</si>
  <si>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</si>
  <si>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</si>
  <si>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</si>
  <si>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</si>
  <si>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</si>
  <si>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</si>
  <si>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</si>
  <si>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</si>
  <si>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</si>
  <si>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</si>
  <si>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</si>
  <si>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</si>
  <si>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</si>
  <si>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</si>
  <si>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</si>
  <si>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</si>
  <si>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</si>
  <si>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</si>
  <si>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</si>
  <si>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</si>
  <si>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</si>
  <si>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</si>
  <si>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</si>
  <si>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</si>
  <si>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</si>
  <si>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</si>
  <si>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</si>
  <si>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</si>
  <si>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</si>
  <si>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</si>
  <si>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</si>
  <si>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</si>
  <si>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</si>
  <si>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</si>
  <si>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</si>
  <si>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</si>
  <si>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</si>
  <si>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</si>
  <si>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</si>
  <si>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</si>
  <si>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</si>
  <si>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</si>
  <si>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</si>
  <si>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</si>
  <si>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</si>
  <si>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</si>
  <si>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</si>
  <si>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</si>
  <si>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</si>
  <si>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</si>
  <si>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</si>
  <si>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</si>
  <si>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</si>
  <si>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</si>
  <si>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</si>
  <si>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</si>
  <si>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</si>
  <si>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</si>
  <si>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</si>
  <si>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</si>
  <si>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</si>
  <si>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</si>
  <si>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</si>
  <si>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</si>
  <si>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</si>
  <si>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</si>
  <si>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</si>
  <si>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</si>
  <si>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</si>
  <si>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</si>
  <si>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</si>
  <si>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</si>
  <si>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</si>
  <si>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</si>
  <si>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</si>
  <si>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</si>
  <si>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</si>
  <si>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</si>
  <si>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</si>
  <si>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</si>
  <si>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</si>
  <si>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</si>
  <si>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</si>
  <si>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</si>
  <si>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</si>
  <si>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</si>
  <si>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</si>
  <si>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</si>
  <si>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</si>
  <si>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</si>
  <si>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</si>
  <si>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</si>
  <si>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</si>
  <si>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</si>
  <si>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</si>
  <si>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</si>
  <si>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</si>
  <si>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</si>
  <si>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</si>
  <si>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</si>
  <si>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</si>
  <si>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</si>
  <si>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</si>
  <si>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</si>
  <si>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</si>
  <si>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</si>
  <si>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</si>
  <si>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</si>
  <si>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</si>
  <si>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</si>
  <si>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</si>
  <si>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</si>
  <si>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</si>
  <si>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</si>
  <si>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</si>
  <si>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</si>
  <si>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</si>
  <si>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</si>
  <si>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</si>
  <si>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</si>
  <si>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</si>
  <si>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</si>
  <si>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</si>
  <si>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</si>
  <si>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</si>
  <si>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</si>
  <si>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</si>
  <si>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</si>
  <si>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</si>
  <si>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</si>
  <si>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</si>
  <si>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</si>
  <si>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</si>
  <si>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</si>
  <si>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</si>
  <si>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</si>
  <si>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</si>
  <si>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</si>
  <si>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</si>
  <si>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</si>
  <si>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</si>
  <si>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</si>
  <si>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</si>
  <si>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</si>
  <si>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</si>
  <si>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</si>
  <si>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</si>
  <si>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</si>
  <si>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</si>
  <si>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</si>
  <si>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</si>
  <si>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</si>
  <si>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</si>
  <si>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</si>
  <si>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</si>
  <si>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</si>
  <si>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</si>
  <si>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</si>
  <si>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</si>
  <si>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</si>
  <si>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</si>
  <si>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</si>
  <si>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</si>
  <si>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</si>
  <si>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</si>
  <si>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</si>
  <si>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</si>
  <si>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</si>
  <si>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</si>
  <si>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</si>
  <si>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</si>
  <si>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</si>
  <si>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</si>
  <si>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</si>
  <si>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</si>
  <si>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</si>
  <si>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</si>
  <si>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</si>
  <si>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</si>
  <si>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</si>
  <si>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</si>
  <si>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</si>
  <si>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</si>
  <si>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</si>
  <si>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</si>
  <si>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</si>
  <si>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</si>
  <si>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</si>
  <si>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</si>
  <si>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</si>
  <si>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</si>
  <si>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</si>
  <si>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</si>
  <si>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</si>
  <si>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</si>
  <si>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</si>
  <si>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</si>
  <si>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</si>
  <si>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</si>
  <si>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</si>
  <si>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</si>
  <si>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</si>
  <si>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</si>
  <si>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</si>
  <si>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</si>
  <si>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</si>
  <si>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</si>
  <si>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</si>
  <si>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</si>
  <si>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</si>
  <si>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</si>
  <si>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</si>
  <si>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</si>
  <si>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</si>
  <si>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</si>
  <si>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</si>
  <si>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</si>
  <si>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</si>
  <si>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</si>
  <si>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</si>
  <si>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</si>
  <si>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</si>
  <si>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</si>
  <si>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</si>
  <si>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</si>
  <si>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</si>
  <si>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</si>
  <si>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</si>
  <si>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</si>
  <si>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</si>
  <si>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</si>
  <si>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</si>
  <si>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</si>
  <si>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</si>
  <si>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</si>
  <si>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</si>
  <si>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</si>
  <si>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</si>
  <si>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</si>
  <si>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</si>
  <si>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</si>
  <si>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</si>
  <si>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</si>
  <si>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</si>
  <si>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</si>
  <si>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</si>
  <si>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</si>
  <si>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</si>
  <si>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</si>
  <si>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</si>
  <si>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</si>
  <si>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</si>
  <si>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</si>
  <si>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</si>
  <si>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</si>
  <si>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</si>
  <si>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</si>
  <si>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</si>
  <si>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</si>
  <si>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</si>
  <si>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</si>
  <si>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</si>
  <si>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</si>
  <si>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</si>
  <si>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</si>
  <si>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</si>
  <si>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</si>
  <si>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</si>
  <si>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</si>
  <si>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</si>
  <si>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</si>
  <si>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</si>
  <si>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</si>
  <si>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</si>
  <si>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</si>
  <si>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</si>
  <si>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</si>
  <si>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</si>
  <si>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</si>
  <si>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</si>
  <si>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</si>
  <si>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</si>
  <si>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</si>
  <si>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</si>
  <si>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</si>
  <si>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</si>
  <si>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</si>
  <si>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</si>
  <si>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</si>
  <si>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</si>
  <si>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</si>
  <si>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</si>
  <si>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</si>
  <si>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</si>
  <si>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</si>
  <si>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</si>
  <si>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</si>
  <si>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</si>
  <si>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</si>
  <si>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</si>
  <si>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</si>
  <si>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</si>
  <si>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</si>
  <si>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</si>
  <si>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</si>
  <si>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</si>
  <si>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</si>
  <si>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</si>
  <si>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</si>
  <si>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</si>
  <si>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</si>
  <si>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</si>
  <si>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</si>
  <si>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</si>
  <si>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</si>
  <si>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</si>
  <si>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</si>
  <si>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</si>
  <si>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</si>
  <si>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</si>
  <si>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</si>
  <si>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</si>
  <si>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</si>
  <si>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</si>
  <si>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</si>
  <si>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</si>
  <si>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</si>
  <si>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</si>
  <si>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</si>
  <si>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</si>
  <si>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</si>
  <si>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</si>
  <si>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</si>
  <si>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</si>
  <si>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</si>
  <si>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</si>
  <si>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</si>
  <si>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</si>
  <si>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</si>
  <si>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</si>
  <si>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</si>
  <si>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</si>
  <si>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</si>
  <si>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</si>
  <si>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</si>
  <si>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</si>
  <si>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</si>
  <si>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</si>
  <si>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</si>
  <si>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</si>
  <si>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</si>
  <si>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</si>
  <si>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</si>
  <si>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</si>
  <si>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</si>
  <si>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</si>
  <si>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</si>
  <si>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</si>
  <si>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</si>
  <si>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</si>
  <si>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</si>
  <si>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</si>
  <si>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</si>
  <si>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</si>
  <si>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</si>
  <si>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</si>
  <si>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</si>
  <si>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</si>
  <si>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</si>
  <si>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</si>
  <si>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</si>
  <si>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</si>
  <si>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</si>
  <si>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</si>
  <si>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</si>
  <si>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</si>
  <si>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</si>
  <si>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</si>
  <si>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</si>
  <si>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</si>
  <si>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</si>
  <si>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</si>
  <si>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</si>
  <si>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</si>
  <si>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</si>
  <si>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</si>
  <si>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</si>
  <si>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</si>
  <si>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</si>
  <si>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</si>
  <si>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</si>
  <si>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</si>
  <si>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</si>
  <si>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</si>
  <si>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</si>
  <si>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</si>
  <si>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</si>
  <si>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</si>
  <si>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</si>
  <si>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</si>
  <si>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</si>
  <si>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</si>
  <si>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</si>
  <si>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</si>
  <si>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</si>
  <si>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</si>
  <si>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</si>
  <si>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</si>
  <si>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</si>
  <si>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</si>
  <si>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</si>
  <si>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</si>
  <si>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</si>
  <si>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</si>
  <si>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</si>
  <si>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</si>
  <si>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</si>
  <si>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</si>
  <si>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</si>
  <si>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</si>
  <si>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</si>
  <si>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</si>
  <si>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</si>
  <si>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</si>
  <si>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</si>
  <si>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</si>
  <si>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</si>
  <si>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</si>
  <si>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</si>
  <si>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</si>
  <si>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</si>
  <si>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</si>
  <si>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</si>
  <si>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</si>
  <si>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</si>
  <si>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</si>
  <si>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</si>
  <si>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</si>
  <si>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</si>
  <si>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</si>
  <si>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</si>
  <si>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</si>
  <si>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</si>
  <si>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</si>
  <si>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</si>
  <si>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</si>
  <si>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</si>
  <si>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</si>
  <si>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</si>
  <si>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</si>
  <si>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</si>
  <si>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</si>
  <si>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</si>
  <si>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</si>
  <si>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</si>
  <si>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</si>
  <si>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</si>
  <si>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</si>
  <si>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</si>
  <si>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</si>
  <si>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</si>
  <si>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</si>
  <si>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</si>
  <si>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</si>
  <si>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</si>
  <si>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</si>
  <si>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</si>
  <si>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</si>
  <si>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</si>
  <si>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</si>
  <si>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</si>
  <si>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</si>
  <si>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</si>
  <si>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</si>
  <si>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</si>
  <si>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</si>
  <si>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</si>
  <si>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</si>
  <si>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</si>
  <si>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</si>
  <si>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</si>
  <si>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</si>
  <si>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</si>
  <si>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</si>
  <si>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</si>
  <si>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</si>
  <si>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</si>
  <si>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</si>
  <si>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</si>
  <si>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</si>
  <si>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</si>
  <si>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</si>
  <si>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</si>
  <si>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</si>
  <si>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</si>
  <si>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</si>
  <si>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</si>
  <si>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</si>
  <si>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</si>
  <si>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</si>
  <si>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</si>
  <si>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</si>
  <si>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</si>
  <si>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</si>
  <si>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</si>
  <si>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</si>
  <si>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</si>
  <si>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</si>
  <si>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</si>
  <si>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</si>
  <si>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</si>
  <si>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</si>
  <si>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</si>
  <si>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</si>
  <si>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</si>
  <si>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</si>
  <si>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</si>
  <si>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</si>
  <si>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</si>
  <si>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</si>
  <si>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</si>
  <si>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</si>
  <si>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</si>
  <si>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</si>
  <si>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</si>
  <si>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</si>
  <si>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</si>
  <si>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</si>
  <si>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</si>
  <si>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</si>
  <si>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</si>
  <si>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</si>
  <si>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</si>
  <si>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</si>
  <si>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</si>
  <si>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</si>
  <si>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</si>
  <si>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</si>
  <si>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</si>
  <si>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</si>
  <si>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</si>
  <si>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</si>
  <si>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</si>
  <si>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</si>
  <si>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</si>
  <si>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</si>
  <si>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</si>
  <si>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</si>
  <si>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</si>
  <si>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</si>
  <si>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</si>
  <si>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</si>
  <si>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</si>
  <si>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</si>
  <si>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</si>
  <si>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</si>
  <si>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</si>
  <si>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</si>
  <si>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</si>
  <si>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</si>
  <si>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</si>
  <si>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</si>
  <si>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</si>
  <si>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</si>
  <si>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</si>
  <si>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</si>
  <si>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</si>
  <si>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</si>
  <si>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</si>
  <si>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</si>
  <si>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</si>
  <si>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</si>
  <si>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</si>
  <si>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</si>
  <si>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</si>
  <si>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</si>
  <si>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</si>
  <si>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</si>
  <si>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</si>
  <si>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</si>
  <si>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</si>
  <si>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</si>
  <si>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</si>
  <si>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</si>
  <si>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</si>
  <si>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</si>
  <si>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</si>
  <si>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</si>
  <si>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</si>
  <si>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</si>
  <si>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</si>
  <si>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</si>
  <si>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</si>
  <si>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</si>
  <si>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</si>
  <si>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</si>
  <si>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</si>
  <si>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</si>
  <si>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</si>
  <si>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</si>
  <si>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</si>
  <si>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</si>
  <si>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</si>
  <si>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</si>
  <si>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</si>
  <si>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</si>
  <si>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</si>
  <si>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</si>
  <si>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</si>
  <si>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</si>
  <si>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</si>
  <si>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</si>
  <si>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</si>
  <si>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</si>
  <si>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</si>
  <si>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</si>
  <si>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</si>
  <si>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</si>
  <si>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</si>
  <si>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</si>
  <si>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</si>
  <si>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</si>
  <si>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</si>
  <si>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</si>
  <si>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</si>
  <si>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</si>
  <si>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</si>
  <si>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</si>
  <si>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</si>
  <si>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</si>
  <si>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</si>
  <si>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</si>
  <si>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</si>
  <si>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</si>
  <si>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</si>
  <si>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</si>
  <si>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</si>
  <si>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</si>
  <si>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</si>
  <si>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</si>
  <si>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</si>
  <si>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</si>
  <si>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</si>
  <si>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</si>
  <si>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</si>
  <si>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</si>
  <si>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</si>
  <si>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</si>
  <si>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</si>
  <si>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</si>
  <si>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</si>
  <si>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</si>
  <si>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</si>
  <si>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</si>
  <si>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</si>
  <si>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</si>
  <si>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</si>
  <si>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</si>
  <si>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</si>
  <si>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</si>
  <si>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</si>
  <si>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</si>
  <si>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</si>
  <si>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</si>
  <si>
    <t>target</t>
  </si>
  <si>
    <t>n87A12089_2F7A_43C7_8FAD_0D12176C5DD3</t>
  </si>
  <si>
    <t>take control of</t>
  </si>
  <si>
    <t>lose control of</t>
  </si>
  <si>
    <t>nE22C0A99_F7DE_454D_ABB2_46E129D016B4</t>
  </si>
  <si>
    <t>Make MFA Mandatory</t>
  </si>
  <si>
    <t>nCC292B9C_DF75_4B68_B63E_75C8C586FD1E</t>
  </si>
  <si>
    <t>n82C51C5C_9487_4142_9937_10C422C1CD81</t>
  </si>
  <si>
    <t>Risk</t>
  </si>
  <si>
    <t>Mitigation</t>
  </si>
  <si>
    <t>https://open-measure.atlassian.net/wiki/spaces/BP/pages/653525030/OM-BP-0004+Make+MFA+Mandatory+Best+Practice</t>
  </si>
  <si>
    <t>nB622D019_1525_4A1F_838B_BA98AC1BD971</t>
  </si>
  <si>
    <t>nA8C4DBF8_4D5F_45D9_9EDF_74F94F6892E8</t>
  </si>
  <si>
    <t>constitute a</t>
  </si>
  <si>
    <t>Account Takeover: Risk</t>
  </si>
  <si>
    <t>Account Takeover: Mitigation</t>
  </si>
  <si>
    <t>nF4597E0B_96C0_4B53_9A3B_935F968E1B38</t>
  </si>
  <si>
    <t>n3FB94ED9_5239_4367_95B1_3737EDA89276</t>
  </si>
  <si>
    <t>n2E360D3F_EDF4_4A66_AB3B_464337BD50F8</t>
  </si>
  <si>
    <t>Unique</t>
  </si>
  <si>
    <t>n468E091A_D635_4B66_9E9F_50250A40BACD</t>
  </si>
  <si>
    <t>nC2897412_1DFC_43D6_8283_A319DF8413FF</t>
  </si>
  <si>
    <t>nC4C8CE77_401A_497F_B27B_D181DE00F4C7</t>
  </si>
  <si>
    <t>n0F28B661_9A67_4BAE_9A38_55D958B2B110</t>
  </si>
  <si>
    <t>n31DD2980_8A43_4B26_AC8F_E1BD1FB1D3DF</t>
  </si>
  <si>
    <t>nCE538E47_70A6_41C6_BC5F_C27723D5A09B</t>
  </si>
  <si>
    <t>n732FC9EA_C9D9_4F96_A1D9_8457FCFCFACC</t>
  </si>
  <si>
    <t>nE030E268_BC4A_456F_92D9_2331935CA2A1</t>
  </si>
  <si>
    <t>n875E2B7F_660C_40CF_8949_3AF592A072CA</t>
  </si>
  <si>
    <t>n7CA92152_7A47_46ED_B181_3549427CAF39</t>
  </si>
  <si>
    <t>nB13414E7_6B26_44AF_9043_6F67B1D60BDA</t>
  </si>
  <si>
    <t>n12B61E94_21BF_4011_98B6_284BA8A5EB27</t>
  </si>
  <si>
    <t>nDE99D29F_1C41_4523_BF87_BAD6C2E634FE</t>
  </si>
  <si>
    <t>nCAC901A3_0FF2_4E12_B73E_E9CAC4124FF8</t>
  </si>
  <si>
    <t>n1A871732_DAC0_47C7_A35A_FC53CF960FCF</t>
  </si>
  <si>
    <t>nA353DE36_656F_413A_ADD6_089B79409954</t>
  </si>
  <si>
    <t>nB2F3DBF3_A01D_4F01_9A4D_277917FE5906</t>
  </si>
  <si>
    <t>nDEA62256_5D8D_43B0_BDAF_3E0BFDDB5934</t>
  </si>
  <si>
    <t>nA2A27037_77A3_4D96_BCA6_FEBAEF869C66</t>
  </si>
  <si>
    <t>nE42CADC2_DC16_41D6_93D7_D352A75B7BD8</t>
  </si>
  <si>
    <t>nF3F79199_74CC_4F4D_A509_DB0B9A32A705</t>
  </si>
  <si>
    <t>n3D9A47E6_573A_4F2E_BEC6_9067B188F256</t>
  </si>
  <si>
    <t>nFB0DACE8_6D44_4830_AF63_AE8DF94AA876</t>
  </si>
  <si>
    <t>n8F4D9ABE_2D04_445A_B86D_9C79BDDFB297</t>
  </si>
  <si>
    <t>n04C264E5_1E6E_497A_85B4_8EB7A2EE0DC9</t>
  </si>
  <si>
    <t>n218B9A28_10CF_47F1_BCE5_B2CF708633D6</t>
  </si>
  <si>
    <t>n63524A5E_DE23_4177_B001_AB7FE6B60755</t>
  </si>
  <si>
    <t>n7B71DF07_C7D1_46EC_801B_8157BECEBBD8</t>
  </si>
  <si>
    <t>n7EEAE8B6_AE75_437C_A18E_905A8E62F49A</t>
  </si>
  <si>
    <t>n7D3DEC30_7061_484C_8360_3828C1B9DBA7</t>
  </si>
  <si>
    <t>nA64812DF_4091_450F_83AC_CFF12E37FF21</t>
  </si>
  <si>
    <t>n86BFB053_23CF_4416_BBC0_B2E65701A275</t>
  </si>
  <si>
    <t>n1BFD7E0A_9FB6_4761_8D27_F7FA858384E7</t>
  </si>
  <si>
    <t>n6F722E35_6B6C_4914_83F1_5B250A727B9A</t>
  </si>
  <si>
    <t>n9B5B0398_CCEF_426C_BFD3_04D87ADC5A42</t>
  </si>
  <si>
    <t>n7EDADDC0_813C_4BCC_9D7C_99B766ED8CFA</t>
  </si>
  <si>
    <t>nC55380A6_8E52_4E69_9929_1DD7F0172B53</t>
  </si>
  <si>
    <t>n8DC0BB5E_D388_4FFA_B285_2015DDA23483</t>
  </si>
  <si>
    <t>n0BB13D61_3169_4D1C_B41A_F7C75D744123</t>
  </si>
  <si>
    <t>n0E0FA8E6_D7C8_42DB_A49D_D3414BAAA139</t>
  </si>
  <si>
    <t>nFD74C25B_CA1D_41B8_8285_859CDE820E05</t>
  </si>
  <si>
    <t>n38735D1A_417F_438D_ADD1_4030265037A7</t>
  </si>
  <si>
    <t>nA2E86579_252A_4E1D_AC68_2AEE7D87BDF9</t>
  </si>
  <si>
    <t>nC621ED13_0087_42F8_80CD_7697770DAD73</t>
  </si>
  <si>
    <t>nEE736788_360E_4051_A5DD_EF9A141931B5</t>
  </si>
  <si>
    <t>nCEEF2D09_F3DD_4E2A_A2B9_02632670059D</t>
  </si>
  <si>
    <t>n84AE65AE_1872_478C_B6BC_BDC5B5C065EA</t>
  </si>
  <si>
    <t>n0443F6C4_1BBB_4105_9F0A_DC9C4797CB7D</t>
  </si>
  <si>
    <t>nDEAD741F_13E1_43AB_83A1_4F593CDFF8AF</t>
  </si>
  <si>
    <t>n36F69CCD_C3CF_48B5_85A5_B57A11F54932</t>
  </si>
  <si>
    <t>nA3659DAE_2748_41EA_9783_AFBB27AE397D</t>
  </si>
  <si>
    <t>n305D7E3B_B57D_4B5D_9B3A_173CF7E77527</t>
  </si>
  <si>
    <t>n4E893FB9_FE74_4965_B6D9_1AA43C34AB70</t>
  </si>
  <si>
    <t>nCA1AC8CE_0F5F_410C_BC93_23278E033DEC</t>
  </si>
  <si>
    <t>nDBE5A81E_13C8_4BA4_8560_C2EA0949F9CC</t>
  </si>
  <si>
    <t>nC9086293_A7EC_4DB9_9D0C_6084EBB2C527</t>
  </si>
  <si>
    <t>n5B41F1EC_F854_4A43_B396_1025F94B19BF</t>
  </si>
  <si>
    <t>n4ED4AE52_9171_4025_95E0_F3ECCA7F422C</t>
  </si>
  <si>
    <t>n6CC35466_7D1E_42C3_B77F_2ECBDA6C949C</t>
  </si>
  <si>
    <t>nAF4CC5B1_165C_46C1_B7EB_720BA64A6911</t>
  </si>
  <si>
    <t>n2BDA4CD9_82A1_4245_B05B_AC4E2FACE292</t>
  </si>
  <si>
    <t>nB12BD9B9_976D_4329_8134_CC045C9C9839</t>
  </si>
  <si>
    <t>Make MFA Mandatory (Best Practice)</t>
  </si>
  <si>
    <t>Unicirty</t>
  </si>
  <si>
    <t>Export?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</si>
</sst>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4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2" fillId="2" borderId="4" xfId="1" applyNumberFormat="1" applyFont="1" applyBorder="1" applyAlignment="1">
      <alignment vertical="top"/>
    </xf>
    <xf numFmtId="0" fontId="4" fillId="0" borderId="0" xfId="3" applyAlignment="1"/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Border="1" applyAlignment="1">
      <alignment horizontal="center" vertical="top"/>
    </xf>
    <xf numFmtId="0" fontId="3" fillId="0" borderId="2" xfId="2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784225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I503" totalsRowShown="0" headerRowDxfId="40" dataDxfId="39">
  <autoFilter ref="A1:I503" xr:uid="{5C9712D2-CCDA-4E9C-B304-04B7352F99F1}"/>
  <sortState xmlns:xlrd2="http://schemas.microsoft.com/office/spreadsheetml/2017/richdata2" ref="A2:I503">
    <sortCondition ref="A1:A503"/>
  </sortState>
  <tableColumns count="9">
    <tableColumn id="7" xr3:uid="{5088D59A-45C2-4E1D-97DB-D92C10772FC3}" name="Unambiguous Name" dataDxfId="12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8"/>
    <tableColumn id="2" xr3:uid="{90333BBB-2EEB-4564-A4DE-2C01EFC61D47}" name="Node ID" dataDxfId="11"/>
    <tableColumn id="9" xr3:uid="{64EBF582-70D0-427F-B4C9-E0E1AB19752D}" name="Unique" dataDxfId="9">
      <calculatedColumnFormula>COUNTIF(NodesData[Node ID],NodesData[[#This Row],[Node ID]])</calculatedColumnFormula>
    </tableColumn>
    <tableColumn id="4" xr3:uid="{6146B9E7-30B6-4E1C-8AE1-B6449F0E0DE8}" name="Class Disambiguation" dataDxfId="10"/>
    <tableColumn id="6" xr3:uid="{FD2E50A7-4489-4F3D-B755-6C2DCB54CAEE}" name="Unambiguous Name2" dataDxfId="37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6"/>
    <tableColumn id="8" xr3:uid="{334909EF-6768-4210-A03B-B3B2782F8DF1}" name="URL" dataDxfId="35"/>
    <tableColumn id="5" xr3:uid="{C893231A-2AE1-4035-A471-BB69C36E6D4F}" name="GUID Generator" dataDxfId="34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I70" totalsRowShown="0" headerRowDxfId="33" dataDxfId="32">
  <autoFilter ref="A1:I70" xr:uid="{5C9712D2-CCDA-4E9C-B304-04B7352F99F1}"/>
  <sortState xmlns:xlrd2="http://schemas.microsoft.com/office/spreadsheetml/2017/richdata2" ref="A2:I49">
    <sortCondition ref="D1:D49"/>
  </sortState>
  <tableColumns count="9">
    <tableColumn id="5" xr3:uid="{CE3327DB-D425-4D19-AFBC-04AB47355E47}" name="Edge ID" dataDxfId="8"/>
    <tableColumn id="9" xr3:uid="{F696736C-4E13-460F-BF11-C92DB7BC03A8}" name="Unicirty" dataDxfId="6">
      <calculatedColumnFormula>COUNTIF(EdgesData[Edge ID],EdgesData[[#This Row],[Edge ID]])</calculatedColumnFormula>
    </tableColumn>
    <tableColumn id="1" xr3:uid="{9CA13924-CA4A-44D4-8A07-E52B10C55BA7}" name="Node A ID" dataDxfId="7">
      <calculatedColumnFormula>VLOOKUP(EdgesData[[#This Row],[Node A]],NodesData[],3,FALSE)</calculatedColumnFormula>
    </tableColumn>
    <tableColumn id="3" xr3:uid="{BAA89F4B-F6C5-4ABD-86BE-5A8853F41E60}" name="Node A" dataDxfId="31"/>
    <tableColumn id="4" xr3:uid="{D3335F2C-7AD5-4D66-8BC3-253890C0E8B7}" name="Rel" dataDxfId="30"/>
    <tableColumn id="2" xr3:uid="{8D04C2D1-8FFA-4141-8A59-A1BFEFFAB089}" name="Dir" dataDxfId="29"/>
    <tableColumn id="6" xr3:uid="{C46C88E3-4516-403D-9A39-7617A8F5E08F}" name="Node B" dataDxfId="28"/>
    <tableColumn id="8" xr3:uid="{018119E0-D793-4DE2-91A3-9B20775CD938}" name="Node B ID" dataDxfId="13">
      <calculatedColumnFormula>VLOOKUP(EdgesData[[#This Row],[Node B]],NodesData[],3,FALSE)</calculatedColumnFormula>
    </tableColumn>
    <tableColumn id="7" xr3:uid="{648409CB-F2FA-4FEE-88C7-554D58380F3E}" name="GUID Generator" dataDxfId="27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F507" totalsRowShown="0" headerRowDxfId="26" dataDxfId="25">
  <autoFilter ref="A2:F507" xr:uid="{5C9712D2-CCDA-4E9C-B304-04B7352F99F1}"/>
  <tableColumns count="6">
    <tableColumn id="3" xr3:uid="{82A8C566-EE4C-44EE-B0F5-47C24EB1BA08}" name="Export?" dataDxfId="1">
      <calculatedColumnFormula>IF(ISERR(NodesJSON[[#This Row],[label]]),0,1)</calculatedColumnFormula>
    </tableColumn>
    <tableColumn id="2" xr3:uid="{7A433402-2F5D-4FF4-8541-52C3CCA58CBF}" name="label" dataDxfId="2">
      <calculatedColumnFormula>NodesData[[#This Row],[Common Name]]</calculatedColumnFormula>
    </tableColumn>
    <tableColumn id="1" xr3:uid="{9480A146-5094-4585-8E34-79B118723205}" name="group" dataDxfId="24">
      <calculatedColumnFormula>IF(NodesData[[#This Row],[Context Instanciation]]="","",NodesData[[#This Row],[Context Instanciation]])</calculatedColumnFormula>
    </tableColumn>
    <tableColumn id="5" xr3:uid="{DE7D344F-F0A4-42CA-BECA-DEC46A3C6044}" name="id" dataDxfId="23">
      <calculatedColumnFormula>NodesData[[#This Row],[Node ID]]</calculatedColumnFormula>
    </tableColumn>
    <tableColumn id="8" xr3:uid="{D32881FA-1331-4995-98E1-08014CC00B3B}" name="url" dataDxfId="22"/>
    <tableColumn id="4" xr3:uid="{C237D77B-2B8C-448A-9D3F-782001125820}" name="JSON" dataDxfId="0" dataCellStyle="Code">
      <calculatedColumnFormula array="1">IF(NodesJSON[[#This Row],[Export?]]=0,"",IF(ROW(NodesJSON[[#This Row],[label]])&gt;ROW(NodesJSON[[#Headers],[JSON]])+1,",","") &amp;"{"&amp;twoRangesToJSON(NodesJSON[[#Headers],[label]:[url]],NodesJSON[[#This Row],[label]:[url]])&amp;"}")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F87" totalsRowShown="0" headerRowDxfId="21" dataDxfId="20">
  <autoFilter ref="A2:F87" xr:uid="{2DC44691-7CC8-490A-BFD1-C0BACEDD8C5B}"/>
  <tableColumns count="6">
    <tableColumn id="1" xr3:uid="{EAA854D8-FC3C-4095-A454-B74145F31F60}" name="Export?" dataDxfId="4">
      <calculatedColumnFormula>IF(ISERR(EdgesJSON[[#This Row],[id]]),0,1)</calculatedColumnFormula>
    </tableColumn>
    <tableColumn id="6" xr3:uid="{7B6A1A21-3B7A-41BC-953A-E7E41C3DF49A}" name="id" dataDxfId="5">
      <calculatedColumnFormula>EdgesData[[#This Row],[Edge ID]]</calculatedColumnFormula>
    </tableColumn>
    <tableColumn id="2" xr3:uid="{3D9DE3B5-4740-491A-AF2C-F3365D8C031F}" name="from" dataDxfId="19">
      <calculatedColumnFormula>EdgesData[[#This Row],[Node A ID]]</calculatedColumnFormula>
    </tableColumn>
    <tableColumn id="5" xr3:uid="{17306F30-E2AC-4FAA-A3C9-6B06FA97B7CD}" name="to" dataDxfId="18">
      <calculatedColumnFormula>EdgesData[[#This Row],[Node B ID]]</calculatedColumnFormula>
    </tableColumn>
    <tableColumn id="8" xr3:uid="{B166B7F9-2FC2-4259-83C8-E55C58025CC9}" name="label" dataDxfId="17">
      <calculatedColumnFormula>EdgesData[[#This Row],[Rel]]</calculatedColumnFormula>
    </tableColumn>
    <tableColumn id="4" xr3:uid="{BC79FDF8-B819-4DED-9F3A-54E94785DD2A}" name="JSON" dataDxfId="3" dataCellStyle="Code">
      <calculatedColumnFormula array="1">IF(EdgesJSON[[#This Row],[Export?]]=0,"",IF(ROW(EdgesJSON[[#This Row],[id]])&gt;ROW(EdgesJSON[[#Headers],[JSON]])+1,",","") &amp;"{"&amp;twoRangesToJSON(EdgesJSON[[#Headers],[id]:[label]],EdgesJSON[[#This Row],[id]:[label]])&amp;"}")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16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5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4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11" sqref="B11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I503"/>
  <sheetViews>
    <sheetView topLeftCell="A271" zoomScale="120" zoomScaleNormal="120" workbookViewId="0">
      <selection activeCell="C275" sqref="C275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1.796875" style="12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9" x14ac:dyDescent="0.35">
      <c r="A1" s="11" t="s">
        <v>1859</v>
      </c>
      <c r="B1" s="11" t="s">
        <v>1856</v>
      </c>
      <c r="C1" s="11" t="s">
        <v>1857</v>
      </c>
      <c r="D1" s="11" t="s">
        <v>1925</v>
      </c>
      <c r="E1" s="11" t="s">
        <v>1858</v>
      </c>
      <c r="F1" s="11" t="s">
        <v>1892</v>
      </c>
      <c r="G1" s="11" t="s">
        <v>1891</v>
      </c>
      <c r="H1" s="11" t="s">
        <v>520</v>
      </c>
      <c r="I1" s="11" t="s">
        <v>1860</v>
      </c>
    </row>
    <row r="2" spans="1:9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36">
        <f>COUNTIF(NodesData[Node ID],NodesData[[#This Row],[Node ID]])</f>
        <v>1</v>
      </c>
      <c r="E2" s="12" t="s">
        <v>1337</v>
      </c>
      <c r="F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G2" s="18"/>
      <c r="I2" s="19" t="str" cm="1">
        <f t="array" ref="I2">"n"&amp;SUBSTITUTE(CreateGuidString(),"-","_")</f>
        <v>nDA6E72FA_3F95_454B_B464_7C44701A0F89</v>
      </c>
    </row>
    <row r="3" spans="1:9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36">
        <f>COUNTIF(NodesData[Node ID],NodesData[[#This Row],[Node ID]])</f>
        <v>1</v>
      </c>
      <c r="E3" s="11" t="s">
        <v>1829</v>
      </c>
      <c r="F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H3" s="12" t="s">
        <v>523</v>
      </c>
      <c r="I3" s="19" t="str" cm="1">
        <f t="array" ref="I3">"n"&amp;SUBSTITUTE(CreateGuidString(),"-","_")</f>
        <v>n83045E46_05D2_4BAB_B887_74870BD310FD</v>
      </c>
    </row>
    <row r="4" spans="1:9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D4" s="36">
        <f>COUNTIF(NodesData[Node ID],NodesData[[#This Row],[Node ID]])</f>
        <v>1</v>
      </c>
      <c r="F4" s="12" t="str">
        <f>IF(NodesData[[#This Row],[Class Disambiguation]]="",NodesData[[#This Row],[Common Name]],NodesData[[#This Row],[Common Name]]&amp;" ("&amp;NodesData[[#This Row],[Class Disambiguation]]&amp;")")</f>
        <v>Access</v>
      </c>
      <c r="H4" s="12" t="s">
        <v>524</v>
      </c>
      <c r="I4" s="19" t="str" cm="1">
        <f t="array" ref="I4">"n"&amp;SUBSTITUTE(CreateGuidString(),"-","_")</f>
        <v>nE1F5E9BD_32FB_4B57_9FB4_69F033EDC9FF</v>
      </c>
    </row>
    <row r="5" spans="1:9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D5" s="36">
        <f>COUNTIF(NodesData[Node ID],NodesData[[#This Row],[Node ID]])</f>
        <v>1</v>
      </c>
      <c r="F5" s="12" t="str">
        <f>IF(NodesData[[#This Row],[Class Disambiguation]]="",NodesData[[#This Row],[Common Name]],NodesData[[#This Row],[Common Name]]&amp;" ("&amp;NodesData[[#This Row],[Class Disambiguation]]&amp;")")</f>
        <v>Access Audit</v>
      </c>
      <c r="H5" s="12" t="s">
        <v>526</v>
      </c>
      <c r="I5" s="19" t="str" cm="1">
        <f t="array" ref="I5">"n"&amp;SUBSTITUTE(CreateGuidString(),"-","_")</f>
        <v>nB0E5EDAB_4DFD_4405_BCCA_C6F19246331E</v>
      </c>
    </row>
    <row r="6" spans="1:9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D6" s="36">
        <f>COUNTIF(NodesData[Node ID],NodesData[[#This Row],[Node ID]])</f>
        <v>1</v>
      </c>
      <c r="F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H6" s="12" t="s">
        <v>527</v>
      </c>
      <c r="I6" s="19" t="str" cm="1">
        <f t="array" ref="I6">"n"&amp;SUBSTITUTE(CreateGuidString(),"-","_")</f>
        <v>n9634E946_0FAC_476A_BA90_3B3DF21B74E6</v>
      </c>
    </row>
    <row r="7" spans="1:9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D7" s="36">
        <f>COUNTIF(NodesData[Node ID],NodesData[[#This Row],[Node ID]])</f>
        <v>1</v>
      </c>
      <c r="F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H7" s="12" t="s">
        <v>529</v>
      </c>
      <c r="I7" s="19" t="str" cm="1">
        <f t="array" ref="I7">"n"&amp;SUBSTITUTE(CreateGuidString(),"-","_")</f>
        <v>n1865AB3E_F3C2_4F8E_A09D_0512E88E91A9</v>
      </c>
    </row>
    <row r="8" spans="1:9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D8" s="36">
        <f>COUNTIF(NodesData[Node ID],NodesData[[#This Row],[Node ID]])</f>
        <v>1</v>
      </c>
      <c r="F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H8" s="12" t="s">
        <v>531</v>
      </c>
      <c r="I8" s="19" t="str" cm="1">
        <f t="array" ref="I8">"n"&amp;SUBSTITUTE(CreateGuidString(),"-","_")</f>
        <v>nB891F213_2993_4B0A_BE20_F985584775C7</v>
      </c>
    </row>
    <row r="9" spans="1:9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D9" s="36">
        <f>COUNTIF(NodesData[Node ID],NodesData[[#This Row],[Node ID]])</f>
        <v>1</v>
      </c>
      <c r="F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H9" s="12" t="s">
        <v>533</v>
      </c>
      <c r="I9" s="19" t="str" cm="1">
        <f t="array" ref="I9">"n"&amp;SUBSTITUTE(CreateGuidString(),"-","_")</f>
        <v>n64FF9BD3_D041_4FE5_A4FA_A89E82346915</v>
      </c>
    </row>
    <row r="10" spans="1:9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D10" s="36">
        <f>COUNTIF(NodesData[Node ID],NodesData[[#This Row],[Node ID]])</f>
        <v>1</v>
      </c>
      <c r="F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H10" s="12" t="s">
        <v>535</v>
      </c>
      <c r="I10" s="19" t="str" cm="1">
        <f t="array" ref="I10">"n"&amp;SUBSTITUTE(CreateGuidString(),"-","_")</f>
        <v>n9AFFFB5F_4F6D_4ABB_AFB7_7A7616A0C8F3</v>
      </c>
    </row>
    <row r="11" spans="1:9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D11" s="36">
        <f>COUNTIF(NodesData[Node ID],NodesData[[#This Row],[Node ID]])</f>
        <v>1</v>
      </c>
      <c r="F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H11" s="12" t="s">
        <v>537</v>
      </c>
      <c r="I11" s="19" t="str" cm="1">
        <f t="array" ref="I11">"n"&amp;SUBSTITUTE(CreateGuidString(),"-","_")</f>
        <v>n077DBCA5_32C0_4EAE_A5E6_F8988A5E938D</v>
      </c>
    </row>
    <row r="12" spans="1:9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36">
        <f>COUNTIF(NodesData[Node ID],NodesData[[#This Row],[Node ID]])</f>
        <v>1</v>
      </c>
      <c r="E12" s="11" t="s">
        <v>1831</v>
      </c>
      <c r="F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H12" s="12" t="s">
        <v>538</v>
      </c>
      <c r="I12" s="19" t="str" cm="1">
        <f t="array" ref="I12">"n"&amp;SUBSTITUTE(CreateGuidString(),"-","_")</f>
        <v>n6B4DF539_6E3A_4A7C_866D_1C315555D96C</v>
      </c>
    </row>
    <row r="13" spans="1:9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D13" s="36">
        <f>COUNTIF(NodesData[Node ID],NodesData[[#This Row],[Node ID]])</f>
        <v>1</v>
      </c>
      <c r="F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H13" s="12" t="s">
        <v>540</v>
      </c>
      <c r="I13" s="19" t="str" cm="1">
        <f t="array" ref="I13">"n"&amp;SUBSTITUTE(CreateGuidString(),"-","_")</f>
        <v>n38E24934_D3B8_42ED_B44C_1F7E6DDE7AE3</v>
      </c>
    </row>
    <row r="14" spans="1:9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D14" s="36">
        <f>COUNTIF(NodesData[Node ID],NodesData[[#This Row],[Node ID]])</f>
        <v>1</v>
      </c>
      <c r="F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H14" s="12" t="s">
        <v>542</v>
      </c>
      <c r="I14" s="19" t="str" cm="1">
        <f t="array" ref="I14">"n"&amp;SUBSTITUTE(CreateGuidString(),"-","_")</f>
        <v>n595D2B79_940B_4895_BD64_E90ED473D0A3</v>
      </c>
    </row>
    <row r="15" spans="1:9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D15" s="36">
        <f>COUNTIF(NodesData[Node ID],NodesData[[#This Row],[Node ID]])</f>
        <v>1</v>
      </c>
      <c r="F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H15" s="12" t="s">
        <v>544</v>
      </c>
      <c r="I15" s="19" t="str" cm="1">
        <f t="array" ref="I15">"n"&amp;SUBSTITUTE(CreateGuidString(),"-","_")</f>
        <v>nBF7852D7_BA4E_4395_837A_9EAAEBF575D5</v>
      </c>
    </row>
    <row r="16" spans="1:9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D16" s="36">
        <f>COUNTIF(NodesData[Node ID],NodesData[[#This Row],[Node ID]])</f>
        <v>1</v>
      </c>
      <c r="F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H16" s="12" t="s">
        <v>545</v>
      </c>
      <c r="I16" s="19" t="str" cm="1">
        <f t="array" ref="I16">"n"&amp;SUBSTITUTE(CreateGuidString(),"-","_")</f>
        <v>n4096EEF9_5DD5_46BB_853F_0D1AD88BA2BB</v>
      </c>
    </row>
    <row r="17" spans="1:9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D17" s="36">
        <f>COUNTIF(NodesData[Node ID],NodesData[[#This Row],[Node ID]])</f>
        <v>1</v>
      </c>
      <c r="F17" s="12" t="str">
        <f>IF(NodesData[[#This Row],[Class Disambiguation]]="",NodesData[[#This Row],[Common Name]],NodesData[[#This Row],[Common Name]]&amp;" ("&amp;NodesData[[#This Row],[Class Disambiguation]]&amp;")")</f>
        <v>Account</v>
      </c>
      <c r="H17" s="12" t="s">
        <v>546</v>
      </c>
      <c r="I17" s="19" t="str" cm="1">
        <f t="array" ref="I17">"n"&amp;SUBSTITUTE(CreateGuidString(),"-","_")</f>
        <v>nFD1CCB33_F37B_47F6_B6D6_6552141C3674</v>
      </c>
    </row>
    <row r="18" spans="1:9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D18" s="36">
        <f>COUNTIF(NodesData[Node ID],NodesData[[#This Row],[Node ID]])</f>
        <v>1</v>
      </c>
      <c r="F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H18" s="12" t="s">
        <v>548</v>
      </c>
      <c r="I18" s="19" t="str" cm="1">
        <f t="array" ref="I18">"n"&amp;SUBSTITUTE(CreateGuidString(),"-","_")</f>
        <v>nBAADBDFD_1237_4AE7_92E6_74A1F6DB2F83</v>
      </c>
    </row>
    <row r="19" spans="1:9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D19" s="36">
        <f>COUNTIF(NodesData[Node ID],NodesData[[#This Row],[Node ID]])</f>
        <v>1</v>
      </c>
      <c r="F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H19" s="12" t="s">
        <v>550</v>
      </c>
      <c r="I19" s="19" t="str" cm="1">
        <f t="array" ref="I19">"n"&amp;SUBSTITUTE(CreateGuidString(),"-","_")</f>
        <v>n7FDE20B5_8DCF_421E_92B5_F42717958252</v>
      </c>
    </row>
    <row r="20" spans="1:9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D20" s="36">
        <f>COUNTIF(NodesData[Node ID],NodesData[[#This Row],[Node ID]])</f>
        <v>1</v>
      </c>
      <c r="F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G20" s="18" t="s">
        <v>4</v>
      </c>
      <c r="H20" s="12" t="s">
        <v>551</v>
      </c>
      <c r="I20" s="19" t="str" cm="1">
        <f t="array" ref="I20">"n"&amp;SUBSTITUTE(CreateGuidString(),"-","_")</f>
        <v>nB9500F5F_3311_42F8_BB77_6FB05FE93968</v>
      </c>
    </row>
    <row r="21" spans="1:9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1885</v>
      </c>
      <c r="D21" s="36">
        <f>COUNTIF(NodesData[Node ID],NodesData[[#This Row],[Node ID]])</f>
        <v>1</v>
      </c>
      <c r="F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G21" s="18" t="s">
        <v>4</v>
      </c>
      <c r="I21" s="20" t="str" cm="1">
        <f t="array" ref="I21">"n"&amp;SUBSTITUTE(CreateGuidString(),"-","_")</f>
        <v>n800BA3FE_E57A_4869_8E39_1B1D85F88FEE</v>
      </c>
    </row>
    <row r="22" spans="1:9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D22" s="36">
        <f>COUNTIF(NodesData[Node ID],NodesData[[#This Row],[Node ID]])</f>
        <v>1</v>
      </c>
      <c r="F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G22" s="18" t="s">
        <v>4</v>
      </c>
      <c r="H22" s="12" t="s">
        <v>717</v>
      </c>
      <c r="I22" s="19" t="str" cm="1">
        <f t="array" ref="I22">"n"&amp;SUBSTITUTE(CreateGuidString(),"-","_")</f>
        <v>n17CA8F4B_0278_4C0A_BF52_683CA5895B88</v>
      </c>
    </row>
    <row r="23" spans="1:9" x14ac:dyDescent="0.35">
      <c r="A23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3" s="11" t="s">
        <v>1915</v>
      </c>
      <c r="C23" s="13" t="s">
        <v>1918</v>
      </c>
      <c r="D23" s="36">
        <f>COUNTIF(NodesData[Node ID],NodesData[[#This Row],[Node ID]])</f>
        <v>1</v>
      </c>
      <c r="F23" s="18" t="str">
        <f>IF(NodesData[[#This Row],[Class Disambiguation]]="",NodesData[[#This Row],[Common Name]],NodesData[[#This Row],[Common Name]]&amp;" ("&amp;NodesData[[#This Row],[Class Disambiguation]]&amp;")")</f>
        <v>Mitigation</v>
      </c>
      <c r="G23" s="11" t="s">
        <v>4</v>
      </c>
      <c r="I23" s="20" t="str" cm="1">
        <f t="array" ref="I23">"n"&amp;SUBSTITUTE(CreateGuidString(),"-","_")</f>
        <v>n16173204_71C2_41A1_ADE9_73D31CD86840</v>
      </c>
    </row>
    <row r="24" spans="1:9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4" s="12" t="s">
        <v>1902</v>
      </c>
      <c r="C24" s="13" t="s">
        <v>1901</v>
      </c>
      <c r="D24" s="36">
        <f>COUNTIF(NodesData[Node ID],NodesData[[#This Row],[Node ID]])</f>
        <v>1</v>
      </c>
      <c r="F24" s="18" t="str">
        <f>IF(NodesData[[#This Row],[Class Disambiguation]]="",NodesData[[#This Row],[Common Name]],NodesData[[#This Row],[Common Name]]&amp;" ("&amp;NodesData[[#This Row],[Class Disambiguation]]&amp;")")</f>
        <v>Motivation</v>
      </c>
      <c r="G24" s="12" t="s">
        <v>4</v>
      </c>
      <c r="I24" s="20" t="str" cm="1">
        <f t="array" ref="I24">"n"&amp;SUBSTITUTE(CreateGuidString(),"-","_")</f>
        <v>n105B1C51_F267_4F4C_A5C0_69A76743F86C</v>
      </c>
    </row>
    <row r="25" spans="1:9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5" s="31" t="s">
        <v>1888</v>
      </c>
      <c r="C25" s="13" t="s">
        <v>1878</v>
      </c>
      <c r="D25" s="36">
        <f>COUNTIF(NodesData[Node ID],NodesData[[#This Row],[Node ID]])</f>
        <v>1</v>
      </c>
      <c r="F25" s="18" t="str">
        <f>IF(NodesData[[#This Row],[Class Disambiguation]]="",NodesData[[#This Row],[Common Name]],NodesData[[#This Row],[Common Name]]&amp;" ("&amp;NodesData[[#This Row],[Class Disambiguation]]&amp;")")</f>
        <v>Perpetrator</v>
      </c>
      <c r="G25" s="18" t="s">
        <v>4</v>
      </c>
      <c r="I25" s="20" t="str" cm="1">
        <f t="array" ref="I25">"n"&amp;SUBSTITUTE(CreateGuidString(),"-","_")</f>
        <v>n14C35BA6_AF1D_44F2_B7EE_3D1116AFA8A5</v>
      </c>
    </row>
    <row r="26" spans="1:9" x14ac:dyDescent="0.35">
      <c r="A26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26" s="11" t="s">
        <v>1914</v>
      </c>
      <c r="C26" s="13" t="s">
        <v>1917</v>
      </c>
      <c r="D26" s="36">
        <f>COUNTIF(NodesData[Node ID],NodesData[[#This Row],[Node ID]])</f>
        <v>1</v>
      </c>
      <c r="F26" s="18" t="str">
        <f>IF(NodesData[[#This Row],[Class Disambiguation]]="",NodesData[[#This Row],[Common Name]],NodesData[[#This Row],[Common Name]]&amp;" ("&amp;NodesData[[#This Row],[Class Disambiguation]]&amp;")")</f>
        <v>Risk</v>
      </c>
      <c r="G26" s="11" t="s">
        <v>4</v>
      </c>
      <c r="I26" s="20" t="str" cm="1">
        <f t="array" ref="I26">"n"&amp;SUBSTITUTE(CreateGuidString(),"-","_")</f>
        <v>n2F4F2944_5D7B_49DE_8C3C_4D39E3405E09</v>
      </c>
    </row>
    <row r="27" spans="1:9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7" s="32" t="s">
        <v>1887</v>
      </c>
      <c r="C27" s="13" t="s">
        <v>1879</v>
      </c>
      <c r="D27" s="36">
        <f>COUNTIF(NodesData[Node ID],NodesData[[#This Row],[Node ID]])</f>
        <v>1</v>
      </c>
      <c r="F27" s="18" t="str">
        <f>IF(NodesData[[#This Row],[Class Disambiguation]]="",NodesData[[#This Row],[Common Name]],NodesData[[#This Row],[Common Name]]&amp;" ("&amp;NodesData[[#This Row],[Class Disambiguation]]&amp;")")</f>
        <v>Victim</v>
      </c>
      <c r="G27" s="18" t="s">
        <v>4</v>
      </c>
      <c r="I27" s="20" t="str" cm="1">
        <f t="array" ref="I27">"n"&amp;SUBSTITUTE(CreateGuidString(),"-","_")</f>
        <v>n001CB9A2_CAA1_4764_828C_F412304E0FA7</v>
      </c>
    </row>
    <row r="28" spans="1:9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8" s="12" t="s">
        <v>1264</v>
      </c>
      <c r="C28" s="13" t="s">
        <v>1374</v>
      </c>
      <c r="D28" s="36">
        <f>COUNTIF(NodesData[Node ID],NodesData[[#This Row],[Node ID]])</f>
        <v>1</v>
      </c>
      <c r="F28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H28" s="12" t="s">
        <v>552</v>
      </c>
      <c r="I28" s="19" t="str" cm="1">
        <f t="array" ref="I28">"n"&amp;SUBSTITUTE(CreateGuidString(),"-","_")</f>
        <v>nF75A2EF6_F6AC_4A14_973E_83765AC2F6DA</v>
      </c>
    </row>
    <row r="29" spans="1:9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9" s="12" t="s">
        <v>553</v>
      </c>
      <c r="C29" s="13" t="s">
        <v>1375</v>
      </c>
      <c r="D29" s="36">
        <f>COUNTIF(NodesData[Node ID],NodesData[[#This Row],[Node ID]])</f>
        <v>1</v>
      </c>
      <c r="F29" s="12" t="str">
        <f>IF(NodesData[[#This Row],[Class Disambiguation]]="",NodesData[[#This Row],[Common Name]],NodesData[[#This Row],[Common Name]]&amp;" ("&amp;NodesData[[#This Row],[Class Disambiguation]]&amp;")")</f>
        <v>Accreditation</v>
      </c>
      <c r="H29" s="12" t="s">
        <v>554</v>
      </c>
      <c r="I29" s="19" t="str" cm="1">
        <f t="array" ref="I29">"n"&amp;SUBSTITUTE(CreateGuidString(),"-","_")</f>
        <v>n7E7D61B4_C5D8_4B55_BFFA_0E42C849E463</v>
      </c>
    </row>
    <row r="30" spans="1:9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30" s="12" t="s">
        <v>555</v>
      </c>
      <c r="C30" s="13" t="s">
        <v>1376</v>
      </c>
      <c r="D30" s="36">
        <f>COUNTIF(NodesData[Node ID],NodesData[[#This Row],[Node ID]])</f>
        <v>1</v>
      </c>
      <c r="F30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H30" s="12" t="s">
        <v>556</v>
      </c>
      <c r="I30" s="19" t="str" cm="1">
        <f t="array" ref="I30">"n"&amp;SUBSTITUTE(CreateGuidString(),"-","_")</f>
        <v>nF3BBB56F_8803_4F8A_842F_67CB8999B6A2</v>
      </c>
    </row>
    <row r="31" spans="1:9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31" s="12" t="s">
        <v>29</v>
      </c>
      <c r="C31" s="13" t="s">
        <v>1377</v>
      </c>
      <c r="D31" s="36">
        <f>COUNTIF(NodesData[Node ID],NodesData[[#This Row],[Node ID]])</f>
        <v>1</v>
      </c>
      <c r="E31" s="12" t="s">
        <v>1270</v>
      </c>
      <c r="F31" s="12" t="str">
        <f>IF(NodesData[[#This Row],[Class Disambiguation]]="",NodesData[[#This Row],[Common Name]],NodesData[[#This Row],[Common Name]]&amp;" ("&amp;NodesData[[#This Row],[Class Disambiguation]]&amp;")")</f>
        <v>AP (Acronym)</v>
      </c>
      <c r="H31" s="12" t="s">
        <v>557</v>
      </c>
      <c r="I31" s="19" t="str" cm="1">
        <f t="array" ref="I31">"n"&amp;SUBSTITUTE(CreateGuidString(),"-","_")</f>
        <v>n610BF36A_FD92_465F_B190_B80BB95DD708</v>
      </c>
    </row>
    <row r="32" spans="1:9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2" s="12" t="s">
        <v>558</v>
      </c>
      <c r="C32" s="13" t="s">
        <v>1378</v>
      </c>
      <c r="D32" s="36">
        <f>COUNTIF(NodesData[Node ID],NodesData[[#This Row],[Node ID]])</f>
        <v>1</v>
      </c>
      <c r="F32" s="12" t="str">
        <f>IF(NodesData[[#This Row],[Class Disambiguation]]="",NodesData[[#This Row],[Common Name]],NodesData[[#This Row],[Common Name]]&amp;" ("&amp;NodesData[[#This Row],[Class Disambiguation]]&amp;")")</f>
        <v>Applicant</v>
      </c>
      <c r="H32" s="12" t="s">
        <v>559</v>
      </c>
      <c r="I32" s="19" t="str" cm="1">
        <f t="array" ref="I32">"n"&amp;SUBSTITUTE(CreateGuidString(),"-","_")</f>
        <v>n05621023_3DFC_4496_A17F_F763F0D30254</v>
      </c>
    </row>
    <row r="33" spans="1:9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3" s="12" t="s">
        <v>31</v>
      </c>
      <c r="C33" s="13" t="s">
        <v>1379</v>
      </c>
      <c r="D33" s="36">
        <f>COUNTIF(NodesData[Node ID],NodesData[[#This Row],[Node ID]])</f>
        <v>1</v>
      </c>
      <c r="F33" s="12" t="str">
        <f>IF(NodesData[[#This Row],[Class Disambiguation]]="",NodesData[[#This Row],[Common Name]],NodesData[[#This Row],[Common Name]]&amp;" ("&amp;NodesData[[#This Row],[Class Disambiguation]]&amp;")")</f>
        <v>Application</v>
      </c>
      <c r="H33" s="12" t="s">
        <v>560</v>
      </c>
      <c r="I33" s="19" t="str" cm="1">
        <f t="array" ref="I33">"n"&amp;SUBSTITUTE(CreateGuidString(),"-","_")</f>
        <v>n01135C23_2978_4BE3_9D46_EFE05EB73D84</v>
      </c>
    </row>
    <row r="34" spans="1:9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4" s="12" t="s">
        <v>561</v>
      </c>
      <c r="C34" s="13" t="s">
        <v>1380</v>
      </c>
      <c r="D34" s="36">
        <f>COUNTIF(NodesData[Node ID],NodesData[[#This Row],[Node ID]])</f>
        <v>1</v>
      </c>
      <c r="F34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H34" s="12" t="s">
        <v>562</v>
      </c>
      <c r="I34" s="19" t="str" cm="1">
        <f t="array" ref="I34">"n"&amp;SUBSTITUTE(CreateGuidString(),"-","_")</f>
        <v>n55C9DCBA_9250_42CE_8C4B_60D5293435B2</v>
      </c>
    </row>
    <row r="35" spans="1:9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5" s="12" t="s">
        <v>563</v>
      </c>
      <c r="C35" s="13" t="s">
        <v>1381</v>
      </c>
      <c r="D35" s="36">
        <f>COUNTIF(NodesData[Node ID],NodesData[[#This Row],[Node ID]])</f>
        <v>1</v>
      </c>
      <c r="F35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H35" s="12" t="s">
        <v>564</v>
      </c>
      <c r="I35" s="19" t="str" cm="1">
        <f t="array" ref="I35">"n"&amp;SUBSTITUTE(CreateGuidString(),"-","_")</f>
        <v>n3BC82C41_C29B_456E_9F9A_D32F5D5D4AB2</v>
      </c>
    </row>
    <row r="36" spans="1:9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6" s="12" t="s">
        <v>35</v>
      </c>
      <c r="C36" s="13" t="s">
        <v>1383</v>
      </c>
      <c r="D36" s="36">
        <f>COUNTIF(NodesData[Node ID],NodesData[[#This Row],[Node ID]])</f>
        <v>1</v>
      </c>
      <c r="F36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H36" s="12" t="s">
        <v>565</v>
      </c>
      <c r="I36" s="19" t="str" cm="1">
        <f t="array" ref="I36">"n"&amp;SUBSTITUTE(CreateGuidString(),"-","_")</f>
        <v>nB711A579_5EDE_4BF9_9CC8_0B7114F2A8A7</v>
      </c>
    </row>
    <row r="37" spans="1:9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7" s="12" t="s">
        <v>566</v>
      </c>
      <c r="C37" s="13" t="s">
        <v>1384</v>
      </c>
      <c r="D37" s="36">
        <f>COUNTIF(NodesData[Node ID],NodesData[[#This Row],[Node ID]])</f>
        <v>1</v>
      </c>
      <c r="F37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H37" s="12" t="s">
        <v>567</v>
      </c>
      <c r="I37" s="19" t="str" cm="1">
        <f t="array" ref="I37">"n"&amp;SUBSTITUTE(CreateGuidString(),"-","_")</f>
        <v>n6EC0CAE9_53A7_4B53_BF62_CDB370AE2F51</v>
      </c>
    </row>
    <row r="38" spans="1:9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8" s="12" t="s">
        <v>37</v>
      </c>
      <c r="C38" s="13" t="s">
        <v>1385</v>
      </c>
      <c r="D38" s="36">
        <f>COUNTIF(NodesData[Node ID],NodesData[[#This Row],[Node ID]])</f>
        <v>1</v>
      </c>
      <c r="F38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H38" s="12" t="s">
        <v>568</v>
      </c>
      <c r="I38" s="19" t="str" cm="1">
        <f t="array" ref="I38">"n"&amp;SUBSTITUTE(CreateGuidString(),"-","_")</f>
        <v>nAEB238BE_120E_4776_A557_0BAFA4DCBDF4</v>
      </c>
    </row>
    <row r="39" spans="1:9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9" s="12" t="s">
        <v>569</v>
      </c>
      <c r="C39" s="13" t="s">
        <v>1382</v>
      </c>
      <c r="D39" s="36">
        <f>COUNTIF(NodesData[Node ID],NodesData[[#This Row],[Node ID]])</f>
        <v>1</v>
      </c>
      <c r="F39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H39" s="12" t="s">
        <v>570</v>
      </c>
      <c r="I39" s="19" t="str" cm="1">
        <f t="array" ref="I39">"n"&amp;SUBSTITUTE(CreateGuidString(),"-","_")</f>
        <v>n87B54AC5_DCFE_418B_9F16_F3915701030E</v>
      </c>
    </row>
    <row r="40" spans="1:9" x14ac:dyDescent="0.35">
      <c r="A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40" s="12" t="s">
        <v>571</v>
      </c>
      <c r="C40" s="13" t="s">
        <v>1386</v>
      </c>
      <c r="D40" s="36">
        <f>COUNTIF(NodesData[Node ID],NodesData[[#This Row],[Node ID]])</f>
        <v>1</v>
      </c>
      <c r="F40" s="12" t="str">
        <f>IF(NodesData[[#This Row],[Class Disambiguation]]="",NodesData[[#This Row],[Common Name]],NodesData[[#This Row],[Common Name]]&amp;" ("&amp;NodesData[[#This Row],[Class Disambiguation]]&amp;")")</f>
        <v>Archive</v>
      </c>
      <c r="H40" s="12" t="s">
        <v>572</v>
      </c>
      <c r="I40" s="19" t="str" cm="1">
        <f t="array" ref="I40">"n"&amp;SUBSTITUTE(CreateGuidString(),"-","_")</f>
        <v>nD805A70C_AA90_45C8_9D78_6D189BB1642B</v>
      </c>
    </row>
    <row r="41" spans="1:9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41" s="12" t="s">
        <v>39</v>
      </c>
      <c r="C41" s="13" t="s">
        <v>1387</v>
      </c>
      <c r="D41" s="36">
        <f>COUNTIF(NodesData[Node ID],NodesData[[#This Row],[Node ID]])</f>
        <v>1</v>
      </c>
      <c r="E41" s="12" t="s">
        <v>1270</v>
      </c>
      <c r="F41" s="12" t="str">
        <f>IF(NodesData[[#This Row],[Class Disambiguation]]="",NodesData[[#This Row],[Common Name]],NodesData[[#This Row],[Common Name]]&amp;" ("&amp;NodesData[[#This Row],[Class Disambiguation]]&amp;")")</f>
        <v>ARM (Acronym)</v>
      </c>
      <c r="H41" s="12" t="s">
        <v>573</v>
      </c>
      <c r="I41" s="19" t="str" cm="1">
        <f t="array" ref="I41">"n"&amp;SUBSTITUTE(CreateGuidString(),"-","_")</f>
        <v>n0DC05CA5_3836_4295_91AE_EAEC72E8F6BE</v>
      </c>
    </row>
    <row r="42" spans="1:9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2" s="12" t="s">
        <v>574</v>
      </c>
      <c r="C42" s="13" t="s">
        <v>1388</v>
      </c>
      <c r="D42" s="36">
        <f>COUNTIF(NodesData[Node ID],NodesData[[#This Row],[Node ID]])</f>
        <v>1</v>
      </c>
      <c r="F42" s="12" t="str">
        <f>IF(NodesData[[#This Row],[Class Disambiguation]]="",NodesData[[#This Row],[Common Name]],NodesData[[#This Row],[Common Name]]&amp;" ("&amp;NodesData[[#This Row],[Class Disambiguation]]&amp;")")</f>
        <v>Asset Custody</v>
      </c>
      <c r="H42" s="12" t="s">
        <v>575</v>
      </c>
      <c r="I42" s="19" t="str" cm="1">
        <f t="array" ref="I42">"n"&amp;SUBSTITUTE(CreateGuidString(),"-","_")</f>
        <v>nEB00D0EC_20CC_46B3_823E_60C9C3FBC54D</v>
      </c>
    </row>
    <row r="43" spans="1:9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3" s="32" t="s">
        <v>1868</v>
      </c>
      <c r="C43" s="13" t="s">
        <v>1880</v>
      </c>
      <c r="D43" s="36">
        <f>COUNTIF(NodesData[Node ID],NodesData[[#This Row],[Node ID]])</f>
        <v>1</v>
      </c>
      <c r="F43" s="18" t="str">
        <f>IF(NodesData[[#This Row],[Class Disambiguation]]="",NodesData[[#This Row],[Common Name]],NodesData[[#This Row],[Common Name]]&amp;" ("&amp;NodesData[[#This Row],[Class Disambiguation]]&amp;")")</f>
        <v>Attack Class</v>
      </c>
      <c r="G43" s="18"/>
      <c r="I43" s="20" t="str" cm="1">
        <f t="array" ref="I43">"n"&amp;SUBSTITUTE(CreateGuidString(),"-","_")</f>
        <v>n4ED9AFDC_2E8A_4C84_BD0D_AEA9EF174C7B</v>
      </c>
    </row>
    <row r="44" spans="1:9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4" s="12" t="s">
        <v>41</v>
      </c>
      <c r="C44" s="13" t="s">
        <v>1389</v>
      </c>
      <c r="D44" s="36">
        <f>COUNTIF(NodesData[Node ID],NodesData[[#This Row],[Node ID]])</f>
        <v>1</v>
      </c>
      <c r="F44" s="12" t="str">
        <f>IF(NodesData[[#This Row],[Class Disambiguation]]="",NodesData[[#This Row],[Common Name]],NodesData[[#This Row],[Common Name]]&amp;" ("&amp;NodesData[[#This Row],[Class Disambiguation]]&amp;")")</f>
        <v>Attestation</v>
      </c>
      <c r="H44" s="12" t="s">
        <v>576</v>
      </c>
      <c r="I44" s="19" t="str" cm="1">
        <f t="array" ref="I44">"n"&amp;SUBSTITUTE(CreateGuidString(),"-","_")</f>
        <v>nFE87E4EE_9D61_4E44_A3CF_068D50B95125</v>
      </c>
    </row>
    <row r="45" spans="1:9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5" s="12" t="s">
        <v>1265</v>
      </c>
      <c r="C45" s="13" t="s">
        <v>1390</v>
      </c>
      <c r="D45" s="36">
        <f>COUNTIF(NodesData[Node ID],NodesData[[#This Row],[Node ID]])</f>
        <v>1</v>
      </c>
      <c r="F45" s="12" t="str">
        <f>IF(NodesData[[#This Row],[Class Disambiguation]]="",NodesData[[#This Row],[Common Name]],NodesData[[#This Row],[Common Name]]&amp;" ("&amp;NodesData[[#This Row],[Class Disambiguation]]&amp;")")</f>
        <v>Attribute</v>
      </c>
      <c r="H45" s="12" t="s">
        <v>577</v>
      </c>
      <c r="I45" s="19" t="str" cm="1">
        <f t="array" ref="I45">"n"&amp;SUBSTITUTE(CreateGuidString(),"-","_")</f>
        <v>nAD3CA4B5_5F2F_459D_B368_60674C8DB260</v>
      </c>
    </row>
    <row r="46" spans="1:9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6" s="12" t="s">
        <v>578</v>
      </c>
      <c r="C46" s="13" t="s">
        <v>1391</v>
      </c>
      <c r="D46" s="36">
        <f>COUNTIF(NodesData[Node ID],NodesData[[#This Row],[Node ID]])</f>
        <v>1</v>
      </c>
      <c r="F46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H46" s="12" t="s">
        <v>579</v>
      </c>
      <c r="I46" s="19" t="str" cm="1">
        <f t="array" ref="I46">"n"&amp;SUBSTITUTE(CreateGuidString(),"-","_")</f>
        <v>n051378E2_DC54_4017_BF02_373130D43904</v>
      </c>
    </row>
    <row r="47" spans="1:9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7" s="12" t="s">
        <v>580</v>
      </c>
      <c r="C47" s="13" t="s">
        <v>1392</v>
      </c>
      <c r="D47" s="36">
        <f>COUNTIF(NodesData[Node ID],NodesData[[#This Row],[Node ID]])</f>
        <v>1</v>
      </c>
      <c r="F47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H47" s="12" t="s">
        <v>581</v>
      </c>
      <c r="I47" s="19" t="str" cm="1">
        <f t="array" ref="I47">"n"&amp;SUBSTITUTE(CreateGuidString(),"-","_")</f>
        <v>n70D4C6CF_F176_4F10_A160_4D4AE80AF304</v>
      </c>
    </row>
    <row r="48" spans="1:9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8" s="12" t="s">
        <v>582</v>
      </c>
      <c r="C48" s="13" t="s">
        <v>1393</v>
      </c>
      <c r="D48" s="36">
        <f>COUNTIF(NodesData[Node ID],NodesData[[#This Row],[Node ID]])</f>
        <v>1</v>
      </c>
      <c r="F48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H48" s="12" t="s">
        <v>583</v>
      </c>
      <c r="I48" s="19" t="str" cm="1">
        <f t="array" ref="I48">"n"&amp;SUBSTITUTE(CreateGuidString(),"-","_")</f>
        <v>n8FFA86BF_DA7F_4FF7_A7AF_96A2443B0D62</v>
      </c>
    </row>
    <row r="49" spans="1:9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9" s="12" t="s">
        <v>0</v>
      </c>
      <c r="C49" s="13" t="s">
        <v>1394</v>
      </c>
      <c r="D49" s="36">
        <f>COUNTIF(NodesData[Node ID],NodesData[[#This Row],[Node ID]])</f>
        <v>1</v>
      </c>
      <c r="F49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H49" s="12" t="s">
        <v>584</v>
      </c>
      <c r="I49" s="19" t="str" cm="1">
        <f t="array" ref="I49">"n"&amp;SUBSTITUTE(CreateGuidString(),"-","_")</f>
        <v>n7AF96E29_3452_44D7_9CAE_E5D01C4E57E2</v>
      </c>
    </row>
    <row r="50" spans="1:9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50" s="12" t="s">
        <v>1332</v>
      </c>
      <c r="C50" s="13" t="s">
        <v>1395</v>
      </c>
      <c r="D50" s="36">
        <f>COUNTIF(NodesData[Node ID],NodesData[[#This Row],[Node ID]])</f>
        <v>1</v>
      </c>
      <c r="F50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I50" s="19" t="str" cm="1">
        <f t="array" ref="I50">"n"&amp;SUBSTITUTE(CreateGuidString(),"-","_")</f>
        <v>nFAA31F38_07FE_4901_B87D_EB8DD208ACEF</v>
      </c>
    </row>
    <row r="51" spans="1:9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51" s="12" t="s">
        <v>585</v>
      </c>
      <c r="C51" s="13" t="s">
        <v>1396</v>
      </c>
      <c r="D51" s="36">
        <f>COUNTIF(NodesData[Node ID],NodesData[[#This Row],[Node ID]])</f>
        <v>1</v>
      </c>
      <c r="F51" s="12" t="str">
        <f>IF(NodesData[[#This Row],[Class Disambiguation]]="",NodesData[[#This Row],[Common Name]],NodesData[[#This Row],[Common Name]]&amp;" ("&amp;NodesData[[#This Row],[Class Disambiguation]]&amp;")")</f>
        <v>Authenticator</v>
      </c>
      <c r="H51" s="12" t="s">
        <v>586</v>
      </c>
      <c r="I51" s="19" t="str" cm="1">
        <f t="array" ref="I51">"n"&amp;SUBSTITUTE(CreateGuidString(),"-","_")</f>
        <v>n7F9E43FA_6094_4163_B059_139D61A17FF4</v>
      </c>
    </row>
    <row r="52" spans="1:9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2" s="12" t="s">
        <v>587</v>
      </c>
      <c r="C52" s="13" t="s">
        <v>1397</v>
      </c>
      <c r="D52" s="36">
        <f>COUNTIF(NodesData[Node ID],NodesData[[#This Row],[Node ID]])</f>
        <v>1</v>
      </c>
      <c r="F52" s="12" t="str">
        <f>IF(NodesData[[#This Row],[Class Disambiguation]]="",NodesData[[#This Row],[Common Name]],NodesData[[#This Row],[Common Name]]&amp;" ("&amp;NodesData[[#This Row],[Class Disambiguation]]&amp;")")</f>
        <v>Authority</v>
      </c>
      <c r="H52" s="12" t="s">
        <v>588</v>
      </c>
      <c r="I52" s="19" t="str" cm="1">
        <f t="array" ref="I52">"n"&amp;SUBSTITUTE(CreateGuidString(),"-","_")</f>
        <v>n12E3E974_8786_4C8A_AB4C_FC56A905B48E</v>
      </c>
    </row>
    <row r="53" spans="1:9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3" s="12" t="s">
        <v>589</v>
      </c>
      <c r="C53" s="13" t="s">
        <v>1398</v>
      </c>
      <c r="D53" s="36">
        <f>COUNTIF(NodesData[Node ID],NodesData[[#This Row],[Node ID]])</f>
        <v>1</v>
      </c>
      <c r="F53" s="12" t="str">
        <f>IF(NodesData[[#This Row],[Class Disambiguation]]="",NodesData[[#This Row],[Common Name]],NodesData[[#This Row],[Common Name]]&amp;" ("&amp;NodesData[[#This Row],[Class Disambiguation]]&amp;")")</f>
        <v>Authorization</v>
      </c>
      <c r="H53" s="12" t="s">
        <v>590</v>
      </c>
      <c r="I53" s="19" t="str" cm="1">
        <f t="array" ref="I53">"n"&amp;SUBSTITUTE(CreateGuidString(),"-","_")</f>
        <v>nC5A487F6_76DF_4B8A_96B0_C924C3B94DDC</v>
      </c>
    </row>
    <row r="54" spans="1:9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4" s="12" t="s">
        <v>50</v>
      </c>
      <c r="C54" s="13" t="s">
        <v>1409</v>
      </c>
      <c r="D54" s="36">
        <f>COUNTIF(NodesData[Node ID],NodesData[[#This Row],[Node ID]])</f>
        <v>1</v>
      </c>
      <c r="F54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H54" s="12" t="s">
        <v>591</v>
      </c>
      <c r="I54" s="19" t="str" cm="1">
        <f t="array" ref="I54">"n"&amp;SUBSTITUTE(CreateGuidString(),"-","_")</f>
        <v>n4D182C12_5F47_4BDF_B450_17E4B7388FEE</v>
      </c>
    </row>
    <row r="55" spans="1:9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5" s="12" t="s">
        <v>592</v>
      </c>
      <c r="C55" s="13" t="s">
        <v>1399</v>
      </c>
      <c r="D55" s="36">
        <f>COUNTIF(NodesData[Node ID],NodesData[[#This Row],[Node ID]])</f>
        <v>1</v>
      </c>
      <c r="F55" s="12" t="str">
        <f>IF(NodesData[[#This Row],[Class Disambiguation]]="",NodesData[[#This Row],[Common Name]],NodesData[[#This Row],[Common Name]]&amp;" ("&amp;NodesData[[#This Row],[Class Disambiguation]]&amp;")")</f>
        <v>Awareness</v>
      </c>
      <c r="H55" s="12" t="s">
        <v>593</v>
      </c>
      <c r="I55" s="19" t="str" cm="1">
        <f t="array" ref="I55">"n"&amp;SUBSTITUTE(CreateGuidString(),"-","_")</f>
        <v>n062546AE_9F18_411B_93B3_D191D56C5D3E</v>
      </c>
    </row>
    <row r="56" spans="1:9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6" s="12" t="s">
        <v>594</v>
      </c>
      <c r="C56" s="13" t="s">
        <v>1400</v>
      </c>
      <c r="D56" s="36">
        <f>COUNTIF(NodesData[Node ID],NodesData[[#This Row],[Node ID]])</f>
        <v>1</v>
      </c>
      <c r="F56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H56" s="12" t="s">
        <v>595</v>
      </c>
      <c r="I56" s="19" t="str" cm="1">
        <f t="array" ref="I56">"n"&amp;SUBSTITUTE(CreateGuidString(),"-","_")</f>
        <v>nA5DF45A9_BBD5_482A_B110_DBBF465D0BE5</v>
      </c>
    </row>
    <row r="57" spans="1:9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7" s="12" t="s">
        <v>596</v>
      </c>
      <c r="C57" s="13" t="s">
        <v>1401</v>
      </c>
      <c r="D57" s="36">
        <f>COUNTIF(NodesData[Node ID],NodesData[[#This Row],[Node ID]])</f>
        <v>1</v>
      </c>
      <c r="E57" s="12" t="s">
        <v>1270</v>
      </c>
      <c r="F57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H57" s="12" t="s">
        <v>597</v>
      </c>
      <c r="I57" s="19" t="str" cm="1">
        <f t="array" ref="I57">"n"&amp;SUBSTITUTE(CreateGuidString(),"-","_")</f>
        <v>n48528C82_6E20_4FFD_B37E_94EDB8298547</v>
      </c>
    </row>
    <row r="58" spans="1:9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8" s="12" t="s">
        <v>598</v>
      </c>
      <c r="C58" s="13" t="s">
        <v>1402</v>
      </c>
      <c r="D58" s="36">
        <f>COUNTIF(NodesData[Node ID],NodesData[[#This Row],[Node ID]])</f>
        <v>1</v>
      </c>
      <c r="E58" s="12" t="s">
        <v>1270</v>
      </c>
      <c r="F58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H58" s="12" t="s">
        <v>599</v>
      </c>
      <c r="I58" s="19" t="str" cm="1">
        <f t="array" ref="I58">"n"&amp;SUBSTITUTE(CreateGuidString(),"-","_")</f>
        <v>nEE513671_4FC2_401F_BB9E_999880CDA20D</v>
      </c>
    </row>
    <row r="59" spans="1:9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9" s="12" t="s">
        <v>600</v>
      </c>
      <c r="C59" s="13" t="s">
        <v>1403</v>
      </c>
      <c r="D59" s="36">
        <f>COUNTIF(NodesData[Node ID],NodesData[[#This Row],[Node ID]])</f>
        <v>1</v>
      </c>
      <c r="E59" s="12" t="s">
        <v>1270</v>
      </c>
      <c r="F59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H59" s="12" t="s">
        <v>601</v>
      </c>
      <c r="I59" s="19" t="str" cm="1">
        <f t="array" ref="I59">"n"&amp;SUBSTITUTE(CreateGuidString(),"-","_")</f>
        <v>n392CA688_7B09_4248_A3D4_696B5AD1E46F</v>
      </c>
    </row>
    <row r="60" spans="1:9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60" s="12" t="s">
        <v>602</v>
      </c>
      <c r="C60" s="13" t="s">
        <v>1404</v>
      </c>
      <c r="D60" s="36">
        <f>COUNTIF(NodesData[Node ID],NodesData[[#This Row],[Node ID]])</f>
        <v>1</v>
      </c>
      <c r="E60" s="12" t="s">
        <v>1270</v>
      </c>
      <c r="F60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H60" s="12" t="s">
        <v>603</v>
      </c>
      <c r="I60" s="19" t="str" cm="1">
        <f t="array" ref="I60">"n"&amp;SUBSTITUTE(CreateGuidString(),"-","_")</f>
        <v>n17BF6F37_2376_478B_98C8_2CA8374EC92A</v>
      </c>
    </row>
    <row r="61" spans="1:9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61" s="12" t="s">
        <v>604</v>
      </c>
      <c r="C61" s="13" t="s">
        <v>1405</v>
      </c>
      <c r="D61" s="36">
        <f>COUNTIF(NodesData[Node ID],NodesData[[#This Row],[Node ID]])</f>
        <v>1</v>
      </c>
      <c r="E61" s="12" t="s">
        <v>1270</v>
      </c>
      <c r="F61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H61" s="12" t="s">
        <v>605</v>
      </c>
      <c r="I61" s="19" t="str" cm="1">
        <f t="array" ref="I61">"n"&amp;SUBSTITUTE(CreateGuidString(),"-","_")</f>
        <v>n20668CE2_8FE3_444E_962D_83DBD2C4FB84</v>
      </c>
    </row>
    <row r="62" spans="1:9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62" s="12" t="s">
        <v>606</v>
      </c>
      <c r="C62" s="13" t="s">
        <v>1406</v>
      </c>
      <c r="D62" s="36">
        <f>COUNTIF(NodesData[Node ID],NodesData[[#This Row],[Node ID]])</f>
        <v>1</v>
      </c>
      <c r="E62" s="12" t="s">
        <v>1270</v>
      </c>
      <c r="F62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H62" s="12" t="s">
        <v>607</v>
      </c>
      <c r="I62" s="19" t="str" cm="1">
        <f t="array" ref="I62">"n"&amp;SUBSTITUTE(CreateGuidString(),"-","_")</f>
        <v>n544F2530_16F6_4E6F_AD07_4CE8ED6EE0AA</v>
      </c>
    </row>
    <row r="63" spans="1:9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3" s="12" t="s">
        <v>608</v>
      </c>
      <c r="C63" s="13" t="s">
        <v>1407</v>
      </c>
      <c r="D63" s="36">
        <f>COUNTIF(NodesData[Node ID],NodesData[[#This Row],[Node ID]])</f>
        <v>1</v>
      </c>
      <c r="E63" s="12" t="s">
        <v>1270</v>
      </c>
      <c r="F63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H63" s="12" t="s">
        <v>609</v>
      </c>
      <c r="I63" s="19" t="str" cm="1">
        <f t="array" ref="I63">"n"&amp;SUBSTITUTE(CreateGuidString(),"-","_")</f>
        <v>n77F86DF3_B572_4548_B712_57138B5FFE84</v>
      </c>
    </row>
    <row r="64" spans="1:9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4" s="12" t="s">
        <v>610</v>
      </c>
      <c r="C64" s="13" t="s">
        <v>1408</v>
      </c>
      <c r="D64" s="36">
        <f>COUNTIF(NodesData[Node ID],NodesData[[#This Row],[Node ID]])</f>
        <v>1</v>
      </c>
      <c r="E64" s="12" t="s">
        <v>1270</v>
      </c>
      <c r="F64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H64" s="12" t="s">
        <v>611</v>
      </c>
      <c r="I64" s="19" t="str" cm="1">
        <f t="array" ref="I64">"n"&amp;SUBSTITUTE(CreateGuidString(),"-","_")</f>
        <v>nBE9B5192_0C02_4C46_A6F3_1674BD124D9F</v>
      </c>
    </row>
    <row r="65" spans="1:9" x14ac:dyDescent="0.35">
      <c r="A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5" s="12" t="s">
        <v>1301</v>
      </c>
      <c r="C65" s="13" t="s">
        <v>1412</v>
      </c>
      <c r="D65" s="36">
        <f>COUNTIF(NodesData[Node ID],NodesData[[#This Row],[Node ID]])</f>
        <v>1</v>
      </c>
      <c r="F65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I65" s="19" t="str" cm="1">
        <f t="array" ref="I65">"n"&amp;SUBSTITUTE(CreateGuidString(),"-","_")</f>
        <v>n44354099_C260_4BF2_8A4B_40D3F9D07D29</v>
      </c>
    </row>
    <row r="66" spans="1:9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6" s="12" t="s">
        <v>612</v>
      </c>
      <c r="C66" s="13" t="s">
        <v>1410</v>
      </c>
      <c r="D66" s="36">
        <f>COUNTIF(NodesData[Node ID],NodesData[[#This Row],[Node ID]])</f>
        <v>1</v>
      </c>
      <c r="E66" s="12" t="s">
        <v>1270</v>
      </c>
      <c r="F66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H66" s="12" t="s">
        <v>613</v>
      </c>
      <c r="I66" s="19" t="str" cm="1">
        <f t="array" ref="I66">"n"&amp;SUBSTITUTE(CreateGuidString(),"-","_")</f>
        <v>n43B36782_6926_4B8E_BF30_818AC97F9103</v>
      </c>
    </row>
    <row r="67" spans="1:9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7" s="12" t="s">
        <v>614</v>
      </c>
      <c r="C67" s="13" t="s">
        <v>1411</v>
      </c>
      <c r="D67" s="36">
        <f>COUNTIF(NodesData[Node ID],NodesData[[#This Row],[Node ID]])</f>
        <v>1</v>
      </c>
      <c r="F67" s="12" t="str">
        <f>IF(NodesData[[#This Row],[Class Disambiguation]]="",NodesData[[#This Row],[Common Name]],NodesData[[#This Row],[Common Name]]&amp;" ("&amp;NodesData[[#This Row],[Class Disambiguation]]&amp;")")</f>
        <v>Basic Z Rule</v>
      </c>
      <c r="H67" s="12" t="s">
        <v>615</v>
      </c>
      <c r="I67" s="19" t="str" cm="1">
        <f t="array" ref="I67">"n"&amp;SUBSTITUTE(CreateGuidString(),"-","_")</f>
        <v>nE262257F_BF16_460B_97B3_E9FDEE15FE59</v>
      </c>
    </row>
    <row r="68" spans="1:9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8" s="12" t="s">
        <v>70</v>
      </c>
      <c r="C68" s="13" t="s">
        <v>1414</v>
      </c>
      <c r="D68" s="36">
        <f>COUNTIF(NodesData[Node ID],NodesData[[#This Row],[Node ID]])</f>
        <v>1</v>
      </c>
      <c r="F68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H68" s="12" t="s">
        <v>616</v>
      </c>
      <c r="I68" s="19" t="str" cm="1">
        <f t="array" ref="I68">"n"&amp;SUBSTITUTE(CreateGuidString(),"-","_")</f>
        <v>n9693E225_7A73_421C_8363_A3511BB96E32</v>
      </c>
    </row>
    <row r="69" spans="1:9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9" s="12" t="s">
        <v>72</v>
      </c>
      <c r="C69" s="13" t="s">
        <v>1413</v>
      </c>
      <c r="D69" s="36">
        <f>COUNTIF(NodesData[Node ID],NodesData[[#This Row],[Node ID]])</f>
        <v>1</v>
      </c>
      <c r="F69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H69" s="12" t="s">
        <v>617</v>
      </c>
      <c r="I69" s="19" t="str" cm="1">
        <f t="array" ref="I69">"n"&amp;SUBSTITUTE(CreateGuidString(),"-","_")</f>
        <v>n6E52B60F_030C_44A3_8DB0_12A73011E84E</v>
      </c>
    </row>
    <row r="70" spans="1:9" x14ac:dyDescent="0.35">
      <c r="A7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70" s="11" t="s">
        <v>1829</v>
      </c>
      <c r="C70" s="13" t="s">
        <v>1913</v>
      </c>
      <c r="D70" s="36">
        <f>COUNTIF(NodesData[Node ID],NodesData[[#This Row],[Node ID]])</f>
        <v>1</v>
      </c>
      <c r="F70" s="18" t="str">
        <f>IF(NodesData[[#This Row],[Class Disambiguation]]="",NodesData[[#This Row],[Common Name]],NodesData[[#This Row],[Common Name]]&amp;" ("&amp;NodesData[[#This Row],[Class Disambiguation]]&amp;")")</f>
        <v>Best Practice</v>
      </c>
      <c r="G70" s="11"/>
      <c r="I70" s="20" t="str" cm="1">
        <f t="array" ref="I70">"n"&amp;SUBSTITUTE(CreateGuidString(),"-","_")</f>
        <v>n75AFDAFD_632B_438D_845C_B4495B6D83F4</v>
      </c>
    </row>
    <row r="71" spans="1:9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71" s="12" t="s">
        <v>1302</v>
      </c>
      <c r="C71" s="13" t="s">
        <v>1420</v>
      </c>
      <c r="D71" s="36">
        <f>COUNTIF(NodesData[Node ID],NodesData[[#This Row],[Node ID]])</f>
        <v>1</v>
      </c>
      <c r="F71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I71" s="19" t="str" cm="1">
        <f t="array" ref="I71">"n"&amp;SUBSTITUTE(CreateGuidString(),"-","_")</f>
        <v>nBF3ED4DF_8B2A_4693_8898_9113B9FDCF11</v>
      </c>
    </row>
    <row r="72" spans="1:9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72" s="12" t="s">
        <v>618</v>
      </c>
      <c r="C72" s="13" t="s">
        <v>1415</v>
      </c>
      <c r="D72" s="36">
        <f>COUNTIF(NodesData[Node ID],NodesData[[#This Row],[Node ID]])</f>
        <v>1</v>
      </c>
      <c r="F72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H72" s="12" t="s">
        <v>619</v>
      </c>
      <c r="I72" s="19" t="str" cm="1">
        <f t="array" ref="I72">"n"&amp;SUBSTITUTE(CreateGuidString(),"-","_")</f>
        <v>n3C5A5967_60C2_4AB9_BD1D_40BB48446367</v>
      </c>
    </row>
    <row r="73" spans="1:9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3" s="12" t="s">
        <v>620</v>
      </c>
      <c r="C73" s="13" t="s">
        <v>1416</v>
      </c>
      <c r="D73" s="36">
        <f>COUNTIF(NodesData[Node ID],NodesData[[#This Row],[Node ID]])</f>
        <v>1</v>
      </c>
      <c r="F73" s="12" t="str">
        <f>IF(NodesData[[#This Row],[Class Disambiguation]]="",NodesData[[#This Row],[Common Name]],NodesData[[#This Row],[Common Name]]&amp;" ("&amp;NodesData[[#This Row],[Class Disambiguation]]&amp;")")</f>
        <v>Biometrics</v>
      </c>
      <c r="H73" s="12" t="s">
        <v>621</v>
      </c>
      <c r="I73" s="19" t="str" cm="1">
        <f t="array" ref="I73">"n"&amp;SUBSTITUTE(CreateGuidString(),"-","_")</f>
        <v>nE09A4F03_1A5B_4513_AAC9_D16A4633A985</v>
      </c>
    </row>
    <row r="74" spans="1:9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4" s="12" t="s">
        <v>622</v>
      </c>
      <c r="C74" s="13" t="s">
        <v>1417</v>
      </c>
      <c r="D74" s="36">
        <f>COUNTIF(NodesData[Node ID],NodesData[[#This Row],[Node ID]])</f>
        <v>1</v>
      </c>
      <c r="F74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H74" s="12" t="s">
        <v>623</v>
      </c>
      <c r="I74" s="19" t="str" cm="1">
        <f t="array" ref="I74">"n"&amp;SUBSTITUTE(CreateGuidString(),"-","_")</f>
        <v>nA7C7BC3B_C790_4495_AAB1_35460108CEAB</v>
      </c>
    </row>
    <row r="75" spans="1:9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5" s="12" t="s">
        <v>624</v>
      </c>
      <c r="C75" s="13" t="s">
        <v>1418</v>
      </c>
      <c r="D75" s="36">
        <f>COUNTIF(NodesData[Node ID],NodesData[[#This Row],[Node ID]])</f>
        <v>1</v>
      </c>
      <c r="F75" s="12" t="str">
        <f>IF(NodesData[[#This Row],[Class Disambiguation]]="",NodesData[[#This Row],[Common Name]],NodesData[[#This Row],[Common Name]]&amp;" ("&amp;NodesData[[#This Row],[Class Disambiguation]]&amp;")")</f>
        <v>Blast Radius</v>
      </c>
      <c r="H75" s="12" t="s">
        <v>625</v>
      </c>
      <c r="I75" s="19" t="str" cm="1">
        <f t="array" ref="I75">"n"&amp;SUBSTITUTE(CreateGuidString(),"-","_")</f>
        <v>n9F5371F1_A53B_47D7_BA68_1F421D04BE02</v>
      </c>
    </row>
    <row r="76" spans="1:9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6" s="12" t="s">
        <v>79</v>
      </c>
      <c r="C76" s="13" t="s">
        <v>1419</v>
      </c>
      <c r="D76" s="36">
        <f>COUNTIF(NodesData[Node ID],NodesData[[#This Row],[Node ID]])</f>
        <v>1</v>
      </c>
      <c r="F76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H76" s="12" t="s">
        <v>626</v>
      </c>
      <c r="I76" s="19" t="str" cm="1">
        <f t="array" ref="I76">"n"&amp;SUBSTITUTE(CreateGuidString(),"-","_")</f>
        <v>n10B4ED41_F805_4E90_86DD_39422D44E2F7</v>
      </c>
    </row>
    <row r="77" spans="1:9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7" s="12" t="s">
        <v>1303</v>
      </c>
      <c r="C77" s="13" t="s">
        <v>1428</v>
      </c>
      <c r="D77" s="36">
        <f>COUNTIF(NodesData[Node ID],NodesData[[#This Row],[Node ID]])</f>
        <v>1</v>
      </c>
      <c r="F77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I77" s="19" t="str" cm="1">
        <f t="array" ref="I77">"n"&amp;SUBSTITUTE(CreateGuidString(),"-","_")</f>
        <v>n88F3F064_8E0C_4609_A900_DF75560C1F8C</v>
      </c>
    </row>
    <row r="78" spans="1:9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8" s="12" t="s">
        <v>627</v>
      </c>
      <c r="C78" s="13" t="s">
        <v>1421</v>
      </c>
      <c r="D78" s="36">
        <f>COUNTIF(NodesData[Node ID],NodesData[[#This Row],[Node ID]])</f>
        <v>1</v>
      </c>
      <c r="F78" s="12" t="str">
        <f>IF(NodesData[[#This Row],[Class Disambiguation]]="",NodesData[[#This Row],[Common Name]],NodesData[[#This Row],[Common Name]]&amp;" ("&amp;NodesData[[#This Row],[Class Disambiguation]]&amp;")")</f>
        <v>Broker</v>
      </c>
      <c r="H78" s="12" t="s">
        <v>628</v>
      </c>
      <c r="I78" s="19" t="str" cm="1">
        <f t="array" ref="I78">"n"&amp;SUBSTITUTE(CreateGuidString(),"-","_")</f>
        <v>n37D87969_B7D2_4ACE_9437_71288997A8D9</v>
      </c>
    </row>
    <row r="79" spans="1:9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9" s="12" t="s">
        <v>81</v>
      </c>
      <c r="C79" s="13" t="s">
        <v>1422</v>
      </c>
      <c r="D79" s="36">
        <f>COUNTIF(NodesData[Node ID],NodesData[[#This Row],[Node ID]])</f>
        <v>1</v>
      </c>
      <c r="F79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H79" s="12" t="s">
        <v>629</v>
      </c>
      <c r="I79" s="19" t="str" cm="1">
        <f t="array" ref="I79">"n"&amp;SUBSTITUTE(CreateGuidString(),"-","_")</f>
        <v>n7F2188A8_A90F_47F3_A343_B429EB364D3F</v>
      </c>
    </row>
    <row r="80" spans="1:9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80" s="12" t="s">
        <v>630</v>
      </c>
      <c r="C80" s="13" t="s">
        <v>1423</v>
      </c>
      <c r="D80" s="36">
        <f>COUNTIF(NodesData[Node ID],NodesData[[#This Row],[Node ID]])</f>
        <v>1</v>
      </c>
      <c r="F80" s="12" t="str">
        <f>IF(NodesData[[#This Row],[Class Disambiguation]]="",NodesData[[#This Row],[Common Name]],NodesData[[#This Row],[Common Name]]&amp;" ("&amp;NodesData[[#This Row],[Class Disambiguation]]&amp;")")</f>
        <v>Built-in</v>
      </c>
      <c r="H80" s="12" t="s">
        <v>631</v>
      </c>
      <c r="I80" s="19" t="str" cm="1">
        <f t="array" ref="I80">"n"&amp;SUBSTITUTE(CreateGuidString(),"-","_")</f>
        <v>nDFD405E1_AA26_4EFB_97C3_0428D6F121EA</v>
      </c>
    </row>
    <row r="81" spans="1:9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81" s="12" t="s">
        <v>83</v>
      </c>
      <c r="C81" s="13" t="s">
        <v>1424</v>
      </c>
      <c r="D81" s="36">
        <f>COUNTIF(NodesData[Node ID],NodesData[[#This Row],[Node ID]])</f>
        <v>1</v>
      </c>
      <c r="E81" s="12" t="s">
        <v>1270</v>
      </c>
      <c r="F81" s="12" t="str">
        <f>IF(NodesData[[#This Row],[Class Disambiguation]]="",NodesData[[#This Row],[Common Name]],NodesData[[#This Row],[Common Name]]&amp;" ("&amp;NodesData[[#This Row],[Class Disambiguation]]&amp;")")</f>
        <v>BZR (Acronym)</v>
      </c>
      <c r="H81" s="12" t="s">
        <v>632</v>
      </c>
      <c r="I81" s="19" t="str" cm="1">
        <f t="array" ref="I81">"n"&amp;SUBSTITUTE(CreateGuidString(),"-","_")</f>
        <v>n59CEC5F7_57BD_4B63_A0D2_B5723E0E5248</v>
      </c>
    </row>
    <row r="82" spans="1:9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82" s="12" t="s">
        <v>84</v>
      </c>
      <c r="C82" s="13" t="s">
        <v>1425</v>
      </c>
      <c r="D82" s="36">
        <f>COUNTIF(NodesData[Node ID],NodesData[[#This Row],[Node ID]])</f>
        <v>1</v>
      </c>
      <c r="F82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H82" s="12" t="s">
        <v>633</v>
      </c>
      <c r="I82" s="19" t="str" cm="1">
        <f t="array" ref="I82">"n"&amp;SUBSTITUTE(CreateGuidString(),"-","_")</f>
        <v>n56437E11_7851_4A42_9549_82FBFC68BE0B</v>
      </c>
    </row>
    <row r="83" spans="1:9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3" s="12" t="s">
        <v>1348</v>
      </c>
      <c r="C83" s="13" t="s">
        <v>1862</v>
      </c>
      <c r="D83" s="36">
        <f>COUNTIF(NodesData[Node ID],NodesData[[#This Row],[Node ID]])</f>
        <v>1</v>
      </c>
      <c r="F83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G83" s="18"/>
      <c r="I83" s="20" t="str" cm="1">
        <f t="array" ref="I83">"n"&amp;SUBSTITUTE(CreateGuidString(),"-","_")</f>
        <v>nEE297BD4_A098_4C12_99E0_3E87268A510E</v>
      </c>
    </row>
    <row r="84" spans="1:9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4" s="12" t="s">
        <v>1349</v>
      </c>
      <c r="C84" s="13" t="s">
        <v>1863</v>
      </c>
      <c r="D84" s="36">
        <f>COUNTIF(NodesData[Node ID],NodesData[[#This Row],[Node ID]])</f>
        <v>1</v>
      </c>
      <c r="F84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G84" s="18"/>
      <c r="I84" s="20" t="str" cm="1">
        <f t="array" ref="I84">"n"&amp;SUBSTITUTE(CreateGuidString(),"-","_")</f>
        <v>nCB6453E3_8B11_44A4_B092_0DE491A8BACF</v>
      </c>
    </row>
    <row r="85" spans="1:9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5" s="12" t="s">
        <v>1350</v>
      </c>
      <c r="C85" s="13" t="s">
        <v>1864</v>
      </c>
      <c r="D85" s="36">
        <f>COUNTIF(NodesData[Node ID],NodesData[[#This Row],[Node ID]])</f>
        <v>1</v>
      </c>
      <c r="F85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G85" s="18"/>
      <c r="I85" s="20" t="str" cm="1">
        <f t="array" ref="I85">"n"&amp;SUBSTITUTE(CreateGuidString(),"-","_")</f>
        <v>nEB93CA99_31E2_4F4E_A342_237BAB46F6D8</v>
      </c>
    </row>
    <row r="86" spans="1:9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6" s="12" t="s">
        <v>1347</v>
      </c>
      <c r="C86" s="13" t="s">
        <v>1865</v>
      </c>
      <c r="D86" s="36">
        <f>COUNTIF(NodesData[Node ID],NodesData[[#This Row],[Node ID]])</f>
        <v>1</v>
      </c>
      <c r="F86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G86" s="18"/>
      <c r="I86" s="20" t="str" cm="1">
        <f t="array" ref="I86">"n"&amp;SUBSTITUTE(CreateGuidString(),"-","_")</f>
        <v>n9BDA3C19_3F1C_4BD7_8F1D_7D99013454EE</v>
      </c>
    </row>
    <row r="87" spans="1:9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7" s="31" t="s">
        <v>1874</v>
      </c>
      <c r="C87" s="13" t="s">
        <v>1881</v>
      </c>
      <c r="D87" s="36">
        <f>COUNTIF(NodesData[Node ID],NodesData[[#This Row],[Node ID]])</f>
        <v>1</v>
      </c>
      <c r="F87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G87" s="18"/>
      <c r="I87" s="20" t="str" cm="1">
        <f t="array" ref="I87">"n"&amp;SUBSTITUTE(CreateGuidString(),"-","_")</f>
        <v>n98F5592A_1CA3_4BD2_8DE3_5142DA505E67</v>
      </c>
    </row>
    <row r="88" spans="1:9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8" s="12" t="s">
        <v>88</v>
      </c>
      <c r="C88" s="13" t="s">
        <v>1426</v>
      </c>
      <c r="D88" s="36">
        <f>COUNTIF(NodesData[Node ID],NodesData[[#This Row],[Node ID]])</f>
        <v>1</v>
      </c>
      <c r="E88" s="12" t="s">
        <v>1270</v>
      </c>
      <c r="F88" s="12" t="str">
        <f>IF(NodesData[[#This Row],[Class Disambiguation]]="",NodesData[[#This Row],[Common Name]],NodesData[[#This Row],[Common Name]]&amp;" ("&amp;NodesData[[#This Row],[Class Disambiguation]]&amp;")")</f>
        <v>CDD (Acronym)</v>
      </c>
      <c r="H88" s="12" t="s">
        <v>634</v>
      </c>
      <c r="I88" s="19" t="str" cm="1">
        <f t="array" ref="I88">"n"&amp;SUBSTITUTE(CreateGuidString(),"-","_")</f>
        <v>n542D7B17_828C_447F_A43E_79D076ED6CC3</v>
      </c>
    </row>
    <row r="89" spans="1:9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9" s="12" t="s">
        <v>635</v>
      </c>
      <c r="C89" s="13" t="s">
        <v>1427</v>
      </c>
      <c r="D89" s="36">
        <f>COUNTIF(NodesData[Node ID],NodesData[[#This Row],[Node ID]])</f>
        <v>1</v>
      </c>
      <c r="F89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H89" s="12" t="s">
        <v>636</v>
      </c>
      <c r="I89" s="19" t="str" cm="1">
        <f t="array" ref="I89">"n"&amp;SUBSTITUTE(CreateGuidString(),"-","_")</f>
        <v>nA6111317_4A9F_4D83_9D7D_1B08A66511D5</v>
      </c>
    </row>
    <row r="90" spans="1:9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90" s="12" t="s">
        <v>1316</v>
      </c>
      <c r="C90" s="13" t="s">
        <v>1435</v>
      </c>
      <c r="D90" s="36">
        <f>COUNTIF(NodesData[Node ID],NodesData[[#This Row],[Node ID]])</f>
        <v>1</v>
      </c>
      <c r="F90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I90" s="19" t="str" cm="1">
        <f t="array" ref="I90">"n"&amp;SUBSTITUTE(CreateGuidString(),"-","_")</f>
        <v>n50365D40_5EA6_4DCA_B70C_54FE458A58F7</v>
      </c>
    </row>
    <row r="91" spans="1:9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91" s="12" t="s">
        <v>637</v>
      </c>
      <c r="C91" s="13" t="s">
        <v>1429</v>
      </c>
      <c r="D91" s="36">
        <f>COUNTIF(NodesData[Node ID],NodesData[[#This Row],[Node ID]])</f>
        <v>1</v>
      </c>
      <c r="F91" s="12" t="str">
        <f>IF(NodesData[[#This Row],[Class Disambiguation]]="",NodesData[[#This Row],[Common Name]],NodesData[[#This Row],[Common Name]]&amp;" ("&amp;NodesData[[#This Row],[Class Disambiguation]]&amp;")")</f>
        <v>Certification</v>
      </c>
      <c r="H91" s="12" t="s">
        <v>638</v>
      </c>
      <c r="I91" s="19" t="str" cm="1">
        <f t="array" ref="I91">"n"&amp;SUBSTITUTE(CreateGuidString(),"-","_")</f>
        <v>n1743169F_1FDF_4E47_A4F5_74C91E981D83</v>
      </c>
    </row>
    <row r="92" spans="1:9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92" s="12" t="s">
        <v>91</v>
      </c>
      <c r="C92" s="13" t="s">
        <v>1430</v>
      </c>
      <c r="D92" s="36">
        <f>COUNTIF(NodesData[Node ID],NodesData[[#This Row],[Node ID]])</f>
        <v>1</v>
      </c>
      <c r="E92" s="12" t="s">
        <v>1270</v>
      </c>
      <c r="F92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H92" s="12" t="s">
        <v>639</v>
      </c>
      <c r="I92" s="19" t="str" cm="1">
        <f t="array" ref="I92">"n"&amp;SUBSTITUTE(CreateGuidString(),"-","_")</f>
        <v>nDCE0BC72_0D5D_4379_8CD8_36B0A1A2499B</v>
      </c>
    </row>
    <row r="93" spans="1:9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93" s="12" t="s">
        <v>92</v>
      </c>
      <c r="C93" s="13" t="s">
        <v>1431</v>
      </c>
      <c r="D93" s="36">
        <f>COUNTIF(NodesData[Node ID],NodesData[[#This Row],[Node ID]])</f>
        <v>1</v>
      </c>
      <c r="F93" s="12" t="str">
        <f>IF(NodesData[[#This Row],[Class Disambiguation]]="",NodesData[[#This Row],[Common Name]],NodesData[[#This Row],[Common Name]]&amp;" ("&amp;NodesData[[#This Row],[Class Disambiguation]]&amp;")")</f>
        <v>Claim</v>
      </c>
      <c r="H93" s="12" t="s">
        <v>640</v>
      </c>
      <c r="I93" s="19" t="str" cm="1">
        <f t="array" ref="I93">"n"&amp;SUBSTITUTE(CreateGuidString(),"-","_")</f>
        <v>nBFF77D0A_0FA0_4830_A2DE_FE57FE3EDD50</v>
      </c>
    </row>
    <row r="94" spans="1:9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4" s="12" t="s">
        <v>94</v>
      </c>
      <c r="C94" s="13" t="s">
        <v>1432</v>
      </c>
      <c r="D94" s="36">
        <f>COUNTIF(NodesData[Node ID],NodesData[[#This Row],[Node ID]])</f>
        <v>1</v>
      </c>
      <c r="F94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H94" s="12" t="s">
        <v>641</v>
      </c>
      <c r="I94" s="19" t="str" cm="1">
        <f t="array" ref="I94">"n"&amp;SUBSTITUTE(CreateGuidString(),"-","_")</f>
        <v>nF195C94C_3E50_4E52_897A_D7FBA5AAA40F</v>
      </c>
    </row>
    <row r="95" spans="1:9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5" s="12" t="s">
        <v>642</v>
      </c>
      <c r="C95" s="13" t="s">
        <v>1433</v>
      </c>
      <c r="D95" s="36">
        <f>COUNTIF(NodesData[Node ID],NodesData[[#This Row],[Node ID]])</f>
        <v>1</v>
      </c>
      <c r="F95" s="12" t="str">
        <f>IF(NodesData[[#This Row],[Class Disambiguation]]="",NodesData[[#This Row],[Common Name]],NodesData[[#This Row],[Common Name]]&amp;" ("&amp;NodesData[[#This Row],[Class Disambiguation]]&amp;")")</f>
        <v>Claimant</v>
      </c>
      <c r="H95" s="12" t="s">
        <v>643</v>
      </c>
      <c r="I95" s="19" t="str" cm="1">
        <f t="array" ref="I95">"n"&amp;SUBSTITUTE(CreateGuidString(),"-","_")</f>
        <v>n3806E941_B5B6_44D3_8D16_58602CE54885</v>
      </c>
    </row>
    <row r="96" spans="1:9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6" s="12" t="s">
        <v>644</v>
      </c>
      <c r="C96" s="13" t="s">
        <v>1434</v>
      </c>
      <c r="D96" s="36">
        <f>COUNTIF(NodesData[Node ID],NodesData[[#This Row],[Node ID]])</f>
        <v>1</v>
      </c>
      <c r="F96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H96" s="12" t="s">
        <v>645</v>
      </c>
      <c r="I96" s="19" t="str" cm="1">
        <f t="array" ref="I96">"n"&amp;SUBSTITUTE(CreateGuidString(),"-","_")</f>
        <v>n96767FC2_16CD_4569_9287_77765BBDAEAA</v>
      </c>
    </row>
    <row r="97" spans="1:9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7" s="12" t="s">
        <v>96</v>
      </c>
      <c r="C97" s="13" t="s">
        <v>1444</v>
      </c>
      <c r="D97" s="36">
        <f>COUNTIF(NodesData[Node ID],NodesData[[#This Row],[Node ID]])</f>
        <v>1</v>
      </c>
      <c r="F97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H97" s="12" t="s">
        <v>646</v>
      </c>
      <c r="I97" s="19" t="str" cm="1">
        <f t="array" ref="I97">"n"&amp;SUBSTITUTE(CreateGuidString(),"-","_")</f>
        <v>nCAAC7C1D_9A97_43ED_9661_FDEF75F59E2F</v>
      </c>
    </row>
    <row r="98" spans="1:9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8" s="12" t="s">
        <v>647</v>
      </c>
      <c r="C98" s="13" t="s">
        <v>1436</v>
      </c>
      <c r="D98" s="36">
        <f>COUNTIF(NodesData[Node ID],NodesData[[#This Row],[Node ID]])</f>
        <v>1</v>
      </c>
      <c r="F98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H98" s="12" t="s">
        <v>648</v>
      </c>
      <c r="I98" s="19" t="str" cm="1">
        <f t="array" ref="I98">"n"&amp;SUBSTITUTE(CreateGuidString(),"-","_")</f>
        <v>n45CA8771_B6B7_43C3_859A_09A2D38D9B4F</v>
      </c>
    </row>
    <row r="99" spans="1:9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9" s="12" t="s">
        <v>649</v>
      </c>
      <c r="C99" s="13" t="s">
        <v>1437</v>
      </c>
      <c r="D99" s="36">
        <f>COUNTIF(NodesData[Node ID],NodesData[[#This Row],[Node ID]])</f>
        <v>1</v>
      </c>
      <c r="E99" s="12" t="s">
        <v>1270</v>
      </c>
      <c r="F99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H99" s="12" t="s">
        <v>650</v>
      </c>
      <c r="I99" s="19" t="str" cm="1">
        <f t="array" ref="I99">"n"&amp;SUBSTITUTE(CreateGuidString(),"-","_")</f>
        <v>n52C6FB7A_86FF_48BE_A20E_1E31858C6DD9</v>
      </c>
    </row>
    <row r="100" spans="1:9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100" s="12" t="s">
        <v>651</v>
      </c>
      <c r="C100" s="13" t="s">
        <v>1438</v>
      </c>
      <c r="D100" s="36">
        <f>COUNTIF(NodesData[Node ID],NodesData[[#This Row],[Node ID]])</f>
        <v>1</v>
      </c>
      <c r="F100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H100" s="12" t="s">
        <v>652</v>
      </c>
      <c r="I100" s="19" t="str" cm="1">
        <f t="array" ref="I100">"n"&amp;SUBSTITUTE(CreateGuidString(),"-","_")</f>
        <v>n1CA59C0E_B280_4C29_9F02_77CF52A21455</v>
      </c>
    </row>
    <row r="101" spans="1:9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101" s="12" t="s">
        <v>653</v>
      </c>
      <c r="C101" s="13" t="s">
        <v>1439</v>
      </c>
      <c r="D101" s="36">
        <f>COUNTIF(NodesData[Node ID],NodesData[[#This Row],[Node ID]])</f>
        <v>1</v>
      </c>
      <c r="F101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H101" s="12" t="s">
        <v>654</v>
      </c>
      <c r="I101" s="19" t="str" cm="1">
        <f t="array" ref="I101">"n"&amp;SUBSTITUTE(CreateGuidString(),"-","_")</f>
        <v>n9D01EB77_1028_4A5C_9737_31CF6FD11B03</v>
      </c>
    </row>
    <row r="102" spans="1:9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102" s="12" t="s">
        <v>101</v>
      </c>
      <c r="C102" s="13" t="s">
        <v>1440</v>
      </c>
      <c r="D102" s="36">
        <f>COUNTIF(NodesData[Node ID],NodesData[[#This Row],[Node ID]])</f>
        <v>1</v>
      </c>
      <c r="F102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H102" s="12" t="s">
        <v>655</v>
      </c>
      <c r="I102" s="19" t="str" cm="1">
        <f t="array" ref="I102">"n"&amp;SUBSTITUTE(CreateGuidString(),"-","_")</f>
        <v>nC13C94C3_9734_41C3_AC68_03986D5361C6</v>
      </c>
    </row>
    <row r="103" spans="1:9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3" s="11" t="s">
        <v>1352</v>
      </c>
      <c r="C103" s="13" t="s">
        <v>1866</v>
      </c>
      <c r="D103" s="36">
        <f>COUNTIF(NodesData[Node ID],NodesData[[#This Row],[Node ID]])</f>
        <v>1</v>
      </c>
      <c r="F103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G103" s="18"/>
      <c r="I103" s="20" t="str" cm="1">
        <f t="array" ref="I103">"n"&amp;SUBSTITUTE(CreateGuidString(),"-","_")</f>
        <v>nCEDE8F95_B5C8_4D70_83C7_B0D1F39F26BE</v>
      </c>
    </row>
    <row r="104" spans="1:9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4" s="12" t="s">
        <v>656</v>
      </c>
      <c r="C104" s="13" t="s">
        <v>1441</v>
      </c>
      <c r="D104" s="36">
        <f>COUNTIF(NodesData[Node ID],NodesData[[#This Row],[Node ID]])</f>
        <v>1</v>
      </c>
      <c r="F104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H104" s="12" t="s">
        <v>657</v>
      </c>
      <c r="I104" s="19" t="str" cm="1">
        <f t="array" ref="I104">"n"&amp;SUBSTITUTE(CreateGuidString(),"-","_")</f>
        <v>nE70FA7AF_63CD_4F77_9378_BB0AD1660E87</v>
      </c>
    </row>
    <row r="105" spans="1:9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5" s="12" t="s">
        <v>658</v>
      </c>
      <c r="C105" s="13" t="s">
        <v>1442</v>
      </c>
      <c r="D105" s="36">
        <f>COUNTIF(NodesData[Node ID],NodesData[[#This Row],[Node ID]])</f>
        <v>1</v>
      </c>
      <c r="F105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H105" s="12" t="s">
        <v>659</v>
      </c>
      <c r="I105" s="19" t="str" cm="1">
        <f t="array" ref="I105">"n"&amp;SUBSTITUTE(CreateGuidString(),"-","_")</f>
        <v>n60672188_D94E_44E3_9792_DF3063C98BFE</v>
      </c>
    </row>
    <row r="106" spans="1:9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6" s="12" t="s">
        <v>660</v>
      </c>
      <c r="C106" s="13" t="s">
        <v>1443</v>
      </c>
      <c r="D106" s="36">
        <f>COUNTIF(NodesData[Node ID],NodesData[[#This Row],[Node ID]])</f>
        <v>1</v>
      </c>
      <c r="F106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H106" s="12" t="s">
        <v>661</v>
      </c>
      <c r="I106" s="19" t="str" cm="1">
        <f t="array" ref="I106">"n"&amp;SUBSTITUTE(CreateGuidString(),"-","_")</f>
        <v>n25E84D68_7213_4589_928F_10307A9BFD05</v>
      </c>
    </row>
    <row r="107" spans="1:9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7" s="12" t="s">
        <v>662</v>
      </c>
      <c r="C107" s="13" t="s">
        <v>1478</v>
      </c>
      <c r="D107" s="36">
        <f>COUNTIF(NodesData[Node ID],NodesData[[#This Row],[Node ID]])</f>
        <v>1</v>
      </c>
      <c r="F107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H107" s="12" t="s">
        <v>663</v>
      </c>
      <c r="I107" s="19" t="str" cm="1">
        <f t="array" ref="I107">"n"&amp;SUBSTITUTE(CreateGuidString(),"-","_")</f>
        <v>n7DC93B96_FA32_432C_A3D5_142D06F8CC47</v>
      </c>
    </row>
    <row r="108" spans="1:9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8" s="11" t="s">
        <v>1337</v>
      </c>
      <c r="C108" s="13" t="s">
        <v>1848</v>
      </c>
      <c r="D108" s="36">
        <f>COUNTIF(NodesData[Node ID],NodesData[[#This Row],[Node ID]])</f>
        <v>1</v>
      </c>
      <c r="F108" s="18" t="str">
        <f>IF(NodesData[[#This Row],[Class Disambiguation]]="",NodesData[[#This Row],[Common Name]],NodesData[[#This Row],[Common Name]]&amp;" ("&amp;NodesData[[#This Row],[Class Disambiguation]]&amp;")")</f>
        <v>Control Class</v>
      </c>
      <c r="G108" s="18"/>
      <c r="I108" s="20" t="str" cm="1">
        <f t="array" ref="I108">"n"&amp;SUBSTITUTE(CreateGuidString(),"-","_")</f>
        <v>nAE231483_13EB_433A_9587_913913F1AA00</v>
      </c>
    </row>
    <row r="109" spans="1:9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9" s="12" t="s">
        <v>664</v>
      </c>
      <c r="C109" s="13" t="s">
        <v>1445</v>
      </c>
      <c r="D109" s="36">
        <f>COUNTIF(NodesData[Node ID],NodesData[[#This Row],[Node ID]])</f>
        <v>1</v>
      </c>
      <c r="F109" s="12" t="str">
        <f>IF(NodesData[[#This Row],[Class Disambiguation]]="",NodesData[[#This Row],[Common Name]],NodesData[[#This Row],[Common Name]]&amp;" ("&amp;NodesData[[#This Row],[Class Disambiguation]]&amp;")")</f>
        <v>Control Party</v>
      </c>
      <c r="H109" s="12" t="s">
        <v>665</v>
      </c>
      <c r="I109" s="19" t="str" cm="1">
        <f t="array" ref="I109">"n"&amp;SUBSTITUTE(CreateGuidString(),"-","_")</f>
        <v>n84A75093_0B83_493E_9C87_651F59E97EF5</v>
      </c>
    </row>
    <row r="110" spans="1:9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10" s="12" t="s">
        <v>666</v>
      </c>
      <c r="C110" s="13" t="s">
        <v>1446</v>
      </c>
      <c r="D110" s="36">
        <f>COUNTIF(NodesData[Node ID],NodesData[[#This Row],[Node ID]])</f>
        <v>1</v>
      </c>
      <c r="F110" s="12" t="str">
        <f>IF(NodesData[[#This Row],[Class Disambiguation]]="",NodesData[[#This Row],[Common Name]],NodesData[[#This Row],[Common Name]]&amp;" ("&amp;NodesData[[#This Row],[Class Disambiguation]]&amp;")")</f>
        <v>Core Identity</v>
      </c>
      <c r="H110" s="12" t="s">
        <v>667</v>
      </c>
      <c r="I110" s="19" t="str" cm="1">
        <f t="array" ref="I110">"n"&amp;SUBSTITUTE(CreateGuidString(),"-","_")</f>
        <v>n04845B79_98FF_4B5A_BE53_10671A64C157</v>
      </c>
    </row>
    <row r="111" spans="1:9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11" s="12" t="s">
        <v>117</v>
      </c>
      <c r="C111" s="13" t="s">
        <v>1447</v>
      </c>
      <c r="D111" s="36">
        <f>COUNTIF(NodesData[Node ID],NodesData[[#This Row],[Node ID]])</f>
        <v>1</v>
      </c>
      <c r="F111" s="12" t="str">
        <f>IF(NodesData[[#This Row],[Class Disambiguation]]="",NodesData[[#This Row],[Common Name]],NodesData[[#This Row],[Common Name]]&amp;" ("&amp;NodesData[[#This Row],[Class Disambiguation]]&amp;")")</f>
        <v>Credential</v>
      </c>
      <c r="H111" s="12" t="s">
        <v>668</v>
      </c>
      <c r="I111" s="19" t="str" cm="1">
        <f t="array" ref="I111">"n"&amp;SUBSTITUTE(CreateGuidString(),"-","_")</f>
        <v>nB6B8A22C_BE2D_42C4_BF46_B97FAE2653E9</v>
      </c>
    </row>
    <row r="112" spans="1:9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12" s="12" t="s">
        <v>118</v>
      </c>
      <c r="C112" s="13" t="s">
        <v>1448</v>
      </c>
      <c r="D112" s="36">
        <f>COUNTIF(NodesData[Node ID],NodesData[[#This Row],[Node ID]])</f>
        <v>1</v>
      </c>
      <c r="F112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H112" s="12" t="s">
        <v>669</v>
      </c>
      <c r="I112" s="19" t="str" cm="1">
        <f t="array" ref="I112">"n"&amp;SUBSTITUTE(CreateGuidString(),"-","_")</f>
        <v>nA790A2AD_E762_454C_A21B_AC61B42143B7</v>
      </c>
    </row>
    <row r="113" spans="1:9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3" s="12" t="s">
        <v>670</v>
      </c>
      <c r="C113" s="13" t="s">
        <v>1449</v>
      </c>
      <c r="D113" s="36">
        <f>COUNTIF(NodesData[Node ID],NodesData[[#This Row],[Node ID]])</f>
        <v>1</v>
      </c>
      <c r="F113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H113" s="12" t="s">
        <v>671</v>
      </c>
      <c r="I113" s="19" t="str" cm="1">
        <f t="array" ref="I113">"n"&amp;SUBSTITUTE(CreateGuidString(),"-","_")</f>
        <v>nD5D5F4D7_CC4F_4218_A539_840D3873338D</v>
      </c>
    </row>
    <row r="114" spans="1:9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4" s="12" t="s">
        <v>120</v>
      </c>
      <c r="C114" s="13" t="s">
        <v>1450</v>
      </c>
      <c r="D114" s="36">
        <f>COUNTIF(NodesData[Node ID],NodesData[[#This Row],[Node ID]])</f>
        <v>1</v>
      </c>
      <c r="F114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H114" s="12" t="s">
        <v>672</v>
      </c>
      <c r="I114" s="19" t="str" cm="1">
        <f t="array" ref="I114">"n"&amp;SUBSTITUTE(CreateGuidString(),"-","_")</f>
        <v>nD7203F7E_2479_4B7A_9DA0_06E63AEAD5AF</v>
      </c>
    </row>
    <row r="115" spans="1:9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5" s="12" t="s">
        <v>673</v>
      </c>
      <c r="C115" s="13" t="s">
        <v>1451</v>
      </c>
      <c r="D115" s="36">
        <f>COUNTIF(NodesData[Node ID],NodesData[[#This Row],[Node ID]])</f>
        <v>1</v>
      </c>
      <c r="F115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H115" s="12" t="s">
        <v>674</v>
      </c>
      <c r="I115" s="19" t="str" cm="1">
        <f t="array" ref="I115">"n"&amp;SUBSTITUTE(CreateGuidString(),"-","_")</f>
        <v>nB1E0DC6D_6A49_43B0_B816_9C838A3E29F0</v>
      </c>
    </row>
    <row r="116" spans="1:9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6" s="12" t="s">
        <v>675</v>
      </c>
      <c r="C116" s="13" t="s">
        <v>1452</v>
      </c>
      <c r="D116" s="36">
        <f>COUNTIF(NodesData[Node ID],NodesData[[#This Row],[Node ID]])</f>
        <v>1</v>
      </c>
      <c r="F116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H116" s="12" t="s">
        <v>676</v>
      </c>
      <c r="I116" s="19" t="str" cm="1">
        <f t="array" ref="I116">"n"&amp;SUBSTITUTE(CreateGuidString(),"-","_")</f>
        <v>n3A939B55_8679_4E11_821B_B0C568172B30</v>
      </c>
    </row>
    <row r="117" spans="1:9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7" s="12" t="s">
        <v>123</v>
      </c>
      <c r="C117" s="13" t="s">
        <v>1453</v>
      </c>
      <c r="D117" s="36">
        <f>COUNTIF(NodesData[Node ID],NodesData[[#This Row],[Node ID]])</f>
        <v>1</v>
      </c>
      <c r="E117" s="12" t="s">
        <v>1270</v>
      </c>
      <c r="F117" s="12" t="str">
        <f>IF(NodesData[[#This Row],[Class Disambiguation]]="",NodesData[[#This Row],[Common Name]],NodesData[[#This Row],[Common Name]]&amp;" ("&amp;NodesData[[#This Row],[Class Disambiguation]]&amp;")")</f>
        <v>CSC (Acronym)</v>
      </c>
      <c r="H117" s="12" t="s">
        <v>677</v>
      </c>
      <c r="I117" s="19" t="str" cm="1">
        <f t="array" ref="I117">"n"&amp;SUBSTITUTE(CreateGuidString(),"-","_")</f>
        <v>nFA248ED2_B8FE_4F72_B773_DD81AA026A99</v>
      </c>
    </row>
    <row r="118" spans="1:9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8" s="12" t="s">
        <v>124</v>
      </c>
      <c r="C118" s="13" t="s">
        <v>1454</v>
      </c>
      <c r="D118" s="36">
        <f>COUNTIF(NodesData[Node ID],NodesData[[#This Row],[Node ID]])</f>
        <v>1</v>
      </c>
      <c r="E118" s="12" t="s">
        <v>1270</v>
      </c>
      <c r="F118" s="12" t="str">
        <f>IF(NodesData[[#This Row],[Class Disambiguation]]="",NodesData[[#This Row],[Common Name]],NodesData[[#This Row],[Common Name]]&amp;" ("&amp;NodesData[[#This Row],[Class Disambiguation]]&amp;")")</f>
        <v>CSP (Acronym)</v>
      </c>
      <c r="H118" s="12" t="s">
        <v>678</v>
      </c>
      <c r="I118" s="19" t="str" cm="1">
        <f t="array" ref="I118">"n"&amp;SUBSTITUTE(CreateGuidString(),"-","_")</f>
        <v>n5B42A955_47C8_464C_9DB0_52126E1EA65B</v>
      </c>
    </row>
    <row r="119" spans="1:9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9" s="12" t="s">
        <v>125</v>
      </c>
      <c r="C119" s="13" t="s">
        <v>1455</v>
      </c>
      <c r="D119" s="36">
        <f>COUNTIF(NodesData[Node ID],NodesData[[#This Row],[Node ID]])</f>
        <v>1</v>
      </c>
      <c r="E119" s="12" t="s">
        <v>1270</v>
      </c>
      <c r="F119" s="12" t="str">
        <f>IF(NodesData[[#This Row],[Class Disambiguation]]="",NodesData[[#This Row],[Common Name]],NodesData[[#This Row],[Common Name]]&amp;" ("&amp;NodesData[[#This Row],[Class Disambiguation]]&amp;")")</f>
        <v>CSU (Acronym)</v>
      </c>
      <c r="H119" s="12" t="s">
        <v>679</v>
      </c>
      <c r="I119" s="19" t="str" cm="1">
        <f t="array" ref="I119">"n"&amp;SUBSTITUTE(CreateGuidString(),"-","_")</f>
        <v>n6AD9B628_09B5_44A8_BB1E_9CDBCE7B8297</v>
      </c>
    </row>
    <row r="120" spans="1:9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20" s="12" t="s">
        <v>680</v>
      </c>
      <c r="C120" s="13" t="s">
        <v>1456</v>
      </c>
      <c r="D120" s="36">
        <f>COUNTIF(NodesData[Node ID],NodesData[[#This Row],[Node ID]])</f>
        <v>1</v>
      </c>
      <c r="F120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H120" s="12" t="s">
        <v>681</v>
      </c>
      <c r="I120" s="19" t="str" cm="1">
        <f t="array" ref="I120">"n"&amp;SUBSTITUTE(CreateGuidString(),"-","_")</f>
        <v>nD81F3309_644E_4DB8_9FDF_DFC9F0ECA49E</v>
      </c>
    </row>
    <row r="121" spans="1:9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21" s="12" t="s">
        <v>682</v>
      </c>
      <c r="C121" s="13" t="s">
        <v>1457</v>
      </c>
      <c r="D121" s="36">
        <f>COUNTIF(NodesData[Node ID],NodesData[[#This Row],[Node ID]])</f>
        <v>1</v>
      </c>
      <c r="F121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H121" s="12" t="s">
        <v>683</v>
      </c>
      <c r="I121" s="19" t="str" cm="1">
        <f t="array" ref="I121">"n"&amp;SUBSTITUTE(CreateGuidString(),"-","_")</f>
        <v>n82CBD1ED_CAE6_48B2_B016_AA467E3D6FDA</v>
      </c>
    </row>
    <row r="122" spans="1:9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22" s="12" t="s">
        <v>684</v>
      </c>
      <c r="C122" s="13" t="s">
        <v>1458</v>
      </c>
      <c r="D122" s="36">
        <f>COUNTIF(NodesData[Node ID],NodesData[[#This Row],[Node ID]])</f>
        <v>1</v>
      </c>
      <c r="F122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H122" s="12" t="s">
        <v>685</v>
      </c>
      <c r="I122" s="19" t="str" cm="1">
        <f t="array" ref="I122">"n"&amp;SUBSTITUTE(CreateGuidString(),"-","_")</f>
        <v>n7EF74787_74C0_4230_9CC5_73876A403962</v>
      </c>
    </row>
    <row r="123" spans="1:9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3" s="12" t="s">
        <v>686</v>
      </c>
      <c r="C123" s="13" t="s">
        <v>1459</v>
      </c>
      <c r="D123" s="36">
        <f>COUNTIF(NodesData[Node ID],NodesData[[#This Row],[Node ID]])</f>
        <v>1</v>
      </c>
      <c r="F123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H123" s="12" t="s">
        <v>687</v>
      </c>
      <c r="I123" s="19" t="str" cm="1">
        <f t="array" ref="I123">"n"&amp;SUBSTITUTE(CreateGuidString(),"-","_")</f>
        <v>n9F7F4612_6995_4FB9_ACCB_8B75518C30EC</v>
      </c>
    </row>
    <row r="124" spans="1:9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4" s="12" t="s">
        <v>688</v>
      </c>
      <c r="C124" s="13" t="s">
        <v>1460</v>
      </c>
      <c r="D124" s="36">
        <f>COUNTIF(NodesData[Node ID],NodesData[[#This Row],[Node ID]])</f>
        <v>1</v>
      </c>
      <c r="F124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H124" s="12" t="s">
        <v>689</v>
      </c>
      <c r="I124" s="19" t="str" cm="1">
        <f t="array" ref="I124">"n"&amp;SUBSTITUTE(CreateGuidString(),"-","_")</f>
        <v>nF0F46C6E_EFCF_4732_BB1C_214C9A4A206F</v>
      </c>
    </row>
    <row r="125" spans="1:9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5" s="12" t="s">
        <v>690</v>
      </c>
      <c r="C125" s="13" t="s">
        <v>1461</v>
      </c>
      <c r="D125" s="36">
        <f>COUNTIF(NodesData[Node ID],NodesData[[#This Row],[Node ID]])</f>
        <v>1</v>
      </c>
      <c r="F125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H125" s="12" t="s">
        <v>691</v>
      </c>
      <c r="I125" s="19" t="str" cm="1">
        <f t="array" ref="I125">"n"&amp;SUBSTITUTE(CreateGuidString(),"-","_")</f>
        <v>nAC56ABA8_3A0C_4306_A1FC_02DDFA7545FC</v>
      </c>
    </row>
    <row r="126" spans="1:9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6" s="12" t="s">
        <v>132</v>
      </c>
      <c r="C126" s="13" t="s">
        <v>1462</v>
      </c>
      <c r="D126" s="36">
        <f>COUNTIF(NodesData[Node ID],NodesData[[#This Row],[Node ID]])</f>
        <v>1</v>
      </c>
      <c r="F126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H126" s="12" t="s">
        <v>692</v>
      </c>
      <c r="I126" s="19" t="str" cm="1">
        <f t="array" ref="I126">"n"&amp;SUBSTITUTE(CreateGuidString(),"-","_")</f>
        <v>n39C4997D_9061_4CFE_B0B4_BF9EC6B53F18</v>
      </c>
    </row>
    <row r="127" spans="1:9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7" s="12" t="s">
        <v>133</v>
      </c>
      <c r="C127" s="13" t="s">
        <v>1463</v>
      </c>
      <c r="D127" s="36">
        <f>COUNTIF(NodesData[Node ID],NodesData[[#This Row],[Node ID]])</f>
        <v>1</v>
      </c>
      <c r="E127" s="12" t="s">
        <v>1270</v>
      </c>
      <c r="F127" s="12" t="str">
        <f>IF(NodesData[[#This Row],[Class Disambiguation]]="",NodesData[[#This Row],[Common Name]],NodesData[[#This Row],[Common Name]]&amp;" ("&amp;NodesData[[#This Row],[Class Disambiguation]]&amp;")")</f>
        <v>DAC (Acronym)</v>
      </c>
      <c r="H127" s="12" t="s">
        <v>693</v>
      </c>
      <c r="I127" s="19" t="str" cm="1">
        <f t="array" ref="I127">"n"&amp;SUBSTITUTE(CreateGuidString(),"-","_")</f>
        <v>n83B00C63_DA95_4108_9CA8_BF84E9B44C67</v>
      </c>
    </row>
    <row r="128" spans="1:9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8" s="12" t="s">
        <v>1345</v>
      </c>
      <c r="C128" s="13" t="s">
        <v>1841</v>
      </c>
      <c r="D128" s="36">
        <f>COUNTIF(NodesData[Node ID],NodesData[[#This Row],[Node ID]])</f>
        <v>1</v>
      </c>
      <c r="F128" s="18" t="str">
        <f>IF(NodesData[[#This Row],[Class Disambiguation]]="",NodesData[[#This Row],[Common Name]],NodesData[[#This Row],[Common Name]]&amp;" ("&amp;NodesData[[#This Row],[Class Disambiguation]]&amp;")")</f>
        <v>Data</v>
      </c>
      <c r="G128" s="18"/>
      <c r="I128" s="19" t="str" cm="1">
        <f t="array" ref="I128">"n"&amp;SUBSTITUTE(CreateGuidString(),"-","_")</f>
        <v>nCB186519_7926_42B7_8849_CE37E6275A72</v>
      </c>
    </row>
    <row r="129" spans="1:9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9" s="12" t="s">
        <v>134</v>
      </c>
      <c r="C129" s="13" t="s">
        <v>1464</v>
      </c>
      <c r="D129" s="36">
        <f>COUNTIF(NodesData[Node ID],NodesData[[#This Row],[Node ID]])</f>
        <v>1</v>
      </c>
      <c r="F129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H129" s="12" t="s">
        <v>694</v>
      </c>
      <c r="I129" s="19" t="str" cm="1">
        <f t="array" ref="I129">"n"&amp;SUBSTITUTE(CreateGuidString(),"-","_")</f>
        <v>nB8D69AC8_F2C3_452F_8AB6_559FF2AA0685</v>
      </c>
    </row>
    <row r="130" spans="1:9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30" s="12" t="s">
        <v>695</v>
      </c>
      <c r="C130" s="13" t="s">
        <v>1465</v>
      </c>
      <c r="D130" s="36">
        <f>COUNTIF(NodesData[Node ID],NodesData[[#This Row],[Node ID]])</f>
        <v>1</v>
      </c>
      <c r="F130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H130" s="12" t="s">
        <v>696</v>
      </c>
      <c r="I130" s="19" t="str" cm="1">
        <f t="array" ref="I130">"n"&amp;SUBSTITUTE(CreateGuidString(),"-","_")</f>
        <v>n08C1C35C_E22D_4BFA_AD24_0CE8CD8D85B9</v>
      </c>
    </row>
    <row r="131" spans="1:9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31" s="12" t="s">
        <v>697</v>
      </c>
      <c r="C131" s="13" t="s">
        <v>1467</v>
      </c>
      <c r="D131" s="36">
        <f>COUNTIF(NodesData[Node ID],NodesData[[#This Row],[Node ID]])</f>
        <v>1</v>
      </c>
      <c r="F131" s="12" t="str">
        <f>IF(NodesData[[#This Row],[Class Disambiguation]]="",NodesData[[#This Row],[Common Name]],NodesData[[#This Row],[Common Name]]&amp;" ("&amp;NodesData[[#This Row],[Class Disambiguation]]&amp;")")</f>
        <v>Data Lineage</v>
      </c>
      <c r="H131" s="12" t="s">
        <v>698</v>
      </c>
      <c r="I131" s="19" t="str" cm="1">
        <f t="array" ref="I131">"n"&amp;SUBSTITUTE(CreateGuidString(),"-","_")</f>
        <v>nF91E8952_E304_490F_A88D_62879E0D084D</v>
      </c>
    </row>
    <row r="132" spans="1:9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32" s="12" t="s">
        <v>699</v>
      </c>
      <c r="C132" s="13" t="s">
        <v>1468</v>
      </c>
      <c r="D132" s="36">
        <f>COUNTIF(NodesData[Node ID],NodesData[[#This Row],[Node ID]])</f>
        <v>1</v>
      </c>
      <c r="F132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H132" s="12" t="s">
        <v>700</v>
      </c>
      <c r="I132" s="19" t="str" cm="1">
        <f t="array" ref="I132">"n"&amp;SUBSTITUTE(CreateGuidString(),"-","_")</f>
        <v>nCAC65F33_79F9_4198_A930_1C150A071182</v>
      </c>
    </row>
    <row r="133" spans="1:9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3" s="12" t="s">
        <v>1346</v>
      </c>
      <c r="C133" s="13" t="s">
        <v>1843</v>
      </c>
      <c r="D133" s="36">
        <f>COUNTIF(NodesData[Node ID],NodesData[[#This Row],[Node ID]])</f>
        <v>1</v>
      </c>
      <c r="F133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G133" s="18"/>
      <c r="I133" s="20" t="str" cm="1">
        <f t="array" ref="I133">"n"&amp;SUBSTITUTE(CreateGuidString(),"-","_")</f>
        <v>nDF59498D_BE2F_47F8_B762_160121377E43</v>
      </c>
    </row>
    <row r="134" spans="1:9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4" s="12" t="s">
        <v>701</v>
      </c>
      <c r="C134" s="13" t="s">
        <v>1469</v>
      </c>
      <c r="D134" s="36">
        <f>COUNTIF(NodesData[Node ID],NodesData[[#This Row],[Node ID]])</f>
        <v>1</v>
      </c>
      <c r="F134" s="12" t="str">
        <f>IF(NodesData[[#This Row],[Class Disambiguation]]="",NodesData[[#This Row],[Common Name]],NodesData[[#This Row],[Common Name]]&amp;" ("&amp;NodesData[[#This Row],[Class Disambiguation]]&amp;")")</f>
        <v>Data Owner</v>
      </c>
      <c r="H134" s="12" t="s">
        <v>702</v>
      </c>
      <c r="I134" s="19" t="str" cm="1">
        <f t="array" ref="I134">"n"&amp;SUBSTITUTE(CreateGuidString(),"-","_")</f>
        <v>nED1A14F7_554F_47C2_809A_7B10C14A0147</v>
      </c>
    </row>
    <row r="135" spans="1:9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5" s="12" t="s">
        <v>703</v>
      </c>
      <c r="C135" s="13" t="s">
        <v>1466</v>
      </c>
      <c r="D135" s="36">
        <f>COUNTIF(NodesData[Node ID],NodesData[[#This Row],[Node ID]])</f>
        <v>1</v>
      </c>
      <c r="F135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H135" s="12" t="s">
        <v>704</v>
      </c>
      <c r="I135" s="19" t="str" cm="1">
        <f t="array" ref="I135">"n"&amp;SUBSTITUTE(CreateGuidString(),"-","_")</f>
        <v>n83C69B87_6C2C_4BD1_B2FF_095DCC721BC9</v>
      </c>
    </row>
    <row r="136" spans="1:9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6" s="12" t="s">
        <v>705</v>
      </c>
      <c r="C136" s="13" t="s">
        <v>1471</v>
      </c>
      <c r="D136" s="36">
        <f>COUNTIF(NodesData[Node ID],NodesData[[#This Row],[Node ID]])</f>
        <v>1</v>
      </c>
      <c r="F136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H136" s="12" t="s">
        <v>706</v>
      </c>
      <c r="I136" s="19" t="str" cm="1">
        <f t="array" ref="I136">"n"&amp;SUBSTITUTE(CreateGuidString(),"-","_")</f>
        <v>nE27103D0_CF83_4DD0_B151_6252E5335930</v>
      </c>
    </row>
    <row r="137" spans="1:9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7" s="12" t="s">
        <v>707</v>
      </c>
      <c r="C137" s="13" t="s">
        <v>1472</v>
      </c>
      <c r="D137" s="36">
        <f>COUNTIF(NodesData[Node ID],NodesData[[#This Row],[Node ID]])</f>
        <v>1</v>
      </c>
      <c r="F137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H137" s="12" t="s">
        <v>708</v>
      </c>
      <c r="I137" s="19" t="str" cm="1">
        <f t="array" ref="I137">"n"&amp;SUBSTITUTE(CreateGuidString(),"-","_")</f>
        <v>n63A95843_9C67_45D2_A621_7875558CEF86</v>
      </c>
    </row>
    <row r="138" spans="1:9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8" s="12" t="s">
        <v>709</v>
      </c>
      <c r="C138" s="13" t="s">
        <v>1470</v>
      </c>
      <c r="D138" s="36">
        <f>COUNTIF(NodesData[Node ID],NodesData[[#This Row],[Node ID]])</f>
        <v>1</v>
      </c>
      <c r="F138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H138" s="12" t="s">
        <v>710</v>
      </c>
      <c r="I138" s="19" t="str" cm="1">
        <f t="array" ref="I138">"n"&amp;SUBSTITUTE(CreateGuidString(),"-","_")</f>
        <v>nF542ECD5_BB97_4E45_BF81_26BCB516014E</v>
      </c>
    </row>
    <row r="139" spans="1:9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9" s="12" t="s">
        <v>711</v>
      </c>
      <c r="C139" s="13" t="s">
        <v>1473</v>
      </c>
      <c r="D139" s="36">
        <f>COUNTIF(NodesData[Node ID],NodesData[[#This Row],[Node ID]])</f>
        <v>1</v>
      </c>
      <c r="F139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H139" s="12" t="s">
        <v>712</v>
      </c>
      <c r="I139" s="19" t="str" cm="1">
        <f t="array" ref="I139">"n"&amp;SUBSTITUTE(CreateGuidString(),"-","_")</f>
        <v>n8F8C9DDC_4BB0_4B8E_924D_EFD4D37C9956</v>
      </c>
    </row>
    <row r="140" spans="1:9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40" s="12" t="s">
        <v>145</v>
      </c>
      <c r="C140" s="13" t="s">
        <v>1474</v>
      </c>
      <c r="D140" s="36">
        <f>COUNTIF(NodesData[Node ID],NodesData[[#This Row],[Node ID]])</f>
        <v>1</v>
      </c>
      <c r="E140" s="12" t="s">
        <v>1270</v>
      </c>
      <c r="F140" s="12" t="str">
        <f>IF(NodesData[[#This Row],[Class Disambiguation]]="",NodesData[[#This Row],[Common Name]],NodesData[[#This Row],[Common Name]]&amp;" ("&amp;NodesData[[#This Row],[Class Disambiguation]]&amp;")")</f>
        <v>DID (Acronym)</v>
      </c>
      <c r="H140" s="12" t="s">
        <v>713</v>
      </c>
      <c r="I140" s="19" t="str" cm="1">
        <f t="array" ref="I140">"n"&amp;SUBSTITUTE(CreateGuidString(),"-","_")</f>
        <v>nDED06521_E19B_4871_96D9_E632E0B3D61E</v>
      </c>
    </row>
    <row r="141" spans="1:9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41" s="12" t="s">
        <v>714</v>
      </c>
      <c r="C141" s="13" t="s">
        <v>1475</v>
      </c>
      <c r="D141" s="36">
        <f>COUNTIF(NodesData[Node ID],NodesData[[#This Row],[Node ID]])</f>
        <v>1</v>
      </c>
      <c r="F141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H141" s="12" t="s">
        <v>715</v>
      </c>
      <c r="I141" s="19" t="str" cm="1">
        <f t="array" ref="I141">"n"&amp;SUBSTITUTE(CreateGuidString(),"-","_")</f>
        <v>nE706AC81_60F4_4365_89DD_C8C2453C37D3</v>
      </c>
    </row>
    <row r="142" spans="1:9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42" s="12" t="s">
        <v>147</v>
      </c>
      <c r="C142" s="13" t="s">
        <v>1476</v>
      </c>
      <c r="D142" s="36">
        <f>COUNTIF(NodesData[Node ID],NodesData[[#This Row],[Node ID]])</f>
        <v>1</v>
      </c>
      <c r="F142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H142" s="12" t="s">
        <v>716</v>
      </c>
      <c r="I142" s="19" t="str" cm="1">
        <f t="array" ref="I142">"n"&amp;SUBSTITUTE(CreateGuidString(),"-","_")</f>
        <v>n56F8E4B3_DEA5_47DA_B2DB_7DA547A6600E</v>
      </c>
    </row>
    <row r="143" spans="1:9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3" s="12" t="s">
        <v>148</v>
      </c>
      <c r="C143" s="13" t="s">
        <v>1890</v>
      </c>
      <c r="D143" s="36">
        <f>COUNTIF(NodesData[Node ID],NodesData[[#This Row],[Node ID]])</f>
        <v>1</v>
      </c>
      <c r="F143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G143" s="18"/>
      <c r="H143" s="12" t="s">
        <v>717</v>
      </c>
      <c r="I143" s="20" t="str" cm="1">
        <f t="array" ref="I143">"n"&amp;SUBSTITUTE(CreateGuidString(),"-","_")</f>
        <v>nAFE60223_3F62_49C1_92D7_B0BBD56120C0</v>
      </c>
    </row>
    <row r="144" spans="1:9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4" s="12" t="s">
        <v>149</v>
      </c>
      <c r="C144" s="13" t="s">
        <v>1483</v>
      </c>
      <c r="D144" s="36">
        <f>COUNTIF(NodesData[Node ID],NodesData[[#This Row],[Node ID]])</f>
        <v>1</v>
      </c>
      <c r="F144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H144" s="12" t="s">
        <v>718</v>
      </c>
      <c r="I144" s="19" t="str" cm="1">
        <f t="array" ref="I144">"n"&amp;SUBSTITUTE(CreateGuidString(),"-","_")</f>
        <v>n8C1F8AC2_92AF_4392_8295_876754D87B82</v>
      </c>
    </row>
    <row r="145" spans="1:9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5" s="12" t="s">
        <v>719</v>
      </c>
      <c r="C145" s="13" t="s">
        <v>1479</v>
      </c>
      <c r="D145" s="36">
        <f>COUNTIF(NodesData[Node ID],NodesData[[#This Row],[Node ID]])</f>
        <v>1</v>
      </c>
      <c r="F145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H145" s="12" t="s">
        <v>720</v>
      </c>
      <c r="I145" s="19" t="str" cm="1">
        <f t="array" ref="I145">"n"&amp;SUBSTITUTE(CreateGuidString(),"-","_")</f>
        <v>nB4CE632E_FFD3_4B24_A83D_945421B6F822</v>
      </c>
    </row>
    <row r="146" spans="1:9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6" s="12" t="s">
        <v>721</v>
      </c>
      <c r="C146" s="13" t="s">
        <v>1480</v>
      </c>
      <c r="D146" s="36">
        <f>COUNTIF(NodesData[Node ID],NodesData[[#This Row],[Node ID]])</f>
        <v>1</v>
      </c>
      <c r="F146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H146" s="12" t="s">
        <v>722</v>
      </c>
      <c r="I146" s="19" t="str" cm="1">
        <f t="array" ref="I146">"n"&amp;SUBSTITUTE(CreateGuidString(),"-","_")</f>
        <v>n16243B1B_4C2B_4CAC_AD4E_228B5D6EBB9F</v>
      </c>
    </row>
    <row r="147" spans="1:9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7" s="12" t="s">
        <v>723</v>
      </c>
      <c r="C147" s="13" t="s">
        <v>1481</v>
      </c>
      <c r="D147" s="36">
        <f>COUNTIF(NodesData[Node ID],NodesData[[#This Row],[Node ID]])</f>
        <v>1</v>
      </c>
      <c r="F147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H147" s="12" t="s">
        <v>724</v>
      </c>
      <c r="I147" s="19" t="str" cm="1">
        <f t="array" ref="I147">"n"&amp;SUBSTITUTE(CreateGuidString(),"-","_")</f>
        <v>n893540A5_04B0_4856_901D_527EF7AE2F04</v>
      </c>
    </row>
    <row r="148" spans="1:9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8" s="12" t="s">
        <v>725</v>
      </c>
      <c r="C148" s="13" t="s">
        <v>1482</v>
      </c>
      <c r="D148" s="36">
        <f>COUNTIF(NodesData[Node ID],NodesData[[#This Row],[Node ID]])</f>
        <v>1</v>
      </c>
      <c r="F148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H148" s="12" t="s">
        <v>726</v>
      </c>
      <c r="I148" s="19" t="str" cm="1">
        <f t="array" ref="I148">"n"&amp;SUBSTITUTE(CreateGuidString(),"-","_")</f>
        <v>n1B08A5A1_D4DA_4CFB_9331_3E7BE7D14754</v>
      </c>
    </row>
    <row r="149" spans="1:9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9" s="12" t="s">
        <v>727</v>
      </c>
      <c r="C149" s="13" t="s">
        <v>1504</v>
      </c>
      <c r="D149" s="36">
        <f>COUNTIF(NodesData[Node ID],NodesData[[#This Row],[Node ID]])</f>
        <v>1</v>
      </c>
      <c r="F149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H149" s="12" t="s">
        <v>728</v>
      </c>
      <c r="I149" s="19" t="str" cm="1">
        <f t="array" ref="I149">"n"&amp;SUBSTITUTE(CreateGuidString(),"-","_")</f>
        <v>n27C11684_D864_4D64_96DD_2E9C08147430</v>
      </c>
    </row>
    <row r="150" spans="1:9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50" s="12" t="s">
        <v>729</v>
      </c>
      <c r="C150" s="13" t="s">
        <v>1485</v>
      </c>
      <c r="D150" s="36">
        <f>COUNTIF(NodesData[Node ID],NodesData[[#This Row],[Node ID]])</f>
        <v>1</v>
      </c>
      <c r="E150" s="12" t="s">
        <v>1270</v>
      </c>
      <c r="F150" s="12" t="str">
        <f>IF(NodesData[[#This Row],[Class Disambiguation]]="",NodesData[[#This Row],[Common Name]],NodesData[[#This Row],[Common Name]]&amp;" ("&amp;NodesData[[#This Row],[Class Disambiguation]]&amp;")")</f>
        <v>ECS (Acronym)</v>
      </c>
      <c r="H150" s="12" t="s">
        <v>730</v>
      </c>
      <c r="I150" s="19" t="str" cm="1">
        <f t="array" ref="I150">"n"&amp;SUBSTITUTE(CreateGuidString(),"-","_")</f>
        <v>n4516626D_CED5_4270_AB03_113D3535B5F8</v>
      </c>
    </row>
    <row r="151" spans="1:9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51" s="12" t="s">
        <v>731</v>
      </c>
      <c r="C151" s="13" t="s">
        <v>1484</v>
      </c>
      <c r="D151" s="36">
        <f>COUNTIF(NodesData[Node ID],NodesData[[#This Row],[Node ID]])</f>
        <v>1</v>
      </c>
      <c r="E151" s="12" t="s">
        <v>1270</v>
      </c>
      <c r="F151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H151" s="12" t="s">
        <v>732</v>
      </c>
      <c r="I151" s="19" t="str" cm="1">
        <f t="array" ref="I151">"n"&amp;SUBSTITUTE(CreateGuidString(),"-","_")</f>
        <v>n29635670_BDE5_480A_9B01_0B59FF45352A</v>
      </c>
    </row>
    <row r="152" spans="1:9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52" s="12" t="s">
        <v>733</v>
      </c>
      <c r="C152" s="13" t="s">
        <v>1486</v>
      </c>
      <c r="D152" s="36">
        <f>COUNTIF(NodesData[Node ID],NodesData[[#This Row],[Node ID]])</f>
        <v>1</v>
      </c>
      <c r="E152" s="12" t="s">
        <v>1270</v>
      </c>
      <c r="F152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H152" s="12" t="s">
        <v>734</v>
      </c>
      <c r="I152" s="19" t="str" cm="1">
        <f t="array" ref="I152">"n"&amp;SUBSTITUTE(CreateGuidString(),"-","_")</f>
        <v>n0068C72E_CAD5_4F1E_B8E0_17A8B3D49FA4</v>
      </c>
    </row>
    <row r="153" spans="1:9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3" s="12" t="s">
        <v>1317</v>
      </c>
      <c r="C153" s="13" t="s">
        <v>1487</v>
      </c>
      <c r="D153" s="36">
        <f>COUNTIF(NodesData[Node ID],NodesData[[#This Row],[Node ID]])</f>
        <v>1</v>
      </c>
      <c r="F153" s="12" t="str">
        <f>IF(NodesData[[#This Row],[Class Disambiguation]]="",NodesData[[#This Row],[Common Name]],NodesData[[#This Row],[Common Name]]&amp;" ("&amp;NodesData[[#This Row],[Class Disambiguation]]&amp;")")</f>
        <v>Email OTP</v>
      </c>
      <c r="I153" s="19" t="str" cm="1">
        <f t="array" ref="I153">"n"&amp;SUBSTITUTE(CreateGuidString(),"-","_")</f>
        <v>n2E259453_BB1F_42E1_8165_2D79E7E16C5C</v>
      </c>
    </row>
    <row r="154" spans="1:9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4" s="12" t="s">
        <v>735</v>
      </c>
      <c r="C154" s="13" t="s">
        <v>1488</v>
      </c>
      <c r="D154" s="36">
        <f>COUNTIF(NodesData[Node ID],NodesData[[#This Row],[Node ID]])</f>
        <v>1</v>
      </c>
      <c r="F154" s="12" t="str">
        <f>IF(NodesData[[#This Row],[Class Disambiguation]]="",NodesData[[#This Row],[Common Name]],NodesData[[#This Row],[Common Name]]&amp;" ("&amp;NodesData[[#This Row],[Class Disambiguation]]&amp;")")</f>
        <v>Employee</v>
      </c>
      <c r="H154" s="12" t="s">
        <v>736</v>
      </c>
      <c r="I154" s="19" t="str" cm="1">
        <f t="array" ref="I154">"n"&amp;SUBSTITUTE(CreateGuidString(),"-","_")</f>
        <v>n154782C9_80FD_4D91_A97E_283129BD6CAD</v>
      </c>
    </row>
    <row r="155" spans="1:9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5" s="12" t="s">
        <v>737</v>
      </c>
      <c r="C155" s="13" t="s">
        <v>1489</v>
      </c>
      <c r="D155" s="36">
        <f>COUNTIF(NodesData[Node ID],NodesData[[#This Row],[Node ID]])</f>
        <v>1</v>
      </c>
      <c r="F155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H155" s="12" t="s">
        <v>738</v>
      </c>
      <c r="I155" s="19" t="str" cm="1">
        <f t="array" ref="I155">"n"&amp;SUBSTITUTE(CreateGuidString(),"-","_")</f>
        <v>n6C6B16D0_F037_4552_A500_FF98C0CA5F9D</v>
      </c>
    </row>
    <row r="156" spans="1:9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6" s="12" t="s">
        <v>739</v>
      </c>
      <c r="C156" s="13" t="s">
        <v>1490</v>
      </c>
      <c r="D156" s="36">
        <f>COUNTIF(NodesData[Node ID],NodesData[[#This Row],[Node ID]])</f>
        <v>1</v>
      </c>
      <c r="F156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H156" s="12" t="s">
        <v>740</v>
      </c>
      <c r="I156" s="19" t="str" cm="1">
        <f t="array" ref="I156">"n"&amp;SUBSTITUTE(CreateGuidString(),"-","_")</f>
        <v>n12F8B33B_AFC3_4E2D_BEBC_58B20BC6A76D</v>
      </c>
    </row>
    <row r="157" spans="1:9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7" s="12" t="s">
        <v>741</v>
      </c>
      <c r="C157" s="13" t="s">
        <v>1491</v>
      </c>
      <c r="D157" s="36">
        <f>COUNTIF(NodesData[Node ID],NodesData[[#This Row],[Node ID]])</f>
        <v>1</v>
      </c>
      <c r="F157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H157" s="12" t="s">
        <v>742</v>
      </c>
      <c r="I157" s="19" t="str" cm="1">
        <f t="array" ref="I157">"n"&amp;SUBSTITUTE(CreateGuidString(),"-","_")</f>
        <v>n26A00B14_D03D_4DC0_8EC7_F46ACD0285A7</v>
      </c>
    </row>
    <row r="158" spans="1:9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8" s="12" t="s">
        <v>743</v>
      </c>
      <c r="C158" s="13" t="s">
        <v>1492</v>
      </c>
      <c r="D158" s="36">
        <f>COUNTIF(NodesData[Node ID],NodesData[[#This Row],[Node ID]])</f>
        <v>1</v>
      </c>
      <c r="F158" s="12" t="str">
        <f>IF(NodesData[[#This Row],[Class Disambiguation]]="",NodesData[[#This Row],[Common Name]],NodesData[[#This Row],[Common Name]]&amp;" ("&amp;NodesData[[#This Row],[Class Disambiguation]]&amp;")")</f>
        <v>Entitlement</v>
      </c>
      <c r="H158" s="12" t="s">
        <v>744</v>
      </c>
      <c r="I158" s="19" t="str" cm="1">
        <f t="array" ref="I158">"n"&amp;SUBSTITUTE(CreateGuidString(),"-","_")</f>
        <v>n81CCA3AD_3661_4FF8_939D_3C47253F56A0</v>
      </c>
    </row>
    <row r="159" spans="1:9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9" s="12" t="s">
        <v>745</v>
      </c>
      <c r="C159" s="13" t="s">
        <v>1494</v>
      </c>
      <c r="D159" s="36">
        <f>COUNTIF(NodesData[Node ID],NodesData[[#This Row],[Node ID]])</f>
        <v>1</v>
      </c>
      <c r="F159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H159" s="12" t="s">
        <v>746</v>
      </c>
      <c r="I159" s="19" t="str" cm="1">
        <f t="array" ref="I159">"n"&amp;SUBSTITUTE(CreateGuidString(),"-","_")</f>
        <v>n9FA098E9_E0C8_404C_BFF7_FA8212F82E31</v>
      </c>
    </row>
    <row r="160" spans="1:9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60" s="12" t="s">
        <v>747</v>
      </c>
      <c r="C160" s="13" t="s">
        <v>1495</v>
      </c>
      <c r="D160" s="36">
        <f>COUNTIF(NodesData[Node ID],NodesData[[#This Row],[Node ID]])</f>
        <v>1</v>
      </c>
      <c r="F160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H160" s="12" t="s">
        <v>748</v>
      </c>
      <c r="I160" s="19" t="str" cm="1">
        <f t="array" ref="I160">"n"&amp;SUBSTITUTE(CreateGuidString(),"-","_")</f>
        <v>nCB669D6E_85D4_4887_9601_1F8BE60B2658</v>
      </c>
    </row>
    <row r="161" spans="1:9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61" s="12" t="s">
        <v>749</v>
      </c>
      <c r="C161" s="13" t="s">
        <v>1496</v>
      </c>
      <c r="D161" s="36">
        <f>COUNTIF(NodesData[Node ID],NodesData[[#This Row],[Node ID]])</f>
        <v>1</v>
      </c>
      <c r="F161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H161" s="12" t="s">
        <v>750</v>
      </c>
      <c r="I161" s="19" t="str" cm="1">
        <f t="array" ref="I161">"n"&amp;SUBSTITUTE(CreateGuidString(),"-","_")</f>
        <v>nEC080124_A29C_44AC_99A5_38887862C370</v>
      </c>
    </row>
    <row r="162" spans="1:9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62" s="12" t="s">
        <v>751</v>
      </c>
      <c r="C162" s="13" t="s">
        <v>1493</v>
      </c>
      <c r="D162" s="36">
        <f>COUNTIF(NodesData[Node ID],NodesData[[#This Row],[Node ID]])</f>
        <v>1</v>
      </c>
      <c r="F162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H162" s="12" t="s">
        <v>752</v>
      </c>
      <c r="I162" s="19" t="str" cm="1">
        <f t="array" ref="I162">"n"&amp;SUBSTITUTE(CreateGuidString(),"-","_")</f>
        <v>nF26CD26E_29B9_4BFC_BED3_E97492644E71</v>
      </c>
    </row>
    <row r="163" spans="1:9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63" s="12" t="s">
        <v>753</v>
      </c>
      <c r="C163" s="13" t="s">
        <v>1497</v>
      </c>
      <c r="D163" s="36">
        <f>COUNTIF(NodesData[Node ID],NodesData[[#This Row],[Node ID]])</f>
        <v>1</v>
      </c>
      <c r="F163" s="12" t="str">
        <f>IF(NodesData[[#This Row],[Class Disambiguation]]="",NodesData[[#This Row],[Common Name]],NodesData[[#This Row],[Common Name]]&amp;" ("&amp;NodesData[[#This Row],[Class Disambiguation]]&amp;")")</f>
        <v>Entity</v>
      </c>
      <c r="H163" s="12" t="s">
        <v>754</v>
      </c>
      <c r="I163" s="19" t="str" cm="1">
        <f t="array" ref="I163">"n"&amp;SUBSTITUTE(CreateGuidString(),"-","_")</f>
        <v>nC2BF93E6_E678_4F4B_8EF9_C6490FEC86E0</v>
      </c>
    </row>
    <row r="164" spans="1:9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4" s="12" t="s">
        <v>755</v>
      </c>
      <c r="C164" s="13" t="s">
        <v>1498</v>
      </c>
      <c r="D164" s="36">
        <f>COUNTIF(NodesData[Node ID],NodesData[[#This Row],[Node ID]])</f>
        <v>1</v>
      </c>
      <c r="E164" s="12" t="s">
        <v>1270</v>
      </c>
      <c r="F164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H164" s="12" t="s">
        <v>756</v>
      </c>
      <c r="I164" s="19" t="str" cm="1">
        <f t="array" ref="I164">"n"&amp;SUBSTITUTE(CreateGuidString(),"-","_")</f>
        <v>n93BA30DE_3780_416A_A64C_0BBE5DF7A831</v>
      </c>
    </row>
    <row r="165" spans="1:9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5" s="12" t="s">
        <v>757</v>
      </c>
      <c r="C165" s="13" t="s">
        <v>1499</v>
      </c>
      <c r="D165" s="36">
        <f>COUNTIF(NodesData[Node ID],NodesData[[#This Row],[Node ID]])</f>
        <v>1</v>
      </c>
      <c r="F165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H165" s="12" t="s">
        <v>758</v>
      </c>
      <c r="I165" s="19" t="str" cm="1">
        <f t="array" ref="I165">"n"&amp;SUBSTITUTE(CreateGuidString(),"-","_")</f>
        <v>nA7D42779_C28C_4A7A_BC94_D95856404688</v>
      </c>
    </row>
    <row r="166" spans="1:9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6" s="12" t="s">
        <v>759</v>
      </c>
      <c r="C166" s="13" t="s">
        <v>1500</v>
      </c>
      <c r="D166" s="36">
        <f>COUNTIF(NodesData[Node ID],NodesData[[#This Row],[Node ID]])</f>
        <v>1</v>
      </c>
      <c r="F166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H166" s="12" t="s">
        <v>760</v>
      </c>
      <c r="I166" s="19" t="str" cm="1">
        <f t="array" ref="I166">"n"&amp;SUBSTITUTE(CreateGuidString(),"-","_")</f>
        <v>n3D7A9B5D_2B25_4BB0_9E4B_5F3046F9C37D</v>
      </c>
    </row>
    <row r="167" spans="1:9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7" s="12" t="s">
        <v>761</v>
      </c>
      <c r="C167" s="13" t="s">
        <v>1501</v>
      </c>
      <c r="D167" s="36">
        <f>COUNTIF(NodesData[Node ID],NodesData[[#This Row],[Node ID]])</f>
        <v>1</v>
      </c>
      <c r="F167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H167" s="12" t="s">
        <v>762</v>
      </c>
      <c r="I167" s="19" t="str" cm="1">
        <f t="array" ref="I167">"n"&amp;SUBSTITUTE(CreateGuidString(),"-","_")</f>
        <v>n010D773F_FDA7_4860_AD64_E66E65D4CB62</v>
      </c>
    </row>
    <row r="168" spans="1:9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8" s="12" t="s">
        <v>763</v>
      </c>
      <c r="C168" s="13" t="s">
        <v>1502</v>
      </c>
      <c r="D168" s="36">
        <f>COUNTIF(NodesData[Node ID],NodesData[[#This Row],[Node ID]])</f>
        <v>1</v>
      </c>
      <c r="F168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H168" s="12" t="s">
        <v>764</v>
      </c>
      <c r="I168" s="19" t="str" cm="1">
        <f t="array" ref="I168">"n"&amp;SUBSTITUTE(CreateGuidString(),"-","_")</f>
        <v>n1DF180A3_7848_4B22_9AE6_2BE7039E6F35</v>
      </c>
    </row>
    <row r="169" spans="1:9" x14ac:dyDescent="0.35">
      <c r="A1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9" s="12" t="s">
        <v>765</v>
      </c>
      <c r="C169" s="13" t="s">
        <v>1503</v>
      </c>
      <c r="D169" s="36">
        <f>COUNTIF(NodesData[Node ID],NodesData[[#This Row],[Node ID]])</f>
        <v>1</v>
      </c>
      <c r="F169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H169" s="12" t="s">
        <v>766</v>
      </c>
      <c r="I169" s="19" t="str" cm="1">
        <f t="array" ref="I169">"n"&amp;SUBSTITUTE(CreateGuidString(),"-","_")</f>
        <v>nD061D3A5_5406_42CA_B589_B82F5DFDFB42</v>
      </c>
    </row>
    <row r="170" spans="1:9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70" s="12" t="s">
        <v>1842</v>
      </c>
      <c r="C170" s="13" t="s">
        <v>1846</v>
      </c>
      <c r="D170" s="36">
        <f>COUNTIF(NodesData[Node ID],NodesData[[#This Row],[Node ID]])</f>
        <v>1</v>
      </c>
      <c r="F170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G170" s="18"/>
      <c r="I170" s="20" t="str" cm="1">
        <f t="array" ref="I170">"n"&amp;SUBSTITUTE(CreateGuidString(),"-","_")</f>
        <v>n540FA70C_65FB_4A27_A489_F281D7F073BA</v>
      </c>
    </row>
    <row r="171" spans="1:9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71" s="12" t="s">
        <v>1304</v>
      </c>
      <c r="C171" s="13" t="s">
        <v>1513</v>
      </c>
      <c r="D171" s="36">
        <f>COUNTIF(NodesData[Node ID],NodesData[[#This Row],[Node ID]])</f>
        <v>1</v>
      </c>
      <c r="F171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I171" s="19" t="str" cm="1">
        <f t="array" ref="I171">"n"&amp;SUBSTITUTE(CreateGuidString(),"-","_")</f>
        <v>n42F9FB60_45AF_4B6A_89C5_85BBC365FDAC</v>
      </c>
    </row>
    <row r="172" spans="1:9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72" s="12" t="s">
        <v>178</v>
      </c>
      <c r="C172" s="13" t="s">
        <v>1505</v>
      </c>
      <c r="D172" s="36">
        <f>COUNTIF(NodesData[Node ID],NodesData[[#This Row],[Node ID]])</f>
        <v>1</v>
      </c>
      <c r="F172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H172" s="12" t="s">
        <v>767</v>
      </c>
      <c r="I172" s="19" t="str" cm="1">
        <f t="array" ref="I172">"n"&amp;SUBSTITUTE(CreateGuidString(),"-","_")</f>
        <v>nC6FE61DB_740C_4687_84FC_8816B926232D</v>
      </c>
    </row>
    <row r="173" spans="1:9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3" s="12" t="s">
        <v>179</v>
      </c>
      <c r="C173" s="13" t="s">
        <v>1506</v>
      </c>
      <c r="D173" s="36">
        <f>COUNTIF(NodesData[Node ID],NodesData[[#This Row],[Node ID]])</f>
        <v>1</v>
      </c>
      <c r="E173" s="12" t="s">
        <v>1270</v>
      </c>
      <c r="F173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H173" s="12" t="s">
        <v>768</v>
      </c>
      <c r="I173" s="19" t="str" cm="1">
        <f t="array" ref="I173">"n"&amp;SUBSTITUTE(CreateGuidString(),"-","_")</f>
        <v>n9E700681_7C96_41C7_BF64_752FCECCEE56</v>
      </c>
    </row>
    <row r="174" spans="1:9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4" s="12" t="s">
        <v>769</v>
      </c>
      <c r="C174" s="13" t="s">
        <v>1507</v>
      </c>
      <c r="D174" s="36">
        <f>COUNTIF(NodesData[Node ID],NodesData[[#This Row],[Node ID]])</f>
        <v>1</v>
      </c>
      <c r="F174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H174" s="12" t="s">
        <v>770</v>
      </c>
      <c r="I174" s="19" t="str" cm="1">
        <f t="array" ref="I174">"n"&amp;SUBSTITUTE(CreateGuidString(),"-","_")</f>
        <v>n8D24DA23_5A85_4613_89F2_7400AE141178</v>
      </c>
    </row>
    <row r="175" spans="1:9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5" s="12" t="s">
        <v>771</v>
      </c>
      <c r="C175" s="13" t="s">
        <v>1508</v>
      </c>
      <c r="D175" s="36">
        <f>COUNTIF(NodesData[Node ID],NodesData[[#This Row],[Node ID]])</f>
        <v>1</v>
      </c>
      <c r="F175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H175" s="12" t="s">
        <v>772</v>
      </c>
      <c r="I175" s="19" t="str" cm="1">
        <f t="array" ref="I175">"n"&amp;SUBSTITUTE(CreateGuidString(),"-","_")</f>
        <v>nDD1D7700_E1B4_47D2_AD1F_3AFDD1A65145</v>
      </c>
    </row>
    <row r="176" spans="1:9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6" s="12" t="s">
        <v>773</v>
      </c>
      <c r="C176" s="13" t="s">
        <v>1509</v>
      </c>
      <c r="D176" s="36">
        <f>COUNTIF(NodesData[Node ID],NodesData[[#This Row],[Node ID]])</f>
        <v>1</v>
      </c>
      <c r="F176" s="12" t="str">
        <f>IF(NodesData[[#This Row],[Class Disambiguation]]="",NodesData[[#This Row],[Common Name]],NodesData[[#This Row],[Common Name]]&amp;" ("&amp;NodesData[[#This Row],[Class Disambiguation]]&amp;")")</f>
        <v>Federated SSO</v>
      </c>
      <c r="H176" s="12" t="s">
        <v>774</v>
      </c>
      <c r="I176" s="19" t="str" cm="1">
        <f t="array" ref="I176">"n"&amp;SUBSTITUTE(CreateGuidString(),"-","_")</f>
        <v>n0838251B_5F11_4069_89A3_D4166E35BBA7</v>
      </c>
    </row>
    <row r="177" spans="1:9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7" s="12" t="s">
        <v>775</v>
      </c>
      <c r="C177" s="13" t="s">
        <v>1510</v>
      </c>
      <c r="D177" s="36">
        <f>COUNTIF(NodesData[Node ID],NodesData[[#This Row],[Node ID]])</f>
        <v>1</v>
      </c>
      <c r="F177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H177" s="12" t="s">
        <v>776</v>
      </c>
      <c r="I177" s="19" t="str" cm="1">
        <f t="array" ref="I177">"n"&amp;SUBSTITUTE(CreateGuidString(),"-","_")</f>
        <v>n9B9CB43A_6E5D_4302_AFF0_7A0EF31281AB</v>
      </c>
    </row>
    <row r="178" spans="1:9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8" s="12" t="s">
        <v>777</v>
      </c>
      <c r="C178" s="13" t="s">
        <v>1511</v>
      </c>
      <c r="D178" s="36">
        <f>COUNTIF(NodesData[Node ID],NodesData[[#This Row],[Node ID]])</f>
        <v>1</v>
      </c>
      <c r="E178" s="12" t="s">
        <v>1270</v>
      </c>
      <c r="F178" s="12" t="str">
        <f>IF(NodesData[[#This Row],[Class Disambiguation]]="",NodesData[[#This Row],[Common Name]],NodesData[[#This Row],[Common Name]]&amp;" ("&amp;NodesData[[#This Row],[Class Disambiguation]]&amp;")")</f>
        <v>FIM (Acronym)</v>
      </c>
      <c r="H178" s="12" t="s">
        <v>778</v>
      </c>
      <c r="I178" s="19" t="str" cm="1">
        <f t="array" ref="I178">"n"&amp;SUBSTITUTE(CreateGuidString(),"-","_")</f>
        <v>nBA4C576D_3E6E_4E92_B5A7_330567A82920</v>
      </c>
    </row>
    <row r="179" spans="1:9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9" s="32" t="s">
        <v>1873</v>
      </c>
      <c r="C179" s="13" t="s">
        <v>1882</v>
      </c>
      <c r="D179" s="36">
        <f>COUNTIF(NodesData[Node ID],NodesData[[#This Row],[Node ID]])</f>
        <v>1</v>
      </c>
      <c r="F179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G179" s="18"/>
      <c r="I179" s="20" t="str" cm="1">
        <f t="array" ref="I179">"n"&amp;SUBSTITUTE(CreateGuidString(),"-","_")</f>
        <v>nC0B72798_FA51_4E29_A928_328B59C95C00</v>
      </c>
    </row>
    <row r="180" spans="1:9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80" s="12" t="s">
        <v>185</v>
      </c>
      <c r="C180" s="13" t="s">
        <v>1512</v>
      </c>
      <c r="D180" s="36">
        <f>COUNTIF(NodesData[Node ID],NodesData[[#This Row],[Node ID]])</f>
        <v>1</v>
      </c>
      <c r="F180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H180" s="12" t="s">
        <v>779</v>
      </c>
      <c r="I180" s="19" t="str" cm="1">
        <f t="array" ref="I180">"n"&amp;SUBSTITUTE(CreateGuidString(),"-","_")</f>
        <v>nFEB20AA8_97B8_4370_870C_E916ABAAC839</v>
      </c>
    </row>
    <row r="181" spans="1:9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81" s="12" t="s">
        <v>1306</v>
      </c>
      <c r="C181" s="13" t="s">
        <v>1520</v>
      </c>
      <c r="D181" s="36">
        <f>COUNTIF(NodesData[Node ID],NodesData[[#This Row],[Node ID]])</f>
        <v>1</v>
      </c>
      <c r="F181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I181" s="19" t="str" cm="1">
        <f t="array" ref="I181">"n"&amp;SUBSTITUTE(CreateGuidString(),"-","_")</f>
        <v>n4E33E4B1_24FD_4B93_B253_6FB53EABB949</v>
      </c>
    </row>
    <row r="182" spans="1:9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82" s="12" t="s">
        <v>186</v>
      </c>
      <c r="C182" s="13" t="s">
        <v>1514</v>
      </c>
      <c r="D182" s="36">
        <f>COUNTIF(NodesData[Node ID],NodesData[[#This Row],[Node ID]])</f>
        <v>1</v>
      </c>
      <c r="E182" s="12" t="s">
        <v>1270</v>
      </c>
      <c r="F182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H182" s="12" t="s">
        <v>780</v>
      </c>
      <c r="I182" s="19" t="str" cm="1">
        <f t="array" ref="I182">"n"&amp;SUBSTITUTE(CreateGuidString(),"-","_")</f>
        <v>n2842C3CC_B446_44F3_9966_A57915C57DE5</v>
      </c>
    </row>
    <row r="183" spans="1:9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3" s="12" t="s">
        <v>781</v>
      </c>
      <c r="C183" s="13" t="s">
        <v>1515</v>
      </c>
      <c r="D183" s="36">
        <f>COUNTIF(NodesData[Node ID],NodesData[[#This Row],[Node ID]])</f>
        <v>1</v>
      </c>
      <c r="F183" s="12" t="str">
        <f>IF(NodesData[[#This Row],[Class Disambiguation]]="",NodesData[[#This Row],[Common Name]],NodesData[[#This Row],[Common Name]]&amp;" ("&amp;NodesData[[#This Row],[Class Disambiguation]]&amp;")")</f>
        <v>Flexibility</v>
      </c>
      <c r="H183" s="12" t="s">
        <v>782</v>
      </c>
      <c r="I183" s="19" t="str" cm="1">
        <f t="array" ref="I183">"n"&amp;SUBSTITUTE(CreateGuidString(),"-","_")</f>
        <v>n0140EA9A_9D12_4D32_9CE8_0318E23DAA98</v>
      </c>
    </row>
    <row r="184" spans="1:9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4" s="12" t="s">
        <v>783</v>
      </c>
      <c r="C184" s="13" t="s">
        <v>1516</v>
      </c>
      <c r="D184" s="36">
        <f>COUNTIF(NodesData[Node ID],NodesData[[#This Row],[Node ID]])</f>
        <v>1</v>
      </c>
      <c r="F184" s="12" t="str">
        <f>IF(NodesData[[#This Row],[Class Disambiguation]]="",NodesData[[#This Row],[Common Name]],NodesData[[#This Row],[Common Name]]&amp;" ("&amp;NodesData[[#This Row],[Class Disambiguation]]&amp;")")</f>
        <v>Flow Analysis</v>
      </c>
      <c r="H184" s="12" t="s">
        <v>784</v>
      </c>
      <c r="I184" s="19" t="str" cm="1">
        <f t="array" ref="I184">"n"&amp;SUBSTITUTE(CreateGuidString(),"-","_")</f>
        <v>nB67A77C9_0CD8_4ED7_8BD4_898D24236ADC</v>
      </c>
    </row>
    <row r="185" spans="1:9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5" s="12" t="s">
        <v>785</v>
      </c>
      <c r="C185" s="13" t="s">
        <v>1517</v>
      </c>
      <c r="D185" s="36">
        <f>COUNTIF(NodesData[Node ID],NodesData[[#This Row],[Node ID]])</f>
        <v>1</v>
      </c>
      <c r="F185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H185" s="12" t="s">
        <v>786</v>
      </c>
      <c r="I185" s="19" t="str" cm="1">
        <f t="array" ref="I185">"n"&amp;SUBSTITUTE(CreateGuidString(),"-","_")</f>
        <v>n64E86BB6_73C7_4F5B_A044_1D0871BBE836</v>
      </c>
    </row>
    <row r="186" spans="1:9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6" s="12" t="s">
        <v>787</v>
      </c>
      <c r="C186" s="13" t="s">
        <v>1518</v>
      </c>
      <c r="D186" s="36">
        <f>COUNTIF(NodesData[Node ID],NodesData[[#This Row],[Node ID]])</f>
        <v>1</v>
      </c>
      <c r="F186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H186" s="12" t="s">
        <v>788</v>
      </c>
      <c r="I186" s="19" t="str" cm="1">
        <f t="array" ref="I186">"n"&amp;SUBSTITUTE(CreateGuidString(),"-","_")</f>
        <v>n31FD12A8_3699_4972_9E4E_7122BDAF4930</v>
      </c>
    </row>
    <row r="187" spans="1:9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7" s="12" t="s">
        <v>192</v>
      </c>
      <c r="C187" s="13" t="s">
        <v>1519</v>
      </c>
      <c r="D187" s="36">
        <f>COUNTIF(NodesData[Node ID],NodesData[[#This Row],[Node ID]])</f>
        <v>1</v>
      </c>
      <c r="F187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H187" s="12" t="s">
        <v>789</v>
      </c>
      <c r="I187" s="19" t="str" cm="1">
        <f t="array" ref="I187">"n"&amp;SUBSTITUTE(CreateGuidString(),"-","_")</f>
        <v>n925C11EB_F669_45D4_B841_40A45B70ACFD</v>
      </c>
    </row>
    <row r="188" spans="1:9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8" s="12" t="s">
        <v>1300</v>
      </c>
      <c r="C188" s="13" t="s">
        <v>1523</v>
      </c>
      <c r="D188" s="36">
        <f>COUNTIF(NodesData[Node ID],NodesData[[#This Row],[Node ID]])</f>
        <v>1</v>
      </c>
      <c r="F188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I188" s="19" t="str" cm="1">
        <f t="array" ref="I188">"n"&amp;SUBSTITUTE(CreateGuidString(),"-","_")</f>
        <v>nED25FBC4_98FF_4965_BED2_622ADB0EB5E0</v>
      </c>
    </row>
    <row r="189" spans="1:9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9" s="12" t="s">
        <v>790</v>
      </c>
      <c r="C189" s="13" t="s">
        <v>1521</v>
      </c>
      <c r="D189" s="36">
        <f>COUNTIF(NodesData[Node ID],NodesData[[#This Row],[Node ID]])</f>
        <v>1</v>
      </c>
      <c r="F189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H189" s="12" t="s">
        <v>791</v>
      </c>
      <c r="I189" s="19" t="str" cm="1">
        <f t="array" ref="I189">"n"&amp;SUBSTITUTE(CreateGuidString(),"-","_")</f>
        <v>n4616F9EA_349C_48C0_BF88_C373CFC0BFF0</v>
      </c>
    </row>
    <row r="190" spans="1:9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90" s="12" t="s">
        <v>792</v>
      </c>
      <c r="C190" s="13" t="s">
        <v>1522</v>
      </c>
      <c r="D190" s="36">
        <f>COUNTIF(NodesData[Node ID],NodesData[[#This Row],[Node ID]])</f>
        <v>1</v>
      </c>
      <c r="F190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H190" s="12" t="s">
        <v>793</v>
      </c>
      <c r="I190" s="19" t="str" cm="1">
        <f t="array" ref="I190">"n"&amp;SUBSTITUTE(CreateGuidString(),"-","_")</f>
        <v>n3DEE8288_3BE6_445A_9039_37D2FB36BC9C</v>
      </c>
    </row>
    <row r="191" spans="1:9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91" s="12" t="s">
        <v>1307</v>
      </c>
      <c r="C191" s="13" t="s">
        <v>1524</v>
      </c>
      <c r="D191" s="36">
        <f>COUNTIF(NodesData[Node ID],NodesData[[#This Row],[Node ID]])</f>
        <v>1</v>
      </c>
      <c r="F191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I191" s="19" t="str" cm="1">
        <f t="array" ref="I191">"n"&amp;SUBSTITUTE(CreateGuidString(),"-","_")</f>
        <v>nC579048B_9776_4F85_978C_7810393033F0</v>
      </c>
    </row>
    <row r="192" spans="1:9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92" s="12" t="s">
        <v>1305</v>
      </c>
      <c r="C192" s="13" t="s">
        <v>1525</v>
      </c>
      <c r="D192" s="36">
        <f>COUNTIF(NodesData[Node ID],NodesData[[#This Row],[Node ID]])</f>
        <v>1</v>
      </c>
      <c r="F192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I192" s="19" t="str" cm="1">
        <f t="array" ref="I192">"n"&amp;SUBSTITUTE(CreateGuidString(),"-","_")</f>
        <v>nCBEC82EE_EB13_4400_A6B0_D7BB77CCFF1D</v>
      </c>
    </row>
    <row r="193" spans="1:9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3" s="12" t="s">
        <v>1325</v>
      </c>
      <c r="C193" s="13" t="s">
        <v>1527</v>
      </c>
      <c r="D193" s="36">
        <f>COUNTIF(NodesData[Node ID],NodesData[[#This Row],[Node ID]])</f>
        <v>1</v>
      </c>
      <c r="F193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I193" s="19" t="str" cm="1">
        <f t="array" ref="I193">"n"&amp;SUBSTITUTE(CreateGuidString(),"-","_")</f>
        <v>nBCE617B8_7039_486B_96A7_C74A2EAE9C60</v>
      </c>
    </row>
    <row r="194" spans="1:9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4" s="12" t="s">
        <v>794</v>
      </c>
      <c r="C194" s="13" t="s">
        <v>1526</v>
      </c>
      <c r="D194" s="36">
        <f>COUNTIF(NodesData[Node ID],NodesData[[#This Row],[Node ID]])</f>
        <v>1</v>
      </c>
      <c r="F194" s="12" t="str">
        <f>IF(NodesData[[#This Row],[Class Disambiguation]]="",NodesData[[#This Row],[Common Name]],NodesData[[#This Row],[Common Name]]&amp;" ("&amp;NodesData[[#This Row],[Class Disambiguation]]&amp;")")</f>
        <v>Guest Account</v>
      </c>
      <c r="H194" s="12" t="s">
        <v>795</v>
      </c>
      <c r="I194" s="19" t="str" cm="1">
        <f t="array" ref="I194">"n"&amp;SUBSTITUTE(CreateGuidString(),"-","_")</f>
        <v>n53F69D2B_16A0_4D5E_BDC7_C8B0B20A0513</v>
      </c>
    </row>
    <row r="195" spans="1:9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5" s="12" t="s">
        <v>1308</v>
      </c>
      <c r="C195" s="13" t="s">
        <v>1528</v>
      </c>
      <c r="D195" s="36">
        <f>COUNTIF(NodesData[Node ID],NodesData[[#This Row],[Node ID]])</f>
        <v>1</v>
      </c>
      <c r="F195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I195" s="19" t="str" cm="1">
        <f t="array" ref="I195">"n"&amp;SUBSTITUTE(CreateGuidString(),"-","_")</f>
        <v>nAC0ACB88_418E_413D_8EEC_0F7B07205882</v>
      </c>
    </row>
    <row r="196" spans="1:9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6" s="12" t="s">
        <v>1309</v>
      </c>
      <c r="C196" s="13" t="s">
        <v>1566</v>
      </c>
      <c r="D196" s="36">
        <f>COUNTIF(NodesData[Node ID],NodesData[[#This Row],[Node ID]])</f>
        <v>1</v>
      </c>
      <c r="F196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I196" s="19" t="str" cm="1">
        <f t="array" ref="I196">"n"&amp;SUBSTITUTE(CreateGuidString(),"-","_")</f>
        <v>nB1FB8737_2232_4852_AE50_4F58A065E02F</v>
      </c>
    </row>
    <row r="197" spans="1:9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7" s="12" t="s">
        <v>796</v>
      </c>
      <c r="C197" s="13" t="s">
        <v>1529</v>
      </c>
      <c r="D197" s="36">
        <f>COUNTIF(NodesData[Node ID],NodesData[[#This Row],[Node ID]])</f>
        <v>1</v>
      </c>
      <c r="F197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H197" s="12" t="s">
        <v>797</v>
      </c>
      <c r="I197" s="19" t="str" cm="1">
        <f t="array" ref="I197">"n"&amp;SUBSTITUTE(CreateGuidString(),"-","_")</f>
        <v>n075A402A_604C_4202_BA90_71AD6903EBE6</v>
      </c>
    </row>
    <row r="198" spans="1:9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8" s="12" t="s">
        <v>798</v>
      </c>
      <c r="C198" s="13" t="s">
        <v>1530</v>
      </c>
      <c r="D198" s="36">
        <f>COUNTIF(NodesData[Node ID],NodesData[[#This Row],[Node ID]])</f>
        <v>1</v>
      </c>
      <c r="F198" s="12" t="str">
        <f>IF(NodesData[[#This Row],[Class Disambiguation]]="",NodesData[[#This Row],[Common Name]],NodesData[[#This Row],[Common Name]]&amp;" ("&amp;NodesData[[#This Row],[Class Disambiguation]]&amp;")")</f>
        <v>Human Error</v>
      </c>
      <c r="H198" s="12" t="s">
        <v>799</v>
      </c>
      <c r="I198" s="19" t="str" cm="1">
        <f t="array" ref="I198">"n"&amp;SUBSTITUTE(CreateGuidString(),"-","_")</f>
        <v>n7A8C9737_1279_4E61_9CDF_6F01C42024E6</v>
      </c>
    </row>
    <row r="199" spans="1:9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9" s="12" t="s">
        <v>800</v>
      </c>
      <c r="C199" s="13" t="s">
        <v>1531</v>
      </c>
      <c r="D199" s="36">
        <f>COUNTIF(NodesData[Node ID],NodesData[[#This Row],[Node ID]])</f>
        <v>1</v>
      </c>
      <c r="F199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H199" s="12" t="s">
        <v>801</v>
      </c>
      <c r="I199" s="19" t="str" cm="1">
        <f t="array" ref="I199">"n"&amp;SUBSTITUTE(CreateGuidString(),"-","_")</f>
        <v>n2DDD98A3_04DE_49D5_A0E0_79B705728B6E</v>
      </c>
    </row>
    <row r="200" spans="1:9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200" s="12" t="s">
        <v>201</v>
      </c>
      <c r="C200" s="13" t="s">
        <v>1532</v>
      </c>
      <c r="D200" s="36">
        <f>COUNTIF(NodesData[Node ID],NodesData[[#This Row],[Node ID]])</f>
        <v>1</v>
      </c>
      <c r="E200" s="12" t="s">
        <v>1270</v>
      </c>
      <c r="F200" s="12" t="str">
        <f>IF(NodesData[[#This Row],[Class Disambiguation]]="",NodesData[[#This Row],[Common Name]],NodesData[[#This Row],[Common Name]]&amp;" ("&amp;NodesData[[#This Row],[Class Disambiguation]]&amp;")")</f>
        <v>IAG (Acronym)</v>
      </c>
      <c r="H200" s="12" t="s">
        <v>802</v>
      </c>
      <c r="I200" s="19" t="str" cm="1">
        <f t="array" ref="I200">"n"&amp;SUBSTITUTE(CreateGuidString(),"-","_")</f>
        <v>nF23658F5_E10D_4751_88AD_2568F89DA5EA</v>
      </c>
    </row>
    <row r="201" spans="1:9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1" s="12" t="s">
        <v>202</v>
      </c>
      <c r="C201" s="13" t="s">
        <v>1533</v>
      </c>
      <c r="D201" s="36">
        <f>COUNTIF(NodesData[Node ID],NodesData[[#This Row],[Node ID]])</f>
        <v>1</v>
      </c>
      <c r="E201" s="12" t="s">
        <v>1270</v>
      </c>
      <c r="F201" s="12" t="str">
        <f>IF(NodesData[[#This Row],[Class Disambiguation]]="",NodesData[[#This Row],[Common Name]],NodesData[[#This Row],[Common Name]]&amp;" ("&amp;NodesData[[#This Row],[Class Disambiguation]]&amp;")")</f>
        <v>IAM (Acronym)</v>
      </c>
      <c r="H201" s="12" t="s">
        <v>803</v>
      </c>
      <c r="I201" s="19" t="str" cm="1">
        <f t="array" ref="I201">"n"&amp;SUBSTITUTE(CreateGuidString(),"-","_")</f>
        <v>n1813C37B_E1C8_44CF_A6DE_EF83B1F12CF7</v>
      </c>
    </row>
    <row r="202" spans="1:9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202" s="12" t="s">
        <v>804</v>
      </c>
      <c r="C202" s="13" t="s">
        <v>1534</v>
      </c>
      <c r="D202" s="36">
        <f>COUNTIF(NodesData[Node ID],NodesData[[#This Row],[Node ID]])</f>
        <v>1</v>
      </c>
      <c r="E202" s="12" t="s">
        <v>1270</v>
      </c>
      <c r="F202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H202" s="12" t="s">
        <v>805</v>
      </c>
      <c r="I202" s="19" t="str" cm="1">
        <f t="array" ref="I202">"n"&amp;SUBSTITUTE(CreateGuidString(),"-","_")</f>
        <v>nB0B5AF0E_A393_4F8B_9330_CDC7F70BD8FD</v>
      </c>
    </row>
    <row r="203" spans="1:9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3" s="12" t="s">
        <v>806</v>
      </c>
      <c r="C203" s="13" t="s">
        <v>1535</v>
      </c>
      <c r="D203" s="36">
        <f>COUNTIF(NodesData[Node ID],NodesData[[#This Row],[Node ID]])</f>
        <v>1</v>
      </c>
      <c r="F203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H203" s="12" t="s">
        <v>807</v>
      </c>
      <c r="I203" s="19" t="str" cm="1">
        <f t="array" ref="I203">"n"&amp;SUBSTITUTE(CreateGuidString(),"-","_")</f>
        <v>nFAA31185_32F1_462A_9D63_1D37D8B56B8B</v>
      </c>
    </row>
    <row r="204" spans="1:9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4" s="12" t="s">
        <v>808</v>
      </c>
      <c r="C204" s="13" t="s">
        <v>1536</v>
      </c>
      <c r="D204" s="36">
        <f>COUNTIF(NodesData[Node ID],NodesData[[#This Row],[Node ID]])</f>
        <v>1</v>
      </c>
      <c r="E204" s="12" t="s">
        <v>1270</v>
      </c>
      <c r="F204" s="12" t="str">
        <f>IF(NodesData[[#This Row],[Class Disambiguation]]="",NodesData[[#This Row],[Common Name]],NodesData[[#This Row],[Common Name]]&amp;" ("&amp;NodesData[[#This Row],[Class Disambiguation]]&amp;")")</f>
        <v>IAP (Acronym)</v>
      </c>
      <c r="H204" s="12" t="s">
        <v>809</v>
      </c>
      <c r="I204" s="19" t="str" cm="1">
        <f t="array" ref="I204">"n"&amp;SUBSTITUTE(CreateGuidString(),"-","_")</f>
        <v>nCAF25F8D_1AD4_4987_B0B0_D7B640881452</v>
      </c>
    </row>
    <row r="205" spans="1:9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5" s="12" t="s">
        <v>810</v>
      </c>
      <c r="C205" s="13" t="s">
        <v>1537</v>
      </c>
      <c r="D205" s="36">
        <f>COUNTIF(NodesData[Node ID],NodesData[[#This Row],[Node ID]])</f>
        <v>1</v>
      </c>
      <c r="E205" s="12" t="s">
        <v>1270</v>
      </c>
      <c r="F205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H205" s="12" t="s">
        <v>811</v>
      </c>
      <c r="I205" s="19" t="str" cm="1">
        <f t="array" ref="I205">"n"&amp;SUBSTITUTE(CreateGuidString(),"-","_")</f>
        <v>nAC07243F_AB43_4EC4_A569_17444BBD1B9F</v>
      </c>
    </row>
    <row r="206" spans="1:9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6" s="12" t="s">
        <v>812</v>
      </c>
      <c r="C206" s="13" t="s">
        <v>1538</v>
      </c>
      <c r="D206" s="36">
        <f>COUNTIF(NodesData[Node ID],NodesData[[#This Row],[Node ID]])</f>
        <v>1</v>
      </c>
      <c r="F206" s="12" t="str">
        <f>IF(NodesData[[#This Row],[Class Disambiguation]]="",NodesData[[#This Row],[Common Name]],NodesData[[#This Row],[Common Name]]&amp;" ("&amp;NodesData[[#This Row],[Class Disambiguation]]&amp;")")</f>
        <v>Ideal Type</v>
      </c>
      <c r="H206" s="12" t="s">
        <v>813</v>
      </c>
      <c r="I206" s="19" t="str" cm="1">
        <f t="array" ref="I206">"n"&amp;SUBSTITUTE(CreateGuidString(),"-","_")</f>
        <v>n4BB45848_B72A_4B8F_85B9_5E9B61DDDEC7</v>
      </c>
    </row>
    <row r="207" spans="1:9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7" s="12" t="s">
        <v>814</v>
      </c>
      <c r="C207" s="13" t="s">
        <v>1539</v>
      </c>
      <c r="D207" s="36">
        <f>COUNTIF(NodesData[Node ID],NodesData[[#This Row],[Node ID]])</f>
        <v>1</v>
      </c>
      <c r="F207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H207" s="12" t="s">
        <v>815</v>
      </c>
      <c r="I207" s="19" t="str" cm="1">
        <f t="array" ref="I207">"n"&amp;SUBSTITUTE(CreateGuidString(),"-","_")</f>
        <v>nFECEC256_D5E9_4A16_9FF1_A75C6616EDE2</v>
      </c>
    </row>
    <row r="208" spans="1:9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8" s="12" t="s">
        <v>816</v>
      </c>
      <c r="C208" s="13" t="s">
        <v>1540</v>
      </c>
      <c r="D208" s="36">
        <f>COUNTIF(NodesData[Node ID],NodesData[[#This Row],[Node ID]])</f>
        <v>1</v>
      </c>
      <c r="F208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H208" s="12" t="s">
        <v>817</v>
      </c>
      <c r="I208" s="19" t="str" cm="1">
        <f t="array" ref="I208">"n"&amp;SUBSTITUTE(CreateGuidString(),"-","_")</f>
        <v>n7B771D42_D0BF_4903_905D_A959242D5FBA</v>
      </c>
    </row>
    <row r="209" spans="1:9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9" s="12" t="s">
        <v>818</v>
      </c>
      <c r="C209" s="13" t="s">
        <v>1541</v>
      </c>
      <c r="D209" s="36">
        <f>COUNTIF(NodesData[Node ID],NodesData[[#This Row],[Node ID]])</f>
        <v>1</v>
      </c>
      <c r="F209" s="12" t="str">
        <f>IF(NodesData[[#This Row],[Class Disambiguation]]="",NodesData[[#This Row],[Common Name]],NodesData[[#This Row],[Common Name]]&amp;" ("&amp;NodesData[[#This Row],[Class Disambiguation]]&amp;")")</f>
        <v>Identifier</v>
      </c>
      <c r="H209" s="12" t="s">
        <v>819</v>
      </c>
      <c r="I209" s="19" t="str" cm="1">
        <f t="array" ref="I209">"n"&amp;SUBSTITUTE(CreateGuidString(),"-","_")</f>
        <v>n40426A4F_3590_44FC_9159_173AB9F5E340</v>
      </c>
    </row>
    <row r="210" spans="1:9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10" s="12" t="s">
        <v>211</v>
      </c>
      <c r="C210" s="13" t="s">
        <v>1542</v>
      </c>
      <c r="D210" s="36">
        <f>COUNTIF(NodesData[Node ID],NodesData[[#This Row],[Node ID]])</f>
        <v>1</v>
      </c>
      <c r="F210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H210" s="12" t="s">
        <v>820</v>
      </c>
      <c r="I210" s="19" t="str" cm="1">
        <f t="array" ref="I210">"n"&amp;SUBSTITUTE(CreateGuidString(),"-","_")</f>
        <v>nB50DC53B_FA7A_43B5_B2CE_D08EA5663653</v>
      </c>
    </row>
    <row r="211" spans="1:9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11" s="12" t="s">
        <v>821</v>
      </c>
      <c r="C211" s="13" t="s">
        <v>1543</v>
      </c>
      <c r="D211" s="36">
        <f>COUNTIF(NodesData[Node ID],NodesData[[#This Row],[Node ID]])</f>
        <v>1</v>
      </c>
      <c r="F211" s="12" t="str">
        <f>IF(NodesData[[#This Row],[Class Disambiguation]]="",NodesData[[#This Row],[Common Name]],NodesData[[#This Row],[Common Name]]&amp;" ("&amp;NodesData[[#This Row],[Class Disambiguation]]&amp;")")</f>
        <v>Identity</v>
      </c>
      <c r="H211" s="12" t="s">
        <v>822</v>
      </c>
      <c r="I211" s="19" t="str" cm="1">
        <f t="array" ref="I211">"n"&amp;SUBSTITUTE(CreateGuidString(),"-","_")</f>
        <v>n6088EF4D_6DFF_4596_B440_1392A4AB0C9F</v>
      </c>
    </row>
    <row r="212" spans="1:9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12" s="12" t="s">
        <v>213</v>
      </c>
      <c r="C212" s="13" t="s">
        <v>1544</v>
      </c>
      <c r="D212" s="36">
        <f>COUNTIF(NodesData[Node ID],NodesData[[#This Row],[Node ID]])</f>
        <v>1</v>
      </c>
      <c r="F212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H212" s="12" t="s">
        <v>823</v>
      </c>
      <c r="I212" s="19" t="str" cm="1">
        <f t="array" ref="I212">"n"&amp;SUBSTITUTE(CreateGuidString(),"-","_")</f>
        <v>nEFF39DEB_BBE8_4BA9_9526_5556F6459C94</v>
      </c>
    </row>
    <row r="213" spans="1:9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3" s="12" t="s">
        <v>214</v>
      </c>
      <c r="C213" s="13" t="s">
        <v>1545</v>
      </c>
      <c r="D213" s="36">
        <f>COUNTIF(NodesData[Node ID],NodesData[[#This Row],[Node ID]])</f>
        <v>1</v>
      </c>
      <c r="F213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H213" s="12" t="s">
        <v>824</v>
      </c>
      <c r="I213" s="19" t="str" cm="1">
        <f t="array" ref="I213">"n"&amp;SUBSTITUTE(CreateGuidString(),"-","_")</f>
        <v>nB9DEB74D_5076_477F_BEB1_AD4FF14F6704</v>
      </c>
    </row>
    <row r="214" spans="1:9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4" s="12" t="s">
        <v>215</v>
      </c>
      <c r="C214" s="13" t="s">
        <v>1546</v>
      </c>
      <c r="D214" s="36">
        <f>COUNTIF(NodesData[Node ID],NodesData[[#This Row],[Node ID]])</f>
        <v>1</v>
      </c>
      <c r="F214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H214" s="12" t="s">
        <v>825</v>
      </c>
      <c r="I214" s="19" t="str" cm="1">
        <f t="array" ref="I214">"n"&amp;SUBSTITUTE(CreateGuidString(),"-","_")</f>
        <v>nA6901825_C6D9_4DE1_AF41_4C56EBF3B1A6</v>
      </c>
    </row>
    <row r="215" spans="1:9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5" s="12" t="s">
        <v>217</v>
      </c>
      <c r="C215" s="13" t="s">
        <v>1548</v>
      </c>
      <c r="D215" s="36">
        <f>COUNTIF(NodesData[Node ID],NodesData[[#This Row],[Node ID]])</f>
        <v>1</v>
      </c>
      <c r="F215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H215" s="12" t="s">
        <v>826</v>
      </c>
      <c r="I215" s="19" t="str" cm="1">
        <f t="array" ref="I215">"n"&amp;SUBSTITUTE(CreateGuidString(),"-","_")</f>
        <v>n495BD223_944D_462F_B221_ECCDA64EAFF8</v>
      </c>
    </row>
    <row r="216" spans="1:9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6" s="12" t="s">
        <v>827</v>
      </c>
      <c r="C216" s="13" t="s">
        <v>1549</v>
      </c>
      <c r="D216" s="36">
        <f>COUNTIF(NodesData[Node ID],NodesData[[#This Row],[Node ID]])</f>
        <v>1</v>
      </c>
      <c r="F216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H216" s="12" t="s">
        <v>828</v>
      </c>
      <c r="I216" s="19" t="str" cm="1">
        <f t="array" ref="I216">"n"&amp;SUBSTITUTE(CreateGuidString(),"-","_")</f>
        <v>nF5103CD2_4A6B_4E49_A9F3_24799FF0D1BF</v>
      </c>
    </row>
    <row r="217" spans="1:9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7" s="32" t="s">
        <v>1875</v>
      </c>
      <c r="C217" s="13" t="s">
        <v>1883</v>
      </c>
      <c r="D217" s="36">
        <f>COUNTIF(NodesData[Node ID],NodesData[[#This Row],[Node ID]])</f>
        <v>1</v>
      </c>
      <c r="F217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G217" s="18"/>
      <c r="I217" s="20" t="str" cm="1">
        <f t="array" ref="I217">"n"&amp;SUBSTITUTE(CreateGuidString(),"-","_")</f>
        <v>n635546A6_D6F2_4905_A798_94B48CF36494</v>
      </c>
    </row>
    <row r="218" spans="1:9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8" s="12" t="s">
        <v>220</v>
      </c>
      <c r="C218" s="13" t="s">
        <v>1551</v>
      </c>
      <c r="D218" s="36">
        <f>COUNTIF(NodesData[Node ID],NodesData[[#This Row],[Node ID]])</f>
        <v>1</v>
      </c>
      <c r="F218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H218" s="12" t="s">
        <v>829</v>
      </c>
      <c r="I218" s="19" t="str" cm="1">
        <f t="array" ref="I218">"n"&amp;SUBSTITUTE(CreateGuidString(),"-","_")</f>
        <v>n5EEE118F_0C93_414C_BAD6_D6CF0303B74C</v>
      </c>
    </row>
    <row r="219" spans="1:9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9" s="12" t="s">
        <v>221</v>
      </c>
      <c r="C219" s="13" t="s">
        <v>1552</v>
      </c>
      <c r="D219" s="36">
        <f>COUNTIF(NodesData[Node ID],NodesData[[#This Row],[Node ID]])</f>
        <v>1</v>
      </c>
      <c r="F219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H219" s="12" t="s">
        <v>830</v>
      </c>
      <c r="I219" s="19" t="str" cm="1">
        <f t="array" ref="I219">"n"&amp;SUBSTITUTE(CreateGuidString(),"-","_")</f>
        <v>nC80F8450_A95E_4523_8B79_ED4EC22FB5CC</v>
      </c>
    </row>
    <row r="220" spans="1:9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20" s="12" t="s">
        <v>222</v>
      </c>
      <c r="C220" s="13" t="s">
        <v>1553</v>
      </c>
      <c r="D220" s="36">
        <f>COUNTIF(NodesData[Node ID],NodesData[[#This Row],[Node ID]])</f>
        <v>1</v>
      </c>
      <c r="F220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H220" s="12" t="s">
        <v>831</v>
      </c>
      <c r="I220" s="19" t="str" cm="1">
        <f t="array" ref="I220">"n"&amp;SUBSTITUTE(CreateGuidString(),"-","_")</f>
        <v>n022F9D02_19A9_46BA_B0C4_2D44D0928F31</v>
      </c>
    </row>
    <row r="221" spans="1:9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21" s="12" t="s">
        <v>832</v>
      </c>
      <c r="C221" s="13" t="s">
        <v>1554</v>
      </c>
      <c r="D221" s="36">
        <f>COUNTIF(NodesData[Node ID],NodesData[[#This Row],[Node ID]])</f>
        <v>1</v>
      </c>
      <c r="F221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H221" s="12" t="s">
        <v>833</v>
      </c>
      <c r="I221" s="19" t="str" cm="1">
        <f t="array" ref="I221">"n"&amp;SUBSTITUTE(CreateGuidString(),"-","_")</f>
        <v>nF6E61C03_5011_402B_9FBC_4D9B8314EB81</v>
      </c>
    </row>
    <row r="222" spans="1:9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22" s="12" t="s">
        <v>834</v>
      </c>
      <c r="C222" s="13" t="s">
        <v>1555</v>
      </c>
      <c r="D222" s="36">
        <f>COUNTIF(NodesData[Node ID],NodesData[[#This Row],[Node ID]])</f>
        <v>1</v>
      </c>
      <c r="F222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H222" s="12" t="s">
        <v>835</v>
      </c>
      <c r="I222" s="19" t="str" cm="1">
        <f t="array" ref="I222">"n"&amp;SUBSTITUTE(CreateGuidString(),"-","_")</f>
        <v>n59D20EA0_A136_4424_8124_3EB183456F86</v>
      </c>
    </row>
    <row r="223" spans="1:9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3" s="12" t="s">
        <v>836</v>
      </c>
      <c r="C223" s="13" t="s">
        <v>1556</v>
      </c>
      <c r="D223" s="36">
        <f>COUNTIF(NodesData[Node ID],NodesData[[#This Row],[Node ID]])</f>
        <v>1</v>
      </c>
      <c r="F223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H223" s="12" t="s">
        <v>837</v>
      </c>
      <c r="I223" s="19" t="str" cm="1">
        <f t="array" ref="I223">"n"&amp;SUBSTITUTE(CreateGuidString(),"-","_")</f>
        <v>n79959422_E9C9_48FD_972C_6B0E5D6399EF</v>
      </c>
    </row>
    <row r="224" spans="1:9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4" s="12" t="s">
        <v>226</v>
      </c>
      <c r="C224" s="13" t="s">
        <v>1557</v>
      </c>
      <c r="D224" s="36">
        <f>COUNTIF(NodesData[Node ID],NodesData[[#This Row],[Node ID]])</f>
        <v>1</v>
      </c>
      <c r="F224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H224" s="12" t="s">
        <v>838</v>
      </c>
      <c r="I224" s="19" t="str" cm="1">
        <f t="array" ref="I224">"n"&amp;SUBSTITUTE(CreateGuidString(),"-","_")</f>
        <v>nB56ED47D_2480_46A2_BB25_0D74FE591EFE</v>
      </c>
    </row>
    <row r="225" spans="1:9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5" s="12" t="s">
        <v>839</v>
      </c>
      <c r="C225" s="13" t="s">
        <v>1558</v>
      </c>
      <c r="D225" s="36">
        <f>COUNTIF(NodesData[Node ID],NodesData[[#This Row],[Node ID]])</f>
        <v>1</v>
      </c>
      <c r="F225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H225" s="12" t="s">
        <v>840</v>
      </c>
      <c r="I225" s="19" t="str" cm="1">
        <f t="array" ref="I225">"n"&amp;SUBSTITUTE(CreateGuidString(),"-","_")</f>
        <v>n643EB7CE_0B86_45CA_B80A_C7BC915281DF</v>
      </c>
    </row>
    <row r="226" spans="1:9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6" s="12" t="s">
        <v>841</v>
      </c>
      <c r="C226" s="13" t="s">
        <v>1559</v>
      </c>
      <c r="D226" s="36">
        <f>COUNTIF(NodesData[Node ID],NodesData[[#This Row],[Node ID]])</f>
        <v>1</v>
      </c>
      <c r="F226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H226" s="12" t="s">
        <v>842</v>
      </c>
      <c r="I226" s="19" t="str" cm="1">
        <f t="array" ref="I226">"n"&amp;SUBSTITUTE(CreateGuidString(),"-","_")</f>
        <v>nE5B0ECE2_7C0B_464E_85BB_CCF038AC353A</v>
      </c>
    </row>
    <row r="227" spans="1:9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7" s="12" t="s">
        <v>843</v>
      </c>
      <c r="C227" s="13" t="s">
        <v>1560</v>
      </c>
      <c r="D227" s="36">
        <f>COUNTIF(NodesData[Node ID],NodesData[[#This Row],[Node ID]])</f>
        <v>1</v>
      </c>
      <c r="F227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H227" s="12" t="s">
        <v>844</v>
      </c>
      <c r="I227" s="19" t="str" cm="1">
        <f t="array" ref="I227">"n"&amp;SUBSTITUTE(CreateGuidString(),"-","_")</f>
        <v>nFC2C9B36_88B8_4712_B4C5_F69F551B9648</v>
      </c>
    </row>
    <row r="228" spans="1:9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8" s="12" t="s">
        <v>845</v>
      </c>
      <c r="C228" s="13" t="s">
        <v>1561</v>
      </c>
      <c r="D228" s="36">
        <f>COUNTIF(NodesData[Node ID],NodesData[[#This Row],[Node ID]])</f>
        <v>1</v>
      </c>
      <c r="F228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H228" s="12" t="s">
        <v>846</v>
      </c>
      <c r="I228" s="19" t="str" cm="1">
        <f t="array" ref="I228">"n"&amp;SUBSTITUTE(CreateGuidString(),"-","_")</f>
        <v>nD13B4C08_A120_4AE8_82E4_9431DA02BE51</v>
      </c>
    </row>
    <row r="229" spans="1:9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9" s="30" t="s">
        <v>1867</v>
      </c>
      <c r="C229" s="13" t="s">
        <v>1884</v>
      </c>
      <c r="D229" s="36">
        <f>COUNTIF(NodesData[Node ID],NodesData[[#This Row],[Node ID]])</f>
        <v>1</v>
      </c>
      <c r="F229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G229" s="18"/>
      <c r="I229" s="20" t="str" cm="1">
        <f t="array" ref="I229">"n"&amp;SUBSTITUTE(CreateGuidString(),"-","_")</f>
        <v>nC31A05A4_1240_4411_93A8_9569F28FF13C</v>
      </c>
    </row>
    <row r="230" spans="1:9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30" s="12" t="s">
        <v>847</v>
      </c>
      <c r="C230" s="13" t="s">
        <v>1547</v>
      </c>
      <c r="D230" s="36">
        <f>COUNTIF(NodesData[Node ID],NodesData[[#This Row],[Node ID]])</f>
        <v>1</v>
      </c>
      <c r="F230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H230" s="12" t="s">
        <v>848</v>
      </c>
      <c r="I230" s="19" t="str" cm="1">
        <f t="array" ref="I230">"n"&amp;SUBSTITUTE(CreateGuidString(),"-","_")</f>
        <v>n3DD866D8_BEF2_46D5_B46A_BD83765A2F28</v>
      </c>
    </row>
    <row r="231" spans="1:9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31" s="12" t="s">
        <v>849</v>
      </c>
      <c r="C231" s="13" t="s">
        <v>1550</v>
      </c>
      <c r="D231" s="36">
        <f>COUNTIF(NodesData[Node ID],NodesData[[#This Row],[Node ID]])</f>
        <v>1</v>
      </c>
      <c r="F231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H231" s="12" t="s">
        <v>850</v>
      </c>
      <c r="I231" s="19" t="str" cm="1">
        <f t="array" ref="I231">"n"&amp;SUBSTITUTE(CreateGuidString(),"-","_")</f>
        <v>n43D478D0_CE0B_44FF_91DC_41398E79B7A4</v>
      </c>
    </row>
    <row r="232" spans="1:9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32" s="12" t="s">
        <v>851</v>
      </c>
      <c r="C232" s="13" t="s">
        <v>1562</v>
      </c>
      <c r="D232" s="36">
        <f>COUNTIF(NodesData[Node ID],NodesData[[#This Row],[Node ID]])</f>
        <v>1</v>
      </c>
      <c r="E232" s="12" t="s">
        <v>1270</v>
      </c>
      <c r="F232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H232" s="12" t="s">
        <v>852</v>
      </c>
      <c r="I232" s="19" t="str" cm="1">
        <f t="array" ref="I232">"n"&amp;SUBSTITUTE(CreateGuidString(),"-","_")</f>
        <v>n0F974FCF_DEA1_46D3_9548_118F37C8C467</v>
      </c>
    </row>
    <row r="233" spans="1:9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3" s="12" t="s">
        <v>853</v>
      </c>
      <c r="C233" s="13" t="s">
        <v>1563</v>
      </c>
      <c r="D233" s="36">
        <f>COUNTIF(NodesData[Node ID],NodesData[[#This Row],[Node ID]])</f>
        <v>1</v>
      </c>
      <c r="E233" s="12" t="s">
        <v>1270</v>
      </c>
      <c r="F233" s="12" t="str">
        <f>IF(NodesData[[#This Row],[Class Disambiguation]]="",NodesData[[#This Row],[Common Name]],NodesData[[#This Row],[Common Name]]&amp;" ("&amp;NodesData[[#This Row],[Class Disambiguation]]&amp;")")</f>
        <v>IdP (Acronym)</v>
      </c>
      <c r="H233" s="12" t="s">
        <v>854</v>
      </c>
      <c r="I233" s="19" t="str" cm="1">
        <f t="array" ref="I233">"n"&amp;SUBSTITUTE(CreateGuidString(),"-","_")</f>
        <v>nFE17C451_77AE_4EB0_8A54_DF8A0B7C2FEA</v>
      </c>
    </row>
    <row r="234" spans="1:9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4" s="33" t="s">
        <v>1877</v>
      </c>
      <c r="C234" s="13" t="s">
        <v>1886</v>
      </c>
      <c r="D234" s="36">
        <f>COUNTIF(NodesData[Node ID],NodesData[[#This Row],[Node ID]])</f>
        <v>1</v>
      </c>
      <c r="F234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G234" s="18"/>
      <c r="I234" s="20" t="str" cm="1">
        <f t="array" ref="I234">"n"&amp;SUBSTITUTE(CreateGuidString(),"-","_")</f>
        <v>nF3D59543_1DD8_40AC_B79C_B11B3C4B181D</v>
      </c>
    </row>
    <row r="235" spans="1:9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5" s="12" t="s">
        <v>855</v>
      </c>
      <c r="C235" s="13" t="s">
        <v>1564</v>
      </c>
      <c r="D235" s="36">
        <f>COUNTIF(NodesData[Node ID],NodesData[[#This Row],[Node ID]])</f>
        <v>1</v>
      </c>
      <c r="E235" s="12" t="s">
        <v>1270</v>
      </c>
      <c r="F235" s="12" t="str">
        <f>IF(NodesData[[#This Row],[Class Disambiguation]]="",NodesData[[#This Row],[Common Name]],NodesData[[#This Row],[Common Name]]&amp;" ("&amp;NodesData[[#This Row],[Class Disambiguation]]&amp;")")</f>
        <v>IMG (Acronym)</v>
      </c>
      <c r="H235" s="12" t="s">
        <v>856</v>
      </c>
      <c r="I235" s="19" t="str" cm="1">
        <f t="array" ref="I235">"n"&amp;SUBSTITUTE(CreateGuidString(),"-","_")</f>
        <v>n96C795B1_F565_426B_A785_AE22B474F4D7</v>
      </c>
    </row>
    <row r="236" spans="1:9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6" s="12" t="s">
        <v>857</v>
      </c>
      <c r="C236" s="13" t="s">
        <v>1565</v>
      </c>
      <c r="D236" s="36">
        <f>COUNTIF(NodesData[Node ID],NodesData[[#This Row],[Node ID]])</f>
        <v>1</v>
      </c>
      <c r="F236" s="12" t="str">
        <f>IF(NodesData[[#This Row],[Class Disambiguation]]="",NodesData[[#This Row],[Common Name]],NodesData[[#This Row],[Common Name]]&amp;" ("&amp;NodesData[[#This Row],[Class Disambiguation]]&amp;")")</f>
        <v>Impersonation</v>
      </c>
      <c r="H236" s="12" t="s">
        <v>858</v>
      </c>
      <c r="I236" s="19" t="str" cm="1">
        <f t="array" ref="I236">"n"&amp;SUBSTITUTE(CreateGuidString(),"-","_")</f>
        <v>n194A7CC0_B398_445D_970A_FAD2004B7B03</v>
      </c>
    </row>
    <row r="237" spans="1:9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7" s="12" t="s">
        <v>1298</v>
      </c>
      <c r="C237" s="13" t="s">
        <v>1584</v>
      </c>
      <c r="D237" s="36">
        <f>COUNTIF(NodesData[Node ID],NodesData[[#This Row],[Node ID]])</f>
        <v>1</v>
      </c>
      <c r="F237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I237" s="19" t="str" cm="1">
        <f t="array" ref="I237">"n"&amp;SUBSTITUTE(CreateGuidString(),"-","_")</f>
        <v>nFE36C8C2_392E_4299_B4CB_D990EAEA9131</v>
      </c>
    </row>
    <row r="238" spans="1:9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8" s="12" t="s">
        <v>859</v>
      </c>
      <c r="C238" s="13" t="s">
        <v>1567</v>
      </c>
      <c r="D238" s="36">
        <f>COUNTIF(NodesData[Node ID],NodesData[[#This Row],[Node ID]])</f>
        <v>1</v>
      </c>
      <c r="F238" s="12" t="str">
        <f>IF(NodesData[[#This Row],[Class Disambiguation]]="",NodesData[[#This Row],[Common Name]],NodesData[[#This Row],[Common Name]]&amp;" ("&amp;NodesData[[#This Row],[Class Disambiguation]]&amp;")")</f>
        <v>Information</v>
      </c>
      <c r="H238" s="12" t="s">
        <v>860</v>
      </c>
      <c r="I238" s="19" t="str" cm="1">
        <f t="array" ref="I238">"n"&amp;SUBSTITUTE(CreateGuidString(),"-","_")</f>
        <v>nB980DBA0_BBE6_40AA_B715_AF26FCADBE1E</v>
      </c>
    </row>
    <row r="239" spans="1:9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9" s="12" t="s">
        <v>861</v>
      </c>
      <c r="C239" s="13" t="s">
        <v>1568</v>
      </c>
      <c r="D239" s="36">
        <f>COUNTIF(NodesData[Node ID],NodesData[[#This Row],[Node ID]])</f>
        <v>1</v>
      </c>
      <c r="F239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H239" s="12" t="s">
        <v>862</v>
      </c>
      <c r="I239" s="19" t="str" cm="1">
        <f t="array" ref="I239">"n"&amp;SUBSTITUTE(CreateGuidString(),"-","_")</f>
        <v>n0173B668_94CB_4EF2_8FEE_72FDBE211CC6</v>
      </c>
    </row>
    <row r="240" spans="1:9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40" s="12" t="s">
        <v>863</v>
      </c>
      <c r="C240" s="13" t="s">
        <v>1569</v>
      </c>
      <c r="D240" s="36">
        <f>COUNTIF(NodesData[Node ID],NodesData[[#This Row],[Node ID]])</f>
        <v>1</v>
      </c>
      <c r="F240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H240" s="12" t="s">
        <v>864</v>
      </c>
      <c r="I240" s="19" t="str" cm="1">
        <f t="array" ref="I240">"n"&amp;SUBSTITUTE(CreateGuidString(),"-","_")</f>
        <v>n0708F349_5927_4F76_8843_92F280F5C964</v>
      </c>
    </row>
    <row r="241" spans="1:9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41" s="12" t="s">
        <v>865</v>
      </c>
      <c r="C241" s="13" t="s">
        <v>1570</v>
      </c>
      <c r="D241" s="36">
        <f>COUNTIF(NodesData[Node ID],NodesData[[#This Row],[Node ID]])</f>
        <v>1</v>
      </c>
      <c r="F241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H241" s="12" t="s">
        <v>866</v>
      </c>
      <c r="I241" s="19" t="str" cm="1">
        <f t="array" ref="I241">"n"&amp;SUBSTITUTE(CreateGuidString(),"-","_")</f>
        <v>n28924274_1CD3_4367_9821_2C9BE82824E8</v>
      </c>
    </row>
    <row r="242" spans="1:9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42" s="12" t="s">
        <v>867</v>
      </c>
      <c r="C242" s="13" t="s">
        <v>1571</v>
      </c>
      <c r="D242" s="36">
        <f>COUNTIF(NodesData[Node ID],NodesData[[#This Row],[Node ID]])</f>
        <v>1</v>
      </c>
      <c r="F242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H242" s="12" t="s">
        <v>868</v>
      </c>
      <c r="I242" s="19" t="str" cm="1">
        <f t="array" ref="I242">"n"&amp;SUBSTITUTE(CreateGuidString(),"-","_")</f>
        <v>n3E6E23F3_B7EB_42D8_A793_89DEBB34CD1B</v>
      </c>
    </row>
    <row r="243" spans="1:9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3" s="12" t="s">
        <v>247</v>
      </c>
      <c r="C243" s="13" t="s">
        <v>1572</v>
      </c>
      <c r="D243" s="36">
        <f>COUNTIF(NodesData[Node ID],NodesData[[#This Row],[Node ID]])</f>
        <v>1</v>
      </c>
      <c r="F243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H243" s="12" t="s">
        <v>869</v>
      </c>
      <c r="I243" s="19" t="str" cm="1">
        <f t="array" ref="I243">"n"&amp;SUBSTITUTE(CreateGuidString(),"-","_")</f>
        <v>n9856A172_AD13_4B65_A1C4_12B7C5387DA3</v>
      </c>
    </row>
    <row r="244" spans="1:9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4" s="12" t="s">
        <v>248</v>
      </c>
      <c r="C244" s="13" t="s">
        <v>1573</v>
      </c>
      <c r="D244" s="36">
        <f>COUNTIF(NodesData[Node ID],NodesData[[#This Row],[Node ID]])</f>
        <v>1</v>
      </c>
      <c r="F244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H244" s="12" t="s">
        <v>870</v>
      </c>
      <c r="I244" s="19" t="str" cm="1">
        <f t="array" ref="I244">"n"&amp;SUBSTITUTE(CreateGuidString(),"-","_")</f>
        <v>nB69B30B5_6005_4635_83DF_DC6D9830792E</v>
      </c>
    </row>
    <row r="245" spans="1:9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5" s="12" t="s">
        <v>1294</v>
      </c>
      <c r="C245" s="13" t="s">
        <v>1574</v>
      </c>
      <c r="D245" s="36">
        <f>COUNTIF(NodesData[Node ID],NodesData[[#This Row],[Node ID]])</f>
        <v>1</v>
      </c>
      <c r="F245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I245" s="19" t="str" cm="1">
        <f t="array" ref="I245">"n"&amp;SUBSTITUTE(CreateGuidString(),"-","_")</f>
        <v>n6A21D9D7_6FBE_40D7_9468_FF115F83DE38</v>
      </c>
    </row>
    <row r="246" spans="1:9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6" s="12" t="s">
        <v>250</v>
      </c>
      <c r="C246" s="13" t="s">
        <v>1575</v>
      </c>
      <c r="D246" s="36">
        <f>COUNTIF(NodesData[Node ID],NodesData[[#This Row],[Node ID]])</f>
        <v>1</v>
      </c>
      <c r="F246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H246" s="12" t="s">
        <v>871</v>
      </c>
      <c r="I246" s="19" t="str" cm="1">
        <f t="array" ref="I246">"n"&amp;SUBSTITUTE(CreateGuidString(),"-","_")</f>
        <v>n7902DE41_417D_4309_9F17_D56448978B6B</v>
      </c>
    </row>
    <row r="247" spans="1:9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7" s="12" t="s">
        <v>251</v>
      </c>
      <c r="C247" s="13" t="s">
        <v>1576</v>
      </c>
      <c r="D247" s="36">
        <f>COUNTIF(NodesData[Node ID],NodesData[[#This Row],[Node ID]])</f>
        <v>1</v>
      </c>
      <c r="F247" s="12" t="str">
        <f>IF(NodesData[[#This Row],[Class Disambiguation]]="",NodesData[[#This Row],[Common Name]],NodesData[[#This Row],[Common Name]]&amp;" ("&amp;NodesData[[#This Row],[Class Disambiguation]]&amp;")")</f>
        <v>Insider</v>
      </c>
      <c r="H247" s="12" t="s">
        <v>872</v>
      </c>
      <c r="I247" s="19" t="str" cm="1">
        <f t="array" ref="I247">"n"&amp;SUBSTITUTE(CreateGuidString(),"-","_")</f>
        <v>n9DCE733E_F0D5_4A53_B459_22F84AB5AFAF</v>
      </c>
    </row>
    <row r="248" spans="1:9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8" s="12" t="s">
        <v>252</v>
      </c>
      <c r="C248" s="13" t="s">
        <v>1577</v>
      </c>
      <c r="D248" s="36">
        <f>COUNTIF(NodesData[Node ID],NodesData[[#This Row],[Node ID]])</f>
        <v>1</v>
      </c>
      <c r="F248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H248" s="12" t="s">
        <v>873</v>
      </c>
      <c r="I248" s="19" t="str" cm="1">
        <f t="array" ref="I248">"n"&amp;SUBSTITUTE(CreateGuidString(),"-","_")</f>
        <v>n5AAFEF19_BD9B_497A_9486_10D675CC0CDE</v>
      </c>
    </row>
    <row r="249" spans="1:9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9" s="12" t="s">
        <v>253</v>
      </c>
      <c r="C249" s="13" t="s">
        <v>1578</v>
      </c>
      <c r="D249" s="36">
        <f>COUNTIF(NodesData[Node ID],NodesData[[#This Row],[Node ID]])</f>
        <v>1</v>
      </c>
      <c r="F249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H249" s="12" t="s">
        <v>874</v>
      </c>
      <c r="I249" s="19" t="str" cm="1">
        <f t="array" ref="I249">"n"&amp;SUBSTITUTE(CreateGuidString(),"-","_")</f>
        <v>n4A1A4EF5_EA6C_43B0_9495_3B20E83C6ACE</v>
      </c>
    </row>
    <row r="250" spans="1:9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50" s="12" t="s">
        <v>875</v>
      </c>
      <c r="C250" s="13" t="s">
        <v>1579</v>
      </c>
      <c r="D250" s="36">
        <f>COUNTIF(NodesData[Node ID],NodesData[[#This Row],[Node ID]])</f>
        <v>1</v>
      </c>
      <c r="F250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H250" s="12" t="s">
        <v>876</v>
      </c>
      <c r="I250" s="19" t="str" cm="1">
        <f t="array" ref="I250">"n"&amp;SUBSTITUTE(CreateGuidString(),"-","_")</f>
        <v>n2B729011_031D_4255_A4C0_61C49741E05C</v>
      </c>
    </row>
    <row r="251" spans="1:9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51" s="12" t="s">
        <v>877</v>
      </c>
      <c r="C251" s="13" t="s">
        <v>1580</v>
      </c>
      <c r="D251" s="36">
        <f>COUNTIF(NodesData[Node ID],NodesData[[#This Row],[Node ID]])</f>
        <v>1</v>
      </c>
      <c r="F251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H251" s="12" t="s">
        <v>878</v>
      </c>
      <c r="I251" s="19" t="str" cm="1">
        <f t="array" ref="I251">"n"&amp;SUBSTITUTE(CreateGuidString(),"-","_")</f>
        <v>nFF5DE5CD_D03D_46CB_831C_BB12A96E72AD</v>
      </c>
    </row>
    <row r="252" spans="1:9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52" s="12" t="s">
        <v>879</v>
      </c>
      <c r="C252" s="13" t="s">
        <v>1581</v>
      </c>
      <c r="D252" s="36">
        <f>COUNTIF(NodesData[Node ID],NodesData[[#This Row],[Node ID]])</f>
        <v>1</v>
      </c>
      <c r="F252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H252" s="12" t="s">
        <v>880</v>
      </c>
      <c r="I252" s="19" t="str" cm="1">
        <f t="array" ref="I252">"n"&amp;SUBSTITUTE(CreateGuidString(),"-","_")</f>
        <v>n1BDA8C80_33AB_4AAE_A8D2_D860C5B158BA</v>
      </c>
    </row>
    <row r="253" spans="1:9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3" s="12" t="s">
        <v>881</v>
      </c>
      <c r="C253" s="13" t="s">
        <v>1582</v>
      </c>
      <c r="D253" s="36">
        <f>COUNTIF(NodesData[Node ID],NodesData[[#This Row],[Node ID]])</f>
        <v>1</v>
      </c>
      <c r="F253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H253" s="12" t="s">
        <v>882</v>
      </c>
      <c r="I253" s="19" t="str" cm="1">
        <f t="array" ref="I253">"n"&amp;SUBSTITUTE(CreateGuidString(),"-","_")</f>
        <v>nB91AE520_EC21_49CA_A77A_82A290C8906A</v>
      </c>
    </row>
    <row r="254" spans="1:9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4" s="12" t="s">
        <v>883</v>
      </c>
      <c r="C254" s="13" t="s">
        <v>1583</v>
      </c>
      <c r="D254" s="36">
        <f>COUNTIF(NodesData[Node ID],NodesData[[#This Row],[Node ID]])</f>
        <v>1</v>
      </c>
      <c r="F254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H254" s="12" t="s">
        <v>884</v>
      </c>
      <c r="I254" s="19" t="str" cm="1">
        <f t="array" ref="I254">"n"&amp;SUBSTITUTE(CreateGuidString(),"-","_")</f>
        <v>n6257235C_7E36_4A6A_BC89_E40928AF460D</v>
      </c>
    </row>
    <row r="255" spans="1:9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5" s="12" t="s">
        <v>1310</v>
      </c>
      <c r="C255" s="13" t="s">
        <v>1597</v>
      </c>
      <c r="D255" s="36">
        <f>COUNTIF(NodesData[Node ID],NodesData[[#This Row],[Node ID]])</f>
        <v>1</v>
      </c>
      <c r="F255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I255" s="19" t="str" cm="1">
        <f t="array" ref="I255">"n"&amp;SUBSTITUTE(CreateGuidString(),"-","_")</f>
        <v>n191501CE_B770_42CB_9415_197A3C89DB96</v>
      </c>
    </row>
    <row r="256" spans="1:9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6" s="12" t="s">
        <v>885</v>
      </c>
      <c r="C256" s="13" t="s">
        <v>1585</v>
      </c>
      <c r="D256" s="36">
        <f>COUNTIF(NodesData[Node ID],NodesData[[#This Row],[Node ID]])</f>
        <v>1</v>
      </c>
      <c r="F256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H256" s="12" t="s">
        <v>886</v>
      </c>
      <c r="I256" s="19" t="str" cm="1">
        <f t="array" ref="I256">"n"&amp;SUBSTITUTE(CreateGuidString(),"-","_")</f>
        <v>n0F537C5A_D17A_4148_9655_9F032B59EBFD</v>
      </c>
    </row>
    <row r="257" spans="1:9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7" s="12" t="s">
        <v>887</v>
      </c>
      <c r="C257" s="13" t="s">
        <v>1586</v>
      </c>
      <c r="D257" s="36">
        <f>COUNTIF(NodesData[Node ID],NodesData[[#This Row],[Node ID]])</f>
        <v>1</v>
      </c>
      <c r="F257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H257" s="12" t="s">
        <v>888</v>
      </c>
      <c r="I257" s="19" t="str" cm="1">
        <f t="array" ref="I257">"n"&amp;SUBSTITUTE(CreateGuidString(),"-","_")</f>
        <v>n85D02A9A_1799_4A66_80A0_A7CBC2F5C9BE</v>
      </c>
    </row>
    <row r="258" spans="1:9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8" s="12" t="s">
        <v>1341</v>
      </c>
      <c r="C258" s="13" t="s">
        <v>1840</v>
      </c>
      <c r="D258" s="36">
        <f>COUNTIF(NodesData[Node ID],NodesData[[#This Row],[Node ID]])</f>
        <v>1</v>
      </c>
      <c r="F258" s="18" t="str">
        <f>IF(NodesData[[#This Row],[Class Disambiguation]]="",NodesData[[#This Row],[Common Name]],NodesData[[#This Row],[Common Name]]&amp;" ("&amp;NodesData[[#This Row],[Class Disambiguation]]&amp;")")</f>
        <v>IT Component</v>
      </c>
      <c r="G258" s="18"/>
      <c r="I258" s="19" t="str" cm="1">
        <f t="array" ref="I258">"n"&amp;SUBSTITUTE(CreateGuidString(),"-","_")</f>
        <v>n9D1F026C_625D_4021_A130_989E8CCC8FE2</v>
      </c>
    </row>
    <row r="259" spans="1:9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9" s="12" t="s">
        <v>1342</v>
      </c>
      <c r="C259" s="13" t="s">
        <v>1844</v>
      </c>
      <c r="D259" s="36">
        <f>COUNTIF(NodesData[Node ID],NodesData[[#This Row],[Node ID]])</f>
        <v>1</v>
      </c>
      <c r="F259" s="18" t="str">
        <f>IF(NodesData[[#This Row],[Class Disambiguation]]="",NodesData[[#This Row],[Common Name]],NodesData[[#This Row],[Common Name]]&amp;" ("&amp;NodesData[[#This Row],[Class Disambiguation]]&amp;")")</f>
        <v>IT Hardware</v>
      </c>
      <c r="G259" s="18"/>
      <c r="I259" s="20" t="str" cm="1">
        <f t="array" ref="I259">"n"&amp;SUBSTITUTE(CreateGuidString(),"-","_")</f>
        <v>nDA6078F2_B8A2_4C0F_9CD7_6762FF4D16BC</v>
      </c>
    </row>
    <row r="260" spans="1:9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60" s="12" t="s">
        <v>1344</v>
      </c>
      <c r="C260" s="13" t="s">
        <v>1845</v>
      </c>
      <c r="D260" s="36">
        <f>COUNTIF(NodesData[Node ID],NodesData[[#This Row],[Node ID]])</f>
        <v>1</v>
      </c>
      <c r="F260" s="18" t="str">
        <f>IF(NodesData[[#This Row],[Class Disambiguation]]="",NodesData[[#This Row],[Common Name]],NodesData[[#This Row],[Common Name]]&amp;" ("&amp;NodesData[[#This Row],[Class Disambiguation]]&amp;")")</f>
        <v>IT Software</v>
      </c>
      <c r="G260" s="18"/>
      <c r="I260" s="20" t="str" cm="1">
        <f t="array" ref="I260">"n"&amp;SUBSTITUTE(CreateGuidString(),"-","_")</f>
        <v>n42929DE3_106F_43B1_B589_64EDD95D64AF</v>
      </c>
    </row>
    <row r="261" spans="1:9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61" s="12" t="s">
        <v>261</v>
      </c>
      <c r="C261" s="13" t="s">
        <v>1587</v>
      </c>
      <c r="D261" s="36">
        <f>COUNTIF(NodesData[Node ID],NodesData[[#This Row],[Node ID]])</f>
        <v>1</v>
      </c>
      <c r="F261" s="12" t="str">
        <f>IF(NodesData[[#This Row],[Class Disambiguation]]="",NodesData[[#This Row],[Common Name]],NodesData[[#This Row],[Common Name]]&amp;" ("&amp;NodesData[[#This Row],[Class Disambiguation]]&amp;")")</f>
        <v>IT System</v>
      </c>
      <c r="H261" s="12" t="s">
        <v>889</v>
      </c>
      <c r="I261" s="19" t="str" cm="1">
        <f t="array" ref="I261">"n"&amp;SUBSTITUTE(CreateGuidString(),"-","_")</f>
        <v>nA0A5A0CA_4E20_44C2_9FA3_AE9DADCE8091</v>
      </c>
    </row>
    <row r="262" spans="1:9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62" s="12" t="s">
        <v>890</v>
      </c>
      <c r="C262" s="13" t="s">
        <v>1588</v>
      </c>
      <c r="D262" s="36">
        <f>COUNTIF(NodesData[Node ID],NodesData[[#This Row],[Node ID]])</f>
        <v>1</v>
      </c>
      <c r="E262" s="12" t="s">
        <v>1270</v>
      </c>
      <c r="F262" s="12" t="str">
        <f>IF(NodesData[[#This Row],[Class Disambiguation]]="",NodesData[[#This Row],[Common Name]],NodesData[[#This Row],[Common Name]]&amp;" ("&amp;NodesData[[#This Row],[Class Disambiguation]]&amp;")")</f>
        <v>JML (Acronym)</v>
      </c>
      <c r="H262" s="12" t="s">
        <v>891</v>
      </c>
      <c r="I262" s="19" t="str" cm="1">
        <f t="array" ref="I262">"n"&amp;SUBSTITUTE(CreateGuidString(),"-","_")</f>
        <v>n94022CA9_D8AB_4032_9101_A9866BB207CC</v>
      </c>
    </row>
    <row r="263" spans="1:9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3" s="12" t="s">
        <v>892</v>
      </c>
      <c r="C263" s="13" t="s">
        <v>1589</v>
      </c>
      <c r="D263" s="36">
        <f>COUNTIF(NodesData[Node ID],NodesData[[#This Row],[Node ID]])</f>
        <v>1</v>
      </c>
      <c r="F263" s="12" t="str">
        <f>IF(NodesData[[#This Row],[Class Disambiguation]]="",NodesData[[#This Row],[Common Name]],NodesData[[#This Row],[Common Name]]&amp;" ("&amp;NodesData[[#This Row],[Class Disambiguation]]&amp;")")</f>
        <v>Joiner</v>
      </c>
      <c r="H263" s="12" t="s">
        <v>893</v>
      </c>
      <c r="I263" s="19" t="str" cm="1">
        <f t="array" ref="I263">"n"&amp;SUBSTITUTE(CreateGuidString(),"-","_")</f>
        <v>n8989446C_62E8_473D_B3A3_88A259CD3078</v>
      </c>
    </row>
    <row r="264" spans="1:9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4" s="12" t="s">
        <v>894</v>
      </c>
      <c r="C264" s="13" t="s">
        <v>1590</v>
      </c>
      <c r="D264" s="36">
        <f>COUNTIF(NodesData[Node ID],NodesData[[#This Row],[Node ID]])</f>
        <v>1</v>
      </c>
      <c r="F264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H264" s="12" t="s">
        <v>895</v>
      </c>
      <c r="I264" s="19" t="str" cm="1">
        <f t="array" ref="I264">"n"&amp;SUBSTITUTE(CreateGuidString(),"-","_")</f>
        <v>n91C0B3D6_4FAB_4BBB_B320_D1F36BD5670A</v>
      </c>
    </row>
    <row r="265" spans="1:9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5" s="12" t="s">
        <v>896</v>
      </c>
      <c r="C265" s="13" t="s">
        <v>1591</v>
      </c>
      <c r="D265" s="36">
        <f>COUNTIF(NodesData[Node ID],NodesData[[#This Row],[Node ID]])</f>
        <v>1</v>
      </c>
      <c r="F265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H265" s="12" t="s">
        <v>897</v>
      </c>
      <c r="I265" s="19" t="str" cm="1">
        <f t="array" ref="I265">"n"&amp;SUBSTITUTE(CreateGuidString(),"-","_")</f>
        <v>nCE6A5A0D_88EC_4369_B9D0_9AFFEC01DD21</v>
      </c>
    </row>
    <row r="266" spans="1:9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6" s="12" t="s">
        <v>898</v>
      </c>
      <c r="C266" s="13" t="s">
        <v>1592</v>
      </c>
      <c r="D266" s="36">
        <f>COUNTIF(NodesData[Node ID],NodesData[[#This Row],[Node ID]])</f>
        <v>1</v>
      </c>
      <c r="F266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H266" s="12" t="s">
        <v>899</v>
      </c>
      <c r="I266" s="19" t="str" cm="1">
        <f t="array" ref="I266">"n"&amp;SUBSTITUTE(CreateGuidString(),"-","_")</f>
        <v>nB94B1E5F_9722_4413_B69F_57C029CE0E39</v>
      </c>
    </row>
    <row r="267" spans="1:9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7" s="12" t="s">
        <v>900</v>
      </c>
      <c r="C267" s="13" t="s">
        <v>1593</v>
      </c>
      <c r="D267" s="36">
        <f>COUNTIF(NodesData[Node ID],NodesData[[#This Row],[Node ID]])</f>
        <v>1</v>
      </c>
      <c r="F267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H267" s="12" t="s">
        <v>901</v>
      </c>
      <c r="I267" s="19" t="str" cm="1">
        <f t="array" ref="I267">"n"&amp;SUBSTITUTE(CreateGuidString(),"-","_")</f>
        <v>n388C65A7_B691_4A77_8E75_1B5B4C5C5FAC</v>
      </c>
    </row>
    <row r="268" spans="1:9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8" s="12" t="s">
        <v>902</v>
      </c>
      <c r="C268" s="13" t="s">
        <v>1594</v>
      </c>
      <c r="D268" s="36">
        <f>COUNTIF(NodesData[Node ID],NodesData[[#This Row],[Node ID]])</f>
        <v>1</v>
      </c>
      <c r="F268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H268" s="12" t="s">
        <v>903</v>
      </c>
      <c r="I268" s="19" t="str" cm="1">
        <f t="array" ref="I268">"n"&amp;SUBSTITUTE(CreateGuidString(),"-","_")</f>
        <v>nE42AC351_00CE_4D13_A7F1_68FF909CF489</v>
      </c>
    </row>
    <row r="269" spans="1:9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9" s="12" t="s">
        <v>904</v>
      </c>
      <c r="C269" s="13" t="s">
        <v>1595</v>
      </c>
      <c r="D269" s="36">
        <f>COUNTIF(NodesData[Node ID],NodesData[[#This Row],[Node ID]])</f>
        <v>1</v>
      </c>
      <c r="F269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H269" s="12" t="s">
        <v>905</v>
      </c>
      <c r="I269" s="19" t="str" cm="1">
        <f t="array" ref="I269">"n"&amp;SUBSTITUTE(CreateGuidString(),"-","_")</f>
        <v>n73BE78B2_EBEA_4732_A2F6_42DA6B8D1A96</v>
      </c>
    </row>
    <row r="270" spans="1:9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70" s="12" t="s">
        <v>906</v>
      </c>
      <c r="C270" s="13" t="s">
        <v>1596</v>
      </c>
      <c r="D270" s="36">
        <f>COUNTIF(NodesData[Node ID],NodesData[[#This Row],[Node ID]])</f>
        <v>1</v>
      </c>
      <c r="F270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H270" s="12" t="s">
        <v>907</v>
      </c>
      <c r="I270" s="19" t="str" cm="1">
        <f t="array" ref="I270">"n"&amp;SUBSTITUTE(CreateGuidString(),"-","_")</f>
        <v>n0D92302D_C39A_4890_A703_4374386ED575</v>
      </c>
    </row>
    <row r="271" spans="1:9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71" s="12" t="s">
        <v>1311</v>
      </c>
      <c r="C271" s="13" t="s">
        <v>1599</v>
      </c>
      <c r="D271" s="36">
        <f>COUNTIF(NodesData[Node ID],NodesData[[#This Row],[Node ID]])</f>
        <v>1</v>
      </c>
      <c r="F271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I271" s="19" t="str" cm="1">
        <f t="array" ref="I271">"n"&amp;SUBSTITUTE(CreateGuidString(),"-","_")</f>
        <v>nE30B6BA2_375F_4571_9864_40A6F651431B</v>
      </c>
    </row>
    <row r="272" spans="1:9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72" s="12" t="s">
        <v>2</v>
      </c>
      <c r="C272" s="13" t="s">
        <v>1598</v>
      </c>
      <c r="D272" s="36">
        <f>COUNTIF(NodesData[Node ID],NodesData[[#This Row],[Node ID]])</f>
        <v>1</v>
      </c>
      <c r="F272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I272" s="19" t="str" cm="1">
        <f t="array" ref="I272">"n"&amp;SUBSTITUTE(CreateGuidString(),"-","_")</f>
        <v>n9DE1A2D2_D9DC_411F_9751_C460D69B66E1</v>
      </c>
    </row>
    <row r="273" spans="1:9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3" s="12" t="s">
        <v>1313</v>
      </c>
      <c r="C273" s="13" t="s">
        <v>1620</v>
      </c>
      <c r="D273" s="36">
        <f>COUNTIF(NodesData[Node ID],NodesData[[#This Row],[Node ID]])</f>
        <v>1</v>
      </c>
      <c r="F273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I273" s="19" t="str" cm="1">
        <f t="array" ref="I273">"n"&amp;SUBSTITUTE(CreateGuidString(),"-","_")</f>
        <v>n3DE5E9D5_F19D_43E0_BF42_814CC50179F1</v>
      </c>
    </row>
    <row r="274" spans="1:9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4" s="12" t="s">
        <v>908</v>
      </c>
      <c r="C274" s="13" t="s">
        <v>1600</v>
      </c>
      <c r="D274" s="36">
        <f>COUNTIF(NodesData[Node ID],NodesData[[#This Row],[Node ID]])</f>
        <v>1</v>
      </c>
      <c r="E274" s="12" t="s">
        <v>1270</v>
      </c>
      <c r="F274" s="12" t="str">
        <f>IF(NodesData[[#This Row],[Class Disambiguation]]="",NodesData[[#This Row],[Common Name]],NodesData[[#This Row],[Common Name]]&amp;" ("&amp;NodesData[[#This Row],[Class Disambiguation]]&amp;")")</f>
        <v>KYC (Acronym)</v>
      </c>
      <c r="H274" s="12" t="s">
        <v>909</v>
      </c>
      <c r="I274" s="19" t="str" cm="1">
        <f t="array" ref="I274">"n"&amp;SUBSTITUTE(CreateGuidString(),"-","_")</f>
        <v>n141AF578_53DB_4F63_886B_EC070A5972A3</v>
      </c>
    </row>
    <row r="275" spans="1:9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5" s="12" t="s">
        <v>910</v>
      </c>
      <c r="C275" s="13" t="s">
        <v>1601</v>
      </c>
      <c r="D275" s="36">
        <f>COUNTIF(NodesData[Node ID],NodesData[[#This Row],[Node ID]])</f>
        <v>1</v>
      </c>
      <c r="F275" s="12" t="str">
        <f>IF(NodesData[[#This Row],[Class Disambiguation]]="",NodesData[[#This Row],[Common Name]],NodesData[[#This Row],[Common Name]]&amp;" ("&amp;NodesData[[#This Row],[Class Disambiguation]]&amp;")")</f>
        <v>KYC Registry</v>
      </c>
      <c r="H275" s="12" t="s">
        <v>911</v>
      </c>
      <c r="I275" s="19" t="str" cm="1">
        <f t="array" ref="I275">"n"&amp;SUBSTITUTE(CreateGuidString(),"-","_")</f>
        <v>nE8A5426A_8ECD_4F2F_9D5F_F9EB51EDDAE5</v>
      </c>
    </row>
    <row r="276" spans="1:9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6" s="12" t="s">
        <v>912</v>
      </c>
      <c r="C276" s="13" t="s">
        <v>1602</v>
      </c>
      <c r="D276" s="36">
        <f>COUNTIF(NodesData[Node ID],NodesData[[#This Row],[Node ID]])</f>
        <v>1</v>
      </c>
      <c r="F276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H276" s="12" t="s">
        <v>913</v>
      </c>
      <c r="I276" s="19" t="str" cm="1">
        <f t="array" ref="I276">"n"&amp;SUBSTITUTE(CreateGuidString(),"-","_")</f>
        <v>nCBF2EB3E_80FB_46DA_A257_BB78CC954BA8</v>
      </c>
    </row>
    <row r="277" spans="1:9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7" s="12" t="s">
        <v>914</v>
      </c>
      <c r="C277" s="13" t="s">
        <v>1603</v>
      </c>
      <c r="D277" s="36">
        <f>COUNTIF(NodesData[Node ID],NodesData[[#This Row],[Node ID]])</f>
        <v>1</v>
      </c>
      <c r="F277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H277" s="12" t="s">
        <v>915</v>
      </c>
      <c r="I277" s="19" t="str" cm="1">
        <f t="array" ref="I277">"n"&amp;SUBSTITUTE(CreateGuidString(),"-","_")</f>
        <v>n6E01EE56_7509_4619_9B6C_D819B11CDBC5</v>
      </c>
    </row>
    <row r="278" spans="1:9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8" s="12" t="s">
        <v>916</v>
      </c>
      <c r="C278" s="13" t="s">
        <v>1604</v>
      </c>
      <c r="D278" s="36">
        <f>COUNTIF(NodesData[Node ID],NodesData[[#This Row],[Node ID]])</f>
        <v>1</v>
      </c>
      <c r="E278" s="12" t="s">
        <v>1270</v>
      </c>
      <c r="F278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H278" s="12" t="s">
        <v>917</v>
      </c>
      <c r="I278" s="19" t="str" cm="1">
        <f t="array" ref="I278">"n"&amp;SUBSTITUTE(CreateGuidString(),"-","_")</f>
        <v>nCD4ACD8A_F5E2_4A61_80A9_26F601C0F8F2</v>
      </c>
    </row>
    <row r="279" spans="1:9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9" s="12" t="s">
        <v>918</v>
      </c>
      <c r="C279" s="13" t="s">
        <v>1605</v>
      </c>
      <c r="D279" s="36">
        <f>COUNTIF(NodesData[Node ID],NodesData[[#This Row],[Node ID]])</f>
        <v>1</v>
      </c>
      <c r="F279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H279" s="12" t="s">
        <v>919</v>
      </c>
      <c r="I279" s="19" t="str" cm="1">
        <f t="array" ref="I279">"n"&amp;SUBSTITUTE(CreateGuidString(),"-","_")</f>
        <v>n4987867E_F486_44AC_AB99_9BB7BCE12D52</v>
      </c>
    </row>
    <row r="280" spans="1:9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80" s="12" t="s">
        <v>920</v>
      </c>
      <c r="C280" s="13" t="s">
        <v>1606</v>
      </c>
      <c r="D280" s="36">
        <f>COUNTIF(NodesData[Node ID],NodesData[[#This Row],[Node ID]])</f>
        <v>1</v>
      </c>
      <c r="F280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H280" s="12" t="s">
        <v>921</v>
      </c>
      <c r="I280" s="19" t="str" cm="1">
        <f t="array" ref="I280">"n"&amp;SUBSTITUTE(CreateGuidString(),"-","_")</f>
        <v>nB5057CEA_D83A_40D9_9DA6_BFF0250144C2</v>
      </c>
    </row>
    <row r="281" spans="1:9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81" s="12" t="s">
        <v>922</v>
      </c>
      <c r="C281" s="13" t="s">
        <v>1607</v>
      </c>
      <c r="D281" s="36">
        <f>COUNTIF(NodesData[Node ID],NodesData[[#This Row],[Node ID]])</f>
        <v>1</v>
      </c>
      <c r="F281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H281" s="12" t="s">
        <v>923</v>
      </c>
      <c r="I281" s="19" t="str" cm="1">
        <f t="array" ref="I281">"n"&amp;SUBSTITUTE(CreateGuidString(),"-","_")</f>
        <v>n6AAEDBFB_C586_4A4F_BA77_477CEC3C6BEB</v>
      </c>
    </row>
    <row r="282" spans="1:9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82" s="12" t="s">
        <v>924</v>
      </c>
      <c r="C282" s="13" t="s">
        <v>1608</v>
      </c>
      <c r="D282" s="36">
        <f>COUNTIF(NodesData[Node ID],NodesData[[#This Row],[Node ID]])</f>
        <v>1</v>
      </c>
      <c r="F282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H282" s="12" t="s">
        <v>925</v>
      </c>
      <c r="I282" s="19" t="str" cm="1">
        <f t="array" ref="I282">"n"&amp;SUBSTITUTE(CreateGuidString(),"-","_")</f>
        <v>nE2AE7637_6499_4B76_91E0_A937A323827A</v>
      </c>
    </row>
    <row r="283" spans="1:9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3" s="12" t="s">
        <v>926</v>
      </c>
      <c r="C283" s="13" t="s">
        <v>1609</v>
      </c>
      <c r="D283" s="36">
        <f>COUNTIF(NodesData[Node ID],NodesData[[#This Row],[Node ID]])</f>
        <v>1</v>
      </c>
      <c r="E283" s="12" t="s">
        <v>1270</v>
      </c>
      <c r="F283" s="12" t="str">
        <f>IF(NodesData[[#This Row],[Class Disambiguation]]="",NodesData[[#This Row],[Common Name]],NodesData[[#This Row],[Common Name]]&amp;" ("&amp;NodesData[[#This Row],[Class Disambiguation]]&amp;")")</f>
        <v>LEI (Acronym)</v>
      </c>
      <c r="H283" s="12" t="s">
        <v>927</v>
      </c>
      <c r="I283" s="19" t="str" cm="1">
        <f t="array" ref="I283">"n"&amp;SUBSTITUTE(CreateGuidString(),"-","_")</f>
        <v>n45DE9F9D_3E42_4926_B782_C5FCA1C943AF</v>
      </c>
    </row>
    <row r="284" spans="1:9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4" s="12" t="s">
        <v>928</v>
      </c>
      <c r="C284" s="13" t="s">
        <v>1610</v>
      </c>
      <c r="D284" s="36">
        <f>COUNTIF(NodesData[Node ID],NodesData[[#This Row],[Node ID]])</f>
        <v>1</v>
      </c>
      <c r="F284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H284" s="12" t="s">
        <v>929</v>
      </c>
      <c r="I284" s="19" t="str" cm="1">
        <f t="array" ref="I284">"n"&amp;SUBSTITUTE(CreateGuidString(),"-","_")</f>
        <v>n3E9E0102_5911_4271_807B_DB978534BF52</v>
      </c>
    </row>
    <row r="285" spans="1:9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5" s="12" t="s">
        <v>930</v>
      </c>
      <c r="C285" s="13" t="s">
        <v>1611</v>
      </c>
      <c r="D285" s="36">
        <f>COUNTIF(NodesData[Node ID],NodesData[[#This Row],[Node ID]])</f>
        <v>1</v>
      </c>
      <c r="F285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H285" s="12" t="s">
        <v>931</v>
      </c>
      <c r="I285" s="19" t="str" cm="1">
        <f t="array" ref="I285">"n"&amp;SUBSTITUTE(CreateGuidString(),"-","_")</f>
        <v>nACF19EDF_F2C9_4F09_B716_2F3556A274F5</v>
      </c>
    </row>
    <row r="286" spans="1:9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6" s="12" t="s">
        <v>932</v>
      </c>
      <c r="C286" s="13" t="s">
        <v>1612</v>
      </c>
      <c r="D286" s="36">
        <f>COUNTIF(NodesData[Node ID],NodesData[[#This Row],[Node ID]])</f>
        <v>1</v>
      </c>
      <c r="E286" s="12" t="s">
        <v>1270</v>
      </c>
      <c r="F286" s="12" t="str">
        <f>IF(NodesData[[#This Row],[Class Disambiguation]]="",NodesData[[#This Row],[Common Name]],NodesData[[#This Row],[Common Name]]&amp;" ("&amp;NodesData[[#This Row],[Class Disambiguation]]&amp;")")</f>
        <v>LOA (Acronym)</v>
      </c>
      <c r="H286" s="12" t="s">
        <v>933</v>
      </c>
      <c r="I286" s="19" t="str" cm="1">
        <f t="array" ref="I286">"n"&amp;SUBSTITUTE(CreateGuidString(),"-","_")</f>
        <v>nCA6EF715_374E_454A_8B43_FC4E19907EF3</v>
      </c>
    </row>
    <row r="287" spans="1:9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7" s="12" t="s">
        <v>1296</v>
      </c>
      <c r="C287" s="13" t="s">
        <v>1613</v>
      </c>
      <c r="D287" s="36">
        <f>COUNTIF(NodesData[Node ID],NodesData[[#This Row],[Node ID]])</f>
        <v>1</v>
      </c>
      <c r="F287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I287" s="19" t="str" cm="1">
        <f t="array" ref="I287">"n"&amp;SUBSTITUTE(CreateGuidString(),"-","_")</f>
        <v>nE9563F31_08EE_42D3_B480_01E975A6F16E</v>
      </c>
    </row>
    <row r="288" spans="1:9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8" s="12" t="s">
        <v>285</v>
      </c>
      <c r="C288" s="13" t="s">
        <v>1614</v>
      </c>
      <c r="D288" s="36">
        <f>COUNTIF(NodesData[Node ID],NodesData[[#This Row],[Node ID]])</f>
        <v>1</v>
      </c>
      <c r="F288" s="12" t="str">
        <f>IF(NodesData[[#This Row],[Class Disambiguation]]="",NodesData[[#This Row],[Common Name]],NodesData[[#This Row],[Common Name]]&amp;" ("&amp;NodesData[[#This Row],[Class Disambiguation]]&amp;")")</f>
        <v>Logic Bomb</v>
      </c>
      <c r="H288" s="12" t="s">
        <v>934</v>
      </c>
      <c r="I288" s="19" t="str" cm="1">
        <f t="array" ref="I288">"n"&amp;SUBSTITUTE(CreateGuidString(),"-","_")</f>
        <v>n9494D172_C4BC_4609_8807_9F21E771FAF8</v>
      </c>
    </row>
    <row r="289" spans="1:9" x14ac:dyDescent="0.35">
      <c r="A2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9" s="12" t="s">
        <v>286</v>
      </c>
      <c r="C289" s="13" t="s">
        <v>1615</v>
      </c>
      <c r="D289" s="36">
        <f>COUNTIF(NodesData[Node ID],NodesData[[#This Row],[Node ID]])</f>
        <v>1</v>
      </c>
      <c r="F289" s="12" t="str">
        <f>IF(NodesData[[#This Row],[Class Disambiguation]]="",NodesData[[#This Row],[Common Name]],NodesData[[#This Row],[Common Name]]&amp;" ("&amp;NodesData[[#This Row],[Class Disambiguation]]&amp;")")</f>
        <v>Login</v>
      </c>
      <c r="H289" s="12" t="s">
        <v>935</v>
      </c>
      <c r="I289" s="19" t="str" cm="1">
        <f t="array" ref="I289">"n"&amp;SUBSTITUTE(CreateGuidString(),"-","_")</f>
        <v>nB3001B3B_B469_4B6A_A00E_4CC0EC2E412C</v>
      </c>
    </row>
    <row r="290" spans="1:9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90" s="12" t="s">
        <v>287</v>
      </c>
      <c r="C290" s="13" t="s">
        <v>1616</v>
      </c>
      <c r="D290" s="36">
        <f>COUNTIF(NodesData[Node ID],NodesData[[#This Row],[Node ID]])</f>
        <v>1</v>
      </c>
      <c r="E290" s="12" t="s">
        <v>1270</v>
      </c>
      <c r="F290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H290" s="12" t="s">
        <v>936</v>
      </c>
      <c r="I290" s="19" t="str" cm="1">
        <f t="array" ref="I290">"n"&amp;SUBSTITUTE(CreateGuidString(),"-","_")</f>
        <v>n4D526468_30DF_4EDF_BD52_4A342A501120</v>
      </c>
    </row>
    <row r="291" spans="1:9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91" s="12" t="s">
        <v>288</v>
      </c>
      <c r="C291" s="13" t="s">
        <v>1617</v>
      </c>
      <c r="D291" s="36">
        <f>COUNTIF(NodesData[Node ID],NodesData[[#This Row],[Node ID]])</f>
        <v>1</v>
      </c>
      <c r="F291" s="12" t="str">
        <f>IF(NodesData[[#This Row],[Class Disambiguation]]="",NodesData[[#This Row],[Common Name]],NodesData[[#This Row],[Common Name]]&amp;" ("&amp;NodesData[[#This Row],[Class Disambiguation]]&amp;")")</f>
        <v>Login Name</v>
      </c>
      <c r="H291" s="12" t="s">
        <v>937</v>
      </c>
      <c r="I291" s="19" t="str" cm="1">
        <f t="array" ref="I291">"n"&amp;SUBSTITUTE(CreateGuidString(),"-","_")</f>
        <v>n319B1447_AD92_422F_BCE9_571D47C2C6B4</v>
      </c>
    </row>
    <row r="292" spans="1:9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92" s="11" t="s">
        <v>1911</v>
      </c>
      <c r="C292" s="13" t="s">
        <v>1912</v>
      </c>
      <c r="D292" s="36">
        <f>COUNTIF(NodesData[Node ID],NodesData[[#This Row],[Node ID]])</f>
        <v>1</v>
      </c>
      <c r="E292" s="11" t="s">
        <v>1829</v>
      </c>
      <c r="F292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G292" s="11"/>
      <c r="H292" s="35" t="s">
        <v>1916</v>
      </c>
      <c r="I292" s="20" t="str" cm="1">
        <f t="array" ref="I292">"n"&amp;SUBSTITUTE(CreateGuidString(),"-","_")</f>
        <v>n0011C32C_A141_4D37_BD2A_62417C01D7A9</v>
      </c>
    </row>
    <row r="293" spans="1:9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3" s="12" t="s">
        <v>938</v>
      </c>
      <c r="C293" s="13" t="s">
        <v>1618</v>
      </c>
      <c r="D293" s="36">
        <f>COUNTIF(NodesData[Node ID],NodesData[[#This Row],[Node ID]])</f>
        <v>1</v>
      </c>
      <c r="F293" s="12" t="str">
        <f>IF(NodesData[[#This Row],[Class Disambiguation]]="",NodesData[[#This Row],[Common Name]],NodesData[[#This Row],[Common Name]]&amp;" ("&amp;NodesData[[#This Row],[Class Disambiguation]]&amp;")")</f>
        <v>Mechanism</v>
      </c>
      <c r="H293" s="12" t="s">
        <v>939</v>
      </c>
      <c r="I293" s="19" t="str" cm="1">
        <f t="array" ref="I293">"n"&amp;SUBSTITUTE(CreateGuidString(),"-","_")</f>
        <v>n0DBC6E47_D1FA_4D67_ABEB_20FE2ACD51C2</v>
      </c>
    </row>
    <row r="294" spans="1:9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4" s="12" t="s">
        <v>940</v>
      </c>
      <c r="C294" s="13" t="s">
        <v>1619</v>
      </c>
      <c r="D294" s="36">
        <f>COUNTIF(NodesData[Node ID],NodesData[[#This Row],[Node ID]])</f>
        <v>1</v>
      </c>
      <c r="F294" s="12" t="str">
        <f>IF(NodesData[[#This Row],[Class Disambiguation]]="",NodesData[[#This Row],[Common Name]],NodesData[[#This Row],[Common Name]]&amp;" ("&amp;NodesData[[#This Row],[Class Disambiguation]]&amp;")")</f>
        <v>Metadirectory</v>
      </c>
      <c r="H294" s="12" t="s">
        <v>941</v>
      </c>
      <c r="I294" s="19" t="str" cm="1">
        <f t="array" ref="I294">"n"&amp;SUBSTITUTE(CreateGuidString(),"-","_")</f>
        <v>n858667D3_CAE1_4315_B3BF_EBCE03304992</v>
      </c>
    </row>
    <row r="295" spans="1:9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5" s="12" t="s">
        <v>942</v>
      </c>
      <c r="C295" s="13" t="s">
        <v>1621</v>
      </c>
      <c r="D295" s="36">
        <f>COUNTIF(NodesData[Node ID],NodesData[[#This Row],[Node ID]])</f>
        <v>1</v>
      </c>
      <c r="F295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H295" s="12" t="s">
        <v>943</v>
      </c>
      <c r="I295" s="19" t="str" cm="1">
        <f t="array" ref="I295">"n"&amp;SUBSTITUTE(CreateGuidString(),"-","_")</f>
        <v>n9F06A487_233D_426F_BC30_A60F03763C9A</v>
      </c>
    </row>
    <row r="296" spans="1:9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6" s="12" t="s">
        <v>944</v>
      </c>
      <c r="C296" s="13" t="s">
        <v>1622</v>
      </c>
      <c r="D296" s="36">
        <f>COUNTIF(NodesData[Node ID],NodesData[[#This Row],[Node ID]])</f>
        <v>1</v>
      </c>
      <c r="F296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H296" s="12" t="s">
        <v>945</v>
      </c>
      <c r="I296" s="19" t="str" cm="1">
        <f t="array" ref="I296">"n"&amp;SUBSTITUTE(CreateGuidString(),"-","_")</f>
        <v>nA97C1DEC_82B4_444B_A59B_3C759A09B1D8</v>
      </c>
    </row>
    <row r="297" spans="1:9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7" s="11" t="s">
        <v>1839</v>
      </c>
      <c r="C297" s="13" t="s">
        <v>1624</v>
      </c>
      <c r="D297" s="36">
        <f>COUNTIF(NodesData[Node ID],NodesData[[#This Row],[Node ID]])</f>
        <v>1</v>
      </c>
      <c r="F297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I297" s="19" t="str" cm="1">
        <f t="array" ref="I297">"n"&amp;SUBSTITUTE(CreateGuidString(),"-","_")</f>
        <v>n0F1D97F4_054E_49CD_B379_2B1FD0D64E08</v>
      </c>
    </row>
    <row r="298" spans="1:9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8" s="12" t="s">
        <v>305</v>
      </c>
      <c r="C298" s="13" t="s">
        <v>1623</v>
      </c>
      <c r="D298" s="36">
        <f>COUNTIF(NodesData[Node ID],NodesData[[#This Row],[Node ID]])</f>
        <v>1</v>
      </c>
      <c r="F298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H298" s="12" t="s">
        <v>946</v>
      </c>
      <c r="I298" s="19" t="str" cm="1">
        <f t="array" ref="I298">"n"&amp;SUBSTITUTE(CreateGuidString(),"-","_")</f>
        <v>n54BF450C_9E2A_4283_87D0_B8B71CD6FAA4</v>
      </c>
    </row>
    <row r="299" spans="1:9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9" s="12" t="s">
        <v>947</v>
      </c>
      <c r="C299" s="13" t="s">
        <v>1630</v>
      </c>
      <c r="D299" s="36">
        <f>COUNTIF(NodesData[Node ID],NodesData[[#This Row],[Node ID]])</f>
        <v>1</v>
      </c>
      <c r="F299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H299" s="12" t="s">
        <v>948</v>
      </c>
      <c r="I299" s="19" t="str" cm="1">
        <f t="array" ref="I299">"n"&amp;SUBSTITUTE(CreateGuidString(),"-","_")</f>
        <v>nDE4661ED_046E_49C0_AFEC_5E6952DCD38B</v>
      </c>
    </row>
    <row r="300" spans="1:9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300" s="12" t="s">
        <v>307</v>
      </c>
      <c r="C300" s="13" t="s">
        <v>1625</v>
      </c>
      <c r="D300" s="36">
        <f>COUNTIF(NodesData[Node ID],NodesData[[#This Row],[Node ID]])</f>
        <v>1</v>
      </c>
      <c r="F300" s="12" t="str">
        <f>IF(NodesData[[#This Row],[Class Disambiguation]]="",NodesData[[#This Row],[Common Name]],NodesData[[#This Row],[Common Name]]&amp;" ("&amp;NodesData[[#This Row],[Class Disambiguation]]&amp;")")</f>
        <v>Need-to-Know</v>
      </c>
      <c r="H300" s="12" t="s">
        <v>949</v>
      </c>
      <c r="I300" s="19" t="str" cm="1">
        <f t="array" ref="I300">"n"&amp;SUBSTITUTE(CreateGuidString(),"-","_")</f>
        <v>nDB2E2F0E_B216_45C5_940C_C483AFF43DFD</v>
      </c>
    </row>
    <row r="301" spans="1:9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1" s="12" t="s">
        <v>950</v>
      </c>
      <c r="C301" s="13" t="s">
        <v>1626</v>
      </c>
      <c r="D301" s="36">
        <f>COUNTIF(NodesData[Node ID],NodesData[[#This Row],[Node ID]])</f>
        <v>1</v>
      </c>
      <c r="F301" s="12" t="str">
        <f>IF(NodesData[[#This Row],[Class Disambiguation]]="",NodesData[[#This Row],[Common Name]],NodesData[[#This Row],[Common Name]]&amp;" ("&amp;NodesData[[#This Row],[Class Disambiguation]]&amp;")")</f>
        <v>New Joiner</v>
      </c>
      <c r="H301" s="12" t="s">
        <v>951</v>
      </c>
      <c r="I301" s="19" t="str" cm="1">
        <f t="array" ref="I301">"n"&amp;SUBSTITUTE(CreateGuidString(),"-","_")</f>
        <v>n21D5817B_C1F1_4720_85A8_9A055568ABB3</v>
      </c>
    </row>
    <row r="302" spans="1:9" x14ac:dyDescent="0.35">
      <c r="A3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2" s="12" t="s">
        <v>952</v>
      </c>
      <c r="C302" s="13" t="s">
        <v>1627</v>
      </c>
      <c r="D302" s="36">
        <f>COUNTIF(NodesData[Node ID],NodesData[[#This Row],[Node ID]])</f>
        <v>1</v>
      </c>
      <c r="F302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H302" s="12" t="s">
        <v>953</v>
      </c>
      <c r="I302" s="19" t="str" cm="1">
        <f t="array" ref="I302">"n"&amp;SUBSTITUTE(CreateGuidString(),"-","_")</f>
        <v>nDF8AFBB4_42DF_4C42_A6A6_86A758742489</v>
      </c>
    </row>
    <row r="303" spans="1:9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12" t="s">
        <v>954</v>
      </c>
      <c r="C303" s="13" t="s">
        <v>1628</v>
      </c>
      <c r="D303" s="36">
        <f>COUNTIF(NodesData[Node ID],NodesData[[#This Row],[Node ID]])</f>
        <v>1</v>
      </c>
      <c r="F303" s="12" t="str">
        <f>IF(NodesData[[#This Row],[Class Disambiguation]]="",NodesData[[#This Row],[Common Name]],NodesData[[#This Row],[Common Name]]&amp;" ("&amp;NodesData[[#This Row],[Class Disambiguation]]&amp;")")</f>
        <v>Nonworker</v>
      </c>
      <c r="H303" s="12" t="s">
        <v>955</v>
      </c>
      <c r="I303" s="19" t="str" cm="1">
        <f t="array" ref="I303">"n"&amp;SUBSTITUTE(CreateGuidString(),"-","_")</f>
        <v>nACC21D56_1151_46A4_A588_41F2A0E3A8E6</v>
      </c>
    </row>
    <row r="304" spans="1:9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12" t="s">
        <v>312</v>
      </c>
      <c r="C304" s="13" t="s">
        <v>1629</v>
      </c>
      <c r="D304" s="36">
        <f>COUNTIF(NodesData[Node ID],NodesData[[#This Row],[Node ID]])</f>
        <v>1</v>
      </c>
      <c r="F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H304" s="12" t="s">
        <v>956</v>
      </c>
      <c r="I304" s="19" t="str" cm="1">
        <f t="array" ref="I304">"n"&amp;SUBSTITUTE(CreateGuidString(),"-","_")</f>
        <v>n74175AC3_D3BE_4876_894F_6895DC6C28BB</v>
      </c>
    </row>
    <row r="305" spans="1:9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12" t="s">
        <v>957</v>
      </c>
      <c r="C305" s="13" t="s">
        <v>1633</v>
      </c>
      <c r="D305" s="36">
        <f>COUNTIF(NodesData[Node ID],NodesData[[#This Row],[Node ID]])</f>
        <v>1</v>
      </c>
      <c r="E305" s="12" t="s">
        <v>1270</v>
      </c>
      <c r="F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H305" s="12" t="s">
        <v>958</v>
      </c>
      <c r="I305" s="19" t="str" cm="1">
        <f t="array" ref="I305">"n"&amp;SUBSTITUTE(CreateGuidString(),"-","_")</f>
        <v>n81D46BC2_F598_4898_A9BC_09CC57222773</v>
      </c>
    </row>
    <row r="306" spans="1:9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12" t="s">
        <v>959</v>
      </c>
      <c r="C306" s="13" t="s">
        <v>1631</v>
      </c>
      <c r="D306" s="36">
        <f>COUNTIF(NodesData[Node ID],NodesData[[#This Row],[Node ID]])</f>
        <v>1</v>
      </c>
      <c r="F306" s="12" t="str">
        <f>IF(NodesData[[#This Row],[Class Disambiguation]]="",NodesData[[#This Row],[Common Name]],NodesData[[#This Row],[Common Name]]&amp;" ("&amp;NodesData[[#This Row],[Class Disambiguation]]&amp;")")</f>
        <v>Object</v>
      </c>
      <c r="H306" s="12" t="s">
        <v>960</v>
      </c>
      <c r="I306" s="19" t="str" cm="1">
        <f t="array" ref="I306">"n"&amp;SUBSTITUTE(CreateGuidString(),"-","_")</f>
        <v>n2B5494F6_844F_4ED4_B0EA_EEE4FC58F3B3</v>
      </c>
    </row>
    <row r="307" spans="1:9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12" t="s">
        <v>961</v>
      </c>
      <c r="C307" s="13" t="s">
        <v>1632</v>
      </c>
      <c r="D307" s="36">
        <f>COUNTIF(NodesData[Node ID],NodesData[[#This Row],[Node ID]])</f>
        <v>1</v>
      </c>
      <c r="F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H307" s="12" t="s">
        <v>962</v>
      </c>
      <c r="I307" s="19" t="str" cm="1">
        <f t="array" ref="I307">"n"&amp;SUBSTITUTE(CreateGuidString(),"-","_")</f>
        <v>n0A1149A3_583D_41F3_AC23_45DB70B7860F</v>
      </c>
    </row>
    <row r="308" spans="1:9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12" t="s">
        <v>1318</v>
      </c>
      <c r="C308" s="13" t="s">
        <v>1650</v>
      </c>
      <c r="D308" s="36">
        <f>COUNTIF(NodesData[Node ID],NodesData[[#This Row],[Node ID]])</f>
        <v>1</v>
      </c>
      <c r="F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I308" s="19" t="str" cm="1">
        <f t="array" ref="I308">"n"&amp;SUBSTITUTE(CreateGuidString(),"-","_")</f>
        <v>nC6A649B5_F815_4F53_A536_6358B701FF15</v>
      </c>
    </row>
    <row r="309" spans="1:9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12" t="s">
        <v>963</v>
      </c>
      <c r="C309" s="13" t="s">
        <v>1634</v>
      </c>
      <c r="D309" s="36">
        <f>COUNTIF(NodesData[Node ID],NodesData[[#This Row],[Node ID]])</f>
        <v>1</v>
      </c>
      <c r="E309" s="12" t="s">
        <v>1270</v>
      </c>
      <c r="F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H309" s="12" t="s">
        <v>964</v>
      </c>
      <c r="I309" s="19" t="str" cm="1">
        <f t="array" ref="I309">"n"&amp;SUBSTITUTE(CreateGuidString(),"-","_")</f>
        <v>nF68A29A7_021A_4C93_A25F_18B5448893B7</v>
      </c>
    </row>
    <row r="310" spans="1:9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12" t="s">
        <v>965</v>
      </c>
      <c r="C310" s="13" t="s">
        <v>1635</v>
      </c>
      <c r="D310" s="36">
        <f>COUNTIF(NodesData[Node ID],NodesData[[#This Row],[Node ID]])</f>
        <v>1</v>
      </c>
      <c r="F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H310" s="12" t="s">
        <v>966</v>
      </c>
      <c r="I310" s="19" t="str" cm="1">
        <f t="array" ref="I310">"n"&amp;SUBSTITUTE(CreateGuidString(),"-","_")</f>
        <v>nB9243CD7_A478_462C_8740_EE95A395A0E8</v>
      </c>
    </row>
    <row r="311" spans="1:9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12" t="s">
        <v>967</v>
      </c>
      <c r="C311" s="13" t="s">
        <v>1636</v>
      </c>
      <c r="D311" s="36">
        <f>COUNTIF(NodesData[Node ID],NodesData[[#This Row],[Node ID]])</f>
        <v>1</v>
      </c>
      <c r="F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H311" s="12" t="s">
        <v>968</v>
      </c>
      <c r="I311" s="19" t="str" cm="1">
        <f t="array" ref="I311">"n"&amp;SUBSTITUTE(CreateGuidString(),"-","_")</f>
        <v>n184E246D_5925_47A2_8FE4_EDF8CFD99571</v>
      </c>
    </row>
    <row r="312" spans="1:9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12" t="s">
        <v>969</v>
      </c>
      <c r="C312" s="13" t="s">
        <v>1637</v>
      </c>
      <c r="D312" s="36">
        <f>COUNTIF(NodesData[Node ID],NodesData[[#This Row],[Node ID]])</f>
        <v>1</v>
      </c>
      <c r="F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H312" s="12" t="s">
        <v>970</v>
      </c>
      <c r="I312" s="19" t="str" cm="1">
        <f t="array" ref="I312">"n"&amp;SUBSTITUTE(CreateGuidString(),"-","_")</f>
        <v>nD3D28859_A757_4CA9_BFD7_FE752CE59B73</v>
      </c>
    </row>
    <row r="313" spans="1:9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12" t="s">
        <v>971</v>
      </c>
      <c r="C313" s="13" t="s">
        <v>1638</v>
      </c>
      <c r="D313" s="36">
        <f>COUNTIF(NodesData[Node ID],NodesData[[#This Row],[Node ID]])</f>
        <v>1</v>
      </c>
      <c r="F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H313" s="12" t="s">
        <v>972</v>
      </c>
      <c r="I313" s="19" t="str" cm="1">
        <f t="array" ref="I313">"n"&amp;SUBSTITUTE(CreateGuidString(),"-","_")</f>
        <v>n6CC056A4_6D3D_429B_B656_D4A927013093</v>
      </c>
    </row>
    <row r="314" spans="1:9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12" t="s">
        <v>1266</v>
      </c>
      <c r="C314" s="13" t="s">
        <v>1639</v>
      </c>
      <c r="D314" s="36">
        <f>COUNTIF(NodesData[Node ID],NodesData[[#This Row],[Node ID]])</f>
        <v>1</v>
      </c>
      <c r="F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H314" s="12" t="s">
        <v>973</v>
      </c>
      <c r="I314" s="19" t="str" cm="1">
        <f t="array" ref="I314">"n"&amp;SUBSTITUTE(CreateGuidString(),"-","_")</f>
        <v>n7BCEEA78_9040_4C6E_B20A_12ABD0108765</v>
      </c>
    </row>
    <row r="315" spans="1:9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12" t="s">
        <v>1267</v>
      </c>
      <c r="C315" s="13" t="s">
        <v>1640</v>
      </c>
      <c r="D315" s="36">
        <f>COUNTIF(NodesData[Node ID],NodesData[[#This Row],[Node ID]])</f>
        <v>1</v>
      </c>
      <c r="F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H315" s="12" t="s">
        <v>974</v>
      </c>
      <c r="I315" s="19" t="str" cm="1">
        <f t="array" ref="I315">"n"&amp;SUBSTITUTE(CreateGuidString(),"-","_")</f>
        <v>nE4C28ADE_3DF9_461E_8FC6_D5F5ABD27F9F</v>
      </c>
    </row>
    <row r="316" spans="1:9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12" t="s">
        <v>975</v>
      </c>
      <c r="C316" s="13" t="s">
        <v>1641</v>
      </c>
      <c r="D316" s="36">
        <f>COUNTIF(NodesData[Node ID],NodesData[[#This Row],[Node ID]])</f>
        <v>1</v>
      </c>
      <c r="F316" s="12" t="str">
        <f>IF(NodesData[[#This Row],[Class Disambiguation]]="",NodesData[[#This Row],[Common Name]],NodesData[[#This Row],[Common Name]]&amp;" ("&amp;NodesData[[#This Row],[Class Disambiguation]]&amp;")")</f>
        <v>Orphan</v>
      </c>
      <c r="H316" s="12" t="s">
        <v>976</v>
      </c>
      <c r="I316" s="19" t="str" cm="1">
        <f t="array" ref="I316">"n"&amp;SUBSTITUTE(CreateGuidString(),"-","_")</f>
        <v>nD1BF9119_FB5D_46CD_8DE2_3B253F51350A</v>
      </c>
    </row>
    <row r="317" spans="1:9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12" t="s">
        <v>329</v>
      </c>
      <c r="C317" s="13" t="s">
        <v>1642</v>
      </c>
      <c r="D317" s="36">
        <f>COUNTIF(NodesData[Node ID],NodesData[[#This Row],[Node ID]])</f>
        <v>1</v>
      </c>
      <c r="F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H317" s="12" t="s">
        <v>977</v>
      </c>
      <c r="I317" s="19" t="str" cm="1">
        <f t="array" ref="I317">"n"&amp;SUBSTITUTE(CreateGuidString(),"-","_")</f>
        <v>n7539BDBA_69E7_4002_8814_3628AB98C2C1</v>
      </c>
    </row>
    <row r="318" spans="1:9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12" t="s">
        <v>978</v>
      </c>
      <c r="C318" s="13" t="s">
        <v>1643</v>
      </c>
      <c r="D318" s="36">
        <f>COUNTIF(NodesData[Node ID],NodesData[[#This Row],[Node ID]])</f>
        <v>1</v>
      </c>
      <c r="F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H318" s="12" t="s">
        <v>979</v>
      </c>
      <c r="I318" s="19" t="str" cm="1">
        <f t="array" ref="I318">"n"&amp;SUBSTITUTE(CreateGuidString(),"-","_")</f>
        <v>nD6B592CC_1398_4042_9696_3D3CD75393F6</v>
      </c>
    </row>
    <row r="319" spans="1:9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12" t="s">
        <v>980</v>
      </c>
      <c r="C319" s="13" t="s">
        <v>1644</v>
      </c>
      <c r="D319" s="36">
        <f>COUNTIF(NodesData[Node ID],NodesData[[#This Row],[Node ID]])</f>
        <v>1</v>
      </c>
      <c r="F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H319" s="12" t="s">
        <v>981</v>
      </c>
      <c r="I319" s="19" t="str" cm="1">
        <f t="array" ref="I319">"n"&amp;SUBSTITUTE(CreateGuidString(),"-","_")</f>
        <v>n3CCDBE31_E2E2_4D04_9A27_054C0E810936</v>
      </c>
    </row>
    <row r="320" spans="1:9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12" t="s">
        <v>982</v>
      </c>
      <c r="C320" s="13" t="s">
        <v>1645</v>
      </c>
      <c r="D320" s="36">
        <f>COUNTIF(NodesData[Node ID],NodesData[[#This Row],[Node ID]])</f>
        <v>1</v>
      </c>
      <c r="F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H320" s="12" t="s">
        <v>983</v>
      </c>
      <c r="I320" s="19" t="str" cm="1">
        <f t="array" ref="I320">"n"&amp;SUBSTITUTE(CreateGuidString(),"-","_")</f>
        <v>nE979475F_59BE_41A3_90BB_65C88D41F249</v>
      </c>
    </row>
    <row r="321" spans="1:9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12" t="s">
        <v>984</v>
      </c>
      <c r="C321" s="13" t="s">
        <v>1646</v>
      </c>
      <c r="D321" s="36">
        <f>COUNTIF(NodesData[Node ID],NodesData[[#This Row],[Node ID]])</f>
        <v>1</v>
      </c>
      <c r="F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H321" s="12" t="s">
        <v>985</v>
      </c>
      <c r="I321" s="19" t="str" cm="1">
        <f t="array" ref="I321">"n"&amp;SUBSTITUTE(CreateGuidString(),"-","_")</f>
        <v>n11EF51A6_02DE_4B23_9080_377E05506647</v>
      </c>
    </row>
    <row r="322" spans="1:9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12" t="s">
        <v>986</v>
      </c>
      <c r="C322" s="13" t="s">
        <v>1647</v>
      </c>
      <c r="D322" s="36">
        <f>COUNTIF(NodesData[Node ID],NodesData[[#This Row],[Node ID]])</f>
        <v>1</v>
      </c>
      <c r="F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H322" s="12" t="s">
        <v>987</v>
      </c>
      <c r="I322" s="19" t="str" cm="1">
        <f t="array" ref="I322">"n"&amp;SUBSTITUTE(CreateGuidString(),"-","_")</f>
        <v>nB83F6D98_9825_46F9_9CB3_21166CA2D6CE</v>
      </c>
    </row>
    <row r="323" spans="1:9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12" t="s">
        <v>988</v>
      </c>
      <c r="C323" s="13" t="s">
        <v>1648</v>
      </c>
      <c r="D323" s="36">
        <f>COUNTIF(NodesData[Node ID],NodesData[[#This Row],[Node ID]])</f>
        <v>1</v>
      </c>
      <c r="F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H323" s="12" t="s">
        <v>989</v>
      </c>
      <c r="I323" s="19" t="str" cm="1">
        <f t="array" ref="I323">"n"&amp;SUBSTITUTE(CreateGuidString(),"-","_")</f>
        <v>nE9A35F50_CE49_4EDF_950C_2F7289A3F84F</v>
      </c>
    </row>
    <row r="324" spans="1:9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12" t="s">
        <v>990</v>
      </c>
      <c r="C324" s="13" t="s">
        <v>1649</v>
      </c>
      <c r="D324" s="36">
        <f>COUNTIF(NodesData[Node ID],NodesData[[#This Row],[Node ID]])</f>
        <v>1</v>
      </c>
      <c r="F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H324" s="12" t="s">
        <v>991</v>
      </c>
      <c r="I324" s="19" t="str" cm="1">
        <f t="array" ref="I324">"n"&amp;SUBSTITUTE(CreateGuidString(),"-","_")</f>
        <v>nF3C367E7_50DE_4A81_A8B4_C0CC93AC6700</v>
      </c>
    </row>
    <row r="325" spans="1:9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12" t="s">
        <v>1299</v>
      </c>
      <c r="C325" s="13" t="s">
        <v>1652</v>
      </c>
      <c r="D325" s="36">
        <f>COUNTIF(NodesData[Node ID],NodesData[[#This Row],[Node ID]])</f>
        <v>1</v>
      </c>
      <c r="F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I325" s="19" t="str" cm="1">
        <f t="array" ref="I325">"n"&amp;SUBSTITUTE(CreateGuidString(),"-","_")</f>
        <v>nEAAC9664_341A_44A1_916E_85D60539A235</v>
      </c>
    </row>
    <row r="326" spans="1:9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12" t="s">
        <v>339</v>
      </c>
      <c r="C326" s="13" t="s">
        <v>1651</v>
      </c>
      <c r="D326" s="36">
        <f>COUNTIF(NodesData[Node ID],NodesData[[#This Row],[Node ID]])</f>
        <v>1</v>
      </c>
      <c r="F326" s="12" t="str">
        <f>IF(NodesData[[#This Row],[Class Disambiguation]]="",NodesData[[#This Row],[Common Name]],NodesData[[#This Row],[Common Name]]&amp;" ("&amp;NodesData[[#This Row],[Class Disambiguation]]&amp;")")</f>
        <v>Outsider</v>
      </c>
      <c r="H326" s="12" t="s">
        <v>992</v>
      </c>
      <c r="I326" s="19" t="str" cm="1">
        <f t="array" ref="I326">"n"&amp;SUBSTITUTE(CreateGuidString(),"-","_")</f>
        <v>nB2C799F5_40C5_4724_86D5_20DD2AEF3960</v>
      </c>
    </row>
    <row r="327" spans="1:9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12" t="s">
        <v>1314</v>
      </c>
      <c r="C327" s="13" t="s">
        <v>1654</v>
      </c>
      <c r="D327" s="36">
        <f>COUNTIF(NodesData[Node ID],NodesData[[#This Row],[Node ID]])</f>
        <v>1</v>
      </c>
      <c r="F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I327" s="19" t="str" cm="1">
        <f t="array" ref="I327">"n"&amp;SUBSTITUTE(CreateGuidString(),"-","_")</f>
        <v>nF195DFC8_C012_43BA_82B2_7B02915BACFD</v>
      </c>
    </row>
    <row r="328" spans="1:9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12" t="s">
        <v>993</v>
      </c>
      <c r="C328" s="13" t="s">
        <v>1653</v>
      </c>
      <c r="D328" s="36">
        <f>COUNTIF(NodesData[Node ID],NodesData[[#This Row],[Node ID]])</f>
        <v>1</v>
      </c>
      <c r="F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H328" s="12" t="s">
        <v>994</v>
      </c>
      <c r="I328" s="19" t="str" cm="1">
        <f t="array" ref="I328">"n"&amp;SUBSTITUTE(CreateGuidString(),"-","_")</f>
        <v>n4F90A413_0D51_457A_8213_859C47B22A16</v>
      </c>
    </row>
    <row r="329" spans="1:9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12" t="s">
        <v>1328</v>
      </c>
      <c r="C329" s="13" t="s">
        <v>1655</v>
      </c>
      <c r="D329" s="36">
        <f>COUNTIF(NodesData[Node ID],NodesData[[#This Row],[Node ID]])</f>
        <v>1</v>
      </c>
      <c r="F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I329" s="19" t="str" cm="1">
        <f t="array" ref="I329">"n"&amp;SUBSTITUTE(CreateGuidString(),"-","_")</f>
        <v>n651725AC_ED57_42B2_8D14_3E0E76555AE3</v>
      </c>
    </row>
    <row r="330" spans="1:9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12" t="s">
        <v>343</v>
      </c>
      <c r="C330" s="13" t="s">
        <v>1656</v>
      </c>
      <c r="D330" s="36">
        <f>COUNTIF(NodesData[Node ID],NodesData[[#This Row],[Node ID]])</f>
        <v>1</v>
      </c>
      <c r="F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H330" s="12" t="s">
        <v>995</v>
      </c>
      <c r="I330" s="19" t="str" cm="1">
        <f t="array" ref="I330">"n"&amp;SUBSTITUTE(CreateGuidString(),"-","_")</f>
        <v>n84208451_80F9_4092_9885_4B3D44598D69</v>
      </c>
    </row>
    <row r="331" spans="1:9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12" t="s">
        <v>996</v>
      </c>
      <c r="C331" s="13" t="s">
        <v>1657</v>
      </c>
      <c r="D331" s="36">
        <f>COUNTIF(NodesData[Node ID],NodesData[[#This Row],[Node ID]])</f>
        <v>1</v>
      </c>
      <c r="F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H331" s="12" t="s">
        <v>997</v>
      </c>
      <c r="I331" s="19" t="str" cm="1">
        <f t="array" ref="I331">"n"&amp;SUBSTITUTE(CreateGuidString(),"-","_")</f>
        <v>n62605B0C_1CE1_4B44_A64D_4DAE1EF55000</v>
      </c>
    </row>
    <row r="332" spans="1:9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12" t="s">
        <v>3</v>
      </c>
      <c r="C332" s="13" t="s">
        <v>1658</v>
      </c>
      <c r="D332" s="36">
        <f>COUNTIF(NodesData[Node ID],NodesData[[#This Row],[Node ID]])</f>
        <v>1</v>
      </c>
      <c r="F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H332" s="12" t="s">
        <v>998</v>
      </c>
      <c r="I332" s="19" t="str" cm="1">
        <f t="array" ref="I332">"n"&amp;SUBSTITUTE(CreateGuidString(),"-","_")</f>
        <v>n50694CDC_3141_495B_BECA_F66EDA9DDF57</v>
      </c>
    </row>
    <row r="333" spans="1:9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12" t="s">
        <v>1324</v>
      </c>
      <c r="C333" s="13" t="s">
        <v>1659</v>
      </c>
      <c r="D333" s="36">
        <f>COUNTIF(NodesData[Node ID],NodesData[[#This Row],[Node ID]])</f>
        <v>1</v>
      </c>
      <c r="F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I333" s="19" t="str" cm="1">
        <f t="array" ref="I333">"n"&amp;SUBSTITUTE(CreateGuidString(),"-","_")</f>
        <v>n1A8EC89E_9F27_4FB0_9179_24EFF9834A5E</v>
      </c>
    </row>
    <row r="334" spans="1:9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12" t="s">
        <v>344</v>
      </c>
      <c r="C334" s="13" t="s">
        <v>1663</v>
      </c>
      <c r="D334" s="36">
        <f>COUNTIF(NodesData[Node ID],NodesData[[#This Row],[Node ID]])</f>
        <v>1</v>
      </c>
      <c r="F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H334" s="12" t="s">
        <v>999</v>
      </c>
      <c r="I334" s="19" t="str" cm="1">
        <f t="array" ref="I334">"n"&amp;SUBSTITUTE(CreateGuidString(),"-","_")</f>
        <v>nDD36DEC5_C963_4B1C_BA00_7A57A5ECC889</v>
      </c>
    </row>
    <row r="335" spans="1:9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12" t="s">
        <v>1268</v>
      </c>
      <c r="C335" s="13" t="s">
        <v>1660</v>
      </c>
      <c r="D335" s="36">
        <f>COUNTIF(NodesData[Node ID],NodesData[[#This Row],[Node ID]])</f>
        <v>1</v>
      </c>
      <c r="F335" s="12" t="str">
        <f>IF(NodesData[[#This Row],[Class Disambiguation]]="",NodesData[[#This Row],[Common Name]],NodesData[[#This Row],[Common Name]]&amp;" ("&amp;NodesData[[#This Row],[Class Disambiguation]]&amp;")")</f>
        <v>People</v>
      </c>
      <c r="H335" s="12" t="s">
        <v>1000</v>
      </c>
      <c r="I335" s="19" t="str" cm="1">
        <f t="array" ref="I335">"n"&amp;SUBSTITUTE(CreateGuidString(),"-","_")</f>
        <v>n34A21DB8_DA82_4B64_B19B_92EBC92A78C9</v>
      </c>
    </row>
    <row r="336" spans="1:9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12" t="s">
        <v>1001</v>
      </c>
      <c r="C336" s="13" t="s">
        <v>1661</v>
      </c>
      <c r="D336" s="36">
        <f>COUNTIF(NodesData[Node ID],NodesData[[#This Row],[Node ID]])</f>
        <v>1</v>
      </c>
      <c r="F336" s="12" t="str">
        <f>IF(NodesData[[#This Row],[Class Disambiguation]]="",NodesData[[#This Row],[Common Name]],NodesData[[#This Row],[Common Name]]&amp;" ("&amp;NodesData[[#This Row],[Class Disambiguation]]&amp;")")</f>
        <v>Permission</v>
      </c>
      <c r="H336" s="12" t="s">
        <v>1002</v>
      </c>
      <c r="I336" s="19" t="str" cm="1">
        <f t="array" ref="I336">"n"&amp;SUBSTITUTE(CreateGuidString(),"-","_")</f>
        <v>n2A4A03EE_8A0B_4FB0_81E2_BD3A6FEFFB1E</v>
      </c>
    </row>
    <row r="337" spans="1:9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7" s="12" t="s">
        <v>350</v>
      </c>
      <c r="C337" s="13" t="s">
        <v>1662</v>
      </c>
      <c r="D337" s="36">
        <f>COUNTIF(NodesData[Node ID],NodesData[[#This Row],[Node ID]])</f>
        <v>1</v>
      </c>
      <c r="F337" s="12" t="str">
        <f>IF(NodesData[[#This Row],[Class Disambiguation]]="",NodesData[[#This Row],[Common Name]],NodesData[[#This Row],[Common Name]]&amp;" ("&amp;NodesData[[#This Row],[Class Disambiguation]]&amp;")")</f>
        <v>Persona</v>
      </c>
      <c r="H337" s="12" t="s">
        <v>1003</v>
      </c>
      <c r="I337" s="19" t="str" cm="1">
        <f t="array" ref="I337">"n"&amp;SUBSTITUTE(CreateGuidString(),"-","_")</f>
        <v>n49ACDD50_C6FC_410E_904F_3C1951FD6032</v>
      </c>
    </row>
    <row r="338" spans="1:9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8" s="12" t="s">
        <v>1327</v>
      </c>
      <c r="C338" s="13" t="s">
        <v>1684</v>
      </c>
      <c r="D338" s="36">
        <f>COUNTIF(NodesData[Node ID],NodesData[[#This Row],[Node ID]])</f>
        <v>1</v>
      </c>
      <c r="F338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I338" s="19" t="str" cm="1">
        <f t="array" ref="I338">"n"&amp;SUBSTITUTE(CreateGuidString(),"-","_")</f>
        <v>nBC3CEBF5_6E49_425D_BC42_DD6D12873AFF</v>
      </c>
    </row>
    <row r="339" spans="1:9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9" s="12" t="s">
        <v>1319</v>
      </c>
      <c r="C339" s="13" t="s">
        <v>1664</v>
      </c>
      <c r="D339" s="36">
        <f>COUNTIF(NodesData[Node ID],NodesData[[#This Row],[Node ID]])</f>
        <v>1</v>
      </c>
      <c r="F339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I339" s="19" t="str" cm="1">
        <f t="array" ref="I339">"n"&amp;SUBSTITUTE(CreateGuidString(),"-","_")</f>
        <v>n46F5531F_9360_49BF_8B99_ADB992DB1FFB</v>
      </c>
    </row>
    <row r="340" spans="1:9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0" s="12" t="s">
        <v>1004</v>
      </c>
      <c r="C340" s="13" t="s">
        <v>1665</v>
      </c>
      <c r="D340" s="36">
        <f>COUNTIF(NodesData[Node ID],NodesData[[#This Row],[Node ID]])</f>
        <v>1</v>
      </c>
      <c r="E340" s="12" t="s">
        <v>1270</v>
      </c>
      <c r="F340" s="12" t="str">
        <f>IF(NodesData[[#This Row],[Class Disambiguation]]="",NodesData[[#This Row],[Common Name]],NodesData[[#This Row],[Common Name]]&amp;" ("&amp;NodesData[[#This Row],[Class Disambiguation]]&amp;")")</f>
        <v>PMS (Acronym)</v>
      </c>
      <c r="H340" s="12" t="s">
        <v>1005</v>
      </c>
      <c r="I340" s="19" t="str" cm="1">
        <f t="array" ref="I340">"n"&amp;SUBSTITUTE(CreateGuidString(),"-","_")</f>
        <v>nA0CD57F5_6FBE_4B8C_AFE0_62E08D5B0ACD</v>
      </c>
    </row>
    <row r="341" spans="1:9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1" s="12" t="s">
        <v>1006</v>
      </c>
      <c r="C341" s="13" t="s">
        <v>1666</v>
      </c>
      <c r="D341" s="36">
        <f>COUNTIF(NodesData[Node ID],NodesData[[#This Row],[Node ID]])</f>
        <v>1</v>
      </c>
      <c r="F341" s="12" t="str">
        <f>IF(NodesData[[#This Row],[Class Disambiguation]]="",NodesData[[#This Row],[Common Name]],NodesData[[#This Row],[Common Name]]&amp;" ("&amp;NodesData[[#This Row],[Class Disambiguation]]&amp;")")</f>
        <v>Policy</v>
      </c>
      <c r="H341" s="12" t="s">
        <v>1007</v>
      </c>
      <c r="I341" s="19" t="str" cm="1">
        <f t="array" ref="I341">"n"&amp;SUBSTITUTE(CreateGuidString(),"-","_")</f>
        <v>n139EE431_E810_483B_8431_3188F39147D4</v>
      </c>
    </row>
    <row r="342" spans="1:9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2" s="12" t="s">
        <v>1008</v>
      </c>
      <c r="C342" s="13" t="s">
        <v>1667</v>
      </c>
      <c r="D342" s="36">
        <f>COUNTIF(NodesData[Node ID],NodesData[[#This Row],[Node ID]])</f>
        <v>1</v>
      </c>
      <c r="F342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H342" s="12" t="s">
        <v>1009</v>
      </c>
      <c r="I342" s="19" t="str" cm="1">
        <f t="array" ref="I342">"n"&amp;SUBSTITUTE(CreateGuidString(),"-","_")</f>
        <v>nF83C4020_A06D_4F2B_8E8C_0153C4867978</v>
      </c>
    </row>
    <row r="343" spans="1:9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3" s="12" t="s">
        <v>1010</v>
      </c>
      <c r="C343" s="13" t="s">
        <v>1668</v>
      </c>
      <c r="D343" s="36">
        <f>COUNTIF(NodesData[Node ID],NodesData[[#This Row],[Node ID]])</f>
        <v>1</v>
      </c>
      <c r="F343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H343" s="12" t="s">
        <v>1011</v>
      </c>
      <c r="I343" s="19" t="str" cm="1">
        <f t="array" ref="I343">"n"&amp;SUBSTITUTE(CreateGuidString(),"-","_")</f>
        <v>n3D335B1A_F587_4820_A9BC_BA37C4219FFA</v>
      </c>
    </row>
    <row r="344" spans="1:9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4" s="12" t="s">
        <v>1012</v>
      </c>
      <c r="C344" s="13" t="s">
        <v>1669</v>
      </c>
      <c r="D344" s="36">
        <f>COUNTIF(NodesData[Node ID],NodesData[[#This Row],[Node ID]])</f>
        <v>1</v>
      </c>
      <c r="F344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H344" s="12" t="s">
        <v>1013</v>
      </c>
      <c r="I344" s="19" t="str" cm="1">
        <f t="array" ref="I344">"n"&amp;SUBSTITUTE(CreateGuidString(),"-","_")</f>
        <v>n611F0D1C_DC81_4915_B82A_A5062936DEAB</v>
      </c>
    </row>
    <row r="345" spans="1:9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5" s="12" t="s">
        <v>1014</v>
      </c>
      <c r="C345" s="13" t="s">
        <v>1670</v>
      </c>
      <c r="D345" s="36">
        <f>COUNTIF(NodesData[Node ID],NodesData[[#This Row],[Node ID]])</f>
        <v>1</v>
      </c>
      <c r="F345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H345" s="12" t="s">
        <v>1015</v>
      </c>
      <c r="I345" s="19" t="str" cm="1">
        <f t="array" ref="I345">"n"&amp;SUBSTITUTE(CreateGuidString(),"-","_")</f>
        <v>n94C5C162_6199_4011_8E3A_5660E5978833</v>
      </c>
    </row>
    <row r="346" spans="1:9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6" s="12" t="s">
        <v>1016</v>
      </c>
      <c r="C346" s="13" t="s">
        <v>1671</v>
      </c>
      <c r="D346" s="36">
        <f>COUNTIF(NodesData[Node ID],NodesData[[#This Row],[Node ID]])</f>
        <v>1</v>
      </c>
      <c r="F346" s="12" t="str">
        <f>IF(NodesData[[#This Row],[Class Disambiguation]]="",NodesData[[#This Row],[Common Name]],NodesData[[#This Row],[Common Name]]&amp;" ("&amp;NodesData[[#This Row],[Class Disambiguation]]&amp;")")</f>
        <v>Policy Mining</v>
      </c>
      <c r="H346" s="12" t="s">
        <v>1017</v>
      </c>
      <c r="I346" s="19" t="str" cm="1">
        <f t="array" ref="I346">"n"&amp;SUBSTITUTE(CreateGuidString(),"-","_")</f>
        <v>n468CA250_03F2_4334_B652_73FB82922278</v>
      </c>
    </row>
    <row r="347" spans="1:9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7" s="12" t="s">
        <v>1018</v>
      </c>
      <c r="C347" s="13" t="s">
        <v>1672</v>
      </c>
      <c r="D347" s="36">
        <f>COUNTIF(NodesData[Node ID],NodesData[[#This Row],[Node ID]])</f>
        <v>1</v>
      </c>
      <c r="F347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H347" s="12" t="s">
        <v>1019</v>
      </c>
      <c r="I347" s="19" t="str" cm="1">
        <f t="array" ref="I347">"n"&amp;SUBSTITUTE(CreateGuidString(),"-","_")</f>
        <v>n49074D6F_0D64_4737_AED4_081B5B1C3DDE</v>
      </c>
    </row>
    <row r="348" spans="1:9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8" s="12" t="s">
        <v>1295</v>
      </c>
      <c r="C348" s="13" t="s">
        <v>1673</v>
      </c>
      <c r="D348" s="36">
        <f>COUNTIF(NodesData[Node ID],NodesData[[#This Row],[Node ID]])</f>
        <v>1</v>
      </c>
      <c r="F348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I348" s="19" t="str" cm="1">
        <f t="array" ref="I348">"n"&amp;SUBSTITUTE(CreateGuidString(),"-","_")</f>
        <v>n59A89740_1AC4_4391_9B0D_E89A07C7E337</v>
      </c>
    </row>
    <row r="349" spans="1:9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9" s="12" t="s">
        <v>1020</v>
      </c>
      <c r="C349" s="13" t="s">
        <v>1674</v>
      </c>
      <c r="D349" s="36">
        <f>COUNTIF(NodesData[Node ID],NodesData[[#This Row],[Node ID]])</f>
        <v>1</v>
      </c>
      <c r="F349" s="12" t="str">
        <f>IF(NodesData[[#This Row],[Class Disambiguation]]="",NodesData[[#This Row],[Common Name]],NodesData[[#This Row],[Common Name]]&amp;" ("&amp;NodesData[[#This Row],[Class Disambiguation]]&amp;")")</f>
        <v>Pre-approval</v>
      </c>
      <c r="H349" s="12" t="s">
        <v>1021</v>
      </c>
      <c r="I349" s="19" t="str" cm="1">
        <f t="array" ref="I349">"n"&amp;SUBSTITUTE(CreateGuidString(),"-","_")</f>
        <v>n38CB78C0_1BED_4161_9416_869E9F7A8142</v>
      </c>
    </row>
    <row r="350" spans="1:9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0" s="12" t="s">
        <v>1022</v>
      </c>
      <c r="C350" s="13" t="s">
        <v>1675</v>
      </c>
      <c r="D350" s="36">
        <f>COUNTIF(NodesData[Node ID],NodesData[[#This Row],[Node ID]])</f>
        <v>1</v>
      </c>
      <c r="F350" s="12" t="str">
        <f>IF(NodesData[[#This Row],[Class Disambiguation]]="",NodesData[[#This Row],[Common Name]],NodesData[[#This Row],[Common Name]]&amp;" ("&amp;NodesData[[#This Row],[Class Disambiguation]]&amp;")")</f>
        <v>Principal</v>
      </c>
      <c r="H350" s="12" t="s">
        <v>1023</v>
      </c>
      <c r="I350" s="19" t="str" cm="1">
        <f t="array" ref="I350">"n"&amp;SUBSTITUTE(CreateGuidString(),"-","_")</f>
        <v>n624313F2_B041_4178_89B3_F92BB74C3248</v>
      </c>
    </row>
    <row r="351" spans="1:9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1" s="12" t="s">
        <v>364</v>
      </c>
      <c r="C351" s="13" t="s">
        <v>1676</v>
      </c>
      <c r="D351" s="36">
        <f>COUNTIF(NodesData[Node ID],NodesData[[#This Row],[Node ID]])</f>
        <v>1</v>
      </c>
      <c r="F351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H351" s="12" t="s">
        <v>1024</v>
      </c>
      <c r="I351" s="19" t="str" cm="1">
        <f t="array" ref="I351">"n"&amp;SUBSTITUTE(CreateGuidString(),"-","_")</f>
        <v>n508F3C8D_75BC_45DB_B273_5EEBB8BA3756</v>
      </c>
    </row>
    <row r="352" spans="1:9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2" s="12" t="s">
        <v>1025</v>
      </c>
      <c r="C352" s="13" t="s">
        <v>1677</v>
      </c>
      <c r="D352" s="36">
        <f>COUNTIF(NodesData[Node ID],NodesData[[#This Row],[Node ID]])</f>
        <v>1</v>
      </c>
      <c r="F352" s="12" t="str">
        <f>IF(NodesData[[#This Row],[Class Disambiguation]]="",NodesData[[#This Row],[Common Name]],NodesData[[#This Row],[Common Name]]&amp;" ("&amp;NodesData[[#This Row],[Class Disambiguation]]&amp;")")</f>
        <v>Privilege</v>
      </c>
      <c r="H352" s="12" t="s">
        <v>1026</v>
      </c>
      <c r="I352" s="19" t="str" cm="1">
        <f t="array" ref="I352">"n"&amp;SUBSTITUTE(CreateGuidString(),"-","_")</f>
        <v>n598F70F2_D5A7_497F_B111_FD50894EC9DC</v>
      </c>
    </row>
    <row r="353" spans="1:9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3" s="12" t="s">
        <v>366</v>
      </c>
      <c r="C353" s="13" t="s">
        <v>1678</v>
      </c>
      <c r="D353" s="36">
        <f>COUNTIF(NodesData[Node ID],NodesData[[#This Row],[Node ID]])</f>
        <v>1</v>
      </c>
      <c r="F353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H353" s="12" t="s">
        <v>1027</v>
      </c>
      <c r="I353" s="19" t="str" cm="1">
        <f t="array" ref="I353">"n"&amp;SUBSTITUTE(CreateGuidString(),"-","_")</f>
        <v>n1FC5356B_A773_41E8_8E95_2C1471293BBC</v>
      </c>
    </row>
    <row r="354" spans="1:9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4" s="12" t="s">
        <v>1028</v>
      </c>
      <c r="C354" s="13" t="s">
        <v>1679</v>
      </c>
      <c r="D354" s="36">
        <f>COUNTIF(NodesData[Node ID],NodesData[[#This Row],[Node ID]])</f>
        <v>1</v>
      </c>
      <c r="F354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H354" s="12" t="s">
        <v>1029</v>
      </c>
      <c r="I354" s="19" t="str" cm="1">
        <f t="array" ref="I354">"n"&amp;SUBSTITUTE(CreateGuidString(),"-","_")</f>
        <v>n85F6176E_6959_4765_AFDF_EE45B49E7FA2</v>
      </c>
    </row>
    <row r="355" spans="1:9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5" s="12" t="s">
        <v>1030</v>
      </c>
      <c r="C355" s="13" t="s">
        <v>1680</v>
      </c>
      <c r="D355" s="36">
        <f>COUNTIF(NodesData[Node ID],NodesData[[#This Row],[Node ID]])</f>
        <v>1</v>
      </c>
      <c r="F355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H355" s="12" t="s">
        <v>1031</v>
      </c>
      <c r="I355" s="19" t="str" cm="1">
        <f t="array" ref="I355">"n"&amp;SUBSTITUTE(CreateGuidString(),"-","_")</f>
        <v>nCBB7B2DA_DF81_47C7_ADE7_93C3B23A33AB</v>
      </c>
    </row>
    <row r="356" spans="1:9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6" s="12" t="s">
        <v>1032</v>
      </c>
      <c r="C356" s="13" t="s">
        <v>1681</v>
      </c>
      <c r="D356" s="36">
        <f>COUNTIF(NodesData[Node ID],NodesData[[#This Row],[Node ID]])</f>
        <v>1</v>
      </c>
      <c r="F356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H356" s="12" t="s">
        <v>1033</v>
      </c>
      <c r="I356" s="19" t="str" cm="1">
        <f t="array" ref="I356">"n"&amp;SUBSTITUTE(CreateGuidString(),"-","_")</f>
        <v>n7EEF3D7C_A118_4715_B71A_FFB75A9140E7</v>
      </c>
    </row>
    <row r="357" spans="1:9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7" s="12" t="s">
        <v>369</v>
      </c>
      <c r="C357" s="13" t="s">
        <v>1682</v>
      </c>
      <c r="D357" s="36">
        <f>COUNTIF(NodesData[Node ID],NodesData[[#This Row],[Node ID]])</f>
        <v>1</v>
      </c>
      <c r="F357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H357" s="12" t="s">
        <v>1034</v>
      </c>
      <c r="I357" s="19" t="str" cm="1">
        <f t="array" ref="I357">"n"&amp;SUBSTITUTE(CreateGuidString(),"-","_")</f>
        <v>n1539C884_38F4_4359_96B7_70F84EE63DF3</v>
      </c>
    </row>
    <row r="358" spans="1:9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8" s="12" t="s">
        <v>1035</v>
      </c>
      <c r="C358" s="13" t="s">
        <v>1683</v>
      </c>
      <c r="D358" s="36">
        <f>COUNTIF(NodesData[Node ID],NodesData[[#This Row],[Node ID]])</f>
        <v>1</v>
      </c>
      <c r="F358" s="12" t="str">
        <f>IF(NodesData[[#This Row],[Class Disambiguation]]="",NodesData[[#This Row],[Common Name]],NodesData[[#This Row],[Common Name]]&amp;" ("&amp;NodesData[[#This Row],[Class Disambiguation]]&amp;")")</f>
        <v>Provisioning</v>
      </c>
      <c r="H358" s="12" t="s">
        <v>1036</v>
      </c>
      <c r="I358" s="19" t="str" cm="1">
        <f t="array" ref="I358">"n"&amp;SUBSTITUTE(CreateGuidString(),"-","_")</f>
        <v>nFD328CD3_747D_4B4F_AD1A_79E84B01C973</v>
      </c>
    </row>
    <row r="359" spans="1:9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9" s="12" t="s">
        <v>376</v>
      </c>
      <c r="C359" s="13" t="s">
        <v>1689</v>
      </c>
      <c r="D359" s="36">
        <f>COUNTIF(NodesData[Node ID],NodesData[[#This Row],[Node ID]])</f>
        <v>1</v>
      </c>
      <c r="F359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H359" s="12" t="s">
        <v>1037</v>
      </c>
      <c r="I359" s="19" t="str" cm="1">
        <f t="array" ref="I359">"n"&amp;SUBSTITUTE(CreateGuidString(),"-","_")</f>
        <v>n3D117B48_FF30_43E8_84E3_B5DBAAF56D9A</v>
      </c>
    </row>
    <row r="360" spans="1:9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0" s="12" t="s">
        <v>378</v>
      </c>
      <c r="C360" s="13" t="s">
        <v>1685</v>
      </c>
      <c r="D360" s="36">
        <f>COUNTIF(NodesData[Node ID],NodesData[[#This Row],[Node ID]])</f>
        <v>1</v>
      </c>
      <c r="F360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H360" s="12" t="s">
        <v>1038</v>
      </c>
      <c r="I360" s="19" t="str" cm="1">
        <f t="array" ref="I360">"n"&amp;SUBSTITUTE(CreateGuidString(),"-","_")</f>
        <v>n147D4CBB_02A9_4CB1_A638_980300C238B6</v>
      </c>
    </row>
    <row r="361" spans="1:9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1" s="12" t="s">
        <v>1039</v>
      </c>
      <c r="C361" s="13" t="s">
        <v>1686</v>
      </c>
      <c r="D361" s="36">
        <f>COUNTIF(NodesData[Node ID],NodesData[[#This Row],[Node ID]])</f>
        <v>1</v>
      </c>
      <c r="E361" s="12" t="s">
        <v>1270</v>
      </c>
      <c r="F361" s="12" t="str">
        <f>IF(NodesData[[#This Row],[Class Disambiguation]]="",NodesData[[#This Row],[Common Name]],NodesData[[#This Row],[Common Name]]&amp;" ("&amp;NodesData[[#This Row],[Class Disambiguation]]&amp;")")</f>
        <v>RA (Acronym)</v>
      </c>
      <c r="H361" s="12" t="s">
        <v>1040</v>
      </c>
      <c r="I361" s="19" t="str" cm="1">
        <f t="array" ref="I361">"n"&amp;SUBSTITUTE(CreateGuidString(),"-","_")</f>
        <v>nF39E56A8_C9ED_4F56_B44E_ECC46E5F192F</v>
      </c>
    </row>
    <row r="362" spans="1:9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2" s="12" t="s">
        <v>1041</v>
      </c>
      <c r="C362" s="13" t="s">
        <v>1687</v>
      </c>
      <c r="D362" s="36">
        <f>COUNTIF(NodesData[Node ID],NodesData[[#This Row],[Node ID]])</f>
        <v>1</v>
      </c>
      <c r="F362" s="12" t="str">
        <f>IF(NodesData[[#This Row],[Class Disambiguation]]="",NodesData[[#This Row],[Common Name]],NodesData[[#This Row],[Common Name]]&amp;" ("&amp;NodesData[[#This Row],[Class Disambiguation]]&amp;")")</f>
        <v>Ratio Scale</v>
      </c>
      <c r="H362" s="12" t="s">
        <v>1042</v>
      </c>
      <c r="I362" s="19" t="str" cm="1">
        <f t="array" ref="I362">"n"&amp;SUBSTITUTE(CreateGuidString(),"-","_")</f>
        <v>n763B1877_6609_4006_A4F6_77664FCE8660</v>
      </c>
    </row>
    <row r="363" spans="1:9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3" s="12" t="s">
        <v>1043</v>
      </c>
      <c r="C363" s="13" t="s">
        <v>1688</v>
      </c>
      <c r="D363" s="36">
        <f>COUNTIF(NodesData[Node ID],NodesData[[#This Row],[Node ID]])</f>
        <v>1</v>
      </c>
      <c r="E363" s="12" t="s">
        <v>1270</v>
      </c>
      <c r="F363" s="12" t="str">
        <f>IF(NodesData[[#This Row],[Class Disambiguation]]="",NodesData[[#This Row],[Common Name]],NodesData[[#This Row],[Common Name]]&amp;" ("&amp;NodesData[[#This Row],[Class Disambiguation]]&amp;")")</f>
        <v>RBA (Acronym)</v>
      </c>
      <c r="H363" s="12" t="s">
        <v>1044</v>
      </c>
      <c r="I363" s="19" t="str" cm="1">
        <f t="array" ref="I363">"n"&amp;SUBSTITUTE(CreateGuidString(),"-","_")</f>
        <v>n03EC89BB_F2E5_4BCD_BB12_3E7BBEF5C14A</v>
      </c>
    </row>
    <row r="364" spans="1:9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4" s="12" t="s">
        <v>1045</v>
      </c>
      <c r="C364" s="13" t="s">
        <v>1692</v>
      </c>
      <c r="D364" s="36">
        <f>COUNTIF(NodesData[Node ID],NodesData[[#This Row],[Node ID]])</f>
        <v>1</v>
      </c>
      <c r="F364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H364" s="12" t="s">
        <v>1046</v>
      </c>
      <c r="I364" s="19" t="str" cm="1">
        <f t="array" ref="I364">"n"&amp;SUBSTITUTE(CreateGuidString(),"-","_")</f>
        <v>nE6D40CEA_24F4_4260_A26A_BCD1B6D3A55B</v>
      </c>
    </row>
    <row r="365" spans="1:9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5" s="12" t="s">
        <v>1047</v>
      </c>
      <c r="C365" s="13" t="s">
        <v>1690</v>
      </c>
      <c r="D365" s="36">
        <f>COUNTIF(NodesData[Node ID],NodesData[[#This Row],[Node ID]])</f>
        <v>1</v>
      </c>
      <c r="F365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H365" s="12" t="s">
        <v>1048</v>
      </c>
      <c r="I365" s="19" t="str" cm="1">
        <f t="array" ref="I365">"n"&amp;SUBSTITUTE(CreateGuidString(),"-","_")</f>
        <v>nD732BEE5_BEEE_4836_AFFB_3E28210A8344</v>
      </c>
    </row>
    <row r="366" spans="1:9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6" s="12" t="s">
        <v>1049</v>
      </c>
      <c r="C366" s="13" t="s">
        <v>1691</v>
      </c>
      <c r="D366" s="36">
        <f>COUNTIF(NodesData[Node ID],NodesData[[#This Row],[Node ID]])</f>
        <v>1</v>
      </c>
      <c r="F366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H366" s="12" t="s">
        <v>1050</v>
      </c>
      <c r="I366" s="19" t="str" cm="1">
        <f t="array" ref="I366">"n"&amp;SUBSTITUTE(CreateGuidString(),"-","_")</f>
        <v>n5741CA4F_BD67_4909_8D69_EB60B329DEBC</v>
      </c>
    </row>
    <row r="367" spans="1:9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7" s="12" t="s">
        <v>1051</v>
      </c>
      <c r="C367" s="13" t="s">
        <v>1701</v>
      </c>
      <c r="D367" s="36">
        <f>COUNTIF(NodesData[Node ID],NodesData[[#This Row],[Node ID]])</f>
        <v>1</v>
      </c>
      <c r="F367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H367" s="12" t="s">
        <v>1052</v>
      </c>
      <c r="I367" s="19" t="str" cm="1">
        <f t="array" ref="I367">"n"&amp;SUBSTITUTE(CreateGuidString(),"-","_")</f>
        <v>nA9D15966_E526_4477_82E9_73E62F988EF9</v>
      </c>
    </row>
    <row r="368" spans="1:9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8" s="12" t="s">
        <v>1053</v>
      </c>
      <c r="C368" s="13" t="s">
        <v>1693</v>
      </c>
      <c r="D368" s="36">
        <f>COUNTIF(NodesData[Node ID],NodesData[[#This Row],[Node ID]])</f>
        <v>1</v>
      </c>
      <c r="F368" s="12" t="str">
        <f>IF(NodesData[[#This Row],[Class Disambiguation]]="",NodesData[[#This Row],[Common Name]],NodesData[[#This Row],[Common Name]]&amp;" ("&amp;NodesData[[#This Row],[Class Disambiguation]]&amp;")")</f>
        <v>Rejoiner</v>
      </c>
      <c r="H368" s="12" t="s">
        <v>1054</v>
      </c>
      <c r="I368" s="19" t="str" cm="1">
        <f t="array" ref="I368">"n"&amp;SUBSTITUTE(CreateGuidString(),"-","_")</f>
        <v>n5F44D691_350B_42B6_8B31_955D260D44C0</v>
      </c>
    </row>
    <row r="369" spans="1:9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9" s="12" t="s">
        <v>1055</v>
      </c>
      <c r="C369" s="13" t="s">
        <v>1694</v>
      </c>
      <c r="D369" s="36">
        <f>COUNTIF(NodesData[Node ID],NodesData[[#This Row],[Node ID]])</f>
        <v>1</v>
      </c>
      <c r="F369" s="12" t="str">
        <f>IF(NodesData[[#This Row],[Class Disambiguation]]="",NodesData[[#This Row],[Common Name]],NodesData[[#This Row],[Common Name]]&amp;" ("&amp;NodesData[[#This Row],[Class Disambiguation]]&amp;")")</f>
        <v>Relying Party</v>
      </c>
      <c r="H369" s="12" t="s">
        <v>1056</v>
      </c>
      <c r="I369" s="19" t="str" cm="1">
        <f t="array" ref="I369">"n"&amp;SUBSTITUTE(CreateGuidString(),"-","_")</f>
        <v>n0B3A9A1F_3C37_432C_8E95_4D1AC6AB97D0</v>
      </c>
    </row>
    <row r="370" spans="1:9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0" s="12" t="s">
        <v>1057</v>
      </c>
      <c r="C370" s="13" t="s">
        <v>1695</v>
      </c>
      <c r="D370" s="36">
        <f>COUNTIF(NodesData[Node ID],NodesData[[#This Row],[Node ID]])</f>
        <v>1</v>
      </c>
      <c r="F370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H370" s="12" t="s">
        <v>1058</v>
      </c>
      <c r="I370" s="19" t="str" cm="1">
        <f t="array" ref="I370">"n"&amp;SUBSTITUTE(CreateGuidString(),"-","_")</f>
        <v>n22D46413_CF28_4BB4_8243_0BA80D3ADBDB</v>
      </c>
    </row>
    <row r="371" spans="1:9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1" s="12" t="s">
        <v>1059</v>
      </c>
      <c r="C371" s="13" t="s">
        <v>1696</v>
      </c>
      <c r="D371" s="36">
        <f>COUNTIF(NodesData[Node ID],NodesData[[#This Row],[Node ID]])</f>
        <v>1</v>
      </c>
      <c r="F371" s="12" t="str">
        <f>IF(NodesData[[#This Row],[Class Disambiguation]]="",NodesData[[#This Row],[Common Name]],NodesData[[#This Row],[Common Name]]&amp;" ("&amp;NodesData[[#This Row],[Class Disambiguation]]&amp;")")</f>
        <v>Repeatability</v>
      </c>
      <c r="H371" s="12" t="s">
        <v>1060</v>
      </c>
      <c r="I371" s="19" t="str" cm="1">
        <f t="array" ref="I371">"n"&amp;SUBSTITUTE(CreateGuidString(),"-","_")</f>
        <v>n72B007FA_FD05_4BD3_A5FB_3DA50E878960</v>
      </c>
    </row>
    <row r="372" spans="1:9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2" s="12" t="s">
        <v>1061</v>
      </c>
      <c r="C372" s="13" t="s">
        <v>1697</v>
      </c>
      <c r="D372" s="36">
        <f>COUNTIF(NodesData[Node ID],NodesData[[#This Row],[Node ID]])</f>
        <v>1</v>
      </c>
      <c r="F372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H372" s="12" t="s">
        <v>1062</v>
      </c>
      <c r="I372" s="19" t="str" cm="1">
        <f t="array" ref="I372">"n"&amp;SUBSTITUTE(CreateGuidString(),"-","_")</f>
        <v>nD4D7B630_8894_483C_B048_9F31DBB94437</v>
      </c>
    </row>
    <row r="373" spans="1:9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3" s="12" t="s">
        <v>1063</v>
      </c>
      <c r="C373" s="13" t="s">
        <v>1698</v>
      </c>
      <c r="D373" s="36">
        <f>COUNTIF(NodesData[Node ID],NodesData[[#This Row],[Node ID]])</f>
        <v>1</v>
      </c>
      <c r="F373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H373" s="12" t="s">
        <v>1064</v>
      </c>
      <c r="I373" s="19" t="str" cm="1">
        <f t="array" ref="I373">"n"&amp;SUBSTITUTE(CreateGuidString(),"-","_")</f>
        <v>n871BAF2C_DC38_4DD4_80C7_75E4BD3CCAB9</v>
      </c>
    </row>
    <row r="374" spans="1:9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4" s="12" t="s">
        <v>1065</v>
      </c>
      <c r="C374" s="13" t="s">
        <v>1699</v>
      </c>
      <c r="D374" s="36">
        <f>COUNTIF(NodesData[Node ID],NodesData[[#This Row],[Node ID]])</f>
        <v>1</v>
      </c>
      <c r="F374" s="12" t="str">
        <f>IF(NodesData[[#This Row],[Class Disambiguation]]="",NodesData[[#This Row],[Common Name]],NodesData[[#This Row],[Common Name]]&amp;" ("&amp;NodesData[[#This Row],[Class Disambiguation]]&amp;")")</f>
        <v>Revocation</v>
      </c>
      <c r="H374" s="12" t="s">
        <v>1066</v>
      </c>
      <c r="I374" s="19" t="str" cm="1">
        <f t="array" ref="I374">"n"&amp;SUBSTITUTE(CreateGuidString(),"-","_")</f>
        <v>n60EA561F_C481_47A8_933C_342014CC5189</v>
      </c>
    </row>
    <row r="375" spans="1:9" x14ac:dyDescent="0.35">
      <c r="A3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5" s="12" t="s">
        <v>1067</v>
      </c>
      <c r="C375" s="13" t="s">
        <v>1700</v>
      </c>
      <c r="D375" s="36">
        <f>COUNTIF(NodesData[Node ID],NodesData[[#This Row],[Node ID]])</f>
        <v>1</v>
      </c>
      <c r="E375" s="12" t="s">
        <v>1270</v>
      </c>
      <c r="F375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H375" s="12" t="s">
        <v>1068</v>
      </c>
      <c r="I375" s="19" t="str" cm="1">
        <f t="array" ref="I375">"n"&amp;SUBSTITUTE(CreateGuidString(),"-","_")</f>
        <v>n77202F9A_EF27_42CC_8553_A461D10F6621</v>
      </c>
    </row>
    <row r="376" spans="1:9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6" s="12" t="s">
        <v>1069</v>
      </c>
      <c r="C376" s="13" t="s">
        <v>1728</v>
      </c>
      <c r="D376" s="36">
        <f>COUNTIF(NodesData[Node ID],NodesData[[#This Row],[Node ID]])</f>
        <v>1</v>
      </c>
      <c r="F376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H376" s="12" t="s">
        <v>1070</v>
      </c>
      <c r="I376" s="19" t="str" cm="1">
        <f t="array" ref="I376">"n"&amp;SUBSTITUTE(CreateGuidString(),"-","_")</f>
        <v>n85F95DB6_06B5_4D73_A410_CF1EC657FE5D</v>
      </c>
    </row>
    <row r="377" spans="1:9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77" s="12" t="s">
        <v>1071</v>
      </c>
      <c r="C377" s="13" t="s">
        <v>1702</v>
      </c>
      <c r="D377" s="36">
        <f>COUNTIF(NodesData[Node ID],NodesData[[#This Row],[Node ID]])</f>
        <v>1</v>
      </c>
      <c r="F377" s="12" t="str">
        <f>IF(NodesData[[#This Row],[Class Disambiguation]]="",NodesData[[#This Row],[Common Name]],NodesData[[#This Row],[Common Name]]&amp;" ("&amp;NodesData[[#This Row],[Class Disambiguation]]&amp;")")</f>
        <v>Role</v>
      </c>
      <c r="H377" s="12" t="s">
        <v>1072</v>
      </c>
      <c r="I377" s="19" t="str" cm="1">
        <f t="array" ref="I377">"n"&amp;SUBSTITUTE(CreateGuidString(),"-","_")</f>
        <v>nA490D2D3_B526_4EFC_8D6A_5981690A70AF</v>
      </c>
    </row>
    <row r="378" spans="1:9" x14ac:dyDescent="0.35">
      <c r="A3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8" s="12" t="s">
        <v>1073</v>
      </c>
      <c r="C378" s="13" t="s">
        <v>1704</v>
      </c>
      <c r="D378" s="36">
        <f>COUNTIF(NodesData[Node ID],NodesData[[#This Row],[Node ID]])</f>
        <v>1</v>
      </c>
      <c r="F378" s="12" t="str">
        <f>IF(NodesData[[#This Row],[Class Disambiguation]]="",NodesData[[#This Row],[Common Name]],NodesData[[#This Row],[Common Name]]&amp;" ("&amp;NodesData[[#This Row],[Class Disambiguation]]&amp;")")</f>
        <v>Role Bloating</v>
      </c>
      <c r="H378" s="12" t="s">
        <v>1074</v>
      </c>
      <c r="I378" s="19" t="str" cm="1">
        <f t="array" ref="I378">"n"&amp;SUBSTITUTE(CreateGuidString(),"-","_")</f>
        <v>nBBC44088_41E2_4526_88E1_B9B62F469397</v>
      </c>
    </row>
    <row r="379" spans="1:9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9" s="12" t="s">
        <v>1075</v>
      </c>
      <c r="C379" s="13" t="s">
        <v>1705</v>
      </c>
      <c r="D379" s="36">
        <f>COUNTIF(NodesData[Node ID],NodesData[[#This Row],[Node ID]])</f>
        <v>1</v>
      </c>
      <c r="F379" s="12" t="str">
        <f>IF(NodesData[[#This Row],[Class Disambiguation]]="",NodesData[[#This Row],[Common Name]],NodesData[[#This Row],[Common Name]]&amp;" ("&amp;NodesData[[#This Row],[Class Disambiguation]]&amp;")")</f>
        <v>Role Capacity</v>
      </c>
      <c r="H379" s="12" t="s">
        <v>1076</v>
      </c>
      <c r="I379" s="19" t="str" cm="1">
        <f t="array" ref="I379">"n"&amp;SUBSTITUTE(CreateGuidString(),"-","_")</f>
        <v>n0865BCA3_3A67_474F_9E7C_BD058E51E0D8</v>
      </c>
    </row>
    <row r="380" spans="1:9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0" s="12" t="s">
        <v>1077</v>
      </c>
      <c r="C380" s="13" t="s">
        <v>1706</v>
      </c>
      <c r="D380" s="36">
        <f>COUNTIF(NodesData[Node ID],NodesData[[#This Row],[Node ID]])</f>
        <v>1</v>
      </c>
      <c r="F380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H380" s="12" t="s">
        <v>1078</v>
      </c>
      <c r="I380" s="19" t="str" cm="1">
        <f t="array" ref="I380">"n"&amp;SUBSTITUTE(CreateGuidString(),"-","_")</f>
        <v>n1D2E7977_7F07_45C0_A0AF_505B90A7C72B</v>
      </c>
    </row>
    <row r="381" spans="1:9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1" s="12" t="s">
        <v>1079</v>
      </c>
      <c r="C381" s="13" t="s">
        <v>1707</v>
      </c>
      <c r="D381" s="36">
        <f>COUNTIF(NodesData[Node ID],NodesData[[#This Row],[Node ID]])</f>
        <v>1</v>
      </c>
      <c r="F381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H381" s="12" t="s">
        <v>1080</v>
      </c>
      <c r="I381" s="19" t="str" cm="1">
        <f t="array" ref="I381">"n"&amp;SUBSTITUTE(CreateGuidString(),"-","_")</f>
        <v>n2622C449_56F2_4BAD_AB82_973D80C4E8AF</v>
      </c>
    </row>
    <row r="382" spans="1:9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2" s="12" t="s">
        <v>1081</v>
      </c>
      <c r="C382" s="13" t="s">
        <v>1708</v>
      </c>
      <c r="D382" s="36">
        <f>COUNTIF(NodesData[Node ID],NodesData[[#This Row],[Node ID]])</f>
        <v>1</v>
      </c>
      <c r="F382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H382" s="12" t="s">
        <v>1082</v>
      </c>
      <c r="I382" s="19" t="str" cm="1">
        <f t="array" ref="I382">"n"&amp;SUBSTITUTE(CreateGuidString(),"-","_")</f>
        <v>n86127064_CB7B_4317_9AEE_3FC7C234BBAE</v>
      </c>
    </row>
    <row r="383" spans="1:9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3" s="12" t="s">
        <v>1083</v>
      </c>
      <c r="C383" s="13" t="s">
        <v>1709</v>
      </c>
      <c r="D383" s="36">
        <f>COUNTIF(NodesData[Node ID],NodesData[[#This Row],[Node ID]])</f>
        <v>1</v>
      </c>
      <c r="F383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H383" s="12" t="s">
        <v>1084</v>
      </c>
      <c r="I383" s="19" t="str" cm="1">
        <f t="array" ref="I383">"n"&amp;SUBSTITUTE(CreateGuidString(),"-","_")</f>
        <v>n27871334_A635_4D9A_AB63_0D11E11FCDB9</v>
      </c>
    </row>
    <row r="384" spans="1:9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4" s="12" t="s">
        <v>1085</v>
      </c>
      <c r="C384" s="13" t="s">
        <v>1703</v>
      </c>
      <c r="D384" s="36">
        <f>COUNTIF(NodesData[Node ID],NodesData[[#This Row],[Node ID]])</f>
        <v>1</v>
      </c>
      <c r="F384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H384" s="12" t="s">
        <v>1086</v>
      </c>
      <c r="I384" s="19" t="str" cm="1">
        <f t="array" ref="I384">"n"&amp;SUBSTITUTE(CreateGuidString(),"-","_")</f>
        <v>nC5FB2728_6FF8_43A3_887C_6579AFADDBF6</v>
      </c>
    </row>
    <row r="385" spans="1:9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5" s="12" t="s">
        <v>1087</v>
      </c>
      <c r="C385" s="13" t="s">
        <v>1710</v>
      </c>
      <c r="D385" s="36">
        <f>COUNTIF(NodesData[Node ID],NodesData[[#This Row],[Node ID]])</f>
        <v>1</v>
      </c>
      <c r="E385" s="12" t="s">
        <v>1270</v>
      </c>
      <c r="F385" s="12" t="str">
        <f>IF(NodesData[[#This Row],[Class Disambiguation]]="",NodesData[[#This Row],[Common Name]],NodesData[[#This Row],[Common Name]]&amp;" ("&amp;NodesData[[#This Row],[Class Disambiguation]]&amp;")")</f>
        <v>RP (Acronym)</v>
      </c>
      <c r="H385" s="12" t="s">
        <v>1088</v>
      </c>
      <c r="I385" s="19" t="str" cm="1">
        <f t="array" ref="I385">"n"&amp;SUBSTITUTE(CreateGuidString(),"-","_")</f>
        <v>nC381F37A_4CBD_4E38_8607_2B363C4086CA</v>
      </c>
    </row>
    <row r="386" spans="1:9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6" s="12" t="s">
        <v>407</v>
      </c>
      <c r="C386" s="13" t="s">
        <v>1711</v>
      </c>
      <c r="D386" s="36">
        <f>COUNTIF(NodesData[Node ID],NodesData[[#This Row],[Node ID]])</f>
        <v>1</v>
      </c>
      <c r="F386" s="12" t="str">
        <f>IF(NodesData[[#This Row],[Class Disambiguation]]="",NodesData[[#This Row],[Common Name]],NodesData[[#This Row],[Common Name]]&amp;" ("&amp;NodesData[[#This Row],[Class Disambiguation]]&amp;")")</f>
        <v>SAM Database</v>
      </c>
      <c r="H386" s="12" t="s">
        <v>1089</v>
      </c>
      <c r="I386" s="19" t="str" cm="1">
        <f t="array" ref="I386">"n"&amp;SUBSTITUTE(CreateGuidString(),"-","_")</f>
        <v>nF277FD63_36E2_43BC_899C_1F7E90D2B768</v>
      </c>
    </row>
    <row r="387" spans="1:9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7" s="12" t="s">
        <v>408</v>
      </c>
      <c r="C387" s="13" t="s">
        <v>1712</v>
      </c>
      <c r="D387" s="36">
        <f>COUNTIF(NodesData[Node ID],NodesData[[#This Row],[Node ID]])</f>
        <v>1</v>
      </c>
      <c r="E387" s="12" t="s">
        <v>1270</v>
      </c>
      <c r="F387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H387" s="12" t="s">
        <v>1090</v>
      </c>
      <c r="I387" s="19" t="str" cm="1">
        <f t="array" ref="I387">"n"&amp;SUBSTITUTE(CreateGuidString(),"-","_")</f>
        <v>nAF077738_CF44_48F0_B643_65A7DC729FDE</v>
      </c>
    </row>
    <row r="388" spans="1:9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8" s="12" t="s">
        <v>1091</v>
      </c>
      <c r="C388" s="13" t="s">
        <v>1713</v>
      </c>
      <c r="D388" s="36">
        <f>COUNTIF(NodesData[Node ID],NodesData[[#This Row],[Node ID]])</f>
        <v>1</v>
      </c>
      <c r="E388" s="12" t="s">
        <v>1270</v>
      </c>
      <c r="F388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H388" s="12" t="s">
        <v>1092</v>
      </c>
      <c r="I388" s="19" t="str" cm="1">
        <f t="array" ref="I388">"n"&amp;SUBSTITUTE(CreateGuidString(),"-","_")</f>
        <v>n70B6F93E_26EE_498E_8FB7_328A8936B00C</v>
      </c>
    </row>
    <row r="389" spans="1:9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9" s="12" t="s">
        <v>1093</v>
      </c>
      <c r="C389" s="13" t="s">
        <v>1714</v>
      </c>
      <c r="D389" s="36">
        <f>COUNTIF(NodesData[Node ID],NodesData[[#This Row],[Node ID]])</f>
        <v>1</v>
      </c>
      <c r="E389" s="12" t="s">
        <v>1270</v>
      </c>
      <c r="F389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H389" s="12" t="s">
        <v>1094</v>
      </c>
      <c r="I389" s="19" t="str" cm="1">
        <f t="array" ref="I389">"n"&amp;SUBSTITUTE(CreateGuidString(),"-","_")</f>
        <v>nF0936F9E_8BCE_4D2E_9A99_BA4704B01E5B</v>
      </c>
    </row>
    <row r="390" spans="1:9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0" s="12" t="s">
        <v>1095</v>
      </c>
      <c r="C390" s="13" t="s">
        <v>1715</v>
      </c>
      <c r="D390" s="36">
        <f>COUNTIF(NodesData[Node ID],NodesData[[#This Row],[Node ID]])</f>
        <v>1</v>
      </c>
      <c r="E390" s="12" t="s">
        <v>1270</v>
      </c>
      <c r="F390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H390" s="12" t="s">
        <v>1096</v>
      </c>
      <c r="I390" s="19" t="str" cm="1">
        <f t="array" ref="I390">"n"&amp;SUBSTITUTE(CreateGuidString(),"-","_")</f>
        <v>n7110BE30_FCAC_415B_AC0E_E7474CE923E3</v>
      </c>
    </row>
    <row r="391" spans="1:9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1" s="12" t="s">
        <v>1097</v>
      </c>
      <c r="C391" s="13" t="s">
        <v>1716</v>
      </c>
      <c r="D391" s="36">
        <f>COUNTIF(NodesData[Node ID],NodesData[[#This Row],[Node ID]])</f>
        <v>1</v>
      </c>
      <c r="E391" s="12" t="s">
        <v>1270</v>
      </c>
      <c r="F391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H391" s="12" t="s">
        <v>1098</v>
      </c>
      <c r="I391" s="19" t="str" cm="1">
        <f t="array" ref="I391">"n"&amp;SUBSTITUTE(CreateGuidString(),"-","_")</f>
        <v>nC8B8966D_EFDC_4440_9DB1_52D81F6F25BC</v>
      </c>
    </row>
    <row r="392" spans="1:9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2" s="12" t="s">
        <v>1099</v>
      </c>
      <c r="C392" s="13" t="s">
        <v>1717</v>
      </c>
      <c r="D392" s="36">
        <f>COUNTIF(NodesData[Node ID],NodesData[[#This Row],[Node ID]])</f>
        <v>1</v>
      </c>
      <c r="F392" s="12" t="str">
        <f>IF(NodesData[[#This Row],[Class Disambiguation]]="",NodesData[[#This Row],[Common Name]],NodesData[[#This Row],[Common Name]]&amp;" ("&amp;NodesData[[#This Row],[Class Disambiguation]]&amp;")")</f>
        <v>Scoping</v>
      </c>
      <c r="H392" s="12" t="s">
        <v>1100</v>
      </c>
      <c r="I392" s="19" t="str" cm="1">
        <f t="array" ref="I392">"n"&amp;SUBSTITUTE(CreateGuidString(),"-","_")</f>
        <v>n695FD945_3270_4937_91B3_D1EC733425ED</v>
      </c>
    </row>
    <row r="393" spans="1:9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3" s="12" t="s">
        <v>1101</v>
      </c>
      <c r="C393" s="13" t="s">
        <v>1718</v>
      </c>
      <c r="D393" s="36">
        <f>COUNTIF(NodesData[Node ID],NodesData[[#This Row],[Node ID]])</f>
        <v>1</v>
      </c>
      <c r="E393" s="12" t="s">
        <v>1270</v>
      </c>
      <c r="F393" s="12" t="str">
        <f>IF(NodesData[[#This Row],[Class Disambiguation]]="",NodesData[[#This Row],[Common Name]],NodesData[[#This Row],[Common Name]]&amp;" ("&amp;NodesData[[#This Row],[Class Disambiguation]]&amp;")")</f>
        <v>SD (Acronym)</v>
      </c>
      <c r="H393" s="12" t="s">
        <v>1102</v>
      </c>
      <c r="I393" s="19" t="str" cm="1">
        <f t="array" ref="I393">"n"&amp;SUBSTITUTE(CreateGuidString(),"-","_")</f>
        <v>n06E80D9E_D291_47B5_BD40_CA6823EB9D3B</v>
      </c>
    </row>
    <row r="394" spans="1:9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4" s="12" t="s">
        <v>1103</v>
      </c>
      <c r="C394" s="13" t="s">
        <v>1719</v>
      </c>
      <c r="D394" s="36">
        <f>COUNTIF(NodesData[Node ID],NodesData[[#This Row],[Node ID]])</f>
        <v>1</v>
      </c>
      <c r="E394" s="12" t="s">
        <v>1270</v>
      </c>
      <c r="F394" s="12" t="str">
        <f>IF(NodesData[[#This Row],[Class Disambiguation]]="",NodesData[[#This Row],[Common Name]],NodesData[[#This Row],[Common Name]]&amp;" ("&amp;NodesData[[#This Row],[Class Disambiguation]]&amp;")")</f>
        <v>SDP (Acronym)</v>
      </c>
      <c r="H394" s="12" t="s">
        <v>1104</v>
      </c>
      <c r="I394" s="19" t="str" cm="1">
        <f t="array" ref="I394">"n"&amp;SUBSTITUTE(CreateGuidString(),"-","_")</f>
        <v>n734FA932_5A57_40B5_8D88_B65837011977</v>
      </c>
    </row>
    <row r="395" spans="1:9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5" s="12" t="s">
        <v>1105</v>
      </c>
      <c r="C395" s="13" t="s">
        <v>1720</v>
      </c>
      <c r="D395" s="36">
        <f>COUNTIF(NodesData[Node ID],NodesData[[#This Row],[Node ID]])</f>
        <v>1</v>
      </c>
      <c r="F395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H395" s="12" t="s">
        <v>1106</v>
      </c>
      <c r="I395" s="19" t="str" cm="1">
        <f t="array" ref="I395">"n"&amp;SUBSTITUTE(CreateGuidString(),"-","_")</f>
        <v>nAD547734_64B0_47E8_A5E2_6D8C014F0CC1</v>
      </c>
    </row>
    <row r="396" spans="1:9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6" s="12" t="s">
        <v>1107</v>
      </c>
      <c r="C396" s="13" t="s">
        <v>1721</v>
      </c>
      <c r="D396" s="36">
        <f>COUNTIF(NodesData[Node ID],NodesData[[#This Row],[Node ID]])</f>
        <v>1</v>
      </c>
      <c r="F396" s="12" t="str">
        <f>IF(NodesData[[#This Row],[Class Disambiguation]]="",NodesData[[#This Row],[Common Name]],NodesData[[#This Row],[Common Name]]&amp;" ("&amp;NodesData[[#This Row],[Class Disambiguation]]&amp;")")</f>
        <v>Secure System</v>
      </c>
      <c r="H396" s="12" t="s">
        <v>1108</v>
      </c>
      <c r="I396" s="19" t="str" cm="1">
        <f t="array" ref="I396">"n"&amp;SUBSTITUTE(CreateGuidString(),"-","_")</f>
        <v>n5E3AB986_BC2F_4C05_8F1C_409AB6792D23</v>
      </c>
    </row>
    <row r="397" spans="1:9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7" s="12" t="s">
        <v>1109</v>
      </c>
      <c r="C397" s="13" t="s">
        <v>1722</v>
      </c>
      <c r="D397" s="36">
        <f>COUNTIF(NodesData[Node ID],NodesData[[#This Row],[Node ID]])</f>
        <v>1</v>
      </c>
      <c r="F397" s="12" t="str">
        <f>IF(NodesData[[#This Row],[Class Disambiguation]]="",NodesData[[#This Row],[Common Name]],NodesData[[#This Row],[Common Name]]&amp;" ("&amp;NodesData[[#This Row],[Class Disambiguation]]&amp;")")</f>
        <v>Security</v>
      </c>
      <c r="H397" s="12" t="s">
        <v>1110</v>
      </c>
      <c r="I397" s="19" t="str" cm="1">
        <f t="array" ref="I397">"n"&amp;SUBSTITUTE(CreateGuidString(),"-","_")</f>
        <v>nDE0113DB_61B1_4C7A_9394_6EA6467F08DF</v>
      </c>
    </row>
    <row r="398" spans="1:9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8" s="12" t="s">
        <v>1111</v>
      </c>
      <c r="C398" s="13" t="s">
        <v>1723</v>
      </c>
      <c r="D398" s="36">
        <f>COUNTIF(NodesData[Node ID],NodesData[[#This Row],[Node ID]])</f>
        <v>1</v>
      </c>
      <c r="F398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H398" s="12" t="s">
        <v>1112</v>
      </c>
      <c r="I398" s="19" t="str" cm="1">
        <f t="array" ref="I398">"n"&amp;SUBSTITUTE(CreateGuidString(),"-","_")</f>
        <v>n26537A75_D4B8_4708_AA0A_63C135B1C436</v>
      </c>
    </row>
    <row r="399" spans="1:9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9" s="12" t="s">
        <v>421</v>
      </c>
      <c r="C399" s="13" t="s">
        <v>1724</v>
      </c>
      <c r="D399" s="36">
        <f>COUNTIF(NodesData[Node ID],NodesData[[#This Row],[Node ID]])</f>
        <v>1</v>
      </c>
      <c r="F399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H399" s="12" t="s">
        <v>1113</v>
      </c>
      <c r="I399" s="19" t="str" cm="1">
        <f t="array" ref="I399">"n"&amp;SUBSTITUTE(CreateGuidString(),"-","_")</f>
        <v>n44158D86_6A59_4055_8198_835A7B4FC19A</v>
      </c>
    </row>
    <row r="400" spans="1:9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0" s="12" t="s">
        <v>1114</v>
      </c>
      <c r="C400" s="13" t="s">
        <v>1725</v>
      </c>
      <c r="D400" s="36">
        <f>COUNTIF(NodesData[Node ID],NodesData[[#This Row],[Node ID]])</f>
        <v>1</v>
      </c>
      <c r="F400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H400" s="12" t="s">
        <v>1115</v>
      </c>
      <c r="I400" s="19" t="str" cm="1">
        <f t="array" ref="I400">"n"&amp;SUBSTITUTE(CreateGuidString(),"-","_")</f>
        <v>n31E0D0A5_998C_4A10_8EBB_B0A9C23770B9</v>
      </c>
    </row>
    <row r="401" spans="1:9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1" s="12" t="s">
        <v>1116</v>
      </c>
      <c r="C401" s="13" t="s">
        <v>1726</v>
      </c>
      <c r="D401" s="36">
        <f>COUNTIF(NodesData[Node ID],NodesData[[#This Row],[Node ID]])</f>
        <v>1</v>
      </c>
      <c r="F401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H401" s="12" t="s">
        <v>1117</v>
      </c>
      <c r="I401" s="19" t="str" cm="1">
        <f t="array" ref="I401">"n"&amp;SUBSTITUTE(CreateGuidString(),"-","_")</f>
        <v>n6440F348_04E3_4CB5_BFAA_BCBDDC668F68</v>
      </c>
    </row>
    <row r="402" spans="1:9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2" s="12" t="s">
        <v>1118</v>
      </c>
      <c r="C402" s="13" t="s">
        <v>1727</v>
      </c>
      <c r="D402" s="36">
        <f>COUNTIF(NodesData[Node ID],NodesData[[#This Row],[Node ID]])</f>
        <v>1</v>
      </c>
      <c r="F402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H402" s="12" t="s">
        <v>1119</v>
      </c>
      <c r="I402" s="19" t="str" cm="1">
        <f t="array" ref="I402">"n"&amp;SUBSTITUTE(CreateGuidString(),"-","_")</f>
        <v>n1F0E994A_7515_48DE_A33E_CBE9D4C57CF8</v>
      </c>
    </row>
    <row r="403" spans="1:9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3" s="12" t="s">
        <v>1329</v>
      </c>
      <c r="C403" s="13" t="s">
        <v>1735</v>
      </c>
      <c r="D403" s="36">
        <f>COUNTIF(NodesData[Node ID],NodesData[[#This Row],[Node ID]])</f>
        <v>1</v>
      </c>
      <c r="F403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I403" s="19" t="str" cm="1">
        <f t="array" ref="I403">"n"&amp;SUBSTITUTE(CreateGuidString(),"-","_")</f>
        <v>nE3F3D02F_E295_4F90_8830_E09D7ABA4DC3</v>
      </c>
    </row>
    <row r="404" spans="1:9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4" s="12" t="s">
        <v>1120</v>
      </c>
      <c r="C404" s="13" t="s">
        <v>1729</v>
      </c>
      <c r="D404" s="36">
        <f>COUNTIF(NodesData[Node ID],NodesData[[#This Row],[Node ID]])</f>
        <v>1</v>
      </c>
      <c r="F404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H404" s="12" t="s">
        <v>1121</v>
      </c>
      <c r="I404" s="19" t="str" cm="1">
        <f t="array" ref="I404">"n"&amp;SUBSTITUTE(CreateGuidString(),"-","_")</f>
        <v>nCE821D7B_F784_44D3_9929_C474B6518A15</v>
      </c>
    </row>
    <row r="405" spans="1:9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5" s="12" t="s">
        <v>426</v>
      </c>
      <c r="C405" s="13" t="s">
        <v>1730</v>
      </c>
      <c r="D405" s="36">
        <f>COUNTIF(NodesData[Node ID],NodesData[[#This Row],[Node ID]])</f>
        <v>1</v>
      </c>
      <c r="F405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H405" s="12" t="s">
        <v>1122</v>
      </c>
      <c r="I405" s="19" t="str" cm="1">
        <f t="array" ref="I405">"n"&amp;SUBSTITUTE(CreateGuidString(),"-","_")</f>
        <v>nD2D81A3F_345C_4793_89B7_AAC4FF478C1A</v>
      </c>
    </row>
    <row r="406" spans="1:9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6" s="12" t="s">
        <v>1123</v>
      </c>
      <c r="C406" s="13" t="s">
        <v>1731</v>
      </c>
      <c r="D406" s="36">
        <f>COUNTIF(NodesData[Node ID],NodesData[[#This Row],[Node ID]])</f>
        <v>1</v>
      </c>
      <c r="F406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H406" s="12" t="s">
        <v>1124</v>
      </c>
      <c r="I406" s="19" t="str" cm="1">
        <f t="array" ref="I406">"n"&amp;SUBSTITUTE(CreateGuidString(),"-","_")</f>
        <v>nD9295045_365F_485A_B361_45ED3212515D</v>
      </c>
    </row>
    <row r="407" spans="1:9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7" s="12" t="s">
        <v>1125</v>
      </c>
      <c r="C407" s="13" t="s">
        <v>1732</v>
      </c>
      <c r="D407" s="36">
        <f>COUNTIF(NodesData[Node ID],NodesData[[#This Row],[Node ID]])</f>
        <v>1</v>
      </c>
      <c r="F407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H407" s="12" t="s">
        <v>1126</v>
      </c>
      <c r="I407" s="19" t="str" cm="1">
        <f t="array" ref="I407">"n"&amp;SUBSTITUTE(CreateGuidString(),"-","_")</f>
        <v>nA9086A26_A942_4433_8255_B512D140A37F</v>
      </c>
    </row>
    <row r="408" spans="1:9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8" s="12" t="s">
        <v>429</v>
      </c>
      <c r="C408" s="13" t="s">
        <v>1733</v>
      </c>
      <c r="D408" s="36">
        <f>COUNTIF(NodesData[Node ID],NodesData[[#This Row],[Node ID]])</f>
        <v>1</v>
      </c>
      <c r="F408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H408" s="12" t="s">
        <v>1127</v>
      </c>
      <c r="I408" s="19" t="str" cm="1">
        <f t="array" ref="I408">"n"&amp;SUBSTITUTE(CreateGuidString(),"-","_")</f>
        <v>n02B2F89D_DDDC_48DC_8C95_F401D3E01D7F</v>
      </c>
    </row>
    <row r="409" spans="1:9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09" s="12" t="s">
        <v>1128</v>
      </c>
      <c r="C409" s="13" t="s">
        <v>1734</v>
      </c>
      <c r="D409" s="36">
        <f>COUNTIF(NodesData[Node ID],NodesData[[#This Row],[Node ID]])</f>
        <v>1</v>
      </c>
      <c r="F409" s="12" t="str">
        <f>IF(NodesData[[#This Row],[Class Disambiguation]]="",NodesData[[#This Row],[Common Name]],NodesData[[#This Row],[Common Name]]&amp;" ("&amp;NodesData[[#This Row],[Class Disambiguation]]&amp;")")</f>
        <v>Session</v>
      </c>
      <c r="H409" s="12" t="s">
        <v>1129</v>
      </c>
      <c r="I409" s="19" t="str" cm="1">
        <f t="array" ref="I409">"n"&amp;SUBSTITUTE(CreateGuidString(),"-","_")</f>
        <v>n686F48DC_A2C3_4F7C_A2D8_DAF843D05B52</v>
      </c>
    </row>
    <row r="410" spans="1:9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0" s="12" t="s">
        <v>1331</v>
      </c>
      <c r="C410" s="13" t="s">
        <v>1740</v>
      </c>
      <c r="D410" s="36">
        <f>COUNTIF(NodesData[Node ID],NodesData[[#This Row],[Node ID]])</f>
        <v>1</v>
      </c>
      <c r="F410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I410" s="19" t="str" cm="1">
        <f t="array" ref="I410">"n"&amp;SUBSTITUTE(CreateGuidString(),"-","_")</f>
        <v>nE0FEE717_4ABC_4D9E_9367_B687E42FD51C</v>
      </c>
    </row>
    <row r="411" spans="1:9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1" s="12" t="s">
        <v>1130</v>
      </c>
      <c r="C411" s="13" t="s">
        <v>1736</v>
      </c>
      <c r="D411" s="36">
        <f>COUNTIF(NodesData[Node ID],NodesData[[#This Row],[Node ID]])</f>
        <v>1</v>
      </c>
      <c r="F411" s="12" t="str">
        <f>IF(NodesData[[#This Row],[Class Disambiguation]]="",NodesData[[#This Row],[Common Name]],NodesData[[#This Row],[Common Name]]&amp;" ("&amp;NodesData[[#This Row],[Class Disambiguation]]&amp;")")</f>
        <v>Single Login</v>
      </c>
      <c r="H411" s="12" t="s">
        <v>1131</v>
      </c>
      <c r="I411" s="19" t="str" cm="1">
        <f t="array" ref="I411">"n"&amp;SUBSTITUTE(CreateGuidString(),"-","_")</f>
        <v>n7E455351_017A_438B_8E50_F68006870D62</v>
      </c>
    </row>
    <row r="412" spans="1:9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2" s="12" t="s">
        <v>1132</v>
      </c>
      <c r="C412" s="13" t="s">
        <v>1737</v>
      </c>
      <c r="D412" s="36">
        <f>COUNTIF(NodesData[Node ID],NodesData[[#This Row],[Node ID]])</f>
        <v>1</v>
      </c>
      <c r="F412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12" s="12" t="s">
        <v>1133</v>
      </c>
      <c r="I412" s="19" t="str" cm="1">
        <f t="array" ref="I412">"n"&amp;SUBSTITUTE(CreateGuidString(),"-","_")</f>
        <v>nDE640344_9717_477C_BC78_4FDF1820CB25</v>
      </c>
    </row>
    <row r="413" spans="1:9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3" s="12" t="s">
        <v>1132</v>
      </c>
      <c r="C413" s="13" t="s">
        <v>1738</v>
      </c>
      <c r="D413" s="36">
        <f>COUNTIF(NodesData[Node ID],NodesData[[#This Row],[Node ID]])</f>
        <v>1</v>
      </c>
      <c r="F413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3" s="19" t="str" cm="1">
        <f t="array" ref="I413">"n"&amp;SUBSTITUTE(CreateGuidString(),"-","_")</f>
        <v>n6AC941B4_B61F_4073_BA18_B77A9F37E9B5</v>
      </c>
    </row>
    <row r="414" spans="1:9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4" s="12" t="s">
        <v>1321</v>
      </c>
      <c r="C414" s="13" t="s">
        <v>1739</v>
      </c>
      <c r="D414" s="36">
        <f>COUNTIF(NodesData[Node ID],NodesData[[#This Row],[Node ID]])</f>
        <v>1</v>
      </c>
      <c r="F414" s="12" t="str">
        <f>IF(NodesData[[#This Row],[Class Disambiguation]]="",NodesData[[#This Row],[Common Name]],NodesData[[#This Row],[Common Name]]&amp;" ("&amp;NodesData[[#This Row],[Class Disambiguation]]&amp;")")</f>
        <v>SMS OTP</v>
      </c>
      <c r="I414" s="19" t="str" cm="1">
        <f t="array" ref="I414">"n"&amp;SUBSTITUTE(CreateGuidString(),"-","_")</f>
        <v>nF43F37E6_6127_4657_BF7A_89B068E9274F</v>
      </c>
    </row>
    <row r="415" spans="1:9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5" s="12" t="s">
        <v>433</v>
      </c>
      <c r="C415" s="13" t="s">
        <v>1753</v>
      </c>
      <c r="D415" s="36">
        <f>COUNTIF(NodesData[Node ID],NodesData[[#This Row],[Node ID]])</f>
        <v>1</v>
      </c>
      <c r="F415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H415" s="12" t="s">
        <v>1134</v>
      </c>
      <c r="I415" s="19" t="str" cm="1">
        <f t="array" ref="I415">"n"&amp;SUBSTITUTE(CreateGuidString(),"-","_")</f>
        <v>nA1B97904_9744_4E7D_8FA0_3AA7209C5427</v>
      </c>
    </row>
    <row r="416" spans="1:9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6" s="12" t="s">
        <v>434</v>
      </c>
      <c r="C416" s="13" t="s">
        <v>1741</v>
      </c>
      <c r="D416" s="36">
        <f>COUNTIF(NodesData[Node ID],NodesData[[#This Row],[Node ID]])</f>
        <v>1</v>
      </c>
      <c r="F416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H416" s="12" t="s">
        <v>1135</v>
      </c>
      <c r="I416" s="19" t="str" cm="1">
        <f t="array" ref="I416">"n"&amp;SUBSTITUTE(CreateGuidString(),"-","_")</f>
        <v>n943163E3_9672_41C2_9675_E198336092DD</v>
      </c>
    </row>
    <row r="417" spans="1:9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7" s="12" t="s">
        <v>1136</v>
      </c>
      <c r="C417" s="13" t="s">
        <v>1742</v>
      </c>
      <c r="D417" s="36">
        <f>COUNTIF(NodesData[Node ID],NodesData[[#This Row],[Node ID]])</f>
        <v>1</v>
      </c>
      <c r="E417" s="12" t="s">
        <v>1270</v>
      </c>
      <c r="F417" s="12" t="str">
        <f>IF(NodesData[[#This Row],[Class Disambiguation]]="",NodesData[[#This Row],[Common Name]],NodesData[[#This Row],[Common Name]]&amp;" ("&amp;NodesData[[#This Row],[Class Disambiguation]]&amp;")")</f>
        <v>SoD (Acronym)</v>
      </c>
      <c r="H417" s="12" t="s">
        <v>1137</v>
      </c>
      <c r="I417" s="19" t="str" cm="1">
        <f t="array" ref="I417">"n"&amp;SUBSTITUTE(CreateGuidString(),"-","_")</f>
        <v>n0CBF96E5_6C72_4022_9BD7_B20CD22F8FD8</v>
      </c>
    </row>
    <row r="418" spans="1:9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8" s="12" t="s">
        <v>1320</v>
      </c>
      <c r="C418" s="13" t="s">
        <v>1743</v>
      </c>
      <c r="D418" s="36">
        <f>COUNTIF(NodesData[Node ID],NodesData[[#This Row],[Node ID]])</f>
        <v>1</v>
      </c>
      <c r="F418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I418" s="19" t="str" cm="1">
        <f t="array" ref="I418">"n"&amp;SUBSTITUTE(CreateGuidString(),"-","_")</f>
        <v>n3986D7FD_8B42_49D3_AB74_C32A2B091A35</v>
      </c>
    </row>
    <row r="419" spans="1:9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9" s="12" t="s">
        <v>1138</v>
      </c>
      <c r="C419" s="13" t="s">
        <v>1744</v>
      </c>
      <c r="D419" s="36">
        <f>COUNTIF(NodesData[Node ID],NodesData[[#This Row],[Node ID]])</f>
        <v>1</v>
      </c>
      <c r="F419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H419" s="12" t="s">
        <v>1139</v>
      </c>
      <c r="I419" s="19" t="str" cm="1">
        <f t="array" ref="I419">"n"&amp;SUBSTITUTE(CreateGuidString(),"-","_")</f>
        <v>n28202888_F2B3_4FF1_AFFC_736FEFD5FE2F</v>
      </c>
    </row>
    <row r="420" spans="1:9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0" s="12" t="s">
        <v>1140</v>
      </c>
      <c r="C420" s="13" t="s">
        <v>1745</v>
      </c>
      <c r="D420" s="36">
        <f>COUNTIF(NodesData[Node ID],NodesData[[#This Row],[Node ID]])</f>
        <v>1</v>
      </c>
      <c r="E420" s="12" t="s">
        <v>1270</v>
      </c>
      <c r="F420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H420" s="12" t="s">
        <v>1141</v>
      </c>
      <c r="I420" s="19" t="str" cm="1">
        <f t="array" ref="I420">"n"&amp;SUBSTITUTE(CreateGuidString(),"-","_")</f>
        <v>n553ABFA6_775D_4C8F_ABCC_5E669402E26B</v>
      </c>
    </row>
    <row r="421" spans="1:9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1" s="12" t="s">
        <v>1142</v>
      </c>
      <c r="C421" s="13" t="s">
        <v>1746</v>
      </c>
      <c r="D421" s="36">
        <f>COUNTIF(NodesData[Node ID],NodesData[[#This Row],[Node ID]])</f>
        <v>1</v>
      </c>
      <c r="E421" s="12" t="s">
        <v>1270</v>
      </c>
      <c r="F421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H421" s="12" t="s">
        <v>1143</v>
      </c>
      <c r="I421" s="19" t="str" cm="1">
        <f t="array" ref="I421">"n"&amp;SUBSTITUTE(CreateGuidString(),"-","_")</f>
        <v>n54931BA1_6110_4491_9B9D_BE80094983CE</v>
      </c>
    </row>
    <row r="422" spans="1:9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2" s="12" t="s">
        <v>1144</v>
      </c>
      <c r="C422" s="13" t="s">
        <v>1747</v>
      </c>
      <c r="D422" s="36">
        <f>COUNTIF(NodesData[Node ID],NodesData[[#This Row],[Node ID]])</f>
        <v>1</v>
      </c>
      <c r="E422" s="12" t="s">
        <v>1270</v>
      </c>
      <c r="F422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H422" s="12" t="s">
        <v>1145</v>
      </c>
      <c r="I422" s="19" t="str" cm="1">
        <f t="array" ref="I422">"n"&amp;SUBSTITUTE(CreateGuidString(),"-","_")</f>
        <v>nC3137E60_7B6D_4549_A052_15086BAC3EE2</v>
      </c>
    </row>
    <row r="423" spans="1:9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3" s="12" t="s">
        <v>440</v>
      </c>
      <c r="C423" s="13" t="s">
        <v>1748</v>
      </c>
      <c r="D423" s="36">
        <f>COUNTIF(NodesData[Node ID],NodesData[[#This Row],[Node ID]])</f>
        <v>1</v>
      </c>
      <c r="E423" s="12" t="s">
        <v>1270</v>
      </c>
      <c r="F423" s="12" t="str">
        <f>IF(NodesData[[#This Row],[Class Disambiguation]]="",NodesData[[#This Row],[Common Name]],NodesData[[#This Row],[Common Name]]&amp;" ("&amp;NodesData[[#This Row],[Class Disambiguation]]&amp;")")</f>
        <v>SSI (Acronym)</v>
      </c>
      <c r="H423" s="12" t="s">
        <v>1146</v>
      </c>
      <c r="I423" s="19" t="str" cm="1">
        <f t="array" ref="I423">"n"&amp;SUBSTITUTE(CreateGuidString(),"-","_")</f>
        <v>nD6240988_58C1_4396_B190_BA5B1AD690E1</v>
      </c>
    </row>
    <row r="424" spans="1:9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4" s="12" t="s">
        <v>1147</v>
      </c>
      <c r="C424" s="13" t="s">
        <v>1750</v>
      </c>
      <c r="D424" s="36">
        <f>COUNTIF(NodesData[Node ID],NodesData[[#This Row],[Node ID]])</f>
        <v>1</v>
      </c>
      <c r="F424" s="12" t="str">
        <f>IF(NodesData[[#This Row],[Class Disambiguation]]="",NodesData[[#This Row],[Common Name]],NodesData[[#This Row],[Common Name]]&amp;" ("&amp;NodesData[[#This Row],[Class Disambiguation]]&amp;")")</f>
        <v>SSO</v>
      </c>
      <c r="I424" s="19" t="str" cm="1">
        <f t="array" ref="I424">"n"&amp;SUBSTITUTE(CreateGuidString(),"-","_")</f>
        <v>n3ECF960A_FA43_448D_9FF9_6138DE8D54FE</v>
      </c>
    </row>
    <row r="425" spans="1:9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5" s="12" t="s">
        <v>1147</v>
      </c>
      <c r="C425" s="13" t="s">
        <v>1749</v>
      </c>
      <c r="D425" s="36">
        <f>COUNTIF(NodesData[Node ID],NodesData[[#This Row],[Node ID]])</f>
        <v>1</v>
      </c>
      <c r="E425" s="12" t="s">
        <v>1270</v>
      </c>
      <c r="F425" s="12" t="str">
        <f>IF(NodesData[[#This Row],[Class Disambiguation]]="",NodesData[[#This Row],[Common Name]],NodesData[[#This Row],[Common Name]]&amp;" ("&amp;NodesData[[#This Row],[Class Disambiguation]]&amp;")")</f>
        <v>SSO (Acronym)</v>
      </c>
      <c r="H425" s="12" t="s">
        <v>1148</v>
      </c>
      <c r="I425" s="19" t="str" cm="1">
        <f t="array" ref="I425">"n"&amp;SUBSTITUTE(CreateGuidString(),"-","_")</f>
        <v>nE80A1FE1_2483_443E_99ED_F6013671DDC4</v>
      </c>
    </row>
    <row r="426" spans="1:9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6" s="12" t="s">
        <v>1149</v>
      </c>
      <c r="C426" s="13" t="s">
        <v>1751</v>
      </c>
      <c r="D426" s="36">
        <f>COUNTIF(NodesData[Node ID],NodesData[[#This Row],[Node ID]])</f>
        <v>1</v>
      </c>
      <c r="F426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H426" s="12" t="s">
        <v>1150</v>
      </c>
      <c r="I426" s="19" t="str" cm="1">
        <f t="array" ref="I426">"n"&amp;SUBSTITUTE(CreateGuidString(),"-","_")</f>
        <v>n86996675_E4A4_4F3C_A568_CCEE817CA192</v>
      </c>
    </row>
    <row r="427" spans="1:9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7" s="12" t="s">
        <v>1151</v>
      </c>
      <c r="C427" s="13" t="s">
        <v>1752</v>
      </c>
      <c r="D427" s="36">
        <f>COUNTIF(NodesData[Node ID],NodesData[[#This Row],[Node ID]])</f>
        <v>1</v>
      </c>
      <c r="F427" s="12" t="str">
        <f>IF(NodesData[[#This Row],[Class Disambiguation]]="",NodesData[[#This Row],[Common Name]],NodesData[[#This Row],[Common Name]]&amp;" ("&amp;NodesData[[#This Row],[Class Disambiguation]]&amp;")")</f>
        <v>Stakeholder</v>
      </c>
      <c r="H427" s="12" t="s">
        <v>1152</v>
      </c>
      <c r="I427" s="19" t="str" cm="1">
        <f t="array" ref="I427">"n"&amp;SUBSTITUTE(CreateGuidString(),"-","_")</f>
        <v>n3456D69F_DF54_4853_A041_08D3BA1C4578</v>
      </c>
    </row>
    <row r="428" spans="1:9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8" s="12" t="s">
        <v>444</v>
      </c>
      <c r="C428" s="13" t="s">
        <v>1756</v>
      </c>
      <c r="D428" s="36">
        <f>COUNTIF(NodesData[Node ID],NodesData[[#This Row],[Node ID]])</f>
        <v>1</v>
      </c>
      <c r="F428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H428" s="12" t="s">
        <v>1153</v>
      </c>
      <c r="I428" s="19" t="str" cm="1">
        <f t="array" ref="I428">"n"&amp;SUBSTITUTE(CreateGuidString(),"-","_")</f>
        <v>n6DBD302A_7688_4A76_93A8_7F1E3EF1F942</v>
      </c>
    </row>
    <row r="429" spans="1:9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9" s="12" t="s">
        <v>1154</v>
      </c>
      <c r="C429" s="13" t="s">
        <v>1754</v>
      </c>
      <c r="D429" s="36">
        <f>COUNTIF(NodesData[Node ID],NodesData[[#This Row],[Node ID]])</f>
        <v>1</v>
      </c>
      <c r="F429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H429" s="12" t="s">
        <v>1155</v>
      </c>
      <c r="I429" s="19" t="str" cm="1">
        <f t="array" ref="I429">"n"&amp;SUBSTITUTE(CreateGuidString(),"-","_")</f>
        <v>nE4FC371F_D0A3_4233_8A0C_F475F3FEBEFA</v>
      </c>
    </row>
    <row r="430" spans="1:9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0" s="12" t="s">
        <v>1156</v>
      </c>
      <c r="C430" s="13" t="s">
        <v>1755</v>
      </c>
      <c r="D430" s="36">
        <f>COUNTIF(NodesData[Node ID],NodesData[[#This Row],[Node ID]])</f>
        <v>1</v>
      </c>
      <c r="F430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H430" s="12" t="s">
        <v>1157</v>
      </c>
      <c r="I430" s="19" t="str" cm="1">
        <f t="array" ref="I430">"n"&amp;SUBSTITUTE(CreateGuidString(),"-","_")</f>
        <v>n967E220A_9626_43DF_8C2F_19323048F813</v>
      </c>
    </row>
    <row r="431" spans="1:9" x14ac:dyDescent="0.35">
      <c r="A4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1" s="12" t="s">
        <v>1158</v>
      </c>
      <c r="C431" s="13" t="s">
        <v>1770</v>
      </c>
      <c r="D431" s="36">
        <f>COUNTIF(NodesData[Node ID],NodesData[[#This Row],[Node ID]])</f>
        <v>1</v>
      </c>
      <c r="F431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H431" s="12" t="s">
        <v>1159</v>
      </c>
      <c r="I431" s="19" t="str" cm="1">
        <f t="array" ref="I431">"n"&amp;SUBSTITUTE(CreateGuidString(),"-","_")</f>
        <v>n7CE730DE_5ECD_45A6_97FD_62C20463C503</v>
      </c>
    </row>
    <row r="432" spans="1:9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2" s="12" t="s">
        <v>1160</v>
      </c>
      <c r="C432" s="13" t="s">
        <v>1757</v>
      </c>
      <c r="D432" s="36">
        <f>COUNTIF(NodesData[Node ID],NodesData[[#This Row],[Node ID]])</f>
        <v>1</v>
      </c>
      <c r="F432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H432" s="12" t="s">
        <v>1161</v>
      </c>
      <c r="I432" s="19" t="str" cm="1">
        <f t="array" ref="I432">"n"&amp;SUBSTITUTE(CreateGuidString(),"-","_")</f>
        <v>n58580CE1_8D5A_4EF0_9344_52D4D5FB96C5</v>
      </c>
    </row>
    <row r="433" spans="1:9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3" s="12" t="s">
        <v>1162</v>
      </c>
      <c r="C433" s="13" t="s">
        <v>1758</v>
      </c>
      <c r="D433" s="36">
        <f>COUNTIF(NodesData[Node ID],NodesData[[#This Row],[Node ID]])</f>
        <v>1</v>
      </c>
      <c r="F433" s="12" t="str">
        <f>IF(NodesData[[#This Row],[Class Disambiguation]]="",NodesData[[#This Row],[Common Name]],NodesData[[#This Row],[Common Name]]&amp;" ("&amp;NodesData[[#This Row],[Class Disambiguation]]&amp;")")</f>
        <v>Subject</v>
      </c>
      <c r="H433" s="12" t="s">
        <v>1163</v>
      </c>
      <c r="I433" s="19" t="str" cm="1">
        <f t="array" ref="I433">"n"&amp;SUBSTITUTE(CreateGuidString(),"-","_")</f>
        <v>n7647733B_AA55_4F71_A2F2_3302D3B600C3</v>
      </c>
    </row>
    <row r="434" spans="1:9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4" s="12" t="s">
        <v>1164</v>
      </c>
      <c r="C434" s="13" t="s">
        <v>1759</v>
      </c>
      <c r="D434" s="36">
        <f>COUNTIF(NodesData[Node ID],NodesData[[#This Row],[Node ID]])</f>
        <v>1</v>
      </c>
      <c r="F434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H434" s="12" t="s">
        <v>1165</v>
      </c>
      <c r="I434" s="19" t="str" cm="1">
        <f t="array" ref="I434">"n"&amp;SUBSTITUTE(CreateGuidString(),"-","_")</f>
        <v>n02A7C82B_A182_4E6C_A38C_76578D991554</v>
      </c>
    </row>
    <row r="435" spans="1:9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5" s="12" t="s">
        <v>451</v>
      </c>
      <c r="C435" s="13" t="s">
        <v>1760</v>
      </c>
      <c r="D435" s="36">
        <f>COUNTIF(NodesData[Node ID],NodesData[[#This Row],[Node ID]])</f>
        <v>1</v>
      </c>
      <c r="F435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H435" s="12" t="s">
        <v>1166</v>
      </c>
      <c r="I435" s="19" t="str" cm="1">
        <f t="array" ref="I435">"n"&amp;SUBSTITUTE(CreateGuidString(),"-","_")</f>
        <v>n0337BAD3_2F53_48A3_AD75_04FDB0B26FF0</v>
      </c>
    </row>
    <row r="436" spans="1:9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6" s="12" t="s">
        <v>452</v>
      </c>
      <c r="C436" s="13" t="s">
        <v>1761</v>
      </c>
      <c r="D436" s="36">
        <f>COUNTIF(NodesData[Node ID],NodesData[[#This Row],[Node ID]])</f>
        <v>1</v>
      </c>
      <c r="F436" s="12" t="str">
        <f>IF(NodesData[[#This Row],[Class Disambiguation]]="",NodesData[[#This Row],[Common Name]],NodesData[[#This Row],[Common Name]]&amp;" ("&amp;NodesData[[#This Row],[Class Disambiguation]]&amp;")")</f>
        <v>Sybil Attack</v>
      </c>
      <c r="H436" s="12" t="s">
        <v>1167</v>
      </c>
      <c r="I436" s="19" t="str" cm="1">
        <f t="array" ref="I436">"n"&amp;SUBSTITUTE(CreateGuidString(),"-","_")</f>
        <v>n62617E97_4CB5_4775_B84D_5D3D4BDF533A</v>
      </c>
    </row>
    <row r="437" spans="1:9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7" s="12" t="s">
        <v>1168</v>
      </c>
      <c r="C437" s="13" t="s">
        <v>1762</v>
      </c>
      <c r="D437" s="36">
        <f>COUNTIF(NodesData[Node ID],NodesData[[#This Row],[Node ID]])</f>
        <v>1</v>
      </c>
      <c r="F437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H437" s="12" t="s">
        <v>1169</v>
      </c>
      <c r="I437" s="19" t="str" cm="1">
        <f t="array" ref="I437">"n"&amp;SUBSTITUTE(CreateGuidString(),"-","_")</f>
        <v>nEA5311E5_4926_41BF_9911_FC09A28DDB0F</v>
      </c>
    </row>
    <row r="438" spans="1:9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38" s="12" t="s">
        <v>454</v>
      </c>
      <c r="C438" s="13" t="s">
        <v>1763</v>
      </c>
      <c r="D438" s="36">
        <f>COUNTIF(NodesData[Node ID],NodesData[[#This Row],[Node ID]])</f>
        <v>1</v>
      </c>
      <c r="F438" s="12" t="str">
        <f>IF(NodesData[[#This Row],[Class Disambiguation]]="",NodesData[[#This Row],[Common Name]],NodesData[[#This Row],[Common Name]]&amp;" ("&amp;NodesData[[#This Row],[Class Disambiguation]]&amp;")")</f>
        <v>System</v>
      </c>
      <c r="H438" s="12" t="s">
        <v>1170</v>
      </c>
      <c r="I438" s="19" t="str" cm="1">
        <f t="array" ref="I438">"n"&amp;SUBSTITUTE(CreateGuidString(),"-","_")</f>
        <v>n5404794E_9D3E_47A6_B08C_E30AE0D60862</v>
      </c>
    </row>
    <row r="439" spans="1:9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9" s="12" t="s">
        <v>455</v>
      </c>
      <c r="C439" s="13" t="s">
        <v>1764</v>
      </c>
      <c r="D439" s="36">
        <f>COUNTIF(NodesData[Node ID],NodesData[[#This Row],[Node ID]])</f>
        <v>1</v>
      </c>
      <c r="F439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H439" s="12" t="s">
        <v>1171</v>
      </c>
      <c r="I439" s="19" t="str" cm="1">
        <f t="array" ref="I439">"n"&amp;SUBSTITUTE(CreateGuidString(),"-","_")</f>
        <v>nE3CFDA9E_0852_4803_8AF3_F341D21B21C1</v>
      </c>
    </row>
    <row r="440" spans="1:9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0" s="12" t="s">
        <v>1172</v>
      </c>
      <c r="C440" s="13" t="s">
        <v>1765</v>
      </c>
      <c r="D440" s="36">
        <f>COUNTIF(NodesData[Node ID],NodesData[[#This Row],[Node ID]])</f>
        <v>1</v>
      </c>
      <c r="F440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H440" s="12" t="s">
        <v>1173</v>
      </c>
      <c r="I440" s="19" t="str" cm="1">
        <f t="array" ref="I440">"n"&amp;SUBSTITUTE(CreateGuidString(),"-","_")</f>
        <v>n54ADCE1E_9AC3_46EA_AADD_4EFD35B97C83</v>
      </c>
    </row>
    <row r="441" spans="1:9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1" s="12" t="s">
        <v>1174</v>
      </c>
      <c r="C441" s="13" t="s">
        <v>1766</v>
      </c>
      <c r="D441" s="36">
        <f>COUNTIF(NodesData[Node ID],NodesData[[#This Row],[Node ID]])</f>
        <v>1</v>
      </c>
      <c r="F441" s="12" t="str">
        <f>IF(NodesData[[#This Row],[Class Disambiguation]]="",NodesData[[#This Row],[Common Name]],NodesData[[#This Row],[Common Name]]&amp;" ("&amp;NodesData[[#This Row],[Class Disambiguation]]&amp;")")</f>
        <v>System Owner</v>
      </c>
      <c r="H441" s="12" t="s">
        <v>1175</v>
      </c>
      <c r="I441" s="19" t="str" cm="1">
        <f t="array" ref="I441">"n"&amp;SUBSTITUTE(CreateGuidString(),"-","_")</f>
        <v>nD8054DB5_AB25_4970_AD15_8EFD1C7E3B0F</v>
      </c>
    </row>
    <row r="442" spans="1:9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2" s="12" t="s">
        <v>1176</v>
      </c>
      <c r="C442" s="13" t="s">
        <v>1767</v>
      </c>
      <c r="D442" s="36">
        <f>COUNTIF(NodesData[Node ID],NodesData[[#This Row],[Node ID]])</f>
        <v>1</v>
      </c>
      <c r="F442" s="12" t="str">
        <f>IF(NodesData[[#This Row],[Class Disambiguation]]="",NodesData[[#This Row],[Common Name]],NodesData[[#This Row],[Common Name]]&amp;" ("&amp;NodesData[[#This Row],[Class Disambiguation]]&amp;")")</f>
        <v>System Z</v>
      </c>
      <c r="H442" s="12" t="s">
        <v>1177</v>
      </c>
      <c r="I442" s="19" t="str" cm="1">
        <f t="array" ref="I442">"n"&amp;SUBSTITUTE(CreateGuidString(),"-","_")</f>
        <v>nB7BA75B9_2C65_4B2C_BA75_4A34755284F4</v>
      </c>
    </row>
    <row r="443" spans="1:9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3" s="12" t="s">
        <v>1322</v>
      </c>
      <c r="C443" s="13" t="s">
        <v>1768</v>
      </c>
      <c r="D443" s="36">
        <f>COUNTIF(NodesData[Node ID],NodesData[[#This Row],[Node ID]])</f>
        <v>1</v>
      </c>
      <c r="F443" s="12" t="str">
        <f>IF(NodesData[[#This Row],[Class Disambiguation]]="",NodesData[[#This Row],[Common Name]],NodesData[[#This Row],[Common Name]]&amp;" ("&amp;NodesData[[#This Row],[Class Disambiguation]]&amp;")")</f>
        <v>TAN List OTP</v>
      </c>
      <c r="I443" s="19" t="str" cm="1">
        <f t="array" ref="I443">"n"&amp;SUBSTITUTE(CreateGuidString(),"-","_")</f>
        <v>n9A0517E5_A83E_48CB_BC1E_A260E86A2AA3</v>
      </c>
    </row>
    <row r="444" spans="1:9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4" s="12" t="s">
        <v>1178</v>
      </c>
      <c r="C444" s="13" t="s">
        <v>1769</v>
      </c>
      <c r="D444" s="36">
        <f>COUNTIF(NodesData[Node ID],NodesData[[#This Row],[Node ID]])</f>
        <v>1</v>
      </c>
      <c r="F444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H444" s="12" t="s">
        <v>1179</v>
      </c>
      <c r="I444" s="19" t="str" cm="1">
        <f t="array" ref="I444">"n"&amp;SUBSTITUTE(CreateGuidString(),"-","_")</f>
        <v>n45EBD6BA_E20F_4516_B1C6_876185E45731</v>
      </c>
    </row>
    <row r="445" spans="1:9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5" s="12" t="s">
        <v>1326</v>
      </c>
      <c r="C445" s="13" t="s">
        <v>1772</v>
      </c>
      <c r="D445" s="36">
        <f>COUNTIF(NodesData[Node ID],NodesData[[#This Row],[Node ID]])</f>
        <v>1</v>
      </c>
      <c r="F445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I445" s="19" t="str" cm="1">
        <f t="array" ref="I445">"n"&amp;SUBSTITUTE(CreateGuidString(),"-","_")</f>
        <v>nE6DB1F79_DD1C_42B2_92A0_FC5690825785</v>
      </c>
    </row>
    <row r="446" spans="1:9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6" s="11" t="s">
        <v>1340</v>
      </c>
      <c r="C446" s="13" t="s">
        <v>1847</v>
      </c>
      <c r="D446" s="36">
        <f>COUNTIF(NodesData[Node ID],NodesData[[#This Row],[Node ID]])</f>
        <v>1</v>
      </c>
      <c r="F446" s="18" t="str">
        <f>IF(NodesData[[#This Row],[Class Disambiguation]]="",NodesData[[#This Row],[Common Name]],NodesData[[#This Row],[Common Name]]&amp;" ("&amp;NodesData[[#This Row],[Class Disambiguation]]&amp;")")</f>
        <v>Threat Agent</v>
      </c>
      <c r="G446" s="18"/>
      <c r="I446" s="20" t="str" cm="1">
        <f t="array" ref="I446">"n"&amp;SUBSTITUTE(CreateGuidString(),"-","_")</f>
        <v>n71FE1F58_8BA1_4CB1_ACE7_C6D5CF18D727</v>
      </c>
    </row>
    <row r="447" spans="1:9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7" s="12" t="s">
        <v>1297</v>
      </c>
      <c r="C447" s="13" t="s">
        <v>1771</v>
      </c>
      <c r="D447" s="36">
        <f>COUNTIF(NodesData[Node ID],NodesData[[#This Row],[Node ID]])</f>
        <v>1</v>
      </c>
      <c r="F447" s="12" t="str">
        <f>IF(NodesData[[#This Row],[Class Disambiguation]]="",NodesData[[#This Row],[Common Name]],NodesData[[#This Row],[Common Name]]&amp;" ("&amp;NodesData[[#This Row],[Class Disambiguation]]&amp;")")</f>
        <v>Time Factor</v>
      </c>
      <c r="I447" s="19" t="str" cm="1">
        <f t="array" ref="I447">"n"&amp;SUBSTITUTE(CreateGuidString(),"-","_")</f>
        <v>n03C0D25B_4BD2_40DA_A196_E833218984A5</v>
      </c>
    </row>
    <row r="448" spans="1:9" x14ac:dyDescent="0.35">
      <c r="A4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8" s="12" t="s">
        <v>1330</v>
      </c>
      <c r="C448" s="13" t="s">
        <v>1773</v>
      </c>
      <c r="D448" s="36">
        <f>COUNTIF(NodesData[Node ID],NodesData[[#This Row],[Node ID]])</f>
        <v>1</v>
      </c>
      <c r="F448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I448" s="19" t="str" cm="1">
        <f t="array" ref="I448">"n"&amp;SUBSTITUTE(CreateGuidString(),"-","_")</f>
        <v>nDE045817_66BE_4BEC_8ADF_BA066D12C574</v>
      </c>
    </row>
    <row r="449" spans="1:9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9" s="12" t="s">
        <v>1312</v>
      </c>
      <c r="C449" s="13" t="s">
        <v>1787</v>
      </c>
      <c r="D449" s="36">
        <f>COUNTIF(NodesData[Node ID],NodesData[[#This Row],[Node ID]])</f>
        <v>1</v>
      </c>
      <c r="F449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I449" s="19" t="str" cm="1">
        <f t="array" ref="I449">"n"&amp;SUBSTITUTE(CreateGuidString(),"-","_")</f>
        <v>n3809D24D_D435_4C4E_AF32_D9C92ED18FFD</v>
      </c>
    </row>
    <row r="450" spans="1:9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0" s="12" t="s">
        <v>1180</v>
      </c>
      <c r="C450" s="13" t="s">
        <v>1774</v>
      </c>
      <c r="D450" s="36">
        <f>COUNTIF(NodesData[Node ID],NodesData[[#This Row],[Node ID]])</f>
        <v>1</v>
      </c>
      <c r="F450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H450" s="12" t="s">
        <v>1181</v>
      </c>
      <c r="I450" s="19" t="str" cm="1">
        <f t="array" ref="I450">"n"&amp;SUBSTITUTE(CreateGuidString(),"-","_")</f>
        <v>n0F7A9365_EC87_4C13_9D3D_AF0EC6F74D82</v>
      </c>
    </row>
    <row r="451" spans="1:9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1" s="12" t="s">
        <v>467</v>
      </c>
      <c r="C451" s="13" t="s">
        <v>1775</v>
      </c>
      <c r="D451" s="36">
        <f>COUNTIF(NodesData[Node ID],NodesData[[#This Row],[Node ID]])</f>
        <v>1</v>
      </c>
      <c r="F451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H451" s="12" t="s">
        <v>1182</v>
      </c>
      <c r="I451" s="19" t="str" cm="1">
        <f t="array" ref="I451">"n"&amp;SUBSTITUTE(CreateGuidString(),"-","_")</f>
        <v>nA4AE33C0_6797_4234_B793_96B76AE360A1</v>
      </c>
    </row>
    <row r="452" spans="1:9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2" s="12" t="s">
        <v>468</v>
      </c>
      <c r="C452" s="13" t="s">
        <v>1776</v>
      </c>
      <c r="D452" s="36">
        <f>COUNTIF(NodesData[Node ID],NodesData[[#This Row],[Node ID]])</f>
        <v>1</v>
      </c>
      <c r="F452" s="12" t="str">
        <f>IF(NodesData[[#This Row],[Class Disambiguation]]="",NodesData[[#This Row],[Common Name]],NodesData[[#This Row],[Common Name]]&amp;" ("&amp;NodesData[[#This Row],[Class Disambiguation]]&amp;")")</f>
        <v>Tranquil</v>
      </c>
      <c r="H452" s="12" t="s">
        <v>1183</v>
      </c>
      <c r="I452" s="19" t="str" cm="1">
        <f t="array" ref="I452">"n"&amp;SUBSTITUTE(CreateGuidString(),"-","_")</f>
        <v>n17003581_6EEA_4993_B750_AF0529C4007D</v>
      </c>
    </row>
    <row r="453" spans="1:9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3" s="12" t="s">
        <v>1184</v>
      </c>
      <c r="C453" s="13" t="s">
        <v>1777</v>
      </c>
      <c r="D453" s="36">
        <f>COUNTIF(NodesData[Node ID],NodesData[[#This Row],[Node ID]])</f>
        <v>1</v>
      </c>
      <c r="F453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H453" s="12" t="s">
        <v>1185</v>
      </c>
      <c r="I453" s="19" t="str" cm="1">
        <f t="array" ref="I453">"n"&amp;SUBSTITUTE(CreateGuidString(),"-","_")</f>
        <v>n9881A315_325B_41E6_B9CB_C26A28905FFB</v>
      </c>
    </row>
    <row r="454" spans="1:9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4" s="12" t="s">
        <v>1186</v>
      </c>
      <c r="C454" s="13" t="s">
        <v>1778</v>
      </c>
      <c r="D454" s="36">
        <f>COUNTIF(NodesData[Node ID],NodesData[[#This Row],[Node ID]])</f>
        <v>1</v>
      </c>
      <c r="F454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H454" s="12" t="s">
        <v>1187</v>
      </c>
      <c r="I454" s="19" t="str" cm="1">
        <f t="array" ref="I454">"n"&amp;SUBSTITUTE(CreateGuidString(),"-","_")</f>
        <v>n88A5B8CB_4338_4AED_87FC_663FB281AC26</v>
      </c>
    </row>
    <row r="455" spans="1:9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5" s="12" t="s">
        <v>471</v>
      </c>
      <c r="C455" s="13" t="s">
        <v>1779</v>
      </c>
      <c r="D455" s="36">
        <f>COUNTIF(NodesData[Node ID],NodesData[[#This Row],[Node ID]])</f>
        <v>1</v>
      </c>
      <c r="F455" s="12" t="str">
        <f>IF(NodesData[[#This Row],[Class Disambiguation]]="",NodesData[[#This Row],[Common Name]],NodesData[[#This Row],[Common Name]]&amp;" ("&amp;NodesData[[#This Row],[Class Disambiguation]]&amp;")")</f>
        <v>Trust</v>
      </c>
      <c r="H455" s="12" t="s">
        <v>1188</v>
      </c>
      <c r="I455" s="19" t="str" cm="1">
        <f t="array" ref="I455">"n"&amp;SUBSTITUTE(CreateGuidString(),"-","_")</f>
        <v>n0D998BCD_92E5_4649_A080_1D48C30BCBE1</v>
      </c>
    </row>
    <row r="456" spans="1:9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6" s="12" t="s">
        <v>1189</v>
      </c>
      <c r="C456" s="13" t="s">
        <v>1780</v>
      </c>
      <c r="D456" s="36">
        <f>COUNTIF(NodesData[Node ID],NodesData[[#This Row],[Node ID]])</f>
        <v>1</v>
      </c>
      <c r="F456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H456" s="12" t="s">
        <v>1190</v>
      </c>
      <c r="I456" s="19" t="str" cm="1">
        <f t="array" ref="I456">"n"&amp;SUBSTITUTE(CreateGuidString(),"-","_")</f>
        <v>n0E9FEB44_DD34_40D5_A068_7F15FEB6A9B5</v>
      </c>
    </row>
    <row r="457" spans="1:9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7" s="12" t="s">
        <v>1191</v>
      </c>
      <c r="C457" s="13" t="s">
        <v>1781</v>
      </c>
      <c r="D457" s="36">
        <f>COUNTIF(NodesData[Node ID],NodesData[[#This Row],[Node ID]])</f>
        <v>1</v>
      </c>
      <c r="F457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H457" s="12" t="s">
        <v>1192</v>
      </c>
      <c r="I457" s="19" t="str" cm="1">
        <f t="array" ref="I457">"n"&amp;SUBSTITUTE(CreateGuidString(),"-","_")</f>
        <v>nE1FF56FA_B173_415B_A827_BF64C8C84883</v>
      </c>
    </row>
    <row r="458" spans="1:9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8" s="12" t="s">
        <v>1193</v>
      </c>
      <c r="C458" s="13" t="s">
        <v>1782</v>
      </c>
      <c r="D458" s="36">
        <f>COUNTIF(NodesData[Node ID],NodesData[[#This Row],[Node ID]])</f>
        <v>1</v>
      </c>
      <c r="F458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H458" s="12" t="s">
        <v>1194</v>
      </c>
      <c r="I458" s="19" t="str" cm="1">
        <f t="array" ref="I458">"n"&amp;SUBSTITUTE(CreateGuidString(),"-","_")</f>
        <v>n429BCC54_D5FD_4283_8248_A71DB374CBF1</v>
      </c>
    </row>
    <row r="459" spans="1:9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9" s="12" t="s">
        <v>1195</v>
      </c>
      <c r="C459" s="13" t="s">
        <v>1783</v>
      </c>
      <c r="D459" s="36">
        <f>COUNTIF(NodesData[Node ID],NodesData[[#This Row],[Node ID]])</f>
        <v>1</v>
      </c>
      <c r="F459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H459" s="12" t="s">
        <v>1196</v>
      </c>
      <c r="I459" s="19" t="str" cm="1">
        <f t="array" ref="I459">"n"&amp;SUBSTITUTE(CreateGuidString(),"-","_")</f>
        <v>n3FA781DA_B593_4919_9313_6F01E5753DB5</v>
      </c>
    </row>
    <row r="460" spans="1:9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0" s="12" t="s">
        <v>477</v>
      </c>
      <c r="C460" s="13" t="s">
        <v>1784</v>
      </c>
      <c r="D460" s="36">
        <f>COUNTIF(NodesData[Node ID],NodesData[[#This Row],[Node ID]])</f>
        <v>1</v>
      </c>
      <c r="F460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H460" s="12" t="s">
        <v>1197</v>
      </c>
      <c r="I460" s="19" t="str" cm="1">
        <f t="array" ref="I460">"n"&amp;SUBSTITUTE(CreateGuidString(),"-","_")</f>
        <v>n5404A638_411F_43D1_81F8_589AF5F44D84</v>
      </c>
    </row>
    <row r="461" spans="1:9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1" s="12" t="s">
        <v>1198</v>
      </c>
      <c r="C461" s="13" t="s">
        <v>1785</v>
      </c>
      <c r="D461" s="36">
        <f>COUNTIF(NodesData[Node ID],NodesData[[#This Row],[Node ID]])</f>
        <v>1</v>
      </c>
      <c r="F461" s="12" t="str">
        <f>IF(NodesData[[#This Row],[Class Disambiguation]]="",NodesData[[#This Row],[Common Name]],NodesData[[#This Row],[Common Name]]&amp;" ("&amp;NodesData[[#This Row],[Class Disambiguation]]&amp;")")</f>
        <v>Typology</v>
      </c>
      <c r="H461" s="12" t="s">
        <v>1199</v>
      </c>
      <c r="I461" s="19" t="str" cm="1">
        <f t="array" ref="I461">"n"&amp;SUBSTITUTE(CreateGuidString(),"-","_")</f>
        <v>n9796197A_6E16_47EE_806E_7E78C5B98271</v>
      </c>
    </row>
    <row r="462" spans="1:9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2" s="12" t="s">
        <v>479</v>
      </c>
      <c r="C462" s="13" t="s">
        <v>1786</v>
      </c>
      <c r="D462" s="36">
        <f>COUNTIF(NodesData[Node ID],NodesData[[#This Row],[Node ID]])</f>
        <v>1</v>
      </c>
      <c r="F462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H462" s="12" t="s">
        <v>1200</v>
      </c>
      <c r="I462" s="19" t="str" cm="1">
        <f t="array" ref="I462">"n"&amp;SUBSTITUTE(CreateGuidString(),"-","_")</f>
        <v>n4B92D128_0EAC_4420_9848_231AF5F5160A</v>
      </c>
    </row>
    <row r="463" spans="1:9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3" s="12" t="s">
        <v>480</v>
      </c>
      <c r="C463" s="13" t="s">
        <v>1804</v>
      </c>
      <c r="D463" s="36">
        <f>COUNTIF(NodesData[Node ID],NodesData[[#This Row],[Node ID]])</f>
        <v>1</v>
      </c>
      <c r="F463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H463" s="12" t="s">
        <v>1201</v>
      </c>
      <c r="I463" s="19" t="str" cm="1">
        <f t="array" ref="I463">"n"&amp;SUBSTITUTE(CreateGuidString(),"-","_")</f>
        <v>nCF86E7D7_762C_46E7_8080_C397BB6DE207</v>
      </c>
    </row>
    <row r="464" spans="1:9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4" s="12" t="s">
        <v>481</v>
      </c>
      <c r="C464" s="13" t="s">
        <v>1788</v>
      </c>
      <c r="D464" s="36">
        <f>COUNTIF(NodesData[Node ID],NodesData[[#This Row],[Node ID]])</f>
        <v>1</v>
      </c>
      <c r="F464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H464" s="12" t="s">
        <v>1202</v>
      </c>
      <c r="I464" s="19" t="str" cm="1">
        <f t="array" ref="I464">"n"&amp;SUBSTITUTE(CreateGuidString(),"-","_")</f>
        <v>n6873FCD2_F881_4F5B_970D_15358266B6B0</v>
      </c>
    </row>
    <row r="465" spans="1:9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5" s="12" t="s">
        <v>483</v>
      </c>
      <c r="C465" s="13" t="s">
        <v>1789</v>
      </c>
      <c r="D465" s="36">
        <f>COUNTIF(NodesData[Node ID],NodesData[[#This Row],[Node ID]])</f>
        <v>1</v>
      </c>
      <c r="F465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H465" s="12" t="s">
        <v>1203</v>
      </c>
      <c r="I465" s="19" t="str" cm="1">
        <f t="array" ref="I465">"n"&amp;SUBSTITUTE(CreateGuidString(),"-","_")</f>
        <v>n1AFD4EB6_1103_447C_A555_7D00F67BA38C</v>
      </c>
    </row>
    <row r="466" spans="1:9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66" s="12" t="s">
        <v>484</v>
      </c>
      <c r="C466" s="13" t="s">
        <v>1790</v>
      </c>
      <c r="D466" s="36">
        <f>COUNTIF(NodesData[Node ID],NodesData[[#This Row],[Node ID]])</f>
        <v>1</v>
      </c>
      <c r="F466" s="12" t="str">
        <f>IF(NodesData[[#This Row],[Class Disambiguation]]="",NodesData[[#This Row],[Common Name]],NodesData[[#This Row],[Common Name]]&amp;" ("&amp;NodesData[[#This Row],[Class Disambiguation]]&amp;")")</f>
        <v>User</v>
      </c>
      <c r="H466" s="12" t="s">
        <v>1204</v>
      </c>
      <c r="I466" s="19" t="str" cm="1">
        <f t="array" ref="I466">"n"&amp;SUBSTITUTE(CreateGuidString(),"-","_")</f>
        <v>nEB0D4CA9_BE0B_4CED_A516_82921F9BCDD2</v>
      </c>
    </row>
    <row r="467" spans="1:9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7" s="12" t="s">
        <v>485</v>
      </c>
      <c r="C467" s="13" t="s">
        <v>1791</v>
      </c>
      <c r="D467" s="36">
        <f>COUNTIF(NodesData[Node ID],NodesData[[#This Row],[Node ID]])</f>
        <v>1</v>
      </c>
      <c r="F467" s="12" t="str">
        <f>IF(NodesData[[#This Row],[Class Disambiguation]]="",NodesData[[#This Row],[Common Name]],NodesData[[#This Row],[Common Name]]&amp;" ("&amp;NodesData[[#This Row],[Class Disambiguation]]&amp;")")</f>
        <v>User Account</v>
      </c>
      <c r="H467" s="12" t="s">
        <v>1205</v>
      </c>
      <c r="I467" s="19" t="str" cm="1">
        <f t="array" ref="I467">"n"&amp;SUBSTITUTE(CreateGuidString(),"-","_")</f>
        <v>n14F9084C_84C5_43CA_AF5F_E9BFF5D0812E</v>
      </c>
    </row>
    <row r="468" spans="1:9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8" s="12" t="s">
        <v>487</v>
      </c>
      <c r="C468" s="13" t="s">
        <v>1793</v>
      </c>
      <c r="D468" s="36">
        <f>COUNTIF(NodesData[Node ID],NodesData[[#This Row],[Node ID]])</f>
        <v>1</v>
      </c>
      <c r="F468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H468" s="12" t="s">
        <v>1206</v>
      </c>
      <c r="I468" s="19" t="str" cm="1">
        <f t="array" ref="I468">"n"&amp;SUBSTITUTE(CreateGuidString(),"-","_")</f>
        <v>n5DCEF7BB_3416_4B9C_ACD1_1DCD0A6F16BA</v>
      </c>
    </row>
    <row r="469" spans="1:9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9" s="12" t="s">
        <v>1207</v>
      </c>
      <c r="C469" s="13" t="s">
        <v>1794</v>
      </c>
      <c r="D469" s="36">
        <f>COUNTIF(NodesData[Node ID],NodesData[[#This Row],[Node ID]])</f>
        <v>1</v>
      </c>
      <c r="F469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H469" s="12" t="s">
        <v>1208</v>
      </c>
      <c r="I469" s="19" t="str" cm="1">
        <f t="array" ref="I469">"n"&amp;SUBSTITUTE(CreateGuidString(),"-","_")</f>
        <v>nD6F9E413_711B_4334_AC76_35785195D579</v>
      </c>
    </row>
    <row r="470" spans="1:9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0" s="12" t="s">
        <v>489</v>
      </c>
      <c r="C470" s="13" t="s">
        <v>1795</v>
      </c>
      <c r="D470" s="36">
        <f>COUNTIF(NodesData[Node ID],NodesData[[#This Row],[Node ID]])</f>
        <v>1</v>
      </c>
      <c r="E470" s="12" t="s">
        <v>1270</v>
      </c>
      <c r="F470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H470" s="12" t="s">
        <v>1209</v>
      </c>
      <c r="I470" s="19" t="str" cm="1">
        <f t="array" ref="I470">"n"&amp;SUBSTITUTE(CreateGuidString(),"-","_")</f>
        <v>n35AB98FB_6014_454B_8903_0547CB003AF5</v>
      </c>
    </row>
    <row r="471" spans="1:9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1" s="12" t="s">
        <v>491</v>
      </c>
      <c r="C471" s="13" t="s">
        <v>1796</v>
      </c>
      <c r="D471" s="36">
        <f>COUNTIF(NodesData[Node ID],NodesData[[#This Row],[Node ID]])</f>
        <v>1</v>
      </c>
      <c r="F471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H471" s="12" t="s">
        <v>1210</v>
      </c>
      <c r="I471" s="19" t="str" cm="1">
        <f t="array" ref="I471">"n"&amp;SUBSTITUTE(CreateGuidString(),"-","_")</f>
        <v>n758B5CF3_8B89_4F4D_97F3_518F8C3C4FFB</v>
      </c>
    </row>
    <row r="472" spans="1:9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2" s="12" t="s">
        <v>486</v>
      </c>
      <c r="C472" s="13" t="s">
        <v>1792</v>
      </c>
      <c r="D472" s="36">
        <f>COUNTIF(NodesData[Node ID],NodesData[[#This Row],[Node ID]])</f>
        <v>1</v>
      </c>
      <c r="F472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H472" s="12" t="s">
        <v>1211</v>
      </c>
      <c r="I472" s="19" t="str" cm="1">
        <f t="array" ref="I472">"n"&amp;SUBSTITUTE(CreateGuidString(),"-","_")</f>
        <v>n0FA6048F_7DDA_45AA_A0EB_4278C3DEB434</v>
      </c>
    </row>
    <row r="473" spans="1:9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3" s="12" t="s">
        <v>490</v>
      </c>
      <c r="C473" s="13" t="s">
        <v>1797</v>
      </c>
      <c r="D473" s="36">
        <f>COUNTIF(NodesData[Node ID],NodesData[[#This Row],[Node ID]])</f>
        <v>1</v>
      </c>
      <c r="F473" s="12" t="str">
        <f>IF(NodesData[[#This Row],[Class Disambiguation]]="",NodesData[[#This Row],[Common Name]],NodesData[[#This Row],[Common Name]]&amp;" ("&amp;NodesData[[#This Row],[Class Disambiguation]]&amp;")")</f>
        <v>Username</v>
      </c>
      <c r="H473" s="12" t="s">
        <v>1212</v>
      </c>
      <c r="I473" s="19" t="str" cm="1">
        <f t="array" ref="I473">"n"&amp;SUBSTITUTE(CreateGuidString(),"-","_")</f>
        <v>n082FABA9_2C7C_4811_A011_8B5767FF1AE5</v>
      </c>
    </row>
    <row r="474" spans="1:9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4" s="12" t="s">
        <v>492</v>
      </c>
      <c r="C474" s="13" t="s">
        <v>1798</v>
      </c>
      <c r="D474" s="36">
        <f>COUNTIF(NodesData[Node ID],NodesData[[#This Row],[Node ID]])</f>
        <v>1</v>
      </c>
      <c r="F474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H474" s="12" t="s">
        <v>1213</v>
      </c>
      <c r="I474" s="19" t="str" cm="1">
        <f t="array" ref="I474">"n"&amp;SUBSTITUTE(CreateGuidString(),"-","_")</f>
        <v>n741022C4_5040_4C10_9C67_ADE9A07A5AB7</v>
      </c>
    </row>
    <row r="475" spans="1:9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5" s="12" t="s">
        <v>493</v>
      </c>
      <c r="C475" s="13" t="s">
        <v>1799</v>
      </c>
      <c r="D475" s="36">
        <f>COUNTIF(NodesData[Node ID],NodesData[[#This Row],[Node ID]])</f>
        <v>1</v>
      </c>
      <c r="F475" s="12" t="str">
        <f>IF(NodesData[[#This Row],[Class Disambiguation]]="",NodesData[[#This Row],[Common Name]],NodesData[[#This Row],[Common Name]]&amp;" ("&amp;NodesData[[#This Row],[Class Disambiguation]]&amp;")")</f>
        <v>Verification</v>
      </c>
      <c r="H475" s="12" t="s">
        <v>1214</v>
      </c>
      <c r="I475" s="19" t="str" cm="1">
        <f t="array" ref="I475">"n"&amp;SUBSTITUTE(CreateGuidString(),"-","_")</f>
        <v>n4A99D009_9D20_461F_8444_6371E0731E94</v>
      </c>
    </row>
    <row r="476" spans="1:9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6" s="12" t="s">
        <v>1215</v>
      </c>
      <c r="C476" s="13" t="s">
        <v>1800</v>
      </c>
      <c r="D476" s="36">
        <f>COUNTIF(NodesData[Node ID],NodesData[[#This Row],[Node ID]])</f>
        <v>1</v>
      </c>
      <c r="F476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H476" s="12" t="s">
        <v>1216</v>
      </c>
      <c r="I476" s="19" t="str" cm="1">
        <f t="array" ref="I476">"n"&amp;SUBSTITUTE(CreateGuidString(),"-","_")</f>
        <v>n9A86BF02_02D4_48C1_BC05_7B7D4B74A2EB</v>
      </c>
    </row>
    <row r="477" spans="1:9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7" s="12" t="s">
        <v>1217</v>
      </c>
      <c r="C477" s="13" t="s">
        <v>1801</v>
      </c>
      <c r="D477" s="36">
        <f>COUNTIF(NodesData[Node ID],NodesData[[#This Row],[Node ID]])</f>
        <v>1</v>
      </c>
      <c r="F477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H477" s="12" t="s">
        <v>1218</v>
      </c>
      <c r="I477" s="19" t="str" cm="1">
        <f t="array" ref="I477">"n"&amp;SUBSTITUTE(CreateGuidString(),"-","_")</f>
        <v>nDCECC13B_E70B_41A0_AE6E_A977EA8390E3</v>
      </c>
    </row>
    <row r="478" spans="1:9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8" s="12" t="s">
        <v>1219</v>
      </c>
      <c r="C478" s="13" t="s">
        <v>1802</v>
      </c>
      <c r="D478" s="36">
        <f>COUNTIF(NodesData[Node ID],NodesData[[#This Row],[Node ID]])</f>
        <v>1</v>
      </c>
      <c r="F478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H478" s="12" t="s">
        <v>1220</v>
      </c>
      <c r="I478" s="19" t="str" cm="1">
        <f t="array" ref="I478">"n"&amp;SUBSTITUTE(CreateGuidString(),"-","_")</f>
        <v>n1F5BF1B7_B430_4988_A013_E2D361AA4CFE</v>
      </c>
    </row>
    <row r="479" spans="1:9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9" s="12" t="s">
        <v>1323</v>
      </c>
      <c r="C479" s="13" t="s">
        <v>1803</v>
      </c>
      <c r="D479" s="36">
        <f>COUNTIF(NodesData[Node ID],NodesData[[#This Row],[Node ID]])</f>
        <v>1</v>
      </c>
      <c r="F479" s="12" t="str">
        <f>IF(NodesData[[#This Row],[Class Disambiguation]]="",NodesData[[#This Row],[Common Name]],NodesData[[#This Row],[Common Name]]&amp;" ("&amp;NodesData[[#This Row],[Class Disambiguation]]&amp;")")</f>
        <v>Voice OTP</v>
      </c>
      <c r="I479" s="19" t="str" cm="1">
        <f t="array" ref="I479">"n"&amp;SUBSTITUTE(CreateGuidString(),"-","_")</f>
        <v>n7B928870_BC8B_478A_803B_4007E3A1F248</v>
      </c>
    </row>
    <row r="480" spans="1:9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0" s="12" t="s">
        <v>1315</v>
      </c>
      <c r="C480" s="13" t="s">
        <v>1806</v>
      </c>
      <c r="D480" s="36">
        <f>COUNTIF(NodesData[Node ID],NodesData[[#This Row],[Node ID]])</f>
        <v>1</v>
      </c>
      <c r="F480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I480" s="19" t="str" cm="1">
        <f t="array" ref="I480">"n"&amp;SUBSTITUTE(CreateGuidString(),"-","_")</f>
        <v>n12A3E5ED_55FA_4418_BCA2_C83641ADE3A0</v>
      </c>
    </row>
    <row r="481" spans="1:9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1" s="12" t="s">
        <v>1221</v>
      </c>
      <c r="C481" s="13" t="s">
        <v>1805</v>
      </c>
      <c r="D481" s="36">
        <f>COUNTIF(NodesData[Node ID],NodesData[[#This Row],[Node ID]])</f>
        <v>1</v>
      </c>
      <c r="E481" s="12" t="s">
        <v>1270</v>
      </c>
      <c r="F481" s="12" t="str">
        <f>IF(NodesData[[#This Row],[Class Disambiguation]]="",NodesData[[#This Row],[Common Name]],NodesData[[#This Row],[Common Name]]&amp;" ("&amp;NodesData[[#This Row],[Class Disambiguation]]&amp;")")</f>
        <v>VPN (Acronym)</v>
      </c>
      <c r="H481" s="12" t="s">
        <v>1222</v>
      </c>
      <c r="I481" s="19" t="str" cm="1">
        <f t="array" ref="I481">"n"&amp;SUBSTITUTE(CreateGuidString(),"-","_")</f>
        <v>nF73A112B_DC71_44DE_8390_DF1107FE84BB</v>
      </c>
    </row>
    <row r="482" spans="1:9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2" s="12" t="s">
        <v>1223</v>
      </c>
      <c r="C482" s="13" t="s">
        <v>1828</v>
      </c>
      <c r="D482" s="36">
        <f>COUNTIF(NodesData[Node ID],NodesData[[#This Row],[Node ID]])</f>
        <v>1</v>
      </c>
      <c r="F482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H482" s="12" t="s">
        <v>1224</v>
      </c>
      <c r="I482" s="19" t="str" cm="1">
        <f t="array" ref="I482">"n"&amp;SUBSTITUTE(CreateGuidString(),"-","_")</f>
        <v>n467A7750_A8E8_498E_8CD4_CB95528E05EF</v>
      </c>
    </row>
    <row r="483" spans="1:9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3" s="12" t="s">
        <v>1225</v>
      </c>
      <c r="C483" s="13" t="s">
        <v>1807</v>
      </c>
      <c r="D483" s="36">
        <f>COUNTIF(NodesData[Node ID],NodesData[[#This Row],[Node ID]])</f>
        <v>1</v>
      </c>
      <c r="F483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H483" s="12" t="s">
        <v>1226</v>
      </c>
      <c r="I483" s="19" t="str" cm="1">
        <f t="array" ref="I483">"n"&amp;SUBSTITUTE(CreateGuidString(),"-","_")</f>
        <v>nB616C93C_0AD7_4F0A_B1AE_1142F97C322C</v>
      </c>
    </row>
    <row r="484" spans="1:9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4" s="12" t="s">
        <v>1227</v>
      </c>
      <c r="C484" s="13" t="s">
        <v>1808</v>
      </c>
      <c r="D484" s="36">
        <f>COUNTIF(NodesData[Node ID],NodesData[[#This Row],[Node ID]])</f>
        <v>1</v>
      </c>
      <c r="F484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H484" s="12" t="s">
        <v>1228</v>
      </c>
      <c r="I484" s="19" t="str" cm="1">
        <f t="array" ref="I484">"n"&amp;SUBSTITUTE(CreateGuidString(),"-","_")</f>
        <v>nC0956CD2_453D_4E4C_9091_564721FE2C4C</v>
      </c>
    </row>
    <row r="485" spans="1:9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5" s="12" t="s">
        <v>1229</v>
      </c>
      <c r="C485" s="13" t="s">
        <v>1809</v>
      </c>
      <c r="D485" s="36">
        <f>COUNTIF(NodesData[Node ID],NodesData[[#This Row],[Node ID]])</f>
        <v>1</v>
      </c>
      <c r="F485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H485" s="12" t="s">
        <v>1230</v>
      </c>
      <c r="I485" s="19" t="str" cm="1">
        <f t="array" ref="I485">"n"&amp;SUBSTITUTE(CreateGuidString(),"-","_")</f>
        <v>n3396A4B8_2B82_4EA5_BB19_2E2F7369E5EA</v>
      </c>
    </row>
    <row r="486" spans="1:9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6" s="12" t="s">
        <v>1231</v>
      </c>
      <c r="C486" s="13" t="s">
        <v>1810</v>
      </c>
      <c r="D486" s="36">
        <f>COUNTIF(NodesData[Node ID],NodesData[[#This Row],[Node ID]])</f>
        <v>1</v>
      </c>
      <c r="F486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H486" s="12" t="s">
        <v>1232</v>
      </c>
      <c r="I486" s="19" t="str" cm="1">
        <f t="array" ref="I486">"n"&amp;SUBSTITUTE(CreateGuidString(),"-","_")</f>
        <v>nB526DC0B_B683_48C8_9365_032F7D6DD127</v>
      </c>
    </row>
    <row r="487" spans="1:9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7" s="12" t="s">
        <v>1233</v>
      </c>
      <c r="C487" s="13" t="s">
        <v>1811</v>
      </c>
      <c r="D487" s="36">
        <f>COUNTIF(NodesData[Node ID],NodesData[[#This Row],[Node ID]])</f>
        <v>1</v>
      </c>
      <c r="F487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H487" s="12" t="s">
        <v>1234</v>
      </c>
      <c r="I487" s="19" t="str" cm="1">
        <f t="array" ref="I487">"n"&amp;SUBSTITUTE(CreateGuidString(),"-","_")</f>
        <v>nADDDD0B9_9B6D_432D_9716_6AA8DC12A57B</v>
      </c>
    </row>
    <row r="488" spans="1:9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8" s="12" t="s">
        <v>1235</v>
      </c>
      <c r="C488" s="13" t="s">
        <v>1812</v>
      </c>
      <c r="D488" s="36">
        <f>COUNTIF(NodesData[Node ID],NodesData[[#This Row],[Node ID]])</f>
        <v>1</v>
      </c>
      <c r="F488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H488" s="12" t="s">
        <v>1236</v>
      </c>
      <c r="I488" s="19" t="str" cm="1">
        <f t="array" ref="I488">"n"&amp;SUBSTITUTE(CreateGuidString(),"-","_")</f>
        <v>n6E91F12D_154B_46E8_9E2E_E21CAB6C8C07</v>
      </c>
    </row>
    <row r="489" spans="1:9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9" s="12" t="s">
        <v>1237</v>
      </c>
      <c r="C489" s="13" t="s">
        <v>1813</v>
      </c>
      <c r="D489" s="36">
        <f>COUNTIF(NodesData[Node ID],NodesData[[#This Row],[Node ID]])</f>
        <v>1</v>
      </c>
      <c r="F489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H489" s="12" t="s">
        <v>1238</v>
      </c>
      <c r="I489" s="19" t="str" cm="1">
        <f t="array" ref="I489">"n"&amp;SUBSTITUTE(CreateGuidString(),"-","_")</f>
        <v>n1EA64425_C300_4717_B809_25BD5ABBF667</v>
      </c>
    </row>
    <row r="490" spans="1:9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0" s="12" t="s">
        <v>1239</v>
      </c>
      <c r="C490" s="13" t="s">
        <v>1814</v>
      </c>
      <c r="D490" s="36">
        <f>COUNTIF(NodesData[Node ID],NodesData[[#This Row],[Node ID]])</f>
        <v>1</v>
      </c>
      <c r="F490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H490" s="12" t="s">
        <v>1240</v>
      </c>
      <c r="I490" s="19" t="str" cm="1">
        <f t="array" ref="I490">"n"&amp;SUBSTITUTE(CreateGuidString(),"-","_")</f>
        <v>nB023E518_A68E_4180_A6B4_03DE63DDCE2D</v>
      </c>
    </row>
    <row r="491" spans="1:9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1" s="12" t="s">
        <v>1241</v>
      </c>
      <c r="C491" s="13" t="s">
        <v>1815</v>
      </c>
      <c r="D491" s="36">
        <f>COUNTIF(NodesData[Node ID],NodesData[[#This Row],[Node ID]])</f>
        <v>1</v>
      </c>
      <c r="F491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H491" s="12" t="s">
        <v>1242</v>
      </c>
      <c r="I491" s="19" t="str" cm="1">
        <f t="array" ref="I491">"n"&amp;SUBSTITUTE(CreateGuidString(),"-","_")</f>
        <v>n209CCE6E_1122_424F_BB48_3EF8AD76D19C</v>
      </c>
    </row>
    <row r="492" spans="1:9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2" s="12" t="s">
        <v>1243</v>
      </c>
      <c r="C492" s="13" t="s">
        <v>1816</v>
      </c>
      <c r="D492" s="36">
        <f>COUNTIF(NodesData[Node ID],NodesData[[#This Row],[Node ID]])</f>
        <v>1</v>
      </c>
      <c r="F492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H492" s="12" t="s">
        <v>1244</v>
      </c>
      <c r="I492" s="19" t="str" cm="1">
        <f t="array" ref="I492">"n"&amp;SUBSTITUTE(CreateGuidString(),"-","_")</f>
        <v>n9A9F53A8_4AA2_437B_AA0B_A826F78A1FE8</v>
      </c>
    </row>
    <row r="493" spans="1:9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3" s="12" t="s">
        <v>1245</v>
      </c>
      <c r="C493" s="13" t="s">
        <v>1817</v>
      </c>
      <c r="D493" s="36">
        <f>COUNTIF(NodesData[Node ID],NodesData[[#This Row],[Node ID]])</f>
        <v>1</v>
      </c>
      <c r="F493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H493" s="12" t="s">
        <v>1246</v>
      </c>
      <c r="I493" s="19" t="str" cm="1">
        <f t="array" ref="I493">"n"&amp;SUBSTITUTE(CreateGuidString(),"-","_")</f>
        <v>n0E7E7142_4338_4B41_A444_24260565A249</v>
      </c>
    </row>
    <row r="494" spans="1:9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4" s="12" t="s">
        <v>1247</v>
      </c>
      <c r="C494" s="13" t="s">
        <v>1818</v>
      </c>
      <c r="D494" s="36">
        <f>COUNTIF(NodesData[Node ID],NodesData[[#This Row],[Node ID]])</f>
        <v>1</v>
      </c>
      <c r="F494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H494" s="12" t="s">
        <v>1248</v>
      </c>
      <c r="I494" s="19" t="str" cm="1">
        <f t="array" ref="I494">"n"&amp;SUBSTITUTE(CreateGuidString(),"-","_")</f>
        <v>n58ACB80E_B01B_463E_ADFB_668A79C91D9B</v>
      </c>
    </row>
    <row r="495" spans="1:9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5" s="12" t="s">
        <v>1249</v>
      </c>
      <c r="C495" s="13" t="s">
        <v>1819</v>
      </c>
      <c r="D495" s="36">
        <f>COUNTIF(NodesData[Node ID],NodesData[[#This Row],[Node ID]])</f>
        <v>1</v>
      </c>
      <c r="F495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H495" s="12" t="s">
        <v>1250</v>
      </c>
      <c r="I495" s="19" t="str" cm="1">
        <f t="array" ref="I495">"n"&amp;SUBSTITUTE(CreateGuidString(),"-","_")</f>
        <v>n6C19F9FB_9D7F_4B00_B711_40172B910316</v>
      </c>
    </row>
    <row r="496" spans="1:9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6" s="12" t="s">
        <v>1251</v>
      </c>
      <c r="C496" s="13" t="s">
        <v>1820</v>
      </c>
      <c r="D496" s="36">
        <f>COUNTIF(NodesData[Node ID],NodesData[[#This Row],[Node ID]])</f>
        <v>1</v>
      </c>
      <c r="F496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H496" s="12" t="s">
        <v>1252</v>
      </c>
      <c r="I496" s="19" t="str" cm="1">
        <f t="array" ref="I496">"n"&amp;SUBSTITUTE(CreateGuidString(),"-","_")</f>
        <v>nBCCC8C4F_945E_497F_8A80_5AECC956A6E5</v>
      </c>
    </row>
    <row r="497" spans="1:9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497" s="12" t="s">
        <v>1253</v>
      </c>
      <c r="C497" s="13" t="s">
        <v>1821</v>
      </c>
      <c r="D497" s="36">
        <f>COUNTIF(NodesData[Node ID],NodesData[[#This Row],[Node ID]])</f>
        <v>1</v>
      </c>
      <c r="F497" s="12" t="str">
        <f>IF(NodesData[[#This Row],[Class Disambiguation]]="",NodesData[[#This Row],[Common Name]],NodesData[[#This Row],[Common Name]]&amp;" ("&amp;NodesData[[#This Row],[Class Disambiguation]]&amp;")")</f>
        <v>Worker</v>
      </c>
      <c r="H497" s="12" t="s">
        <v>1254</v>
      </c>
      <c r="I497" s="19" t="str" cm="1">
        <f t="array" ref="I497">"n"&amp;SUBSTITUTE(CreateGuidString(),"-","_")</f>
        <v>nC9BDEE5A_B2EF_45DB_BFDF_C21EC39A861C</v>
      </c>
    </row>
    <row r="498" spans="1:9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8" s="12" t="s">
        <v>1255</v>
      </c>
      <c r="C498" s="13" t="s">
        <v>1822</v>
      </c>
      <c r="D498" s="36">
        <f>COUNTIF(NodesData[Node ID],NodesData[[#This Row],[Node ID]])</f>
        <v>1</v>
      </c>
      <c r="F498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H498" s="12" t="s">
        <v>1256</v>
      </c>
      <c r="I498" s="19" t="str" cm="1">
        <f t="array" ref="I498">"n"&amp;SUBSTITUTE(CreateGuidString(),"-","_")</f>
        <v>n9C4C1644_C959_4CBA_8B04_9D2AEE879DE2</v>
      </c>
    </row>
    <row r="499" spans="1:9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9" s="12" t="s">
        <v>1257</v>
      </c>
      <c r="C499" s="13" t="s">
        <v>1823</v>
      </c>
      <c r="D499" s="36">
        <f>COUNTIF(NodesData[Node ID],NodesData[[#This Row],[Node ID]])</f>
        <v>1</v>
      </c>
      <c r="F499" s="12" t="str">
        <f>IF(NodesData[[#This Row],[Class Disambiguation]]="",NodesData[[#This Row],[Common Name]],NodesData[[#This Row],[Common Name]]&amp;" ("&amp;NodesData[[#This Row],[Class Disambiguation]]&amp;")")</f>
        <v>Workforce</v>
      </c>
      <c r="H499" s="12" t="s">
        <v>1258</v>
      </c>
      <c r="I499" s="19" t="str" cm="1">
        <f t="array" ref="I499">"n"&amp;SUBSTITUTE(CreateGuidString(),"-","_")</f>
        <v>n717360BF_89FD_4DEE_820B_124870E19877</v>
      </c>
    </row>
    <row r="500" spans="1:9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0" s="12" t="s">
        <v>1259</v>
      </c>
      <c r="C500" s="13" t="s">
        <v>1824</v>
      </c>
      <c r="D500" s="36">
        <f>COUNTIF(NodesData[Node ID],NodesData[[#This Row],[Node ID]])</f>
        <v>1</v>
      </c>
      <c r="E500" s="12" t="s">
        <v>1270</v>
      </c>
      <c r="F500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H500" s="12" t="s">
        <v>1260</v>
      </c>
      <c r="I500" s="19" t="str" cm="1">
        <f t="array" ref="I500">"n"&amp;SUBSTITUTE(CreateGuidString(),"-","_")</f>
        <v>n37182E10_8917_42E4_AAD5_7AE0573E2388</v>
      </c>
    </row>
    <row r="501" spans="1:9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1" s="12" t="s">
        <v>517</v>
      </c>
      <c r="C501" s="13" t="s">
        <v>1825</v>
      </c>
      <c r="D501" s="36">
        <f>COUNTIF(NodesData[Node ID],NodesData[[#This Row],[Node ID]])</f>
        <v>1</v>
      </c>
      <c r="F501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H501" s="12" t="s">
        <v>1261</v>
      </c>
      <c r="I501" s="19" t="str" cm="1">
        <f t="array" ref="I501">"n"&amp;SUBSTITUTE(CreateGuidString(),"-","_")</f>
        <v>nDAC675BA_B5D3_4E15_9E0D_72D0B5C0832C</v>
      </c>
    </row>
    <row r="502" spans="1:9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2" s="12" t="s">
        <v>518</v>
      </c>
      <c r="C502" s="13" t="s">
        <v>1826</v>
      </c>
      <c r="D502" s="36">
        <f>COUNTIF(NodesData[Node ID],NodesData[[#This Row],[Node ID]])</f>
        <v>1</v>
      </c>
      <c r="F502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H502" s="12" t="s">
        <v>1262</v>
      </c>
      <c r="I502" s="19" t="str" cm="1">
        <f t="array" ref="I502">"n"&amp;SUBSTITUTE(CreateGuidString(),"-","_")</f>
        <v>nE072F28E_E18D_427A_BD09_BDE1830E14F5</v>
      </c>
    </row>
    <row r="503" spans="1:9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3" s="12" t="s">
        <v>519</v>
      </c>
      <c r="C503" s="13" t="s">
        <v>1827</v>
      </c>
      <c r="D503" s="36">
        <f>COUNTIF(NodesData[Node ID],NodesData[[#This Row],[Node ID]])</f>
        <v>1</v>
      </c>
      <c r="E503" s="12" t="s">
        <v>1270</v>
      </c>
      <c r="F503" s="12" t="str">
        <f>IF(NodesData[[#This Row],[Class Disambiguation]]="",NodesData[[#This Row],[Common Name]],NodesData[[#This Row],[Common Name]]&amp;" ("&amp;NodesData[[#This Row],[Class Disambiguation]]&amp;")")</f>
        <v>ZTA (Acronym)</v>
      </c>
      <c r="H503" s="12" t="s">
        <v>1263</v>
      </c>
      <c r="I503" s="19" t="str" cm="1">
        <f t="array" ref="I503">"n"&amp;SUBSTITUTE(CreateGuidString(),"-","_")</f>
        <v>n0DA91DA6_5E64_4CBB_9EE3_D8CE9C73A616</v>
      </c>
    </row>
  </sheetData>
  <phoneticPr fontId="6" type="noConversion"/>
  <conditionalFormatting sqref="D2:D5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292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I90"/>
  <sheetViews>
    <sheetView zoomScale="120" zoomScaleNormal="120" workbookViewId="0">
      <selection activeCell="A10" sqref="A10"/>
    </sheetView>
  </sheetViews>
  <sheetFormatPr defaultRowHeight="12.75" x14ac:dyDescent="0.35"/>
  <cols>
    <col min="1" max="1" width="23" style="12" bestFit="1" customWidth="1"/>
    <col min="2" max="2" width="2.86328125" style="38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9" x14ac:dyDescent="0.35">
      <c r="A1" s="11" t="s">
        <v>1850</v>
      </c>
      <c r="B1" s="37" t="s">
        <v>1989</v>
      </c>
      <c r="C1" s="11" t="s">
        <v>1849</v>
      </c>
      <c r="D1" s="11" t="s">
        <v>1851</v>
      </c>
      <c r="E1" s="11" t="s">
        <v>1852</v>
      </c>
      <c r="F1" s="11" t="s">
        <v>1853</v>
      </c>
      <c r="G1" s="11" t="s">
        <v>1854</v>
      </c>
      <c r="H1" s="11" t="s">
        <v>1855</v>
      </c>
      <c r="I1" s="11" t="s">
        <v>1860</v>
      </c>
    </row>
    <row r="2" spans="1:9" x14ac:dyDescent="0.35">
      <c r="A2" s="13" t="s">
        <v>1926</v>
      </c>
      <c r="B2" s="36">
        <f>COUNTIF(EdgesData[Edge ID],EdgesData[[#This Row],[Edge ID]])</f>
        <v>1</v>
      </c>
      <c r="C2" s="13" t="str">
        <f>VLOOKUP(EdgesData[[#This Row],[Node A]],NodesData[],3,FALSE)</f>
        <v>nB3F90AFA_FC46_4122_9901_4FF284E9E7EC</v>
      </c>
      <c r="D2" s="11" t="s">
        <v>1903</v>
      </c>
      <c r="E2" s="11" t="s">
        <v>1838</v>
      </c>
      <c r="F2" s="11"/>
      <c r="G2" s="15" t="s">
        <v>543</v>
      </c>
      <c r="H2" s="13" t="str">
        <f>VLOOKUP(EdgesData[[#This Row],[Node B]],NodesData[],3,FALSE)</f>
        <v>nE49F9EAF_3DC5_47FA_9722_CDE0190EAD09</v>
      </c>
      <c r="I2" s="14" t="str" cm="1">
        <f t="array" ref="I2">"n"&amp;SUBSTITUTE(CreateGuidString(),"-","_")</f>
        <v>nFBFD08C0_3E2B_4949_B968_E540E061FA1F</v>
      </c>
    </row>
    <row r="3" spans="1:9" x14ac:dyDescent="0.35">
      <c r="A3" s="13" t="s">
        <v>1927</v>
      </c>
      <c r="B3" s="36">
        <f>COUNTIF(EdgesData[Edge ID],EdgesData[[#This Row],[Edge ID]])</f>
        <v>1</v>
      </c>
      <c r="C3" s="13" t="str">
        <f>VLOOKUP(EdgesData[[#This Row],[Node A]],NodesData[],3,FALSE)</f>
        <v>nAC688165_B606_4D82_A016_0263D701EDF2</v>
      </c>
      <c r="D3" s="16" t="s">
        <v>618</v>
      </c>
      <c r="E3" s="11" t="s">
        <v>1343</v>
      </c>
      <c r="F3" s="11"/>
      <c r="G3" s="11" t="s">
        <v>1332</v>
      </c>
      <c r="H3" s="13" t="str">
        <f>VLOOKUP(EdgesData[[#This Row],[Node B]],NodesData[],3,FALSE)</f>
        <v>n53877DB9_77FA_44E9_974A_BE3344133398</v>
      </c>
      <c r="I3" s="14" t="str" cm="1">
        <f t="array" ref="I3">"n"&amp;SUBSTITUTE(CreateGuidString(),"-","_")</f>
        <v>nB389C91E_5611_497D_893C_5CD55A4A49CF</v>
      </c>
    </row>
    <row r="4" spans="1:9" x14ac:dyDescent="0.35">
      <c r="A4" s="13" t="s">
        <v>1928</v>
      </c>
      <c r="B4" s="36">
        <f>COUNTIF(EdgesData[Edge ID],EdgesData[[#This Row],[Edge ID]])</f>
        <v>1</v>
      </c>
      <c r="C4" s="13" t="str">
        <f>VLOOKUP(EdgesData[[#This Row],[Node A]],NodesData[],3,FALSE)</f>
        <v>n8B61F4C7_8FA2_43DC_B58C_AB2C5C0A8877</v>
      </c>
      <c r="D4" s="12" t="s">
        <v>79</v>
      </c>
      <c r="E4" s="12" t="s">
        <v>1343</v>
      </c>
      <c r="G4" s="12" t="s">
        <v>1337</v>
      </c>
      <c r="H4" s="13" t="str">
        <f>VLOOKUP(EdgesData[[#This Row],[Node B]],NodesData[],3,FALSE)</f>
        <v>nCEEB6DF9_D56B_4A1B_9B36_35674D25F038</v>
      </c>
      <c r="I4" s="14" t="str" cm="1">
        <f t="array" ref="I4">"n"&amp;SUBSTITUTE(CreateGuidString(),"-","_")</f>
        <v>nB129B5FA_11FD_4400_9958_180375910839</v>
      </c>
    </row>
    <row r="5" spans="1:9" x14ac:dyDescent="0.35">
      <c r="A5" s="13" t="s">
        <v>1929</v>
      </c>
      <c r="B5" s="36">
        <f>COUNTIF(EdgesData[Edge ID],EdgesData[[#This Row],[Edge ID]])</f>
        <v>1</v>
      </c>
      <c r="C5" s="13" t="str">
        <f>VLOOKUP(EdgesData[[#This Row],[Node A]],NodesData[],3,FALSE)</f>
        <v>n8B61F4C7_8FA2_43DC_B58C_AB2C5C0A8877</v>
      </c>
      <c r="D5" s="12" t="s">
        <v>79</v>
      </c>
      <c r="E5" s="12" t="s">
        <v>1338</v>
      </c>
      <c r="G5" s="12" t="s">
        <v>454</v>
      </c>
      <c r="H5" s="13" t="str">
        <f>VLOOKUP(EdgesData[[#This Row],[Node B]],NodesData[],3,FALSE)</f>
        <v>nFC4AFBE3_7D71_456A_AFC1_16F1F34558F5</v>
      </c>
      <c r="I5" s="14" t="str" cm="1">
        <f t="array" ref="I5">"n"&amp;SUBSTITUTE(CreateGuidString(),"-","_")</f>
        <v>n9D2FC756_F1F9_41F5_9746_0952842FDD42</v>
      </c>
    </row>
    <row r="6" spans="1:9" x14ac:dyDescent="0.35">
      <c r="A6" s="13" t="s">
        <v>1930</v>
      </c>
      <c r="B6" s="36">
        <f>COUNTIF(EdgesData[Edge ID],EdgesData[[#This Row],[Edge ID]])</f>
        <v>1</v>
      </c>
      <c r="C6" s="13" t="str">
        <f>VLOOKUP(EdgesData[[#This Row],[Node A]],NodesData[],3,FALSE)</f>
        <v>n8B61F4C7_8FA2_43DC_B58C_AB2C5C0A8877</v>
      </c>
      <c r="D6" s="12" t="s">
        <v>79</v>
      </c>
      <c r="E6" s="12" t="s">
        <v>1339</v>
      </c>
      <c r="G6" s="11" t="s">
        <v>1842</v>
      </c>
      <c r="H6" s="13" t="str">
        <f>VLOOKUP(EdgesData[[#This Row],[Node B]],NodesData[],3,FALSE)</f>
        <v>n1546AAB1_79BC_427B_AC2C_31B1E8FA4616</v>
      </c>
      <c r="I6" s="14" t="str" cm="1">
        <f t="array" ref="I6">"n"&amp;SUBSTITUTE(CreateGuidString(),"-","_")</f>
        <v>n8AB6E6AC_0E12_4DD4_9BE5_01654FF3A989</v>
      </c>
    </row>
    <row r="7" spans="1:9" x14ac:dyDescent="0.35">
      <c r="A7" s="13" t="s">
        <v>1931</v>
      </c>
      <c r="B7" s="36">
        <f>COUNTIF(EdgesData[Edge ID],EdgesData[[#This Row],[Edge ID]])</f>
        <v>1</v>
      </c>
      <c r="C7" s="13" t="str">
        <f>VLOOKUP(EdgesData[[#This Row],[Node A]],NodesData[],3,FALSE)</f>
        <v>n45A95ED6_6BE9_42DC_8F8E_4940542AA763</v>
      </c>
      <c r="D7" s="17" t="s">
        <v>1303</v>
      </c>
      <c r="E7" s="11" t="s">
        <v>1343</v>
      </c>
      <c r="G7" s="11" t="s">
        <v>1332</v>
      </c>
      <c r="H7" s="13" t="str">
        <f>VLOOKUP(EdgesData[[#This Row],[Node B]],NodesData[],3,FALSE)</f>
        <v>n53877DB9_77FA_44E9_974A_BE3344133398</v>
      </c>
      <c r="I7" s="14" t="str" cm="1">
        <f t="array" ref="I7">"n"&amp;SUBSTITUTE(CreateGuidString(),"-","_")</f>
        <v>n3AA94CED_A294_4183_AC23_8F0CBCE7560C</v>
      </c>
    </row>
    <row r="8" spans="1:9" x14ac:dyDescent="0.35">
      <c r="A8" s="13" t="s">
        <v>1932</v>
      </c>
      <c r="B8" s="36">
        <f>COUNTIF(EdgesData[Edge ID],EdgesData[[#This Row],[Edge ID]])</f>
        <v>1</v>
      </c>
      <c r="C8" s="13" t="str">
        <f>VLOOKUP(EdgesData[[#This Row],[Node A]],NodesData[],3,FALSE)</f>
        <v>n45A95ED6_6BE9_42DC_8F8E_4940542AA763</v>
      </c>
      <c r="D8" s="16" t="s">
        <v>1303</v>
      </c>
      <c r="E8" s="11" t="s">
        <v>1343</v>
      </c>
      <c r="G8" s="11" t="s">
        <v>618</v>
      </c>
      <c r="H8" s="13" t="str">
        <f>VLOOKUP(EdgesData[[#This Row],[Node B]],NodesData[],3,FALSE)</f>
        <v>nAC688165_B606_4D82_A016_0263D701EDF2</v>
      </c>
      <c r="I8" s="14" t="str" cm="1">
        <f t="array" ref="I8">"n"&amp;SUBSTITUTE(CreateGuidString(),"-","_")</f>
        <v>nF10BF44F_3861_4B5D_9988_45630932092A</v>
      </c>
    </row>
    <row r="9" spans="1:9" x14ac:dyDescent="0.35">
      <c r="A9" s="13" t="s">
        <v>1933</v>
      </c>
      <c r="B9" s="36">
        <f>COUNTIF(EdgesData[Edge ID],EdgesData[[#This Row],[Edge ID]])</f>
        <v>1</v>
      </c>
      <c r="C9" s="13" t="str">
        <f>VLOOKUP(EdgesData[[#This Row],[Node A]],NodesData[],3,FALSE)</f>
        <v>n09E1C4DC_8D91_4A66_9C50_11DCDC2042FD</v>
      </c>
      <c r="D9" s="12" t="s">
        <v>1345</v>
      </c>
      <c r="E9" s="12" t="s">
        <v>1343</v>
      </c>
      <c r="G9" s="12" t="s">
        <v>1341</v>
      </c>
      <c r="H9" s="13" t="str">
        <f>VLOOKUP(EdgesData[[#This Row],[Node B]],NodesData[],3,FALSE)</f>
        <v>n80310A12_2F48_48B9_A9C3_E6FADD4B55C9</v>
      </c>
      <c r="I9" s="14" t="str" cm="1">
        <f t="array" ref="I9">"n"&amp;SUBSTITUTE(CreateGuidString(),"-","_")</f>
        <v>n38B574BC_DCF9_4968_B1FC_016146C8500D</v>
      </c>
    </row>
    <row r="10" spans="1:9" x14ac:dyDescent="0.35">
      <c r="A10" s="13" t="s">
        <v>1934</v>
      </c>
      <c r="B10" s="36">
        <f>COUNTIF(EdgesData[Edge ID],EdgesData[[#This Row],[Edge ID]])</f>
        <v>1</v>
      </c>
      <c r="C10" s="13" t="str">
        <f>VLOOKUP(EdgesData[[#This Row],[Node A]],NodesData[],3,FALSE)</f>
        <v>nEE342468_B7F3_4FB0_BA73_C88BBEA8F59E</v>
      </c>
      <c r="D10" s="12" t="s">
        <v>1346</v>
      </c>
      <c r="E10" s="12" t="s">
        <v>1343</v>
      </c>
      <c r="G10" s="12" t="s">
        <v>1341</v>
      </c>
      <c r="H10" s="13" t="str">
        <f>VLOOKUP(EdgesData[[#This Row],[Node B]],NodesData[],3,FALSE)</f>
        <v>n80310A12_2F48_48B9_A9C3_E6FADD4B55C9</v>
      </c>
      <c r="I10" s="14" t="str" cm="1">
        <f t="array" ref="I10">"n"&amp;SUBSTITUTE(CreateGuidString(),"-","_")</f>
        <v>nDFAE6543_3223_47FA_9FFF_D8E6F8B657C7</v>
      </c>
    </row>
    <row r="11" spans="1:9" x14ac:dyDescent="0.35">
      <c r="A11" s="13" t="s">
        <v>1935</v>
      </c>
      <c r="B11" s="36">
        <f>COUNTIF(EdgesData[Edge ID],EdgesData[[#This Row],[Edge ID]])</f>
        <v>1</v>
      </c>
      <c r="C11" s="13" t="str">
        <f>VLOOKUP(EdgesData[[#This Row],[Node A]],NodesData[],3,FALSE)</f>
        <v>n1546AAB1_79BC_427B_AC2C_31B1E8FA4616</v>
      </c>
      <c r="D11" s="11" t="s">
        <v>1842</v>
      </c>
      <c r="E11" s="12" t="s">
        <v>1343</v>
      </c>
      <c r="G11" s="12" t="s">
        <v>1340</v>
      </c>
      <c r="H11" s="13" t="str">
        <f>VLOOKUP(EdgesData[[#This Row],[Node B]],NodesData[],3,FALSE)</f>
        <v>n385B2A02_580E_49B6_8C97_A00DC541C516</v>
      </c>
      <c r="I11" s="14" t="str" cm="1">
        <f t="array" ref="I11">"n"&amp;SUBSTITUTE(CreateGuidString(),"-","_")</f>
        <v>n6A9AFA55_C8F1_456B_A5F1_0334679A2B2E</v>
      </c>
    </row>
    <row r="12" spans="1:9" x14ac:dyDescent="0.35">
      <c r="A12" s="13" t="s">
        <v>1936</v>
      </c>
      <c r="B12" s="36">
        <f>COUNTIF(EdgesData[Edge ID],EdgesData[[#This Row],[Edge ID]])</f>
        <v>1</v>
      </c>
      <c r="C12" s="13" t="str">
        <f>VLOOKUP(EdgesData[[#This Row],[Node A]],NodesData[],3,FALSE)</f>
        <v>nA4759A9D_95C0_47CA_B519_8CEF217B2F74</v>
      </c>
      <c r="D12" s="17" t="s">
        <v>1304</v>
      </c>
      <c r="E12" s="11" t="s">
        <v>1343</v>
      </c>
      <c r="G12" s="11" t="s">
        <v>1332</v>
      </c>
      <c r="H12" s="13" t="str">
        <f>VLOOKUP(EdgesData[[#This Row],[Node B]],NodesData[],3,FALSE)</f>
        <v>n53877DB9_77FA_44E9_974A_BE3344133398</v>
      </c>
      <c r="I12" s="14" t="str" cm="1">
        <f t="array" ref="I12">"n"&amp;SUBSTITUTE(CreateGuidString(),"-","_")</f>
        <v>nFE92B2A5_4D8E_4E4F_AE05_36ADCD7588B9</v>
      </c>
    </row>
    <row r="13" spans="1:9" x14ac:dyDescent="0.35">
      <c r="A13" s="13" t="s">
        <v>1937</v>
      </c>
      <c r="B13" s="36">
        <f>COUNTIF(EdgesData[Edge ID],EdgesData[[#This Row],[Edge ID]])</f>
        <v>1</v>
      </c>
      <c r="C13" s="13" t="str">
        <f>VLOOKUP(EdgesData[[#This Row],[Node A]],NodesData[],3,FALSE)</f>
        <v>nA4759A9D_95C0_47CA_B519_8CEF217B2F74</v>
      </c>
      <c r="D13" s="16" t="s">
        <v>1304</v>
      </c>
      <c r="E13" s="11" t="s">
        <v>1343</v>
      </c>
      <c r="G13" s="11" t="s">
        <v>618</v>
      </c>
      <c r="H13" s="13" t="str">
        <f>VLOOKUP(EdgesData[[#This Row],[Node B]],NodesData[],3,FALSE)</f>
        <v>nAC688165_B606_4D82_A016_0263D701EDF2</v>
      </c>
      <c r="I13" s="14" t="str" cm="1">
        <f t="array" ref="I13">"n"&amp;SUBSTITUTE(CreateGuidString(),"-","_")</f>
        <v>n834AB63D_7113_43CC_9271_B184CA92EB55</v>
      </c>
    </row>
    <row r="14" spans="1:9" x14ac:dyDescent="0.35">
      <c r="A14" s="13" t="s">
        <v>1938</v>
      </c>
      <c r="B14" s="36">
        <f>COUNTIF(EdgesData[Edge ID],EdgesData[[#This Row],[Edge ID]])</f>
        <v>1</v>
      </c>
      <c r="C14" s="13" t="str">
        <f>VLOOKUP(EdgesData[[#This Row],[Node A]],NodesData[],3,FALSE)</f>
        <v>nAACCE65E_6554_4FBD_B4D7_A3BA8E3BDB92</v>
      </c>
      <c r="D14" s="17" t="s">
        <v>1835</v>
      </c>
      <c r="E14" s="11" t="s">
        <v>1343</v>
      </c>
      <c r="G14" s="11" t="s">
        <v>1332</v>
      </c>
      <c r="H14" s="13" t="str">
        <f>VLOOKUP(EdgesData[[#This Row],[Node B]],NodesData[],3,FALSE)</f>
        <v>n53877DB9_77FA_44E9_974A_BE3344133398</v>
      </c>
      <c r="I14" s="14" t="str" cm="1">
        <f t="array" ref="I14">"n"&amp;SUBSTITUTE(CreateGuidString(),"-","_")</f>
        <v>nB6B2C022_665B_4F61_BFF4_B1F0AAB2DD3F</v>
      </c>
    </row>
    <row r="15" spans="1:9" x14ac:dyDescent="0.35">
      <c r="A15" s="13" t="s">
        <v>1939</v>
      </c>
      <c r="B15" s="36">
        <f>COUNTIF(EdgesData[Edge ID],EdgesData[[#This Row],[Edge ID]])</f>
        <v>1</v>
      </c>
      <c r="C15" s="13" t="str">
        <f>VLOOKUP(EdgesData[[#This Row],[Node A]],NodesData[],3,FALSE)</f>
        <v>nAACCE65E_6554_4FBD_B4D7_A3BA8E3BDB92</v>
      </c>
      <c r="D15" s="16" t="s">
        <v>1835</v>
      </c>
      <c r="E15" s="11" t="s">
        <v>1343</v>
      </c>
      <c r="G15" s="11" t="s">
        <v>618</v>
      </c>
      <c r="H15" s="13" t="str">
        <f>VLOOKUP(EdgesData[[#This Row],[Node B]],NodesData[],3,FALSE)</f>
        <v>nAC688165_B606_4D82_A016_0263D701EDF2</v>
      </c>
      <c r="I15" s="14" t="str" cm="1">
        <f t="array" ref="I15">"n"&amp;SUBSTITUTE(CreateGuidString(),"-","_")</f>
        <v>n44D0356A_4643_4661_B2B0_B90DA7CD08D8</v>
      </c>
    </row>
    <row r="16" spans="1:9" x14ac:dyDescent="0.35">
      <c r="A16" s="13" t="s">
        <v>1940</v>
      </c>
      <c r="B16" s="36">
        <f>COUNTIF(EdgesData[Edge ID],EdgesData[[#This Row],[Edge ID]])</f>
        <v>1</v>
      </c>
      <c r="C16" s="13" t="str">
        <f>VLOOKUP(EdgesData[[#This Row],[Node A]],NodesData[],3,FALSE)</f>
        <v>nF5B3A52F_6645_4E18_BE53_3CA330AAEC4A</v>
      </c>
      <c r="D16" s="17" t="s">
        <v>1307</v>
      </c>
      <c r="E16" s="11" t="s">
        <v>1343</v>
      </c>
      <c r="G16" s="11" t="s">
        <v>1332</v>
      </c>
      <c r="H16" s="13" t="str">
        <f>VLOOKUP(EdgesData[[#This Row],[Node B]],NodesData[],3,FALSE)</f>
        <v>n53877DB9_77FA_44E9_974A_BE3344133398</v>
      </c>
      <c r="I16" s="14" t="str" cm="1">
        <f t="array" ref="I16">"n"&amp;SUBSTITUTE(CreateGuidString(),"-","_")</f>
        <v>n6289E426_D9FD_4FF8_8588_7D81746DF4A0</v>
      </c>
    </row>
    <row r="17" spans="1:9" x14ac:dyDescent="0.35">
      <c r="A17" s="13" t="s">
        <v>1941</v>
      </c>
      <c r="B17" s="36">
        <f>COUNTIF(EdgesData[Edge ID],EdgesData[[#This Row],[Edge ID]])</f>
        <v>1</v>
      </c>
      <c r="C17" s="13" t="str">
        <f>VLOOKUP(EdgesData[[#This Row],[Node A]],NodesData[],3,FALSE)</f>
        <v>nF5B3A52F_6645_4E18_BE53_3CA330AAEC4A</v>
      </c>
      <c r="D17" s="16" t="s">
        <v>1307</v>
      </c>
      <c r="E17" s="11" t="s">
        <v>1343</v>
      </c>
      <c r="G17" s="11" t="s">
        <v>618</v>
      </c>
      <c r="H17" s="13" t="str">
        <f>VLOOKUP(EdgesData[[#This Row],[Node B]],NodesData[],3,FALSE)</f>
        <v>nAC688165_B606_4D82_A016_0263D701EDF2</v>
      </c>
      <c r="I17" s="14" t="str" cm="1">
        <f t="array" ref="I17">"n"&amp;SUBSTITUTE(CreateGuidString(),"-","_")</f>
        <v>nCB2E839C_F0AF_4758_A2EE_6384C329B2E6</v>
      </c>
    </row>
    <row r="18" spans="1:9" x14ac:dyDescent="0.35">
      <c r="A18" s="13" t="s">
        <v>1942</v>
      </c>
      <c r="B18" s="36">
        <f>COUNTIF(EdgesData[Edge ID],EdgesData[[#This Row],[Edge ID]])</f>
        <v>1</v>
      </c>
      <c r="C18" s="13" t="str">
        <f>VLOOKUP(EdgesData[[#This Row],[Node A]],NodesData[],3,FALSE)</f>
        <v>nE75296C8_9CA1_417E_B05B_CC1BDF26F9C3</v>
      </c>
      <c r="D18" s="17" t="s">
        <v>1308</v>
      </c>
      <c r="E18" s="11" t="s">
        <v>1343</v>
      </c>
      <c r="G18" s="11" t="s">
        <v>1332</v>
      </c>
      <c r="H18" s="13" t="str">
        <f>VLOOKUP(EdgesData[[#This Row],[Node B]],NodesData[],3,FALSE)</f>
        <v>n53877DB9_77FA_44E9_974A_BE3344133398</v>
      </c>
      <c r="I18" s="14" t="str" cm="1">
        <f t="array" ref="I18">"n"&amp;SUBSTITUTE(CreateGuidString(),"-","_")</f>
        <v>n114B01AE_70CA_4F69_8435_C4B0DB59E65E</v>
      </c>
    </row>
    <row r="19" spans="1:9" x14ac:dyDescent="0.35">
      <c r="A19" s="13" t="s">
        <v>1943</v>
      </c>
      <c r="B19" s="36">
        <f>COUNTIF(EdgesData[Edge ID],EdgesData[[#This Row],[Edge ID]])</f>
        <v>1</v>
      </c>
      <c r="C19" s="13" t="str">
        <f>VLOOKUP(EdgesData[[#This Row],[Node A]],NodesData[],3,FALSE)</f>
        <v>nE75296C8_9CA1_417E_B05B_CC1BDF26F9C3</v>
      </c>
      <c r="D19" s="16" t="s">
        <v>1308</v>
      </c>
      <c r="E19" s="11" t="s">
        <v>1343</v>
      </c>
      <c r="F19" s="11"/>
      <c r="G19" s="11" t="s">
        <v>618</v>
      </c>
      <c r="H19" s="13" t="str">
        <f>VLOOKUP(EdgesData[[#This Row],[Node B]],NodesData[],3,FALSE)</f>
        <v>nAC688165_B606_4D82_A016_0263D701EDF2</v>
      </c>
      <c r="I19" s="14" t="str" cm="1">
        <f t="array" ref="I19">"n"&amp;SUBSTITUTE(CreateGuidString(),"-","_")</f>
        <v>nCB5C8FF0_DE31_44E1_B174_22EEE8A5A693</v>
      </c>
    </row>
    <row r="20" spans="1:9" x14ac:dyDescent="0.35">
      <c r="A20" s="13" t="s">
        <v>1944</v>
      </c>
      <c r="B20" s="36">
        <f>COUNTIF(EdgesData[Edge ID],EdgesData[[#This Row],[Edge ID]])</f>
        <v>1</v>
      </c>
      <c r="C20" s="13" t="str">
        <f>VLOOKUP(EdgesData[[#This Row],[Node A]],NodesData[],3,FALSE)</f>
        <v>n3E35442D_91A0_4B21_B0FC_31EF1D8BC55F</v>
      </c>
      <c r="D20" s="17" t="s">
        <v>1309</v>
      </c>
      <c r="E20" s="11" t="s">
        <v>1343</v>
      </c>
      <c r="G20" s="11" t="s">
        <v>1332</v>
      </c>
      <c r="H20" s="13" t="str">
        <f>VLOOKUP(EdgesData[[#This Row],[Node B]],NodesData[],3,FALSE)</f>
        <v>n53877DB9_77FA_44E9_974A_BE3344133398</v>
      </c>
      <c r="I20" s="14" t="str" cm="1">
        <f t="array" ref="I20">"n"&amp;SUBSTITUTE(CreateGuidString(),"-","_")</f>
        <v>n07FBB306_5B1B_4E3B_96FE_F9FDCC42FF20</v>
      </c>
    </row>
    <row r="21" spans="1:9" x14ac:dyDescent="0.35">
      <c r="A21" s="13" t="s">
        <v>1945</v>
      </c>
      <c r="B21" s="36">
        <f>COUNTIF(EdgesData[Edge ID],EdgesData[[#This Row],[Edge ID]])</f>
        <v>1</v>
      </c>
      <c r="C21" s="13" t="str">
        <f>VLOOKUP(EdgesData[[#This Row],[Node A]],NodesData[],3,FALSE)</f>
        <v>n3E35442D_91A0_4B21_B0FC_31EF1D8BC55F</v>
      </c>
      <c r="D21" s="16" t="s">
        <v>1309</v>
      </c>
      <c r="E21" s="11" t="s">
        <v>1343</v>
      </c>
      <c r="G21" s="11" t="s">
        <v>618</v>
      </c>
      <c r="H21" s="13" t="str">
        <f>VLOOKUP(EdgesData[[#This Row],[Node B]],NodesData[],3,FALSE)</f>
        <v>nAC688165_B606_4D82_A016_0263D701EDF2</v>
      </c>
      <c r="I21" s="14" t="str" cm="1">
        <f t="array" ref="I21">"n"&amp;SUBSTITUTE(CreateGuidString(),"-","_")</f>
        <v>n13C36E48_ED1D_41B2_B771_3CB7E8D5F703</v>
      </c>
    </row>
    <row r="22" spans="1:9" x14ac:dyDescent="0.35">
      <c r="A22" s="13" t="s">
        <v>1946</v>
      </c>
      <c r="B22" s="36">
        <f>COUNTIF(EdgesData[Edge ID],EdgesData[[#This Row],[Edge ID]])</f>
        <v>1</v>
      </c>
      <c r="C22" s="13" t="str">
        <f>VLOOKUP(EdgesData[[#This Row],[Node A]],NodesData[],3,FALSE)</f>
        <v>n99E2EC41_CA7B_41FD_8304_3926884533F9</v>
      </c>
      <c r="D22" s="17" t="s">
        <v>1294</v>
      </c>
      <c r="E22" s="11" t="s">
        <v>1343</v>
      </c>
      <c r="G22" s="11" t="s">
        <v>0</v>
      </c>
      <c r="H22" s="13" t="str">
        <f>VLOOKUP(EdgesData[[#This Row],[Node B]],NodesData[],3,FALSE)</f>
        <v>n67C132A3_290E_4750_90DE_11E7C1778537</v>
      </c>
      <c r="I22" s="14" t="str" cm="1">
        <f t="array" ref="I22">"n"&amp;SUBSTITUTE(CreateGuidString(),"-","_")</f>
        <v>nB89E10F2_22A7_443D_B9FA_CB1C3942AB5F</v>
      </c>
    </row>
    <row r="23" spans="1:9" x14ac:dyDescent="0.35">
      <c r="A23" s="13" t="s">
        <v>1947</v>
      </c>
      <c r="B23" s="36">
        <f>COUNTIF(EdgesData[Edge ID],EdgesData[[#This Row],[Edge ID]])</f>
        <v>1</v>
      </c>
      <c r="C23" s="13" t="str">
        <f>VLOOKUP(EdgesData[[#This Row],[Node A]],NodesData[],3,FALSE)</f>
        <v>nFF2EA87E_84ED_44A7_83DE_4A3C4C0F01DF</v>
      </c>
      <c r="D23" s="16" t="s">
        <v>1310</v>
      </c>
      <c r="E23" s="11" t="s">
        <v>1343</v>
      </c>
      <c r="G23" s="11" t="s">
        <v>1332</v>
      </c>
      <c r="H23" s="13" t="str">
        <f>VLOOKUP(EdgesData[[#This Row],[Node B]],NodesData[],3,FALSE)</f>
        <v>n53877DB9_77FA_44E9_974A_BE3344133398</v>
      </c>
      <c r="I23" s="14" t="str" cm="1">
        <f t="array" ref="I23">"n"&amp;SUBSTITUTE(CreateGuidString(),"-","_")</f>
        <v>n858A2648_F7D8_4857_BB35_7A671016122E</v>
      </c>
    </row>
    <row r="24" spans="1:9" x14ac:dyDescent="0.35">
      <c r="A24" s="13" t="s">
        <v>1948</v>
      </c>
      <c r="B24" s="36">
        <f>COUNTIF(EdgesData[Edge ID],EdgesData[[#This Row],[Edge ID]])</f>
        <v>1</v>
      </c>
      <c r="C24" s="13" t="str">
        <f>VLOOKUP(EdgesData[[#This Row],[Node A]],NodesData[],3,FALSE)</f>
        <v>nFF2EA87E_84ED_44A7_83DE_4A3C4C0F01DF</v>
      </c>
      <c r="D24" s="17" t="s">
        <v>1310</v>
      </c>
      <c r="E24" s="11" t="s">
        <v>1343</v>
      </c>
      <c r="G24" s="11" t="s">
        <v>618</v>
      </c>
      <c r="H24" s="13" t="str">
        <f>VLOOKUP(EdgesData[[#This Row],[Node B]],NodesData[],3,FALSE)</f>
        <v>nAC688165_B606_4D82_A016_0263D701EDF2</v>
      </c>
      <c r="I24" s="14" t="str" cm="1">
        <f t="array" ref="I24">"n"&amp;SUBSTITUTE(CreateGuidString(),"-","_")</f>
        <v>n99D6A6EC_2ED3_43F0_A990_CD632F673E12</v>
      </c>
    </row>
    <row r="25" spans="1:9" x14ac:dyDescent="0.35">
      <c r="A25" s="13" t="s">
        <v>1949</v>
      </c>
      <c r="B25" s="36">
        <f>COUNTIF(EdgesData[Edge ID],EdgesData[[#This Row],[Edge ID]])</f>
        <v>1</v>
      </c>
      <c r="C25" s="13" t="str">
        <f>VLOOKUP(EdgesData[[#This Row],[Node A]],NodesData[],3,FALSE)</f>
        <v>n940256DD_635E_4F4B_91EA_B3366D40E947</v>
      </c>
      <c r="D25" s="12" t="s">
        <v>1342</v>
      </c>
      <c r="E25" s="12" t="s">
        <v>1343</v>
      </c>
      <c r="G25" s="12" t="s">
        <v>1341</v>
      </c>
      <c r="H25" s="13" t="str">
        <f>VLOOKUP(EdgesData[[#This Row],[Node B]],NodesData[],3,FALSE)</f>
        <v>n80310A12_2F48_48B9_A9C3_E6FADD4B55C9</v>
      </c>
      <c r="I25" s="14" t="str" cm="1">
        <f t="array" ref="I25">"n"&amp;SUBSTITUTE(CreateGuidString(),"-","_")</f>
        <v>n15CB5DB1_7171_40C3_BD42_296463B8E505</v>
      </c>
    </row>
    <row r="26" spans="1:9" x14ac:dyDescent="0.35">
      <c r="A26" s="13" t="s">
        <v>1950</v>
      </c>
      <c r="B26" s="36">
        <f>COUNTIF(EdgesData[Edge ID],EdgesData[[#This Row],[Edge ID]])</f>
        <v>1</v>
      </c>
      <c r="C26" s="13" t="str">
        <f>VLOOKUP(EdgesData[[#This Row],[Node A]],NodesData[],3,FALSE)</f>
        <v>nBB725018_7327_49FB_A48A_74839D0C04F9</v>
      </c>
      <c r="D26" s="12" t="s">
        <v>1344</v>
      </c>
      <c r="E26" s="12" t="s">
        <v>1343</v>
      </c>
      <c r="G26" s="12" t="s">
        <v>1341</v>
      </c>
      <c r="H26" s="13" t="str">
        <f>VLOOKUP(EdgesData[[#This Row],[Node B]],NodesData[],3,FALSE)</f>
        <v>n80310A12_2F48_48B9_A9C3_E6FADD4B55C9</v>
      </c>
      <c r="I26" s="14" t="str" cm="1">
        <f t="array" ref="I26">"n"&amp;SUBSTITUTE(CreateGuidString(),"-","_")</f>
        <v>n783E269A_9AC3_4352_B4CA_6227813606D7</v>
      </c>
    </row>
    <row r="27" spans="1:9" x14ac:dyDescent="0.35">
      <c r="A27" s="13" t="s">
        <v>1951</v>
      </c>
      <c r="B27" s="36">
        <f>COUNTIF(EdgesData[Edge ID],EdgesData[[#This Row],[Edge ID]])</f>
        <v>1</v>
      </c>
      <c r="C27" s="13" t="str">
        <f>VLOOKUP(EdgesData[[#This Row],[Node A]],NodesData[],3,FALSE)</f>
        <v>nC607594D_D597_4C8E_9605_EED87566C2FD</v>
      </c>
      <c r="D27" s="12" t="s">
        <v>261</v>
      </c>
      <c r="E27" s="11" t="s">
        <v>1833</v>
      </c>
      <c r="G27" s="12" t="s">
        <v>1341</v>
      </c>
      <c r="H27" s="13" t="str">
        <f>VLOOKUP(EdgesData[[#This Row],[Node B]],NodesData[],3,FALSE)</f>
        <v>n80310A12_2F48_48B9_A9C3_E6FADD4B55C9</v>
      </c>
      <c r="I27" s="14" t="str" cm="1">
        <f t="array" ref="I27">"n"&amp;SUBSTITUTE(CreateGuidString(),"-","_")</f>
        <v>n5F1E1F3F_1101_43E8_9B0F_57BDA8D9AA06</v>
      </c>
    </row>
    <row r="28" spans="1:9" x14ac:dyDescent="0.35">
      <c r="A28" s="13" t="s">
        <v>1952</v>
      </c>
      <c r="B28" s="36">
        <f>COUNTIF(EdgesData[Edge ID],EdgesData[[#This Row],[Edge ID]])</f>
        <v>1</v>
      </c>
      <c r="C28" s="13" t="str">
        <f>VLOOKUP(EdgesData[[#This Row],[Node A]],NodesData[],3,FALSE)</f>
        <v>nC607594D_D597_4C8E_9605_EED87566C2FD</v>
      </c>
      <c r="D28" s="12" t="s">
        <v>261</v>
      </c>
      <c r="E28" s="11" t="s">
        <v>1834</v>
      </c>
      <c r="G28" s="12" t="s">
        <v>1348</v>
      </c>
      <c r="H28" s="13" t="str">
        <f>VLOOKUP(EdgesData[[#This Row],[Node B]],NodesData[],3,FALSE)</f>
        <v>nFB32F479_4EF7_409C_900B_EE48AA0DE846</v>
      </c>
      <c r="I28" s="14" t="str" cm="1">
        <f t="array" ref="I28">"n"&amp;SUBSTITUTE(CreateGuidString(),"-","_")</f>
        <v>nA7C9694F_3493_4FAD_82AB_E0D5AFCD6681</v>
      </c>
    </row>
    <row r="29" spans="1:9" x14ac:dyDescent="0.35">
      <c r="A29" s="13" t="s">
        <v>1953</v>
      </c>
      <c r="B29" s="36">
        <f>COUNTIF(EdgesData[Edge ID],EdgesData[[#This Row],[Edge ID]])</f>
        <v>1</v>
      </c>
      <c r="C29" s="13" t="str">
        <f>VLOOKUP(EdgesData[[#This Row],[Node A]],NodesData[],3,FALSE)</f>
        <v>nC607594D_D597_4C8E_9605_EED87566C2FD</v>
      </c>
      <c r="D29" s="12" t="s">
        <v>261</v>
      </c>
      <c r="E29" s="11" t="s">
        <v>1834</v>
      </c>
      <c r="G29" s="12" t="s">
        <v>1349</v>
      </c>
      <c r="H29" s="13" t="str">
        <f>VLOOKUP(EdgesData[[#This Row],[Node B]],NodesData[],3,FALSE)</f>
        <v>nFA6C8A63_7071_4E20_BB02_F78403869E0B</v>
      </c>
      <c r="I29" s="14" t="str" cm="1">
        <f t="array" ref="I29">"n"&amp;SUBSTITUTE(CreateGuidString(),"-","_")</f>
        <v>n2739BEB3_3B9E_4D20_BE05_C6B1398B4FEE</v>
      </c>
    </row>
    <row r="30" spans="1:9" x14ac:dyDescent="0.35">
      <c r="A30" s="13" t="s">
        <v>1954</v>
      </c>
      <c r="B30" s="36">
        <f>COUNTIF(EdgesData[Edge ID],EdgesData[[#This Row],[Edge ID]])</f>
        <v>1</v>
      </c>
      <c r="C30" s="13" t="str">
        <f>VLOOKUP(EdgesData[[#This Row],[Node A]],NodesData[],3,FALSE)</f>
        <v>nC607594D_D597_4C8E_9605_EED87566C2FD</v>
      </c>
      <c r="D30" s="12" t="s">
        <v>261</v>
      </c>
      <c r="E30" s="11" t="s">
        <v>1834</v>
      </c>
      <c r="G30" s="12" t="s">
        <v>1350</v>
      </c>
      <c r="H30" s="13" t="str">
        <f>VLOOKUP(EdgesData[[#This Row],[Node B]],NodesData[],3,FALSE)</f>
        <v>nAC062A15_C72B_42D8_BBDF_C7EB64B35F26</v>
      </c>
      <c r="I30" s="14" t="str" cm="1">
        <f t="array" ref="I30">"n"&amp;SUBSTITUTE(CreateGuidString(),"-","_")</f>
        <v>n736ADF95_A6D1_4E89_89A0_AA52E6AB60DA</v>
      </c>
    </row>
    <row r="31" spans="1:9" x14ac:dyDescent="0.35">
      <c r="A31" s="13" t="s">
        <v>1955</v>
      </c>
      <c r="B31" s="36">
        <f>COUNTIF(EdgesData[Edge ID],EdgesData[[#This Row],[Edge ID]])</f>
        <v>1</v>
      </c>
      <c r="C31" s="13" t="str">
        <f>VLOOKUP(EdgesData[[#This Row],[Node A]],NodesData[],3,FALSE)</f>
        <v>nC607594D_D597_4C8E_9605_EED87566C2FD</v>
      </c>
      <c r="D31" s="12" t="s">
        <v>261</v>
      </c>
      <c r="E31" s="11" t="s">
        <v>1834</v>
      </c>
      <c r="G31" s="12" t="s">
        <v>1347</v>
      </c>
      <c r="H31" s="13" t="str">
        <f>VLOOKUP(EdgesData[[#This Row],[Node B]],NodesData[],3,FALSE)</f>
        <v>nF3A221C8_C126_458E_818C_DAE6B57CD442</v>
      </c>
      <c r="I31" s="14" t="str" cm="1">
        <f t="array" ref="I31">"n"&amp;SUBSTITUTE(CreateGuidString(),"-","_")</f>
        <v>n78B2CC49_9265_47B2_BA8F_5F2FCB1A3847</v>
      </c>
    </row>
    <row r="32" spans="1:9" x14ac:dyDescent="0.35">
      <c r="A32" s="13" t="s">
        <v>1956</v>
      </c>
      <c r="B32" s="36">
        <f>COUNTIF(EdgesData[Edge ID],EdgesData[[#This Row],[Edge ID]])</f>
        <v>1</v>
      </c>
      <c r="C32" s="13" t="str">
        <f>VLOOKUP(EdgesData[[#This Row],[Node A]],NodesData[],3,FALSE)</f>
        <v>nC607594D_D597_4C8E_9605_EED87566C2FD</v>
      </c>
      <c r="D32" s="12" t="s">
        <v>261</v>
      </c>
      <c r="E32" s="12" t="s">
        <v>1351</v>
      </c>
      <c r="G32" s="12" t="s">
        <v>1352</v>
      </c>
      <c r="H32" s="13" t="str">
        <f>VLOOKUP(EdgesData[[#This Row],[Node B]],NodesData[],3,FALSE)</f>
        <v>n2E4A35A7_53BB_4F4B_8554_B6584F77D71D</v>
      </c>
      <c r="I32" s="14" t="str" cm="1">
        <f t="array" ref="I32">"n"&amp;SUBSTITUTE(CreateGuidString(),"-","_")</f>
        <v>nBBB0712F_5278_4F2B_BA6F_8939FDDD8641</v>
      </c>
    </row>
    <row r="33" spans="1:9" x14ac:dyDescent="0.35">
      <c r="A33" s="13" t="s">
        <v>1957</v>
      </c>
      <c r="B33" s="36">
        <f>COUNTIF(EdgesData[Edge ID],EdgesData[[#This Row],[Edge ID]])</f>
        <v>1</v>
      </c>
      <c r="C33" s="13" t="str">
        <f>VLOOKUP(EdgesData[[#This Row],[Node A]],NodesData[],3,FALSE)</f>
        <v>n35F5759D_AAFF_439C_A04E_623AA07EE4D9</v>
      </c>
      <c r="D33" s="11" t="s">
        <v>1311</v>
      </c>
      <c r="E33" s="11" t="s">
        <v>1837</v>
      </c>
      <c r="F33" s="11" t="s">
        <v>1836</v>
      </c>
      <c r="G33" s="11" t="s">
        <v>1312</v>
      </c>
      <c r="H33" s="13" t="str">
        <f>VLOOKUP(EdgesData[[#This Row],[Node B]],NodesData[],3,FALSE)</f>
        <v>n2F27DDAD_459D_4B06_9152_168BDF5063F5</v>
      </c>
      <c r="I33" s="14" t="str" cm="1">
        <f t="array" ref="I33">"n"&amp;SUBSTITUTE(CreateGuidString(),"-","_")</f>
        <v>n7E51BB32_3745_4EC9_818E_DC5FEBC92A45</v>
      </c>
    </row>
    <row r="34" spans="1:9" x14ac:dyDescent="0.35">
      <c r="A34" s="13" t="s">
        <v>1958</v>
      </c>
      <c r="B34" s="36">
        <f>COUNTIF(EdgesData[Edge ID],EdgesData[[#This Row],[Edge ID]])</f>
        <v>1</v>
      </c>
      <c r="C34" s="13" t="str">
        <f>VLOOKUP(EdgesData[[#This Row],[Node A]],NodesData[],3,FALSE)</f>
        <v>n35F5759D_AAFF_439C_A04E_623AA07EE4D9</v>
      </c>
      <c r="D34" s="16" t="s">
        <v>1311</v>
      </c>
      <c r="E34" s="11" t="s">
        <v>1343</v>
      </c>
      <c r="G34" s="11" t="s">
        <v>1332</v>
      </c>
      <c r="H34" s="13" t="str">
        <f>VLOOKUP(EdgesData[[#This Row],[Node B]],NodesData[],3,FALSE)</f>
        <v>n53877DB9_77FA_44E9_974A_BE3344133398</v>
      </c>
      <c r="I34" s="14" t="str" cm="1">
        <f t="array" ref="I34">"n"&amp;SUBSTITUTE(CreateGuidString(),"-","_")</f>
        <v>n3B87DF0F_E4D0_40EB_9403_0D230C383BBB</v>
      </c>
    </row>
    <row r="35" spans="1:9" x14ac:dyDescent="0.35">
      <c r="A35" s="13" t="s">
        <v>1959</v>
      </c>
      <c r="B35" s="36">
        <f>COUNTIF(EdgesData[Edge ID],EdgesData[[#This Row],[Edge ID]])</f>
        <v>1</v>
      </c>
      <c r="C35" s="13" t="str">
        <f>VLOOKUP(EdgesData[[#This Row],[Node A]],NodesData[],3,FALSE)</f>
        <v>n35F5759D_AAFF_439C_A04E_623AA07EE4D9</v>
      </c>
      <c r="D35" s="17" t="s">
        <v>1311</v>
      </c>
      <c r="E35" s="11" t="s">
        <v>1343</v>
      </c>
      <c r="G35" s="11" t="s">
        <v>618</v>
      </c>
      <c r="H35" s="13" t="str">
        <f>VLOOKUP(EdgesData[[#This Row],[Node B]],NodesData[],3,FALSE)</f>
        <v>nAC688165_B606_4D82_A016_0263D701EDF2</v>
      </c>
      <c r="I35" s="14" t="str" cm="1">
        <f t="array" ref="I35">"n"&amp;SUBSTITUTE(CreateGuidString(),"-","_")</f>
        <v>nAB5E7DA1_46F0_4985_9F5E_A91A061126E7</v>
      </c>
    </row>
    <row r="36" spans="1:9" x14ac:dyDescent="0.35">
      <c r="A36" s="13" t="s">
        <v>1960</v>
      </c>
      <c r="B36" s="36">
        <f>COUNTIF(EdgesData[Edge ID],EdgesData[[#This Row],[Edge ID]])</f>
        <v>1</v>
      </c>
      <c r="C36" s="13" t="str">
        <f>VLOOKUP(EdgesData[[#This Row],[Node A]],NodesData[],3,FALSE)</f>
        <v>n63EDDBAD_A168_4974_B9D5_9B90FB3F688E</v>
      </c>
      <c r="D36" s="16" t="s">
        <v>2</v>
      </c>
      <c r="E36" s="11" t="s">
        <v>1343</v>
      </c>
      <c r="G36" s="11" t="s">
        <v>0</v>
      </c>
      <c r="H36" s="13" t="str">
        <f>VLOOKUP(EdgesData[[#This Row],[Node B]],NodesData[],3,FALSE)</f>
        <v>n67C132A3_290E_4750_90DE_11E7C1778537</v>
      </c>
      <c r="I36" s="14" t="str" cm="1">
        <f t="array" ref="I36">"n"&amp;SUBSTITUTE(CreateGuidString(),"-","_")</f>
        <v>n6F157B6E_7647_499A_A6A0_CD00B552D2E7</v>
      </c>
    </row>
    <row r="37" spans="1:9" x14ac:dyDescent="0.35">
      <c r="A37" s="13" t="s">
        <v>1961</v>
      </c>
      <c r="B37" s="36">
        <f>COUNTIF(EdgesData[Edge ID],EdgesData[[#This Row],[Edge ID]])</f>
        <v>1</v>
      </c>
      <c r="C37" s="13" t="str">
        <f>VLOOKUP(EdgesData[[#This Row],[Node A]],NodesData[],3,FALSE)</f>
        <v>nC63D5B91_5DF9_4B35_856B_670E59CF1CA0</v>
      </c>
      <c r="D37" s="17" t="s">
        <v>1313</v>
      </c>
      <c r="E37" s="11" t="s">
        <v>1343</v>
      </c>
      <c r="G37" s="11" t="s">
        <v>1332</v>
      </c>
      <c r="H37" s="13" t="str">
        <f>VLOOKUP(EdgesData[[#This Row],[Node B]],NodesData[],3,FALSE)</f>
        <v>n53877DB9_77FA_44E9_974A_BE3344133398</v>
      </c>
      <c r="I37" s="14" t="str" cm="1">
        <f t="array" ref="I37">"n"&amp;SUBSTITUTE(CreateGuidString(),"-","_")</f>
        <v>n175E5F1F_BFA2_44A6_B9AF_4D8E12863C7E</v>
      </c>
    </row>
    <row r="38" spans="1:9" x14ac:dyDescent="0.35">
      <c r="A38" s="13" t="s">
        <v>1962</v>
      </c>
      <c r="B38" s="36">
        <f>COUNTIF(EdgesData[Edge ID],EdgesData[[#This Row],[Edge ID]])</f>
        <v>1</v>
      </c>
      <c r="C38" s="13" t="str">
        <f>VLOOKUP(EdgesData[[#This Row],[Node A]],NodesData[],3,FALSE)</f>
        <v>nC63D5B91_5DF9_4B35_856B_670E59CF1CA0</v>
      </c>
      <c r="D38" s="16" t="s">
        <v>1313</v>
      </c>
      <c r="E38" s="11" t="s">
        <v>1343</v>
      </c>
      <c r="G38" s="11" t="s">
        <v>618</v>
      </c>
      <c r="H38" s="13" t="str">
        <f>VLOOKUP(EdgesData[[#This Row],[Node B]],NodesData[],3,FALSE)</f>
        <v>nAC688165_B606_4D82_A016_0263D701EDF2</v>
      </c>
      <c r="I38" s="14" t="str" cm="1">
        <f t="array" ref="I38">"n"&amp;SUBSTITUTE(CreateGuidString(),"-","_")</f>
        <v>nB6A3554B_2FB9_407D_ACF2_9163A7A16A0B</v>
      </c>
    </row>
    <row r="39" spans="1:9" x14ac:dyDescent="0.35">
      <c r="A39" s="13" t="s">
        <v>1963</v>
      </c>
      <c r="B39" s="36">
        <f>COUNTIF(EdgesData[Edge ID],EdgesData[[#This Row],[Edge ID]])</f>
        <v>1</v>
      </c>
      <c r="C39" s="13" t="str">
        <f>VLOOKUP(EdgesData[[#This Row],[Node A]],NodesData[],3,FALSE)</f>
        <v>nE61E61F3_D210_49D4_9FB5_8E7744490C9D</v>
      </c>
      <c r="D39" s="17" t="s">
        <v>1296</v>
      </c>
      <c r="E39" s="11" t="s">
        <v>1343</v>
      </c>
      <c r="G39" s="11" t="s">
        <v>0</v>
      </c>
      <c r="H39" s="13" t="str">
        <f>VLOOKUP(EdgesData[[#This Row],[Node B]],NodesData[],3,FALSE)</f>
        <v>n67C132A3_290E_4750_90DE_11E7C1778537</v>
      </c>
      <c r="I39" s="14" t="str" cm="1">
        <f t="array" ref="I39">"n"&amp;SUBSTITUTE(CreateGuidString(),"-","_")</f>
        <v>n4040DF39_1C64_440B_A7B7_17F2C42F943B</v>
      </c>
    </row>
    <row r="40" spans="1:9" x14ac:dyDescent="0.35">
      <c r="A40" s="13" t="s">
        <v>1964</v>
      </c>
      <c r="B40" s="36">
        <f>COUNTIF(EdgesData[Edge ID],EdgesData[[#This Row],[Edge ID]])</f>
        <v>1</v>
      </c>
      <c r="C40" s="13" t="str">
        <f>VLOOKUP(EdgesData[[#This Row],[Node A]],NodesData[],3,FALSE)</f>
        <v>nF4329B4E_89AE_4B13_8BA2_B6BEFB931A12</v>
      </c>
      <c r="D40" s="11" t="s">
        <v>1839</v>
      </c>
      <c r="E40" s="11" t="s">
        <v>1343</v>
      </c>
      <c r="G40" s="11" t="s">
        <v>1332</v>
      </c>
      <c r="H40" s="13" t="str">
        <f>VLOOKUP(EdgesData[[#This Row],[Node B]],NodesData[],3,FALSE)</f>
        <v>n53877DB9_77FA_44E9_974A_BE3344133398</v>
      </c>
      <c r="I40" s="14" t="str" cm="1">
        <f t="array" ref="I40">"n"&amp;SUBSTITUTE(CreateGuidString(),"-","_")</f>
        <v>n28D753EC_1E4C_4AAA_80B0_D70F0322B112</v>
      </c>
    </row>
    <row r="41" spans="1:9" x14ac:dyDescent="0.35">
      <c r="A41" s="13" t="s">
        <v>1965</v>
      </c>
      <c r="B41" s="36">
        <f>COUNTIF(EdgesData[Edge ID],EdgesData[[#This Row],[Edge ID]])</f>
        <v>1</v>
      </c>
      <c r="C41" s="13" t="str">
        <f>VLOOKUP(EdgesData[[#This Row],[Node A]],NodesData[],3,FALSE)</f>
        <v>nF4329B4E_89AE_4B13_8BA2_B6BEFB931A12</v>
      </c>
      <c r="D41" s="11" t="s">
        <v>1839</v>
      </c>
      <c r="E41" s="11" t="s">
        <v>1343</v>
      </c>
      <c r="G41" s="11" t="s">
        <v>618</v>
      </c>
      <c r="H41" s="13" t="str">
        <f>VLOOKUP(EdgesData[[#This Row],[Node B]],NodesData[],3,FALSE)</f>
        <v>nAC688165_B606_4D82_A016_0263D701EDF2</v>
      </c>
      <c r="I41" s="14" t="str" cm="1">
        <f t="array" ref="I41">"n"&amp;SUBSTITUTE(CreateGuidString(),"-","_")</f>
        <v>n6CEECF72_1D6B_4D29_8556_E56E31501B46</v>
      </c>
    </row>
    <row r="42" spans="1:9" x14ac:dyDescent="0.35">
      <c r="A42" s="13" t="s">
        <v>1966</v>
      </c>
      <c r="B42" s="36">
        <f>COUNTIF(EdgesData[Edge ID],EdgesData[[#This Row],[Edge ID]])</f>
        <v>1</v>
      </c>
      <c r="C42" s="13" t="str">
        <f>VLOOKUP(EdgesData[[#This Row],[Node A]],NodesData[],3,FALSE)</f>
        <v>nD67337C3_82D6_4A00_9312_77ECF955E4EE</v>
      </c>
      <c r="D42" s="16" t="s">
        <v>1314</v>
      </c>
      <c r="E42" s="11" t="s">
        <v>1343</v>
      </c>
      <c r="G42" s="11" t="s">
        <v>1332</v>
      </c>
      <c r="H42" s="13" t="str">
        <f>VLOOKUP(EdgesData[[#This Row],[Node B]],NodesData[],3,FALSE)</f>
        <v>n53877DB9_77FA_44E9_974A_BE3344133398</v>
      </c>
      <c r="I42" s="14" t="str" cm="1">
        <f t="array" ref="I42">"n"&amp;SUBSTITUTE(CreateGuidString(),"-","_")</f>
        <v>n54899778_C20F_4F33_A09B_F81C201C628F</v>
      </c>
    </row>
    <row r="43" spans="1:9" x14ac:dyDescent="0.35">
      <c r="A43" s="13" t="s">
        <v>1967</v>
      </c>
      <c r="B43" s="36">
        <f>COUNTIF(EdgesData[Edge ID],EdgesData[[#This Row],[Edge ID]])</f>
        <v>1</v>
      </c>
      <c r="C43" s="13" t="str">
        <f>VLOOKUP(EdgesData[[#This Row],[Node A]],NodesData[],3,FALSE)</f>
        <v>nD67337C3_82D6_4A00_9312_77ECF955E4EE</v>
      </c>
      <c r="D43" s="17" t="s">
        <v>1314</v>
      </c>
      <c r="E43" s="11" t="s">
        <v>1343</v>
      </c>
      <c r="G43" s="11" t="s">
        <v>618</v>
      </c>
      <c r="H43" s="13" t="str">
        <f>VLOOKUP(EdgesData[[#This Row],[Node B]],NodesData[],3,FALSE)</f>
        <v>nAC688165_B606_4D82_A016_0263D701EDF2</v>
      </c>
      <c r="I43" s="14" t="str" cm="1">
        <f t="array" ref="I43">"n"&amp;SUBSTITUTE(CreateGuidString(),"-","_")</f>
        <v>n62723B24_2B41_4AC8_9726_B1834C4802C8</v>
      </c>
    </row>
    <row r="44" spans="1:9" x14ac:dyDescent="0.35">
      <c r="A44" s="13" t="s">
        <v>1968</v>
      </c>
      <c r="B44" s="36">
        <f>COUNTIF(EdgesData[Edge ID],EdgesData[[#This Row],[Edge ID]])</f>
        <v>1</v>
      </c>
      <c r="C44" s="13" t="str">
        <f>VLOOKUP(EdgesData[[#This Row],[Node A]],NodesData[],3,FALSE)</f>
        <v>n8B4BB7FC_2E2A_4C1A_8657_58EEC2DF8A9A</v>
      </c>
      <c r="D44" s="16" t="s">
        <v>1295</v>
      </c>
      <c r="E44" s="11" t="s">
        <v>1343</v>
      </c>
      <c r="G44" s="11" t="s">
        <v>0</v>
      </c>
      <c r="H44" s="13" t="str">
        <f>VLOOKUP(EdgesData[[#This Row],[Node B]],NodesData[],3,FALSE)</f>
        <v>n67C132A3_290E_4750_90DE_11E7C1778537</v>
      </c>
      <c r="I44" s="14" t="str" cm="1">
        <f t="array" ref="I44">"n"&amp;SUBSTITUTE(CreateGuidString(),"-","_")</f>
        <v>n1AB0EFE7_AC98_4BF9_97CF_16E2E70109EB</v>
      </c>
    </row>
    <row r="45" spans="1:9" x14ac:dyDescent="0.35">
      <c r="A45" s="13" t="s">
        <v>1969</v>
      </c>
      <c r="B45" s="36">
        <f>COUNTIF(EdgesData[Edge ID],EdgesData[[#This Row],[Edge ID]])</f>
        <v>1</v>
      </c>
      <c r="C45" s="13" t="str">
        <f>VLOOKUP(EdgesData[[#This Row],[Node A]],NodesData[],3,FALSE)</f>
        <v>nF44C30A8_A797_4F0C_9C18_D87E7D5A8B88</v>
      </c>
      <c r="D45" s="17" t="s">
        <v>1297</v>
      </c>
      <c r="E45" s="11" t="s">
        <v>1343</v>
      </c>
      <c r="G45" s="11" t="s">
        <v>0</v>
      </c>
      <c r="H45" s="13" t="str">
        <f>VLOOKUP(EdgesData[[#This Row],[Node B]],NodesData[],3,FALSE)</f>
        <v>n67C132A3_290E_4750_90DE_11E7C1778537</v>
      </c>
      <c r="I45" s="14" t="str" cm="1">
        <f t="array" ref="I45">"n"&amp;SUBSTITUTE(CreateGuidString(),"-","_")</f>
        <v>nB86A0CA0_6674_499B_9B32_039CB5AA7558</v>
      </c>
    </row>
    <row r="46" spans="1:9" x14ac:dyDescent="0.35">
      <c r="A46" s="13" t="s">
        <v>1970</v>
      </c>
      <c r="B46" s="36">
        <f>COUNTIF(EdgesData[Edge ID],EdgesData[[#This Row],[Edge ID]])</f>
        <v>1</v>
      </c>
      <c r="C46" s="13" t="str">
        <f>VLOOKUP(EdgesData[[#This Row],[Node A]],NodesData[],3,FALSE)</f>
        <v>n2F27DDAD_459D_4B06_9152_168BDF5063F5</v>
      </c>
      <c r="D46" s="16" t="s">
        <v>1312</v>
      </c>
      <c r="E46" s="11" t="s">
        <v>1343</v>
      </c>
      <c r="G46" s="11" t="s">
        <v>1332</v>
      </c>
      <c r="H46" s="13" t="str">
        <f>VLOOKUP(EdgesData[[#This Row],[Node B]],NodesData[],3,FALSE)</f>
        <v>n53877DB9_77FA_44E9_974A_BE3344133398</v>
      </c>
      <c r="I46" s="14" t="str" cm="1">
        <f t="array" ref="I46">"n"&amp;SUBSTITUTE(CreateGuidString(),"-","_")</f>
        <v>nECEDC247_2964_4069_9DFB_2876684B6203</v>
      </c>
    </row>
    <row r="47" spans="1:9" x14ac:dyDescent="0.35">
      <c r="A47" s="13" t="s">
        <v>1971</v>
      </c>
      <c r="B47" s="36">
        <f>COUNTIF(EdgesData[Edge ID],EdgesData[[#This Row],[Edge ID]])</f>
        <v>1</v>
      </c>
      <c r="C47" s="13" t="str">
        <f>VLOOKUP(EdgesData[[#This Row],[Node A]],NodesData[],3,FALSE)</f>
        <v>n2F27DDAD_459D_4B06_9152_168BDF5063F5</v>
      </c>
      <c r="D47" s="17" t="s">
        <v>1312</v>
      </c>
      <c r="E47" s="11" t="s">
        <v>1343</v>
      </c>
      <c r="G47" s="11" t="s">
        <v>618</v>
      </c>
      <c r="H47" s="13" t="str">
        <f>VLOOKUP(EdgesData[[#This Row],[Node B]],NodesData[],3,FALSE)</f>
        <v>nAC688165_B606_4D82_A016_0263D701EDF2</v>
      </c>
      <c r="I47" s="14" t="str" cm="1">
        <f t="array" ref="I47">"n"&amp;SUBSTITUTE(CreateGuidString(),"-","_")</f>
        <v>nAC313075_7CC8_45E4_BE79_2DFC6D4F6D17</v>
      </c>
    </row>
    <row r="48" spans="1:9" x14ac:dyDescent="0.35">
      <c r="A48" s="13" t="s">
        <v>1972</v>
      </c>
      <c r="B48" s="36">
        <f>COUNTIF(EdgesData[Edge ID],EdgesData[[#This Row],[Edge ID]])</f>
        <v>1</v>
      </c>
      <c r="C48" s="13" t="str">
        <f>VLOOKUP(EdgesData[[#This Row],[Node A]],NodesData[],3,FALSE)</f>
        <v>nC196E133_4263_4398_B44A_B3053AC5D0E8</v>
      </c>
      <c r="D48" s="16" t="s">
        <v>1315</v>
      </c>
      <c r="E48" s="11" t="s">
        <v>1343</v>
      </c>
      <c r="G48" s="11" t="s">
        <v>1332</v>
      </c>
      <c r="H48" s="13" t="str">
        <f>VLOOKUP(EdgesData[[#This Row],[Node B]],NodesData[],3,FALSE)</f>
        <v>n53877DB9_77FA_44E9_974A_BE3344133398</v>
      </c>
      <c r="I48" s="14" t="str" cm="1">
        <f t="array" ref="I48">"n"&amp;SUBSTITUTE(CreateGuidString(),"-","_")</f>
        <v>n0252DD44_813B_4868_8CD5_07116529ACB5</v>
      </c>
    </row>
    <row r="49" spans="1:9" x14ac:dyDescent="0.35">
      <c r="A49" s="13" t="s">
        <v>1973</v>
      </c>
      <c r="B49" s="36">
        <f>COUNTIF(EdgesData[Edge ID],EdgesData[[#This Row],[Edge ID]])</f>
        <v>1</v>
      </c>
      <c r="C49" s="13" t="str">
        <f>VLOOKUP(EdgesData[[#This Row],[Node A]],NodesData[],3,FALSE)</f>
        <v>nC196E133_4263_4398_B44A_B3053AC5D0E8</v>
      </c>
      <c r="D49" s="17" t="s">
        <v>1315</v>
      </c>
      <c r="E49" s="11" t="s">
        <v>1343</v>
      </c>
      <c r="G49" s="11" t="s">
        <v>618</v>
      </c>
      <c r="H49" s="13" t="str">
        <f>VLOOKUP(EdgesData[[#This Row],[Node B]],NodesData[],3,FALSE)</f>
        <v>nAC688165_B606_4D82_A016_0263D701EDF2</v>
      </c>
      <c r="I49" s="14" t="str" cm="1">
        <f t="array" ref="I49">"n"&amp;SUBSTITUTE(CreateGuidString(),"-","_")</f>
        <v>nFC941205_0AAC_4E67_BD81_71D7A9828215</v>
      </c>
    </row>
    <row r="50" spans="1:9" x14ac:dyDescent="0.35">
      <c r="A50" s="13" t="s">
        <v>1974</v>
      </c>
      <c r="B50" s="36">
        <f>COUNTIF(EdgesData[Edge ID],EdgesData[[#This Row],[Edge ID]])</f>
        <v>1</v>
      </c>
      <c r="C50" s="13" t="str">
        <f>VLOOKUP(EdgesData[[#This Row],[Node A]],NodesData[],3,FALSE)</f>
        <v>nE9C9661B_8C28_413E_A8E3_A720E03C04B7</v>
      </c>
      <c r="D50" s="12" t="s">
        <v>4</v>
      </c>
      <c r="E50" s="12" t="s">
        <v>1343</v>
      </c>
      <c r="G50" s="18" t="s">
        <v>1867</v>
      </c>
      <c r="H50" s="28" t="str">
        <f>VLOOKUP(EdgesData[[#This Row],[Node B]],NodesData[],3,FALSE)</f>
        <v>n23656C0A_A156_405F_9FF8_7AE62FD6FB07</v>
      </c>
      <c r="I50" s="29" t="str" cm="1">
        <f t="array" ref="I50">"n"&amp;SUBSTITUTE(CreateGuidString(),"-","_")</f>
        <v>nC9C2DA2C_B57E_4385_87CA_C6273FC98754</v>
      </c>
    </row>
    <row r="51" spans="1:9" x14ac:dyDescent="0.35">
      <c r="A51" s="13" t="s">
        <v>1975</v>
      </c>
      <c r="B51" s="36">
        <f>COUNTIF(EdgesData[Edge ID],EdgesData[[#This Row],[Edge ID]])</f>
        <v>1</v>
      </c>
      <c r="C51" s="13" t="str">
        <f>VLOOKUP(EdgesData[[#This Row],[Node A]],NodesData[],3,FALSE)</f>
        <v>n23656C0A_A156_405F_9FF8_7AE62FD6FB07</v>
      </c>
      <c r="D51" s="12" t="s">
        <v>1867</v>
      </c>
      <c r="E51" s="12" t="s">
        <v>1343</v>
      </c>
      <c r="G51" s="18" t="s">
        <v>1868</v>
      </c>
      <c r="H51" s="28" t="str">
        <f>VLOOKUP(EdgesData[[#This Row],[Node B]],NodesData[],3,FALSE)</f>
        <v>nBC613B66_5F94_4F48_91BD_5F6BBA766E79</v>
      </c>
      <c r="I51" s="29" t="str" cm="1">
        <f t="array" ref="I51">"n"&amp;SUBSTITUTE(CreateGuidString(),"-","_")</f>
        <v>nE279BA5A_8088_47AE_952F_7C3E7B93205B</v>
      </c>
    </row>
    <row r="52" spans="1:9" x14ac:dyDescent="0.35">
      <c r="A52" s="13" t="s">
        <v>1976</v>
      </c>
      <c r="B52" s="36">
        <f>COUNTIF(EdgesData[Edge ID],EdgesData[[#This Row],[Edge ID]])</f>
        <v>1</v>
      </c>
      <c r="C52" s="13" t="str">
        <f>VLOOKUP(EdgesData[[#This Row],[Node A]],NodesData[],3,FALSE)</f>
        <v>nE9C9661B_8C28_413E_A8E3_A720E03C04B7</v>
      </c>
      <c r="D52" s="12" t="s">
        <v>4</v>
      </c>
      <c r="E52" s="12" t="s">
        <v>1869</v>
      </c>
      <c r="G52" s="18" t="s">
        <v>1893</v>
      </c>
      <c r="H52" s="28" t="str">
        <f>VLOOKUP(EdgesData[[#This Row],[Node B]],NodesData[],3,FALSE)</f>
        <v>n02B81E29_1266_4611_897E_FD90C5DD5788</v>
      </c>
      <c r="I52" s="29" t="str" cm="1">
        <f t="array" ref="I52">"n"&amp;SUBSTITUTE(CreateGuidString(),"-","_")</f>
        <v>n309DEF2F_68F3_4451_9D7B_5F98B5B49731</v>
      </c>
    </row>
    <row r="53" spans="1:9" x14ac:dyDescent="0.35">
      <c r="A53" s="13" t="s">
        <v>1977</v>
      </c>
      <c r="B53" s="36">
        <f>COUNTIF(EdgesData[Edge ID],EdgesData[[#This Row],[Edge ID]])</f>
        <v>1</v>
      </c>
      <c r="C53" s="13" t="str">
        <f>VLOOKUP(EdgesData[[#This Row],[Node A]],NodesData[],3,FALSE)</f>
        <v>nE9C9661B_8C28_413E_A8E3_A720E03C04B7</v>
      </c>
      <c r="D53" s="12" t="s">
        <v>4</v>
      </c>
      <c r="E53" s="12" t="s">
        <v>1870</v>
      </c>
      <c r="G53" s="18" t="s">
        <v>1894</v>
      </c>
      <c r="H53" s="28" t="str">
        <f>VLOOKUP(EdgesData[[#This Row],[Node B]],NodesData[],3,FALSE)</f>
        <v>n89FBB4A6_DF18_465F_9DA3_BD367759F09E</v>
      </c>
      <c r="I53" s="29" t="str" cm="1">
        <f t="array" ref="I53">"n"&amp;SUBSTITUTE(CreateGuidString(),"-","_")</f>
        <v>nF12A645A_B14B_4134_86CA_24D2A5B6B402</v>
      </c>
    </row>
    <row r="54" spans="1:9" x14ac:dyDescent="0.35">
      <c r="A54" s="13" t="s">
        <v>1978</v>
      </c>
      <c r="B54" s="36">
        <f>COUNTIF(EdgesData[Edge ID],EdgesData[[#This Row],[Edge ID]])</f>
        <v>1</v>
      </c>
      <c r="C54" s="13" t="str">
        <f>VLOOKUP(EdgesData[[#This Row],[Node A]],NodesData[],3,FALSE)</f>
        <v>n02B81E29_1266_4611_897E_FD90C5DD5788</v>
      </c>
      <c r="D54" s="18" t="s">
        <v>1893</v>
      </c>
      <c r="E54" s="11" t="s">
        <v>1908</v>
      </c>
      <c r="G54" s="18" t="s">
        <v>1895</v>
      </c>
      <c r="H54" s="28" t="str">
        <f>VLOOKUP(EdgesData[[#This Row],[Node B]],NodesData[],3,FALSE)</f>
        <v>n65057A73_5E5D_4997_843D_70FCDDBF4863</v>
      </c>
      <c r="I54" s="29" t="str" cm="1">
        <f t="array" ref="I54">"n"&amp;SUBSTITUTE(CreateGuidString(),"-","_")</f>
        <v>n3A404A58_C71E_4C04_BE99_6D2819285C9E</v>
      </c>
    </row>
    <row r="55" spans="1:9" x14ac:dyDescent="0.35">
      <c r="A55" s="13" t="s">
        <v>1979</v>
      </c>
      <c r="B55" s="36">
        <f>COUNTIF(EdgesData[Edge ID],EdgesData[[#This Row],[Edge ID]])</f>
        <v>1</v>
      </c>
      <c r="C55" s="13" t="str">
        <f>VLOOKUP(EdgesData[[#This Row],[Node A]],NodesData[],3,FALSE)</f>
        <v>n89FBB4A6_DF18_465F_9DA3_BD367759F09E</v>
      </c>
      <c r="D55" s="18" t="s">
        <v>1894</v>
      </c>
      <c r="E55" s="12" t="s">
        <v>1871</v>
      </c>
      <c r="G55" s="18" t="s">
        <v>1895</v>
      </c>
      <c r="H55" s="28" t="str">
        <f>VLOOKUP(EdgesData[[#This Row],[Node B]],NodesData[],3,FALSE)</f>
        <v>n65057A73_5E5D_4997_843D_70FCDDBF4863</v>
      </c>
      <c r="I55" s="29" t="str" cm="1">
        <f t="array" ref="I55">"n"&amp;SUBSTITUTE(CreateGuidString(),"-","_")</f>
        <v>n475FBA8D_06C8_4142_9D5F_38B52E72D087</v>
      </c>
    </row>
    <row r="56" spans="1:9" x14ac:dyDescent="0.35">
      <c r="A56" s="13" t="s">
        <v>1980</v>
      </c>
      <c r="B56" s="36">
        <f>COUNTIF(EdgesData[Edge ID],EdgesData[[#This Row],[Edge ID]])</f>
        <v>1</v>
      </c>
      <c r="C56" s="13" t="str">
        <f>VLOOKUP(EdgesData[[#This Row],[Node A]],NodesData[],3,FALSE)</f>
        <v>n02B81E29_1266_4611_897E_FD90C5DD5788</v>
      </c>
      <c r="D56" s="18" t="s">
        <v>1893</v>
      </c>
      <c r="E56" s="12" t="s">
        <v>1872</v>
      </c>
      <c r="F56" s="12" t="s">
        <v>1836</v>
      </c>
      <c r="G56" s="18" t="s">
        <v>1894</v>
      </c>
      <c r="H56" s="28" t="str">
        <f>VLOOKUP(EdgesData[[#This Row],[Node B]],NodesData[],3,FALSE)</f>
        <v>n89FBB4A6_DF18_465F_9DA3_BD367759F09E</v>
      </c>
      <c r="I56" s="29" t="str" cm="1">
        <f t="array" ref="I56">"n"&amp;SUBSTITUTE(CreateGuidString(),"-","_")</f>
        <v>nDD02D05C_5FAB_4DA2_BF1A_46A4E69B7D24</v>
      </c>
    </row>
    <row r="57" spans="1:9" x14ac:dyDescent="0.35">
      <c r="A57" s="13" t="s">
        <v>1981</v>
      </c>
      <c r="B57" s="36">
        <f>COUNTIF(EdgesData[Edge ID],EdgesData[[#This Row],[Edge ID]])</f>
        <v>1</v>
      </c>
      <c r="C57" s="13" t="str">
        <f>VLOOKUP(EdgesData[[#This Row],[Node A]],NodesData[],3,FALSE)</f>
        <v>n4FA68550_C829_46CD_ADC2_9BE67FA41543</v>
      </c>
      <c r="D57" s="18" t="s">
        <v>1899</v>
      </c>
      <c r="E57" s="12" t="s">
        <v>1900</v>
      </c>
      <c r="G57" s="18" t="s">
        <v>1873</v>
      </c>
      <c r="H57" s="28" t="str">
        <f>VLOOKUP(EdgesData[[#This Row],[Node B]],NodesData[],3,FALSE)</f>
        <v>n52564682_5FAD_48CB_A320_6CFE17950D03</v>
      </c>
      <c r="I57" s="29" t="str" cm="1">
        <f t="array" ref="I57">"n"&amp;SUBSTITUTE(CreateGuidString(),"-","_")</f>
        <v>n847AC7DE_9FFF_46A4_BF64_F839F60FD236</v>
      </c>
    </row>
    <row r="58" spans="1:9" x14ac:dyDescent="0.35">
      <c r="A58" s="13" t="s">
        <v>1982</v>
      </c>
      <c r="B58" s="36">
        <f>COUNTIF(EdgesData[Edge ID],EdgesData[[#This Row],[Edge ID]])</f>
        <v>1</v>
      </c>
      <c r="C58" s="13" t="str">
        <f>VLOOKUP(EdgesData[[#This Row],[Node A]],NodesData[],3,FALSE)</f>
        <v>n4FA68550_C829_46CD_ADC2_9BE67FA41543</v>
      </c>
      <c r="D58" s="18" t="s">
        <v>1899</v>
      </c>
      <c r="E58" s="12" t="s">
        <v>1900</v>
      </c>
      <c r="G58" s="18" t="s">
        <v>1874</v>
      </c>
      <c r="H58" s="28" t="str">
        <f>VLOOKUP(EdgesData[[#This Row],[Node B]],NodesData[],3,FALSE)</f>
        <v>nA59D49F8_3819_4341_A310_19C77AB08AAB</v>
      </c>
      <c r="I58" s="29" t="str" cm="1">
        <f t="array" ref="I58">"n"&amp;SUBSTITUTE(CreateGuidString(),"-","_")</f>
        <v>n72229EFB_18D5_4D0B_9F2C_E523309FC252</v>
      </c>
    </row>
    <row r="59" spans="1:9" x14ac:dyDescent="0.35">
      <c r="A59" s="13" t="s">
        <v>1983</v>
      </c>
      <c r="B59" s="36">
        <f>COUNTIF(EdgesData[Edge ID],EdgesData[[#This Row],[Edge ID]])</f>
        <v>1</v>
      </c>
      <c r="C59" s="13" t="str">
        <f>VLOOKUP(EdgesData[[#This Row],[Node A]],NodesData[],3,FALSE)</f>
        <v>n4FA68550_C829_46CD_ADC2_9BE67FA41543</v>
      </c>
      <c r="D59" s="18" t="s">
        <v>1899</v>
      </c>
      <c r="E59" s="12" t="s">
        <v>1900</v>
      </c>
      <c r="G59" s="18" t="s">
        <v>1875</v>
      </c>
      <c r="H59" s="28" t="str">
        <f>VLOOKUP(EdgesData[[#This Row],[Node B]],NodesData[],3,FALSE)</f>
        <v>nC0AF8721_A868_4A4D_9F85_3A6D9B88B489</v>
      </c>
      <c r="I59" s="29" t="str" cm="1">
        <f t="array" ref="I59">"n"&amp;SUBSTITUTE(CreateGuidString(),"-","_")</f>
        <v>nF924659B_DCCF_4FF8_8B0F_BA7A2C0D548F</v>
      </c>
    </row>
    <row r="60" spans="1:9" x14ac:dyDescent="0.35">
      <c r="A60" s="13" t="s">
        <v>1984</v>
      </c>
      <c r="B60" s="36">
        <f>COUNTIF(EdgesData[Edge ID],EdgesData[[#This Row],[Edge ID]])</f>
        <v>1</v>
      </c>
      <c r="C60" s="13" t="str">
        <f>VLOOKUP(EdgesData[[#This Row],[Node A]],NodesData[],3,FALSE)</f>
        <v>n02B81E29_1266_4611_897E_FD90C5DD5788</v>
      </c>
      <c r="D60" s="18" t="s">
        <v>1893</v>
      </c>
      <c r="E60" s="12" t="s">
        <v>1876</v>
      </c>
      <c r="G60" s="18" t="s">
        <v>1896</v>
      </c>
      <c r="H60" s="28" t="str">
        <f>VLOOKUP(EdgesData[[#This Row],[Node B]],NodesData[],3,FALSE)</f>
        <v>n4E7B27FA_8562_4EC8_869A_378A5937334A</v>
      </c>
      <c r="I60" s="29" t="str" cm="1">
        <f t="array" ref="I60">"n"&amp;SUBSTITUTE(CreateGuidString(),"-","_")</f>
        <v>n1934881B_BF7D_4B8B_8C72_06937E2173EE</v>
      </c>
    </row>
    <row r="61" spans="1:9" x14ac:dyDescent="0.35">
      <c r="A61" s="13" t="s">
        <v>1985</v>
      </c>
      <c r="B61" s="36">
        <f>COUNTIF(EdgesData[Edge ID],EdgesData[[#This Row],[Edge ID]])</f>
        <v>1</v>
      </c>
      <c r="C61" s="13" t="str">
        <f>VLOOKUP(EdgesData[[#This Row],[Node A]],NodesData[],3,FALSE)</f>
        <v>n89FBB4A6_DF18_465F_9DA3_BD367759F09E</v>
      </c>
      <c r="D61" s="18" t="s">
        <v>1894</v>
      </c>
      <c r="E61" s="12" t="s">
        <v>1897</v>
      </c>
      <c r="G61" s="18" t="s">
        <v>1896</v>
      </c>
      <c r="H61" s="28" t="str">
        <f>VLOOKUP(EdgesData[[#This Row],[Node B]],NodesData[],3,FALSE)</f>
        <v>n4E7B27FA_8562_4EC8_869A_378A5937334A</v>
      </c>
      <c r="I61" s="29" t="str" cm="1">
        <f t="array" ref="I61">"n"&amp;SUBSTITUTE(CreateGuidString(),"-","_")</f>
        <v>n3992557B_9FCD_4075_9949_2A26879D97D6</v>
      </c>
    </row>
    <row r="62" spans="1:9" x14ac:dyDescent="0.35">
      <c r="A62" s="13" t="s">
        <v>1986</v>
      </c>
      <c r="B62" s="36">
        <f>COUNTIF(EdgesData[Edge ID],EdgesData[[#This Row],[Edge ID]])</f>
        <v>1</v>
      </c>
      <c r="C62" s="13" t="str">
        <f>VLOOKUP(EdgesData[[#This Row],[Node A]],NodesData[],3,FALSE)</f>
        <v>nE9C9661B_8C28_413E_A8E3_A720E03C04B7</v>
      </c>
      <c r="D62" s="12" t="s">
        <v>4</v>
      </c>
      <c r="E62" s="12" t="s">
        <v>1343</v>
      </c>
      <c r="G62" s="18" t="s">
        <v>1877</v>
      </c>
      <c r="H62" s="28" t="str">
        <f>VLOOKUP(EdgesData[[#This Row],[Node B]],NodesData[],3,FALSE)</f>
        <v>nE0352234_7814_467F_8B8B_EF900BACC357</v>
      </c>
      <c r="I62" s="29" t="str" cm="1">
        <f t="array" ref="I62">"n"&amp;SUBSTITUTE(CreateGuidString(),"-","_")</f>
        <v>n3F6CAA37_8AB7_45DD_A8D2_192326F5283E</v>
      </c>
    </row>
    <row r="63" spans="1:9" x14ac:dyDescent="0.35">
      <c r="A63" s="13" t="s">
        <v>1987</v>
      </c>
      <c r="B63" s="36">
        <f>COUNTIF(EdgesData[Edge ID],EdgesData[[#This Row],[Edge ID]])</f>
        <v>1</v>
      </c>
      <c r="C63" s="13" t="str">
        <f>VLOOKUP(EdgesData[[#This Row],[Node A]],NodesData[],3,FALSE)</f>
        <v>n4E7B27FA_8562_4EC8_869A_378A5937334A</v>
      </c>
      <c r="D63" s="18" t="s">
        <v>1896</v>
      </c>
      <c r="E63" s="12" t="s">
        <v>1898</v>
      </c>
      <c r="G63" s="18" t="s">
        <v>1895</v>
      </c>
      <c r="H63" s="28" t="str">
        <f>VLOOKUP(EdgesData[[#This Row],[Node B]],NodesData[],3,FALSE)</f>
        <v>n65057A73_5E5D_4997_843D_70FCDDBF4863</v>
      </c>
      <c r="I63" s="29" t="str" cm="1">
        <f t="array" ref="I63">"n"&amp;SUBSTITUTE(CreateGuidString(),"-","_")</f>
        <v>nA402975A_8808_4D31_8FA0_10F63B1D39A6</v>
      </c>
    </row>
    <row r="64" spans="1:9" x14ac:dyDescent="0.35">
      <c r="A64" s="13" t="s">
        <v>1904</v>
      </c>
      <c r="B64" s="36">
        <f>COUNTIF(EdgesData[Edge ID],EdgesData[[#This Row],[Edge ID]])</f>
        <v>1</v>
      </c>
      <c r="C64" s="13" t="str">
        <f>VLOOKUP(EdgesData[[#This Row],[Node A]],NodesData[],3,FALSE)</f>
        <v>n02B81E29_1266_4611_897E_FD90C5DD5788</v>
      </c>
      <c r="D64" s="18" t="s">
        <v>1893</v>
      </c>
      <c r="E64" s="12" t="s">
        <v>1897</v>
      </c>
      <c r="G64" s="18" t="s">
        <v>1899</v>
      </c>
      <c r="H64" s="28" t="str">
        <f>VLOOKUP(EdgesData[[#This Row],[Node B]],NodesData[],3,FALSE)</f>
        <v>n4FA68550_C829_46CD_ADC2_9BE67FA41543</v>
      </c>
      <c r="I64" s="29" t="str" cm="1">
        <f t="array" ref="I64">"n"&amp;SUBSTITUTE(CreateGuidString(),"-","_")</f>
        <v>nDD0889D2_E1DB_42B1_9282_957DE62C7C96</v>
      </c>
    </row>
    <row r="65" spans="1:9" x14ac:dyDescent="0.35">
      <c r="A65" s="13" t="s">
        <v>1905</v>
      </c>
      <c r="B65" s="36">
        <f>COUNTIF(EdgesData[Edge ID],EdgesData[[#This Row],[Edge ID]])</f>
        <v>1</v>
      </c>
      <c r="C65" s="13" t="str">
        <f>VLOOKUP(EdgesData[[#This Row],[Node A]],NodesData[],3,FALSE)</f>
        <v>nA59D49F8_3819_4341_A310_19C77AB08AAB</v>
      </c>
      <c r="D65" s="18" t="s">
        <v>1874</v>
      </c>
      <c r="E65" s="12" t="s">
        <v>1354</v>
      </c>
      <c r="G65" s="18" t="s">
        <v>1894</v>
      </c>
      <c r="H65" s="28" t="str">
        <f>VLOOKUP(EdgesData[[#This Row],[Node B]],NodesData[],3,FALSE)</f>
        <v>n89FBB4A6_DF18_465F_9DA3_BD367759F09E</v>
      </c>
      <c r="I65" s="29" t="str" cm="1">
        <f t="array" ref="I65">"n"&amp;SUBSTITUTE(CreateGuidString(),"-","_")</f>
        <v>n04768C39_9383_44AF_9BFB_FBB38265EC96</v>
      </c>
    </row>
    <row r="66" spans="1:9" x14ac:dyDescent="0.35">
      <c r="A66" s="13" t="s">
        <v>1907</v>
      </c>
      <c r="B66" s="36">
        <f>COUNTIF(EdgesData[Edge ID],EdgesData[[#This Row],[Edge ID]])</f>
        <v>1</v>
      </c>
      <c r="C66" s="28" t="str">
        <f>VLOOKUP(EdgesData[[#This Row],[Node A]],NodesData[],3,FALSE)</f>
        <v>nE9C9661B_8C28_413E_A8E3_A720E03C04B7</v>
      </c>
      <c r="D66" s="12" t="s">
        <v>4</v>
      </c>
      <c r="E66" s="11" t="s">
        <v>1906</v>
      </c>
      <c r="G66" s="18" t="s">
        <v>1895</v>
      </c>
      <c r="H66" s="28" t="str">
        <f>VLOOKUP(EdgesData[[#This Row],[Node B]],NodesData[],3,FALSE)</f>
        <v>n65057A73_5E5D_4997_843D_70FCDDBF4863</v>
      </c>
      <c r="I66" s="29" t="str" cm="1">
        <f t="array" ref="I66">"n"&amp;SUBSTITUTE(CreateGuidString(),"-","_")</f>
        <v>nBBBC1706_7212_4D16_A504_AA5E700CDA27</v>
      </c>
    </row>
    <row r="67" spans="1:9" x14ac:dyDescent="0.35">
      <c r="A67" s="13" t="s">
        <v>1910</v>
      </c>
      <c r="B67" s="36">
        <f>COUNTIF(EdgesData[Edge ID],EdgesData[[#This Row],[Edge ID]])</f>
        <v>1</v>
      </c>
      <c r="C67" s="28" t="str">
        <f>VLOOKUP(EdgesData[[#This Row],[Node A]],NodesData[],3,FALSE)</f>
        <v>n89FBB4A6_DF18_465F_9DA3_BD367759F09E</v>
      </c>
      <c r="D67" s="18" t="s">
        <v>1894</v>
      </c>
      <c r="E67" s="11" t="s">
        <v>1909</v>
      </c>
      <c r="G67" s="18" t="s">
        <v>1895</v>
      </c>
      <c r="H67" s="28" t="str">
        <f>VLOOKUP(EdgesData[[#This Row],[Node B]],NodesData[],3,FALSE)</f>
        <v>n65057A73_5E5D_4997_843D_70FCDDBF4863</v>
      </c>
      <c r="I67" s="29" t="str" cm="1">
        <f t="array" ref="I67">"n"&amp;SUBSTITUTE(CreateGuidString(),"-","_")</f>
        <v>n5F52370F_3A19_41C3_9AA7_140DBA580054</v>
      </c>
    </row>
    <row r="68" spans="1:9" x14ac:dyDescent="0.35">
      <c r="A68" s="13" t="s">
        <v>1922</v>
      </c>
      <c r="B68" s="36">
        <f>COUNTIF(EdgesData[Edge ID],EdgesData[[#This Row],[Edge ID]])</f>
        <v>1</v>
      </c>
      <c r="C68" s="28" t="str">
        <f>VLOOKUP(EdgesData[[#This Row],[Node A]],NodesData[],3,FALSE)</f>
        <v>nE9C9661B_8C28_413E_A8E3_A720E03C04B7</v>
      </c>
      <c r="D68" s="12" t="s">
        <v>4</v>
      </c>
      <c r="E68" s="11" t="s">
        <v>1919</v>
      </c>
      <c r="G68" s="15" t="s">
        <v>1920</v>
      </c>
      <c r="H68" s="28" t="str">
        <f>VLOOKUP(EdgesData[[#This Row],[Node B]],NodesData[],3,FALSE)</f>
        <v>nB622D019_1525_4A1F_838B_BA98AC1BD971</v>
      </c>
      <c r="I68" s="29" t="str" cm="1">
        <f t="array" ref="I68">"n"&amp;SUBSTITUTE(CreateGuidString(),"-","_")</f>
        <v>n44BAF9D1_9530_4477_9063_11278F4C934A</v>
      </c>
    </row>
    <row r="69" spans="1:9" x14ac:dyDescent="0.35">
      <c r="A69" s="13" t="s">
        <v>1923</v>
      </c>
      <c r="B69" s="36">
        <f>COUNTIF(EdgesData[Edge ID],EdgesData[[#This Row],[Edge ID]])</f>
        <v>1</v>
      </c>
      <c r="C69" s="28" t="str">
        <f>VLOOKUP(EdgesData[[#This Row],[Node A]],NodesData[],3,FALSE)</f>
        <v>nB622D019_1525_4A1F_838B_BA98AC1BD971</v>
      </c>
      <c r="D69" s="15" t="s">
        <v>1920</v>
      </c>
      <c r="E69" s="11" t="s">
        <v>1897</v>
      </c>
      <c r="G69" s="15" t="s">
        <v>1921</v>
      </c>
      <c r="H69" s="28" t="str">
        <f>VLOOKUP(EdgesData[[#This Row],[Node B]],NodesData[],3,FALSE)</f>
        <v>nA8C4DBF8_4D5F_45D9_9EDF_74F94F6892E8</v>
      </c>
      <c r="I69" s="29" t="str" cm="1">
        <f t="array" ref="I69">"n"&amp;SUBSTITUTE(CreateGuidString(),"-","_")</f>
        <v>n6045ED72_C21D_417C_8274_A28AC8903D8E</v>
      </c>
    </row>
    <row r="70" spans="1:9" x14ac:dyDescent="0.35">
      <c r="A70" s="13" t="s">
        <v>1924</v>
      </c>
      <c r="B70" s="36">
        <f>COUNTIF(EdgesData[Edge ID],EdgesData[[#This Row],[Edge ID]])</f>
        <v>1</v>
      </c>
      <c r="C70" s="28" t="str">
        <f>VLOOKUP(EdgesData[[#This Row],[Node A]],NodesData[],3,FALSE)</f>
        <v>nA8C4DBF8_4D5F_45D9_9EDF_74F94F6892E8</v>
      </c>
      <c r="D70" s="15" t="s">
        <v>1921</v>
      </c>
      <c r="E70" s="11" t="s">
        <v>1900</v>
      </c>
      <c r="G70" s="18" t="s">
        <v>1988</v>
      </c>
      <c r="H70" s="28" t="str">
        <f>VLOOKUP(EdgesData[[#This Row],[Node B]],NodesData[],3,FALSE)</f>
        <v>nCC292B9C_DF75_4B68_B63E_75C8C586FD1E</v>
      </c>
      <c r="I70" s="29" t="str" cm="1">
        <f t="array" ref="I70">"n"&amp;SUBSTITUTE(CreateGuidString(),"-","_")</f>
        <v>n8890850F_FF06_44A6_8E41_7D88C7DD089E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G508"/>
  <sheetViews>
    <sheetView zoomScale="120" zoomScaleNormal="120" workbookViewId="0">
      <selection activeCell="A7" sqref="A7"/>
    </sheetView>
  </sheetViews>
  <sheetFormatPr defaultRowHeight="12.75" x14ac:dyDescent="0.35"/>
  <cols>
    <col min="1" max="1" width="2.19921875" style="43" customWidth="1"/>
    <col min="2" max="3" width="23" style="3" bestFit="1" customWidth="1"/>
    <col min="4" max="4" width="32.59765625" style="18" customWidth="1"/>
    <col min="5" max="5" width="32.59765625" style="26" customWidth="1"/>
    <col min="6" max="6" width="32.59765625" style="2" customWidth="1"/>
    <col min="7" max="16384" width="9.06640625" style="2"/>
  </cols>
  <sheetData>
    <row r="1" spans="1:6" s="1" customFormat="1" ht="19.899999999999999" thickBot="1" x14ac:dyDescent="0.65">
      <c r="A1" s="41" t="s">
        <v>1832</v>
      </c>
      <c r="B1" s="9"/>
      <c r="C1" s="9"/>
      <c r="D1" s="23"/>
    </row>
    <row r="2" spans="1:6" s="12" customFormat="1" ht="15" thickTop="1" thickBot="1" x14ac:dyDescent="0.5">
      <c r="A2" s="42" t="s">
        <v>1990</v>
      </c>
      <c r="B2" s="18" t="s">
        <v>1335</v>
      </c>
      <c r="C2" s="18" t="s">
        <v>1889</v>
      </c>
      <c r="D2" s="15" t="s">
        <v>1334</v>
      </c>
      <c r="E2" s="15" t="s">
        <v>1336</v>
      </c>
      <c r="F2" s="24" t="s">
        <v>1333</v>
      </c>
    </row>
    <row r="3" spans="1:6" ht="13.9" thickTop="1" thickBot="1" x14ac:dyDescent="0.4">
      <c r="A3" s="39">
        <f>IF(ISERR(NodesJSON[[#This Row],[label]]),0,1)</f>
        <v>1</v>
      </c>
      <c r="B3" s="3" t="str">
        <f>NodesData[[#This Row],[Common Name]]</f>
        <v>4-Eyes Principle</v>
      </c>
      <c r="C3" s="3" t="str">
        <f>IF(NodesData[[#This Row],[Context Instanciation]]="","",NodesData[[#This Row],[Context Instanciation]])</f>
        <v/>
      </c>
      <c r="D3" s="21" t="str">
        <f>NodesData[[#This Row],[Node ID]]</f>
        <v>n949B469C_B258_4821_87B2_A3318627421D</v>
      </c>
      <c r="E3" s="3" t="str">
        <f>IF(NodesData[[#This Row],[URL]]="","",NodesData[[#This Row],[URL]])</f>
        <v>https://open-measure.atlassian.net/wiki/spaces/DIC/pages/805175450/4-Eyes+Principle</v>
      </c>
      <c r="F3" s="25" t="str" cm="1">
        <f t="array" ref="F3">IF(NodesJSON[[#This Row],[Export?]]=0,"",IF(ROW(NodesJSON[[#This Row],[label]])&gt;ROW(NodesJSON[[#Headers],[JSON]])+1,",","") &amp;"{"&amp;twoRangesToJSON(NodesJSON[[#Headers],[label]:[url]],NodesJSON[[#This Row],[label]:[url]])&amp;"}")</f>
        <v>{"label":"4-Eyes Principle","group":"","id":"n949B469C_B258_4821_87B2_A3318627421D","url":"https://open-measure.atlassian.net/wiki/spaces/DIC/pages/805175450/4-Eyes+Principle"}</v>
      </c>
    </row>
    <row r="4" spans="1:6" ht="13.9" thickTop="1" thickBot="1" x14ac:dyDescent="0.4">
      <c r="A4" s="39">
        <f>IF(ISERR(NodesJSON[[#This Row],[label]]),0,1)</f>
        <v>1</v>
      </c>
      <c r="B4" s="3" t="str">
        <f>NodesData[[#This Row],[Common Name]]</f>
        <v>Access</v>
      </c>
      <c r="C4" s="3" t="str">
        <f>IF(NodesData[[#This Row],[Context Instanciation]]="","",NodesData[[#This Row],[Context Instanciation]])</f>
        <v/>
      </c>
      <c r="D4" s="22" t="str">
        <f>NodesData[[#This Row],[Node ID]]</f>
        <v>n345814A3_CDB9_48CD_9A28_0EA438DFE1AF</v>
      </c>
      <c r="E4" s="3" t="str">
        <f>IF(NodesData[[#This Row],[URL]]="","",NodesData[[#This Row],[URL]])</f>
        <v>https://open-measure.atlassian.net/wiki/spaces/DIC/pages/123962347/Access</v>
      </c>
      <c r="F4" s="25" t="str" cm="1">
        <f t="array" ref="F4">IF(NodesJSON[[#This Row],[Export?]]=0,"",IF(ROW(NodesJSON[[#This Row],[label]])&gt;ROW(NodesJSON[[#Headers],[JSON]])+1,",","") &amp;"{"&amp;twoRangesToJSON(NodesJSON[[#Headers],[label]:[url]],NodesJSON[[#This Row],[label]:[url]])&amp;"}")</f>
        <v>,{"label":"Access","group":"","id":"n345814A3_CDB9_48CD_9A28_0EA438DFE1AF","url":"https://open-measure.atlassian.net/wiki/spaces/DIC/pages/123962347/Access"}</v>
      </c>
    </row>
    <row r="5" spans="1:6" ht="13.9" thickTop="1" thickBot="1" x14ac:dyDescent="0.4">
      <c r="A5" s="39">
        <f>IF(ISERR(NodesJSON[[#This Row],[label]]),0,1)</f>
        <v>1</v>
      </c>
      <c r="B5" s="3" t="str">
        <f>NodesData[[#This Row],[Common Name]]</f>
        <v>Access Audit</v>
      </c>
      <c r="C5" s="3" t="str">
        <f>IF(NodesData[[#This Row],[Context Instanciation]]="","",NodesData[[#This Row],[Context Instanciation]])</f>
        <v/>
      </c>
      <c r="D5" s="22" t="str">
        <f>NodesData[[#This Row],[Node ID]]</f>
        <v>n50BECF28_43AF_4D2B_9A00_548252A11959</v>
      </c>
      <c r="E5" s="3" t="str">
        <f>IF(NodesData[[#This Row],[URL]]="","",NodesData[[#This Row],[URL]])</f>
        <v>https://open-measure.atlassian.net/wiki/spaces/DIC/pages/1121878227</v>
      </c>
      <c r="F5" s="25" t="str" cm="1">
        <f t="array" ref="F5">IF(NodesJSON[[#This Row],[Export?]]=0,"",IF(ROW(NodesJSON[[#This Row],[label]])&gt;ROW(NodesJSON[[#Headers],[JSON]])+1,",","") &amp;"{"&amp;twoRangesToJSON(NodesJSON[[#Headers],[label]:[url]],NodesJSON[[#This Row],[label]:[url]])&amp;"}")</f>
        <v>,{"label":"Access Audit","group":"","id":"n50BECF28_43AF_4D2B_9A00_548252A11959","url":"https://open-measure.atlassian.net/wiki/spaces/DIC/pages/1121878227"}</v>
      </c>
    </row>
    <row r="6" spans="1:6" ht="13.9" thickTop="1" thickBot="1" x14ac:dyDescent="0.4">
      <c r="A6" s="39">
        <f>IF(ISERR(NodesJSON[[#This Row],[label]]),0,1)</f>
        <v>1</v>
      </c>
      <c r="B6" s="3" t="str">
        <f>NodesData[[#This Row],[Common Name]]</f>
        <v>Access Continuum</v>
      </c>
      <c r="C6" s="3" t="str">
        <f>IF(NodesData[[#This Row],[Context Instanciation]]="","",NodesData[[#This Row],[Context Instanciation]])</f>
        <v/>
      </c>
      <c r="D6" s="22" t="str">
        <f>NodesData[[#This Row],[Node ID]]</f>
        <v>n5AC3C686_E96D_4E16_A7A7_F5E33273E16B</v>
      </c>
      <c r="E6" s="3" t="str">
        <f>IF(NodesData[[#This Row],[URL]]="","",NodesData[[#This Row],[URL]])</f>
        <v>https://open-measure.atlassian.net/wiki/spaces/DIC/pages/1034223816/Access+Continuum</v>
      </c>
      <c r="F6" s="25" t="str" cm="1">
        <f t="array" ref="F6">IF(NodesJSON[[#This Row],[Export?]]=0,"",IF(ROW(NodesJSON[[#This Row],[label]])&gt;ROW(NodesJSON[[#Headers],[JSON]])+1,",","") &amp;"{"&amp;twoRangesToJSON(NodesJSON[[#Headers],[label]:[url]],NodesJSON[[#This Row],[label]:[url]])&amp;"}")</f>
        <v>,{"label":"Access Continuum","group":"","id":"n5AC3C686_E96D_4E16_A7A7_F5E33273E16B","url":"https://open-measure.atlassian.net/wiki/spaces/DIC/pages/1034223816/Access+Continuum"}</v>
      </c>
    </row>
    <row r="7" spans="1:6" ht="13.9" thickTop="1" thickBot="1" x14ac:dyDescent="0.4">
      <c r="A7" s="39">
        <f>IF(ISERR(NodesJSON[[#This Row],[label]]),0,1)</f>
        <v>1</v>
      </c>
      <c r="B7" s="3" t="str">
        <f>NodesData[[#This Row],[Common Name]]</f>
        <v>Access Control</v>
      </c>
      <c r="C7" s="3" t="str">
        <f>IF(NodesData[[#This Row],[Context Instanciation]]="","",NodesData[[#This Row],[Context Instanciation]])</f>
        <v/>
      </c>
      <c r="D7" s="22" t="str">
        <f>NodesData[[#This Row],[Node ID]]</f>
        <v>nC8849963_097C_4D88_9F09_0BE7822C1A27</v>
      </c>
      <c r="E7" s="3" t="str">
        <f>IF(NodesData[[#This Row],[URL]]="","",NodesData[[#This Row],[URL]])</f>
        <v>https://open-measure.atlassian.net/wiki/spaces/DIC/pages/427163781</v>
      </c>
      <c r="F7" s="25" t="str" cm="1">
        <f t="array" ref="F7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Control","group":"","id":"nC8849963_097C_4D88_9F09_0BE7822C1A27","url":"https://open-measure.atlassian.net/wiki/spaces/DIC/pages/427163781"}</v>
      </c>
    </row>
    <row r="8" spans="1:6" ht="13.9" thickTop="1" thickBot="1" x14ac:dyDescent="0.4">
      <c r="A8" s="39">
        <f>IF(ISERR(NodesJSON[[#This Row],[label]]),0,1)</f>
        <v>1</v>
      </c>
      <c r="B8" s="3" t="str">
        <f>NodesData[[#This Row],[Common Name]]</f>
        <v>Access Control List</v>
      </c>
      <c r="C8" s="3" t="str">
        <f>IF(NodesData[[#This Row],[Context Instanciation]]="","",NodesData[[#This Row],[Context Instanciation]])</f>
        <v/>
      </c>
      <c r="D8" s="22" t="str">
        <f>NodesData[[#This Row],[Node ID]]</f>
        <v>nB5D15B0C_90C3_4DC7_BCEE_7009BF5FA6B0</v>
      </c>
      <c r="E8" s="3" t="str">
        <f>IF(NodesData[[#This Row],[URL]]="","",NodesData[[#This Row],[URL]])</f>
        <v>https://open-measure.atlassian.net/wiki/spaces/DIC/pages/822345754</v>
      </c>
      <c r="F8" s="25" t="str" cm="1">
        <f t="array" ref="F8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List","group":"","id":"nB5D15B0C_90C3_4DC7_BCEE_7009BF5FA6B0","url":"https://open-measure.atlassian.net/wiki/spaces/DIC/pages/822345754"}</v>
      </c>
    </row>
    <row r="9" spans="1:6" ht="13.9" thickTop="1" thickBot="1" x14ac:dyDescent="0.4">
      <c r="A9" s="39">
        <f>IF(ISERR(NodesJSON[[#This Row],[label]]),0,1)</f>
        <v>1</v>
      </c>
      <c r="B9" s="3" t="str">
        <f>NodesData[[#This Row],[Common Name]]</f>
        <v>Access Control Mechanism</v>
      </c>
      <c r="C9" s="3" t="str">
        <f>IF(NodesData[[#This Row],[Context Instanciation]]="","",NodesData[[#This Row],[Context Instanciation]])</f>
        <v/>
      </c>
      <c r="D9" s="22" t="str">
        <f>NodesData[[#This Row],[Node ID]]</f>
        <v>n43F62EE6_EF98_4F57_B80F_8D93BAD953C7</v>
      </c>
      <c r="E9" s="3" t="str">
        <f>IF(NodesData[[#This Row],[URL]]="","",NodesData[[#This Row],[URL]])</f>
        <v>https://open-measure.atlassian.net/wiki/spaces/DIC/pages/67633606</v>
      </c>
      <c r="F9" s="25" t="str" cm="1">
        <f t="array" ref="F9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Mechanism","group":"","id":"n43F62EE6_EF98_4F57_B80F_8D93BAD953C7","url":"https://open-measure.atlassian.net/wiki/spaces/DIC/pages/67633606"}</v>
      </c>
    </row>
    <row r="10" spans="1:6" ht="13.9" thickTop="1" thickBot="1" x14ac:dyDescent="0.4">
      <c r="A10" s="39">
        <f>IF(ISERR(NodesJSON[[#This Row],[label]]),0,1)</f>
        <v>1</v>
      </c>
      <c r="B10" s="3" t="str">
        <f>NodesData[[#This Row],[Common Name]]</f>
        <v>Access Control Model</v>
      </c>
      <c r="C10" s="3" t="str">
        <f>IF(NodesData[[#This Row],[Context Instanciation]]="","",NodesData[[#This Row],[Context Instanciation]])</f>
        <v/>
      </c>
      <c r="D10" s="22" t="str">
        <f>NodesData[[#This Row],[Node ID]]</f>
        <v>nA82E8086_80AC_481F_9FE9_6158EBAA5FD4</v>
      </c>
      <c r="E10" s="3" t="str">
        <f>IF(NodesData[[#This Row],[URL]]="","",NodesData[[#This Row],[URL]])</f>
        <v>https://open-measure.atlassian.net/wiki/spaces/DIC/pages/67699193</v>
      </c>
      <c r="F10" s="25" t="str" cm="1">
        <f t="array" ref="F10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Model","group":"","id":"nA82E8086_80AC_481F_9FE9_6158EBAA5FD4","url":"https://open-measure.atlassian.net/wiki/spaces/DIC/pages/67699193"}</v>
      </c>
    </row>
    <row r="11" spans="1:6" ht="13.9" thickTop="1" thickBot="1" x14ac:dyDescent="0.4">
      <c r="A11" s="39">
        <f>IF(ISERR(NodesJSON[[#This Row],[label]]),0,1)</f>
        <v>1</v>
      </c>
      <c r="B11" s="3" t="str">
        <f>NodesData[[#This Row],[Common Name]]</f>
        <v>Access Control Policy</v>
      </c>
      <c r="C11" s="3" t="str">
        <f>IF(NodesData[[#This Row],[Context Instanciation]]="","",NodesData[[#This Row],[Context Instanciation]])</f>
        <v/>
      </c>
      <c r="D11" s="22" t="str">
        <f>NodesData[[#This Row],[Node ID]]</f>
        <v>n8FC24F45_A985_41A5_AD50_B3DB59F8F1CB</v>
      </c>
      <c r="E11" s="3" t="str">
        <f>IF(NodesData[[#This Row],[URL]]="","",NodesData[[#This Row],[URL]])</f>
        <v>https://open-measure.atlassian.net/wiki/spaces/DIC/pages/67633597</v>
      </c>
      <c r="F11" s="25" t="str" cm="1">
        <f t="array" ref="F11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Policy","group":"","id":"n8FC24F45_A985_41A5_AD50_B3DB59F8F1CB","url":"https://open-measure.atlassian.net/wiki/spaces/DIC/pages/67633597"}</v>
      </c>
    </row>
    <row r="12" spans="1:6" ht="13.9" thickTop="1" thickBot="1" x14ac:dyDescent="0.4">
      <c r="A12" s="39">
        <f>IF(ISERR(NodesJSON[[#This Row],[label]]),0,1)</f>
        <v>1</v>
      </c>
      <c r="B12" s="3" t="str">
        <f>NodesData[[#This Row],[Common Name]]</f>
        <v>Access Granularity</v>
      </c>
      <c r="C12" s="3" t="str">
        <f>IF(NodesData[[#This Row],[Context Instanciation]]="","",NodesData[[#This Row],[Context Instanciation]])</f>
        <v/>
      </c>
      <c r="D12" s="22" t="str">
        <f>NodesData[[#This Row],[Node ID]]</f>
        <v>n497BAD86_FE0D_4D81_BE05_AA9EEB93B4EC</v>
      </c>
      <c r="E12" s="3" t="str">
        <f>IF(NodesData[[#This Row],[URL]]="","",NodesData[[#This Row],[URL]])</f>
        <v>https://open-measure.atlassian.net/wiki/spaces/DIC/pages/1006632974</v>
      </c>
      <c r="F12" s="25" t="str" cm="1">
        <f t="array" ref="F12">IF(NodesJSON[[#This Row],[Export?]]=0,"",IF(ROW(NodesJSON[[#This Row],[label]])&gt;ROW(NodesJSON[[#Headers],[JSON]])+1,",","") &amp;"{"&amp;twoRangesToJSON(NodesJSON[[#Headers],[label]:[url]],NodesJSON[[#This Row],[label]:[url]])&amp;"}")</f>
        <v>,{"label":"Access Granularity","group":"","id":"n497BAD86_FE0D_4D81_BE05_AA9EEB93B4EC","url":"https://open-measure.atlassian.net/wiki/spaces/DIC/pages/1006632974"}</v>
      </c>
    </row>
    <row r="13" spans="1:6" ht="13.9" thickTop="1" thickBot="1" x14ac:dyDescent="0.4">
      <c r="A13" s="39">
        <f>IF(ISERR(NodesJSON[[#This Row],[label]]),0,1)</f>
        <v>1</v>
      </c>
      <c r="B13" s="3" t="str">
        <f>NodesData[[#This Row],[Common Name]]</f>
        <v>Access Privilege</v>
      </c>
      <c r="C13" s="3" t="str">
        <f>IF(NodesData[[#This Row],[Context Instanciation]]="","",NodesData[[#This Row],[Context Instanciation]])</f>
        <v/>
      </c>
      <c r="D13" s="22" t="str">
        <f>NodesData[[#This Row],[Node ID]]</f>
        <v>n4A503F49_7D20_4B79_832C_C1F952C6FE7A</v>
      </c>
      <c r="E13" s="3" t="str">
        <f>IF(NodesData[[#This Row],[URL]]="","",NodesData[[#This Row],[URL]])</f>
        <v>https://open-measure.atlassian.net/wiki/spaces/DIC/pages/1122631723</v>
      </c>
      <c r="F13" s="25" t="str" cm="1">
        <f t="array" ref="F13">IF(NodesJSON[[#This Row],[Export?]]=0,"",IF(ROW(NodesJSON[[#This Row],[label]])&gt;ROW(NodesJSON[[#Headers],[JSON]])+1,",","") &amp;"{"&amp;twoRangesToJSON(NodesJSON[[#Headers],[label]:[url]],NodesJSON[[#This Row],[label]:[url]])&amp;"}")</f>
        <v>,{"label":"Access Privilege","group":"","id":"n4A503F49_7D20_4B79_832C_C1F952C6FE7A","url":"https://open-measure.atlassian.net/wiki/spaces/DIC/pages/1122631723"}</v>
      </c>
    </row>
    <row r="14" spans="1:6" ht="13.9" thickTop="1" thickBot="1" x14ac:dyDescent="0.4">
      <c r="A14" s="39">
        <f>IF(ISERR(NodesJSON[[#This Row],[label]]),0,1)</f>
        <v>1</v>
      </c>
      <c r="B14" s="3" t="str">
        <f>NodesData[[#This Row],[Common Name]]</f>
        <v>Access Right</v>
      </c>
      <c r="C14" s="3" t="str">
        <f>IF(NodesData[[#This Row],[Context Instanciation]]="","",NodesData[[#This Row],[Context Instanciation]])</f>
        <v/>
      </c>
      <c r="D14" s="22" t="str">
        <f>NodesData[[#This Row],[Node ID]]</f>
        <v>n1A9106FF_36C5_478C_9A0E_FF5F93C55D1F</v>
      </c>
      <c r="E14" s="3" t="str">
        <f>IF(NodesData[[#This Row],[URL]]="","",NodesData[[#This Row],[URL]])</f>
        <v>https://open-measure.atlassian.net/wiki/spaces/DIC/pages/1122599013</v>
      </c>
      <c r="F14" s="25" t="str" cm="1">
        <f t="array" ref="F14">IF(NodesJSON[[#This Row],[Export?]]=0,"",IF(ROW(NodesJSON[[#This Row],[label]])&gt;ROW(NodesJSON[[#Headers],[JSON]])+1,",","") &amp;"{"&amp;twoRangesToJSON(NodesJSON[[#Headers],[label]:[url]],NodesJSON[[#This Row],[label]:[url]])&amp;"}")</f>
        <v>,{"label":"Access Right","group":"","id":"n1A9106FF_36C5_478C_9A0E_FF5F93C55D1F","url":"https://open-measure.atlassian.net/wiki/spaces/DIC/pages/1122599013"}</v>
      </c>
    </row>
    <row r="15" spans="1:6" ht="13.9" thickTop="1" thickBot="1" x14ac:dyDescent="0.4">
      <c r="A15" s="39">
        <f>IF(ISERR(NodesJSON[[#This Row],[label]]),0,1)</f>
        <v>1</v>
      </c>
      <c r="B15" s="3" t="str">
        <f>NodesData[[#This Row],[Common Name]]</f>
        <v>Access Rights Management</v>
      </c>
      <c r="C15" s="3" t="str">
        <f>IF(NodesData[[#This Row],[Context Instanciation]]="","",NodesData[[#This Row],[Context Instanciation]])</f>
        <v/>
      </c>
      <c r="D15" s="22" t="str">
        <f>NodesData[[#This Row],[Node ID]]</f>
        <v>nE49F9EAF_3DC5_47FA_9722_CDE0190EAD09</v>
      </c>
      <c r="E15" s="3" t="str">
        <f>IF(NodesData[[#This Row],[URL]]="","",NodesData[[#This Row],[URL]])</f>
        <v>https://open-measure.atlassian.net/wiki/spaces/DIC/pages/1704003</v>
      </c>
      <c r="F15" s="25" t="str" cm="1">
        <f t="array" ref="F15">IF(NodesJSON[[#This Row],[Export?]]=0,"",IF(ROW(NodesJSON[[#This Row],[label]])&gt;ROW(NodesJSON[[#Headers],[JSON]])+1,",","") &amp;"{"&amp;twoRangesToJSON(NodesJSON[[#Headers],[label]:[url]],NodesJSON[[#This Row],[label]:[url]])&amp;"}")</f>
        <v>,{"label":"Access Rights Management","group":"","id":"nE49F9EAF_3DC5_47FA_9722_CDE0190EAD09","url":"https://open-measure.atlassian.net/wiki/spaces/DIC/pages/1704003"}</v>
      </c>
    </row>
    <row r="16" spans="1:6" ht="13.9" thickTop="1" thickBot="1" x14ac:dyDescent="0.4">
      <c r="A16" s="39">
        <f>IF(ISERR(NodesJSON[[#This Row],[label]]),0,1)</f>
        <v>1</v>
      </c>
      <c r="B16" s="3" t="str">
        <f>NodesData[[#This Row],[Common Name]]</f>
        <v>Access Token</v>
      </c>
      <c r="C16" s="3" t="str">
        <f>IF(NodesData[[#This Row],[Context Instanciation]]="","",NodesData[[#This Row],[Context Instanciation]])</f>
        <v/>
      </c>
      <c r="D16" s="22" t="str">
        <f>NodesData[[#This Row],[Node ID]]</f>
        <v>nAB8CC74A_69EA_4A1D_A0BB_7FA855D1CD4C</v>
      </c>
      <c r="E16" s="3" t="str">
        <f>IF(NodesData[[#This Row],[URL]]="","",NodesData[[#This Row],[URL]])</f>
        <v>https://open-measure.atlassian.net/wiki/spaces/DIC/pages/1600684040/Access+Token</v>
      </c>
      <c r="F16" s="25" t="str" cm="1">
        <f t="array" ref="F16">IF(NodesJSON[[#This Row],[Export?]]=0,"",IF(ROW(NodesJSON[[#This Row],[label]])&gt;ROW(NodesJSON[[#Headers],[JSON]])+1,",","") &amp;"{"&amp;twoRangesToJSON(NodesJSON[[#Headers],[label]:[url]],NodesJSON[[#This Row],[label]:[url]])&amp;"}")</f>
        <v>,{"label":"Access Token","group":"","id":"nAB8CC74A_69EA_4A1D_A0BB_7FA855D1CD4C","url":"https://open-measure.atlassian.net/wiki/spaces/DIC/pages/1600684040/Access+Token"}</v>
      </c>
    </row>
    <row r="17" spans="1:6" ht="13.9" thickTop="1" thickBot="1" x14ac:dyDescent="0.4">
      <c r="A17" s="39">
        <f>IF(ISERR(NodesJSON[[#This Row],[label]]),0,1)</f>
        <v>1</v>
      </c>
      <c r="B17" s="3" t="str">
        <f>NodesData[[#This Row],[Common Name]]</f>
        <v>Account</v>
      </c>
      <c r="C17" s="3" t="str">
        <f>IF(NodesData[[#This Row],[Context Instanciation]]="","",NodesData[[#This Row],[Context Instanciation]])</f>
        <v/>
      </c>
      <c r="D17" s="22" t="str">
        <f>NodesData[[#This Row],[Node ID]]</f>
        <v>n60E574D8_853F_46D9_A1FB_433B2771BF75</v>
      </c>
      <c r="E17" s="3" t="str">
        <f>IF(NodesData[[#This Row],[URL]]="","",NodesData[[#This Row],[URL]])</f>
        <v>https://open-measure.atlassian.net/wiki/spaces/DIC/pages/461308120/Account</v>
      </c>
      <c r="F17" s="25" t="str" cm="1">
        <f t="array" ref="F17">IF(NodesJSON[[#This Row],[Export?]]=0,"",IF(ROW(NodesJSON[[#This Row],[label]])&gt;ROW(NodesJSON[[#Headers],[JSON]])+1,",","") &amp;"{"&amp;twoRangesToJSON(NodesJSON[[#Headers],[label]:[url]],NodesJSON[[#This Row],[label]:[url]])&amp;"}")</f>
        <v>,{"label":"Account","group":"","id":"n60E574D8_853F_46D9_A1FB_433B2771BF75","url":"https://open-measure.atlassian.net/wiki/spaces/DIC/pages/461308120/Account"}</v>
      </c>
    </row>
    <row r="18" spans="1:6" ht="13.9" thickTop="1" thickBot="1" x14ac:dyDescent="0.4">
      <c r="A18" s="39">
        <f>IF(ISERR(NodesJSON[[#This Row],[label]]),0,1)</f>
        <v>1</v>
      </c>
      <c r="B18" s="3" t="str">
        <f>NodesData[[#This Row],[Common Name]]</f>
        <v>Account Lockout Policy</v>
      </c>
      <c r="C18" s="3" t="str">
        <f>IF(NodesData[[#This Row],[Context Instanciation]]="","",NodesData[[#This Row],[Context Instanciation]])</f>
        <v/>
      </c>
      <c r="D18" s="22" t="str">
        <f>NodesData[[#This Row],[Node ID]]</f>
        <v>n6CB6D4CB_AB42_4B54_8FC3_DD4C4D6C2B3E</v>
      </c>
      <c r="E18" s="3" t="str">
        <f>IF(NodesData[[#This Row],[URL]]="","",NodesData[[#This Row],[URL]])</f>
        <v>https://open-measure.atlassian.net/wiki/spaces/DIC/pages/67699360</v>
      </c>
      <c r="F18" s="25" t="str" cm="1">
        <f t="array" ref="F18">IF(NodesJSON[[#This Row],[Export?]]=0,"",IF(ROW(NodesJSON[[#This Row],[label]])&gt;ROW(NodesJSON[[#Headers],[JSON]])+1,",","") &amp;"{"&amp;twoRangesToJSON(NodesJSON[[#Headers],[label]:[url]],NodesJSON[[#This Row],[label]:[url]])&amp;"}")</f>
        <v>,{"label":"Account Lockout Policy","group":"","id":"n6CB6D4CB_AB42_4B54_8FC3_DD4C4D6C2B3E","url":"https://open-measure.atlassian.net/wiki/spaces/DIC/pages/67699360"}</v>
      </c>
    </row>
    <row r="19" spans="1:6" ht="13.9" thickTop="1" thickBot="1" x14ac:dyDescent="0.4">
      <c r="A19" s="39">
        <f>IF(ISERR(NodesJSON[[#This Row],[label]]),0,1)</f>
        <v>1</v>
      </c>
      <c r="B19" s="3" t="str">
        <f>NodesData[[#This Row],[Common Name]]</f>
        <v>Account Management</v>
      </c>
      <c r="C19" s="3" t="str">
        <f>IF(NodesData[[#This Row],[Context Instanciation]]="","",NodesData[[#This Row],[Context Instanciation]])</f>
        <v/>
      </c>
      <c r="D19" s="22" t="str">
        <f>NodesData[[#This Row],[Node ID]]</f>
        <v>nF83276D7_E44A_4A0B_A465_28B40B846C1C</v>
      </c>
      <c r="E19" s="3" t="str">
        <f>IF(NodesData[[#This Row],[URL]]="","",NodesData[[#This Row],[URL]])</f>
        <v>https://open-measure.atlassian.net/wiki/spaces/DIC/pages/1146847331</v>
      </c>
      <c r="F19" s="25" t="str" cm="1">
        <f t="array" ref="F19">IF(NodesJSON[[#This Row],[Export?]]=0,"",IF(ROW(NodesJSON[[#This Row],[label]])&gt;ROW(NodesJSON[[#Headers],[JSON]])+1,",","") &amp;"{"&amp;twoRangesToJSON(NodesJSON[[#Headers],[label]:[url]],NodesJSON[[#This Row],[label]:[url]])&amp;"}")</f>
        <v>,{"label":"Account Management","group":"","id":"nF83276D7_E44A_4A0B_A465_28B40B846C1C","url":"https://open-measure.atlassian.net/wiki/spaces/DIC/pages/1146847331"}</v>
      </c>
    </row>
    <row r="20" spans="1:6" ht="13.9" thickTop="1" thickBot="1" x14ac:dyDescent="0.4">
      <c r="A20" s="39">
        <f>IF(ISERR(NodesJSON[[#This Row],[label]]),0,1)</f>
        <v>1</v>
      </c>
      <c r="B20" s="3" t="str">
        <f>NodesData[[#This Row],[Common Name]]</f>
        <v>Account Takeover</v>
      </c>
      <c r="C20" s="3" t="str">
        <f>IF(NodesData[[#This Row],[Context Instanciation]]="","",NodesData[[#This Row],[Context Instanciation]])</f>
        <v>Account Takeover</v>
      </c>
      <c r="D20" s="22" t="str">
        <f>NodesData[[#This Row],[Node ID]]</f>
        <v>nE9C9661B_8C28_413E_A8E3_A720E03C04B7</v>
      </c>
      <c r="E20" s="3" t="str">
        <f>IF(NodesData[[#This Row],[URL]]="","",NodesData[[#This Row],[URL]])</f>
        <v>https://open-measure.atlassian.net/wiki/spaces/DIC/pages/1079050286/Account+Takeover</v>
      </c>
      <c r="F20" s="25" t="str" cm="1">
        <f t="array" ref="F20">IF(NodesJSON[[#This Row],[Export?]]=0,"",IF(ROW(NodesJSON[[#This Row],[label]])&gt;ROW(NodesJSON[[#Headers],[JSON]])+1,",","") &amp;"{"&amp;twoRangesToJSON(NodesJSON[[#Headers],[label]:[url]],NodesJSON[[#This Row],[label]:[url]])&amp;"}")</f>
        <v>,{"label":"Account Takeover","group":"Account Takeover","id":"nE9C9661B_8C28_413E_A8E3_A720E03C04B7","url":"https://open-measure.atlassian.net/wiki/spaces/DIC/pages/1079050286/Account+Takeover"}</v>
      </c>
    </row>
    <row r="21" spans="1:6" ht="13.9" thickTop="1" thickBot="1" x14ac:dyDescent="0.4">
      <c r="A21" s="39">
        <f>IF(ISERR(NodesJSON[[#This Row],[label]]),0,1)</f>
        <v>1</v>
      </c>
      <c r="B21" s="3" t="str">
        <f>NodesData[[#This Row],[Common Name]]</f>
        <v>Authorization</v>
      </c>
      <c r="C21" s="3" t="str">
        <f>IF(NodesData[[#This Row],[Context Instanciation]]="","",NodesData[[#This Row],[Context Instanciation]])</f>
        <v>Account Takeover</v>
      </c>
      <c r="D21" s="22" t="str">
        <f>NodesData[[#This Row],[Node ID]]</f>
        <v>n4E7B27FA_8562_4EC8_869A_378A5937334A</v>
      </c>
      <c r="E21" s="3" t="str">
        <f>IF(NodesData[[#This Row],[URL]]="","",NodesData[[#This Row],[URL]])</f>
        <v/>
      </c>
      <c r="F21" s="25" t="str" cm="1">
        <f t="array" ref="F21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,{"label":"Authorization","group":"Account Takeover","id":"n4E7B27FA_8562_4EC8_869A_378A5937334A","url":""}</v>
      </c>
    </row>
    <row r="22" spans="1:6" ht="13.9" thickTop="1" thickBot="1" x14ac:dyDescent="0.4">
      <c r="A22" s="39">
        <f>IF(ISERR(NodesJSON[[#This Row],[label]]),0,1)</f>
        <v>1</v>
      </c>
      <c r="B22" s="3" t="str">
        <f>NodesData[[#This Row],[Common Name]]</f>
        <v>Digital Identity</v>
      </c>
      <c r="C22" s="3" t="str">
        <f>IF(NodesData[[#This Row],[Context Instanciation]]="","",NodesData[[#This Row],[Context Instanciation]])</f>
        <v>Account Takeover</v>
      </c>
      <c r="D22" s="22" t="str">
        <f>NodesData[[#This Row],[Node ID]]</f>
        <v>n65057A73_5E5D_4997_843D_70FCDDBF4863</v>
      </c>
      <c r="E22" s="3" t="str">
        <f>IF(NodesData[[#This Row],[URL]]="","",NodesData[[#This Row],[URL]])</f>
        <v>https://open-measure.atlassian.net/wiki/spaces/DIC/pages/419528705/Digital+Identity</v>
      </c>
      <c r="F22" s="25" t="str" cm="1">
        <f t="array" ref="F22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Identity","group":"Account Takeover","id":"n65057A73_5E5D_4997_843D_70FCDDBF4863","url":"https://open-measure.atlassian.net/wiki/spaces/DIC/pages/419528705/Digital+Identity"}</v>
      </c>
    </row>
    <row r="23" spans="1:6" ht="13.9" thickTop="1" thickBot="1" x14ac:dyDescent="0.4">
      <c r="A23" s="39">
        <f>IF(ISERR(NodesJSON[[#This Row],[label]]),0,1)</f>
        <v>1</v>
      </c>
      <c r="B23" s="3" t="str">
        <f>NodesData[[#This Row],[Common Name]]</f>
        <v>Mitigation</v>
      </c>
      <c r="C23" s="3" t="str">
        <f>IF(NodesData[[#This Row],[Context Instanciation]]="","",NodesData[[#This Row],[Context Instanciation]])</f>
        <v>Account Takeover</v>
      </c>
      <c r="D23" s="22" t="str">
        <f>NodesData[[#This Row],[Node ID]]</f>
        <v>nA8C4DBF8_4D5F_45D9_9EDF_74F94F6892E8</v>
      </c>
      <c r="E23" s="3" t="str">
        <f>IF(NodesData[[#This Row],[URL]]="","",NodesData[[#This Row],[URL]])</f>
        <v/>
      </c>
      <c r="F23" s="25" t="str" cm="1">
        <f t="array" ref="F23">IF(NodesJSON[[#This Row],[Export?]]=0,"",IF(ROW(NodesJSON[[#This Row],[label]])&gt;ROW(NodesJSON[[#Headers],[JSON]])+1,",","") &amp;"{"&amp;twoRangesToJSON(NodesJSON[[#Headers],[label]:[url]],NodesJSON[[#This Row],[label]:[url]])&amp;"}")</f>
        <v>,{"label":"Mitigation","group":"Account Takeover","id":"nA8C4DBF8_4D5F_45D9_9EDF_74F94F6892E8","url":""}</v>
      </c>
    </row>
    <row r="24" spans="1:6" ht="13.9" thickTop="1" thickBot="1" x14ac:dyDescent="0.4">
      <c r="A24" s="39">
        <f>IF(ISERR(NodesJSON[[#This Row],[label]]),0,1)</f>
        <v>1</v>
      </c>
      <c r="B24" s="3" t="str">
        <f>NodesData[[#This Row],[Common Name]]</f>
        <v>Motivation</v>
      </c>
      <c r="C24" s="3" t="str">
        <f>IF(NodesData[[#This Row],[Context Instanciation]]="","",NodesData[[#This Row],[Context Instanciation]])</f>
        <v>Account Takeover</v>
      </c>
      <c r="D24" s="22" t="str">
        <f>NodesData[[#This Row],[Node ID]]</f>
        <v>n4FA68550_C829_46CD_ADC2_9BE67FA41543</v>
      </c>
      <c r="E24" s="3" t="str">
        <f>IF(NodesData[[#This Row],[URL]]="","",NodesData[[#This Row],[URL]])</f>
        <v/>
      </c>
      <c r="F24" s="25" t="str" cm="1">
        <f t="array" ref="F24">IF(NodesJSON[[#This Row],[Export?]]=0,"",IF(ROW(NodesJSON[[#This Row],[label]])&gt;ROW(NodesJSON[[#Headers],[JSON]])+1,",","") &amp;"{"&amp;twoRangesToJSON(NodesJSON[[#Headers],[label]:[url]],NodesJSON[[#This Row],[label]:[url]])&amp;"}")</f>
        <v>,{"label":"Motivation","group":"Account Takeover","id":"n4FA68550_C829_46CD_ADC2_9BE67FA41543","url":""}</v>
      </c>
    </row>
    <row r="25" spans="1:6" ht="13.9" thickTop="1" thickBot="1" x14ac:dyDescent="0.4">
      <c r="A25" s="39">
        <f>IF(ISERR(NodesJSON[[#This Row],[label]]),0,1)</f>
        <v>1</v>
      </c>
      <c r="B25" s="3" t="str">
        <f>NodesData[[#This Row],[Common Name]]</f>
        <v>Perpetrator</v>
      </c>
      <c r="C25" s="3" t="str">
        <f>IF(NodesData[[#This Row],[Context Instanciation]]="","",NodesData[[#This Row],[Context Instanciation]])</f>
        <v>Account Takeover</v>
      </c>
      <c r="D25" s="22" t="str">
        <f>NodesData[[#This Row],[Node ID]]</f>
        <v>n02B81E29_1266_4611_897E_FD90C5DD5788</v>
      </c>
      <c r="E25" s="3" t="str">
        <f>IF(NodesData[[#This Row],[URL]]="","",NodesData[[#This Row],[URL]])</f>
        <v/>
      </c>
      <c r="F25" s="25" t="str" cm="1">
        <f t="array" ref="F25">IF(NodesJSON[[#This Row],[Export?]]=0,"",IF(ROW(NodesJSON[[#This Row],[label]])&gt;ROW(NodesJSON[[#Headers],[JSON]])+1,",","") &amp;"{"&amp;twoRangesToJSON(NodesJSON[[#Headers],[label]:[url]],NodesJSON[[#This Row],[label]:[url]])&amp;"}")</f>
        <v>,{"label":"Perpetrator","group":"Account Takeover","id":"n02B81E29_1266_4611_897E_FD90C5DD5788","url":""}</v>
      </c>
    </row>
    <row r="26" spans="1:6" ht="13.9" thickTop="1" thickBot="1" x14ac:dyDescent="0.4">
      <c r="A26" s="39">
        <f>IF(ISERR(NodesJSON[[#This Row],[label]]),0,1)</f>
        <v>1</v>
      </c>
      <c r="B26" s="3" t="str">
        <f>NodesData[[#This Row],[Common Name]]</f>
        <v>Risk</v>
      </c>
      <c r="C26" s="3" t="str">
        <f>IF(NodesData[[#This Row],[Context Instanciation]]="","",NodesData[[#This Row],[Context Instanciation]])</f>
        <v>Account Takeover</v>
      </c>
      <c r="D26" s="22" t="str">
        <f>NodesData[[#This Row],[Node ID]]</f>
        <v>nB622D019_1525_4A1F_838B_BA98AC1BD971</v>
      </c>
      <c r="E26" s="3" t="str">
        <f>IF(NodesData[[#This Row],[URL]]="","",NodesData[[#This Row],[URL]])</f>
        <v/>
      </c>
      <c r="F26" s="25" t="str" cm="1">
        <f t="array" ref="F26">IF(NodesJSON[[#This Row],[Export?]]=0,"",IF(ROW(NodesJSON[[#This Row],[label]])&gt;ROW(NodesJSON[[#Headers],[JSON]])+1,",","") &amp;"{"&amp;twoRangesToJSON(NodesJSON[[#Headers],[label]:[url]],NodesJSON[[#This Row],[label]:[url]])&amp;"}")</f>
        <v>,{"label":"Risk","group":"Account Takeover","id":"nB622D019_1525_4A1F_838B_BA98AC1BD971","url":""}</v>
      </c>
    </row>
    <row r="27" spans="1:6" ht="13.9" thickTop="1" thickBot="1" x14ac:dyDescent="0.4">
      <c r="A27" s="39">
        <f>IF(ISERR(NodesJSON[[#This Row],[label]]),0,1)</f>
        <v>1</v>
      </c>
      <c r="B27" s="3" t="str">
        <f>NodesData[[#This Row],[Common Name]]</f>
        <v>Victim</v>
      </c>
      <c r="C27" s="3" t="str">
        <f>IF(NodesData[[#This Row],[Context Instanciation]]="","",NodesData[[#This Row],[Context Instanciation]])</f>
        <v>Account Takeover</v>
      </c>
      <c r="D27" s="22" t="str">
        <f>NodesData[[#This Row],[Node ID]]</f>
        <v>n89FBB4A6_DF18_465F_9DA3_BD367759F09E</v>
      </c>
      <c r="E27" s="3" t="str">
        <f>IF(NodesData[[#This Row],[URL]]="","",NodesData[[#This Row],[URL]])</f>
        <v/>
      </c>
      <c r="F27" s="25" t="str" cm="1">
        <f t="array" ref="F27">IF(NodesJSON[[#This Row],[Export?]]=0,"",IF(ROW(NodesJSON[[#This Row],[label]])&gt;ROW(NodesJSON[[#Headers],[JSON]])+1,",","") &amp;"{"&amp;twoRangesToJSON(NodesJSON[[#Headers],[label]:[url]],NodesJSON[[#This Row],[label]:[url]])&amp;"}")</f>
        <v>,{"label":"Victim","group":"Account Takeover","id":"n89FBB4A6_DF18_465F_9DA3_BD367759F09E","url":""}</v>
      </c>
    </row>
    <row r="28" spans="1:6" ht="13.9" thickTop="1" thickBot="1" x14ac:dyDescent="0.4">
      <c r="A28" s="39">
        <f>IF(ISERR(NodesJSON[[#This Row],[label]]),0,1)</f>
        <v>1</v>
      </c>
      <c r="B28" s="3" t="str">
        <f>NodesData[[#This Row],[Common Name]]</f>
        <v>Accountability</v>
      </c>
      <c r="C28" s="3" t="str">
        <f>IF(NodesData[[#This Row],[Context Instanciation]]="","",NodesData[[#This Row],[Context Instanciation]])</f>
        <v/>
      </c>
      <c r="D28" s="22" t="str">
        <f>NodesData[[#This Row],[Node ID]]</f>
        <v>nE5052478_9D1A_4E9E_BA4E_FF57B8D216EC</v>
      </c>
      <c r="E28" s="3" t="str">
        <f>IF(NodesData[[#This Row],[URL]]="","",NodesData[[#This Row],[URL]])</f>
        <v>https://open-measure.atlassian.net/wiki/spaces/DIC/pages/425623718</v>
      </c>
      <c r="F28" s="25" t="str" cm="1">
        <f t="array" ref="F28">IF(NodesJSON[[#This Row],[Export?]]=0,"",IF(ROW(NodesJSON[[#This Row],[label]])&gt;ROW(NodesJSON[[#Headers],[JSON]])+1,",","") &amp;"{"&amp;twoRangesToJSON(NodesJSON[[#Headers],[label]:[url]],NodesJSON[[#This Row],[label]:[url]])&amp;"}")</f>
        <v>,{"label":"Accountability","group":"","id":"nE5052478_9D1A_4E9E_BA4E_FF57B8D216EC","url":"https://open-measure.atlassian.net/wiki/spaces/DIC/pages/425623718"}</v>
      </c>
    </row>
    <row r="29" spans="1:6" ht="13.9" thickTop="1" thickBot="1" x14ac:dyDescent="0.4">
      <c r="A29" s="39">
        <f>IF(ISERR(NodesJSON[[#This Row],[label]]),0,1)</f>
        <v>1</v>
      </c>
      <c r="B29" s="3" t="str">
        <f>NodesData[[#This Row],[Common Name]]</f>
        <v>Accreditation</v>
      </c>
      <c r="C29" s="3" t="str">
        <f>IF(NodesData[[#This Row],[Context Instanciation]]="","",NodesData[[#This Row],[Context Instanciation]])</f>
        <v/>
      </c>
      <c r="D29" s="22" t="str">
        <f>NodesData[[#This Row],[Node ID]]</f>
        <v>nFF744E9A_218E_4CDD_98E9_D977BAE7E561</v>
      </c>
      <c r="E29" s="3" t="str">
        <f>IF(NodesData[[#This Row],[URL]]="","",NodesData[[#This Row],[URL]])</f>
        <v>https://open-measure.atlassian.net/wiki/spaces/DIC/pages/446955580</v>
      </c>
      <c r="F29" s="25" t="str" cm="1">
        <f t="array" ref="F29">IF(NodesJSON[[#This Row],[Export?]]=0,"",IF(ROW(NodesJSON[[#This Row],[label]])&gt;ROW(NodesJSON[[#Headers],[JSON]])+1,",","") &amp;"{"&amp;twoRangesToJSON(NodesJSON[[#Headers],[label]:[url]],NodesJSON[[#This Row],[label]:[url]])&amp;"}")</f>
        <v>,{"label":"Accreditation","group":"","id":"nFF744E9A_218E_4CDD_98E9_D977BAE7E561","url":"https://open-measure.atlassian.net/wiki/spaces/DIC/pages/446955580"}</v>
      </c>
    </row>
    <row r="30" spans="1:6" ht="13.9" thickTop="1" thickBot="1" x14ac:dyDescent="0.4">
      <c r="A30" s="39">
        <f>IF(ISERR(NodesJSON[[#This Row],[label]]),0,1)</f>
        <v>1</v>
      </c>
      <c r="B30" s="3" t="str">
        <f>NodesData[[#This Row],[Common Name]]</f>
        <v>Active Impersonation Attack</v>
      </c>
      <c r="C30" s="3" t="str">
        <f>IF(NodesData[[#This Row],[Context Instanciation]]="","",NodesData[[#This Row],[Context Instanciation]])</f>
        <v/>
      </c>
      <c r="D30" s="22" t="str">
        <f>NodesData[[#This Row],[Node ID]]</f>
        <v>nCCFA1605_394C_4A41_9411_016EBBD1F932</v>
      </c>
      <c r="E30" s="3" t="str">
        <f>IF(NodesData[[#This Row],[URL]]="","",NodesData[[#This Row],[URL]])</f>
        <v>https://open-measure.atlassian.net/wiki/spaces/DIC/pages/974454812</v>
      </c>
      <c r="F30" s="25" t="str" cm="1">
        <f t="array" ref="F30">IF(NodesJSON[[#This Row],[Export?]]=0,"",IF(ROW(NodesJSON[[#This Row],[label]])&gt;ROW(NodesJSON[[#Headers],[JSON]])+1,",","") &amp;"{"&amp;twoRangesToJSON(NodesJSON[[#Headers],[label]:[url]],NodesJSON[[#This Row],[label]:[url]])&amp;"}")</f>
        <v>,{"label":"Active Impersonation Attack","group":"","id":"nCCFA1605_394C_4A41_9411_016EBBD1F932","url":"https://open-measure.atlassian.net/wiki/spaces/DIC/pages/974454812"}</v>
      </c>
    </row>
    <row r="31" spans="1:6" ht="13.9" thickTop="1" thickBot="1" x14ac:dyDescent="0.4">
      <c r="A31" s="39">
        <f>IF(ISERR(NodesJSON[[#This Row],[label]]),0,1)</f>
        <v>1</v>
      </c>
      <c r="B31" s="3" t="str">
        <f>NodesData[[#This Row],[Common Name]]</f>
        <v>AP</v>
      </c>
      <c r="C31" s="3" t="str">
        <f>IF(NodesData[[#This Row],[Context Instanciation]]="","",NodesData[[#This Row],[Context Instanciation]])</f>
        <v/>
      </c>
      <c r="D31" s="22" t="str">
        <f>NodesData[[#This Row],[Node ID]]</f>
        <v>nE25E9786_BF32_4FF9_AD96_CA6093825D81</v>
      </c>
      <c r="E31" s="3" t="str">
        <f>IF(NodesData[[#This Row],[URL]]="","",NodesData[[#This Row],[URL]])</f>
        <v>https://open-measure.atlassian.net/wiki/spaces/DIC/pages/81101665/AP</v>
      </c>
      <c r="F31" s="25" t="str" cm="1">
        <f t="array" ref="F31">IF(NodesJSON[[#This Row],[Export?]]=0,"",IF(ROW(NodesJSON[[#This Row],[label]])&gt;ROW(NodesJSON[[#Headers],[JSON]])+1,",","") &amp;"{"&amp;twoRangesToJSON(NodesJSON[[#Headers],[label]:[url]],NodesJSON[[#This Row],[label]:[url]])&amp;"}")</f>
        <v>,{"label":"AP","group":"","id":"nE25E9786_BF32_4FF9_AD96_CA6093825D81","url":"https://open-measure.atlassian.net/wiki/spaces/DIC/pages/81101665/AP"}</v>
      </c>
    </row>
    <row r="32" spans="1:6" ht="13.9" thickTop="1" thickBot="1" x14ac:dyDescent="0.4">
      <c r="A32" s="39">
        <f>IF(ISERR(NodesJSON[[#This Row],[label]]),0,1)</f>
        <v>1</v>
      </c>
      <c r="B32" s="3" t="str">
        <f>NodesData[[#This Row],[Common Name]]</f>
        <v>Applicant</v>
      </c>
      <c r="C32" s="3" t="str">
        <f>IF(NodesData[[#This Row],[Context Instanciation]]="","",NodesData[[#This Row],[Context Instanciation]])</f>
        <v/>
      </c>
      <c r="D32" s="22" t="str">
        <f>NodesData[[#This Row],[Node ID]]</f>
        <v>n84B52A55_528C_4D8E_AC41_6975F8BB6772</v>
      </c>
      <c r="E32" s="3" t="str">
        <f>IF(NodesData[[#This Row],[URL]]="","",NodesData[[#This Row],[URL]])</f>
        <v>https://open-measure.atlassian.net/wiki/spaces/DIC/pages/848625750</v>
      </c>
      <c r="F32" s="25" t="str" cm="1">
        <f t="array" ref="F32">IF(NodesJSON[[#This Row],[Export?]]=0,"",IF(ROW(NodesJSON[[#This Row],[label]])&gt;ROW(NodesJSON[[#Headers],[JSON]])+1,",","") &amp;"{"&amp;twoRangesToJSON(NodesJSON[[#Headers],[label]:[url]],NodesJSON[[#This Row],[label]:[url]])&amp;"}")</f>
        <v>,{"label":"Applicant","group":"","id":"n84B52A55_528C_4D8E_AC41_6975F8BB6772","url":"https://open-measure.atlassian.net/wiki/spaces/DIC/pages/848625750"}</v>
      </c>
    </row>
    <row r="33" spans="1:6" ht="13.9" thickTop="1" thickBot="1" x14ac:dyDescent="0.4">
      <c r="A33" s="39">
        <f>IF(ISERR(NodesJSON[[#This Row],[label]]),0,1)</f>
        <v>1</v>
      </c>
      <c r="B33" s="3" t="str">
        <f>NodesData[[#This Row],[Common Name]]</f>
        <v>Application</v>
      </c>
      <c r="C33" s="3" t="str">
        <f>IF(NodesData[[#This Row],[Context Instanciation]]="","",NodesData[[#This Row],[Context Instanciation]])</f>
        <v/>
      </c>
      <c r="D33" s="22" t="str">
        <f>NodesData[[#This Row],[Node ID]]</f>
        <v>n72B6719C_C19A_4205_B703_0239826216C6</v>
      </c>
      <c r="E33" s="3" t="str">
        <f>IF(NodesData[[#This Row],[URL]]="","",NodesData[[#This Row],[URL]])</f>
        <v>https://open-measure.atlassian.net/wiki/spaces/DIC/pages/5965602/Application</v>
      </c>
      <c r="F33" s="25" t="str" cm="1">
        <f t="array" ref="F33">IF(NodesJSON[[#This Row],[Export?]]=0,"",IF(ROW(NodesJSON[[#This Row],[label]])&gt;ROW(NodesJSON[[#Headers],[JSON]])+1,",","") &amp;"{"&amp;twoRangesToJSON(NodesJSON[[#Headers],[label]:[url]],NodesJSON[[#This Row],[label]:[url]])&amp;"}")</f>
        <v>,{"label":"Application","group":"","id":"n72B6719C_C19A_4205_B703_0239826216C6","url":"https://open-measure.atlassian.net/wiki/spaces/DIC/pages/5965602/Application"}</v>
      </c>
    </row>
    <row r="34" spans="1:6" ht="13.9" thickTop="1" thickBot="1" x14ac:dyDescent="0.4">
      <c r="A34" s="39">
        <f>IF(ISERR(NodesJSON[[#This Row],[label]]),0,1)</f>
        <v>1</v>
      </c>
      <c r="B34" s="3" t="str">
        <f>NodesData[[#This Row],[Common Name]]</f>
        <v>Application Administrator</v>
      </c>
      <c r="C34" s="3" t="str">
        <f>IF(NodesData[[#This Row],[Context Instanciation]]="","",NodesData[[#This Row],[Context Instanciation]])</f>
        <v/>
      </c>
      <c r="D34" s="22" t="str">
        <f>NodesData[[#This Row],[Node ID]]</f>
        <v>nC98FF4A8_B8CF_4F33_A0F7_9002E0B55993</v>
      </c>
      <c r="E34" s="3" t="str">
        <f>IF(NodesData[[#This Row],[URL]]="","",NodesData[[#This Row],[URL]])</f>
        <v>https://open-measure.atlassian.net/wiki/spaces/DIC/pages/274236090</v>
      </c>
      <c r="F34" s="25" t="str" cm="1">
        <f t="array" ref="F34">IF(NodesJSON[[#This Row],[Export?]]=0,"",IF(ROW(NodesJSON[[#This Row],[label]])&gt;ROW(NodesJSON[[#Headers],[JSON]])+1,",","") &amp;"{"&amp;twoRangesToJSON(NodesJSON[[#Headers],[label]:[url]],NodesJSON[[#This Row],[label]:[url]])&amp;"}")</f>
        <v>,{"label":"Application Administrator","group":"","id":"nC98FF4A8_B8CF_4F33_A0F7_9002E0B55993","url":"https://open-measure.atlassian.net/wiki/spaces/DIC/pages/274236090"}</v>
      </c>
    </row>
    <row r="35" spans="1:6" ht="13.9" thickTop="1" thickBot="1" x14ac:dyDescent="0.4">
      <c r="A35" s="39">
        <f>IF(ISERR(NodesJSON[[#This Row],[label]]),0,1)</f>
        <v>1</v>
      </c>
      <c r="B35" s="3" t="str">
        <f>NodesData[[#This Row],[Common Name]]</f>
        <v>Application Instance</v>
      </c>
      <c r="C35" s="3" t="str">
        <f>IF(NodesData[[#This Row],[Context Instanciation]]="","",NodesData[[#This Row],[Context Instanciation]])</f>
        <v/>
      </c>
      <c r="D35" s="22" t="str">
        <f>NodesData[[#This Row],[Node ID]]</f>
        <v>n330A99D3_39A5_4757_967F_1E72BB400D93</v>
      </c>
      <c r="E35" s="3" t="str">
        <f>IF(NodesData[[#This Row],[URL]]="","",NodesData[[#This Row],[URL]])</f>
        <v>https://open-measure.atlassian.net/wiki/spaces/DIC/pages/834044036</v>
      </c>
      <c r="F35" s="25" t="str" cm="1">
        <f t="array" ref="F35">IF(NodesJSON[[#This Row],[Export?]]=0,"",IF(ROW(NodesJSON[[#This Row],[label]])&gt;ROW(NodesJSON[[#Headers],[JSON]])+1,",","") &amp;"{"&amp;twoRangesToJSON(NodesJSON[[#Headers],[label]:[url]],NodesJSON[[#This Row],[label]:[url]])&amp;"}")</f>
        <v>,{"label":"Application Instance","group":"","id":"n330A99D3_39A5_4757_967F_1E72BB400D93","url":"https://open-measure.atlassian.net/wiki/spaces/DIC/pages/834044036"}</v>
      </c>
    </row>
    <row r="36" spans="1:6" ht="13.9" thickTop="1" thickBot="1" x14ac:dyDescent="0.4">
      <c r="A36" s="39">
        <f>IF(ISERR(NodesJSON[[#This Row],[label]]),0,1)</f>
        <v>1</v>
      </c>
      <c r="B36" s="3" t="str">
        <f>NodesData[[#This Row],[Common Name]]</f>
        <v>Application Multiplexing</v>
      </c>
      <c r="C36" s="3" t="str">
        <f>IF(NodesData[[#This Row],[Context Instanciation]]="","",NodesData[[#This Row],[Context Instanciation]])</f>
        <v/>
      </c>
      <c r="D36" s="22" t="str">
        <f>NodesData[[#This Row],[Node ID]]</f>
        <v>nD6A8B379_9D4E_4112_B9E5_B4588BCB49D9</v>
      </c>
      <c r="E36" s="3" t="str">
        <f>IF(NodesData[[#This Row],[URL]]="","",NodesData[[#This Row],[URL]])</f>
        <v>https://open-measure.atlassian.net/wiki/spaces/DIC/pages/1658355721/Application+Multiplexing</v>
      </c>
      <c r="F36" s="25" t="str" cm="1">
        <f t="array" ref="F36">IF(NodesJSON[[#This Row],[Export?]]=0,"",IF(ROW(NodesJSON[[#This Row],[label]])&gt;ROW(NodesJSON[[#Headers],[JSON]])+1,",","") &amp;"{"&amp;twoRangesToJSON(NodesJSON[[#Headers],[label]:[url]],NodesJSON[[#This Row],[label]:[url]])&amp;"}")</f>
        <v>,{"label":"Application Multiplexing","group":"","id":"nD6A8B379_9D4E_4112_B9E5_B4588BCB49D9","url":"https://open-measure.atlassian.net/wiki/spaces/DIC/pages/1658355721/Application+Multiplexing"}</v>
      </c>
    </row>
    <row r="37" spans="1:6" ht="13.9" thickTop="1" thickBot="1" x14ac:dyDescent="0.4">
      <c r="A37" s="39">
        <f>IF(ISERR(NodesJSON[[#This Row],[label]]),0,1)</f>
        <v>1</v>
      </c>
      <c r="B37" s="3" t="str">
        <f>NodesData[[#This Row],[Common Name]]</f>
        <v>Application Package</v>
      </c>
      <c r="C37" s="3" t="str">
        <f>IF(NodesData[[#This Row],[Context Instanciation]]="","",NodesData[[#This Row],[Context Instanciation]])</f>
        <v/>
      </c>
      <c r="D37" s="22" t="str">
        <f>NodesData[[#This Row],[Node ID]]</f>
        <v>nBF754068_D51A_4AC8_A362_C61F502C1D0B</v>
      </c>
      <c r="E37" s="3" t="str">
        <f>IF(NodesData[[#This Row],[URL]]="","",NodesData[[#This Row],[URL]])</f>
        <v>https://open-measure.atlassian.net/wiki/spaces/DIC/pages/5932704</v>
      </c>
      <c r="F37" s="25" t="str" cm="1">
        <f t="array" ref="F37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Package","group":"","id":"nBF754068_D51A_4AC8_A362_C61F502C1D0B","url":"https://open-measure.atlassian.net/wiki/spaces/DIC/pages/5932704"}</v>
      </c>
    </row>
    <row r="38" spans="1:6" ht="13.9" thickTop="1" thickBot="1" x14ac:dyDescent="0.4">
      <c r="A38" s="39">
        <f>IF(ISERR(NodesJSON[[#This Row],[label]]),0,1)</f>
        <v>1</v>
      </c>
      <c r="B38" s="3" t="str">
        <f>NodesData[[#This Row],[Common Name]]</f>
        <v>Application Program</v>
      </c>
      <c r="C38" s="3" t="str">
        <f>IF(NodesData[[#This Row],[Context Instanciation]]="","",NodesData[[#This Row],[Context Instanciation]])</f>
        <v/>
      </c>
      <c r="D38" s="22" t="str">
        <f>NodesData[[#This Row],[Node ID]]</f>
        <v>n53981EC2_9DED_4349_BC86_E5D6093333ED</v>
      </c>
      <c r="E38" s="3" t="str">
        <f>IF(NodesData[[#This Row],[URL]]="","",NodesData[[#This Row],[URL]])</f>
        <v>https://open-measure.atlassian.net/wiki/spaces/DIC/pages/6030793/Application+Program</v>
      </c>
      <c r="F38" s="25" t="str" cm="1">
        <f t="array" ref="F38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Program","group":"","id":"n53981EC2_9DED_4349_BC86_E5D6093333ED","url":"https://open-measure.atlassian.net/wiki/spaces/DIC/pages/6030793/Application+Program"}</v>
      </c>
    </row>
    <row r="39" spans="1:6" ht="13.9" thickTop="1" thickBot="1" x14ac:dyDescent="0.4">
      <c r="A39" s="39">
        <f>IF(ISERR(NodesJSON[[#This Row],[label]]),0,1)</f>
        <v>1</v>
      </c>
      <c r="B39" s="3" t="str">
        <f>NodesData[[#This Row],[Common Name]]</f>
        <v>Application-Level Policy</v>
      </c>
      <c r="C39" s="3" t="str">
        <f>IF(NodesData[[#This Row],[Context Instanciation]]="","",NodesData[[#This Row],[Context Instanciation]])</f>
        <v/>
      </c>
      <c r="D39" s="22" t="str">
        <f>NodesData[[#This Row],[Node ID]]</f>
        <v>n8511EC23_ED3A_42D2_86FC_40B1D3E32F2D</v>
      </c>
      <c r="E39" s="3" t="str">
        <f>IF(NodesData[[#This Row],[URL]]="","",NodesData[[#This Row],[URL]])</f>
        <v>https://open-measure.atlassian.net/wiki/spaces/DIC/pages/1122631854</v>
      </c>
      <c r="F39" s="25" t="str" cm="1">
        <f t="array" ref="F39">IF(NodesJSON[[#This Row],[Export?]]=0,"",IF(ROW(NodesJSON[[#This Row],[label]])&gt;ROW(NodesJSON[[#Headers],[JSON]])+1,",","") &amp;"{"&amp;twoRangesToJSON(NodesJSON[[#Headers],[label]:[url]],NodesJSON[[#This Row],[label]:[url]])&amp;"}")</f>
        <v>,{"label":"Application-Level Policy","group":"","id":"n8511EC23_ED3A_42D2_86FC_40B1D3E32F2D","url":"https://open-measure.atlassian.net/wiki/spaces/DIC/pages/1122631854"}</v>
      </c>
    </row>
    <row r="40" spans="1:6" ht="13.9" thickTop="1" thickBot="1" x14ac:dyDescent="0.4">
      <c r="A40" s="39">
        <f>IF(ISERR(NodesJSON[[#This Row],[label]]),0,1)</f>
        <v>1</v>
      </c>
      <c r="B40" s="3" t="str">
        <f>NodesData[[#This Row],[Common Name]]</f>
        <v>Archive</v>
      </c>
      <c r="C40" s="3" t="str">
        <f>IF(NodesData[[#This Row],[Context Instanciation]]="","",NodesData[[#This Row],[Context Instanciation]])</f>
        <v/>
      </c>
      <c r="D40" s="22" t="str">
        <f>NodesData[[#This Row],[Node ID]]</f>
        <v>n1FB40DB9_D8D0_4978_BD01_879C77DE04A8</v>
      </c>
      <c r="E40" s="3" t="str">
        <f>IF(NodesData[[#This Row],[URL]]="","",NodesData[[#This Row],[URL]])</f>
        <v>https://open-measure.atlassian.net/wiki/spaces/DIC/pages/425197720</v>
      </c>
      <c r="F40" s="25" t="str" cm="1">
        <f t="array" ref="F40">IF(NodesJSON[[#This Row],[Export?]]=0,"",IF(ROW(NodesJSON[[#This Row],[label]])&gt;ROW(NodesJSON[[#Headers],[JSON]])+1,",","") &amp;"{"&amp;twoRangesToJSON(NodesJSON[[#Headers],[label]:[url]],NodesJSON[[#This Row],[label]:[url]])&amp;"}")</f>
        <v>,{"label":"Archive","group":"","id":"n1FB40DB9_D8D0_4978_BD01_879C77DE04A8","url":"https://open-measure.atlassian.net/wiki/spaces/DIC/pages/425197720"}</v>
      </c>
    </row>
    <row r="41" spans="1:6" ht="13.9" thickTop="1" thickBot="1" x14ac:dyDescent="0.4">
      <c r="A41" s="39">
        <f>IF(ISERR(NodesJSON[[#This Row],[label]]),0,1)</f>
        <v>1</v>
      </c>
      <c r="B41" s="3" t="str">
        <f>NodesData[[#This Row],[Common Name]]</f>
        <v>ARM</v>
      </c>
      <c r="C41" s="3" t="str">
        <f>IF(NodesData[[#This Row],[Context Instanciation]]="","",NodesData[[#This Row],[Context Instanciation]])</f>
        <v/>
      </c>
      <c r="D41" s="22" t="str">
        <f>NodesData[[#This Row],[Node ID]]</f>
        <v>nB3F90AFA_FC46_4122_9901_4FF284E9E7EC</v>
      </c>
      <c r="E41" s="3" t="str">
        <f>IF(NodesData[[#This Row],[URL]]="","",NodesData[[#This Row],[URL]])</f>
        <v>https://open-measure.atlassian.net/wiki/spaces/DIC/pages/1703994/ARM</v>
      </c>
      <c r="F41" s="25" t="str" cm="1">
        <f t="array" ref="F41">IF(NodesJSON[[#This Row],[Export?]]=0,"",IF(ROW(NodesJSON[[#This Row],[label]])&gt;ROW(NodesJSON[[#Headers],[JSON]])+1,",","") &amp;"{"&amp;twoRangesToJSON(NodesJSON[[#Headers],[label]:[url]],NodesJSON[[#This Row],[label]:[url]])&amp;"}")</f>
        <v>,{"label":"ARM","group":"","id":"nB3F90AFA_FC46_4122_9901_4FF284E9E7EC","url":"https://open-measure.atlassian.net/wiki/spaces/DIC/pages/1703994/ARM"}</v>
      </c>
    </row>
    <row r="42" spans="1:6" ht="13.9" thickTop="1" thickBot="1" x14ac:dyDescent="0.4">
      <c r="A42" s="39">
        <f>IF(ISERR(NodesJSON[[#This Row],[label]]),0,1)</f>
        <v>1</v>
      </c>
      <c r="B42" s="3" t="str">
        <f>NodesData[[#This Row],[Common Name]]</f>
        <v>Asset Custody</v>
      </c>
      <c r="C42" s="3" t="str">
        <f>IF(NodesData[[#This Row],[Context Instanciation]]="","",NodesData[[#This Row],[Context Instanciation]])</f>
        <v/>
      </c>
      <c r="D42" s="22" t="str">
        <f>NodesData[[#This Row],[Node ID]]</f>
        <v>n941163ED_640B_408A_8AEE_A41839EAB169</v>
      </c>
      <c r="E42" s="8"/>
      <c r="F42" s="25" t="str" cm="1">
        <f t="array" ref="F42">IF(NodesJSON[[#This Row],[Export?]]=0,"",IF(ROW(NodesJSON[[#This Row],[label]])&gt;ROW(NodesJSON[[#Headers],[JSON]])+1,",","") &amp;"{"&amp;twoRangesToJSON(NodesJSON[[#Headers],[label]:[url]],NodesJSON[[#This Row],[label]:[url]])&amp;"}")</f>
        <v>,{"label":"Asset Custody","group":"","id":"n941163ED_640B_408A_8AEE_A41839EAB169","url":""}</v>
      </c>
    </row>
    <row r="43" spans="1:6" ht="13.9" thickTop="1" thickBot="1" x14ac:dyDescent="0.4">
      <c r="A43" s="39">
        <f>IF(ISERR(NodesJSON[[#This Row],[label]]),0,1)</f>
        <v>1</v>
      </c>
      <c r="B43" s="3" t="str">
        <f>NodesData[[#This Row],[Common Name]]</f>
        <v>Attack Class</v>
      </c>
      <c r="C43" s="3" t="str">
        <f>IF(NodesData[[#This Row],[Context Instanciation]]="","",NodesData[[#This Row],[Context Instanciation]])</f>
        <v/>
      </c>
      <c r="D43" s="22" t="str">
        <f>NodesData[[#This Row],[Node ID]]</f>
        <v>nBC613B66_5F94_4F48_91BD_5F6BBA766E79</v>
      </c>
      <c r="E43" s="10" t="s">
        <v>586</v>
      </c>
      <c r="F43" s="25" t="str" cm="1">
        <f t="array" ref="F43">IF(NodesJSON[[#This Row],[Export?]]=0,"",IF(ROW(NodesJSON[[#This Row],[label]])&gt;ROW(NodesJSON[[#Headers],[JSON]])+1,",","") &amp;"{"&amp;twoRangesToJSON(NodesJSON[[#Headers],[label]:[url]],NodesJSON[[#This Row],[label]:[url]])&amp;"}")</f>
        <v>,{"label":"Attack Class","group":"","id":"nBC613B66_5F94_4F48_91BD_5F6BBA766E79","url":"https://open-measure.atlassian.net/wiki/spaces/DIC/pages/848724060"}</v>
      </c>
    </row>
    <row r="44" spans="1:6" ht="13.9" thickTop="1" thickBot="1" x14ac:dyDescent="0.4">
      <c r="A44" s="39">
        <f>IF(ISERR(NodesJSON[[#This Row],[label]]),0,1)</f>
        <v>1</v>
      </c>
      <c r="B44" s="3" t="str">
        <f>NodesData[[#This Row],[Common Name]]</f>
        <v>Attestation</v>
      </c>
      <c r="C44" s="3" t="str">
        <f>IF(NodesData[[#This Row],[Context Instanciation]]="","",NodesData[[#This Row],[Context Instanciation]])</f>
        <v/>
      </c>
      <c r="D44" s="22" t="str">
        <f>NodesData[[#This Row],[Node ID]]</f>
        <v>n0CDD8E1B_608D_404D_AC1A_27954DBC282F</v>
      </c>
      <c r="E44" s="10" t="s">
        <v>588</v>
      </c>
      <c r="F44" s="25" t="str" cm="1">
        <f t="array" ref="F44">IF(NodesJSON[[#This Row],[Export?]]=0,"",IF(ROW(NodesJSON[[#This Row],[label]])&gt;ROW(NodesJSON[[#Headers],[JSON]])+1,",","") &amp;"{"&amp;twoRangesToJSON(NodesJSON[[#Headers],[label]:[url]],NodesJSON[[#This Row],[label]:[url]])&amp;"}")</f>
        <v>,{"label":"Attestation","group":"","id":"n0CDD8E1B_608D_404D_AC1A_27954DBC282F","url":"https://open-measure.atlassian.net/wiki/spaces/DIC/pages/998178905"}</v>
      </c>
    </row>
    <row r="45" spans="1:6" ht="13.9" thickTop="1" thickBot="1" x14ac:dyDescent="0.4">
      <c r="A45" s="39">
        <f>IF(ISERR(NodesJSON[[#This Row],[label]]),0,1)</f>
        <v>1</v>
      </c>
      <c r="B45" s="3" t="str">
        <f>NodesData[[#This Row],[Common Name]]</f>
        <v>Attribute</v>
      </c>
      <c r="C45" s="3" t="str">
        <f>IF(NodesData[[#This Row],[Context Instanciation]]="","",NodesData[[#This Row],[Context Instanciation]])</f>
        <v/>
      </c>
      <c r="D45" s="22" t="str">
        <f>NodesData[[#This Row],[Node ID]]</f>
        <v>nD0FF0291_03AE_4248_8CFC_F92543A2535F</v>
      </c>
      <c r="E45" s="10" t="s">
        <v>590</v>
      </c>
      <c r="F45" s="25" t="str" cm="1">
        <f t="array" ref="F45">IF(NodesJSON[[#This Row],[Export?]]=0,"",IF(ROW(NodesJSON[[#This Row],[label]])&gt;ROW(NodesJSON[[#Headers],[JSON]])+1,",","") &amp;"{"&amp;twoRangesToJSON(NodesJSON[[#Headers],[label]:[url]],NodesJSON[[#This Row],[label]:[url]])&amp;"}")</f>
        <v>,{"label":"Attribute","group":"","id":"nD0FF0291_03AE_4248_8CFC_F92543A2535F","url":"https://open-measure.atlassian.net/wiki/spaces/DIC/pages/60882993"}</v>
      </c>
    </row>
    <row r="46" spans="1:6" ht="13.9" thickTop="1" thickBot="1" x14ac:dyDescent="0.4">
      <c r="A46" s="39">
        <f>IF(ISERR(NodesJSON[[#This Row],[label]]),0,1)</f>
        <v>1</v>
      </c>
      <c r="B46" s="3" t="str">
        <f>NodesData[[#This Row],[Common Name]]</f>
        <v>Attribute Provider</v>
      </c>
      <c r="C46" s="3" t="str">
        <f>IF(NodesData[[#This Row],[Context Instanciation]]="","",NodesData[[#This Row],[Context Instanciation]])</f>
        <v/>
      </c>
      <c r="D46" s="22" t="str">
        <f>NodesData[[#This Row],[Node ID]]</f>
        <v>n818AA88B_F47E_48A3_896A_B86B61970370</v>
      </c>
      <c r="E46" s="10" t="s">
        <v>593</v>
      </c>
      <c r="F46" s="25" t="str" cm="1">
        <f t="array" ref="F46">IF(NodesJSON[[#This Row],[Export?]]=0,"",IF(ROW(NodesJSON[[#This Row],[label]])&gt;ROW(NodesJSON[[#Headers],[JSON]])+1,",","") &amp;"{"&amp;twoRangesToJSON(NodesJSON[[#Headers],[label]:[url]],NodesJSON[[#This Row],[label]:[url]])&amp;"}")</f>
        <v>,{"label":"Attribute Provider","group":"","id":"n818AA88B_F47E_48A3_896A_B86B61970370","url":"https://open-measure.atlassian.net/wiki/spaces/DIC/pages/1311472"}</v>
      </c>
    </row>
    <row r="47" spans="1:6" ht="13.9" thickTop="1" thickBot="1" x14ac:dyDescent="0.4">
      <c r="A47" s="39">
        <f>IF(ISERR(NodesJSON[[#This Row],[label]]),0,1)</f>
        <v>1</v>
      </c>
      <c r="B47" s="3" t="str">
        <f>NodesData[[#This Row],[Common Name]]</f>
        <v>Authenticated Users</v>
      </c>
      <c r="C47" s="3" t="str">
        <f>IF(NodesData[[#This Row],[Context Instanciation]]="","",NodesData[[#This Row],[Context Instanciation]])</f>
        <v/>
      </c>
      <c r="D47" s="22" t="str">
        <f>NodesData[[#This Row],[Node ID]]</f>
        <v>nF97A2FB7_CEBC_41A2_93A3_8B494BBD7EDE</v>
      </c>
      <c r="E47" s="10" t="s">
        <v>595</v>
      </c>
      <c r="F47" s="25" t="str" cm="1">
        <f t="array" ref="F47">IF(NodesJSON[[#This Row],[Export?]]=0,"",IF(ROW(NodesJSON[[#This Row],[label]])&gt;ROW(NodesJSON[[#Headers],[JSON]])+1,",","") &amp;"{"&amp;twoRangesToJSON(NodesJSON[[#Headers],[label]:[url]],NodesJSON[[#This Row],[label]:[url]])&amp;"}")</f>
        <v>,{"label":"Authenticated Users","group":"","id":"nF97A2FB7_CEBC_41A2_93A3_8B494BBD7EDE","url":"https://open-measure.atlassian.net/wiki/spaces/DIC/pages/998277774"}</v>
      </c>
    </row>
    <row r="48" spans="1:6" ht="13.9" thickTop="1" thickBot="1" x14ac:dyDescent="0.4">
      <c r="A48" s="39">
        <f>IF(ISERR(NodesJSON[[#This Row],[label]]),0,1)</f>
        <v>1</v>
      </c>
      <c r="B48" s="3" t="str">
        <f>NodesData[[#This Row],[Common Name]]</f>
        <v>Authentication</v>
      </c>
      <c r="C48" s="3" t="str">
        <f>IF(NodesData[[#This Row],[Context Instanciation]]="","",NodesData[[#This Row],[Context Instanciation]])</f>
        <v/>
      </c>
      <c r="D48" s="22" t="str">
        <f>NodesData[[#This Row],[Node ID]]</f>
        <v>n5498F625_6E3B_46CB_976C_85F3529AECDF</v>
      </c>
      <c r="E48" s="10" t="s">
        <v>597</v>
      </c>
      <c r="F48" s="25" t="str" cm="1">
        <f t="array" ref="F48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,{"label":"Authentication","group":"","id":"n5498F625_6E3B_46CB_976C_85F3529AECDF","url":"https://open-measure.atlassian.net/wiki/spaces/DIC/pages/998245198"}</v>
      </c>
    </row>
    <row r="49" spans="1:6" ht="13.9" thickTop="1" thickBot="1" x14ac:dyDescent="0.4">
      <c r="A49" s="39">
        <f>IF(ISERR(NodesJSON[[#This Row],[label]]),0,1)</f>
        <v>1</v>
      </c>
      <c r="B49" s="3" t="str">
        <f>NodesData[[#This Row],[Common Name]]</f>
        <v>Authentication Factor</v>
      </c>
      <c r="C49" s="3" t="str">
        <f>IF(NodesData[[#This Row],[Context Instanciation]]="","",NodesData[[#This Row],[Context Instanciation]])</f>
        <v/>
      </c>
      <c r="D49" s="22" t="str">
        <f>NodesData[[#This Row],[Node ID]]</f>
        <v>n67C132A3_290E_4750_90DE_11E7C1778537</v>
      </c>
      <c r="E49" s="10" t="s">
        <v>599</v>
      </c>
      <c r="F49" s="25" t="str" cm="1">
        <f t="array" ref="F49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Factor","group":"","id":"n67C132A3_290E_4750_90DE_11E7C1778537","url":"https://open-measure.atlassian.net/wiki/spaces/DIC/pages/998277876"}</v>
      </c>
    </row>
    <row r="50" spans="1:6" ht="13.9" thickTop="1" thickBot="1" x14ac:dyDescent="0.4">
      <c r="A50" s="39">
        <f>IF(ISERR(NodesJSON[[#This Row],[label]]),0,1)</f>
        <v>1</v>
      </c>
      <c r="B50" s="3" t="str">
        <f>NodesData[[#This Row],[Common Name]]</f>
        <v>Authentication Method</v>
      </c>
      <c r="C50" s="3" t="str">
        <f>IF(NodesData[[#This Row],[Context Instanciation]]="","",NodesData[[#This Row],[Context Instanciation]])</f>
        <v/>
      </c>
      <c r="D50" s="22" t="str">
        <f>NodesData[[#This Row],[Node ID]]</f>
        <v>n53877DB9_77FA_44E9_974A_BE3344133398</v>
      </c>
      <c r="E50" s="10" t="s">
        <v>601</v>
      </c>
      <c r="F50" s="25" t="str" cm="1">
        <f t="array" ref="F50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Method","group":"","id":"n53877DB9_77FA_44E9_974A_BE3344133398","url":"https://open-measure.atlassian.net/wiki/spaces/DIC/pages/998277805"}</v>
      </c>
    </row>
    <row r="51" spans="1:6" ht="13.9" thickTop="1" thickBot="1" x14ac:dyDescent="0.4">
      <c r="A51" s="39">
        <f>IF(ISERR(NodesJSON[[#This Row],[label]]),0,1)</f>
        <v>1</v>
      </c>
      <c r="B51" s="3" t="str">
        <f>NodesData[[#This Row],[Common Name]]</f>
        <v>Authenticator</v>
      </c>
      <c r="C51" s="3" t="str">
        <f>IF(NodesData[[#This Row],[Context Instanciation]]="","",NodesData[[#This Row],[Context Instanciation]])</f>
        <v/>
      </c>
      <c r="D51" s="22" t="str">
        <f>NodesData[[#This Row],[Node ID]]</f>
        <v>n7A4D7599_F86F_4594_8B18_58AA2548C0B4</v>
      </c>
      <c r="E51" s="10" t="s">
        <v>603</v>
      </c>
      <c r="F51" s="25" t="str" cm="1">
        <f t="array" ref="F51">IF(NodesJSON[[#This Row],[Export?]]=0,"",IF(ROW(NodesJSON[[#This Row],[label]])&gt;ROW(NodesJSON[[#Headers],[JSON]])+1,",","") &amp;"{"&amp;twoRangesToJSON(NodesJSON[[#Headers],[label]:[url]],NodesJSON[[#This Row],[label]:[url]])&amp;"}")</f>
        <v>,{"label":"Authenticator","group":"","id":"n7A4D7599_F86F_4594_8B18_58AA2548C0B4","url":"https://open-measure.atlassian.net/wiki/spaces/DIC/pages/998277852"}</v>
      </c>
    </row>
    <row r="52" spans="1:6" ht="13.9" thickTop="1" thickBot="1" x14ac:dyDescent="0.4">
      <c r="A52" s="39">
        <f>IF(ISERR(NodesJSON[[#This Row],[label]]),0,1)</f>
        <v>1</v>
      </c>
      <c r="B52" s="3" t="str">
        <f>NodesData[[#This Row],[Common Name]]</f>
        <v>Authority</v>
      </c>
      <c r="C52" s="3" t="str">
        <f>IF(NodesData[[#This Row],[Context Instanciation]]="","",NodesData[[#This Row],[Context Instanciation]])</f>
        <v/>
      </c>
      <c r="D52" s="22" t="str">
        <f>NodesData[[#This Row],[Node ID]]</f>
        <v>nC7C1A468_0E1F_46E1_B73A_731992ABA6D5</v>
      </c>
      <c r="E52" s="10" t="s">
        <v>605</v>
      </c>
      <c r="F52" s="25" t="str" cm="1">
        <f t="array" ref="F52">IF(NodesJSON[[#This Row],[Export?]]=0,"",IF(ROW(NodesJSON[[#This Row],[label]])&gt;ROW(NodesJSON[[#Headers],[JSON]])+1,",","") &amp;"{"&amp;twoRangesToJSON(NodesJSON[[#Headers],[label]:[url]],NodesJSON[[#This Row],[label]:[url]])&amp;"}")</f>
        <v>,{"label":"Authority","group":"","id":"nC7C1A468_0E1F_46E1_B73A_731992ABA6D5","url":"https://open-measure.atlassian.net/wiki/spaces/DIC/pages/1071251573"}</v>
      </c>
    </row>
    <row r="53" spans="1:6" ht="13.9" thickTop="1" thickBot="1" x14ac:dyDescent="0.4">
      <c r="A53" s="39">
        <f>IF(ISERR(NodesJSON[[#This Row],[label]]),0,1)</f>
        <v>1</v>
      </c>
      <c r="B53" s="3" t="str">
        <f>NodesData[[#This Row],[Common Name]]</f>
        <v>Authorization</v>
      </c>
      <c r="C53" s="3" t="str">
        <f>IF(NodesData[[#This Row],[Context Instanciation]]="","",NodesData[[#This Row],[Context Instanciation]])</f>
        <v/>
      </c>
      <c r="D53" s="22" t="str">
        <f>NodesData[[#This Row],[Node ID]]</f>
        <v>n88704212_4558_4B65_9E18_ACA6FB85434F</v>
      </c>
      <c r="E53" s="10" t="s">
        <v>607</v>
      </c>
      <c r="F53" s="25" t="str" cm="1">
        <f t="array" ref="F53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,{"label":"Authorization","group":"","id":"n88704212_4558_4B65_9E18_ACA6FB85434F","url":"https://open-measure.atlassian.net/wiki/spaces/DIC/pages/998245151"}</v>
      </c>
    </row>
    <row r="54" spans="1:6" ht="13.9" thickTop="1" thickBot="1" x14ac:dyDescent="0.4">
      <c r="A54" s="39">
        <f>IF(ISERR(NodesJSON[[#This Row],[label]]),0,1)</f>
        <v>1</v>
      </c>
      <c r="B54" s="3" t="str">
        <f>NodesData[[#This Row],[Common Name]]</f>
        <v>Authorization Externalization</v>
      </c>
      <c r="C54" s="3" t="str">
        <f>IF(NodesData[[#This Row],[Context Instanciation]]="","",NodesData[[#This Row],[Context Instanciation]])</f>
        <v/>
      </c>
      <c r="D54" s="22" t="str">
        <f>NodesData[[#This Row],[Node ID]]</f>
        <v>nEFD1A6B4_F1EC_40F7_985E_A79FDAFA5290</v>
      </c>
      <c r="E54" s="10" t="s">
        <v>609</v>
      </c>
      <c r="F54" s="25" t="str" cm="1">
        <f t="array" ref="F54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 Externalization","group":"","id":"nEFD1A6B4_F1EC_40F7_985E_A79FDAFA5290","url":"https://open-measure.atlassian.net/wiki/spaces/DIC/pages/998277835"}</v>
      </c>
    </row>
    <row r="55" spans="1:6" ht="13.9" thickTop="1" thickBot="1" x14ac:dyDescent="0.4">
      <c r="A55" s="39">
        <f>IF(ISERR(NodesJSON[[#This Row],[label]]),0,1)</f>
        <v>1</v>
      </c>
      <c r="B55" s="3" t="str">
        <f>NodesData[[#This Row],[Common Name]]</f>
        <v>Awareness</v>
      </c>
      <c r="C55" s="3" t="str">
        <f>IF(NodesData[[#This Row],[Context Instanciation]]="","",NodesData[[#This Row],[Context Instanciation]])</f>
        <v/>
      </c>
      <c r="D55" s="22" t="str">
        <f>NodesData[[#This Row],[Node ID]]</f>
        <v>nED52833B_3CB7_4602_8F07_AAFFA537007A</v>
      </c>
      <c r="E55" s="10" t="s">
        <v>611</v>
      </c>
      <c r="F55" s="25" t="str" cm="1">
        <f t="array" ref="F55">IF(NodesJSON[[#This Row],[Export?]]=0,"",IF(ROW(NodesJSON[[#This Row],[label]])&gt;ROW(NodesJSON[[#Headers],[JSON]])+1,",","") &amp;"{"&amp;twoRangesToJSON(NodesJSON[[#Headers],[label]:[url]],NodesJSON[[#This Row],[label]:[url]])&amp;"}")</f>
        <v>,{"label":"Awareness","group":"","id":"nED52833B_3CB7_4602_8F07_AAFFA537007A","url":"https://open-measure.atlassian.net/wiki/spaces/DIC/pages/998245125"}</v>
      </c>
    </row>
    <row r="56" spans="1:6" ht="13.9" thickTop="1" thickBot="1" x14ac:dyDescent="0.4">
      <c r="A56" s="39">
        <f>IF(ISERR(NodesJSON[[#This Row],[label]]),0,1)</f>
        <v>1</v>
      </c>
      <c r="B56" s="3" t="str">
        <f>NodesData[[#This Row],[Common Name]]</f>
        <v>AWS Account Root User</v>
      </c>
      <c r="C56" s="3" t="str">
        <f>IF(NodesData[[#This Row],[Context Instanciation]]="","",NodesData[[#This Row],[Context Instanciation]])</f>
        <v/>
      </c>
      <c r="D56" s="22" t="str">
        <f>NodesData[[#This Row],[Node ID]]</f>
        <v>n4D85EB1C_A961_426D_AEF6_EEE56E460849</v>
      </c>
      <c r="E56" s="10" t="s">
        <v>591</v>
      </c>
      <c r="F56" s="25" t="str" cm="1">
        <f t="array" ref="F56">IF(NodesJSON[[#This Row],[Export?]]=0,"",IF(ROW(NodesJSON[[#This Row],[label]])&gt;ROW(NodesJSON[[#Headers],[JSON]])+1,",","") &amp;"{"&amp;twoRangesToJSON(NodesJSON[[#Headers],[label]:[url]],NodesJSON[[#This Row],[label]:[url]])&amp;"}")</f>
        <v>,{"label":"AWS Account Root User","group":"","id":"n4D85EB1C_A961_426D_AEF6_EEE56E460849","url":"https://open-measure.atlassian.net/wiki/spaces/DIC/pages/1137573936/Authorization+Externalization"}</v>
      </c>
    </row>
    <row r="57" spans="1:6" ht="13.9" thickTop="1" thickBot="1" x14ac:dyDescent="0.4">
      <c r="A57" s="39">
        <f>IF(ISERR(NodesJSON[[#This Row],[label]]),0,1)</f>
        <v>1</v>
      </c>
      <c r="B57" s="3" t="str">
        <f>NodesData[[#This Row],[Common Name]]</f>
        <v>AWS ACL</v>
      </c>
      <c r="C57" s="3" t="str">
        <f>IF(NodesData[[#This Row],[Context Instanciation]]="","",NodesData[[#This Row],[Context Instanciation]])</f>
        <v/>
      </c>
      <c r="D57" s="22" t="str">
        <f>NodesData[[#This Row],[Node ID]]</f>
        <v>nD9B0296D_0D3A_447A_941D_9C10A546E6EA</v>
      </c>
      <c r="E57" s="10" t="s">
        <v>613</v>
      </c>
      <c r="F57" s="25" t="str" cm="1">
        <f t="array" ref="F57">IF(NodesJSON[[#This Row],[Export?]]=0,"",IF(ROW(NodesJSON[[#This Row],[label]])&gt;ROW(NodesJSON[[#Headers],[JSON]])+1,",","") &amp;"{"&amp;twoRangesToJSON(NodesJSON[[#Headers],[label]:[url]],NodesJSON[[#This Row],[label]:[url]])&amp;"}")</f>
        <v>,{"label":"AWS ACL","group":"","id":"nD9B0296D_0D3A_447A_941D_9C10A546E6EA","url":"https://open-measure.atlassian.net/wiki/spaces/DIC/pages/797933843"}</v>
      </c>
    </row>
    <row r="58" spans="1:6" ht="13.9" thickTop="1" thickBot="1" x14ac:dyDescent="0.4">
      <c r="A58" s="39">
        <f>IF(ISERR(NodesJSON[[#This Row],[label]]),0,1)</f>
        <v>1</v>
      </c>
      <c r="B58" s="3" t="str">
        <f>NodesData[[#This Row],[Common Name]]</f>
        <v>AWS IAM</v>
      </c>
      <c r="C58" s="3" t="str">
        <f>IF(NodesData[[#This Row],[Context Instanciation]]="","",NodesData[[#This Row],[Context Instanciation]])</f>
        <v/>
      </c>
      <c r="D58" s="22" t="str">
        <f>NodesData[[#This Row],[Node ID]]</f>
        <v>n1482D4D7_7EEE_42C9_A18A_162895B6DAD6</v>
      </c>
      <c r="E58" s="10" t="s">
        <v>615</v>
      </c>
      <c r="F58" s="25" t="str" cm="1">
        <f t="array" ref="F58">IF(NodesJSON[[#This Row],[Export?]]=0,"",IF(ROW(NodesJSON[[#This Row],[label]])&gt;ROW(NodesJSON[[#Headers],[JSON]])+1,",","") &amp;"{"&amp;twoRangesToJSON(NodesJSON[[#Headers],[label]:[url]],NodesJSON[[#This Row],[label]:[url]])&amp;"}")</f>
        <v>,{"label":"AWS IAM","group":"","id":"n1482D4D7_7EEE_42C9_A18A_162895B6DAD6","url":"https://open-measure.atlassian.net/wiki/spaces/DIC/pages/1228079157"}</v>
      </c>
    </row>
    <row r="59" spans="1:6" ht="13.9" thickTop="1" thickBot="1" x14ac:dyDescent="0.4">
      <c r="A59" s="39">
        <f>IF(ISERR(NodesJSON[[#This Row],[label]]),0,1)</f>
        <v>1</v>
      </c>
      <c r="B59" s="3" t="str">
        <f>NodesData[[#This Row],[Common Name]]</f>
        <v>AWS IAM Group</v>
      </c>
      <c r="C59" s="3" t="str">
        <f>IF(NodesData[[#This Row],[Context Instanciation]]="","",NodesData[[#This Row],[Context Instanciation]])</f>
        <v/>
      </c>
      <c r="D59" s="22" t="str">
        <f>NodesData[[#This Row],[Node ID]]</f>
        <v>nCCBCF09B_7033_4E6D_9851_D29BB7B648A6</v>
      </c>
      <c r="E59" s="4"/>
      <c r="F59" s="25" t="str" cm="1">
        <f t="array" ref="F59">IF(NodesJSON[[#This Row],[Export?]]=0,"",IF(ROW(NodesJSON[[#This Row],[label]])&gt;ROW(NodesJSON[[#Headers],[JSON]])+1,",","") &amp;"{"&amp;twoRangesToJSON(NodesJSON[[#Headers],[label]:[url]],NodesJSON[[#This Row],[label]:[url]])&amp;"}")</f>
        <v>,{"label":"AWS IAM Group","group":"","id":"nCCBCF09B_7033_4E6D_9851_D29BB7B648A6","url":""}</v>
      </c>
    </row>
    <row r="60" spans="1:6" ht="13.9" thickTop="1" thickBot="1" x14ac:dyDescent="0.4">
      <c r="A60" s="39">
        <f>IF(ISERR(NodesJSON[[#This Row],[label]]),0,1)</f>
        <v>1</v>
      </c>
      <c r="B60" s="3" t="str">
        <f>NodesData[[#This Row],[Common Name]]</f>
        <v>AWS IAM Policy</v>
      </c>
      <c r="C60" s="3" t="str">
        <f>IF(NodesData[[#This Row],[Context Instanciation]]="","",NodesData[[#This Row],[Context Instanciation]])</f>
        <v/>
      </c>
      <c r="D60" s="22" t="str">
        <f>NodesData[[#This Row],[Node ID]]</f>
        <v>n1875AE23_28E6_45EE_840E_8F1F9D6DA18E</v>
      </c>
      <c r="E60" s="10" t="s">
        <v>617</v>
      </c>
      <c r="F60" s="25" t="str" cm="1">
        <f t="array" ref="F60">IF(NodesJSON[[#This Row],[Export?]]=0,"",IF(ROW(NodesJSON[[#This Row],[label]])&gt;ROW(NodesJSON[[#Headers],[JSON]])+1,",","") &amp;"{"&amp;twoRangesToJSON(NodesJSON[[#Headers],[label]:[url]],NodesJSON[[#This Row],[label]:[url]])&amp;"}")</f>
        <v>,{"label":"AWS IAM Policy","group":"","id":"n1875AE23_28E6_45EE_840E_8F1F9D6DA18E","url":"https://open-measure.atlassian.net/wiki/spaces/DIC/pages/1237549087/Bell-LaPadula+Model"}</v>
      </c>
    </row>
    <row r="61" spans="1:6" ht="13.9" thickTop="1" thickBot="1" x14ac:dyDescent="0.4">
      <c r="A61" s="39">
        <f>IF(ISERR(NodesJSON[[#This Row],[label]]),0,1)</f>
        <v>1</v>
      </c>
      <c r="B61" s="3" t="str">
        <f>NodesData[[#This Row],[Common Name]]</f>
        <v>AWS IAM Principal</v>
      </c>
      <c r="C61" s="3" t="str">
        <f>IF(NodesData[[#This Row],[Context Instanciation]]="","",NodesData[[#This Row],[Context Instanciation]])</f>
        <v/>
      </c>
      <c r="D61" s="22" t="str">
        <f>NodesData[[#This Row],[Node ID]]</f>
        <v>nF9259DCB_1490_4C14_A807_E2EB6BAEBCD6</v>
      </c>
      <c r="E61" s="10" t="s">
        <v>616</v>
      </c>
      <c r="F61" s="25" t="str" cm="1">
        <f t="array" ref="F61">IF(NodesJSON[[#This Row],[Export?]]=0,"",IF(ROW(NodesJSON[[#This Row],[label]])&gt;ROW(NodesJSON[[#Headers],[JSON]])+1,",","") &amp;"{"&amp;twoRangesToJSON(NodesJSON[[#Headers],[label]:[url]],NodesJSON[[#This Row],[label]:[url]])&amp;"}")</f>
        <v>,{"label":"AWS IAM Principal","group":"","id":"nF9259DCB_1490_4C14_A807_E2EB6BAEBCD6","url":"https://open-measure.atlassian.net/wiki/spaces/DIC/pages/1673527501/Behavioral+Authentication"}</v>
      </c>
    </row>
    <row r="62" spans="1:6" ht="13.9" thickTop="1" thickBot="1" x14ac:dyDescent="0.4">
      <c r="A62" s="39">
        <f>IF(ISERR(NodesJSON[[#This Row],[label]]),0,1)</f>
        <v>1</v>
      </c>
      <c r="B62" s="3" t="str">
        <f>NodesData[[#This Row],[Common Name]]</f>
        <v>AWS IAM Role</v>
      </c>
      <c r="C62" s="3" t="str">
        <f>IF(NodesData[[#This Row],[Context Instanciation]]="","",NodesData[[#This Row],[Context Instanciation]])</f>
        <v/>
      </c>
      <c r="D62" s="22" t="str">
        <f>NodesData[[#This Row],[Node ID]]</f>
        <v>n1523F730_02BA_4AF6_B7DC_8FA728AB8AEA</v>
      </c>
      <c r="E62" s="10" t="s">
        <v>619</v>
      </c>
      <c r="F62" s="25" t="str" cm="1">
        <f t="array" ref="F62">IF(NodesJSON[[#This Row],[Export?]]=0,"",IF(ROW(NodesJSON[[#This Row],[label]])&gt;ROW(NodesJSON[[#Headers],[JSON]])+1,",","") &amp;"{"&amp;twoRangesToJSON(NodesJSON[[#Headers],[label]:[url]],NodesJSON[[#This Row],[label]:[url]])&amp;"}")</f>
        <v>,{"label":"AWS IAM Role","group":"","id":"n1523F730_02BA_4AF6_B7DC_8FA728AB8AEA","url":"https://open-measure.atlassian.net/wiki/spaces/DIC/pages/409174210"}</v>
      </c>
    </row>
    <row r="63" spans="1:6" ht="13.9" thickTop="1" thickBot="1" x14ac:dyDescent="0.4">
      <c r="A63" s="39">
        <f>IF(ISERR(NodesJSON[[#This Row],[label]]),0,1)</f>
        <v>1</v>
      </c>
      <c r="B63" s="3" t="str">
        <f>NodesData[[#This Row],[Common Name]]</f>
        <v>AWS IAM Temporary Security Credentials</v>
      </c>
      <c r="C63" s="3" t="str">
        <f>IF(NodesData[[#This Row],[Context Instanciation]]="","",NodesData[[#This Row],[Context Instanciation]])</f>
        <v/>
      </c>
      <c r="D63" s="22" t="str">
        <f>NodesData[[#This Row],[Node ID]]</f>
        <v>nB8600109_406A_41D5_A938_F40D2ABD263D</v>
      </c>
      <c r="E63" s="10" t="s">
        <v>621</v>
      </c>
      <c r="F63" s="25" t="str" cm="1">
        <f t="array" ref="F63">IF(NodesJSON[[#This Row],[Export?]]=0,"",IF(ROW(NodesJSON[[#This Row],[label]])&gt;ROW(NodesJSON[[#Headers],[JSON]])+1,",","") &amp;"{"&amp;twoRangesToJSON(NodesJSON[[#Headers],[label]:[url]],NodesJSON[[#This Row],[label]:[url]])&amp;"}")</f>
        <v>,{"label":"AWS IAM Temporary Security Credentials","group":"","id":"nB8600109_406A_41D5_A938_F40D2ABD263D","url":"https://open-measure.atlassian.net/wiki/spaces/DIC/pages/409010581"}</v>
      </c>
    </row>
    <row r="64" spans="1:6" ht="13.9" thickTop="1" thickBot="1" x14ac:dyDescent="0.4">
      <c r="A64" s="39">
        <f>IF(ISERR(NodesJSON[[#This Row],[label]]),0,1)</f>
        <v>1</v>
      </c>
      <c r="B64" s="3" t="str">
        <f>NodesData[[#This Row],[Common Name]]</f>
        <v>AWS IAM User</v>
      </c>
      <c r="C64" s="3" t="str">
        <f>IF(NodesData[[#This Row],[Context Instanciation]]="","",NodesData[[#This Row],[Context Instanciation]])</f>
        <v/>
      </c>
      <c r="D64" s="22" t="str">
        <f>NodesData[[#This Row],[Node ID]]</f>
        <v>n4E8EECAB_7960_4F74_8E07_F9D79BBA6BFD</v>
      </c>
      <c r="E64" s="10" t="s">
        <v>623</v>
      </c>
      <c r="F64" s="25" t="str" cm="1">
        <f t="array" ref="F64">IF(NodesJSON[[#This Row],[Export?]]=0,"",IF(ROW(NodesJSON[[#This Row],[label]])&gt;ROW(NodesJSON[[#Headers],[JSON]])+1,",","") &amp;"{"&amp;twoRangesToJSON(NodesJSON[[#Headers],[label]:[url]],NodesJSON[[#This Row],[label]:[url]])&amp;"}")</f>
        <v>,{"label":"AWS IAM User","group":"","id":"n4E8EECAB_7960_4F74_8E07_F9D79BBA6BFD","url":"https://open-measure.atlassian.net/wiki/spaces/DIC/pages/1031209441"}</v>
      </c>
    </row>
    <row r="65" spans="1:6" ht="13.9" thickTop="1" thickBot="1" x14ac:dyDescent="0.4">
      <c r="A65" s="39">
        <f>IF(ISERR(NodesJSON[[#This Row],[label]]),0,1)</f>
        <v>1</v>
      </c>
      <c r="B65" s="3" t="str">
        <f>NodesData[[#This Row],[Common Name]]</f>
        <v>Back-end Authentication</v>
      </c>
      <c r="C65" s="3" t="str">
        <f>IF(NodesData[[#This Row],[Context Instanciation]]="","",NodesData[[#This Row],[Context Instanciation]])</f>
        <v/>
      </c>
      <c r="D65" s="22" t="str">
        <f>NodesData[[#This Row],[Node ID]]</f>
        <v>nDED8E2C9_B484_47BD_8A0C_4FC25D9ABA2F</v>
      </c>
      <c r="E65" s="10" t="s">
        <v>625</v>
      </c>
      <c r="F65" s="25" t="str" cm="1">
        <f t="array" ref="F65">IF(NodesJSON[[#This Row],[Export?]]=0,"",IF(ROW(NodesJSON[[#This Row],[label]])&gt;ROW(NodesJSON[[#Headers],[JSON]])+1,",","") &amp;"{"&amp;twoRangesToJSON(NodesJSON[[#Headers],[label]:[url]],NodesJSON[[#This Row],[label]:[url]])&amp;"}")</f>
        <v>,{"label":"Back-end Authentication","group":"","id":"nDED8E2C9_B484_47BD_8A0C_4FC25D9ABA2F","url":"https://open-measure.atlassian.net/wiki/spaces/DIC/pages/794492970"}</v>
      </c>
    </row>
    <row r="66" spans="1:6" ht="13.9" thickTop="1" thickBot="1" x14ac:dyDescent="0.4">
      <c r="A66" s="39">
        <f>IF(ISERR(NodesJSON[[#This Row],[label]]),0,1)</f>
        <v>1</v>
      </c>
      <c r="B66" s="3" t="str">
        <f>NodesData[[#This Row],[Common Name]]</f>
        <v>BankID</v>
      </c>
      <c r="C66" s="3" t="str">
        <f>IF(NodesData[[#This Row],[Context Instanciation]]="","",NodesData[[#This Row],[Context Instanciation]])</f>
        <v/>
      </c>
      <c r="D66" s="22" t="str">
        <f>NodesData[[#This Row],[Node ID]]</f>
        <v>nBB7D7752_E1E7_4228_B216_44BF27C469CE</v>
      </c>
      <c r="E66" s="10" t="s">
        <v>626</v>
      </c>
      <c r="F66" s="25" t="str" cm="1">
        <f t="array" ref="F66">IF(NodesJSON[[#This Row],[Export?]]=0,"",IF(ROW(NodesJSON[[#This Row],[label]])&gt;ROW(NodesJSON[[#Headers],[JSON]])+1,",","") &amp;"{"&amp;twoRangesToJSON(NodesJSON[[#Headers],[label]:[url]],NodesJSON[[#This Row],[label]:[url]])&amp;"}")</f>
        <v>,{"label":"BankID","group":"","id":"nBB7D7752_E1E7_4228_B216_44BF27C469CE","url":"https://open-measure.atlassian.net/wiki/spaces/DIC/pages/1571389777/Boundary+Control"}</v>
      </c>
    </row>
    <row r="67" spans="1:6" ht="13.9" thickTop="1" thickBot="1" x14ac:dyDescent="0.4">
      <c r="A67" s="39">
        <f>IF(ISERR(NodesJSON[[#This Row],[label]]),0,1)</f>
        <v>1</v>
      </c>
      <c r="B67" s="3" t="str">
        <f>NodesData[[#This Row],[Common Name]]</f>
        <v>Basic Z Rule</v>
      </c>
      <c r="C67" s="3" t="str">
        <f>IF(NodesData[[#This Row],[Context Instanciation]]="","",NodesData[[#This Row],[Context Instanciation]])</f>
        <v/>
      </c>
      <c r="D67" s="22" t="str">
        <f>NodesData[[#This Row],[Node ID]]</f>
        <v>nBC4E0E05_749F_4BAA_8247_C9B39135AB8E</v>
      </c>
      <c r="E67" s="4"/>
      <c r="F67" s="25" t="str" cm="1">
        <f t="array" ref="F67">IF(NodesJSON[[#This Row],[Export?]]=0,"",IF(ROW(NodesJSON[[#This Row],[label]])&gt;ROW(NodesJSON[[#Headers],[JSON]])+1,",","") &amp;"{"&amp;twoRangesToJSON(NodesJSON[[#Headers],[label]:[url]],NodesJSON[[#This Row],[label]:[url]])&amp;"}")</f>
        <v>,{"label":"Basic Z Rule","group":"","id":"nBC4E0E05_749F_4BAA_8247_C9B39135AB8E","url":""}</v>
      </c>
    </row>
    <row r="68" spans="1:6" ht="13.9" thickTop="1" thickBot="1" x14ac:dyDescent="0.4">
      <c r="A68" s="39">
        <f>IF(ISERR(NodesJSON[[#This Row],[label]]),0,1)</f>
        <v>1</v>
      </c>
      <c r="B68" s="3" t="str">
        <f>NodesData[[#This Row],[Common Name]]</f>
        <v>Behavioral Authentication</v>
      </c>
      <c r="C68" s="3" t="str">
        <f>IF(NodesData[[#This Row],[Context Instanciation]]="","",NodesData[[#This Row],[Context Instanciation]])</f>
        <v/>
      </c>
      <c r="D68" s="22" t="str">
        <f>NodesData[[#This Row],[Node ID]]</f>
        <v>n3DDE93A9_BFEF_41F6_B831_7BC6CEAF25CD</v>
      </c>
      <c r="E68" s="10" t="s">
        <v>628</v>
      </c>
      <c r="F68" s="25" t="str" cm="1">
        <f t="array" ref="F68">IF(NodesJSON[[#This Row],[Export?]]=0,"",IF(ROW(NodesJSON[[#This Row],[label]])&gt;ROW(NodesJSON[[#Headers],[JSON]])+1,",","") &amp;"{"&amp;twoRangesToJSON(NodesJSON[[#Headers],[label]:[url]],NodesJSON[[#This Row],[label]:[url]])&amp;"}")</f>
        <v>,{"label":"Behavioral Authentication","group":"","id":"n3DDE93A9_BFEF_41F6_B831_7BC6CEAF25CD","url":"https://open-measure.atlassian.net/wiki/spaces/DIC/pages/81101750"}</v>
      </c>
    </row>
    <row r="69" spans="1:6" ht="13.9" thickTop="1" thickBot="1" x14ac:dyDescent="0.4">
      <c r="A69" s="39">
        <f>IF(ISERR(NodesJSON[[#This Row],[label]]),0,1)</f>
        <v>1</v>
      </c>
      <c r="B69" s="3" t="str">
        <f>NodesData[[#This Row],[Common Name]]</f>
        <v>Bell-LaPadula Model</v>
      </c>
      <c r="C69" s="3" t="str">
        <f>IF(NodesData[[#This Row],[Context Instanciation]]="","",NodesData[[#This Row],[Context Instanciation]])</f>
        <v/>
      </c>
      <c r="D69" s="22" t="str">
        <f>NodesData[[#This Row],[Node ID]]</f>
        <v>n72711DB2_F0B3_4F52_A4E4_A4A5446CD2A8</v>
      </c>
      <c r="E69" s="10" t="s">
        <v>629</v>
      </c>
      <c r="F69" s="25" t="str" cm="1">
        <f t="array" ref="F69">IF(NodesJSON[[#This Row],[Export?]]=0,"",IF(ROW(NodesJSON[[#This Row],[label]])&gt;ROW(NodesJSON[[#Headers],[JSON]])+1,",","") &amp;"{"&amp;twoRangesToJSON(NodesJSON[[#Headers],[label]:[url]],NodesJSON[[#This Row],[label]:[url]])&amp;"}")</f>
        <v>,{"label":"Bell-LaPadula Model","group":"","id":"n72711DB2_F0B3_4F52_A4E4_A4A5446CD2A8","url":"https://open-measure.atlassian.net/wiki/spaces/DIC/pages/1348763687/Brute+Force+Attack"}</v>
      </c>
    </row>
    <row r="70" spans="1:6" ht="13.9" thickTop="1" thickBot="1" x14ac:dyDescent="0.4">
      <c r="A70" s="39">
        <f>IF(ISERR(NodesJSON[[#This Row],[label]]),0,1)</f>
        <v>1</v>
      </c>
      <c r="B70" s="3" t="str">
        <f>NodesData[[#This Row],[Common Name]]</f>
        <v>Best Practice</v>
      </c>
      <c r="C70" s="3" t="str">
        <f>IF(NodesData[[#This Row],[Context Instanciation]]="","",NodesData[[#This Row],[Context Instanciation]])</f>
        <v/>
      </c>
      <c r="D70" s="22" t="str">
        <f>NodesData[[#This Row],[Node ID]]</f>
        <v>n82C51C5C_9487_4142_9937_10C422C1CD81</v>
      </c>
      <c r="E70" s="10" t="s">
        <v>631</v>
      </c>
      <c r="F70" s="25" t="str" cm="1">
        <f t="array" ref="F70">IF(NodesJSON[[#This Row],[Export?]]=0,"",IF(ROW(NodesJSON[[#This Row],[label]])&gt;ROW(NodesJSON[[#Headers],[JSON]])+1,",","") &amp;"{"&amp;twoRangesToJSON(NodesJSON[[#Headers],[label]:[url]],NodesJSON[[#This Row],[label]:[url]])&amp;"}")</f>
        <v>,{"label":"Best Practice","group":"","id":"n82C51C5C_9487_4142_9937_10C422C1CD81","url":"https://open-measure.atlassian.net/wiki/spaces/DIC/pages/140772106"}</v>
      </c>
    </row>
    <row r="71" spans="1:6" ht="13.9" thickTop="1" thickBot="1" x14ac:dyDescent="0.4">
      <c r="A71" s="39">
        <f>IF(ISERR(NodesJSON[[#This Row],[label]]),0,1)</f>
        <v>1</v>
      </c>
      <c r="B71" s="3" t="str">
        <f>NodesData[[#This Row],[Common Name]]</f>
        <v>Biometric Authentication</v>
      </c>
      <c r="C71" s="3" t="str">
        <f>IF(NodesData[[#This Row],[Context Instanciation]]="","",NodesData[[#This Row],[Context Instanciation]])</f>
        <v/>
      </c>
      <c r="D71" s="22" t="str">
        <f>NodesData[[#This Row],[Node ID]]</f>
        <v>n4781A6BD_729E_4392_B73C_0DA1C77F45BA</v>
      </c>
      <c r="E71" s="10" t="s">
        <v>632</v>
      </c>
      <c r="F71" s="25" t="str" cm="1">
        <f t="array" ref="F71">IF(NodesJSON[[#This Row],[Export?]]=0,"",IF(ROW(NodesJSON[[#This Row],[label]])&gt;ROW(NodesJSON[[#Headers],[JSON]])+1,",","") &amp;"{"&amp;twoRangesToJSON(NodesJSON[[#Headers],[label]:[url]],NodesJSON[[#This Row],[label]:[url]])&amp;"}")</f>
        <v>,{"label":"Biometric Authentication","group":"","id":"n4781A6BD_729E_4392_B73C_0DA1C77F45BA","url":"https://open-measure.atlassian.net/wiki/spaces/DIC/pages/1228079170/BZR"}</v>
      </c>
    </row>
    <row r="72" spans="1:6" ht="13.9" thickTop="1" thickBot="1" x14ac:dyDescent="0.4">
      <c r="A72" s="39">
        <f>IF(ISERR(NodesJSON[[#This Row],[label]]),0,1)</f>
        <v>1</v>
      </c>
      <c r="B72" s="3" t="str">
        <f>NodesData[[#This Row],[Common Name]]</f>
        <v>Biometric Identification</v>
      </c>
      <c r="C72" s="3" t="str">
        <f>IF(NodesData[[#This Row],[Context Instanciation]]="","",NodesData[[#This Row],[Context Instanciation]])</f>
        <v/>
      </c>
      <c r="D72" s="22" t="str">
        <f>NodesData[[#This Row],[Node ID]]</f>
        <v>nAC688165_B606_4D82_A016_0263D701EDF2</v>
      </c>
      <c r="E72" s="10" t="s">
        <v>633</v>
      </c>
      <c r="F72" s="25" t="str" cm="1">
        <f t="array" ref="F72">IF(NodesJSON[[#This Row],[Export?]]=0,"",IF(ROW(NodesJSON[[#This Row],[label]])&gt;ROW(NodesJSON[[#Headers],[JSON]])+1,",","") &amp;"{"&amp;twoRangesToJSON(NodesJSON[[#Headers],[label]:[url]],NodesJSON[[#This Row],[label]:[url]])&amp;"}")</f>
        <v>,{"label":"Biometric Identification","group":"","id":"nAC688165_B606_4D82_A016_0263D701EDF2","url":"https://open-measure.atlassian.net/wiki/spaces/DIC/pages/1254588417/Cached+Credential"}</v>
      </c>
    </row>
    <row r="73" spans="1:6" ht="13.9" thickTop="1" thickBot="1" x14ac:dyDescent="0.4">
      <c r="A73" s="39">
        <f>IF(ISERR(NodesJSON[[#This Row],[label]]),0,1)</f>
        <v>1</v>
      </c>
      <c r="B73" s="3" t="str">
        <f>NodesData[[#This Row],[Common Name]]</f>
        <v>Biometrics</v>
      </c>
      <c r="C73" s="3" t="str">
        <f>IF(NodesData[[#This Row],[Context Instanciation]]="","",NodesData[[#This Row],[Context Instanciation]])</f>
        <v/>
      </c>
      <c r="D73" s="22" t="str">
        <f>NodesData[[#This Row],[Node ID]]</f>
        <v>n58FC3163_C98D_45E6_8BD3_405AF26CA056</v>
      </c>
      <c r="E73" s="10" t="s">
        <v>634</v>
      </c>
      <c r="F73" s="25" t="str" cm="1">
        <f t="array" ref="F73">IF(NodesJSON[[#This Row],[Export?]]=0,"",IF(ROW(NodesJSON[[#This Row],[label]])&gt;ROW(NodesJSON[[#Headers],[JSON]])+1,",","") &amp;"{"&amp;twoRangesToJSON(NodesJSON[[#Headers],[label]:[url]],NodesJSON[[#This Row],[label]:[url]])&amp;"}")</f>
        <v>,{"label":"Biometrics","group":"","id":"n58FC3163_C98D_45E6_8BD3_405AF26CA056","url":"https://open-measure.atlassian.net/wiki/spaces/DIC/pages/442466346/CDD"}</v>
      </c>
    </row>
    <row r="74" spans="1:6" ht="13.9" thickTop="1" thickBot="1" x14ac:dyDescent="0.4">
      <c r="A74" s="39">
        <f>IF(ISERR(NodesJSON[[#This Row],[label]]),0,1)</f>
        <v>1</v>
      </c>
      <c r="B74" s="3" t="str">
        <f>NodesData[[#This Row],[Common Name]]</f>
        <v>Birth Certificate</v>
      </c>
      <c r="C74" s="3" t="str">
        <f>IF(NodesData[[#This Row],[Context Instanciation]]="","",NodesData[[#This Row],[Context Instanciation]])</f>
        <v/>
      </c>
      <c r="D74" s="22" t="str">
        <f>NodesData[[#This Row],[Node ID]]</f>
        <v>n5E88C9AF_9919_47E5_AC97_3C0F882D8992</v>
      </c>
      <c r="E74" s="10" t="s">
        <v>636</v>
      </c>
      <c r="F74" s="25" t="str" cm="1">
        <f t="array" ref="F74">IF(NodesJSON[[#This Row],[Export?]]=0,"",IF(ROW(NodesJSON[[#This Row],[label]])&gt;ROW(NodesJSON[[#Headers],[JSON]])+1,",","") &amp;"{"&amp;twoRangesToJSON(NodesJSON[[#Headers],[label]:[url]],NodesJSON[[#This Row],[label]:[url]])&amp;"}")</f>
        <v>,{"label":"Birth Certificate","group":"","id":"n5E88C9AF_9919_47E5_AC97_3C0F882D8992","url":"https://open-measure.atlassian.net/wiki/spaces/DIC/pages/1152483641"}</v>
      </c>
    </row>
    <row r="75" spans="1:6" ht="13.9" thickTop="1" thickBot="1" x14ac:dyDescent="0.4">
      <c r="A75" s="39">
        <f>IF(ISERR(NodesJSON[[#This Row],[label]]),0,1)</f>
        <v>1</v>
      </c>
      <c r="B75" s="3" t="str">
        <f>NodesData[[#This Row],[Common Name]]</f>
        <v>Blast Radius</v>
      </c>
      <c r="C75" s="3" t="str">
        <f>IF(NodesData[[#This Row],[Context Instanciation]]="","",NodesData[[#This Row],[Context Instanciation]])</f>
        <v/>
      </c>
      <c r="D75" s="22" t="str">
        <f>NodesData[[#This Row],[Node ID]]</f>
        <v>n242739C9_E8F8_40EF_98D0_C57F8BD3A408</v>
      </c>
      <c r="E75" s="4"/>
      <c r="F75" s="25" t="str" cm="1">
        <f t="array" ref="F75">IF(NodesJSON[[#This Row],[Export?]]=0,"",IF(ROW(NodesJSON[[#This Row],[label]])&gt;ROW(NodesJSON[[#Headers],[JSON]])+1,",","") &amp;"{"&amp;twoRangesToJSON(NodesJSON[[#Headers],[label]:[url]],NodesJSON[[#This Row],[label]:[url]])&amp;"}")</f>
        <v>,{"label":"Blast Radius","group":"","id":"n242739C9_E8F8_40EF_98D0_C57F8BD3A408","url":""}</v>
      </c>
    </row>
    <row r="76" spans="1:6" ht="13.9" thickTop="1" thickBot="1" x14ac:dyDescent="0.4">
      <c r="A76" s="39">
        <f>IF(ISERR(NodesJSON[[#This Row],[label]]),0,1)</f>
        <v>1</v>
      </c>
      <c r="B76" s="3" t="str">
        <f>NodesData[[#This Row],[Common Name]]</f>
        <v>Boundary Control</v>
      </c>
      <c r="C76" s="3" t="str">
        <f>IF(NodesData[[#This Row],[Context Instanciation]]="","",NodesData[[#This Row],[Context Instanciation]])</f>
        <v/>
      </c>
      <c r="D76" s="22" t="str">
        <f>NodesData[[#This Row],[Node ID]]</f>
        <v>n8B61F4C7_8FA2_43DC_B58C_AB2C5C0A8877</v>
      </c>
      <c r="E76" s="10" t="s">
        <v>638</v>
      </c>
      <c r="F76" s="25" t="str" cm="1">
        <f t="array" ref="F76">IF(NodesJSON[[#This Row],[Export?]]=0,"",IF(ROW(NodesJSON[[#This Row],[label]])&gt;ROW(NodesJSON[[#Headers],[JSON]])+1,",","") &amp;"{"&amp;twoRangesToJSON(NodesJSON[[#Headers],[label]:[url]],NodesJSON[[#This Row],[label]:[url]])&amp;"}")</f>
        <v>,{"label":"Boundary Control","group":"","id":"n8B61F4C7_8FA2_43DC_B58C_AB2C5C0A8877","url":"https://open-measure.atlassian.net/wiki/spaces/DIC/pages/823459864"}</v>
      </c>
    </row>
    <row r="77" spans="1:6" ht="13.9" thickTop="1" thickBot="1" x14ac:dyDescent="0.4">
      <c r="A77" s="39">
        <f>IF(ISERR(NodesJSON[[#This Row],[label]]),0,1)</f>
        <v>1</v>
      </c>
      <c r="B77" s="3" t="str">
        <f>NodesData[[#This Row],[Common Name]]</f>
        <v>Brainwaves Authentication</v>
      </c>
      <c r="C77" s="3" t="str">
        <f>IF(NodesData[[#This Row],[Context Instanciation]]="","",NodesData[[#This Row],[Context Instanciation]])</f>
        <v/>
      </c>
      <c r="D77" s="22" t="str">
        <f>NodesData[[#This Row],[Node ID]]</f>
        <v>n45A95ED6_6BE9_42DC_8F8E_4940542AA763</v>
      </c>
      <c r="E77" s="10" t="s">
        <v>639</v>
      </c>
      <c r="F77" s="25" t="str" cm="1">
        <f t="array" ref="F77">IF(NodesJSON[[#This Row],[Export?]]=0,"",IF(ROW(NodesJSON[[#This Row],[label]])&gt;ROW(NodesJSON[[#Headers],[JSON]])+1,",","") &amp;"{"&amp;twoRangesToJSON(NodesJSON[[#Headers],[label]:[url]],NodesJSON[[#This Row],[label]:[url]])&amp;"}")</f>
        <v>,{"label":"Brainwaves Authentication","group":"","id":"n45A95ED6_6BE9_42DC_8F8E_4940542AA763","url":"https://open-measure.atlassian.net/wiki/spaces/DIC/pages/1290076214/CIBA"}</v>
      </c>
    </row>
    <row r="78" spans="1:6" ht="13.9" thickTop="1" thickBot="1" x14ac:dyDescent="0.4">
      <c r="A78" s="39">
        <f>IF(ISERR(NodesJSON[[#This Row],[label]]),0,1)</f>
        <v>1</v>
      </c>
      <c r="B78" s="3" t="str">
        <f>NodesData[[#This Row],[Common Name]]</f>
        <v>Broker</v>
      </c>
      <c r="C78" s="3" t="str">
        <f>IF(NodesData[[#This Row],[Context Instanciation]]="","",NodesData[[#This Row],[Context Instanciation]])</f>
        <v/>
      </c>
      <c r="D78" s="22" t="str">
        <f>NodesData[[#This Row],[Node ID]]</f>
        <v>nFEE07D8B_E1AA_4F0C_A615_463A81456806</v>
      </c>
      <c r="E78" s="10" t="s">
        <v>640</v>
      </c>
      <c r="F78" s="25" t="str" cm="1">
        <f t="array" ref="F78">IF(NodesJSON[[#This Row],[Export?]]=0,"",IF(ROW(NodesJSON[[#This Row],[label]])&gt;ROW(NodesJSON[[#Headers],[JSON]])+1,",","") &amp;"{"&amp;twoRangesToJSON(NodesJSON[[#Headers],[label]:[url]],NodesJSON[[#This Row],[label]:[url]])&amp;"}")</f>
        <v>,{"label":"Broker","group":"","id":"nFEE07D8B_E1AA_4F0C_A615_463A81456806","url":"https://open-measure.atlassian.net/wiki/spaces/DIC/pages/1323499650/Claim"}</v>
      </c>
    </row>
    <row r="79" spans="1:6" ht="13.9" thickTop="1" thickBot="1" x14ac:dyDescent="0.4">
      <c r="A79" s="39">
        <f>IF(ISERR(NodesJSON[[#This Row],[label]]),0,1)</f>
        <v>1</v>
      </c>
      <c r="B79" s="3" t="str">
        <f>NodesData[[#This Row],[Common Name]]</f>
        <v>Brute Force Attack</v>
      </c>
      <c r="C79" s="3" t="str">
        <f>IF(NodesData[[#This Row],[Context Instanciation]]="","",NodesData[[#This Row],[Context Instanciation]])</f>
        <v/>
      </c>
      <c r="D79" s="22" t="str">
        <f>NodesData[[#This Row],[Node ID]]</f>
        <v>n24D85D8A_2BBF_487D_999E_F0E1E9711A44</v>
      </c>
      <c r="E79" s="10" t="s">
        <v>641</v>
      </c>
      <c r="F79" s="25" t="str" cm="1">
        <f t="array" ref="F79">IF(NodesJSON[[#This Row],[Export?]]=0,"",IF(ROW(NodesJSON[[#This Row],[label]])&gt;ROW(NodesJSON[[#Headers],[JSON]])+1,",","") &amp;"{"&amp;twoRangesToJSON(NodesJSON[[#Headers],[label]:[url]],NodesJSON[[#This Row],[label]:[url]])&amp;"}")</f>
        <v>,{"label":"Brute Force Attack","group":"","id":"n24D85D8A_2BBF_487D_999E_F0E1E9711A44","url":"https://open-measure.atlassian.net/wiki/spaces/DIC/pages/1309605928/Claim+Registry+Model"}</v>
      </c>
    </row>
    <row r="80" spans="1:6" ht="13.9" thickTop="1" thickBot="1" x14ac:dyDescent="0.4">
      <c r="A80" s="39">
        <f>IF(ISERR(NodesJSON[[#This Row],[label]]),0,1)</f>
        <v>1</v>
      </c>
      <c r="B80" s="3" t="str">
        <f>NodesData[[#This Row],[Common Name]]</f>
        <v>Built-in</v>
      </c>
      <c r="C80" s="3" t="str">
        <f>IF(NodesData[[#This Row],[Context Instanciation]]="","",NodesData[[#This Row],[Context Instanciation]])</f>
        <v/>
      </c>
      <c r="D80" s="22" t="str">
        <f>NodesData[[#This Row],[Node ID]]</f>
        <v>n99E2345A_FF0B_4044_A4E5_0D26498BF352</v>
      </c>
      <c r="E80" s="10" t="s">
        <v>643</v>
      </c>
      <c r="F80" s="25" t="str" cm="1">
        <f t="array" ref="F80">IF(NodesJSON[[#This Row],[Export?]]=0,"",IF(ROW(NodesJSON[[#This Row],[label]])&gt;ROW(NodesJSON[[#Headers],[JSON]])+1,",","") &amp;"{"&amp;twoRangesToJSON(NodesJSON[[#Headers],[label]:[url]],NodesJSON[[#This Row],[label]:[url]])&amp;"}")</f>
        <v>,{"label":"Built-in","group":"","id":"n99E2345A_FF0B_4044_A4E5_0D26498BF352","url":"https://open-measure.atlassian.net/wiki/spaces/DIC/pages/848363630"}</v>
      </c>
    </row>
    <row r="81" spans="1:6" ht="13.9" thickTop="1" thickBot="1" x14ac:dyDescent="0.4">
      <c r="A81" s="39">
        <f>IF(ISERR(NodesJSON[[#This Row],[label]]),0,1)</f>
        <v>1</v>
      </c>
      <c r="B81" s="3" t="str">
        <f>NodesData[[#This Row],[Common Name]]</f>
        <v>BZR</v>
      </c>
      <c r="C81" s="3" t="str">
        <f>IF(NodesData[[#This Row],[Context Instanciation]]="","",NodesData[[#This Row],[Context Instanciation]])</f>
        <v/>
      </c>
      <c r="D81" s="22" t="str">
        <f>NodesData[[#This Row],[Node ID]]</f>
        <v>nB340D7B3_A560_4CAB_8C9A_4A7ECB00C604</v>
      </c>
      <c r="E81" s="10" t="s">
        <v>645</v>
      </c>
      <c r="F81" s="25" t="str" cm="1">
        <f t="array" ref="F81">IF(NodesJSON[[#This Row],[Export?]]=0,"",IF(ROW(NodesJSON[[#This Row],[label]])&gt;ROW(NodesJSON[[#Headers],[JSON]])+1,",","") &amp;"{"&amp;twoRangesToJSON(NodesJSON[[#Headers],[label]:[url]],NodesJSON[[#This Row],[label]:[url]])&amp;"}")</f>
        <v>,{"label":"BZR","group":"","id":"nB340D7B3_A560_4CAB_8C9A_4A7ECB00C604","url":"https://open-measure.atlassian.net/wiki/spaces/DIC/pages/140771387"}</v>
      </c>
    </row>
    <row r="82" spans="1:6" ht="13.9" thickTop="1" thickBot="1" x14ac:dyDescent="0.4">
      <c r="A82" s="39">
        <f>IF(ISERR(NodesJSON[[#This Row],[label]]),0,1)</f>
        <v>1</v>
      </c>
      <c r="B82" s="3" t="str">
        <f>NodesData[[#This Row],[Common Name]]</f>
        <v>Cached Credential</v>
      </c>
      <c r="C82" s="3" t="str">
        <f>IF(NodesData[[#This Row],[Context Instanciation]]="","",NodesData[[#This Row],[Context Instanciation]])</f>
        <v/>
      </c>
      <c r="D82" s="22" t="str">
        <f>NodesData[[#This Row],[Node ID]]</f>
        <v>n2A6F0314_872D_4E0E_A944_F17EF346E29C</v>
      </c>
      <c r="E82" s="4"/>
      <c r="F82" s="25" t="str" cm="1">
        <f t="array" ref="F82">IF(NodesJSON[[#This Row],[Export?]]=0,"",IF(ROW(NodesJSON[[#This Row],[label]])&gt;ROW(NodesJSON[[#Headers],[JSON]])+1,",","") &amp;"{"&amp;twoRangesToJSON(NodesJSON[[#Headers],[label]:[url]],NodesJSON[[#This Row],[label]:[url]])&amp;"}")</f>
        <v>,{"label":"Cached Credential","group":"","id":"n2A6F0314_872D_4E0E_A944_F17EF346E29C","url":""}</v>
      </c>
    </row>
    <row r="83" spans="1:6" ht="13.9" thickTop="1" thickBot="1" x14ac:dyDescent="0.4">
      <c r="A83" s="39">
        <f>IF(ISERR(NodesJSON[[#This Row],[label]]),0,1)</f>
        <v>1</v>
      </c>
      <c r="B83" s="3" t="str">
        <f>NodesData[[#This Row],[Common Name]]</f>
        <v>Capability to store information</v>
      </c>
      <c r="C83" s="3" t="str">
        <f>IF(NodesData[[#This Row],[Context Instanciation]]="","",NodesData[[#This Row],[Context Instanciation]])</f>
        <v/>
      </c>
      <c r="D83" s="22" t="str">
        <f>NodesData[[#This Row],[Node ID]]</f>
        <v>nFB32F479_4EF7_409C_900B_EE48AA0DE846</v>
      </c>
      <c r="E83" s="10" t="s">
        <v>648</v>
      </c>
      <c r="F83" s="25" t="str" cm="1">
        <f t="array" ref="F83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store information","group":"","id":"nFB32F479_4EF7_409C_900B_EE48AA0DE846","url":"https://open-measure.atlassian.net/wiki/spaces/DIC/pages/1152516136"}</v>
      </c>
    </row>
    <row r="84" spans="1:6" ht="13.9" thickTop="1" thickBot="1" x14ac:dyDescent="0.4">
      <c r="A84" s="39">
        <f>IF(ISERR(NodesJSON[[#This Row],[label]]),0,1)</f>
        <v>1</v>
      </c>
      <c r="B84" s="3" t="str">
        <f>NodesData[[#This Row],[Common Name]]</f>
        <v>Capability to transform information</v>
      </c>
      <c r="C84" s="3" t="str">
        <f>IF(NodesData[[#This Row],[Context Instanciation]]="","",NodesData[[#This Row],[Context Instanciation]])</f>
        <v/>
      </c>
      <c r="D84" s="22" t="str">
        <f>NodesData[[#This Row],[Node ID]]</f>
        <v>nFA6C8A63_7071_4E20_BB02_F78403869E0B</v>
      </c>
      <c r="E84" s="10" t="s">
        <v>650</v>
      </c>
      <c r="F84" s="25" t="str" cm="1">
        <f t="array" ref="F84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transform information","group":"","id":"nFA6C8A63_7071_4E20_BB02_F78403869E0B","url":"https://open-measure.atlassian.net/wiki/spaces/DIC/pages/1152516118"}</v>
      </c>
    </row>
    <row r="85" spans="1:6" ht="13.9" thickTop="1" thickBot="1" x14ac:dyDescent="0.4">
      <c r="A85" s="39">
        <f>IF(ISERR(NodesJSON[[#This Row],[label]]),0,1)</f>
        <v>1</v>
      </c>
      <c r="B85" s="3" t="str">
        <f>NodesData[[#This Row],[Common Name]]</f>
        <v>Capability to transmit information</v>
      </c>
      <c r="C85" s="3" t="str">
        <f>IF(NodesData[[#This Row],[Context Instanciation]]="","",NodesData[[#This Row],[Context Instanciation]])</f>
        <v/>
      </c>
      <c r="D85" s="22" t="str">
        <f>NodesData[[#This Row],[Node ID]]</f>
        <v>nAC062A15_C72B_42D8_BBDF_C7EB64B35F26</v>
      </c>
      <c r="E85" s="10" t="s">
        <v>652</v>
      </c>
      <c r="F85" s="25" t="str" cm="1">
        <f t="array" ref="F85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transmit information","group":"","id":"nAC062A15_C72B_42D8_BBDF_C7EB64B35F26","url":"https://open-measure.atlassian.net/wiki/spaces/DIC/pages/1147043959"}</v>
      </c>
    </row>
    <row r="86" spans="1:6" ht="13.9" thickTop="1" thickBot="1" x14ac:dyDescent="0.4">
      <c r="A86" s="39">
        <f>IF(ISERR(NodesJSON[[#This Row],[label]]),0,1)</f>
        <v>1</v>
      </c>
      <c r="B86" s="3" t="str">
        <f>NodesData[[#This Row],[Common Name]]</f>
        <v>Capabilty to collect information</v>
      </c>
      <c r="C86" s="3" t="str">
        <f>IF(NodesData[[#This Row],[Context Instanciation]]="","",NodesData[[#This Row],[Context Instanciation]])</f>
        <v/>
      </c>
      <c r="D86" s="22" t="str">
        <f>NodesData[[#This Row],[Node ID]]</f>
        <v>nF3A221C8_C126_458E_818C_DAE6B57CD442</v>
      </c>
      <c r="E86" s="10" t="s">
        <v>654</v>
      </c>
      <c r="F86" s="25" t="str" cm="1">
        <f t="array" ref="F86">IF(NodesJSON[[#This Row],[Export?]]=0,"",IF(ROW(NodesJSON[[#This Row],[label]])&gt;ROW(NodesJSON[[#Headers],[JSON]])+1,",","") &amp;"{"&amp;twoRangesToJSON(NodesJSON[[#Headers],[label]:[url]],NodesJSON[[#This Row],[label]:[url]])&amp;"}")</f>
        <v>,{"label":"Capabilty to collect information","group":"","id":"nF3A221C8_C126_458E_818C_DAE6B57CD442","url":"https://open-measure.atlassian.net/wiki/spaces/DIC/pages/206307528"}</v>
      </c>
    </row>
    <row r="87" spans="1:6" ht="13.9" thickTop="1" thickBot="1" x14ac:dyDescent="0.4">
      <c r="A87" s="39">
        <f>IF(ISERR(NodesJSON[[#This Row],[label]]),0,1)</f>
        <v>1</v>
      </c>
      <c r="B87" s="3" t="str">
        <f>NodesData[[#This Row],[Common Name]]</f>
        <v>Causing Reputation Harm</v>
      </c>
      <c r="C87" s="3" t="str">
        <f>IF(NodesData[[#This Row],[Context Instanciation]]="","",NodesData[[#This Row],[Context Instanciation]])</f>
        <v/>
      </c>
      <c r="D87" s="22" t="str">
        <f>NodesData[[#This Row],[Node ID]]</f>
        <v>nA59D49F8_3819_4341_A310_19C77AB08AAB</v>
      </c>
      <c r="E87" s="10" t="s">
        <v>655</v>
      </c>
      <c r="F87" s="25" t="str" cm="1">
        <f t="array" ref="F87">IF(NodesJSON[[#This Row],[Export?]]=0,"",IF(ROW(NodesJSON[[#This Row],[label]])&gt;ROW(NodesJSON[[#Headers],[JSON]])+1,",","") &amp;"{"&amp;twoRangesToJSON(NodesJSON[[#Headers],[label]:[url]],NodesJSON[[#This Row],[label]:[url]])&amp;"}")</f>
        <v>,{"label":"Causing Reputation Harm","group":"","id":"nA59D49F8_3819_4341_A310_19C77AB08AAB","url":"https://open-measure.atlassian.net/wiki/spaces/DIC/pages/206766142/Cloud+Service+User"}</v>
      </c>
    </row>
    <row r="88" spans="1:6" ht="13.9" thickTop="1" thickBot="1" x14ac:dyDescent="0.4">
      <c r="A88" s="39">
        <f>IF(ISERR(NodesJSON[[#This Row],[label]]),0,1)</f>
        <v>1</v>
      </c>
      <c r="B88" s="3" t="str">
        <f>NodesData[[#This Row],[Common Name]]</f>
        <v>CDD</v>
      </c>
      <c r="C88" s="3" t="str">
        <f>IF(NodesData[[#This Row],[Context Instanciation]]="","",NodesData[[#This Row],[Context Instanciation]])</f>
        <v/>
      </c>
      <c r="D88" s="22" t="str">
        <f>NodesData[[#This Row],[Node ID]]</f>
        <v>n8A9F74A8_A65F_42A3_9DB0_D40AD68EC967</v>
      </c>
      <c r="E88" s="10" t="s">
        <v>657</v>
      </c>
      <c r="F88" s="25" t="str" cm="1">
        <f t="array" ref="F88">IF(NodesJSON[[#This Row],[Export?]]=0,"",IF(ROW(NodesJSON[[#This Row],[label]])&gt;ROW(NodesJSON[[#Headers],[JSON]])+1,",","") &amp;"{"&amp;twoRangesToJSON(NodesJSON[[#Headers],[label]:[url]],NodesJSON[[#This Row],[label]:[url]])&amp;"}")</f>
        <v>,{"label":"CDD","group":"","id":"n8A9F74A8_A65F_42A3_9DB0_D40AD68EC967","url":"https://open-measure.atlassian.net/wiki/spaces/DIC/pages/998277125"}</v>
      </c>
    </row>
    <row r="89" spans="1:6" ht="13.9" thickTop="1" thickBot="1" x14ac:dyDescent="0.4">
      <c r="A89" s="39">
        <f>IF(ISERR(NodesJSON[[#This Row],[label]]),0,1)</f>
        <v>1</v>
      </c>
      <c r="B89" s="3" t="str">
        <f>NodesData[[#This Row],[Common Name]]</f>
        <v>Centralized Identity Management System</v>
      </c>
      <c r="C89" s="3" t="str">
        <f>IF(NodesData[[#This Row],[Context Instanciation]]="","",NodesData[[#This Row],[Context Instanciation]])</f>
        <v/>
      </c>
      <c r="D89" s="22" t="str">
        <f>NodesData[[#This Row],[Node ID]]</f>
        <v>nD371E402_1DDA_467A_9EFD_7333BAD6987B</v>
      </c>
      <c r="E89" s="10" t="s">
        <v>659</v>
      </c>
      <c r="F89" s="25" t="str" cm="1">
        <f t="array" ref="F89">IF(NodesJSON[[#This Row],[Export?]]=0,"",IF(ROW(NodesJSON[[#This Row],[label]])&gt;ROW(NodesJSON[[#Headers],[JSON]])+1,",","") &amp;"{"&amp;twoRangesToJSON(NodesJSON[[#Headers],[label]:[url]],NodesJSON[[#This Row],[label]:[url]])&amp;"}")</f>
        <v>,{"label":"Centralized Identity Management System","group":"","id":"nD371E402_1DDA_467A_9EFD_7333BAD6987B","url":"https://open-measure.atlassian.net/wiki/spaces/DIC/pages/461307985"}</v>
      </c>
    </row>
    <row r="90" spans="1:6" ht="13.9" thickTop="1" thickBot="1" x14ac:dyDescent="0.4">
      <c r="A90" s="39">
        <f>IF(ISERR(NodesJSON[[#This Row],[label]]),0,1)</f>
        <v>1</v>
      </c>
      <c r="B90" s="3" t="str">
        <f>NodesData[[#This Row],[Common Name]]</f>
        <v>Certificate-based Authentication</v>
      </c>
      <c r="C90" s="3" t="str">
        <f>IF(NodesData[[#This Row],[Context Instanciation]]="","",NodesData[[#This Row],[Context Instanciation]])</f>
        <v/>
      </c>
      <c r="D90" s="22" t="str">
        <f>NodesData[[#This Row],[Node ID]]</f>
        <v>n736BFE87_02BE_46E7_8DB0_A2B034ECD6BC</v>
      </c>
      <c r="E90" s="10" t="s">
        <v>661</v>
      </c>
      <c r="F90" s="25" t="str" cm="1">
        <f t="array" ref="F90">IF(NodesJSON[[#This Row],[Export?]]=0,"",IF(ROW(NodesJSON[[#This Row],[label]])&gt;ROW(NodesJSON[[#Headers],[JSON]])+1,",","") &amp;"{"&amp;twoRangesToJSON(NodesJSON[[#Headers],[label]:[url]],NodesJSON[[#This Row],[label]:[url]])&amp;"}")</f>
        <v>,{"label":"Certificate-based Authentication","group":"","id":"n736BFE87_02BE_46E7_8DB0_A2B034ECD6BC","url":"https://open-measure.atlassian.net/wiki/spaces/DIC/pages/974454827"}</v>
      </c>
    </row>
    <row r="91" spans="1:6" ht="13.9" thickTop="1" thickBot="1" x14ac:dyDescent="0.4">
      <c r="A91" s="39">
        <f>IF(ISERR(NodesJSON[[#This Row],[label]]),0,1)</f>
        <v>1</v>
      </c>
      <c r="B91" s="3" t="str">
        <f>NodesData[[#This Row],[Common Name]]</f>
        <v>Certification</v>
      </c>
      <c r="C91" s="3" t="str">
        <f>IF(NodesData[[#This Row],[Context Instanciation]]="","",NodesData[[#This Row],[Context Instanciation]])</f>
        <v/>
      </c>
      <c r="D91" s="22" t="str">
        <f>NodesData[[#This Row],[Node ID]]</f>
        <v>nBF62899B_4BED_47AF_AF3B_1E10D830EA41</v>
      </c>
      <c r="E91" s="10" t="s">
        <v>646</v>
      </c>
      <c r="F91" s="25" t="str" cm="1">
        <f t="array" ref="F91">IF(NodesJSON[[#This Row],[Export?]]=0,"",IF(ROW(NodesJSON[[#This Row],[label]])&gt;ROW(NodesJSON[[#Headers],[JSON]])+1,",","") &amp;"{"&amp;twoRangesToJSON(NodesJSON[[#Headers],[label]:[url]],NodesJSON[[#This Row],[label]:[url]])&amp;"}")</f>
        <v>,{"label":"Certification","group":"","id":"nBF62899B_4BED_47AF_AF3B_1E10D830EA41","url":"https://open-measure.atlassian.net/wiki/spaces/DIC/pages/1290076229/Client+Initiated+Backchannel+Authentication"}</v>
      </c>
    </row>
    <row r="92" spans="1:6" ht="13.9" thickTop="1" thickBot="1" x14ac:dyDescent="0.4">
      <c r="A92" s="39">
        <f>IF(ISERR(NodesJSON[[#This Row],[label]]),0,1)</f>
        <v>1</v>
      </c>
      <c r="B92" s="3" t="str">
        <f>NodesData[[#This Row],[Common Name]]</f>
        <v>CIBA</v>
      </c>
      <c r="C92" s="3" t="str">
        <f>IF(NodesData[[#This Row],[Context Instanciation]]="","",NodesData[[#This Row],[Context Instanciation]])</f>
        <v/>
      </c>
      <c r="D92" s="22" t="str">
        <f>NodesData[[#This Row],[Node ID]]</f>
        <v>n7393F50C_2074_415B_8362_C7F0AD5AD8C9</v>
      </c>
      <c r="E92" s="10" t="s">
        <v>665</v>
      </c>
      <c r="F92" s="25" t="str" cm="1">
        <f t="array" ref="F92">IF(NodesJSON[[#This Row],[Export?]]=0,"",IF(ROW(NodesJSON[[#This Row],[label]])&gt;ROW(NodesJSON[[#Headers],[JSON]])+1,",","") &amp;"{"&amp;twoRangesToJSON(NodesJSON[[#Headers],[label]:[url]],NodesJSON[[#This Row],[label]:[url]])&amp;"}")</f>
        <v>,{"label":"CIBA","group":"","id":"n7393F50C_2074_415B_8362_C7F0AD5AD8C9","url":"https://open-measure.atlassian.net/wiki/spaces/DIC/pages/82838169"}</v>
      </c>
    </row>
    <row r="93" spans="1:6" ht="13.9" thickTop="1" thickBot="1" x14ac:dyDescent="0.4">
      <c r="A93" s="39">
        <f>IF(ISERR(NodesJSON[[#This Row],[label]]),0,1)</f>
        <v>1</v>
      </c>
      <c r="B93" s="3" t="str">
        <f>NodesData[[#This Row],[Common Name]]</f>
        <v>Claim</v>
      </c>
      <c r="C93" s="3" t="str">
        <f>IF(NodesData[[#This Row],[Context Instanciation]]="","",NodesData[[#This Row],[Context Instanciation]])</f>
        <v/>
      </c>
      <c r="D93" s="22" t="str">
        <f>NodesData[[#This Row],[Node ID]]</f>
        <v>nBCD1222E_E013_4743_9588_168A8E8A4CCC</v>
      </c>
      <c r="E93" s="10" t="s">
        <v>667</v>
      </c>
      <c r="F93" s="25" t="str" cm="1">
        <f t="array" ref="F93">IF(NodesJSON[[#This Row],[Export?]]=0,"",IF(ROW(NodesJSON[[#This Row],[label]])&gt;ROW(NodesJSON[[#Headers],[JSON]])+1,",","") &amp;"{"&amp;twoRangesToJSON(NodesJSON[[#Headers],[label]:[url]],NodesJSON[[#This Row],[label]:[url]])&amp;"}")</f>
        <v>,{"label":"Claim","group":"","id":"nBCD1222E_E013_4743_9588_168A8E8A4CCC","url":"https://open-measure.atlassian.net/wiki/spaces/DIC/pages/138346642"}</v>
      </c>
    </row>
    <row r="94" spans="1:6" ht="13.9" thickTop="1" thickBot="1" x14ac:dyDescent="0.4">
      <c r="A94" s="39">
        <f>IF(ISERR(NodesJSON[[#This Row],[label]]),0,1)</f>
        <v>1</v>
      </c>
      <c r="B94" s="3" t="str">
        <f>NodesData[[#This Row],[Common Name]]</f>
        <v>Claim Registry Model</v>
      </c>
      <c r="C94" s="3" t="str">
        <f>IF(NodesData[[#This Row],[Context Instanciation]]="","",NodesData[[#This Row],[Context Instanciation]])</f>
        <v/>
      </c>
      <c r="D94" s="22" t="str">
        <f>NodesData[[#This Row],[Node ID]]</f>
        <v>n09BFADD4_A980_40F3_A98A_B65C0F02447F</v>
      </c>
      <c r="E94" s="10" t="s">
        <v>668</v>
      </c>
      <c r="F94" s="25" t="str" cm="1">
        <f t="array" ref="F94">IF(NodesJSON[[#This Row],[Export?]]=0,"",IF(ROW(NodesJSON[[#This Row],[label]])&gt;ROW(NodesJSON[[#Headers],[JSON]])+1,",","") &amp;"{"&amp;twoRangesToJSON(NodesJSON[[#Headers],[label]:[url]],NodesJSON[[#This Row],[label]:[url]])&amp;"}")</f>
        <v>,{"label":"Claim Registry Model","group":"","id":"n09BFADD4_A980_40F3_A98A_B65C0F02447F","url":"https://open-measure.atlassian.net/wiki/spaces/DIC/pages/67633343/Credential"}</v>
      </c>
    </row>
    <row r="95" spans="1:6" ht="13.9" thickTop="1" thickBot="1" x14ac:dyDescent="0.4">
      <c r="A95" s="39">
        <f>IF(ISERR(NodesJSON[[#This Row],[label]]),0,1)</f>
        <v>1</v>
      </c>
      <c r="B95" s="3" t="str">
        <f>NodesData[[#This Row],[Common Name]]</f>
        <v>Claimant</v>
      </c>
      <c r="C95" s="3" t="str">
        <f>IF(NodesData[[#This Row],[Context Instanciation]]="","",NodesData[[#This Row],[Context Instanciation]])</f>
        <v/>
      </c>
      <c r="D95" s="22" t="str">
        <f>NodesData[[#This Row],[Node ID]]</f>
        <v>n67C38909_17F6_4502_B532_983E8C4AB8F8</v>
      </c>
      <c r="E95" s="10" t="s">
        <v>669</v>
      </c>
      <c r="F95" s="25" t="str" cm="1">
        <f t="array" ref="F95">IF(NodesJSON[[#This Row],[Export?]]=0,"",IF(ROW(NodesJSON[[#This Row],[label]])&gt;ROW(NodesJSON[[#Headers],[JSON]])+1,",","") &amp;"{"&amp;twoRangesToJSON(NodesJSON[[#Headers],[label]:[url]],NodesJSON[[#This Row],[label]:[url]])&amp;"}")</f>
        <v>,{"label":"Claimant","group":"","id":"n67C38909_17F6_4502_B532_983E8C4AB8F8","url":"https://open-measure.atlassian.net/wiki/spaces/DIC/pages/1254719498/Credential+Harvesting"}</v>
      </c>
    </row>
    <row r="96" spans="1:6" ht="13.9" thickTop="1" thickBot="1" x14ac:dyDescent="0.4">
      <c r="A96" s="39">
        <f>IF(ISERR(NodesJSON[[#This Row],[label]]),0,1)</f>
        <v>1</v>
      </c>
      <c r="B96" s="3" t="str">
        <f>NodesData[[#This Row],[Common Name]]</f>
        <v>Classification</v>
      </c>
      <c r="C96" s="3" t="str">
        <f>IF(NodesData[[#This Row],[Context Instanciation]]="","",NodesData[[#This Row],[Context Instanciation]])</f>
        <v/>
      </c>
      <c r="D96" s="22" t="str">
        <f>NodesData[[#This Row],[Node ID]]</f>
        <v>n3AF44A35_CD82_4A03_B96B_2C8E7E9F40FE</v>
      </c>
      <c r="E96" s="10" t="s">
        <v>671</v>
      </c>
      <c r="F96" s="25" t="str" cm="1">
        <f t="array" ref="F96">IF(NodesJSON[[#This Row],[Export?]]=0,"",IF(ROW(NodesJSON[[#This Row],[label]])&gt;ROW(NodesJSON[[#Headers],[JSON]])+1,",","") &amp;"{"&amp;twoRangesToJSON(NodesJSON[[#Headers],[label]:[url]],NodesJSON[[#This Row],[label]:[url]])&amp;"}")</f>
        <v>,{"label":"Classification","group":"","id":"n3AF44A35_CD82_4A03_B96B_2C8E7E9F40FE","url":"https://open-measure.atlassian.net/wiki/spaces/DIC/pages/82870977"}</v>
      </c>
    </row>
    <row r="97" spans="1:6" ht="13.9" thickTop="1" thickBot="1" x14ac:dyDescent="0.4">
      <c r="A97" s="39">
        <f>IF(ISERR(NodesJSON[[#This Row],[label]]),0,1)</f>
        <v>1</v>
      </c>
      <c r="B97" s="3" t="str">
        <f>NodesData[[#This Row],[Common Name]]</f>
        <v>Client Initiated Backchannel Authentication</v>
      </c>
      <c r="C97" s="3" t="str">
        <f>IF(NodesData[[#This Row],[Context Instanciation]]="","",NodesData[[#This Row],[Context Instanciation]])</f>
        <v/>
      </c>
      <c r="D97" s="22" t="str">
        <f>NodesData[[#This Row],[Node ID]]</f>
        <v>n6362F1FB_53FB_45C5_A797_A947C7ECB972</v>
      </c>
      <c r="E97" s="10" t="s">
        <v>672</v>
      </c>
      <c r="F97" s="25" t="str" cm="1">
        <f t="array" ref="F97">IF(NodesJSON[[#This Row],[Export?]]=0,"",IF(ROW(NodesJSON[[#This Row],[label]])&gt;ROW(NodesJSON[[#Headers],[JSON]])+1,",","") &amp;"{"&amp;twoRangesToJSON(NodesJSON[[#Headers],[label]:[url]],NodesJSON[[#This Row],[label]:[url]])&amp;"}")</f>
        <v>,{"label":"Client Initiated Backchannel Authentication","group":"","id":"n6362F1FB_53FB_45C5_A797_A947C7ECB972","url":"https://open-measure.atlassian.net/wiki/spaces/DIC/pages/1348862053/Credential+Stuffing"}</v>
      </c>
    </row>
    <row r="98" spans="1:6" ht="13.9" thickTop="1" thickBot="1" x14ac:dyDescent="0.4">
      <c r="A98" s="39">
        <f>IF(ISERR(NodesJSON[[#This Row],[label]]),0,1)</f>
        <v>1</v>
      </c>
      <c r="B98" s="3" t="str">
        <f>NodesData[[#This Row],[Common Name]]</f>
        <v>Cloud Identity Management System</v>
      </c>
      <c r="C98" s="3" t="str">
        <f>IF(NodesData[[#This Row],[Context Instanciation]]="","",NodesData[[#This Row],[Context Instanciation]])</f>
        <v/>
      </c>
      <c r="D98" s="22" t="str">
        <f>NodesData[[#This Row],[Node ID]]</f>
        <v>n80E713F8_140B_4FA1_AD0A_95353ACF23CE</v>
      </c>
      <c r="E98" s="10" t="s">
        <v>674</v>
      </c>
      <c r="F98" s="25" t="str" cm="1">
        <f t="array" ref="F98">IF(NodesJSON[[#This Row],[Export?]]=0,"",IF(ROW(NodesJSON[[#This Row],[label]])&gt;ROW(NodesJSON[[#Headers],[JSON]])+1,",","") &amp;"{"&amp;twoRangesToJSON(NodesJSON[[#Headers],[label]:[url]],NodesJSON[[#This Row],[label]:[url]])&amp;"}")</f>
        <v>,{"label":"Cloud Identity Management System","group":"","id":"n80E713F8_140B_4FA1_AD0A_95353ACF23CE","url":"https://open-measure.atlassian.net/wiki/spaces/DIC/pages/461340725"}</v>
      </c>
    </row>
    <row r="99" spans="1:6" ht="13.9" thickTop="1" thickBot="1" x14ac:dyDescent="0.4">
      <c r="A99" s="39">
        <f>IF(ISERR(NodesJSON[[#This Row],[label]]),0,1)</f>
        <v>1</v>
      </c>
      <c r="B99" s="3" t="str">
        <f>NodesData[[#This Row],[Common Name]]</f>
        <v>Cloud IdMS</v>
      </c>
      <c r="C99" s="3" t="str">
        <f>IF(NodesData[[#This Row],[Context Instanciation]]="","",NodesData[[#This Row],[Context Instanciation]])</f>
        <v/>
      </c>
      <c r="D99" s="22" t="str">
        <f>NodesData[[#This Row],[Node ID]]</f>
        <v>nC7A5534A_F936_4092_AF5A_4868FEC6CF24</v>
      </c>
      <c r="E99" s="10" t="s">
        <v>676</v>
      </c>
      <c r="F99" s="25" t="str" cm="1">
        <f t="array" ref="F99">IF(NodesJSON[[#This Row],[Export?]]=0,"",IF(ROW(NodesJSON[[#This Row],[label]])&gt;ROW(NodesJSON[[#Headers],[JSON]])+1,",","") &amp;"{"&amp;twoRangesToJSON(NodesJSON[[#Headers],[label]:[url]],NodesJSON[[#This Row],[label]:[url]])&amp;"}")</f>
        <v>,{"label":"Cloud IdMS","group":"","id":"nC7A5534A_F936_4092_AF5A_4868FEC6CF24","url":"https://open-measure.atlassian.net/wiki/spaces/DIC/pages/427130918"}</v>
      </c>
    </row>
    <row r="100" spans="1:6" ht="13.9" thickTop="1" thickBot="1" x14ac:dyDescent="0.4">
      <c r="A100" s="39">
        <f>IF(ISERR(NodesJSON[[#This Row],[label]]),0,1)</f>
        <v>1</v>
      </c>
      <c r="B100" s="3" t="str">
        <f>NodesData[[#This Row],[Common Name]]</f>
        <v>Cloud Service Consumers</v>
      </c>
      <c r="C100" s="3" t="str">
        <f>IF(NodesData[[#This Row],[Context Instanciation]]="","",NodesData[[#This Row],[Context Instanciation]])</f>
        <v/>
      </c>
      <c r="D100" s="22" t="str">
        <f>NodesData[[#This Row],[Node ID]]</f>
        <v>n4180E5F4_C1E3_4F95_9CBB_CD85E0BCC655</v>
      </c>
      <c r="E100" s="10" t="s">
        <v>677</v>
      </c>
      <c r="F100" s="25" t="str" cm="1">
        <f t="array" ref="F100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Consumers","group":"","id":"n4180E5F4_C1E3_4F95_9CBB_CD85E0BCC655","url":"https://open-measure.atlassian.net/wiki/spaces/DIC/pages/1152516162/CSC"}</v>
      </c>
    </row>
    <row r="101" spans="1:6" ht="13.9" thickTop="1" thickBot="1" x14ac:dyDescent="0.4">
      <c r="A101" s="39">
        <f>IF(ISERR(NodesJSON[[#This Row],[label]]),0,1)</f>
        <v>1</v>
      </c>
      <c r="B101" s="3" t="str">
        <f>NodesData[[#This Row],[Common Name]]</f>
        <v>Cloud Service Provider</v>
      </c>
      <c r="C101" s="3" t="str">
        <f>IF(NodesData[[#This Row],[Context Instanciation]]="","",NodesData[[#This Row],[Context Instanciation]])</f>
        <v/>
      </c>
      <c r="D101" s="22" t="str">
        <f>NodesData[[#This Row],[Node ID]]</f>
        <v>nC844F971_544C_4338_94D2_6A965B7BCF89</v>
      </c>
      <c r="E101" s="10" t="s">
        <v>678</v>
      </c>
      <c r="F101" s="25" t="str" cm="1">
        <f t="array" ref="F101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Provider","group":"","id":"nC844F971_544C_4338_94D2_6A965B7BCF89","url":"https://open-measure.atlassian.net/wiki/spaces/DIC/pages/82903984/CSP"}</v>
      </c>
    </row>
    <row r="102" spans="1:6" ht="13.9" thickTop="1" thickBot="1" x14ac:dyDescent="0.4">
      <c r="A102" s="39">
        <f>IF(ISERR(NodesJSON[[#This Row],[label]]),0,1)</f>
        <v>1</v>
      </c>
      <c r="B102" s="3" t="str">
        <f>NodesData[[#This Row],[Common Name]]</f>
        <v>Cloud Service User</v>
      </c>
      <c r="C102" s="3" t="str">
        <f>IF(NodesData[[#This Row],[Context Instanciation]]="","",NodesData[[#This Row],[Context Instanciation]])</f>
        <v/>
      </c>
      <c r="D102" s="22" t="str">
        <f>NodesData[[#This Row],[Node ID]]</f>
        <v>nE857DAE9_4FEB_442D_A1CF_D7B687ABF6B7</v>
      </c>
      <c r="E102" s="10" t="s">
        <v>679</v>
      </c>
      <c r="F102" s="25" t="str" cm="1">
        <f t="array" ref="F102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User","group":"","id":"nE857DAE9_4FEB_442D_A1CF_D7B687ABF6B7","url":"https://open-measure.atlassian.net/wiki/spaces/DIC/pages/206667867/CSU"}</v>
      </c>
    </row>
    <row r="103" spans="1:6" ht="13.9" thickTop="1" thickBot="1" x14ac:dyDescent="0.4">
      <c r="A103" s="39">
        <f>IF(ISERR(NodesJSON[[#This Row],[label]]),0,1)</f>
        <v>1</v>
      </c>
      <c r="B103" s="3" t="str">
        <f>NodesData[[#This Row],[Common Name]]</f>
        <v>Coherent Whole</v>
      </c>
      <c r="C103" s="3" t="str">
        <f>IF(NodesData[[#This Row],[Context Instanciation]]="","",NodesData[[#This Row],[Context Instanciation]])</f>
        <v/>
      </c>
      <c r="D103" s="22" t="str">
        <f>NodesData[[#This Row],[Node ID]]</f>
        <v>n2E4A35A7_53BB_4F4B_8554_B6584F77D71D</v>
      </c>
      <c r="E103" s="10" t="s">
        <v>681</v>
      </c>
      <c r="F103" s="25" t="str" cm="1">
        <f t="array" ref="F103">IF(NodesJSON[[#This Row],[Export?]]=0,"",IF(ROW(NodesJSON[[#This Row],[label]])&gt;ROW(NodesJSON[[#Headers],[JSON]])+1,",","") &amp;"{"&amp;twoRangesToJSON(NodesJSON[[#Headers],[label]:[url]],NodesJSON[[#This Row],[label]:[url]])&amp;"}")</f>
        <v>,{"label":"Coherent Whole","group":"","id":"n2E4A35A7_53BB_4F4B_8554_B6584F77D71D","url":"https://open-measure.atlassian.net/wiki/spaces/DIC/pages/414482448"}</v>
      </c>
    </row>
    <row r="104" spans="1:6" ht="13.9" thickTop="1" thickBot="1" x14ac:dyDescent="0.4">
      <c r="A104" s="39">
        <f>IF(ISERR(NodesJSON[[#This Row],[label]]),0,1)</f>
        <v>1</v>
      </c>
      <c r="B104" s="3" t="str">
        <f>NodesData[[#This Row],[Common Name]]</f>
        <v>Commission Error</v>
      </c>
      <c r="C104" s="3" t="str">
        <f>IF(NodesData[[#This Row],[Context Instanciation]]="","",NodesData[[#This Row],[Context Instanciation]])</f>
        <v/>
      </c>
      <c r="D104" s="22" t="str">
        <f>NodesData[[#This Row],[Node ID]]</f>
        <v>n4D29847A_7439_438F_9BF4_1A9AC6B66382</v>
      </c>
      <c r="E104" s="10" t="s">
        <v>683</v>
      </c>
      <c r="F104" s="25" t="str" cm="1">
        <f t="array" ref="F104">IF(NodesJSON[[#This Row],[Export?]]=0,"",IF(ROW(NodesJSON[[#This Row],[label]])&gt;ROW(NodesJSON[[#Headers],[JSON]])+1,",","") &amp;"{"&amp;twoRangesToJSON(NodesJSON[[#Headers],[label]:[url]],NodesJSON[[#This Row],[label]:[url]])&amp;"}")</f>
        <v>,{"label":"Commission Error","group":"","id":"n4D29847A_7439_438F_9BF4_1A9AC6B66382","url":"https://open-measure.atlassian.net/wiki/spaces/DIC/pages/414548006"}</v>
      </c>
    </row>
    <row r="105" spans="1:6" ht="13.9" thickTop="1" thickBot="1" x14ac:dyDescent="0.4">
      <c r="A105" s="39">
        <f>IF(ISERR(NodesJSON[[#This Row],[label]]),0,1)</f>
        <v>1</v>
      </c>
      <c r="B105" s="3" t="str">
        <f>NodesData[[#This Row],[Common Name]]</f>
        <v>Compromised Identity</v>
      </c>
      <c r="C105" s="3" t="str">
        <f>IF(NodesData[[#This Row],[Context Instanciation]]="","",NodesData[[#This Row],[Context Instanciation]])</f>
        <v/>
      </c>
      <c r="D105" s="22" t="str">
        <f>NodesData[[#This Row],[Node ID]]</f>
        <v>n5AE73A5D_7DC4_4E67_BA86_77F767004525</v>
      </c>
      <c r="E105" s="10" t="s">
        <v>685</v>
      </c>
      <c r="F105" s="25" t="str" cm="1">
        <f t="array" ref="F105">IF(NodesJSON[[#This Row],[Export?]]=0,"",IF(ROW(NodesJSON[[#This Row],[label]])&gt;ROW(NodesJSON[[#Headers],[JSON]])+1,",","") &amp;"{"&amp;twoRangesToJSON(NodesJSON[[#Headers],[label]:[url]],NodesJSON[[#This Row],[label]:[url]])&amp;"}")</f>
        <v>,{"label":"Compromised Identity","group":"","id":"n5AE73A5D_7DC4_4E67_BA86_77F767004525","url":"https://open-measure.atlassian.net/wiki/spaces/DIC/pages/138444875"}</v>
      </c>
    </row>
    <row r="106" spans="1:6" ht="13.9" thickTop="1" thickBot="1" x14ac:dyDescent="0.4">
      <c r="A106" s="39">
        <f>IF(ISERR(NodesJSON[[#This Row],[label]]),0,1)</f>
        <v>1</v>
      </c>
      <c r="B106" s="3" t="str">
        <f>NodesData[[#This Row],[Common Name]]</f>
        <v>Concurrent Impersonation Attack</v>
      </c>
      <c r="C106" s="3" t="str">
        <f>IF(NodesData[[#This Row],[Context Instanciation]]="","",NodesData[[#This Row],[Context Instanciation]])</f>
        <v/>
      </c>
      <c r="D106" s="22" t="str">
        <f>NodesData[[#This Row],[Node ID]]</f>
        <v>n7613977B_913F_4201_81B8_F2639D95D430</v>
      </c>
      <c r="E106" s="10" t="s">
        <v>687</v>
      </c>
      <c r="F106" s="25" t="str" cm="1">
        <f t="array" ref="F106">IF(NodesJSON[[#This Row],[Export?]]=0,"",IF(ROW(NodesJSON[[#This Row],[label]])&gt;ROW(NodesJSON[[#Headers],[JSON]])+1,",","") &amp;"{"&amp;twoRangesToJSON(NodesJSON[[#Headers],[label]:[url]],NodesJSON[[#This Row],[label]:[url]])&amp;"}")</f>
        <v>,{"label":"Concurrent Impersonation Attack","group":"","id":"n7613977B_913F_4201_81B8_F2639D95D430","url":"https://open-measure.atlassian.net/wiki/spaces/DIC/pages/409010717"}</v>
      </c>
    </row>
    <row r="107" spans="1:6" ht="13.9" thickTop="1" thickBot="1" x14ac:dyDescent="0.4">
      <c r="A107" s="39">
        <f>IF(ISERR(NodesJSON[[#This Row],[label]]),0,1)</f>
        <v>1</v>
      </c>
      <c r="B107" s="3" t="str">
        <f>NodesData[[#This Row],[Common Name]]</f>
        <v>Continuous Authentication</v>
      </c>
      <c r="C107" s="3" t="str">
        <f>IF(NodesData[[#This Row],[Context Instanciation]]="","",NodesData[[#This Row],[Context Instanciation]])</f>
        <v/>
      </c>
      <c r="D107" s="22" t="str">
        <f>NodesData[[#This Row],[Node ID]]</f>
        <v>n80A2BE7C_191D_425D_A7B8_93B0ACBEE01B</v>
      </c>
      <c r="E107" s="10" t="s">
        <v>689</v>
      </c>
      <c r="F107" s="25" t="str" cm="1">
        <f t="array" ref="F107">IF(NodesJSON[[#This Row],[Export?]]=0,"",IF(ROW(NodesJSON[[#This Row],[label]])&gt;ROW(NodesJSON[[#Headers],[JSON]])+1,",","") &amp;"{"&amp;twoRangesToJSON(NodesJSON[[#Headers],[label]:[url]],NodesJSON[[#This Row],[label]:[url]])&amp;"}")</f>
        <v>,{"label":"Continuous Authentication","group":"","id":"n80A2BE7C_191D_425D_A7B8_93B0ACBEE01B","url":"https://open-measure.atlassian.net/wiki/spaces/DIC/pages/408944928"}</v>
      </c>
    </row>
    <row r="108" spans="1:6" ht="13.9" thickTop="1" thickBot="1" x14ac:dyDescent="0.4">
      <c r="A108" s="39">
        <f>IF(ISERR(NodesJSON[[#This Row],[label]]),0,1)</f>
        <v>1</v>
      </c>
      <c r="B108" s="3" t="str">
        <f>NodesData[[#This Row],[Common Name]]</f>
        <v>Control Class</v>
      </c>
      <c r="C108" s="3" t="str">
        <f>IF(NodesData[[#This Row],[Context Instanciation]]="","",NodesData[[#This Row],[Context Instanciation]])</f>
        <v/>
      </c>
      <c r="D108" s="22" t="str">
        <f>NodesData[[#This Row],[Node ID]]</f>
        <v>nCEEB6DF9_D56B_4A1B_9B36_35674D25F038</v>
      </c>
      <c r="E108" s="10" t="s">
        <v>691</v>
      </c>
      <c r="F108" s="25" t="str" cm="1">
        <f t="array" ref="F108">IF(NodesJSON[[#This Row],[Export?]]=0,"",IF(ROW(NodesJSON[[#This Row],[label]])&gt;ROW(NodesJSON[[#Headers],[JSON]])+1,",","") &amp;"{"&amp;twoRangesToJSON(NodesJSON[[#Headers],[label]:[url]],NodesJSON[[#This Row],[label]:[url]])&amp;"}")</f>
        <v>,{"label":"Control Class","group":"","id":"nCEEB6DF9_D56B_4A1B_9B36_35674D25F038","url":"https://open-measure.atlassian.net/wiki/spaces/DIC/pages/797900801"}</v>
      </c>
    </row>
    <row r="109" spans="1:6" ht="13.9" thickTop="1" thickBot="1" x14ac:dyDescent="0.4">
      <c r="A109" s="39">
        <f>IF(ISERR(NodesJSON[[#This Row],[label]]),0,1)</f>
        <v>1</v>
      </c>
      <c r="B109" s="3" t="str">
        <f>NodesData[[#This Row],[Common Name]]</f>
        <v>Control Party</v>
      </c>
      <c r="C109" s="3" t="str">
        <f>IF(NodesData[[#This Row],[Context Instanciation]]="","",NodesData[[#This Row],[Context Instanciation]])</f>
        <v/>
      </c>
      <c r="D109" s="22" t="str">
        <f>NodesData[[#This Row],[Node ID]]</f>
        <v>n2036668D_41FC_42AC_A26E_DCB28C92BB42</v>
      </c>
      <c r="E109" s="10" t="s">
        <v>692</v>
      </c>
      <c r="F109" s="25" t="str" cm="1">
        <f t="array" ref="F109">IF(NodesJSON[[#This Row],[Export?]]=0,"",IF(ROW(NodesJSON[[#This Row],[label]])&gt;ROW(NodesJSON[[#Headers],[JSON]])+1,",","") &amp;"{"&amp;twoRangesToJSON(NodesJSON[[#Headers],[label]:[url]],NodesJSON[[#This Row],[label]:[url]])&amp;"}")</f>
        <v>,{"label":"Control Party","group":"","id":"n2036668D_41FC_42AC_A26E_DCB28C92BB42","url":"https://open-measure.atlassian.net/wiki/spaces/DIC/pages/1451982933/Cyber-sabotage"}</v>
      </c>
    </row>
    <row r="110" spans="1:6" ht="13.9" thickTop="1" thickBot="1" x14ac:dyDescent="0.4">
      <c r="A110" s="39">
        <f>IF(ISERR(NodesJSON[[#This Row],[label]]),0,1)</f>
        <v>1</v>
      </c>
      <c r="B110" s="3" t="str">
        <f>NodesData[[#This Row],[Common Name]]</f>
        <v>Core Identity</v>
      </c>
      <c r="C110" s="3" t="str">
        <f>IF(NodesData[[#This Row],[Context Instanciation]]="","",NodesData[[#This Row],[Context Instanciation]])</f>
        <v/>
      </c>
      <c r="D110" s="22" t="str">
        <f>NodesData[[#This Row],[Node ID]]</f>
        <v>n3B5C4453_42D1_4B17_BE96_3CB27267BE34</v>
      </c>
      <c r="E110" s="10" t="s">
        <v>693</v>
      </c>
      <c r="F110" s="25" t="str" cm="1">
        <f t="array" ref="F110">IF(NodesJSON[[#This Row],[Export?]]=0,"",IF(ROW(NodesJSON[[#This Row],[label]])&gt;ROW(NodesJSON[[#Headers],[JSON]])+1,",","") &amp;"{"&amp;twoRangesToJSON(NodesJSON[[#Headers],[label]:[url]],NodesJSON[[#This Row],[label]:[url]])&amp;"}")</f>
        <v>,{"label":"Core Identity","group":"","id":"n3B5C4453_42D1_4B17_BE96_3CB27267BE34","url":"https://open-measure.atlassian.net/wiki/spaces/DIC/pages/1177845938/DAC"}</v>
      </c>
    </row>
    <row r="111" spans="1:6" ht="13.9" thickTop="1" thickBot="1" x14ac:dyDescent="0.4">
      <c r="A111" s="39">
        <f>IF(ISERR(NodesJSON[[#This Row],[label]]),0,1)</f>
        <v>1</v>
      </c>
      <c r="B111" s="3" t="str">
        <f>NodesData[[#This Row],[Common Name]]</f>
        <v>Credential</v>
      </c>
      <c r="C111" s="3" t="str">
        <f>IF(NodesData[[#This Row],[Context Instanciation]]="","",NodesData[[#This Row],[Context Instanciation]])</f>
        <v/>
      </c>
      <c r="D111" s="22" t="str">
        <f>NodesData[[#This Row],[Node ID]]</f>
        <v>n71B0143B_00D4_447A_802A_D03702D2600F</v>
      </c>
      <c r="E111" s="10" t="s">
        <v>694</v>
      </c>
      <c r="F111" s="25" t="str" cm="1">
        <f t="array" ref="F111">IF(NodesJSON[[#This Row],[Export?]]=0,"",IF(ROW(NodesJSON[[#This Row],[label]])&gt;ROW(NodesJSON[[#Headers],[JSON]])+1,",","") &amp;"{"&amp;twoRangesToJSON(NodesJSON[[#Headers],[label]:[url]],NodesJSON[[#This Row],[label]:[url]])&amp;"}")</f>
        <v>,{"label":"Credential","group":"","id":"n71B0143B_00D4_447A_802A_D03702D2600F","url":"https://open-measure.atlassian.net/wiki/spaces/DIC/pages/1267400850/Data+Anonymization"}</v>
      </c>
    </row>
    <row r="112" spans="1:6" ht="13.9" thickTop="1" thickBot="1" x14ac:dyDescent="0.4">
      <c r="A112" s="39">
        <f>IF(ISERR(NodesJSON[[#This Row],[label]]),0,1)</f>
        <v>1</v>
      </c>
      <c r="B112" s="3" t="str">
        <f>NodesData[[#This Row],[Common Name]]</f>
        <v>Credential Harvesting</v>
      </c>
      <c r="C112" s="3" t="str">
        <f>IF(NodesData[[#This Row],[Context Instanciation]]="","",NodesData[[#This Row],[Context Instanciation]])</f>
        <v/>
      </c>
      <c r="D112" s="22" t="str">
        <f>NodesData[[#This Row],[Node ID]]</f>
        <v>n835E7716_4234_4D63_9E3D_53FD75BD48A0</v>
      </c>
      <c r="E112" s="10" t="s">
        <v>696</v>
      </c>
      <c r="F112" s="25" t="str" cm="1">
        <f t="array" ref="F112">IF(NodesJSON[[#This Row],[Export?]]=0,"",IF(ROW(NodesJSON[[#This Row],[label]])&gt;ROW(NodesJSON[[#Headers],[JSON]])+1,",","") &amp;"{"&amp;twoRangesToJSON(NodesJSON[[#Headers],[label]:[url]],NodesJSON[[#This Row],[label]:[url]])&amp;"}")</f>
        <v>,{"label":"Credential Harvesting","group":"","id":"n835E7716_4234_4D63_9E3D_53FD75BD48A0","url":"https://open-measure.atlassian.net/wiki/spaces/DIC/pages/998244454"}</v>
      </c>
    </row>
    <row r="113" spans="1:6" ht="13.9" thickTop="1" thickBot="1" x14ac:dyDescent="0.4">
      <c r="A113" s="39">
        <f>IF(ISERR(NodesJSON[[#This Row],[label]]),0,1)</f>
        <v>1</v>
      </c>
      <c r="B113" s="3" t="str">
        <f>NodesData[[#This Row],[Common Name]]</f>
        <v>Credential Service Provider</v>
      </c>
      <c r="C113" s="3" t="str">
        <f>IF(NodesData[[#This Row],[Context Instanciation]]="","",NodesData[[#This Row],[Context Instanciation]])</f>
        <v/>
      </c>
      <c r="D113" s="22" t="str">
        <f>NodesData[[#This Row],[Node ID]]</f>
        <v>nC28A38BD_F29A_4E07_BDC5_A430C7F08178</v>
      </c>
      <c r="E113" s="10" t="s">
        <v>704</v>
      </c>
      <c r="F113" s="25" t="str" cm="1">
        <f t="array" ref="F113">IF(NodesJSON[[#This Row],[Export?]]=0,"",IF(ROW(NodesJSON[[#This Row],[label]])&gt;ROW(NodesJSON[[#Headers],[JSON]])+1,",","") &amp;"{"&amp;twoRangesToJSON(NodesJSON[[#Headers],[label]:[url]],NodesJSON[[#This Row],[label]:[url]])&amp;"}")</f>
        <v>,{"label":"Credential Service Provider","group":"","id":"nC28A38BD_F29A_4E07_BDC5_A430C7F08178","url":"https://open-measure.atlassian.net/wiki/spaces/DIC/pages/1132331029"}</v>
      </c>
    </row>
    <row r="114" spans="1:6" ht="13.9" thickTop="1" thickBot="1" x14ac:dyDescent="0.4">
      <c r="A114" s="39">
        <f>IF(ISERR(NodesJSON[[#This Row],[label]]),0,1)</f>
        <v>1</v>
      </c>
      <c r="B114" s="3" t="str">
        <f>NodesData[[#This Row],[Common Name]]</f>
        <v>Credential Stuffing</v>
      </c>
      <c r="C114" s="3" t="str">
        <f>IF(NodesData[[#This Row],[Context Instanciation]]="","",NodesData[[#This Row],[Context Instanciation]])</f>
        <v/>
      </c>
      <c r="D114" s="22" t="str">
        <f>NodesData[[#This Row],[Node ID]]</f>
        <v>nE507E167_D5A0_4734_A76D_1E688002EDB6</v>
      </c>
      <c r="E114" s="10" t="s">
        <v>698</v>
      </c>
      <c r="F114" s="25" t="str" cm="1">
        <f t="array" ref="F114">IF(NodesJSON[[#This Row],[Export?]]=0,"",IF(ROW(NodesJSON[[#This Row],[label]])&gt;ROW(NodesJSON[[#Headers],[JSON]])+1,",","") &amp;"{"&amp;twoRangesToJSON(NodesJSON[[#Headers],[label]:[url]],NodesJSON[[#This Row],[label]:[url]])&amp;"}")</f>
        <v>,{"label":"Credential Stuffing","group":"","id":"nE507E167_D5A0_4734_A76D_1E688002EDB6","url":"https://open-measure.atlassian.net/wiki/spaces/DIC/pages/508330028"}</v>
      </c>
    </row>
    <row r="115" spans="1:6" ht="13.9" thickTop="1" thickBot="1" x14ac:dyDescent="0.4">
      <c r="A115" s="39">
        <f>IF(ISERR(NodesJSON[[#This Row],[label]]),0,1)</f>
        <v>1</v>
      </c>
      <c r="B115" s="3" t="str">
        <f>NodesData[[#This Row],[Common Name]]</f>
        <v>Credential Theft</v>
      </c>
      <c r="C115" s="3" t="str">
        <f>IF(NodesData[[#This Row],[Context Instanciation]]="","",NodesData[[#This Row],[Context Instanciation]])</f>
        <v/>
      </c>
      <c r="D115" s="22" t="str">
        <f>NodesData[[#This Row],[Node ID]]</f>
        <v>nC30B0213_3434_4800_8A7F_F5D9753E7F4F</v>
      </c>
      <c r="E115" s="10" t="s">
        <v>700</v>
      </c>
      <c r="F115" s="25" t="str" cm="1">
        <f t="array" ref="F115">IF(NodesJSON[[#This Row],[Export?]]=0,"",IF(ROW(NodesJSON[[#This Row],[label]])&gt;ROW(NodesJSON[[#Headers],[JSON]])+1,",","") &amp;"{"&amp;twoRangesToJSON(NodesJSON[[#Headers],[label]:[url]],NodesJSON[[#This Row],[label]:[url]])&amp;"}")</f>
        <v>,{"label":"Credential Theft","group":"","id":"nC30B0213_3434_4800_8A7F_F5D9753E7F4F","url":"https://open-measure.atlassian.net/wiki/spaces/DIC/pages/1027048097"}</v>
      </c>
    </row>
    <row r="116" spans="1:6" ht="13.9" thickTop="1" thickBot="1" x14ac:dyDescent="0.4">
      <c r="A116" s="39">
        <f>IF(ISERR(NodesJSON[[#This Row],[label]]),0,1)</f>
        <v>1</v>
      </c>
      <c r="B116" s="3" t="str">
        <f>NodesData[[#This Row],[Common Name]]</f>
        <v>Cryptographic Key</v>
      </c>
      <c r="C116" s="3" t="str">
        <f>IF(NodesData[[#This Row],[Context Instanciation]]="","",NodesData[[#This Row],[Context Instanciation]])</f>
        <v/>
      </c>
      <c r="D116" s="22" t="str">
        <f>NodesData[[#This Row],[Node ID]]</f>
        <v>nD6E2EFC3_D781_401F_AE1A_9DC8865CF67B</v>
      </c>
      <c r="E116" s="10" t="s">
        <v>702</v>
      </c>
      <c r="F116" s="25" t="str" cm="1">
        <f t="array" ref="F116">IF(NodesJSON[[#This Row],[Export?]]=0,"",IF(ROW(NodesJSON[[#This Row],[label]])&gt;ROW(NodesJSON[[#Headers],[JSON]])+1,",","") &amp;"{"&amp;twoRangesToJSON(NodesJSON[[#Headers],[label]:[url]],NodesJSON[[#This Row],[label]:[url]])&amp;"}")</f>
        <v>,{"label":"Cryptographic Key","group":"","id":"nD6E2EFC3_D781_401F_AE1A_9DC8865CF67B","url":"https://open-measure.atlassian.net/wiki/spaces/DIC/pages/998179040"}</v>
      </c>
    </row>
    <row r="117" spans="1:6" ht="13.9" thickTop="1" thickBot="1" x14ac:dyDescent="0.4">
      <c r="A117" s="39">
        <f>IF(ISERR(NodesJSON[[#This Row],[label]]),0,1)</f>
        <v>1</v>
      </c>
      <c r="B117" s="3" t="str">
        <f>NodesData[[#This Row],[Common Name]]</f>
        <v>CSC</v>
      </c>
      <c r="C117" s="3" t="str">
        <f>IF(NodesData[[#This Row],[Context Instanciation]]="","",NodesData[[#This Row],[Context Instanciation]])</f>
        <v/>
      </c>
      <c r="D117" s="22" t="str">
        <f>NodesData[[#This Row],[Node ID]]</f>
        <v>n3CF9484A_E6FA_4D95_9D47_B5595CE2AD13</v>
      </c>
      <c r="E117" s="10" t="s">
        <v>710</v>
      </c>
      <c r="F117" s="25" t="str" cm="1">
        <f t="array" ref="F117">IF(NodesJSON[[#This Row],[Export?]]=0,"",IF(ROW(NodesJSON[[#This Row],[label]])&gt;ROW(NodesJSON[[#Headers],[JSON]])+1,",","") &amp;"{"&amp;twoRangesToJSON(NodesJSON[[#Headers],[label]:[url]],NodesJSON[[#This Row],[label]:[url]])&amp;"}")</f>
        <v>,{"label":"CSC","group":"","id":"n3CF9484A_E6FA_4D95_9D47_B5595CE2AD13","url":"https://open-measure.atlassian.net/wiki/spaces/DIC/pages/408977837"}</v>
      </c>
    </row>
    <row r="118" spans="1:6" ht="13.9" thickTop="1" thickBot="1" x14ac:dyDescent="0.4">
      <c r="A118" s="39">
        <f>IF(ISERR(NodesJSON[[#This Row],[label]]),0,1)</f>
        <v>1</v>
      </c>
      <c r="B118" s="3" t="str">
        <f>NodesData[[#This Row],[Common Name]]</f>
        <v>CSP</v>
      </c>
      <c r="C118" s="3" t="str">
        <f>IF(NodesData[[#This Row],[Context Instanciation]]="","",NodesData[[#This Row],[Context Instanciation]])</f>
        <v/>
      </c>
      <c r="D118" s="22" t="str">
        <f>NodesData[[#This Row],[Node ID]]</f>
        <v>n602C3EC3_8435_47BF_A604_7D75066CC857</v>
      </c>
      <c r="E118" s="10" t="s">
        <v>706</v>
      </c>
      <c r="F118" s="25" t="str" cm="1">
        <f t="array" ref="F118">IF(NodesJSON[[#This Row],[Export?]]=0,"",IF(ROW(NodesJSON[[#This Row],[label]])&gt;ROW(NodesJSON[[#Headers],[JSON]])+1,",","") &amp;"{"&amp;twoRangesToJSON(NodesJSON[[#Headers],[label]:[url]],NodesJSON[[#This Row],[label]:[url]])&amp;"}")</f>
        <v>,{"label":"CSP","group":"","id":"n602C3EC3_8435_47BF_A604_7D75066CC857","url":"https://open-measure.atlassian.net/wiki/spaces/DIC/pages/1031242134"}</v>
      </c>
    </row>
    <row r="119" spans="1:6" ht="13.9" thickTop="1" thickBot="1" x14ac:dyDescent="0.4">
      <c r="A119" s="39">
        <f>IF(ISERR(NodesJSON[[#This Row],[label]]),0,1)</f>
        <v>1</v>
      </c>
      <c r="B119" s="3" t="str">
        <f>NodesData[[#This Row],[Common Name]]</f>
        <v>CSU</v>
      </c>
      <c r="C119" s="3" t="str">
        <f>IF(NodesData[[#This Row],[Context Instanciation]]="","",NodesData[[#This Row],[Context Instanciation]])</f>
        <v/>
      </c>
      <c r="D119" s="22" t="str">
        <f>NodesData[[#This Row],[Node ID]]</f>
        <v>nFF6942C5_7966_4E4A_8491_8D4F0333B971</v>
      </c>
      <c r="E119" s="10" t="s">
        <v>708</v>
      </c>
      <c r="F119" s="25" t="str" cm="1">
        <f t="array" ref="F119">IF(NodesJSON[[#This Row],[Export?]]=0,"",IF(ROW(NodesJSON[[#This Row],[label]])&gt;ROW(NodesJSON[[#Headers],[JSON]])+1,",","") &amp;"{"&amp;twoRangesToJSON(NodesJSON[[#Headers],[label]:[url]],NodesJSON[[#This Row],[label]:[url]])&amp;"}")</f>
        <v>,{"label":"CSU","group":"","id":"nFF6942C5_7966_4E4A_8491_8D4F0333B971","url":"https://open-measure.atlassian.net/wiki/spaces/DIC/pages/782893122"}</v>
      </c>
    </row>
    <row r="120" spans="1:6" ht="13.9" thickTop="1" thickBot="1" x14ac:dyDescent="0.4">
      <c r="A120" s="39">
        <f>IF(ISERR(NodesJSON[[#This Row],[label]]),0,1)</f>
        <v>1</v>
      </c>
      <c r="B120" s="3" t="str">
        <f>NodesData[[#This Row],[Common Name]]</f>
        <v>Customer Due Diligence</v>
      </c>
      <c r="C120" s="3" t="str">
        <f>IF(NodesData[[#This Row],[Context Instanciation]]="","",NodesData[[#This Row],[Context Instanciation]])</f>
        <v/>
      </c>
      <c r="D120" s="22" t="str">
        <f>NodesData[[#This Row],[Node ID]]</f>
        <v>nAF7F194C_57F9_469D_96EF_9261A46CC7FC</v>
      </c>
      <c r="E120" s="10" t="s">
        <v>712</v>
      </c>
      <c r="F120" s="25" t="str" cm="1">
        <f t="array" ref="F120">IF(NodesJSON[[#This Row],[Export?]]=0,"",IF(ROW(NodesJSON[[#This Row],[label]])&gt;ROW(NodesJSON[[#Headers],[JSON]])+1,",","") &amp;"{"&amp;twoRangesToJSON(NodesJSON[[#Headers],[label]:[url]],NodesJSON[[#This Row],[label]:[url]])&amp;"}")</f>
        <v>,{"label":"Customer Due Diligence","group":"","id":"nAF7F194C_57F9_469D_96EF_9261A46CC7FC","url":"https://open-measure.atlassian.net/wiki/spaces/DIC/pages/62193665"}</v>
      </c>
    </row>
    <row r="121" spans="1:6" ht="13.9" thickTop="1" thickBot="1" x14ac:dyDescent="0.4">
      <c r="A121" s="39">
        <f>IF(ISERR(NodesJSON[[#This Row],[label]]),0,1)</f>
        <v>1</v>
      </c>
      <c r="B121" s="3" t="str">
        <f>NodesData[[#This Row],[Common Name]]</f>
        <v>Customer Identification</v>
      </c>
      <c r="C121" s="3" t="str">
        <f>IF(NodesData[[#This Row],[Context Instanciation]]="","",NodesData[[#This Row],[Context Instanciation]])</f>
        <v/>
      </c>
      <c r="D121" s="22" t="str">
        <f>NodesData[[#This Row],[Node ID]]</f>
        <v>nC4DE4DA0_78E1_4926_AF0C_F091AF13103D</v>
      </c>
      <c r="E121" s="10" t="s">
        <v>713</v>
      </c>
      <c r="F121" s="25" t="str" cm="1">
        <f t="array" ref="F121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Identification","group":"","id":"nC4DE4DA0_78E1_4926_AF0C_F091AF13103D","url":"https://open-measure.atlassian.net/wiki/spaces/DIC/pages/782925889/DID"}</v>
      </c>
    </row>
    <row r="122" spans="1:6" ht="13.9" thickTop="1" thickBot="1" x14ac:dyDescent="0.4">
      <c r="A122" s="39">
        <f>IF(ISERR(NodesJSON[[#This Row],[label]]),0,1)</f>
        <v>1</v>
      </c>
      <c r="B122" s="3" t="str">
        <f>NodesData[[#This Row],[Common Name]]</f>
        <v>Customer Identity</v>
      </c>
      <c r="C122" s="3" t="str">
        <f>IF(NodesData[[#This Row],[Context Instanciation]]="","",NodesData[[#This Row],[Context Instanciation]])</f>
        <v/>
      </c>
      <c r="D122" s="22" t="str">
        <f>NodesData[[#This Row],[Node ID]]</f>
        <v>nE1CBAB67_758C_4F2C_BA6A_799375745B56</v>
      </c>
      <c r="E122" s="10" t="s">
        <v>715</v>
      </c>
      <c r="F122" s="25" t="str" cm="1">
        <f t="array" ref="F122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Identity","group":"","id":"nE1CBAB67_758C_4F2C_BA6A_799375745B56","url":"https://open-measure.atlassian.net/wiki/spaces/DIC/pages/458326308"}</v>
      </c>
    </row>
    <row r="123" spans="1:6" ht="13.9" thickTop="1" thickBot="1" x14ac:dyDescent="0.4">
      <c r="A123" s="39">
        <f>IF(ISERR(NodesJSON[[#This Row],[label]]),0,1)</f>
        <v>1</v>
      </c>
      <c r="B123" s="3" t="str">
        <f>NodesData[[#This Row],[Common Name]]</f>
        <v>Customer Identity Verification</v>
      </c>
      <c r="C123" s="3" t="str">
        <f>IF(NodesData[[#This Row],[Context Instanciation]]="","",NodesData[[#This Row],[Context Instanciation]])</f>
        <v/>
      </c>
      <c r="D123" s="22" t="str">
        <f>NodesData[[#This Row],[Node ID]]</f>
        <v>nCD6230CD_7164_4B21_8324_961CA3471D9D</v>
      </c>
      <c r="E123" s="10" t="s">
        <v>716</v>
      </c>
      <c r="F123" s="25" t="str" cm="1">
        <f t="array" ref="F123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 Verification","group":"","id":"nCD6230CD_7164_4B21_8324_961CA3471D9D","url":"https://open-measure.atlassian.net/wiki/spaces/DIC/pages/419561482/Digital+Identification+System"}</v>
      </c>
    </row>
    <row r="124" spans="1:6" ht="13.9" thickTop="1" thickBot="1" x14ac:dyDescent="0.4">
      <c r="A124" s="39">
        <f>IF(ISERR(NodesJSON[[#This Row],[label]]),0,1)</f>
        <v>1</v>
      </c>
      <c r="B124" s="3" t="str">
        <f>NodesData[[#This Row],[Common Name]]</f>
        <v>Customer On-Boarding</v>
      </c>
      <c r="C124" s="3" t="str">
        <f>IF(NodesData[[#This Row],[Context Instanciation]]="","",NodesData[[#This Row],[Context Instanciation]])</f>
        <v/>
      </c>
      <c r="D124" s="22" t="str">
        <f>NodesData[[#This Row],[Node ID]]</f>
        <v>n5A0D36D7_5907_497B_BDD0_B9F7946871C7</v>
      </c>
      <c r="E124" s="10" t="s">
        <v>717</v>
      </c>
      <c r="F124" s="25" t="str" cm="1">
        <f t="array" ref="F124">IF(NodesJSON[[#This Row],[Export?]]=0,"",IF(ROW(NodesJSON[[#This Row],[label]])&gt;ROW(NodesJSON[[#Headers],[JSON]])+1,",","") &amp;"{"&amp;twoRangesToJSON(NodesJSON[[#Headers],[label]:[url]],NodesJSON[[#This Row],[label]:[url]])&amp;"}")</f>
        <v>,{"label":"Customer On-Boarding","group":"","id":"n5A0D36D7_5907_497B_BDD0_B9F7946871C7","url":"https://open-measure.atlassian.net/wiki/spaces/DIC/pages/419528705/Digital+Identity"}</v>
      </c>
    </row>
    <row r="125" spans="1:6" ht="13.9" thickTop="1" thickBot="1" x14ac:dyDescent="0.4">
      <c r="A125" s="39">
        <f>IF(ISERR(NodesJSON[[#This Row],[label]]),0,1)</f>
        <v>1</v>
      </c>
      <c r="B125" s="3" t="str">
        <f>NodesData[[#This Row],[Common Name]]</f>
        <v>Customer Privacy and Consent Management</v>
      </c>
      <c r="C125" s="3" t="str">
        <f>IF(NodesData[[#This Row],[Context Instanciation]]="","",NodesData[[#This Row],[Context Instanciation]])</f>
        <v/>
      </c>
      <c r="D125" s="22" t="str">
        <f>NodesData[[#This Row],[Node ID]]</f>
        <v>n4729C2B4_13E7_433F_8412_F95545EA75F7</v>
      </c>
      <c r="E125" s="10" t="s">
        <v>663</v>
      </c>
      <c r="F125" s="25" t="str" cm="1">
        <f t="array" ref="F125">IF(NodesJSON[[#This Row],[Export?]]=0,"",IF(ROW(NodesJSON[[#This Row],[label]])&gt;ROW(NodesJSON[[#Headers],[JSON]])+1,",","") &amp;"{"&amp;twoRangesToJSON(NodesJSON[[#Headers],[label]:[url]],NodesJSON[[#This Row],[label]:[url]])&amp;"}")</f>
        <v>,{"label":"Customer Privacy and Consent Management","group":"","id":"n4729C2B4_13E7_433F_8412_F95545EA75F7","url":"https://open-measure.atlassian.net/wiki/spaces/DIC/pages/877297665"}</v>
      </c>
    </row>
    <row r="126" spans="1:6" ht="13.9" thickTop="1" thickBot="1" x14ac:dyDescent="0.4">
      <c r="A126" s="39">
        <f>IF(ISERR(NodesJSON[[#This Row],[label]]),0,1)</f>
        <v>1</v>
      </c>
      <c r="B126" s="3" t="str">
        <f>NodesData[[#This Row],[Common Name]]</f>
        <v>Cyber-sabotage</v>
      </c>
      <c r="C126" s="3" t="str">
        <f>IF(NodesData[[#This Row],[Context Instanciation]]="","",NodesData[[#This Row],[Context Instanciation]])</f>
        <v/>
      </c>
      <c r="D126" s="22" t="str">
        <f>NodesData[[#This Row],[Node ID]]</f>
        <v>n359C7AF8_8BAE_4BC7_B009_BE445CDBFC35</v>
      </c>
      <c r="E126" s="10" t="s">
        <v>720</v>
      </c>
      <c r="F126" s="25" t="str" cm="1">
        <f t="array" ref="F126">IF(NodesJSON[[#This Row],[Export?]]=0,"",IF(ROW(NodesJSON[[#This Row],[label]])&gt;ROW(NodesJSON[[#Headers],[JSON]])+1,",","") &amp;"{"&amp;twoRangesToJSON(NodesJSON[[#Headers],[label]:[url]],NodesJSON[[#This Row],[label]:[url]])&amp;"}")</f>
        <v>,{"label":"Cyber-sabotage","group":"","id":"n359C7AF8_8BAE_4BC7_B009_BE445CDBFC35","url":"https://open-measure.atlassian.net/wiki/spaces/DIC/pages/796983391"}</v>
      </c>
    </row>
    <row r="127" spans="1:6" ht="13.9" thickTop="1" thickBot="1" x14ac:dyDescent="0.4">
      <c r="A127" s="39">
        <f>IF(ISERR(NodesJSON[[#This Row],[label]]),0,1)</f>
        <v>1</v>
      </c>
      <c r="B127" s="3" t="str">
        <f>NodesData[[#This Row],[Common Name]]</f>
        <v>DAC</v>
      </c>
      <c r="C127" s="3" t="str">
        <f>IF(NodesData[[#This Row],[Context Instanciation]]="","",NodesData[[#This Row],[Context Instanciation]])</f>
        <v/>
      </c>
      <c r="D127" s="22" t="str">
        <f>NodesData[[#This Row],[Node ID]]</f>
        <v>n5E2EE771_5FE7_4EBD_B53E_DD8D31F6490E</v>
      </c>
      <c r="E127" s="10" t="s">
        <v>722</v>
      </c>
      <c r="F127" s="25" t="str" cm="1">
        <f t="array" ref="F127">IF(NodesJSON[[#This Row],[Export?]]=0,"",IF(ROW(NodesJSON[[#This Row],[label]])&gt;ROW(NodesJSON[[#Headers],[JSON]])+1,",","") &amp;"{"&amp;twoRangesToJSON(NodesJSON[[#Headers],[label]:[url]],NodesJSON[[#This Row],[label]:[url]])&amp;"}")</f>
        <v>,{"label":"DAC","group":"","id":"n5E2EE771_5FE7_4EBD_B53E_DD8D31F6490E","url":"https://open-measure.atlassian.net/wiki/spaces/DIC/pages/1181876315"}</v>
      </c>
    </row>
    <row r="128" spans="1:6" ht="13.9" thickTop="1" thickBot="1" x14ac:dyDescent="0.4">
      <c r="A128" s="39">
        <f>IF(ISERR(NodesJSON[[#This Row],[label]]),0,1)</f>
        <v>1</v>
      </c>
      <c r="B128" s="3" t="str">
        <f>NodesData[[#This Row],[Common Name]]</f>
        <v>Data</v>
      </c>
      <c r="C128" s="3" t="str">
        <f>IF(NodesData[[#This Row],[Context Instanciation]]="","",NodesData[[#This Row],[Context Instanciation]])</f>
        <v/>
      </c>
      <c r="D128" s="22" t="str">
        <f>NodesData[[#This Row],[Node ID]]</f>
        <v>n09E1C4DC_8D91_4A66_9C50_11DCDC2042FD</v>
      </c>
      <c r="E128" s="10" t="s">
        <v>724</v>
      </c>
      <c r="F128" s="25" t="str" cm="1">
        <f t="array" ref="F128">IF(NodesJSON[[#This Row],[Export?]]=0,"",IF(ROW(NodesJSON[[#This Row],[label]])&gt;ROW(NodesJSON[[#Headers],[JSON]])+1,",","") &amp;"{"&amp;twoRangesToJSON(NodesJSON[[#Headers],[label]:[url]],NodesJSON[[#This Row],[label]:[url]])&amp;"}")</f>
        <v>,{"label":"Data","group":"","id":"n09E1C4DC_8D91_4A66_9C50_11DCDC2042FD","url":"https://open-measure.atlassian.net/wiki/spaces/DIC/pages/810287202"}</v>
      </c>
    </row>
    <row r="129" spans="1:6" ht="13.9" thickTop="1" thickBot="1" x14ac:dyDescent="0.4">
      <c r="A129" s="39">
        <f>IF(ISERR(NodesJSON[[#This Row],[label]]),0,1)</f>
        <v>1</v>
      </c>
      <c r="B129" s="3" t="str">
        <f>NodesData[[#This Row],[Common Name]]</f>
        <v>Data Anonymization</v>
      </c>
      <c r="C129" s="3" t="str">
        <f>IF(NodesData[[#This Row],[Context Instanciation]]="","",NodesData[[#This Row],[Context Instanciation]])</f>
        <v/>
      </c>
      <c r="D129" s="22" t="str">
        <f>NodesData[[#This Row],[Node ID]]</f>
        <v>nDD3247E1_B272_4575_8CB0_C2E44239A9A8</v>
      </c>
      <c r="E129" s="10" t="s">
        <v>726</v>
      </c>
      <c r="F129" s="25" t="str" cm="1">
        <f t="array" ref="F129">IF(NodesJSON[[#This Row],[Export?]]=0,"",IF(ROW(NodesJSON[[#This Row],[label]])&gt;ROW(NodesJSON[[#Headers],[JSON]])+1,",","") &amp;"{"&amp;twoRangesToJSON(NodesJSON[[#Headers],[label]:[url]],NodesJSON[[#This Row],[label]:[url]])&amp;"}")</f>
        <v>,{"label":"Data Anonymization","group":"","id":"nDD3247E1_B272_4575_8CB0_C2E44239A9A8","url":"https://open-measure.atlassian.net/wiki/spaces/DIC/pages/419594251"}</v>
      </c>
    </row>
    <row r="130" spans="1:6" ht="13.9" thickTop="1" thickBot="1" x14ac:dyDescent="0.4">
      <c r="A130" s="39">
        <f>IF(ISERR(NodesJSON[[#This Row],[label]]),0,1)</f>
        <v>1</v>
      </c>
      <c r="B130" s="3" t="str">
        <f>NodesData[[#This Row],[Common Name]]</f>
        <v>Data Custodian</v>
      </c>
      <c r="C130" s="3" t="str">
        <f>IF(NodesData[[#This Row],[Context Instanciation]]="","",NodesData[[#This Row],[Context Instanciation]])</f>
        <v/>
      </c>
      <c r="D130" s="22" t="str">
        <f>NodesData[[#This Row],[Node ID]]</f>
        <v>nD28793FC_291F_4F11_A09A_228AE8B3A9FC</v>
      </c>
      <c r="E130" s="10" t="s">
        <v>718</v>
      </c>
      <c r="F130" s="25" t="str" cm="1">
        <f t="array" ref="F130">IF(NodesJSON[[#This Row],[Export?]]=0,"",IF(ROW(NodesJSON[[#This Row],[label]])&gt;ROW(NodesJSON[[#Headers],[JSON]])+1,",","") &amp;"{"&amp;twoRangesToJSON(NodesJSON[[#Headers],[label]:[url]],NodesJSON[[#This Row],[label]:[url]])&amp;"}")</f>
        <v>,{"label":"Data Custodian","group":"","id":"nD28793FC_291F_4F11_A09A_228AE8B3A9FC","url":"https://open-measure.atlassian.net/wiki/spaces/DIC/pages/1270153304/Digital+Identity+Authenticity"}</v>
      </c>
    </row>
    <row r="131" spans="1:6" ht="13.9" thickTop="1" thickBot="1" x14ac:dyDescent="0.4">
      <c r="A131" s="39">
        <f>IF(ISERR(NodesJSON[[#This Row],[label]]),0,1)</f>
        <v>1</v>
      </c>
      <c r="B131" s="3" t="str">
        <f>NodesData[[#This Row],[Common Name]]</f>
        <v>Data Lineage</v>
      </c>
      <c r="C131" s="3" t="str">
        <f>IF(NodesData[[#This Row],[Context Instanciation]]="","",NodesData[[#This Row],[Context Instanciation]])</f>
        <v/>
      </c>
      <c r="D131" s="22" t="str">
        <f>NodesData[[#This Row],[Node ID]]</f>
        <v>nE47A44FF_22A6_469C_82AD_696C71FBDD88</v>
      </c>
      <c r="E131" s="10" t="s">
        <v>732</v>
      </c>
      <c r="F131" s="25" t="str" cm="1">
        <f t="array" ref="F131">IF(NodesJSON[[#This Row],[Export?]]=0,"",IF(ROW(NodesJSON[[#This Row],[label]])&gt;ROW(NodesJSON[[#Headers],[JSON]])+1,",","") &amp;"{"&amp;twoRangesToJSON(NodesJSON[[#Headers],[label]:[url]],NodesJSON[[#This Row],[label]:[url]])&amp;"}")</f>
        <v>,{"label":"Data Lineage","group":"","id":"nE47A44FF_22A6_469C_82AD_696C71FBDD88","url":"https://open-measure.atlassian.net/wiki/spaces/DIC/pages/82903896"}</v>
      </c>
    </row>
    <row r="132" spans="1:6" ht="13.9" thickTop="1" thickBot="1" x14ac:dyDescent="0.4">
      <c r="A132" s="39">
        <f>IF(ISERR(NodesJSON[[#This Row],[label]]),0,1)</f>
        <v>1</v>
      </c>
      <c r="B132" s="3" t="str">
        <f>NodesData[[#This Row],[Common Name]]</f>
        <v>Data Obfuscation</v>
      </c>
      <c r="C132" s="3" t="str">
        <f>IF(NodesData[[#This Row],[Context Instanciation]]="","",NodesData[[#This Row],[Context Instanciation]])</f>
        <v/>
      </c>
      <c r="D132" s="22" t="str">
        <f>NodesData[[#This Row],[Node ID]]</f>
        <v>nF346FF0E_9E36_4061_B728_2051ECF4FE8F</v>
      </c>
      <c r="E132" s="10" t="s">
        <v>730</v>
      </c>
      <c r="F132" s="25" t="str" cm="1">
        <f t="array" ref="F132">IF(NodesJSON[[#This Row],[Export?]]=0,"",IF(ROW(NodesJSON[[#This Row],[label]])&gt;ROW(NodesJSON[[#Headers],[JSON]])+1,",","") &amp;"{"&amp;twoRangesToJSON(NodesJSON[[#Headers],[label]:[url]],NodesJSON[[#This Row],[label]:[url]])&amp;"}")</f>
        <v>,{"label":"Data Obfuscation","group":"","id":"nF346FF0E_9E36_4061_B728_2051ECF4FE8F","url":"https://open-measure.atlassian.net/wiki/spaces/DIC/pages/206766113"}</v>
      </c>
    </row>
    <row r="133" spans="1:6" ht="13.9" thickTop="1" thickBot="1" x14ac:dyDescent="0.4">
      <c r="A133" s="39">
        <f>IF(ISERR(NodesJSON[[#This Row],[label]]),0,1)</f>
        <v>1</v>
      </c>
      <c r="B133" s="3" t="str">
        <f>NodesData[[#This Row],[Common Name]]</f>
        <v>Data Operation</v>
      </c>
      <c r="C133" s="3" t="str">
        <f>IF(NodesData[[#This Row],[Context Instanciation]]="","",NodesData[[#This Row],[Context Instanciation]])</f>
        <v/>
      </c>
      <c r="D133" s="22" t="str">
        <f>NodesData[[#This Row],[Node ID]]</f>
        <v>nEE342468_B7F3_4FB0_BA73_C88BBEA8F59E</v>
      </c>
      <c r="E133" s="10" t="s">
        <v>734</v>
      </c>
      <c r="F133" s="25" t="str" cm="1">
        <f t="array" ref="F133">IF(NodesJSON[[#This Row],[Export?]]=0,"",IF(ROW(NodesJSON[[#This Row],[label]])&gt;ROW(NodesJSON[[#Headers],[JSON]])+1,",","") &amp;"{"&amp;twoRangesToJSON(NodesJSON[[#Headers],[label]:[url]],NodesJSON[[#This Row],[label]:[url]])&amp;"}")</f>
        <v>,{"label":"Data Operation","group":"","id":"nEE342468_B7F3_4FB0_BA73_C88BBEA8F59E","url":"https://open-measure.atlassian.net/wiki/spaces/DIC/pages/61964467"}</v>
      </c>
    </row>
    <row r="134" spans="1:6" ht="13.9" thickTop="1" thickBot="1" x14ac:dyDescent="0.4">
      <c r="A134" s="39">
        <f>IF(ISERR(NodesJSON[[#This Row],[label]]),0,1)</f>
        <v>1</v>
      </c>
      <c r="B134" s="3" t="str">
        <f>NodesData[[#This Row],[Common Name]]</f>
        <v>Data Owner</v>
      </c>
      <c r="C134" s="3" t="str">
        <f>IF(NodesData[[#This Row],[Context Instanciation]]="","",NodesData[[#This Row],[Context Instanciation]])</f>
        <v/>
      </c>
      <c r="D134" s="22" t="str">
        <f>NodesData[[#This Row],[Node ID]]</f>
        <v>n6E2830C5_7B71_4569_B55F_4C2062560D57</v>
      </c>
      <c r="E134" s="4"/>
      <c r="F134" s="25" t="str" cm="1">
        <f t="array" ref="F134">IF(NodesJSON[[#This Row],[Export?]]=0,"",IF(ROW(NodesJSON[[#This Row],[label]])&gt;ROW(NodesJSON[[#Headers],[JSON]])+1,",","") &amp;"{"&amp;twoRangesToJSON(NodesJSON[[#Headers],[label]:[url]],NodesJSON[[#This Row],[label]:[url]])&amp;"}")</f>
        <v>,{"label":"Data Owner","group":"","id":"n6E2830C5_7B71_4569_B55F_4C2062560D57","url":""}</v>
      </c>
    </row>
    <row r="135" spans="1:6" ht="13.9" thickTop="1" thickBot="1" x14ac:dyDescent="0.4">
      <c r="A135" s="39">
        <f>IF(ISERR(NodesJSON[[#This Row],[label]]),0,1)</f>
        <v>1</v>
      </c>
      <c r="B135" s="3" t="str">
        <f>NodesData[[#This Row],[Common Name]]</f>
        <v>Data-Level Policy</v>
      </c>
      <c r="C135" s="3" t="str">
        <f>IF(NodesData[[#This Row],[Context Instanciation]]="","",NodesData[[#This Row],[Context Instanciation]])</f>
        <v/>
      </c>
      <c r="D135" s="22" t="str">
        <f>NodesData[[#This Row],[Node ID]]</f>
        <v>nF3A98388_9120_4053_8EBD_936BE8BBDA6F</v>
      </c>
      <c r="E135" s="10" t="s">
        <v>736</v>
      </c>
      <c r="F135" s="25" t="str" cm="1">
        <f t="array" ref="F135">IF(NodesJSON[[#This Row],[Export?]]=0,"",IF(ROW(NodesJSON[[#This Row],[label]])&gt;ROW(NodesJSON[[#Headers],[JSON]])+1,",","") &amp;"{"&amp;twoRangesToJSON(NodesJSON[[#Headers],[label]:[url]],NodesJSON[[#This Row],[label]:[url]])&amp;"}")</f>
        <v>,{"label":"Data-Level Policy","group":"","id":"nF3A98388_9120_4053_8EBD_936BE8BBDA6F","url":"https://open-measure.atlassian.net/wiki/spaces/DIC/pages/1031209232"}</v>
      </c>
    </row>
    <row r="136" spans="1:6" ht="13.9" thickTop="1" thickBot="1" x14ac:dyDescent="0.4">
      <c r="A136" s="39">
        <f>IF(ISERR(NodesJSON[[#This Row],[label]]),0,1)</f>
        <v>1</v>
      </c>
      <c r="B136" s="3" t="str">
        <f>NodesData[[#This Row],[Common Name]]</f>
        <v>Death Certificate</v>
      </c>
      <c r="C136" s="3" t="str">
        <f>IF(NodesData[[#This Row],[Context Instanciation]]="","",NodesData[[#This Row],[Context Instanciation]])</f>
        <v/>
      </c>
      <c r="D136" s="22" t="str">
        <f>NodesData[[#This Row],[Node ID]]</f>
        <v>n18684693_B96F_41F5_87E5_A8C82C5854F2</v>
      </c>
      <c r="E136" s="10" t="s">
        <v>738</v>
      </c>
      <c r="F136" s="25" t="str" cm="1">
        <f t="array" ref="F136">IF(NodesJSON[[#This Row],[Export?]]=0,"",IF(ROW(NodesJSON[[#This Row],[label]])&gt;ROW(NodesJSON[[#Headers],[JSON]])+1,",","") &amp;"{"&amp;twoRangesToJSON(NodesJSON[[#Headers],[label]:[url]],NodesJSON[[#This Row],[label]:[url]])&amp;"}")</f>
        <v>,{"label":"Death Certificate","group":"","id":"n18684693_B96F_41F5_87E5_A8C82C5854F2","url":"https://open-measure.atlassian.net/wiki/spaces/DIC/pages/206766092"}</v>
      </c>
    </row>
    <row r="137" spans="1:6" ht="13.9" thickTop="1" thickBot="1" x14ac:dyDescent="0.4">
      <c r="A137" s="39">
        <f>IF(ISERR(NodesJSON[[#This Row],[label]]),0,1)</f>
        <v>1</v>
      </c>
      <c r="B137" s="3" t="str">
        <f>NodesData[[#This Row],[Common Name]]</f>
        <v>Decentralized Identifier</v>
      </c>
      <c r="C137" s="3" t="str">
        <f>IF(NodesData[[#This Row],[Context Instanciation]]="","",NodesData[[#This Row],[Context Instanciation]])</f>
        <v/>
      </c>
      <c r="D137" s="22" t="str">
        <f>NodesData[[#This Row],[Node ID]]</f>
        <v>nF0624D2B_D1C4_476E_A9EA_53DD33D3EFFE</v>
      </c>
      <c r="E137" s="10" t="s">
        <v>740</v>
      </c>
      <c r="F137" s="25" t="str" cm="1">
        <f t="array" ref="F137">IF(NodesJSON[[#This Row],[Export?]]=0,"",IF(ROW(NodesJSON[[#This Row],[label]])&gt;ROW(NodesJSON[[#Headers],[JSON]])+1,",","") &amp;"{"&amp;twoRangesToJSON(NodesJSON[[#Headers],[label]:[url]],NodesJSON[[#This Row],[label]:[url]])&amp;"}")</f>
        <v>,{"label":"Decentralized Identifier","group":"","id":"nF0624D2B_D1C4_476E_A9EA_53DD33D3EFFE","url":"https://open-measure.atlassian.net/wiki/spaces/DIC/pages/62455952"}</v>
      </c>
    </row>
    <row r="138" spans="1:6" ht="13.9" thickTop="1" thickBot="1" x14ac:dyDescent="0.4">
      <c r="A138" s="39">
        <f>IF(ISERR(NodesJSON[[#This Row],[label]]),0,1)</f>
        <v>1</v>
      </c>
      <c r="B138" s="3" t="str">
        <f>NodesData[[#This Row],[Common Name]]</f>
        <v>De-duplication</v>
      </c>
      <c r="C138" s="3" t="str">
        <f>IF(NodesData[[#This Row],[Context Instanciation]]="","",NodesData[[#This Row],[Context Instanciation]])</f>
        <v/>
      </c>
      <c r="D138" s="22" t="str">
        <f>NodesData[[#This Row],[Node ID]]</f>
        <v>nBFB13F76_57DB_46B7_8AE9_952A367FBA93</v>
      </c>
      <c r="E138" s="10" t="s">
        <v>742</v>
      </c>
      <c r="F138" s="25" t="str" cm="1">
        <f t="array" ref="F138">IF(NodesJSON[[#This Row],[Export?]]=0,"",IF(ROW(NodesJSON[[#This Row],[label]])&gt;ROW(NodesJSON[[#Headers],[JSON]])+1,",","") &amp;"{"&amp;twoRangesToJSON(NodesJSON[[#Headers],[label]:[url]],NodesJSON[[#This Row],[label]:[url]])&amp;"}")</f>
        <v>,{"label":"De-duplication","group":"","id":"nBFB13F76_57DB_46B7_8AE9_952A367FBA93","url":"https://open-measure.atlassian.net/wiki/spaces/DIC/pages/76021801"}</v>
      </c>
    </row>
    <row r="139" spans="1:6" ht="13.9" thickTop="1" thickBot="1" x14ac:dyDescent="0.4">
      <c r="A139" s="39">
        <f>IF(ISERR(NodesJSON[[#This Row],[label]]),0,1)</f>
        <v>1</v>
      </c>
      <c r="B139" s="3" t="str">
        <f>NodesData[[#This Row],[Common Name]]</f>
        <v>Deprovisioning</v>
      </c>
      <c r="C139" s="3" t="str">
        <f>IF(NodesData[[#This Row],[Context Instanciation]]="","",NodesData[[#This Row],[Context Instanciation]])</f>
        <v/>
      </c>
      <c r="D139" s="22" t="str">
        <f>NodesData[[#This Row],[Node ID]]</f>
        <v>nB332A030_899A_4CDC_ABF6_7AB4C2B3D1C2</v>
      </c>
      <c r="E139" s="10" t="s">
        <v>744</v>
      </c>
      <c r="F139" s="25" t="str" cm="1">
        <f t="array" ref="F139">IF(NodesJSON[[#This Row],[Export?]]=0,"",IF(ROW(NodesJSON[[#This Row],[label]])&gt;ROW(NodesJSON[[#Headers],[JSON]])+1,",","") &amp;"{"&amp;twoRangesToJSON(NodesJSON[[#Headers],[label]:[url]],NodesJSON[[#This Row],[label]:[url]])&amp;"}")</f>
        <v>,{"label":"Deprovisioning","group":"","id":"nB332A030_899A_4CDC_ABF6_7AB4C2B3D1C2","url":"https://open-measure.atlassian.net/wiki/spaces/DIC/pages/1121878049"}</v>
      </c>
    </row>
    <row r="140" spans="1:6" ht="13.9" thickTop="1" thickBot="1" x14ac:dyDescent="0.4">
      <c r="A140" s="39">
        <f>IF(ISERR(NodesJSON[[#This Row],[label]]),0,1)</f>
        <v>1</v>
      </c>
      <c r="B140" s="3" t="str">
        <f>NodesData[[#This Row],[Common Name]]</f>
        <v>DID</v>
      </c>
      <c r="C140" s="3" t="str">
        <f>IF(NodesData[[#This Row],[Context Instanciation]]="","",NodesData[[#This Row],[Context Instanciation]])</f>
        <v/>
      </c>
      <c r="D140" s="22" t="str">
        <f>NodesData[[#This Row],[Node ID]]</f>
        <v>n40BF751E_86C5_46B2_8F12_8406249504A5</v>
      </c>
      <c r="E140" s="10" t="s">
        <v>752</v>
      </c>
      <c r="F140" s="25" t="str" cm="1">
        <f t="array" ref="F140">IF(NodesJSON[[#This Row],[Export?]]=0,"",IF(ROW(NodesJSON[[#This Row],[label]])&gt;ROW(NodesJSON[[#Headers],[JSON]])+1,",","") &amp;"{"&amp;twoRangesToJSON(NodesJSON[[#Headers],[label]:[url]],NodesJSON[[#This Row],[label]:[url]])&amp;"}")</f>
        <v>,{"label":"DID","group":"","id":"n40BF751E_86C5_46B2_8F12_8406249504A5","url":"https://open-measure.atlassian.net/wiki/spaces/DIC/pages/1122566173"}</v>
      </c>
    </row>
    <row r="141" spans="1:6" ht="13.9" thickTop="1" thickBot="1" x14ac:dyDescent="0.4">
      <c r="A141" s="39">
        <f>IF(ISERR(NodesJSON[[#This Row],[label]]),0,1)</f>
        <v>1</v>
      </c>
      <c r="B141" s="3" t="str">
        <f>NodesData[[#This Row],[Common Name]]</f>
        <v>Digital Continuity</v>
      </c>
      <c r="C141" s="3" t="str">
        <f>IF(NodesData[[#This Row],[Context Instanciation]]="","",NodesData[[#This Row],[Context Instanciation]])</f>
        <v/>
      </c>
      <c r="D141" s="22" t="str">
        <f>NodesData[[#This Row],[Node ID]]</f>
        <v>n9E54AC40_1534_4653_A579_A86A08A8489A</v>
      </c>
      <c r="E141" s="10" t="s">
        <v>746</v>
      </c>
      <c r="F141" s="25" t="str" cm="1">
        <f t="array" ref="F141">IF(NodesJSON[[#This Row],[Export?]]=0,"",IF(ROW(NodesJSON[[#This Row],[label]])&gt;ROW(NodesJSON[[#Headers],[JSON]])+1,",","") &amp;"{"&amp;twoRangesToJSON(NodesJSON[[#Headers],[label]:[url]],NodesJSON[[#This Row],[label]:[url]])&amp;"}")</f>
        <v>,{"label":"Digital Continuity","group":"","id":"n9E54AC40_1534_4653_A579_A86A08A8489A","url":"https://open-measure.atlassian.net/wiki/spaces/DIC/pages/1122566465"}</v>
      </c>
    </row>
    <row r="142" spans="1:6" ht="13.9" thickTop="1" thickBot="1" x14ac:dyDescent="0.4">
      <c r="A142" s="39">
        <f>IF(ISERR(NodesJSON[[#This Row],[label]]),0,1)</f>
        <v>1</v>
      </c>
      <c r="B142" s="3" t="str">
        <f>NodesData[[#This Row],[Common Name]]</f>
        <v>Digital Identification System</v>
      </c>
      <c r="C142" s="3" t="str">
        <f>IF(NodesData[[#This Row],[Context Instanciation]]="","",NodesData[[#This Row],[Context Instanciation]])</f>
        <v/>
      </c>
      <c r="D142" s="22" t="str">
        <f>NodesData[[#This Row],[Node ID]]</f>
        <v>n0FBA5367_FBC8_4C86_A3A0_47FFA8B35813</v>
      </c>
      <c r="E142" s="10" t="s">
        <v>748</v>
      </c>
      <c r="F142" s="25" t="str" cm="1">
        <f t="array" ref="F142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Identification System","group":"","id":"n0FBA5367_FBC8_4C86_A3A0_47FFA8B35813","url":"https://open-measure.atlassian.net/wiki/spaces/DIC/pages/1121910973"}</v>
      </c>
    </row>
    <row r="143" spans="1:6" ht="13.9" thickTop="1" thickBot="1" x14ac:dyDescent="0.4">
      <c r="A143" s="39">
        <f>IF(ISERR(NodesJSON[[#This Row],[label]]),0,1)</f>
        <v>1</v>
      </c>
      <c r="B143" s="3" t="str">
        <f>NodesData[[#This Row],[Common Name]]</f>
        <v>Digital Identity</v>
      </c>
      <c r="C143" s="3" t="str">
        <f>IF(NodesData[[#This Row],[Context Instanciation]]="","",NodesData[[#This Row],[Context Instanciation]])</f>
        <v/>
      </c>
      <c r="D143" s="22" t="str">
        <f>NodesData[[#This Row],[Node ID]]</f>
        <v>n2D85F484_089E_4E23_B816_91EC7B0A8538</v>
      </c>
      <c r="E143" s="10" t="s">
        <v>750</v>
      </c>
      <c r="F143" s="25" t="str" cm="1">
        <f t="array" ref="F143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Identity","group":"","id":"n2D85F484_089E_4E23_B816_91EC7B0A8538","url":"https://open-measure.atlassian.net/wiki/spaces/DIC/pages/1122631800"}</v>
      </c>
    </row>
    <row r="144" spans="1:6" ht="13.9" thickTop="1" thickBot="1" x14ac:dyDescent="0.4">
      <c r="A144" s="39">
        <f>IF(ISERR(NodesJSON[[#This Row],[label]]),0,1)</f>
        <v>1</v>
      </c>
      <c r="B144" s="3" t="str">
        <f>NodesData[[#This Row],[Common Name]]</f>
        <v>Digital Identity Authenticity</v>
      </c>
      <c r="C144" s="3" t="str">
        <f>IF(NodesData[[#This Row],[Context Instanciation]]="","",NodesData[[#This Row],[Context Instanciation]])</f>
        <v/>
      </c>
      <c r="D144" s="22" t="str">
        <f>NodesData[[#This Row],[Node ID]]</f>
        <v>n0EA691C3_41F3_4D4D_9025_8F36DE6AEDC2</v>
      </c>
      <c r="E144" s="10" t="s">
        <v>754</v>
      </c>
      <c r="F144" s="25" t="str" cm="1">
        <f t="array" ref="F144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 Authenticity","group":"","id":"n0EA691C3_41F3_4D4D_9025_8F36DE6AEDC2","url":"https://open-measure.atlassian.net/wiki/spaces/DIC/pages/123830932"}</v>
      </c>
    </row>
    <row r="145" spans="1:6" ht="13.9" thickTop="1" thickBot="1" x14ac:dyDescent="0.4">
      <c r="A145" s="39">
        <f>IF(ISERR(NodesJSON[[#This Row],[label]]),0,1)</f>
        <v>1</v>
      </c>
      <c r="B145" s="3" t="str">
        <f>NodesData[[#This Row],[Common Name]]</f>
        <v>Digital Triangulation</v>
      </c>
      <c r="C145" s="3" t="str">
        <f>IF(NodesData[[#This Row],[Context Instanciation]]="","",NodesData[[#This Row],[Context Instanciation]])</f>
        <v/>
      </c>
      <c r="D145" s="22" t="str">
        <f>NodesData[[#This Row],[Node ID]]</f>
        <v>nE39BABFB_8F63_4F42_89E2_F06B01A51C5F</v>
      </c>
      <c r="E145" s="10" t="s">
        <v>756</v>
      </c>
      <c r="F145" s="25" t="str" cm="1">
        <f t="array" ref="F145">IF(NodesJSON[[#This Row],[Export?]]=0,"",IF(ROW(NodesJSON[[#This Row],[label]])&gt;ROW(NodesJSON[[#Headers],[JSON]])+1,",","") &amp;"{"&amp;twoRangesToJSON(NodesJSON[[#Headers],[label]:[url]],NodesJSON[[#This Row],[label]:[url]])&amp;"}")</f>
        <v>,{"label":"Digital Triangulation","group":"","id":"nE39BABFB_8F63_4F42_89E2_F06B01A51C5F","url":"https://open-measure.atlassian.net/wiki/spaces/DIC/pages/75956266"}</v>
      </c>
    </row>
    <row r="146" spans="1:6" ht="13.9" thickTop="1" thickBot="1" x14ac:dyDescent="0.4">
      <c r="A146" s="39">
        <f>IF(ISERR(NodesJSON[[#This Row],[label]]),0,1)</f>
        <v>1</v>
      </c>
      <c r="B146" s="3" t="str">
        <f>NodesData[[#This Row],[Common Name]]</f>
        <v>Discretionary Access Control</v>
      </c>
      <c r="C146" s="3" t="str">
        <f>IF(NodesData[[#This Row],[Context Instanciation]]="","",NodesData[[#This Row],[Context Instanciation]])</f>
        <v/>
      </c>
      <c r="D146" s="22" t="str">
        <f>NodesData[[#This Row],[Node ID]]</f>
        <v>n561A2BF6_5A06_42D6_B158_5683F90E84BE</v>
      </c>
      <c r="E146" s="10" t="s">
        <v>758</v>
      </c>
      <c r="F146" s="25" t="str" cm="1">
        <f t="array" ref="F146">IF(NodesJSON[[#This Row],[Export?]]=0,"",IF(ROW(NodesJSON[[#This Row],[label]])&gt;ROW(NodesJSON[[#Headers],[JSON]])+1,",","") &amp;"{"&amp;twoRangesToJSON(NodesJSON[[#Headers],[label]:[url]],NodesJSON[[#This Row],[label]:[url]])&amp;"}")</f>
        <v>,{"label":"Discretionary Access Control","group":"","id":"n561A2BF6_5A06_42D6_B158_5683F90E84BE","url":"https://open-measure.atlassian.net/wiki/spaces/DIC/pages/1104904275"}</v>
      </c>
    </row>
    <row r="147" spans="1:6" ht="13.9" thickTop="1" thickBot="1" x14ac:dyDescent="0.4">
      <c r="A147" s="39">
        <f>IF(ISERR(NodesJSON[[#This Row],[label]]),0,1)</f>
        <v>1</v>
      </c>
      <c r="B147" s="3" t="str">
        <f>NodesData[[#This Row],[Common Name]]</f>
        <v>Distributed Identity</v>
      </c>
      <c r="C147" s="3" t="str">
        <f>IF(NodesData[[#This Row],[Context Instanciation]]="","",NodesData[[#This Row],[Context Instanciation]])</f>
        <v/>
      </c>
      <c r="D147" s="22" t="str">
        <f>NodesData[[#This Row],[Node ID]]</f>
        <v>nFE60A787_3D7D_423A_ACA8_7A815881DE4A</v>
      </c>
      <c r="E147" s="10" t="s">
        <v>760</v>
      </c>
      <c r="F147" s="25" t="str" cm="1">
        <f t="array" ref="F147">IF(NodesJSON[[#This Row],[Export?]]=0,"",IF(ROW(NodesJSON[[#This Row],[label]])&gt;ROW(NodesJSON[[#Headers],[JSON]])+1,",","") &amp;"{"&amp;twoRangesToJSON(NodesJSON[[#Headers],[label]:[url]],NodesJSON[[#This Row],[label]:[url]])&amp;"}")</f>
        <v>,{"label":"Distributed Identity","group":"","id":"nFE60A787_3D7D_423A_ACA8_7A815881DE4A","url":"https://open-measure.atlassian.net/wiki/spaces/DIC/pages/446824885"}</v>
      </c>
    </row>
    <row r="148" spans="1:6" ht="13.9" thickTop="1" thickBot="1" x14ac:dyDescent="0.4">
      <c r="A148" s="39">
        <f>IF(ISERR(NodesJSON[[#This Row],[label]]),0,1)</f>
        <v>1</v>
      </c>
      <c r="B148" s="3" t="str">
        <f>NodesData[[#This Row],[Common Name]]</f>
        <v>Distributed Ledger Technology</v>
      </c>
      <c r="C148" s="3" t="str">
        <f>IF(NodesData[[#This Row],[Context Instanciation]]="","",NodesData[[#This Row],[Context Instanciation]])</f>
        <v/>
      </c>
      <c r="D148" s="22" t="str">
        <f>NodesData[[#This Row],[Node ID]]</f>
        <v>nF24089B1_8B95_4756_903D_A8DFDC0769E3</v>
      </c>
      <c r="E148" s="10" t="s">
        <v>762</v>
      </c>
      <c r="F148" s="25" t="str" cm="1">
        <f t="array" ref="F148">IF(NodesJSON[[#This Row],[Export?]]=0,"",IF(ROW(NodesJSON[[#This Row],[label]])&gt;ROW(NodesJSON[[#Headers],[JSON]])+1,",","") &amp;"{"&amp;twoRangesToJSON(NodesJSON[[#Headers],[label]:[url]],NodesJSON[[#This Row],[label]:[url]])&amp;"}")</f>
        <v>,{"label":"Distributed Ledger Technology","group":"","id":"nF24089B1_8B95_4756_903D_A8DFDC0769E3","url":"https://open-measure.atlassian.net/wiki/spaces/DIC/pages/461275380"}</v>
      </c>
    </row>
    <row r="149" spans="1:6" ht="13.9" thickTop="1" thickBot="1" x14ac:dyDescent="0.4">
      <c r="A149" s="39">
        <f>IF(ISERR(NodesJSON[[#This Row],[label]]),0,1)</f>
        <v>1</v>
      </c>
      <c r="B149" s="3" t="str">
        <f>NodesData[[#This Row],[Common Name]]</f>
        <v>Dual Authorization</v>
      </c>
      <c r="C149" s="3" t="str">
        <f>IF(NodesData[[#This Row],[Context Instanciation]]="","",NodesData[[#This Row],[Context Instanciation]])</f>
        <v/>
      </c>
      <c r="D149" s="22" t="str">
        <f>NodesData[[#This Row],[Node ID]]</f>
        <v>n178DB8CF_C79B_49A8_900D_2EB5BD057DC7</v>
      </c>
      <c r="E149" s="10" t="s">
        <v>764</v>
      </c>
      <c r="F149" s="25" t="str" cm="1">
        <f t="array" ref="F149">IF(NodesJSON[[#This Row],[Export?]]=0,"",IF(ROW(NodesJSON[[#This Row],[label]])&gt;ROW(NodesJSON[[#Headers],[JSON]])+1,",","") &amp;"{"&amp;twoRangesToJSON(NodesJSON[[#Headers],[label]:[url]],NodesJSON[[#This Row],[label]:[url]])&amp;"}")</f>
        <v>,{"label":"Dual Authorization","group":"","id":"n178DB8CF_C79B_49A8_900D_2EB5BD057DC7","url":"https://open-measure.atlassian.net/wiki/spaces/DIC/pages/82870848"}</v>
      </c>
    </row>
    <row r="150" spans="1:6" ht="13.9" thickTop="1" thickBot="1" x14ac:dyDescent="0.4">
      <c r="A150" s="39">
        <f>IF(ISERR(NodesJSON[[#This Row],[label]]),0,1)</f>
        <v>1</v>
      </c>
      <c r="B150" s="3" t="str">
        <f>NodesData[[#This Row],[Common Name]]</f>
        <v>ECS</v>
      </c>
      <c r="C150" s="3" t="str">
        <f>IF(NodesData[[#This Row],[Context Instanciation]]="","",NodesData[[#This Row],[Context Instanciation]])</f>
        <v/>
      </c>
      <c r="D150" s="22" t="str">
        <f>NodesData[[#This Row],[Node ID]]</f>
        <v>n746496EE_FC8C_4C19_AF3E_D8D3140567A6</v>
      </c>
      <c r="E150" s="10" t="s">
        <v>766</v>
      </c>
      <c r="F150" s="25" t="str" cm="1">
        <f t="array" ref="F150">IF(NodesJSON[[#This Row],[Export?]]=0,"",IF(ROW(NodesJSON[[#This Row],[label]])&gt;ROW(NodesJSON[[#Headers],[JSON]])+1,",","") &amp;"{"&amp;twoRangesToJSON(NodesJSON[[#Headers],[label]:[url]],NodesJSON[[#This Row],[label]:[url]])&amp;"}")</f>
        <v>,{"label":"ECS","group":"","id":"n746496EE_FC8C_4C19_AF3E_D8D3140567A6","url":"https://open-measure.atlassian.net/wiki/spaces/DIC/pages/1121878505"}</v>
      </c>
    </row>
    <row r="151" spans="1:6" ht="13.9" thickTop="1" thickBot="1" x14ac:dyDescent="0.4">
      <c r="A151" s="39">
        <f>IF(ISERR(NodesJSON[[#This Row],[label]]),0,1)</f>
        <v>1</v>
      </c>
      <c r="B151" s="3" t="str">
        <f>NodesData[[#This Row],[Common Name]]</f>
        <v>e-Identity</v>
      </c>
      <c r="C151" s="3" t="str">
        <f>IF(NodesData[[#This Row],[Context Instanciation]]="","",NodesData[[#This Row],[Context Instanciation]])</f>
        <v/>
      </c>
      <c r="D151" s="22" t="str">
        <f>NodesData[[#This Row],[Node ID]]</f>
        <v>n29F8F3C1_3B5C_404B_985E_677B3F2469CE</v>
      </c>
      <c r="E151" s="10" t="s">
        <v>728</v>
      </c>
      <c r="F151" s="25" t="str" cm="1">
        <f t="array" ref="F151">IF(NodesJSON[[#This Row],[Export?]]=0,"",IF(ROW(NodesJSON[[#This Row],[label]])&gt;ROW(NodesJSON[[#Headers],[JSON]])+1,",","") &amp;"{"&amp;twoRangesToJSON(NodesJSON[[#Headers],[label]:[url]],NodesJSON[[#This Row],[label]:[url]])&amp;"}")</f>
        <v>,{"label":"e-Identity","group":"","id":"n29F8F3C1_3B5C_404B_985E_677B3F2469CE","url":"https://open-measure.atlassian.net/wiki/spaces/DIC/pages/806584322"}</v>
      </c>
    </row>
    <row r="152" spans="1:6" ht="13.9" thickTop="1" thickBot="1" x14ac:dyDescent="0.4">
      <c r="A152" s="39">
        <f>IF(ISERR(NodesJSON[[#This Row],[label]]),0,1)</f>
        <v>1</v>
      </c>
      <c r="B152" s="3" t="str">
        <f>NodesData[[#This Row],[Common Name]]</f>
        <v>EIdM</v>
      </c>
      <c r="C152" s="3" t="str">
        <f>IF(NodesData[[#This Row],[Context Instanciation]]="","",NodesData[[#This Row],[Context Instanciation]])</f>
        <v/>
      </c>
      <c r="D152" s="22" t="str">
        <f>NodesData[[#This Row],[Node ID]]</f>
        <v>n6DA75F23_C59A_4F3D_8369_62DF2833985B</v>
      </c>
      <c r="E152" s="10" t="s">
        <v>767</v>
      </c>
      <c r="F152" s="25" t="str" cm="1">
        <f t="array" ref="F152">IF(NodesJSON[[#This Row],[Export?]]=0,"",IF(ROW(NodesJSON[[#This Row],[label]])&gt;ROW(NodesJSON[[#Headers],[JSON]])+1,",","") &amp;"{"&amp;twoRangesToJSON(NodesJSON[[#Headers],[label]:[url]],NodesJSON[[#This Row],[label]:[url]])&amp;"}")</f>
        <v>,{"label":"EIdM","group":"","id":"n6DA75F23_C59A_4F3D_8369_62DF2833985B","url":"https://open-measure.atlassian.net/wiki/spaces/DIC/pages/1267433567/Fake+Digital+Identity"}</v>
      </c>
    </row>
    <row r="153" spans="1:6" ht="13.9" thickTop="1" thickBot="1" x14ac:dyDescent="0.4">
      <c r="A153" s="39">
        <f>IF(ISERR(NodesJSON[[#This Row],[label]]),0,1)</f>
        <v>1</v>
      </c>
      <c r="B153" s="3" t="str">
        <f>NodesData[[#This Row],[Common Name]]</f>
        <v>Email OTP</v>
      </c>
      <c r="C153" s="3" t="str">
        <f>IF(NodesData[[#This Row],[Context Instanciation]]="","",NodesData[[#This Row],[Context Instanciation]])</f>
        <v/>
      </c>
      <c r="D153" s="22" t="str">
        <f>NodesData[[#This Row],[Node ID]]</f>
        <v>n2EA08174_481E_44C6_A012_159A6C58ECD7</v>
      </c>
      <c r="E153" s="10" t="s">
        <v>768</v>
      </c>
      <c r="F153" s="25" t="str" cm="1">
        <f t="array" ref="F153">IF(NodesJSON[[#This Row],[Export?]]=0,"",IF(ROW(NodesJSON[[#This Row],[label]])&gt;ROW(NodesJSON[[#Headers],[JSON]])+1,",","") &amp;"{"&amp;twoRangesToJSON(NodesJSON[[#Headers],[label]:[url]],NodesJSON[[#This Row],[label]:[url]])&amp;"}")</f>
        <v>,{"label":"Email OTP","group":"","id":"n2EA08174_481E_44C6_A012_159A6C58ECD7","url":"https://open-measure.atlassian.net/wiki/spaces/DIC/pages/1290141697/FAPI"}</v>
      </c>
    </row>
    <row r="154" spans="1:6" ht="13.9" thickTop="1" thickBot="1" x14ac:dyDescent="0.4">
      <c r="A154" s="39">
        <f>IF(ISERR(NodesJSON[[#This Row],[label]]),0,1)</f>
        <v>1</v>
      </c>
      <c r="B154" s="3" t="str">
        <f>NodesData[[#This Row],[Common Name]]</f>
        <v>Employee</v>
      </c>
      <c r="C154" s="3" t="str">
        <f>IF(NodesData[[#This Row],[Context Instanciation]]="","",NodesData[[#This Row],[Context Instanciation]])</f>
        <v/>
      </c>
      <c r="D154" s="22" t="str">
        <f>NodesData[[#This Row],[Node ID]]</f>
        <v>n422D81D3_0EAB_4F1E_9F34_BA01B0B35CC0</v>
      </c>
      <c r="E154" s="10" t="s">
        <v>770</v>
      </c>
      <c r="F154" s="25" t="str" cm="1">
        <f t="array" ref="F154">IF(NodesJSON[[#This Row],[Export?]]=0,"",IF(ROW(NodesJSON[[#This Row],[label]])&gt;ROW(NodesJSON[[#Headers],[JSON]])+1,",","") &amp;"{"&amp;twoRangesToJSON(NodesJSON[[#Headers],[label]:[url]],NodesJSON[[#This Row],[label]:[url]])&amp;"}")</f>
        <v>,{"label":"Employee","group":"","id":"n422D81D3_0EAB_4F1E_9F34_BA01B0B35CC0","url":"https://open-measure.atlassian.net/wiki/spaces/DIC/pages/331579598"}</v>
      </c>
    </row>
    <row r="155" spans="1:6" ht="13.9" thickTop="1" thickBot="1" x14ac:dyDescent="0.4">
      <c r="A155" s="39">
        <f>IF(ISERR(NodesJSON[[#This Row],[label]]),0,1)</f>
        <v>1</v>
      </c>
      <c r="B155" s="3" t="str">
        <f>NodesData[[#This Row],[Common Name]]</f>
        <v>Enterprise Cloud Subscriber</v>
      </c>
      <c r="C155" s="3" t="str">
        <f>IF(NodesData[[#This Row],[Context Instanciation]]="","",NodesData[[#This Row],[Context Instanciation]])</f>
        <v/>
      </c>
      <c r="D155" s="22" t="str">
        <f>NodesData[[#This Row],[Node ID]]</f>
        <v>nDC7DA1B5_7FB1_493B_B76C_2A89395AAC8B</v>
      </c>
      <c r="E155" s="10" t="s">
        <v>772</v>
      </c>
      <c r="F155" s="25" t="str" cm="1">
        <f t="array" ref="F155">IF(NodesJSON[[#This Row],[Export?]]=0,"",IF(ROW(NodesJSON[[#This Row],[label]])&gt;ROW(NodesJSON[[#Headers],[JSON]])+1,",","") &amp;"{"&amp;twoRangesToJSON(NodesJSON[[#Headers],[label]:[url]],NodesJSON[[#This Row],[label]:[url]])&amp;"}")</f>
        <v>,{"label":"Enterprise Cloud Subscriber","group":"","id":"nDC7DA1B5_7FB1_493B_B76C_2A89395AAC8B","url":"https://open-measure.atlassian.net/wiki/spaces/DIC/pages/1152483703"}</v>
      </c>
    </row>
    <row r="156" spans="1:6" ht="13.9" thickTop="1" thickBot="1" x14ac:dyDescent="0.4">
      <c r="A156" s="39">
        <f>IF(ISERR(NodesJSON[[#This Row],[label]]),0,1)</f>
        <v>1</v>
      </c>
      <c r="B156" s="3" t="str">
        <f>NodesData[[#This Row],[Common Name]]</f>
        <v>Enterprise Identity Management</v>
      </c>
      <c r="C156" s="3" t="str">
        <f>IF(NodesData[[#This Row],[Context Instanciation]]="","",NodesData[[#This Row],[Context Instanciation]])</f>
        <v/>
      </c>
      <c r="D156" s="22" t="str">
        <f>NodesData[[#This Row],[Node ID]]</f>
        <v>nB5BB1D89_74C2_455D_B36D_E690E04C732E</v>
      </c>
      <c r="E156" s="10" t="s">
        <v>774</v>
      </c>
      <c r="F156" s="25" t="str" cm="1">
        <f t="array" ref="F156">IF(NodesJSON[[#This Row],[Export?]]=0,"",IF(ROW(NodesJSON[[#This Row],[label]])&gt;ROW(NodesJSON[[#Headers],[JSON]])+1,",","") &amp;"{"&amp;twoRangesToJSON(NodesJSON[[#Headers],[label]:[url]],NodesJSON[[#This Row],[label]:[url]])&amp;"}")</f>
        <v>,{"label":"Enterprise Identity Management","group":"","id":"nB5BB1D89_74C2_455D_B36D_E690E04C732E","url":"https://open-measure.atlassian.net/wiki/spaces/DIC/pages/75890786"}</v>
      </c>
    </row>
    <row r="157" spans="1:6" ht="13.9" thickTop="1" thickBot="1" x14ac:dyDescent="0.4">
      <c r="A157" s="39">
        <f>IF(ISERR(NodesJSON[[#This Row],[label]]),0,1)</f>
        <v>1</v>
      </c>
      <c r="B157" s="3" t="str">
        <f>NodesData[[#This Row],[Common Name]]</f>
        <v>Enterprise Single Sign-On</v>
      </c>
      <c r="C157" s="3" t="str">
        <f>IF(NodesData[[#This Row],[Context Instanciation]]="","",NodesData[[#This Row],[Context Instanciation]])</f>
        <v/>
      </c>
      <c r="D157" s="22" t="str">
        <f>NodesData[[#This Row],[Node ID]]</f>
        <v>n4F60AFDF_063A_4037_B18B_E4FDC3B1F048</v>
      </c>
      <c r="E157" s="10" t="s">
        <v>776</v>
      </c>
      <c r="F157" s="25" t="str" cm="1">
        <f t="array" ref="F157">IF(NodesJSON[[#This Row],[Export?]]=0,"",IF(ROW(NodesJSON[[#This Row],[label]])&gt;ROW(NodesJSON[[#Headers],[JSON]])+1,",","") &amp;"{"&amp;twoRangesToJSON(NodesJSON[[#Headers],[label]:[url]],NodesJSON[[#This Row],[label]:[url]])&amp;"}")</f>
        <v>,{"label":"Enterprise Single Sign-On","group":"","id":"n4F60AFDF_063A_4037_B18B_E4FDC3B1F048","url":"https://open-measure.atlassian.net/wiki/spaces/DIC/pages/763035693"}</v>
      </c>
    </row>
    <row r="158" spans="1:6" ht="13.9" thickTop="1" thickBot="1" x14ac:dyDescent="0.4">
      <c r="A158" s="39">
        <f>IF(ISERR(NodesJSON[[#This Row],[label]]),0,1)</f>
        <v>1</v>
      </c>
      <c r="B158" s="3" t="str">
        <f>NodesData[[#This Row],[Common Name]]</f>
        <v>Entitlement</v>
      </c>
      <c r="C158" s="3" t="str">
        <f>IF(NodesData[[#This Row],[Context Instanciation]]="","",NodesData[[#This Row],[Context Instanciation]])</f>
        <v/>
      </c>
      <c r="D158" s="22" t="str">
        <f>NodesData[[#This Row],[Node ID]]</f>
        <v>n6B1C5DA7_6A6A_4239_8359_406101FDA296</v>
      </c>
      <c r="E158" s="10" t="s">
        <v>778</v>
      </c>
      <c r="F158" s="25" t="str" cm="1">
        <f t="array" ref="F158">IF(NodesJSON[[#This Row],[Export?]]=0,"",IF(ROW(NodesJSON[[#This Row],[label]])&gt;ROW(NodesJSON[[#Headers],[JSON]])+1,",","") &amp;"{"&amp;twoRangesToJSON(NodesJSON[[#Headers],[label]:[url]],NodesJSON[[#This Row],[label]:[url]])&amp;"}")</f>
        <v>,{"label":"Entitlement","group":"","id":"n6B1C5DA7_6A6A_4239_8359_406101FDA296","url":"https://open-measure.atlassian.net/wiki/spaces/DIC/pages/331579618"}</v>
      </c>
    </row>
    <row r="159" spans="1:6" ht="13.9" thickTop="1" thickBot="1" x14ac:dyDescent="0.4">
      <c r="A159" s="39">
        <f>IF(ISERR(NodesJSON[[#This Row],[label]]),0,1)</f>
        <v>1</v>
      </c>
      <c r="B159" s="3" t="str">
        <f>NodesData[[#This Row],[Common Name]]</f>
        <v>Entitlement Management</v>
      </c>
      <c r="C159" s="3" t="str">
        <f>IF(NodesData[[#This Row],[Context Instanciation]]="","",NodesData[[#This Row],[Context Instanciation]])</f>
        <v/>
      </c>
      <c r="D159" s="22" t="str">
        <f>NodesData[[#This Row],[Node ID]]</f>
        <v>n8CCC3658_FD2A_4108_B8F8_F090D2FDA25F</v>
      </c>
      <c r="E159" s="10" t="s">
        <v>779</v>
      </c>
      <c r="F159" s="25" t="str" cm="1">
        <f t="array" ref="F159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Management","group":"","id":"n8CCC3658_FD2A_4108_B8F8_F090D2FDA25F","url":"https://open-measure.atlassian.net/wiki/spaces/DIC/pages/1290207237/Financial-grade+API"}</v>
      </c>
    </row>
    <row r="160" spans="1:6" ht="13.9" thickTop="1" thickBot="1" x14ac:dyDescent="0.4">
      <c r="A160" s="39">
        <f>IF(ISERR(NodesJSON[[#This Row],[label]]),0,1)</f>
        <v>1</v>
      </c>
      <c r="B160" s="3" t="str">
        <f>NodesData[[#This Row],[Common Name]]</f>
        <v>Entitlement Management Process</v>
      </c>
      <c r="C160" s="3" t="str">
        <f>IF(NodesData[[#This Row],[Context Instanciation]]="","",NodesData[[#This Row],[Context Instanciation]])</f>
        <v/>
      </c>
      <c r="D160" s="22" t="str">
        <f>NodesData[[#This Row],[Node ID]]</f>
        <v>n6F5621C1_CD35_410A_A944_409F79163AD4</v>
      </c>
      <c r="E160" s="4"/>
      <c r="F160" s="25" t="str" cm="1">
        <f t="array" ref="F160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Process","group":"","id":"n6F5621C1_CD35_410A_A944_409F79163AD4","url":""}</v>
      </c>
    </row>
    <row r="161" spans="1:6" ht="13.9" thickTop="1" thickBot="1" x14ac:dyDescent="0.4">
      <c r="A161" s="39">
        <f>IF(ISERR(NodesJSON[[#This Row],[label]]),0,1)</f>
        <v>1</v>
      </c>
      <c r="B161" s="3" t="str">
        <f>NodesData[[#This Row],[Common Name]]</f>
        <v>Entitlement Management Solution</v>
      </c>
      <c r="C161" s="3" t="str">
        <f>IF(NodesData[[#This Row],[Context Instanciation]]="","",NodesData[[#This Row],[Context Instanciation]])</f>
        <v/>
      </c>
      <c r="D161" s="22" t="str">
        <f>NodesData[[#This Row],[Node ID]]</f>
        <v>n1C189EA0_AB0A_4D8B_AC8A_A6B086B9D1C8</v>
      </c>
      <c r="E161" s="10" t="s">
        <v>780</v>
      </c>
      <c r="F161" s="25" t="str" cm="1">
        <f t="array" ref="F161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Solution","group":"","id":"n1C189EA0_AB0A_4D8B_AC8A_A6B086B9D1C8","url":"https://open-measure.atlassian.net/wiki/spaces/DIC/pages/1378091043/FinTech"}</v>
      </c>
    </row>
    <row r="162" spans="1:6" ht="13.9" thickTop="1" thickBot="1" x14ac:dyDescent="0.4">
      <c r="A162" s="39">
        <f>IF(ISERR(NodesJSON[[#This Row],[label]]),0,1)</f>
        <v>1</v>
      </c>
      <c r="B162" s="3" t="str">
        <f>NodesData[[#This Row],[Common Name]]</f>
        <v>Entitlement-Based Access Control</v>
      </c>
      <c r="C162" s="3" t="str">
        <f>IF(NodesData[[#This Row],[Context Instanciation]]="","",NodesData[[#This Row],[Context Instanciation]])</f>
        <v/>
      </c>
      <c r="D162" s="22" t="str">
        <f>NodesData[[#This Row],[Node ID]]</f>
        <v>n9A7FB9C7_BA60_455F_AF09_E8FB3AD8331D</v>
      </c>
      <c r="E162" s="10" t="s">
        <v>782</v>
      </c>
      <c r="F162" s="25" t="str" cm="1">
        <f t="array" ref="F162">IF(NodesJSON[[#This Row],[Export?]]=0,"",IF(ROW(NodesJSON[[#This Row],[label]])&gt;ROW(NodesJSON[[#Headers],[JSON]])+1,",","") &amp;"{"&amp;twoRangesToJSON(NodesJSON[[#Headers],[label]:[url]],NodesJSON[[#This Row],[label]:[url]])&amp;"}")</f>
        <v>,{"label":"Entitlement-Based Access Control","group":"","id":"n9A7FB9C7_BA60_455F_AF09_E8FB3AD8331D","url":"https://open-measure.atlassian.net/wiki/spaces/DIC/pages/438698048"}</v>
      </c>
    </row>
    <row r="163" spans="1:6" ht="13.9" thickTop="1" thickBot="1" x14ac:dyDescent="0.4">
      <c r="A163" s="39">
        <f>IF(ISERR(NodesJSON[[#This Row],[label]]),0,1)</f>
        <v>1</v>
      </c>
      <c r="B163" s="3" t="str">
        <f>NodesData[[#This Row],[Common Name]]</f>
        <v>Entity</v>
      </c>
      <c r="C163" s="3" t="str">
        <f>IF(NodesData[[#This Row],[Context Instanciation]]="","",NodesData[[#This Row],[Context Instanciation]])</f>
        <v/>
      </c>
      <c r="D163" s="22" t="str">
        <f>NodesData[[#This Row],[Node ID]]</f>
        <v>nD14A84EB_07B3_4B5F_BFAB_30031258CD6F</v>
      </c>
      <c r="E163" s="10" t="s">
        <v>784</v>
      </c>
      <c r="F163" s="25" t="str" cm="1">
        <f t="array" ref="F163">IF(NodesJSON[[#This Row],[Export?]]=0,"",IF(ROW(NodesJSON[[#This Row],[label]])&gt;ROW(NodesJSON[[#Headers],[JSON]])+1,",","") &amp;"{"&amp;twoRangesToJSON(NodesJSON[[#Headers],[label]:[url]],NodesJSON[[#This Row],[label]:[url]])&amp;"}")</f>
        <v>,{"label":"Entity","group":"","id":"nD14A84EB_07B3_4B5F_BFAB_30031258CD6F","url":"https://open-measure.atlassian.net/wiki/spaces/DIC/pages/1223884872"}</v>
      </c>
    </row>
    <row r="164" spans="1:6" ht="13.9" thickTop="1" thickBot="1" x14ac:dyDescent="0.4">
      <c r="A164" s="39">
        <f>IF(ISERR(NodesJSON[[#This Row],[label]]),0,1)</f>
        <v>1</v>
      </c>
      <c r="B164" s="3" t="str">
        <f>NodesData[[#This Row],[Common Name]]</f>
        <v>ESSO</v>
      </c>
      <c r="C164" s="3" t="str">
        <f>IF(NodesData[[#This Row],[Context Instanciation]]="","",NodesData[[#This Row],[Context Instanciation]])</f>
        <v/>
      </c>
      <c r="D164" s="22" t="str">
        <f>NodesData[[#This Row],[Node ID]]</f>
        <v>nB81C8B35_F18D_45DB_BF0B_52A7F64CFDB9</v>
      </c>
      <c r="E164" s="10" t="s">
        <v>786</v>
      </c>
      <c r="F164" s="25" t="str" cm="1">
        <f t="array" ref="F164">IF(NodesJSON[[#This Row],[Export?]]=0,"",IF(ROW(NodesJSON[[#This Row],[label]])&gt;ROW(NodesJSON[[#Headers],[JSON]])+1,",","") &amp;"{"&amp;twoRangesToJSON(NodesJSON[[#Headers],[label]:[url]],NodesJSON[[#This Row],[label]:[url]])&amp;"}")</f>
        <v>,{"label":"ESSO","group":"","id":"nB81C8B35_F18D_45DB_BF0B_52A7F64CFDB9","url":"https://open-measure.atlassian.net/wiki/spaces/DIC/pages/1173585921"}</v>
      </c>
    </row>
    <row r="165" spans="1:6" ht="13.9" thickTop="1" thickBot="1" x14ac:dyDescent="0.4">
      <c r="A165" s="39">
        <f>IF(ISERR(NodesJSON[[#This Row],[label]]),0,1)</f>
        <v>1</v>
      </c>
      <c r="B165" s="3" t="str">
        <f>NodesData[[#This Row],[Common Name]]</f>
        <v>Excessive Privilege Abuse</v>
      </c>
      <c r="C165" s="3" t="str">
        <f>IF(NodesData[[#This Row],[Context Instanciation]]="","",NodesData[[#This Row],[Context Instanciation]])</f>
        <v/>
      </c>
      <c r="D165" s="22" t="str">
        <f>NodesData[[#This Row],[Node ID]]</f>
        <v>n606F27DD_7057_4C49_BC05_BD18E6E8BCAE</v>
      </c>
      <c r="E165" s="10" t="s">
        <v>788</v>
      </c>
      <c r="F165" s="25" t="str" cm="1">
        <f t="array" ref="F165">IF(NodesJSON[[#This Row],[Export?]]=0,"",IF(ROW(NodesJSON[[#This Row],[label]])&gt;ROW(NodesJSON[[#Headers],[JSON]])+1,",","") &amp;"{"&amp;twoRangesToJSON(NodesJSON[[#Headers],[label]:[url]],NodesJSON[[#This Row],[label]:[url]])&amp;"}")</f>
        <v>,{"label":"Excessive Privilege Abuse","group":"","id":"n606F27DD_7057_4C49_BC05_BD18E6E8BCAE","url":"https://open-measure.atlassian.net/wiki/spaces/DIC/pages/1226833964"}</v>
      </c>
    </row>
    <row r="166" spans="1:6" ht="13.9" thickTop="1" thickBot="1" x14ac:dyDescent="0.4">
      <c r="A166" s="39">
        <f>IF(ISERR(NodesJSON[[#This Row],[label]]),0,1)</f>
        <v>1</v>
      </c>
      <c r="B166" s="3" t="str">
        <f>NodesData[[#This Row],[Common Name]]</f>
        <v>Expanded Password System</v>
      </c>
      <c r="C166" s="3" t="str">
        <f>IF(NodesData[[#This Row],[Context Instanciation]]="","",NodesData[[#This Row],[Context Instanciation]])</f>
        <v/>
      </c>
      <c r="D166" s="22" t="str">
        <f>NodesData[[#This Row],[Node ID]]</f>
        <v>nF9F63BDF_0C15_417E_9C40_9CFAF09A44FE</v>
      </c>
      <c r="E166" s="10" t="s">
        <v>789</v>
      </c>
      <c r="F166" s="25" t="str" cm="1">
        <f t="array" ref="F166">IF(NodesJSON[[#This Row],[Export?]]=0,"",IF(ROW(NodesJSON[[#This Row],[label]])&gt;ROW(NodesJSON[[#Headers],[JSON]])+1,",","") &amp;"{"&amp;twoRangesToJSON(NodesJSON[[#Headers],[label]:[url]],NodesJSON[[#This Row],[label]:[url]])&amp;"}")</f>
        <v>,{"label":"Expanded Password System","group":"","id":"nF9F63BDF_0C15_417E_9C40_9CFAF09A44FE","url":"https://open-measure.atlassian.net/wiki/spaces/DIC/pages/419561522/Foundational+Identification+System"}</v>
      </c>
    </row>
    <row r="167" spans="1:6" ht="13.9" thickTop="1" thickBot="1" x14ac:dyDescent="0.4">
      <c r="A167" s="39">
        <f>IF(ISERR(NodesJSON[[#This Row],[label]]),0,1)</f>
        <v>1</v>
      </c>
      <c r="B167" s="3" t="str">
        <f>NodesData[[#This Row],[Common Name]]</f>
        <v>Exploited Identity</v>
      </c>
      <c r="C167" s="3" t="str">
        <f>IF(NodesData[[#This Row],[Context Instanciation]]="","",NodesData[[#This Row],[Context Instanciation]])</f>
        <v/>
      </c>
      <c r="D167" s="22" t="str">
        <f>NodesData[[#This Row],[Node ID]]</f>
        <v>n84A25376_673B_437D_A0B8_E206A3A557A1</v>
      </c>
      <c r="E167" s="4"/>
      <c r="F167" s="25" t="str" cm="1">
        <f t="array" ref="F167">IF(NodesJSON[[#This Row],[Export?]]=0,"",IF(ROW(NodesJSON[[#This Row],[label]])&gt;ROW(NodesJSON[[#Headers],[JSON]])+1,",","") &amp;"{"&amp;twoRangesToJSON(NodesJSON[[#Headers],[label]:[url]],NodesJSON[[#This Row],[label]:[url]])&amp;"}")</f>
        <v>,{"label":"Exploited Identity","group":"","id":"n84A25376_673B_437D_A0B8_E206A3A557A1","url":""}</v>
      </c>
    </row>
    <row r="168" spans="1:6" ht="13.9" thickTop="1" thickBot="1" x14ac:dyDescent="0.4">
      <c r="A168" s="39">
        <f>IF(ISERR(NodesJSON[[#This Row],[label]]),0,1)</f>
        <v>1</v>
      </c>
      <c r="B168" s="3" t="str">
        <f>NodesData[[#This Row],[Common Name]]</f>
        <v>Extended Enterprise</v>
      </c>
      <c r="C168" s="3" t="str">
        <f>IF(NodesData[[#This Row],[Context Instanciation]]="","",NodesData[[#This Row],[Context Instanciation]])</f>
        <v/>
      </c>
      <c r="D168" s="22" t="str">
        <f>NodesData[[#This Row],[Node ID]]</f>
        <v>n59206519_5BB4_4BDF_BF6E_C333745B95BB</v>
      </c>
      <c r="E168" s="10" t="s">
        <v>791</v>
      </c>
      <c r="F168" s="25" t="str" cm="1">
        <f t="array" ref="F168">IF(NodesJSON[[#This Row],[Export?]]=0,"",IF(ROW(NodesJSON[[#This Row],[label]])&gt;ROW(NodesJSON[[#Headers],[JSON]])+1,",","") &amp;"{"&amp;twoRangesToJSON(NodesJSON[[#Headers],[label]:[url]],NodesJSON[[#This Row],[label]:[url]])&amp;"}")</f>
        <v>,{"label":"Extended Enterprise","group":"","id":"n59206519_5BB4_4BDF_BF6E_C333745B95BB","url":"https://open-measure.atlassian.net/wiki/spaces/DIC/pages/419528747"}</v>
      </c>
    </row>
    <row r="169" spans="1:6" ht="13.9" thickTop="1" thickBot="1" x14ac:dyDescent="0.4">
      <c r="A169" s="39">
        <f>IF(ISERR(NodesJSON[[#This Row],[label]]),0,1)</f>
        <v>1</v>
      </c>
      <c r="B169" s="3" t="str">
        <f>NodesData[[#This Row],[Common Name]]</f>
        <v>Extensible Access Control Markup Language</v>
      </c>
      <c r="C169" s="3" t="str">
        <f>IF(NodesData[[#This Row],[Context Instanciation]]="","",NodesData[[#This Row],[Context Instanciation]])</f>
        <v/>
      </c>
      <c r="D169" s="22" t="str">
        <f>NodesData[[#This Row],[Node ID]]</f>
        <v>n9D4266BF_D624_4D96_974A_C169D11071F2</v>
      </c>
      <c r="E169" s="10" t="s">
        <v>793</v>
      </c>
      <c r="F169" s="25" t="str" cm="1">
        <f t="array" ref="F169">IF(NodesJSON[[#This Row],[Export?]]=0,"",IF(ROW(NodesJSON[[#This Row],[label]])&gt;ROW(NodesJSON[[#Headers],[JSON]])+1,",","") &amp;"{"&amp;twoRangesToJSON(NodesJSON[[#Headers],[label]:[url]],NodesJSON[[#This Row],[label]:[url]])&amp;"}")</f>
        <v>,{"label":"Extensible Access Control Markup Language","group":"","id":"n9D4266BF_D624_4D96_974A_C169D11071F2","url":"https://open-measure.atlassian.net/wiki/spaces/DIC/pages/1229619254"}</v>
      </c>
    </row>
    <row r="170" spans="1:6" ht="13.9" thickTop="1" thickBot="1" x14ac:dyDescent="0.4">
      <c r="A170" s="39">
        <f>IF(ISERR(NodesJSON[[#This Row],[label]]),0,1)</f>
        <v>1</v>
      </c>
      <c r="B170" s="3" t="str">
        <f>NodesData[[#This Row],[Common Name]]</f>
        <v>External Threat Agent</v>
      </c>
      <c r="C170" s="3" t="str">
        <f>IF(NodesData[[#This Row],[Context Instanciation]]="","",NodesData[[#This Row],[Context Instanciation]])</f>
        <v/>
      </c>
      <c r="D170" s="22" t="str">
        <f>NodesData[[#This Row],[Node ID]]</f>
        <v>n1546AAB1_79BC_427B_AC2C_31B1E8FA4616</v>
      </c>
      <c r="E170" s="4"/>
      <c r="F170" s="25" t="str" cm="1">
        <f t="array" ref="F170">IF(NodesJSON[[#This Row],[Export?]]=0,"",IF(ROW(NodesJSON[[#This Row],[label]])&gt;ROW(NodesJSON[[#Headers],[JSON]])+1,",","") &amp;"{"&amp;twoRangesToJSON(NodesJSON[[#Headers],[label]:[url]],NodesJSON[[#This Row],[label]:[url]])&amp;"}")</f>
        <v>,{"label":"External Threat Agent","group":"","id":"n1546AAB1_79BC_427B_AC2C_31B1E8FA4616","url":""}</v>
      </c>
    </row>
    <row r="171" spans="1:6" ht="13.9" thickTop="1" thickBot="1" x14ac:dyDescent="0.4">
      <c r="A171" s="39">
        <f>IF(ISERR(NodesJSON[[#This Row],[label]]),0,1)</f>
        <v>1</v>
      </c>
      <c r="B171" s="3" t="str">
        <f>NodesData[[#This Row],[Common Name]]</f>
        <v>Facial Recognition Authentication</v>
      </c>
      <c r="C171" s="3" t="str">
        <f>IF(NodesData[[#This Row],[Context Instanciation]]="","",NodesData[[#This Row],[Context Instanciation]])</f>
        <v/>
      </c>
      <c r="D171" s="22" t="str">
        <f>NodesData[[#This Row],[Node ID]]</f>
        <v>nA4759A9D_95C0_47CA_B519_8CEF217B2F74</v>
      </c>
      <c r="E171" s="4"/>
      <c r="F171" s="25" t="str" cm="1">
        <f t="array" ref="F171">IF(NodesJSON[[#This Row],[Export?]]=0,"",IF(ROW(NodesJSON[[#This Row],[label]])&gt;ROW(NodesJSON[[#Headers],[JSON]])+1,",","") &amp;"{"&amp;twoRangesToJSON(NodesJSON[[#Headers],[label]:[url]],NodesJSON[[#This Row],[label]:[url]])&amp;"}")</f>
        <v>,{"label":"Facial Recognition Authentication","group":"","id":"nA4759A9D_95C0_47CA_B519_8CEF217B2F74","url":""}</v>
      </c>
    </row>
    <row r="172" spans="1:6" ht="13.9" thickTop="1" thickBot="1" x14ac:dyDescent="0.4">
      <c r="A172" s="39">
        <f>IF(ISERR(NodesJSON[[#This Row],[label]]),0,1)</f>
        <v>1</v>
      </c>
      <c r="B172" s="3" t="str">
        <f>NodesData[[#This Row],[Common Name]]</f>
        <v>Fake Digital Identity</v>
      </c>
      <c r="C172" s="3" t="str">
        <f>IF(NodesData[[#This Row],[Context Instanciation]]="","",NodesData[[#This Row],[Context Instanciation]])</f>
        <v/>
      </c>
      <c r="D172" s="22" t="str">
        <f>NodesData[[#This Row],[Node ID]]</f>
        <v>n553E3D82_733E_45F2_B9EC_3768F51696D9</v>
      </c>
      <c r="E172" s="4"/>
      <c r="F172" s="25" t="str" cm="1">
        <f t="array" ref="F172">IF(NodesJSON[[#This Row],[Export?]]=0,"",IF(ROW(NodesJSON[[#This Row],[label]])&gt;ROW(NodesJSON[[#Headers],[JSON]])+1,",","") &amp;"{"&amp;twoRangesToJSON(NodesJSON[[#Headers],[label]:[url]],NodesJSON[[#This Row],[label]:[url]])&amp;"}")</f>
        <v>,{"label":"Fake Digital Identity","group":"","id":"n553E3D82_733E_45F2_B9EC_3768F51696D9","url":""}</v>
      </c>
    </row>
    <row r="173" spans="1:6" ht="13.9" thickTop="1" thickBot="1" x14ac:dyDescent="0.4">
      <c r="A173" s="39">
        <f>IF(ISERR(NodesJSON[[#This Row],[label]]),0,1)</f>
        <v>1</v>
      </c>
      <c r="B173" s="3" t="str">
        <f>NodesData[[#This Row],[Common Name]]</f>
        <v>FAPI</v>
      </c>
      <c r="C173" s="3" t="str">
        <f>IF(NodesData[[#This Row],[Context Instanciation]]="","",NodesData[[#This Row],[Context Instanciation]])</f>
        <v/>
      </c>
      <c r="D173" s="22" t="str">
        <f>NodesData[[#This Row],[Node ID]]</f>
        <v>nFB67A715_39E8_48D0_B1F1_AE50FDB72B9F</v>
      </c>
      <c r="E173" s="10" t="s">
        <v>795</v>
      </c>
      <c r="F173" s="25" t="str" cm="1">
        <f t="array" ref="F173">IF(NodesJSON[[#This Row],[Export?]]=0,"",IF(ROW(NodesJSON[[#This Row],[label]])&gt;ROW(NodesJSON[[#Headers],[JSON]])+1,",","") &amp;"{"&amp;twoRangesToJSON(NodesJSON[[#Headers],[label]:[url]],NodesJSON[[#This Row],[label]:[url]])&amp;"}")</f>
        <v>,{"label":"FAPI","group":"","id":"nFB67A715_39E8_48D0_B1F1_AE50FDB72B9F","url":"https://open-measure.atlassian.net/wiki/spaces/DIC/pages/966557699"}</v>
      </c>
    </row>
    <row r="174" spans="1:6" ht="13.9" thickTop="1" thickBot="1" x14ac:dyDescent="0.4">
      <c r="A174" s="39">
        <f>IF(ISERR(NodesJSON[[#This Row],[label]]),0,1)</f>
        <v>1</v>
      </c>
      <c r="B174" s="3" t="str">
        <f>NodesData[[#This Row],[Common Name]]</f>
        <v>Federated Identity Management</v>
      </c>
      <c r="C174" s="3" t="str">
        <f>IF(NodesData[[#This Row],[Context Instanciation]]="","",NodesData[[#This Row],[Context Instanciation]])</f>
        <v/>
      </c>
      <c r="D174" s="22" t="str">
        <f>NodesData[[#This Row],[Node ID]]</f>
        <v>n8300F70D_DC84_420B_90D6_F00C4D874F30</v>
      </c>
      <c r="E174" s="8"/>
      <c r="F174" s="25" t="str" cm="1">
        <f t="array" ref="F174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Management","group":"","id":"n8300F70D_DC84_420B_90D6_F00C4D874F30","url":""}</v>
      </c>
    </row>
    <row r="175" spans="1:6" ht="13.9" thickTop="1" thickBot="1" x14ac:dyDescent="0.4">
      <c r="A175" s="39">
        <f>IF(ISERR(NodesJSON[[#This Row],[label]]),0,1)</f>
        <v>1</v>
      </c>
      <c r="B175" s="3" t="str">
        <f>NodesData[[#This Row],[Common Name]]</f>
        <v>Federated Identity Management System</v>
      </c>
      <c r="C175" s="3" t="str">
        <f>IF(NodesData[[#This Row],[Context Instanciation]]="","",NodesData[[#This Row],[Context Instanciation]])</f>
        <v/>
      </c>
      <c r="D175" s="22" t="str">
        <f>NodesData[[#This Row],[Node ID]]</f>
        <v>nB2F055B2_845D_45D7_A034_0DE4107D299F</v>
      </c>
      <c r="E175" s="4"/>
      <c r="F175" s="25" t="str" cm="1">
        <f t="array" ref="F175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 System","group":"","id":"nB2F055B2_845D_45D7_A034_0DE4107D299F","url":""}</v>
      </c>
    </row>
    <row r="176" spans="1:6" ht="13.9" thickTop="1" thickBot="1" x14ac:dyDescent="0.4">
      <c r="A176" s="39">
        <f>IF(ISERR(NodesJSON[[#This Row],[label]]),0,1)</f>
        <v>1</v>
      </c>
      <c r="B176" s="3" t="str">
        <f>NodesData[[#This Row],[Common Name]]</f>
        <v>Federated SSO</v>
      </c>
      <c r="C176" s="3" t="str">
        <f>IF(NodesData[[#This Row],[Context Instanciation]]="","",NodesData[[#This Row],[Context Instanciation]])</f>
        <v/>
      </c>
      <c r="D176" s="22" t="str">
        <f>NodesData[[#This Row],[Node ID]]</f>
        <v>n74954D1A_7A80_4122_B782_01D5A8EB539E</v>
      </c>
      <c r="E176" s="10" t="s">
        <v>797</v>
      </c>
      <c r="F176" s="25" t="str" cm="1">
        <f t="array" ref="F176">IF(NodesJSON[[#This Row],[Export?]]=0,"",IF(ROW(NodesJSON[[#This Row],[label]])&gt;ROW(NodesJSON[[#Headers],[JSON]])+1,",","") &amp;"{"&amp;twoRangesToJSON(NodesJSON[[#Headers],[label]:[url]],NodesJSON[[#This Row],[label]:[url]])&amp;"}")</f>
        <v>,{"label":"Federated SSO","group":"","id":"n74954D1A_7A80_4122_B782_01D5A8EB539E","url":"https://open-measure.atlassian.net/wiki/spaces/DIC/pages/1177846011"}</v>
      </c>
    </row>
    <row r="177" spans="1:6" ht="13.9" thickTop="1" thickBot="1" x14ac:dyDescent="0.4">
      <c r="A177" s="39">
        <f>IF(ISERR(NodesJSON[[#This Row],[label]]),0,1)</f>
        <v>1</v>
      </c>
      <c r="B177" s="3" t="str">
        <f>NodesData[[#This Row],[Common Name]]</f>
        <v>Federation Bridge</v>
      </c>
      <c r="C177" s="3" t="str">
        <f>IF(NodesData[[#This Row],[Context Instanciation]]="","",NodesData[[#This Row],[Context Instanciation]])</f>
        <v/>
      </c>
      <c r="D177" s="22" t="str">
        <f>NodesData[[#This Row],[Node ID]]</f>
        <v>nDD4D0EA3_423E_4998_B182_34DD6C3BE9A8</v>
      </c>
      <c r="E177" s="10" t="s">
        <v>799</v>
      </c>
      <c r="F177" s="25" t="str" cm="1">
        <f t="array" ref="F177">IF(NodesJSON[[#This Row],[Export?]]=0,"",IF(ROW(NodesJSON[[#This Row],[label]])&gt;ROW(NodesJSON[[#Headers],[JSON]])+1,",","") &amp;"{"&amp;twoRangesToJSON(NodesJSON[[#Headers],[label]:[url]],NodesJSON[[#This Row],[label]:[url]])&amp;"}")</f>
        <v>,{"label":"Federation Bridge","group":"","id":"nDD4D0EA3_423E_4998_B182_34DD6C3BE9A8","url":"https://open-measure.atlassian.net/wiki/spaces/DIC/pages/998047786"}</v>
      </c>
    </row>
    <row r="178" spans="1:6" ht="13.9" thickTop="1" thickBot="1" x14ac:dyDescent="0.4">
      <c r="A178" s="39">
        <f>IF(ISERR(NodesJSON[[#This Row],[label]]),0,1)</f>
        <v>1</v>
      </c>
      <c r="B178" s="3" t="str">
        <f>NodesData[[#This Row],[Common Name]]</f>
        <v>FIM</v>
      </c>
      <c r="C178" s="3" t="str">
        <f>IF(NodesData[[#This Row],[Context Instanciation]]="","",NodesData[[#This Row],[Context Instanciation]])</f>
        <v/>
      </c>
      <c r="D178" s="22" t="str">
        <f>NodesData[[#This Row],[Node ID]]</f>
        <v>nC7FE17A9_7896_460F_B18F_651313DE938B</v>
      </c>
      <c r="E178" s="10" t="s">
        <v>801</v>
      </c>
      <c r="F178" s="25" t="str" cm="1">
        <f t="array" ref="F178">IF(NodesJSON[[#This Row],[Export?]]=0,"",IF(ROW(NodesJSON[[#This Row],[label]])&gt;ROW(NodesJSON[[#Headers],[JSON]])+1,",","") &amp;"{"&amp;twoRangesToJSON(NodesJSON[[#Headers],[label]:[url]],NodesJSON[[#This Row],[label]:[url]])&amp;"}")</f>
        <v>,{"label":"FIM","group":"","id":"nC7FE17A9_7896_460F_B18F_651313DE938B","url":"https://open-measure.atlassian.net/wiki/spaces/DIC/pages/998277156"}</v>
      </c>
    </row>
    <row r="179" spans="1:6" ht="13.9" thickTop="1" thickBot="1" x14ac:dyDescent="0.4">
      <c r="A179" s="39">
        <f>IF(ISERR(NodesJSON[[#This Row],[label]]),0,1)</f>
        <v>1</v>
      </c>
      <c r="B179" s="3" t="str">
        <f>NodesData[[#This Row],[Common Name]]</f>
        <v>Financial Gain</v>
      </c>
      <c r="C179" s="3" t="str">
        <f>IF(NodesData[[#This Row],[Context Instanciation]]="","",NodesData[[#This Row],[Context Instanciation]])</f>
        <v/>
      </c>
      <c r="D179" s="22" t="str">
        <f>NodesData[[#This Row],[Node ID]]</f>
        <v>n52564682_5FAD_48CB_A320_6CFE17950D03</v>
      </c>
      <c r="E179" s="10" t="s">
        <v>802</v>
      </c>
      <c r="F179" s="25" t="str" cm="1">
        <f t="array" ref="F179">IF(NodesJSON[[#This Row],[Export?]]=0,"",IF(ROW(NodesJSON[[#This Row],[label]])&gt;ROW(NodesJSON[[#Headers],[JSON]])+1,",","") &amp;"{"&amp;twoRangesToJSON(NodesJSON[[#Headers],[label]:[url]],NodesJSON[[#This Row],[label]:[url]])&amp;"}")</f>
        <v>,{"label":"Financial Gain","group":"","id":"n52564682_5FAD_48CB_A320_6CFE17950D03","url":"https://open-measure.atlassian.net/wiki/spaces/DIC/pages/1572865/IAG"}</v>
      </c>
    </row>
    <row r="180" spans="1:6" ht="13.9" thickTop="1" thickBot="1" x14ac:dyDescent="0.4">
      <c r="A180" s="39">
        <f>IF(ISERR(NodesJSON[[#This Row],[label]]),0,1)</f>
        <v>1</v>
      </c>
      <c r="B180" s="3" t="str">
        <f>NodesData[[#This Row],[Common Name]]</f>
        <v>Financial-grade API</v>
      </c>
      <c r="C180" s="3" t="str">
        <f>IF(NodesData[[#This Row],[Context Instanciation]]="","",NodesData[[#This Row],[Context Instanciation]])</f>
        <v/>
      </c>
      <c r="D180" s="22" t="str">
        <f>NodesData[[#This Row],[Node ID]]</f>
        <v>n7ED0A0F0_C8C5_4D50_B320_7841B6D641DC</v>
      </c>
      <c r="E180" s="10" t="s">
        <v>803</v>
      </c>
      <c r="F180" s="25" t="str" cm="1">
        <f t="array" ref="F180">IF(NodesJSON[[#This Row],[Export?]]=0,"",IF(ROW(NodesJSON[[#This Row],[label]])&gt;ROW(NodesJSON[[#Headers],[JSON]])+1,",","") &amp;"{"&amp;twoRangesToJSON(NodesJSON[[#Headers],[label]:[url]],NodesJSON[[#This Row],[label]:[url]])&amp;"}")</f>
        <v>,{"label":"Financial-grade API","group":"","id":"n7ED0A0F0_C8C5_4D50_B320_7841B6D641DC","url":"https://open-measure.atlassian.net/wiki/spaces/DIC/pages/1081356/IAM"}</v>
      </c>
    </row>
    <row r="181" spans="1:6" ht="13.9" thickTop="1" thickBot="1" x14ac:dyDescent="0.4">
      <c r="A181" s="39">
        <f>IF(ISERR(NodesJSON[[#This Row],[label]]),0,1)</f>
        <v>1</v>
      </c>
      <c r="B181" s="3" t="str">
        <f>NodesData[[#This Row],[Common Name]]</f>
        <v>Fingerprint Recognition Authentication</v>
      </c>
      <c r="C181" s="3" t="str">
        <f>IF(NodesData[[#This Row],[Context Instanciation]]="","",NodesData[[#This Row],[Context Instanciation]])</f>
        <v/>
      </c>
      <c r="D181" s="22" t="str">
        <f>NodesData[[#This Row],[Node ID]]</f>
        <v>nAACCE65E_6554_4FBD_B4D7_A3BA8E3BDB92</v>
      </c>
      <c r="E181" s="10" t="s">
        <v>805</v>
      </c>
      <c r="F181" s="25" t="str" cm="1">
        <f t="array" ref="F181">IF(NodesJSON[[#This Row],[Export?]]=0,"",IF(ROW(NodesJSON[[#This Row],[label]])&gt;ROW(NodesJSON[[#Headers],[JSON]])+1,",","") &amp;"{"&amp;twoRangesToJSON(NodesJSON[[#Headers],[label]:[url]],NodesJSON[[#This Row],[label]:[url]])&amp;"}")</f>
        <v>,{"label":"Fingerprint Recognition Authentication","group":"","id":"nAACCE65E_6554_4FBD_B4D7_A3BA8E3BDB92","url":"https://open-measure.atlassian.net/wiki/spaces/DIC/pages/1037926677"}</v>
      </c>
    </row>
    <row r="182" spans="1:6" ht="13.9" thickTop="1" thickBot="1" x14ac:dyDescent="0.4">
      <c r="A182" s="39">
        <f>IF(ISERR(NodesJSON[[#This Row],[label]]),0,1)</f>
        <v>1</v>
      </c>
      <c r="B182" s="3" t="str">
        <f>NodesData[[#This Row],[Common Name]]</f>
        <v>FinTech</v>
      </c>
      <c r="C182" s="3" t="str">
        <f>IF(NodesData[[#This Row],[Context Instanciation]]="","",NodesData[[#This Row],[Context Instanciation]])</f>
        <v/>
      </c>
      <c r="D182" s="22" t="str">
        <f>NodesData[[#This Row],[Node ID]]</f>
        <v>n24C70F4C_4BF0_490D_B57B_FE1D78BCC3DF</v>
      </c>
      <c r="E182" s="10" t="s">
        <v>807</v>
      </c>
      <c r="F182" s="25" t="str" cm="1">
        <f t="array" ref="F182">IF(NodesJSON[[#This Row],[Export?]]=0,"",IF(ROW(NodesJSON[[#This Row],[label]])&gt;ROW(NodesJSON[[#Headers],[JSON]])+1,",","") &amp;"{"&amp;twoRangesToJSON(NodesJSON[[#Headers],[label]:[url]],NodesJSON[[#This Row],[label]:[url]])&amp;"}")</f>
        <v>,{"label":"FinTech","group":"","id":"n24C70F4C_4BF0_490D_B57B_FE1D78BCC3DF","url":"https://open-measure.atlassian.net/wiki/spaces/DIC/pages/82838735"}</v>
      </c>
    </row>
    <row r="183" spans="1:6" ht="13.9" thickTop="1" thickBot="1" x14ac:dyDescent="0.4">
      <c r="A183" s="39">
        <f>IF(ISERR(NodesJSON[[#This Row],[label]]),0,1)</f>
        <v>1</v>
      </c>
      <c r="B183" s="3" t="str">
        <f>NodesData[[#This Row],[Common Name]]</f>
        <v>Flexibility</v>
      </c>
      <c r="C183" s="3" t="str">
        <f>IF(NodesData[[#This Row],[Context Instanciation]]="","",NodesData[[#This Row],[Context Instanciation]])</f>
        <v/>
      </c>
      <c r="D183" s="22" t="str">
        <f>NodesData[[#This Row],[Node ID]]</f>
        <v>nC4DC482E_7938_4C4B_B8F7_24B6E883D324</v>
      </c>
      <c r="E183" s="10" t="s">
        <v>809</v>
      </c>
      <c r="F183" s="25" t="str" cm="1">
        <f t="array" ref="F183">IF(NodesJSON[[#This Row],[Export?]]=0,"",IF(ROW(NodesJSON[[#This Row],[label]])&gt;ROW(NodesJSON[[#Headers],[JSON]])+1,",","") &amp;"{"&amp;twoRangesToJSON(NodesJSON[[#Headers],[label]:[url]],NodesJSON[[#This Row],[label]:[url]])&amp;"}")</f>
        <v>,{"label":"Flexibility","group":"","id":"nC4DC482E_7938_4C4B_B8F7_24B6E883D324","url":"https://open-measure.atlassian.net/wiki/spaces/DIC/pages/234487971"}</v>
      </c>
    </row>
    <row r="184" spans="1:6" ht="13.9" thickTop="1" thickBot="1" x14ac:dyDescent="0.4">
      <c r="A184" s="39">
        <f>IF(ISERR(NodesJSON[[#This Row],[label]]),0,1)</f>
        <v>1</v>
      </c>
      <c r="B184" s="3" t="str">
        <f>NodesData[[#This Row],[Common Name]]</f>
        <v>Flow Analysis</v>
      </c>
      <c r="C184" s="3" t="str">
        <f>IF(NodesData[[#This Row],[Context Instanciation]]="","",NodesData[[#This Row],[Context Instanciation]])</f>
        <v/>
      </c>
      <c r="D184" s="22" t="str">
        <f>NodesData[[#This Row],[Node ID]]</f>
        <v>n37CDF385_8395_4EBE_AD68_6B887D23D64B</v>
      </c>
      <c r="E184" s="10" t="s">
        <v>811</v>
      </c>
      <c r="F184" s="25" t="str" cm="1">
        <f t="array" ref="F184">IF(NodesJSON[[#This Row],[Export?]]=0,"",IF(ROW(NodesJSON[[#This Row],[label]])&gt;ROW(NodesJSON[[#Headers],[JSON]])+1,",","") &amp;"{"&amp;twoRangesToJSON(NodesJSON[[#Headers],[label]:[url]],NodesJSON[[#This Row],[label]:[url]])&amp;"}")</f>
        <v>,{"label":"Flow Analysis","group":"","id":"n37CDF385_8395_4EBE_AD68_6B887D23D64B","url":"https://open-measure.atlassian.net/wiki/spaces/DIC/pages/1149468857"}</v>
      </c>
    </row>
    <row r="185" spans="1:6" ht="13.9" thickTop="1" thickBot="1" x14ac:dyDescent="0.4">
      <c r="A185" s="39">
        <f>IF(ISERR(NodesJSON[[#This Row],[label]]),0,1)</f>
        <v>1</v>
      </c>
      <c r="B185" s="3" t="str">
        <f>NodesData[[#This Row],[Common Name]]</f>
        <v>Forged Identity</v>
      </c>
      <c r="C185" s="3" t="str">
        <f>IF(NodesData[[#This Row],[Context Instanciation]]="","",NodesData[[#This Row],[Context Instanciation]])</f>
        <v/>
      </c>
      <c r="D185" s="22" t="str">
        <f>NodesData[[#This Row],[Node ID]]</f>
        <v>n958F4918_D853_4DF1_A3CD_255CE2FA5AD2</v>
      </c>
      <c r="E185" s="10" t="s">
        <v>813</v>
      </c>
      <c r="F185" s="25" t="str" cm="1">
        <f t="array" ref="F185">IF(NodesJSON[[#This Row],[Export?]]=0,"",IF(ROW(NodesJSON[[#This Row],[label]])&gt;ROW(NodesJSON[[#Headers],[JSON]])+1,",","") &amp;"{"&amp;twoRangesToJSON(NodesJSON[[#Headers],[label]:[url]],NodesJSON[[#This Row],[label]:[url]])&amp;"}")</f>
        <v>,{"label":"Forged Identity","group":"","id":"n958F4918_D853_4DF1_A3CD_255CE2FA5AD2","url":"https://open-measure.atlassian.net/wiki/spaces/DIC/pages/149356545"}</v>
      </c>
    </row>
    <row r="186" spans="1:6" ht="13.9" thickTop="1" thickBot="1" x14ac:dyDescent="0.4">
      <c r="A186" s="39">
        <f>IF(ISERR(NodesJSON[[#This Row],[label]]),0,1)</f>
        <v>1</v>
      </c>
      <c r="B186" s="3" t="str">
        <f>NodesData[[#This Row],[Common Name]]</f>
        <v>Formal Verification</v>
      </c>
      <c r="C186" s="3" t="str">
        <f>IF(NodesData[[#This Row],[Context Instanciation]]="","",NodesData[[#This Row],[Context Instanciation]])</f>
        <v/>
      </c>
      <c r="D186" s="22" t="str">
        <f>NodesData[[#This Row],[Node ID]]</f>
        <v>nFEC9BD6E_999E_4253_A00A_CDCD708BCD59</v>
      </c>
      <c r="E186" s="10" t="s">
        <v>815</v>
      </c>
      <c r="F186" s="25" t="str" cm="1">
        <f t="array" ref="F186">IF(NodesJSON[[#This Row],[Export?]]=0,"",IF(ROW(NodesJSON[[#This Row],[label]])&gt;ROW(NodesJSON[[#Headers],[JSON]])+1,",","") &amp;"{"&amp;twoRangesToJSON(NodesJSON[[#Headers],[label]:[url]],NodesJSON[[#This Row],[label]:[url]])&amp;"}")</f>
        <v>,{"label":"Formal Verification","group":"","id":"nFEC9BD6E_999E_4253_A00A_CDCD708BCD59","url":"https://open-measure.atlassian.net/wiki/spaces/DIC/pages/419659837"}</v>
      </c>
    </row>
    <row r="187" spans="1:6" ht="13.9" thickTop="1" thickBot="1" x14ac:dyDescent="0.4">
      <c r="A187" s="39">
        <f>IF(ISERR(NodesJSON[[#This Row],[label]]),0,1)</f>
        <v>1</v>
      </c>
      <c r="B187" s="3" t="str">
        <f>NodesData[[#This Row],[Common Name]]</f>
        <v>Foundational Identification System</v>
      </c>
      <c r="C187" s="3" t="str">
        <f>IF(NodesData[[#This Row],[Context Instanciation]]="","",NodesData[[#This Row],[Context Instanciation]])</f>
        <v/>
      </c>
      <c r="D187" s="22" t="str">
        <f>NodesData[[#This Row],[Node ID]]</f>
        <v>n57922764_7F8B_43B4_9441_59AC52F06D1B</v>
      </c>
      <c r="E187" s="10" t="s">
        <v>817</v>
      </c>
      <c r="F187" s="25" t="str" cm="1">
        <f t="array" ref="F187">IF(NodesJSON[[#This Row],[Export?]]=0,"",IF(ROW(NodesJSON[[#This Row],[label]])&gt;ROW(NodesJSON[[#Headers],[JSON]])+1,",","") &amp;"{"&amp;twoRangesToJSON(NodesJSON[[#Headers],[label]:[url]],NodesJSON[[#This Row],[label]:[url]])&amp;"}")</f>
        <v>,{"label":"Foundational Identification System","group":"","id":"n57922764_7F8B_43B4_9441_59AC52F06D1B","url":"https://open-measure.atlassian.net/wiki/spaces/DIC/pages/419758113"}</v>
      </c>
    </row>
    <row r="188" spans="1:6" ht="13.9" thickTop="1" thickBot="1" x14ac:dyDescent="0.4">
      <c r="A188" s="39">
        <f>IF(ISERR(NodesJSON[[#This Row],[label]]),0,1)</f>
        <v>1</v>
      </c>
      <c r="B188" s="3" t="str">
        <f>NodesData[[#This Row],[Common Name]]</f>
        <v>Front-end Authentication</v>
      </c>
      <c r="C188" s="3" t="str">
        <f>IF(NodesData[[#This Row],[Context Instanciation]]="","",NodesData[[#This Row],[Context Instanciation]])</f>
        <v/>
      </c>
      <c r="D188" s="22" t="str">
        <f>NodesData[[#This Row],[Node ID]]</f>
        <v>nA316CFA4_7E99_428D_92EE_4261D71E8D69</v>
      </c>
      <c r="E188" s="10" t="s">
        <v>819</v>
      </c>
      <c r="F188" s="25" t="str" cm="1">
        <f t="array" ref="F188">IF(NodesJSON[[#This Row],[Export?]]=0,"",IF(ROW(NodesJSON[[#This Row],[label]])&gt;ROW(NodesJSON[[#Headers],[JSON]])+1,",","") &amp;"{"&amp;twoRangesToJSON(NodesJSON[[#Headers],[label]:[url]],NodesJSON[[#This Row],[label]:[url]])&amp;"}")</f>
        <v>,{"label":"Front-end Authentication","group":"","id":"nA316CFA4_7E99_428D_92EE_4261D71E8D69","url":"https://open-measure.atlassian.net/wiki/spaces/DIC/pages/435322922"}</v>
      </c>
    </row>
    <row r="189" spans="1:6" ht="13.9" thickTop="1" thickBot="1" x14ac:dyDescent="0.4">
      <c r="A189" s="39">
        <f>IF(ISERR(NodesJSON[[#This Row],[label]]),0,1)</f>
        <v>1</v>
      </c>
      <c r="B189" s="3" t="str">
        <f>NodesData[[#This Row],[Common Name]]</f>
        <v>Functional Identification System</v>
      </c>
      <c r="C189" s="3" t="str">
        <f>IF(NodesData[[#This Row],[Context Instanciation]]="","",NodesData[[#This Row],[Context Instanciation]])</f>
        <v/>
      </c>
      <c r="D189" s="22" t="str">
        <f>NodesData[[#This Row],[Node ID]]</f>
        <v>n38A1520C_9EE3_4410_BDCE_EF269F09EC11</v>
      </c>
      <c r="E189" s="10" t="s">
        <v>820</v>
      </c>
      <c r="F189" s="25" t="str" cm="1">
        <f t="array" ref="F189">IF(NodesJSON[[#This Row],[Export?]]=0,"",IF(ROW(NodesJSON[[#This Row],[label]])&gt;ROW(NodesJSON[[#Headers],[JSON]])+1,",","") &amp;"{"&amp;twoRangesToJSON(NodesJSON[[#Headers],[label]:[url]],NodesJSON[[#This Row],[label]:[url]])&amp;"}")</f>
        <v>,{"label":"Functional Identification System","group":"","id":"n38A1520C_9EE3_4410_BDCE_EF269F09EC11","url":"https://open-measure.atlassian.net/wiki/spaces/DIC/pages/1311113273/Identifier+Registry+Model"}</v>
      </c>
    </row>
    <row r="190" spans="1:6" ht="13.9" thickTop="1" thickBot="1" x14ac:dyDescent="0.4">
      <c r="A190" s="39">
        <f>IF(ISERR(NodesJSON[[#This Row],[label]]),0,1)</f>
        <v>1</v>
      </c>
      <c r="B190" s="3" t="str">
        <f>NodesData[[#This Row],[Common Name]]</f>
        <v>Functional System</v>
      </c>
      <c r="C190" s="3" t="str">
        <f>IF(NodesData[[#This Row],[Context Instanciation]]="","",NodesData[[#This Row],[Context Instanciation]])</f>
        <v/>
      </c>
      <c r="D190" s="22" t="str">
        <f>NodesData[[#This Row],[Node ID]]</f>
        <v>n053A92F1_5083_4E3C_8C99_65FB345EE29F</v>
      </c>
      <c r="E190" s="10" t="s">
        <v>822</v>
      </c>
      <c r="F190" s="25" t="str" cm="1">
        <f t="array" ref="F190">IF(NodesJSON[[#This Row],[Export?]]=0,"",IF(ROW(NodesJSON[[#This Row],[label]])&gt;ROW(NodesJSON[[#Headers],[JSON]])+1,",","") &amp;"{"&amp;twoRangesToJSON(NodesJSON[[#Headers],[label]:[url]],NodesJSON[[#This Row],[label]:[url]])&amp;"}")</f>
        <v>,{"label":"Functional System","group":"","id":"n053A92F1_5083_4E3C_8C99_65FB345EE29F","url":"https://open-measure.atlassian.net/wiki/spaces/DIC/pages/67600948"}</v>
      </c>
    </row>
    <row r="191" spans="1:6" ht="13.9" thickTop="1" thickBot="1" x14ac:dyDescent="0.4">
      <c r="A191" s="39">
        <f>IF(ISERR(NodesJSON[[#This Row],[label]]),0,1)</f>
        <v>1</v>
      </c>
      <c r="B191" s="3" t="str">
        <f>NodesData[[#This Row],[Common Name]]</f>
        <v>Gait Recognition Authentication</v>
      </c>
      <c r="C191" s="3" t="str">
        <f>IF(NodesData[[#This Row],[Context Instanciation]]="","",NodesData[[#This Row],[Context Instanciation]])</f>
        <v/>
      </c>
      <c r="D191" s="22" t="str">
        <f>NodesData[[#This Row],[Node ID]]</f>
        <v>nF5B3A52F_6645_4E18_BE53_3CA330AAEC4A</v>
      </c>
      <c r="E191" s="10" t="s">
        <v>823</v>
      </c>
      <c r="F191" s="25" t="str" cm="1">
        <f t="array" ref="F191">IF(NodesJSON[[#This Row],[Export?]]=0,"",IF(ROW(NodesJSON[[#This Row],[label]])&gt;ROW(NodesJSON[[#Headers],[JSON]])+1,",","") &amp;"{"&amp;twoRangesToJSON(NodesJSON[[#Headers],[label]:[url]],NodesJSON[[#This Row],[label]:[url]])&amp;"}")</f>
        <v>,{"label":"Gait Recognition Authentication","group":"","id":"nF5B3A52F_6645_4E18_BE53_3CA330AAEC4A","url":"https://open-measure.atlassian.net/wiki/spaces/DIC/pages/1600618542/Identity+Aggregation"}</v>
      </c>
    </row>
    <row r="192" spans="1:6" ht="13.9" thickTop="1" thickBot="1" x14ac:dyDescent="0.4">
      <c r="A192" s="39">
        <f>IF(ISERR(NodesJSON[[#This Row],[label]]),0,1)</f>
        <v>1</v>
      </c>
      <c r="B192" s="3" t="str">
        <f>NodesData[[#This Row],[Common Name]]</f>
        <v>Geo-localization Authentication</v>
      </c>
      <c r="C192" s="3" t="str">
        <f>IF(NodesData[[#This Row],[Context Instanciation]]="","",NodesData[[#This Row],[Context Instanciation]])</f>
        <v/>
      </c>
      <c r="D192" s="22" t="str">
        <f>NodesData[[#This Row],[Node ID]]</f>
        <v>nFA8764B3_A099_4BC5_A496_69DDA8F0CAC5</v>
      </c>
      <c r="E192" s="10" t="s">
        <v>824</v>
      </c>
      <c r="F192" s="25" t="str" cm="1">
        <f t="array" ref="F192">IF(NodesJSON[[#This Row],[Export?]]=0,"",IF(ROW(NodesJSON[[#This Row],[label]])&gt;ROW(NodesJSON[[#Headers],[JSON]])+1,",","") &amp;"{"&amp;twoRangesToJSON(NodesJSON[[#Headers],[label]:[url]],NodesJSON[[#This Row],[label]:[url]])&amp;"}")</f>
        <v>,{"label":"Geo-localization Authentication","group":"","id":"nFA8764B3_A099_4BC5_A496_69DDA8F0CAC5","url":"https://open-measure.atlassian.net/wiki/spaces/DIC/pages/1458176007/Identity+and+Access+Governance"}</v>
      </c>
    </row>
    <row r="193" spans="1:6" ht="13.9" thickTop="1" thickBot="1" x14ac:dyDescent="0.4">
      <c r="A193" s="39">
        <f>IF(ISERR(NodesJSON[[#This Row],[label]]),0,1)</f>
        <v>1</v>
      </c>
      <c r="B193" s="3" t="str">
        <f>NodesData[[#This Row],[Common Name]]</f>
        <v>Graphical Password-Based Authentication</v>
      </c>
      <c r="C193" s="3" t="str">
        <f>IF(NodesData[[#This Row],[Context Instanciation]]="","",NodesData[[#This Row],[Context Instanciation]])</f>
        <v/>
      </c>
      <c r="D193" s="22" t="str">
        <f>NodesData[[#This Row],[Node ID]]</f>
        <v>nBEC4F328_7640_4005_B2B5_DE2C74B06CE0</v>
      </c>
      <c r="E193" s="10" t="s">
        <v>825</v>
      </c>
      <c r="F193" s="25" t="str" cm="1">
        <f t="array" ref="F193">IF(NodesJSON[[#This Row],[Export?]]=0,"",IF(ROW(NodesJSON[[#This Row],[label]])&gt;ROW(NodesJSON[[#Headers],[JSON]])+1,",","") &amp;"{"&amp;twoRangesToJSON(NodesJSON[[#Headers],[label]:[url]],NodesJSON[[#This Row],[label]:[url]])&amp;"}")</f>
        <v>,{"label":"Graphical Password-Based Authentication","group":"","id":"nBEC4F328_7640_4005_B2B5_DE2C74B06CE0","url":"https://open-measure.atlassian.net/wiki/spaces/DIC/pages/1409143/Identity+and+Access+Management"}</v>
      </c>
    </row>
    <row r="194" spans="1:6" ht="13.9" thickTop="1" thickBot="1" x14ac:dyDescent="0.4">
      <c r="A194" s="39">
        <f>IF(ISERR(NodesJSON[[#This Row],[label]]),0,1)</f>
        <v>1</v>
      </c>
      <c r="B194" s="3" t="str">
        <f>NodesData[[#This Row],[Common Name]]</f>
        <v>Guest Account</v>
      </c>
      <c r="C194" s="3" t="str">
        <f>IF(NodesData[[#This Row],[Context Instanciation]]="","",NodesData[[#This Row],[Context Instanciation]])</f>
        <v/>
      </c>
      <c r="D194" s="22" t="str">
        <f>NodesData[[#This Row],[Node ID]]</f>
        <v>nE943B166_DDA1_4E51_8018_B658EF2F6050</v>
      </c>
      <c r="E194" s="10" t="s">
        <v>848</v>
      </c>
      <c r="F194" s="25" t="str" cm="1">
        <f t="array" ref="F194">IF(NodesJSON[[#This Row],[Export?]]=0,"",IF(ROW(NodesJSON[[#This Row],[label]])&gt;ROW(NodesJSON[[#Headers],[JSON]])+1,",","") &amp;"{"&amp;twoRangesToJSON(NodesJSON[[#Headers],[label]:[url]],NodesJSON[[#This Row],[label]:[url]])&amp;"}")</f>
        <v>,{"label":"Guest Account","group":"","id":"nE943B166_DDA1_4E51_8018_B658EF2F6050","url":"https://open-measure.atlassian.net/wiki/spaces/DIC/pages/1152516217"}</v>
      </c>
    </row>
    <row r="195" spans="1:6" ht="13.9" thickTop="1" thickBot="1" x14ac:dyDescent="0.4">
      <c r="A195" s="39">
        <f>IF(ISERR(NodesJSON[[#This Row],[label]]),0,1)</f>
        <v>1</v>
      </c>
      <c r="B195" s="3" t="str">
        <f>NodesData[[#This Row],[Common Name]]</f>
        <v>Hand Gestures Recognition Authentication</v>
      </c>
      <c r="C195" s="3" t="str">
        <f>IF(NodesData[[#This Row],[Context Instanciation]]="","",NodesData[[#This Row],[Context Instanciation]])</f>
        <v/>
      </c>
      <c r="D195" s="22" t="str">
        <f>NodesData[[#This Row],[Node ID]]</f>
        <v>nE75296C8_9CA1_417E_B05B_CC1BDF26F9C3</v>
      </c>
      <c r="E195" s="10" t="s">
        <v>826</v>
      </c>
      <c r="F195" s="25" t="str" cm="1">
        <f t="array" ref="F195">IF(NodesJSON[[#This Row],[Export?]]=0,"",IF(ROW(NodesJSON[[#This Row],[label]])&gt;ROW(NodesJSON[[#Headers],[JSON]])+1,",","") &amp;"{"&amp;twoRangesToJSON(NodesJSON[[#Headers],[label]:[url]],NodesJSON[[#This Row],[label]:[url]])&amp;"}")</f>
        <v>,{"label":"Hand Gestures Recognition Authentication","group":"","id":"nE75296C8_9CA1_417E_B05B_CC1BDF26F9C3","url":"https://open-measure.atlassian.net/wiki/spaces/DIC/pages/1600749655/Identity+Assurance"}</v>
      </c>
    </row>
    <row r="196" spans="1:6" ht="13.9" thickTop="1" thickBot="1" x14ac:dyDescent="0.4">
      <c r="A196" s="39">
        <f>IF(ISERR(NodesJSON[[#This Row],[label]]),0,1)</f>
        <v>1</v>
      </c>
      <c r="B196" s="3" t="str">
        <f>NodesData[[#This Row],[Common Name]]</f>
        <v>Heartbeats Recognition Authentication</v>
      </c>
      <c r="C196" s="3" t="str">
        <f>IF(NodesData[[#This Row],[Context Instanciation]]="","",NodesData[[#This Row],[Context Instanciation]])</f>
        <v/>
      </c>
      <c r="D196" s="22" t="str">
        <f>NodesData[[#This Row],[Node ID]]</f>
        <v>n3E35442D_91A0_4B21_B0FC_31EF1D8BC55F</v>
      </c>
      <c r="E196" s="10" t="s">
        <v>828</v>
      </c>
      <c r="F196" s="25" t="str" cm="1">
        <f t="array" ref="F196">IF(NodesJSON[[#This Row],[Export?]]=0,"",IF(ROW(NodesJSON[[#This Row],[label]])&gt;ROW(NodesJSON[[#Headers],[JSON]])+1,",","") &amp;"{"&amp;twoRangesToJSON(NodesJSON[[#Headers],[label]:[url]],NodesJSON[[#This Row],[label]:[url]])&amp;"}")</f>
        <v>,{"label":"Heartbeats Recognition Authentication","group":"","id":"n3E35442D_91A0_4B21_B0FC_31EF1D8BC55F","url":"https://open-measure.atlassian.net/wiki/spaces/DIC/pages/82903275"}</v>
      </c>
    </row>
    <row r="197" spans="1:6" ht="13.9" thickTop="1" thickBot="1" x14ac:dyDescent="0.4">
      <c r="A197" s="39">
        <f>IF(ISERR(NodesJSON[[#This Row],[label]]),0,1)</f>
        <v>1</v>
      </c>
      <c r="B197" s="3" t="str">
        <f>NodesData[[#This Row],[Common Name]]</f>
        <v>High Water Mark Principle</v>
      </c>
      <c r="C197" s="3" t="str">
        <f>IF(NodesData[[#This Row],[Context Instanciation]]="","",NodesData[[#This Row],[Context Instanciation]])</f>
        <v/>
      </c>
      <c r="D197" s="22" t="str">
        <f>NodesData[[#This Row],[Node ID]]</f>
        <v>n7457AC3C_F0BA_459B_9A5D_91BA732BAF2F</v>
      </c>
      <c r="E197" s="10" t="s">
        <v>850</v>
      </c>
      <c r="F197" s="25" t="str" cm="1">
        <f t="array" ref="F197">IF(NodesJSON[[#This Row],[Export?]]=0,"",IF(ROW(NodesJSON[[#This Row],[label]])&gt;ROW(NodesJSON[[#Headers],[JSON]])+1,",","") &amp;"{"&amp;twoRangesToJSON(NodesJSON[[#Headers],[label]:[url]],NodesJSON[[#This Row],[label]:[url]])&amp;"}")</f>
        <v>,{"label":"High Water Mark Principle","group":"","id":"n7457AC3C_F0BA_459B_9A5D_91BA732BAF2F","url":"https://open-measure.atlassian.net/wiki/spaces/DIC/pages/236748873"}</v>
      </c>
    </row>
    <row r="198" spans="1:6" ht="13.9" thickTop="1" thickBot="1" x14ac:dyDescent="0.4">
      <c r="A198" s="39">
        <f>IF(ISERR(NodesJSON[[#This Row],[label]]),0,1)</f>
        <v>1</v>
      </c>
      <c r="B198" s="3" t="str">
        <f>NodesData[[#This Row],[Common Name]]</f>
        <v>Human Error</v>
      </c>
      <c r="C198" s="3" t="str">
        <f>IF(NodesData[[#This Row],[Context Instanciation]]="","",NodesData[[#This Row],[Context Instanciation]])</f>
        <v/>
      </c>
      <c r="D198" s="22" t="str">
        <f>NodesData[[#This Row],[Node ID]]</f>
        <v>nDB531138_5CD4_4604_965F_9676F4CF6D57</v>
      </c>
      <c r="E198" s="10" t="s">
        <v>829</v>
      </c>
      <c r="F198" s="25" t="str" cm="1">
        <f t="array" ref="F198">IF(NodesJSON[[#This Row],[Export?]]=0,"",IF(ROW(NodesJSON[[#This Row],[label]])&gt;ROW(NodesJSON[[#Headers],[JSON]])+1,",","") &amp;"{"&amp;twoRangesToJSON(NodesJSON[[#Headers],[label]:[url]],NodesJSON[[#This Row],[label]:[url]])&amp;"}")</f>
        <v>,{"label":"Human Error","group":"","id":"nDB531138_5CD4_4604_965F_9676F4CF6D57","url":"https://open-measure.atlassian.net/wiki/spaces/DIC/pages/123896632/Identity+Establishment"}</v>
      </c>
    </row>
    <row r="199" spans="1:6" ht="13.9" thickTop="1" thickBot="1" x14ac:dyDescent="0.4">
      <c r="A199" s="39">
        <f>IF(ISERR(NodesJSON[[#This Row],[label]]),0,1)</f>
        <v>1</v>
      </c>
      <c r="B199" s="3" t="str">
        <f>NodesData[[#This Row],[Common Name]]</f>
        <v>Human Reliability</v>
      </c>
      <c r="C199" s="3" t="str">
        <f>IF(NodesData[[#This Row],[Context Instanciation]]="","",NodesData[[#This Row],[Context Instanciation]])</f>
        <v/>
      </c>
      <c r="D199" s="22" t="str">
        <f>NodesData[[#This Row],[Node ID]]</f>
        <v>n2C274975_7B46_4E24_8A70_7B0858D9811F</v>
      </c>
      <c r="E199" s="10" t="s">
        <v>830</v>
      </c>
      <c r="F199" s="25" t="str" cm="1">
        <f t="array" ref="F199">IF(NodesJSON[[#This Row],[Export?]]=0,"",IF(ROW(NodesJSON[[#This Row],[label]])&gt;ROW(NodesJSON[[#Headers],[JSON]])+1,",","") &amp;"{"&amp;twoRangesToJSON(NodesJSON[[#Headers],[label]:[url]],NodesJSON[[#This Row],[label]:[url]])&amp;"}")</f>
        <v>,{"label":"Human Reliability","group":"","id":"n2C274975_7B46_4E24_8A70_7B0858D9811F","url":"https://open-measure.atlassian.net/wiki/spaces/DIC/pages/336035929/Identity+Federation"}</v>
      </c>
    </row>
    <row r="200" spans="1:6" ht="13.9" thickTop="1" thickBot="1" x14ac:dyDescent="0.4">
      <c r="A200" s="39">
        <f>IF(ISERR(NodesJSON[[#This Row],[label]]),0,1)</f>
        <v>1</v>
      </c>
      <c r="B200" s="3" t="str">
        <f>NodesData[[#This Row],[Common Name]]</f>
        <v>IAG</v>
      </c>
      <c r="C200" s="3" t="str">
        <f>IF(NodesData[[#This Row],[Context Instanciation]]="","",NodesData[[#This Row],[Context Instanciation]])</f>
        <v/>
      </c>
      <c r="D200" s="22" t="str">
        <f>NodesData[[#This Row],[Node ID]]</f>
        <v>nE137080A_673D_49B5_B79E_E40DCA00457A</v>
      </c>
      <c r="E200" s="10" t="s">
        <v>831</v>
      </c>
      <c r="F200" s="25" t="str" cm="1">
        <f t="array" ref="F200">IF(NodesJSON[[#This Row],[Export?]]=0,"",IF(ROW(NodesJSON[[#This Row],[label]])&gt;ROW(NodesJSON[[#Headers],[JSON]])+1,",","") &amp;"{"&amp;twoRangesToJSON(NodesJSON[[#Headers],[label]:[url]],NodesJSON[[#This Row],[label]:[url]])&amp;"}")</f>
        <v>,{"label":"IAG","group":"","id":"nE137080A_673D_49B5_B79E_E40DCA00457A","url":"https://open-measure.atlassian.net/wiki/spaces/DIC/pages/1323597918/Identity+Guardian"}</v>
      </c>
    </row>
    <row r="201" spans="1:6" ht="13.9" thickTop="1" thickBot="1" x14ac:dyDescent="0.4">
      <c r="A201" s="39">
        <f>IF(ISERR(NodesJSON[[#This Row],[label]]),0,1)</f>
        <v>1</v>
      </c>
      <c r="B201" s="3" t="str">
        <f>NodesData[[#This Row],[Common Name]]</f>
        <v>IAM</v>
      </c>
      <c r="C201" s="3" t="str">
        <f>IF(NodesData[[#This Row],[Context Instanciation]]="","",NodesData[[#This Row],[Context Instanciation]])</f>
        <v/>
      </c>
      <c r="D201" s="22" t="str">
        <f>NodesData[[#This Row],[Node ID]]</f>
        <v>n9E70E20F_8AC9_4A48_83FE_BA2E942E7C88</v>
      </c>
      <c r="E201" s="10" t="s">
        <v>833</v>
      </c>
      <c r="F201" s="25" t="str" cm="1">
        <f t="array" ref="F201">IF(NodesJSON[[#This Row],[Export?]]=0,"",IF(ROW(NodesJSON[[#This Row],[label]])&gt;ROW(NodesJSON[[#Headers],[JSON]])+1,",","") &amp;"{"&amp;twoRangesToJSON(NodesJSON[[#Headers],[label]:[url]],NodesJSON[[#This Row],[label]:[url]])&amp;"}")</f>
        <v>,{"label":"IAM","group":"","id":"n9E70E20F_8AC9_4A48_83FE_BA2E942E7C88","url":"https://open-measure.atlassian.net/wiki/spaces/DIC/pages/67600436"}</v>
      </c>
    </row>
    <row r="202" spans="1:6" ht="13.9" thickTop="1" thickBot="1" x14ac:dyDescent="0.4">
      <c r="A202" s="39">
        <f>IF(ISERR(NodesJSON[[#This Row],[label]]),0,1)</f>
        <v>1</v>
      </c>
      <c r="B202" s="3" t="str">
        <f>NodesData[[#This Row],[Common Name]]</f>
        <v>IAM ARN</v>
      </c>
      <c r="C202" s="3" t="str">
        <f>IF(NodesData[[#This Row],[Context Instanciation]]="","",NodesData[[#This Row],[Context Instanciation]])</f>
        <v/>
      </c>
      <c r="D202" s="22" t="str">
        <f>NodesData[[#This Row],[Node ID]]</f>
        <v>nD20859BA_5BFA_4068_B1B8_4E74C6744811</v>
      </c>
      <c r="E202" s="10" t="s">
        <v>835</v>
      </c>
      <c r="F202" s="25" t="str" cm="1">
        <f t="array" ref="F202">IF(NodesJSON[[#This Row],[Export?]]=0,"",IF(ROW(NodesJSON[[#This Row],[label]])&gt;ROW(NodesJSON[[#Headers],[JSON]])+1,",","") &amp;"{"&amp;twoRangesToJSON(NodesJSON[[#Headers],[label]:[url]],NodesJSON[[#This Row],[label]:[url]])&amp;"}")</f>
        <v>,{"label":"IAM ARN","group":"","id":"nD20859BA_5BFA_4068_B1B8_4E74C6744811","url":"https://open-measure.atlassian.net/wiki/spaces/DIC/pages/1122533530"}</v>
      </c>
    </row>
    <row r="203" spans="1:6" ht="13.9" thickTop="1" thickBot="1" x14ac:dyDescent="0.4">
      <c r="A203" s="39">
        <f>IF(ISERR(NodesJSON[[#This Row],[label]]),0,1)</f>
        <v>1</v>
      </c>
      <c r="B203" s="3" t="str">
        <f>NodesData[[#This Row],[Common Name]]</f>
        <v>IAM Management</v>
      </c>
      <c r="C203" s="3" t="str">
        <f>IF(NodesData[[#This Row],[Context Instanciation]]="","",NodesData[[#This Row],[Context Instanciation]])</f>
        <v/>
      </c>
      <c r="D203" s="22" t="str">
        <f>NodesData[[#This Row],[Node ID]]</f>
        <v>n4D07384C_221F_41CD_941F_F0FD865EE0EB</v>
      </c>
      <c r="E203" s="10" t="s">
        <v>837</v>
      </c>
      <c r="F203" s="25" t="str" cm="1">
        <f t="array" ref="F203">IF(NodesJSON[[#This Row],[Export?]]=0,"",IF(ROW(NodesJSON[[#This Row],[label]])&gt;ROW(NodesJSON[[#Headers],[JSON]])+1,",","") &amp;"{"&amp;twoRangesToJSON(NodesJSON[[#Headers],[label]:[url]],NodesJSON[[#This Row],[label]:[url]])&amp;"}")</f>
        <v>,{"label":"IAM Management","group":"","id":"n4D07384C_221F_41CD_941F_F0FD865EE0EB","url":"https://open-measure.atlassian.net/wiki/spaces/DIC/pages/1146847286"}</v>
      </c>
    </row>
    <row r="204" spans="1:6" ht="13.9" thickTop="1" thickBot="1" x14ac:dyDescent="0.4">
      <c r="A204" s="39">
        <f>IF(ISERR(NodesJSON[[#This Row],[label]]),0,1)</f>
        <v>1</v>
      </c>
      <c r="B204" s="3" t="str">
        <f>NodesData[[#This Row],[Common Name]]</f>
        <v>IAP</v>
      </c>
      <c r="C204" s="3" t="str">
        <f>IF(NodesData[[#This Row],[Context Instanciation]]="","",NodesData[[#This Row],[Context Instanciation]])</f>
        <v/>
      </c>
      <c r="D204" s="22" t="str">
        <f>NodesData[[#This Row],[Node ID]]</f>
        <v>nA093745B_C215_44C5_9618_075099F0D7DA</v>
      </c>
      <c r="E204" s="10" t="s">
        <v>838</v>
      </c>
      <c r="F204" s="25" t="str" cm="1">
        <f t="array" ref="F204">IF(NodesJSON[[#This Row],[Export?]]=0,"",IF(ROW(NodesJSON[[#This Row],[label]])&gt;ROW(NodesJSON[[#Headers],[JSON]])+1,",","") &amp;"{"&amp;twoRangesToJSON(NodesJSON[[#Headers],[label]:[url]],NodesJSON[[#This Row],[label]:[url]])&amp;"}")</f>
        <v>,{"label":"IAP","group":"","id":"nA093745B_C215_44C5_9618_075099F0D7DA","url":"https://open-measure.atlassian.net/wiki/spaces/DIC/pages/1323434004/Identity+Portability"}</v>
      </c>
    </row>
    <row r="205" spans="1:6" ht="13.9" thickTop="1" thickBot="1" x14ac:dyDescent="0.4">
      <c r="A205" s="39">
        <f>IF(ISERR(NodesJSON[[#This Row],[label]]),0,1)</f>
        <v>1</v>
      </c>
      <c r="B205" s="3" t="str">
        <f>NodesData[[#This Row],[Common Name]]</f>
        <v>IDaaS</v>
      </c>
      <c r="C205" s="3" t="str">
        <f>IF(NodesData[[#This Row],[Context Instanciation]]="","",NodesData[[#This Row],[Context Instanciation]])</f>
        <v/>
      </c>
      <c r="D205" s="22" t="str">
        <f>NodesData[[#This Row],[Node ID]]</f>
        <v>nDCAD400F_962A_4D5B_A523_07C3D5D11C2F</v>
      </c>
      <c r="E205" s="10" t="s">
        <v>840</v>
      </c>
      <c r="F205" s="25" t="str" cm="1">
        <f t="array" ref="F205">IF(NodesJSON[[#This Row],[Export?]]=0,"",IF(ROW(NodesJSON[[#This Row],[label]])&gt;ROW(NodesJSON[[#Headers],[JSON]])+1,",","") &amp;"{"&amp;twoRangesToJSON(NodesJSON[[#Headers],[label]:[url]],NodesJSON[[#This Row],[label]:[url]])&amp;"}")</f>
        <v>,{"label":"IDaaS","group":"","id":"nDCAD400F_962A_4D5B_A523_07C3D5D11C2F","url":"https://open-measure.atlassian.net/wiki/spaces/DIC/pages/858522094"}</v>
      </c>
    </row>
    <row r="206" spans="1:6" ht="13.9" thickTop="1" thickBot="1" x14ac:dyDescent="0.4">
      <c r="A206" s="39">
        <f>IF(ISERR(NodesJSON[[#This Row],[label]]),0,1)</f>
        <v>1</v>
      </c>
      <c r="B206" s="3" t="str">
        <f>NodesData[[#This Row],[Common Name]]</f>
        <v>Ideal Type</v>
      </c>
      <c r="C206" s="3" t="str">
        <f>IF(NodesData[[#This Row],[Context Instanciation]]="","",NodesData[[#This Row],[Context Instanciation]])</f>
        <v/>
      </c>
      <c r="D206" s="22" t="str">
        <f>NodesData[[#This Row],[Node ID]]</f>
        <v>n36ADA97B_45B1_4B3E_9BB8_5ED9EE8FFF07</v>
      </c>
      <c r="E206" s="10" t="s">
        <v>842</v>
      </c>
      <c r="F206" s="25" t="str" cm="1">
        <f t="array" ref="F206">IF(NodesJSON[[#This Row],[Export?]]=0,"",IF(ROW(NodesJSON[[#This Row],[label]])&gt;ROW(NodesJSON[[#Headers],[JSON]])+1,",","") &amp;"{"&amp;twoRangesToJSON(NodesJSON[[#Headers],[label]:[url]],NodesJSON[[#This Row],[label]:[url]])&amp;"}")</f>
        <v>,{"label":"Ideal Type","group":"","id":"n36ADA97B_45B1_4B3E_9BB8_5ED9EE8FFF07","url":"https://open-measure.atlassian.net/wiki/spaces/DIC/pages/810254353"}</v>
      </c>
    </row>
    <row r="207" spans="1:6" ht="13.9" thickTop="1" thickBot="1" x14ac:dyDescent="0.4">
      <c r="A207" s="39">
        <f>IF(ISERR(NodesJSON[[#This Row],[label]]),0,1)</f>
        <v>1</v>
      </c>
      <c r="B207" s="3" t="str">
        <f>NodesData[[#This Row],[Common Name]]</f>
        <v>Identification</v>
      </c>
      <c r="C207" s="3" t="str">
        <f>IF(NodesData[[#This Row],[Context Instanciation]]="","",NodesData[[#This Row],[Context Instanciation]])</f>
        <v/>
      </c>
      <c r="D207" s="22" t="str">
        <f>NodesData[[#This Row],[Node ID]]</f>
        <v>nDE675697_10CB_42A7_971F_C62CCDC742AB</v>
      </c>
      <c r="E207" s="10" t="s">
        <v>844</v>
      </c>
      <c r="F207" s="25" t="str" cm="1">
        <f t="array" ref="F207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,{"label":"Identification","group":"","id":"nDE675697_10CB_42A7_971F_C62CCDC742AB","url":"https://open-measure.atlassian.net/wiki/spaces/DIC/pages/82838020"}</v>
      </c>
    </row>
    <row r="208" spans="1:6" ht="13.9" thickTop="1" thickBot="1" x14ac:dyDescent="0.4">
      <c r="A208" s="39">
        <f>IF(ISERR(NodesJSON[[#This Row],[label]]),0,1)</f>
        <v>1</v>
      </c>
      <c r="B208" s="3" t="str">
        <f>NodesData[[#This Row],[Common Name]]</f>
        <v>Identification System</v>
      </c>
      <c r="C208" s="3" t="str">
        <f>IF(NodesData[[#This Row],[Context Instanciation]]="","",NodesData[[#This Row],[Context Instanciation]])</f>
        <v/>
      </c>
      <c r="D208" s="22" t="str">
        <f>NodesData[[#This Row],[Node ID]]</f>
        <v>n07633555_1CF5_4F31_8EB2_BF5AE15BFE5B</v>
      </c>
      <c r="E208" s="10" t="s">
        <v>846</v>
      </c>
      <c r="F208" s="25" t="str" cm="1">
        <f t="array" ref="F208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 System","group":"","id":"n07633555_1CF5_4F31_8EB2_BF5AE15BFE5B","url":"https://open-measure.atlassian.net/wiki/spaces/DIC/pages/1117913089"}</v>
      </c>
    </row>
    <row r="209" spans="1:6" ht="13.9" thickTop="1" thickBot="1" x14ac:dyDescent="0.4">
      <c r="A209" s="39">
        <f>IF(ISERR(NodesJSON[[#This Row],[label]]),0,1)</f>
        <v>1</v>
      </c>
      <c r="B209" s="3" t="str">
        <f>NodesData[[#This Row],[Common Name]]</f>
        <v>Identifier</v>
      </c>
      <c r="C209" s="3" t="str">
        <f>IF(NodesData[[#This Row],[Context Instanciation]]="","",NodesData[[#This Row],[Context Instanciation]])</f>
        <v/>
      </c>
      <c r="D209" s="22" t="str">
        <f>NodesData[[#This Row],[Node ID]]</f>
        <v>n12D825BF_1AD6_45DA_A3EE_F24F0C494771</v>
      </c>
      <c r="E209" s="10" t="s">
        <v>852</v>
      </c>
      <c r="F209" s="25" t="str" cm="1">
        <f t="array" ref="F209">IF(NodesJSON[[#This Row],[Export?]]=0,"",IF(ROW(NodesJSON[[#This Row],[label]])&gt;ROW(NodesJSON[[#Headers],[JSON]])+1,",","") &amp;"{"&amp;twoRangesToJSON(NodesJSON[[#Headers],[label]:[url]],NodesJSON[[#This Row],[label]:[url]])&amp;"}")</f>
        <v>,{"label":"Identifier","group":"","id":"n12D825BF_1AD6_45DA_A3EE_F24F0C494771","url":"https://open-measure.atlassian.net/wiki/spaces/DIC/pages/1147043904"}</v>
      </c>
    </row>
    <row r="210" spans="1:6" ht="13.9" thickTop="1" thickBot="1" x14ac:dyDescent="0.4">
      <c r="A210" s="39">
        <f>IF(ISERR(NodesJSON[[#This Row],[label]]),0,1)</f>
        <v>1</v>
      </c>
      <c r="B210" s="3" t="str">
        <f>NodesData[[#This Row],[Common Name]]</f>
        <v>Identifier Registry Model</v>
      </c>
      <c r="C210" s="3" t="str">
        <f>IF(NodesData[[#This Row],[Context Instanciation]]="","",NodesData[[#This Row],[Context Instanciation]])</f>
        <v/>
      </c>
      <c r="D210" s="22" t="str">
        <f>NodesData[[#This Row],[Node ID]]</f>
        <v>n1A14A6FB_7322_4971_AD06_EE6FE1DBEF85</v>
      </c>
      <c r="E210" s="10" t="s">
        <v>854</v>
      </c>
      <c r="F210" s="25" t="str" cm="1">
        <f t="array" ref="F210">IF(NodesJSON[[#This Row],[Export?]]=0,"",IF(ROW(NodesJSON[[#This Row],[label]])&gt;ROW(NodesJSON[[#Headers],[JSON]])+1,",","") &amp;"{"&amp;twoRangesToJSON(NodesJSON[[#Headers],[label]:[url]],NodesJSON[[#This Row],[label]:[url]])&amp;"}")</f>
        <v>,{"label":"Identifier Registry Model","group":"","id":"n1A14A6FB_7322_4971_AD06_EE6FE1DBEF85","url":"https://open-measure.atlassian.net/wiki/spaces/DIC/pages/81101362"}</v>
      </c>
    </row>
    <row r="211" spans="1:6" ht="13.9" thickTop="1" thickBot="1" x14ac:dyDescent="0.4">
      <c r="A211" s="39">
        <f>IF(ISERR(NodesJSON[[#This Row],[label]]),0,1)</f>
        <v>1</v>
      </c>
      <c r="B211" s="3" t="str">
        <f>NodesData[[#This Row],[Common Name]]</f>
        <v>Identity</v>
      </c>
      <c r="C211" s="3" t="str">
        <f>IF(NodesData[[#This Row],[Context Instanciation]]="","",NodesData[[#This Row],[Context Instanciation]])</f>
        <v/>
      </c>
      <c r="D211" s="22" t="str">
        <f>NodesData[[#This Row],[Node ID]]</f>
        <v>n5D6597B4_7390_4065_87F6_BFCDCE5625EB</v>
      </c>
      <c r="E211" s="10" t="s">
        <v>856</v>
      </c>
      <c r="F211" s="25" t="str" cm="1">
        <f t="array" ref="F211">IF(NodesJSON[[#This Row],[Export?]]=0,"",IF(ROW(NodesJSON[[#This Row],[label]])&gt;ROW(NodesJSON[[#Headers],[JSON]])+1,",","") &amp;"{"&amp;twoRangesToJSON(NodesJSON[[#Headers],[label]:[url]],NodesJSON[[#This Row],[label]:[url]])&amp;"}")</f>
        <v>,{"label":"Identity","group":"","id":"n5D6597B4_7390_4065_87F6_BFCDCE5625EB","url":"https://open-measure.atlassian.net/wiki/spaces/DIC/pages/107708597"}</v>
      </c>
    </row>
    <row r="212" spans="1:6" ht="13.9" thickTop="1" thickBot="1" x14ac:dyDescent="0.4">
      <c r="A212" s="39">
        <f>IF(ISERR(NodesJSON[[#This Row],[label]]),0,1)</f>
        <v>1</v>
      </c>
      <c r="B212" s="3" t="str">
        <f>NodesData[[#This Row],[Common Name]]</f>
        <v>Identity Aggregation</v>
      </c>
      <c r="C212" s="3" t="str">
        <f>IF(NodesData[[#This Row],[Context Instanciation]]="","",NodesData[[#This Row],[Context Instanciation]])</f>
        <v/>
      </c>
      <c r="D212" s="22" t="str">
        <f>NodesData[[#This Row],[Node ID]]</f>
        <v>n5FE194E6_55B4_4F11_8A29_041408582E45</v>
      </c>
      <c r="E212" s="10" t="s">
        <v>858</v>
      </c>
      <c r="F212" s="25" t="str" cm="1">
        <f t="array" ref="F212">IF(NodesJSON[[#This Row],[Export?]]=0,"",IF(ROW(NodesJSON[[#This Row],[label]])&gt;ROW(NodesJSON[[#Headers],[JSON]])+1,",","") &amp;"{"&amp;twoRangesToJSON(NodesJSON[[#Headers],[label]:[url]],NodesJSON[[#This Row],[label]:[url]])&amp;"}")</f>
        <v>,{"label":"Identity Aggregation","group":"","id":"n5FE194E6_55B4_4F11_8A29_041408582E45","url":"https://open-measure.atlassian.net/wiki/spaces/DIC/pages/974323719"}</v>
      </c>
    </row>
    <row r="213" spans="1:6" ht="13.9" thickTop="1" thickBot="1" x14ac:dyDescent="0.4">
      <c r="A213" s="39">
        <f>IF(ISERR(NodesJSON[[#This Row],[label]]),0,1)</f>
        <v>1</v>
      </c>
      <c r="B213" s="3" t="str">
        <f>NodesData[[#This Row],[Common Name]]</f>
        <v>Identity and Access Governance</v>
      </c>
      <c r="C213" s="3" t="str">
        <f>IF(NodesData[[#This Row],[Context Instanciation]]="","",NodesData[[#This Row],[Context Instanciation]])</f>
        <v/>
      </c>
      <c r="D213" s="22" t="str">
        <f>NodesData[[#This Row],[Node ID]]</f>
        <v>nAC531F4A_1CDD_4F70_94C5_8473E1965EEA</v>
      </c>
      <c r="E213" s="4"/>
      <c r="F213" s="25" t="str" cm="1">
        <f t="array" ref="F213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Governance","group":"","id":"nAC531F4A_1CDD_4F70_94C5_8473E1965EEA","url":""}</v>
      </c>
    </row>
    <row r="214" spans="1:6" ht="13.9" thickTop="1" thickBot="1" x14ac:dyDescent="0.4">
      <c r="A214" s="39">
        <f>IF(ISERR(NodesJSON[[#This Row],[label]]),0,1)</f>
        <v>1</v>
      </c>
      <c r="B214" s="3" t="str">
        <f>NodesData[[#This Row],[Common Name]]</f>
        <v>Identity and Access Management</v>
      </c>
      <c r="C214" s="3" t="str">
        <f>IF(NodesData[[#This Row],[Context Instanciation]]="","",NodesData[[#This Row],[Context Instanciation]])</f>
        <v/>
      </c>
      <c r="D214" s="22" t="str">
        <f>NodesData[[#This Row],[Node ID]]</f>
        <v>n95B65CD1_4E0F_4180_9C1E_3B497411E687</v>
      </c>
      <c r="E214" s="10" t="s">
        <v>860</v>
      </c>
      <c r="F214" s="25" t="str" cm="1">
        <f t="array" ref="F214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Management","group":"","id":"n95B65CD1_4E0F_4180_9C1E_3B497411E687","url":"https://open-measure.atlassian.net/wiki/spaces/DIC/pages/1027342618"}</v>
      </c>
    </row>
    <row r="215" spans="1:6" ht="13.9" thickTop="1" thickBot="1" x14ac:dyDescent="0.4">
      <c r="A215" s="39">
        <f>IF(ISERR(NodesJSON[[#This Row],[label]]),0,1)</f>
        <v>1</v>
      </c>
      <c r="B215" s="3" t="str">
        <f>NodesData[[#This Row],[Common Name]]</f>
        <v>Identity Assurance</v>
      </c>
      <c r="C215" s="3" t="str">
        <f>IF(NodesData[[#This Row],[Context Instanciation]]="","",NodesData[[#This Row],[Context Instanciation]])</f>
        <v/>
      </c>
      <c r="D215" s="22" t="str">
        <f>NodesData[[#This Row],[Node ID]]</f>
        <v>n63259FD4_267B_439E_81C4_0877FBB2B1F4</v>
      </c>
      <c r="E215" s="10" t="s">
        <v>862</v>
      </c>
      <c r="F215" s="25" t="str" cm="1">
        <f t="array" ref="F215">IF(NodesJSON[[#This Row],[Export?]]=0,"",IF(ROW(NodesJSON[[#This Row],[label]])&gt;ROW(NodesJSON[[#Headers],[JSON]])+1,",","") &amp;"{"&amp;twoRangesToJSON(NodesJSON[[#Headers],[label]:[url]],NodesJSON[[#This Row],[label]:[url]])&amp;"}")</f>
        <v>,{"label":"Identity Assurance","group":"","id":"n63259FD4_267B_439E_81C4_0877FBB2B1F4","url":"https://open-measure.atlassian.net/wiki/spaces/DIC/pages/455508212"}</v>
      </c>
    </row>
    <row r="216" spans="1:6" ht="13.9" thickTop="1" thickBot="1" x14ac:dyDescent="0.4">
      <c r="A216" s="39">
        <f>IF(ISERR(NodesJSON[[#This Row],[label]]),0,1)</f>
        <v>1</v>
      </c>
      <c r="B216" s="3" t="str">
        <f>NodesData[[#This Row],[Common Name]]</f>
        <v>Identity Attribute</v>
      </c>
      <c r="C216" s="3" t="str">
        <f>IF(NodesData[[#This Row],[Context Instanciation]]="","",NodesData[[#This Row],[Context Instanciation]])</f>
        <v/>
      </c>
      <c r="D216" s="22" t="str">
        <f>NodesData[[#This Row],[Node ID]]</f>
        <v>n2D781A60_CB81_46E7_B4BE_BFEC7B061FE5</v>
      </c>
      <c r="E216" s="10" t="s">
        <v>864</v>
      </c>
      <c r="F216" s="25" t="str" cm="1">
        <f t="array" ref="F216">IF(NodesJSON[[#This Row],[Export?]]=0,"",IF(ROW(NodesJSON[[#This Row],[label]])&gt;ROW(NodesJSON[[#Headers],[JSON]])+1,",","") &amp;"{"&amp;twoRangesToJSON(NodesJSON[[#Headers],[label]:[url]],NodesJSON[[#This Row],[label]:[url]])&amp;"}")</f>
        <v>,{"label":"Identity Attribute","group":"","id":"n2D781A60_CB81_46E7_B4BE_BFEC7B061FE5","url":"https://open-measure.atlassian.net/wiki/spaces/DIC/pages/1004896257"}</v>
      </c>
    </row>
    <row r="217" spans="1:6" ht="13.9" thickTop="1" thickBot="1" x14ac:dyDescent="0.4">
      <c r="A217" s="39">
        <f>IF(ISERR(NodesJSON[[#This Row],[label]]),0,1)</f>
        <v>1</v>
      </c>
      <c r="B217" s="3" t="str">
        <f>NodesData[[#This Row],[Common Name]]</f>
        <v>Identity Deception</v>
      </c>
      <c r="C217" s="3" t="str">
        <f>IF(NodesData[[#This Row],[Context Instanciation]]="","",NodesData[[#This Row],[Context Instanciation]])</f>
        <v/>
      </c>
      <c r="D217" s="22" t="str">
        <f>NodesData[[#This Row],[Node ID]]</f>
        <v>nC0AF8721_A868_4A4D_9F85_3A6D9B88B489</v>
      </c>
      <c r="E217" s="10" t="s">
        <v>866</v>
      </c>
      <c r="F217" s="25" t="str" cm="1">
        <f t="array" ref="F217">IF(NodesJSON[[#This Row],[Export?]]=0,"",IF(ROW(NodesJSON[[#This Row],[label]])&gt;ROW(NodesJSON[[#Headers],[JSON]])+1,",","") &amp;"{"&amp;twoRangesToJSON(NodesJSON[[#Headers],[label]:[url]],NodesJSON[[#This Row],[label]:[url]])&amp;"}")</f>
        <v>,{"label":"Identity Deception","group":"","id":"nC0AF8721_A868_4A4D_9F85_3A6D9B88B489","url":"https://open-measure.atlassian.net/wiki/spaces/DIC/pages/1177714758"}</v>
      </c>
    </row>
    <row r="218" spans="1:6" ht="13.9" thickTop="1" thickBot="1" x14ac:dyDescent="0.4">
      <c r="A218" s="39">
        <f>IF(ISERR(NodesJSON[[#This Row],[label]]),0,1)</f>
        <v>1</v>
      </c>
      <c r="B218" s="3" t="str">
        <f>NodesData[[#This Row],[Common Name]]</f>
        <v>Identity Establishment</v>
      </c>
      <c r="C218" s="3" t="str">
        <f>IF(NodesData[[#This Row],[Context Instanciation]]="","",NodesData[[#This Row],[Context Instanciation]])</f>
        <v/>
      </c>
      <c r="D218" s="22" t="str">
        <f>NodesData[[#This Row],[Node ID]]</f>
        <v>nDE7DDB58_F055_42EF_B2D7_1F23FA251512</v>
      </c>
      <c r="E218" s="10" t="s">
        <v>868</v>
      </c>
      <c r="F218" s="25" t="str" cm="1">
        <f t="array" ref="F218">IF(NodesJSON[[#This Row],[Export?]]=0,"",IF(ROW(NodesJSON[[#This Row],[label]])&gt;ROW(NodesJSON[[#Headers],[JSON]])+1,",","") &amp;"{"&amp;twoRangesToJSON(NodesJSON[[#Headers],[label]:[url]],NodesJSON[[#This Row],[label]:[url]])&amp;"}")</f>
        <v>,{"label":"Identity Establishment","group":"","id":"nDE7DDB58_F055_42EF_B2D7_1F23FA251512","url":"https://open-measure.atlassian.net/wiki/spaces/DIC/pages/998113409"}</v>
      </c>
    </row>
    <row r="219" spans="1:6" ht="13.9" thickTop="1" thickBot="1" x14ac:dyDescent="0.4">
      <c r="A219" s="39">
        <f>IF(ISERR(NodesJSON[[#This Row],[label]]),0,1)</f>
        <v>1</v>
      </c>
      <c r="B219" s="3" t="str">
        <f>NodesData[[#This Row],[Common Name]]</f>
        <v>Identity Federation</v>
      </c>
      <c r="C219" s="3" t="str">
        <f>IF(NodesData[[#This Row],[Context Instanciation]]="","",NodesData[[#This Row],[Context Instanciation]])</f>
        <v/>
      </c>
      <c r="D219" s="22" t="str">
        <f>NodesData[[#This Row],[Node ID]]</f>
        <v>nA28C3DFF_EE9A_433F_8E87_6F1C3611654C</v>
      </c>
      <c r="E219" s="10" t="s">
        <v>869</v>
      </c>
      <c r="F219" s="25" t="str" cm="1">
        <f t="array" ref="F219">IF(NodesJSON[[#This Row],[Export?]]=0,"",IF(ROW(NodesJSON[[#This Row],[label]])&gt;ROW(NodesJSON[[#Headers],[JSON]])+1,",","") &amp;"{"&amp;twoRangesToJSON(NodesJSON[[#Headers],[label]:[url]],NodesJSON[[#This Row],[label]:[url]])&amp;"}")</f>
        <v>,{"label":"Identity Federation","group":"","id":"nA28C3DFF_EE9A_433F_8E87_6F1C3611654C","url":"https://open-measure.atlassian.net/wiki/spaces/DIC/pages/438698009/Information+Security+Domain"}</v>
      </c>
    </row>
    <row r="220" spans="1:6" ht="13.9" thickTop="1" thickBot="1" x14ac:dyDescent="0.4">
      <c r="A220" s="39">
        <f>IF(ISERR(NodesJSON[[#This Row],[label]]),0,1)</f>
        <v>1</v>
      </c>
      <c r="B220" s="3" t="str">
        <f>NodesData[[#This Row],[Common Name]]</f>
        <v>Identity Guardian</v>
      </c>
      <c r="C220" s="3" t="str">
        <f>IF(NodesData[[#This Row],[Context Instanciation]]="","",NodesData[[#This Row],[Context Instanciation]])</f>
        <v/>
      </c>
      <c r="D220" s="22" t="str">
        <f>NodesData[[#This Row],[Node ID]]</f>
        <v>n57BE0CB5_BAC2_4A6C_BB09_BA0710799A01</v>
      </c>
      <c r="E220" s="10" t="s">
        <v>870</v>
      </c>
      <c r="F220" s="25" t="str" cm="1">
        <f t="array" ref="F220">IF(NodesJSON[[#This Row],[Export?]]=0,"",IF(ROW(NodesJSON[[#This Row],[label]])&gt;ROW(NodesJSON[[#Headers],[JSON]])+1,",","") &amp;"{"&amp;twoRangesToJSON(NodesJSON[[#Headers],[label]:[url]],NodesJSON[[#This Row],[label]:[url]])&amp;"}")</f>
        <v>,{"label":"Identity Guardian","group":"","id":"n57BE0CB5_BAC2_4A6C_BB09_BA0710799A01","url":"https://open-measure.atlassian.net/wiki/spaces/DIC/pages/1031241830/Information+System"}</v>
      </c>
    </row>
    <row r="221" spans="1:6" ht="13.9" thickTop="1" thickBot="1" x14ac:dyDescent="0.4">
      <c r="A221" s="39">
        <f>IF(ISERR(NodesJSON[[#This Row],[label]]),0,1)</f>
        <v>1</v>
      </c>
      <c r="B221" s="3" t="str">
        <f>NodesData[[#This Row],[Common Name]]</f>
        <v>Identity Lifecycle</v>
      </c>
      <c r="C221" s="3" t="str">
        <f>IF(NodesData[[#This Row],[Context Instanciation]]="","",NodesData[[#This Row],[Context Instanciation]])</f>
        <v/>
      </c>
      <c r="D221" s="22" t="str">
        <f>NodesData[[#This Row],[Node ID]]</f>
        <v>n18B21D41_7371_42BA_AD55_EBF42E646C44</v>
      </c>
      <c r="E221" s="3"/>
      <c r="F221" s="25" t="str" cm="1">
        <f t="array" ref="F221">IF(NodesJSON[[#This Row],[Export?]]=0,"",IF(ROW(NodesJSON[[#This Row],[label]])&gt;ROW(NodesJSON[[#Headers],[JSON]])+1,",","") &amp;"{"&amp;twoRangesToJSON(NodesJSON[[#Headers],[label]:[url]],NodesJSON[[#This Row],[label]:[url]])&amp;"}")</f>
        <v>,{"label":"Identity Lifecycle","group":"","id":"n18B21D41_7371_42BA_AD55_EBF42E646C44","url":""}</v>
      </c>
    </row>
    <row r="222" spans="1:6" ht="13.9" thickTop="1" thickBot="1" x14ac:dyDescent="0.4">
      <c r="A222" s="39">
        <f>IF(ISERR(NodesJSON[[#This Row],[label]]),0,1)</f>
        <v>1</v>
      </c>
      <c r="B222" s="3" t="str">
        <f>NodesData[[#This Row],[Common Name]]</f>
        <v>Identity Management</v>
      </c>
      <c r="C222" s="3" t="str">
        <f>IF(NodesData[[#This Row],[Context Instanciation]]="","",NodesData[[#This Row],[Context Instanciation]])</f>
        <v/>
      </c>
      <c r="D222" s="22" t="str">
        <f>NodesData[[#This Row],[Node ID]]</f>
        <v>nE76134B5_D4DF_454A_B8A9_6698D084CDB1</v>
      </c>
      <c r="E222" s="10" t="s">
        <v>871</v>
      </c>
      <c r="F222" s="25" t="str" cm="1">
        <f t="array" ref="F222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Management","group":"","id":"nE76134B5_D4DF_454A_B8A9_6698D084CDB1","url":"https://open-measure.atlassian.net/wiki/spaces/DIC/pages/1477869651/Inside+Attacker"}</v>
      </c>
    </row>
    <row r="223" spans="1:6" ht="13.9" thickTop="1" thickBot="1" x14ac:dyDescent="0.4">
      <c r="A223" s="39">
        <f>IF(ISERR(NodesJSON[[#This Row],[label]]),0,1)</f>
        <v>1</v>
      </c>
      <c r="B223" s="3" t="str">
        <f>NodesData[[#This Row],[Common Name]]</f>
        <v>Identity Management System</v>
      </c>
      <c r="C223" s="3" t="str">
        <f>IF(NodesData[[#This Row],[Context Instanciation]]="","",NodesData[[#This Row],[Context Instanciation]])</f>
        <v/>
      </c>
      <c r="D223" s="22" t="str">
        <f>NodesData[[#This Row],[Node ID]]</f>
        <v>n3F575B2E_542A_4EE1_86A9_93DA3991C61D</v>
      </c>
      <c r="E223" s="10" t="s">
        <v>872</v>
      </c>
      <c r="F223" s="25" t="str" cm="1">
        <f t="array" ref="F223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 System","group":"","id":"n3F575B2E_542A_4EE1_86A9_93DA3991C61D","url":"https://open-measure.atlassian.net/wiki/spaces/DIC/pages/1451884782/Insider"}</v>
      </c>
    </row>
    <row r="224" spans="1:6" ht="13.9" thickTop="1" thickBot="1" x14ac:dyDescent="0.4">
      <c r="A224" s="39">
        <f>IF(ISERR(NodesJSON[[#This Row],[label]]),0,1)</f>
        <v>1</v>
      </c>
      <c r="B224" s="3" t="str">
        <f>NodesData[[#This Row],[Common Name]]</f>
        <v>Identity Portability</v>
      </c>
      <c r="C224" s="3" t="str">
        <f>IF(NodesData[[#This Row],[Context Instanciation]]="","",NodesData[[#This Row],[Context Instanciation]])</f>
        <v/>
      </c>
      <c r="D224" s="22" t="str">
        <f>NodesData[[#This Row],[Node ID]]</f>
        <v>nB826581E_8230_4CC8_9A14_B1F944C22935</v>
      </c>
      <c r="E224" s="10" t="s">
        <v>873</v>
      </c>
      <c r="F224" s="25" t="str" cm="1">
        <f t="array" ref="F224">IF(NodesJSON[[#This Row],[Export?]]=0,"",IF(ROW(NodesJSON[[#This Row],[label]])&gt;ROW(NodesJSON[[#Headers],[JSON]])+1,",","") &amp;"{"&amp;twoRangesToJSON(NodesJSON[[#Headers],[label]:[url]],NodesJSON[[#This Row],[label]:[url]])&amp;"}")</f>
        <v>,{"label":"Identity Portability","group":"","id":"nB826581E_8230_4CC8_9A14_B1F944C22935","url":"https://open-measure.atlassian.net/wiki/spaces/DIC/pages/1478459402/Insider+Attack"}</v>
      </c>
    </row>
    <row r="225" spans="1:6" ht="13.9" thickTop="1" thickBot="1" x14ac:dyDescent="0.4">
      <c r="A225" s="39">
        <f>IF(ISERR(NodesJSON[[#This Row],[label]]),0,1)</f>
        <v>1</v>
      </c>
      <c r="B225" s="3" t="str">
        <f>NodesData[[#This Row],[Common Name]]</f>
        <v>Identity Proofing</v>
      </c>
      <c r="C225" s="3" t="str">
        <f>IF(NodesData[[#This Row],[Context Instanciation]]="","",NodesData[[#This Row],[Context Instanciation]])</f>
        <v/>
      </c>
      <c r="D225" s="22" t="str">
        <f>NodesData[[#This Row],[Node ID]]</f>
        <v>nA168EF24_837F_4964_BE44_E7CADDEC08AE</v>
      </c>
      <c r="E225" s="10" t="s">
        <v>874</v>
      </c>
      <c r="F225" s="25" t="str" cm="1">
        <f t="array" ref="F225">IF(NodesJSON[[#This Row],[Export?]]=0,"",IF(ROW(NodesJSON[[#This Row],[label]])&gt;ROW(NodesJSON[[#Headers],[JSON]])+1,",","") &amp;"{"&amp;twoRangesToJSON(NodesJSON[[#Headers],[label]:[url]],NodesJSON[[#This Row],[label]:[url]])&amp;"}")</f>
        <v>,{"label":"Identity Proofing","group":"","id":"nA168EF24_837F_4964_BE44_E7CADDEC08AE","url":"https://open-measure.atlassian.net/wiki/spaces/DIC/pages/1451098397/Insider+Threat"}</v>
      </c>
    </row>
    <row r="226" spans="1:6" ht="13.9" thickTop="1" thickBot="1" x14ac:dyDescent="0.4">
      <c r="A226" s="39">
        <f>IF(ISERR(NodesJSON[[#This Row],[label]]),0,1)</f>
        <v>1</v>
      </c>
      <c r="B226" s="3" t="str">
        <f>NodesData[[#This Row],[Common Name]]</f>
        <v>Identity Propagation</v>
      </c>
      <c r="C226" s="3" t="str">
        <f>IF(NodesData[[#This Row],[Context Instanciation]]="","",NodesData[[#This Row],[Context Instanciation]])</f>
        <v/>
      </c>
      <c r="D226" s="22" t="str">
        <f>NodesData[[#This Row],[Node ID]]</f>
        <v>n34461AB4_2CB5_4D9C_ACD7_11E6DB87C391</v>
      </c>
      <c r="E226" s="10" t="s">
        <v>876</v>
      </c>
      <c r="F226" s="25" t="str" cm="1">
        <f t="array" ref="F226">IF(NodesJSON[[#This Row],[Export?]]=0,"",IF(ROW(NodesJSON[[#This Row],[label]])&gt;ROW(NodesJSON[[#Headers],[JSON]])+1,",","") &amp;"{"&amp;twoRangesToJSON(NodesJSON[[#Headers],[label]:[url]],NodesJSON[[#This Row],[label]:[url]])&amp;"}")</f>
        <v>,{"label":"Identity Propagation","group":"","id":"n34461AB4_2CB5_4D9C_ACD7_11E6DB87C391","url":"https://open-measure.atlassian.net/wiki/spaces/DIC/pages/822476843"}</v>
      </c>
    </row>
    <row r="227" spans="1:6" ht="13.9" thickTop="1" thickBot="1" x14ac:dyDescent="0.4">
      <c r="A227" s="39">
        <f>IF(ISERR(NodesJSON[[#This Row],[label]]),0,1)</f>
        <v>1</v>
      </c>
      <c r="B227" s="3" t="str">
        <f>NodesData[[#This Row],[Common Name]]</f>
        <v>Identity Provider</v>
      </c>
      <c r="C227" s="3" t="str">
        <f>IF(NodesData[[#This Row],[Context Instanciation]]="","",NodesData[[#This Row],[Context Instanciation]])</f>
        <v/>
      </c>
      <c r="D227" s="22" t="str">
        <f>NodesData[[#This Row],[Node ID]]</f>
        <v>n5F66D728_84BD_4BB4_98BF_785C5DAD60D5</v>
      </c>
      <c r="E227" s="10" t="s">
        <v>878</v>
      </c>
      <c r="F227" s="25" t="str" cm="1">
        <f t="array" ref="F227">IF(NodesJSON[[#This Row],[Export?]]=0,"",IF(ROW(NodesJSON[[#This Row],[label]])&gt;ROW(NodesJSON[[#Headers],[JSON]])+1,",","") &amp;"{"&amp;twoRangesToJSON(NodesJSON[[#Headers],[label]:[url]],NodesJSON[[#This Row],[label]:[url]])&amp;"}")</f>
        <v>,{"label":"Identity Provider","group":"","id":"n5F66D728_84BD_4BB4_98BF_785C5DAD60D5","url":"https://open-measure.atlassian.net/wiki/spaces/DIC/pages/998277141"}</v>
      </c>
    </row>
    <row r="228" spans="1:6" ht="13.9" thickTop="1" thickBot="1" x14ac:dyDescent="0.4">
      <c r="A228" s="39">
        <f>IF(ISERR(NodesJSON[[#This Row],[label]]),0,1)</f>
        <v>1</v>
      </c>
      <c r="B228" s="3" t="str">
        <f>NodesData[[#This Row],[Common Name]]</f>
        <v>Identity Repository</v>
      </c>
      <c r="C228" s="3" t="str">
        <f>IF(NodesData[[#This Row],[Context Instanciation]]="","",NodesData[[#This Row],[Context Instanciation]])</f>
        <v/>
      </c>
      <c r="D228" s="22" t="str">
        <f>NodesData[[#This Row],[Node ID]]</f>
        <v>n168F06B1_8C97_4DA7_90D4_CC52279D2500</v>
      </c>
      <c r="E228" s="10" t="s">
        <v>880</v>
      </c>
      <c r="F228" s="25" t="str" cm="1">
        <f t="array" ref="F228">IF(NodesJSON[[#This Row],[Export?]]=0,"",IF(ROW(NodesJSON[[#This Row],[label]])&gt;ROW(NodesJSON[[#Headers],[JSON]])+1,",","") &amp;"{"&amp;twoRangesToJSON(NodesJSON[[#Headers],[label]:[url]],NodesJSON[[#This Row],[label]:[url]])&amp;"}")</f>
        <v>,{"label":"Identity Repository","group":"","id":"n168F06B1_8C97_4DA7_90D4_CC52279D2500","url":"https://open-measure.atlassian.net/wiki/spaces/DIC/pages/1311417"}</v>
      </c>
    </row>
    <row r="229" spans="1:6" ht="13.9" thickTop="1" thickBot="1" x14ac:dyDescent="0.4">
      <c r="A229" s="39">
        <f>IF(ISERR(NodesJSON[[#This Row],[label]]),0,1)</f>
        <v>1</v>
      </c>
      <c r="B229" s="3" t="str">
        <f>NodesData[[#This Row],[Common Name]]</f>
        <v>Identity Theft</v>
      </c>
      <c r="C229" s="3" t="str">
        <f>IF(NodesData[[#This Row],[Context Instanciation]]="","",NodesData[[#This Row],[Context Instanciation]])</f>
        <v/>
      </c>
      <c r="D229" s="22" t="str">
        <f>NodesData[[#This Row],[Node ID]]</f>
        <v>n23656C0A_A156_405F_9FF8_7AE62FD6FB07</v>
      </c>
      <c r="E229" s="10" t="s">
        <v>882</v>
      </c>
      <c r="F229" s="25" t="str" cm="1">
        <f t="array" ref="F229">IF(NodesJSON[[#This Row],[Export?]]=0,"",IF(ROW(NodesJSON[[#This Row],[label]])&gt;ROW(NodesJSON[[#Headers],[JSON]])+1,",","") &amp;"{"&amp;twoRangesToJSON(NodesJSON[[#Headers],[label]:[url]],NodesJSON[[#This Row],[label]:[url]])&amp;"}")</f>
        <v>,{"label":"Identity Theft","group":"","id":"n23656C0A_A156_405F_9FF8_7AE62FD6FB07","url":"https://open-measure.atlassian.net/wiki/spaces/DIC/pages/442466314"}</v>
      </c>
    </row>
    <row r="230" spans="1:6" ht="13.9" thickTop="1" thickBot="1" x14ac:dyDescent="0.4">
      <c r="A230" s="39">
        <f>IF(ISERR(NodesJSON[[#This Row],[label]]),0,1)</f>
        <v>1</v>
      </c>
      <c r="B230" s="3" t="str">
        <f>NodesData[[#This Row],[Common Name]]</f>
        <v>Identity-as-a-Service</v>
      </c>
      <c r="C230" s="3" t="str">
        <f>IF(NodesData[[#This Row],[Context Instanciation]]="","",NodesData[[#This Row],[Context Instanciation]])</f>
        <v/>
      </c>
      <c r="D230" s="22" t="str">
        <f>NodesData[[#This Row],[Node ID]]</f>
        <v>nE705445E_1259_48CD_9B7E_9243AD8DAA5B</v>
      </c>
      <c r="E230" s="10" t="s">
        <v>884</v>
      </c>
      <c r="F230" s="25" t="str" cm="1">
        <f t="array" ref="F230">IF(NodesJSON[[#This Row],[Export?]]=0,"",IF(ROW(NodesJSON[[#This Row],[label]])&gt;ROW(NodesJSON[[#Headers],[JSON]])+1,",","") &amp;"{"&amp;twoRangesToJSON(NodesJSON[[#Headers],[label]:[url]],NodesJSON[[#This Row],[label]:[url]])&amp;"}")</f>
        <v>,{"label":"Identity-as-a-Service","group":"","id":"nE705445E_1259_48CD_9B7E_9243AD8DAA5B","url":"https://open-measure.atlassian.net/wiki/spaces/DIC/pages/11567191"}</v>
      </c>
    </row>
    <row r="231" spans="1:6" ht="13.9" thickTop="1" thickBot="1" x14ac:dyDescent="0.4">
      <c r="A231" s="39">
        <f>IF(ISERR(NodesJSON[[#This Row],[label]]),0,1)</f>
        <v>1</v>
      </c>
      <c r="B231" s="3" t="str">
        <f>NodesData[[#This Row],[Common Name]]</f>
        <v>Identity-Aware Proxy</v>
      </c>
      <c r="C231" s="3" t="str">
        <f>IF(NodesData[[#This Row],[Context Instanciation]]="","",NodesData[[#This Row],[Context Instanciation]])</f>
        <v/>
      </c>
      <c r="D231" s="22" t="str">
        <f>NodesData[[#This Row],[Node ID]]</f>
        <v>n9AB3CC59_5E4C_4E34_BC2C_1596F01FC5F3</v>
      </c>
      <c r="E231" s="3"/>
      <c r="F231" s="25" t="str" cm="1">
        <f t="array" ref="F231">IF(NodesJSON[[#This Row],[Export?]]=0,"",IF(ROW(NodesJSON[[#This Row],[label]])&gt;ROW(NodesJSON[[#Headers],[JSON]])+1,",","") &amp;"{"&amp;twoRangesToJSON(NodesJSON[[#Headers],[label]:[url]],NodesJSON[[#This Row],[label]:[url]])&amp;"}")</f>
        <v>,{"label":"Identity-Aware Proxy","group":"","id":"n9AB3CC59_5E4C_4E34_BC2C_1596F01FC5F3","url":""}</v>
      </c>
    </row>
    <row r="232" spans="1:6" ht="13.9" thickTop="1" thickBot="1" x14ac:dyDescent="0.4">
      <c r="A232" s="39">
        <f>IF(ISERR(NodesJSON[[#This Row],[label]]),0,1)</f>
        <v>1</v>
      </c>
      <c r="B232" s="3" t="str">
        <f>NodesData[[#This Row],[Common Name]]</f>
        <v>IdMS</v>
      </c>
      <c r="C232" s="3" t="str">
        <f>IF(NodesData[[#This Row],[Context Instanciation]]="","",NodesData[[#This Row],[Context Instanciation]])</f>
        <v/>
      </c>
      <c r="D232" s="22" t="str">
        <f>NodesData[[#This Row],[Node ID]]</f>
        <v>n0625B885_15FF_4EC6_89B2_0542A53D54F0</v>
      </c>
      <c r="E232" s="10" t="s">
        <v>886</v>
      </c>
      <c r="F232" s="25" t="str" cm="1">
        <f t="array" ref="F232">IF(NodesJSON[[#This Row],[Export?]]=0,"",IF(ROW(NodesJSON[[#This Row],[label]])&gt;ROW(NodesJSON[[#Headers],[JSON]])+1,",","") &amp;"{"&amp;twoRangesToJSON(NodesJSON[[#Headers],[label]:[url]],NodesJSON[[#This Row],[label]:[url]])&amp;"}")</f>
        <v>,{"label":"IdMS","group":"","id":"n0625B885_15FF_4EC6_89B2_0542A53D54F0","url":"https://open-measure.atlassian.net/wiki/spaces/DIC/pages/1152483625"}</v>
      </c>
    </row>
    <row r="233" spans="1:6" ht="13.9" thickTop="1" thickBot="1" x14ac:dyDescent="0.4">
      <c r="A233" s="39">
        <f>IF(ISERR(NodesJSON[[#This Row],[label]]),0,1)</f>
        <v>1</v>
      </c>
      <c r="B233" s="3" t="str">
        <f>NodesData[[#This Row],[Common Name]]</f>
        <v>IdP</v>
      </c>
      <c r="C233" s="3" t="str">
        <f>IF(NodesData[[#This Row],[Context Instanciation]]="","",NodesData[[#This Row],[Context Instanciation]])</f>
        <v/>
      </c>
      <c r="D233" s="22" t="str">
        <f>NodesData[[#This Row],[Node ID]]</f>
        <v>n6C8D27BA_3A49_456D_9605_33E2EBC545E0</v>
      </c>
      <c r="E233" s="10" t="s">
        <v>888</v>
      </c>
      <c r="F233" s="25" t="str" cm="1">
        <f t="array" ref="F233">IF(NodesJSON[[#This Row],[Export?]]=0,"",IF(ROW(NodesJSON[[#This Row],[label]])&gt;ROW(NodesJSON[[#Headers],[JSON]])+1,",","") &amp;"{"&amp;twoRangesToJSON(NodesJSON[[#Headers],[label]:[url]],NodesJSON[[#This Row],[label]:[url]])&amp;"}")</f>
        <v>,{"label":"IdP","group":"","id":"n6C8D27BA_3A49_456D_9605_33E2EBC545E0","url":"https://open-measure.atlassian.net/wiki/spaces/DIC/pages/720902"}</v>
      </c>
    </row>
    <row r="234" spans="1:6" ht="13.9" thickTop="1" thickBot="1" x14ac:dyDescent="0.4">
      <c r="A234" s="39">
        <f>IF(ISERR(NodesJSON[[#This Row],[label]]),0,1)</f>
        <v>1</v>
      </c>
      <c r="B234" s="3" t="str">
        <f>NodesData[[#This Row],[Common Name]]</f>
        <v>Illegal Action</v>
      </c>
      <c r="C234" s="3" t="str">
        <f>IF(NodesData[[#This Row],[Context Instanciation]]="","",NodesData[[#This Row],[Context Instanciation]])</f>
        <v/>
      </c>
      <c r="D234" s="22" t="str">
        <f>NodesData[[#This Row],[Node ID]]</f>
        <v>nE0352234_7814_467F_8B8B_EF900BACC357</v>
      </c>
      <c r="E234" s="10" t="s">
        <v>889</v>
      </c>
      <c r="F234" s="25" t="str" cm="1">
        <f t="array" ref="F234">IF(NodesJSON[[#This Row],[Export?]]=0,"",IF(ROW(NodesJSON[[#This Row],[label]])&gt;ROW(NodesJSON[[#Headers],[JSON]])+1,",","") &amp;"{"&amp;twoRangesToJSON(NodesJSON[[#Headers],[label]:[url]],NodesJSON[[#This Row],[label]:[url]])&amp;"}")</f>
        <v>,{"label":"Illegal Action","group":"","id":"nE0352234_7814_467F_8B8B_EF900BACC357","url":"https://open-measure.atlassian.net/wiki/spaces/DIC/pages/1569095803/IT+System"}</v>
      </c>
    </row>
    <row r="235" spans="1:6" ht="13.9" thickTop="1" thickBot="1" x14ac:dyDescent="0.4">
      <c r="A235" s="39">
        <f>IF(ISERR(NodesJSON[[#This Row],[label]]),0,1)</f>
        <v>1</v>
      </c>
      <c r="B235" s="3" t="str">
        <f>NodesData[[#This Row],[Common Name]]</f>
        <v>IMG</v>
      </c>
      <c r="C235" s="3" t="str">
        <f>IF(NodesData[[#This Row],[Context Instanciation]]="","",NodesData[[#This Row],[Context Instanciation]])</f>
        <v/>
      </c>
      <c r="D235" s="22" t="str">
        <f>NodesData[[#This Row],[Node ID]]</f>
        <v>nC513AF63_36CC_4FB7_911F_7E98C3C107B2</v>
      </c>
      <c r="E235" s="10" t="s">
        <v>891</v>
      </c>
      <c r="F235" s="25" t="str" cm="1">
        <f t="array" ref="F235">IF(NodesJSON[[#This Row],[Export?]]=0,"",IF(ROW(NodesJSON[[#This Row],[label]])&gt;ROW(NodesJSON[[#Headers],[JSON]])+1,",","") &amp;"{"&amp;twoRangesToJSON(NodesJSON[[#Headers],[label]:[url]],NodesJSON[[#This Row],[label]:[url]])&amp;"}")</f>
        <v>,{"label":"IMG","group":"","id":"nC513AF63_36CC_4FB7_911F_7E98C3C107B2","url":"https://open-measure.atlassian.net/wiki/spaces/DIC/pages/858488984"}</v>
      </c>
    </row>
    <row r="236" spans="1:6" ht="13.9" thickTop="1" thickBot="1" x14ac:dyDescent="0.4">
      <c r="A236" s="39">
        <f>IF(ISERR(NodesJSON[[#This Row],[label]]),0,1)</f>
        <v>1</v>
      </c>
      <c r="B236" s="3" t="str">
        <f>NodesData[[#This Row],[Common Name]]</f>
        <v>Impersonation</v>
      </c>
      <c r="C236" s="3" t="str">
        <f>IF(NodesData[[#This Row],[Context Instanciation]]="","",NodesData[[#This Row],[Context Instanciation]])</f>
        <v/>
      </c>
      <c r="D236" s="22" t="str">
        <f>NodesData[[#This Row],[Node ID]]</f>
        <v>nBE119251_3169_4F9E_A3A9_744A248EAAA6</v>
      </c>
      <c r="E236" s="10" t="s">
        <v>893</v>
      </c>
      <c r="F236" s="25" t="str" cm="1">
        <f t="array" ref="F236">IF(NodesJSON[[#This Row],[Export?]]=0,"",IF(ROW(NodesJSON[[#This Row],[label]])&gt;ROW(NodesJSON[[#Headers],[JSON]])+1,",","") &amp;"{"&amp;twoRangesToJSON(NodesJSON[[#Headers],[label]:[url]],NodesJSON[[#This Row],[label]:[url]])&amp;"}")</f>
        <v>,{"label":"Impersonation","group":"","id":"nBE119251_3169_4F9E_A3A9_744A248EAAA6","url":"https://open-measure.atlassian.net/wiki/spaces/DIC/pages/855506953"}</v>
      </c>
    </row>
    <row r="237" spans="1:6" ht="13.9" thickTop="1" thickBot="1" x14ac:dyDescent="0.4">
      <c r="A237" s="39">
        <f>IF(ISERR(NodesJSON[[#This Row],[label]]),0,1)</f>
        <v>1</v>
      </c>
      <c r="B237" s="3" t="str">
        <f>NodesData[[#This Row],[Common Name]]</f>
        <v>In-band Authentication</v>
      </c>
      <c r="C237" s="3" t="str">
        <f>IF(NodesData[[#This Row],[Context Instanciation]]="","",NodesData[[#This Row],[Context Instanciation]])</f>
        <v/>
      </c>
      <c r="D237" s="22" t="str">
        <f>NodesData[[#This Row],[Node ID]]</f>
        <v>n4DC17AF9_0DFB_478B_B5A5_3463E37CAB92</v>
      </c>
      <c r="E237" s="10" t="s">
        <v>895</v>
      </c>
      <c r="F237" s="25" t="str" cm="1">
        <f t="array" ref="F237">IF(NodesJSON[[#This Row],[Export?]]=0,"",IF(ROW(NodesJSON[[#This Row],[label]])&gt;ROW(NodesJSON[[#Headers],[JSON]])+1,",","") &amp;"{"&amp;twoRangesToJSON(NodesJSON[[#Headers],[label]:[url]],NodesJSON[[#This Row],[label]:[url]])&amp;"}")</f>
        <v>,{"label":"In-band Authentication","group":"","id":"n4DC17AF9_0DFB_478B_B5A5_3463E37CAB92","url":"https://open-measure.atlassian.net/wiki/spaces/DIC/pages/858456203"}</v>
      </c>
    </row>
    <row r="238" spans="1:6" ht="13.9" thickTop="1" thickBot="1" x14ac:dyDescent="0.4">
      <c r="A238" s="39">
        <f>IF(ISERR(NodesJSON[[#This Row],[label]]),0,1)</f>
        <v>1</v>
      </c>
      <c r="B238" s="3" t="str">
        <f>NodesData[[#This Row],[Common Name]]</f>
        <v>Information</v>
      </c>
      <c r="C238" s="3" t="str">
        <f>IF(NodesData[[#This Row],[Context Instanciation]]="","",NodesData[[#This Row],[Context Instanciation]])</f>
        <v/>
      </c>
      <c r="D238" s="22" t="str">
        <f>NodesData[[#This Row],[Node ID]]</f>
        <v>n21D68DDF_6871_4E72_BC2D_303C40ED5E42</v>
      </c>
      <c r="E238" s="10" t="s">
        <v>897</v>
      </c>
      <c r="F238" s="25" t="str" cm="1">
        <f t="array" ref="F238">IF(NodesJSON[[#This Row],[Export?]]=0,"",IF(ROW(NodesJSON[[#This Row],[label]])&gt;ROW(NodesJSON[[#Headers],[JSON]])+1,",","") &amp;"{"&amp;twoRangesToJSON(NodesJSON[[#Headers],[label]:[url]],NodesJSON[[#This Row],[label]:[url]])&amp;"}")</f>
        <v>,{"label":"Information","group":"","id":"n21D68DDF_6871_4E72_BC2D_303C40ED5E42","url":"https://open-measure.atlassian.net/wiki/spaces/DIC/pages/852492379"}</v>
      </c>
    </row>
    <row r="239" spans="1:6" ht="13.9" thickTop="1" thickBot="1" x14ac:dyDescent="0.4">
      <c r="A239" s="39">
        <f>IF(ISERR(NodesJSON[[#This Row],[label]]),0,1)</f>
        <v>1</v>
      </c>
      <c r="B239" s="3" t="str">
        <f>NodesData[[#This Row],[Common Name]]</f>
        <v>Information Asset</v>
      </c>
      <c r="C239" s="3" t="str">
        <f>IF(NodesData[[#This Row],[Context Instanciation]]="","",NodesData[[#This Row],[Context Instanciation]])</f>
        <v/>
      </c>
      <c r="D239" s="22" t="str">
        <f>NodesData[[#This Row],[Node ID]]</f>
        <v>n28E78E51_49BC_40D3_A073_5C152D095C48</v>
      </c>
      <c r="E239" s="10" t="s">
        <v>899</v>
      </c>
      <c r="F239" s="25" t="str" cm="1">
        <f t="array" ref="F239">IF(NodesJSON[[#This Row],[Export?]]=0,"",IF(ROW(NodesJSON[[#This Row],[label]])&gt;ROW(NodesJSON[[#Headers],[JSON]])+1,",","") &amp;"{"&amp;twoRangesToJSON(NodesJSON[[#Headers],[label]:[url]],NodesJSON[[#This Row],[label]:[url]])&amp;"}")</f>
        <v>,{"label":"Information Asset","group":"","id":"n28E78E51_49BC_40D3_A073_5C152D095C48","url":"https://open-measure.atlassian.net/wiki/spaces/DIC/pages/858521641"}</v>
      </c>
    </row>
    <row r="240" spans="1:6" ht="13.9" thickTop="1" thickBot="1" x14ac:dyDescent="0.4">
      <c r="A240" s="39">
        <f>IF(ISERR(NodesJSON[[#This Row],[label]]),0,1)</f>
        <v>1</v>
      </c>
      <c r="B240" s="3" t="str">
        <f>NodesData[[#This Row],[Common Name]]</f>
        <v>Information Custodian</v>
      </c>
      <c r="C240" s="3" t="str">
        <f>IF(NodesData[[#This Row],[Context Instanciation]]="","",NodesData[[#This Row],[Context Instanciation]])</f>
        <v/>
      </c>
      <c r="D240" s="22" t="str">
        <f>NodesData[[#This Row],[Node ID]]</f>
        <v>n7FA93F24_5E66_4779_BA3D_3A073C96F04F</v>
      </c>
      <c r="E240" s="10" t="s">
        <v>901</v>
      </c>
      <c r="F240" s="25" t="str" cm="1">
        <f t="array" ref="F240">IF(NodesJSON[[#This Row],[Export?]]=0,"",IF(ROW(NodesJSON[[#This Row],[label]])&gt;ROW(NodesJSON[[#Headers],[JSON]])+1,",","") &amp;"{"&amp;twoRangesToJSON(NodesJSON[[#Headers],[label]:[url]],NodesJSON[[#This Row],[label]:[url]])&amp;"}")</f>
        <v>,{"label":"Information Custodian","group":"","id":"n7FA93F24_5E66_4779_BA3D_3A073C96F04F","url":"https://open-measure.atlassian.net/wiki/spaces/DIC/pages/852492338"}</v>
      </c>
    </row>
    <row r="241" spans="1:6" ht="13.9" thickTop="1" thickBot="1" x14ac:dyDescent="0.4">
      <c r="A241" s="39">
        <f>IF(ISERR(NodesJSON[[#This Row],[label]]),0,1)</f>
        <v>1</v>
      </c>
      <c r="B241" s="3" t="str">
        <f>NodesData[[#This Row],[Common Name]]</f>
        <v>Information Flow Policy</v>
      </c>
      <c r="C241" s="3" t="str">
        <f>IF(NodesData[[#This Row],[Context Instanciation]]="","",NodesData[[#This Row],[Context Instanciation]])</f>
        <v/>
      </c>
      <c r="D241" s="22" t="str">
        <f>NodesData[[#This Row],[Node ID]]</f>
        <v>n88A9AD71_624D_49D1_933C_A9F4498456BE</v>
      </c>
      <c r="E241" s="10" t="s">
        <v>903</v>
      </c>
      <c r="F241" s="25" t="str" cm="1">
        <f t="array" ref="F241">IF(NodesJSON[[#This Row],[Export?]]=0,"",IF(ROW(NodesJSON[[#This Row],[label]])&gt;ROW(NodesJSON[[#Headers],[JSON]])+1,",","") &amp;"{"&amp;twoRangesToJSON(NodesJSON[[#Headers],[label]:[url]],NodesJSON[[#This Row],[label]:[url]])&amp;"}")</f>
        <v>,{"label":"Information Flow Policy","group":"","id":"n88A9AD71_624D_49D1_933C_A9F4498456BE","url":"https://open-measure.atlassian.net/wiki/spaces/DIC/pages/140706011"}</v>
      </c>
    </row>
    <row r="242" spans="1:6" ht="13.9" thickTop="1" thickBot="1" x14ac:dyDescent="0.4">
      <c r="A242" s="39">
        <f>IF(ISERR(NodesJSON[[#This Row],[label]]),0,1)</f>
        <v>1</v>
      </c>
      <c r="B242" s="3" t="str">
        <f>NodesData[[#This Row],[Common Name]]</f>
        <v>Information Owner</v>
      </c>
      <c r="C242" s="3" t="str">
        <f>IF(NodesData[[#This Row],[Context Instanciation]]="","",NodesData[[#This Row],[Context Instanciation]])</f>
        <v/>
      </c>
      <c r="D242" s="22" t="str">
        <f>NodesData[[#This Row],[Node ID]]</f>
        <v>nAF966081_CDB0_45B3_BB9A_12F39BA05533</v>
      </c>
      <c r="E242" s="10" t="s">
        <v>905</v>
      </c>
      <c r="F242" s="25" t="str" cm="1">
        <f t="array" ref="F242">IF(NodesJSON[[#This Row],[Export?]]=0,"",IF(ROW(NodesJSON[[#This Row],[label]])&gt;ROW(NodesJSON[[#Headers],[JSON]])+1,",","") &amp;"{"&amp;twoRangesToJSON(NodesJSON[[#Headers],[label]:[url]],NodesJSON[[#This Row],[label]:[url]])&amp;"}")</f>
        <v>,{"label":"Information Owner","group":"","id":"nAF966081_CDB0_45B3_BB9A_12F39BA05533","url":"https://open-measure.atlassian.net/wiki/spaces/DIC/pages/425623701"}</v>
      </c>
    </row>
    <row r="243" spans="1:6" ht="13.9" thickTop="1" thickBot="1" x14ac:dyDescent="0.4">
      <c r="A243" s="39">
        <f>IF(ISERR(NodesJSON[[#This Row],[label]]),0,1)</f>
        <v>1</v>
      </c>
      <c r="B243" s="3" t="str">
        <f>NodesData[[#This Row],[Common Name]]</f>
        <v>Information Security Domain</v>
      </c>
      <c r="C243" s="3" t="str">
        <f>IF(NodesData[[#This Row],[Context Instanciation]]="","",NodesData[[#This Row],[Context Instanciation]])</f>
        <v/>
      </c>
      <c r="D243" s="22" t="str">
        <f>NodesData[[#This Row],[Node ID]]</f>
        <v>n9A6A0946_FAF0_4301_9CFA_1EAAAF6EFADF</v>
      </c>
      <c r="E243" s="10" t="s">
        <v>907</v>
      </c>
      <c r="F243" s="25" t="str" cm="1">
        <f t="array" ref="F243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Security Domain","group":"","id":"n9A6A0946_FAF0_4301_9CFA_1EAAAF6EFADF","url":"https://open-measure.atlassian.net/wiki/spaces/DIC/pages/427163745"}</v>
      </c>
    </row>
    <row r="244" spans="1:6" ht="13.9" thickTop="1" thickBot="1" x14ac:dyDescent="0.4">
      <c r="A244" s="39">
        <f>IF(ISERR(NodesJSON[[#This Row],[label]]),0,1)</f>
        <v>1</v>
      </c>
      <c r="B244" s="3" t="str">
        <f>NodesData[[#This Row],[Common Name]]</f>
        <v>Information System</v>
      </c>
      <c r="C244" s="3" t="str">
        <f>IF(NodesData[[#This Row],[Context Instanciation]]="","",NodesData[[#This Row],[Context Instanciation]])</f>
        <v/>
      </c>
      <c r="D244" s="22" t="str">
        <f>NodesData[[#This Row],[Node ID]]</f>
        <v>nB0B5F503_B8FC_4496_972E_66927B58AF67</v>
      </c>
      <c r="E244" s="4"/>
      <c r="F244" s="25" t="str" cm="1">
        <f t="array" ref="F244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System","group":"","id":"nB0B5F503_B8FC_4496_972E_66927B58AF67","url":""}</v>
      </c>
    </row>
    <row r="245" spans="1:6" ht="13.9" thickTop="1" thickBot="1" x14ac:dyDescent="0.4">
      <c r="A245" s="39">
        <f>IF(ISERR(NodesJSON[[#This Row],[label]]),0,1)</f>
        <v>1</v>
      </c>
      <c r="B245" s="3" t="str">
        <f>NodesData[[#This Row],[Common Name]]</f>
        <v>Inherence Factor</v>
      </c>
      <c r="C245" s="3" t="str">
        <f>IF(NodesData[[#This Row],[Context Instanciation]]="","",NodesData[[#This Row],[Context Instanciation]])</f>
        <v/>
      </c>
      <c r="D245" s="22" t="str">
        <f>NodesData[[#This Row],[Node ID]]</f>
        <v>n99E2EC41_CA7B_41FD_8304_3926884533F9</v>
      </c>
      <c r="E245" s="3"/>
      <c r="F245" s="25" t="str" cm="1">
        <f t="array" ref="F245">IF(NodesJSON[[#This Row],[Export?]]=0,"",IF(ROW(NodesJSON[[#This Row],[label]])&gt;ROW(NodesJSON[[#Headers],[JSON]])+1,",","") &amp;"{"&amp;twoRangesToJSON(NodesJSON[[#Headers],[label]:[url]],NodesJSON[[#This Row],[label]:[url]])&amp;"}")</f>
        <v>,{"label":"Inherence Factor","group":"","id":"n99E2EC41_CA7B_41FD_8304_3926884533F9","url":""}</v>
      </c>
    </row>
    <row r="246" spans="1:6" ht="13.9" thickTop="1" thickBot="1" x14ac:dyDescent="0.4">
      <c r="A246" s="39">
        <f>IF(ISERR(NodesJSON[[#This Row],[label]]),0,1)</f>
        <v>1</v>
      </c>
      <c r="B246" s="3" t="str">
        <f>NodesData[[#This Row],[Common Name]]</f>
        <v>Inside Attacker</v>
      </c>
      <c r="C246" s="3" t="str">
        <f>IF(NodesData[[#This Row],[Context Instanciation]]="","",NodesData[[#This Row],[Context Instanciation]])</f>
        <v/>
      </c>
      <c r="D246" s="22" t="str">
        <f>NodesData[[#This Row],[Node ID]]</f>
        <v>nE918EA94_ED3D_49AA_8C98_9382D56885C2</v>
      </c>
      <c r="E246" s="4"/>
      <c r="F246" s="25" t="str" cm="1">
        <f t="array" ref="F246">IF(NodesJSON[[#This Row],[Export?]]=0,"",IF(ROW(NodesJSON[[#This Row],[label]])&gt;ROW(NodesJSON[[#Headers],[JSON]])+1,",","") &amp;"{"&amp;twoRangesToJSON(NodesJSON[[#Headers],[label]:[url]],NodesJSON[[#This Row],[label]:[url]])&amp;"}")</f>
        <v>,{"label":"Inside Attacker","group":"","id":"nE918EA94_ED3D_49AA_8C98_9382D56885C2","url":""}</v>
      </c>
    </row>
    <row r="247" spans="1:6" ht="13.9" thickTop="1" thickBot="1" x14ac:dyDescent="0.4">
      <c r="A247" s="39">
        <f>IF(ISERR(NodesJSON[[#This Row],[label]]),0,1)</f>
        <v>1</v>
      </c>
      <c r="B247" s="3" t="str">
        <f>NodesData[[#This Row],[Common Name]]</f>
        <v>Insider</v>
      </c>
      <c r="C247" s="3" t="str">
        <f>IF(NodesData[[#This Row],[Context Instanciation]]="","",NodesData[[#This Row],[Context Instanciation]])</f>
        <v/>
      </c>
      <c r="D247" s="22" t="str">
        <f>NodesData[[#This Row],[Node ID]]</f>
        <v>n4FB0018B_54D8_4931_8F94_16C63A3F8C83</v>
      </c>
      <c r="E247" s="10" t="s">
        <v>909</v>
      </c>
      <c r="F247" s="25" t="str" cm="1">
        <f t="array" ref="F247">IF(NodesJSON[[#This Row],[Export?]]=0,"",IF(ROW(NodesJSON[[#This Row],[label]])&gt;ROW(NodesJSON[[#Headers],[JSON]])+1,",","") &amp;"{"&amp;twoRangesToJSON(NodesJSON[[#Headers],[label]:[url]],NodesJSON[[#This Row],[label]:[url]])&amp;"}")</f>
        <v>,{"label":"Insider","group":"","id":"n4FB0018B_54D8_4931_8F94_16C63A3F8C83","url":"https://open-measure.atlassian.net/wiki/spaces/DIC/pages/442499114"}</v>
      </c>
    </row>
    <row r="248" spans="1:6" ht="13.9" thickTop="1" thickBot="1" x14ac:dyDescent="0.4">
      <c r="A248" s="39">
        <f>IF(ISERR(NodesJSON[[#This Row],[label]]),0,1)</f>
        <v>1</v>
      </c>
      <c r="B248" s="3" t="str">
        <f>NodesData[[#This Row],[Common Name]]</f>
        <v>Insider Attack</v>
      </c>
      <c r="C248" s="3" t="str">
        <f>IF(NodesData[[#This Row],[Context Instanciation]]="","",NodesData[[#This Row],[Context Instanciation]])</f>
        <v/>
      </c>
      <c r="D248" s="22" t="str">
        <f>NodesData[[#This Row],[Node ID]]</f>
        <v>n429FED9F_D609_402A_A4D4_27BF7F04F154</v>
      </c>
      <c r="E248" s="10" t="s">
        <v>911</v>
      </c>
      <c r="F248" s="25" t="str" cm="1">
        <f t="array" ref="F248">IF(NodesJSON[[#This Row],[Export?]]=0,"",IF(ROW(NodesJSON[[#This Row],[label]])&gt;ROW(NodesJSON[[#Headers],[JSON]])+1,",","") &amp;"{"&amp;twoRangesToJSON(NodesJSON[[#Headers],[label]:[url]],NodesJSON[[#This Row],[label]:[url]])&amp;"}")</f>
        <v>,{"label":"Insider Attack","group":"","id":"n429FED9F_D609_402A_A4D4_27BF7F04F154","url":"https://open-measure.atlassian.net/wiki/spaces/DIC/pages/442400811"}</v>
      </c>
    </row>
    <row r="249" spans="1:6" ht="13.9" thickTop="1" thickBot="1" x14ac:dyDescent="0.4">
      <c r="A249" s="39">
        <f>IF(ISERR(NodesJSON[[#This Row],[label]]),0,1)</f>
        <v>1</v>
      </c>
      <c r="B249" s="3" t="str">
        <f>NodesData[[#This Row],[Common Name]]</f>
        <v>Insider Threat</v>
      </c>
      <c r="C249" s="3" t="str">
        <f>IF(NodesData[[#This Row],[Context Instanciation]]="","",NodesData[[#This Row],[Context Instanciation]])</f>
        <v/>
      </c>
      <c r="D249" s="22" t="str">
        <f>NodesData[[#This Row],[Node ID]]</f>
        <v>n4BBD1B98_1E78_4A7C_AFAA_86753DB40829</v>
      </c>
      <c r="E249" s="10" t="s">
        <v>913</v>
      </c>
      <c r="F249" s="25" t="str" cm="1">
        <f t="array" ref="F249">IF(NodesJSON[[#This Row],[Export?]]=0,"",IF(ROW(NodesJSON[[#This Row],[label]])&gt;ROW(NodesJSON[[#Headers],[JSON]])+1,",","") &amp;"{"&amp;twoRangesToJSON(NodesJSON[[#Headers],[label]:[url]],NodesJSON[[#This Row],[label]:[url]])&amp;"}")</f>
        <v>,{"label":"Insider Threat","group":"","id":"n4BBD1B98_1E78_4A7C_AFAA_86753DB40829","url":"https://open-measure.atlassian.net/wiki/spaces/DIC/pages/1177681925"}</v>
      </c>
    </row>
    <row r="250" spans="1:6" ht="13.9" thickTop="1" thickBot="1" x14ac:dyDescent="0.4">
      <c r="A250" s="39">
        <f>IF(ISERR(NodesJSON[[#This Row],[label]]),0,1)</f>
        <v>1</v>
      </c>
      <c r="B250" s="3" t="str">
        <f>NodesData[[#This Row],[Common Name]]</f>
        <v>Insufficient Granularity of Access Control</v>
      </c>
      <c r="C250" s="3" t="str">
        <f>IF(NodesData[[#This Row],[Context Instanciation]]="","",NodesData[[#This Row],[Context Instanciation]])</f>
        <v/>
      </c>
      <c r="D250" s="22" t="str">
        <f>NodesData[[#This Row],[Node ID]]</f>
        <v>n5C69F995_02F9_4641_8DDC_1DEAB80E3377</v>
      </c>
      <c r="E250" s="10" t="s">
        <v>915</v>
      </c>
      <c r="F250" s="25" t="str" cm="1">
        <f t="array" ref="F250">IF(NodesJSON[[#This Row],[Export?]]=0,"",IF(ROW(NodesJSON[[#This Row],[label]])&gt;ROW(NodesJSON[[#Headers],[JSON]])+1,",","") &amp;"{"&amp;twoRangesToJSON(NodesJSON[[#Headers],[label]:[url]],NodesJSON[[#This Row],[label]:[url]])&amp;"}")</f>
        <v>,{"label":"Insufficient Granularity of Access Control","group":"","id":"n5C69F995_02F9_4641_8DDC_1DEAB80E3377","url":"https://open-measure.atlassian.net/wiki/spaces/DIC/pages/1181843548"}</v>
      </c>
    </row>
    <row r="251" spans="1:6" ht="13.9" thickTop="1" thickBot="1" x14ac:dyDescent="0.4">
      <c r="A251" s="39">
        <f>IF(ISERR(NodesJSON[[#This Row],[label]]),0,1)</f>
        <v>1</v>
      </c>
      <c r="B251" s="3" t="str">
        <f>NodesData[[#This Row],[Common Name]]</f>
        <v>Intentional Error</v>
      </c>
      <c r="C251" s="3" t="str">
        <f>IF(NodesData[[#This Row],[Context Instanciation]]="","",NodesData[[#This Row],[Context Instanciation]])</f>
        <v/>
      </c>
      <c r="D251" s="22" t="str">
        <f>NodesData[[#This Row],[Node ID]]</f>
        <v>nA9BAB0B4_F590_4EA4_BCC5_9C8C3863E83A</v>
      </c>
      <c r="E251" s="10" t="s">
        <v>917</v>
      </c>
      <c r="F251" s="25" t="str" cm="1">
        <f t="array" ref="F251">IF(NodesJSON[[#This Row],[Export?]]=0,"",IF(ROW(NodesJSON[[#This Row],[label]])&gt;ROW(NodesJSON[[#Headers],[JSON]])+1,",","") &amp;"{"&amp;twoRangesToJSON(NodesJSON[[#Headers],[label]:[url]],NodesJSON[[#This Row],[label]:[url]])&amp;"}")</f>
        <v>,{"label":"Intentional Error","group":"","id":"nA9BAB0B4_F590_4EA4_BCC5_9C8C3863E83A","url":"https://open-measure.atlassian.net/wiki/spaces/DIC/pages/1177780225"}</v>
      </c>
    </row>
    <row r="252" spans="1:6" ht="13.9" thickTop="1" thickBot="1" x14ac:dyDescent="0.4">
      <c r="A252" s="39">
        <f>IF(ISERR(NodesJSON[[#This Row],[label]]),0,1)</f>
        <v>1</v>
      </c>
      <c r="B252" s="3" t="str">
        <f>NodesData[[#This Row],[Common Name]]</f>
        <v>Interested Party</v>
      </c>
      <c r="C252" s="3" t="str">
        <f>IF(NodesData[[#This Row],[Context Instanciation]]="","",NodesData[[#This Row],[Context Instanciation]])</f>
        <v/>
      </c>
      <c r="D252" s="22" t="str">
        <f>NodesData[[#This Row],[Node ID]]</f>
        <v>n0C1E6A85_DF85_4330_881B_C5F42F671FD5</v>
      </c>
      <c r="E252" s="10" t="s">
        <v>919</v>
      </c>
      <c r="F252" s="25" t="str" cm="1">
        <f t="array" ref="F252">IF(NodesJSON[[#This Row],[Export?]]=0,"",IF(ROW(NodesJSON[[#This Row],[label]])&gt;ROW(NodesJSON[[#Headers],[JSON]])+1,",","") &amp;"{"&amp;twoRangesToJSON(NodesJSON[[#Headers],[label]:[url]],NodesJSON[[#This Row],[label]:[url]])&amp;"}")</f>
        <v>,{"label":"Interested Party","group":"","id":"n0C1E6A85_DF85_4330_881B_C5F42F671FD5","url":"https://open-measure.atlassian.net/wiki/spaces/DIC/pages/49250375"}</v>
      </c>
    </row>
    <row r="253" spans="1:6" ht="13.9" thickTop="1" thickBot="1" x14ac:dyDescent="0.4">
      <c r="A253" s="39">
        <f>IF(ISERR(NodesJSON[[#This Row],[label]]),0,1)</f>
        <v>1</v>
      </c>
      <c r="B253" s="3" t="str">
        <f>NodesData[[#This Row],[Common Name]]</f>
        <v>Interoperability</v>
      </c>
      <c r="C253" s="3" t="str">
        <f>IF(NodesData[[#This Row],[Context Instanciation]]="","",NodesData[[#This Row],[Context Instanciation]])</f>
        <v/>
      </c>
      <c r="D253" s="22" t="str">
        <f>NodesData[[#This Row],[Node ID]]</f>
        <v>nE94C80F1_064A_44B2_BDBC_0056E1019A9F</v>
      </c>
      <c r="E253" s="10" t="s">
        <v>921</v>
      </c>
      <c r="F253" s="25" t="str" cm="1">
        <f t="array" ref="F253">IF(NodesJSON[[#This Row],[Export?]]=0,"",IF(ROW(NodesJSON[[#This Row],[label]])&gt;ROW(NodesJSON[[#Headers],[JSON]])+1,",","") &amp;"{"&amp;twoRangesToJSON(NodesJSON[[#Headers],[label]:[url]],NodesJSON[[#This Row],[label]:[url]])&amp;"}")</f>
        <v>,{"label":"Interoperability","group":"","id":"nE94C80F1_064A_44B2_BDBC_0056E1019A9F","url":"https://open-measure.atlassian.net/wiki/spaces/DIC/pages/1006698533"}</v>
      </c>
    </row>
    <row r="254" spans="1:6" ht="13.9" thickTop="1" thickBot="1" x14ac:dyDescent="0.4">
      <c r="A254" s="39">
        <f>IF(ISERR(NodesJSON[[#This Row],[label]]),0,1)</f>
        <v>1</v>
      </c>
      <c r="B254" s="3" t="str">
        <f>NodesData[[#This Row],[Common Name]]</f>
        <v>Interval Scale</v>
      </c>
      <c r="C254" s="3" t="str">
        <f>IF(NodesData[[#This Row],[Context Instanciation]]="","",NodesData[[#This Row],[Context Instanciation]])</f>
        <v/>
      </c>
      <c r="D254" s="22" t="str">
        <f>NodesData[[#This Row],[Node ID]]</f>
        <v>n3EBA3C47_F9ED_429B_BC3D_679D12721192</v>
      </c>
      <c r="E254" s="10" t="s">
        <v>923</v>
      </c>
      <c r="F254" s="25" t="str" cm="1">
        <f t="array" ref="F254">IF(NodesJSON[[#This Row],[Export?]]=0,"",IF(ROW(NodesJSON[[#This Row],[label]])&gt;ROW(NodesJSON[[#Headers],[JSON]])+1,",","") &amp;"{"&amp;twoRangesToJSON(NodesJSON[[#Headers],[label]:[url]],NodesJSON[[#This Row],[label]:[url]])&amp;"}")</f>
        <v>,{"label":"Interval Scale","group":"","id":"n3EBA3C47_F9ED_429B_BC3D_679D12721192","url":"https://open-measure.atlassian.net/wiki/spaces/DIC/pages/442466361"}</v>
      </c>
    </row>
    <row r="255" spans="1:6" ht="13.9" thickTop="1" thickBot="1" x14ac:dyDescent="0.4">
      <c r="A255" s="39">
        <f>IF(ISERR(NodesJSON[[#This Row],[label]]),0,1)</f>
        <v>1</v>
      </c>
      <c r="B255" s="3" t="str">
        <f>NodesData[[#This Row],[Common Name]]</f>
        <v>Iris Recognition Authentication</v>
      </c>
      <c r="C255" s="3" t="str">
        <f>IF(NodesData[[#This Row],[Context Instanciation]]="","",NodesData[[#This Row],[Context Instanciation]])</f>
        <v/>
      </c>
      <c r="D255" s="22" t="str">
        <f>NodesData[[#This Row],[Node ID]]</f>
        <v>nFF2EA87E_84ED_44A7_83DE_4A3C4C0F01DF</v>
      </c>
      <c r="E255" s="10" t="s">
        <v>925</v>
      </c>
      <c r="F255" s="25" t="str" cm="1">
        <f t="array" ref="F255">IF(NodesJSON[[#This Row],[Export?]]=0,"",IF(ROW(NodesJSON[[#This Row],[label]])&gt;ROW(NodesJSON[[#Headers],[JSON]])+1,",","") &amp;"{"&amp;twoRangesToJSON(NodesJSON[[#Headers],[label]:[url]],NodesJSON[[#This Row],[label]:[url]])&amp;"}")</f>
        <v>,{"label":"Iris Recognition Authentication","group":"","id":"nFF2EA87E_84ED_44A7_83DE_4A3C4C0F01DF","url":"https://open-measure.atlassian.net/wiki/spaces/DIC/pages/1104936974"}</v>
      </c>
    </row>
    <row r="256" spans="1:6" ht="13.9" thickTop="1" thickBot="1" x14ac:dyDescent="0.4">
      <c r="A256" s="39">
        <f>IF(ISERR(NodesJSON[[#This Row],[label]]),0,1)</f>
        <v>1</v>
      </c>
      <c r="B256" s="3" t="str">
        <f>NodesData[[#This Row],[Common Name]]</f>
        <v>Isolated Identity Management System</v>
      </c>
      <c r="C256" s="3" t="str">
        <f>IF(NodesData[[#This Row],[Context Instanciation]]="","",NodesData[[#This Row],[Context Instanciation]])</f>
        <v/>
      </c>
      <c r="D256" s="22" t="str">
        <f>NodesData[[#This Row],[Node ID]]</f>
        <v>n06B404BB_42D7_49A0_87EF_0BD1066C228B</v>
      </c>
      <c r="E256" s="10" t="s">
        <v>927</v>
      </c>
      <c r="F256" s="25" t="str" cm="1">
        <f t="array" ref="F256">IF(NodesJSON[[#This Row],[Export?]]=0,"",IF(ROW(NodesJSON[[#This Row],[label]])&gt;ROW(NodesJSON[[#Headers],[JSON]])+1,",","") &amp;"{"&amp;twoRangesToJSON(NodesJSON[[#Headers],[label]:[url]],NodesJSON[[#This Row],[label]:[url]])&amp;"}")</f>
        <v>,{"label":"Isolated Identity Management System","group":"","id":"n06B404BB_42D7_49A0_87EF_0BD1066C228B","url":"https://open-measure.atlassian.net/wiki/spaces/DIC/pages/442368033"}</v>
      </c>
    </row>
    <row r="257" spans="1:6" ht="13.9" thickTop="1" thickBot="1" x14ac:dyDescent="0.4">
      <c r="A257" s="39">
        <f>IF(ISERR(NodesJSON[[#This Row],[label]]),0,1)</f>
        <v>1</v>
      </c>
      <c r="B257" s="3" t="str">
        <f>NodesData[[#This Row],[Common Name]]</f>
        <v>IT Asset Scope</v>
      </c>
      <c r="C257" s="3" t="str">
        <f>IF(NodesData[[#This Row],[Context Instanciation]]="","",NodesData[[#This Row],[Context Instanciation]])</f>
        <v/>
      </c>
      <c r="D257" s="22" t="str">
        <f>NodesData[[#This Row],[Node ID]]</f>
        <v>n29ED772E_0526_4755_B8BE_2218FA7602F9</v>
      </c>
      <c r="E257" s="10" t="s">
        <v>929</v>
      </c>
      <c r="F257" s="25" t="str" cm="1">
        <f t="array" ref="F257">IF(NodesJSON[[#This Row],[Export?]]=0,"",IF(ROW(NodesJSON[[#This Row],[label]])&gt;ROW(NodesJSON[[#Headers],[JSON]])+1,",","") &amp;"{"&amp;twoRangesToJSON(NodesJSON[[#Headers],[label]:[url]],NodesJSON[[#This Row],[label]:[url]])&amp;"}")</f>
        <v>,{"label":"IT Asset Scope","group":"","id":"n29ED772E_0526_4755_B8BE_2218FA7602F9","url":"https://open-measure.atlassian.net/wiki/spaces/DIC/pages/442466381"}</v>
      </c>
    </row>
    <row r="258" spans="1:6" ht="13.9" thickTop="1" thickBot="1" x14ac:dyDescent="0.4">
      <c r="A258" s="39">
        <f>IF(ISERR(NodesJSON[[#This Row],[label]]),0,1)</f>
        <v>1</v>
      </c>
      <c r="B258" s="3" t="str">
        <f>NodesData[[#This Row],[Common Name]]</f>
        <v>IT Component</v>
      </c>
      <c r="C258" s="3" t="str">
        <f>IF(NodesData[[#This Row],[Context Instanciation]]="","",NodesData[[#This Row],[Context Instanciation]])</f>
        <v/>
      </c>
      <c r="D258" s="22" t="str">
        <f>NodesData[[#This Row],[Node ID]]</f>
        <v>n80310A12_2F48_48B9_A9C3_E6FADD4B55C9</v>
      </c>
      <c r="E258" s="10" t="s">
        <v>931</v>
      </c>
      <c r="F258" s="25" t="str" cm="1">
        <f t="array" ref="F258">IF(NodesJSON[[#This Row],[Export?]]=0,"",IF(ROW(NodesJSON[[#This Row],[label]])&gt;ROW(NodesJSON[[#Headers],[JSON]])+1,",","") &amp;"{"&amp;twoRangesToJSON(NodesJSON[[#Headers],[label]:[url]],NodesJSON[[#This Row],[label]:[url]])&amp;"}")</f>
        <v>,{"label":"IT Component","group":"","id":"n80310A12_2F48_48B9_A9C3_E6FADD4B55C9","url":"https://open-measure.atlassian.net/wiki/spaces/DIC/pages/1177845957"}</v>
      </c>
    </row>
    <row r="259" spans="1:6" ht="13.9" thickTop="1" thickBot="1" x14ac:dyDescent="0.4">
      <c r="A259" s="39">
        <f>IF(ISERR(NodesJSON[[#This Row],[label]]),0,1)</f>
        <v>1</v>
      </c>
      <c r="B259" s="3" t="str">
        <f>NodesData[[#This Row],[Common Name]]</f>
        <v>IT Hardware</v>
      </c>
      <c r="C259" s="3" t="str">
        <f>IF(NodesData[[#This Row],[Context Instanciation]]="","",NodesData[[#This Row],[Context Instanciation]])</f>
        <v/>
      </c>
      <c r="D259" s="22" t="str">
        <f>NodesData[[#This Row],[Node ID]]</f>
        <v>n940256DD_635E_4F4B_91EA_B3366D40E947</v>
      </c>
      <c r="E259" s="10" t="s">
        <v>933</v>
      </c>
      <c r="F259" s="25" t="str" cm="1">
        <f t="array" ref="F259">IF(NodesJSON[[#This Row],[Export?]]=0,"",IF(ROW(NodesJSON[[#This Row],[label]])&gt;ROW(NodesJSON[[#Headers],[JSON]])+1,",","") &amp;"{"&amp;twoRangesToJSON(NodesJSON[[#Headers],[label]:[url]],NodesJSON[[#This Row],[label]:[url]])&amp;"}")</f>
        <v>,{"label":"IT Hardware","group":"","id":"n940256DD_635E_4F4B_91EA_B3366D40E947","url":"https://open-measure.atlassian.net/wiki/spaces/DIC/pages/442400912"}</v>
      </c>
    </row>
    <row r="260" spans="1:6" ht="13.9" thickTop="1" thickBot="1" x14ac:dyDescent="0.4">
      <c r="A260" s="39">
        <f>IF(ISERR(NodesJSON[[#This Row],[label]]),0,1)</f>
        <v>1</v>
      </c>
      <c r="B260" s="3" t="str">
        <f>NodesData[[#This Row],[Common Name]]</f>
        <v>IT Software</v>
      </c>
      <c r="C260" s="3" t="str">
        <f>IF(NodesData[[#This Row],[Context Instanciation]]="","",NodesData[[#This Row],[Context Instanciation]])</f>
        <v/>
      </c>
      <c r="D260" s="22" t="str">
        <f>NodesData[[#This Row],[Node ID]]</f>
        <v>nBB725018_7327_49FB_A48A_74839D0C04F9</v>
      </c>
      <c r="E260" s="3"/>
      <c r="F260" s="25" t="str" cm="1">
        <f t="array" ref="F260">IF(NodesJSON[[#This Row],[Export?]]=0,"",IF(ROW(NodesJSON[[#This Row],[label]])&gt;ROW(NodesJSON[[#Headers],[JSON]])+1,",","") &amp;"{"&amp;twoRangesToJSON(NodesJSON[[#Headers],[label]:[url]],NodesJSON[[#This Row],[label]:[url]])&amp;"}")</f>
        <v>,{"label":"IT Software","group":"","id":"nBB725018_7327_49FB_A48A_74839D0C04F9","url":""}</v>
      </c>
    </row>
    <row r="261" spans="1:6" ht="13.9" thickTop="1" thickBot="1" x14ac:dyDescent="0.4">
      <c r="A261" s="39">
        <f>IF(ISERR(NodesJSON[[#This Row],[label]]),0,1)</f>
        <v>1</v>
      </c>
      <c r="B261" s="3" t="str">
        <f>NodesData[[#This Row],[Common Name]]</f>
        <v>IT System</v>
      </c>
      <c r="C261" s="3" t="str">
        <f>IF(NodesData[[#This Row],[Context Instanciation]]="","",NodesData[[#This Row],[Context Instanciation]])</f>
        <v/>
      </c>
      <c r="D261" s="22" t="str">
        <f>NodesData[[#This Row],[Node ID]]</f>
        <v>nC607594D_D597_4C8E_9605_EED87566C2FD</v>
      </c>
      <c r="E261" s="10" t="s">
        <v>934</v>
      </c>
      <c r="F261" s="25" t="str" cm="1">
        <f t="array" ref="F261">IF(NodesJSON[[#This Row],[Export?]]=0,"",IF(ROW(NodesJSON[[#This Row],[label]])&gt;ROW(NodesJSON[[#Headers],[JSON]])+1,",","") &amp;"{"&amp;twoRangesToJSON(NodesJSON[[#Headers],[label]:[url]],NodesJSON[[#This Row],[label]:[url]])&amp;"}")</f>
        <v>,{"label":"IT System","group":"","id":"nC607594D_D597_4C8E_9605_EED87566C2FD","url":"https://open-measure.atlassian.net/wiki/spaces/DIC/pages/1452048577/Logic+Bomb"}</v>
      </c>
    </row>
    <row r="262" spans="1:6" ht="13.9" thickTop="1" thickBot="1" x14ac:dyDescent="0.4">
      <c r="A262" s="39">
        <f>IF(ISERR(NodesJSON[[#This Row],[label]]),0,1)</f>
        <v>1</v>
      </c>
      <c r="B262" s="3" t="str">
        <f>NodesData[[#This Row],[Common Name]]</f>
        <v>JML</v>
      </c>
      <c r="C262" s="3" t="str">
        <f>IF(NodesData[[#This Row],[Context Instanciation]]="","",NodesData[[#This Row],[Context Instanciation]])</f>
        <v/>
      </c>
      <c r="D262" s="22" t="str">
        <f>NodesData[[#This Row],[Node ID]]</f>
        <v>n4BA874E7_FD38_4B95_9C12_7EC786240F23</v>
      </c>
      <c r="E262" s="10" t="s">
        <v>935</v>
      </c>
      <c r="F262" s="25" t="str" cm="1">
        <f t="array" ref="F262">IF(NodesJSON[[#This Row],[Export?]]=0,"",IF(ROW(NodesJSON[[#This Row],[label]])&gt;ROW(NodesJSON[[#Headers],[JSON]])+1,",","") &amp;"{"&amp;twoRangesToJSON(NodesJSON[[#Headers],[label]:[url]],NodesJSON[[#This Row],[label]:[url]])&amp;"}")</f>
        <v>,{"label":"JML","group":"","id":"n4BA874E7_FD38_4B95_9C12_7EC786240F23","url":"https://open-measure.atlassian.net/wiki/spaces/DIC/pages/1440153606/Login"}</v>
      </c>
    </row>
    <row r="263" spans="1:6" ht="13.9" thickTop="1" thickBot="1" x14ac:dyDescent="0.4">
      <c r="A263" s="39">
        <f>IF(ISERR(NodesJSON[[#This Row],[label]]),0,1)</f>
        <v>1</v>
      </c>
      <c r="B263" s="3" t="str">
        <f>NodesData[[#This Row],[Common Name]]</f>
        <v>Joiner</v>
      </c>
      <c r="C263" s="3" t="str">
        <f>IF(NodesData[[#This Row],[Context Instanciation]]="","",NodesData[[#This Row],[Context Instanciation]])</f>
        <v/>
      </c>
      <c r="D263" s="22" t="str">
        <f>NodesData[[#This Row],[Node ID]]</f>
        <v>n919E37D7_0E0D_437A_A4B9_F0C63FC91592</v>
      </c>
      <c r="E263" s="10" t="s">
        <v>936</v>
      </c>
      <c r="F263" s="25" t="str" cm="1">
        <f t="array" ref="F263">IF(NodesJSON[[#This Row],[Export?]]=0,"",IF(ROW(NodesJSON[[#This Row],[label]])&gt;ROW(NodesJSON[[#Headers],[JSON]])+1,",","") &amp;"{"&amp;twoRangesToJSON(NodesJSON[[#Headers],[label]:[url]],NodesJSON[[#This Row],[label]:[url]])&amp;"}")</f>
        <v>,{"label":"Joiner","group":"","id":"n919E37D7_0E0D_437A_A4B9_F0C63FC91592","url":"https://open-measure.atlassian.net/wiki/spaces/DIC/pages/1428685307/Login+ID"}</v>
      </c>
    </row>
    <row r="264" spans="1:6" ht="13.9" thickTop="1" thickBot="1" x14ac:dyDescent="0.4">
      <c r="A264" s="39">
        <f>IF(ISERR(NodesJSON[[#This Row],[label]]),0,1)</f>
        <v>1</v>
      </c>
      <c r="B264" s="3" t="str">
        <f>NodesData[[#This Row],[Common Name]]</f>
        <v>Joiner Hire Date</v>
      </c>
      <c r="C264" s="3" t="str">
        <f>IF(NodesData[[#This Row],[Context Instanciation]]="","",NodesData[[#This Row],[Context Instanciation]])</f>
        <v/>
      </c>
      <c r="D264" s="22" t="str">
        <f>NodesData[[#This Row],[Node ID]]</f>
        <v>nF036ACA7_5DED_4C47_BEC4_43A7941A1A11</v>
      </c>
      <c r="E264" s="10" t="s">
        <v>937</v>
      </c>
      <c r="F264" s="25" t="str" cm="1">
        <f t="array" ref="F264">IF(NodesJSON[[#This Row],[Export?]]=0,"",IF(ROW(NodesJSON[[#This Row],[label]])&gt;ROW(NodesJSON[[#Headers],[JSON]])+1,",","") &amp;"{"&amp;twoRangesToJSON(NodesJSON[[#Headers],[label]:[url]],NodesJSON[[#This Row],[label]:[url]])&amp;"}")</f>
        <v>,{"label":"Joiner Hire Date","group":"","id":"nF036ACA7_5DED_4C47_BEC4_43A7941A1A11","url":"https://open-measure.atlassian.net/wiki/spaces/DIC/pages/1428685365/Login+Name"}</v>
      </c>
    </row>
    <row r="265" spans="1:6" ht="13.9" thickTop="1" thickBot="1" x14ac:dyDescent="0.4">
      <c r="A265" s="39">
        <f>IF(ISERR(NodesJSON[[#This Row],[label]]),0,1)</f>
        <v>1</v>
      </c>
      <c r="B265" s="3" t="str">
        <f>NodesData[[#This Row],[Common Name]]</f>
        <v>Joiner Lead Time</v>
      </c>
      <c r="C265" s="3" t="str">
        <f>IF(NodesData[[#This Row],[Context Instanciation]]="","",NodesData[[#This Row],[Context Instanciation]])</f>
        <v/>
      </c>
      <c r="D265" s="22" t="str">
        <f>NodesData[[#This Row],[Node ID]]</f>
        <v>n85D3D9C0_BF0A_457D_9E9E_918869EE6A60</v>
      </c>
      <c r="E265" s="10" t="s">
        <v>939</v>
      </c>
      <c r="F265" s="25" t="str" cm="1">
        <f t="array" ref="F265">IF(NodesJSON[[#This Row],[Export?]]=0,"",IF(ROW(NodesJSON[[#This Row],[label]])&gt;ROW(NodesJSON[[#Headers],[JSON]])+1,",","") &amp;"{"&amp;twoRangesToJSON(NodesJSON[[#Headers],[label]:[url]],NodesJSON[[#This Row],[label]:[url]])&amp;"}")</f>
        <v>,{"label":"Joiner Lead Time","group":"","id":"n85D3D9C0_BF0A_457D_9E9E_918869EE6A60","url":"https://open-measure.atlassian.net/wiki/spaces/DIC/pages/67699227"}</v>
      </c>
    </row>
    <row r="266" spans="1:6" ht="13.9" thickTop="1" thickBot="1" x14ac:dyDescent="0.4">
      <c r="A266" s="39">
        <f>IF(ISERR(NodesJSON[[#This Row],[label]]),0,1)</f>
        <v>1</v>
      </c>
      <c r="B266" s="3" t="str">
        <f>NodesData[[#This Row],[Common Name]]</f>
        <v>Joiner Process</v>
      </c>
      <c r="C266" s="3" t="str">
        <f>IF(NodesData[[#This Row],[Context Instanciation]]="","",NodesData[[#This Row],[Context Instanciation]])</f>
        <v/>
      </c>
      <c r="D266" s="22" t="str">
        <f>NodesData[[#This Row],[Node ID]]</f>
        <v>n2156A14C_9F0A_4133_9B6B_E2F493C2DDE5</v>
      </c>
      <c r="E266" s="10" t="s">
        <v>941</v>
      </c>
      <c r="F266" s="25" t="str" cm="1">
        <f t="array" ref="F266">IF(NodesJSON[[#This Row],[Export?]]=0,"",IF(ROW(NodesJSON[[#This Row],[label]])&gt;ROW(NodesJSON[[#Headers],[JSON]])+1,",","") &amp;"{"&amp;twoRangesToJSON(NodesJSON[[#Headers],[label]:[url]],NodesJSON[[#This Row],[label]:[url]])&amp;"}")</f>
        <v>,{"label":"Joiner Process","group":"","id":"n2156A14C_9F0A_4133_9B6B_E2F493C2DDE5","url":"https://open-measure.atlassian.net/wiki/spaces/DIC/pages/834044288"}</v>
      </c>
    </row>
    <row r="267" spans="1:6" ht="13.9" thickTop="1" thickBot="1" x14ac:dyDescent="0.4">
      <c r="A267" s="39">
        <f>IF(ISERR(NodesJSON[[#This Row],[label]]),0,1)</f>
        <v>1</v>
      </c>
      <c r="B267" s="3" t="str">
        <f>NodesData[[#This Row],[Common Name]]</f>
        <v>Joiner Start Date</v>
      </c>
      <c r="C267" s="3" t="str">
        <f>IF(NodesData[[#This Row],[Context Instanciation]]="","",NodesData[[#This Row],[Context Instanciation]])</f>
        <v/>
      </c>
      <c r="D267" s="22" t="str">
        <f>NodesData[[#This Row],[Node ID]]</f>
        <v>n9DBB71BC_1401_49CF_8C61_CD7DE85382A7</v>
      </c>
      <c r="E267" s="4"/>
      <c r="F267" s="25" t="str" cm="1">
        <f t="array" ref="F267">IF(NodesJSON[[#This Row],[Export?]]=0,"",IF(ROW(NodesJSON[[#This Row],[label]])&gt;ROW(NodesJSON[[#Headers],[JSON]])+1,",","") &amp;"{"&amp;twoRangesToJSON(NodesJSON[[#Headers],[label]:[url]],NodesJSON[[#This Row],[label]:[url]])&amp;"}")</f>
        <v>,{"label":"Joiner Start Date","group":"","id":"n9DBB71BC_1401_49CF_8C61_CD7DE85382A7","url":""}</v>
      </c>
    </row>
    <row r="268" spans="1:6" ht="13.9" thickTop="1" thickBot="1" x14ac:dyDescent="0.4">
      <c r="A268" s="39">
        <f>IF(ISERR(NodesJSON[[#This Row],[label]]),0,1)</f>
        <v>1</v>
      </c>
      <c r="B268" s="3" t="str">
        <f>NodesData[[#This Row],[Common Name]]</f>
        <v>Key Criteria Type</v>
      </c>
      <c r="C268" s="3" t="str">
        <f>IF(NodesData[[#This Row],[Context Instanciation]]="","",NodesData[[#This Row],[Context Instanciation]])</f>
        <v/>
      </c>
      <c r="D268" s="22" t="str">
        <f>NodesData[[#This Row],[Node ID]]</f>
        <v>n8B8EDDAB_CC41_45B7_8B8A_AC9D282F1C05</v>
      </c>
      <c r="E268" s="10" t="s">
        <v>943</v>
      </c>
      <c r="F268" s="25" t="str" cm="1">
        <f t="array" ref="F268">IF(NodesJSON[[#This Row],[Export?]]=0,"",IF(ROW(NodesJSON[[#This Row],[label]])&gt;ROW(NodesJSON[[#Headers],[JSON]])+1,",","") &amp;"{"&amp;twoRangesToJSON(NodesJSON[[#Headers],[label]:[url]],NodesJSON[[#This Row],[label]:[url]])&amp;"}")</f>
        <v>,{"label":"Key Criteria Type","group":"","id":"n8B8EDDAB_CC41_45B7_8B8A_AC9D282F1C05","url":"https://open-measure.atlassian.net/wiki/spaces/DIC/pages/75890760"}</v>
      </c>
    </row>
    <row r="269" spans="1:6" ht="13.9" thickTop="1" thickBot="1" x14ac:dyDescent="0.4">
      <c r="A269" s="39">
        <f>IF(ISERR(NodesJSON[[#This Row],[label]]),0,1)</f>
        <v>1</v>
      </c>
      <c r="B269" s="3" t="str">
        <f>NodesData[[#This Row],[Common Name]]</f>
        <v>Key Information</v>
      </c>
      <c r="C269" s="3" t="str">
        <f>IF(NodesData[[#This Row],[Context Instanciation]]="","",NodesData[[#This Row],[Context Instanciation]])</f>
        <v/>
      </c>
      <c r="D269" s="22" t="str">
        <f>NodesData[[#This Row],[Node ID]]</f>
        <v>n3073C6C9_12F8_44C9_8D1B_2F7187AD9F60</v>
      </c>
      <c r="E269" s="10" t="s">
        <v>945</v>
      </c>
      <c r="F269" s="25" t="str" cm="1">
        <f t="array" ref="F269">IF(NodesJSON[[#This Row],[Export?]]=0,"",IF(ROW(NodesJSON[[#This Row],[label]])&gt;ROW(NodesJSON[[#Headers],[JSON]])+1,",","") &amp;"{"&amp;twoRangesToJSON(NodesJSON[[#Headers],[label]:[url]],NodesJSON[[#This Row],[label]:[url]])&amp;"}")</f>
        <v>,{"label":"Key Information","group":"","id":"n3073C6C9_12F8_44C9_8D1B_2F7187AD9F60","url":"https://open-measure.atlassian.net/wiki/spaces/DIC/pages/1031241799"}</v>
      </c>
    </row>
    <row r="270" spans="1:6" ht="13.9" thickTop="1" thickBot="1" x14ac:dyDescent="0.4">
      <c r="A270" s="39">
        <f>IF(ISERR(NodesJSON[[#This Row],[label]]),0,1)</f>
        <v>1</v>
      </c>
      <c r="B270" s="3" t="str">
        <f>NodesData[[#This Row],[Common Name]]</f>
        <v>Keying Material</v>
      </c>
      <c r="C270" s="3" t="str">
        <f>IF(NodesData[[#This Row],[Context Instanciation]]="","",NodesData[[#This Row],[Context Instanciation]])</f>
        <v/>
      </c>
      <c r="D270" s="22" t="str">
        <f>NodesData[[#This Row],[Node ID]]</f>
        <v>n6AE1B549_6E17_4533_A2B8_5AFB4B73B654</v>
      </c>
      <c r="E270" s="10" t="s">
        <v>946</v>
      </c>
      <c r="F270" s="25" t="str" cm="1">
        <f t="array" ref="F270">IF(NodesJSON[[#This Row],[Export?]]=0,"",IF(ROW(NodesJSON[[#This Row],[label]])&gt;ROW(NodesJSON[[#Headers],[JSON]])+1,",","") &amp;"{"&amp;twoRangesToJSON(NodesJSON[[#Headers],[label]:[url]],NodesJSON[[#This Row],[label]:[url]])&amp;"}")</f>
        <v>,{"label":"Keying Material","group":"","id":"n6AE1B549_6E17_4533_A2B8_5AFB4B73B654","url":"https://open-measure.atlassian.net/wiki/spaces/DIC/pages/1600684160/Multiple+Accounts"}</v>
      </c>
    </row>
    <row r="271" spans="1:6" ht="13.9" thickTop="1" thickBot="1" x14ac:dyDescent="0.4">
      <c r="A271" s="39">
        <f>IF(ISERR(NodesJSON[[#This Row],[label]]),0,1)</f>
        <v>1</v>
      </c>
      <c r="B271" s="3" t="str">
        <f>NodesData[[#This Row],[Common Name]]</f>
        <v>Keystroke Recognition Authentication</v>
      </c>
      <c r="C271" s="3" t="str">
        <f>IF(NodesData[[#This Row],[Context Instanciation]]="","",NodesData[[#This Row],[Context Instanciation]])</f>
        <v/>
      </c>
      <c r="D271" s="22" t="str">
        <f>NodesData[[#This Row],[Node ID]]</f>
        <v>n35F5759D_AAFF_439C_A04E_623AA07EE4D9</v>
      </c>
      <c r="E271" s="4"/>
      <c r="F271" s="25" t="str" cm="1">
        <f t="array" ref="F271">IF(NodesJSON[[#This Row],[Export?]]=0,"",IF(ROW(NodesJSON[[#This Row],[label]])&gt;ROW(NodesJSON[[#Headers],[JSON]])+1,",","") &amp;"{"&amp;twoRangesToJSON(NodesJSON[[#Headers],[label]:[url]],NodesJSON[[#This Row],[label]:[url]])&amp;"}")</f>
        <v>,{"label":"Keystroke Recognition Authentication","group":"","id":"n35F5759D_AAFF_439C_A04E_623AA07EE4D9","url":""}</v>
      </c>
    </row>
    <row r="272" spans="1:6" ht="13.9" thickTop="1" thickBot="1" x14ac:dyDescent="0.4">
      <c r="A272" s="39">
        <f>IF(ISERR(NodesJSON[[#This Row],[label]]),0,1)</f>
        <v>1</v>
      </c>
      <c r="B272" s="3" t="str">
        <f>NodesData[[#This Row],[Common Name]]</f>
        <v>Knowledge Factor</v>
      </c>
      <c r="C272" s="3" t="str">
        <f>IF(NodesData[[#This Row],[Context Instanciation]]="","",NodesData[[#This Row],[Context Instanciation]])</f>
        <v/>
      </c>
      <c r="D272" s="22" t="str">
        <f>NodesData[[#This Row],[Node ID]]</f>
        <v>n63EDDBAD_A168_4974_B9D5_9B90FB3F688E</v>
      </c>
      <c r="E272" s="10" t="s">
        <v>949</v>
      </c>
      <c r="F272" s="25" t="str" cm="1">
        <f t="array" ref="F272">IF(NodesJSON[[#This Row],[Export?]]=0,"",IF(ROW(NodesJSON[[#This Row],[label]])&gt;ROW(NodesJSON[[#Headers],[JSON]])+1,",","") &amp;"{"&amp;twoRangesToJSON(NodesJSON[[#Headers],[label]:[url]],NodesJSON[[#This Row],[label]:[url]])&amp;"}")</f>
        <v>,{"label":"Knowledge Factor","group":"","id":"n63EDDBAD_A168_4974_B9D5_9B90FB3F688E","url":"https://open-measure.atlassian.net/wiki/spaces/DIC/pages/1474592794/Need-to-Know"}</v>
      </c>
    </row>
    <row r="273" spans="1:6" ht="13.9" thickTop="1" thickBot="1" x14ac:dyDescent="0.4">
      <c r="A273" s="39">
        <f>IF(ISERR(NodesJSON[[#This Row],[label]]),0,1)</f>
        <v>1</v>
      </c>
      <c r="B273" s="3" t="str">
        <f>NodesData[[#This Row],[Common Name]]</f>
        <v>Knuckleprint Recognition Authentication</v>
      </c>
      <c r="C273" s="3" t="str">
        <f>IF(NodesData[[#This Row],[Context Instanciation]]="","",NodesData[[#This Row],[Context Instanciation]])</f>
        <v/>
      </c>
      <c r="D273" s="22" t="str">
        <f>NodesData[[#This Row],[Node ID]]</f>
        <v>nC63D5B91_5DF9_4B35_856B_670E59CF1CA0</v>
      </c>
      <c r="E273" s="10" t="s">
        <v>951</v>
      </c>
      <c r="F273" s="25" t="str" cm="1">
        <f t="array" ref="F273">IF(NodesJSON[[#This Row],[Export?]]=0,"",IF(ROW(NodesJSON[[#This Row],[label]])&gt;ROW(NodesJSON[[#Headers],[JSON]])+1,",","") &amp;"{"&amp;twoRangesToJSON(NodesJSON[[#Headers],[label]:[url]],NodesJSON[[#This Row],[label]:[url]])&amp;"}")</f>
        <v>,{"label":"Knuckleprint Recognition Authentication","group":"","id":"nC63D5B91_5DF9_4B35_856B_670E59CF1CA0","url":"https://open-measure.atlassian.net/wiki/spaces/DIC/pages/858456124"}</v>
      </c>
    </row>
    <row r="274" spans="1:6" ht="13.9" thickTop="1" thickBot="1" x14ac:dyDescent="0.4">
      <c r="A274" s="39">
        <f>IF(ISERR(NodesJSON[[#This Row],[label]]),0,1)</f>
        <v>1</v>
      </c>
      <c r="B274" s="3" t="str">
        <f>NodesData[[#This Row],[Common Name]]</f>
        <v>KYC</v>
      </c>
      <c r="C274" s="3" t="str">
        <f>IF(NodesData[[#This Row],[Context Instanciation]]="","",NodesData[[#This Row],[Context Instanciation]])</f>
        <v/>
      </c>
      <c r="D274" s="22" t="str">
        <f>NodesData[[#This Row],[Node ID]]</f>
        <v>nD722A063_3ADB_4367_9941_1F20AAC0CAEC</v>
      </c>
      <c r="E274" s="10" t="s">
        <v>953</v>
      </c>
      <c r="F274" s="25" t="str" cm="1">
        <f t="array" ref="F274">IF(NodesJSON[[#This Row],[Export?]]=0,"",IF(ROW(NodesJSON[[#This Row],[label]])&gt;ROW(NodesJSON[[#Headers],[JSON]])+1,",","") &amp;"{"&amp;twoRangesToJSON(NodesJSON[[#Headers],[label]:[url]],NodesJSON[[#This Row],[label]:[url]])&amp;"}")</f>
        <v>,{"label":"KYC","group":"","id":"nD722A063_3ADB_4367_9941_1F20AAC0CAEC","url":"https://open-measure.atlassian.net/wiki/spaces/DIC/pages/1237483723"}</v>
      </c>
    </row>
    <row r="275" spans="1:6" ht="13.9" thickTop="1" thickBot="1" x14ac:dyDescent="0.4">
      <c r="A275" s="39">
        <f>IF(ISERR(NodesJSON[[#This Row],[label]]),0,1)</f>
        <v>1</v>
      </c>
      <c r="B275" s="3" t="str">
        <f>NodesData[[#This Row],[Common Name]]</f>
        <v>KYC Registry</v>
      </c>
      <c r="C275" s="3" t="str">
        <f>IF(NodesData[[#This Row],[Context Instanciation]]="","",NodesData[[#This Row],[Context Instanciation]])</f>
        <v/>
      </c>
      <c r="D275" s="22" t="str">
        <f>NodesData[[#This Row],[Node ID]]</f>
        <v>n118336A6_0C60_4B0E_8F22_B48CA99CA2F4</v>
      </c>
      <c r="E275" s="10" t="s">
        <v>955</v>
      </c>
      <c r="F275" s="25" t="str" cm="1">
        <f t="array" ref="F275">IF(NodesJSON[[#This Row],[Export?]]=0,"",IF(ROW(NodesJSON[[#This Row],[label]])&gt;ROW(NodesJSON[[#Headers],[JSON]])+1,",","") &amp;"{"&amp;twoRangesToJSON(NodesJSON[[#Headers],[label]:[url]],NodesJSON[[#This Row],[label]:[url]])&amp;"}")</f>
        <v>,{"label":"KYC Registry","group":"","id":"n118336A6_0C60_4B0E_8F22_B48CA99CA2F4","url":"https://open-measure.atlassian.net/wiki/spaces/DIC/pages/858554692"}</v>
      </c>
    </row>
    <row r="276" spans="1:6" ht="13.9" thickTop="1" thickBot="1" x14ac:dyDescent="0.4">
      <c r="A276" s="39">
        <f>IF(ISERR(NodesJSON[[#This Row],[label]]),0,1)</f>
        <v>1</v>
      </c>
      <c r="B276" s="3" t="str">
        <f>NodesData[[#This Row],[Common Name]]</f>
        <v>Lattice-Based Access Control</v>
      </c>
      <c r="C276" s="3" t="str">
        <f>IF(NodesData[[#This Row],[Context Instanciation]]="","",NodesData[[#This Row],[Context Instanciation]])</f>
        <v/>
      </c>
      <c r="D276" s="22" t="str">
        <f>NodesData[[#This Row],[Node ID]]</f>
        <v>nA1358380_830F_4EEB_80CE_CC83C065B2E4</v>
      </c>
      <c r="E276" s="10" t="s">
        <v>956</v>
      </c>
      <c r="F276" s="25" t="str" cm="1">
        <f t="array" ref="F276">IF(NodesJSON[[#This Row],[Export?]]=0,"",IF(ROW(NodesJSON[[#This Row],[label]])&gt;ROW(NodesJSON[[#Headers],[JSON]])+1,",","") &amp;"{"&amp;twoRangesToJSON(NodesJSON[[#Headers],[label]:[url]],NodesJSON[[#This Row],[label]:[url]])&amp;"}")</f>
        <v>,{"label":"Lattice-Based Access Control","group":"","id":"nA1358380_830F_4EEB_80CE_CC83C065B2E4","url":"https://open-measure.atlassian.net/wiki/spaces/DIC/pages/1323336029/Numerical+Identity"}</v>
      </c>
    </row>
    <row r="277" spans="1:6" ht="13.9" thickTop="1" thickBot="1" x14ac:dyDescent="0.4">
      <c r="A277" s="39">
        <f>IF(ISERR(NodesJSON[[#This Row],[label]]),0,1)</f>
        <v>1</v>
      </c>
      <c r="B277" s="3" t="str">
        <f>NodesData[[#This Row],[Common Name]]</f>
        <v>Layers Architectural Pattern</v>
      </c>
      <c r="C277" s="3" t="str">
        <f>IF(NodesData[[#This Row],[Context Instanciation]]="","",NodesData[[#This Row],[Context Instanciation]])</f>
        <v/>
      </c>
      <c r="D277" s="22" t="str">
        <f>NodesData[[#This Row],[Node ID]]</f>
        <v>n3EAC848A_1433_441F_9E9A_7FE06432D202</v>
      </c>
      <c r="E277" s="10" t="s">
        <v>948</v>
      </c>
      <c r="F277" s="25" t="str" cm="1">
        <f t="array" ref="F277">IF(NodesJSON[[#This Row],[Export?]]=0,"",IF(ROW(NodesJSON[[#This Row],[label]])&gt;ROW(NodesJSON[[#Headers],[JSON]])+1,",","") &amp;"{"&amp;twoRangesToJSON(NodesJSON[[#Headers],[label]:[url]],NodesJSON[[#This Row],[label]:[url]])&amp;"}")</f>
        <v>,{"label":"Layers Architectural Pattern","group":"","id":"n3EAC848A_1433_441F_9E9A_7FE06432D202","url":"https://open-measure.atlassian.net/wiki/spaces/DIC/pages/998244664"}</v>
      </c>
    </row>
    <row r="278" spans="1:6" ht="13.9" thickTop="1" thickBot="1" x14ac:dyDescent="0.4">
      <c r="A278" s="39">
        <f>IF(ISERR(NodesJSON[[#This Row],[label]]),0,1)</f>
        <v>1</v>
      </c>
      <c r="B278" s="3" t="str">
        <f>NodesData[[#This Row],[Common Name]]</f>
        <v>LBAC</v>
      </c>
      <c r="C278" s="3" t="str">
        <f>IF(NodesData[[#This Row],[Context Instanciation]]="","",NodesData[[#This Row],[Context Instanciation]])</f>
        <v/>
      </c>
      <c r="D278" s="22" t="str">
        <f>NodesData[[#This Row],[Node ID]]</f>
        <v>n7F5407C3_E9C5_4FD3_A4BC_1BF68CE94502</v>
      </c>
      <c r="E278" s="10" t="s">
        <v>960</v>
      </c>
      <c r="F278" s="25" t="str" cm="1">
        <f t="array" ref="F278">IF(NodesJSON[[#This Row],[Export?]]=0,"",IF(ROW(NodesJSON[[#This Row],[label]])&gt;ROW(NodesJSON[[#Headers],[JSON]])+1,",","") &amp;"{"&amp;twoRangesToJSON(NodesJSON[[#Headers],[label]:[url]],NodesJSON[[#This Row],[label]:[url]])&amp;"}")</f>
        <v>,{"label":"LBAC","group":"","id":"n7F5407C3_E9C5_4FD3_A4BC_1BF68CE94502","url":"https://open-measure.atlassian.net/wiki/spaces/DIC/pages/67568133"}</v>
      </c>
    </row>
    <row r="279" spans="1:6" ht="13.9" thickTop="1" thickBot="1" x14ac:dyDescent="0.4">
      <c r="A279" s="39">
        <f>IF(ISERR(NodesJSON[[#This Row],[label]]),0,1)</f>
        <v>1</v>
      </c>
      <c r="B279" s="3" t="str">
        <f>NodesData[[#This Row],[Common Name]]</f>
        <v>Leading Indicator</v>
      </c>
      <c r="C279" s="3" t="str">
        <f>IF(NodesData[[#This Row],[Context Instanciation]]="","",NodesData[[#This Row],[Context Instanciation]])</f>
        <v/>
      </c>
      <c r="D279" s="22" t="str">
        <f>NodesData[[#This Row],[Node ID]]</f>
        <v>nCDB2CA01_F37D_45DF_8EBF_86192F36727D</v>
      </c>
      <c r="E279" s="10" t="s">
        <v>962</v>
      </c>
      <c r="F279" s="25" t="str" cm="1">
        <f t="array" ref="F279">IF(NodesJSON[[#This Row],[Export?]]=0,"",IF(ROW(NodesJSON[[#This Row],[label]])&gt;ROW(NodesJSON[[#Headers],[JSON]])+1,",","") &amp;"{"&amp;twoRangesToJSON(NodesJSON[[#Headers],[label]:[url]],NodesJSON[[#This Row],[label]:[url]])&amp;"}")</f>
        <v>,{"label":"Leading Indicator","group":"","id":"nCDB2CA01_F37D_45DF_8EBF_86192F36727D","url":"https://open-measure.atlassian.net/wiki/spaces/DIC/pages/998244357"}</v>
      </c>
    </row>
    <row r="280" spans="1:6" ht="13.9" thickTop="1" thickBot="1" x14ac:dyDescent="0.4">
      <c r="A280" s="39">
        <f>IF(ISERR(NodesJSON[[#This Row],[label]]),0,1)</f>
        <v>1</v>
      </c>
      <c r="B280" s="3" t="str">
        <f>NodesData[[#This Row],[Common Name]]</f>
        <v>Least Privilege</v>
      </c>
      <c r="C280" s="3" t="str">
        <f>IF(NodesData[[#This Row],[Context Instanciation]]="","",NodesData[[#This Row],[Context Instanciation]])</f>
        <v/>
      </c>
      <c r="D280" s="22" t="str">
        <f>NodesData[[#This Row],[Node ID]]</f>
        <v>n55E83346_C5D9_4522_AAFE_41AFD850D242</v>
      </c>
      <c r="E280" s="10" t="s">
        <v>958</v>
      </c>
      <c r="F280" s="25" t="str" cm="1">
        <f t="array" ref="F280">IF(NodesJSON[[#This Row],[Export?]]=0,"",IF(ROW(NodesJSON[[#This Row],[label]])&gt;ROW(NodesJSON[[#Headers],[JSON]])+1,",","") &amp;"{"&amp;twoRangesToJSON(NodesJSON[[#Headers],[label]:[url]],NodesJSON[[#This Row],[label]:[url]])&amp;"}")</f>
        <v>,{"label":"Least Privilege","group":"","id":"n55E83346_C5D9_4522_AAFE_41AFD850D242","url":"https://open-measure.atlassian.net/wiki/spaces/DIC/pages/446825168"}</v>
      </c>
    </row>
    <row r="281" spans="1:6" ht="13.9" thickTop="1" thickBot="1" x14ac:dyDescent="0.4">
      <c r="A281" s="39">
        <f>IF(ISERR(NodesJSON[[#This Row],[label]]),0,1)</f>
        <v>1</v>
      </c>
      <c r="B281" s="3" t="str">
        <f>NodesData[[#This Row],[Common Name]]</f>
        <v>Legal Entity Identifier</v>
      </c>
      <c r="C281" s="3" t="str">
        <f>IF(NodesData[[#This Row],[Context Instanciation]]="","",NodesData[[#This Row],[Context Instanciation]])</f>
        <v/>
      </c>
      <c r="D281" s="22" t="str">
        <f>NodesData[[#This Row],[Node ID]]</f>
        <v>n532F9243_3E60_4095_B0E5_8AEED1D0ED9A</v>
      </c>
      <c r="E281" s="10" t="s">
        <v>964</v>
      </c>
      <c r="F281" s="25" t="str" cm="1">
        <f t="array" ref="F281">IF(NodesJSON[[#This Row],[Export?]]=0,"",IF(ROW(NodesJSON[[#This Row],[label]])&gt;ROW(NodesJSON[[#Headers],[JSON]])+1,",","") &amp;"{"&amp;twoRangesToJSON(NodesJSON[[#Headers],[label]:[url]],NodesJSON[[#This Row],[label]:[url]])&amp;"}")</f>
        <v>,{"label":"Legal Entity Identifier","group":"","id":"n532F9243_3E60_4095_B0E5_8AEED1D0ED9A","url":"https://open-measure.atlassian.net/wiki/spaces/DIC/pages/1142358051"}</v>
      </c>
    </row>
    <row r="282" spans="1:6" ht="13.9" thickTop="1" thickBot="1" x14ac:dyDescent="0.4">
      <c r="A282" s="39">
        <f>IF(ISERR(NodesJSON[[#This Row],[label]]),0,1)</f>
        <v>1</v>
      </c>
      <c r="B282" s="3" t="str">
        <f>NodesData[[#This Row],[Common Name]]</f>
        <v>Legitimate Privilege Abuse</v>
      </c>
      <c r="C282" s="3" t="str">
        <f>IF(NodesData[[#This Row],[Context Instanciation]]="","",NodesData[[#This Row],[Context Instanciation]])</f>
        <v/>
      </c>
      <c r="D282" s="22" t="str">
        <f>NodesData[[#This Row],[Node ID]]</f>
        <v>n9DB8F87B_0E27_4ADC_A89D_30DC429109ED</v>
      </c>
      <c r="E282" s="10" t="s">
        <v>966</v>
      </c>
      <c r="F282" s="25" t="str" cm="1">
        <f t="array" ref="F282">IF(NodesJSON[[#This Row],[Export?]]=0,"",IF(ROW(NodesJSON[[#This Row],[label]])&gt;ROW(NodesJSON[[#Headers],[JSON]])+1,",","") &amp;"{"&amp;twoRangesToJSON(NodesJSON[[#Headers],[label]:[url]],NodesJSON[[#This Row],[label]:[url]])&amp;"}")</f>
        <v>,{"label":"Legitimate Privilege Abuse","group":"","id":"n9DB8F87B_0E27_4ADC_A89D_30DC429109ED","url":"https://open-measure.atlassian.net/wiki/spaces/DIC/pages/1142259761"}</v>
      </c>
    </row>
    <row r="283" spans="1:6" ht="13.9" thickTop="1" thickBot="1" x14ac:dyDescent="0.4">
      <c r="A283" s="39">
        <f>IF(ISERR(NodesJSON[[#This Row],[label]]),0,1)</f>
        <v>1</v>
      </c>
      <c r="B283" s="3" t="str">
        <f>NodesData[[#This Row],[Common Name]]</f>
        <v>LEI</v>
      </c>
      <c r="C283" s="3" t="str">
        <f>IF(NodesData[[#This Row],[Context Instanciation]]="","",NodesData[[#This Row],[Context Instanciation]])</f>
        <v/>
      </c>
      <c r="D283" s="22" t="str">
        <f>NodesData[[#This Row],[Node ID]]</f>
        <v>nE1D131E1_6E4B_4128_ACFC_B11E0284331D</v>
      </c>
      <c r="E283" s="10" t="s">
        <v>968</v>
      </c>
      <c r="F283" s="25" t="str" cm="1">
        <f t="array" ref="F283">IF(NodesJSON[[#This Row],[Export?]]=0,"",IF(ROW(NodesJSON[[#This Row],[label]])&gt;ROW(NodesJSON[[#Headers],[JSON]])+1,",","") &amp;"{"&amp;twoRangesToJSON(NodesJSON[[#Headers],[label]:[url]],NodesJSON[[#This Row],[label]:[url]])&amp;"}")</f>
        <v>,{"label":"LEI","group":"","id":"nE1D131E1_6E4B_4128_ACFC_B11E0284331D","url":"https://open-measure.atlassian.net/wiki/spaces/DIC/pages/3211353"}</v>
      </c>
    </row>
    <row r="284" spans="1:6" ht="13.9" thickTop="1" thickBot="1" x14ac:dyDescent="0.4">
      <c r="A284" s="39">
        <f>IF(ISERR(NodesJSON[[#This Row],[label]]),0,1)</f>
        <v>1</v>
      </c>
      <c r="B284" s="3" t="str">
        <f>NodesData[[#This Row],[Common Name]]</f>
        <v>Levels of Assurance</v>
      </c>
      <c r="C284" s="3" t="str">
        <f>IF(NodesData[[#This Row],[Context Instanciation]]="","",NodesData[[#This Row],[Context Instanciation]])</f>
        <v/>
      </c>
      <c r="D284" s="22" t="str">
        <f>NodesData[[#This Row],[Node ID]]</f>
        <v>n42CABDEA_283C_4884_BBFF_7B24A5E715E6</v>
      </c>
      <c r="E284" s="10" t="s">
        <v>970</v>
      </c>
      <c r="F284" s="25" t="str" cm="1">
        <f t="array" ref="F284">IF(NodesJSON[[#This Row],[Export?]]=0,"",IF(ROW(NodesJSON[[#This Row],[label]])&gt;ROW(NodesJSON[[#Headers],[JSON]])+1,",","") &amp;"{"&amp;twoRangesToJSON(NodesJSON[[#Headers],[label]:[url]],NodesJSON[[#This Row],[label]:[url]])&amp;"}")</f>
        <v>,{"label":"Levels of Assurance","group":"","id":"n42CABDEA_283C_4884_BBFF_7B24A5E715E6","url":"https://open-measure.atlassian.net/wiki/spaces/DIC/pages/148439181"}</v>
      </c>
    </row>
    <row r="285" spans="1:6" ht="13.9" thickTop="1" thickBot="1" x14ac:dyDescent="0.4">
      <c r="A285" s="39">
        <f>IF(ISERR(NodesJSON[[#This Row],[label]]),0,1)</f>
        <v>1</v>
      </c>
      <c r="B285" s="3" t="str">
        <f>NodesData[[#This Row],[Common Name]]</f>
        <v>Liberal Discretionary Access Control</v>
      </c>
      <c r="C285" s="3" t="str">
        <f>IF(NodesData[[#This Row],[Context Instanciation]]="","",NodesData[[#This Row],[Context Instanciation]])</f>
        <v/>
      </c>
      <c r="D285" s="22" t="str">
        <f>NodesData[[#This Row],[Node ID]]</f>
        <v>n6803C365_1074_4F24_A95A_585E021E5FF0</v>
      </c>
      <c r="E285" s="10" t="s">
        <v>972</v>
      </c>
      <c r="F285" s="25" t="str" cm="1">
        <f t="array" ref="F285">IF(NodesJSON[[#This Row],[Export?]]=0,"",IF(ROW(NodesJSON[[#This Row],[label]])&gt;ROW(NodesJSON[[#Headers],[JSON]])+1,",","") &amp;"{"&amp;twoRangesToJSON(NodesJSON[[#Headers],[label]:[url]],NodesJSON[[#This Row],[label]:[url]])&amp;"}")</f>
        <v>,{"label":"Liberal Discretionary Access Control","group":"","id":"n6803C365_1074_4F24_A95A_585E021E5FF0","url":"https://open-measure.atlassian.net/wiki/spaces/DIC/pages/5932838"}</v>
      </c>
    </row>
    <row r="286" spans="1:6" ht="13.9" thickTop="1" thickBot="1" x14ac:dyDescent="0.4">
      <c r="A286" s="39">
        <f>IF(ISERR(NodesJSON[[#This Row],[label]]),0,1)</f>
        <v>1</v>
      </c>
      <c r="B286" s="3" t="str">
        <f>NodesData[[#This Row],[Common Name]]</f>
        <v>LOA</v>
      </c>
      <c r="C286" s="3" t="str">
        <f>IF(NodesData[[#This Row],[Context Instanciation]]="","",NodesData[[#This Row],[Context Instanciation]])</f>
        <v/>
      </c>
      <c r="D286" s="22" t="str">
        <f>NodesData[[#This Row],[Node ID]]</f>
        <v>n0CFBF92C_8241_4364_871A_4D3705CF95A0</v>
      </c>
      <c r="E286" s="10" t="s">
        <v>973</v>
      </c>
      <c r="F286" s="25" t="str" cm="1">
        <f t="array" ref="F286">IF(NodesJSON[[#This Row],[Export?]]=0,"",IF(ROW(NodesJSON[[#This Row],[label]])&gt;ROW(NodesJSON[[#Headers],[JSON]])+1,",","") &amp;"{"&amp;twoRangesToJSON(NodesJSON[[#Headers],[label]:[url]],NodesJSON[[#This Row],[label]:[url]])&amp;"}")</f>
        <v>,{"label":"LOA","group":"","id":"n0CFBF92C_8241_4364_871A_4D3705CF95A0","url":"https://open-measure.atlassian.net/wiki/spaces/DIC/pages/1311403"}</v>
      </c>
    </row>
    <row r="287" spans="1:6" ht="13.9" thickTop="1" thickBot="1" x14ac:dyDescent="0.4">
      <c r="A287" s="39">
        <f>IF(ISERR(NodesJSON[[#This Row],[label]]),0,1)</f>
        <v>1</v>
      </c>
      <c r="B287" s="3" t="str">
        <f>NodesData[[#This Row],[Common Name]]</f>
        <v>Location Factor</v>
      </c>
      <c r="C287" s="3" t="str">
        <f>IF(NodesData[[#This Row],[Context Instanciation]]="","",NodesData[[#This Row],[Context Instanciation]])</f>
        <v/>
      </c>
      <c r="D287" s="22" t="str">
        <f>NodesData[[#This Row],[Node ID]]</f>
        <v>nE61E61F3_D210_49D4_9FB5_8E7744490C9D</v>
      </c>
      <c r="E287" s="10" t="s">
        <v>974</v>
      </c>
      <c r="F287" s="25" t="str" cm="1">
        <f t="array" ref="F287">IF(NodesJSON[[#This Row],[Export?]]=0,"",IF(ROW(NodesJSON[[#This Row],[label]])&gt;ROW(NodesJSON[[#Headers],[JSON]])+1,",","") &amp;"{"&amp;twoRangesToJSON(NodesJSON[[#Headers],[label]:[url]],NodesJSON[[#This Row],[label]:[url]])&amp;"}")</f>
        <v>,{"label":"Location Factor","group":"","id":"nE61E61F3_D210_49D4_9FB5_8E7744490C9D","url":"https://open-measure.atlassian.net/wiki/spaces/DIC/pages/557057"}</v>
      </c>
    </row>
    <row r="288" spans="1:6" ht="13.9" thickTop="1" thickBot="1" x14ac:dyDescent="0.4">
      <c r="A288" s="39">
        <f>IF(ISERR(NodesJSON[[#This Row],[label]]),0,1)</f>
        <v>1</v>
      </c>
      <c r="B288" s="3" t="str">
        <f>NodesData[[#This Row],[Common Name]]</f>
        <v>Logic Bomb</v>
      </c>
      <c r="C288" s="3" t="str">
        <f>IF(NodesData[[#This Row],[Context Instanciation]]="","",NodesData[[#This Row],[Context Instanciation]])</f>
        <v/>
      </c>
      <c r="D288" s="22" t="str">
        <f>NodesData[[#This Row],[Node ID]]</f>
        <v>n0824A767_06E0_42E4_86AA_C7ECB7A1A81E</v>
      </c>
      <c r="E288" s="10" t="s">
        <v>976</v>
      </c>
      <c r="F288" s="25" t="str" cm="1">
        <f t="array" ref="F288">IF(NodesJSON[[#This Row],[Export?]]=0,"",IF(ROW(NodesJSON[[#This Row],[label]])&gt;ROW(NodesJSON[[#Headers],[JSON]])+1,",","") &amp;"{"&amp;twoRangesToJSON(NodesJSON[[#Headers],[label]:[url]],NodesJSON[[#This Row],[label]:[url]])&amp;"}")</f>
        <v>,{"label":"Logic Bomb","group":"","id":"n0824A767_06E0_42E4_86AA_C7ECB7A1A81E","url":"https://open-measure.atlassian.net/wiki/spaces/DIC/pages/1061650550"}</v>
      </c>
    </row>
    <row r="289" spans="1:6" ht="13.9" thickTop="1" thickBot="1" x14ac:dyDescent="0.4">
      <c r="A289" s="39">
        <f>IF(ISERR(NodesJSON[[#This Row],[label]]),0,1)</f>
        <v>1</v>
      </c>
      <c r="B289" s="3" t="str">
        <f>NodesData[[#This Row],[Common Name]]</f>
        <v>Login</v>
      </c>
      <c r="C289" s="3" t="str">
        <f>IF(NodesData[[#This Row],[Context Instanciation]]="","",NodesData[[#This Row],[Context Instanciation]])</f>
        <v/>
      </c>
      <c r="D289" s="22" t="str">
        <f>NodesData[[#This Row],[Node ID]]</f>
        <v>n46EF9D9A_E262_42CE_84DD_31B44FFFC872</v>
      </c>
      <c r="E289" s="10" t="s">
        <v>977</v>
      </c>
      <c r="F289" s="25" t="str" cm="1">
        <f t="array" ref="F289">IF(NodesJSON[[#This Row],[Export?]]=0,"",IF(ROW(NodesJSON[[#This Row],[label]])&gt;ROW(NodesJSON[[#Headers],[JSON]])+1,",","") &amp;"{"&amp;twoRangesToJSON(NodesJSON[[#Headers],[label]:[url]],NodesJSON[[#This Row],[label]:[url]])&amp;"}")</f>
        <v>,{"label":"Login","group":"","id":"n46EF9D9A_E262_42CE_84DD_31B44FFFC872","url":"https://open-measure.atlassian.net/wiki/spaces/DIC/pages/1062207530/Orphan+Account"}</v>
      </c>
    </row>
    <row r="290" spans="1:6" ht="13.9" thickTop="1" thickBot="1" x14ac:dyDescent="0.4">
      <c r="A290" s="39">
        <f>IF(ISERR(NodesJSON[[#This Row],[label]]),0,1)</f>
        <v>1</v>
      </c>
      <c r="B290" s="3" t="str">
        <f>NodesData[[#This Row],[Common Name]]</f>
        <v>Login ID</v>
      </c>
      <c r="C290" s="3" t="str">
        <f>IF(NodesData[[#This Row],[Context Instanciation]]="","",NodesData[[#This Row],[Context Instanciation]])</f>
        <v/>
      </c>
      <c r="D290" s="22" t="str">
        <f>NodesData[[#This Row],[Node ID]]</f>
        <v>nE45E61D9_9369_4987_B110_303B87C7DD18</v>
      </c>
      <c r="E290" s="10" t="s">
        <v>979</v>
      </c>
      <c r="F290" s="25" t="str" cm="1">
        <f t="array" ref="F290">IF(NodesJSON[[#This Row],[Export?]]=0,"",IF(ROW(NodesJSON[[#This Row],[label]])&gt;ROW(NodesJSON[[#Headers],[JSON]])+1,",","") &amp;"{"&amp;twoRangesToJSON(NodesJSON[[#Headers],[label]:[url]],NodesJSON[[#This Row],[label]:[url]])&amp;"}")</f>
        <v>,{"label":"Login ID","group":"","id":"nE45E61D9_9369_4987_B110_303B87C7DD18","url":"https://open-measure.atlassian.net/wiki/spaces/DIC/pages/1061748965"}</v>
      </c>
    </row>
    <row r="291" spans="1:6" ht="13.9" thickTop="1" thickBot="1" x14ac:dyDescent="0.4">
      <c r="A291" s="39">
        <f>IF(ISERR(NodesJSON[[#This Row],[label]]),0,1)</f>
        <v>1</v>
      </c>
      <c r="B291" s="3" t="str">
        <f>NodesData[[#This Row],[Common Name]]</f>
        <v>Login Name</v>
      </c>
      <c r="C291" s="3" t="str">
        <f>IF(NodesData[[#This Row],[Context Instanciation]]="","",NodesData[[#This Row],[Context Instanciation]])</f>
        <v/>
      </c>
      <c r="D291" s="22" t="str">
        <f>NodesData[[#This Row],[Node ID]]</f>
        <v>n7CFF42F4_F82C_4184_81FE_6459832E495C</v>
      </c>
      <c r="E291" s="10" t="s">
        <v>981</v>
      </c>
      <c r="F291" s="25" t="str" cm="1">
        <f t="array" ref="F291">IF(NodesJSON[[#This Row],[Export?]]=0,"",IF(ROW(NodesJSON[[#This Row],[label]])&gt;ROW(NodesJSON[[#Headers],[JSON]])+1,",","") &amp;"{"&amp;twoRangesToJSON(NodesJSON[[#Headers],[label]:[url]],NodesJSON[[#This Row],[label]:[url]])&amp;"}")</f>
        <v>,{"label":"Login Name","group":"","id":"n7CFF42F4_F82C_4184_81FE_6459832E495C","url":"https://open-measure.atlassian.net/wiki/spaces/DIC/pages/1061650653"}</v>
      </c>
    </row>
    <row r="292" spans="1:6" ht="13.9" thickTop="1" thickBot="1" x14ac:dyDescent="0.4">
      <c r="A292" s="39">
        <f>IF(ISERR(NodesJSON[[#This Row],[label]]),0,1)</f>
        <v>1</v>
      </c>
      <c r="B292" s="3" t="str">
        <f>NodesData[[#This Row],[Common Name]]</f>
        <v>Make MFA Mandatory</v>
      </c>
      <c r="C292" s="3" t="str">
        <f>IF(NodesData[[#This Row],[Context Instanciation]]="","",NodesData[[#This Row],[Context Instanciation]])</f>
        <v/>
      </c>
      <c r="D292" s="22" t="str">
        <f>NodesData[[#This Row],[Node ID]]</f>
        <v>nCC292B9C_DF75_4B68_B63E_75C8C586FD1E</v>
      </c>
      <c r="E292" s="10" t="s">
        <v>983</v>
      </c>
      <c r="F292" s="25" t="str" cm="1">
        <f t="array" ref="F292">IF(NodesJSON[[#This Row],[Export?]]=0,"",IF(ROW(NodesJSON[[#This Row],[label]])&gt;ROW(NodesJSON[[#Headers],[JSON]])+1,",","") &amp;"{"&amp;twoRangesToJSON(NodesJSON[[#Headers],[label]:[url]],NodesJSON[[#This Row],[label]:[url]])&amp;"}")</f>
        <v>,{"label":"Make MFA Mandatory","group":"","id":"nCC292B9C_DF75_4B68_B63E_75C8C586FD1E","url":"https://open-measure.atlassian.net/wiki/spaces/DIC/pages/1061748925"}</v>
      </c>
    </row>
    <row r="293" spans="1:6" ht="13.9" thickTop="1" thickBot="1" x14ac:dyDescent="0.4">
      <c r="A293" s="39">
        <f>IF(ISERR(NodesJSON[[#This Row],[label]]),0,1)</f>
        <v>1</v>
      </c>
      <c r="B293" s="3" t="str">
        <f>NodesData[[#This Row],[Common Name]]</f>
        <v>Mechanism</v>
      </c>
      <c r="C293" s="3" t="str">
        <f>IF(NodesData[[#This Row],[Context Instanciation]]="","",NodesData[[#This Row],[Context Instanciation]])</f>
        <v/>
      </c>
      <c r="D293" s="22" t="str">
        <f>NodesData[[#This Row],[Node ID]]</f>
        <v>n5093C332_EBE3_4146_9E6E_13A644D6709F</v>
      </c>
      <c r="E293" s="10" t="s">
        <v>985</v>
      </c>
      <c r="F293" s="25" t="str" cm="1">
        <f t="array" ref="F293">IF(NodesJSON[[#This Row],[Export?]]=0,"",IF(ROW(NodesJSON[[#This Row],[label]])&gt;ROW(NodesJSON[[#Headers],[JSON]])+1,",","") &amp;"{"&amp;twoRangesToJSON(NodesJSON[[#Headers],[label]:[url]],NodesJSON[[#This Row],[label]:[url]])&amp;"}")</f>
        <v>,{"label":"Mechanism","group":"","id":"n5093C332_EBE3_4146_9E6E_13A644D6709F","url":"https://open-measure.atlassian.net/wiki/spaces/DIC/pages/1061749016"}</v>
      </c>
    </row>
    <row r="294" spans="1:6" ht="13.9" thickTop="1" thickBot="1" x14ac:dyDescent="0.4">
      <c r="A294" s="39">
        <f>IF(ISERR(NodesJSON[[#This Row],[label]]),0,1)</f>
        <v>1</v>
      </c>
      <c r="B294" s="3" t="str">
        <f>NodesData[[#This Row],[Common Name]]</f>
        <v>Metadirectory</v>
      </c>
      <c r="C294" s="3" t="str">
        <f>IF(NodesData[[#This Row],[Context Instanciation]]="","",NodesData[[#This Row],[Context Instanciation]])</f>
        <v/>
      </c>
      <c r="D294" s="22" t="str">
        <f>NodesData[[#This Row],[Node ID]]</f>
        <v>nFADAB6B8_8A3D_435C_9AD9_15538E50E471</v>
      </c>
      <c r="E294" s="10" t="s">
        <v>987</v>
      </c>
      <c r="F294" s="25" t="str" cm="1">
        <f t="array" ref="F294">IF(NodesJSON[[#This Row],[Export?]]=0,"",IF(ROW(NodesJSON[[#This Row],[label]])&gt;ROW(NodesJSON[[#Headers],[JSON]])+1,",","") &amp;"{"&amp;twoRangesToJSON(NodesJSON[[#Headers],[label]:[url]],NodesJSON[[#This Row],[label]:[url]])&amp;"}")</f>
        <v>,{"label":"Metadirectory","group":"","id":"nFADAB6B8_8A3D_435C_9AD9_15538E50E471","url":"https://open-measure.atlassian.net/wiki/spaces/DIC/pages/1063845889"}</v>
      </c>
    </row>
    <row r="295" spans="1:6" ht="13.9" thickTop="1" thickBot="1" x14ac:dyDescent="0.4">
      <c r="A295" s="39">
        <f>IF(ISERR(NodesJSON[[#This Row],[label]]),0,1)</f>
        <v>1</v>
      </c>
      <c r="B295" s="3" t="str">
        <f>NodesData[[#This Row],[Common Name]]</f>
        <v>Multidomain Single Sign-On</v>
      </c>
      <c r="C295" s="3" t="str">
        <f>IF(NodesData[[#This Row],[Context Instanciation]]="","",NodesData[[#This Row],[Context Instanciation]])</f>
        <v/>
      </c>
      <c r="D295" s="22" t="str">
        <f>NodesData[[#This Row],[Node ID]]</f>
        <v>nE2E1BE6A_43E8_4B96_8DF5_2E30C8EF3BDF</v>
      </c>
      <c r="E295" s="10" t="s">
        <v>989</v>
      </c>
      <c r="F295" s="25" t="str" cm="1">
        <f t="array" ref="F295">IF(NodesJSON[[#This Row],[Export?]]=0,"",IF(ROW(NodesJSON[[#This Row],[label]])&gt;ROW(NodesJSON[[#Headers],[JSON]])+1,",","") &amp;"{"&amp;twoRangesToJSON(NodesJSON[[#Headers],[label]:[url]],NodesJSON[[#This Row],[label]:[url]])&amp;"}")</f>
        <v>,{"label":"Multidomain Single Sign-On","group":"","id":"nE2E1BE6A_43E8_4B96_8DF5_2E30C8EF3BDF","url":"https://open-measure.atlassian.net/wiki/spaces/DIC/pages/1061650689"}</v>
      </c>
    </row>
    <row r="296" spans="1:6" ht="13.9" thickTop="1" thickBot="1" x14ac:dyDescent="0.4">
      <c r="A296" s="39">
        <f>IF(ISERR(NodesJSON[[#This Row],[label]]),0,1)</f>
        <v>1</v>
      </c>
      <c r="B296" s="3" t="str">
        <f>NodesData[[#This Row],[Common Name]]</f>
        <v>Multilevel Security</v>
      </c>
      <c r="C296" s="3" t="str">
        <f>IF(NodesData[[#This Row],[Context Instanciation]]="","",NodesData[[#This Row],[Context Instanciation]])</f>
        <v/>
      </c>
      <c r="D296" s="22" t="str">
        <f>NodesData[[#This Row],[Node ID]]</f>
        <v>nF7063463_177E_42A8_8F09_57EF6B9D00BD</v>
      </c>
      <c r="E296" s="10" t="s">
        <v>991</v>
      </c>
      <c r="F296" s="25" t="str" cm="1">
        <f t="array" ref="F296">IF(NodesJSON[[#This Row],[Export?]]=0,"",IF(ROW(NodesJSON[[#This Row],[label]])&gt;ROW(NodesJSON[[#Headers],[JSON]])+1,",","") &amp;"{"&amp;twoRangesToJSON(NodesJSON[[#Headers],[label]:[url]],NodesJSON[[#This Row],[label]:[url]])&amp;"}")</f>
        <v>,{"label":"Multilevel Security","group":"","id":"nF7063463_177E_42A8_8F09_57EF6B9D00BD","url":"https://open-measure.atlassian.net/wiki/spaces/DIC/pages/1061748885"}</v>
      </c>
    </row>
    <row r="297" spans="1:6" ht="13.9" thickTop="1" thickBot="1" x14ac:dyDescent="0.4">
      <c r="A297" s="39">
        <f>IF(ISERR(NodesJSON[[#This Row],[label]]),0,1)</f>
        <v>1</v>
      </c>
      <c r="B297" s="3" t="str">
        <f>NodesData[[#This Row],[Common Name]]</f>
        <v>Multi-Modal Biometric Authentication</v>
      </c>
      <c r="C297" s="3" t="str">
        <f>IF(NodesData[[#This Row],[Context Instanciation]]="","",NodesData[[#This Row],[Context Instanciation]])</f>
        <v/>
      </c>
      <c r="D297" s="22" t="str">
        <f>NodesData[[#This Row],[Node ID]]</f>
        <v>nF4329B4E_89AE_4B13_8BA2_B6BEFB931A12</v>
      </c>
      <c r="E297" s="4"/>
      <c r="F297" s="25" t="str" cm="1">
        <f t="array" ref="F297">IF(NodesJSON[[#This Row],[Export?]]=0,"",IF(ROW(NodesJSON[[#This Row],[label]])&gt;ROW(NodesJSON[[#Headers],[JSON]])+1,",","") &amp;"{"&amp;twoRangesToJSON(NodesJSON[[#Headers],[label]:[url]],NodesJSON[[#This Row],[label]:[url]])&amp;"}")</f>
        <v>,{"label":"Multi-Modal Biometric Authentication","group":"","id":"nF4329B4E_89AE_4B13_8BA2_B6BEFB931A12","url":""}</v>
      </c>
    </row>
    <row r="298" spans="1:6" ht="13.9" thickTop="1" thickBot="1" x14ac:dyDescent="0.4">
      <c r="A298" s="39">
        <f>IF(ISERR(NodesJSON[[#This Row],[label]]),0,1)</f>
        <v>1</v>
      </c>
      <c r="B298" s="3" t="str">
        <f>NodesData[[#This Row],[Common Name]]</f>
        <v>Multiple Accounts</v>
      </c>
      <c r="C298" s="3" t="str">
        <f>IF(NodesData[[#This Row],[Context Instanciation]]="","",NodesData[[#This Row],[Context Instanciation]])</f>
        <v/>
      </c>
      <c r="D298" s="22" t="str">
        <f>NodesData[[#This Row],[Node ID]]</f>
        <v>n526624DF_C2E0_4B21_9A61_CEED4CD47F26</v>
      </c>
      <c r="E298" s="10" t="s">
        <v>992</v>
      </c>
      <c r="F298" s="25" t="str" cm="1">
        <f t="array" ref="F298">IF(NodesJSON[[#This Row],[Export?]]=0,"",IF(ROW(NodesJSON[[#This Row],[label]])&gt;ROW(NodesJSON[[#Headers],[JSON]])+1,",","") &amp;"{"&amp;twoRangesToJSON(NodesJSON[[#Headers],[label]:[url]],NodesJSON[[#This Row],[label]:[url]])&amp;"}")</f>
        <v>,{"label":"Multiple Accounts","group":"","id":"n526624DF_C2E0_4B21_9A61_CEED4CD47F26","url":"https://open-measure.atlassian.net/wiki/spaces/DIC/pages/1472692289/Outsider"}</v>
      </c>
    </row>
    <row r="299" spans="1:6" ht="13.9" thickTop="1" thickBot="1" x14ac:dyDescent="0.4">
      <c r="A299" s="39">
        <f>IF(ISERR(NodesJSON[[#This Row],[label]]),0,1)</f>
        <v>1</v>
      </c>
      <c r="B299" s="3" t="str">
        <f>NodesData[[#This Row],[Common Name]]</f>
        <v>Mutual Authentication</v>
      </c>
      <c r="C299" s="3" t="str">
        <f>IF(NodesData[[#This Row],[Context Instanciation]]="","",NodesData[[#This Row],[Context Instanciation]])</f>
        <v/>
      </c>
      <c r="D299" s="22" t="str">
        <f>NodesData[[#This Row],[Node ID]]</f>
        <v>n64D10171_0B22_4711_A563_45B7D52F62A1</v>
      </c>
      <c r="E299" s="4"/>
      <c r="F299" s="25" t="str" cm="1">
        <f t="array" ref="F299">IF(NodesJSON[[#This Row],[Export?]]=0,"",IF(ROW(NodesJSON[[#This Row],[label]])&gt;ROW(NodesJSON[[#Headers],[JSON]])+1,",","") &amp;"{"&amp;twoRangesToJSON(NodesJSON[[#Headers],[label]:[url]],NodesJSON[[#This Row],[label]:[url]])&amp;"}")</f>
        <v>,{"label":"Mutual Authentication","group":"","id":"n64D10171_0B22_4711_A563_45B7D52F62A1","url":""}</v>
      </c>
    </row>
    <row r="300" spans="1:6" ht="13.9" thickTop="1" thickBot="1" x14ac:dyDescent="0.4">
      <c r="A300" s="39">
        <f>IF(ISERR(NodesJSON[[#This Row],[label]]),0,1)</f>
        <v>1</v>
      </c>
      <c r="B300" s="3" t="str">
        <f>NodesData[[#This Row],[Common Name]]</f>
        <v>Need-to-Know</v>
      </c>
      <c r="C300" s="3" t="str">
        <f>IF(NodesData[[#This Row],[Context Instanciation]]="","",NodesData[[#This Row],[Context Instanciation]])</f>
        <v/>
      </c>
      <c r="D300" s="22" t="str">
        <f>NodesData[[#This Row],[Node ID]]</f>
        <v>n5E26B41D_6E03_4C12_AACA_F0C33BED131F</v>
      </c>
      <c r="E300" s="10" t="s">
        <v>994</v>
      </c>
      <c r="F300" s="25" t="str" cm="1">
        <f t="array" ref="F300">IF(NodesJSON[[#This Row],[Export?]]=0,"",IF(ROW(NodesJSON[[#This Row],[label]])&gt;ROW(NodesJSON[[#Headers],[JSON]])+1,",","") &amp;"{"&amp;twoRangesToJSON(NodesJSON[[#Headers],[label]:[url]],NodesJSON[[#This Row],[label]:[url]])&amp;"}")</f>
        <v>,{"label":"Need-to-Know","group":"","id":"n5E26B41D_6E03_4C12_AACA_F0C33BED131F","url":"https://open-measure.atlassian.net/wiki/spaces/DIC/pages/974323764"}</v>
      </c>
    </row>
    <row r="301" spans="1:6" ht="13.9" thickTop="1" thickBot="1" x14ac:dyDescent="0.4">
      <c r="A301" s="39">
        <f>IF(ISERR(NodesJSON[[#This Row],[label]]),0,1)</f>
        <v>1</v>
      </c>
      <c r="B301" s="3" t="str">
        <f>NodesData[[#This Row],[Common Name]]</f>
        <v>New Joiner</v>
      </c>
      <c r="C301" s="3" t="str">
        <f>IF(NodesData[[#This Row],[Context Instanciation]]="","",NodesData[[#This Row],[Context Instanciation]])</f>
        <v/>
      </c>
      <c r="D301" s="22" t="str">
        <f>NodesData[[#This Row],[Node ID]]</f>
        <v>n42AE1DFB_EDB7_42D2_89EE_3945EA0F348C</v>
      </c>
      <c r="E301" s="4"/>
      <c r="F301" s="25" t="str" cm="1">
        <f t="array" ref="F301">IF(NodesJSON[[#This Row],[Export?]]=0,"",IF(ROW(NodesJSON[[#This Row],[label]])&gt;ROW(NodesJSON[[#Headers],[JSON]])+1,",","") &amp;"{"&amp;twoRangesToJSON(NodesJSON[[#Headers],[label]:[url]],NodesJSON[[#This Row],[label]:[url]])&amp;"}")</f>
        <v>,{"label":"New Joiner","group":"","id":"n42AE1DFB_EDB7_42D2_89EE_3945EA0F348C","url":""}</v>
      </c>
    </row>
    <row r="302" spans="1:6" ht="13.9" thickTop="1" thickBot="1" x14ac:dyDescent="0.4">
      <c r="A302" s="39">
        <f>IF(ISERR(NodesJSON[[#This Row],[label]]),0,1)</f>
        <v>1</v>
      </c>
      <c r="B302" s="3" t="str">
        <f>NodesData[[#This Row],[Common Name]]</f>
        <v>No Tranquility Property</v>
      </c>
      <c r="C302" s="3" t="str">
        <f>IF(NodesData[[#This Row],[Context Instanciation]]="","",NodesData[[#This Row],[Context Instanciation]])</f>
        <v/>
      </c>
      <c r="D302" s="22" t="str">
        <f>NodesData[[#This Row],[Node ID]]</f>
        <v>n4ED00BBB_87C8_4B44_B7F1_FEDB8DD6A7D4</v>
      </c>
      <c r="E302" s="8"/>
      <c r="F302" s="25" t="str" cm="1">
        <f t="array" ref="F302">IF(NodesJSON[[#This Row],[Export?]]=0,"",IF(ROW(NodesJSON[[#This Row],[label]])&gt;ROW(NodesJSON[[#Headers],[JSON]])+1,",","") &amp;"{"&amp;twoRangesToJSON(NodesJSON[[#Headers],[label]:[url]],NodesJSON[[#This Row],[label]:[url]])&amp;"}")</f>
        <v>,{"label":"No Tranquility Property","group":"","id":"n4ED00BBB_87C8_4B44_B7F1_FEDB8DD6A7D4","url":""}</v>
      </c>
    </row>
    <row r="303" spans="1:6" ht="13.9" thickTop="1" thickBot="1" x14ac:dyDescent="0.4">
      <c r="A303" s="39">
        <f>IF(ISERR(NodesJSON[[#This Row],[label]]),0,1)</f>
        <v>1</v>
      </c>
      <c r="B303" s="3" t="str">
        <f>NodesData[[#This Row],[Common Name]]</f>
        <v>Nonworker</v>
      </c>
      <c r="C303" s="3" t="str">
        <f>IF(NodesData[[#This Row],[Context Instanciation]]="","",NodesData[[#This Row],[Context Instanciation]])</f>
        <v/>
      </c>
      <c r="D303" s="22" t="str">
        <f>NodesData[[#This Row],[Node ID]]</f>
        <v>n2B01D047_3E55_4928_89FF_89BF0E4C9A55</v>
      </c>
      <c r="E303" s="10" t="s">
        <v>995</v>
      </c>
      <c r="F303" s="25" t="str" cm="1">
        <f t="array" ref="F303">IF(NodesJSON[[#This Row],[Export?]]=0,"",IF(ROW(NodesJSON[[#This Row],[label]])&gt;ROW(NodesJSON[[#Headers],[JSON]])+1,",","") &amp;"{"&amp;twoRangesToJSON(NodesJSON[[#Headers],[label]:[url]],NodesJSON[[#This Row],[label]:[url]])&amp;"}")</f>
        <v>,{"label":"Nonworker","group":"","id":"n2B01D047_3E55_4928_89FF_89BF0E4C9A55","url":"https://open-measure.atlassian.net/wiki/spaces/DIC/pages/1428652394/Password+Guessing+Attack"}</v>
      </c>
    </row>
    <row r="304" spans="1:6" ht="13.9" thickTop="1" thickBot="1" x14ac:dyDescent="0.4">
      <c r="A304" s="39">
        <f>IF(ISERR(NodesJSON[[#This Row],[label]]),0,1)</f>
        <v>1</v>
      </c>
      <c r="B304" s="3" t="str">
        <f>NodesData[[#This Row],[Common Name]]</f>
        <v>Numerical Identity</v>
      </c>
      <c r="C304" s="3" t="str">
        <f>IF(NodesData[[#This Row],[Context Instanciation]]="","",NodesData[[#This Row],[Context Instanciation]])</f>
        <v/>
      </c>
      <c r="D304" s="22" t="str">
        <f>NodesData[[#This Row],[Node ID]]</f>
        <v>n5FC0E690_BD8A_4D6A_8185_1DC8FF5EE7BE</v>
      </c>
      <c r="E304" s="10" t="s">
        <v>997</v>
      </c>
      <c r="F304" s="25" t="str" cm="1">
        <f t="array" ref="F304">IF(NodesJSON[[#This Row],[Export?]]=0,"",IF(ROW(NodesJSON[[#This Row],[label]])&gt;ROW(NodesJSON[[#Headers],[JSON]])+1,",","") &amp;"{"&amp;twoRangesToJSON(NodesJSON[[#Headers],[label]:[url]],NodesJSON[[#This Row],[label]:[url]])&amp;"}")</f>
        <v>,{"label":"Numerical Identity","group":"","id":"n5FC0E690_BD8A_4D6A_8185_1DC8FF5EE7BE","url":"https://open-measure.atlassian.net/wiki/spaces/DIC/pages/1027048058"}</v>
      </c>
    </row>
    <row r="305" spans="1:6" ht="13.9" thickTop="1" thickBot="1" x14ac:dyDescent="0.4">
      <c r="A305" s="39">
        <f>IF(ISERR(NodesJSON[[#This Row],[label]]),0,1)</f>
        <v>1</v>
      </c>
      <c r="B305" s="3" t="str">
        <f>NodesData[[#This Row],[Common Name]]</f>
        <v>OAuth</v>
      </c>
      <c r="C305" s="3" t="str">
        <f>IF(NodesData[[#This Row],[Context Instanciation]]="","",NodesData[[#This Row],[Context Instanciation]])</f>
        <v/>
      </c>
      <c r="D305" s="22" t="str">
        <f>NodesData[[#This Row],[Node ID]]</f>
        <v>n59BB7020_7AB1_4728_86F2_1E393E0E8707</v>
      </c>
      <c r="E305" s="10" t="s">
        <v>998</v>
      </c>
      <c r="F305" s="25" t="str" cm="1">
        <f t="array" ref="F305">IF(NodesJSON[[#This Row],[Export?]]=0,"",IF(ROW(NodesJSON[[#This Row],[label]])&gt;ROW(NodesJSON[[#Headers],[JSON]])+1,",","") &amp;"{"&amp;twoRangesToJSON(NodesJSON[[#Headers],[label]:[url]],NodesJSON[[#This Row],[label]:[url]])&amp;"}")</f>
        <v>,{"label":"OAuth","group":"","id":"n59BB7020_7AB1_4728_86F2_1E393E0E8707","url":"https://open-measure.atlassian.net/wiki/spaces/DIC/pages/1348730921/Password+Spraying+Attack"}</v>
      </c>
    </row>
    <row r="306" spans="1:6" ht="13.9" thickTop="1" thickBot="1" x14ac:dyDescent="0.4">
      <c r="A306" s="39">
        <f>IF(ISERR(NodesJSON[[#This Row],[label]]),0,1)</f>
        <v>1</v>
      </c>
      <c r="B306" s="3" t="str">
        <f>NodesData[[#This Row],[Common Name]]</f>
        <v>Object</v>
      </c>
      <c r="C306" s="3" t="str">
        <f>IF(NodesData[[#This Row],[Context Instanciation]]="","",NodesData[[#This Row],[Context Instanciation]])</f>
        <v/>
      </c>
      <c r="D306" s="22" t="str">
        <f>NodesData[[#This Row],[Node ID]]</f>
        <v>nBB8CA37A_77F7_45A6_8D48_E3EAE7C070CC</v>
      </c>
      <c r="E306" s="8"/>
      <c r="F306" s="25" t="str" cm="1">
        <f t="array" ref="F306">IF(NodesJSON[[#This Row],[Export?]]=0,"",IF(ROW(NodesJSON[[#This Row],[label]])&gt;ROW(NodesJSON[[#Headers],[JSON]])+1,",","") &amp;"{"&amp;twoRangesToJSON(NodesJSON[[#Headers],[label]:[url]],NodesJSON[[#This Row],[label]:[url]])&amp;"}")</f>
        <v>,{"label":"Object","group":"","id":"nBB8CA37A_77F7_45A6_8D48_E3EAE7C070CC","url":""}</v>
      </c>
    </row>
    <row r="307" spans="1:6" ht="13.9" thickTop="1" thickBot="1" x14ac:dyDescent="0.4">
      <c r="A307" s="39">
        <f>IF(ISERR(NodesJSON[[#This Row],[label]]),0,1)</f>
        <v>1</v>
      </c>
      <c r="B307" s="3" t="str">
        <f>NodesData[[#This Row],[Common Name]]</f>
        <v>Omission Error</v>
      </c>
      <c r="C307" s="3" t="str">
        <f>IF(NodesData[[#This Row],[Context Instanciation]]="","",NodesData[[#This Row],[Context Instanciation]])</f>
        <v/>
      </c>
      <c r="D307" s="22" t="str">
        <f>NodesData[[#This Row],[Node ID]]</f>
        <v>nE5FB6AFC_FC63_4B56_A4C6_E23F16E9BC61</v>
      </c>
      <c r="E307" s="10" t="s">
        <v>1000</v>
      </c>
      <c r="F307" s="25" t="str" cm="1">
        <f t="array" ref="F307">IF(NodesJSON[[#This Row],[Export?]]=0,"",IF(ROW(NodesJSON[[#This Row],[label]])&gt;ROW(NodesJSON[[#Headers],[JSON]])+1,",","") &amp;"{"&amp;twoRangesToJSON(NodesJSON[[#Headers],[label]:[url]],NodesJSON[[#This Row],[label]:[url]])&amp;"}")</f>
        <v>,{"label":"Omission Error","group":"","id":"nE5FB6AFC_FC63_4B56_A4C6_E23F16E9BC61","url":"https://open-measure.atlassian.net/wiki/spaces/DIC/pages/1409753"}</v>
      </c>
    </row>
    <row r="308" spans="1:6" ht="13.9" thickTop="1" thickBot="1" x14ac:dyDescent="0.4">
      <c r="A308" s="39">
        <f>IF(ISERR(NodesJSON[[#This Row],[label]]),0,1)</f>
        <v>1</v>
      </c>
      <c r="B308" s="3" t="str">
        <f>NodesData[[#This Row],[Common Name]]</f>
        <v>One-Time Passcode Authentication</v>
      </c>
      <c r="C308" s="3" t="str">
        <f>IF(NodesData[[#This Row],[Context Instanciation]]="","",NodesData[[#This Row],[Context Instanciation]])</f>
        <v/>
      </c>
      <c r="D308" s="22" t="str">
        <f>NodesData[[#This Row],[Node ID]]</f>
        <v>n476800A3_2E26_4AE7_BDA9_7E883266BCE1</v>
      </c>
      <c r="E308" s="10" t="s">
        <v>1002</v>
      </c>
      <c r="F308" s="25" t="str" cm="1">
        <f t="array" ref="F308">IF(NodesJSON[[#This Row],[Export?]]=0,"",IF(ROW(NodesJSON[[#This Row],[label]])&gt;ROW(NodesJSON[[#Headers],[JSON]])+1,",","") &amp;"{"&amp;twoRangesToJSON(NodesJSON[[#Headers],[label]:[url]],NodesJSON[[#This Row],[label]:[url]])&amp;"}")</f>
        <v>,{"label":"One-Time Passcode Authentication","group":"","id":"n476800A3_2E26_4AE7_BDA9_7E883266BCE1","url":"https://open-measure.atlassian.net/wiki/spaces/DIC/pages/67699129"}</v>
      </c>
    </row>
    <row r="309" spans="1:6" ht="13.9" thickTop="1" thickBot="1" x14ac:dyDescent="0.4">
      <c r="A309" s="39">
        <f>IF(ISERR(NodesJSON[[#This Row],[label]]),0,1)</f>
        <v>1</v>
      </c>
      <c r="B309" s="3" t="str">
        <f>NodesData[[#This Row],[Common Name]]</f>
        <v>OPA</v>
      </c>
      <c r="C309" s="3" t="str">
        <f>IF(NodesData[[#This Row],[Context Instanciation]]="","",NodesData[[#This Row],[Context Instanciation]])</f>
        <v/>
      </c>
      <c r="D309" s="22" t="str">
        <f>NodesData[[#This Row],[Node ID]]</f>
        <v>n6C614E81_1E4F_490D_BA0A_44FBC9CBCFE0</v>
      </c>
      <c r="E309" s="10" t="s">
        <v>1003</v>
      </c>
      <c r="F309" s="25" t="str" cm="1">
        <f t="array" ref="F309">IF(NodesJSON[[#This Row],[Export?]]=0,"",IF(ROW(NodesJSON[[#This Row],[label]])&gt;ROW(NodesJSON[[#Headers],[JSON]])+1,",","") &amp;"{"&amp;twoRangesToJSON(NodesJSON[[#Headers],[label]:[url]],NodesJSON[[#This Row],[label]:[url]])&amp;"}")</f>
        <v>,{"label":"OPA","group":"","id":"n6C614E81_1E4F_490D_BA0A_44FBC9CBCFE0","url":"https://open-measure.atlassian.net/wiki/spaces/DIC/pages/1323499709/Persona"}</v>
      </c>
    </row>
    <row r="310" spans="1:6" ht="13.9" thickTop="1" thickBot="1" x14ac:dyDescent="0.4">
      <c r="A310" s="39">
        <f>IF(ISERR(NodesJSON[[#This Row],[label]]),0,1)</f>
        <v>1</v>
      </c>
      <c r="B310" s="3" t="str">
        <f>NodesData[[#This Row],[Common Name]]</f>
        <v>Open Policy Agent</v>
      </c>
      <c r="C310" s="3" t="str">
        <f>IF(NodesData[[#This Row],[Context Instanciation]]="","",NodesData[[#This Row],[Context Instanciation]])</f>
        <v/>
      </c>
      <c r="D310" s="22" t="str">
        <f>NodesData[[#This Row],[Node ID]]</f>
        <v>nD995A6A9_C3A9_4283_82AA_4AB97DA2B578</v>
      </c>
      <c r="E310" s="10" t="s">
        <v>999</v>
      </c>
      <c r="F310" s="25" t="str" cm="1">
        <f t="array" ref="F310">IF(NodesJSON[[#This Row],[Export?]]=0,"",IF(ROW(NodesJSON[[#This Row],[label]])&gt;ROW(NodesJSON[[#Headers],[JSON]])+1,",","") &amp;"{"&amp;twoRangesToJSON(NodesJSON[[#Headers],[label]:[url]],NodesJSON[[#This Row],[label]:[url]])&amp;"}")</f>
        <v>,{"label":"Open Policy Agent","group":"","id":"nD995A6A9_C3A9_4283_82AA_4AB97DA2B578","url":"https://open-measure.atlassian.net/wiki/spaces/DIC/pages/1677164566/Passwordless+Authentication"}</v>
      </c>
    </row>
    <row r="311" spans="1:6" ht="13.9" thickTop="1" thickBot="1" x14ac:dyDescent="0.4">
      <c r="A311" s="39">
        <f>IF(ISERR(NodesJSON[[#This Row],[label]]),0,1)</f>
        <v>1</v>
      </c>
      <c r="B311" s="3" t="str">
        <f>NodesData[[#This Row],[Common Name]]</f>
        <v>Operational Definition</v>
      </c>
      <c r="C311" s="3" t="str">
        <f>IF(NodesData[[#This Row],[Context Instanciation]]="","",NodesData[[#This Row],[Context Instanciation]])</f>
        <v/>
      </c>
      <c r="D311" s="22" t="str">
        <f>NodesData[[#This Row],[Node ID]]</f>
        <v>n9C348411_DBC2_4D83_98F6_DA323939AD65</v>
      </c>
      <c r="E311" s="4"/>
      <c r="F311" s="25" t="str" cm="1">
        <f t="array" ref="F311">IF(NodesJSON[[#This Row],[Export?]]=0,"",IF(ROW(NodesJSON[[#This Row],[label]])&gt;ROW(NodesJSON[[#Headers],[JSON]])+1,",","") &amp;"{"&amp;twoRangesToJSON(NodesJSON[[#Headers],[label]:[url]],NodesJSON[[#This Row],[label]:[url]])&amp;"}")</f>
        <v>,{"label":"Operational Definition","group":"","id":"n9C348411_DBC2_4D83_98F6_DA323939AD65","url":""}</v>
      </c>
    </row>
    <row r="312" spans="1:6" ht="13.9" thickTop="1" thickBot="1" x14ac:dyDescent="0.4">
      <c r="A312" s="39">
        <f>IF(ISERR(NodesJSON[[#This Row],[label]]),0,1)</f>
        <v>1</v>
      </c>
      <c r="B312" s="3" t="str">
        <f>NodesData[[#This Row],[Common Name]]</f>
        <v>Operational Taxonomic Unit</v>
      </c>
      <c r="C312" s="3" t="str">
        <f>IF(NodesData[[#This Row],[Context Instanciation]]="","",NodesData[[#This Row],[Context Instanciation]])</f>
        <v/>
      </c>
      <c r="D312" s="22" t="str">
        <f>NodesData[[#This Row],[Node ID]]</f>
        <v>nE33FC009_B7E4_40FD_9745_D826E24B6E94</v>
      </c>
      <c r="E312" s="10" t="s">
        <v>1005</v>
      </c>
      <c r="F312" s="25" t="str" cm="1">
        <f t="array" ref="F312">IF(NodesJSON[[#This Row],[Export?]]=0,"",IF(ROW(NodesJSON[[#This Row],[label]])&gt;ROW(NodesJSON[[#Headers],[JSON]])+1,",","") &amp;"{"&amp;twoRangesToJSON(NodesJSON[[#Headers],[label]:[url]],NodesJSON[[#This Row],[label]:[url]])&amp;"}")</f>
        <v>,{"label":"Operational Taxonomic Unit","group":"","id":"nE33FC009_B7E4_40FD_9745_D826E24B6E94","url":"https://open-measure.atlassian.net/wiki/spaces/DIC/pages/1572948"}</v>
      </c>
    </row>
    <row r="313" spans="1:6" ht="13.9" thickTop="1" thickBot="1" x14ac:dyDescent="0.4">
      <c r="A313" s="39">
        <f>IF(ISERR(NodesJSON[[#This Row],[label]]),0,1)</f>
        <v>1</v>
      </c>
      <c r="B313" s="3" t="str">
        <f>NodesData[[#This Row],[Common Name]]</f>
        <v>Ordinal Scale</v>
      </c>
      <c r="C313" s="3" t="str">
        <f>IF(NodesData[[#This Row],[Context Instanciation]]="","",NodesData[[#This Row],[Context Instanciation]])</f>
        <v/>
      </c>
      <c r="D313" s="22" t="str">
        <f>NodesData[[#This Row],[Node ID]]</f>
        <v>nF7D4524F_C6C0_4EC5_9552_75B99B9D5A42</v>
      </c>
      <c r="E313" s="10" t="s">
        <v>1007</v>
      </c>
      <c r="F313" s="25" t="str" cm="1">
        <f t="array" ref="F313">IF(NodesJSON[[#This Row],[Export?]]=0,"",IF(ROW(NodesJSON[[#This Row],[label]])&gt;ROW(NodesJSON[[#Headers],[JSON]])+1,",","") &amp;"{"&amp;twoRangesToJSON(NodesJSON[[#Headers],[label]:[url]],NodesJSON[[#This Row],[label]:[url]])&amp;"}")</f>
        <v>,{"label":"Ordinal Scale","group":"","id":"nF7D4524F_C6C0_4EC5_9552_75B99B9D5A42","url":"https://open-measure.atlassian.net/wiki/spaces/DIC/pages/67568272"}</v>
      </c>
    </row>
    <row r="314" spans="1:6" ht="13.9" thickTop="1" thickBot="1" x14ac:dyDescent="0.4">
      <c r="A314" s="39">
        <f>IF(ISERR(NodesJSON[[#This Row],[label]]),0,1)</f>
        <v>1</v>
      </c>
      <c r="B314" s="3" t="str">
        <f>NodesData[[#This Row],[Common Name]]</f>
        <v>Organization Context</v>
      </c>
      <c r="C314" s="3" t="str">
        <f>IF(NodesData[[#This Row],[Context Instanciation]]="","",NodesData[[#This Row],[Context Instanciation]])</f>
        <v/>
      </c>
      <c r="D314" s="22" t="str">
        <f>NodesData[[#This Row],[Node ID]]</f>
        <v>n33A86B12_0EA4_4F3E_BC6D_E3702F9EAE81</v>
      </c>
      <c r="E314" s="10" t="s">
        <v>1009</v>
      </c>
      <c r="F314" s="25" t="str" cm="1">
        <f t="array" ref="F314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Context","group":"","id":"n33A86B12_0EA4_4F3E_BC6D_E3702F9EAE81","url":"https://open-measure.atlassian.net/wiki/spaces/DIC/pages/1104904334"}</v>
      </c>
    </row>
    <row r="315" spans="1:6" ht="13.9" thickTop="1" thickBot="1" x14ac:dyDescent="0.4">
      <c r="A315" s="39">
        <f>IF(ISERR(NodesJSON[[#This Row],[label]]),0,1)</f>
        <v>1</v>
      </c>
      <c r="B315" s="3" t="str">
        <f>NodesData[[#This Row],[Common Name]]</f>
        <v>Organization Scope</v>
      </c>
      <c r="C315" s="3" t="str">
        <f>IF(NodesData[[#This Row],[Context Instanciation]]="","",NodesData[[#This Row],[Context Instanciation]])</f>
        <v/>
      </c>
      <c r="D315" s="22" t="str">
        <f>NodesData[[#This Row],[Node ID]]</f>
        <v>nA41D81DD_A231_43DB_A8BF_E136E86BDC97</v>
      </c>
      <c r="E315" s="10" t="s">
        <v>1011</v>
      </c>
      <c r="F315" s="25" t="str" cm="1">
        <f t="array" ref="F315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Scope","group":"","id":"nA41D81DD_A231_43DB_A8BF_E136E86BDC97","url":"https://open-measure.atlassian.net/wiki/spaces/DIC/pages/1132331103"}</v>
      </c>
    </row>
    <row r="316" spans="1:6" ht="13.9" thickTop="1" thickBot="1" x14ac:dyDescent="0.4">
      <c r="A316" s="39">
        <f>IF(ISERR(NodesJSON[[#This Row],[label]]),0,1)</f>
        <v>1</v>
      </c>
      <c r="B316" s="3" t="str">
        <f>NodesData[[#This Row],[Common Name]]</f>
        <v>Orphan</v>
      </c>
      <c r="C316" s="3" t="str">
        <f>IF(NodesData[[#This Row],[Context Instanciation]]="","",NodesData[[#This Row],[Context Instanciation]])</f>
        <v/>
      </c>
      <c r="D316" s="22" t="str">
        <f>NodesData[[#This Row],[Node ID]]</f>
        <v>n4AE20DB0_76C4_4F45_8465_74F243AABAEF</v>
      </c>
      <c r="E316" s="10" t="s">
        <v>1013</v>
      </c>
      <c r="F316" s="25" t="str" cm="1">
        <f t="array" ref="F316">IF(NodesJSON[[#This Row],[Export?]]=0,"",IF(ROW(NodesJSON[[#This Row],[label]])&gt;ROW(NodesJSON[[#Headers],[JSON]])+1,",","") &amp;"{"&amp;twoRangesToJSON(NodesJSON[[#Headers],[label]:[url]],NodesJSON[[#This Row],[label]:[url]])&amp;"}")</f>
        <v>,{"label":"Orphan","group":"","id":"n4AE20DB0_76C4_4F45_8465_74F243AABAEF","url":"https://open-measure.atlassian.net/wiki/spaces/DIC/pages/1132331086"}</v>
      </c>
    </row>
    <row r="317" spans="1:6" ht="13.9" thickTop="1" thickBot="1" x14ac:dyDescent="0.4">
      <c r="A317" s="39">
        <f>IF(ISERR(NodesJSON[[#This Row],[label]]),0,1)</f>
        <v>1</v>
      </c>
      <c r="B317" s="3" t="str">
        <f>NodesData[[#This Row],[Common Name]]</f>
        <v>Orphan Account</v>
      </c>
      <c r="C317" s="3" t="str">
        <f>IF(NodesData[[#This Row],[Context Instanciation]]="","",NodesData[[#This Row],[Context Instanciation]])</f>
        <v/>
      </c>
      <c r="D317" s="22" t="str">
        <f>NodesData[[#This Row],[Node ID]]</f>
        <v>n9BFEB967_7B86_4B3D_9C7E_0511B974AE4D</v>
      </c>
      <c r="E317" s="10" t="s">
        <v>1015</v>
      </c>
      <c r="F317" s="25" t="str" cm="1">
        <f t="array" ref="F317">IF(NodesJSON[[#This Row],[Export?]]=0,"",IF(ROW(NodesJSON[[#This Row],[label]])&gt;ROW(NodesJSON[[#Headers],[JSON]])+1,",","") &amp;"{"&amp;twoRangesToJSON(NodesJSON[[#Headers],[label]:[url]],NodesJSON[[#This Row],[label]:[url]])&amp;"}")</f>
        <v>,{"label":"Orphan Account","group":"","id":"n9BFEB967_7B86_4B3D_9C7E_0511B974AE4D","url":"https://open-measure.atlassian.net/wiki/spaces/DIC/pages/1122631903"}</v>
      </c>
    </row>
    <row r="318" spans="1:6" ht="13.9" thickTop="1" thickBot="1" x14ac:dyDescent="0.4">
      <c r="A318" s="39">
        <f>IF(ISERR(NodesJSON[[#This Row],[label]]),0,1)</f>
        <v>1</v>
      </c>
      <c r="B318" s="3" t="str">
        <f>NodesData[[#This Row],[Common Name]]</f>
        <v>Orphan File</v>
      </c>
      <c r="C318" s="3" t="str">
        <f>IF(NodesData[[#This Row],[Context Instanciation]]="","",NodesData[[#This Row],[Context Instanciation]])</f>
        <v/>
      </c>
      <c r="D318" s="22" t="str">
        <f>NodesData[[#This Row],[Node ID]]</f>
        <v>n5AE1D03E_6BE9_4D64_877A_463F2CD1823C</v>
      </c>
      <c r="E318" s="10" t="s">
        <v>1017</v>
      </c>
      <c r="F318" s="25" t="str" cm="1">
        <f t="array" ref="F318">IF(NodesJSON[[#This Row],[Export?]]=0,"",IF(ROW(NodesJSON[[#This Row],[label]])&gt;ROW(NodesJSON[[#Headers],[JSON]])+1,",","") &amp;"{"&amp;twoRangesToJSON(NodesJSON[[#Headers],[label]:[url]],NodesJSON[[#This Row],[label]:[url]])&amp;"}")</f>
        <v>,{"label":"Orphan File","group":"","id":"n5AE1D03E_6BE9_4D64_877A_463F2CD1823C","url":"https://open-measure.atlassian.net/wiki/spaces/DIC/pages/1105068063"}</v>
      </c>
    </row>
    <row r="319" spans="1:6" ht="13.9" thickTop="1" thickBot="1" x14ac:dyDescent="0.4">
      <c r="A319" s="39">
        <f>IF(ISERR(NodesJSON[[#This Row],[label]]),0,1)</f>
        <v>1</v>
      </c>
      <c r="B319" s="3" t="str">
        <f>NodesData[[#This Row],[Common Name]]</f>
        <v>Orphan Object</v>
      </c>
      <c r="C319" s="3" t="str">
        <f>IF(NodesData[[#This Row],[Context Instanciation]]="","",NodesData[[#This Row],[Context Instanciation]])</f>
        <v/>
      </c>
      <c r="D319" s="22" t="str">
        <f>NodesData[[#This Row],[Node ID]]</f>
        <v>nBF0C1B68_F08A_4202_9757_9E8291426C10</v>
      </c>
      <c r="E319" s="10" t="s">
        <v>1019</v>
      </c>
      <c r="F319" s="25" t="str" cm="1">
        <f t="array" ref="F319">IF(NodesJSON[[#This Row],[Export?]]=0,"",IF(ROW(NodesJSON[[#This Row],[label]])&gt;ROW(NodesJSON[[#Headers],[JSON]])+1,",","") &amp;"{"&amp;twoRangesToJSON(NodesJSON[[#Headers],[label]:[url]],NodesJSON[[#This Row],[label]:[url]])&amp;"}")</f>
        <v>,{"label":"Orphan Object","group":"","id":"nBF0C1B68_F08A_4202_9757_9E8291426C10","url":"https://open-measure.atlassian.net/wiki/spaces/DIC/pages/1130987523"}</v>
      </c>
    </row>
    <row r="320" spans="1:6" ht="13.9" thickTop="1" thickBot="1" x14ac:dyDescent="0.4">
      <c r="A320" s="39">
        <f>IF(ISERR(NodesJSON[[#This Row],[label]]),0,1)</f>
        <v>1</v>
      </c>
      <c r="B320" s="3" t="str">
        <f>NodesData[[#This Row],[Common Name]]</f>
        <v>Orphan Process</v>
      </c>
      <c r="C320" s="3" t="str">
        <f>IF(NodesData[[#This Row],[Context Instanciation]]="","",NodesData[[#This Row],[Context Instanciation]])</f>
        <v/>
      </c>
      <c r="D320" s="22" t="str">
        <f>NodesData[[#This Row],[Node ID]]</f>
        <v>nAEC674BE_91C6_4A77_962B_1FC629184791</v>
      </c>
      <c r="E320" s="3"/>
      <c r="F320" s="25" t="str" cm="1">
        <f t="array" ref="F320">IF(NodesJSON[[#This Row],[Export?]]=0,"",IF(ROW(NodesJSON[[#This Row],[label]])&gt;ROW(NodesJSON[[#Headers],[JSON]])+1,",","") &amp;"{"&amp;twoRangesToJSON(NodesJSON[[#Headers],[label]:[url]],NodesJSON[[#This Row],[label]:[url]])&amp;"}")</f>
        <v>,{"label":"Orphan Process","group":"","id":"nAEC674BE_91C6_4A77_962B_1FC629184791","url":""}</v>
      </c>
    </row>
    <row r="321" spans="1:6" ht="13.9" thickTop="1" thickBot="1" x14ac:dyDescent="0.4">
      <c r="A321" s="39">
        <f>IF(ISERR(NodesJSON[[#This Row],[label]]),0,1)</f>
        <v>1</v>
      </c>
      <c r="B321" s="3" t="str">
        <f>NodesData[[#This Row],[Common Name]]</f>
        <v>Orphan Product</v>
      </c>
      <c r="C321" s="3" t="str">
        <f>IF(NodesData[[#This Row],[Context Instanciation]]="","",NodesData[[#This Row],[Context Instanciation]])</f>
        <v/>
      </c>
      <c r="D321" s="22" t="str">
        <f>NodesData[[#This Row],[Node ID]]</f>
        <v>n6F060A06_4EC7_40D0_BE25_18BB706EAC33</v>
      </c>
      <c r="E321" s="10" t="s">
        <v>1021</v>
      </c>
      <c r="F321" s="25" t="str" cm="1">
        <f t="array" ref="F321">IF(NodesJSON[[#This Row],[Export?]]=0,"",IF(ROW(NodesJSON[[#This Row],[label]])&gt;ROW(NodesJSON[[#Headers],[JSON]])+1,",","") &amp;"{"&amp;twoRangesToJSON(NodesJSON[[#Headers],[label]:[url]],NodesJSON[[#This Row],[label]:[url]])&amp;"}")</f>
        <v>,{"label":"Orphan Product","group":"","id":"n6F060A06_4EC7_40D0_BE25_18BB706EAC33","url":"https://open-measure.atlassian.net/wiki/spaces/DIC/pages/1094549649"}</v>
      </c>
    </row>
    <row r="322" spans="1:6" ht="13.9" thickTop="1" thickBot="1" x14ac:dyDescent="0.4">
      <c r="A322" s="39">
        <f>IF(ISERR(NodesJSON[[#This Row],[label]]),0,1)</f>
        <v>1</v>
      </c>
      <c r="B322" s="3" t="str">
        <f>NodesData[[#This Row],[Common Name]]</f>
        <v>Orphan Role</v>
      </c>
      <c r="C322" s="3" t="str">
        <f>IF(NodesData[[#This Row],[Context Instanciation]]="","",NodesData[[#This Row],[Context Instanciation]])</f>
        <v/>
      </c>
      <c r="D322" s="22" t="str">
        <f>NodesData[[#This Row],[Node ID]]</f>
        <v>n0D10D535_12CA_43D7_8C25_D56FF795B5EB</v>
      </c>
      <c r="E322" s="10" t="s">
        <v>1023</v>
      </c>
      <c r="F322" s="25" t="str" cm="1">
        <f t="array" ref="F322">IF(NodesJSON[[#This Row],[Export?]]=0,"",IF(ROW(NodesJSON[[#This Row],[label]])&gt;ROW(NodesJSON[[#Headers],[JSON]])+1,",","") &amp;"{"&amp;twoRangesToJSON(NodesJSON[[#Headers],[label]:[url]],NodesJSON[[#This Row],[label]:[url]])&amp;"}")</f>
        <v>,{"label":"Orphan Role","group":"","id":"n0D10D535_12CA_43D7_8C25_D56FF795B5EB","url":"https://open-measure.atlassian.net/wiki/spaces/DIC/pages/67699046"}</v>
      </c>
    </row>
    <row r="323" spans="1:6" ht="13.9" thickTop="1" thickBot="1" x14ac:dyDescent="0.4">
      <c r="A323" s="39">
        <f>IF(ISERR(NodesJSON[[#This Row],[label]]),0,1)</f>
        <v>1</v>
      </c>
      <c r="B323" s="3" t="str">
        <f>NodesData[[#This Row],[Common Name]]</f>
        <v>Orphan Routes / APIs</v>
      </c>
      <c r="C323" s="3" t="str">
        <f>IF(NodesData[[#This Row],[Context Instanciation]]="","",NodesData[[#This Row],[Context Instanciation]])</f>
        <v/>
      </c>
      <c r="D323" s="22" t="str">
        <f>NodesData[[#This Row],[Node ID]]</f>
        <v>nFB81B88B_935E_4937_8C9D_107D390BB8B5</v>
      </c>
      <c r="E323" s="10" t="s">
        <v>1024</v>
      </c>
      <c r="F323" s="25" t="str" cm="1">
        <f t="array" ref="F323">IF(NodesJSON[[#This Row],[Export?]]=0,"",IF(ROW(NodesJSON[[#This Row],[label]])&gt;ROW(NodesJSON[[#Headers],[JSON]])+1,",","") &amp;"{"&amp;twoRangesToJSON(NodesJSON[[#Headers],[label]:[url]],NodesJSON[[#This Row],[label]:[url]])&amp;"}")</f>
        <v>,{"label":"Orphan Routes / APIs","group":"","id":"nFB81B88B_935E_4937_8C9D_107D390BB8B5","url":"https://open-measure.atlassian.net/wiki/spaces/DIC/pages/1323434264/Private+Key+Loss"}</v>
      </c>
    </row>
    <row r="324" spans="1:6" ht="13.9" thickTop="1" thickBot="1" x14ac:dyDescent="0.4">
      <c r="A324" s="39">
        <f>IF(ISERR(NodesJSON[[#This Row],[label]]),0,1)</f>
        <v>1</v>
      </c>
      <c r="B324" s="3" t="str">
        <f>NodesData[[#This Row],[Common Name]]</f>
        <v>Orphan System</v>
      </c>
      <c r="C324" s="3" t="str">
        <f>IF(NodesData[[#This Row],[Context Instanciation]]="","",NodesData[[#This Row],[Context Instanciation]])</f>
        <v/>
      </c>
      <c r="D324" s="22" t="str">
        <f>NodesData[[#This Row],[Node ID]]</f>
        <v>nEF01C104_C9F5_4399_B8A7_5AEEE0AEED69</v>
      </c>
      <c r="E324" s="10" t="s">
        <v>1026</v>
      </c>
      <c r="F324" s="25" t="str" cm="1">
        <f t="array" ref="F324">IF(NodesJSON[[#This Row],[Export?]]=0,"",IF(ROW(NodesJSON[[#This Row],[label]])&gt;ROW(NodesJSON[[#Headers],[JSON]])+1,",","") &amp;"{"&amp;twoRangesToJSON(NodesJSON[[#Headers],[label]:[url]],NodesJSON[[#This Row],[label]:[url]])&amp;"}")</f>
        <v>,{"label":"Orphan System","group":"","id":"nEF01C104_C9F5_4399_B8A7_5AEEE0AEED69","url":"https://open-measure.atlassian.net/wiki/spaces/DIC/pages/67568310"}</v>
      </c>
    </row>
    <row r="325" spans="1:6" ht="13.9" thickTop="1" thickBot="1" x14ac:dyDescent="0.4">
      <c r="A325" s="39">
        <f>IF(ISERR(NodesJSON[[#This Row],[label]]),0,1)</f>
        <v>1</v>
      </c>
      <c r="B325" s="3" t="str">
        <f>NodesData[[#This Row],[Common Name]]</f>
        <v>Out-of-band Authentication</v>
      </c>
      <c r="C325" s="3" t="str">
        <f>IF(NodesData[[#This Row],[Context Instanciation]]="","",NodesData[[#This Row],[Context Instanciation]])</f>
        <v/>
      </c>
      <c r="D325" s="22" t="str">
        <f>NodesData[[#This Row],[Node ID]]</f>
        <v>n7044B2C5_B689_4BDB_A361_6960562C0FC0</v>
      </c>
      <c r="E325" s="10" t="s">
        <v>1027</v>
      </c>
      <c r="F325" s="25" t="str" cm="1">
        <f t="array" ref="F325">IF(NodesJSON[[#This Row],[Export?]]=0,"",IF(ROW(NodesJSON[[#This Row],[label]])&gt;ROW(NodesJSON[[#Headers],[JSON]])+1,",","") &amp;"{"&amp;twoRangesToJSON(NodesJSON[[#Headers],[label]:[url]],NodesJSON[[#This Row],[label]:[url]])&amp;"}")</f>
        <v>,{"label":"Out-of-band Authentication","group":"","id":"n7044B2C5_B689_4BDB_A361_6960562C0FC0","url":"https://open-measure.atlassian.net/wiki/spaces/DIC/pages/814449037/Privilege+Abuse"}</v>
      </c>
    </row>
    <row r="326" spans="1:6" ht="13.9" thickTop="1" thickBot="1" x14ac:dyDescent="0.4">
      <c r="A326" s="39">
        <f>IF(ISERR(NodesJSON[[#This Row],[label]]),0,1)</f>
        <v>1</v>
      </c>
      <c r="B326" s="3" t="str">
        <f>NodesData[[#This Row],[Common Name]]</f>
        <v>Outsider</v>
      </c>
      <c r="C326" s="3" t="str">
        <f>IF(NodesData[[#This Row],[Context Instanciation]]="","",NodesData[[#This Row],[Context Instanciation]])</f>
        <v/>
      </c>
      <c r="D326" s="22" t="str">
        <f>NodesData[[#This Row],[Node ID]]</f>
        <v>n04522218_BC1E_4939_A068_7AA0277A1265</v>
      </c>
      <c r="E326" s="10" t="s">
        <v>1029</v>
      </c>
      <c r="F326" s="25" t="str" cm="1">
        <f t="array" ref="F326">IF(NodesJSON[[#This Row],[Export?]]=0,"",IF(ROW(NodesJSON[[#This Row],[label]])&gt;ROW(NodesJSON[[#Headers],[JSON]])+1,",","") &amp;"{"&amp;twoRangesToJSON(NodesJSON[[#Headers],[label]:[url]],NodesJSON[[#This Row],[label]:[url]])&amp;"}")</f>
        <v>,{"label":"Outsider","group":"","id":"n04522218_BC1E_4939_A068_7AA0277A1265","url":"https://open-measure.atlassian.net/wiki/spaces/DIC/pages/473890861"}</v>
      </c>
    </row>
    <row r="327" spans="1:6" ht="13.9" thickTop="1" thickBot="1" x14ac:dyDescent="0.4">
      <c r="A327" s="39">
        <f>IF(ISERR(NodesJSON[[#This Row],[label]]),0,1)</f>
        <v>1</v>
      </c>
      <c r="B327" s="3" t="str">
        <f>NodesData[[#This Row],[Common Name]]</f>
        <v>Palmprint Recognition Authentication</v>
      </c>
      <c r="C327" s="3" t="str">
        <f>IF(NodesData[[#This Row],[Context Instanciation]]="","",NodesData[[#This Row],[Context Instanciation]])</f>
        <v/>
      </c>
      <c r="D327" s="22" t="str">
        <f>NodesData[[#This Row],[Node ID]]</f>
        <v>nD67337C3_82D6_4A00_9312_77ECF955E4EE</v>
      </c>
      <c r="E327" s="10" t="s">
        <v>1031</v>
      </c>
      <c r="F327" s="25" t="str" cm="1">
        <f t="array" ref="F327">IF(NodesJSON[[#This Row],[Export?]]=0,"",IF(ROW(NodesJSON[[#This Row],[label]])&gt;ROW(NodesJSON[[#Headers],[JSON]])+1,",","") &amp;"{"&amp;twoRangesToJSON(NodesJSON[[#Headers],[label]:[url]],NodesJSON[[#This Row],[label]:[url]])&amp;"}")</f>
        <v>,{"label":"Palmprint Recognition Authentication","group":"","id":"nD67337C3_82D6_4A00_9312_77ECF955E4EE","url":"https://open-measure.atlassian.net/wiki/spaces/DIC/pages/810320380"}</v>
      </c>
    </row>
    <row r="328" spans="1:6" ht="13.9" thickTop="1" thickBot="1" x14ac:dyDescent="0.4">
      <c r="A328" s="39">
        <f>IF(ISERR(NodesJSON[[#This Row],[label]]),0,1)</f>
        <v>1</v>
      </c>
      <c r="B328" s="3" t="str">
        <f>NodesData[[#This Row],[Common Name]]</f>
        <v>Passive Impersonation Attack</v>
      </c>
      <c r="C328" s="3" t="str">
        <f>IF(NodesData[[#This Row],[Context Instanciation]]="","",NodesData[[#This Row],[Context Instanciation]])</f>
        <v/>
      </c>
      <c r="D328" s="22" t="str">
        <f>NodesData[[#This Row],[Node ID]]</f>
        <v>n4734DAE8_90B6_45CA_8550_5A34B658FAEC</v>
      </c>
      <c r="E328" s="10" t="s">
        <v>1033</v>
      </c>
      <c r="F328" s="25" t="str" cm="1">
        <f t="array" ref="F328">IF(NodesJSON[[#This Row],[Export?]]=0,"",IF(ROW(NodesJSON[[#This Row],[label]])&gt;ROW(NodesJSON[[#Headers],[JSON]])+1,",","") &amp;"{"&amp;twoRangesToJSON(NodesJSON[[#Headers],[label]:[url]],NodesJSON[[#This Row],[label]:[url]])&amp;"}")</f>
        <v>,{"label":"Passive Impersonation Attack","group":"","id":"n4734DAE8_90B6_45CA_8550_5A34B658FAEC","url":"https://open-measure.atlassian.net/wiki/spaces/DIC/pages/138346661"}</v>
      </c>
    </row>
    <row r="329" spans="1:6" ht="13.9" thickTop="1" thickBot="1" x14ac:dyDescent="0.4">
      <c r="A329" s="39">
        <f>IF(ISERR(NodesJSON[[#This Row],[label]]),0,1)</f>
        <v>1</v>
      </c>
      <c r="B329" s="3" t="str">
        <f>NodesData[[#This Row],[Common Name]]</f>
        <v>Passphrase Authentication</v>
      </c>
      <c r="C329" s="3" t="str">
        <f>IF(NodesData[[#This Row],[Context Instanciation]]="","",NodesData[[#This Row],[Context Instanciation]])</f>
        <v/>
      </c>
      <c r="D329" s="22" t="str">
        <f>NodesData[[#This Row],[Node ID]]</f>
        <v>n3CB32145_0EE1_4C68_8C6C_279904089B9A</v>
      </c>
      <c r="E329" s="10" t="s">
        <v>1034</v>
      </c>
      <c r="F329" s="25" t="str" cm="1">
        <f t="array" ref="F329">IF(NodesJSON[[#This Row],[Export?]]=0,"",IF(ROW(NodesJSON[[#This Row],[label]])&gt;ROW(NodesJSON[[#Headers],[JSON]])+1,",","") &amp;"{"&amp;twoRangesToJSON(NodesJSON[[#Headers],[label]:[url]],NodesJSON[[#This Row],[label]:[url]])&amp;"}")</f>
        <v>,{"label":"Passphrase Authentication","group":"","id":"n3CB32145_0EE1_4C68_8C6C_279904089B9A","url":"https://open-measure.atlassian.net/wiki/spaces/DIC/pages/1477902403/Privileged+Insider"}</v>
      </c>
    </row>
    <row r="330" spans="1:6" ht="13.9" thickTop="1" thickBot="1" x14ac:dyDescent="0.4">
      <c r="A330" s="39">
        <f>IF(ISERR(NodesJSON[[#This Row],[label]]),0,1)</f>
        <v>1</v>
      </c>
      <c r="B330" s="3" t="str">
        <f>NodesData[[#This Row],[Common Name]]</f>
        <v>Password Guessing Attack</v>
      </c>
      <c r="C330" s="3" t="str">
        <f>IF(NodesData[[#This Row],[Context Instanciation]]="","",NodesData[[#This Row],[Context Instanciation]])</f>
        <v/>
      </c>
      <c r="D330" s="22" t="str">
        <f>NodesData[[#This Row],[Node ID]]</f>
        <v>n8F169889_C3EB_49DF_A679_4F5F53173B73</v>
      </c>
      <c r="E330" s="10" t="s">
        <v>1036</v>
      </c>
      <c r="F330" s="25" t="str" cm="1">
        <f t="array" ref="F330">IF(NodesJSON[[#This Row],[Export?]]=0,"",IF(ROW(NodesJSON[[#This Row],[label]])&gt;ROW(NodesJSON[[#Headers],[JSON]])+1,",","") &amp;"{"&amp;twoRangesToJSON(NodesJSON[[#Headers],[label]:[url]],NodesJSON[[#This Row],[label]:[url]])&amp;"}")</f>
        <v>,{"label":"Password Guessing Attack","group":"","id":"n8F169889_C3EB_49DF_A679_4F5F53173B73","url":"https://open-measure.atlassian.net/wiki/spaces/DIC/pages/61964289"}</v>
      </c>
    </row>
    <row r="331" spans="1:6" ht="13.9" thickTop="1" thickBot="1" x14ac:dyDescent="0.4">
      <c r="A331" s="39">
        <f>IF(ISERR(NodesJSON[[#This Row],[label]]),0,1)</f>
        <v>1</v>
      </c>
      <c r="B331" s="3" t="str">
        <f>NodesData[[#This Row],[Common Name]]</f>
        <v>Password Rotation</v>
      </c>
      <c r="C331" s="3" t="str">
        <f>IF(NodesData[[#This Row],[Context Instanciation]]="","",NodesData[[#This Row],[Context Instanciation]])</f>
        <v/>
      </c>
      <c r="D331" s="22" t="str">
        <f>NodesData[[#This Row],[Node ID]]</f>
        <v>n6265AECA_324C_41E3_B3D3_84135CF3C7BD</v>
      </c>
      <c r="E331" s="8"/>
      <c r="F331" s="25" t="str" cm="1">
        <f t="array" ref="F331">IF(NodesJSON[[#This Row],[Export?]]=0,"",IF(ROW(NodesJSON[[#This Row],[label]])&gt;ROW(NodesJSON[[#Headers],[JSON]])+1,",","") &amp;"{"&amp;twoRangesToJSON(NodesJSON[[#Headers],[label]:[url]],NodesJSON[[#This Row],[label]:[url]])&amp;"}")</f>
        <v>,{"label":"Password Rotation","group":"","id":"n6265AECA_324C_41E3_B3D3_84135CF3C7BD","url":""}</v>
      </c>
    </row>
    <row r="332" spans="1:6" ht="13.9" thickTop="1" thickBot="1" x14ac:dyDescent="0.4">
      <c r="A332" s="39">
        <f>IF(ISERR(NodesJSON[[#This Row],[label]]),0,1)</f>
        <v>1</v>
      </c>
      <c r="B332" s="3" t="str">
        <f>NodesData[[#This Row],[Common Name]]</f>
        <v>Password Spraying Attack</v>
      </c>
      <c r="C332" s="3" t="str">
        <f>IF(NodesData[[#This Row],[Context Instanciation]]="","",NodesData[[#This Row],[Context Instanciation]])</f>
        <v/>
      </c>
      <c r="D332" s="22" t="str">
        <f>NodesData[[#This Row],[Node ID]]</f>
        <v>nD75B5C62_D379_4138_8BEA_4403C4F682CA</v>
      </c>
      <c r="E332" s="10" t="s">
        <v>1038</v>
      </c>
      <c r="F332" s="25" t="str" cm="1">
        <f t="array" ref="F332">IF(NodesJSON[[#This Row],[Export?]]=0,"",IF(ROW(NodesJSON[[#This Row],[label]])&gt;ROW(NodesJSON[[#Headers],[JSON]])+1,",","") &amp;"{"&amp;twoRangesToJSON(NodesJSON[[#Headers],[label]:[url]],NodesJSON[[#This Row],[label]:[url]])&amp;"}")</f>
        <v>,{"label":"Password Spraying Attack","group":"","id":"nD75B5C62_D379_4138_8BEA_4403C4F682CA","url":"https://open-measure.atlassian.net/wiki/spaces/DIC/pages/1323598109/Qualitative+Identity"}</v>
      </c>
    </row>
    <row r="333" spans="1:6" ht="13.9" thickTop="1" thickBot="1" x14ac:dyDescent="0.4">
      <c r="A333" s="39">
        <f>IF(ISERR(NodesJSON[[#This Row],[label]]),0,1)</f>
        <v>1</v>
      </c>
      <c r="B333" s="3" t="str">
        <f>NodesData[[#This Row],[Common Name]]</f>
        <v>Password-Based Authentication</v>
      </c>
      <c r="C333" s="3" t="str">
        <f>IF(NodesData[[#This Row],[Context Instanciation]]="","",NodesData[[#This Row],[Context Instanciation]])</f>
        <v/>
      </c>
      <c r="D333" s="22" t="str">
        <f>NodesData[[#This Row],[Node ID]]</f>
        <v>nC40BED13_84D6_4487_B1D8_408847C59080</v>
      </c>
      <c r="E333" s="10" t="s">
        <v>1040</v>
      </c>
      <c r="F333" s="25" t="str" cm="1">
        <f t="array" ref="F333">IF(NodesJSON[[#This Row],[Export?]]=0,"",IF(ROW(NodesJSON[[#This Row],[label]])&gt;ROW(NodesJSON[[#Headers],[JSON]])+1,",","") &amp;"{"&amp;twoRangesToJSON(NodesJSON[[#Headers],[label]:[url]],NodesJSON[[#This Row],[label]:[url]])&amp;"}")</f>
        <v>,{"label":"Password-Based Authentication","group":"","id":"nC40BED13_84D6_4487_B1D8_408847C59080","url":"https://open-measure.atlassian.net/wiki/spaces/DIC/pages/82903928"}</v>
      </c>
    </row>
    <row r="334" spans="1:6" ht="13.9" thickTop="1" thickBot="1" x14ac:dyDescent="0.4">
      <c r="A334" s="39">
        <f>IF(ISERR(NodesJSON[[#This Row],[label]]),0,1)</f>
        <v>1</v>
      </c>
      <c r="B334" s="3" t="str">
        <f>NodesData[[#This Row],[Common Name]]</f>
        <v>Passwordless Authentication</v>
      </c>
      <c r="C334" s="3" t="str">
        <f>IF(NodesData[[#This Row],[Context Instanciation]]="","",NodesData[[#This Row],[Context Instanciation]])</f>
        <v/>
      </c>
      <c r="D334" s="22" t="str">
        <f>NodesData[[#This Row],[Node ID]]</f>
        <v>n78F6BABC_A65F_473D_BCDE_FEE7D54A424A</v>
      </c>
      <c r="E334" s="10" t="s">
        <v>1042</v>
      </c>
      <c r="F334" s="25" t="str" cm="1">
        <f t="array" ref="F334">IF(NodesJSON[[#This Row],[Export?]]=0,"",IF(ROW(NodesJSON[[#This Row],[label]])&gt;ROW(NodesJSON[[#Headers],[JSON]])+1,",","") &amp;"{"&amp;twoRangesToJSON(NodesJSON[[#Headers],[label]:[url]],NodesJSON[[#This Row],[label]:[url]])&amp;"}")</f>
        <v>,{"label":"Passwordless Authentication","group":"","id":"n78F6BABC_A65F_473D_BCDE_FEE7D54A424A","url":"https://open-measure.atlassian.net/wiki/spaces/DIC/pages/11567198"}</v>
      </c>
    </row>
    <row r="335" spans="1:6" ht="13.9" thickTop="1" thickBot="1" x14ac:dyDescent="0.4">
      <c r="A335" s="39">
        <f>IF(ISERR(NodesJSON[[#This Row],[label]]),0,1)</f>
        <v>1</v>
      </c>
      <c r="B335" s="3" t="str">
        <f>NodesData[[#This Row],[Common Name]]</f>
        <v>People</v>
      </c>
      <c r="C335" s="3" t="str">
        <f>IF(NodesData[[#This Row],[Context Instanciation]]="","",NodesData[[#This Row],[Context Instanciation]])</f>
        <v/>
      </c>
      <c r="D335" s="22" t="str">
        <f>NodesData[[#This Row],[Node ID]]</f>
        <v>n4CF1B3F5_CACC_4AD2_BDA1_4AF301F4C65D</v>
      </c>
      <c r="E335" s="10" t="s">
        <v>1044</v>
      </c>
      <c r="F335" s="25" t="str" cm="1">
        <f t="array" ref="F335">IF(NodesJSON[[#This Row],[Export?]]=0,"",IF(ROW(NodesJSON[[#This Row],[label]])&gt;ROW(NodesJSON[[#Headers],[JSON]])+1,",","") &amp;"{"&amp;twoRangesToJSON(NodesJSON[[#Headers],[label]:[url]],NodesJSON[[#This Row],[label]:[url]])&amp;"}")</f>
        <v>,{"label":"People","group":"","id":"n4CF1B3F5_CACC_4AD2_BDA1_4AF301F4C65D","url":"https://open-measure.atlassian.net/wiki/spaces/DIC/pages/408944908"}</v>
      </c>
    </row>
    <row r="336" spans="1:6" ht="13.9" thickTop="1" thickBot="1" x14ac:dyDescent="0.4">
      <c r="A336" s="39">
        <f>IF(ISERR(NodesJSON[[#This Row],[label]]),0,1)</f>
        <v>1</v>
      </c>
      <c r="B336" s="3" t="str">
        <f>NodesData[[#This Row],[Common Name]]</f>
        <v>Permission</v>
      </c>
      <c r="C336" s="3" t="str">
        <f>IF(NodesData[[#This Row],[Context Instanciation]]="","",NodesData[[#This Row],[Context Instanciation]])</f>
        <v/>
      </c>
      <c r="D336" s="22" t="str">
        <f>NodesData[[#This Row],[Node ID]]</f>
        <v>n01EF8E33_9CCC_40C8_9331_68F0F5358EC1</v>
      </c>
      <c r="E336" s="10" t="s">
        <v>1037</v>
      </c>
      <c r="F336" s="25" t="str" cm="1">
        <f t="array" ref="F336">IF(NodesJSON[[#This Row],[Export?]]=0,"",IF(ROW(NodesJSON[[#This Row],[label]])&gt;ROW(NodesJSON[[#Headers],[JSON]])+1,",","") &amp;"{"&amp;twoRangesToJSON(NodesJSON[[#Headers],[label]:[url]],NodesJSON[[#This Row],[label]:[url]])&amp;"}")</f>
        <v>,{"label":"Permission","group":"","id":"n01EF8E33_9CCC_40C8_9331_68F0F5358EC1","url":"https://open-measure.atlassian.net/wiki/spaces/DIC/pages/1677164768/QR+Code+Authentication"}</v>
      </c>
    </row>
    <row r="337" spans="1:6" ht="13.9" thickTop="1" thickBot="1" x14ac:dyDescent="0.4">
      <c r="A337" s="39">
        <f>IF(ISERR(NodesJSON[[#This Row],[label]]),0,1)</f>
        <v>1</v>
      </c>
      <c r="B337" s="3" t="str">
        <f>NodesData[[#This Row],[Common Name]]</f>
        <v>Persona</v>
      </c>
      <c r="C337" s="3" t="str">
        <f>IF(NodesData[[#This Row],[Context Instanciation]]="","",NodesData[[#This Row],[Context Instanciation]])</f>
        <v/>
      </c>
      <c r="D337" s="22" t="str">
        <f>NodesData[[#This Row],[Node ID]]</f>
        <v>n36E8FD72_C9A2_4D50_986E_5DC62C773748</v>
      </c>
      <c r="E337" s="10" t="s">
        <v>1048</v>
      </c>
      <c r="F337" s="25" t="str" cm="1">
        <f t="array" ref="F337">IF(NodesJSON[[#This Row],[Export?]]=0,"",IF(ROW(NodesJSON[[#This Row],[label]])&gt;ROW(NodesJSON[[#Headers],[JSON]])+1,",","") &amp;"{"&amp;twoRangesToJSON(NodesJSON[[#Headers],[label]:[url]],NodesJSON[[#This Row],[label]:[url]])&amp;"}")</f>
        <v>,{"label":"Persona","group":"","id":"n36E8FD72_C9A2_4D50_986E_5DC62C773748","url":"https://open-measure.atlassian.net/wiki/spaces/DIC/pages/107840129"}</v>
      </c>
    </row>
    <row r="338" spans="1:6" ht="13.9" thickTop="1" thickBot="1" x14ac:dyDescent="0.4">
      <c r="A338" s="39">
        <f>IF(ISERR(NodesJSON[[#This Row],[label]]),0,1)</f>
        <v>1</v>
      </c>
      <c r="B338" s="3" t="str">
        <f>NodesData[[#This Row],[Common Name]]</f>
        <v>Personal Identification Number Authentication</v>
      </c>
      <c r="C338" s="3" t="str">
        <f>IF(NodesData[[#This Row],[Context Instanciation]]="","",NodesData[[#This Row],[Context Instanciation]])</f>
        <v/>
      </c>
      <c r="D338" s="22" t="str">
        <f>NodesData[[#This Row],[Node ID]]</f>
        <v>n7A6515A7_E313_45AC_A024_B7321A51BBF0</v>
      </c>
      <c r="E338" s="10" t="s">
        <v>1050</v>
      </c>
      <c r="F338" s="25" t="str" cm="1">
        <f t="array" ref="F338">IF(NodesJSON[[#This Row],[Export?]]=0,"",IF(ROW(NodesJSON[[#This Row],[label]])&gt;ROW(NodesJSON[[#Headers],[JSON]])+1,",","") &amp;"{"&amp;twoRangesToJSON(NodesJSON[[#Headers],[label]:[url]],NodesJSON[[#This Row],[label]:[url]])&amp;"}")</f>
        <v>,{"label":"Personal Identification Number Authentication","group":"","id":"n7A6515A7_E313_45AC_A024_B7321A51BBF0","url":"https://open-measure.atlassian.net/wiki/spaces/DIC/pages/123962234"}</v>
      </c>
    </row>
    <row r="339" spans="1:6" ht="13.9" thickTop="1" thickBot="1" x14ac:dyDescent="0.4">
      <c r="A339" s="39">
        <f>IF(ISERR(NodesJSON[[#This Row],[label]]),0,1)</f>
        <v>1</v>
      </c>
      <c r="B339" s="3" t="str">
        <f>NodesData[[#This Row],[Common Name]]</f>
        <v>Physical Token OTP</v>
      </c>
      <c r="C339" s="3" t="str">
        <f>IF(NodesData[[#This Row],[Context Instanciation]]="","",NodesData[[#This Row],[Context Instanciation]])</f>
        <v/>
      </c>
      <c r="D339" s="22" t="str">
        <f>NodesData[[#This Row],[Node ID]]</f>
        <v>n464C132D_5900_4F55_8F96_F62557EA18BE</v>
      </c>
      <c r="E339" s="10" t="s">
        <v>1046</v>
      </c>
      <c r="F339" s="25" t="str" cm="1">
        <f t="array" ref="F339">IF(NodesJSON[[#This Row],[Export?]]=0,"",IF(ROW(NodesJSON[[#This Row],[label]])&gt;ROW(NodesJSON[[#Headers],[JSON]])+1,",","") &amp;"{"&amp;twoRangesToJSON(NodesJSON[[#Headers],[label]:[url]],NodesJSON[[#This Row],[label]:[url]])&amp;"}")</f>
        <v>,{"label":"Physical Token OTP","group":"","id":"n464C132D_5900_4F55_8F96_F62557EA18BE","url":"https://open-measure.atlassian.net/wiki/spaces/DIC/pages/873201665"}</v>
      </c>
    </row>
    <row r="340" spans="1:6" ht="13.9" thickTop="1" thickBot="1" x14ac:dyDescent="0.4">
      <c r="A340" s="39">
        <f>IF(ISERR(NodesJSON[[#This Row],[label]]),0,1)</f>
        <v>1</v>
      </c>
      <c r="B340" s="3" t="str">
        <f>NodesData[[#This Row],[Common Name]]</f>
        <v>PMS</v>
      </c>
      <c r="C340" s="3" t="str">
        <f>IF(NodesData[[#This Row],[Context Instanciation]]="","",NodesData[[#This Row],[Context Instanciation]])</f>
        <v/>
      </c>
      <c r="D340" s="22" t="str">
        <f>NodesData[[#This Row],[Node ID]]</f>
        <v>nEBC962F0_3340_49DC_9E34_B2B7557F9372</v>
      </c>
      <c r="E340" s="10" t="s">
        <v>1054</v>
      </c>
      <c r="F340" s="25" t="str" cm="1">
        <f t="array" ref="F340">IF(NodesJSON[[#This Row],[Export?]]=0,"",IF(ROW(NodesJSON[[#This Row],[label]])&gt;ROW(NodesJSON[[#Headers],[JSON]])+1,",","") &amp;"{"&amp;twoRangesToJSON(NodesJSON[[#Headers],[label]:[url]],NodesJSON[[#This Row],[label]:[url]])&amp;"}")</f>
        <v>,{"label":"PMS","group":"","id":"nEBC962F0_3340_49DC_9E34_B2B7557F9372","url":"https://open-measure.atlassian.net/wiki/spaces/DIC/pages/858521682"}</v>
      </c>
    </row>
    <row r="341" spans="1:6" ht="13.9" thickTop="1" thickBot="1" x14ac:dyDescent="0.4">
      <c r="A341" s="39">
        <f>IF(ISERR(NodesJSON[[#This Row],[label]]),0,1)</f>
        <v>1</v>
      </c>
      <c r="B341" s="3" t="str">
        <f>NodesData[[#This Row],[Common Name]]</f>
        <v>Policy</v>
      </c>
      <c r="C341" s="3" t="str">
        <f>IF(NodesData[[#This Row],[Context Instanciation]]="","",NodesData[[#This Row],[Context Instanciation]])</f>
        <v/>
      </c>
      <c r="D341" s="22" t="str">
        <f>NodesData[[#This Row],[Node ID]]</f>
        <v>nAA77CC85_5C4B_467C_8062_029385C2AF09</v>
      </c>
      <c r="E341" s="10" t="s">
        <v>1056</v>
      </c>
      <c r="F341" s="25" t="str" cm="1">
        <f t="array" ref="F341">IF(NodesJSON[[#This Row],[Export?]]=0,"",IF(ROW(NodesJSON[[#This Row],[label]])&gt;ROW(NodesJSON[[#Headers],[JSON]])+1,",","") &amp;"{"&amp;twoRangesToJSON(NodesJSON[[#Headers],[label]:[url]],NodesJSON[[#This Row],[label]:[url]])&amp;"}")</f>
        <v>,{"label":"Policy","group":"","id":"nAA77CC85_5C4B_467C_8062_029385C2AF09","url":"https://open-measure.atlassian.net/wiki/spaces/DIC/pages/67699423"}</v>
      </c>
    </row>
    <row r="342" spans="1:6" ht="13.9" thickTop="1" thickBot="1" x14ac:dyDescent="0.4">
      <c r="A342" s="39">
        <f>IF(ISERR(NodesJSON[[#This Row],[label]]),0,1)</f>
        <v>1</v>
      </c>
      <c r="B342" s="3" t="str">
        <f>NodesData[[#This Row],[Common Name]]</f>
        <v>Policy Analysis</v>
      </c>
      <c r="C342" s="3" t="str">
        <f>IF(NodesData[[#This Row],[Context Instanciation]]="","",NodesData[[#This Row],[Context Instanciation]])</f>
        <v/>
      </c>
      <c r="D342" s="22" t="str">
        <f>NodesData[[#This Row],[Node ID]]</f>
        <v>n5873E20E_7DC8_43B0_B048_106A80E87640</v>
      </c>
      <c r="E342" s="10" t="s">
        <v>1058</v>
      </c>
      <c r="F342" s="25" t="str" cm="1">
        <f t="array" ref="F342">IF(NodesJSON[[#This Row],[Export?]]=0,"",IF(ROW(NodesJSON[[#This Row],[label]])&gt;ROW(NodesJSON[[#Headers],[JSON]])+1,",","") &amp;"{"&amp;twoRangesToJSON(NodesJSON[[#Headers],[label]:[url]],NodesJSON[[#This Row],[label]:[url]])&amp;"}")</f>
        <v>,{"label":"Policy Analysis","group":"","id":"n5873E20E_7DC8_43B0_B048_106A80E87640","url":"https://open-measure.atlassian.net/wiki/spaces/DIC/pages/427130881"}</v>
      </c>
    </row>
    <row r="343" spans="1:6" ht="13.9" thickTop="1" thickBot="1" x14ac:dyDescent="0.4">
      <c r="A343" s="39">
        <f>IF(ISERR(NodesJSON[[#This Row],[label]]),0,1)</f>
        <v>1</v>
      </c>
      <c r="B343" s="3" t="str">
        <f>NodesData[[#This Row],[Common Name]]</f>
        <v>Policy Centralization</v>
      </c>
      <c r="C343" s="3" t="str">
        <f>IF(NodesData[[#This Row],[Context Instanciation]]="","",NodesData[[#This Row],[Context Instanciation]])</f>
        <v/>
      </c>
      <c r="D343" s="22" t="str">
        <f>NodesData[[#This Row],[Node ID]]</f>
        <v>n10B244A8_21C9_4D9D_9E27_FE5ABBED56A5</v>
      </c>
      <c r="E343" s="10" t="s">
        <v>1060</v>
      </c>
      <c r="F343" s="25" t="str" cm="1">
        <f t="array" ref="F343">IF(NodesJSON[[#This Row],[Export?]]=0,"",IF(ROW(NodesJSON[[#This Row],[label]])&gt;ROW(NodesJSON[[#Headers],[JSON]])+1,",","") &amp;"{"&amp;twoRangesToJSON(NodesJSON[[#Headers],[label]:[url]],NodesJSON[[#This Row],[label]:[url]])&amp;"}")</f>
        <v>,{"label":"Policy Centralization","group":"","id":"n10B244A8_21C9_4D9D_9E27_FE5ABBED56A5","url":"https://open-measure.atlassian.net/wiki/spaces/DIC/pages/2589003"}</v>
      </c>
    </row>
    <row r="344" spans="1:6" ht="13.9" thickTop="1" thickBot="1" x14ac:dyDescent="0.4">
      <c r="A344" s="39">
        <f>IF(ISERR(NodesJSON[[#This Row],[label]]),0,1)</f>
        <v>1</v>
      </c>
      <c r="B344" s="3" t="str">
        <f>NodesData[[#This Row],[Common Name]]</f>
        <v>Policy Interoperability</v>
      </c>
      <c r="C344" s="3" t="str">
        <f>IF(NodesData[[#This Row],[Context Instanciation]]="","",NodesData[[#This Row],[Context Instanciation]])</f>
        <v/>
      </c>
      <c r="D344" s="22" t="str">
        <f>NodesData[[#This Row],[Node ID]]</f>
        <v>n76740F74_7039_4200_B48A_59A8A4A3D1A0</v>
      </c>
      <c r="E344" s="10" t="s">
        <v>1062</v>
      </c>
      <c r="F344" s="25" t="str" cm="1">
        <f t="array" ref="F344">IF(NodesJSON[[#This Row],[Export?]]=0,"",IF(ROW(NodesJSON[[#This Row],[label]])&gt;ROW(NodesJSON[[#Headers],[JSON]])+1,",","") &amp;"{"&amp;twoRangesToJSON(NodesJSON[[#Headers],[label]:[url]],NodesJSON[[#This Row],[label]:[url]])&amp;"}")</f>
        <v>,{"label":"Policy Interoperability","group":"","id":"n76740F74_7039_4200_B48A_59A8A4A3D1A0","url":"https://open-measure.atlassian.net/wiki/spaces/DIC/pages/11141464"}</v>
      </c>
    </row>
    <row r="345" spans="1:6" ht="13.9" thickTop="1" thickBot="1" x14ac:dyDescent="0.4">
      <c r="A345" s="39">
        <f>IF(ISERR(NodesJSON[[#This Row],[label]]),0,1)</f>
        <v>1</v>
      </c>
      <c r="B345" s="3" t="str">
        <f>NodesData[[#This Row],[Common Name]]</f>
        <v>Policy Manageability</v>
      </c>
      <c r="C345" s="3" t="str">
        <f>IF(NodesData[[#This Row],[Context Instanciation]]="","",NodesData[[#This Row],[Context Instanciation]])</f>
        <v/>
      </c>
      <c r="D345" s="22" t="str">
        <f>NodesData[[#This Row],[Node ID]]</f>
        <v>nD3DD18B2_66DE_48D3_962B_511205F74E07</v>
      </c>
      <c r="E345" s="10" t="s">
        <v>1064</v>
      </c>
      <c r="F345" s="25" t="str" cm="1">
        <f t="array" ref="F345">IF(NodesJSON[[#This Row],[Export?]]=0,"",IF(ROW(NodesJSON[[#This Row],[label]])&gt;ROW(NodesJSON[[#Headers],[JSON]])+1,",","") &amp;"{"&amp;twoRangesToJSON(NodesJSON[[#Headers],[label]:[url]],NodesJSON[[#This Row],[label]:[url]])&amp;"}")</f>
        <v>,{"label":"Policy Manageability","group":"","id":"nD3DD18B2_66DE_48D3_962B_511205F74E07","url":"https://open-measure.atlassian.net/wiki/spaces/DIC/pages/2588994"}</v>
      </c>
    </row>
    <row r="346" spans="1:6" ht="13.9" thickTop="1" thickBot="1" x14ac:dyDescent="0.4">
      <c r="A346" s="39">
        <f>IF(ISERR(NodesJSON[[#This Row],[label]]),0,1)</f>
        <v>1</v>
      </c>
      <c r="B346" s="3" t="str">
        <f>NodesData[[#This Row],[Common Name]]</f>
        <v>Policy Mining</v>
      </c>
      <c r="C346" s="3" t="str">
        <f>IF(NodesData[[#This Row],[Context Instanciation]]="","",NodesData[[#This Row],[Context Instanciation]])</f>
        <v/>
      </c>
      <c r="D346" s="22" t="str">
        <f>NodesData[[#This Row],[Node ID]]</f>
        <v>nB5D0C15D_30A8_4D8C_9DF1_B0D78AC0EB44</v>
      </c>
      <c r="E346" s="10" t="s">
        <v>1066</v>
      </c>
      <c r="F346" s="25" t="str" cm="1">
        <f t="array" ref="F346">IF(NodesJSON[[#This Row],[Export?]]=0,"",IF(ROW(NodesJSON[[#This Row],[label]])&gt;ROW(NodesJSON[[#Headers],[JSON]])+1,",","") &amp;"{"&amp;twoRangesToJSON(NodesJSON[[#Headers],[label]:[url]],NodesJSON[[#This Row],[label]:[url]])&amp;"}")</f>
        <v>,{"label":"Policy Mining","group":"","id":"nB5D0C15D_30A8_4D8C_9DF1_B0D78AC0EB44","url":"https://open-measure.atlassian.net/wiki/spaces/DIC/pages/67698769"}</v>
      </c>
    </row>
    <row r="347" spans="1:6" ht="13.9" thickTop="1" thickBot="1" x14ac:dyDescent="0.4">
      <c r="A347" s="39">
        <f>IF(ISERR(NodesJSON[[#This Row],[label]]),0,1)</f>
        <v>1</v>
      </c>
      <c r="B347" s="3" t="str">
        <f>NodesData[[#This Row],[Common Name]]</f>
        <v>Policy Modeling</v>
      </c>
      <c r="C347" s="3" t="str">
        <f>IF(NodesData[[#This Row],[Context Instanciation]]="","",NodesData[[#This Row],[Context Instanciation]])</f>
        <v/>
      </c>
      <c r="D347" s="22" t="str">
        <f>NodesData[[#This Row],[Node ID]]</f>
        <v>n455C0775_9E71_475A_9F9D_FE0281B80BC0</v>
      </c>
      <c r="E347" s="10" t="s">
        <v>1068</v>
      </c>
      <c r="F347" s="25" t="str" cm="1">
        <f t="array" ref="F347">IF(NodesJSON[[#This Row],[Export?]]=0,"",IF(ROW(NodesJSON[[#This Row],[label]])&gt;ROW(NodesJSON[[#Headers],[JSON]])+1,",","") &amp;"{"&amp;twoRangesToJSON(NodesJSON[[#Headers],[label]:[url]],NodesJSON[[#This Row],[label]:[url]])&amp;"}")</f>
        <v>,{"label":"Policy Modeling","group":"","id":"n455C0775_9E71_475A_9F9D_FE0281B80BC0","url":"https://open-measure.atlassian.net/wiki/spaces/DIC/pages/425623561"}</v>
      </c>
    </row>
    <row r="348" spans="1:6" ht="13.9" thickTop="1" thickBot="1" x14ac:dyDescent="0.4">
      <c r="A348" s="39">
        <f>IF(ISERR(NodesJSON[[#This Row],[label]]),0,1)</f>
        <v>1</v>
      </c>
      <c r="B348" s="3" t="str">
        <f>NodesData[[#This Row],[Common Name]]</f>
        <v>Possession Factor</v>
      </c>
      <c r="C348" s="3" t="str">
        <f>IF(NodesData[[#This Row],[Context Instanciation]]="","",NodesData[[#This Row],[Context Instanciation]])</f>
        <v/>
      </c>
      <c r="D348" s="22" t="str">
        <f>NodesData[[#This Row],[Node ID]]</f>
        <v>n8B4BB7FC_2E2A_4C1A_8657_58EEC2DF8A9A</v>
      </c>
      <c r="E348" s="10" t="s">
        <v>1052</v>
      </c>
      <c r="F348" s="25" t="str" cm="1">
        <f t="array" ref="F348">IF(NodesJSON[[#This Row],[Export?]]=0,"",IF(ROW(NodesJSON[[#This Row],[label]])&gt;ROW(NodesJSON[[#Headers],[JSON]])+1,",","") &amp;"{"&amp;twoRangesToJSON(NodesJSON[[#Headers],[label]:[url]],NodesJSON[[#This Row],[label]:[url]])&amp;"}")</f>
        <v>,{"label":"Possession Factor","group":"","id":"n8B4BB7FC_2E2A_4C1A_8657_58EEC2DF8A9A","url":"https://open-measure.atlassian.net/wiki/spaces/DIC/pages/82870985"}</v>
      </c>
    </row>
    <row r="349" spans="1:6" ht="13.9" thickTop="1" thickBot="1" x14ac:dyDescent="0.4">
      <c r="A349" s="39">
        <f>IF(ISERR(NodesJSON[[#This Row],[label]]),0,1)</f>
        <v>1</v>
      </c>
      <c r="B349" s="3" t="str">
        <f>NodesData[[#This Row],[Common Name]]</f>
        <v>Pre-approval</v>
      </c>
      <c r="C349" s="3" t="str">
        <f>IF(NodesData[[#This Row],[Context Instanciation]]="","",NodesData[[#This Row],[Context Instanciation]])</f>
        <v/>
      </c>
      <c r="D349" s="22" t="str">
        <f>NodesData[[#This Row],[Node ID]]</f>
        <v>n709A4E65_BD24_4FB3_AF6D_E95E57F0157C</v>
      </c>
      <c r="E349" s="10" t="s">
        <v>1072</v>
      </c>
      <c r="F349" s="25" t="str" cm="1">
        <f t="array" ref="F349">IF(NodesJSON[[#This Row],[Export?]]=0,"",IF(ROW(NodesJSON[[#This Row],[label]])&gt;ROW(NodesJSON[[#Headers],[JSON]])+1,",","") &amp;"{"&amp;twoRangesToJSON(NodesJSON[[#Headers],[label]:[url]],NodesJSON[[#This Row],[label]:[url]])&amp;"}")</f>
        <v>,{"label":"Pre-approval","group":"","id":"n709A4E65_BD24_4FB3_AF6D_E95E57F0157C","url":"https://open-measure.atlassian.net/wiki/spaces/DIC/pages/86442069"}</v>
      </c>
    </row>
    <row r="350" spans="1:6" ht="13.9" thickTop="1" thickBot="1" x14ac:dyDescent="0.4">
      <c r="A350" s="39">
        <f>IF(ISERR(NodesJSON[[#This Row],[label]]),0,1)</f>
        <v>1</v>
      </c>
      <c r="B350" s="3" t="str">
        <f>NodesData[[#This Row],[Common Name]]</f>
        <v>Principal</v>
      </c>
      <c r="C350" s="3" t="str">
        <f>IF(NodesData[[#This Row],[Context Instanciation]]="","",NodesData[[#This Row],[Context Instanciation]])</f>
        <v/>
      </c>
      <c r="D350" s="22" t="str">
        <f>NodesData[[#This Row],[Node ID]]</f>
        <v>nE2F3A772_EEDF_4F78_9194_533B50B4644F</v>
      </c>
      <c r="E350" s="10" t="s">
        <v>1086</v>
      </c>
      <c r="F350" s="25" t="str" cm="1">
        <f t="array" ref="F350">IF(NodesJSON[[#This Row],[Export?]]=0,"",IF(ROW(NodesJSON[[#This Row],[label]])&gt;ROW(NodesJSON[[#Headers],[JSON]])+1,",","") &amp;"{"&amp;twoRangesToJSON(NodesJSON[[#Headers],[label]:[url]],NodesJSON[[#This Row],[label]:[url]])&amp;"}")</f>
        <v>,{"label":"Principal","group":"","id":"nE2F3A772_EEDF_4F78_9194_533B50B4644F","url":"https://open-measure.atlassian.net/wiki/spaces/DIC/pages/1122566198"}</v>
      </c>
    </row>
    <row r="351" spans="1:6" ht="13.9" thickTop="1" thickBot="1" x14ac:dyDescent="0.4">
      <c r="A351" s="39">
        <f>IF(ISERR(NodesJSON[[#This Row],[label]]),0,1)</f>
        <v>1</v>
      </c>
      <c r="B351" s="3" t="str">
        <f>NodesData[[#This Row],[Common Name]]</f>
        <v>Private Key Loss</v>
      </c>
      <c r="C351" s="3" t="str">
        <f>IF(NodesData[[#This Row],[Context Instanciation]]="","",NodesData[[#This Row],[Context Instanciation]])</f>
        <v/>
      </c>
      <c r="D351" s="22" t="str">
        <f>NodesData[[#This Row],[Node ID]]</f>
        <v>n3805BE20_DE10_4929_A9F5_5042661EDA36</v>
      </c>
      <c r="E351" s="10" t="s">
        <v>1074</v>
      </c>
      <c r="F351" s="25" t="str" cm="1">
        <f t="array" ref="F351">IF(NodesJSON[[#This Row],[Export?]]=0,"",IF(ROW(NodesJSON[[#This Row],[label]])&gt;ROW(NodesJSON[[#Headers],[JSON]])+1,",","") &amp;"{"&amp;twoRangesToJSON(NodesJSON[[#Headers],[label]:[url]],NodesJSON[[#This Row],[label]:[url]])&amp;"}")</f>
        <v>,{"label":"Private Key Loss","group":"","id":"n3805BE20_DE10_4929_A9F5_5042661EDA36","url":"https://open-measure.atlassian.net/wiki/spaces/DIC/pages/814514401"}</v>
      </c>
    </row>
    <row r="352" spans="1:6" ht="13.9" thickTop="1" thickBot="1" x14ac:dyDescent="0.4">
      <c r="A352" s="39">
        <f>IF(ISERR(NodesJSON[[#This Row],[label]]),0,1)</f>
        <v>1</v>
      </c>
      <c r="B352" s="3" t="str">
        <f>NodesData[[#This Row],[Common Name]]</f>
        <v>Privilege</v>
      </c>
      <c r="C352" s="3" t="str">
        <f>IF(NodesData[[#This Row],[Context Instanciation]]="","",NodesData[[#This Row],[Context Instanciation]])</f>
        <v/>
      </c>
      <c r="D352" s="22" t="str">
        <f>NodesData[[#This Row],[Node ID]]</f>
        <v>n3A9A58DA_FA73_4A42_AD4D_20181F1594F1</v>
      </c>
      <c r="E352" s="10" t="s">
        <v>1076</v>
      </c>
      <c r="F352" s="25" t="str" cm="1">
        <f t="array" ref="F352">IF(NodesJSON[[#This Row],[Export?]]=0,"",IF(ROW(NodesJSON[[#This Row],[label]])&gt;ROW(NodesJSON[[#Headers],[JSON]])+1,",","") &amp;"{"&amp;twoRangesToJSON(NodesJSON[[#Headers],[label]:[url]],NodesJSON[[#This Row],[label]:[url]])&amp;"}")</f>
        <v>,{"label":"Privilege","group":"","id":"n3A9A58DA_FA73_4A42_AD4D_20181F1594F1","url":"https://open-measure.atlassian.net/wiki/spaces/DIC/pages/1164902443"}</v>
      </c>
    </row>
    <row r="353" spans="1:6" ht="13.9" thickTop="1" thickBot="1" x14ac:dyDescent="0.4">
      <c r="A353" s="39">
        <f>IF(ISERR(NodesJSON[[#This Row],[label]]),0,1)</f>
        <v>1</v>
      </c>
      <c r="B353" s="3" t="str">
        <f>NodesData[[#This Row],[Common Name]]</f>
        <v>Privilege Abuse</v>
      </c>
      <c r="C353" s="3" t="str">
        <f>IF(NodesData[[#This Row],[Context Instanciation]]="","",NodesData[[#This Row],[Context Instanciation]])</f>
        <v/>
      </c>
      <c r="D353" s="22" t="str">
        <f>NodesData[[#This Row],[Node ID]]</f>
        <v>nC8E821DA_5F6B_4960_9FEF_DC5199DC42F0</v>
      </c>
      <c r="E353" s="10" t="s">
        <v>1078</v>
      </c>
      <c r="F353" s="25" t="str" cm="1">
        <f t="array" ref="F353">IF(NodesJSON[[#This Row],[Export?]]=0,"",IF(ROW(NodesJSON[[#This Row],[label]])&gt;ROW(NodesJSON[[#Headers],[JSON]])+1,",","") &amp;"{"&amp;twoRangesToJSON(NodesJSON[[#Headers],[label]:[url]],NodesJSON[[#This Row],[label]:[url]])&amp;"}")</f>
        <v>,{"label":"Privilege Abuse","group":"","id":"nC8E821DA_5F6B_4960_9FEF_DC5199DC42F0","url":"https://open-measure.atlassian.net/wiki/spaces/DIC/pages/1164869655"}</v>
      </c>
    </row>
    <row r="354" spans="1:6" ht="13.9" thickTop="1" thickBot="1" x14ac:dyDescent="0.4">
      <c r="A354" s="39">
        <f>IF(ISERR(NodesJSON[[#This Row],[label]]),0,1)</f>
        <v>1</v>
      </c>
      <c r="B354" s="3" t="str">
        <f>NodesData[[#This Row],[Common Name]]</f>
        <v>Privilege Chaining</v>
      </c>
      <c r="C354" s="3" t="str">
        <f>IF(NodesData[[#This Row],[Context Instanciation]]="","",NodesData[[#This Row],[Context Instanciation]])</f>
        <v/>
      </c>
      <c r="D354" s="22" t="str">
        <f>NodesData[[#This Row],[Node ID]]</f>
        <v>n6AAB869E_8FFB_43B2_BCDE_C4BB8F0E0948</v>
      </c>
      <c r="E354" s="10" t="s">
        <v>1080</v>
      </c>
      <c r="F354" s="25" t="str" cm="1">
        <f t="array" ref="F354">IF(NodesJSON[[#This Row],[Export?]]=0,"",IF(ROW(NodesJSON[[#This Row],[label]])&gt;ROW(NodesJSON[[#Headers],[JSON]])+1,",","") &amp;"{"&amp;twoRangesToJSON(NodesJSON[[#Headers],[label]:[url]],NodesJSON[[#This Row],[label]:[url]])&amp;"}")</f>
        <v>,{"label":"Privilege Chaining","group":"","id":"n6AAB869E_8FFB_43B2_BCDE_C4BB8F0E0948","url":"https://open-measure.atlassian.net/wiki/spaces/DIC/pages/1164902498"}</v>
      </c>
    </row>
    <row r="355" spans="1:6" ht="13.9" thickTop="1" thickBot="1" x14ac:dyDescent="0.4">
      <c r="A355" s="39">
        <f>IF(ISERR(NodesJSON[[#This Row],[label]]),0,1)</f>
        <v>1</v>
      </c>
      <c r="B355" s="3" t="str">
        <f>NodesData[[#This Row],[Common Name]]</f>
        <v>Privilege Escalation</v>
      </c>
      <c r="C355" s="3" t="str">
        <f>IF(NodesData[[#This Row],[Context Instanciation]]="","",NodesData[[#This Row],[Context Instanciation]])</f>
        <v/>
      </c>
      <c r="D355" s="22" t="str">
        <f>NodesData[[#This Row],[Node ID]]</f>
        <v>n640E2EBF_F163_41EF_A5E7_E328911BBC8E</v>
      </c>
      <c r="E355" s="10" t="s">
        <v>1082</v>
      </c>
      <c r="F355" s="25" t="str" cm="1">
        <f t="array" ref="F355">IF(NodesJSON[[#This Row],[Export?]]=0,"",IF(ROW(NodesJSON[[#This Row],[label]])&gt;ROW(NodesJSON[[#Headers],[JSON]])+1,",","") &amp;"{"&amp;twoRangesToJSON(NodesJSON[[#Headers],[label]:[url]],NodesJSON[[#This Row],[label]:[url]])&amp;"}")</f>
        <v>,{"label":"Privilege Escalation","group":"","id":"n640E2EBF_F163_41EF_A5E7_E328911BBC8E","url":"https://open-measure.atlassian.net/wiki/spaces/DIC/pages/1152483772"}</v>
      </c>
    </row>
    <row r="356" spans="1:6" ht="13.9" thickTop="1" thickBot="1" x14ac:dyDescent="0.4">
      <c r="A356" s="39">
        <f>IF(ISERR(NodesJSON[[#This Row],[label]]),0,1)</f>
        <v>1</v>
      </c>
      <c r="B356" s="3" t="str">
        <f>NodesData[[#This Row],[Common Name]]</f>
        <v>Privileged Identity</v>
      </c>
      <c r="C356" s="3" t="str">
        <f>IF(NodesData[[#This Row],[Context Instanciation]]="","",NodesData[[#This Row],[Context Instanciation]])</f>
        <v/>
      </c>
      <c r="D356" s="22" t="str">
        <f>NodesData[[#This Row],[Node ID]]</f>
        <v>n38442FF1_AFF1_4481_B414_D70DEE27F0EC</v>
      </c>
      <c r="E356" s="10" t="s">
        <v>1084</v>
      </c>
      <c r="F356" s="25" t="str" cm="1">
        <f t="array" ref="F356">IF(NodesJSON[[#This Row],[Export?]]=0,"",IF(ROW(NodesJSON[[#This Row],[label]])&gt;ROW(NodesJSON[[#Headers],[JSON]])+1,",","") &amp;"{"&amp;twoRangesToJSON(NodesJSON[[#Headers],[label]:[url]],NodesJSON[[#This Row],[label]:[url]])&amp;"}")</f>
        <v>,{"label":"Privileged Identity","group":"","id":"n38442FF1_AFF1_4481_B414_D70DEE27F0EC","url":"https://open-measure.atlassian.net/wiki/spaces/DIC/pages/1130921985"}</v>
      </c>
    </row>
    <row r="357" spans="1:6" ht="13.9" thickTop="1" thickBot="1" x14ac:dyDescent="0.4">
      <c r="A357" s="39">
        <f>IF(ISERR(NodesJSON[[#This Row],[label]]),0,1)</f>
        <v>1</v>
      </c>
      <c r="B357" s="3" t="str">
        <f>NodesData[[#This Row],[Common Name]]</f>
        <v>Privileged Insider</v>
      </c>
      <c r="C357" s="3" t="str">
        <f>IF(NodesData[[#This Row],[Context Instanciation]]="","",NodesData[[#This Row],[Context Instanciation]])</f>
        <v/>
      </c>
      <c r="D357" s="22" t="str">
        <f>NodesData[[#This Row],[Node ID]]</f>
        <v>nB8B1D9E3_CCB1_4B48_8962_EA0A592DA1E6</v>
      </c>
      <c r="E357" s="10" t="s">
        <v>1088</v>
      </c>
      <c r="F357" s="25" t="str" cm="1">
        <f t="array" ref="F357">IF(NodesJSON[[#This Row],[Export?]]=0,"",IF(ROW(NodesJSON[[#This Row],[label]])&gt;ROW(NodesJSON[[#Headers],[JSON]])+1,",","") &amp;"{"&amp;twoRangesToJSON(NodesJSON[[#Headers],[label]:[url]],NodesJSON[[#This Row],[label]:[url]])&amp;"}")</f>
        <v>,{"label":"Privileged Insider","group":"","id":"nB8B1D9E3_CCB1_4B48_8962_EA0A592DA1E6","url":"https://open-measure.atlassian.net/wiki/spaces/DIC/pages/82903488"}</v>
      </c>
    </row>
    <row r="358" spans="1:6" ht="13.9" thickTop="1" thickBot="1" x14ac:dyDescent="0.4">
      <c r="A358" s="39">
        <f>IF(ISERR(NodesJSON[[#This Row],[label]]),0,1)</f>
        <v>1</v>
      </c>
      <c r="B358" s="3" t="str">
        <f>NodesData[[#This Row],[Common Name]]</f>
        <v>Provisioning</v>
      </c>
      <c r="C358" s="3" t="str">
        <f>IF(NodesData[[#This Row],[Context Instanciation]]="","",NodesData[[#This Row],[Context Instanciation]])</f>
        <v/>
      </c>
      <c r="D358" s="22" t="str">
        <f>NodesData[[#This Row],[Node ID]]</f>
        <v>nD0A7D3C9_1A0B_49DC_A3E2_41483CB017E4</v>
      </c>
      <c r="E358" s="10" t="s">
        <v>1089</v>
      </c>
      <c r="F358" s="25" t="str" cm="1">
        <f t="array" ref="F358">IF(NodesJSON[[#This Row],[Export?]]=0,"",IF(ROW(NodesJSON[[#This Row],[label]])&gt;ROW(NodesJSON[[#Headers],[JSON]])+1,",","") &amp;"{"&amp;twoRangesToJSON(NodesJSON[[#Headers],[label]:[url]],NodesJSON[[#This Row],[label]:[url]])&amp;"}")</f>
        <v>,{"label":"Provisioning","group":"","id":"nD0A7D3C9_1A0B_49DC_A3E2_41483CB017E4","url":"https://open-measure.atlassian.net/wiki/spaces/DIC/pages/140739068/SAM+Database"}</v>
      </c>
    </row>
    <row r="359" spans="1:6" ht="13.9" thickTop="1" thickBot="1" x14ac:dyDescent="0.4">
      <c r="A359" s="39">
        <f>IF(ISERR(NodesJSON[[#This Row],[label]]),0,1)</f>
        <v>1</v>
      </c>
      <c r="B359" s="3" t="str">
        <f>NodesData[[#This Row],[Common Name]]</f>
        <v>QR Code Authentication</v>
      </c>
      <c r="C359" s="3" t="str">
        <f>IF(NodesData[[#This Row],[Context Instanciation]]="","",NodesData[[#This Row],[Context Instanciation]])</f>
        <v/>
      </c>
      <c r="D359" s="22" t="str">
        <f>NodesData[[#This Row],[Node ID]]</f>
        <v>n797F89B7_EBFE_4624_B7EE_5952C851879E</v>
      </c>
      <c r="E359" s="10" t="s">
        <v>1090</v>
      </c>
      <c r="F359" s="25" t="str" cm="1">
        <f t="array" ref="F359">IF(NodesJSON[[#This Row],[Export?]]=0,"",IF(ROW(NodesJSON[[#This Row],[label]])&gt;ROW(NodesJSON[[#Headers],[JSON]])+1,",","") &amp;"{"&amp;twoRangesToJSON(NodesJSON[[#Headers],[label]:[url]],NodesJSON[[#This Row],[label]:[url]])&amp;"}")</f>
        <v>,{"label":"QR Code Authentication","group":"","id":"n797F89B7_EBFE_4624_B7EE_5952C851879E","url":"https://open-measure.atlassian.net/wiki/spaces/DIC/pages/1428586729/SAML"}</v>
      </c>
    </row>
    <row r="360" spans="1:6" ht="13.9" thickTop="1" thickBot="1" x14ac:dyDescent="0.4">
      <c r="A360" s="39">
        <f>IF(ISERR(NodesJSON[[#This Row],[label]]),0,1)</f>
        <v>1</v>
      </c>
      <c r="B360" s="3" t="str">
        <f>NodesData[[#This Row],[Common Name]]</f>
        <v>Qualitative Identity</v>
      </c>
      <c r="C360" s="3" t="str">
        <f>IF(NodesData[[#This Row],[Context Instanciation]]="","",NodesData[[#This Row],[Context Instanciation]])</f>
        <v/>
      </c>
      <c r="D360" s="22" t="str">
        <f>NodesData[[#This Row],[Node ID]]</f>
        <v>n2D4F2CD5_91A2_4116_8CF5_9FA6ED9E736D</v>
      </c>
      <c r="E360" s="10" t="s">
        <v>1092</v>
      </c>
      <c r="F360" s="25" t="str" cm="1">
        <f t="array" ref="F360">IF(NodesJSON[[#This Row],[Export?]]=0,"",IF(ROW(NodesJSON[[#This Row],[label]])&gt;ROW(NodesJSON[[#Headers],[JSON]])+1,",","") &amp;"{"&amp;twoRangesToJSON(NodesJSON[[#Headers],[label]:[url]],NodesJSON[[#This Row],[label]:[url]])&amp;"}")</f>
        <v>,{"label":"Qualitative Identity","group":"","id":"n2D4F2CD5_91A2_4116_8CF5_9FA6ED9E736D","url":"https://open-measure.atlassian.net/wiki/spaces/DIC/pages/206307343"}</v>
      </c>
    </row>
    <row r="361" spans="1:6" ht="13.9" thickTop="1" thickBot="1" x14ac:dyDescent="0.4">
      <c r="A361" s="39">
        <f>IF(ISERR(NodesJSON[[#This Row],[label]]),0,1)</f>
        <v>1</v>
      </c>
      <c r="B361" s="3" t="str">
        <f>NodesData[[#This Row],[Common Name]]</f>
        <v>RA</v>
      </c>
      <c r="C361" s="3" t="str">
        <f>IF(NodesData[[#This Row],[Context Instanciation]]="","",NodesData[[#This Row],[Context Instanciation]])</f>
        <v/>
      </c>
      <c r="D361" s="22" t="str">
        <f>NodesData[[#This Row],[Node ID]]</f>
        <v>n9F7D871B_3DEB_4A88_B41B_59E3F5381286</v>
      </c>
      <c r="E361" s="10" t="s">
        <v>1094</v>
      </c>
      <c r="F361" s="25" t="str" cm="1">
        <f t="array" ref="F361">IF(NodesJSON[[#This Row],[Export?]]=0,"",IF(ROW(NodesJSON[[#This Row],[label]])&gt;ROW(NodesJSON[[#Headers],[JSON]])+1,",","") &amp;"{"&amp;twoRangesToJSON(NodesJSON[[#Headers],[label]:[url]],NodesJSON[[#This Row],[label]:[url]])&amp;"}")</f>
        <v>,{"label":"RA","group":"","id":"n9F7D871B_3DEB_4A88_B41B_59E3F5381286","url":"https://open-measure.atlassian.net/wiki/spaces/DIC/pages/206372879"}</v>
      </c>
    </row>
    <row r="362" spans="1:6" ht="13.9" thickTop="1" thickBot="1" x14ac:dyDescent="0.4">
      <c r="A362" s="39">
        <f>IF(ISERR(NodesJSON[[#This Row],[label]]),0,1)</f>
        <v>1</v>
      </c>
      <c r="B362" s="3" t="str">
        <f>NodesData[[#This Row],[Common Name]]</f>
        <v>Ratio Scale</v>
      </c>
      <c r="C362" s="3" t="str">
        <f>IF(NodesData[[#This Row],[Context Instanciation]]="","",NodesData[[#This Row],[Context Instanciation]])</f>
        <v/>
      </c>
      <c r="D362" s="22" t="str">
        <f>NodesData[[#This Row],[Node ID]]</f>
        <v>n9EABB6A3_3B7A_42A6_A127_9CD98E43B6C0</v>
      </c>
      <c r="E362" s="10" t="s">
        <v>1096</v>
      </c>
      <c r="F362" s="25" t="str" cm="1">
        <f t="array" ref="F362">IF(NodesJSON[[#This Row],[Export?]]=0,"",IF(ROW(NodesJSON[[#This Row],[label]])&gt;ROW(NodesJSON[[#Headers],[JSON]])+1,",","") &amp;"{"&amp;twoRangesToJSON(NodesJSON[[#Headers],[label]:[url]],NodesJSON[[#This Row],[label]:[url]])&amp;"}")</f>
        <v>,{"label":"Ratio Scale","group":"","id":"n9EABB6A3_3B7A_42A6_A127_9CD98E43B6C0","url":"https://open-measure.atlassian.net/wiki/spaces/DIC/pages/206307350"}</v>
      </c>
    </row>
    <row r="363" spans="1:6" ht="13.9" thickTop="1" thickBot="1" x14ac:dyDescent="0.4">
      <c r="A363" s="39">
        <f>IF(ISERR(NodesJSON[[#This Row],[label]]),0,1)</f>
        <v>1</v>
      </c>
      <c r="B363" s="3" t="str">
        <f>NodesData[[#This Row],[Common Name]]</f>
        <v>RBA</v>
      </c>
      <c r="C363" s="3" t="str">
        <f>IF(NodesData[[#This Row],[Context Instanciation]]="","",NodesData[[#This Row],[Context Instanciation]])</f>
        <v/>
      </c>
      <c r="D363" s="22" t="str">
        <f>NodesData[[#This Row],[Node ID]]</f>
        <v>nA3D07637_D18C_4A84_B9BE_EC33462CCE27</v>
      </c>
      <c r="E363" s="10" t="s">
        <v>1098</v>
      </c>
      <c r="F363" s="25" t="str" cm="1">
        <f t="array" ref="F363">IF(NodesJSON[[#This Row],[Export?]]=0,"",IF(ROW(NodesJSON[[#This Row],[label]])&gt;ROW(NodesJSON[[#Headers],[JSON]])+1,",","") &amp;"{"&amp;twoRangesToJSON(NodesJSON[[#Headers],[label]:[url]],NodesJSON[[#This Row],[label]:[url]])&amp;"}")</f>
        <v>,{"label":"RBA","group":"","id":"nA3D07637_D18C_4A84_B9BE_EC33462CCE27","url":"https://open-measure.atlassian.net/wiki/spaces/DIC/pages/206307373"}</v>
      </c>
    </row>
    <row r="364" spans="1:6" ht="13.9" thickTop="1" thickBot="1" x14ac:dyDescent="0.4">
      <c r="A364" s="39">
        <f>IF(ISERR(NodesJSON[[#This Row],[label]]),0,1)</f>
        <v>1</v>
      </c>
      <c r="B364" s="3" t="str">
        <f>NodesData[[#This Row],[Common Name]]</f>
        <v>Re-authentication</v>
      </c>
      <c r="C364" s="3" t="str">
        <f>IF(NodesData[[#This Row],[Context Instanciation]]="","",NodesData[[#This Row],[Context Instanciation]])</f>
        <v/>
      </c>
      <c r="D364" s="22" t="str">
        <f>NodesData[[#This Row],[Node ID]]</f>
        <v>n7F9AFAF9_8A03_4A7B_B9E6_BFE1D2A9302D</v>
      </c>
      <c r="E364" s="10" t="s">
        <v>1100</v>
      </c>
      <c r="F364" s="25" t="str" cm="1">
        <f t="array" ref="F364">IF(NodesJSON[[#This Row],[Export?]]=0,"",IF(ROW(NodesJSON[[#This Row],[label]])&gt;ROW(NodesJSON[[#Headers],[JSON]])+1,",","") &amp;"{"&amp;twoRangesToJSON(NodesJSON[[#Headers],[label]:[url]],NodesJSON[[#This Row],[label]:[url]])&amp;"}")</f>
        <v>,{"label":"Re-authentication","group":"","id":"n7F9AFAF9_8A03_4A7B_B9E6_BFE1D2A9302D","url":"https://open-measure.atlassian.net/wiki/spaces/DIC/pages/1376383"}</v>
      </c>
    </row>
    <row r="365" spans="1:6" ht="13.9" thickTop="1" thickBot="1" x14ac:dyDescent="0.4">
      <c r="A365" s="39">
        <f>IF(ISERR(NodesJSON[[#This Row],[label]]),0,1)</f>
        <v>1</v>
      </c>
      <c r="B365" s="3" t="str">
        <f>NodesData[[#This Row],[Common Name]]</f>
        <v>Recertification</v>
      </c>
      <c r="C365" s="3" t="str">
        <f>IF(NodesData[[#This Row],[Context Instanciation]]="","",NodesData[[#This Row],[Context Instanciation]])</f>
        <v/>
      </c>
      <c r="D365" s="22" t="str">
        <f>NodesData[[#This Row],[Node ID]]</f>
        <v>nD44F34C0_2002_47C7_8592_BF38B5BF83F8</v>
      </c>
      <c r="E365" s="10" t="s">
        <v>1102</v>
      </c>
      <c r="F365" s="25" t="str" cm="1">
        <f t="array" ref="F365">IF(NodesJSON[[#This Row],[Export?]]=0,"",IF(ROW(NodesJSON[[#This Row],[label]])&gt;ROW(NodesJSON[[#Headers],[JSON]])+1,",","") &amp;"{"&amp;twoRangesToJSON(NodesJSON[[#Headers],[label]:[url]],NodesJSON[[#This Row],[label]:[url]])&amp;"}")</f>
        <v>,{"label":"Recertification","group":"","id":"nD44F34C0_2002_47C7_8592_BF38B5BF83F8","url":"https://open-measure.atlassian.net/wiki/spaces/DIC/pages/5931115"}</v>
      </c>
    </row>
    <row r="366" spans="1:6" ht="13.9" thickTop="1" thickBot="1" x14ac:dyDescent="0.4">
      <c r="A366" s="39">
        <f>IF(ISERR(NodesJSON[[#This Row],[label]]),0,1)</f>
        <v>1</v>
      </c>
      <c r="B366" s="3" t="str">
        <f>NodesData[[#This Row],[Common Name]]</f>
        <v>Reference Monitor</v>
      </c>
      <c r="C366" s="3" t="str">
        <f>IF(NodesData[[#This Row],[Context Instanciation]]="","",NodesData[[#This Row],[Context Instanciation]])</f>
        <v/>
      </c>
      <c r="D366" s="22" t="str">
        <f>NodesData[[#This Row],[Node ID]]</f>
        <v>n000D1617_D659_4780_A829_736ADFBC46B9</v>
      </c>
      <c r="E366" s="10" t="s">
        <v>1104</v>
      </c>
      <c r="F366" s="25" t="str" cm="1">
        <f t="array" ref="F366">IF(NodesJSON[[#This Row],[Export?]]=0,"",IF(ROW(NodesJSON[[#This Row],[label]])&gt;ROW(NodesJSON[[#Headers],[JSON]])+1,",","") &amp;"{"&amp;twoRangesToJSON(NodesJSON[[#Headers],[label]:[url]],NodesJSON[[#This Row],[label]:[url]])&amp;"}")</f>
        <v>,{"label":"Reference Monitor","group":"","id":"n000D1617_D659_4780_A829_736ADFBC46B9","url":"https://open-measure.atlassian.net/wiki/spaces/DIC/pages/234356901"}</v>
      </c>
    </row>
    <row r="367" spans="1:6" ht="13.9" thickTop="1" thickBot="1" x14ac:dyDescent="0.4">
      <c r="A367" s="39">
        <f>IF(ISERR(NodesJSON[[#This Row],[label]]),0,1)</f>
        <v>1</v>
      </c>
      <c r="B367" s="3" t="str">
        <f>NodesData[[#This Row],[Common Name]]</f>
        <v>Registration Authority</v>
      </c>
      <c r="C367" s="3" t="str">
        <f>IF(NodesData[[#This Row],[Context Instanciation]]="","",NodesData[[#This Row],[Context Instanciation]])</f>
        <v/>
      </c>
      <c r="D367" s="22" t="str">
        <f>NodesData[[#This Row],[Node ID]]</f>
        <v>nA28366D4_CC5A_467A_B4DC_EB619866BB17</v>
      </c>
      <c r="E367" s="10" t="s">
        <v>1106</v>
      </c>
      <c r="F367" s="25" t="str" cm="1">
        <f t="array" ref="F367">IF(NodesJSON[[#This Row],[Export?]]=0,"",IF(ROW(NodesJSON[[#This Row],[label]])&gt;ROW(NodesJSON[[#Headers],[JSON]])+1,",","") &amp;"{"&amp;twoRangesToJSON(NodesJSON[[#Headers],[label]:[url]],NodesJSON[[#This Row],[label]:[url]])&amp;"}")</f>
        <v>,{"label":"Registration Authority","group":"","id":"nA28366D4_CC5A_467A_B4DC_EB619866BB17","url":"https://open-measure.atlassian.net/wiki/spaces/DIC/pages/1142390785"}</v>
      </c>
    </row>
    <row r="368" spans="1:6" ht="13.9" thickTop="1" thickBot="1" x14ac:dyDescent="0.4">
      <c r="A368" s="39">
        <f>IF(ISERR(NodesJSON[[#This Row],[label]]),0,1)</f>
        <v>1</v>
      </c>
      <c r="B368" s="3" t="str">
        <f>NodesData[[#This Row],[Common Name]]</f>
        <v>Rejoiner</v>
      </c>
      <c r="C368" s="3" t="str">
        <f>IF(NodesData[[#This Row],[Context Instanciation]]="","",NodesData[[#This Row],[Context Instanciation]])</f>
        <v/>
      </c>
      <c r="D368" s="22" t="str">
        <f>NodesData[[#This Row],[Node ID]]</f>
        <v>nFFC60251_1B95_42A0_9516_E5AC18B9BF28</v>
      </c>
      <c r="E368" s="10" t="s">
        <v>1108</v>
      </c>
      <c r="F368" s="25" t="str" cm="1">
        <f t="array" ref="F368">IF(NodesJSON[[#This Row],[Export?]]=0,"",IF(ROW(NodesJSON[[#This Row],[label]])&gt;ROW(NodesJSON[[#Headers],[JSON]])+1,",","") &amp;"{"&amp;twoRangesToJSON(NodesJSON[[#Headers],[label]:[url]],NodesJSON[[#This Row],[label]:[url]])&amp;"}")</f>
        <v>,{"label":"Rejoiner","group":"","id":"nFFC60251_1B95_42A0_9516_E5AC18B9BF28","url":"https://open-measure.atlassian.net/wiki/spaces/DIC/pages/1230831633"}</v>
      </c>
    </row>
    <row r="369" spans="1:6" ht="13.9" thickTop="1" thickBot="1" x14ac:dyDescent="0.4">
      <c r="A369" s="39">
        <f>IF(ISERR(NodesJSON[[#This Row],[label]]),0,1)</f>
        <v>1</v>
      </c>
      <c r="B369" s="3" t="str">
        <f>NodesData[[#This Row],[Common Name]]</f>
        <v>Relying Party</v>
      </c>
      <c r="C369" s="3" t="str">
        <f>IF(NodesData[[#This Row],[Context Instanciation]]="","",NodesData[[#This Row],[Context Instanciation]])</f>
        <v/>
      </c>
      <c r="D369" s="22" t="str">
        <f>NodesData[[#This Row],[Node ID]]</f>
        <v>n85520257_66D0_4CD1_A52A_85A6885DB4CE</v>
      </c>
      <c r="E369" s="10" t="s">
        <v>1110</v>
      </c>
      <c r="F369" s="25" t="str" cm="1">
        <f t="array" ref="F369">IF(NodesJSON[[#This Row],[Export?]]=0,"",IF(ROW(NodesJSON[[#This Row],[label]])&gt;ROW(NodesJSON[[#Headers],[JSON]])+1,",","") &amp;"{"&amp;twoRangesToJSON(NodesJSON[[#Headers],[label]:[url]],NodesJSON[[#This Row],[label]:[url]])&amp;"}")</f>
        <v>,{"label":"Relying Party","group":"","id":"n85520257_66D0_4CD1_A52A_85A6885DB4CE","url":"https://open-measure.atlassian.net/wiki/spaces/DIC/pages/1231159321"}</v>
      </c>
    </row>
    <row r="370" spans="1:6" ht="13.9" thickTop="1" thickBot="1" x14ac:dyDescent="0.4">
      <c r="A370" s="39">
        <f>IF(ISERR(NodesJSON[[#This Row],[label]]),0,1)</f>
        <v>1</v>
      </c>
      <c r="B370" s="3" t="str">
        <f>NodesData[[#This Row],[Common Name]]</f>
        <v>Remote Identity Proofing</v>
      </c>
      <c r="C370" s="3" t="str">
        <f>IF(NodesData[[#This Row],[Context Instanciation]]="","",NodesData[[#This Row],[Context Instanciation]])</f>
        <v/>
      </c>
      <c r="D370" s="22" t="str">
        <f>NodesData[[#This Row],[Node ID]]</f>
        <v>nCF5B4529_F5E4_4C1C_9CD1_0E67643481B4</v>
      </c>
      <c r="E370" s="10" t="s">
        <v>1112</v>
      </c>
      <c r="F370" s="25" t="str" cm="1">
        <f t="array" ref="F370">IF(NodesJSON[[#This Row],[Export?]]=0,"",IF(ROW(NodesJSON[[#This Row],[label]])&gt;ROW(NodesJSON[[#Headers],[JSON]])+1,",","") &amp;"{"&amp;twoRangesToJSON(NodesJSON[[#Headers],[label]:[url]],NodesJSON[[#This Row],[label]:[url]])&amp;"}")</f>
        <v>,{"label":"Remote Identity Proofing","group":"","id":"nCF5B4529_F5E4_4C1C_9CD1_0E67643481B4","url":"https://open-measure.atlassian.net/wiki/spaces/DIC/pages/140673497"}</v>
      </c>
    </row>
    <row r="371" spans="1:6" ht="13.9" thickTop="1" thickBot="1" x14ac:dyDescent="0.4">
      <c r="A371" s="39">
        <f>IF(ISERR(NodesJSON[[#This Row],[label]]),0,1)</f>
        <v>1</v>
      </c>
      <c r="B371" s="3" t="str">
        <f>NodesData[[#This Row],[Common Name]]</f>
        <v>Repeatability</v>
      </c>
      <c r="C371" s="3" t="str">
        <f>IF(NodesData[[#This Row],[Context Instanciation]]="","",NodesData[[#This Row],[Context Instanciation]])</f>
        <v/>
      </c>
      <c r="D371" s="22" t="str">
        <f>NodesData[[#This Row],[Node ID]]</f>
        <v>n27D0EABD_A0B3_47A6_A86A_8C13F8721BE1</v>
      </c>
      <c r="E371" s="10" t="s">
        <v>1113</v>
      </c>
      <c r="F371" s="25" t="str" cm="1">
        <f t="array" ref="F371">IF(NodesJSON[[#This Row],[Export?]]=0,"",IF(ROW(NodesJSON[[#This Row],[label]])&gt;ROW(NodesJSON[[#Headers],[JSON]])+1,",","") &amp;"{"&amp;twoRangesToJSON(NodesJSON[[#Headers],[label]:[url]],NodesJSON[[#This Row],[label]:[url]])&amp;"}")</f>
        <v>,{"label":"Repeatability","group":"","id":"n27D0EABD_A0B3_47A6_A86A_8C13F8721BE1","url":"https://open-measure.atlassian.net/wiki/spaces/DIC/pages/1428619445/Security+Assertion+Markup+Language"}</v>
      </c>
    </row>
    <row r="372" spans="1:6" ht="13.9" thickTop="1" thickBot="1" x14ac:dyDescent="0.4">
      <c r="A372" s="39">
        <f>IF(ISERR(NodesJSON[[#This Row],[label]]),0,1)</f>
        <v>1</v>
      </c>
      <c r="B372" s="3" t="str">
        <f>NodesData[[#This Row],[Common Name]]</f>
        <v>Representation Target</v>
      </c>
      <c r="C372" s="3" t="str">
        <f>IF(NodesData[[#This Row],[Context Instanciation]]="","",NodesData[[#This Row],[Context Instanciation]])</f>
        <v/>
      </c>
      <c r="D372" s="22" t="str">
        <f>NodesData[[#This Row],[Node ID]]</f>
        <v>nE99045EA_CC68_44E2_A22A_2917BDB8276C</v>
      </c>
      <c r="E372" s="10" t="s">
        <v>1115</v>
      </c>
      <c r="F372" s="25" t="str" cm="1">
        <f t="array" ref="F372">IF(NodesJSON[[#This Row],[Export?]]=0,"",IF(ROW(NodesJSON[[#This Row],[label]])&gt;ROW(NodesJSON[[#Headers],[JSON]])+1,",","") &amp;"{"&amp;twoRangesToJSON(NodesJSON[[#Headers],[label]:[url]],NodesJSON[[#This Row],[label]:[url]])&amp;"}")</f>
        <v>,{"label":"Representation Target","group":"","id":"nE99045EA_CC68_44E2_A22A_2917BDB8276C","url":"https://open-measure.atlassian.net/wiki/spaces/DIC/pages/1177747653"}</v>
      </c>
    </row>
    <row r="373" spans="1:6" ht="13.9" thickTop="1" thickBot="1" x14ac:dyDescent="0.4">
      <c r="A373" s="39">
        <f>IF(ISERR(NodesJSON[[#This Row],[label]]),0,1)</f>
        <v>1</v>
      </c>
      <c r="B373" s="3" t="str">
        <f>NodesData[[#This Row],[Common Name]]</f>
        <v>Reproducibility</v>
      </c>
      <c r="C373" s="3" t="str">
        <f>IF(NodesData[[#This Row],[Context Instanciation]]="","",NodesData[[#This Row],[Context Instanciation]])</f>
        <v/>
      </c>
      <c r="D373" s="22" t="str">
        <f>NodesData[[#This Row],[Node ID]]</f>
        <v>n92552E85_6D6E_4D55_B4F1_C478A4FB8BC6</v>
      </c>
      <c r="E373" s="10" t="s">
        <v>1117</v>
      </c>
      <c r="F373" s="25" t="str" cm="1">
        <f t="array" ref="F373">IF(NodesJSON[[#This Row],[Export?]]=0,"",IF(ROW(NodesJSON[[#This Row],[label]])&gt;ROW(NodesJSON[[#Headers],[JSON]])+1,",","") &amp;"{"&amp;twoRangesToJSON(NodesJSON[[#Headers],[label]:[url]],NodesJSON[[#This Row],[label]:[url]])&amp;"}")</f>
        <v>,{"label":"Reproducibility","group":"","id":"n92552E85_6D6E_4D55_B4F1_C478A4FB8BC6","url":"https://open-measure.atlassian.net/wiki/spaces/DIC/pages/1181843719"}</v>
      </c>
    </row>
    <row r="374" spans="1:6" ht="13.9" thickTop="1" thickBot="1" x14ac:dyDescent="0.4">
      <c r="A374" s="39">
        <f>IF(ISERR(NodesJSON[[#This Row],[label]]),0,1)</f>
        <v>1</v>
      </c>
      <c r="B374" s="3" t="str">
        <f>NodesData[[#This Row],[Common Name]]</f>
        <v>Revocation</v>
      </c>
      <c r="C374" s="3" t="str">
        <f>IF(NodesData[[#This Row],[Context Instanciation]]="","",NodesData[[#This Row],[Context Instanciation]])</f>
        <v/>
      </c>
      <c r="D374" s="22" t="str">
        <f>NodesData[[#This Row],[Node ID]]</f>
        <v>n019EE7D0_AFF3_44D6_B229_9F7E8C9D4151</v>
      </c>
      <c r="E374" s="10" t="s">
        <v>1119</v>
      </c>
      <c r="F374" s="25" t="str" cm="1">
        <f t="array" ref="F374">IF(NodesJSON[[#This Row],[Export?]]=0,"",IF(ROW(NodesJSON[[#This Row],[label]])&gt;ROW(NodesJSON[[#Headers],[JSON]])+1,",","") &amp;"{"&amp;twoRangesToJSON(NodesJSON[[#Headers],[label]:[url]],NodesJSON[[#This Row],[label]:[url]])&amp;"}")</f>
        <v>,{"label":"Revocation","group":"","id":"n019EE7D0_AFF3_44D6_B229_9F7E8C9D4151","url":"https://open-measure.atlassian.net/wiki/spaces/DIC/pages/1177747630"}</v>
      </c>
    </row>
    <row r="375" spans="1:6" ht="13.9" thickTop="1" thickBot="1" x14ac:dyDescent="0.4">
      <c r="A375" s="39">
        <f>IF(ISERR(NodesJSON[[#This Row],[label]]),0,1)</f>
        <v>1</v>
      </c>
      <c r="B375" s="3" t="str">
        <f>NodesData[[#This Row],[Common Name]]</f>
        <v>RIDP</v>
      </c>
      <c r="C375" s="3" t="str">
        <f>IF(NodesData[[#This Row],[Context Instanciation]]="","",NodesData[[#This Row],[Context Instanciation]])</f>
        <v/>
      </c>
      <c r="D375" s="22" t="str">
        <f>NodesData[[#This Row],[Node ID]]</f>
        <v>n2B1493D9_E52C_47E8_875B_74265080C8CB</v>
      </c>
      <c r="E375" s="10" t="s">
        <v>1070</v>
      </c>
      <c r="F375" s="25" t="str" cm="1">
        <f t="array" ref="F375">IF(NodesJSON[[#This Row],[Export?]]=0,"",IF(ROW(NodesJSON[[#This Row],[label]])&gt;ROW(NodesJSON[[#Headers],[JSON]])+1,",","") &amp;"{"&amp;twoRangesToJSON(NodesJSON[[#Headers],[label]:[url]],NodesJSON[[#This Row],[label]:[url]])&amp;"}")</f>
        <v>,{"label":"RIDP","group":"","id":"n2B1493D9_E52C_47E8_875B_74265080C8CB","url":"https://open-measure.atlassian.net/wiki/spaces/DIC/pages/795836567"}</v>
      </c>
    </row>
    <row r="376" spans="1:6" ht="13.9" thickTop="1" thickBot="1" x14ac:dyDescent="0.4">
      <c r="A376" s="39">
        <f>IF(ISERR(NodesJSON[[#This Row],[label]]),0,1)</f>
        <v>1</v>
      </c>
      <c r="B376" s="3" t="str">
        <f>NodesData[[#This Row],[Common Name]]</f>
        <v>Risk-Based Authentication</v>
      </c>
      <c r="C376" s="3" t="str">
        <f>IF(NodesData[[#This Row],[Context Instanciation]]="","",NodesData[[#This Row],[Context Instanciation]])</f>
        <v/>
      </c>
      <c r="D376" s="22" t="str">
        <f>NodesData[[#This Row],[Node ID]]</f>
        <v>n963C5840_F55F_44D3_ABCE_9B86FAE16FEF</v>
      </c>
      <c r="E376" s="10" t="s">
        <v>1121</v>
      </c>
      <c r="F376" s="25" t="str" cm="1">
        <f t="array" ref="F376">IF(NodesJSON[[#This Row],[Export?]]=0,"",IF(ROW(NodesJSON[[#This Row],[label]])&gt;ROW(NodesJSON[[#Headers],[JSON]])+1,",","") &amp;"{"&amp;twoRangesToJSON(NodesJSON[[#Headers],[label]:[url]],NodesJSON[[#This Row],[label]:[url]])&amp;"}")</f>
        <v>,{"label":"Risk-Based Authentication","group":"","id":"n963C5840_F55F_44D3_ABCE_9B86FAE16FEF","url":"https://open-measure.atlassian.net/wiki/spaces/DIC/pages/1071185955"}</v>
      </c>
    </row>
    <row r="377" spans="1:6" ht="13.9" thickTop="1" thickBot="1" x14ac:dyDescent="0.4">
      <c r="A377" s="39">
        <f>IF(ISERR(NodesJSON[[#This Row],[label]]),0,1)</f>
        <v>1</v>
      </c>
      <c r="B377" s="3" t="str">
        <f>NodesData[[#This Row],[Common Name]]</f>
        <v>Role</v>
      </c>
      <c r="C377" s="3" t="str">
        <f>IF(NodesData[[#This Row],[Context Instanciation]]="","",NodesData[[#This Row],[Context Instanciation]])</f>
        <v/>
      </c>
      <c r="D377" s="22" t="str">
        <f>NodesData[[#This Row],[Node ID]]</f>
        <v>nE1050999_27A0_46D4_AFD8_BAFC2970E276</v>
      </c>
      <c r="E377" s="10" t="s">
        <v>1122</v>
      </c>
      <c r="F377" s="25" t="str" cm="1">
        <f t="array" ref="F377">IF(NodesJSON[[#This Row],[Export?]]=0,"",IF(ROW(NodesJSON[[#This Row],[label]])&gt;ROW(NodesJSON[[#Headers],[JSON]])+1,",","") &amp;"{"&amp;twoRangesToJSON(NodesJSON[[#Headers],[label]:[url]],NodesJSON[[#This Row],[label]:[url]])&amp;"}")</f>
        <v>,{"label":"Role","group":"","id":"nE1050999_27A0_46D4_AFD8_BAFC2970E276","url":"https://open-measure.atlassian.net/wiki/spaces/DIC/pages/446955653/Self-Sovereign+Identity"}</v>
      </c>
    </row>
    <row r="378" spans="1:6" ht="13.9" thickTop="1" thickBot="1" x14ac:dyDescent="0.4">
      <c r="A378" s="39">
        <f>IF(ISERR(NodesJSON[[#This Row],[label]]),0,1)</f>
        <v>1</v>
      </c>
      <c r="B378" s="3" t="str">
        <f>NodesData[[#This Row],[Common Name]]</f>
        <v>Role Bloating</v>
      </c>
      <c r="C378" s="3" t="str">
        <f>IF(NodesData[[#This Row],[Context Instanciation]]="","",NodesData[[#This Row],[Context Instanciation]])</f>
        <v/>
      </c>
      <c r="D378" s="22" t="str">
        <f>NodesData[[#This Row],[Node ID]]</f>
        <v>n5B801607_99C5_4D93_91CB_94A21227408C</v>
      </c>
      <c r="E378" s="10" t="s">
        <v>1124</v>
      </c>
      <c r="F378" s="25" t="str" cm="1">
        <f t="array" ref="F378">IF(NodesJSON[[#This Row],[Export?]]=0,"",IF(ROW(NodesJSON[[#This Row],[label]])&gt;ROW(NodesJSON[[#Headers],[JSON]])+1,",","") &amp;"{"&amp;twoRangesToJSON(NodesJSON[[#Headers],[label]:[url]],NodesJSON[[#This Row],[label]:[url]])&amp;"}")</f>
        <v>,{"label":"Role Bloating","group":"","id":"n5B801607_99C5_4D93_91CB_94A21227408C","url":"https://open-measure.atlassian.net/wiki/spaces/DIC/pages/6029526"}</v>
      </c>
    </row>
    <row r="379" spans="1:6" ht="13.9" thickTop="1" thickBot="1" x14ac:dyDescent="0.4">
      <c r="A379" s="39">
        <f>IF(ISERR(NodesJSON[[#This Row],[label]]),0,1)</f>
        <v>1</v>
      </c>
      <c r="B379" s="3" t="str">
        <f>NodesData[[#This Row],[Common Name]]</f>
        <v>Role Capacity</v>
      </c>
      <c r="C379" s="3" t="str">
        <f>IF(NodesData[[#This Row],[Context Instanciation]]="","",NodesData[[#This Row],[Context Instanciation]])</f>
        <v/>
      </c>
      <c r="D379" s="22" t="str">
        <f>NodesData[[#This Row],[Node ID]]</f>
        <v>n4129C99E_02BA_4B11_AED3_6029D49927EE</v>
      </c>
      <c r="E379" s="10" t="s">
        <v>1126</v>
      </c>
      <c r="F379" s="25" t="str" cm="1">
        <f t="array" ref="F379">IF(NodesJSON[[#This Row],[Export?]]=0,"",IF(ROW(NodesJSON[[#This Row],[label]])&gt;ROW(NodesJSON[[#Headers],[JSON]])+1,",","") &amp;"{"&amp;twoRangesToJSON(NodesJSON[[#Headers],[label]:[url]],NodesJSON[[#This Row],[label]:[url]])&amp;"}")</f>
        <v>,{"label":"Role Capacity","group":"","id":"n4129C99E_02BA_4B11_AED3_6029D49927EE","url":"https://open-measure.atlassian.net/wiki/spaces/DIC/pages/805142555"}</v>
      </c>
    </row>
    <row r="380" spans="1:6" ht="13.9" thickTop="1" thickBot="1" x14ac:dyDescent="0.4">
      <c r="A380" s="39">
        <f>IF(ISERR(NodesJSON[[#This Row],[label]]),0,1)</f>
        <v>1</v>
      </c>
      <c r="B380" s="3" t="str">
        <f>NodesData[[#This Row],[Common Name]]</f>
        <v>Role Cardinality</v>
      </c>
      <c r="C380" s="3" t="str">
        <f>IF(NodesData[[#This Row],[Context Instanciation]]="","",NodesData[[#This Row],[Context Instanciation]])</f>
        <v/>
      </c>
      <c r="D380" s="22" t="str">
        <f>NodesData[[#This Row],[Node ID]]</f>
        <v>nD9EF9B83_2494_406B_95F4_C53820EE35CA</v>
      </c>
      <c r="E380" s="10" t="s">
        <v>1127</v>
      </c>
      <c r="F380" s="25" t="str" cm="1">
        <f t="array" ref="F380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Cardinality","group":"","id":"nD9EF9B83_2494_406B_95F4_C53820EE35CA","url":"https://open-measure.atlassian.net/wiki/spaces/DIC/pages/1313538143/Service-Centric+Identity+Management+System"}</v>
      </c>
    </row>
    <row r="381" spans="1:6" ht="13.9" thickTop="1" thickBot="1" x14ac:dyDescent="0.4">
      <c r="A381" s="39">
        <f>IF(ISERR(NodesJSON[[#This Row],[label]]),0,1)</f>
        <v>1</v>
      </c>
      <c r="B381" s="3" t="str">
        <f>NodesData[[#This Row],[Common Name]]</f>
        <v>Role Cardinality Activation Control</v>
      </c>
      <c r="C381" s="3" t="str">
        <f>IF(NodesData[[#This Row],[Context Instanciation]]="","",NodesData[[#This Row],[Context Instanciation]])</f>
        <v/>
      </c>
      <c r="D381" s="22" t="str">
        <f>NodesData[[#This Row],[Node ID]]</f>
        <v>nC1D0A8DC_6691_4020_A24F_A3218608CDB9</v>
      </c>
      <c r="E381" s="10" t="s">
        <v>1129</v>
      </c>
      <c r="F381" s="25" t="str" cm="1">
        <f t="array" ref="F381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 Activation Control","group":"","id":"nC1D0A8DC_6691_4020_A24F_A3218608CDB9","url":"https://open-measure.atlassian.net/wiki/spaces/DIC/pages/881197061"}</v>
      </c>
    </row>
    <row r="382" spans="1:6" ht="13.9" thickTop="1" thickBot="1" x14ac:dyDescent="0.4">
      <c r="A382" s="39">
        <f>IF(ISERR(NodesJSON[[#This Row],[label]]),0,1)</f>
        <v>1</v>
      </c>
      <c r="B382" s="3" t="str">
        <f>NodesData[[#This Row],[Common Name]]</f>
        <v>Role Explosion</v>
      </c>
      <c r="C382" s="3" t="str">
        <f>IF(NodesData[[#This Row],[Context Instanciation]]="","",NodesData[[#This Row],[Context Instanciation]])</f>
        <v/>
      </c>
      <c r="D382" s="22" t="str">
        <f>NodesData[[#This Row],[Node ID]]</f>
        <v>nF3022911_57AF_4961_BB85_E6B8E9F54AEF</v>
      </c>
      <c r="E382" s="8"/>
      <c r="F382" s="25" t="str" cm="1">
        <f t="array" ref="F382">IF(NodesJSON[[#This Row],[Export?]]=0,"",IF(ROW(NodesJSON[[#This Row],[label]])&gt;ROW(NodesJSON[[#Headers],[JSON]])+1,",","") &amp;"{"&amp;twoRangesToJSON(NodesJSON[[#Headers],[label]:[url]],NodesJSON[[#This Row],[label]:[url]])&amp;"}")</f>
        <v>,{"label":"Role Explosion","group":"","id":"nF3022911_57AF_4961_BB85_E6B8E9F54AEF","url":""}</v>
      </c>
    </row>
    <row r="383" spans="1:6" ht="13.9" thickTop="1" thickBot="1" x14ac:dyDescent="0.4">
      <c r="A383" s="39">
        <f>IF(ISERR(NodesJSON[[#This Row],[label]]),0,1)</f>
        <v>1</v>
      </c>
      <c r="B383" s="3" t="str">
        <f>NodesData[[#This Row],[Common Name]]</f>
        <v>Role Management</v>
      </c>
      <c r="C383" s="3" t="str">
        <f>IF(NodesData[[#This Row],[Context Instanciation]]="","",NodesData[[#This Row],[Context Instanciation]])</f>
        <v/>
      </c>
      <c r="D383" s="22" t="str">
        <f>NodesData[[#This Row],[Node ID]]</f>
        <v>n5A5CD70F_DB4D_4769_97A2_CE29EAE58971</v>
      </c>
      <c r="E383" s="10" t="s">
        <v>1131</v>
      </c>
      <c r="F383" s="25" t="str" cm="1">
        <f t="array" ref="F383">IF(NodesJSON[[#This Row],[Export?]]=0,"",IF(ROW(NodesJSON[[#This Row],[label]])&gt;ROW(NodesJSON[[#Headers],[JSON]])+1,",","") &amp;"{"&amp;twoRangesToJSON(NodesJSON[[#Headers],[label]:[url]],NodesJSON[[#This Row],[label]:[url]])&amp;"}")</f>
        <v>,{"label":"Role Management","group":"","id":"n5A5CD70F_DB4D_4769_97A2_CE29EAE58971","url":"https://open-measure.atlassian.net/wiki/spaces/DIC/pages/78741548"}</v>
      </c>
    </row>
    <row r="384" spans="1:6" ht="13.9" thickTop="1" thickBot="1" x14ac:dyDescent="0.4">
      <c r="A384" s="39">
        <f>IF(ISERR(NodesJSON[[#This Row],[label]]),0,1)</f>
        <v>1</v>
      </c>
      <c r="B384" s="3" t="str">
        <f>NodesData[[#This Row],[Common Name]]</f>
        <v>Role-Based Access Control</v>
      </c>
      <c r="C384" s="3" t="str">
        <f>IF(NodesData[[#This Row],[Context Instanciation]]="","",NodesData[[#This Row],[Context Instanciation]])</f>
        <v/>
      </c>
      <c r="D384" s="22" t="str">
        <f>NodesData[[#This Row],[Node ID]]</f>
        <v>nC663B247_7314_44F0_87C7_6C58BAD193CB</v>
      </c>
      <c r="E384" s="10" t="s">
        <v>1133</v>
      </c>
      <c r="F384" s="25" t="str" cm="1">
        <f t="array" ref="F384">IF(NodesJSON[[#This Row],[Export?]]=0,"",IF(ROW(NodesJSON[[#This Row],[label]])&gt;ROW(NodesJSON[[#Headers],[JSON]])+1,",","") &amp;"{"&amp;twoRangesToJSON(NodesJSON[[#Headers],[label]:[url]],NodesJSON[[#This Row],[label]:[url]])&amp;"}")</f>
        <v>,{"label":"Role-Based Access Control","group":"","id":"nC663B247_7314_44F0_87C7_6C58BAD193CB","url":"https://open-measure.atlassian.net/wiki/spaces/DIC/pages/75956255"}</v>
      </c>
    </row>
    <row r="385" spans="1:6" ht="13.9" thickTop="1" thickBot="1" x14ac:dyDescent="0.4">
      <c r="A385" s="39">
        <f>IF(ISERR(NodesJSON[[#This Row],[label]]),0,1)</f>
        <v>1</v>
      </c>
      <c r="B385" s="3" t="str">
        <f>NodesData[[#This Row],[Common Name]]</f>
        <v>RP</v>
      </c>
      <c r="C385" s="3" t="str">
        <f>IF(NodesData[[#This Row],[Context Instanciation]]="","",NodesData[[#This Row],[Context Instanciation]])</f>
        <v/>
      </c>
      <c r="D385" s="22" t="str">
        <f>NodesData[[#This Row],[Node ID]]</f>
        <v>nD0324B54_4F7D_4DD3_BBD1_3E5B237DE6B4</v>
      </c>
      <c r="E385" s="8"/>
      <c r="F385" s="25" t="str" cm="1">
        <f t="array" ref="F385">IF(NodesJSON[[#This Row],[Export?]]=0,"",IF(ROW(NodesJSON[[#This Row],[label]])&gt;ROW(NodesJSON[[#Headers],[JSON]])+1,",","") &amp;"{"&amp;twoRangesToJSON(NodesJSON[[#Headers],[label]:[url]],NodesJSON[[#This Row],[label]:[url]])&amp;"}")</f>
        <v>,{"label":"RP","group":"","id":"nD0324B54_4F7D_4DD3_BBD1_3E5B237DE6B4","url":""}</v>
      </c>
    </row>
    <row r="386" spans="1:6" ht="13.9" thickTop="1" thickBot="1" x14ac:dyDescent="0.4">
      <c r="A386" s="39">
        <f>IF(ISERR(NodesJSON[[#This Row],[label]]),0,1)</f>
        <v>1</v>
      </c>
      <c r="B386" s="3" t="str">
        <f>NodesData[[#This Row],[Common Name]]</f>
        <v>SAM Database</v>
      </c>
      <c r="C386" s="3" t="str">
        <f>IF(NodesData[[#This Row],[Context Instanciation]]="","",NodesData[[#This Row],[Context Instanciation]])</f>
        <v/>
      </c>
      <c r="D386" s="22" t="str">
        <f>NodesData[[#This Row],[Node ID]]</f>
        <v>nD9C66A40_325F_45DA_A6E3_E4C20F9377A4</v>
      </c>
      <c r="E386" s="4"/>
      <c r="F386" s="25" t="str" cm="1">
        <f t="array" ref="F386">IF(NodesJSON[[#This Row],[Export?]]=0,"",IF(ROW(NodesJSON[[#This Row],[label]])&gt;ROW(NodesJSON[[#Headers],[JSON]])+1,",","") &amp;"{"&amp;twoRangesToJSON(NodesJSON[[#Headers],[label]:[url]],NodesJSON[[#This Row],[label]:[url]])&amp;"}")</f>
        <v>,{"label":"SAM Database","group":"","id":"nD9C66A40_325F_45DA_A6E3_E4C20F9377A4","url":""}</v>
      </c>
    </row>
    <row r="387" spans="1:6" ht="13.9" thickTop="1" thickBot="1" x14ac:dyDescent="0.4">
      <c r="A387" s="39">
        <f>IF(ISERR(NodesJSON[[#This Row],[label]]),0,1)</f>
        <v>1</v>
      </c>
      <c r="B387" s="3" t="str">
        <f>NodesData[[#This Row],[Common Name]]</f>
        <v>SAML</v>
      </c>
      <c r="C387" s="3" t="str">
        <f>IF(NodesData[[#This Row],[Context Instanciation]]="","",NodesData[[#This Row],[Context Instanciation]])</f>
        <v/>
      </c>
      <c r="D387" s="22" t="str">
        <f>NodesData[[#This Row],[Node ID]]</f>
        <v>nDCCE280E_D684_42A8_B37B_5711CE76BC43</v>
      </c>
      <c r="E387" s="8"/>
      <c r="F387" s="25" t="str" cm="1">
        <f t="array" ref="F387">IF(NodesJSON[[#This Row],[Export?]]=0,"",IF(ROW(NodesJSON[[#This Row],[label]])&gt;ROW(NodesJSON[[#Headers],[JSON]])+1,",","") &amp;"{"&amp;twoRangesToJSON(NodesJSON[[#Headers],[label]:[url]],NodesJSON[[#This Row],[label]:[url]])&amp;"}")</f>
        <v>,{"label":"SAML","group":"","id":"nDCCE280E_D684_42A8_B37B_5711CE76BC43","url":""}</v>
      </c>
    </row>
    <row r="388" spans="1:6" ht="13.9" thickTop="1" thickBot="1" x14ac:dyDescent="0.4">
      <c r="A388" s="39">
        <f>IF(ISERR(NodesJSON[[#This Row],[label]]),0,1)</f>
        <v>1</v>
      </c>
      <c r="B388" s="3" t="str">
        <f>NodesData[[#This Row],[Common Name]]</f>
        <v>SCIM</v>
      </c>
      <c r="C388" s="3" t="str">
        <f>IF(NodesData[[#This Row],[Context Instanciation]]="","",NodesData[[#This Row],[Context Instanciation]])</f>
        <v/>
      </c>
      <c r="D388" s="22" t="str">
        <f>NodesData[[#This Row],[Node ID]]</f>
        <v>n149B4F80_9A70_4D1D_8260_94C137DBFBBE</v>
      </c>
      <c r="E388" s="10" t="s">
        <v>1135</v>
      </c>
      <c r="F388" s="25" t="str" cm="1">
        <f t="array" ref="F388">IF(NodesJSON[[#This Row],[Export?]]=0,"",IF(ROW(NodesJSON[[#This Row],[label]])&gt;ROW(NodesJSON[[#Headers],[JSON]])+1,",","") &amp;"{"&amp;twoRangesToJSON(NodesJSON[[#Headers],[label]:[url]],NodesJSON[[#This Row],[label]:[url]])&amp;"}")</f>
        <v>,{"label":"SCIM","group":"","id":"n149B4F80_9A70_4D1D_8260_94C137DBFBBE","url":"https://open-measure.atlassian.net/wiki/spaces/DIC/pages/1270055026/Social+Honeypot"}</v>
      </c>
    </row>
    <row r="389" spans="1:6" ht="13.9" thickTop="1" thickBot="1" x14ac:dyDescent="0.4">
      <c r="A389" s="39">
        <f>IF(ISERR(NodesJSON[[#This Row],[label]]),0,1)</f>
        <v>1</v>
      </c>
      <c r="B389" s="3" t="str">
        <f>NodesData[[#This Row],[Common Name]]</f>
        <v>SCIM 1.0</v>
      </c>
      <c r="C389" s="3" t="str">
        <f>IF(NodesData[[#This Row],[Context Instanciation]]="","",NodesData[[#This Row],[Context Instanciation]])</f>
        <v/>
      </c>
      <c r="D389" s="22" t="str">
        <f>NodesData[[#This Row],[Node ID]]</f>
        <v>n0FF516F1_21CA_4A0C_8AC4_4487F5E1E2CB</v>
      </c>
      <c r="E389" s="10" t="s">
        <v>1137</v>
      </c>
      <c r="F389" s="25" t="str" cm="1">
        <f t="array" ref="F389">IF(NodesJSON[[#This Row],[Export?]]=0,"",IF(ROW(NodesJSON[[#This Row],[label]])&gt;ROW(NodesJSON[[#Headers],[JSON]])+1,",","") &amp;"{"&amp;twoRangesToJSON(NodesJSON[[#Headers],[label]:[url]],NodesJSON[[#This Row],[label]:[url]])&amp;"}")</f>
        <v>,{"label":"SCIM 1.0","group":"","id":"n0FF516F1_21CA_4A0C_8AC4_4487F5E1E2CB","url":"https://open-measure.atlassian.net/wiki/spaces/DIC/pages/1071317018"}</v>
      </c>
    </row>
    <row r="390" spans="1:6" ht="13.9" thickTop="1" thickBot="1" x14ac:dyDescent="0.4">
      <c r="A390" s="39">
        <f>IF(ISERR(NodesJSON[[#This Row],[label]]),0,1)</f>
        <v>1</v>
      </c>
      <c r="B390" s="3" t="str">
        <f>NodesData[[#This Row],[Common Name]]</f>
        <v>SCIM 1.1</v>
      </c>
      <c r="C390" s="3" t="str">
        <f>IF(NodesData[[#This Row],[Context Instanciation]]="","",NodesData[[#This Row],[Context Instanciation]])</f>
        <v/>
      </c>
      <c r="D390" s="22" t="str">
        <f>NodesData[[#This Row],[Node ID]]</f>
        <v>n205B8D02_E855_4B2F_91EF_26C1B23CFC50</v>
      </c>
      <c r="E390" s="4"/>
      <c r="F390" s="25" t="str" cm="1">
        <f t="array" ref="F390">IF(NodesJSON[[#This Row],[Export?]]=0,"",IF(ROW(NodesJSON[[#This Row],[label]])&gt;ROW(NodesJSON[[#Headers],[JSON]])+1,",","") &amp;"{"&amp;twoRangesToJSON(NodesJSON[[#Headers],[label]:[url]],NodesJSON[[#This Row],[label]:[url]])&amp;"}")</f>
        <v>,{"label":"SCIM 1.1","group":"","id":"n205B8D02_E855_4B2F_91EF_26C1B23CFC50","url":""}</v>
      </c>
    </row>
    <row r="391" spans="1:6" ht="13.9" thickTop="1" thickBot="1" x14ac:dyDescent="0.4">
      <c r="A391" s="39">
        <f>IF(ISERR(NodesJSON[[#This Row],[label]]),0,1)</f>
        <v>1</v>
      </c>
      <c r="B391" s="3" t="str">
        <f>NodesData[[#This Row],[Common Name]]</f>
        <v>SCIM 2.0</v>
      </c>
      <c r="C391" s="3" t="str">
        <f>IF(NodesData[[#This Row],[Context Instanciation]]="","",NodesData[[#This Row],[Context Instanciation]])</f>
        <v/>
      </c>
      <c r="D391" s="22" t="str">
        <f>NodesData[[#This Row],[Node ID]]</f>
        <v>n1A99C52D_471D_462A_87B9_5E8D4560D58F</v>
      </c>
      <c r="E391" s="10" t="s">
        <v>1139</v>
      </c>
      <c r="F391" s="25" t="str" cm="1">
        <f t="array" ref="F391">IF(NodesJSON[[#This Row],[Export?]]=0,"",IF(ROW(NodesJSON[[#This Row],[label]])&gt;ROW(NodesJSON[[#Headers],[JSON]])+1,",","") &amp;"{"&amp;twoRangesToJSON(NodesJSON[[#Headers],[label]:[url]],NodesJSON[[#This Row],[label]:[url]])&amp;"}")</f>
        <v>,{"label":"SCIM 2.0","group":"","id":"n1A99C52D_471D_462A_87B9_5E8D4560D58F","url":"https://open-measure.atlassian.net/wiki/spaces/DIC/pages/234487981"}</v>
      </c>
    </row>
    <row r="392" spans="1:6" ht="13.9" thickTop="1" thickBot="1" x14ac:dyDescent="0.4">
      <c r="A392" s="39">
        <f>IF(ISERR(NodesJSON[[#This Row],[label]]),0,1)</f>
        <v>1</v>
      </c>
      <c r="B392" s="3" t="str">
        <f>NodesData[[#This Row],[Common Name]]</f>
        <v>Scoping</v>
      </c>
      <c r="C392" s="3" t="str">
        <f>IF(NodesData[[#This Row],[Context Instanciation]]="","",NodesData[[#This Row],[Context Instanciation]])</f>
        <v/>
      </c>
      <c r="D392" s="22" t="str">
        <f>NodesData[[#This Row],[Node ID]]</f>
        <v>n6E3234B2_E757_4333_BA58_DAFF5B1D943A</v>
      </c>
      <c r="E392" s="10" t="s">
        <v>1141</v>
      </c>
      <c r="F392" s="25" t="str" cm="1">
        <f t="array" ref="F392">IF(NodesJSON[[#This Row],[Export?]]=0,"",IF(ROW(NodesJSON[[#This Row],[label]])&gt;ROW(NodesJSON[[#Headers],[JSON]])+1,",","") &amp;"{"&amp;twoRangesToJSON(NodesJSON[[#Headers],[label]:[url]],NodesJSON[[#This Row],[label]:[url]])&amp;"}")</f>
        <v>,{"label":"Scoping","group":"","id":"n6E3234B2_E757_4333_BA58_DAFF5B1D943A","url":"https://open-measure.atlassian.net/wiki/spaces/DIC/pages/1142292486"}</v>
      </c>
    </row>
    <row r="393" spans="1:6" ht="13.9" thickTop="1" thickBot="1" x14ac:dyDescent="0.4">
      <c r="A393" s="39">
        <f>IF(ISERR(NodesJSON[[#This Row],[label]]),0,1)</f>
        <v>1</v>
      </c>
      <c r="B393" s="3" t="str">
        <f>NodesData[[#This Row],[Common Name]]</f>
        <v>SD</v>
      </c>
      <c r="C393" s="3" t="str">
        <f>IF(NodesData[[#This Row],[Context Instanciation]]="","",NodesData[[#This Row],[Context Instanciation]])</f>
        <v/>
      </c>
      <c r="D393" s="22" t="str">
        <f>NodesData[[#This Row],[Node ID]]</f>
        <v>nD3FFB967_77A4_45B9_A5A4_A9FBB2367C89</v>
      </c>
      <c r="E393" s="10" t="s">
        <v>1143</v>
      </c>
      <c r="F393" s="25" t="str" cm="1">
        <f t="array" ref="F393">IF(NodesJSON[[#This Row],[Export?]]=0,"",IF(ROW(NodesJSON[[#This Row],[label]])&gt;ROW(NodesJSON[[#Headers],[JSON]])+1,",","") &amp;"{"&amp;twoRangesToJSON(NodesJSON[[#Headers],[label]:[url]],NodesJSON[[#This Row],[label]:[url]])&amp;"}")</f>
        <v>,{"label":"SD","group":"","id":"nD3FFB967_77A4_45B9_A5A4_A9FBB2367C89","url":"https://open-measure.atlassian.net/wiki/spaces/DIC/pages/1605648"}</v>
      </c>
    </row>
    <row r="394" spans="1:6" ht="13.9" thickTop="1" thickBot="1" x14ac:dyDescent="0.4">
      <c r="A394" s="39">
        <f>IF(ISERR(NodesJSON[[#This Row],[label]]),0,1)</f>
        <v>1</v>
      </c>
      <c r="B394" s="3" t="str">
        <f>NodesData[[#This Row],[Common Name]]</f>
        <v>SDP</v>
      </c>
      <c r="C394" s="3" t="str">
        <f>IF(NodesData[[#This Row],[Context Instanciation]]="","",NodesData[[#This Row],[Context Instanciation]])</f>
        <v/>
      </c>
      <c r="D394" s="22" t="str">
        <f>NodesData[[#This Row],[Node ID]]</f>
        <v>n1CD1BA03_756A_4932_9441_C0DBAE224934</v>
      </c>
      <c r="E394" s="10" t="s">
        <v>1145</v>
      </c>
      <c r="F394" s="25" t="str" cm="1">
        <f t="array" ref="F394">IF(NodesJSON[[#This Row],[Export?]]=0,"",IF(ROW(NodesJSON[[#This Row],[label]])&gt;ROW(NodesJSON[[#Headers],[JSON]])+1,",","") &amp;"{"&amp;twoRangesToJSON(NodesJSON[[#Headers],[label]:[url]],NodesJSON[[#This Row],[label]:[url]])&amp;"}")</f>
        <v>,{"label":"SDP","group":"","id":"n1CD1BA03_756A_4932_9441_C0DBAE224934","url":"https://open-measure.atlassian.net/wiki/spaces/DIC/pages/1027342899"}</v>
      </c>
    </row>
    <row r="395" spans="1:6" ht="13.9" thickTop="1" thickBot="1" x14ac:dyDescent="0.4">
      <c r="A395" s="39">
        <f>IF(ISERR(NodesJSON[[#This Row],[label]]),0,1)</f>
        <v>1</v>
      </c>
      <c r="B395" s="3" t="str">
        <f>NodesData[[#This Row],[Common Name]]</f>
        <v>Secure Production Identity Framework for Everyone</v>
      </c>
      <c r="C395" s="3" t="str">
        <f>IF(NodesData[[#This Row],[Context Instanciation]]="","",NodesData[[#This Row],[Context Instanciation]])</f>
        <v/>
      </c>
      <c r="D395" s="22" t="str">
        <f>NodesData[[#This Row],[Node ID]]</f>
        <v>nDFF0F332_91D0_4DCD_9272_B0AC7CB47061</v>
      </c>
      <c r="E395" s="10" t="s">
        <v>1146</v>
      </c>
      <c r="F395" s="25" t="str" cm="1">
        <f t="array" ref="F395">IF(NodesJSON[[#This Row],[Export?]]=0,"",IF(ROW(NodesJSON[[#This Row],[label]])&gt;ROW(NodesJSON[[#Headers],[JSON]])+1,",","") &amp;"{"&amp;twoRangesToJSON(NodesJSON[[#Headers],[label]:[url]],NodesJSON[[#This Row],[label]:[url]])&amp;"}")</f>
        <v>,{"label":"Secure Production Identity Framework for Everyone","group":"","id":"nDFF0F332_91D0_4DCD_9272_B0AC7CB47061","url":"https://open-measure.atlassian.net/wiki/spaces/DIC/pages/1311113221/SSI"}</v>
      </c>
    </row>
    <row r="396" spans="1:6" ht="13.9" thickTop="1" thickBot="1" x14ac:dyDescent="0.4">
      <c r="A396" s="39">
        <f>IF(ISERR(NodesJSON[[#This Row],[label]]),0,1)</f>
        <v>1</v>
      </c>
      <c r="B396" s="3" t="str">
        <f>NodesData[[#This Row],[Common Name]]</f>
        <v>Secure System</v>
      </c>
      <c r="C396" s="3" t="str">
        <f>IF(NodesData[[#This Row],[Context Instanciation]]="","",NodesData[[#This Row],[Context Instanciation]])</f>
        <v/>
      </c>
      <c r="D396" s="22" t="str">
        <f>NodesData[[#This Row],[Node ID]]</f>
        <v>n684E2CA8_D61D_459D_846A_4F41E87E62C9</v>
      </c>
      <c r="E396" s="10" t="s">
        <v>1148</v>
      </c>
      <c r="F396" s="25" t="str" cm="1">
        <f t="array" ref="F396">IF(NodesJSON[[#This Row],[Export?]]=0,"",IF(ROW(NodesJSON[[#This Row],[label]])&gt;ROW(NodesJSON[[#Headers],[JSON]])+1,",","") &amp;"{"&amp;twoRangesToJSON(NodesJSON[[#Headers],[label]:[url]],NodesJSON[[#This Row],[label]:[url]])&amp;"}")</f>
        <v>,{"label":"Secure System","group":"","id":"n684E2CA8_D61D_459D_846A_4F41E87E62C9","url":"https://open-measure.atlassian.net/wiki/spaces/DIC/pages/75956237"}</v>
      </c>
    </row>
    <row r="397" spans="1:6" ht="13.9" thickTop="1" thickBot="1" x14ac:dyDescent="0.4">
      <c r="A397" s="39">
        <f>IF(ISERR(NodesJSON[[#This Row],[label]]),0,1)</f>
        <v>1</v>
      </c>
      <c r="B397" s="3" t="str">
        <f>NodesData[[#This Row],[Common Name]]</f>
        <v>Security</v>
      </c>
      <c r="C397" s="3" t="str">
        <f>IF(NodesData[[#This Row],[Context Instanciation]]="","",NodesData[[#This Row],[Context Instanciation]])</f>
        <v/>
      </c>
      <c r="D397" s="22" t="str">
        <f>NodesData[[#This Row],[Node ID]]</f>
        <v>nCC901E67_11E1_4971_ACD2_99886D05F2BB</v>
      </c>
      <c r="E397" s="8"/>
      <c r="F397" s="25" t="str" cm="1">
        <f t="array" ref="F397">IF(NodesJSON[[#This Row],[Export?]]=0,"",IF(ROW(NodesJSON[[#This Row],[label]])&gt;ROW(NodesJSON[[#Headers],[JSON]])+1,",","") &amp;"{"&amp;twoRangesToJSON(NodesJSON[[#Headers],[label]:[url]],NodesJSON[[#This Row],[label]:[url]])&amp;"}")</f>
        <v>,{"label":"Security","group":"","id":"nCC901E67_11E1_4971_ACD2_99886D05F2BB","url":""}</v>
      </c>
    </row>
    <row r="398" spans="1:6" ht="13.9" thickTop="1" thickBot="1" x14ac:dyDescent="0.4">
      <c r="A398" s="39">
        <f>IF(ISERR(NodesJSON[[#This Row],[label]]),0,1)</f>
        <v>1</v>
      </c>
      <c r="B398" s="3" t="str">
        <f>NodesData[[#This Row],[Common Name]]</f>
        <v>Security Accounts Manager</v>
      </c>
      <c r="C398" s="3" t="str">
        <f>IF(NodesData[[#This Row],[Context Instanciation]]="","",NodesData[[#This Row],[Context Instanciation]])</f>
        <v/>
      </c>
      <c r="D398" s="22" t="str">
        <f>NodesData[[#This Row],[Node ID]]</f>
        <v>nF2255395_848A_427B_89E9_3BB7DD7580BB</v>
      </c>
      <c r="E398" s="10" t="s">
        <v>1150</v>
      </c>
      <c r="F398" s="25" t="str" cm="1">
        <f t="array" ref="F398">IF(NodesJSON[[#This Row],[Export?]]=0,"",IF(ROW(NodesJSON[[#This Row],[label]])&gt;ROW(NodesJSON[[#Headers],[JSON]])+1,",","") &amp;"{"&amp;twoRangesToJSON(NodesJSON[[#Headers],[label]:[url]],NodesJSON[[#This Row],[label]:[url]])&amp;"}")</f>
        <v>,{"label":"Security Accounts Manager","group":"","id":"nF2255395_848A_427B_89E9_3BB7DD7580BB","url":"https://open-measure.atlassian.net/wiki/spaces/DIC/pages/998244645"}</v>
      </c>
    </row>
    <row r="399" spans="1:6" ht="13.9" thickTop="1" thickBot="1" x14ac:dyDescent="0.4">
      <c r="A399" s="39">
        <f>IF(ISERR(NodesJSON[[#This Row],[label]]),0,1)</f>
        <v>1</v>
      </c>
      <c r="B399" s="3" t="str">
        <f>NodesData[[#This Row],[Common Name]]</f>
        <v>Security Assertion Markup Language</v>
      </c>
      <c r="C399" s="3" t="str">
        <f>IF(NodesData[[#This Row],[Context Instanciation]]="","",NodesData[[#This Row],[Context Instanciation]])</f>
        <v/>
      </c>
      <c r="D399" s="22" t="str">
        <f>NodesData[[#This Row],[Node ID]]</f>
        <v>nE58B987B_C4CB_4FB3_9868_F8040123B702</v>
      </c>
      <c r="E399" s="10" t="s">
        <v>1152</v>
      </c>
      <c r="F399" s="25" t="str" cm="1">
        <f t="array" ref="F399">IF(NodesJSON[[#This Row],[Export?]]=0,"",IF(ROW(NodesJSON[[#This Row],[label]])&gt;ROW(NodesJSON[[#Headers],[JSON]])+1,",","") &amp;"{"&amp;twoRangesToJSON(NodesJSON[[#Headers],[label]:[url]],NodesJSON[[#This Row],[label]:[url]])&amp;"}")</f>
        <v>,{"label":"Security Assertion Markup Language","group":"","id":"nE58B987B_C4CB_4FB3_9868_F8040123B702","url":"https://open-measure.atlassian.net/wiki/spaces/DIC/pages/1311763"}</v>
      </c>
    </row>
    <row r="400" spans="1:6" ht="13.9" thickTop="1" thickBot="1" x14ac:dyDescent="0.4">
      <c r="A400" s="39">
        <f>IF(ISERR(NodesJSON[[#This Row],[label]]),0,1)</f>
        <v>1</v>
      </c>
      <c r="B400" s="3" t="str">
        <f>NodesData[[#This Row],[Common Name]]</f>
        <v>Security Clearance Level</v>
      </c>
      <c r="C400" s="3" t="str">
        <f>IF(NodesData[[#This Row],[Context Instanciation]]="","",NodesData[[#This Row],[Context Instanciation]])</f>
        <v/>
      </c>
      <c r="D400" s="22" t="str">
        <f>NodesData[[#This Row],[Node ID]]</f>
        <v>n9AE9641B_8E15_44BE_BE39_5928AF98C403</v>
      </c>
      <c r="E400" s="10" t="s">
        <v>1134</v>
      </c>
      <c r="F400" s="25" t="str" cm="1">
        <f t="array" ref="F400">IF(NodesJSON[[#This Row],[Export?]]=0,"",IF(ROW(NodesJSON[[#This Row],[label]])&gt;ROW(NodesJSON[[#Headers],[JSON]])+1,",","") &amp;"{"&amp;twoRangesToJSON(NodesJSON[[#Headers],[label]:[url]],NodesJSON[[#This Row],[label]:[url]])&amp;"}")</f>
        <v>,{"label":"Security Clearance Level","group":"","id":"n9AE9641B_8E15_44BE_BE39_5928AF98C403","url":"https://open-measure.atlassian.net/wiki/spaces/DIC/pages/1600684200/Social+Authentication"}</v>
      </c>
    </row>
    <row r="401" spans="1:6" ht="13.9" thickTop="1" thickBot="1" x14ac:dyDescent="0.4">
      <c r="A401" s="39">
        <f>IF(ISERR(NodesJSON[[#This Row],[label]]),0,1)</f>
        <v>1</v>
      </c>
      <c r="B401" s="3" t="str">
        <f>NodesData[[#This Row],[Common Name]]</f>
        <v>Security Compartment</v>
      </c>
      <c r="C401" s="3" t="str">
        <f>IF(NodesData[[#This Row],[Context Instanciation]]="","",NodesData[[#This Row],[Context Instanciation]])</f>
        <v/>
      </c>
      <c r="D401" s="22" t="str">
        <f>NodesData[[#This Row],[Node ID]]</f>
        <v>n4AB9C40A_FFE6_4F52_BBD5_1C60BD60C22D</v>
      </c>
      <c r="E401" s="10" t="s">
        <v>1155</v>
      </c>
      <c r="F401" s="25" t="str" cm="1">
        <f t="array" ref="F401">IF(NodesJSON[[#This Row],[Export?]]=0,"",IF(ROW(NodesJSON[[#This Row],[label]])&gt;ROW(NodesJSON[[#Headers],[JSON]])+1,",","") &amp;"{"&amp;twoRangesToJSON(NodesJSON[[#Headers],[label]:[url]],NodesJSON[[#This Row],[label]:[url]])&amp;"}")</f>
        <v>,{"label":"Security Compartment","group":"","id":"n4AB9C40A_FFE6_4F52_BBD5_1C60BD60C22D","url":"https://open-measure.atlassian.net/wiki/spaces/DIC/pages/1540175"}</v>
      </c>
    </row>
    <row r="402" spans="1:6" ht="13.9" thickTop="1" thickBot="1" x14ac:dyDescent="0.4">
      <c r="A402" s="39">
        <f>IF(ISERR(NodesJSON[[#This Row],[label]]),0,1)</f>
        <v>1</v>
      </c>
      <c r="B402" s="3" t="str">
        <f>NodesData[[#This Row],[Common Name]]</f>
        <v>Security Label</v>
      </c>
      <c r="C402" s="3" t="str">
        <f>IF(NodesData[[#This Row],[Context Instanciation]]="","",NodesData[[#This Row],[Context Instanciation]])</f>
        <v/>
      </c>
      <c r="D402" s="22" t="str">
        <f>NodesData[[#This Row],[Node ID]]</f>
        <v>nB97D2A38_A342_46DA_ABE9_AE6CB1417AAE</v>
      </c>
      <c r="E402" s="10" t="s">
        <v>1157</v>
      </c>
      <c r="F402" s="25" t="str" cm="1">
        <f t="array" ref="F402">IF(NodesJSON[[#This Row],[Export?]]=0,"",IF(ROW(NodesJSON[[#This Row],[label]])&gt;ROW(NodesJSON[[#Headers],[JSON]])+1,",","") &amp;"{"&amp;twoRangesToJSON(NodesJSON[[#Headers],[label]:[url]],NodesJSON[[#This Row],[label]:[url]])&amp;"}")</f>
        <v>,{"label":"Security Label","group":"","id":"nB97D2A38_A342_46DA_ABE9_AE6CB1417AAE","url":"https://open-measure.atlassian.net/wiki/spaces/DIC/pages/1181909085"}</v>
      </c>
    </row>
    <row r="403" spans="1:6" ht="13.9" thickTop="1" thickBot="1" x14ac:dyDescent="0.4">
      <c r="A403" s="39">
        <f>IF(ISERR(NodesJSON[[#This Row],[label]]),0,1)</f>
        <v>1</v>
      </c>
      <c r="B403" s="3" t="str">
        <f>NodesData[[#This Row],[Common Name]]</f>
        <v>Security Question Authentication</v>
      </c>
      <c r="C403" s="3" t="str">
        <f>IF(NodesData[[#This Row],[Context Instanciation]]="","",NodesData[[#This Row],[Context Instanciation]])</f>
        <v/>
      </c>
      <c r="D403" s="22" t="str">
        <f>NodesData[[#This Row],[Node ID]]</f>
        <v>n3C201BF8_F9EA_4428_B9FA_FC0267427653</v>
      </c>
      <c r="E403" s="10" t="s">
        <v>1153</v>
      </c>
      <c r="F403" s="25" t="str" cm="1">
        <f t="array" ref="F403">IF(NodesJSON[[#This Row],[Export?]]=0,"",IF(ROW(NodesJSON[[#This Row],[label]])&gt;ROW(NodesJSON[[#Headers],[JSON]])+1,",","") &amp;"{"&amp;twoRangesToJSON(NodesJSON[[#Headers],[label]:[url]],NodesJSON[[#This Row],[label]:[url]])&amp;"}")</f>
        <v>,{"label":"Security Question Authentication","group":"","id":"n3C201BF8_F9EA_4428_B9FA_FC0267427653","url":"https://open-measure.atlassian.net/wiki/spaces/DIC/pages/663257097/Step-Up+Authentication"}</v>
      </c>
    </row>
    <row r="404" spans="1:6" ht="13.9" thickTop="1" thickBot="1" x14ac:dyDescent="0.4">
      <c r="A404" s="39">
        <f>IF(ISERR(NodesJSON[[#This Row],[label]]),0,1)</f>
        <v>1</v>
      </c>
      <c r="B404" s="3" t="str">
        <f>NodesData[[#This Row],[Common Name]]</f>
        <v>Segregation of Duties</v>
      </c>
      <c r="C404" s="3" t="str">
        <f>IF(NodesData[[#This Row],[Context Instanciation]]="","",NodesData[[#This Row],[Context Instanciation]])</f>
        <v/>
      </c>
      <c r="D404" s="22" t="str">
        <f>NodesData[[#This Row],[Node ID]]</f>
        <v>nD567DDAF_88E4_460A_8360_AB49285CB8DD</v>
      </c>
      <c r="E404" s="10" t="s">
        <v>1161</v>
      </c>
      <c r="F404" s="25" t="str" cm="1">
        <f t="array" ref="F404">IF(NodesJSON[[#This Row],[Export?]]=0,"",IF(ROW(NodesJSON[[#This Row],[label]])&gt;ROW(NodesJSON[[#Headers],[JSON]])+1,",","") &amp;"{"&amp;twoRangesToJSON(NodesJSON[[#Headers],[label]:[url]],NodesJSON[[#This Row],[label]:[url]])&amp;"}")</f>
        <v>,{"label":"Segregation of Duties","group":"","id":"nD567DDAF_88E4_460A_8360_AB49285CB8DD","url":"https://open-measure.atlassian.net/wiki/spaces/DIC/pages/1177747756"}</v>
      </c>
    </row>
    <row r="405" spans="1:6" ht="13.9" thickTop="1" thickBot="1" x14ac:dyDescent="0.4">
      <c r="A405" s="39">
        <f>IF(ISERR(NodesJSON[[#This Row],[label]]),0,1)</f>
        <v>1</v>
      </c>
      <c r="B405" s="3" t="str">
        <f>NodesData[[#This Row],[Common Name]]</f>
        <v>Self-Sovereign Identity</v>
      </c>
      <c r="C405" s="3" t="str">
        <f>IF(NodesData[[#This Row],[Context Instanciation]]="","",NodesData[[#This Row],[Context Instanciation]])</f>
        <v/>
      </c>
      <c r="D405" s="22" t="str">
        <f>NodesData[[#This Row],[Node ID]]</f>
        <v>nB870A42F_E8DF_49EE_839E_8237D0D08E6C</v>
      </c>
      <c r="E405" s="10" t="s">
        <v>1163</v>
      </c>
      <c r="F405" s="25" t="str" cm="1">
        <f t="array" ref="F405">IF(NodesJSON[[#This Row],[Export?]]=0,"",IF(ROW(NodesJSON[[#This Row],[label]])&gt;ROW(NodesJSON[[#Headers],[JSON]])+1,",","") &amp;"{"&amp;twoRangesToJSON(NodesJSON[[#Headers],[label]:[url]],NodesJSON[[#This Row],[label]:[url]])&amp;"}")</f>
        <v>,{"label":"Self-Sovereign Identity","group":"","id":"nB870A42F_E8DF_49EE_839E_8237D0D08E6C","url":"https://open-measure.atlassian.net/wiki/spaces/DIC/pages/67600697"}</v>
      </c>
    </row>
    <row r="406" spans="1:6" ht="13.9" thickTop="1" thickBot="1" x14ac:dyDescent="0.4">
      <c r="A406" s="39">
        <f>IF(ISERR(NodesJSON[[#This Row],[label]]),0,1)</f>
        <v>1</v>
      </c>
      <c r="B406" s="3" t="str">
        <f>NodesData[[#This Row],[Common Name]]</f>
        <v>Semantic Differential</v>
      </c>
      <c r="C406" s="3" t="str">
        <f>IF(NodesData[[#This Row],[Context Instanciation]]="","",NodesData[[#This Row],[Context Instanciation]])</f>
        <v/>
      </c>
      <c r="D406" s="22" t="str">
        <f>NodesData[[#This Row],[Node ID]]</f>
        <v>n05769AFC_D0B1_4FEC_A0E1_842407E11B7A</v>
      </c>
      <c r="E406" s="10" t="s">
        <v>1165</v>
      </c>
      <c r="F406" s="25" t="str" cm="1">
        <f t="array" ref="F406">IF(NodesJSON[[#This Row],[Export?]]=0,"",IF(ROW(NodesJSON[[#This Row],[label]])&gt;ROW(NodesJSON[[#Headers],[JSON]])+1,",","") &amp;"{"&amp;twoRangesToJSON(NodesJSON[[#Headers],[label]:[url]],NodesJSON[[#This Row],[label]:[url]])&amp;"}")</f>
        <v>,{"label":"Semantic Differential","group":"","id":"n05769AFC_D0B1_4FEC_A0E1_842407E11B7A","url":"https://open-measure.atlassian.net/wiki/spaces/DIC/pages/2981920"}</v>
      </c>
    </row>
    <row r="407" spans="1:6" ht="13.9" thickTop="1" thickBot="1" x14ac:dyDescent="0.4">
      <c r="A407" s="39">
        <f>IF(ISERR(NodesJSON[[#This Row],[label]]),0,1)</f>
        <v>1</v>
      </c>
      <c r="B407" s="3" t="str">
        <f>NodesData[[#This Row],[Common Name]]</f>
        <v>Service Account</v>
      </c>
      <c r="C407" s="3" t="str">
        <f>IF(NodesData[[#This Row],[Context Instanciation]]="","",NodesData[[#This Row],[Context Instanciation]])</f>
        <v/>
      </c>
      <c r="D407" s="22" t="str">
        <f>NodesData[[#This Row],[Node ID]]</f>
        <v>n901E5DAB_D27E_4BEE_8BBB_AC47FA69CFBA</v>
      </c>
      <c r="E407" s="10" t="s">
        <v>1166</v>
      </c>
      <c r="F407" s="25" t="str" cm="1">
        <f t="array" ref="F407">IF(NodesJSON[[#This Row],[Export?]]=0,"",IF(ROW(NodesJSON[[#This Row],[label]])&gt;ROW(NodesJSON[[#Headers],[JSON]])+1,",","") &amp;"{"&amp;twoRangesToJSON(NodesJSON[[#Headers],[label]:[url]],NodesJSON[[#This Row],[label]:[url]])&amp;"}")</f>
        <v>,{"label":"Service Account","group":"","id":"n901E5DAB_D27E_4BEE_8BBB_AC47FA69CFBA","url":"https://open-measure.atlassian.net/wiki/spaces/DIC/pages/1477869640/Supply+Chain+Attack"}</v>
      </c>
    </row>
    <row r="408" spans="1:6" ht="13.9" thickTop="1" thickBot="1" x14ac:dyDescent="0.4">
      <c r="A408" s="39">
        <f>IF(ISERR(NodesJSON[[#This Row],[label]]),0,1)</f>
        <v>1</v>
      </c>
      <c r="B408" s="3" t="str">
        <f>NodesData[[#This Row],[Common Name]]</f>
        <v>Service-Centric Identity Management System</v>
      </c>
      <c r="C408" s="3" t="str">
        <f>IF(NodesData[[#This Row],[Context Instanciation]]="","",NodesData[[#This Row],[Context Instanciation]])</f>
        <v/>
      </c>
      <c r="D408" s="22" t="str">
        <f>NodesData[[#This Row],[Node ID]]</f>
        <v>n491440D0_18B1_419D_82A7_5E14101A7E9B</v>
      </c>
      <c r="E408" s="10" t="s">
        <v>1167</v>
      </c>
      <c r="F408" s="25" t="str" cm="1">
        <f t="array" ref="F408">IF(NodesJSON[[#This Row],[Export?]]=0,"",IF(ROW(NodesJSON[[#This Row],[label]])&gt;ROW(NodesJSON[[#Headers],[JSON]])+1,",","") &amp;"{"&amp;twoRangesToJSON(NodesJSON[[#Headers],[label]:[url]],NodesJSON[[#This Row],[label]:[url]])&amp;"}")</f>
        <v>,{"label":"Service-Centric Identity Management System","group":"","id":"n491440D0_18B1_419D_82A7_5E14101A7E9B","url":"https://open-measure.atlassian.net/wiki/spaces/DIC/pages/1254588545/Sybil+Attack"}</v>
      </c>
    </row>
    <row r="409" spans="1:6" ht="13.9" thickTop="1" thickBot="1" x14ac:dyDescent="0.4">
      <c r="A409" s="39">
        <f>IF(ISERR(NodesJSON[[#This Row],[label]]),0,1)</f>
        <v>1</v>
      </c>
      <c r="B409" s="3" t="str">
        <f>NodesData[[#This Row],[Common Name]]</f>
        <v>Session</v>
      </c>
      <c r="C409" s="3" t="str">
        <f>IF(NodesData[[#This Row],[Context Instanciation]]="","",NodesData[[#This Row],[Context Instanciation]])</f>
        <v/>
      </c>
      <c r="D409" s="22" t="str">
        <f>NodesData[[#This Row],[Node ID]]</f>
        <v>n279CC740_4E96_4D2A_923D_3603EA0FD247</v>
      </c>
      <c r="E409" s="10" t="s">
        <v>1169</v>
      </c>
      <c r="F409" s="25" t="str" cm="1">
        <f t="array" ref="F409">IF(NodesJSON[[#This Row],[Export?]]=0,"",IF(ROW(NodesJSON[[#This Row],[label]])&gt;ROW(NodesJSON[[#Headers],[JSON]])+1,",","") &amp;"{"&amp;twoRangesToJSON(NodesJSON[[#Headers],[label]:[url]],NodesJSON[[#This Row],[label]:[url]])&amp;"}")</f>
        <v>,{"label":"Session","group":"","id":"n279CC740_4E96_4D2A_923D_3603EA0FD247","url":"https://open-measure.atlassian.net/wiki/spaces/DIC/pages/794296433"}</v>
      </c>
    </row>
    <row r="410" spans="1:6" ht="13.9" thickTop="1" thickBot="1" x14ac:dyDescent="0.4">
      <c r="A410" s="39">
        <f>IF(ISERR(NodesJSON[[#This Row],[label]]),0,1)</f>
        <v>1</v>
      </c>
      <c r="B410" s="3" t="str">
        <f>NodesData[[#This Row],[Common Name]]</f>
        <v>Session Authentication</v>
      </c>
      <c r="C410" s="3" t="str">
        <f>IF(NodesData[[#This Row],[Context Instanciation]]="","",NodesData[[#This Row],[Context Instanciation]])</f>
        <v/>
      </c>
      <c r="D410" s="22" t="str">
        <f>NodesData[[#This Row],[Node ID]]</f>
        <v>nDF95A25A_2B47_4C54_8D11_CCEA52064067</v>
      </c>
      <c r="E410" s="10" t="s">
        <v>1170</v>
      </c>
      <c r="F410" s="25" t="str" cm="1">
        <f t="array" ref="F410">IF(NodesJSON[[#This Row],[Export?]]=0,"",IF(ROW(NodesJSON[[#This Row],[label]])&gt;ROW(NodesJSON[[#Headers],[JSON]])+1,",","") &amp;"{"&amp;twoRangesToJSON(NodesJSON[[#Headers],[label]:[url]],NodesJSON[[#This Row],[label]:[url]])&amp;"}")</f>
        <v>,{"label":"Session Authentication","group":"","id":"nDF95A25A_2B47_4C54_8D11_CCEA52064067","url":"https://open-measure.atlassian.net/wiki/spaces/DIC/pages/5965562/System"}</v>
      </c>
    </row>
    <row r="411" spans="1:6" ht="13.9" thickTop="1" thickBot="1" x14ac:dyDescent="0.4">
      <c r="A411" s="39">
        <f>IF(ISERR(NodesJSON[[#This Row],[label]]),0,1)</f>
        <v>1</v>
      </c>
      <c r="B411" s="3" t="str">
        <f>NodesData[[#This Row],[Common Name]]</f>
        <v>Single Login</v>
      </c>
      <c r="C411" s="3" t="str">
        <f>IF(NodesData[[#This Row],[Context Instanciation]]="","",NodesData[[#This Row],[Context Instanciation]])</f>
        <v/>
      </c>
      <c r="D411" s="22" t="str">
        <f>NodesData[[#This Row],[Node ID]]</f>
        <v>n95300591_0D21_454A_83B8_F3C9C74C21E3</v>
      </c>
      <c r="E411" s="10" t="s">
        <v>1171</v>
      </c>
      <c r="F411" s="25" t="str" cm="1">
        <f t="array" ref="F411">IF(NodesJSON[[#This Row],[Export?]]=0,"",IF(ROW(NodesJSON[[#This Row],[label]])&gt;ROW(NodesJSON[[#Headers],[JSON]])+1,",","") &amp;"{"&amp;twoRangesToJSON(NodesJSON[[#Headers],[label]:[url]],NodesJSON[[#This Row],[label]:[url]])&amp;"}")</f>
        <v>,{"label":"Single Login","group":"","id":"n95300591_0D21_454A_83B8_F3C9C74C21E3","url":"https://open-measure.atlassian.net/wiki/spaces/DIC/pages/446824644/System+Boundaries"}</v>
      </c>
    </row>
    <row r="412" spans="1:6" ht="13.9" thickTop="1" thickBot="1" x14ac:dyDescent="0.4">
      <c r="A412" s="39">
        <f>IF(ISERR(NodesJSON[[#This Row],[label]]),0,1)</f>
        <v>1</v>
      </c>
      <c r="B412" s="3" t="str">
        <f>NodesData[[#This Row],[Common Name]]</f>
        <v>Single Sign-On</v>
      </c>
      <c r="C412" s="3" t="str">
        <f>IF(NodesData[[#This Row],[Context Instanciation]]="","",NodesData[[#This Row],[Context Instanciation]])</f>
        <v/>
      </c>
      <c r="D412" s="22" t="str">
        <f>NodesData[[#This Row],[Node ID]]</f>
        <v>nCDC41020_7C5B_4C7F_9A4D_8C0F159CD585</v>
      </c>
      <c r="E412" s="10" t="s">
        <v>1173</v>
      </c>
      <c r="F412" s="25" t="str" cm="1">
        <f t="array" ref="F412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Sign-On","group":"","id":"nCDC41020_7C5B_4C7F_9A4D_8C0F159CD585","url":"https://open-measure.atlassian.net/wiki/spaces/DIC/pages/206372869"}</v>
      </c>
    </row>
    <row r="413" spans="1:6" ht="13.9" thickTop="1" thickBot="1" x14ac:dyDescent="0.4">
      <c r="A413" s="39">
        <f>IF(ISERR(NodesJSON[[#This Row],[label]]),0,1)</f>
        <v>1</v>
      </c>
      <c r="B413" s="3" t="str">
        <f>NodesData[[#This Row],[Common Name]]</f>
        <v>Single Sign-On</v>
      </c>
      <c r="C413" s="3" t="str">
        <f>IF(NodesData[[#This Row],[Context Instanciation]]="","",NodesData[[#This Row],[Context Instanciation]])</f>
        <v/>
      </c>
      <c r="D413" s="22" t="str">
        <f>NodesData[[#This Row],[Node ID]]</f>
        <v>nF3399109_259D_4ABC_BC52_EDB47E2CAF1A</v>
      </c>
      <c r="E413" s="10" t="s">
        <v>1175</v>
      </c>
      <c r="F413" s="25" t="str" cm="1">
        <f t="array" ref="F413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Sign-On","group":"","id":"nF3399109_259D_4ABC_BC52_EDB47E2CAF1A","url":"https://open-measure.atlassian.net/wiki/spaces/DIC/pages/1004961963"}</v>
      </c>
    </row>
    <row r="414" spans="1:6" ht="13.9" thickTop="1" thickBot="1" x14ac:dyDescent="0.4">
      <c r="A414" s="39">
        <f>IF(ISERR(NodesJSON[[#This Row],[label]]),0,1)</f>
        <v>1</v>
      </c>
      <c r="B414" s="3" t="str">
        <f>NodesData[[#This Row],[Common Name]]</f>
        <v>SMS OTP</v>
      </c>
      <c r="C414" s="3" t="str">
        <f>IF(NodesData[[#This Row],[Context Instanciation]]="","",NodesData[[#This Row],[Context Instanciation]])</f>
        <v/>
      </c>
      <c r="D414" s="22" t="str">
        <f>NodesData[[#This Row],[Node ID]]</f>
        <v>nC659F8FA_B1EB_46E9_B13C_FE5C1B62DEA3</v>
      </c>
      <c r="E414" s="10" t="s">
        <v>1177</v>
      </c>
      <c r="F414" s="25" t="str" cm="1">
        <f t="array" ref="F414">IF(NodesJSON[[#This Row],[Export?]]=0,"",IF(ROW(NodesJSON[[#This Row],[label]])&gt;ROW(NodesJSON[[#Headers],[JSON]])+1,",","") &amp;"{"&amp;twoRangesToJSON(NodesJSON[[#Headers],[label]:[url]],NodesJSON[[#This Row],[label]:[url]])&amp;"}")</f>
        <v>,{"label":"SMS OTP","group":"","id":"nC659F8FA_B1EB_46E9_B13C_FE5C1B62DEA3","url":"https://open-measure.atlassian.net/wiki/spaces/DIC/pages/1226571890"}</v>
      </c>
    </row>
    <row r="415" spans="1:6" ht="13.9" thickTop="1" thickBot="1" x14ac:dyDescent="0.4">
      <c r="A415" s="39">
        <f>IF(ISERR(NodesJSON[[#This Row],[label]]),0,1)</f>
        <v>1</v>
      </c>
      <c r="B415" s="3" t="str">
        <f>NodesData[[#This Row],[Common Name]]</f>
        <v>Social Authentication</v>
      </c>
      <c r="C415" s="3" t="str">
        <f>IF(NodesData[[#This Row],[Context Instanciation]]="","",NodesData[[#This Row],[Context Instanciation]])</f>
        <v/>
      </c>
      <c r="D415" s="22" t="str">
        <f>NodesData[[#This Row],[Node ID]]</f>
        <v>n60A42831_8FFC_43B5_9189_8FC2450794A3</v>
      </c>
      <c r="E415" s="4"/>
      <c r="F415" s="25" t="str" cm="1">
        <f t="array" ref="F415">IF(NodesJSON[[#This Row],[Export?]]=0,"",IF(ROW(NodesJSON[[#This Row],[label]])&gt;ROW(NodesJSON[[#Headers],[JSON]])+1,",","") &amp;"{"&amp;twoRangesToJSON(NodesJSON[[#Headers],[label]:[url]],NodesJSON[[#This Row],[label]:[url]])&amp;"}")</f>
        <v>,{"label":"Social Authentication","group":"","id":"n60A42831_8FFC_43B5_9189_8FC2450794A3","url":""}</v>
      </c>
    </row>
    <row r="416" spans="1:6" ht="13.9" thickTop="1" thickBot="1" x14ac:dyDescent="0.4">
      <c r="A416" s="39">
        <f>IF(ISERR(NodesJSON[[#This Row],[label]]),0,1)</f>
        <v>1</v>
      </c>
      <c r="B416" s="3" t="str">
        <f>NodesData[[#This Row],[Common Name]]</f>
        <v>Social Honeypot</v>
      </c>
      <c r="C416" s="3" t="str">
        <f>IF(NodesData[[#This Row],[Context Instanciation]]="","",NodesData[[#This Row],[Context Instanciation]])</f>
        <v/>
      </c>
      <c r="D416" s="22" t="str">
        <f>NodesData[[#This Row],[Node ID]]</f>
        <v>n56573FF9_22B4_4629_B28C_392B006A4AA8</v>
      </c>
      <c r="E416" s="10" t="s">
        <v>1179</v>
      </c>
      <c r="F416" s="25" t="str" cm="1">
        <f t="array" ref="F416">IF(NodesJSON[[#This Row],[Export?]]=0,"",IF(ROW(NodesJSON[[#This Row],[label]])&gt;ROW(NodesJSON[[#Headers],[JSON]])+1,",","") &amp;"{"&amp;twoRangesToJSON(NodesJSON[[#Headers],[label]:[url]],NodesJSON[[#This Row],[label]:[url]])&amp;"}")</f>
        <v>,{"label":"Social Honeypot","group":"","id":"n56573FF9_22B4_4629_B28C_392B006A4AA8","url":"https://open-measure.atlassian.net/wiki/spaces/DIC/pages/1122631693"}</v>
      </c>
    </row>
    <row r="417" spans="1:6" ht="13.9" thickTop="1" thickBot="1" x14ac:dyDescent="0.4">
      <c r="A417" s="39">
        <f>IF(ISERR(NodesJSON[[#This Row],[label]]),0,1)</f>
        <v>1</v>
      </c>
      <c r="B417" s="3" t="str">
        <f>NodesData[[#This Row],[Common Name]]</f>
        <v>SoD</v>
      </c>
      <c r="C417" s="3" t="str">
        <f>IF(NodesData[[#This Row],[Context Instanciation]]="","",NodesData[[#This Row],[Context Instanciation]])</f>
        <v/>
      </c>
      <c r="D417" s="22" t="str">
        <f>NodesData[[#This Row],[Node ID]]</f>
        <v>nA9A30C47_5F47_4988_8FC5_F4CF9EB080CC</v>
      </c>
      <c r="E417" s="10" t="s">
        <v>1159</v>
      </c>
      <c r="F417" s="25" t="str" cm="1">
        <f t="array" ref="F417">IF(NodesJSON[[#This Row],[Export?]]=0,"",IF(ROW(NodesJSON[[#This Row],[label]])&gt;ROW(NodesJSON[[#Headers],[JSON]])+1,",","") &amp;"{"&amp;twoRangesToJSON(NodesJSON[[#Headers],[label]:[url]],NodesJSON[[#This Row],[label]:[url]])&amp;"}")</f>
        <v>,{"label":"SoD","group":"","id":"nA9A30C47_5F47_4988_8FC5_F4CF9EB080CC","url":"https://open-measure.atlassian.net/wiki/spaces/DIC/pages/81199126"}</v>
      </c>
    </row>
    <row r="418" spans="1:6" ht="13.9" thickTop="1" thickBot="1" x14ac:dyDescent="0.4">
      <c r="A418" s="39">
        <f>IF(ISERR(NodesJSON[[#This Row],[label]]),0,1)</f>
        <v>1</v>
      </c>
      <c r="B418" s="3" t="str">
        <f>NodesData[[#This Row],[Common Name]]</f>
        <v>Software / App OTP</v>
      </c>
      <c r="C418" s="3" t="str">
        <f>IF(NodesData[[#This Row],[Context Instanciation]]="","",NodesData[[#This Row],[Context Instanciation]])</f>
        <v/>
      </c>
      <c r="D418" s="22" t="str">
        <f>NodesData[[#This Row],[Node ID]]</f>
        <v>n53FEC273_D9E0_42F6_BEB3_18333BB567ED</v>
      </c>
      <c r="E418" s="3"/>
      <c r="F418" s="25" t="str" cm="1">
        <f t="array" ref="F418">IF(NodesJSON[[#This Row],[Export?]]=0,"",IF(ROW(NodesJSON[[#This Row],[label]])&gt;ROW(NodesJSON[[#Headers],[JSON]])+1,",","") &amp;"{"&amp;twoRangesToJSON(NodesJSON[[#Headers],[label]:[url]],NodesJSON[[#This Row],[label]:[url]])&amp;"}")</f>
        <v>,{"label":"Software / App OTP","group":"","id":"n53FEC273_D9E0_42F6_BEB3_18333BB567ED","url":""}</v>
      </c>
    </row>
    <row r="419" spans="1:6" ht="13.9" thickTop="1" thickBot="1" x14ac:dyDescent="0.4">
      <c r="A419" s="39">
        <f>IF(ISERR(NodesJSON[[#This Row],[label]]),0,1)</f>
        <v>1</v>
      </c>
      <c r="B419" s="3" t="str">
        <f>NodesData[[#This Row],[Common Name]]</f>
        <v>Software-Defined Perimeter</v>
      </c>
      <c r="C419" s="3" t="str">
        <f>IF(NodesData[[#This Row],[Context Instanciation]]="","",NodesData[[#This Row],[Context Instanciation]])</f>
        <v/>
      </c>
      <c r="D419" s="22" t="str">
        <f>NodesData[[#This Row],[Node ID]]</f>
        <v>n5E41A9D4_819D_4864_B6AE_33A53A7DDD7C</v>
      </c>
      <c r="E419" s="8"/>
      <c r="F419" s="25" t="str" cm="1">
        <f t="array" ref="F419">IF(NodesJSON[[#This Row],[Export?]]=0,"",IF(ROW(NodesJSON[[#This Row],[label]])&gt;ROW(NodesJSON[[#Headers],[JSON]])+1,",","") &amp;"{"&amp;twoRangesToJSON(NodesJSON[[#Headers],[label]:[url]],NodesJSON[[#This Row],[label]:[url]])&amp;"}")</f>
        <v>,{"label":"Software-Defined Perimeter","group":"","id":"n5E41A9D4_819D_4864_B6AE_33A53A7DDD7C","url":""}</v>
      </c>
    </row>
    <row r="420" spans="1:6" ht="13.9" thickTop="1" thickBot="1" x14ac:dyDescent="0.4">
      <c r="A420" s="39">
        <f>IF(ISERR(NodesJSON[[#This Row],[label]]),0,1)</f>
        <v>1</v>
      </c>
      <c r="B420" s="3" t="str">
        <f>NodesData[[#This Row],[Common Name]]</f>
        <v>SPIFFE</v>
      </c>
      <c r="C420" s="3" t="str">
        <f>IF(NodesData[[#This Row],[Context Instanciation]]="","",NodesData[[#This Row],[Context Instanciation]])</f>
        <v/>
      </c>
      <c r="D420" s="22" t="str">
        <f>NodesData[[#This Row],[Node ID]]</f>
        <v>n00E1D349_3D00_4487_9F58_1785F1B304DB</v>
      </c>
      <c r="E420" s="8"/>
      <c r="F420" s="25" t="str" cm="1">
        <f t="array" ref="F420">IF(NodesJSON[[#This Row],[Export?]]=0,"",IF(ROW(NodesJSON[[#This Row],[label]])&gt;ROW(NodesJSON[[#Headers],[JSON]])+1,",","") &amp;"{"&amp;twoRangesToJSON(NodesJSON[[#Headers],[label]:[url]],NodesJSON[[#This Row],[label]:[url]])&amp;"}")</f>
        <v>,{"label":"SPIFFE","group":"","id":"n00E1D349_3D00_4487_9F58_1785F1B304DB","url":""}</v>
      </c>
    </row>
    <row r="421" spans="1:6" ht="13.9" thickTop="1" thickBot="1" x14ac:dyDescent="0.4">
      <c r="A421" s="39">
        <f>IF(ISERR(NodesJSON[[#This Row],[label]]),0,1)</f>
        <v>1</v>
      </c>
      <c r="B421" s="3" t="str">
        <f>NodesData[[#This Row],[Common Name]]</f>
        <v>SPMS</v>
      </c>
      <c r="C421" s="3" t="str">
        <f>IF(NodesData[[#This Row],[Context Instanciation]]="","",NodesData[[#This Row],[Context Instanciation]])</f>
        <v/>
      </c>
      <c r="D421" s="22" t="str">
        <f>NodesData[[#This Row],[Node ID]]</f>
        <v>n5CF2F923_671C_4D8A_ADA8_855ACC57144A</v>
      </c>
      <c r="E421" s="10" t="s">
        <v>1181</v>
      </c>
      <c r="F421" s="25" t="str" cm="1">
        <f t="array" ref="F421">IF(NodesJSON[[#This Row],[Export?]]=0,"",IF(ROW(NodesJSON[[#This Row],[label]])&gt;ROW(NodesJSON[[#Headers],[JSON]])+1,",","") &amp;"{"&amp;twoRangesToJSON(NodesJSON[[#Headers],[label]:[url]],NodesJSON[[#This Row],[label]:[url]])&amp;"}")</f>
        <v>,{"label":"SPMS","group":"","id":"n5CF2F923_671C_4D8A_ADA8_855ACC57144A","url":"https://open-measure.atlassian.net/wiki/spaces/DIC/pages/1130954862"}</v>
      </c>
    </row>
    <row r="422" spans="1:6" ht="13.9" thickTop="1" thickBot="1" x14ac:dyDescent="0.4">
      <c r="A422" s="39">
        <f>IF(ISERR(NodesJSON[[#This Row],[label]]),0,1)</f>
        <v>1</v>
      </c>
      <c r="B422" s="3" t="str">
        <f>NodesData[[#This Row],[Common Name]]</f>
        <v>SSH Key</v>
      </c>
      <c r="C422" s="3" t="str">
        <f>IF(NodesData[[#This Row],[Context Instanciation]]="","",NodesData[[#This Row],[Context Instanciation]])</f>
        <v/>
      </c>
      <c r="D422" s="22" t="str">
        <f>NodesData[[#This Row],[Node ID]]</f>
        <v>nFC3909FF_29C6_47F9_B90A_122BDED44AF9</v>
      </c>
      <c r="E422" s="10" t="s">
        <v>1182</v>
      </c>
      <c r="F422" s="25" t="str" cm="1">
        <f t="array" ref="F422">IF(NodesJSON[[#This Row],[Export?]]=0,"",IF(ROW(NodesJSON[[#This Row],[label]])&gt;ROW(NodesJSON[[#Headers],[JSON]])+1,",","") &amp;"{"&amp;twoRangesToJSON(NodesJSON[[#Headers],[label]:[url]],NodesJSON[[#This Row],[label]:[url]])&amp;"}")</f>
        <v>,{"label":"SSH Key","group":"","id":"nFC3909FF_29C6_47F9_B90A_122BDED44AF9","url":"https://open-measure.atlassian.net/wiki/spaces/DIC/pages/360467"}</v>
      </c>
    </row>
    <row r="423" spans="1:6" ht="13.9" thickTop="1" thickBot="1" x14ac:dyDescent="0.4">
      <c r="A423" s="39">
        <f>IF(ISERR(NodesJSON[[#This Row],[label]]),0,1)</f>
        <v>1</v>
      </c>
      <c r="B423" s="3" t="str">
        <f>NodesData[[#This Row],[Common Name]]</f>
        <v>SSI</v>
      </c>
      <c r="C423" s="3" t="str">
        <f>IF(NodesData[[#This Row],[Context Instanciation]]="","",NodesData[[#This Row],[Context Instanciation]])</f>
        <v/>
      </c>
      <c r="D423" s="22" t="str">
        <f>NodesData[[#This Row],[Node ID]]</f>
        <v>n71631819_91CD_4603_8446_336EBC6B18B2</v>
      </c>
      <c r="E423" s="10" t="s">
        <v>1183</v>
      </c>
      <c r="F423" s="25" t="str" cm="1">
        <f t="array" ref="F423">IF(NodesJSON[[#This Row],[Export?]]=0,"",IF(ROW(NodesJSON[[#This Row],[label]])&gt;ROW(NodesJSON[[#Headers],[JSON]])+1,",","") &amp;"{"&amp;twoRangesToJSON(NodesJSON[[#Headers],[label]:[url]],NodesJSON[[#This Row],[label]:[url]])&amp;"}")</f>
        <v>,{"label":"SSI","group":"","id":"n71631819_91CD_4603_8446_336EBC6B18B2","url":"https://open-measure.atlassian.net/wiki/spaces/DIC/pages/1237582070/Tranquil"}</v>
      </c>
    </row>
    <row r="424" spans="1:6" ht="13.9" thickTop="1" thickBot="1" x14ac:dyDescent="0.4">
      <c r="A424" s="39">
        <f>IF(ISERR(NodesJSON[[#This Row],[label]]),0,1)</f>
        <v>1</v>
      </c>
      <c r="B424" s="3" t="str">
        <f>NodesData[[#This Row],[Common Name]]</f>
        <v>SSO</v>
      </c>
      <c r="C424" s="3" t="str">
        <f>IF(NodesData[[#This Row],[Context Instanciation]]="","",NodesData[[#This Row],[Context Instanciation]])</f>
        <v/>
      </c>
      <c r="D424" s="22" t="str">
        <f>NodesData[[#This Row],[Node ID]]</f>
        <v>n5453D8E7_0829_46D3_846B_6D89F4AE4CFF</v>
      </c>
      <c r="E424" s="10" t="s">
        <v>1185</v>
      </c>
      <c r="F424" s="25" t="str" cm="1">
        <f t="array" ref="F424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,{"label":"SSO","group":"","id":"n5453D8E7_0829_46D3_846B_6D89F4AE4CFF","url":"https://open-measure.atlassian.net/wiki/spaces/DIC/pages/1237483759"}</v>
      </c>
    </row>
    <row r="425" spans="1:6" ht="13.9" thickTop="1" thickBot="1" x14ac:dyDescent="0.4">
      <c r="A425" s="39">
        <f>IF(ISERR(NodesJSON[[#This Row],[label]]),0,1)</f>
        <v>1</v>
      </c>
      <c r="B425" s="3" t="str">
        <f>NodesData[[#This Row],[Common Name]]</f>
        <v>SSO</v>
      </c>
      <c r="C425" s="3" t="str">
        <f>IF(NodesData[[#This Row],[Context Instanciation]]="","",NodesData[[#This Row],[Context Instanciation]])</f>
        <v/>
      </c>
      <c r="D425" s="22" t="str">
        <f>NodesData[[#This Row],[Node ID]]</f>
        <v>n36B26A4D_4DE5_4EE8_8425_C5A7DB251D84</v>
      </c>
      <c r="E425" s="10" t="s">
        <v>1187</v>
      </c>
      <c r="F425" s="25" t="str" cm="1">
        <f t="array" ref="F425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,{"label":"SSO","group":"","id":"n36B26A4D_4DE5_4EE8_8425_C5A7DB251D84","url":"https://open-measure.atlassian.net/wiki/spaces/DIC/pages/1181876587"}</v>
      </c>
    </row>
    <row r="426" spans="1:6" ht="13.9" thickTop="1" thickBot="1" x14ac:dyDescent="0.4">
      <c r="A426" s="39">
        <f>IF(ISERR(NodesJSON[[#This Row],[label]]),0,1)</f>
        <v>1</v>
      </c>
      <c r="B426" s="3" t="str">
        <f>NodesData[[#This Row],[Common Name]]</f>
        <v>Stability of Access Decision Factors</v>
      </c>
      <c r="C426" s="3" t="str">
        <f>IF(NodesData[[#This Row],[Context Instanciation]]="","",NodesData[[#This Row],[Context Instanciation]])</f>
        <v/>
      </c>
      <c r="D426" s="22" t="str">
        <f>NodesData[[#This Row],[Node ID]]</f>
        <v>n0219DCF8_A0BC_4743_BBAA_4F0ADEC98D8A</v>
      </c>
      <c r="E426" s="10" t="s">
        <v>1188</v>
      </c>
      <c r="F426" s="25" t="str" cm="1">
        <f t="array" ref="F426">IF(NodesJSON[[#This Row],[Export?]]=0,"",IF(ROW(NodesJSON[[#This Row],[label]])&gt;ROW(NodesJSON[[#Headers],[JSON]])+1,",","") &amp;"{"&amp;twoRangesToJSON(NodesJSON[[#Headers],[label]:[url]],NodesJSON[[#This Row],[label]:[url]])&amp;"}")</f>
        <v>,{"label":"Stability of Access Decision Factors","group":"","id":"n0219DCF8_A0BC_4743_BBAA_4F0ADEC98D8A","url":"https://open-measure.atlassian.net/wiki/spaces/DIC/pages/1037926452/Trust"}</v>
      </c>
    </row>
    <row r="427" spans="1:6" ht="13.9" thickTop="1" thickBot="1" x14ac:dyDescent="0.4">
      <c r="A427" s="39">
        <f>IF(ISERR(NodesJSON[[#This Row],[label]]),0,1)</f>
        <v>1</v>
      </c>
      <c r="B427" s="3" t="str">
        <f>NodesData[[#This Row],[Common Name]]</f>
        <v>Stakeholder</v>
      </c>
      <c r="C427" s="3" t="str">
        <f>IF(NodesData[[#This Row],[Context Instanciation]]="","",NodesData[[#This Row],[Context Instanciation]])</f>
        <v/>
      </c>
      <c r="D427" s="22" t="str">
        <f>NodesData[[#This Row],[Node ID]]</f>
        <v>n545A7A4F_E40A_4229_9889_14B9524363FA</v>
      </c>
      <c r="E427" s="10" t="s">
        <v>1190</v>
      </c>
      <c r="F427" s="25" t="str" cm="1">
        <f t="array" ref="F427">IF(NodesJSON[[#This Row],[Export?]]=0,"",IF(ROW(NodesJSON[[#This Row],[label]])&gt;ROW(NodesJSON[[#Headers],[JSON]])+1,",","") &amp;"{"&amp;twoRangesToJSON(NodesJSON[[#Headers],[label]:[url]],NodesJSON[[#This Row],[label]:[url]])&amp;"}")</f>
        <v>,{"label":"Stakeholder","group":"","id":"n545A7A4F_E40A_4229_9889_14B9524363FA","url":"https://open-measure.atlassian.net/wiki/spaces/DIC/pages/1027048185"}</v>
      </c>
    </row>
    <row r="428" spans="1:6" ht="13.9" thickTop="1" thickBot="1" x14ac:dyDescent="0.4">
      <c r="A428" s="39">
        <f>IF(ISERR(NodesJSON[[#This Row],[label]]),0,1)</f>
        <v>1</v>
      </c>
      <c r="B428" s="3" t="str">
        <f>NodesData[[#This Row],[Common Name]]</f>
        <v>Step-Up Authentication</v>
      </c>
      <c r="C428" s="3" t="str">
        <f>IF(NodesData[[#This Row],[Context Instanciation]]="","",NodesData[[#This Row],[Context Instanciation]])</f>
        <v/>
      </c>
      <c r="D428" s="22" t="str">
        <f>NodesData[[#This Row],[Node ID]]</f>
        <v>n57ECA222_A996_4EAF_82B4_F90085182E5A</v>
      </c>
      <c r="E428" s="10" t="s">
        <v>1192</v>
      </c>
      <c r="F428" s="25" t="str" cm="1">
        <f t="array" ref="F428">IF(NodesJSON[[#This Row],[Export?]]=0,"",IF(ROW(NodesJSON[[#This Row],[label]])&gt;ROW(NodesJSON[[#Headers],[JSON]])+1,",","") &amp;"{"&amp;twoRangesToJSON(NodesJSON[[#Headers],[label]:[url]],NodesJSON[[#This Row],[label]:[url]])&amp;"}")</f>
        <v>,{"label":"Step-Up Authentication","group":"","id":"n57ECA222_A996_4EAF_82B4_F90085182E5A","url":"https://open-measure.atlassian.net/wiki/spaces/DIC/pages/1027048128"}</v>
      </c>
    </row>
    <row r="429" spans="1:6" ht="13.9" thickTop="1" thickBot="1" x14ac:dyDescent="0.4">
      <c r="A429" s="39">
        <f>IF(ISERR(NodesJSON[[#This Row],[label]]),0,1)</f>
        <v>1</v>
      </c>
      <c r="B429" s="3" t="str">
        <f>NodesData[[#This Row],[Common Name]]</f>
        <v>Strategic Performance Measurement System</v>
      </c>
      <c r="C429" s="3" t="str">
        <f>IF(NodesData[[#This Row],[Context Instanciation]]="","",NodesData[[#This Row],[Context Instanciation]])</f>
        <v/>
      </c>
      <c r="D429" s="22" t="str">
        <f>NodesData[[#This Row],[Node ID]]</f>
        <v>nD412B947_EA40_439A_B717_8C39D2BC4CB9</v>
      </c>
      <c r="E429" s="10" t="s">
        <v>1194</v>
      </c>
      <c r="F429" s="25" t="str" cm="1">
        <f t="array" ref="F429">IF(NodesJSON[[#This Row],[Export?]]=0,"",IF(ROW(NodesJSON[[#This Row],[label]])&gt;ROW(NodesJSON[[#Headers],[JSON]])+1,",","") &amp;"{"&amp;twoRangesToJSON(NodesJSON[[#Headers],[label]:[url]],NodesJSON[[#This Row],[label]:[url]])&amp;"}")</f>
        <v>,{"label":"Strategic Performance Measurement System","group":"","id":"nD412B947_EA40_439A_B717_8C39D2BC4CB9","url":"https://open-measure.atlassian.net/wiki/spaces/DIC/pages/1027048209"}</v>
      </c>
    </row>
    <row r="430" spans="1:6" ht="13.9" thickTop="1" thickBot="1" x14ac:dyDescent="0.4">
      <c r="A430" s="39">
        <f>IF(ISERR(NodesJSON[[#This Row],[label]]),0,1)</f>
        <v>1</v>
      </c>
      <c r="B430" s="3" t="str">
        <f>NodesData[[#This Row],[Common Name]]</f>
        <v>Strict Discretionary Access Control</v>
      </c>
      <c r="C430" s="3" t="str">
        <f>IF(NodesData[[#This Row],[Context Instanciation]]="","",NodesData[[#This Row],[Context Instanciation]])</f>
        <v/>
      </c>
      <c r="D430" s="22" t="str">
        <f>NodesData[[#This Row],[Node ID]]</f>
        <v>n1678B11E_DE4E_4E9D_959E_B70C80A07265</v>
      </c>
      <c r="E430" s="10" t="s">
        <v>1196</v>
      </c>
      <c r="F430" s="25" t="str" cm="1">
        <f t="array" ref="F430">IF(NodesJSON[[#This Row],[Export?]]=0,"",IF(ROW(NodesJSON[[#This Row],[label]])&gt;ROW(NodesJSON[[#Headers],[JSON]])+1,",","") &amp;"{"&amp;twoRangesToJSON(NodesJSON[[#Headers],[label]:[url]],NodesJSON[[#This Row],[label]:[url]])&amp;"}")</f>
        <v>,{"label":"Strict Discretionary Access Control","group":"","id":"n1678B11E_DE4E_4E9D_959E_B70C80A07265","url":"https://open-measure.atlassian.net/wiki/spaces/DIC/pages/1031242345"}</v>
      </c>
    </row>
    <row r="431" spans="1:6" ht="13.9" thickTop="1" thickBot="1" x14ac:dyDescent="0.4">
      <c r="A431" s="39">
        <f>IF(ISERR(NodesJSON[[#This Row],[label]]),0,1)</f>
        <v>1</v>
      </c>
      <c r="B431" s="3" t="str">
        <f>NodesData[[#This Row],[Common Name]]</f>
        <v>Strong Authentication</v>
      </c>
      <c r="C431" s="3" t="str">
        <f>IF(NodesData[[#This Row],[Context Instanciation]]="","",NodesData[[#This Row],[Context Instanciation]])</f>
        <v/>
      </c>
      <c r="D431" s="22" t="str">
        <f>NodesData[[#This Row],[Node ID]]</f>
        <v>n7A087586_32C2_44CA_B3C5_9B643CFB3E63</v>
      </c>
      <c r="E431" s="10" t="s">
        <v>1197</v>
      </c>
      <c r="F431" s="25" t="str" cm="1">
        <f t="array" ref="F431">IF(NodesJSON[[#This Row],[Export?]]=0,"",IF(ROW(NodesJSON[[#This Row],[label]])&gt;ROW(NodesJSON[[#Headers],[JSON]])+1,",","") &amp;"{"&amp;twoRangesToJSON(NodesJSON[[#Headers],[label]:[url]],NodesJSON[[#This Row],[label]:[url]])&amp;"}")</f>
        <v>,{"label":"Strong Authentication","group":"","id":"n7A087586_32C2_44CA_B3C5_9B643CFB3E63","url":"https://open-measure.atlassian.net/wiki/spaces/DIC/pages/1417084929/Typing+Biometrics"}</v>
      </c>
    </row>
    <row r="432" spans="1:6" ht="13.9" thickTop="1" thickBot="1" x14ac:dyDescent="0.4">
      <c r="A432" s="39">
        <f>IF(ISERR(NodesJSON[[#This Row],[label]]),0,1)</f>
        <v>1</v>
      </c>
      <c r="B432" s="3" t="str">
        <f>NodesData[[#This Row],[Common Name]]</f>
        <v>Strong Tranquility Property</v>
      </c>
      <c r="C432" s="3" t="str">
        <f>IF(NodesData[[#This Row],[Context Instanciation]]="","",NodesData[[#This Row],[Context Instanciation]])</f>
        <v/>
      </c>
      <c r="D432" s="22" t="str">
        <f>NodesData[[#This Row],[Node ID]]</f>
        <v>n54565563_BC74_470C_A56B_A1B9C7F1324E</v>
      </c>
      <c r="E432" s="10" t="s">
        <v>1199</v>
      </c>
      <c r="F432" s="25" t="str" cm="1">
        <f t="array" ref="F432">IF(NodesJSON[[#This Row],[Export?]]=0,"",IF(ROW(NodesJSON[[#This Row],[label]])&gt;ROW(NodesJSON[[#Headers],[JSON]])+1,",","") &amp;"{"&amp;twoRangesToJSON(NodesJSON[[#Headers],[label]:[url]],NodesJSON[[#This Row],[label]:[url]])&amp;"}")</f>
        <v>,{"label":"Strong Tranquility Property","group":"","id":"n54565563_BC74_470C_A56B_A1B9C7F1324E","url":"https://open-measure.atlassian.net/wiki/spaces/DIC/pages/140673267"}</v>
      </c>
    </row>
    <row r="433" spans="1:6" ht="13.9" thickTop="1" thickBot="1" x14ac:dyDescent="0.4">
      <c r="A433" s="39">
        <f>IF(ISERR(NodesJSON[[#This Row],[label]]),0,1)</f>
        <v>1</v>
      </c>
      <c r="B433" s="3" t="str">
        <f>NodesData[[#This Row],[Common Name]]</f>
        <v>Subject</v>
      </c>
      <c r="C433" s="3" t="str">
        <f>IF(NodesData[[#This Row],[Context Instanciation]]="","",NodesData[[#This Row],[Context Instanciation]])</f>
        <v/>
      </c>
      <c r="D433" s="22" t="str">
        <f>NodesData[[#This Row],[Node ID]]</f>
        <v>nB7ADCBF6_0721_463C_82E5_DBB277A6AEE9</v>
      </c>
      <c r="E433" s="10" t="s">
        <v>1200</v>
      </c>
      <c r="F433" s="25" t="str" cm="1">
        <f t="array" ref="F433">IF(NodesJSON[[#This Row],[Export?]]=0,"",IF(ROW(NodesJSON[[#This Row],[label]])&gt;ROW(NodesJSON[[#Headers],[JSON]])+1,",","") &amp;"{"&amp;twoRangesToJSON(NodesJSON[[#Headers],[label]:[url]],NodesJSON[[#This Row],[label]:[url]])&amp;"}")</f>
        <v>,{"label":"Subject","group":"","id":"nB7ADCBF6_0721_463C_82E5_DBB277A6AEE9","url":"https://open-measure.atlassian.net/wiki/spaces/DIC/pages/1027080193/Unanticipated+User"}</v>
      </c>
    </row>
    <row r="434" spans="1:6" ht="13.9" thickTop="1" thickBot="1" x14ac:dyDescent="0.4">
      <c r="A434" s="39">
        <f>IF(ISERR(NodesJSON[[#This Row],[label]]),0,1)</f>
        <v>1</v>
      </c>
      <c r="B434" s="3" t="str">
        <f>NodesData[[#This Row],[Common Name]]</f>
        <v>Subjective Indicator</v>
      </c>
      <c r="C434" s="3" t="str">
        <f>IF(NodesData[[#This Row],[Context Instanciation]]="","",NodesData[[#This Row],[Context Instanciation]])</f>
        <v/>
      </c>
      <c r="D434" s="22" t="str">
        <f>NodesData[[#This Row],[Node ID]]</f>
        <v>nE6B7AC16_FE87_47A2_899A_64FC08C8DD98</v>
      </c>
      <c r="E434" s="4"/>
      <c r="F434" s="25" t="str" cm="1">
        <f t="array" ref="F434">IF(NodesJSON[[#This Row],[Export?]]=0,"",IF(ROW(NodesJSON[[#This Row],[label]])&gt;ROW(NodesJSON[[#Headers],[JSON]])+1,",","") &amp;"{"&amp;twoRangesToJSON(NodesJSON[[#Headers],[label]:[url]],NodesJSON[[#This Row],[label]:[url]])&amp;"}")</f>
        <v>,{"label":"Subjective Indicator","group":"","id":"nE6B7AC16_FE87_47A2_899A_64FC08C8DD98","url":""}</v>
      </c>
    </row>
    <row r="435" spans="1:6" ht="13.9" thickTop="1" thickBot="1" x14ac:dyDescent="0.4">
      <c r="A435" s="39">
        <f>IF(ISERR(NodesJSON[[#This Row],[label]]),0,1)</f>
        <v>1</v>
      </c>
      <c r="B435" s="3" t="str">
        <f>NodesData[[#This Row],[Common Name]]</f>
        <v>Supply Chain Attack</v>
      </c>
      <c r="C435" s="3" t="str">
        <f>IF(NodesData[[#This Row],[Context Instanciation]]="","",NodesData[[#This Row],[Context Instanciation]])</f>
        <v/>
      </c>
      <c r="D435" s="22" t="str">
        <f>NodesData[[#This Row],[Node ID]]</f>
        <v>n3A185D2E_8467_4AA3_9CDB_FB22389BF715</v>
      </c>
      <c r="E435" s="10" t="s">
        <v>1202</v>
      </c>
      <c r="F435" s="25" t="str" cm="1">
        <f t="array" ref="F435">IF(NodesJSON[[#This Row],[Export?]]=0,"",IF(ROW(NodesJSON[[#This Row],[label]])&gt;ROW(NodesJSON[[#Headers],[JSON]])+1,",","") &amp;"{"&amp;twoRangesToJSON(NodesJSON[[#Headers],[label]:[url]],NodesJSON[[#This Row],[label]:[url]])&amp;"}")</f>
        <v>,{"label":"Supply Chain Attack","group":"","id":"n3A185D2E_8467_4AA3_9CDB_FB22389BF715","url":"https://open-measure.atlassian.net/wiki/spaces/DIC/pages/446955662/Unique+ID+Number"}</v>
      </c>
    </row>
    <row r="436" spans="1:6" ht="13.9" thickTop="1" thickBot="1" x14ac:dyDescent="0.4">
      <c r="A436" s="39">
        <f>IF(ISERR(NodesJSON[[#This Row],[label]]),0,1)</f>
        <v>1</v>
      </c>
      <c r="B436" s="3" t="str">
        <f>NodesData[[#This Row],[Common Name]]</f>
        <v>Sybil Attack</v>
      </c>
      <c r="C436" s="3" t="str">
        <f>IF(NodesData[[#This Row],[Context Instanciation]]="","",NodesData[[#This Row],[Context Instanciation]])</f>
        <v/>
      </c>
      <c r="D436" s="22" t="str">
        <f>NodesData[[#This Row],[Node ID]]</f>
        <v>n0FECC4A6_A665_444E_BE48_8AA390BB1974</v>
      </c>
      <c r="E436" s="10" t="s">
        <v>1203</v>
      </c>
      <c r="F436" s="25" t="str" cm="1">
        <f t="array" ref="F436">IF(NodesJSON[[#This Row],[Export?]]=0,"",IF(ROW(NodesJSON[[#This Row],[label]])&gt;ROW(NodesJSON[[#Headers],[JSON]])+1,",","") &amp;"{"&amp;twoRangesToJSON(NodesJSON[[#Headers],[label]:[url]],NodesJSON[[#This Row],[label]:[url]])&amp;"}")</f>
        <v>,{"label":"Sybil Attack","group":"","id":"n0FECC4A6_A665_444E_BE48_8AA390BB1974","url":"https://open-measure.atlassian.net/wiki/spaces/DIC/pages/1477902414/Unprivileged+Insider"}</v>
      </c>
    </row>
    <row r="437" spans="1:6" ht="13.9" thickTop="1" thickBot="1" x14ac:dyDescent="0.4">
      <c r="A437" s="39">
        <f>IF(ISERR(NodesJSON[[#This Row],[label]]),0,1)</f>
        <v>1</v>
      </c>
      <c r="B437" s="3" t="str">
        <f>NodesData[[#This Row],[Common Name]]</f>
        <v>Synthetic Identity Fraud</v>
      </c>
      <c r="C437" s="3" t="str">
        <f>IF(NodesData[[#This Row],[Context Instanciation]]="","",NodesData[[#This Row],[Context Instanciation]])</f>
        <v/>
      </c>
      <c r="D437" s="22" t="str">
        <f>NodesData[[#This Row],[Node ID]]</f>
        <v>nD9FD15A1_6465_481B_B71D_ADCD17B9954F</v>
      </c>
      <c r="E437" s="10" t="s">
        <v>1204</v>
      </c>
      <c r="F437" s="25" t="str" cm="1">
        <f t="array" ref="F437">IF(NodesJSON[[#This Row],[Export?]]=0,"",IF(ROW(NodesJSON[[#This Row],[label]])&gt;ROW(NodesJSON[[#Headers],[JSON]])+1,",","") &amp;"{"&amp;twoRangesToJSON(NodesJSON[[#Headers],[label]:[url]],NodesJSON[[#This Row],[label]:[url]])&amp;"}")</f>
        <v>,{"label":"Synthetic Identity Fraud","group":"","id":"nD9FD15A1_6465_481B_B71D_ADCD17B9954F","url":"https://open-measure.atlassian.net/wiki/spaces/DIC/pages/82839586/User"}</v>
      </c>
    </row>
    <row r="438" spans="1:6" ht="13.9" thickTop="1" thickBot="1" x14ac:dyDescent="0.4">
      <c r="A438" s="39">
        <f>IF(ISERR(NodesJSON[[#This Row],[label]]),0,1)</f>
        <v>1</v>
      </c>
      <c r="B438" s="3" t="str">
        <f>NodesData[[#This Row],[Common Name]]</f>
        <v>System</v>
      </c>
      <c r="C438" s="3" t="str">
        <f>IF(NodesData[[#This Row],[Context Instanciation]]="","",NodesData[[#This Row],[Context Instanciation]])</f>
        <v/>
      </c>
      <c r="D438" s="22" t="str">
        <f>NodesData[[#This Row],[Node ID]]</f>
        <v>nFC4AFBE3_7D71_456A_AFC1_16F1F34558F5</v>
      </c>
      <c r="E438" s="10" t="s">
        <v>1205</v>
      </c>
      <c r="F438" s="25" t="str" cm="1">
        <f t="array" ref="F438">IF(NodesJSON[[#This Row],[Export?]]=0,"",IF(ROW(NodesJSON[[#This Row],[label]])&gt;ROW(NodesJSON[[#Headers],[JSON]])+1,",","") &amp;"{"&amp;twoRangesToJSON(NodesJSON[[#Headers],[label]:[url]],NodesJSON[[#This Row],[label]:[url]])&amp;"}")</f>
        <v>,{"label":"System","group":"","id":"nFC4AFBE3_7D71_456A_AFC1_16F1F34558F5","url":"https://open-measure.atlassian.net/wiki/spaces/DIC/pages/1428587273/User+Account"}</v>
      </c>
    </row>
    <row r="439" spans="1:6" ht="13.9" thickTop="1" thickBot="1" x14ac:dyDescent="0.4">
      <c r="A439" s="39">
        <f>IF(ISERR(NodesJSON[[#This Row],[label]]),0,1)</f>
        <v>1</v>
      </c>
      <c r="B439" s="3" t="str">
        <f>NodesData[[#This Row],[Common Name]]</f>
        <v>System Boundaries</v>
      </c>
      <c r="C439" s="3" t="str">
        <f>IF(NodesData[[#This Row],[Context Instanciation]]="","",NodesData[[#This Row],[Context Instanciation]])</f>
        <v/>
      </c>
      <c r="D439" s="22" t="str">
        <f>NodesData[[#This Row],[Node ID]]</f>
        <v>n31C5E305_499C_46E4_98C8_6261960997B6</v>
      </c>
      <c r="E439" s="10" t="s">
        <v>1211</v>
      </c>
      <c r="F439" s="25" t="str" cm="1">
        <f t="array" ref="F439">IF(NodesJSON[[#This Row],[Export?]]=0,"",IF(ROW(NodesJSON[[#This Row],[label]])&gt;ROW(NodesJSON[[#Headers],[JSON]])+1,",","") &amp;"{"&amp;twoRangesToJSON(NodesJSON[[#Headers],[label]:[url]],NodesJSON[[#This Row],[label]:[url]])&amp;"}")</f>
        <v>,{"label":"System Boundaries","group":"","id":"n31C5E305_499C_46E4_98C8_6261960997B6","url":"https://open-measure.atlassian.net/wiki/spaces/DIC/pages/1323597878/User-Centric+Identity+Management+System"}</v>
      </c>
    </row>
    <row r="440" spans="1:6" ht="13.9" thickTop="1" thickBot="1" x14ac:dyDescent="0.4">
      <c r="A440" s="39">
        <f>IF(ISERR(NodesJSON[[#This Row],[label]]),0,1)</f>
        <v>1</v>
      </c>
      <c r="B440" s="3" t="str">
        <f>NodesData[[#This Row],[Common Name]]</f>
        <v>System for Cross-domain Identity Management</v>
      </c>
      <c r="C440" s="3" t="str">
        <f>IF(NodesData[[#This Row],[Context Instanciation]]="","",NodesData[[#This Row],[Context Instanciation]])</f>
        <v/>
      </c>
      <c r="D440" s="22" t="str">
        <f>NodesData[[#This Row],[Node ID]]</f>
        <v>nFA34207B_F87E_487A_A8A3_4664359FB1CD</v>
      </c>
      <c r="E440" s="10" t="s">
        <v>1206</v>
      </c>
      <c r="F440" s="25" t="str" cm="1">
        <f t="array" ref="F440">IF(NodesJSON[[#This Row],[Export?]]=0,"",IF(ROW(NodesJSON[[#This Row],[label]])&gt;ROW(NodesJSON[[#Headers],[JSON]])+1,",","") &amp;"{"&amp;twoRangesToJSON(NodesJSON[[#Headers],[label]:[url]],NodesJSON[[#This Row],[label]:[url]])&amp;"}")</f>
        <v>,{"label":"System for Cross-domain Identity Management","group":"","id":"nFA34207B_F87E_487A_A8A3_4664359FB1CD","url":"https://open-measure.atlassian.net/wiki/spaces/DIC/pages/1146847344/User+De-Provisioning"}</v>
      </c>
    </row>
    <row r="441" spans="1:6" ht="13.9" thickTop="1" thickBot="1" x14ac:dyDescent="0.4">
      <c r="A441" s="39">
        <f>IF(ISERR(NodesJSON[[#This Row],[label]]),0,1)</f>
        <v>1</v>
      </c>
      <c r="B441" s="3" t="str">
        <f>NodesData[[#This Row],[Common Name]]</f>
        <v>System Owner</v>
      </c>
      <c r="C441" s="3" t="str">
        <f>IF(NodesData[[#This Row],[Context Instanciation]]="","",NodesData[[#This Row],[Context Instanciation]])</f>
        <v/>
      </c>
      <c r="D441" s="22" t="str">
        <f>NodesData[[#This Row],[Node ID]]</f>
        <v>nC9A420A4_4B49_4499_BCB2_7C9AD66395E7</v>
      </c>
      <c r="E441" s="10" t="s">
        <v>1208</v>
      </c>
      <c r="F441" s="25" t="str" cm="1">
        <f t="array" ref="F441">IF(NodesJSON[[#This Row],[Export?]]=0,"",IF(ROW(NodesJSON[[#This Row],[label]])&gt;ROW(NodesJSON[[#Headers],[JSON]])+1,",","") &amp;"{"&amp;twoRangesToJSON(NodesJSON[[#Headers],[label]:[url]],NodesJSON[[#This Row],[label]:[url]])&amp;"}")</f>
        <v>,{"label":"System Owner","group":"","id":"nC9A420A4_4B49_4499_BCB2_7C9AD66395E7","url":"https://open-measure.atlassian.net/wiki/spaces/DIC/pages/1121878257"}</v>
      </c>
    </row>
    <row r="442" spans="1:6" ht="13.9" thickTop="1" thickBot="1" x14ac:dyDescent="0.4">
      <c r="A442" s="39">
        <f>IF(ISERR(NodesJSON[[#This Row],[label]]),0,1)</f>
        <v>1</v>
      </c>
      <c r="B442" s="3" t="str">
        <f>NodesData[[#This Row],[Common Name]]</f>
        <v>System Z</v>
      </c>
      <c r="C442" s="3" t="str">
        <f>IF(NodesData[[#This Row],[Context Instanciation]]="","",NodesData[[#This Row],[Context Instanciation]])</f>
        <v/>
      </c>
      <c r="D442" s="22" t="str">
        <f>NodesData[[#This Row],[Node ID]]</f>
        <v>n6935A8E7_1B1E_43B2_B342_5B9C31895DD1</v>
      </c>
      <c r="E442" s="10" t="s">
        <v>1209</v>
      </c>
      <c r="F442" s="25" t="str" cm="1">
        <f t="array" ref="F442">IF(NodesJSON[[#This Row],[Export?]]=0,"",IF(ROW(NodesJSON[[#This Row],[label]])&gt;ROW(NodesJSON[[#Headers],[JSON]])+1,",","") &amp;"{"&amp;twoRangesToJSON(NodesJSON[[#Headers],[label]:[url]],NodesJSON[[#This Row],[label]:[url]])&amp;"}")</f>
        <v>,{"label":"System Z","group":"","id":"n6935A8E7_1B1E_43B2_B342_5B9C31895DD1","url":"https://open-measure.atlassian.net/wiki/spaces/DIC/pages/1428652448/User+ID"}</v>
      </c>
    </row>
    <row r="443" spans="1:6" ht="13.9" thickTop="1" thickBot="1" x14ac:dyDescent="0.4">
      <c r="A443" s="39">
        <f>IF(ISERR(NodesJSON[[#This Row],[label]]),0,1)</f>
        <v>1</v>
      </c>
      <c r="B443" s="3" t="str">
        <f>NodesData[[#This Row],[Common Name]]</f>
        <v>TAN List OTP</v>
      </c>
      <c r="C443" s="3" t="str">
        <f>IF(NodesData[[#This Row],[Context Instanciation]]="","",NodesData[[#This Row],[Context Instanciation]])</f>
        <v/>
      </c>
      <c r="D443" s="22" t="str">
        <f>NodesData[[#This Row],[Node ID]]</f>
        <v>nACEE5BE1_AEF4_45DF_A913_1C3530C50C54</v>
      </c>
      <c r="E443" s="10" t="s">
        <v>1210</v>
      </c>
      <c r="F443" s="25" t="str" cm="1">
        <f t="array" ref="F443">IF(NodesJSON[[#This Row],[Export?]]=0,"",IF(ROW(NodesJSON[[#This Row],[label]])&gt;ROW(NodesJSON[[#Headers],[JSON]])+1,",","") &amp;"{"&amp;twoRangesToJSON(NodesJSON[[#Headers],[label]:[url]],NodesJSON[[#This Row],[label]:[url]])&amp;"}")</f>
        <v>,{"label":"TAN List OTP","group":"","id":"nACEE5BE1_AEF4_45DF_A913_1C3530C50C54","url":"https://open-measure.atlassian.net/wiki/spaces/DIC/pages/1147043973/User+Provisioning"}</v>
      </c>
    </row>
    <row r="444" spans="1:6" ht="13.9" thickTop="1" thickBot="1" x14ac:dyDescent="0.4">
      <c r="A444" s="39">
        <f>IF(ISERR(NodesJSON[[#This Row],[label]]),0,1)</f>
        <v>1</v>
      </c>
      <c r="B444" s="3" t="str">
        <f>NodesData[[#This Row],[Common Name]]</f>
        <v>Task-Based Access Control</v>
      </c>
      <c r="C444" s="3" t="str">
        <f>IF(NodesData[[#This Row],[Context Instanciation]]="","",NodesData[[#This Row],[Context Instanciation]])</f>
        <v/>
      </c>
      <c r="D444" s="22" t="str">
        <f>NodesData[[#This Row],[Node ID]]</f>
        <v>n351C03A9_7E95_4292_8F00_0D294823C744</v>
      </c>
      <c r="E444" s="10" t="s">
        <v>1212</v>
      </c>
      <c r="F444" s="25" t="str" cm="1">
        <f t="array" ref="F444">IF(NodesJSON[[#This Row],[Export?]]=0,"",IF(ROW(NodesJSON[[#This Row],[label]])&gt;ROW(NodesJSON[[#Headers],[JSON]])+1,",","") &amp;"{"&amp;twoRangesToJSON(NodesJSON[[#Headers],[label]:[url]],NodesJSON[[#This Row],[label]:[url]])&amp;"}")</f>
        <v>,{"label":"Task-Based Access Control","group":"","id":"n351C03A9_7E95_4292_8F00_0D294823C744","url":"https://open-measure.atlassian.net/wiki/spaces/DIC/pages/1428652183/Username"}</v>
      </c>
    </row>
    <row r="445" spans="1:6" ht="13.9" thickTop="1" thickBot="1" x14ac:dyDescent="0.4">
      <c r="A445" s="39">
        <f>IF(ISERR(NodesJSON[[#This Row],[label]]),0,1)</f>
        <v>1</v>
      </c>
      <c r="B445" s="3" t="str">
        <f>NodesData[[#This Row],[Common Name]]</f>
        <v>Text Password Authentication</v>
      </c>
      <c r="C445" s="3" t="str">
        <f>IF(NodesData[[#This Row],[Context Instanciation]]="","",NodesData[[#This Row],[Context Instanciation]])</f>
        <v/>
      </c>
      <c r="D445" s="22" t="str">
        <f>NodesData[[#This Row],[Node ID]]</f>
        <v>nB34CDBC0_988E_401A_93CC_C6103DC30B68</v>
      </c>
      <c r="E445" s="10" t="s">
        <v>1213</v>
      </c>
      <c r="F445" s="25" t="str" cm="1">
        <f t="array" ref="F445">IF(NodesJSON[[#This Row],[Export?]]=0,"",IF(ROW(NodesJSON[[#This Row],[label]])&gt;ROW(NodesJSON[[#Headers],[JSON]])+1,",","") &amp;"{"&amp;twoRangesToJSON(NodesJSON[[#Headers],[label]:[url]],NodesJSON[[#This Row],[label]:[url]])&amp;"}")</f>
        <v>,{"label":"Text Password Authentication","group":"","id":"nB34CDBC0_988E_401A_93CC_C6103DC30B68","url":"https://open-measure.atlassian.net/wiki/spaces/DIC/pages/1311146179/Verifiable+Claim"}</v>
      </c>
    </row>
    <row r="446" spans="1:6" ht="13.9" thickTop="1" thickBot="1" x14ac:dyDescent="0.4">
      <c r="A446" s="39">
        <f>IF(ISERR(NodesJSON[[#This Row],[label]]),0,1)</f>
        <v>1</v>
      </c>
      <c r="B446" s="3" t="str">
        <f>NodesData[[#This Row],[Common Name]]</f>
        <v>Threat Agent</v>
      </c>
      <c r="C446" s="3" t="str">
        <f>IF(NodesData[[#This Row],[Context Instanciation]]="","",NodesData[[#This Row],[Context Instanciation]])</f>
        <v/>
      </c>
      <c r="D446" s="22" t="str">
        <f>NodesData[[#This Row],[Node ID]]</f>
        <v>n385B2A02_580E_49B6_8C97_A00DC541C516</v>
      </c>
      <c r="E446" s="10" t="s">
        <v>1214</v>
      </c>
      <c r="F446" s="25" t="str" cm="1">
        <f t="array" ref="F446">IF(NodesJSON[[#This Row],[Export?]]=0,"",IF(ROW(NodesJSON[[#This Row],[label]])&gt;ROW(NodesJSON[[#Headers],[JSON]])+1,",","") &amp;"{"&amp;twoRangesToJSON(NodesJSON[[#Headers],[label]:[url]],NodesJSON[[#This Row],[label]:[url]])&amp;"}")</f>
        <v>,{"label":"Threat Agent","group":"","id":"n385B2A02_580E_49B6_8C97_A00DC541C516","url":"https://open-measure.atlassian.net/wiki/spaces/DIC/pages/446988510/Verification"}</v>
      </c>
    </row>
    <row r="447" spans="1:6" ht="13.9" thickTop="1" thickBot="1" x14ac:dyDescent="0.4">
      <c r="A447" s="39">
        <f>IF(ISERR(NodesJSON[[#This Row],[label]]),0,1)</f>
        <v>1</v>
      </c>
      <c r="B447" s="3" t="str">
        <f>NodesData[[#This Row],[Common Name]]</f>
        <v>Time Factor</v>
      </c>
      <c r="C447" s="3" t="str">
        <f>IF(NodesData[[#This Row],[Context Instanciation]]="","",NodesData[[#This Row],[Context Instanciation]])</f>
        <v/>
      </c>
      <c r="D447" s="22" t="str">
        <f>NodesData[[#This Row],[Node ID]]</f>
        <v>nF44C30A8_A797_4F0C_9C18_D87E7D5A8B88</v>
      </c>
      <c r="E447" s="10" t="s">
        <v>1216</v>
      </c>
      <c r="F447" s="25" t="str" cm="1">
        <f t="array" ref="F447">IF(NodesJSON[[#This Row],[Export?]]=0,"",IF(ROW(NodesJSON[[#This Row],[label]])&gt;ROW(NodesJSON[[#Headers],[JSON]])+1,",","") &amp;"{"&amp;twoRangesToJSON(NodesJSON[[#Headers],[label]:[url]],NodesJSON[[#This Row],[label]:[url]])&amp;"}")</f>
        <v>,{"label":"Time Factor","group":"","id":"nF44C30A8_A797_4F0C_9C18_D87E7D5A8B88","url":"https://open-measure.atlassian.net/wiki/spaces/DIC/pages/834044330"}</v>
      </c>
    </row>
    <row r="448" spans="1:6" ht="13.9" thickTop="1" thickBot="1" x14ac:dyDescent="0.4">
      <c r="A448" s="39">
        <f>IF(ISERR(NodesJSON[[#This Row],[label]]),0,1)</f>
        <v>1</v>
      </c>
      <c r="B448" s="3" t="str">
        <f>NodesData[[#This Row],[Common Name]]</f>
        <v>Token-Based Authentication</v>
      </c>
      <c r="C448" s="3" t="str">
        <f>IF(NodesData[[#This Row],[Context Instanciation]]="","",NodesData[[#This Row],[Context Instanciation]])</f>
        <v/>
      </c>
      <c r="D448" s="22" t="str">
        <f>NodesData[[#This Row],[Node ID]]</f>
        <v>n1A55C21B_DE0A_4FE1_A1DF_11745E5BD4FF</v>
      </c>
      <c r="E448" s="10" t="s">
        <v>1218</v>
      </c>
      <c r="F448" s="25" t="str" cm="1">
        <f t="array" ref="F448">IF(NodesJSON[[#This Row],[Export?]]=0,"",IF(ROW(NodesJSON[[#This Row],[label]])&gt;ROW(NodesJSON[[#Headers],[JSON]])+1,",","") &amp;"{"&amp;twoRangesToJSON(NodesJSON[[#Headers],[label]:[url]],NodesJSON[[#This Row],[label]:[url]])&amp;"}")</f>
        <v>,{"label":"Token-Based Authentication","group":"","id":"n1A55C21B_DE0A_4FE1_A1DF_11745E5BD4FF","url":"https://open-measure.atlassian.net/wiki/spaces/DIC/pages/236748839"}</v>
      </c>
    </row>
    <row r="449" spans="1:6" ht="13.9" thickTop="1" thickBot="1" x14ac:dyDescent="0.4">
      <c r="A449" s="39">
        <f>IF(ISERR(NodesJSON[[#This Row],[label]]),0,1)</f>
        <v>1</v>
      </c>
      <c r="B449" s="3" t="str">
        <f>NodesData[[#This Row],[Common Name]]</f>
        <v>Touchstroke Recognition Authentication</v>
      </c>
      <c r="C449" s="3" t="str">
        <f>IF(NodesData[[#This Row],[Context Instanciation]]="","",NodesData[[#This Row],[Context Instanciation]])</f>
        <v/>
      </c>
      <c r="D449" s="22" t="str">
        <f>NodesData[[#This Row],[Node ID]]</f>
        <v>n2F27DDAD_459D_4B06_9152_168BDF5063F5</v>
      </c>
      <c r="E449" s="10" t="s">
        <v>1220</v>
      </c>
      <c r="F449" s="25" t="str" cm="1">
        <f t="array" ref="F449">IF(NodesJSON[[#This Row],[Export?]]=0,"",IF(ROW(NodesJSON[[#This Row],[label]])&gt;ROW(NodesJSON[[#Headers],[JSON]])+1,",","") &amp;"{"&amp;twoRangesToJSON(NodesJSON[[#Headers],[label]:[url]],NodesJSON[[#This Row],[label]:[url]])&amp;"}")</f>
        <v>,{"label":"Touchstroke Recognition Authentication","group":"","id":"n2F27DDAD_459D_4B06_9152_168BDF5063F5","url":"https://open-measure.atlassian.net/wiki/spaces/DIC/pages/542146561"}</v>
      </c>
    </row>
    <row r="450" spans="1:6" ht="13.9" thickTop="1" thickBot="1" x14ac:dyDescent="0.4">
      <c r="A450" s="39">
        <f>IF(ISERR(NodesJSON[[#This Row],[label]]),0,1)</f>
        <v>1</v>
      </c>
      <c r="B450" s="3" t="str">
        <f>NodesData[[#This Row],[Common Name]]</f>
        <v>Toxic Combinations</v>
      </c>
      <c r="C450" s="3" t="str">
        <f>IF(NodesData[[#This Row],[Context Instanciation]]="","",NodesData[[#This Row],[Context Instanciation]])</f>
        <v/>
      </c>
      <c r="D450" s="22" t="str">
        <f>NodesData[[#This Row],[Node ID]]</f>
        <v>n88E112AD_03BC_452F_B011_4262CD8C0BF3</v>
      </c>
      <c r="E450" s="8"/>
      <c r="F450" s="25" t="str" cm="1">
        <f t="array" ref="F450">IF(NodesJSON[[#This Row],[Export?]]=0,"",IF(ROW(NodesJSON[[#This Row],[label]])&gt;ROW(NodesJSON[[#Headers],[JSON]])+1,",","") &amp;"{"&amp;twoRangesToJSON(NodesJSON[[#Headers],[label]:[url]],NodesJSON[[#This Row],[label]:[url]])&amp;"}")</f>
        <v>,{"label":"Toxic Combinations","group":"","id":"n88E112AD_03BC_452F_B011_4262CD8C0BF3","url":""}</v>
      </c>
    </row>
    <row r="451" spans="1:6" ht="13.9" thickTop="1" thickBot="1" x14ac:dyDescent="0.4">
      <c r="A451" s="39">
        <f>IF(ISERR(NodesJSON[[#This Row],[label]]),0,1)</f>
        <v>1</v>
      </c>
      <c r="B451" s="3" t="str">
        <f>NodesData[[#This Row],[Common Name]]</f>
        <v>Toxic Right Rule (Definition)</v>
      </c>
      <c r="C451" s="3" t="str">
        <f>IF(NodesData[[#This Row],[Context Instanciation]]="","",NodesData[[#This Row],[Context Instanciation]])</f>
        <v/>
      </c>
      <c r="D451" s="22" t="str">
        <f>NodesData[[#This Row],[Node ID]]</f>
        <v>n0A784E7B_0620_41F8_886C_EE73E3D5B725</v>
      </c>
      <c r="E451" s="10" t="s">
        <v>1201</v>
      </c>
      <c r="F451" s="25" t="str" cm="1">
        <f t="array" ref="F451">IF(NodesJSON[[#This Row],[Export?]]=0,"",IF(ROW(NodesJSON[[#This Row],[label]])&gt;ROW(NodesJSON[[#Headers],[JSON]])+1,",","") &amp;"{"&amp;twoRangesToJSON(NodesJSON[[#Headers],[label]:[url]],NodesJSON[[#This Row],[label]:[url]])&amp;"}")</f>
        <v>,{"label":"Toxic Right Rule (Definition)","group":"","id":"n0A784E7B_0620_41F8_886C_EE73E3D5B725","url":"https://open-measure.atlassian.net/wiki/spaces/DIC/pages/1231126540/Unauthorized+Access"}</v>
      </c>
    </row>
    <row r="452" spans="1:6" ht="13.9" thickTop="1" thickBot="1" x14ac:dyDescent="0.4">
      <c r="A452" s="39">
        <f>IF(ISERR(NodesJSON[[#This Row],[label]]),0,1)</f>
        <v>1</v>
      </c>
      <c r="B452" s="3" t="str">
        <f>NodesData[[#This Row],[Common Name]]</f>
        <v>Tranquil</v>
      </c>
      <c r="C452" s="3" t="str">
        <f>IF(NodesData[[#This Row],[Context Instanciation]]="","",NodesData[[#This Row],[Context Instanciation]])</f>
        <v/>
      </c>
      <c r="D452" s="22" t="str">
        <f>NodesData[[#This Row],[Node ID]]</f>
        <v>nEA19C95D_BE71_4511_BD9B_2BAB20932E47</v>
      </c>
      <c r="E452" s="10" t="s">
        <v>1222</v>
      </c>
      <c r="F452" s="25" t="str" cm="1">
        <f t="array" ref="F452">IF(NodesJSON[[#This Row],[Export?]]=0,"",IF(ROW(NodesJSON[[#This Row],[label]])&gt;ROW(NodesJSON[[#Headers],[JSON]])+1,",","") &amp;"{"&amp;twoRangesToJSON(NodesJSON[[#Headers],[label]:[url]],NodesJSON[[#This Row],[label]:[url]])&amp;"}")</f>
        <v>,{"label":"Tranquil","group":"","id":"nEA19C95D_BE71_4511_BD9B_2BAB20932E47","url":"https://open-measure.atlassian.net/wiki/spaces/DIC/pages/234389605"}</v>
      </c>
    </row>
    <row r="453" spans="1:6" ht="13.9" thickTop="1" thickBot="1" x14ac:dyDescent="0.4">
      <c r="A453" s="39">
        <f>IF(ISERR(NodesJSON[[#This Row],[label]]),0,1)</f>
        <v>1</v>
      </c>
      <c r="B453" s="3" t="str">
        <f>NodesData[[#This Row],[Common Name]]</f>
        <v>Tranquility Principle</v>
      </c>
      <c r="C453" s="3" t="str">
        <f>IF(NodesData[[#This Row],[Context Instanciation]]="","",NodesData[[#This Row],[Context Instanciation]])</f>
        <v/>
      </c>
      <c r="D453" s="22" t="str">
        <f>NodesData[[#This Row],[Node ID]]</f>
        <v>nF8EFEF04_B182_49B6_873F_E26615F57EC1</v>
      </c>
      <c r="E453" s="4"/>
      <c r="F453" s="25" t="str" cm="1">
        <f t="array" ref="F453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Principle","group":"","id":"nF8EFEF04_B182_49B6_873F_E26615F57EC1","url":""}</v>
      </c>
    </row>
    <row r="454" spans="1:6" ht="13.9" thickTop="1" thickBot="1" x14ac:dyDescent="0.4">
      <c r="A454" s="39">
        <f>IF(ISERR(NodesJSON[[#This Row],[label]]),0,1)</f>
        <v>1</v>
      </c>
      <c r="B454" s="3" t="str">
        <f>NodesData[[#This Row],[Common Name]]</f>
        <v>Tranquility Property</v>
      </c>
      <c r="C454" s="3" t="str">
        <f>IF(NodesData[[#This Row],[Context Instanciation]]="","",NodesData[[#This Row],[Context Instanciation]])</f>
        <v/>
      </c>
      <c r="D454" s="22" t="str">
        <f>NodesData[[#This Row],[Node ID]]</f>
        <v>nC855E8C7_E00C_40A0_87CC_0A3D02D20B4E</v>
      </c>
      <c r="E454" s="10" t="s">
        <v>1226</v>
      </c>
      <c r="F454" s="25" t="str" cm="1">
        <f t="array" ref="F454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Property","group":"","id":"nC855E8C7_E00C_40A0_87CC_0A3D02D20B4E","url":"https://open-measure.atlassian.net/wiki/spaces/DIC/pages/1177845999"}</v>
      </c>
    </row>
    <row r="455" spans="1:6" ht="13.9" thickTop="1" thickBot="1" x14ac:dyDescent="0.4">
      <c r="A455" s="39">
        <f>IF(ISERR(NodesJSON[[#This Row],[label]]),0,1)</f>
        <v>1</v>
      </c>
      <c r="B455" s="3" t="str">
        <f>NodesData[[#This Row],[Common Name]]</f>
        <v>Trust</v>
      </c>
      <c r="C455" s="3" t="str">
        <f>IF(NodesData[[#This Row],[Context Instanciation]]="","",NodesData[[#This Row],[Context Instanciation]])</f>
        <v/>
      </c>
      <c r="D455" s="22" t="str">
        <f>NodesData[[#This Row],[Node ID]]</f>
        <v>nB2793506_A460_4407_B469_4566BAD26901</v>
      </c>
      <c r="E455" s="10" t="s">
        <v>1228</v>
      </c>
      <c r="F455" s="25" t="str" cm="1">
        <f t="array" ref="F455">IF(NodesJSON[[#This Row],[Export?]]=0,"",IF(ROW(NodesJSON[[#This Row],[label]])&gt;ROW(NodesJSON[[#Headers],[JSON]])+1,",","") &amp;"{"&amp;twoRangesToJSON(NodesJSON[[#Headers],[label]:[url]],NodesJSON[[#This Row],[label]:[url]])&amp;"}")</f>
        <v>,{"label":"Trust","group":"","id":"nB2793506_A460_4407_B469_4566BAD26901","url":"https://open-measure.atlassian.net/wiki/spaces/DIC/pages/75923587"}</v>
      </c>
    </row>
    <row r="456" spans="1:6" ht="13.9" thickTop="1" thickBot="1" x14ac:dyDescent="0.4">
      <c r="A456" s="39">
        <f>IF(ISERR(NodesJSON[[#This Row],[label]]),0,1)</f>
        <v>1</v>
      </c>
      <c r="B456" s="3" t="str">
        <f>NodesData[[#This Row],[Common Name]]</f>
        <v>Trust Asymmetry</v>
      </c>
      <c r="C456" s="3" t="str">
        <f>IF(NodesData[[#This Row],[Context Instanciation]]="","",NodesData[[#This Row],[Context Instanciation]])</f>
        <v/>
      </c>
      <c r="D456" s="22" t="str">
        <f>NodesData[[#This Row],[Node ID]]</f>
        <v>nC47D35F2_7A1A_41A1_8195_7670F9EF176A</v>
      </c>
      <c r="E456" s="10" t="s">
        <v>1230</v>
      </c>
      <c r="F456" s="25" t="str" cm="1">
        <f t="array" ref="F456">IF(NodesJSON[[#This Row],[Export?]]=0,"",IF(ROW(NodesJSON[[#This Row],[label]])&gt;ROW(NodesJSON[[#Headers],[JSON]])+1,",","") &amp;"{"&amp;twoRangesToJSON(NodesJSON[[#Headers],[label]:[url]],NodesJSON[[#This Row],[label]:[url]])&amp;"}")</f>
        <v>,{"label":"Trust Asymmetry","group":"","id":"nC47D35F2_7A1A_41A1_8195_7670F9EF176A","url":"https://open-measure.atlassian.net/wiki/spaces/DIC/pages/140673566"}</v>
      </c>
    </row>
    <row r="457" spans="1:6" ht="13.9" thickTop="1" thickBot="1" x14ac:dyDescent="0.4">
      <c r="A457" s="39">
        <f>IF(ISERR(NodesJSON[[#This Row],[label]]),0,1)</f>
        <v>1</v>
      </c>
      <c r="B457" s="3" t="str">
        <f>NodesData[[#This Row],[Common Name]]</f>
        <v>Trust Composability</v>
      </c>
      <c r="C457" s="3" t="str">
        <f>IF(NodesData[[#This Row],[Context Instanciation]]="","",NodesData[[#This Row],[Context Instanciation]])</f>
        <v/>
      </c>
      <c r="D457" s="22" t="str">
        <f>NodesData[[#This Row],[Node ID]]</f>
        <v>n8641763B_1732_427E_AF37_EF5DD6632158</v>
      </c>
      <c r="E457" s="10" t="s">
        <v>1232</v>
      </c>
      <c r="F457" s="25" t="str" cm="1">
        <f t="array" ref="F457">IF(NodesJSON[[#This Row],[Export?]]=0,"",IF(ROW(NodesJSON[[#This Row],[label]])&gt;ROW(NodesJSON[[#Headers],[JSON]])+1,",","") &amp;"{"&amp;twoRangesToJSON(NodesJSON[[#Headers],[label]:[url]],NodesJSON[[#This Row],[label]:[url]])&amp;"}")</f>
        <v>,{"label":"Trust Composability","group":"","id":"n8641763B_1732_427E_AF37_EF5DD6632158","url":"https://open-measure.atlassian.net/wiki/spaces/DIC/pages/140739507"}</v>
      </c>
    </row>
    <row r="458" spans="1:6" ht="13.9" thickTop="1" thickBot="1" x14ac:dyDescent="0.4">
      <c r="A458" s="39">
        <f>IF(ISERR(NodesJSON[[#This Row],[label]]),0,1)</f>
        <v>1</v>
      </c>
      <c r="B458" s="3" t="str">
        <f>NodesData[[#This Row],[Common Name]]</f>
        <v>Trust Personalization</v>
      </c>
      <c r="C458" s="3" t="str">
        <f>IF(NodesData[[#This Row],[Context Instanciation]]="","",NodesData[[#This Row],[Context Instanciation]])</f>
        <v/>
      </c>
      <c r="D458" s="22" t="str">
        <f>NodesData[[#This Row],[Node ID]]</f>
        <v>n18083FD1_D5F0_4E0D_A480_197792E123C8</v>
      </c>
      <c r="E458" s="10" t="s">
        <v>1234</v>
      </c>
      <c r="F458" s="25" t="str" cm="1">
        <f t="array" ref="F458">IF(NodesJSON[[#This Row],[Export?]]=0,"",IF(ROW(NodesJSON[[#This Row],[label]])&gt;ROW(NodesJSON[[#Headers],[JSON]])+1,",","") &amp;"{"&amp;twoRangesToJSON(NodesJSON[[#Headers],[label]:[url]],NodesJSON[[#This Row],[label]:[url]])&amp;"}")</f>
        <v>,{"label":"Trust Personalization","group":"","id":"n18083FD1_D5F0_4E0D_A480_197792E123C8","url":"https://open-measure.atlassian.net/wiki/spaces/DIC/pages/140673594"}</v>
      </c>
    </row>
    <row r="459" spans="1:6" ht="13.9" thickTop="1" thickBot="1" x14ac:dyDescent="0.4">
      <c r="A459" s="39">
        <f>IF(ISERR(NodesJSON[[#This Row],[label]]),0,1)</f>
        <v>1</v>
      </c>
      <c r="B459" s="3" t="str">
        <f>NodesData[[#This Row],[Common Name]]</f>
        <v>Trust Transitivity</v>
      </c>
      <c r="C459" s="3" t="str">
        <f>IF(NodesData[[#This Row],[Context Instanciation]]="","",NodesData[[#This Row],[Context Instanciation]])</f>
        <v/>
      </c>
      <c r="D459" s="22" t="str">
        <f>NodesData[[#This Row],[Node ID]]</f>
        <v>nCD00A5EF_798C_4F7D_9B92_119FBE900ECA</v>
      </c>
      <c r="E459" s="10" t="s">
        <v>1236</v>
      </c>
      <c r="F459" s="25" t="str" cm="1">
        <f t="array" ref="F459">IF(NodesJSON[[#This Row],[Export?]]=0,"",IF(ROW(NodesJSON[[#This Row],[label]])&gt;ROW(NodesJSON[[#Headers],[JSON]])+1,",","") &amp;"{"&amp;twoRangesToJSON(NodesJSON[[#Headers],[label]:[url]],NodesJSON[[#This Row],[label]:[url]])&amp;"}")</f>
        <v>,{"label":"Trust Transitivity","group":"","id":"nCD00A5EF_798C_4F7D_9B92_119FBE900ECA","url":"https://open-measure.atlassian.net/wiki/spaces/DIC/pages/140739482"}</v>
      </c>
    </row>
    <row r="460" spans="1:6" ht="13.9" thickTop="1" thickBot="1" x14ac:dyDescent="0.4">
      <c r="A460" s="39">
        <f>IF(ISERR(NodesJSON[[#This Row],[label]]),0,1)</f>
        <v>1</v>
      </c>
      <c r="B460" s="3" t="str">
        <f>NodesData[[#This Row],[Common Name]]</f>
        <v>Typing Biometrics</v>
      </c>
      <c r="C460" s="3" t="str">
        <f>IF(NodesData[[#This Row],[Context Instanciation]]="","",NodesData[[#This Row],[Context Instanciation]])</f>
        <v/>
      </c>
      <c r="D460" s="22" t="str">
        <f>NodesData[[#This Row],[Node ID]]</f>
        <v>n09F029F1_A06C_4F7F_8CAF_95CAC4F6F97C</v>
      </c>
      <c r="E460" s="10" t="s">
        <v>1238</v>
      </c>
      <c r="F460" s="25" t="str" cm="1">
        <f t="array" ref="F460">IF(NodesJSON[[#This Row],[Export?]]=0,"",IF(ROW(NodesJSON[[#This Row],[label]])&gt;ROW(NodesJSON[[#Headers],[JSON]])+1,",","") &amp;"{"&amp;twoRangesToJSON(NodesJSON[[#Headers],[label]:[url]],NodesJSON[[#This Row],[label]:[url]])&amp;"}")</f>
        <v>,{"label":"Typing Biometrics","group":"","id":"n09F029F1_A06C_4F7F_8CAF_95CAC4F6F97C","url":"https://open-measure.atlassian.net/wiki/spaces/DIC/pages/140673653"}</v>
      </c>
    </row>
    <row r="461" spans="1:6" ht="13.9" thickTop="1" thickBot="1" x14ac:dyDescent="0.4">
      <c r="A461" s="39">
        <f>IF(ISERR(NodesJSON[[#This Row],[label]]),0,1)</f>
        <v>1</v>
      </c>
      <c r="B461" s="3" t="str">
        <f>NodesData[[#This Row],[Common Name]]</f>
        <v>Typology</v>
      </c>
      <c r="C461" s="3" t="str">
        <f>IF(NodesData[[#This Row],[Context Instanciation]]="","",NodesData[[#This Row],[Context Instanciation]])</f>
        <v/>
      </c>
      <c r="D461" s="22" t="str">
        <f>NodesData[[#This Row],[Node ID]]</f>
        <v>n2E25798C_AEE6_442B_83C3_21A39D1F4E2E</v>
      </c>
      <c r="E461" s="10" t="s">
        <v>1240</v>
      </c>
      <c r="F461" s="25" t="str" cm="1">
        <f t="array" ref="F461">IF(NodesJSON[[#This Row],[Export?]]=0,"",IF(ROW(NodesJSON[[#This Row],[label]])&gt;ROW(NodesJSON[[#Headers],[JSON]])+1,",","") &amp;"{"&amp;twoRangesToJSON(NodesJSON[[#Headers],[label]:[url]],NodesJSON[[#This Row],[label]:[url]])&amp;"}")</f>
        <v>,{"label":"Typology","group":"","id":"n2E25798C_AEE6_442B_83C3_21A39D1F4E2E","url":"https://open-measure.atlassian.net/wiki/spaces/DIC/pages/140771901"}</v>
      </c>
    </row>
    <row r="462" spans="1:6" ht="13.9" thickTop="1" thickBot="1" x14ac:dyDescent="0.4">
      <c r="A462" s="39">
        <f>IF(ISERR(NodesJSON[[#This Row],[label]]),0,1)</f>
        <v>1</v>
      </c>
      <c r="B462" s="3" t="str">
        <f>NodesData[[#This Row],[Common Name]]</f>
        <v>Unanticipated User</v>
      </c>
      <c r="C462" s="3" t="str">
        <f>IF(NodesData[[#This Row],[Context Instanciation]]="","",NodesData[[#This Row],[Context Instanciation]])</f>
        <v/>
      </c>
      <c r="D462" s="22" t="str">
        <f>NodesData[[#This Row],[Node ID]]</f>
        <v>n049772BC_8F65_4681_926F_AB741F518CEF</v>
      </c>
      <c r="E462" s="10" t="s">
        <v>1242</v>
      </c>
      <c r="F462" s="25" t="str" cm="1">
        <f t="array" ref="F462">IF(NodesJSON[[#This Row],[Export?]]=0,"",IF(ROW(NodesJSON[[#This Row],[label]])&gt;ROW(NodesJSON[[#Headers],[JSON]])+1,",","") &amp;"{"&amp;twoRangesToJSON(NodesJSON[[#Headers],[label]:[url]],NodesJSON[[#This Row],[label]:[url]])&amp;"}")</f>
        <v>,{"label":"Unanticipated User","group":"","id":"n049772BC_8F65_4681_926F_AB741F518CEF","url":"https://open-measure.atlassian.net/wiki/spaces/DIC/pages/140772047"}</v>
      </c>
    </row>
    <row r="463" spans="1:6" ht="13.9" thickTop="1" thickBot="1" x14ac:dyDescent="0.4">
      <c r="A463" s="39">
        <f>IF(ISERR(NodesJSON[[#This Row],[label]]),0,1)</f>
        <v>1</v>
      </c>
      <c r="B463" s="3" t="str">
        <f>NodesData[[#This Row],[Common Name]]</f>
        <v>Unauthorized Access</v>
      </c>
      <c r="C463" s="3" t="str">
        <f>IF(NodesData[[#This Row],[Context Instanciation]]="","",NodesData[[#This Row],[Context Instanciation]])</f>
        <v/>
      </c>
      <c r="D463" s="22" t="str">
        <f>NodesData[[#This Row],[Node ID]]</f>
        <v>n79D52FB7_6D56_40B0_A404_F332AF6DE5A6</v>
      </c>
      <c r="E463" s="10" t="s">
        <v>1244</v>
      </c>
      <c r="F463" s="25" t="str" cm="1">
        <f t="array" ref="F463">IF(NodesJSON[[#This Row],[Export?]]=0,"",IF(ROW(NodesJSON[[#This Row],[label]])&gt;ROW(NodesJSON[[#Headers],[JSON]])+1,",","") &amp;"{"&amp;twoRangesToJSON(NodesJSON[[#Headers],[label]:[url]],NodesJSON[[#This Row],[label]:[url]])&amp;"}")</f>
        <v>,{"label":"Unauthorized Access","group":"","id":"n79D52FB7_6D56_40B0_A404_F332AF6DE5A6","url":"https://open-measure.atlassian.net/wiki/spaces/DIC/pages/140739277"}</v>
      </c>
    </row>
    <row r="464" spans="1:6" ht="13.9" thickTop="1" thickBot="1" x14ac:dyDescent="0.4">
      <c r="A464" s="39">
        <f>IF(ISERR(NodesJSON[[#This Row],[label]]),0,1)</f>
        <v>1</v>
      </c>
      <c r="B464" s="3" t="str">
        <f>NodesData[[#This Row],[Common Name]]</f>
        <v>Unique ID Number</v>
      </c>
      <c r="C464" s="3" t="str">
        <f>IF(NodesData[[#This Row],[Context Instanciation]]="","",NodesData[[#This Row],[Context Instanciation]])</f>
        <v/>
      </c>
      <c r="D464" s="22" t="str">
        <f>NodesData[[#This Row],[Node ID]]</f>
        <v>nEE2DD2E7_A2A2_44AC_9F06_D2358264FA2D</v>
      </c>
      <c r="E464" s="10" t="s">
        <v>1246</v>
      </c>
      <c r="F464" s="25" t="str" cm="1">
        <f t="array" ref="F464">IF(NodesJSON[[#This Row],[Export?]]=0,"",IF(ROW(NodesJSON[[#This Row],[label]])&gt;ROW(NodesJSON[[#Headers],[JSON]])+1,",","") &amp;"{"&amp;twoRangesToJSON(NodesJSON[[#Headers],[label]:[url]],NodesJSON[[#This Row],[label]:[url]])&amp;"}")</f>
        <v>,{"label":"Unique ID Number","group":"","id":"nEE2DD2E7_A2A2_44AC_9F06_D2358264FA2D","url":"https://open-measure.atlassian.net/wiki/spaces/DIC/pages/140673818"}</v>
      </c>
    </row>
    <row r="465" spans="1:7" ht="13.9" thickTop="1" thickBot="1" x14ac:dyDescent="0.4">
      <c r="A465" s="39">
        <f>IF(ISERR(NodesJSON[[#This Row],[label]]),0,1)</f>
        <v>1</v>
      </c>
      <c r="B465" s="3" t="str">
        <f>NodesData[[#This Row],[Common Name]]</f>
        <v>Unprivileged Insider</v>
      </c>
      <c r="C465" s="3" t="str">
        <f>IF(NodesData[[#This Row],[Context Instanciation]]="","",NodesData[[#This Row],[Context Instanciation]])</f>
        <v/>
      </c>
      <c r="D465" s="22" t="str">
        <f>NodesData[[#This Row],[Node ID]]</f>
        <v>n3D40EC0D_C7CE_4C19_B8E2_09518A62B569</v>
      </c>
      <c r="E465" s="10" t="s">
        <v>1248</v>
      </c>
      <c r="F465" s="25" t="str" cm="1">
        <f t="array" ref="F465">IF(NodesJSON[[#This Row],[Export?]]=0,"",IF(ROW(NodesJSON[[#This Row],[label]])&gt;ROW(NodesJSON[[#Headers],[JSON]])+1,",","") &amp;"{"&amp;twoRangesToJSON(NodesJSON[[#Headers],[label]:[url]],NodesJSON[[#This Row],[label]:[url]])&amp;"}")</f>
        <v>,{"label":"Unprivileged Insider","group":"","id":"n3D40EC0D_C7CE_4C19_B8E2_09518A62B569","url":"https://open-measure.atlassian.net/wiki/spaces/DIC/pages/140772011"}</v>
      </c>
    </row>
    <row r="466" spans="1:7" ht="13.9" thickTop="1" thickBot="1" x14ac:dyDescent="0.4">
      <c r="A466" s="39">
        <f>IF(ISERR(NodesJSON[[#This Row],[label]]),0,1)</f>
        <v>1</v>
      </c>
      <c r="B466" s="3" t="str">
        <f>NodesData[[#This Row],[Common Name]]</f>
        <v>User</v>
      </c>
      <c r="C466" s="3" t="str">
        <f>IF(NodesData[[#This Row],[Context Instanciation]]="","",NodesData[[#This Row],[Context Instanciation]])</f>
        <v/>
      </c>
      <c r="D466" s="22" t="str">
        <f>NodesData[[#This Row],[Node ID]]</f>
        <v>nA5E34595_12DD_4352_8631_FB7FFCBB533D</v>
      </c>
      <c r="E466" s="10" t="s">
        <v>1250</v>
      </c>
      <c r="F466" s="25" t="str" cm="1">
        <f t="array" ref="F466">IF(NodesJSON[[#This Row],[Export?]]=0,"",IF(ROW(NodesJSON[[#This Row],[label]])&gt;ROW(NodesJSON[[#Headers],[JSON]])+1,",","") &amp;"{"&amp;twoRangesToJSON(NodesJSON[[#Headers],[label]:[url]],NodesJSON[[#This Row],[label]:[url]])&amp;"}")</f>
        <v>,{"label":"User","group":"","id":"nA5E34595_12DD_4352_8631_FB7FFCBB533D","url":"https://open-measure.atlassian.net/wiki/spaces/DIC/pages/140706624"}</v>
      </c>
    </row>
    <row r="467" spans="1:7" ht="13.9" thickTop="1" thickBot="1" x14ac:dyDescent="0.4">
      <c r="A467" s="39">
        <f>IF(ISERR(NodesJSON[[#This Row],[label]]),0,1)</f>
        <v>1</v>
      </c>
      <c r="B467" s="3" t="str">
        <f>NodesData[[#This Row],[Common Name]]</f>
        <v>User Account</v>
      </c>
      <c r="C467" s="3" t="str">
        <f>IF(NodesData[[#This Row],[Context Instanciation]]="","",NodesData[[#This Row],[Context Instanciation]])</f>
        <v/>
      </c>
      <c r="D467" s="22" t="str">
        <f>NodesData[[#This Row],[Node ID]]</f>
        <v>n6B5455A2_414F_4D8D_A36C_895CC996359A</v>
      </c>
      <c r="E467" s="10" t="s">
        <v>1252</v>
      </c>
      <c r="F467" s="25" t="str" cm="1">
        <f t="array" ref="F467">IF(NodesJSON[[#This Row],[Export?]]=0,"",IF(ROW(NodesJSON[[#This Row],[label]])&gt;ROW(NodesJSON[[#Headers],[JSON]])+1,",","") &amp;"{"&amp;twoRangesToJSON(NodesJSON[[#Headers],[label]:[url]],NodesJSON[[#This Row],[label]:[url]])&amp;"}")</f>
        <v>,{"label":"User Account","group":"","id":"n6B5455A2_414F_4D8D_A36C_895CC996359A","url":"https://open-measure.atlassian.net/wiki/spaces/DIC/pages/140706700"}</v>
      </c>
    </row>
    <row r="468" spans="1:7" ht="13.9" thickTop="1" thickBot="1" x14ac:dyDescent="0.4">
      <c r="A468" s="39">
        <f>IF(ISERR(NodesJSON[[#This Row],[label]]),0,1)</f>
        <v>1</v>
      </c>
      <c r="B468" s="3" t="str">
        <f>NodesData[[#This Row],[Common Name]]</f>
        <v>User De-Provisioning</v>
      </c>
      <c r="C468" s="3" t="str">
        <f>IF(NodesData[[#This Row],[Context Instanciation]]="","",NodesData[[#This Row],[Context Instanciation]])</f>
        <v/>
      </c>
      <c r="D468" s="22" t="str">
        <f>NodesData[[#This Row],[Node ID]]</f>
        <v>n5BB42061_7CD1_4689_84B8_77016A34CE94</v>
      </c>
      <c r="E468" s="10" t="s">
        <v>1254</v>
      </c>
      <c r="F468" s="25" t="str" cm="1">
        <f t="array" ref="F468">IF(NodesJSON[[#This Row],[Export?]]=0,"",IF(ROW(NodesJSON[[#This Row],[label]])&gt;ROW(NodesJSON[[#Headers],[JSON]])+1,",","") &amp;"{"&amp;twoRangesToJSON(NodesJSON[[#Headers],[label]:[url]],NodesJSON[[#This Row],[label]:[url]])&amp;"}")</f>
        <v>,{"label":"User De-Provisioning","group":"","id":"n5BB42061_7CD1_4689_84B8_77016A34CE94","url":"https://open-measure.atlassian.net/wiki/spaces/DIC/pages/855638141"}</v>
      </c>
    </row>
    <row r="469" spans="1:7" ht="13.9" thickTop="1" thickBot="1" x14ac:dyDescent="0.4">
      <c r="A469" s="39">
        <f>IF(ISERR(NodesJSON[[#This Row],[label]]),0,1)</f>
        <v>1</v>
      </c>
      <c r="B469" s="3" t="str">
        <f>NodesData[[#This Row],[Common Name]]</f>
        <v>User Entitlement Reviews</v>
      </c>
      <c r="C469" s="3" t="str">
        <f>IF(NodesData[[#This Row],[Context Instanciation]]="","",NodesData[[#This Row],[Context Instanciation]])</f>
        <v/>
      </c>
      <c r="D469" s="22" t="str">
        <f>NodesData[[#This Row],[Node ID]]</f>
        <v>n50576DCB_DC90_4189_AEDA_22168AAD0DC2</v>
      </c>
      <c r="E469" s="10" t="s">
        <v>1256</v>
      </c>
      <c r="F469" s="25" t="str" cm="1">
        <f t="array" ref="F469">IF(NodesJSON[[#This Row],[Export?]]=0,"",IF(ROW(NodesJSON[[#This Row],[label]])&gt;ROW(NodesJSON[[#Headers],[JSON]])+1,",","") &amp;"{"&amp;twoRangesToJSON(NodesJSON[[#Headers],[label]:[url]],NodesJSON[[#This Row],[label]:[url]])&amp;"}")</f>
        <v>,{"label":"User Entitlement Reviews","group":"","id":"n50576DCB_DC90_4189_AEDA_22168AAD0DC2","url":"https://open-measure.atlassian.net/wiki/spaces/DIC/pages/814448722"}</v>
      </c>
    </row>
    <row r="470" spans="1:7" ht="13.9" thickTop="1" thickBot="1" x14ac:dyDescent="0.4">
      <c r="A470" s="39">
        <f>IF(ISERR(NodesJSON[[#This Row],[label]]),0,1)</f>
        <v>1</v>
      </c>
      <c r="B470" s="3" t="str">
        <f>NodesData[[#This Row],[Common Name]]</f>
        <v>User ID</v>
      </c>
      <c r="C470" s="3" t="str">
        <f>IF(NodesData[[#This Row],[Context Instanciation]]="","",NodesData[[#This Row],[Context Instanciation]])</f>
        <v/>
      </c>
      <c r="D470" s="22" t="str">
        <f>NodesData[[#This Row],[Node ID]]</f>
        <v>n1148493D_DE5A_4FAF_941A_234122DBF560</v>
      </c>
      <c r="E470" s="10" t="s">
        <v>1258</v>
      </c>
      <c r="F470" s="25" t="str" cm="1">
        <f t="array" ref="F470">IF(NodesJSON[[#This Row],[Export?]]=0,"",IF(ROW(NodesJSON[[#This Row],[label]])&gt;ROW(NodesJSON[[#Headers],[JSON]])+1,",","") &amp;"{"&amp;twoRangesToJSON(NodesJSON[[#Headers],[label]:[url]],NodesJSON[[#This Row],[label]:[url]])&amp;"}")</f>
        <v>,{"label":"User ID","group":"","id":"n1148493D_DE5A_4FAF_941A_234122DBF560","url":"https://open-measure.atlassian.net/wiki/spaces/DIC/pages/852492409"}</v>
      </c>
    </row>
    <row r="471" spans="1:7" ht="13.9" thickTop="1" thickBot="1" x14ac:dyDescent="0.4">
      <c r="A471" s="39">
        <f>IF(ISERR(NodesJSON[[#This Row],[label]]),0,1)</f>
        <v>1</v>
      </c>
      <c r="B471" s="3" t="str">
        <f>NodesData[[#This Row],[Common Name]]</f>
        <v>User Provisioning</v>
      </c>
      <c r="C471" s="3" t="str">
        <f>IF(NodesData[[#This Row],[Context Instanciation]]="","",NodesData[[#This Row],[Context Instanciation]])</f>
        <v/>
      </c>
      <c r="D471" s="22" t="str">
        <f>NodesData[[#This Row],[Node ID]]</f>
        <v>n67A7DB08_4CCF_4966_AEF4_89B2AC2A297A</v>
      </c>
      <c r="E471" s="10" t="s">
        <v>1260</v>
      </c>
      <c r="F471" s="25" t="str" cm="1">
        <f t="array" ref="F471">IF(NodesJSON[[#This Row],[Export?]]=0,"",IF(ROW(NodesJSON[[#This Row],[label]])&gt;ROW(NodesJSON[[#Headers],[JSON]])+1,",","") &amp;"{"&amp;twoRangesToJSON(NodesJSON[[#Headers],[label]:[url]],NodesJSON[[#This Row],[label]:[url]])&amp;"}")</f>
        <v>,{"label":"User Provisioning","group":"","id":"n67A7DB08_4CCF_4966_AEF4_89B2AC2A297A","url":"https://open-measure.atlassian.net/wiki/spaces/DIC/pages/1122631791"}</v>
      </c>
    </row>
    <row r="472" spans="1:7" ht="13.9" thickTop="1" thickBot="1" x14ac:dyDescent="0.4">
      <c r="A472" s="39">
        <f>IF(ISERR(NodesJSON[[#This Row],[label]]),0,1)</f>
        <v>1</v>
      </c>
      <c r="B472" s="3" t="str">
        <f>NodesData[[#This Row],[Common Name]]</f>
        <v>User-Centric Identity Management System</v>
      </c>
      <c r="C472" s="3" t="str">
        <f>IF(NodesData[[#This Row],[Context Instanciation]]="","",NodesData[[#This Row],[Context Instanciation]])</f>
        <v/>
      </c>
      <c r="D472" s="22" t="str">
        <f>NodesData[[#This Row],[Node ID]]</f>
        <v>nC19BDC8E_5AE1_49EE_B831_B43B924ECC1B</v>
      </c>
      <c r="E472" s="10" t="s">
        <v>1261</v>
      </c>
      <c r="F472" s="25" t="str" cm="1">
        <f t="array" ref="F472">IF(NodesJSON[[#This Row],[Export?]]=0,"",IF(ROW(NodesJSON[[#This Row],[label]])&gt;ROW(NodesJSON[[#Headers],[JSON]])+1,",","") &amp;"{"&amp;twoRangesToJSON(NodesJSON[[#Headers],[label]:[url]],NodesJSON[[#This Row],[label]:[url]])&amp;"}")</f>
        <v>,{"label":"User-Centric Identity Management System","group":"","id":"nC19BDC8E_5AE1_49EE_B831_B43B924ECC1B","url":"https://open-measure.atlassian.net/wiki/spaces/DIC/pages/234356891/Zero-Trust+Access"}</v>
      </c>
    </row>
    <row r="473" spans="1:7" ht="13.9" thickTop="1" thickBot="1" x14ac:dyDescent="0.4">
      <c r="A473" s="39">
        <f>IF(ISERR(NodesJSON[[#This Row],[label]]),0,1)</f>
        <v>1</v>
      </c>
      <c r="B473" s="3" t="str">
        <f>NodesData[[#This Row],[Common Name]]</f>
        <v>Username</v>
      </c>
      <c r="C473" s="3" t="str">
        <f>IF(NodesData[[#This Row],[Context Instanciation]]="","",NodesData[[#This Row],[Context Instanciation]])</f>
        <v/>
      </c>
      <c r="D473" s="22" t="str">
        <f>NodesData[[#This Row],[Node ID]]</f>
        <v>nF75517D5_69C2_4310_B3EF_77311A1A8188</v>
      </c>
      <c r="E473" s="10" t="s">
        <v>1262</v>
      </c>
      <c r="F473" s="25" t="str" cm="1">
        <f t="array" ref="F473">IF(NodesJSON[[#This Row],[Export?]]=0,"",IF(ROW(NodesJSON[[#This Row],[label]])&gt;ROW(NodesJSON[[#Headers],[JSON]])+1,",","") &amp;"{"&amp;twoRangesToJSON(NodesJSON[[#Headers],[label]:[url]],NodesJSON[[#This Row],[label]:[url]])&amp;"}")</f>
        <v>,{"label":"Username","group":"","id":"nF75517D5_69C2_4310_B3EF_77311A1A8188","url":"https://open-measure.atlassian.net/wiki/spaces/DIC/pages/782893195/Zombie+Account"}</v>
      </c>
    </row>
    <row r="474" spans="1:7" ht="13.9" thickTop="1" thickBot="1" x14ac:dyDescent="0.4">
      <c r="A474" s="39">
        <f>IF(ISERR(NodesJSON[[#This Row],[label]]),0,1)</f>
        <v>1</v>
      </c>
      <c r="B474" s="3" t="str">
        <f>NodesData[[#This Row],[Common Name]]</f>
        <v>Verifiable Claim</v>
      </c>
      <c r="C474" s="3" t="str">
        <f>IF(NodesData[[#This Row],[Context Instanciation]]="","",NodesData[[#This Row],[Context Instanciation]])</f>
        <v/>
      </c>
      <c r="D474" s="22" t="str">
        <f>NodesData[[#This Row],[Node ID]]</f>
        <v>nBAB37068_1EF4_414F_B40B_EB8997E19974</v>
      </c>
      <c r="E474" s="10" t="s">
        <v>1263</v>
      </c>
      <c r="F474" s="25" t="str" cm="1">
        <f t="array" ref="F474">IF(NodesJSON[[#This Row],[Export?]]=0,"",IF(ROW(NodesJSON[[#This Row],[label]])&gt;ROW(NodesJSON[[#Headers],[JSON]])+1,",","") &amp;"{"&amp;twoRangesToJSON(NodesJSON[[#Headers],[label]:[url]],NodesJSON[[#This Row],[label]:[url]])&amp;"}")</f>
        <v>,{"label":"Verifiable Claim","group":"","id":"nBAB37068_1EF4_414F_B40B_EB8997E19974","url":"https://open-measure.atlassian.net/wiki/spaces/DIC/pages/234389671/ZTA"}</v>
      </c>
    </row>
    <row r="475" spans="1:7" ht="13.9" thickTop="1" thickBot="1" x14ac:dyDescent="0.4">
      <c r="A475" s="39">
        <f>IF(ISERR(NodesJSON[[#This Row],[label]]),0,1)</f>
        <v>1</v>
      </c>
      <c r="B475" s="3" t="str">
        <f>NodesData[[#This Row],[Common Name]]</f>
        <v>Verification</v>
      </c>
      <c r="C475" s="3" t="str">
        <f>IF(NodesData[[#This Row],[Context Instanciation]]="","",NodesData[[#This Row],[Context Instanciation]])</f>
        <v/>
      </c>
      <c r="D475" s="22" t="str">
        <f>NodesData[[#This Row],[Node ID]]</f>
        <v>nB3A3E0DE_D501_4C64_92EE_6EED35F0E8F7</v>
      </c>
      <c r="E475" s="10" t="s">
        <v>1224</v>
      </c>
      <c r="F475" s="25" t="str" cm="1">
        <f t="array" ref="F475">IF(NodesJSON[[#This Row],[Export?]]=0,"",IF(ROW(NodesJSON[[#This Row],[label]])&gt;ROW(NodesJSON[[#Headers],[JSON]])+1,",","") &amp;"{"&amp;twoRangesToJSON(NodesJSON[[#Headers],[label]:[url]],NodesJSON[[#This Row],[label]:[url]])&amp;"}")</f>
        <v>,{"label":"Verification","group":"","id":"nB3A3E0DE_D501_4C64_92EE_6EED35F0E8F7","url":"https://open-measure.atlassian.net/wiki/spaces/DIC/pages/81068120"}</v>
      </c>
    </row>
    <row r="476" spans="1:7" ht="13.9" thickTop="1" thickBot="1" x14ac:dyDescent="0.4">
      <c r="A476" s="40">
        <f>IF(ISERR(NodesJSON[[#This Row],[label]]),0,1)</f>
        <v>1</v>
      </c>
      <c r="B476" s="8" t="str">
        <f>NodesData[[#This Row],[Common Name]]</f>
        <v>Virtual Directory</v>
      </c>
      <c r="C476" s="8" t="str">
        <f>IF(NodesData[[#This Row],[Context Instanciation]]="","",NodesData[[#This Row],[Context Instanciation]])</f>
        <v/>
      </c>
      <c r="D476" s="27" t="str">
        <f>NodesData[[#This Row],[Node ID]]</f>
        <v>n1AA5AE61_B346_43B1_87DF_35A927EA0AED</v>
      </c>
      <c r="E476" s="8"/>
      <c r="F476" s="25" t="str" cm="1">
        <f t="array" ref="F476">IF(NodesJSON[[#This Row],[Export?]]=0,"",IF(ROW(NodesJSON[[#This Row],[label]])&gt;ROW(NodesJSON[[#Headers],[JSON]])+1,",","") &amp;"{"&amp;twoRangesToJSON(NodesJSON[[#Headers],[label]:[url]],NodesJSON[[#This Row],[label]:[url]])&amp;"}")</f>
        <v>,{"label":"Virtual Directory","group":"","id":"n1AA5AE61_B346_43B1_87DF_35A927EA0AED","url":""}</v>
      </c>
      <c r="G476" s="26"/>
    </row>
    <row r="477" spans="1:7" ht="13.9" thickTop="1" thickBot="1" x14ac:dyDescent="0.4">
      <c r="A477" s="40">
        <f>IF(ISERR(NodesJSON[[#This Row],[label]]),0,1)</f>
        <v>1</v>
      </c>
      <c r="B477" s="8" t="str">
        <f>NodesData[[#This Row],[Common Name]]</f>
        <v>Virtual Private Network</v>
      </c>
      <c r="C477" s="8" t="str">
        <f>IF(NodesData[[#This Row],[Context Instanciation]]="","",NodesData[[#This Row],[Context Instanciation]])</f>
        <v/>
      </c>
      <c r="D477" s="27" t="str">
        <f>NodesData[[#This Row],[Node ID]]</f>
        <v>nF173E0D3_8348_4DCB_B1D7_16C85C1013B0</v>
      </c>
      <c r="E477" s="8"/>
      <c r="F477" s="25" t="str" cm="1">
        <f t="array" ref="F477">IF(NodesJSON[[#This Row],[Export?]]=0,"",IF(ROW(NodesJSON[[#This Row],[label]])&gt;ROW(NodesJSON[[#Headers],[JSON]])+1,",","") &amp;"{"&amp;twoRangesToJSON(NodesJSON[[#Headers],[label]:[url]],NodesJSON[[#This Row],[label]:[url]])&amp;"}")</f>
        <v>,{"label":"Virtual Private Network","group":"","id":"nF173E0D3_8348_4DCB_B1D7_16C85C1013B0","url":""}</v>
      </c>
      <c r="G477" s="26"/>
    </row>
    <row r="478" spans="1:7" ht="13.9" thickTop="1" thickBot="1" x14ac:dyDescent="0.4">
      <c r="A478" s="40">
        <f>IF(ISERR(NodesJSON[[#This Row],[label]]),0,1)</f>
        <v>1</v>
      </c>
      <c r="B478" s="8" t="str">
        <f>NodesData[[#This Row],[Common Name]]</f>
        <v>Virtual Risk and Security Site Review</v>
      </c>
      <c r="C478" s="8" t="str">
        <f>IF(NodesData[[#This Row],[Context Instanciation]]="","",NodesData[[#This Row],[Context Instanciation]])</f>
        <v/>
      </c>
      <c r="D478" s="27" t="str">
        <f>NodesData[[#This Row],[Node ID]]</f>
        <v>n5EF5EB18_F868_43E0_BC5D_FB928B82CC59</v>
      </c>
      <c r="E478" s="8"/>
      <c r="F478" s="25" t="str" cm="1">
        <f t="array" ref="F478">IF(NodesJSON[[#This Row],[Export?]]=0,"",IF(ROW(NodesJSON[[#This Row],[label]])&gt;ROW(NodesJSON[[#Headers],[JSON]])+1,",","") &amp;"{"&amp;twoRangesToJSON(NodesJSON[[#Headers],[label]:[url]],NodesJSON[[#This Row],[label]:[url]])&amp;"}")</f>
        <v>,{"label":"Virtual Risk and Security Site Review","group":"","id":"n5EF5EB18_F868_43E0_BC5D_FB928B82CC59","url":""}</v>
      </c>
      <c r="G478" s="26"/>
    </row>
    <row r="479" spans="1:7" ht="13.9" thickTop="1" thickBot="1" x14ac:dyDescent="0.4">
      <c r="A479" s="40">
        <f>IF(ISERR(NodesJSON[[#This Row],[label]]),0,1)</f>
        <v>1</v>
      </c>
      <c r="B479" s="8" t="str">
        <f>NodesData[[#This Row],[Common Name]]</f>
        <v>Voice OTP</v>
      </c>
      <c r="C479" s="8" t="str">
        <f>IF(NodesData[[#This Row],[Context Instanciation]]="","",NodesData[[#This Row],[Context Instanciation]])</f>
        <v/>
      </c>
      <c r="D479" s="27" t="str">
        <f>NodesData[[#This Row],[Node ID]]</f>
        <v>nC0D8C0B5_1A70_4CB1_9F83_D00B0375C928</v>
      </c>
      <c r="E479" s="8"/>
      <c r="F479" s="25" t="str" cm="1">
        <f t="array" ref="F479">IF(NodesJSON[[#This Row],[Export?]]=0,"",IF(ROW(NodesJSON[[#This Row],[label]])&gt;ROW(NodesJSON[[#Headers],[JSON]])+1,",","") &amp;"{"&amp;twoRangesToJSON(NodesJSON[[#Headers],[label]:[url]],NodesJSON[[#This Row],[label]:[url]])&amp;"}")</f>
        <v>,{"label":"Voice OTP","group":"","id":"nC0D8C0B5_1A70_4CB1_9F83_D00B0375C928","url":""}</v>
      </c>
      <c r="G479" s="26"/>
    </row>
    <row r="480" spans="1:7" ht="13.9" thickTop="1" thickBot="1" x14ac:dyDescent="0.4">
      <c r="A480" s="40">
        <f>IF(ISERR(NodesJSON[[#This Row],[label]]),0,1)</f>
        <v>1</v>
      </c>
      <c r="B480" s="8" t="str">
        <f>NodesData[[#This Row],[Common Name]]</f>
        <v>Voice Recognition Authentication</v>
      </c>
      <c r="C480" s="8" t="str">
        <f>IF(NodesData[[#This Row],[Context Instanciation]]="","",NodesData[[#This Row],[Context Instanciation]])</f>
        <v/>
      </c>
      <c r="D480" s="27" t="str">
        <f>NodesData[[#This Row],[Node ID]]</f>
        <v>nC196E133_4263_4398_B44A_B3053AC5D0E8</v>
      </c>
      <c r="E480" s="8"/>
      <c r="F480" s="25" t="str" cm="1">
        <f t="array" ref="F480">IF(NodesJSON[[#This Row],[Export?]]=0,"",IF(ROW(NodesJSON[[#This Row],[label]])&gt;ROW(NodesJSON[[#Headers],[JSON]])+1,",","") &amp;"{"&amp;twoRangesToJSON(NodesJSON[[#Headers],[label]:[url]],NodesJSON[[#This Row],[label]:[url]])&amp;"}")</f>
        <v>,{"label":"Voice Recognition Authentication","group":"","id":"nC196E133_4263_4398_B44A_B3053AC5D0E8","url":""}</v>
      </c>
      <c r="G480" s="26"/>
    </row>
    <row r="481" spans="1:7" ht="13.9" thickTop="1" thickBot="1" x14ac:dyDescent="0.4">
      <c r="A481" s="40">
        <f>IF(ISERR(NodesJSON[[#This Row],[label]]),0,1)</f>
        <v>1</v>
      </c>
      <c r="B481" s="8" t="str">
        <f>NodesData[[#This Row],[Common Name]]</f>
        <v>VPN</v>
      </c>
      <c r="C481" s="8" t="str">
        <f>IF(NodesData[[#This Row],[Context Instanciation]]="","",NodesData[[#This Row],[Context Instanciation]])</f>
        <v/>
      </c>
      <c r="D481" s="27" t="str">
        <f>NodesData[[#This Row],[Node ID]]</f>
        <v>n792AF52F_202C_4B84_9837_C86A7BE5C6D4</v>
      </c>
      <c r="E481" s="8"/>
      <c r="F481" s="25" t="str" cm="1">
        <f t="array" ref="F481">IF(NodesJSON[[#This Row],[Export?]]=0,"",IF(ROW(NodesJSON[[#This Row],[label]])&gt;ROW(NodesJSON[[#Headers],[JSON]])+1,",","") &amp;"{"&amp;twoRangesToJSON(NodesJSON[[#Headers],[label]:[url]],NodesJSON[[#This Row],[label]:[url]])&amp;"}")</f>
        <v>,{"label":"VPN","group":"","id":"n792AF52F_202C_4B84_9837_C86A7BE5C6D4","url":""}</v>
      </c>
      <c r="G481" s="26"/>
    </row>
    <row r="482" spans="1:7" ht="13.9" thickTop="1" thickBot="1" x14ac:dyDescent="0.4">
      <c r="A482" s="40">
        <f>IF(ISERR(NodesJSON[[#This Row],[label]]),0,1)</f>
        <v>1</v>
      </c>
      <c r="B482" s="8" t="str">
        <f>NodesData[[#This Row],[Common Name]]</f>
        <v>Weak Authentication</v>
      </c>
      <c r="C482" s="8" t="str">
        <f>IF(NodesData[[#This Row],[Context Instanciation]]="","",NodesData[[#This Row],[Context Instanciation]])</f>
        <v/>
      </c>
      <c r="D482" s="27" t="str">
        <f>NodesData[[#This Row],[Node ID]]</f>
        <v>n20C6E76A_E99F_4AC3_B579_997897697AA6</v>
      </c>
      <c r="E482" s="8"/>
      <c r="F482" s="25" t="str" cm="1">
        <f t="array" ref="F482">IF(NodesJSON[[#This Row],[Export?]]=0,"",IF(ROW(NodesJSON[[#This Row],[label]])&gt;ROW(NodesJSON[[#Headers],[JSON]])+1,",","") &amp;"{"&amp;twoRangesToJSON(NodesJSON[[#Headers],[label]:[url]],NodesJSON[[#This Row],[label]:[url]])&amp;"}")</f>
        <v>,{"label":"Weak Authentication","group":"","id":"n20C6E76A_E99F_4AC3_B579_997897697AA6","url":""}</v>
      </c>
      <c r="G482" s="26"/>
    </row>
    <row r="483" spans="1:7" ht="13.9" thickTop="1" thickBot="1" x14ac:dyDescent="0.4">
      <c r="A483" s="40">
        <f>IF(ISERR(NodesJSON[[#This Row],[label]]),0,1)</f>
        <v>1</v>
      </c>
      <c r="B483" s="8" t="str">
        <f>NodesData[[#This Row],[Common Name]]</f>
        <v>Weak Tranquility Property</v>
      </c>
      <c r="C483" s="8" t="str">
        <f>IF(NodesData[[#This Row],[Context Instanciation]]="","",NodesData[[#This Row],[Context Instanciation]])</f>
        <v/>
      </c>
      <c r="D483" s="27" t="str">
        <f>NodesData[[#This Row],[Node ID]]</f>
        <v>nE5CAB332_46E5_4872_9347_07D71C60B1DD</v>
      </c>
      <c r="E483" s="8"/>
      <c r="F483" s="25" t="str" cm="1">
        <f t="array" ref="F483">IF(NodesJSON[[#This Row],[Export?]]=0,"",IF(ROW(NodesJSON[[#This Row],[label]])&gt;ROW(NodesJSON[[#Headers],[JSON]])+1,",","") &amp;"{"&amp;twoRangesToJSON(NodesJSON[[#Headers],[label]:[url]],NodesJSON[[#This Row],[label]:[url]])&amp;"}")</f>
        <v>,{"label":"Weak Tranquility Property","group":"","id":"nE5CAB332_46E5_4872_9347_07D71C60B1DD","url":""}</v>
      </c>
      <c r="G483" s="26"/>
    </row>
    <row r="484" spans="1:7" ht="13.9" thickTop="1" thickBot="1" x14ac:dyDescent="0.4">
      <c r="A484" s="40">
        <f>IF(ISERR(NodesJSON[[#This Row],[label]]),0,1)</f>
        <v>1</v>
      </c>
      <c r="B484" s="8" t="str">
        <f>NodesData[[#This Row],[Common Name]]</f>
        <v>Web-based Single Sign-On</v>
      </c>
      <c r="C484" s="8" t="str">
        <f>IF(NodesData[[#This Row],[Context Instanciation]]="","",NodesData[[#This Row],[Context Instanciation]])</f>
        <v/>
      </c>
      <c r="D484" s="27" t="str">
        <f>NodesData[[#This Row],[Node ID]]</f>
        <v>nA714C34F_E109_4195_A309_62764B001097</v>
      </c>
      <c r="E484" s="8"/>
      <c r="F484" s="25" t="str" cm="1">
        <f t="array" ref="F484">IF(NodesJSON[[#This Row],[Export?]]=0,"",IF(ROW(NodesJSON[[#This Row],[label]])&gt;ROW(NodesJSON[[#Headers],[JSON]])+1,",","") &amp;"{"&amp;twoRangesToJSON(NodesJSON[[#Headers],[label]:[url]],NodesJSON[[#This Row],[label]:[url]])&amp;"}")</f>
        <v>,{"label":"Web-based Single Sign-On","group":"","id":"nA714C34F_E109_4195_A309_62764B001097","url":""}</v>
      </c>
      <c r="G484" s="26"/>
    </row>
    <row r="485" spans="1:7" ht="13.9" thickTop="1" thickBot="1" x14ac:dyDescent="0.4">
      <c r="A485" s="40">
        <f>IF(ISERR(NodesJSON[[#This Row],[label]]),0,1)</f>
        <v>1</v>
      </c>
      <c r="B485" s="8" t="str">
        <f>NodesData[[#This Row],[Common Name]]</f>
        <v>Windows (Non-Default) Local User Account</v>
      </c>
      <c r="C485" s="8" t="str">
        <f>IF(NodesData[[#This Row],[Context Instanciation]]="","",NodesData[[#This Row],[Context Instanciation]])</f>
        <v/>
      </c>
      <c r="D485" s="27" t="str">
        <f>NodesData[[#This Row],[Node ID]]</f>
        <v>nAF6BA4B5_C4EC_4B28_8369_799EADD91BB8</v>
      </c>
      <c r="E485" s="8"/>
      <c r="F485" s="25" t="str" cm="1">
        <f t="array" ref="F485">IF(NodesJSON[[#This Row],[Export?]]=0,"",IF(ROW(NodesJSON[[#This Row],[label]])&gt;ROW(NodesJSON[[#Headers],[JSON]])+1,",","") &amp;"{"&amp;twoRangesToJSON(NodesJSON[[#Headers],[label]:[url]],NodesJSON[[#This Row],[label]:[url]])&amp;"}")</f>
        <v>,{"label":"Windows (Non-Default) Local User Account","group":"","id":"nAF6BA4B5_C4EC_4B28_8369_799EADD91BB8","url":""}</v>
      </c>
      <c r="G485" s="26"/>
    </row>
    <row r="486" spans="1:7" ht="13.9" thickTop="1" thickBot="1" x14ac:dyDescent="0.4">
      <c r="A486" s="40">
        <f>IF(ISERR(NodesJSON[[#This Row],[label]]),0,1)</f>
        <v>1</v>
      </c>
      <c r="B486" s="8" t="str">
        <f>NodesData[[#This Row],[Common Name]]</f>
        <v>Windows Default Local System Account</v>
      </c>
      <c r="C486" s="8" t="str">
        <f>IF(NodesData[[#This Row],[Context Instanciation]]="","",NodesData[[#This Row],[Context Instanciation]])</f>
        <v/>
      </c>
      <c r="D486" s="27" t="str">
        <f>NodesData[[#This Row],[Node ID]]</f>
        <v>n30C769A5_3901_4FE2_A484_26752443F078</v>
      </c>
      <c r="E486" s="8"/>
      <c r="F486" s="25" t="str" cm="1">
        <f t="array" ref="F486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System Account","group":"","id":"n30C769A5_3901_4FE2_A484_26752443F078","url":""}</v>
      </c>
      <c r="G486" s="26"/>
    </row>
    <row r="487" spans="1:7" ht="13.9" thickTop="1" thickBot="1" x14ac:dyDescent="0.4">
      <c r="A487" s="40">
        <f>IF(ISERR(NodesJSON[[#This Row],[label]]),0,1)</f>
        <v>1</v>
      </c>
      <c r="B487" s="8" t="str">
        <f>NodesData[[#This Row],[Common Name]]</f>
        <v>Windows Default Local User Account</v>
      </c>
      <c r="C487" s="8" t="str">
        <f>IF(NodesData[[#This Row],[Context Instanciation]]="","",NodesData[[#This Row],[Context Instanciation]])</f>
        <v/>
      </c>
      <c r="D487" s="27" t="str">
        <f>NodesData[[#This Row],[Node ID]]</f>
        <v>n57652DD2_8622_4048_95C6_3D1CA71B338F</v>
      </c>
      <c r="E487" s="8"/>
      <c r="F487" s="25" t="str" cm="1">
        <f t="array" ref="F487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User Account","group":"","id":"n57652DD2_8622_4048_95C6_3D1CA71B338F","url":""}</v>
      </c>
      <c r="G487" s="26"/>
    </row>
    <row r="488" spans="1:7" ht="13.9" thickTop="1" thickBot="1" x14ac:dyDescent="0.4">
      <c r="A488" s="40">
        <f>IF(ISERR(NodesJSON[[#This Row],[label]]),0,1)</f>
        <v>1</v>
      </c>
      <c r="B488" s="8" t="str">
        <f>NodesData[[#This Row],[Common Name]]</f>
        <v>Windows DefaultAccount Account</v>
      </c>
      <c r="C488" s="8" t="str">
        <f>IF(NodesData[[#This Row],[Context Instanciation]]="","",NodesData[[#This Row],[Context Instanciation]])</f>
        <v/>
      </c>
      <c r="D488" s="27" t="str">
        <f>NodesData[[#This Row],[Node ID]]</f>
        <v>nDB980524_D5B2_4D4E_A6E4_3725625E9ED0</v>
      </c>
      <c r="E488" s="8"/>
      <c r="F488" s="25" t="str" cm="1">
        <f t="array" ref="F488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DefaultAccount Account","group":"","id":"nDB980524_D5B2_4D4E_A6E4_3725625E9ED0","url":""}</v>
      </c>
      <c r="G488" s="26"/>
    </row>
    <row r="489" spans="1:7" ht="13.9" thickTop="1" thickBot="1" x14ac:dyDescent="0.4">
      <c r="A489" s="40">
        <f>IF(ISERR(NodesJSON[[#This Row],[label]]),0,1)</f>
        <v>1</v>
      </c>
      <c r="B489" s="8" t="str">
        <f>NodesData[[#This Row],[Common Name]]</f>
        <v>Windows Guest Account</v>
      </c>
      <c r="C489" s="8" t="str">
        <f>IF(NodesData[[#This Row],[Context Instanciation]]="","",NodesData[[#This Row],[Context Instanciation]])</f>
        <v/>
      </c>
      <c r="D489" s="27" t="str">
        <f>NodesData[[#This Row],[Node ID]]</f>
        <v>n7B6F5266_C940_417B_9FB2_8373338B3D43</v>
      </c>
      <c r="E489" s="8"/>
      <c r="F489" s="25" t="str" cm="1">
        <f t="array" ref="F489">IF(NodesJSON[[#This Row],[Export?]]=0,"",IF(ROW(NodesJSON[[#This Row],[label]])&gt;ROW(NodesJSON[[#Headers],[JSON]])+1,",","") &amp;"{"&amp;twoRangesToJSON(NodesJSON[[#Headers],[label]:[url]],NodesJSON[[#This Row],[label]:[url]])&amp;"}")</f>
        <v>,{"label":"Windows Guest Account","group":"","id":"n7B6F5266_C940_417B_9FB2_8373338B3D43","url":""}</v>
      </c>
      <c r="G489" s="26"/>
    </row>
    <row r="490" spans="1:7" ht="13.9" thickTop="1" thickBot="1" x14ac:dyDescent="0.4">
      <c r="A490" s="40">
        <f>IF(ISERR(NodesJSON[[#This Row],[label]]),0,1)</f>
        <v>1</v>
      </c>
      <c r="B490" s="4" t="str">
        <f>NodesData[[#This Row],[Common Name]]</f>
        <v>Windows HelpAssistant Account</v>
      </c>
      <c r="C490" s="8" t="str">
        <f>IF(NodesData[[#This Row],[Context Instanciation]]="","",NodesData[[#This Row],[Context Instanciation]])</f>
        <v/>
      </c>
      <c r="D490" s="27" t="str">
        <f>NodesData[[#This Row],[Node ID]]</f>
        <v>n6E36BCF4_0D2E_423E_A7F2_1859C5F43F22</v>
      </c>
      <c r="E490" s="4"/>
      <c r="F490" s="25" t="str" cm="1">
        <f t="array" ref="F490">IF(NodesJSON[[#This Row],[Export?]]=0,"",IF(ROW(NodesJSON[[#This Row],[label]])&gt;ROW(NodesJSON[[#Headers],[JSON]])+1,",","") &amp;"{"&amp;twoRangesToJSON(NodesJSON[[#Headers],[label]:[url]],NodesJSON[[#This Row],[label]:[url]])&amp;"}")</f>
        <v>,{"label":"Windows HelpAssistant Account","group":"","id":"n6E36BCF4_0D2E_423E_A7F2_1859C5F43F22","url":""}</v>
      </c>
    </row>
    <row r="491" spans="1:7" ht="13.9" thickTop="1" thickBot="1" x14ac:dyDescent="0.4">
      <c r="A491" s="40">
        <f>IF(ISERR(NodesJSON[[#This Row],[label]]),0,1)</f>
        <v>1</v>
      </c>
      <c r="B491" s="4" t="str">
        <f>NodesData[[#This Row],[Common Name]]</f>
        <v>Windows Local Account</v>
      </c>
      <c r="C491" s="8" t="str">
        <f>IF(NodesData[[#This Row],[Context Instanciation]]="","",NodesData[[#This Row],[Context Instanciation]])</f>
        <v/>
      </c>
      <c r="D491" s="27" t="str">
        <f>NodesData[[#This Row],[Node ID]]</f>
        <v>n3B7CBF53_A57C_44ED_AD36_C72517D3DEF6</v>
      </c>
      <c r="E491" s="4"/>
      <c r="F491" s="25" t="str" cm="1">
        <f t="array" ref="F491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Account","group":"","id":"n3B7CBF53_A57C_44ED_AD36_C72517D3DEF6","url":""}</v>
      </c>
    </row>
    <row r="492" spans="1:7" ht="13.9" thickTop="1" thickBot="1" x14ac:dyDescent="0.4">
      <c r="A492" s="40">
        <f>IF(ISERR(NodesJSON[[#This Row],[label]]),0,1)</f>
        <v>1</v>
      </c>
      <c r="B492" s="4" t="str">
        <f>NodesData[[#This Row],[Common Name]]</f>
        <v>Windows Local Administrator Account</v>
      </c>
      <c r="C492" s="8" t="str">
        <f>IF(NodesData[[#This Row],[Context Instanciation]]="","",NodesData[[#This Row],[Context Instanciation]])</f>
        <v/>
      </c>
      <c r="D492" s="27" t="str">
        <f>NodesData[[#This Row],[Node ID]]</f>
        <v>nCDE26EDC_0440_4B98_9517_E35E3F6BE7DF</v>
      </c>
      <c r="E492" s="4"/>
      <c r="F492" s="25" t="str" cm="1">
        <f t="array" ref="F492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Administrator Account","group":"","id":"nCDE26EDC_0440_4B98_9517_E35E3F6BE7DF","url":""}</v>
      </c>
    </row>
    <row r="493" spans="1:7" ht="13.9" thickTop="1" thickBot="1" x14ac:dyDescent="0.4">
      <c r="A493" s="40">
        <f>IF(ISERR(NodesJSON[[#This Row],[label]]),0,1)</f>
        <v>1</v>
      </c>
      <c r="B493" s="4" t="str">
        <f>NodesData[[#This Row],[Common Name]]</f>
        <v>Windows LOCAL SERVICE Account</v>
      </c>
      <c r="C493" s="8" t="str">
        <f>IF(NodesData[[#This Row],[Context Instanciation]]="","",NodesData[[#This Row],[Context Instanciation]])</f>
        <v/>
      </c>
      <c r="D493" s="27" t="str">
        <f>NodesData[[#This Row],[Node ID]]</f>
        <v>nBFD644BE_EADE_44D5_BDAE_64B1E095A11B</v>
      </c>
      <c r="E493" s="4"/>
      <c r="F493" s="25" t="str" cm="1">
        <f t="array" ref="F493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SERVICE Account","group":"","id":"nBFD644BE_EADE_44D5_BDAE_64B1E095A11B","url":""}</v>
      </c>
    </row>
    <row r="494" spans="1:7" ht="13.9" thickTop="1" thickBot="1" x14ac:dyDescent="0.4">
      <c r="A494" s="40">
        <f>IF(ISERR(NodesJSON[[#This Row],[label]]),0,1)</f>
        <v>1</v>
      </c>
      <c r="B494" s="4" t="str">
        <f>NodesData[[#This Row],[Common Name]]</f>
        <v>Windows NETWORK SERVICE Account</v>
      </c>
      <c r="C494" s="8" t="str">
        <f>IF(NodesData[[#This Row],[Context Instanciation]]="","",NodesData[[#This Row],[Context Instanciation]])</f>
        <v/>
      </c>
      <c r="D494" s="27" t="str">
        <f>NodesData[[#This Row],[Node ID]]</f>
        <v>n24EDEEBB_184D_4CD9_AF97_8ED49C048AC4</v>
      </c>
      <c r="E494" s="4"/>
      <c r="F494" s="25" t="str" cm="1">
        <f t="array" ref="F494">IF(NodesJSON[[#This Row],[Export?]]=0,"",IF(ROW(NodesJSON[[#This Row],[label]])&gt;ROW(NodesJSON[[#Headers],[JSON]])+1,",","") &amp;"{"&amp;twoRangesToJSON(NodesJSON[[#Headers],[label]:[url]],NodesJSON[[#This Row],[label]:[url]])&amp;"}")</f>
        <v>,{"label":"Windows NETWORK SERVICE Account","group":"","id":"n24EDEEBB_184D_4CD9_AF97_8ED49C048AC4","url":""}</v>
      </c>
    </row>
    <row r="495" spans="1:7" ht="13.9" thickTop="1" thickBot="1" x14ac:dyDescent="0.4">
      <c r="A495" s="40">
        <f>IF(ISERR(NodesJSON[[#This Row],[label]]),0,1)</f>
        <v>1</v>
      </c>
      <c r="B495" s="4" t="str">
        <f>NodesData[[#This Row],[Common Name]]</f>
        <v>Windows Security Identifier</v>
      </c>
      <c r="C495" s="8" t="str">
        <f>IF(NodesData[[#This Row],[Context Instanciation]]="","",NodesData[[#This Row],[Context Instanciation]])</f>
        <v/>
      </c>
      <c r="D495" s="27" t="str">
        <f>NodesData[[#This Row],[Node ID]]</f>
        <v>n4442B948_CB96_4FB1_B197_0CB8512232F5</v>
      </c>
      <c r="E495" s="4"/>
      <c r="F495" s="25" t="str" cm="1">
        <f t="array" ref="F495">IF(NodesJSON[[#This Row],[Export?]]=0,"",IF(ROW(NodesJSON[[#This Row],[label]])&gt;ROW(NodesJSON[[#Headers],[JSON]])+1,",","") &amp;"{"&amp;twoRangesToJSON(NodesJSON[[#Headers],[label]:[url]],NodesJSON[[#This Row],[label]:[url]])&amp;"}")</f>
        <v>,{"label":"Windows Security Identifier","group":"","id":"n4442B948_CB96_4FB1_B197_0CB8512232F5","url":""}</v>
      </c>
    </row>
    <row r="496" spans="1:7" ht="13.9" thickTop="1" thickBot="1" x14ac:dyDescent="0.4">
      <c r="A496" s="40">
        <f>IF(ISERR(NodesJSON[[#This Row],[label]]),0,1)</f>
        <v>1</v>
      </c>
      <c r="B496" s="4" t="str">
        <f>NodesData[[#This Row],[Common Name]]</f>
        <v>Windows SYSTEM Account</v>
      </c>
      <c r="C496" s="8" t="str">
        <f>IF(NodesData[[#This Row],[Context Instanciation]]="","",NodesData[[#This Row],[Context Instanciation]])</f>
        <v/>
      </c>
      <c r="D496" s="27" t="str">
        <f>NodesData[[#This Row],[Node ID]]</f>
        <v>n3B05549C_D612_4F93_B225_856E09571963</v>
      </c>
      <c r="E496" s="4"/>
      <c r="F496" s="25" t="str" cm="1">
        <f t="array" ref="F496">IF(NodesJSON[[#This Row],[Export?]]=0,"",IF(ROW(NodesJSON[[#This Row],[label]])&gt;ROW(NodesJSON[[#Headers],[JSON]])+1,",","") &amp;"{"&amp;twoRangesToJSON(NodesJSON[[#Headers],[label]:[url]],NodesJSON[[#This Row],[label]:[url]])&amp;"}")</f>
        <v>,{"label":"Windows SYSTEM Account","group":"","id":"n3B05549C_D612_4F93_B225_856E09571963","url":""}</v>
      </c>
    </row>
    <row r="497" spans="1:6" ht="13.9" thickTop="1" thickBot="1" x14ac:dyDescent="0.4">
      <c r="A497" s="40">
        <f>IF(ISERR(NodesJSON[[#This Row],[label]]),0,1)</f>
        <v>1</v>
      </c>
      <c r="B497" s="4" t="str">
        <f>NodesData[[#This Row],[Common Name]]</f>
        <v>Worker</v>
      </c>
      <c r="C497" s="8" t="str">
        <f>IF(NodesData[[#This Row],[Context Instanciation]]="","",NodesData[[#This Row],[Context Instanciation]])</f>
        <v/>
      </c>
      <c r="D497" s="27" t="str">
        <f>NodesData[[#This Row],[Node ID]]</f>
        <v>nA88BF1ED_4AE8_4B89_B290_4D73E6D0E99B</v>
      </c>
      <c r="E497" s="4"/>
      <c r="F497" s="25" t="str" cm="1">
        <f t="array" ref="F497">IF(NodesJSON[[#This Row],[Export?]]=0,"",IF(ROW(NodesJSON[[#This Row],[label]])&gt;ROW(NodesJSON[[#Headers],[JSON]])+1,",","") &amp;"{"&amp;twoRangesToJSON(NodesJSON[[#Headers],[label]:[url]],NodesJSON[[#This Row],[label]:[url]])&amp;"}")</f>
        <v>,{"label":"Worker","group":"","id":"nA88BF1ED_4AE8_4B89_B290_4D73E6D0E99B","url":""}</v>
      </c>
    </row>
    <row r="498" spans="1:6" ht="13.9" thickTop="1" thickBot="1" x14ac:dyDescent="0.4">
      <c r="A498" s="40">
        <f>IF(ISERR(NodesJSON[[#This Row],[label]]),0,1)</f>
        <v>1</v>
      </c>
      <c r="B498" s="4" t="str">
        <f>NodesData[[#This Row],[Common Name]]</f>
        <v>Workflow-Sensitive Access Control</v>
      </c>
      <c r="C498" s="8" t="str">
        <f>IF(NodesData[[#This Row],[Context Instanciation]]="","",NodesData[[#This Row],[Context Instanciation]])</f>
        <v/>
      </c>
      <c r="D498" s="27" t="str">
        <f>NodesData[[#This Row],[Node ID]]</f>
        <v>nFAD010FC_681A_4C15_94C3_71AEB684C44D</v>
      </c>
      <c r="E498" s="4"/>
      <c r="F498" s="25" t="str" cm="1">
        <f t="array" ref="F498">IF(NodesJSON[[#This Row],[Export?]]=0,"",IF(ROW(NodesJSON[[#This Row],[label]])&gt;ROW(NodesJSON[[#Headers],[JSON]])+1,",","") &amp;"{"&amp;twoRangesToJSON(NodesJSON[[#Headers],[label]:[url]],NodesJSON[[#This Row],[label]:[url]])&amp;"}")</f>
        <v>,{"label":"Workflow-Sensitive Access Control","group":"","id":"nFAD010FC_681A_4C15_94C3_71AEB684C44D","url":""}</v>
      </c>
    </row>
    <row r="499" spans="1:6" ht="13.9" thickTop="1" thickBot="1" x14ac:dyDescent="0.4">
      <c r="A499" s="40">
        <f>IF(ISERR(NodesJSON[[#This Row],[label]]),0,1)</f>
        <v>1</v>
      </c>
      <c r="B499" s="4" t="str">
        <f>NodesData[[#This Row],[Common Name]]</f>
        <v>Workforce</v>
      </c>
      <c r="C499" s="8" t="str">
        <f>IF(NodesData[[#This Row],[Context Instanciation]]="","",NodesData[[#This Row],[Context Instanciation]])</f>
        <v/>
      </c>
      <c r="D499" s="27" t="str">
        <f>NodesData[[#This Row],[Node ID]]</f>
        <v>nCC381DA1_CA00_4281_80DE_4480AA826170</v>
      </c>
      <c r="E499" s="4"/>
      <c r="F499" s="25" t="str" cm="1">
        <f t="array" ref="F499">IF(NodesJSON[[#This Row],[Export?]]=0,"",IF(ROW(NodesJSON[[#This Row],[label]])&gt;ROW(NodesJSON[[#Headers],[JSON]])+1,",","") &amp;"{"&amp;twoRangesToJSON(NodesJSON[[#Headers],[label]:[url]],NodesJSON[[#This Row],[label]:[url]])&amp;"}")</f>
        <v>,{"label":"Workforce","group":"","id":"nCC381DA1_CA00_4281_80DE_4480AA826170","url":""}</v>
      </c>
    </row>
    <row r="500" spans="1:6" ht="13.9" thickTop="1" thickBot="1" x14ac:dyDescent="0.4">
      <c r="A500" s="40">
        <f>IF(ISERR(NodesJSON[[#This Row],[label]]),0,1)</f>
        <v>1</v>
      </c>
      <c r="B500" s="8" t="str">
        <f>NodesData[[#This Row],[Common Name]]</f>
        <v>XACML</v>
      </c>
      <c r="C500" s="8" t="str">
        <f>IF(NodesData[[#This Row],[Context Instanciation]]="","",NodesData[[#This Row],[Context Instanciation]])</f>
        <v/>
      </c>
      <c r="D500" s="27" t="str">
        <f>NodesData[[#This Row],[Node ID]]</f>
        <v>n3EE5AC73_62B3_4719_B4EA_AF76F43BF4D4</v>
      </c>
      <c r="E500" s="8"/>
      <c r="F500" s="25" t="str" cm="1">
        <f t="array" ref="F500">IF(NodesJSON[[#This Row],[Export?]]=0,"",IF(ROW(NodesJSON[[#This Row],[label]])&gt;ROW(NodesJSON[[#Headers],[JSON]])+1,",","") &amp;"{"&amp;twoRangesToJSON(NodesJSON[[#Headers],[label]:[url]],NodesJSON[[#This Row],[label]:[url]])&amp;"}")</f>
        <v>,{"label":"XACML","group":"","id":"n3EE5AC73_62B3_4719_B4EA_AF76F43BF4D4","url":""}</v>
      </c>
    </row>
    <row r="501" spans="1:6" ht="13.9" thickTop="1" thickBot="1" x14ac:dyDescent="0.4">
      <c r="A501" s="40">
        <f>IF(ISERR(NodesJSON[[#This Row],[label]]),0,1)</f>
        <v>1</v>
      </c>
      <c r="B501" s="8" t="str">
        <f>NodesData[[#This Row],[Common Name]]</f>
        <v>Zero-Trust Access</v>
      </c>
      <c r="C501" s="8" t="str">
        <f>IF(NodesData[[#This Row],[Context Instanciation]]="","",NodesData[[#This Row],[Context Instanciation]])</f>
        <v/>
      </c>
      <c r="D501" s="27" t="str">
        <f>NodesData[[#This Row],[Node ID]]</f>
        <v>nA083172A_2D30_45C1_A7AA_C0950BF75AF5</v>
      </c>
      <c r="E501" s="8"/>
      <c r="F501" s="25" t="str" cm="1">
        <f t="array" ref="F501">IF(NodesJSON[[#This Row],[Export?]]=0,"",IF(ROW(NodesJSON[[#This Row],[label]])&gt;ROW(NodesJSON[[#Headers],[JSON]])+1,",","") &amp;"{"&amp;twoRangesToJSON(NodesJSON[[#Headers],[label]:[url]],NodesJSON[[#This Row],[label]:[url]])&amp;"}")</f>
        <v>,{"label":"Zero-Trust Access","group":"","id":"nA083172A_2D30_45C1_A7AA_C0950BF75AF5","url":""}</v>
      </c>
    </row>
    <row r="502" spans="1:6" ht="13.9" thickTop="1" thickBot="1" x14ac:dyDescent="0.4">
      <c r="A502" s="40">
        <f>IF(ISERR(NodesJSON[[#This Row],[label]]),0,1)</f>
        <v>1</v>
      </c>
      <c r="B502" s="8" t="str">
        <f>NodesData[[#This Row],[Common Name]]</f>
        <v>Zombie Account</v>
      </c>
      <c r="C502" s="8" t="str">
        <f>IF(NodesData[[#This Row],[Context Instanciation]]="","",NodesData[[#This Row],[Context Instanciation]])</f>
        <v/>
      </c>
      <c r="D502" s="27" t="str">
        <f>NodesData[[#This Row],[Node ID]]</f>
        <v>n32F8B5A2_2FF3_46A6_92A0_A0A74C77207C</v>
      </c>
      <c r="E502" s="8"/>
      <c r="F502" s="25" t="str" cm="1">
        <f t="array" ref="F502">IF(NodesJSON[[#This Row],[Export?]]=0,"",IF(ROW(NodesJSON[[#This Row],[label]])&gt;ROW(NodesJSON[[#Headers],[JSON]])+1,",","") &amp;"{"&amp;twoRangesToJSON(NodesJSON[[#Headers],[label]:[url]],NodesJSON[[#This Row],[label]:[url]])&amp;"}")</f>
        <v>,{"label":"Zombie Account","group":"","id":"n32F8B5A2_2FF3_46A6_92A0_A0A74C77207C","url":""}</v>
      </c>
    </row>
    <row r="503" spans="1:6" ht="13.9" thickTop="1" thickBot="1" x14ac:dyDescent="0.4">
      <c r="A503" s="40">
        <f>IF(ISERR(NodesJSON[[#This Row],[label]]),0,1)</f>
        <v>1</v>
      </c>
      <c r="B503" s="8" t="str">
        <f>NodesData[[#This Row],[Common Name]]</f>
        <v>ZTA</v>
      </c>
      <c r="C503" s="8" t="str">
        <f>IF(NodesData[[#This Row],[Context Instanciation]]="","",NodesData[[#This Row],[Context Instanciation]])</f>
        <v/>
      </c>
      <c r="D503" s="27" t="str">
        <f>NodesData[[#This Row],[Node ID]]</f>
        <v>n0BF6DF94_3689_4DC6_A2E2_4E916F963D9A</v>
      </c>
      <c r="E503" s="8"/>
      <c r="F503" s="25" t="str" cm="1">
        <f t="array" ref="F503">IF(NodesJSON[[#This Row],[Export?]]=0,"",IF(ROW(NodesJSON[[#This Row],[label]])&gt;ROW(NodesJSON[[#Headers],[JSON]])+1,",","") &amp;"{"&amp;twoRangesToJSON(NodesJSON[[#Headers],[label]:[url]],NodesJSON[[#This Row],[label]:[url]])&amp;"}")</f>
        <v>,{"label":"ZTA","group":"","id":"n0BF6DF94_3689_4DC6_A2E2_4E916F963D9A","url":""}</v>
      </c>
    </row>
    <row r="504" spans="1:6" ht="13.9" thickTop="1" thickBot="1" x14ac:dyDescent="0.4">
      <c r="A504" s="40">
        <f>IF(ISERR(NodesJSON[[#This Row],[label]]),0,1)</f>
        <v>0</v>
      </c>
      <c r="B504" s="8" t="e">
        <f>NodesData[[#This Row],[Common Name]]</f>
        <v>#VALUE!</v>
      </c>
      <c r="C504" s="8" t="e">
        <f>IF(NodesData[[#This Row],[Context Instanciation]]="","",NodesData[[#This Row],[Context Instanciation]])</f>
        <v>#VALUE!</v>
      </c>
      <c r="D504" s="27" t="e">
        <f>NodesData[[#This Row],[Node ID]]</f>
        <v>#VALUE!</v>
      </c>
      <c r="E504" s="8"/>
      <c r="F504" s="25" t="str" cm="1">
        <f t="array" ref="F504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5" spans="1:6" ht="13.9" thickTop="1" thickBot="1" x14ac:dyDescent="0.4">
      <c r="A505" s="40">
        <f>IF(ISERR(NodesJSON[[#This Row],[label]]),0,1)</f>
        <v>0</v>
      </c>
      <c r="B505" s="8" t="e">
        <f>NodesData[[#This Row],[Common Name]]</f>
        <v>#VALUE!</v>
      </c>
      <c r="C505" s="8" t="e">
        <f>IF(NodesData[[#This Row],[Context Instanciation]]="","",NodesData[[#This Row],[Context Instanciation]])</f>
        <v>#VALUE!</v>
      </c>
      <c r="D505" s="27" t="e">
        <f>NodesData[[#This Row],[Node ID]]</f>
        <v>#VALUE!</v>
      </c>
      <c r="E505" s="8"/>
      <c r="F505" s="25" t="str" cm="1">
        <f t="array" ref="F505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6" spans="1:6" ht="13.9" thickTop="1" thickBot="1" x14ac:dyDescent="0.4">
      <c r="A506" s="40">
        <f>IF(ISERR(NodesJSON[[#This Row],[label]]),0,1)</f>
        <v>0</v>
      </c>
      <c r="B506" s="8" t="e">
        <f>NodesData[[#This Row],[Common Name]]</f>
        <v>#VALUE!</v>
      </c>
      <c r="C506" s="8" t="e">
        <f>IF(NodesData[[#This Row],[Context Instanciation]]="","",NodesData[[#This Row],[Context Instanciation]])</f>
        <v>#VALUE!</v>
      </c>
      <c r="D506" s="27" t="e">
        <f>NodesData[[#This Row],[Node ID]]</f>
        <v>#VALUE!</v>
      </c>
      <c r="E506" s="8"/>
      <c r="F506" s="25" t="str" cm="1">
        <f t="array" ref="F506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7" spans="1:6" ht="13.9" thickTop="1" thickBot="1" x14ac:dyDescent="0.4">
      <c r="A507" s="40">
        <f>IF(ISERR(NodesJSON[[#This Row],[label]]),0,1)</f>
        <v>0</v>
      </c>
      <c r="B507" s="8" t="e">
        <f>NodesData[[#This Row],[Common Name]]</f>
        <v>#VALUE!</v>
      </c>
      <c r="C507" s="8" t="e">
        <f>IF(NodesData[[#This Row],[Context Instanciation]]="","",NodesData[[#This Row],[Context Instanciation]])</f>
        <v>#VALUE!</v>
      </c>
      <c r="D507" s="27" t="e">
        <f>NodesData[[#This Row],[Node ID]]</f>
        <v>#VALUE!</v>
      </c>
      <c r="E507" s="8"/>
      <c r="F507" s="25" t="str" cm="1">
        <f t="array" ref="F507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8" spans="1:6" ht="13.15" thickTop="1" x14ac:dyDescent="0.35"/>
  </sheetData>
  <conditionalFormatting sqref="A3:A5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F87"/>
  <sheetViews>
    <sheetView topLeftCell="A61" zoomScale="120" zoomScaleNormal="120" workbookViewId="0">
      <selection activeCell="B87" sqref="B87"/>
    </sheetView>
  </sheetViews>
  <sheetFormatPr defaultRowHeight="12.75" x14ac:dyDescent="0.35"/>
  <cols>
    <col min="1" max="1" width="2.5312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6" s="1" customFormat="1" ht="19.899999999999999" thickBot="1" x14ac:dyDescent="0.65">
      <c r="A1" s="1" t="s">
        <v>1861</v>
      </c>
      <c r="B1" s="9"/>
      <c r="C1" s="9"/>
      <c r="D1" s="23"/>
    </row>
    <row r="2" spans="1:6" s="12" customFormat="1" ht="15" thickTop="1" thickBot="1" x14ac:dyDescent="0.5">
      <c r="A2" s="15" t="s">
        <v>1990</v>
      </c>
      <c r="B2" s="15" t="s">
        <v>1334</v>
      </c>
      <c r="C2" s="15" t="s">
        <v>1353</v>
      </c>
      <c r="D2" s="15" t="s">
        <v>1354</v>
      </c>
      <c r="E2" s="15" t="s">
        <v>1335</v>
      </c>
      <c r="F2" s="24" t="s">
        <v>1333</v>
      </c>
    </row>
    <row r="3" spans="1:6" ht="13.9" thickTop="1" thickBot="1" x14ac:dyDescent="0.4">
      <c r="A3" s="39">
        <f>IF(ISERR(EdgesJSON[[#This Row],[id]]),0,1)</f>
        <v>1</v>
      </c>
      <c r="B3" s="21" t="str">
        <f>EdgesData[[#This Row],[Edge ID]]</f>
        <v>nC2897412_1DFC_43D6_8283_A319DF8413FF</v>
      </c>
      <c r="C3" s="21" t="str">
        <f>EdgesData[[#This Row],[Node A ID]]</f>
        <v>nAC688165_B606_4D82_A016_0263D701EDF2</v>
      </c>
      <c r="D3" s="21" t="str">
        <f>EdgesData[[#This Row],[Node B ID]]</f>
        <v>n53877DB9_77FA_44E9_974A_BE3344133398</v>
      </c>
      <c r="E3" s="3" t="str">
        <f>EdgesData[[#This Row],[Rel]]</f>
        <v>is</v>
      </c>
      <c r="F3" s="25" t="str" cm="1">
        <f t="array" ref="F3">IF(EdgesJSON[[#This Row],[Export?]]=0,"",IF(ROW(EdgesJSON[[#This Row],[id]])&gt;ROW(EdgesJSON[[#Headers],[JSON]])+1,",","") &amp;"{"&amp;twoRangesToJSON(EdgesJSON[[#Headers],[id]:[label]],EdgesJSON[[#This Row],[id]:[label]])&amp;"}")</f>
        <v>{"id":"nC2897412_1DFC_43D6_8283_A319DF8413FF","from":"nAC688165_B606_4D82_A016_0263D701EDF2","to":"n53877DB9_77FA_44E9_974A_BE3344133398","label":"is"}</v>
      </c>
    </row>
    <row r="4" spans="1:6" ht="13.9" thickTop="1" thickBot="1" x14ac:dyDescent="0.4">
      <c r="A4" s="39">
        <f>IF(ISERR(EdgesJSON[[#This Row],[id]]),0,1)</f>
        <v>1</v>
      </c>
      <c r="B4" s="21" t="str">
        <f>EdgesData[[#This Row],[Edge ID]]</f>
        <v>nC4C8CE77_401A_497F_B27B_D181DE00F4C7</v>
      </c>
      <c r="C4" s="21" t="str">
        <f>EdgesData[[#This Row],[Node A ID]]</f>
        <v>n8B61F4C7_8FA2_43DC_B58C_AB2C5C0A8877</v>
      </c>
      <c r="D4" s="21" t="str">
        <f>EdgesData[[#This Row],[Node B ID]]</f>
        <v>nCEEB6DF9_D56B_4A1B_9B36_35674D25F038</v>
      </c>
      <c r="E4" s="3" t="str">
        <f>EdgesData[[#This Row],[Rel]]</f>
        <v>is</v>
      </c>
      <c r="F4" s="25" t="str" cm="1">
        <f t="array" ref="F4">IF(EdgesJSON[[#This Row],[Export?]]=0,"",IF(ROW(EdgesJSON[[#This Row],[id]])&gt;ROW(EdgesJSON[[#Headers],[JSON]])+1,",","") &amp;"{"&amp;twoRangesToJSON(EdgesJSON[[#Headers],[id]:[label]],EdgesJSON[[#This Row],[id]:[label]])&amp;"}")</f>
        <v>,{"id":"nC4C8CE77_401A_497F_B27B_D181DE00F4C7","from":"n8B61F4C7_8FA2_43DC_B58C_AB2C5C0A8877","to":"nCEEB6DF9_D56B_4A1B_9B36_35674D25F038","label":"is"}</v>
      </c>
    </row>
    <row r="5" spans="1:6" ht="13.9" thickTop="1" thickBot="1" x14ac:dyDescent="0.4">
      <c r="A5" s="39">
        <f>IF(ISERR(EdgesJSON[[#This Row],[id]]),0,1)</f>
        <v>1</v>
      </c>
      <c r="B5" s="21" t="str">
        <f>EdgesData[[#This Row],[Edge ID]]</f>
        <v>n0F28B661_9A67_4BAE_9A38_55D958B2B110</v>
      </c>
      <c r="C5" s="21" t="str">
        <f>EdgesData[[#This Row],[Node A ID]]</f>
        <v>n8B61F4C7_8FA2_43DC_B58C_AB2C5C0A8877</v>
      </c>
      <c r="D5" s="21" t="str">
        <f>EdgesData[[#This Row],[Node B ID]]</f>
        <v>nFC4AFBE3_7D71_456A_AFC1_16F1F34558F5</v>
      </c>
      <c r="E5" s="3" t="str">
        <f>EdgesData[[#This Row],[Rel]]</f>
        <v>protects</v>
      </c>
      <c r="F5" s="25" t="str" cm="1">
        <f t="array" ref="F5">IF(EdgesJSON[[#This Row],[Export?]]=0,"",IF(ROW(EdgesJSON[[#This Row],[id]])&gt;ROW(EdgesJSON[[#Headers],[JSON]])+1,",","") &amp;"{"&amp;twoRangesToJSON(EdgesJSON[[#Headers],[id]:[label]],EdgesJSON[[#This Row],[id]:[label]])&amp;"}")</f>
        <v>,{"id":"n0F28B661_9A67_4BAE_9A38_55D958B2B110","from":"n8B61F4C7_8FA2_43DC_B58C_AB2C5C0A8877","to":"nFC4AFBE3_7D71_456A_AFC1_16F1F34558F5","label":"protects"}</v>
      </c>
    </row>
    <row r="6" spans="1:6" ht="13.9" thickTop="1" thickBot="1" x14ac:dyDescent="0.4">
      <c r="A6" s="39">
        <f>IF(ISERR(EdgesJSON[[#This Row],[id]]),0,1)</f>
        <v>1</v>
      </c>
      <c r="B6" s="21" t="str">
        <f>EdgesData[[#This Row],[Edge ID]]</f>
        <v>n31DD2980_8A43_4B26_AC8F_E1BD1FB1D3DF</v>
      </c>
      <c r="C6" s="21" t="str">
        <f>EdgesData[[#This Row],[Node A ID]]</f>
        <v>n8B61F4C7_8FA2_43DC_B58C_AB2C5C0A8877</v>
      </c>
      <c r="D6" s="21" t="str">
        <f>EdgesData[[#This Row],[Node B ID]]</f>
        <v>n1546AAB1_79BC_427B_AC2C_31B1E8FA4616</v>
      </c>
      <c r="E6" s="3" t="str">
        <f>EdgesData[[#This Row],[Rel]]</f>
        <v>protects from</v>
      </c>
      <c r="F6" s="25" t="str" cm="1">
        <f t="array" ref="F6">IF(EdgesJSON[[#This Row],[Export?]]=0,"",IF(ROW(EdgesJSON[[#This Row],[id]])&gt;ROW(EdgesJSON[[#Headers],[JSON]])+1,",","") &amp;"{"&amp;twoRangesToJSON(EdgesJSON[[#Headers],[id]:[label]],EdgesJSON[[#This Row],[id]:[label]])&amp;"}")</f>
        <v>,{"id":"n31DD2980_8A43_4B26_AC8F_E1BD1FB1D3DF","from":"n8B61F4C7_8FA2_43DC_B58C_AB2C5C0A8877","to":"n1546AAB1_79BC_427B_AC2C_31B1E8FA4616","label":"protects from"}</v>
      </c>
    </row>
    <row r="7" spans="1:6" ht="13.9" thickTop="1" thickBot="1" x14ac:dyDescent="0.4">
      <c r="A7" s="39">
        <f>IF(ISERR(EdgesJSON[[#This Row],[id]]),0,1)</f>
        <v>1</v>
      </c>
      <c r="B7" s="21" t="str">
        <f>EdgesData[[#This Row],[Edge ID]]</f>
        <v>nCE538E47_70A6_41C6_BC5F_C27723D5A09B</v>
      </c>
      <c r="C7" s="21" t="str">
        <f>EdgesData[[#This Row],[Node A ID]]</f>
        <v>n45A95ED6_6BE9_42DC_8F8E_4940542AA763</v>
      </c>
      <c r="D7" s="21" t="str">
        <f>EdgesData[[#This Row],[Node B ID]]</f>
        <v>n53877DB9_77FA_44E9_974A_BE3344133398</v>
      </c>
      <c r="E7" s="3" t="str">
        <f>EdgesData[[#This Row],[Rel]]</f>
        <v>is</v>
      </c>
      <c r="F7" s="25" t="str" cm="1">
        <f t="array" ref="F7">IF(EdgesJSON[[#This Row],[Export?]]=0,"",IF(ROW(EdgesJSON[[#This Row],[id]])&gt;ROW(EdgesJSON[[#Headers],[JSON]])+1,",","") &amp;"{"&amp;twoRangesToJSON(EdgesJSON[[#Headers],[id]:[label]],EdgesJSON[[#This Row],[id]:[label]])&amp;"}")</f>
        <v>,{"id":"nCE538E47_70A6_41C6_BC5F_C27723D5A09B","from":"n45A95ED6_6BE9_42DC_8F8E_4940542AA763","to":"n53877DB9_77FA_44E9_974A_BE3344133398","label":"is"}</v>
      </c>
    </row>
    <row r="8" spans="1:6" ht="13.9" thickTop="1" thickBot="1" x14ac:dyDescent="0.4">
      <c r="A8" s="39">
        <f>IF(ISERR(EdgesJSON[[#This Row],[id]]),0,1)</f>
        <v>1</v>
      </c>
      <c r="B8" s="21" t="str">
        <f>EdgesData[[#This Row],[Edge ID]]</f>
        <v>n732FC9EA_C9D9_4F96_A1D9_8457FCFCFACC</v>
      </c>
      <c r="C8" s="21" t="str">
        <f>EdgesData[[#This Row],[Node A ID]]</f>
        <v>n45A95ED6_6BE9_42DC_8F8E_4940542AA763</v>
      </c>
      <c r="D8" s="21" t="str">
        <f>EdgesData[[#This Row],[Node B ID]]</f>
        <v>nAC688165_B606_4D82_A016_0263D701EDF2</v>
      </c>
      <c r="E8" s="3" t="str">
        <f>EdgesData[[#This Row],[Rel]]</f>
        <v>is</v>
      </c>
      <c r="F8" s="25" t="str" cm="1">
        <f t="array" ref="F8">IF(EdgesJSON[[#This Row],[Export?]]=0,"",IF(ROW(EdgesJSON[[#This Row],[id]])&gt;ROW(EdgesJSON[[#Headers],[JSON]])+1,",","") &amp;"{"&amp;twoRangesToJSON(EdgesJSON[[#Headers],[id]:[label]],EdgesJSON[[#This Row],[id]:[label]])&amp;"}")</f>
        <v>,{"id":"n732FC9EA_C9D9_4F96_A1D9_8457FCFCFACC","from":"n45A95ED6_6BE9_42DC_8F8E_4940542AA763","to":"nAC688165_B606_4D82_A016_0263D701EDF2","label":"is"}</v>
      </c>
    </row>
    <row r="9" spans="1:6" ht="13.9" thickTop="1" thickBot="1" x14ac:dyDescent="0.4">
      <c r="A9" s="39">
        <f>IF(ISERR(EdgesJSON[[#This Row],[id]]),0,1)</f>
        <v>1</v>
      </c>
      <c r="B9" s="21" t="str">
        <f>EdgesData[[#This Row],[Edge ID]]</f>
        <v>nE030E268_BC4A_456F_92D9_2331935CA2A1</v>
      </c>
      <c r="C9" s="21" t="str">
        <f>EdgesData[[#This Row],[Node A ID]]</f>
        <v>n09E1C4DC_8D91_4A66_9C50_11DCDC2042FD</v>
      </c>
      <c r="D9" s="21" t="str">
        <f>EdgesData[[#This Row],[Node B ID]]</f>
        <v>n80310A12_2F48_48B9_A9C3_E6FADD4B55C9</v>
      </c>
      <c r="E9" s="3" t="str">
        <f>EdgesData[[#This Row],[Rel]]</f>
        <v>is</v>
      </c>
      <c r="F9" s="25" t="str" cm="1">
        <f t="array" ref="F9">IF(EdgesJSON[[#This Row],[Export?]]=0,"",IF(ROW(EdgesJSON[[#This Row],[id]])&gt;ROW(EdgesJSON[[#Headers],[JSON]])+1,",","") &amp;"{"&amp;twoRangesToJSON(EdgesJSON[[#Headers],[id]:[label]],EdgesJSON[[#This Row],[id]:[label]])&amp;"}")</f>
        <v>,{"id":"nE030E268_BC4A_456F_92D9_2331935CA2A1","from":"n09E1C4DC_8D91_4A66_9C50_11DCDC2042FD","to":"n80310A12_2F48_48B9_A9C3_E6FADD4B55C9","label":"is"}</v>
      </c>
    </row>
    <row r="10" spans="1:6" ht="13.9" thickTop="1" thickBot="1" x14ac:dyDescent="0.4">
      <c r="A10" s="39">
        <f>IF(ISERR(EdgesJSON[[#This Row],[id]]),0,1)</f>
        <v>1</v>
      </c>
      <c r="B10" s="21" t="str">
        <f>EdgesData[[#This Row],[Edge ID]]</f>
        <v>n875E2B7F_660C_40CF_8949_3AF592A072CA</v>
      </c>
      <c r="C10" s="21" t="str">
        <f>EdgesData[[#This Row],[Node A ID]]</f>
        <v>nEE342468_B7F3_4FB0_BA73_C88BBEA8F59E</v>
      </c>
      <c r="D10" s="21" t="str">
        <f>EdgesData[[#This Row],[Node B ID]]</f>
        <v>n80310A12_2F48_48B9_A9C3_E6FADD4B55C9</v>
      </c>
      <c r="E10" s="3" t="str">
        <f>EdgesData[[#This Row],[Rel]]</f>
        <v>is</v>
      </c>
      <c r="F10" s="25" t="str" cm="1">
        <f t="array" ref="F10">IF(EdgesJSON[[#This Row],[Export?]]=0,"",IF(ROW(EdgesJSON[[#This Row],[id]])&gt;ROW(EdgesJSON[[#Headers],[JSON]])+1,",","") &amp;"{"&amp;twoRangesToJSON(EdgesJSON[[#Headers],[id]:[label]],EdgesJSON[[#This Row],[id]:[label]])&amp;"}")</f>
        <v>,{"id":"n875E2B7F_660C_40CF_8949_3AF592A072CA","from":"nEE342468_B7F3_4FB0_BA73_C88BBEA8F59E","to":"n80310A12_2F48_48B9_A9C3_E6FADD4B55C9","label":"is"}</v>
      </c>
    </row>
    <row r="11" spans="1:6" ht="13.9" thickTop="1" thickBot="1" x14ac:dyDescent="0.4">
      <c r="A11" s="39">
        <f>IF(ISERR(EdgesJSON[[#This Row],[id]]),0,1)</f>
        <v>1</v>
      </c>
      <c r="B11" s="21" t="str">
        <f>EdgesData[[#This Row],[Edge ID]]</f>
        <v>n7CA92152_7A47_46ED_B181_3549427CAF39</v>
      </c>
      <c r="C11" s="21" t="str">
        <f>EdgesData[[#This Row],[Node A ID]]</f>
        <v>n1546AAB1_79BC_427B_AC2C_31B1E8FA4616</v>
      </c>
      <c r="D11" s="21" t="str">
        <f>EdgesData[[#This Row],[Node B ID]]</f>
        <v>n385B2A02_580E_49B6_8C97_A00DC541C516</v>
      </c>
      <c r="E11" s="3" t="str">
        <f>EdgesData[[#This Row],[Rel]]</f>
        <v>is</v>
      </c>
      <c r="F11" s="25" t="str" cm="1">
        <f t="array" ref="F11">IF(EdgesJSON[[#This Row],[Export?]]=0,"",IF(ROW(EdgesJSON[[#This Row],[id]])&gt;ROW(EdgesJSON[[#Headers],[JSON]])+1,",","") &amp;"{"&amp;twoRangesToJSON(EdgesJSON[[#Headers],[id]:[label]],EdgesJSON[[#This Row],[id]:[label]])&amp;"}")</f>
        <v>,{"id":"n7CA92152_7A47_46ED_B181_3549427CAF39","from":"n1546AAB1_79BC_427B_AC2C_31B1E8FA4616","to":"n385B2A02_580E_49B6_8C97_A00DC541C516","label":"is"}</v>
      </c>
    </row>
    <row r="12" spans="1:6" ht="13.9" thickTop="1" thickBot="1" x14ac:dyDescent="0.4">
      <c r="A12" s="39">
        <f>IF(ISERR(EdgesJSON[[#This Row],[id]]),0,1)</f>
        <v>1</v>
      </c>
      <c r="B12" s="21" t="str">
        <f>EdgesData[[#This Row],[Edge ID]]</f>
        <v>nB13414E7_6B26_44AF_9043_6F67B1D60BDA</v>
      </c>
      <c r="C12" s="21" t="str">
        <f>EdgesData[[#This Row],[Node A ID]]</f>
        <v>nA4759A9D_95C0_47CA_B519_8CEF217B2F74</v>
      </c>
      <c r="D12" s="21" t="str">
        <f>EdgesData[[#This Row],[Node B ID]]</f>
        <v>n53877DB9_77FA_44E9_974A_BE3344133398</v>
      </c>
      <c r="E12" s="3" t="str">
        <f>EdgesData[[#This Row],[Rel]]</f>
        <v>is</v>
      </c>
      <c r="F12" s="25" t="str" cm="1">
        <f t="array" ref="F12">IF(EdgesJSON[[#This Row],[Export?]]=0,"",IF(ROW(EdgesJSON[[#This Row],[id]])&gt;ROW(EdgesJSON[[#Headers],[JSON]])+1,",","") &amp;"{"&amp;twoRangesToJSON(EdgesJSON[[#Headers],[id]:[label]],EdgesJSON[[#This Row],[id]:[label]])&amp;"}")</f>
        <v>,{"id":"nB13414E7_6B26_44AF_9043_6F67B1D60BDA","from":"nA4759A9D_95C0_47CA_B519_8CEF217B2F74","to":"n53877DB9_77FA_44E9_974A_BE3344133398","label":"is"}</v>
      </c>
    </row>
    <row r="13" spans="1:6" ht="13.9" thickTop="1" thickBot="1" x14ac:dyDescent="0.4">
      <c r="A13" s="39">
        <f>IF(ISERR(EdgesJSON[[#This Row],[id]]),0,1)</f>
        <v>1</v>
      </c>
      <c r="B13" s="21" t="str">
        <f>EdgesData[[#This Row],[Edge ID]]</f>
        <v>n12B61E94_21BF_4011_98B6_284BA8A5EB27</v>
      </c>
      <c r="C13" s="21" t="str">
        <f>EdgesData[[#This Row],[Node A ID]]</f>
        <v>nA4759A9D_95C0_47CA_B519_8CEF217B2F74</v>
      </c>
      <c r="D13" s="21" t="str">
        <f>EdgesData[[#This Row],[Node B ID]]</f>
        <v>nAC688165_B606_4D82_A016_0263D701EDF2</v>
      </c>
      <c r="E13" s="3" t="str">
        <f>EdgesData[[#This Row],[Rel]]</f>
        <v>is</v>
      </c>
      <c r="F13" s="25" t="str" cm="1">
        <f t="array" ref="F13">IF(EdgesJSON[[#This Row],[Export?]]=0,"",IF(ROW(EdgesJSON[[#This Row],[id]])&gt;ROW(EdgesJSON[[#Headers],[JSON]])+1,",","") &amp;"{"&amp;twoRangesToJSON(EdgesJSON[[#Headers],[id]:[label]],EdgesJSON[[#This Row],[id]:[label]])&amp;"}")</f>
        <v>,{"id":"n12B61E94_21BF_4011_98B6_284BA8A5EB27","from":"nA4759A9D_95C0_47CA_B519_8CEF217B2F74","to":"nAC688165_B606_4D82_A016_0263D701EDF2","label":"is"}</v>
      </c>
    </row>
    <row r="14" spans="1:6" ht="13.9" thickTop="1" thickBot="1" x14ac:dyDescent="0.4">
      <c r="A14" s="39">
        <f>IF(ISERR(EdgesJSON[[#This Row],[id]]),0,1)</f>
        <v>1</v>
      </c>
      <c r="B14" s="21" t="str">
        <f>EdgesData[[#This Row],[Edge ID]]</f>
        <v>nDE99D29F_1C41_4523_BF87_BAD6C2E634FE</v>
      </c>
      <c r="C14" s="21" t="str">
        <f>EdgesData[[#This Row],[Node A ID]]</f>
        <v>nAACCE65E_6554_4FBD_B4D7_A3BA8E3BDB92</v>
      </c>
      <c r="D14" s="21" t="str">
        <f>EdgesData[[#This Row],[Node B ID]]</f>
        <v>n53877DB9_77FA_44E9_974A_BE3344133398</v>
      </c>
      <c r="E14" s="3" t="str">
        <f>EdgesData[[#This Row],[Rel]]</f>
        <v>is</v>
      </c>
      <c r="F14" s="25" t="str" cm="1">
        <f t="array" ref="F14">IF(EdgesJSON[[#This Row],[Export?]]=0,"",IF(ROW(EdgesJSON[[#This Row],[id]])&gt;ROW(EdgesJSON[[#Headers],[JSON]])+1,",","") &amp;"{"&amp;twoRangesToJSON(EdgesJSON[[#Headers],[id]:[label]],EdgesJSON[[#This Row],[id]:[label]])&amp;"}")</f>
        <v>,{"id":"nDE99D29F_1C41_4523_BF87_BAD6C2E634FE","from":"nAACCE65E_6554_4FBD_B4D7_A3BA8E3BDB92","to":"n53877DB9_77FA_44E9_974A_BE3344133398","label":"is"}</v>
      </c>
    </row>
    <row r="15" spans="1:6" ht="13.9" thickTop="1" thickBot="1" x14ac:dyDescent="0.4">
      <c r="A15" s="39">
        <f>IF(ISERR(EdgesJSON[[#This Row],[id]]),0,1)</f>
        <v>1</v>
      </c>
      <c r="B15" s="21" t="str">
        <f>EdgesData[[#This Row],[Edge ID]]</f>
        <v>nCAC901A3_0FF2_4E12_B73E_E9CAC4124FF8</v>
      </c>
      <c r="C15" s="21" t="str">
        <f>EdgesData[[#This Row],[Node A ID]]</f>
        <v>nAACCE65E_6554_4FBD_B4D7_A3BA8E3BDB92</v>
      </c>
      <c r="D15" s="21" t="str">
        <f>EdgesData[[#This Row],[Node B ID]]</f>
        <v>nAC688165_B606_4D82_A016_0263D701EDF2</v>
      </c>
      <c r="E15" s="3" t="str">
        <f>EdgesData[[#This Row],[Rel]]</f>
        <v>is</v>
      </c>
      <c r="F15" s="25" t="str" cm="1">
        <f t="array" ref="F15">IF(EdgesJSON[[#This Row],[Export?]]=0,"",IF(ROW(EdgesJSON[[#This Row],[id]])&gt;ROW(EdgesJSON[[#Headers],[JSON]])+1,",","") &amp;"{"&amp;twoRangesToJSON(EdgesJSON[[#Headers],[id]:[label]],EdgesJSON[[#This Row],[id]:[label]])&amp;"}")</f>
        <v>,{"id":"nCAC901A3_0FF2_4E12_B73E_E9CAC4124FF8","from":"nAACCE65E_6554_4FBD_B4D7_A3BA8E3BDB92","to":"nAC688165_B606_4D82_A016_0263D701EDF2","label":"is"}</v>
      </c>
    </row>
    <row r="16" spans="1:6" ht="13.9" thickTop="1" thickBot="1" x14ac:dyDescent="0.4">
      <c r="A16" s="39">
        <f>IF(ISERR(EdgesJSON[[#This Row],[id]]),0,1)</f>
        <v>1</v>
      </c>
      <c r="B16" s="21" t="str">
        <f>EdgesData[[#This Row],[Edge ID]]</f>
        <v>n1A871732_DAC0_47C7_A35A_FC53CF960FCF</v>
      </c>
      <c r="C16" s="21" t="str">
        <f>EdgesData[[#This Row],[Node A ID]]</f>
        <v>nF5B3A52F_6645_4E18_BE53_3CA330AAEC4A</v>
      </c>
      <c r="D16" s="21" t="str">
        <f>EdgesData[[#This Row],[Node B ID]]</f>
        <v>n53877DB9_77FA_44E9_974A_BE3344133398</v>
      </c>
      <c r="E16" s="3" t="str">
        <f>EdgesData[[#This Row],[Rel]]</f>
        <v>is</v>
      </c>
      <c r="F16" s="25" t="str" cm="1">
        <f t="array" ref="F16">IF(EdgesJSON[[#This Row],[Export?]]=0,"",IF(ROW(EdgesJSON[[#This Row],[id]])&gt;ROW(EdgesJSON[[#Headers],[JSON]])+1,",","") &amp;"{"&amp;twoRangesToJSON(EdgesJSON[[#Headers],[id]:[label]],EdgesJSON[[#This Row],[id]:[label]])&amp;"}")</f>
        <v>,{"id":"n1A871732_DAC0_47C7_A35A_FC53CF960FCF","from":"nF5B3A52F_6645_4E18_BE53_3CA330AAEC4A","to":"n53877DB9_77FA_44E9_974A_BE3344133398","label":"is"}</v>
      </c>
    </row>
    <row r="17" spans="1:6" ht="13.9" thickTop="1" thickBot="1" x14ac:dyDescent="0.4">
      <c r="A17" s="39">
        <f>IF(ISERR(EdgesJSON[[#This Row],[id]]),0,1)</f>
        <v>1</v>
      </c>
      <c r="B17" s="21" t="str">
        <f>EdgesData[[#This Row],[Edge ID]]</f>
        <v>nA353DE36_656F_413A_ADD6_089B79409954</v>
      </c>
      <c r="C17" s="21" t="str">
        <f>EdgesData[[#This Row],[Node A ID]]</f>
        <v>nF5B3A52F_6645_4E18_BE53_3CA330AAEC4A</v>
      </c>
      <c r="D17" s="21" t="str">
        <f>EdgesData[[#This Row],[Node B ID]]</f>
        <v>nAC688165_B606_4D82_A016_0263D701EDF2</v>
      </c>
      <c r="E17" s="3" t="str">
        <f>EdgesData[[#This Row],[Rel]]</f>
        <v>is</v>
      </c>
      <c r="F17" s="25" t="str" cm="1">
        <f t="array" ref="F17">IF(EdgesJSON[[#This Row],[Export?]]=0,"",IF(ROW(EdgesJSON[[#This Row],[id]])&gt;ROW(EdgesJSON[[#Headers],[JSON]])+1,",","") &amp;"{"&amp;twoRangesToJSON(EdgesJSON[[#Headers],[id]:[label]],EdgesJSON[[#This Row],[id]:[label]])&amp;"}")</f>
        <v>,{"id":"nA353DE36_656F_413A_ADD6_089B79409954","from":"nF5B3A52F_6645_4E18_BE53_3CA330AAEC4A","to":"nAC688165_B606_4D82_A016_0263D701EDF2","label":"is"}</v>
      </c>
    </row>
    <row r="18" spans="1:6" ht="13.9" thickTop="1" thickBot="1" x14ac:dyDescent="0.4">
      <c r="A18" s="39">
        <f>IF(ISERR(EdgesJSON[[#This Row],[id]]),0,1)</f>
        <v>1</v>
      </c>
      <c r="B18" s="21" t="str">
        <f>EdgesData[[#This Row],[Edge ID]]</f>
        <v>nB2F3DBF3_A01D_4F01_9A4D_277917FE5906</v>
      </c>
      <c r="C18" s="21" t="str">
        <f>EdgesData[[#This Row],[Node A ID]]</f>
        <v>nE75296C8_9CA1_417E_B05B_CC1BDF26F9C3</v>
      </c>
      <c r="D18" s="21" t="str">
        <f>EdgesData[[#This Row],[Node B ID]]</f>
        <v>n53877DB9_77FA_44E9_974A_BE3344133398</v>
      </c>
      <c r="E18" s="3" t="str">
        <f>EdgesData[[#This Row],[Rel]]</f>
        <v>is</v>
      </c>
      <c r="F18" s="25" t="str" cm="1">
        <f t="array" ref="F18">IF(EdgesJSON[[#This Row],[Export?]]=0,"",IF(ROW(EdgesJSON[[#This Row],[id]])&gt;ROW(EdgesJSON[[#Headers],[JSON]])+1,",","") &amp;"{"&amp;twoRangesToJSON(EdgesJSON[[#Headers],[id]:[label]],EdgesJSON[[#This Row],[id]:[label]])&amp;"}")</f>
        <v>,{"id":"nB2F3DBF3_A01D_4F01_9A4D_277917FE5906","from":"nE75296C8_9CA1_417E_B05B_CC1BDF26F9C3","to":"n53877DB9_77FA_44E9_974A_BE3344133398","label":"is"}</v>
      </c>
    </row>
    <row r="19" spans="1:6" ht="13.9" thickTop="1" thickBot="1" x14ac:dyDescent="0.4">
      <c r="A19" s="39">
        <f>IF(ISERR(EdgesJSON[[#This Row],[id]]),0,1)</f>
        <v>1</v>
      </c>
      <c r="B19" s="21" t="str">
        <f>EdgesData[[#This Row],[Edge ID]]</f>
        <v>nDEA62256_5D8D_43B0_BDAF_3E0BFDDB5934</v>
      </c>
      <c r="C19" s="21" t="str">
        <f>EdgesData[[#This Row],[Node A ID]]</f>
        <v>nE75296C8_9CA1_417E_B05B_CC1BDF26F9C3</v>
      </c>
      <c r="D19" s="21" t="str">
        <f>EdgesData[[#This Row],[Node B ID]]</f>
        <v>nAC688165_B606_4D82_A016_0263D701EDF2</v>
      </c>
      <c r="E19" s="3" t="str">
        <f>EdgesData[[#This Row],[Rel]]</f>
        <v>is</v>
      </c>
      <c r="F19" s="25" t="str" cm="1">
        <f t="array" ref="F19">IF(EdgesJSON[[#This Row],[Export?]]=0,"",IF(ROW(EdgesJSON[[#This Row],[id]])&gt;ROW(EdgesJSON[[#Headers],[JSON]])+1,",","") &amp;"{"&amp;twoRangesToJSON(EdgesJSON[[#Headers],[id]:[label]],EdgesJSON[[#This Row],[id]:[label]])&amp;"}")</f>
        <v>,{"id":"nDEA62256_5D8D_43B0_BDAF_3E0BFDDB5934","from":"nE75296C8_9CA1_417E_B05B_CC1BDF26F9C3","to":"nAC688165_B606_4D82_A016_0263D701EDF2","label":"is"}</v>
      </c>
    </row>
    <row r="20" spans="1:6" ht="13.9" thickTop="1" thickBot="1" x14ac:dyDescent="0.4">
      <c r="A20" s="39">
        <f>IF(ISERR(EdgesJSON[[#This Row],[id]]),0,1)</f>
        <v>1</v>
      </c>
      <c r="B20" s="21" t="str">
        <f>EdgesData[[#This Row],[Edge ID]]</f>
        <v>nA2A27037_77A3_4D96_BCA6_FEBAEF869C66</v>
      </c>
      <c r="C20" s="21" t="str">
        <f>EdgesData[[#This Row],[Node A ID]]</f>
        <v>n3E35442D_91A0_4B21_B0FC_31EF1D8BC55F</v>
      </c>
      <c r="D20" s="21" t="str">
        <f>EdgesData[[#This Row],[Node B ID]]</f>
        <v>n53877DB9_77FA_44E9_974A_BE3344133398</v>
      </c>
      <c r="E20" s="3" t="str">
        <f>EdgesData[[#This Row],[Rel]]</f>
        <v>is</v>
      </c>
      <c r="F20" s="25" t="str" cm="1">
        <f t="array" ref="F20">IF(EdgesJSON[[#This Row],[Export?]]=0,"",IF(ROW(EdgesJSON[[#This Row],[id]])&gt;ROW(EdgesJSON[[#Headers],[JSON]])+1,",","") &amp;"{"&amp;twoRangesToJSON(EdgesJSON[[#Headers],[id]:[label]],EdgesJSON[[#This Row],[id]:[label]])&amp;"}")</f>
        <v>,{"id":"nA2A27037_77A3_4D96_BCA6_FEBAEF869C66","from":"n3E35442D_91A0_4B21_B0FC_31EF1D8BC55F","to":"n53877DB9_77FA_44E9_974A_BE3344133398","label":"is"}</v>
      </c>
    </row>
    <row r="21" spans="1:6" ht="13.9" thickTop="1" thickBot="1" x14ac:dyDescent="0.4">
      <c r="A21" s="39">
        <f>IF(ISERR(EdgesJSON[[#This Row],[id]]),0,1)</f>
        <v>1</v>
      </c>
      <c r="B21" s="21" t="str">
        <f>EdgesData[[#This Row],[Edge ID]]</f>
        <v>nE42CADC2_DC16_41D6_93D7_D352A75B7BD8</v>
      </c>
      <c r="C21" s="21" t="str">
        <f>EdgesData[[#This Row],[Node A ID]]</f>
        <v>n3E35442D_91A0_4B21_B0FC_31EF1D8BC55F</v>
      </c>
      <c r="D21" s="21" t="str">
        <f>EdgesData[[#This Row],[Node B ID]]</f>
        <v>nAC688165_B606_4D82_A016_0263D701EDF2</v>
      </c>
      <c r="E21" s="3" t="str">
        <f>EdgesData[[#This Row],[Rel]]</f>
        <v>is</v>
      </c>
      <c r="F21" s="25" t="str" cm="1">
        <f t="array" ref="F21">IF(EdgesJSON[[#This Row],[Export?]]=0,"",IF(ROW(EdgesJSON[[#This Row],[id]])&gt;ROW(EdgesJSON[[#Headers],[JSON]])+1,",","") &amp;"{"&amp;twoRangesToJSON(EdgesJSON[[#Headers],[id]:[label]],EdgesJSON[[#This Row],[id]:[label]])&amp;"}")</f>
        <v>,{"id":"nE42CADC2_DC16_41D6_93D7_D352A75B7BD8","from":"n3E35442D_91A0_4B21_B0FC_31EF1D8BC55F","to":"nAC688165_B606_4D82_A016_0263D701EDF2","label":"is"}</v>
      </c>
    </row>
    <row r="22" spans="1:6" ht="13.9" thickTop="1" thickBot="1" x14ac:dyDescent="0.4">
      <c r="A22" s="39">
        <f>IF(ISERR(EdgesJSON[[#This Row],[id]]),0,1)</f>
        <v>1</v>
      </c>
      <c r="B22" s="21" t="str">
        <f>EdgesData[[#This Row],[Edge ID]]</f>
        <v>nF3F79199_74CC_4F4D_A509_DB0B9A32A705</v>
      </c>
      <c r="C22" s="21" t="str">
        <f>EdgesData[[#This Row],[Node A ID]]</f>
        <v>n99E2EC41_CA7B_41FD_8304_3926884533F9</v>
      </c>
      <c r="D22" s="21" t="str">
        <f>EdgesData[[#This Row],[Node B ID]]</f>
        <v>n67C132A3_290E_4750_90DE_11E7C1778537</v>
      </c>
      <c r="E22" s="3" t="str">
        <f>EdgesData[[#This Row],[Rel]]</f>
        <v>is</v>
      </c>
      <c r="F22" s="25" t="str" cm="1">
        <f t="array" ref="F22">IF(EdgesJSON[[#This Row],[Export?]]=0,"",IF(ROW(EdgesJSON[[#This Row],[id]])&gt;ROW(EdgesJSON[[#Headers],[JSON]])+1,",","") &amp;"{"&amp;twoRangesToJSON(EdgesJSON[[#Headers],[id]:[label]],EdgesJSON[[#This Row],[id]:[label]])&amp;"}")</f>
        <v>,{"id":"nF3F79199_74CC_4F4D_A509_DB0B9A32A705","from":"n99E2EC41_CA7B_41FD_8304_3926884533F9","to":"n67C132A3_290E_4750_90DE_11E7C1778537","label":"is"}</v>
      </c>
    </row>
    <row r="23" spans="1:6" ht="13.9" thickTop="1" thickBot="1" x14ac:dyDescent="0.4">
      <c r="A23" s="39">
        <f>IF(ISERR(EdgesJSON[[#This Row],[id]]),0,1)</f>
        <v>1</v>
      </c>
      <c r="B23" s="21" t="str">
        <f>EdgesData[[#This Row],[Edge ID]]</f>
        <v>n3D9A47E6_573A_4F2E_BEC6_9067B188F256</v>
      </c>
      <c r="C23" s="21" t="str">
        <f>EdgesData[[#This Row],[Node A ID]]</f>
        <v>nFF2EA87E_84ED_44A7_83DE_4A3C4C0F01DF</v>
      </c>
      <c r="D23" s="21" t="str">
        <f>EdgesData[[#This Row],[Node B ID]]</f>
        <v>n53877DB9_77FA_44E9_974A_BE3344133398</v>
      </c>
      <c r="E23" s="3" t="str">
        <f>EdgesData[[#This Row],[Rel]]</f>
        <v>is</v>
      </c>
      <c r="F23" s="25" t="str" cm="1">
        <f t="array" ref="F23">IF(EdgesJSON[[#This Row],[Export?]]=0,"",IF(ROW(EdgesJSON[[#This Row],[id]])&gt;ROW(EdgesJSON[[#Headers],[JSON]])+1,",","") &amp;"{"&amp;twoRangesToJSON(EdgesJSON[[#Headers],[id]:[label]],EdgesJSON[[#This Row],[id]:[label]])&amp;"}")</f>
        <v>,{"id":"n3D9A47E6_573A_4F2E_BEC6_9067B188F256","from":"nFF2EA87E_84ED_44A7_83DE_4A3C4C0F01DF","to":"n53877DB9_77FA_44E9_974A_BE3344133398","label":"is"}</v>
      </c>
    </row>
    <row r="24" spans="1:6" ht="13.9" thickTop="1" thickBot="1" x14ac:dyDescent="0.4">
      <c r="A24" s="39">
        <f>IF(ISERR(EdgesJSON[[#This Row],[id]]),0,1)</f>
        <v>1</v>
      </c>
      <c r="B24" s="21" t="str">
        <f>EdgesData[[#This Row],[Edge ID]]</f>
        <v>nFB0DACE8_6D44_4830_AF63_AE8DF94AA876</v>
      </c>
      <c r="C24" s="21" t="str">
        <f>EdgesData[[#This Row],[Node A ID]]</f>
        <v>nFF2EA87E_84ED_44A7_83DE_4A3C4C0F01DF</v>
      </c>
      <c r="D24" s="21" t="str">
        <f>EdgesData[[#This Row],[Node B ID]]</f>
        <v>nAC688165_B606_4D82_A016_0263D701EDF2</v>
      </c>
      <c r="E24" s="3" t="str">
        <f>EdgesData[[#This Row],[Rel]]</f>
        <v>is</v>
      </c>
      <c r="F24" s="25" t="str" cm="1">
        <f t="array" ref="F24">IF(EdgesJSON[[#This Row],[Export?]]=0,"",IF(ROW(EdgesJSON[[#This Row],[id]])&gt;ROW(EdgesJSON[[#Headers],[JSON]])+1,",","") &amp;"{"&amp;twoRangesToJSON(EdgesJSON[[#Headers],[id]:[label]],EdgesJSON[[#This Row],[id]:[label]])&amp;"}")</f>
        <v>,{"id":"nFB0DACE8_6D44_4830_AF63_AE8DF94AA876","from":"nFF2EA87E_84ED_44A7_83DE_4A3C4C0F01DF","to":"nAC688165_B606_4D82_A016_0263D701EDF2","label":"is"}</v>
      </c>
    </row>
    <row r="25" spans="1:6" ht="13.9" thickTop="1" thickBot="1" x14ac:dyDescent="0.4">
      <c r="A25" s="39">
        <f>IF(ISERR(EdgesJSON[[#This Row],[id]]),0,1)</f>
        <v>1</v>
      </c>
      <c r="B25" s="21" t="str">
        <f>EdgesData[[#This Row],[Edge ID]]</f>
        <v>n8F4D9ABE_2D04_445A_B86D_9C79BDDFB297</v>
      </c>
      <c r="C25" s="21" t="str">
        <f>EdgesData[[#This Row],[Node A ID]]</f>
        <v>n940256DD_635E_4F4B_91EA_B3366D40E947</v>
      </c>
      <c r="D25" s="21" t="str">
        <f>EdgesData[[#This Row],[Node B ID]]</f>
        <v>n80310A12_2F48_48B9_A9C3_E6FADD4B55C9</v>
      </c>
      <c r="E25" s="3" t="str">
        <f>EdgesData[[#This Row],[Rel]]</f>
        <v>is</v>
      </c>
      <c r="F25" s="25" t="str" cm="1">
        <f t="array" ref="F25">IF(EdgesJSON[[#This Row],[Export?]]=0,"",IF(ROW(EdgesJSON[[#This Row],[id]])&gt;ROW(EdgesJSON[[#Headers],[JSON]])+1,",","") &amp;"{"&amp;twoRangesToJSON(EdgesJSON[[#Headers],[id]:[label]],EdgesJSON[[#This Row],[id]:[label]])&amp;"}")</f>
        <v>,{"id":"n8F4D9ABE_2D04_445A_B86D_9C79BDDFB297","from":"n940256DD_635E_4F4B_91EA_B3366D40E947","to":"n80310A12_2F48_48B9_A9C3_E6FADD4B55C9","label":"is"}</v>
      </c>
    </row>
    <row r="26" spans="1:6" ht="13.9" thickTop="1" thickBot="1" x14ac:dyDescent="0.4">
      <c r="A26" s="39">
        <f>IF(ISERR(EdgesJSON[[#This Row],[id]]),0,1)</f>
        <v>1</v>
      </c>
      <c r="B26" s="21" t="str">
        <f>EdgesData[[#This Row],[Edge ID]]</f>
        <v>n04C264E5_1E6E_497A_85B4_8EB7A2EE0DC9</v>
      </c>
      <c r="C26" s="21" t="str">
        <f>EdgesData[[#This Row],[Node A ID]]</f>
        <v>nBB725018_7327_49FB_A48A_74839D0C04F9</v>
      </c>
      <c r="D26" s="21" t="str">
        <f>EdgesData[[#This Row],[Node B ID]]</f>
        <v>n80310A12_2F48_48B9_A9C3_E6FADD4B55C9</v>
      </c>
      <c r="E26" s="3" t="str">
        <f>EdgesData[[#This Row],[Rel]]</f>
        <v>is</v>
      </c>
      <c r="F26" s="25" t="str" cm="1">
        <f t="array" ref="F26">IF(EdgesJSON[[#This Row],[Export?]]=0,"",IF(ROW(EdgesJSON[[#This Row],[id]])&gt;ROW(EdgesJSON[[#Headers],[JSON]])+1,",","") &amp;"{"&amp;twoRangesToJSON(EdgesJSON[[#Headers],[id]:[label]],EdgesJSON[[#This Row],[id]:[label]])&amp;"}")</f>
        <v>,{"id":"n04C264E5_1E6E_497A_85B4_8EB7A2EE0DC9","from":"nBB725018_7327_49FB_A48A_74839D0C04F9","to":"n80310A12_2F48_48B9_A9C3_E6FADD4B55C9","label":"is"}</v>
      </c>
    </row>
    <row r="27" spans="1:6" ht="13.9" thickTop="1" thickBot="1" x14ac:dyDescent="0.4">
      <c r="A27" s="39">
        <f>IF(ISERR(EdgesJSON[[#This Row],[id]]),0,1)</f>
        <v>1</v>
      </c>
      <c r="B27" s="21" t="str">
        <f>EdgesData[[#This Row],[Edge ID]]</f>
        <v>n218B9A28_10CF_47F1_BCE5_B2CF708633D6</v>
      </c>
      <c r="C27" s="21" t="str">
        <f>EdgesData[[#This Row],[Node A ID]]</f>
        <v>nC607594D_D597_4C8E_9605_EED87566C2FD</v>
      </c>
      <c r="D27" s="21" t="str">
        <f>EdgesData[[#This Row],[Node B ID]]</f>
        <v>n80310A12_2F48_48B9_A9C3_E6FADD4B55C9</v>
      </c>
      <c r="E27" s="3" t="str">
        <f>EdgesData[[#This Row],[Rel]]</f>
        <v>composed of</v>
      </c>
      <c r="F27" s="25" t="str" cm="1">
        <f t="array" ref="F27">IF(EdgesJSON[[#This Row],[Export?]]=0,"",IF(ROW(EdgesJSON[[#This Row],[id]])&gt;ROW(EdgesJSON[[#Headers],[JSON]])+1,",","") &amp;"{"&amp;twoRangesToJSON(EdgesJSON[[#Headers],[id]:[label]],EdgesJSON[[#This Row],[id]:[label]])&amp;"}")</f>
        <v>,{"id":"n218B9A28_10CF_47F1_BCE5_B2CF708633D6","from":"nC607594D_D597_4C8E_9605_EED87566C2FD","to":"n80310A12_2F48_48B9_A9C3_E6FADD4B55C9","label":"composed of"}</v>
      </c>
    </row>
    <row r="28" spans="1:6" ht="13.9" thickTop="1" thickBot="1" x14ac:dyDescent="0.4">
      <c r="A28" s="39">
        <f>IF(ISERR(EdgesJSON[[#This Row],[id]]),0,1)</f>
        <v>1</v>
      </c>
      <c r="B28" s="21" t="str">
        <f>EdgesData[[#This Row],[Edge ID]]</f>
        <v>n63524A5E_DE23_4177_B001_AB7FE6B60755</v>
      </c>
      <c r="C28" s="21" t="str">
        <f>EdgesData[[#This Row],[Node A ID]]</f>
        <v>nC607594D_D597_4C8E_9605_EED87566C2FD</v>
      </c>
      <c r="D28" s="21" t="str">
        <f>EdgesData[[#This Row],[Node B ID]]</f>
        <v>nFB32F479_4EF7_409C_900B_EE48AA0DE846</v>
      </c>
      <c r="E28" s="3" t="str">
        <f>EdgesData[[#This Row],[Rel]]</f>
        <v>may have</v>
      </c>
      <c r="F28" s="25" t="str" cm="1">
        <f t="array" ref="F28">IF(EdgesJSON[[#This Row],[Export?]]=0,"",IF(ROW(EdgesJSON[[#This Row],[id]])&gt;ROW(EdgesJSON[[#Headers],[JSON]])+1,",","") &amp;"{"&amp;twoRangesToJSON(EdgesJSON[[#Headers],[id]:[label]],EdgesJSON[[#This Row],[id]:[label]])&amp;"}")</f>
        <v>,{"id":"n63524A5E_DE23_4177_B001_AB7FE6B60755","from":"nC607594D_D597_4C8E_9605_EED87566C2FD","to":"nFB32F479_4EF7_409C_900B_EE48AA0DE846","label":"may have"}</v>
      </c>
    </row>
    <row r="29" spans="1:6" ht="13.9" thickTop="1" thickBot="1" x14ac:dyDescent="0.4">
      <c r="A29" s="39">
        <f>IF(ISERR(EdgesJSON[[#This Row],[id]]),0,1)</f>
        <v>1</v>
      </c>
      <c r="B29" s="21" t="str">
        <f>EdgesData[[#This Row],[Edge ID]]</f>
        <v>n7B71DF07_C7D1_46EC_801B_8157BECEBBD8</v>
      </c>
      <c r="C29" s="21" t="str">
        <f>EdgesData[[#This Row],[Node A ID]]</f>
        <v>nC607594D_D597_4C8E_9605_EED87566C2FD</v>
      </c>
      <c r="D29" s="21" t="str">
        <f>EdgesData[[#This Row],[Node B ID]]</f>
        <v>nFA6C8A63_7071_4E20_BB02_F78403869E0B</v>
      </c>
      <c r="E29" s="3" t="str">
        <f>EdgesData[[#This Row],[Rel]]</f>
        <v>may have</v>
      </c>
      <c r="F29" s="25" t="str" cm="1">
        <f t="array" ref="F29">IF(EdgesJSON[[#This Row],[Export?]]=0,"",IF(ROW(EdgesJSON[[#This Row],[id]])&gt;ROW(EdgesJSON[[#Headers],[JSON]])+1,",","") &amp;"{"&amp;twoRangesToJSON(EdgesJSON[[#Headers],[id]:[label]],EdgesJSON[[#This Row],[id]:[label]])&amp;"}")</f>
        <v>,{"id":"n7B71DF07_C7D1_46EC_801B_8157BECEBBD8","from":"nC607594D_D597_4C8E_9605_EED87566C2FD","to":"nFA6C8A63_7071_4E20_BB02_F78403869E0B","label":"may have"}</v>
      </c>
    </row>
    <row r="30" spans="1:6" ht="13.9" thickTop="1" thickBot="1" x14ac:dyDescent="0.4">
      <c r="A30" s="39">
        <f>IF(ISERR(EdgesJSON[[#This Row],[id]]),0,1)</f>
        <v>1</v>
      </c>
      <c r="B30" s="21" t="str">
        <f>EdgesData[[#This Row],[Edge ID]]</f>
        <v>n7EEAE8B6_AE75_437C_A18E_905A8E62F49A</v>
      </c>
      <c r="C30" s="21" t="str">
        <f>EdgesData[[#This Row],[Node A ID]]</f>
        <v>nC607594D_D597_4C8E_9605_EED87566C2FD</v>
      </c>
      <c r="D30" s="21" t="str">
        <f>EdgesData[[#This Row],[Node B ID]]</f>
        <v>nAC062A15_C72B_42D8_BBDF_C7EB64B35F26</v>
      </c>
      <c r="E30" s="3" t="str">
        <f>EdgesData[[#This Row],[Rel]]</f>
        <v>may have</v>
      </c>
      <c r="F30" s="25" t="str" cm="1">
        <f t="array" ref="F30">IF(EdgesJSON[[#This Row],[Export?]]=0,"",IF(ROW(EdgesJSON[[#This Row],[id]])&gt;ROW(EdgesJSON[[#Headers],[JSON]])+1,",","") &amp;"{"&amp;twoRangesToJSON(EdgesJSON[[#Headers],[id]:[label]],EdgesJSON[[#This Row],[id]:[label]])&amp;"}")</f>
        <v>,{"id":"n7EEAE8B6_AE75_437C_A18E_905A8E62F49A","from":"nC607594D_D597_4C8E_9605_EED87566C2FD","to":"nAC062A15_C72B_42D8_BBDF_C7EB64B35F26","label":"may have"}</v>
      </c>
    </row>
    <row r="31" spans="1:6" ht="13.9" thickTop="1" thickBot="1" x14ac:dyDescent="0.4">
      <c r="A31" s="39">
        <f>IF(ISERR(EdgesJSON[[#This Row],[id]]),0,1)</f>
        <v>1</v>
      </c>
      <c r="B31" s="21" t="str">
        <f>EdgesData[[#This Row],[Edge ID]]</f>
        <v>n7D3DEC30_7061_484C_8360_3828C1B9DBA7</v>
      </c>
      <c r="C31" s="21" t="str">
        <f>EdgesData[[#This Row],[Node A ID]]</f>
        <v>nC607594D_D597_4C8E_9605_EED87566C2FD</v>
      </c>
      <c r="D31" s="21" t="str">
        <f>EdgesData[[#This Row],[Node B ID]]</f>
        <v>nF3A221C8_C126_458E_818C_DAE6B57CD442</v>
      </c>
      <c r="E31" s="3" t="str">
        <f>EdgesData[[#This Row],[Rel]]</f>
        <v>may have</v>
      </c>
      <c r="F31" s="25" t="str" cm="1">
        <f t="array" ref="F31">IF(EdgesJSON[[#This Row],[Export?]]=0,"",IF(ROW(EdgesJSON[[#This Row],[id]])&gt;ROW(EdgesJSON[[#Headers],[JSON]])+1,",","") &amp;"{"&amp;twoRangesToJSON(EdgesJSON[[#Headers],[id]:[label]],EdgesJSON[[#This Row],[id]:[label]])&amp;"}")</f>
        <v>,{"id":"n7D3DEC30_7061_484C_8360_3828C1B9DBA7","from":"nC607594D_D597_4C8E_9605_EED87566C2FD","to":"nF3A221C8_C126_458E_818C_DAE6B57CD442","label":"may have"}</v>
      </c>
    </row>
    <row r="32" spans="1:6" ht="13.9" thickTop="1" thickBot="1" x14ac:dyDescent="0.4">
      <c r="A32" s="39">
        <f>IF(ISERR(EdgesJSON[[#This Row],[id]]),0,1)</f>
        <v>1</v>
      </c>
      <c r="B32" s="21" t="str">
        <f>EdgesData[[#This Row],[Edge ID]]</f>
        <v>nA64812DF_4091_450F_83AC_CFF12E37FF21</v>
      </c>
      <c r="C32" s="21" t="str">
        <f>EdgesData[[#This Row],[Node A ID]]</f>
        <v>nC607594D_D597_4C8E_9605_EED87566C2FD</v>
      </c>
      <c r="D32" s="21" t="str">
        <f>EdgesData[[#This Row],[Node B ID]]</f>
        <v>n2E4A35A7_53BB_4F4B_8554_B6584F77D71D</v>
      </c>
      <c r="E32" s="3" t="str">
        <f>EdgesData[[#This Row],[Rel]]</f>
        <v>regarded as</v>
      </c>
      <c r="F32" s="25" t="str" cm="1">
        <f t="array" ref="F32">IF(EdgesJSON[[#This Row],[Export?]]=0,"",IF(ROW(EdgesJSON[[#This Row],[id]])&gt;ROW(EdgesJSON[[#Headers],[JSON]])+1,",","") &amp;"{"&amp;twoRangesToJSON(EdgesJSON[[#Headers],[id]:[label]],EdgesJSON[[#This Row],[id]:[label]])&amp;"}")</f>
        <v>,{"id":"nA64812DF_4091_450F_83AC_CFF12E37FF21","from":"nC607594D_D597_4C8E_9605_EED87566C2FD","to":"n2E4A35A7_53BB_4F4B_8554_B6584F77D71D","label":"regarded as"}</v>
      </c>
    </row>
    <row r="33" spans="1:6" ht="13.9" thickTop="1" thickBot="1" x14ac:dyDescent="0.4">
      <c r="A33" s="39">
        <f>IF(ISERR(EdgesJSON[[#This Row],[id]]),0,1)</f>
        <v>1</v>
      </c>
      <c r="B33" s="21" t="str">
        <f>EdgesData[[#This Row],[Edge ID]]</f>
        <v>n86BFB053_23CF_4416_BBC0_B2E65701A275</v>
      </c>
      <c r="C33" s="21" t="str">
        <f>EdgesData[[#This Row],[Node A ID]]</f>
        <v>n35F5759D_AAFF_439C_A04E_623AA07EE4D9</v>
      </c>
      <c r="D33" s="21" t="str">
        <f>EdgesData[[#This Row],[Node B ID]]</f>
        <v>n2F27DDAD_459D_4B06_9152_168BDF5063F5</v>
      </c>
      <c r="E33" s="3" t="str">
        <f>EdgesData[[#This Row],[Rel]]</f>
        <v>synonym for</v>
      </c>
      <c r="F33" s="25" t="str" cm="1">
        <f t="array" ref="F33">IF(EdgesJSON[[#This Row],[Export?]]=0,"",IF(ROW(EdgesJSON[[#This Row],[id]])&gt;ROW(EdgesJSON[[#Headers],[JSON]])+1,",","") &amp;"{"&amp;twoRangesToJSON(EdgesJSON[[#Headers],[id]:[label]],EdgesJSON[[#This Row],[id]:[label]])&amp;"}")</f>
        <v>,{"id":"n86BFB053_23CF_4416_BBC0_B2E65701A275","from":"n35F5759D_AAFF_439C_A04E_623AA07EE4D9","to":"n2F27DDAD_459D_4B06_9152_168BDF5063F5","label":"synonym for"}</v>
      </c>
    </row>
    <row r="34" spans="1:6" ht="13.9" thickTop="1" thickBot="1" x14ac:dyDescent="0.4">
      <c r="A34" s="39">
        <f>IF(ISERR(EdgesJSON[[#This Row],[id]]),0,1)</f>
        <v>1</v>
      </c>
      <c r="B34" s="21" t="str">
        <f>EdgesData[[#This Row],[Edge ID]]</f>
        <v>n1BFD7E0A_9FB6_4761_8D27_F7FA858384E7</v>
      </c>
      <c r="C34" s="21" t="str">
        <f>EdgesData[[#This Row],[Node A ID]]</f>
        <v>n35F5759D_AAFF_439C_A04E_623AA07EE4D9</v>
      </c>
      <c r="D34" s="21" t="str">
        <f>EdgesData[[#This Row],[Node B ID]]</f>
        <v>n53877DB9_77FA_44E9_974A_BE3344133398</v>
      </c>
      <c r="E34" s="3" t="str">
        <f>EdgesData[[#This Row],[Rel]]</f>
        <v>is</v>
      </c>
      <c r="F34" s="25" t="str" cm="1">
        <f t="array" ref="F34">IF(EdgesJSON[[#This Row],[Export?]]=0,"",IF(ROW(EdgesJSON[[#This Row],[id]])&gt;ROW(EdgesJSON[[#Headers],[JSON]])+1,",","") &amp;"{"&amp;twoRangesToJSON(EdgesJSON[[#Headers],[id]:[label]],EdgesJSON[[#This Row],[id]:[label]])&amp;"}")</f>
        <v>,{"id":"n1BFD7E0A_9FB6_4761_8D27_F7FA858384E7","from":"n35F5759D_AAFF_439C_A04E_623AA07EE4D9","to":"n53877DB9_77FA_44E9_974A_BE3344133398","label":"is"}</v>
      </c>
    </row>
    <row r="35" spans="1:6" ht="13.9" thickTop="1" thickBot="1" x14ac:dyDescent="0.4">
      <c r="A35" s="39">
        <f>IF(ISERR(EdgesJSON[[#This Row],[id]]),0,1)</f>
        <v>1</v>
      </c>
      <c r="B35" s="21" t="str">
        <f>EdgesData[[#This Row],[Edge ID]]</f>
        <v>n6F722E35_6B6C_4914_83F1_5B250A727B9A</v>
      </c>
      <c r="C35" s="21" t="str">
        <f>EdgesData[[#This Row],[Node A ID]]</f>
        <v>n35F5759D_AAFF_439C_A04E_623AA07EE4D9</v>
      </c>
      <c r="D35" s="21" t="str">
        <f>EdgesData[[#This Row],[Node B ID]]</f>
        <v>nAC688165_B606_4D82_A016_0263D701EDF2</v>
      </c>
      <c r="E35" s="3" t="str">
        <f>EdgesData[[#This Row],[Rel]]</f>
        <v>is</v>
      </c>
      <c r="F35" s="25" t="str" cm="1">
        <f t="array" ref="F35">IF(EdgesJSON[[#This Row],[Export?]]=0,"",IF(ROW(EdgesJSON[[#This Row],[id]])&gt;ROW(EdgesJSON[[#Headers],[JSON]])+1,",","") &amp;"{"&amp;twoRangesToJSON(EdgesJSON[[#Headers],[id]:[label]],EdgesJSON[[#This Row],[id]:[label]])&amp;"}")</f>
        <v>,{"id":"n6F722E35_6B6C_4914_83F1_5B250A727B9A","from":"n35F5759D_AAFF_439C_A04E_623AA07EE4D9","to":"nAC688165_B606_4D82_A016_0263D701EDF2","label":"is"}</v>
      </c>
    </row>
    <row r="36" spans="1:6" ht="13.9" thickTop="1" thickBot="1" x14ac:dyDescent="0.4">
      <c r="A36" s="39">
        <f>IF(ISERR(EdgesJSON[[#This Row],[id]]),0,1)</f>
        <v>1</v>
      </c>
      <c r="B36" s="21" t="str">
        <f>EdgesData[[#This Row],[Edge ID]]</f>
        <v>n9B5B0398_CCEF_426C_BFD3_04D87ADC5A42</v>
      </c>
      <c r="C36" s="21" t="str">
        <f>EdgesData[[#This Row],[Node A ID]]</f>
        <v>n63EDDBAD_A168_4974_B9D5_9B90FB3F688E</v>
      </c>
      <c r="D36" s="21" t="str">
        <f>EdgesData[[#This Row],[Node B ID]]</f>
        <v>n67C132A3_290E_4750_90DE_11E7C1778537</v>
      </c>
      <c r="E36" s="3" t="str">
        <f>EdgesData[[#This Row],[Rel]]</f>
        <v>is</v>
      </c>
      <c r="F36" s="25" t="str" cm="1">
        <f t="array" ref="F36">IF(EdgesJSON[[#This Row],[Export?]]=0,"",IF(ROW(EdgesJSON[[#This Row],[id]])&gt;ROW(EdgesJSON[[#Headers],[JSON]])+1,",","") &amp;"{"&amp;twoRangesToJSON(EdgesJSON[[#Headers],[id]:[label]],EdgesJSON[[#This Row],[id]:[label]])&amp;"}")</f>
        <v>,{"id":"n9B5B0398_CCEF_426C_BFD3_04D87ADC5A42","from":"n63EDDBAD_A168_4974_B9D5_9B90FB3F688E","to":"n67C132A3_290E_4750_90DE_11E7C1778537","label":"is"}</v>
      </c>
    </row>
    <row r="37" spans="1:6" ht="13.9" thickTop="1" thickBot="1" x14ac:dyDescent="0.4">
      <c r="A37" s="39">
        <f>IF(ISERR(EdgesJSON[[#This Row],[id]]),0,1)</f>
        <v>1</v>
      </c>
      <c r="B37" s="21" t="str">
        <f>EdgesData[[#This Row],[Edge ID]]</f>
        <v>n7EDADDC0_813C_4BCC_9D7C_99B766ED8CFA</v>
      </c>
      <c r="C37" s="21" t="str">
        <f>EdgesData[[#This Row],[Node A ID]]</f>
        <v>nC63D5B91_5DF9_4B35_856B_670E59CF1CA0</v>
      </c>
      <c r="D37" s="21" t="str">
        <f>EdgesData[[#This Row],[Node B ID]]</f>
        <v>n53877DB9_77FA_44E9_974A_BE3344133398</v>
      </c>
      <c r="E37" s="3" t="str">
        <f>EdgesData[[#This Row],[Rel]]</f>
        <v>is</v>
      </c>
      <c r="F37" s="25" t="str" cm="1">
        <f t="array" ref="F37">IF(EdgesJSON[[#This Row],[Export?]]=0,"",IF(ROW(EdgesJSON[[#This Row],[id]])&gt;ROW(EdgesJSON[[#Headers],[JSON]])+1,",","") &amp;"{"&amp;twoRangesToJSON(EdgesJSON[[#Headers],[id]:[label]],EdgesJSON[[#This Row],[id]:[label]])&amp;"}")</f>
        <v>,{"id":"n7EDADDC0_813C_4BCC_9D7C_99B766ED8CFA","from":"nC63D5B91_5DF9_4B35_856B_670E59CF1CA0","to":"n53877DB9_77FA_44E9_974A_BE3344133398","label":"is"}</v>
      </c>
    </row>
    <row r="38" spans="1:6" ht="13.9" thickTop="1" thickBot="1" x14ac:dyDescent="0.4">
      <c r="A38" s="39">
        <f>IF(ISERR(EdgesJSON[[#This Row],[id]]),0,1)</f>
        <v>1</v>
      </c>
      <c r="B38" s="21" t="str">
        <f>EdgesData[[#This Row],[Edge ID]]</f>
        <v>nC55380A6_8E52_4E69_9929_1DD7F0172B53</v>
      </c>
      <c r="C38" s="21" t="str">
        <f>EdgesData[[#This Row],[Node A ID]]</f>
        <v>nC63D5B91_5DF9_4B35_856B_670E59CF1CA0</v>
      </c>
      <c r="D38" s="21" t="str">
        <f>EdgesData[[#This Row],[Node B ID]]</f>
        <v>nAC688165_B606_4D82_A016_0263D701EDF2</v>
      </c>
      <c r="E38" s="3" t="str">
        <f>EdgesData[[#This Row],[Rel]]</f>
        <v>is</v>
      </c>
      <c r="F38" s="25" t="str" cm="1">
        <f t="array" ref="F38">IF(EdgesJSON[[#This Row],[Export?]]=0,"",IF(ROW(EdgesJSON[[#This Row],[id]])&gt;ROW(EdgesJSON[[#Headers],[JSON]])+1,",","") &amp;"{"&amp;twoRangesToJSON(EdgesJSON[[#Headers],[id]:[label]],EdgesJSON[[#This Row],[id]:[label]])&amp;"}")</f>
        <v>,{"id":"nC55380A6_8E52_4E69_9929_1DD7F0172B53","from":"nC63D5B91_5DF9_4B35_856B_670E59CF1CA0","to":"nAC688165_B606_4D82_A016_0263D701EDF2","label":"is"}</v>
      </c>
    </row>
    <row r="39" spans="1:6" ht="13.9" thickTop="1" thickBot="1" x14ac:dyDescent="0.4">
      <c r="A39" s="39">
        <f>IF(ISERR(EdgesJSON[[#This Row],[id]]),0,1)</f>
        <v>1</v>
      </c>
      <c r="B39" s="21" t="str">
        <f>EdgesData[[#This Row],[Edge ID]]</f>
        <v>n8DC0BB5E_D388_4FFA_B285_2015DDA23483</v>
      </c>
      <c r="C39" s="21" t="str">
        <f>EdgesData[[#This Row],[Node A ID]]</f>
        <v>nE61E61F3_D210_49D4_9FB5_8E7744490C9D</v>
      </c>
      <c r="D39" s="21" t="str">
        <f>EdgesData[[#This Row],[Node B ID]]</f>
        <v>n67C132A3_290E_4750_90DE_11E7C1778537</v>
      </c>
      <c r="E39" s="3" t="str">
        <f>EdgesData[[#This Row],[Rel]]</f>
        <v>is</v>
      </c>
      <c r="F39" s="25" t="str" cm="1">
        <f t="array" ref="F39">IF(EdgesJSON[[#This Row],[Export?]]=0,"",IF(ROW(EdgesJSON[[#This Row],[id]])&gt;ROW(EdgesJSON[[#Headers],[JSON]])+1,",","") &amp;"{"&amp;twoRangesToJSON(EdgesJSON[[#Headers],[id]:[label]],EdgesJSON[[#This Row],[id]:[label]])&amp;"}")</f>
        <v>,{"id":"n8DC0BB5E_D388_4FFA_B285_2015DDA23483","from":"nE61E61F3_D210_49D4_9FB5_8E7744490C9D","to":"n67C132A3_290E_4750_90DE_11E7C1778537","label":"is"}</v>
      </c>
    </row>
    <row r="40" spans="1:6" ht="13.9" thickTop="1" thickBot="1" x14ac:dyDescent="0.4">
      <c r="A40" s="39">
        <f>IF(ISERR(EdgesJSON[[#This Row],[id]]),0,1)</f>
        <v>1</v>
      </c>
      <c r="B40" s="21" t="str">
        <f>EdgesData[[#This Row],[Edge ID]]</f>
        <v>n0BB13D61_3169_4D1C_B41A_F7C75D744123</v>
      </c>
      <c r="C40" s="21" t="str">
        <f>EdgesData[[#This Row],[Node A ID]]</f>
        <v>nF4329B4E_89AE_4B13_8BA2_B6BEFB931A12</v>
      </c>
      <c r="D40" s="21" t="str">
        <f>EdgesData[[#This Row],[Node B ID]]</f>
        <v>n53877DB9_77FA_44E9_974A_BE3344133398</v>
      </c>
      <c r="E40" s="3" t="str">
        <f>EdgesData[[#This Row],[Rel]]</f>
        <v>is</v>
      </c>
      <c r="F40" s="25" t="str" cm="1">
        <f t="array" ref="F40">IF(EdgesJSON[[#This Row],[Export?]]=0,"",IF(ROW(EdgesJSON[[#This Row],[id]])&gt;ROW(EdgesJSON[[#Headers],[JSON]])+1,",","") &amp;"{"&amp;twoRangesToJSON(EdgesJSON[[#Headers],[id]:[label]],EdgesJSON[[#This Row],[id]:[label]])&amp;"}")</f>
        <v>,{"id":"n0BB13D61_3169_4D1C_B41A_F7C75D744123","from":"nF4329B4E_89AE_4B13_8BA2_B6BEFB931A12","to":"n53877DB9_77FA_44E9_974A_BE3344133398","label":"is"}</v>
      </c>
    </row>
    <row r="41" spans="1:6" ht="13.9" thickTop="1" thickBot="1" x14ac:dyDescent="0.4">
      <c r="A41" s="39">
        <f>IF(ISERR(EdgesJSON[[#This Row],[id]]),0,1)</f>
        <v>1</v>
      </c>
      <c r="B41" s="21" t="str">
        <f>EdgesData[[#This Row],[Edge ID]]</f>
        <v>n0E0FA8E6_D7C8_42DB_A49D_D3414BAAA139</v>
      </c>
      <c r="C41" s="21" t="str">
        <f>EdgesData[[#This Row],[Node A ID]]</f>
        <v>nF4329B4E_89AE_4B13_8BA2_B6BEFB931A12</v>
      </c>
      <c r="D41" s="21" t="str">
        <f>EdgesData[[#This Row],[Node B ID]]</f>
        <v>nAC688165_B606_4D82_A016_0263D701EDF2</v>
      </c>
      <c r="E41" s="3" t="str">
        <f>EdgesData[[#This Row],[Rel]]</f>
        <v>is</v>
      </c>
      <c r="F41" s="25" t="str" cm="1">
        <f t="array" ref="F41">IF(EdgesJSON[[#This Row],[Export?]]=0,"",IF(ROW(EdgesJSON[[#This Row],[id]])&gt;ROW(EdgesJSON[[#Headers],[JSON]])+1,",","") &amp;"{"&amp;twoRangesToJSON(EdgesJSON[[#Headers],[id]:[label]],EdgesJSON[[#This Row],[id]:[label]])&amp;"}")</f>
        <v>,{"id":"n0E0FA8E6_D7C8_42DB_A49D_D3414BAAA139","from":"nF4329B4E_89AE_4B13_8BA2_B6BEFB931A12","to":"nAC688165_B606_4D82_A016_0263D701EDF2","label":"is"}</v>
      </c>
    </row>
    <row r="42" spans="1:6" ht="13.9" thickTop="1" thickBot="1" x14ac:dyDescent="0.4">
      <c r="A42" s="39">
        <f>IF(ISERR(EdgesJSON[[#This Row],[id]]),0,1)</f>
        <v>1</v>
      </c>
      <c r="B42" s="21" t="str">
        <f>EdgesData[[#This Row],[Edge ID]]</f>
        <v>nFD74C25B_CA1D_41B8_8285_859CDE820E05</v>
      </c>
      <c r="C42" s="21" t="str">
        <f>EdgesData[[#This Row],[Node A ID]]</f>
        <v>nD67337C3_82D6_4A00_9312_77ECF955E4EE</v>
      </c>
      <c r="D42" s="21" t="str">
        <f>EdgesData[[#This Row],[Node B ID]]</f>
        <v>n53877DB9_77FA_44E9_974A_BE3344133398</v>
      </c>
      <c r="E42" s="3" t="str">
        <f>EdgesData[[#This Row],[Rel]]</f>
        <v>is</v>
      </c>
      <c r="F42" s="25" t="str" cm="1">
        <f t="array" ref="F42">IF(EdgesJSON[[#This Row],[Export?]]=0,"",IF(ROW(EdgesJSON[[#This Row],[id]])&gt;ROW(EdgesJSON[[#Headers],[JSON]])+1,",","") &amp;"{"&amp;twoRangesToJSON(EdgesJSON[[#Headers],[id]:[label]],EdgesJSON[[#This Row],[id]:[label]])&amp;"}")</f>
        <v>,{"id":"nFD74C25B_CA1D_41B8_8285_859CDE820E05","from":"nD67337C3_82D6_4A00_9312_77ECF955E4EE","to":"n53877DB9_77FA_44E9_974A_BE3344133398","label":"is"}</v>
      </c>
    </row>
    <row r="43" spans="1:6" ht="13.9" thickTop="1" thickBot="1" x14ac:dyDescent="0.4">
      <c r="A43" s="39">
        <f>IF(ISERR(EdgesJSON[[#This Row],[id]]),0,1)</f>
        <v>1</v>
      </c>
      <c r="B43" s="21" t="str">
        <f>EdgesData[[#This Row],[Edge ID]]</f>
        <v>n38735D1A_417F_438D_ADD1_4030265037A7</v>
      </c>
      <c r="C43" s="21" t="str">
        <f>EdgesData[[#This Row],[Node A ID]]</f>
        <v>nD67337C3_82D6_4A00_9312_77ECF955E4EE</v>
      </c>
      <c r="D43" s="21" t="str">
        <f>EdgesData[[#This Row],[Node B ID]]</f>
        <v>nAC688165_B606_4D82_A016_0263D701EDF2</v>
      </c>
      <c r="E43" s="3" t="str">
        <f>EdgesData[[#This Row],[Rel]]</f>
        <v>is</v>
      </c>
      <c r="F43" s="25" t="str" cm="1">
        <f t="array" ref="F43">IF(EdgesJSON[[#This Row],[Export?]]=0,"",IF(ROW(EdgesJSON[[#This Row],[id]])&gt;ROW(EdgesJSON[[#Headers],[JSON]])+1,",","") &amp;"{"&amp;twoRangesToJSON(EdgesJSON[[#Headers],[id]:[label]],EdgesJSON[[#This Row],[id]:[label]])&amp;"}")</f>
        <v>,{"id":"n38735D1A_417F_438D_ADD1_4030265037A7","from":"nD67337C3_82D6_4A00_9312_77ECF955E4EE","to":"nAC688165_B606_4D82_A016_0263D701EDF2","label":"is"}</v>
      </c>
    </row>
    <row r="44" spans="1:6" ht="13.9" thickTop="1" thickBot="1" x14ac:dyDescent="0.4">
      <c r="A44" s="39">
        <f>IF(ISERR(EdgesJSON[[#This Row],[id]]),0,1)</f>
        <v>1</v>
      </c>
      <c r="B44" s="21" t="str">
        <f>EdgesData[[#This Row],[Edge ID]]</f>
        <v>nA2E86579_252A_4E1D_AC68_2AEE7D87BDF9</v>
      </c>
      <c r="C44" s="21" t="str">
        <f>EdgesData[[#This Row],[Node A ID]]</f>
        <v>n8B4BB7FC_2E2A_4C1A_8657_58EEC2DF8A9A</v>
      </c>
      <c r="D44" s="21" t="str">
        <f>EdgesData[[#This Row],[Node B ID]]</f>
        <v>n67C132A3_290E_4750_90DE_11E7C1778537</v>
      </c>
      <c r="E44" s="3" t="str">
        <f>EdgesData[[#This Row],[Rel]]</f>
        <v>is</v>
      </c>
      <c r="F44" s="25" t="str" cm="1">
        <f t="array" ref="F44">IF(EdgesJSON[[#This Row],[Export?]]=0,"",IF(ROW(EdgesJSON[[#This Row],[id]])&gt;ROW(EdgesJSON[[#Headers],[JSON]])+1,",","") &amp;"{"&amp;twoRangesToJSON(EdgesJSON[[#Headers],[id]:[label]],EdgesJSON[[#This Row],[id]:[label]])&amp;"}")</f>
        <v>,{"id":"nA2E86579_252A_4E1D_AC68_2AEE7D87BDF9","from":"n8B4BB7FC_2E2A_4C1A_8657_58EEC2DF8A9A","to":"n67C132A3_290E_4750_90DE_11E7C1778537","label":"is"}</v>
      </c>
    </row>
    <row r="45" spans="1:6" ht="13.9" thickTop="1" thickBot="1" x14ac:dyDescent="0.4">
      <c r="A45" s="39">
        <f>IF(ISERR(EdgesJSON[[#This Row],[id]]),0,1)</f>
        <v>1</v>
      </c>
      <c r="B45" s="21" t="str">
        <f>EdgesData[[#This Row],[Edge ID]]</f>
        <v>nC621ED13_0087_42F8_80CD_7697770DAD73</v>
      </c>
      <c r="C45" s="21" t="str">
        <f>EdgesData[[#This Row],[Node A ID]]</f>
        <v>nF44C30A8_A797_4F0C_9C18_D87E7D5A8B88</v>
      </c>
      <c r="D45" s="21" t="str">
        <f>EdgesData[[#This Row],[Node B ID]]</f>
        <v>n67C132A3_290E_4750_90DE_11E7C1778537</v>
      </c>
      <c r="E45" s="3" t="str">
        <f>EdgesData[[#This Row],[Rel]]</f>
        <v>is</v>
      </c>
      <c r="F45" s="25" t="str" cm="1">
        <f t="array" ref="F45">IF(EdgesJSON[[#This Row],[Export?]]=0,"",IF(ROW(EdgesJSON[[#This Row],[id]])&gt;ROW(EdgesJSON[[#Headers],[JSON]])+1,",","") &amp;"{"&amp;twoRangesToJSON(EdgesJSON[[#Headers],[id]:[label]],EdgesJSON[[#This Row],[id]:[label]])&amp;"}")</f>
        <v>,{"id":"nC621ED13_0087_42F8_80CD_7697770DAD73","from":"nF44C30A8_A797_4F0C_9C18_D87E7D5A8B88","to":"n67C132A3_290E_4750_90DE_11E7C1778537","label":"is"}</v>
      </c>
    </row>
    <row r="46" spans="1:6" ht="13.9" thickTop="1" thickBot="1" x14ac:dyDescent="0.4">
      <c r="A46" s="39">
        <f>IF(ISERR(EdgesJSON[[#This Row],[id]]),0,1)</f>
        <v>1</v>
      </c>
      <c r="B46" s="21" t="str">
        <f>EdgesData[[#This Row],[Edge ID]]</f>
        <v>nEE736788_360E_4051_A5DD_EF9A141931B5</v>
      </c>
      <c r="C46" s="21" t="str">
        <f>EdgesData[[#This Row],[Node A ID]]</f>
        <v>n2F27DDAD_459D_4B06_9152_168BDF5063F5</v>
      </c>
      <c r="D46" s="21" t="str">
        <f>EdgesData[[#This Row],[Node B ID]]</f>
        <v>n53877DB9_77FA_44E9_974A_BE3344133398</v>
      </c>
      <c r="E46" s="3" t="str">
        <f>EdgesData[[#This Row],[Rel]]</f>
        <v>is</v>
      </c>
      <c r="F46" s="25" t="str" cm="1">
        <f t="array" ref="F46">IF(EdgesJSON[[#This Row],[Export?]]=0,"",IF(ROW(EdgesJSON[[#This Row],[id]])&gt;ROW(EdgesJSON[[#Headers],[JSON]])+1,",","") &amp;"{"&amp;twoRangesToJSON(EdgesJSON[[#Headers],[id]:[label]],EdgesJSON[[#This Row],[id]:[label]])&amp;"}")</f>
        <v>,{"id":"nEE736788_360E_4051_A5DD_EF9A141931B5","from":"n2F27DDAD_459D_4B06_9152_168BDF5063F5","to":"n53877DB9_77FA_44E9_974A_BE3344133398","label":"is"}</v>
      </c>
    </row>
    <row r="47" spans="1:6" ht="13.9" thickTop="1" thickBot="1" x14ac:dyDescent="0.4">
      <c r="A47" s="39">
        <f>IF(ISERR(EdgesJSON[[#This Row],[id]]),0,1)</f>
        <v>1</v>
      </c>
      <c r="B47" s="21" t="str">
        <f>EdgesData[[#This Row],[Edge ID]]</f>
        <v>nCEEF2D09_F3DD_4E2A_A2B9_02632670059D</v>
      </c>
      <c r="C47" s="21" t="str">
        <f>EdgesData[[#This Row],[Node A ID]]</f>
        <v>n2F27DDAD_459D_4B06_9152_168BDF5063F5</v>
      </c>
      <c r="D47" s="21" t="str">
        <f>EdgesData[[#This Row],[Node B ID]]</f>
        <v>nAC688165_B606_4D82_A016_0263D701EDF2</v>
      </c>
      <c r="E47" s="3" t="str">
        <f>EdgesData[[#This Row],[Rel]]</f>
        <v>is</v>
      </c>
      <c r="F47" s="25" t="str" cm="1">
        <f t="array" ref="F47">IF(EdgesJSON[[#This Row],[Export?]]=0,"",IF(ROW(EdgesJSON[[#This Row],[id]])&gt;ROW(EdgesJSON[[#Headers],[JSON]])+1,",","") &amp;"{"&amp;twoRangesToJSON(EdgesJSON[[#Headers],[id]:[label]],EdgesJSON[[#This Row],[id]:[label]])&amp;"}")</f>
        <v>,{"id":"nCEEF2D09_F3DD_4E2A_A2B9_02632670059D","from":"n2F27DDAD_459D_4B06_9152_168BDF5063F5","to":"nAC688165_B606_4D82_A016_0263D701EDF2","label":"is"}</v>
      </c>
    </row>
    <row r="48" spans="1:6" ht="13.9" thickTop="1" thickBot="1" x14ac:dyDescent="0.4">
      <c r="A48" s="39">
        <f>IF(ISERR(EdgesJSON[[#This Row],[id]]),0,1)</f>
        <v>1</v>
      </c>
      <c r="B48" s="21" t="str">
        <f>EdgesData[[#This Row],[Edge ID]]</f>
        <v>n84AE65AE_1872_478C_B6BC_BDC5B5C065EA</v>
      </c>
      <c r="C48" s="21" t="str">
        <f>EdgesData[[#This Row],[Node A ID]]</f>
        <v>nC196E133_4263_4398_B44A_B3053AC5D0E8</v>
      </c>
      <c r="D48" s="21" t="str">
        <f>EdgesData[[#This Row],[Node B ID]]</f>
        <v>n53877DB9_77FA_44E9_974A_BE3344133398</v>
      </c>
      <c r="E48" s="3" t="str">
        <f>EdgesData[[#This Row],[Rel]]</f>
        <v>is</v>
      </c>
      <c r="F48" s="25" t="str" cm="1">
        <f t="array" ref="F48">IF(EdgesJSON[[#This Row],[Export?]]=0,"",IF(ROW(EdgesJSON[[#This Row],[id]])&gt;ROW(EdgesJSON[[#Headers],[JSON]])+1,",","") &amp;"{"&amp;twoRangesToJSON(EdgesJSON[[#Headers],[id]:[label]],EdgesJSON[[#This Row],[id]:[label]])&amp;"}")</f>
        <v>,{"id":"n84AE65AE_1872_478C_B6BC_BDC5B5C065EA","from":"nC196E133_4263_4398_B44A_B3053AC5D0E8","to":"n53877DB9_77FA_44E9_974A_BE3344133398","label":"is"}</v>
      </c>
    </row>
    <row r="49" spans="1:6" ht="13.9" thickTop="1" thickBot="1" x14ac:dyDescent="0.4">
      <c r="A49" s="39">
        <f>IF(ISERR(EdgesJSON[[#This Row],[id]]),0,1)</f>
        <v>1</v>
      </c>
      <c r="B49" s="21" t="str">
        <f>EdgesData[[#This Row],[Edge ID]]</f>
        <v>n0443F6C4_1BBB_4105_9F0A_DC9C4797CB7D</v>
      </c>
      <c r="C49" s="21" t="str">
        <f>EdgesData[[#This Row],[Node A ID]]</f>
        <v>nC196E133_4263_4398_B44A_B3053AC5D0E8</v>
      </c>
      <c r="D49" s="21" t="str">
        <f>EdgesData[[#This Row],[Node B ID]]</f>
        <v>nAC688165_B606_4D82_A016_0263D701EDF2</v>
      </c>
      <c r="E49" s="3" t="str">
        <f>EdgesData[[#This Row],[Rel]]</f>
        <v>is</v>
      </c>
      <c r="F49" s="25" t="str" cm="1">
        <f t="array" ref="F49">IF(EdgesJSON[[#This Row],[Export?]]=0,"",IF(ROW(EdgesJSON[[#This Row],[id]])&gt;ROW(EdgesJSON[[#Headers],[JSON]])+1,",","") &amp;"{"&amp;twoRangesToJSON(EdgesJSON[[#Headers],[id]:[label]],EdgesJSON[[#This Row],[id]:[label]])&amp;"}")</f>
        <v>,{"id":"n0443F6C4_1BBB_4105_9F0A_DC9C4797CB7D","from":"nC196E133_4263_4398_B44A_B3053AC5D0E8","to":"nAC688165_B606_4D82_A016_0263D701EDF2","label":"is"}</v>
      </c>
    </row>
    <row r="50" spans="1:6" ht="13.9" thickTop="1" thickBot="1" x14ac:dyDescent="0.4">
      <c r="A50" s="39">
        <f>IF(ISERR(EdgesJSON[[#This Row],[id]]),0,1)</f>
        <v>1</v>
      </c>
      <c r="B50" s="21" t="str">
        <f>EdgesData[[#This Row],[Edge ID]]</f>
        <v>nDEAD741F_13E1_43AB_83A1_4F593CDFF8AF</v>
      </c>
      <c r="C50" s="21" t="str">
        <f>EdgesData[[#This Row],[Node A ID]]</f>
        <v>nE9C9661B_8C28_413E_A8E3_A720E03C04B7</v>
      </c>
      <c r="D50" s="21" t="str">
        <f>EdgesData[[#This Row],[Node B ID]]</f>
        <v>n23656C0A_A156_405F_9FF8_7AE62FD6FB07</v>
      </c>
      <c r="E50" s="3" t="str">
        <f>EdgesData[[#This Row],[Rel]]</f>
        <v>is</v>
      </c>
      <c r="F50" s="25" t="str" cm="1">
        <f t="array" ref="F50">IF(EdgesJSON[[#This Row],[Export?]]=0,"",IF(ROW(EdgesJSON[[#This Row],[id]])&gt;ROW(EdgesJSON[[#Headers],[JSON]])+1,",","") &amp;"{"&amp;twoRangesToJSON(EdgesJSON[[#Headers],[id]:[label]],EdgesJSON[[#This Row],[id]:[label]])&amp;"}")</f>
        <v>,{"id":"nDEAD741F_13E1_43AB_83A1_4F593CDFF8AF","from":"nE9C9661B_8C28_413E_A8E3_A720E03C04B7","to":"n23656C0A_A156_405F_9FF8_7AE62FD6FB07","label":"is"}</v>
      </c>
    </row>
    <row r="51" spans="1:6" ht="13.9" thickTop="1" thickBot="1" x14ac:dyDescent="0.4">
      <c r="A51" s="40">
        <f>IF(ISERR(EdgesJSON[[#This Row],[id]]),0,1)</f>
        <v>1</v>
      </c>
      <c r="B51" s="27" t="str">
        <f>EdgesData[[#This Row],[Edge ID]]</f>
        <v>n36F69CCD_C3CF_48B5_85A5_B57A11F54932</v>
      </c>
      <c r="C51" s="27" t="str">
        <f>EdgesData[[#This Row],[Node A ID]]</f>
        <v>n23656C0A_A156_405F_9FF8_7AE62FD6FB07</v>
      </c>
      <c r="D51" s="27" t="str">
        <f>EdgesData[[#This Row],[Node B ID]]</f>
        <v>nBC613B66_5F94_4F48_91BD_5F6BBA766E79</v>
      </c>
      <c r="E51" s="4" t="str">
        <f>EdgesData[[#This Row],[Rel]]</f>
        <v>is</v>
      </c>
      <c r="F51" s="25" t="str" cm="1">
        <f t="array" ref="F51">IF(EdgesJSON[[#This Row],[Export?]]=0,"",IF(ROW(EdgesJSON[[#This Row],[id]])&gt;ROW(EdgesJSON[[#Headers],[JSON]])+1,",","") &amp;"{"&amp;twoRangesToJSON(EdgesJSON[[#Headers],[id]:[label]],EdgesJSON[[#This Row],[id]:[label]])&amp;"}")</f>
        <v>,{"id":"n36F69CCD_C3CF_48B5_85A5_B57A11F54932","from":"n23656C0A_A156_405F_9FF8_7AE62FD6FB07","to":"nBC613B66_5F94_4F48_91BD_5F6BBA766E79","label":"is"}</v>
      </c>
    </row>
    <row r="52" spans="1:6" ht="13.9" thickTop="1" thickBot="1" x14ac:dyDescent="0.4">
      <c r="A52" s="40">
        <f>IF(ISERR(EdgesJSON[[#This Row],[id]]),0,1)</f>
        <v>1</v>
      </c>
      <c r="B52" s="27" t="str">
        <f>EdgesData[[#This Row],[Edge ID]]</f>
        <v>nA3659DAE_2748_41EA_9783_AFBB27AE397D</v>
      </c>
      <c r="C52" s="27" t="str">
        <f>EdgesData[[#This Row],[Node A ID]]</f>
        <v>nE9C9661B_8C28_413E_A8E3_A720E03C04B7</v>
      </c>
      <c r="D52" s="27" t="str">
        <f>EdgesData[[#This Row],[Node B ID]]</f>
        <v>n02B81E29_1266_4611_897E_FD90C5DD5788</v>
      </c>
      <c r="E52" s="4" t="str">
        <f>EdgesData[[#This Row],[Rel]]</f>
        <v>committed by</v>
      </c>
      <c r="F52" s="25" t="str" cm="1">
        <f t="array" ref="F52">IF(EdgesJSON[[#This Row],[Export?]]=0,"",IF(ROW(EdgesJSON[[#This Row],[id]])&gt;ROW(EdgesJSON[[#Headers],[JSON]])+1,",","") &amp;"{"&amp;twoRangesToJSON(EdgesJSON[[#Headers],[id]:[label]],EdgesJSON[[#This Row],[id]:[label]])&amp;"}")</f>
        <v>,{"id":"nA3659DAE_2748_41EA_9783_AFBB27AE397D","from":"nE9C9661B_8C28_413E_A8E3_A720E03C04B7","to":"n02B81E29_1266_4611_897E_FD90C5DD5788","label":"committed by"}</v>
      </c>
    </row>
    <row r="53" spans="1:6" ht="13.9" thickTop="1" thickBot="1" x14ac:dyDescent="0.4">
      <c r="A53" s="40">
        <f>IF(ISERR(EdgesJSON[[#This Row],[id]]),0,1)</f>
        <v>1</v>
      </c>
      <c r="B53" s="27" t="str">
        <f>EdgesData[[#This Row],[Edge ID]]</f>
        <v>n305D7E3B_B57D_4B5D_9B3A_173CF7E77527</v>
      </c>
      <c r="C53" s="27" t="str">
        <f>EdgesData[[#This Row],[Node A ID]]</f>
        <v>nE9C9661B_8C28_413E_A8E3_A720E03C04B7</v>
      </c>
      <c r="D53" s="27" t="str">
        <f>EdgesData[[#This Row],[Node B ID]]</f>
        <v>n89FBB4A6_DF18_465F_9DA3_BD367759F09E</v>
      </c>
      <c r="E53" s="4" t="str">
        <f>EdgesData[[#This Row],[Rel]]</f>
        <v>victimize</v>
      </c>
      <c r="F53" s="25" t="str" cm="1">
        <f t="array" ref="F53">IF(EdgesJSON[[#This Row],[Export?]]=0,"",IF(ROW(EdgesJSON[[#This Row],[id]])&gt;ROW(EdgesJSON[[#Headers],[JSON]])+1,",","") &amp;"{"&amp;twoRangesToJSON(EdgesJSON[[#Headers],[id]:[label]],EdgesJSON[[#This Row],[id]:[label]])&amp;"}")</f>
        <v>,{"id":"n305D7E3B_B57D_4B5D_9B3A_173CF7E77527","from":"nE9C9661B_8C28_413E_A8E3_A720E03C04B7","to":"n89FBB4A6_DF18_465F_9DA3_BD367759F09E","label":"victimize"}</v>
      </c>
    </row>
    <row r="54" spans="1:6" ht="13.9" thickTop="1" thickBot="1" x14ac:dyDescent="0.4">
      <c r="A54" s="40">
        <f>IF(ISERR(EdgesJSON[[#This Row],[id]]),0,1)</f>
        <v>1</v>
      </c>
      <c r="B54" s="27" t="str">
        <f>EdgesData[[#This Row],[Edge ID]]</f>
        <v>n4E893FB9_FE74_4965_B6D9_1AA43C34AB70</v>
      </c>
      <c r="C54" s="27" t="str">
        <f>EdgesData[[#This Row],[Node A ID]]</f>
        <v>n02B81E29_1266_4611_897E_FD90C5DD5788</v>
      </c>
      <c r="D54" s="27" t="str">
        <f>EdgesData[[#This Row],[Node B ID]]</f>
        <v>n65057A73_5E5D_4997_843D_70FCDDBF4863</v>
      </c>
      <c r="E54" s="4" t="str">
        <f>EdgesData[[#This Row],[Rel]]</f>
        <v>take control of</v>
      </c>
      <c r="F54" s="25" t="str" cm="1">
        <f t="array" ref="F54">IF(EdgesJSON[[#This Row],[Export?]]=0,"",IF(ROW(EdgesJSON[[#This Row],[id]])&gt;ROW(EdgesJSON[[#Headers],[JSON]])+1,",","") &amp;"{"&amp;twoRangesToJSON(EdgesJSON[[#Headers],[id]:[label]],EdgesJSON[[#This Row],[id]:[label]])&amp;"}")</f>
        <v>,{"id":"n4E893FB9_FE74_4965_B6D9_1AA43C34AB70","from":"n02B81E29_1266_4611_897E_FD90C5DD5788","to":"n65057A73_5E5D_4997_843D_70FCDDBF4863","label":"take control of"}</v>
      </c>
    </row>
    <row r="55" spans="1:6" ht="13.9" thickTop="1" thickBot="1" x14ac:dyDescent="0.4">
      <c r="A55" s="40">
        <f>IF(ISERR(EdgesJSON[[#This Row],[id]]),0,1)</f>
        <v>1</v>
      </c>
      <c r="B55" s="27" t="str">
        <f>EdgesData[[#This Row],[Edge ID]]</f>
        <v>nCA1AC8CE_0F5F_410C_BC93_23278E033DEC</v>
      </c>
      <c r="C55" s="27" t="str">
        <f>EdgesData[[#This Row],[Node A ID]]</f>
        <v>n89FBB4A6_DF18_465F_9DA3_BD367759F09E</v>
      </c>
      <c r="D55" s="27" t="str">
        <f>EdgesData[[#This Row],[Node B ID]]</f>
        <v>n65057A73_5E5D_4997_843D_70FCDDBF4863</v>
      </c>
      <c r="E55" s="4" t="str">
        <f>EdgesData[[#This Row],[Rel]]</f>
        <v>owns</v>
      </c>
      <c r="F55" s="25" t="str" cm="1">
        <f t="array" ref="F55">IF(EdgesJSON[[#This Row],[Export?]]=0,"",IF(ROW(EdgesJSON[[#This Row],[id]])&gt;ROW(EdgesJSON[[#Headers],[JSON]])+1,",","") &amp;"{"&amp;twoRangesToJSON(EdgesJSON[[#Headers],[id]:[label]],EdgesJSON[[#This Row],[id]:[label]])&amp;"}")</f>
        <v>,{"id":"nCA1AC8CE_0F5F_410C_BC93_23278E033DEC","from":"n89FBB4A6_DF18_465F_9DA3_BD367759F09E","to":"n65057A73_5E5D_4997_843D_70FCDDBF4863","label":"owns"}</v>
      </c>
    </row>
    <row r="56" spans="1:6" ht="13.9" thickTop="1" thickBot="1" x14ac:dyDescent="0.4">
      <c r="A56" s="40">
        <f>IF(ISERR(EdgesJSON[[#This Row],[id]]),0,1)</f>
        <v>1</v>
      </c>
      <c r="B56" s="27" t="str">
        <f>EdgesData[[#This Row],[Edge ID]]</f>
        <v>nDBE5A81E_13C8_4BA4_8560_C2EA0949F9CC</v>
      </c>
      <c r="C56" s="27" t="str">
        <f>EdgesData[[#This Row],[Node A ID]]</f>
        <v>n02B81E29_1266_4611_897E_FD90C5DD5788</v>
      </c>
      <c r="D56" s="27" t="str">
        <f>EdgesData[[#This Row],[Node B ID]]</f>
        <v>n89FBB4A6_DF18_465F_9DA3_BD367759F09E</v>
      </c>
      <c r="E56" s="4" t="str">
        <f>EdgesData[[#This Row],[Rel]]</f>
        <v>distinct from</v>
      </c>
      <c r="F56" s="25" t="str" cm="1">
        <f t="array" ref="F56">IF(EdgesJSON[[#This Row],[Export?]]=0,"",IF(ROW(EdgesJSON[[#This Row],[id]])&gt;ROW(EdgesJSON[[#Headers],[JSON]])+1,",","") &amp;"{"&amp;twoRangesToJSON(EdgesJSON[[#Headers],[id]:[label]],EdgesJSON[[#This Row],[id]:[label]])&amp;"}")</f>
        <v>,{"id":"nDBE5A81E_13C8_4BA4_8560_C2EA0949F9CC","from":"n02B81E29_1266_4611_897E_FD90C5DD5788","to":"n89FBB4A6_DF18_465F_9DA3_BD367759F09E","label":"distinct from"}</v>
      </c>
    </row>
    <row r="57" spans="1:6" ht="13.9" thickTop="1" thickBot="1" x14ac:dyDescent="0.4">
      <c r="A57" s="40">
        <f>IF(ISERR(EdgesJSON[[#This Row],[id]]),0,1)</f>
        <v>1</v>
      </c>
      <c r="B57" s="27" t="str">
        <f>EdgesData[[#This Row],[Edge ID]]</f>
        <v>nC9086293_A7EC_4DB9_9D0C_6084EBB2C527</v>
      </c>
      <c r="C57" s="27" t="str">
        <f>EdgesData[[#This Row],[Node A ID]]</f>
        <v>n4FA68550_C829_46CD_ADC2_9BE67FA41543</v>
      </c>
      <c r="D57" s="27" t="str">
        <f>EdgesData[[#This Row],[Node B ID]]</f>
        <v>n52564682_5FAD_48CB_A320_6CFE17950D03</v>
      </c>
      <c r="E57" s="4" t="str">
        <f>EdgesData[[#This Row],[Rel]]</f>
        <v>may be</v>
      </c>
      <c r="F57" s="25" t="str" cm="1">
        <f t="array" ref="F57">IF(EdgesJSON[[#This Row],[Export?]]=0,"",IF(ROW(EdgesJSON[[#This Row],[id]])&gt;ROW(EdgesJSON[[#Headers],[JSON]])+1,",","") &amp;"{"&amp;twoRangesToJSON(EdgesJSON[[#Headers],[id]:[label]],EdgesJSON[[#This Row],[id]:[label]])&amp;"}")</f>
        <v>,{"id":"nC9086293_A7EC_4DB9_9D0C_6084EBB2C527","from":"n4FA68550_C829_46CD_ADC2_9BE67FA41543","to":"n52564682_5FAD_48CB_A320_6CFE17950D03","label":"may be"}</v>
      </c>
    </row>
    <row r="58" spans="1:6" ht="13.9" thickTop="1" thickBot="1" x14ac:dyDescent="0.4">
      <c r="A58" s="40">
        <f>IF(ISERR(EdgesJSON[[#This Row],[id]]),0,1)</f>
        <v>1</v>
      </c>
      <c r="B58" s="27" t="str">
        <f>EdgesData[[#This Row],[Edge ID]]</f>
        <v>n5B41F1EC_F854_4A43_B396_1025F94B19BF</v>
      </c>
      <c r="C58" s="27" t="str">
        <f>EdgesData[[#This Row],[Node A ID]]</f>
        <v>n4FA68550_C829_46CD_ADC2_9BE67FA41543</v>
      </c>
      <c r="D58" s="27" t="str">
        <f>EdgesData[[#This Row],[Node B ID]]</f>
        <v>nA59D49F8_3819_4341_A310_19C77AB08AAB</v>
      </c>
      <c r="E58" s="4" t="str">
        <f>EdgesData[[#This Row],[Rel]]</f>
        <v>may be</v>
      </c>
      <c r="F58" s="25" t="str" cm="1">
        <f t="array" ref="F58">IF(EdgesJSON[[#This Row],[Export?]]=0,"",IF(ROW(EdgesJSON[[#This Row],[id]])&gt;ROW(EdgesJSON[[#Headers],[JSON]])+1,",","") &amp;"{"&amp;twoRangesToJSON(EdgesJSON[[#Headers],[id]:[label]],EdgesJSON[[#This Row],[id]:[label]])&amp;"}")</f>
        <v>,{"id":"n5B41F1EC_F854_4A43_B396_1025F94B19BF","from":"n4FA68550_C829_46CD_ADC2_9BE67FA41543","to":"nA59D49F8_3819_4341_A310_19C77AB08AAB","label":"may be"}</v>
      </c>
    </row>
    <row r="59" spans="1:6" ht="13.9" thickTop="1" thickBot="1" x14ac:dyDescent="0.4">
      <c r="A59" s="40">
        <f>IF(ISERR(EdgesJSON[[#This Row],[id]]),0,1)</f>
        <v>1</v>
      </c>
      <c r="B59" s="27" t="str">
        <f>EdgesData[[#This Row],[Edge ID]]</f>
        <v>n4ED4AE52_9171_4025_95E0_F3ECCA7F422C</v>
      </c>
      <c r="C59" s="27" t="str">
        <f>EdgesData[[#This Row],[Node A ID]]</f>
        <v>n4FA68550_C829_46CD_ADC2_9BE67FA41543</v>
      </c>
      <c r="D59" s="27" t="str">
        <f>EdgesData[[#This Row],[Node B ID]]</f>
        <v>nC0AF8721_A868_4A4D_9F85_3A6D9B88B489</v>
      </c>
      <c r="E59" s="4" t="str">
        <f>EdgesData[[#This Row],[Rel]]</f>
        <v>may be</v>
      </c>
      <c r="F59" s="25" t="str" cm="1">
        <f t="array" ref="F59">IF(EdgesJSON[[#This Row],[Export?]]=0,"",IF(ROW(EdgesJSON[[#This Row],[id]])&gt;ROW(EdgesJSON[[#Headers],[JSON]])+1,",","") &amp;"{"&amp;twoRangesToJSON(EdgesJSON[[#Headers],[id]:[label]],EdgesJSON[[#This Row],[id]:[label]])&amp;"}")</f>
        <v>,{"id":"n4ED4AE52_9171_4025_95E0_F3ECCA7F422C","from":"n4FA68550_C829_46CD_ADC2_9BE67FA41543","to":"nC0AF8721_A868_4A4D_9F85_3A6D9B88B489","label":"may be"}</v>
      </c>
    </row>
    <row r="60" spans="1:6" ht="13.9" thickTop="1" thickBot="1" x14ac:dyDescent="0.4">
      <c r="A60" s="40">
        <f>IF(ISERR(EdgesJSON[[#This Row],[id]]),0,1)</f>
        <v>1</v>
      </c>
      <c r="B60" s="27" t="str">
        <f>EdgesData[[#This Row],[Edge ID]]</f>
        <v>n6CC35466_7D1E_42C3_B77F_2ECBDA6C949C</v>
      </c>
      <c r="C60" s="27" t="str">
        <f>EdgesData[[#This Row],[Node A ID]]</f>
        <v>n02B81E29_1266_4611_897E_FD90C5DD5788</v>
      </c>
      <c r="D60" s="27" t="str">
        <f>EdgesData[[#This Row],[Node B ID]]</f>
        <v>n4E7B27FA_8562_4EC8_869A_378A5937334A</v>
      </c>
      <c r="E60" s="4" t="str">
        <f>EdgesData[[#This Row],[Rel]]</f>
        <v>has not</v>
      </c>
      <c r="F60" s="25" t="str" cm="1">
        <f t="array" ref="F60">IF(EdgesJSON[[#This Row],[Export?]]=0,"",IF(ROW(EdgesJSON[[#This Row],[id]])&gt;ROW(EdgesJSON[[#Headers],[JSON]])+1,",","") &amp;"{"&amp;twoRangesToJSON(EdgesJSON[[#Headers],[id]:[label]],EdgesJSON[[#This Row],[id]:[label]])&amp;"}")</f>
        <v>,{"id":"n6CC35466_7D1E_42C3_B77F_2ECBDA6C949C","from":"n02B81E29_1266_4611_897E_FD90C5DD5788","to":"n4E7B27FA_8562_4EC8_869A_378A5937334A","label":"has not"}</v>
      </c>
    </row>
    <row r="61" spans="1:6" ht="13.9" thickTop="1" thickBot="1" x14ac:dyDescent="0.4">
      <c r="A61" s="40">
        <f>IF(ISERR(EdgesJSON[[#This Row],[id]]),0,1)</f>
        <v>1</v>
      </c>
      <c r="B61" s="27" t="str">
        <f>EdgesData[[#This Row],[Edge ID]]</f>
        <v>nAF4CC5B1_165C_46C1_B7EB_720BA64A6911</v>
      </c>
      <c r="C61" s="27" t="str">
        <f>EdgesData[[#This Row],[Node A ID]]</f>
        <v>n89FBB4A6_DF18_465F_9DA3_BD367759F09E</v>
      </c>
      <c r="D61" s="27" t="str">
        <f>EdgesData[[#This Row],[Node B ID]]</f>
        <v>n4E7B27FA_8562_4EC8_869A_378A5937334A</v>
      </c>
      <c r="E61" s="4" t="str">
        <f>EdgesData[[#This Row],[Rel]]</f>
        <v>has</v>
      </c>
      <c r="F61" s="25" t="str" cm="1">
        <f t="array" ref="F61">IF(EdgesJSON[[#This Row],[Export?]]=0,"",IF(ROW(EdgesJSON[[#This Row],[id]])&gt;ROW(EdgesJSON[[#Headers],[JSON]])+1,",","") &amp;"{"&amp;twoRangesToJSON(EdgesJSON[[#Headers],[id]:[label]],EdgesJSON[[#This Row],[id]:[label]])&amp;"}")</f>
        <v>,{"id":"nAF4CC5B1_165C_46C1_B7EB_720BA64A6911","from":"n89FBB4A6_DF18_465F_9DA3_BD367759F09E","to":"n4E7B27FA_8562_4EC8_869A_378A5937334A","label":"has"}</v>
      </c>
    </row>
    <row r="62" spans="1:6" ht="13.9" thickTop="1" thickBot="1" x14ac:dyDescent="0.4">
      <c r="A62" s="40">
        <f>IF(ISERR(EdgesJSON[[#This Row],[id]]),0,1)</f>
        <v>1</v>
      </c>
      <c r="B62" s="27" t="str">
        <f>EdgesData[[#This Row],[Edge ID]]</f>
        <v>n2BDA4CD9_82A1_4245_B05B_AC4E2FACE292</v>
      </c>
      <c r="C62" s="27" t="str">
        <f>EdgesData[[#This Row],[Node A ID]]</f>
        <v>nE9C9661B_8C28_413E_A8E3_A720E03C04B7</v>
      </c>
      <c r="D62" s="27" t="str">
        <f>EdgesData[[#This Row],[Node B ID]]</f>
        <v>nE0352234_7814_467F_8B8B_EF900BACC357</v>
      </c>
      <c r="E62" s="4" t="str">
        <f>EdgesData[[#This Row],[Rel]]</f>
        <v>is</v>
      </c>
      <c r="F62" s="25" t="str" cm="1">
        <f t="array" ref="F62">IF(EdgesJSON[[#This Row],[Export?]]=0,"",IF(ROW(EdgesJSON[[#This Row],[id]])&gt;ROW(EdgesJSON[[#Headers],[JSON]])+1,",","") &amp;"{"&amp;twoRangesToJSON(EdgesJSON[[#Headers],[id]:[label]],EdgesJSON[[#This Row],[id]:[label]])&amp;"}")</f>
        <v>,{"id":"n2BDA4CD9_82A1_4245_B05B_AC4E2FACE292","from":"nE9C9661B_8C28_413E_A8E3_A720E03C04B7","to":"nE0352234_7814_467F_8B8B_EF900BACC357","label":"is"}</v>
      </c>
    </row>
    <row r="63" spans="1:6" ht="13.9" thickTop="1" thickBot="1" x14ac:dyDescent="0.4">
      <c r="A63" s="40">
        <f>IF(ISERR(EdgesJSON[[#This Row],[id]]),0,1)</f>
        <v>1</v>
      </c>
      <c r="B63" s="27" t="str">
        <f>EdgesData[[#This Row],[Edge ID]]</f>
        <v>nB12BD9B9_976D_4329_8134_CC045C9C9839</v>
      </c>
      <c r="C63" s="27" t="str">
        <f>EdgesData[[#This Row],[Node A ID]]</f>
        <v>n4E7B27FA_8562_4EC8_869A_378A5937334A</v>
      </c>
      <c r="D63" s="27" t="str">
        <f>EdgesData[[#This Row],[Node B ID]]</f>
        <v>n65057A73_5E5D_4997_843D_70FCDDBF4863</v>
      </c>
      <c r="E63" s="4" t="str">
        <f>EdgesData[[#This Row],[Rel]]</f>
        <v>to impersonate</v>
      </c>
      <c r="F63" s="25" t="str" cm="1">
        <f t="array" ref="F63">IF(EdgesJSON[[#This Row],[Export?]]=0,"",IF(ROW(EdgesJSON[[#This Row],[id]])&gt;ROW(EdgesJSON[[#Headers],[JSON]])+1,",","") &amp;"{"&amp;twoRangesToJSON(EdgesJSON[[#Headers],[id]:[label]],EdgesJSON[[#This Row],[id]:[label]])&amp;"}")</f>
        <v>,{"id":"nB12BD9B9_976D_4329_8134_CC045C9C9839","from":"n4E7B27FA_8562_4EC8_869A_378A5937334A","to":"n65057A73_5E5D_4997_843D_70FCDDBF4863","label":"to impersonate"}</v>
      </c>
    </row>
    <row r="64" spans="1:6" ht="13.9" thickTop="1" thickBot="1" x14ac:dyDescent="0.4">
      <c r="A64" s="40">
        <f>IF(ISERR(EdgesJSON[[#This Row],[id]]),0,1)</f>
        <v>1</v>
      </c>
      <c r="B64" s="27" t="str">
        <f>EdgesData[[#This Row],[Edge ID]]</f>
        <v>n7E99EFA2_7827_4773_91E4_D9B34E3CAA5A</v>
      </c>
      <c r="C64" s="27" t="str">
        <f>EdgesData[[#This Row],[Node A ID]]</f>
        <v>n02B81E29_1266_4611_897E_FD90C5DD5788</v>
      </c>
      <c r="D64" s="27" t="str">
        <f>EdgesData[[#This Row],[Node B ID]]</f>
        <v>n4FA68550_C829_46CD_ADC2_9BE67FA41543</v>
      </c>
      <c r="E64" s="4" t="str">
        <f>EdgesData[[#This Row],[Rel]]</f>
        <v>has</v>
      </c>
      <c r="F64" s="25" t="str" cm="1">
        <f t="array" ref="F64">IF(EdgesJSON[[#This Row],[Export?]]=0,"",IF(ROW(EdgesJSON[[#This Row],[id]])&gt;ROW(EdgesJSON[[#Headers],[JSON]])+1,",","") &amp;"{"&amp;twoRangesToJSON(EdgesJSON[[#Headers],[id]:[label]],EdgesJSON[[#This Row],[id]:[label]])&amp;"}")</f>
        <v>,{"id":"n7E99EFA2_7827_4773_91E4_D9B34E3CAA5A","from":"n02B81E29_1266_4611_897E_FD90C5DD5788","to":"n4FA68550_C829_46CD_ADC2_9BE67FA41543","label":"has"}</v>
      </c>
    </row>
    <row r="65" spans="1:6" ht="13.9" thickTop="1" thickBot="1" x14ac:dyDescent="0.4">
      <c r="A65" s="40">
        <f>IF(ISERR(EdgesJSON[[#This Row],[id]]),0,1)</f>
        <v>1</v>
      </c>
      <c r="B65" s="27" t="str">
        <f>EdgesData[[#This Row],[Edge ID]]</f>
        <v>n0028F731_EC86_4C20_B77F_946A63CC2AC9</v>
      </c>
      <c r="C65" s="27" t="str">
        <f>EdgesData[[#This Row],[Node A ID]]</f>
        <v>nA59D49F8_3819_4341_A310_19C77AB08AAB</v>
      </c>
      <c r="D65" s="27" t="str">
        <f>EdgesData[[#This Row],[Node B ID]]</f>
        <v>n89FBB4A6_DF18_465F_9DA3_BD367759F09E</v>
      </c>
      <c r="E65" s="4" t="str">
        <f>EdgesData[[#This Row],[Rel]]</f>
        <v>to</v>
      </c>
      <c r="F65" s="25" t="str" cm="1">
        <f t="array" ref="F65">IF(EdgesJSON[[#This Row],[Export?]]=0,"",IF(ROW(EdgesJSON[[#This Row],[id]])&gt;ROW(EdgesJSON[[#Headers],[JSON]])+1,",","") &amp;"{"&amp;twoRangesToJSON(EdgesJSON[[#Headers],[id]:[label]],EdgesJSON[[#This Row],[id]:[label]])&amp;"}")</f>
        <v>,{"id":"n0028F731_EC86_4C20_B77F_946A63CC2AC9","from":"nA59D49F8_3819_4341_A310_19C77AB08AAB","to":"n89FBB4A6_DF18_465F_9DA3_BD367759F09E","label":"to"}</v>
      </c>
    </row>
    <row r="66" spans="1:6" ht="13.9" thickTop="1" thickBot="1" x14ac:dyDescent="0.4">
      <c r="A66" s="40">
        <f>IF(ISERR(EdgesJSON[[#This Row],[id]]),0,1)</f>
        <v>1</v>
      </c>
      <c r="B66" s="27" t="str">
        <f>EdgesData[[#This Row],[Edge ID]]</f>
        <v>n87A12089_2F7A_43C7_8FAD_0D12176C5DD3</v>
      </c>
      <c r="C66" s="27" t="str">
        <f>EdgesData[[#This Row],[Node A ID]]</f>
        <v>nE9C9661B_8C28_413E_A8E3_A720E03C04B7</v>
      </c>
      <c r="D66" s="27" t="str">
        <f>EdgesData[[#This Row],[Node B ID]]</f>
        <v>n65057A73_5E5D_4997_843D_70FCDDBF4863</v>
      </c>
      <c r="E66" s="8" t="str">
        <f>EdgesData[[#This Row],[Rel]]</f>
        <v>target</v>
      </c>
      <c r="F66" s="25" t="str" cm="1">
        <f t="array" ref="F66">IF(EdgesJSON[[#This Row],[Export?]]=0,"",IF(ROW(EdgesJSON[[#This Row],[id]])&gt;ROW(EdgesJSON[[#Headers],[JSON]])+1,",","") &amp;"{"&amp;twoRangesToJSON(EdgesJSON[[#Headers],[id]:[label]],EdgesJSON[[#This Row],[id]:[label]])&amp;"}")</f>
        <v>,{"id":"n87A12089_2F7A_43C7_8FAD_0D12176C5DD3","from":"nE9C9661B_8C28_413E_A8E3_A720E03C04B7","to":"n65057A73_5E5D_4997_843D_70FCDDBF4863","label":"target"}</v>
      </c>
    </row>
    <row r="67" spans="1:6" ht="13.9" thickTop="1" thickBot="1" x14ac:dyDescent="0.4">
      <c r="A67" s="40">
        <f>IF(ISERR(EdgesJSON[[#This Row],[id]]),0,1)</f>
        <v>1</v>
      </c>
      <c r="B67" s="27" t="str">
        <f>EdgesData[[#This Row],[Edge ID]]</f>
        <v>nE22C0A99_F7DE_454D_ABB2_46E129D016B4</v>
      </c>
      <c r="C67" s="27" t="str">
        <f>EdgesData[[#This Row],[Node A ID]]</f>
        <v>n89FBB4A6_DF18_465F_9DA3_BD367759F09E</v>
      </c>
      <c r="D67" s="27" t="str">
        <f>EdgesData[[#This Row],[Node B ID]]</f>
        <v>n65057A73_5E5D_4997_843D_70FCDDBF4863</v>
      </c>
      <c r="E67" s="8" t="str">
        <f>EdgesData[[#This Row],[Rel]]</f>
        <v>lose control of</v>
      </c>
      <c r="F67" s="25" t="str" cm="1">
        <f t="array" ref="F67">IF(EdgesJSON[[#This Row],[Export?]]=0,"",IF(ROW(EdgesJSON[[#This Row],[id]])&gt;ROW(EdgesJSON[[#Headers],[JSON]])+1,",","") &amp;"{"&amp;twoRangesToJSON(EdgesJSON[[#Headers],[id]:[label]],EdgesJSON[[#This Row],[id]:[label]])&amp;"}")</f>
        <v>,{"id":"nE22C0A99_F7DE_454D_ABB2_46E129D016B4","from":"n89FBB4A6_DF18_465F_9DA3_BD367759F09E","to":"n65057A73_5E5D_4997_843D_70FCDDBF4863","label":"lose control of"}</v>
      </c>
    </row>
    <row r="68" spans="1:6" ht="13.9" thickTop="1" thickBot="1" x14ac:dyDescent="0.4">
      <c r="A68" s="40">
        <f>IF(ISERR(EdgesJSON[[#This Row],[id]]),0,1)</f>
        <v>1</v>
      </c>
      <c r="B68" s="27" t="str">
        <f>EdgesData[[#This Row],[Edge ID]]</f>
        <v>nF4597E0B_96C0_4B53_9A3B_935F968E1B38</v>
      </c>
      <c r="C68" s="27" t="str">
        <f>EdgesData[[#This Row],[Node A ID]]</f>
        <v>nE9C9661B_8C28_413E_A8E3_A720E03C04B7</v>
      </c>
      <c r="D68" s="27" t="str">
        <f>EdgesData[[#This Row],[Node B ID]]</f>
        <v>nB622D019_1525_4A1F_838B_BA98AC1BD971</v>
      </c>
      <c r="E68" s="8" t="str">
        <f>EdgesData[[#This Row],[Rel]]</f>
        <v>constitute a</v>
      </c>
      <c r="F68" s="25" t="str" cm="1">
        <f t="array" ref="F68">IF(EdgesJSON[[#This Row],[Export?]]=0,"",IF(ROW(EdgesJSON[[#This Row],[id]])&gt;ROW(EdgesJSON[[#Headers],[JSON]])+1,",","") &amp;"{"&amp;twoRangesToJSON(EdgesJSON[[#Headers],[id]:[label]],EdgesJSON[[#This Row],[id]:[label]])&amp;"}")</f>
        <v>,{"id":"nF4597E0B_96C0_4B53_9A3B_935F968E1B38","from":"nE9C9661B_8C28_413E_A8E3_A720E03C04B7","to":"nB622D019_1525_4A1F_838B_BA98AC1BD971","label":"constitute a"}</v>
      </c>
    </row>
    <row r="69" spans="1:6" ht="13.9" thickTop="1" thickBot="1" x14ac:dyDescent="0.4">
      <c r="A69" s="40">
        <f>IF(ISERR(EdgesJSON[[#This Row],[id]]),0,1)</f>
        <v>1</v>
      </c>
      <c r="B69" s="27" t="str">
        <f>EdgesData[[#This Row],[Edge ID]]</f>
        <v>n3FB94ED9_5239_4367_95B1_3737EDA89276</v>
      </c>
      <c r="C69" s="27" t="str">
        <f>EdgesData[[#This Row],[Node A ID]]</f>
        <v>nB622D019_1525_4A1F_838B_BA98AC1BD971</v>
      </c>
      <c r="D69" s="27" t="str">
        <f>EdgesData[[#This Row],[Node B ID]]</f>
        <v>nA8C4DBF8_4D5F_45D9_9EDF_74F94F6892E8</v>
      </c>
      <c r="E69" s="8" t="str">
        <f>EdgesData[[#This Row],[Rel]]</f>
        <v>has</v>
      </c>
      <c r="F69" s="25" t="str" cm="1">
        <f t="array" ref="F69">IF(EdgesJSON[[#This Row],[Export?]]=0,"",IF(ROW(EdgesJSON[[#This Row],[id]])&gt;ROW(EdgesJSON[[#Headers],[JSON]])+1,",","") &amp;"{"&amp;twoRangesToJSON(EdgesJSON[[#Headers],[id]:[label]],EdgesJSON[[#This Row],[id]:[label]])&amp;"}")</f>
        <v>,{"id":"n3FB94ED9_5239_4367_95B1_3737EDA89276","from":"nB622D019_1525_4A1F_838B_BA98AC1BD971","to":"nA8C4DBF8_4D5F_45D9_9EDF_74F94F6892E8","label":"has"}</v>
      </c>
    </row>
    <row r="70" spans="1:6" ht="13.9" thickTop="1" thickBot="1" x14ac:dyDescent="0.4">
      <c r="A70" s="40">
        <f>IF(ISERR(EdgesJSON[[#This Row],[id]]),0,1)</f>
        <v>1</v>
      </c>
      <c r="B70" s="27" t="str">
        <f>EdgesData[[#This Row],[Edge ID]]</f>
        <v>n2E360D3F_EDF4_4A66_AB3B_464337BD50F8</v>
      </c>
      <c r="C70" s="27" t="str">
        <f>EdgesData[[#This Row],[Node A ID]]</f>
        <v>nA8C4DBF8_4D5F_45D9_9EDF_74F94F6892E8</v>
      </c>
      <c r="D70" s="27" t="str">
        <f>EdgesData[[#This Row],[Node B ID]]</f>
        <v>nCC292B9C_DF75_4B68_B63E_75C8C586FD1E</v>
      </c>
      <c r="E70" s="8" t="str">
        <f>EdgesData[[#This Row],[Rel]]</f>
        <v>may be</v>
      </c>
      <c r="F70" s="25" t="str" cm="1">
        <f t="array" ref="F70">IF(EdgesJSON[[#This Row],[Export?]]=0,"",IF(ROW(EdgesJSON[[#This Row],[id]])&gt;ROW(EdgesJSON[[#Headers],[JSON]])+1,",","") &amp;"{"&amp;twoRangesToJSON(EdgesJSON[[#Headers],[id]:[label]],EdgesJSON[[#This Row],[id]:[label]])&amp;"}")</f>
        <v>,{"id":"n2E360D3F_EDF4_4A66_AB3B_464337BD50F8","from":"nA8C4DBF8_4D5F_45D9_9EDF_74F94F6892E8","to":"nCC292B9C_DF75_4B68_B63E_75C8C586FD1E","label":"may be"}</v>
      </c>
    </row>
    <row r="71" spans="1:6" ht="13.5" thickTop="1" thickBot="1" x14ac:dyDescent="0.4">
      <c r="A71" s="40">
        <f>IF(ISERR(EdgesJSON[[#This Row],[id]]),0,1)</f>
        <v>0</v>
      </c>
      <c r="B71" s="27" t="e">
        <f>EdgesData[[#This Row],[Edge ID]]</f>
        <v>#VALUE!</v>
      </c>
      <c r="C71" s="27" t="e">
        <f>EdgesData[[#This Row],[Node A ID]]</f>
        <v>#VALUE!</v>
      </c>
      <c r="D71" s="27" t="e">
        <f>EdgesData[[#This Row],[Node B ID]]</f>
        <v>#VALUE!</v>
      </c>
      <c r="E71" s="8" t="e">
        <f>EdgesData[[#This Row],[Rel]]</f>
        <v>#VALUE!</v>
      </c>
      <c r="F71" s="34" t="str" cm="1">
        <f t="array" ref="F71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2" spans="1:6" ht="13.5" thickTop="1" thickBot="1" x14ac:dyDescent="0.4">
      <c r="A72" s="40">
        <f>IF(ISERR(EdgesJSON[[#This Row],[id]]),0,1)</f>
        <v>0</v>
      </c>
      <c r="B72" s="27" t="e">
        <f>EdgesData[[#This Row],[Edge ID]]</f>
        <v>#VALUE!</v>
      </c>
      <c r="C72" s="27" t="e">
        <f>EdgesData[[#This Row],[Node A ID]]</f>
        <v>#VALUE!</v>
      </c>
      <c r="D72" s="27" t="e">
        <f>EdgesData[[#This Row],[Node B ID]]</f>
        <v>#VALUE!</v>
      </c>
      <c r="E72" s="8" t="e">
        <f>EdgesData[[#This Row],[Rel]]</f>
        <v>#VALUE!</v>
      </c>
      <c r="F72" s="34" t="str" cm="1">
        <f t="array" ref="F72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3" spans="1:6" ht="13.5" thickTop="1" thickBot="1" x14ac:dyDescent="0.4">
      <c r="A73" s="40">
        <f>IF(ISERR(EdgesJSON[[#This Row],[id]]),0,1)</f>
        <v>0</v>
      </c>
      <c r="B73" s="27" t="e">
        <f>EdgesData[[#This Row],[Edge ID]]</f>
        <v>#VALUE!</v>
      </c>
      <c r="C73" s="27" t="e">
        <f>EdgesData[[#This Row],[Node A ID]]</f>
        <v>#VALUE!</v>
      </c>
      <c r="D73" s="27" t="e">
        <f>EdgesData[[#This Row],[Node B ID]]</f>
        <v>#VALUE!</v>
      </c>
      <c r="E73" s="8" t="e">
        <f>EdgesData[[#This Row],[Rel]]</f>
        <v>#VALUE!</v>
      </c>
      <c r="F73" s="34" t="str" cm="1">
        <f t="array" ref="F73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4" spans="1:6" ht="13.5" thickTop="1" thickBot="1" x14ac:dyDescent="0.4">
      <c r="A74" s="40">
        <f>IF(ISERR(EdgesJSON[[#This Row],[id]]),0,1)</f>
        <v>0</v>
      </c>
      <c r="B74" s="27" t="e">
        <f>EdgesData[[#This Row],[Edge ID]]</f>
        <v>#VALUE!</v>
      </c>
      <c r="C74" s="27" t="e">
        <f>EdgesData[[#This Row],[Node A ID]]</f>
        <v>#VALUE!</v>
      </c>
      <c r="D74" s="27" t="e">
        <f>EdgesData[[#This Row],[Node B ID]]</f>
        <v>#VALUE!</v>
      </c>
      <c r="E74" s="8" t="e">
        <f>EdgesData[[#This Row],[Rel]]</f>
        <v>#VALUE!</v>
      </c>
      <c r="F74" s="34" t="str" cm="1">
        <f t="array" ref="F74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5" spans="1:6" ht="13.5" thickTop="1" thickBot="1" x14ac:dyDescent="0.4">
      <c r="A75" s="40">
        <f>IF(ISERR(EdgesJSON[[#This Row],[id]]),0,1)</f>
        <v>0</v>
      </c>
      <c r="B75" s="27" t="e">
        <f>EdgesData[[#This Row],[Edge ID]]</f>
        <v>#VALUE!</v>
      </c>
      <c r="C75" s="27" t="e">
        <f>EdgesData[[#This Row],[Node A ID]]</f>
        <v>#VALUE!</v>
      </c>
      <c r="D75" s="27" t="e">
        <f>EdgesData[[#This Row],[Node B ID]]</f>
        <v>#VALUE!</v>
      </c>
      <c r="E75" s="8" t="e">
        <f>EdgesData[[#This Row],[Rel]]</f>
        <v>#VALUE!</v>
      </c>
      <c r="F75" s="34" t="str" cm="1">
        <f t="array" ref="F75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6" spans="1:6" ht="13.5" thickTop="1" thickBot="1" x14ac:dyDescent="0.4">
      <c r="A76" s="40">
        <f>IF(ISERR(EdgesJSON[[#This Row],[id]]),0,1)</f>
        <v>0</v>
      </c>
      <c r="B76" s="27" t="e">
        <f>EdgesData[[#This Row],[Edge ID]]</f>
        <v>#VALUE!</v>
      </c>
      <c r="C76" s="27" t="e">
        <f>EdgesData[[#This Row],[Node A ID]]</f>
        <v>#VALUE!</v>
      </c>
      <c r="D76" s="27" t="e">
        <f>EdgesData[[#This Row],[Node B ID]]</f>
        <v>#VALUE!</v>
      </c>
      <c r="E76" s="8" t="e">
        <f>EdgesData[[#This Row],[Rel]]</f>
        <v>#VALUE!</v>
      </c>
      <c r="F76" s="34" t="str" cm="1">
        <f t="array" ref="F7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7" spans="1:6" ht="13.5" thickTop="1" thickBot="1" x14ac:dyDescent="0.4">
      <c r="A77" s="40">
        <f>IF(ISERR(EdgesJSON[[#This Row],[id]]),0,1)</f>
        <v>0</v>
      </c>
      <c r="B77" s="27" t="e">
        <f>EdgesData[[#This Row],[Edge ID]]</f>
        <v>#VALUE!</v>
      </c>
      <c r="C77" s="27" t="e">
        <f>EdgesData[[#This Row],[Node A ID]]</f>
        <v>#VALUE!</v>
      </c>
      <c r="D77" s="27" t="e">
        <f>EdgesData[[#This Row],[Node B ID]]</f>
        <v>#VALUE!</v>
      </c>
      <c r="E77" s="8" t="e">
        <f>EdgesData[[#This Row],[Rel]]</f>
        <v>#VALUE!</v>
      </c>
      <c r="F77" s="34" t="str" cm="1">
        <f t="array" ref="F77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8" spans="1:6" ht="13.5" thickTop="1" thickBot="1" x14ac:dyDescent="0.4">
      <c r="A78" s="40">
        <f>IF(ISERR(EdgesJSON[[#This Row],[id]]),0,1)</f>
        <v>0</v>
      </c>
      <c r="B78" s="27" t="e">
        <f>EdgesData[[#This Row],[Edge ID]]</f>
        <v>#VALUE!</v>
      </c>
      <c r="C78" s="27" t="e">
        <f>EdgesData[[#This Row],[Node A ID]]</f>
        <v>#VALUE!</v>
      </c>
      <c r="D78" s="27" t="e">
        <f>EdgesData[[#This Row],[Node B ID]]</f>
        <v>#VALUE!</v>
      </c>
      <c r="E78" s="8" t="e">
        <f>EdgesData[[#This Row],[Rel]]</f>
        <v>#VALUE!</v>
      </c>
      <c r="F78" s="34" t="str" cm="1">
        <f t="array" ref="F78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9" spans="1:6" ht="13.5" thickTop="1" thickBot="1" x14ac:dyDescent="0.4">
      <c r="A79" s="40">
        <f>IF(ISERR(EdgesJSON[[#This Row],[id]]),0,1)</f>
        <v>0</v>
      </c>
      <c r="B79" s="27" t="e">
        <f>EdgesData[[#This Row],[Edge ID]]</f>
        <v>#VALUE!</v>
      </c>
      <c r="C79" s="27" t="e">
        <f>EdgesData[[#This Row],[Node A ID]]</f>
        <v>#VALUE!</v>
      </c>
      <c r="D79" s="27" t="e">
        <f>EdgesData[[#This Row],[Node B ID]]</f>
        <v>#VALUE!</v>
      </c>
      <c r="E79" s="8" t="e">
        <f>EdgesData[[#This Row],[Rel]]</f>
        <v>#VALUE!</v>
      </c>
      <c r="F79" s="34" t="str" cm="1">
        <f t="array" ref="F79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0" spans="1:6" ht="13.5" thickTop="1" thickBot="1" x14ac:dyDescent="0.4">
      <c r="A80" s="40">
        <f>IF(ISERR(EdgesJSON[[#This Row],[id]]),0,1)</f>
        <v>0</v>
      </c>
      <c r="B80" s="27" t="e">
        <f>EdgesData[[#This Row],[Edge ID]]</f>
        <v>#VALUE!</v>
      </c>
      <c r="C80" s="27" t="e">
        <f>EdgesData[[#This Row],[Node A ID]]</f>
        <v>#VALUE!</v>
      </c>
      <c r="D80" s="27" t="e">
        <f>EdgesData[[#This Row],[Node B ID]]</f>
        <v>#VALUE!</v>
      </c>
      <c r="E80" s="8" t="e">
        <f>EdgesData[[#This Row],[Rel]]</f>
        <v>#VALUE!</v>
      </c>
      <c r="F80" s="34" t="str" cm="1">
        <f t="array" ref="F80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1" spans="1:6" ht="13.5" thickTop="1" thickBot="1" x14ac:dyDescent="0.4">
      <c r="A81" s="40">
        <f>IF(ISERR(EdgesJSON[[#This Row],[id]]),0,1)</f>
        <v>0</v>
      </c>
      <c r="B81" s="27" t="e">
        <f>EdgesData[[#This Row],[Edge ID]]</f>
        <v>#VALUE!</v>
      </c>
      <c r="C81" s="27" t="e">
        <f>EdgesData[[#This Row],[Node A ID]]</f>
        <v>#VALUE!</v>
      </c>
      <c r="D81" s="27" t="e">
        <f>EdgesData[[#This Row],[Node B ID]]</f>
        <v>#VALUE!</v>
      </c>
      <c r="E81" s="8" t="e">
        <f>EdgesData[[#This Row],[Rel]]</f>
        <v>#VALUE!</v>
      </c>
      <c r="F81" s="34" t="str" cm="1">
        <f t="array" ref="F81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2" spans="1:6" ht="13.5" thickTop="1" thickBot="1" x14ac:dyDescent="0.4">
      <c r="A82" s="40">
        <f>IF(ISERR(EdgesJSON[[#This Row],[id]]),0,1)</f>
        <v>0</v>
      </c>
      <c r="B82" s="27" t="e">
        <f>EdgesData[[#This Row],[Edge ID]]</f>
        <v>#VALUE!</v>
      </c>
      <c r="C82" s="27" t="e">
        <f>EdgesData[[#This Row],[Node A ID]]</f>
        <v>#VALUE!</v>
      </c>
      <c r="D82" s="27" t="e">
        <f>EdgesData[[#This Row],[Node B ID]]</f>
        <v>#VALUE!</v>
      </c>
      <c r="E82" s="8" t="e">
        <f>EdgesData[[#This Row],[Rel]]</f>
        <v>#VALUE!</v>
      </c>
      <c r="F82" s="34" t="str" cm="1">
        <f t="array" ref="F82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3" spans="1:6" ht="13.5" thickTop="1" thickBot="1" x14ac:dyDescent="0.4">
      <c r="A83" s="40">
        <f>IF(ISERR(EdgesJSON[[#This Row],[id]]),0,1)</f>
        <v>0</v>
      </c>
      <c r="B83" s="27" t="e">
        <f>EdgesData[[#This Row],[Edge ID]]</f>
        <v>#VALUE!</v>
      </c>
      <c r="C83" s="27" t="e">
        <f>EdgesData[[#This Row],[Node A ID]]</f>
        <v>#VALUE!</v>
      </c>
      <c r="D83" s="27" t="e">
        <f>EdgesData[[#This Row],[Node B ID]]</f>
        <v>#VALUE!</v>
      </c>
      <c r="E83" s="8" t="e">
        <f>EdgesData[[#This Row],[Rel]]</f>
        <v>#VALUE!</v>
      </c>
      <c r="F83" s="34" t="str" cm="1">
        <f t="array" ref="F83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4" spans="1:6" ht="13.5" thickTop="1" thickBot="1" x14ac:dyDescent="0.4">
      <c r="A84" s="40">
        <f>IF(ISERR(EdgesJSON[[#This Row],[id]]),0,1)</f>
        <v>0</v>
      </c>
      <c r="B84" s="27" t="e">
        <f>EdgesData[[#This Row],[Edge ID]]</f>
        <v>#VALUE!</v>
      </c>
      <c r="C84" s="27" t="e">
        <f>EdgesData[[#This Row],[Node A ID]]</f>
        <v>#VALUE!</v>
      </c>
      <c r="D84" s="27" t="e">
        <f>EdgesData[[#This Row],[Node B ID]]</f>
        <v>#VALUE!</v>
      </c>
      <c r="E84" s="8" t="e">
        <f>EdgesData[[#This Row],[Rel]]</f>
        <v>#VALUE!</v>
      </c>
      <c r="F84" s="34" t="str" cm="1">
        <f t="array" ref="F84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5" spans="1:6" ht="13.5" thickTop="1" thickBot="1" x14ac:dyDescent="0.4">
      <c r="A85" s="40">
        <f>IF(ISERR(EdgesJSON[[#This Row],[id]]),0,1)</f>
        <v>0</v>
      </c>
      <c r="B85" s="27" t="e">
        <f>EdgesData[[#This Row],[Edge ID]]</f>
        <v>#VALUE!</v>
      </c>
      <c r="C85" s="27" t="e">
        <f>EdgesData[[#This Row],[Node A ID]]</f>
        <v>#VALUE!</v>
      </c>
      <c r="D85" s="27" t="e">
        <f>EdgesData[[#This Row],[Node B ID]]</f>
        <v>#VALUE!</v>
      </c>
      <c r="E85" s="8" t="e">
        <f>EdgesData[[#This Row],[Rel]]</f>
        <v>#VALUE!</v>
      </c>
      <c r="F85" s="34" t="str" cm="1">
        <f t="array" ref="F85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6" spans="1:6" ht="13.5" thickTop="1" thickBot="1" x14ac:dyDescent="0.4">
      <c r="A86" s="40">
        <f>IF(ISERR(EdgesJSON[[#This Row],[id]]),0,1)</f>
        <v>0</v>
      </c>
      <c r="B86" s="27" t="e">
        <f>EdgesData[[#This Row],[Edge ID]]</f>
        <v>#VALUE!</v>
      </c>
      <c r="C86" s="27" t="e">
        <f>EdgesData[[#This Row],[Node A ID]]</f>
        <v>#VALUE!</v>
      </c>
      <c r="D86" s="27" t="e">
        <f>EdgesData[[#This Row],[Node B ID]]</f>
        <v>#VALUE!</v>
      </c>
      <c r="E86" s="8" t="e">
        <f>EdgesData[[#This Row],[Rel]]</f>
        <v>#VALUE!</v>
      </c>
      <c r="F86" s="34" t="str" cm="1">
        <f t="array" ref="F8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7" spans="1:6" ht="13.15" thickTop="1" x14ac:dyDescent="0.35">
      <c r="A87" s="40">
        <f>IF(ISERR(EdgesJSON[[#This Row],[id]]),0,1)</f>
        <v>0</v>
      </c>
      <c r="B87" s="27" t="e">
        <f>EdgesData[[#This Row],[Edge ID]]</f>
        <v>#VALUE!</v>
      </c>
      <c r="C87" s="27" t="e">
        <f>EdgesData[[#This Row],[Node A ID]]</f>
        <v>#VALUE!</v>
      </c>
      <c r="D87" s="27" t="e">
        <f>EdgesData[[#This Row],[Node B ID]]</f>
        <v>#VALUE!</v>
      </c>
      <c r="E87" s="8" t="e">
        <f>EdgesData[[#This Row],[Rel]]</f>
        <v>#VALUE!</v>
      </c>
      <c r="F87" s="34" t="str" cm="1">
        <f t="array" ref="F87">IF(EdgesJSON[[#This Row],[Export?]]=0,"",IF(ROW(EdgesJSON[[#This Row],[id]])&gt;ROW(EdgesJSON[[#Headers],[JSON]])+1,",","") &amp;"{"&amp;twoRangesToJSON(EdgesJSON[[#Headers],[id]:[label]],EdgesJSON[[#This Row],[id]:[label]])&amp;"}")</f>
        <v/>
      </c>
    </row>
  </sheetData>
  <conditionalFormatting sqref="A3:A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2021-07-11T08:10:18Z</dcterms:modified>
</cp:coreProperties>
</file>