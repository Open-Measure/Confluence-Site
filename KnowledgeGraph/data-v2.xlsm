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vid\Google Drive (openmeasure@gmail.com)\Private\GitHub\Confluence-Site\KnowledgeGraph\"/>
    </mc:Choice>
  </mc:AlternateContent>
  <xr:revisionPtr revIDLastSave="0" documentId="13_ncr:1_{ED8B6B89-D013-4B76-ADD9-F954FE1CD7E4}" xr6:coauthVersionLast="47" xr6:coauthVersionMax="47" xr10:uidLastSave="{00000000-0000-0000-0000-000000000000}"/>
  <bookViews>
    <workbookView xWindow="-98" yWindow="-98" windowWidth="20715" windowHeight="13276" activeTab="2" xr2:uid="{00000000-000D-0000-FFFF-FFFF00000000}"/>
  </bookViews>
  <sheets>
    <sheet name="Export" sheetId="7" r:id="rId1"/>
    <sheet name="nodes_data" sheetId="3" r:id="rId2"/>
    <sheet name="edges_data" sheetId="13" r:id="rId3"/>
    <sheet name="nodes_json" sheetId="12" r:id="rId4"/>
    <sheet name="edges_json" sheetId="14" r:id="rId5"/>
    <sheet name="DIC Pages" sheetId="6" r:id="rId6"/>
    <sheet name="relation_types" sheetId="5" r:id="rId7"/>
    <sheet name="direction_types" sheetId="11" r:id="rId8"/>
  </sheets>
  <functionGroups builtInGroupCount="19"/>
  <definedNames>
    <definedName name="FinalizeCypher" localSheetId="2">#REF!</definedName>
    <definedName name="FinalizeCypher" localSheetId="4">#REF!</definedName>
    <definedName name="FinalizeCypher" localSheetId="3">#REF!</definedName>
    <definedName name="FinalizeCypher">#REF!</definedName>
    <definedName name="NodesCypher">#REF!</definedName>
    <definedName name="PreparationCypher">#REF!</definedName>
    <definedName name="RelationshipsCypher" localSheetId="2">#REF!</definedName>
    <definedName name="RelationshipsCypher" localSheetId="4">#REF!</definedName>
    <definedName name="RelationshipsCypher" localSheetId="3">#REF!</definedName>
    <definedName name="RelationshipsCypher">#REF!</definedName>
    <definedName name="test">#REF!</definedName>
  </definedNames>
  <calcPr calcId="191029"/>
  <fileRecoveryPr repair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2" i="13" l="1"/>
  <c r="H3" i="13"/>
  <c r="H4" i="13"/>
  <c r="H5" i="13"/>
  <c r="H6" i="13"/>
  <c r="H7" i="13"/>
  <c r="H8" i="13"/>
  <c r="H9" i="13"/>
  <c r="H10" i="13"/>
  <c r="H11" i="13"/>
  <c r="H12" i="13"/>
  <c r="H13" i="13"/>
  <c r="H14" i="13"/>
  <c r="H15" i="13"/>
  <c r="H16" i="13"/>
  <c r="H17" i="13"/>
  <c r="H18" i="13"/>
  <c r="H19" i="13"/>
  <c r="H20" i="13"/>
  <c r="H21" i="13"/>
  <c r="H22" i="13"/>
  <c r="H23" i="13"/>
  <c r="H24" i="13"/>
  <c r="H25" i="13"/>
  <c r="H26" i="13"/>
  <c r="H27" i="13"/>
  <c r="H28" i="13"/>
  <c r="H29" i="13"/>
  <c r="H30" i="13"/>
  <c r="H31" i="13"/>
  <c r="H32" i="13"/>
  <c r="H33" i="13"/>
  <c r="H34" i="13"/>
  <c r="H35" i="13"/>
  <c r="H36" i="13"/>
  <c r="H37" i="13"/>
  <c r="H38" i="13"/>
  <c r="H39" i="13"/>
  <c r="H40" i="13"/>
  <c r="H41" i="13"/>
  <c r="H42" i="13"/>
  <c r="H43" i="13"/>
  <c r="H44" i="13"/>
  <c r="H45" i="13"/>
  <c r="H46" i="13"/>
  <c r="H47" i="13"/>
  <c r="H48" i="13"/>
  <c r="H49" i="13"/>
  <c r="H50" i="13"/>
  <c r="H51" i="13"/>
  <c r="H52" i="13"/>
  <c r="H53" i="13"/>
  <c r="H54" i="13"/>
  <c r="H55" i="13"/>
  <c r="H56" i="13"/>
  <c r="H57" i="13"/>
  <c r="H58" i="13"/>
  <c r="H59" i="13"/>
  <c r="H60" i="13"/>
  <c r="H61" i="13"/>
  <c r="H62" i="13"/>
  <c r="H63" i="13"/>
  <c r="H64" i="13"/>
  <c r="H65" i="13"/>
  <c r="H66" i="13"/>
  <c r="H67" i="13"/>
  <c r="H68" i="13"/>
  <c r="H69" i="13"/>
  <c r="H70" i="13"/>
  <c r="H71" i="13"/>
  <c r="H72" i="13"/>
  <c r="H73" i="13"/>
  <c r="H74" i="13"/>
  <c r="H75" i="13"/>
  <c r="H76" i="13"/>
  <c r="H77" i="13"/>
  <c r="H78" i="13"/>
  <c r="H79" i="13"/>
  <c r="H80" i="13"/>
  <c r="H81" i="13"/>
  <c r="H82" i="13"/>
  <c r="H83" i="13"/>
  <c r="H84" i="13"/>
  <c r="H85" i="13"/>
  <c r="C2" i="13"/>
  <c r="C3" i="13"/>
  <c r="C4" i="13"/>
  <c r="C5" i="13"/>
  <c r="C6" i="13"/>
  <c r="C7" i="13"/>
  <c r="C8" i="13"/>
  <c r="C9" i="13"/>
  <c r="C10" i="13"/>
  <c r="C11" i="13"/>
  <c r="C12" i="13"/>
  <c r="C13" i="13"/>
  <c r="C14" i="13"/>
  <c r="C15" i="13"/>
  <c r="C16" i="13"/>
  <c r="C17" i="13"/>
  <c r="C18" i="13"/>
  <c r="C19" i="13"/>
  <c r="C20" i="13"/>
  <c r="C21" i="13"/>
  <c r="C22" i="13"/>
  <c r="C23" i="13"/>
  <c r="C24" i="13"/>
  <c r="C25" i="13"/>
  <c r="C26" i="13"/>
  <c r="C27" i="13"/>
  <c r="C28" i="13"/>
  <c r="C29" i="13"/>
  <c r="C30" i="13"/>
  <c r="C31" i="13"/>
  <c r="C32" i="13"/>
  <c r="C33" i="13"/>
  <c r="C34" i="13"/>
  <c r="C35" i="13"/>
  <c r="C36" i="13"/>
  <c r="C37" i="13"/>
  <c r="C38" i="13"/>
  <c r="C39" i="13"/>
  <c r="C40" i="13"/>
  <c r="C41" i="13"/>
  <c r="C42" i="13"/>
  <c r="C43" i="13"/>
  <c r="C44" i="13"/>
  <c r="C45" i="13"/>
  <c r="C46" i="13"/>
  <c r="C47" i="13"/>
  <c r="C48" i="13"/>
  <c r="C49" i="13"/>
  <c r="C50" i="13"/>
  <c r="C51" i="13"/>
  <c r="C52" i="13"/>
  <c r="C53" i="13"/>
  <c r="C54" i="13"/>
  <c r="C55" i="13"/>
  <c r="C56" i="13"/>
  <c r="C57" i="13"/>
  <c r="C58" i="13"/>
  <c r="C59" i="13"/>
  <c r="C60" i="13"/>
  <c r="C61" i="13"/>
  <c r="C62" i="13"/>
  <c r="C63" i="13"/>
  <c r="C64" i="13"/>
  <c r="C65" i="13"/>
  <c r="C66" i="13"/>
  <c r="C67" i="13"/>
  <c r="C68" i="13"/>
  <c r="C69" i="13"/>
  <c r="C70" i="13"/>
  <c r="C71" i="13"/>
  <c r="C72" i="13"/>
  <c r="C73" i="13"/>
  <c r="C74" i="13"/>
  <c r="C75" i="13"/>
  <c r="C76" i="13"/>
  <c r="C77" i="13"/>
  <c r="C78" i="13"/>
  <c r="C79" i="13"/>
  <c r="C80" i="13"/>
  <c r="C81" i="13"/>
  <c r="C82" i="13"/>
  <c r="C83" i="13"/>
  <c r="C84" i="13"/>
  <c r="C85" i="13"/>
  <c r="F87" i="14" a="1"/>
  <c r="F87" i="14" s="1"/>
  <c r="F86" i="14" a="1"/>
  <c r="F86" i="14" s="1"/>
  <c r="F519" i="12" a="1"/>
  <c r="F519" i="12" s="1"/>
  <c r="F518" i="12" a="1"/>
  <c r="F518" i="12" s="1"/>
  <c r="F517" i="12" a="1"/>
  <c r="F517" i="12" s="1"/>
  <c r="F516" i="12" a="1"/>
  <c r="F516" i="12" s="1"/>
  <c r="F515" i="12" a="1"/>
  <c r="F515" i="12" s="1"/>
  <c r="F514" i="12" a="1"/>
  <c r="F514" i="12" s="1"/>
  <c r="F513" i="12" a="1"/>
  <c r="F513" i="12" s="1"/>
  <c r="F512" i="12" a="1"/>
  <c r="F512" i="12" s="1"/>
  <c r="F511" i="12" a="1"/>
  <c r="F511" i="12" s="1"/>
  <c r="F510" i="12" a="1"/>
  <c r="F510" i="12" s="1"/>
  <c r="F509" i="12" a="1"/>
  <c r="F509" i="12" s="1"/>
  <c r="A519" i="12"/>
  <c r="B519" i="12"/>
  <c r="C519" i="12"/>
  <c r="D519" i="12"/>
  <c r="A518" i="12"/>
  <c r="B518" i="12"/>
  <c r="C518" i="12"/>
  <c r="D518" i="12"/>
  <c r="A517" i="12"/>
  <c r="B517" i="12"/>
  <c r="C517" i="12"/>
  <c r="D517" i="12"/>
  <c r="A516" i="12"/>
  <c r="B516" i="12"/>
  <c r="C516" i="12"/>
  <c r="D516" i="12"/>
  <c r="A515" i="12"/>
  <c r="B515" i="12"/>
  <c r="C515" i="12"/>
  <c r="D515" i="12"/>
  <c r="A514" i="12"/>
  <c r="B514" i="12"/>
  <c r="C514" i="12"/>
  <c r="D514" i="12"/>
  <c r="A513" i="12"/>
  <c r="B513" i="12"/>
  <c r="C513" i="12"/>
  <c r="D513" i="12"/>
  <c r="A512" i="12"/>
  <c r="B512" i="12"/>
  <c r="C512" i="12"/>
  <c r="D512" i="12"/>
  <c r="A511" i="12"/>
  <c r="B511" i="12"/>
  <c r="C511" i="12"/>
  <c r="D511" i="12"/>
  <c r="A510" i="12"/>
  <c r="B510" i="12"/>
  <c r="C510" i="12"/>
  <c r="D510" i="12"/>
  <c r="A509" i="12"/>
  <c r="B509" i="12"/>
  <c r="C509" i="12"/>
  <c r="D509" i="12"/>
  <c r="A508" i="12"/>
  <c r="B508" i="12"/>
  <c r="C508" i="12"/>
  <c r="D508" i="12"/>
  <c r="E302" i="3"/>
  <c r="E169" i="3"/>
  <c r="G302" i="3"/>
  <c r="A302" i="3" s="1"/>
  <c r="G169" i="3"/>
  <c r="A169" i="3" s="1"/>
  <c r="E448" i="3"/>
  <c r="E375" i="3"/>
  <c r="G448" i="3"/>
  <c r="A448" i="3" s="1"/>
  <c r="G375" i="3"/>
  <c r="A375" i="3" s="1"/>
  <c r="B85" i="13"/>
  <c r="B84" i="13"/>
  <c r="B83" i="13"/>
  <c r="B82" i="13"/>
  <c r="B81" i="13"/>
  <c r="B80" i="13"/>
  <c r="E40" i="3"/>
  <c r="G40" i="3"/>
  <c r="A40" i="3" s="1"/>
  <c r="E431" i="3"/>
  <c r="G431" i="3"/>
  <c r="A431" i="3" s="1"/>
  <c r="B79" i="13"/>
  <c r="B78" i="13"/>
  <c r="B77" i="13"/>
  <c r="B76" i="13"/>
  <c r="B75" i="13"/>
  <c r="B74" i="13"/>
  <c r="B73" i="13"/>
  <c r="B72" i="13"/>
  <c r="B71" i="13"/>
  <c r="B507" i="12"/>
  <c r="A507" i="12" s="1"/>
  <c r="C507" i="12"/>
  <c r="D507" i="12"/>
  <c r="B506" i="12"/>
  <c r="A506" i="12" s="1"/>
  <c r="C506" i="12"/>
  <c r="D506" i="12"/>
  <c r="B505" i="12"/>
  <c r="A505" i="12" s="1"/>
  <c r="C505" i="12"/>
  <c r="D505" i="12"/>
  <c r="B504" i="12"/>
  <c r="A504" i="12" s="1"/>
  <c r="C504" i="12"/>
  <c r="D504" i="12"/>
  <c r="B87" i="14"/>
  <c r="A87" i="14" s="1"/>
  <c r="C87" i="14"/>
  <c r="D87" i="14"/>
  <c r="E87" i="14"/>
  <c r="B86" i="14"/>
  <c r="A86" i="14" s="1"/>
  <c r="C86" i="14"/>
  <c r="D86" i="14"/>
  <c r="E86" i="14"/>
  <c r="B85" i="14"/>
  <c r="A85" i="14" s="1"/>
  <c r="E85" i="14"/>
  <c r="B84" i="14"/>
  <c r="A84" i="14" s="1"/>
  <c r="E84" i="14"/>
  <c r="A83" i="14"/>
  <c r="B83" i="14"/>
  <c r="E83" i="14"/>
  <c r="B82" i="14"/>
  <c r="A82" i="14" s="1"/>
  <c r="E82" i="14"/>
  <c r="B81" i="14"/>
  <c r="A81" i="14" s="1"/>
  <c r="E81" i="14"/>
  <c r="A80" i="14"/>
  <c r="B80" i="14"/>
  <c r="E80" i="14"/>
  <c r="B79" i="14"/>
  <c r="A79" i="14" s="1"/>
  <c r="E79" i="14"/>
  <c r="B78" i="14"/>
  <c r="A78" i="14" s="1"/>
  <c r="E78" i="14"/>
  <c r="A77" i="14"/>
  <c r="B77" i="14"/>
  <c r="E77" i="14"/>
  <c r="B76" i="14"/>
  <c r="A76" i="14" s="1"/>
  <c r="E76" i="14"/>
  <c r="A75" i="14"/>
  <c r="B75" i="14"/>
  <c r="E75" i="14"/>
  <c r="B74" i="14"/>
  <c r="A74" i="14" s="1"/>
  <c r="E74" i="14"/>
  <c r="A73" i="14"/>
  <c r="B73" i="14"/>
  <c r="E73" i="14"/>
  <c r="A5" i="14"/>
  <c r="A9" i="14"/>
  <c r="A13" i="14"/>
  <c r="A17" i="14"/>
  <c r="A21" i="14"/>
  <c r="A25" i="14"/>
  <c r="A29" i="14"/>
  <c r="A33" i="14"/>
  <c r="A37" i="14"/>
  <c r="A41" i="14"/>
  <c r="A45" i="14"/>
  <c r="A49" i="14"/>
  <c r="A53" i="14"/>
  <c r="A57" i="14"/>
  <c r="A61" i="14"/>
  <c r="A65" i="14"/>
  <c r="A69" i="14"/>
  <c r="B72" i="14"/>
  <c r="A72" i="14" s="1"/>
  <c r="E72" i="14"/>
  <c r="B71" i="14"/>
  <c r="A71" i="14" s="1"/>
  <c r="E71" i="14"/>
  <c r="B2" i="13"/>
  <c r="B3" i="13"/>
  <c r="B4" i="13"/>
  <c r="B5" i="13"/>
  <c r="B6" i="13"/>
  <c r="B7" i="13"/>
  <c r="B8" i="13"/>
  <c r="B9" i="13"/>
  <c r="B10" i="13"/>
  <c r="B11" i="13"/>
  <c r="B12" i="13"/>
  <c r="B13" i="13"/>
  <c r="B14" i="13"/>
  <c r="B15" i="13"/>
  <c r="B16" i="13"/>
  <c r="B17" i="13"/>
  <c r="B18" i="13"/>
  <c r="B19" i="13"/>
  <c r="B20" i="13"/>
  <c r="B21" i="13"/>
  <c r="B22" i="13"/>
  <c r="B23" i="13"/>
  <c r="B24" i="13"/>
  <c r="B25" i="13"/>
  <c r="B26" i="13"/>
  <c r="B27" i="13"/>
  <c r="B28" i="13"/>
  <c r="B29" i="13"/>
  <c r="B30" i="13"/>
  <c r="B31" i="13"/>
  <c r="B32" i="13"/>
  <c r="B33" i="13"/>
  <c r="B34" i="13"/>
  <c r="B35" i="13"/>
  <c r="B36" i="13"/>
  <c r="B37" i="13"/>
  <c r="B38" i="13"/>
  <c r="B39" i="13"/>
  <c r="B40" i="13"/>
  <c r="B41" i="13"/>
  <c r="B42" i="13"/>
  <c r="B43" i="13"/>
  <c r="B44" i="13"/>
  <c r="B45" i="13"/>
  <c r="B46" i="13"/>
  <c r="B47" i="13"/>
  <c r="B48" i="13"/>
  <c r="B49" i="13"/>
  <c r="B50" i="13"/>
  <c r="B51" i="13"/>
  <c r="B52" i="13"/>
  <c r="B53" i="13"/>
  <c r="B54" i="13"/>
  <c r="B55" i="13"/>
  <c r="B56" i="13"/>
  <c r="B57" i="13"/>
  <c r="B58" i="13"/>
  <c r="B59" i="13"/>
  <c r="B60" i="13"/>
  <c r="B61" i="13"/>
  <c r="B62" i="13"/>
  <c r="B63" i="13"/>
  <c r="B64" i="13"/>
  <c r="B65" i="13"/>
  <c r="B66" i="13"/>
  <c r="B67" i="13"/>
  <c r="B68" i="13"/>
  <c r="B69" i="13"/>
  <c r="B70" i="13"/>
  <c r="E2" i="3"/>
  <c r="E3" i="3"/>
  <c r="E4" i="3"/>
  <c r="E5" i="3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47" i="3"/>
  <c r="E138" i="3"/>
  <c r="E293" i="3"/>
  <c r="E337" i="3"/>
  <c r="E48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1" i="3"/>
  <c r="E42" i="3"/>
  <c r="E43" i="3"/>
  <c r="E44" i="3"/>
  <c r="E45" i="3"/>
  <c r="E46" i="3"/>
  <c r="E48" i="3"/>
  <c r="E49" i="3"/>
  <c r="E50" i="3"/>
  <c r="E51" i="3"/>
  <c r="E52" i="3"/>
  <c r="E54" i="3"/>
  <c r="E55" i="3"/>
  <c r="E56" i="3"/>
  <c r="E57" i="3"/>
  <c r="E58" i="3"/>
  <c r="E59" i="3"/>
  <c r="E53" i="3"/>
  <c r="E60" i="3"/>
  <c r="E61" i="3"/>
  <c r="E62" i="3"/>
  <c r="E63" i="3"/>
  <c r="E64" i="3"/>
  <c r="E66" i="3"/>
  <c r="E67" i="3"/>
  <c r="E68" i="3"/>
  <c r="E69" i="3"/>
  <c r="E70" i="3"/>
  <c r="E71" i="3"/>
  <c r="E72" i="3"/>
  <c r="E73" i="3"/>
  <c r="E74" i="3"/>
  <c r="E75" i="3"/>
  <c r="E76" i="3"/>
  <c r="E77" i="3"/>
  <c r="E78" i="3"/>
  <c r="E79" i="3"/>
  <c r="E80" i="3"/>
  <c r="E81" i="3"/>
  <c r="E82" i="3"/>
  <c r="E83" i="3"/>
  <c r="E84" i="3"/>
  <c r="E85" i="3"/>
  <c r="E86" i="3"/>
  <c r="E87" i="3"/>
  <c r="E88" i="3"/>
  <c r="E89" i="3"/>
  <c r="E90" i="3"/>
  <c r="E91" i="3"/>
  <c r="E92" i="3"/>
  <c r="E93" i="3"/>
  <c r="E94" i="3"/>
  <c r="E95" i="3"/>
  <c r="E96" i="3"/>
  <c r="E97" i="3"/>
  <c r="E98" i="3"/>
  <c r="E99" i="3"/>
  <c r="E100" i="3"/>
  <c r="E101" i="3"/>
  <c r="E102" i="3"/>
  <c r="E103" i="3"/>
  <c r="E104" i="3"/>
  <c r="E105" i="3"/>
  <c r="E106" i="3"/>
  <c r="E107" i="3"/>
  <c r="E108" i="3"/>
  <c r="E109" i="3"/>
  <c r="E110" i="3"/>
  <c r="E111" i="3"/>
  <c r="E112" i="3"/>
  <c r="E113" i="3"/>
  <c r="E114" i="3"/>
  <c r="E115" i="3"/>
  <c r="E116" i="3"/>
  <c r="E117" i="3"/>
  <c r="E118" i="3"/>
  <c r="E119" i="3"/>
  <c r="E120" i="3"/>
  <c r="E121" i="3"/>
  <c r="E122" i="3"/>
  <c r="E123" i="3"/>
  <c r="E124" i="3"/>
  <c r="E125" i="3"/>
  <c r="E126" i="3"/>
  <c r="E127" i="3"/>
  <c r="E128" i="3"/>
  <c r="E129" i="3"/>
  <c r="E130" i="3"/>
  <c r="E131" i="3"/>
  <c r="E132" i="3"/>
  <c r="E133" i="3"/>
  <c r="E134" i="3"/>
  <c r="E135" i="3"/>
  <c r="E136" i="3"/>
  <c r="E137" i="3"/>
  <c r="E139" i="3"/>
  <c r="E140" i="3"/>
  <c r="E141" i="3"/>
  <c r="E142" i="3"/>
  <c r="E143" i="3"/>
  <c r="E144" i="3"/>
  <c r="E145" i="3"/>
  <c r="E146" i="3"/>
  <c r="E147" i="3"/>
  <c r="E148" i="3"/>
  <c r="E149" i="3"/>
  <c r="E150" i="3"/>
  <c r="E151" i="3"/>
  <c r="E152" i="3"/>
  <c r="E153" i="3"/>
  <c r="E154" i="3"/>
  <c r="E155" i="3"/>
  <c r="E156" i="3"/>
  <c r="E157" i="3"/>
  <c r="E158" i="3"/>
  <c r="E159" i="3"/>
  <c r="E160" i="3"/>
  <c r="E161" i="3"/>
  <c r="E162" i="3"/>
  <c r="E163" i="3"/>
  <c r="E164" i="3"/>
  <c r="E165" i="3"/>
  <c r="E166" i="3"/>
  <c r="E167" i="3"/>
  <c r="E168" i="3"/>
  <c r="E170" i="3"/>
  <c r="E171" i="3"/>
  <c r="E172" i="3"/>
  <c r="E173" i="3"/>
  <c r="E174" i="3"/>
  <c r="E175" i="3"/>
  <c r="E176" i="3"/>
  <c r="E177" i="3"/>
  <c r="E178" i="3"/>
  <c r="E179" i="3"/>
  <c r="E180" i="3"/>
  <c r="E181" i="3"/>
  <c r="E182" i="3"/>
  <c r="E183" i="3"/>
  <c r="E184" i="3"/>
  <c r="E185" i="3"/>
  <c r="E186" i="3"/>
  <c r="E187" i="3"/>
  <c r="E188" i="3"/>
  <c r="E189" i="3"/>
  <c r="E190" i="3"/>
  <c r="E191" i="3"/>
  <c r="E192" i="3"/>
  <c r="E193" i="3"/>
  <c r="E194" i="3"/>
  <c r="E195" i="3"/>
  <c r="E196" i="3"/>
  <c r="E197" i="3"/>
  <c r="E199" i="3"/>
  <c r="E200" i="3"/>
  <c r="E198" i="3"/>
  <c r="E201" i="3"/>
  <c r="E202" i="3"/>
  <c r="E203" i="3"/>
  <c r="E204" i="3"/>
  <c r="E205" i="3"/>
  <c r="E206" i="3"/>
  <c r="E207" i="3"/>
  <c r="E208" i="3"/>
  <c r="E209" i="3"/>
  <c r="E210" i="3"/>
  <c r="E211" i="3"/>
  <c r="E212" i="3"/>
  <c r="E213" i="3"/>
  <c r="E214" i="3"/>
  <c r="E215" i="3"/>
  <c r="E216" i="3"/>
  <c r="E217" i="3"/>
  <c r="E218" i="3"/>
  <c r="E219" i="3"/>
  <c r="E220" i="3"/>
  <c r="E221" i="3"/>
  <c r="E222" i="3"/>
  <c r="E223" i="3"/>
  <c r="E224" i="3"/>
  <c r="E225" i="3"/>
  <c r="E226" i="3"/>
  <c r="E227" i="3"/>
  <c r="E228" i="3"/>
  <c r="E229" i="3"/>
  <c r="E230" i="3"/>
  <c r="E231" i="3"/>
  <c r="E232" i="3"/>
  <c r="E233" i="3"/>
  <c r="E234" i="3"/>
  <c r="E235" i="3"/>
  <c r="E236" i="3"/>
  <c r="E237" i="3"/>
  <c r="E238" i="3"/>
  <c r="E239" i="3"/>
  <c r="E240" i="3"/>
  <c r="E241" i="3"/>
  <c r="E242" i="3"/>
  <c r="E243" i="3"/>
  <c r="E244" i="3"/>
  <c r="E245" i="3"/>
  <c r="E246" i="3"/>
  <c r="E247" i="3"/>
  <c r="E248" i="3"/>
  <c r="E249" i="3"/>
  <c r="E250" i="3"/>
  <c r="E251" i="3"/>
  <c r="E252" i="3"/>
  <c r="E253" i="3"/>
  <c r="E254" i="3"/>
  <c r="E255" i="3"/>
  <c r="E256" i="3"/>
  <c r="E257" i="3"/>
  <c r="E258" i="3"/>
  <c r="E259" i="3"/>
  <c r="E260" i="3"/>
  <c r="E261" i="3"/>
  <c r="E262" i="3"/>
  <c r="E263" i="3"/>
  <c r="E264" i="3"/>
  <c r="E265" i="3"/>
  <c r="E266" i="3"/>
  <c r="E267" i="3"/>
  <c r="E268" i="3"/>
  <c r="E269" i="3"/>
  <c r="E270" i="3"/>
  <c r="E272" i="3"/>
  <c r="E271" i="3"/>
  <c r="E273" i="3"/>
  <c r="E274" i="3"/>
  <c r="E275" i="3"/>
  <c r="E276" i="3"/>
  <c r="E277" i="3"/>
  <c r="E278" i="3"/>
  <c r="E279" i="3"/>
  <c r="E280" i="3"/>
  <c r="E281" i="3"/>
  <c r="E282" i="3"/>
  <c r="E283" i="3"/>
  <c r="E284" i="3"/>
  <c r="E285" i="3"/>
  <c r="E286" i="3"/>
  <c r="E287" i="3"/>
  <c r="E288" i="3"/>
  <c r="E290" i="3"/>
  <c r="E291" i="3"/>
  <c r="E294" i="3"/>
  <c r="E295" i="3"/>
  <c r="E296" i="3"/>
  <c r="E297" i="3"/>
  <c r="E298" i="3"/>
  <c r="E299" i="3"/>
  <c r="E300" i="3"/>
  <c r="E301" i="3"/>
  <c r="E303" i="3"/>
  <c r="E304" i="3"/>
  <c r="E305" i="3"/>
  <c r="E306" i="3"/>
  <c r="E307" i="3"/>
  <c r="E308" i="3"/>
  <c r="E309" i="3"/>
  <c r="E310" i="3"/>
  <c r="E311" i="3"/>
  <c r="E312" i="3"/>
  <c r="E313" i="3"/>
  <c r="E314" i="3"/>
  <c r="E315" i="3"/>
  <c r="E316" i="3"/>
  <c r="E317" i="3"/>
  <c r="E318" i="3"/>
  <c r="E319" i="3"/>
  <c r="E320" i="3"/>
  <c r="E321" i="3"/>
  <c r="E322" i="3"/>
  <c r="E323" i="3"/>
  <c r="E324" i="3"/>
  <c r="E325" i="3"/>
  <c r="E326" i="3"/>
  <c r="E327" i="3"/>
  <c r="E328" i="3"/>
  <c r="E329" i="3"/>
  <c r="E330" i="3"/>
  <c r="E331" i="3"/>
  <c r="E332" i="3"/>
  <c r="E333" i="3"/>
  <c r="E334" i="3"/>
  <c r="E335" i="3"/>
  <c r="E336" i="3"/>
  <c r="E338" i="3"/>
  <c r="E339" i="3"/>
  <c r="E340" i="3"/>
  <c r="E341" i="3"/>
  <c r="E342" i="3"/>
  <c r="E343" i="3"/>
  <c r="E344" i="3"/>
  <c r="E345" i="3"/>
  <c r="E346" i="3"/>
  <c r="E347" i="3"/>
  <c r="E348" i="3"/>
  <c r="E349" i="3"/>
  <c r="E350" i="3"/>
  <c r="E351" i="3"/>
  <c r="E352" i="3"/>
  <c r="E353" i="3"/>
  <c r="E354" i="3"/>
  <c r="E355" i="3"/>
  <c r="E356" i="3"/>
  <c r="E357" i="3"/>
  <c r="E358" i="3"/>
  <c r="E359" i="3"/>
  <c r="E360" i="3"/>
  <c r="E361" i="3"/>
  <c r="E362" i="3"/>
  <c r="E363" i="3"/>
  <c r="E364" i="3"/>
  <c r="E365" i="3"/>
  <c r="E366" i="3"/>
  <c r="E367" i="3"/>
  <c r="E368" i="3"/>
  <c r="E369" i="3"/>
  <c r="E370" i="3"/>
  <c r="E371" i="3"/>
  <c r="E372" i="3"/>
  <c r="E373" i="3"/>
  <c r="E374" i="3"/>
  <c r="E376" i="3"/>
  <c r="E377" i="3"/>
  <c r="E379" i="3"/>
  <c r="E380" i="3"/>
  <c r="E381" i="3"/>
  <c r="E382" i="3"/>
  <c r="E383" i="3"/>
  <c r="E384" i="3"/>
  <c r="E385" i="3"/>
  <c r="E386" i="3"/>
  <c r="E387" i="3"/>
  <c r="E388" i="3"/>
  <c r="E389" i="3"/>
  <c r="E390" i="3"/>
  <c r="E392" i="3"/>
  <c r="E393" i="3"/>
  <c r="E394" i="3"/>
  <c r="E391" i="3"/>
  <c r="E395" i="3"/>
  <c r="E396" i="3"/>
  <c r="E397" i="3"/>
  <c r="E398" i="3"/>
  <c r="E399" i="3"/>
  <c r="E400" i="3"/>
  <c r="E401" i="3"/>
  <c r="E402" i="3"/>
  <c r="E403" i="3"/>
  <c r="E404" i="3"/>
  <c r="E405" i="3"/>
  <c r="E406" i="3"/>
  <c r="E407" i="3"/>
  <c r="E408" i="3"/>
  <c r="E409" i="3"/>
  <c r="E410" i="3"/>
  <c r="E411" i="3"/>
  <c r="E412" i="3"/>
  <c r="E413" i="3"/>
  <c r="E414" i="3"/>
  <c r="E415" i="3"/>
  <c r="E416" i="3"/>
  <c r="E417" i="3"/>
  <c r="E418" i="3"/>
  <c r="E419" i="3"/>
  <c r="E420" i="3"/>
  <c r="E421" i="3"/>
  <c r="E422" i="3"/>
  <c r="E423" i="3"/>
  <c r="E424" i="3"/>
  <c r="E425" i="3"/>
  <c r="E426" i="3"/>
  <c r="E427" i="3"/>
  <c r="E428" i="3"/>
  <c r="E429" i="3"/>
  <c r="E430" i="3"/>
  <c r="E432" i="3"/>
  <c r="E433" i="3"/>
  <c r="E434" i="3"/>
  <c r="E435" i="3"/>
  <c r="E436" i="3"/>
  <c r="E437" i="3"/>
  <c r="E438" i="3"/>
  <c r="E439" i="3"/>
  <c r="E440" i="3"/>
  <c r="E441" i="3"/>
  <c r="E442" i="3"/>
  <c r="E443" i="3"/>
  <c r="E444" i="3"/>
  <c r="E445" i="3"/>
  <c r="E446" i="3"/>
  <c r="E447" i="3"/>
  <c r="E449" i="3"/>
  <c r="E450" i="3"/>
  <c r="E451" i="3"/>
  <c r="E452" i="3"/>
  <c r="E453" i="3"/>
  <c r="E454" i="3"/>
  <c r="E455" i="3"/>
  <c r="E456" i="3"/>
  <c r="E457" i="3"/>
  <c r="E458" i="3"/>
  <c r="E459" i="3"/>
  <c r="E460" i="3"/>
  <c r="E461" i="3"/>
  <c r="E462" i="3"/>
  <c r="E463" i="3"/>
  <c r="E464" i="3"/>
  <c r="E465" i="3"/>
  <c r="E466" i="3"/>
  <c r="E467" i="3"/>
  <c r="E468" i="3"/>
  <c r="E469" i="3"/>
  <c r="E470" i="3"/>
  <c r="E471" i="3"/>
  <c r="E472" i="3"/>
  <c r="E473" i="3"/>
  <c r="E474" i="3"/>
  <c r="E475" i="3"/>
  <c r="E476" i="3"/>
  <c r="E477" i="3"/>
  <c r="E478" i="3"/>
  <c r="E479" i="3"/>
  <c r="E481" i="3"/>
  <c r="E482" i="3"/>
  <c r="E483" i="3"/>
  <c r="E484" i="3"/>
  <c r="E485" i="3"/>
  <c r="E486" i="3"/>
  <c r="E487" i="3"/>
  <c r="E488" i="3"/>
  <c r="E489" i="3"/>
  <c r="E490" i="3"/>
  <c r="E491" i="3"/>
  <c r="E492" i="3"/>
  <c r="E493" i="3"/>
  <c r="E494" i="3"/>
  <c r="E495" i="3"/>
  <c r="E496" i="3"/>
  <c r="E497" i="3"/>
  <c r="E498" i="3"/>
  <c r="E499" i="3"/>
  <c r="E500" i="3"/>
  <c r="E501" i="3"/>
  <c r="E502" i="3"/>
  <c r="E503" i="3"/>
  <c r="E504" i="3"/>
  <c r="E505" i="3"/>
  <c r="E506" i="3"/>
  <c r="E507" i="3"/>
  <c r="E508" i="3"/>
  <c r="E289" i="3"/>
  <c r="E65" i="3"/>
  <c r="E378" i="3"/>
  <c r="E292" i="3"/>
  <c r="B503" i="12"/>
  <c r="A503" i="12" s="1"/>
  <c r="C503" i="12"/>
  <c r="D503" i="12"/>
  <c r="B502" i="12"/>
  <c r="A502" i="12" s="1"/>
  <c r="C502" i="12"/>
  <c r="D502" i="12"/>
  <c r="B501" i="12"/>
  <c r="A501" i="12" s="1"/>
  <c r="C501" i="12"/>
  <c r="D501" i="12"/>
  <c r="B500" i="12"/>
  <c r="A500" i="12" s="1"/>
  <c r="C500" i="12"/>
  <c r="D500" i="12"/>
  <c r="B70" i="14"/>
  <c r="A70" i="14" s="1"/>
  <c r="E70" i="14"/>
  <c r="B69" i="14"/>
  <c r="E69" i="14"/>
  <c r="B68" i="14"/>
  <c r="A68" i="14" s="1"/>
  <c r="E68" i="14"/>
  <c r="G292" i="3"/>
  <c r="A292" i="3" s="1"/>
  <c r="G378" i="3"/>
  <c r="A378" i="3" s="1"/>
  <c r="G65" i="3"/>
  <c r="A65" i="3" s="1"/>
  <c r="G289" i="3"/>
  <c r="A289" i="3" s="1"/>
  <c r="B67" i="14"/>
  <c r="A67" i="14" s="1"/>
  <c r="E67" i="14"/>
  <c r="B66" i="14"/>
  <c r="A66" i="14" s="1"/>
  <c r="E66" i="14"/>
  <c r="B65" i="14"/>
  <c r="E65" i="14"/>
  <c r="B64" i="14"/>
  <c r="A64" i="14" s="1"/>
  <c r="E64" i="14"/>
  <c r="B499" i="12"/>
  <c r="A499" i="12" s="1"/>
  <c r="C499" i="12"/>
  <c r="D499" i="12"/>
  <c r="B498" i="12"/>
  <c r="A498" i="12" s="1"/>
  <c r="C498" i="12"/>
  <c r="D498" i="12"/>
  <c r="B497" i="12"/>
  <c r="A497" i="12" s="1"/>
  <c r="C497" i="12"/>
  <c r="D497" i="12"/>
  <c r="B496" i="12"/>
  <c r="A496" i="12" s="1"/>
  <c r="C496" i="12"/>
  <c r="D496" i="12"/>
  <c r="B495" i="12"/>
  <c r="A495" i="12" s="1"/>
  <c r="C495" i="12"/>
  <c r="D495" i="12"/>
  <c r="B494" i="12"/>
  <c r="A494" i="12" s="1"/>
  <c r="C494" i="12"/>
  <c r="D494" i="12"/>
  <c r="B493" i="12"/>
  <c r="A493" i="12" s="1"/>
  <c r="C493" i="12"/>
  <c r="D493" i="12"/>
  <c r="B492" i="12"/>
  <c r="A492" i="12" s="1"/>
  <c r="C492" i="12"/>
  <c r="D492" i="12"/>
  <c r="B491" i="12"/>
  <c r="A491" i="12" s="1"/>
  <c r="C491" i="12"/>
  <c r="D491" i="12"/>
  <c r="G293" i="3"/>
  <c r="A293" i="3" s="1"/>
  <c r="B490" i="12"/>
  <c r="A490" i="12" s="1"/>
  <c r="C490" i="12"/>
  <c r="D490" i="12"/>
  <c r="G139" i="3"/>
  <c r="A139" i="3" s="1"/>
  <c r="C3" i="12"/>
  <c r="C4" i="12"/>
  <c r="C5" i="12"/>
  <c r="C6" i="12"/>
  <c r="C7" i="12"/>
  <c r="C8" i="12"/>
  <c r="C9" i="12"/>
  <c r="C10" i="12"/>
  <c r="C11" i="12"/>
  <c r="C12" i="12"/>
  <c r="C13" i="12"/>
  <c r="C14" i="12"/>
  <c r="C15" i="12"/>
  <c r="C16" i="12"/>
  <c r="C17" i="12"/>
  <c r="C18" i="12"/>
  <c r="C19" i="12"/>
  <c r="C20" i="12"/>
  <c r="C21" i="12"/>
  <c r="C22" i="12"/>
  <c r="C23" i="12"/>
  <c r="C24" i="12"/>
  <c r="C25" i="12"/>
  <c r="C26" i="12"/>
  <c r="C27" i="12"/>
  <c r="C28" i="12"/>
  <c r="C29" i="12"/>
  <c r="C30" i="12"/>
  <c r="C31" i="12"/>
  <c r="C32" i="12"/>
  <c r="C33" i="12"/>
  <c r="C34" i="12"/>
  <c r="C35" i="12"/>
  <c r="C36" i="12"/>
  <c r="C37" i="12"/>
  <c r="C38" i="12"/>
  <c r="C39" i="12"/>
  <c r="C40" i="12"/>
  <c r="C41" i="12"/>
  <c r="C42" i="12"/>
  <c r="C43" i="12"/>
  <c r="C44" i="12"/>
  <c r="C45" i="12"/>
  <c r="C46" i="12"/>
  <c r="C47" i="12"/>
  <c r="C48" i="12"/>
  <c r="C49" i="12"/>
  <c r="C50" i="12"/>
  <c r="C51" i="12"/>
  <c r="C52" i="12"/>
  <c r="C53" i="12"/>
  <c r="C54" i="12"/>
  <c r="C55" i="12"/>
  <c r="C56" i="12"/>
  <c r="C57" i="12"/>
  <c r="C58" i="12"/>
  <c r="C59" i="12"/>
  <c r="C60" i="12"/>
  <c r="C61" i="12"/>
  <c r="C62" i="12"/>
  <c r="C63" i="12"/>
  <c r="C64" i="12"/>
  <c r="C65" i="12"/>
  <c r="C66" i="12"/>
  <c r="C67" i="12"/>
  <c r="C68" i="12"/>
  <c r="C69" i="12"/>
  <c r="C70" i="12"/>
  <c r="C71" i="12"/>
  <c r="C72" i="12"/>
  <c r="C73" i="12"/>
  <c r="C74" i="12"/>
  <c r="C75" i="12"/>
  <c r="C76" i="12"/>
  <c r="C77" i="12"/>
  <c r="C78" i="12"/>
  <c r="C79" i="12"/>
  <c r="C80" i="12"/>
  <c r="C81" i="12"/>
  <c r="C82" i="12"/>
  <c r="C83" i="12"/>
  <c r="C84" i="12"/>
  <c r="C85" i="12"/>
  <c r="C86" i="12"/>
  <c r="C87" i="12"/>
  <c r="C88" i="12"/>
  <c r="C89" i="12"/>
  <c r="C90" i="12"/>
  <c r="C91" i="12"/>
  <c r="C92" i="12"/>
  <c r="C93" i="12"/>
  <c r="C94" i="12"/>
  <c r="C95" i="12"/>
  <c r="C96" i="12"/>
  <c r="C97" i="12"/>
  <c r="C98" i="12"/>
  <c r="C99" i="12"/>
  <c r="C100" i="12"/>
  <c r="C101" i="12"/>
  <c r="C102" i="12"/>
  <c r="C103" i="12"/>
  <c r="C104" i="12"/>
  <c r="C105" i="12"/>
  <c r="C106" i="12"/>
  <c r="C107" i="12"/>
  <c r="C108" i="12"/>
  <c r="C109" i="12"/>
  <c r="C110" i="12"/>
  <c r="C111" i="12"/>
  <c r="C112" i="12"/>
  <c r="C113" i="12"/>
  <c r="C114" i="12"/>
  <c r="C115" i="12"/>
  <c r="C116" i="12"/>
  <c r="C117" i="12"/>
  <c r="C118" i="12"/>
  <c r="C119" i="12"/>
  <c r="C120" i="12"/>
  <c r="C121" i="12"/>
  <c r="C122" i="12"/>
  <c r="C123" i="12"/>
  <c r="C124" i="12"/>
  <c r="C125" i="12"/>
  <c r="C126" i="12"/>
  <c r="C127" i="12"/>
  <c r="C128" i="12"/>
  <c r="C129" i="12"/>
  <c r="C130" i="12"/>
  <c r="C131" i="12"/>
  <c r="C132" i="12"/>
  <c r="C133" i="12"/>
  <c r="C134" i="12"/>
  <c r="C135" i="12"/>
  <c r="C136" i="12"/>
  <c r="C137" i="12"/>
  <c r="C138" i="12"/>
  <c r="C139" i="12"/>
  <c r="C140" i="12"/>
  <c r="C141" i="12"/>
  <c r="C142" i="12"/>
  <c r="C143" i="12"/>
  <c r="C144" i="12"/>
  <c r="C145" i="12"/>
  <c r="C146" i="12"/>
  <c r="C147" i="12"/>
  <c r="C148" i="12"/>
  <c r="C149" i="12"/>
  <c r="C150" i="12"/>
  <c r="C151" i="12"/>
  <c r="C152" i="12"/>
  <c r="C153" i="12"/>
  <c r="C154" i="12"/>
  <c r="C155" i="12"/>
  <c r="C156" i="12"/>
  <c r="C157" i="12"/>
  <c r="C158" i="12"/>
  <c r="C159" i="12"/>
  <c r="C160" i="12"/>
  <c r="C161" i="12"/>
  <c r="C162" i="12"/>
  <c r="C163" i="12"/>
  <c r="C164" i="12"/>
  <c r="C165" i="12"/>
  <c r="C166" i="12"/>
  <c r="C167" i="12"/>
  <c r="C168" i="12"/>
  <c r="C169" i="12"/>
  <c r="C170" i="12"/>
  <c r="C171" i="12"/>
  <c r="C172" i="12"/>
  <c r="C173" i="12"/>
  <c r="C174" i="12"/>
  <c r="C175" i="12"/>
  <c r="C176" i="12"/>
  <c r="C177" i="12"/>
  <c r="C178" i="12"/>
  <c r="C179" i="12"/>
  <c r="C180" i="12"/>
  <c r="C181" i="12"/>
  <c r="C182" i="12"/>
  <c r="C183" i="12"/>
  <c r="C184" i="12"/>
  <c r="C185" i="12"/>
  <c r="C186" i="12"/>
  <c r="C187" i="12"/>
  <c r="C188" i="12"/>
  <c r="C189" i="12"/>
  <c r="C190" i="12"/>
  <c r="C191" i="12"/>
  <c r="C192" i="12"/>
  <c r="C193" i="12"/>
  <c r="C194" i="12"/>
  <c r="C195" i="12"/>
  <c r="C196" i="12"/>
  <c r="C197" i="12"/>
  <c r="C198" i="12"/>
  <c r="C199" i="12"/>
  <c r="C200" i="12"/>
  <c r="C201" i="12"/>
  <c r="C202" i="12"/>
  <c r="C203" i="12"/>
  <c r="C204" i="12"/>
  <c r="C205" i="12"/>
  <c r="C206" i="12"/>
  <c r="C207" i="12"/>
  <c r="C208" i="12"/>
  <c r="C209" i="12"/>
  <c r="C210" i="12"/>
  <c r="C211" i="12"/>
  <c r="C212" i="12"/>
  <c r="C213" i="12"/>
  <c r="C214" i="12"/>
  <c r="C215" i="12"/>
  <c r="C216" i="12"/>
  <c r="C217" i="12"/>
  <c r="C218" i="12"/>
  <c r="C219" i="12"/>
  <c r="C220" i="12"/>
  <c r="C221" i="12"/>
  <c r="C222" i="12"/>
  <c r="C223" i="12"/>
  <c r="C224" i="12"/>
  <c r="C225" i="12"/>
  <c r="C226" i="12"/>
  <c r="C227" i="12"/>
  <c r="C228" i="12"/>
  <c r="C229" i="12"/>
  <c r="C230" i="12"/>
  <c r="C231" i="12"/>
  <c r="C232" i="12"/>
  <c r="C233" i="12"/>
  <c r="C234" i="12"/>
  <c r="C235" i="12"/>
  <c r="C236" i="12"/>
  <c r="C237" i="12"/>
  <c r="C238" i="12"/>
  <c r="C239" i="12"/>
  <c r="C240" i="12"/>
  <c r="C241" i="12"/>
  <c r="C242" i="12"/>
  <c r="C243" i="12"/>
  <c r="C244" i="12"/>
  <c r="C245" i="12"/>
  <c r="C246" i="12"/>
  <c r="C247" i="12"/>
  <c r="C248" i="12"/>
  <c r="C249" i="12"/>
  <c r="C250" i="12"/>
  <c r="C251" i="12"/>
  <c r="C252" i="12"/>
  <c r="C253" i="12"/>
  <c r="C254" i="12"/>
  <c r="C255" i="12"/>
  <c r="C256" i="12"/>
  <c r="C257" i="12"/>
  <c r="C258" i="12"/>
  <c r="C259" i="12"/>
  <c r="C260" i="12"/>
  <c r="C261" i="12"/>
  <c r="C262" i="12"/>
  <c r="C263" i="12"/>
  <c r="C264" i="12"/>
  <c r="C265" i="12"/>
  <c r="C266" i="12"/>
  <c r="C267" i="12"/>
  <c r="C268" i="12"/>
  <c r="C269" i="12"/>
  <c r="C270" i="12"/>
  <c r="C271" i="12"/>
  <c r="C272" i="12"/>
  <c r="C273" i="12"/>
  <c r="C274" i="12"/>
  <c r="C275" i="12"/>
  <c r="C276" i="12"/>
  <c r="C277" i="12"/>
  <c r="C278" i="12"/>
  <c r="C279" i="12"/>
  <c r="C280" i="12"/>
  <c r="C281" i="12"/>
  <c r="C282" i="12"/>
  <c r="C283" i="12"/>
  <c r="C284" i="12"/>
  <c r="C285" i="12"/>
  <c r="C286" i="12"/>
  <c r="C287" i="12"/>
  <c r="C288" i="12"/>
  <c r="C289" i="12"/>
  <c r="C290" i="12"/>
  <c r="C291" i="12"/>
  <c r="C292" i="12"/>
  <c r="C293" i="12"/>
  <c r="C294" i="12"/>
  <c r="C295" i="12"/>
  <c r="C296" i="12"/>
  <c r="C297" i="12"/>
  <c r="C298" i="12"/>
  <c r="C299" i="12"/>
  <c r="C300" i="12"/>
  <c r="C301" i="12"/>
  <c r="C302" i="12"/>
  <c r="C303" i="12"/>
  <c r="C304" i="12"/>
  <c r="C305" i="12"/>
  <c r="C306" i="12"/>
  <c r="C307" i="12"/>
  <c r="C308" i="12"/>
  <c r="C309" i="12"/>
  <c r="C310" i="12"/>
  <c r="C311" i="12"/>
  <c r="C312" i="12"/>
  <c r="C313" i="12"/>
  <c r="C314" i="12"/>
  <c r="C315" i="12"/>
  <c r="C316" i="12"/>
  <c r="C317" i="12"/>
  <c r="C318" i="12"/>
  <c r="C319" i="12"/>
  <c r="C320" i="12"/>
  <c r="C321" i="12"/>
  <c r="C322" i="12"/>
  <c r="C323" i="12"/>
  <c r="C324" i="12"/>
  <c r="C325" i="12"/>
  <c r="C326" i="12"/>
  <c r="C327" i="12"/>
  <c r="C328" i="12"/>
  <c r="C329" i="12"/>
  <c r="C330" i="12"/>
  <c r="C331" i="12"/>
  <c r="C332" i="12"/>
  <c r="C333" i="12"/>
  <c r="C334" i="12"/>
  <c r="C335" i="12"/>
  <c r="C336" i="12"/>
  <c r="C337" i="12"/>
  <c r="C338" i="12"/>
  <c r="C339" i="12"/>
  <c r="C340" i="12"/>
  <c r="C341" i="12"/>
  <c r="C342" i="12"/>
  <c r="C343" i="12"/>
  <c r="C344" i="12"/>
  <c r="C345" i="12"/>
  <c r="C346" i="12"/>
  <c r="C347" i="12"/>
  <c r="C348" i="12"/>
  <c r="C349" i="12"/>
  <c r="C350" i="12"/>
  <c r="C351" i="12"/>
  <c r="C352" i="12"/>
  <c r="C353" i="12"/>
  <c r="C354" i="12"/>
  <c r="C355" i="12"/>
  <c r="C356" i="12"/>
  <c r="C357" i="12"/>
  <c r="C358" i="12"/>
  <c r="C359" i="12"/>
  <c r="C360" i="12"/>
  <c r="C361" i="12"/>
  <c r="C362" i="12"/>
  <c r="C363" i="12"/>
  <c r="C364" i="12"/>
  <c r="C365" i="12"/>
  <c r="C366" i="12"/>
  <c r="C367" i="12"/>
  <c r="C368" i="12"/>
  <c r="C369" i="12"/>
  <c r="C370" i="12"/>
  <c r="C371" i="12"/>
  <c r="C372" i="12"/>
  <c r="C373" i="12"/>
  <c r="C374" i="12"/>
  <c r="C375" i="12"/>
  <c r="C376" i="12"/>
  <c r="C377" i="12"/>
  <c r="C378" i="12"/>
  <c r="C379" i="12"/>
  <c r="C380" i="12"/>
  <c r="C381" i="12"/>
  <c r="C382" i="12"/>
  <c r="C383" i="12"/>
  <c r="C384" i="12"/>
  <c r="C385" i="12"/>
  <c r="C386" i="12"/>
  <c r="C387" i="12"/>
  <c r="C388" i="12"/>
  <c r="C389" i="12"/>
  <c r="C390" i="12"/>
  <c r="C391" i="12"/>
  <c r="C392" i="12"/>
  <c r="C393" i="12"/>
  <c r="C394" i="12"/>
  <c r="C395" i="12"/>
  <c r="C396" i="12"/>
  <c r="C397" i="12"/>
  <c r="C398" i="12"/>
  <c r="C399" i="12"/>
  <c r="C400" i="12"/>
  <c r="C401" i="12"/>
  <c r="C402" i="12"/>
  <c r="C403" i="12"/>
  <c r="C404" i="12"/>
  <c r="C405" i="12"/>
  <c r="C406" i="12"/>
  <c r="C407" i="12"/>
  <c r="C408" i="12"/>
  <c r="C409" i="12"/>
  <c r="C410" i="12"/>
  <c r="C411" i="12"/>
  <c r="C412" i="12"/>
  <c r="C413" i="12"/>
  <c r="C414" i="12"/>
  <c r="C415" i="12"/>
  <c r="C416" i="12"/>
  <c r="C417" i="12"/>
  <c r="C418" i="12"/>
  <c r="C419" i="12"/>
  <c r="C420" i="12"/>
  <c r="C421" i="12"/>
  <c r="C422" i="12"/>
  <c r="C423" i="12"/>
  <c r="C424" i="12"/>
  <c r="C425" i="12"/>
  <c r="C426" i="12"/>
  <c r="C427" i="12"/>
  <c r="C428" i="12"/>
  <c r="C429" i="12"/>
  <c r="C430" i="12"/>
  <c r="C431" i="12"/>
  <c r="C432" i="12"/>
  <c r="C433" i="12"/>
  <c r="C434" i="12"/>
  <c r="C435" i="12"/>
  <c r="C436" i="12"/>
  <c r="C437" i="12"/>
  <c r="C438" i="12"/>
  <c r="C439" i="12"/>
  <c r="C440" i="12"/>
  <c r="C441" i="12"/>
  <c r="C442" i="12"/>
  <c r="C443" i="12"/>
  <c r="C444" i="12"/>
  <c r="C445" i="12"/>
  <c r="C446" i="12"/>
  <c r="C447" i="12"/>
  <c r="C448" i="12"/>
  <c r="C449" i="12"/>
  <c r="C450" i="12"/>
  <c r="C451" i="12"/>
  <c r="C452" i="12"/>
  <c r="C453" i="12"/>
  <c r="C454" i="12"/>
  <c r="C455" i="12"/>
  <c r="C456" i="12"/>
  <c r="C457" i="12"/>
  <c r="C458" i="12"/>
  <c r="C459" i="12"/>
  <c r="C460" i="12"/>
  <c r="C461" i="12"/>
  <c r="C462" i="12"/>
  <c r="C463" i="12"/>
  <c r="C464" i="12"/>
  <c r="C465" i="12"/>
  <c r="C466" i="12"/>
  <c r="C467" i="12"/>
  <c r="C468" i="12"/>
  <c r="C469" i="12"/>
  <c r="C470" i="12"/>
  <c r="C471" i="12"/>
  <c r="C472" i="12"/>
  <c r="C473" i="12"/>
  <c r="C474" i="12"/>
  <c r="C475" i="12"/>
  <c r="C476" i="12"/>
  <c r="C477" i="12"/>
  <c r="C478" i="12"/>
  <c r="C479" i="12"/>
  <c r="C480" i="12"/>
  <c r="C481" i="12"/>
  <c r="C482" i="12"/>
  <c r="C483" i="12"/>
  <c r="C484" i="12"/>
  <c r="C485" i="12"/>
  <c r="C486" i="12"/>
  <c r="C487" i="12"/>
  <c r="C488" i="12"/>
  <c r="C489" i="12"/>
  <c r="G480" i="3"/>
  <c r="A480" i="3" s="1"/>
  <c r="G36" i="3"/>
  <c r="A36" i="3" s="1"/>
  <c r="G82" i="3"/>
  <c r="A82" i="3" s="1"/>
  <c r="G176" i="3"/>
  <c r="A176" i="3" s="1"/>
  <c r="G214" i="3"/>
  <c r="A214" i="3" s="1"/>
  <c r="G226" i="3"/>
  <c r="A226" i="3" s="1"/>
  <c r="G47" i="3"/>
  <c r="A47" i="3" s="1"/>
  <c r="G231" i="3"/>
  <c r="A231" i="3" s="1"/>
  <c r="G337" i="3"/>
  <c r="A337" i="3" s="1"/>
  <c r="B63" i="14"/>
  <c r="A63" i="14" s="1"/>
  <c r="E63" i="14"/>
  <c r="B62" i="14"/>
  <c r="A62" i="14" s="1"/>
  <c r="E62" i="14"/>
  <c r="B61" i="14"/>
  <c r="E61" i="14"/>
  <c r="B60" i="14"/>
  <c r="A60" i="14" s="1"/>
  <c r="E60" i="14"/>
  <c r="B59" i="14"/>
  <c r="A59" i="14" s="1"/>
  <c r="E59" i="14"/>
  <c r="B58" i="14"/>
  <c r="A58" i="14" s="1"/>
  <c r="E58" i="14"/>
  <c r="B57" i="14"/>
  <c r="E57" i="14"/>
  <c r="B56" i="14"/>
  <c r="A56" i="14" s="1"/>
  <c r="E56" i="14"/>
  <c r="B55" i="14"/>
  <c r="A55" i="14" s="1"/>
  <c r="E55" i="14"/>
  <c r="B54" i="14"/>
  <c r="A54" i="14" s="1"/>
  <c r="E54" i="14"/>
  <c r="B53" i="14"/>
  <c r="E53" i="14"/>
  <c r="B52" i="14"/>
  <c r="A52" i="14" s="1"/>
  <c r="E52" i="14"/>
  <c r="B51" i="14"/>
  <c r="A51" i="14" s="1"/>
  <c r="E51" i="14"/>
  <c r="E50" i="14"/>
  <c r="B50" i="14"/>
  <c r="A50" i="14" s="1"/>
  <c r="E49" i="14"/>
  <c r="B49" i="14"/>
  <c r="E48" i="14"/>
  <c r="B48" i="14"/>
  <c r="A48" i="14" s="1"/>
  <c r="E47" i="14"/>
  <c r="B47" i="14"/>
  <c r="A47" i="14" s="1"/>
  <c r="E46" i="14"/>
  <c r="B46" i="14"/>
  <c r="A46" i="14" s="1"/>
  <c r="E45" i="14"/>
  <c r="B45" i="14"/>
  <c r="E44" i="14"/>
  <c r="B44" i="14"/>
  <c r="A44" i="14" s="1"/>
  <c r="E43" i="14"/>
  <c r="B43" i="14"/>
  <c r="A43" i="14" s="1"/>
  <c r="E42" i="14"/>
  <c r="B42" i="14"/>
  <c r="A42" i="14" s="1"/>
  <c r="E41" i="14"/>
  <c r="B41" i="14"/>
  <c r="E40" i="14"/>
  <c r="B40" i="14"/>
  <c r="A40" i="14" s="1"/>
  <c r="E39" i="14"/>
  <c r="B39" i="14"/>
  <c r="A39" i="14" s="1"/>
  <c r="E38" i="14"/>
  <c r="B38" i="14"/>
  <c r="A38" i="14" s="1"/>
  <c r="E37" i="14"/>
  <c r="B37" i="14"/>
  <c r="E36" i="14"/>
  <c r="B36" i="14"/>
  <c r="A36" i="14" s="1"/>
  <c r="E35" i="14"/>
  <c r="B35" i="14"/>
  <c r="A35" i="14" s="1"/>
  <c r="E34" i="14"/>
  <c r="B34" i="14"/>
  <c r="A34" i="14" s="1"/>
  <c r="E33" i="14"/>
  <c r="B33" i="14"/>
  <c r="E32" i="14"/>
  <c r="B32" i="14"/>
  <c r="A32" i="14" s="1"/>
  <c r="E31" i="14"/>
  <c r="B31" i="14"/>
  <c r="A31" i="14" s="1"/>
  <c r="E30" i="14"/>
  <c r="B30" i="14"/>
  <c r="A30" i="14" s="1"/>
  <c r="E29" i="14"/>
  <c r="B29" i="14"/>
  <c r="E28" i="14"/>
  <c r="B28" i="14"/>
  <c r="A28" i="14" s="1"/>
  <c r="E27" i="14"/>
  <c r="B27" i="14"/>
  <c r="A27" i="14" s="1"/>
  <c r="E26" i="14"/>
  <c r="B26" i="14"/>
  <c r="A26" i="14" s="1"/>
  <c r="E25" i="14"/>
  <c r="B25" i="14"/>
  <c r="E24" i="14"/>
  <c r="B24" i="14"/>
  <c r="A24" i="14" s="1"/>
  <c r="E23" i="14"/>
  <c r="B23" i="14"/>
  <c r="A23" i="14" s="1"/>
  <c r="E22" i="14"/>
  <c r="B22" i="14"/>
  <c r="A22" i="14" s="1"/>
  <c r="E21" i="14"/>
  <c r="B21" i="14"/>
  <c r="E20" i="14"/>
  <c r="B20" i="14"/>
  <c r="A20" i="14" s="1"/>
  <c r="E19" i="14"/>
  <c r="B19" i="14"/>
  <c r="A19" i="14" s="1"/>
  <c r="E18" i="14"/>
  <c r="B18" i="14"/>
  <c r="A18" i="14" s="1"/>
  <c r="E17" i="14"/>
  <c r="B17" i="14"/>
  <c r="E16" i="14"/>
  <c r="B16" i="14"/>
  <c r="A16" i="14" s="1"/>
  <c r="E15" i="14"/>
  <c r="B15" i="14"/>
  <c r="A15" i="14" s="1"/>
  <c r="E14" i="14"/>
  <c r="B14" i="14"/>
  <c r="A14" i="14" s="1"/>
  <c r="E13" i="14"/>
  <c r="B13" i="14"/>
  <c r="E12" i="14"/>
  <c r="B12" i="14"/>
  <c r="A12" i="14" s="1"/>
  <c r="E11" i="14"/>
  <c r="B11" i="14"/>
  <c r="A11" i="14" s="1"/>
  <c r="E10" i="14"/>
  <c r="B10" i="14"/>
  <c r="A10" i="14" s="1"/>
  <c r="E9" i="14"/>
  <c r="B9" i="14"/>
  <c r="E8" i="14"/>
  <c r="B8" i="14"/>
  <c r="A8" i="14" s="1"/>
  <c r="E7" i="14"/>
  <c r="B7" i="14"/>
  <c r="A7" i="14" s="1"/>
  <c r="E6" i="14"/>
  <c r="B6" i="14"/>
  <c r="A6" i="14" s="1"/>
  <c r="E5" i="14"/>
  <c r="B5" i="14"/>
  <c r="E4" i="14"/>
  <c r="B4" i="14"/>
  <c r="A4" i="14" s="1"/>
  <c r="B489" i="12"/>
  <c r="A489" i="12" s="1"/>
  <c r="D489" i="12"/>
  <c r="B488" i="12"/>
  <c r="A488" i="12" s="1"/>
  <c r="D488" i="12"/>
  <c r="B487" i="12"/>
  <c r="A487" i="12" s="1"/>
  <c r="D487" i="12"/>
  <c r="B486" i="12"/>
  <c r="A486" i="12" s="1"/>
  <c r="D486" i="12"/>
  <c r="B485" i="12"/>
  <c r="A485" i="12" s="1"/>
  <c r="D485" i="12"/>
  <c r="G98" i="3"/>
  <c r="A98" i="3" s="1"/>
  <c r="G81" i="3"/>
  <c r="A81" i="3" s="1"/>
  <c r="G80" i="3"/>
  <c r="A80" i="3" s="1"/>
  <c r="G79" i="3"/>
  <c r="A79" i="3" s="1"/>
  <c r="G78" i="3"/>
  <c r="A78" i="3" s="1"/>
  <c r="B484" i="12"/>
  <c r="A484" i="12" s="1"/>
  <c r="D484" i="12"/>
  <c r="B483" i="12"/>
  <c r="A483" i="12" s="1"/>
  <c r="D483" i="12"/>
  <c r="B482" i="12"/>
  <c r="A482" i="12" s="1"/>
  <c r="D482" i="12"/>
  <c r="B481" i="12"/>
  <c r="A481" i="12" s="1"/>
  <c r="D481" i="12"/>
  <c r="B480" i="12"/>
  <c r="A480" i="12" s="1"/>
  <c r="D480" i="12"/>
  <c r="B479" i="12"/>
  <c r="A479" i="12" s="1"/>
  <c r="D479" i="12"/>
  <c r="B478" i="12"/>
  <c r="A478" i="12" s="1"/>
  <c r="D478" i="12"/>
  <c r="B477" i="12"/>
  <c r="A477" i="12" s="1"/>
  <c r="D477" i="12"/>
  <c r="B476" i="12"/>
  <c r="A476" i="12" s="1"/>
  <c r="D476" i="12"/>
  <c r="E3" i="14"/>
  <c r="B3" i="14"/>
  <c r="A3" i="14" s="1"/>
  <c r="D3" i="12"/>
  <c r="D4" i="12"/>
  <c r="D5" i="12"/>
  <c r="D6" i="12"/>
  <c r="D7" i="12"/>
  <c r="D8" i="12"/>
  <c r="D9" i="12"/>
  <c r="D10" i="12"/>
  <c r="D11" i="12"/>
  <c r="D12" i="12"/>
  <c r="D13" i="12"/>
  <c r="D14" i="12"/>
  <c r="D15" i="12"/>
  <c r="D16" i="12"/>
  <c r="D17" i="12"/>
  <c r="D18" i="12"/>
  <c r="D19" i="12"/>
  <c r="D20" i="12"/>
  <c r="D21" i="12"/>
  <c r="D22" i="12"/>
  <c r="D23" i="12"/>
  <c r="D24" i="12"/>
  <c r="D25" i="12"/>
  <c r="D26" i="12"/>
  <c r="D27" i="12"/>
  <c r="D28" i="12"/>
  <c r="D29" i="12"/>
  <c r="D30" i="12"/>
  <c r="D31" i="12"/>
  <c r="D32" i="12"/>
  <c r="D33" i="12"/>
  <c r="D34" i="12"/>
  <c r="D35" i="12"/>
  <c r="D36" i="12"/>
  <c r="D37" i="12"/>
  <c r="D38" i="12"/>
  <c r="D39" i="12"/>
  <c r="D40" i="12"/>
  <c r="D41" i="12"/>
  <c r="D42" i="12"/>
  <c r="D43" i="12"/>
  <c r="D44" i="12"/>
  <c r="D45" i="12"/>
  <c r="D46" i="12"/>
  <c r="D47" i="12"/>
  <c r="D48" i="12"/>
  <c r="D49" i="12"/>
  <c r="D50" i="12"/>
  <c r="D51" i="12"/>
  <c r="D52" i="12"/>
  <c r="D53" i="12"/>
  <c r="D54" i="12"/>
  <c r="D55" i="12"/>
  <c r="D56" i="12"/>
  <c r="D57" i="12"/>
  <c r="D58" i="12"/>
  <c r="D59" i="12"/>
  <c r="D60" i="12"/>
  <c r="D61" i="12"/>
  <c r="D62" i="12"/>
  <c r="D63" i="12"/>
  <c r="D64" i="12"/>
  <c r="D65" i="12"/>
  <c r="D66" i="12"/>
  <c r="D67" i="12"/>
  <c r="D68" i="12"/>
  <c r="D69" i="12"/>
  <c r="D70" i="12"/>
  <c r="D71" i="12"/>
  <c r="D72" i="12"/>
  <c r="D73" i="12"/>
  <c r="D74" i="12"/>
  <c r="D75" i="12"/>
  <c r="D76" i="12"/>
  <c r="D77" i="12"/>
  <c r="D78" i="12"/>
  <c r="D79" i="12"/>
  <c r="D80" i="12"/>
  <c r="D81" i="12"/>
  <c r="D82" i="12"/>
  <c r="D83" i="12"/>
  <c r="D84" i="12"/>
  <c r="D85" i="12"/>
  <c r="D86" i="12"/>
  <c r="D87" i="12"/>
  <c r="D88" i="12"/>
  <c r="D89" i="12"/>
  <c r="D90" i="12"/>
  <c r="D91" i="12"/>
  <c r="D92" i="12"/>
  <c r="D93" i="12"/>
  <c r="D94" i="12"/>
  <c r="D95" i="12"/>
  <c r="D96" i="12"/>
  <c r="D97" i="12"/>
  <c r="D98" i="12"/>
  <c r="D99" i="12"/>
  <c r="D100" i="12"/>
  <c r="D101" i="12"/>
  <c r="D102" i="12"/>
  <c r="D103" i="12"/>
  <c r="D104" i="12"/>
  <c r="D105" i="12"/>
  <c r="D106" i="12"/>
  <c r="D107" i="12"/>
  <c r="D108" i="12"/>
  <c r="D109" i="12"/>
  <c r="D110" i="12"/>
  <c r="D111" i="12"/>
  <c r="D112" i="12"/>
  <c r="D113" i="12"/>
  <c r="D114" i="12"/>
  <c r="D115" i="12"/>
  <c r="D116" i="12"/>
  <c r="D117" i="12"/>
  <c r="D118" i="12"/>
  <c r="D119" i="12"/>
  <c r="D120" i="12"/>
  <c r="D121" i="12"/>
  <c r="D122" i="12"/>
  <c r="D123" i="12"/>
  <c r="D124" i="12"/>
  <c r="D125" i="12"/>
  <c r="D126" i="12"/>
  <c r="D127" i="12"/>
  <c r="D128" i="12"/>
  <c r="D129" i="12"/>
  <c r="D130" i="12"/>
  <c r="D131" i="12"/>
  <c r="D132" i="12"/>
  <c r="D133" i="12"/>
  <c r="D134" i="12"/>
  <c r="D135" i="12"/>
  <c r="D136" i="12"/>
  <c r="D137" i="12"/>
  <c r="D138" i="12"/>
  <c r="D139" i="12"/>
  <c r="D140" i="12"/>
  <c r="D141" i="12"/>
  <c r="D142" i="12"/>
  <c r="D143" i="12"/>
  <c r="D144" i="12"/>
  <c r="D145" i="12"/>
  <c r="D146" i="12"/>
  <c r="D147" i="12"/>
  <c r="D148" i="12"/>
  <c r="D149" i="12"/>
  <c r="D150" i="12"/>
  <c r="D151" i="12"/>
  <c r="D152" i="12"/>
  <c r="D153" i="12"/>
  <c r="D154" i="12"/>
  <c r="D155" i="12"/>
  <c r="D156" i="12"/>
  <c r="D157" i="12"/>
  <c r="D158" i="12"/>
  <c r="D159" i="12"/>
  <c r="D160" i="12"/>
  <c r="D161" i="12"/>
  <c r="D162" i="12"/>
  <c r="D163" i="12"/>
  <c r="D164" i="12"/>
  <c r="D165" i="12"/>
  <c r="D166" i="12"/>
  <c r="D167" i="12"/>
  <c r="D168" i="12"/>
  <c r="D169" i="12"/>
  <c r="D170" i="12"/>
  <c r="D171" i="12"/>
  <c r="D172" i="12"/>
  <c r="D173" i="12"/>
  <c r="D174" i="12"/>
  <c r="D175" i="12"/>
  <c r="D176" i="12"/>
  <c r="D177" i="12"/>
  <c r="D178" i="12"/>
  <c r="D179" i="12"/>
  <c r="D180" i="12"/>
  <c r="D181" i="12"/>
  <c r="D182" i="12"/>
  <c r="D183" i="12"/>
  <c r="D184" i="12"/>
  <c r="D185" i="12"/>
  <c r="D186" i="12"/>
  <c r="D187" i="12"/>
  <c r="D188" i="12"/>
  <c r="D189" i="12"/>
  <c r="D190" i="12"/>
  <c r="D191" i="12"/>
  <c r="D192" i="12"/>
  <c r="D193" i="12"/>
  <c r="D194" i="12"/>
  <c r="D195" i="12"/>
  <c r="D196" i="12"/>
  <c r="D197" i="12"/>
  <c r="D198" i="12"/>
  <c r="D199" i="12"/>
  <c r="D200" i="12"/>
  <c r="D201" i="12"/>
  <c r="D202" i="12"/>
  <c r="D203" i="12"/>
  <c r="D204" i="12"/>
  <c r="D205" i="12"/>
  <c r="D206" i="12"/>
  <c r="D207" i="12"/>
  <c r="D208" i="12"/>
  <c r="D209" i="12"/>
  <c r="D210" i="12"/>
  <c r="D211" i="12"/>
  <c r="D212" i="12"/>
  <c r="D213" i="12"/>
  <c r="D214" i="12"/>
  <c r="D215" i="12"/>
  <c r="D216" i="12"/>
  <c r="D217" i="12"/>
  <c r="D218" i="12"/>
  <c r="D219" i="12"/>
  <c r="D220" i="12"/>
  <c r="D221" i="12"/>
  <c r="D222" i="12"/>
  <c r="D223" i="12"/>
  <c r="D224" i="12"/>
  <c r="D225" i="12"/>
  <c r="D226" i="12"/>
  <c r="D227" i="12"/>
  <c r="D228" i="12"/>
  <c r="D229" i="12"/>
  <c r="D230" i="12"/>
  <c r="D231" i="12"/>
  <c r="D232" i="12"/>
  <c r="D233" i="12"/>
  <c r="D234" i="12"/>
  <c r="D235" i="12"/>
  <c r="D236" i="12"/>
  <c r="D237" i="12"/>
  <c r="D238" i="12"/>
  <c r="D239" i="12"/>
  <c r="D240" i="12"/>
  <c r="D241" i="12"/>
  <c r="D242" i="12"/>
  <c r="D243" i="12"/>
  <c r="D244" i="12"/>
  <c r="D245" i="12"/>
  <c r="D246" i="12"/>
  <c r="D247" i="12"/>
  <c r="D248" i="12"/>
  <c r="D249" i="12"/>
  <c r="D250" i="12"/>
  <c r="D251" i="12"/>
  <c r="D252" i="12"/>
  <c r="D253" i="12"/>
  <c r="D254" i="12"/>
  <c r="D255" i="12"/>
  <c r="D256" i="12"/>
  <c r="D257" i="12"/>
  <c r="D258" i="12"/>
  <c r="D259" i="12"/>
  <c r="D260" i="12"/>
  <c r="D261" i="12"/>
  <c r="D262" i="12"/>
  <c r="D263" i="12"/>
  <c r="D264" i="12"/>
  <c r="D265" i="12"/>
  <c r="D266" i="12"/>
  <c r="D267" i="12"/>
  <c r="D268" i="12"/>
  <c r="D269" i="12"/>
  <c r="D270" i="12"/>
  <c r="D271" i="12"/>
  <c r="D272" i="12"/>
  <c r="D273" i="12"/>
  <c r="D274" i="12"/>
  <c r="D275" i="12"/>
  <c r="D276" i="12"/>
  <c r="D277" i="12"/>
  <c r="D278" i="12"/>
  <c r="D279" i="12"/>
  <c r="D280" i="12"/>
  <c r="D281" i="12"/>
  <c r="D282" i="12"/>
  <c r="D283" i="12"/>
  <c r="D284" i="12"/>
  <c r="D285" i="12"/>
  <c r="D286" i="12"/>
  <c r="D287" i="12"/>
  <c r="D288" i="12"/>
  <c r="D289" i="12"/>
  <c r="D290" i="12"/>
  <c r="D291" i="12"/>
  <c r="D292" i="12"/>
  <c r="D293" i="12"/>
  <c r="D294" i="12"/>
  <c r="D295" i="12"/>
  <c r="D296" i="12"/>
  <c r="D297" i="12"/>
  <c r="D298" i="12"/>
  <c r="D299" i="12"/>
  <c r="D300" i="12"/>
  <c r="D301" i="12"/>
  <c r="D302" i="12"/>
  <c r="D303" i="12"/>
  <c r="D304" i="12"/>
  <c r="D305" i="12"/>
  <c r="D306" i="12"/>
  <c r="D307" i="12"/>
  <c r="D308" i="12"/>
  <c r="D309" i="12"/>
  <c r="D310" i="12"/>
  <c r="D311" i="12"/>
  <c r="D312" i="12"/>
  <c r="D313" i="12"/>
  <c r="D314" i="12"/>
  <c r="D315" i="12"/>
  <c r="D316" i="12"/>
  <c r="D317" i="12"/>
  <c r="D318" i="12"/>
  <c r="D319" i="12"/>
  <c r="D320" i="12"/>
  <c r="D321" i="12"/>
  <c r="D322" i="12"/>
  <c r="D323" i="12"/>
  <c r="D324" i="12"/>
  <c r="D325" i="12"/>
  <c r="D326" i="12"/>
  <c r="D327" i="12"/>
  <c r="D328" i="12"/>
  <c r="D329" i="12"/>
  <c r="D330" i="12"/>
  <c r="D331" i="12"/>
  <c r="D332" i="12"/>
  <c r="D333" i="12"/>
  <c r="D334" i="12"/>
  <c r="D335" i="12"/>
  <c r="D336" i="12"/>
  <c r="D337" i="12"/>
  <c r="D338" i="12"/>
  <c r="D339" i="12"/>
  <c r="D340" i="12"/>
  <c r="D341" i="12"/>
  <c r="D342" i="12"/>
  <c r="D343" i="12"/>
  <c r="D344" i="12"/>
  <c r="D345" i="12"/>
  <c r="D346" i="12"/>
  <c r="D347" i="12"/>
  <c r="D348" i="12"/>
  <c r="D349" i="12"/>
  <c r="D350" i="12"/>
  <c r="D351" i="12"/>
  <c r="D352" i="12"/>
  <c r="D353" i="12"/>
  <c r="D354" i="12"/>
  <c r="D355" i="12"/>
  <c r="D356" i="12"/>
  <c r="D357" i="12"/>
  <c r="D358" i="12"/>
  <c r="D359" i="12"/>
  <c r="D360" i="12"/>
  <c r="D361" i="12"/>
  <c r="D362" i="12"/>
  <c r="D363" i="12"/>
  <c r="D364" i="12"/>
  <c r="D365" i="12"/>
  <c r="D366" i="12"/>
  <c r="D367" i="12"/>
  <c r="D368" i="12"/>
  <c r="D369" i="12"/>
  <c r="D370" i="12"/>
  <c r="D371" i="12"/>
  <c r="D372" i="12"/>
  <c r="D373" i="12"/>
  <c r="D374" i="12"/>
  <c r="D375" i="12"/>
  <c r="D376" i="12"/>
  <c r="D377" i="12"/>
  <c r="D378" i="12"/>
  <c r="D379" i="12"/>
  <c r="D380" i="12"/>
  <c r="D381" i="12"/>
  <c r="D382" i="12"/>
  <c r="D383" i="12"/>
  <c r="D384" i="12"/>
  <c r="D385" i="12"/>
  <c r="D386" i="12"/>
  <c r="D387" i="12"/>
  <c r="D388" i="12"/>
  <c r="D389" i="12"/>
  <c r="D390" i="12"/>
  <c r="D391" i="12"/>
  <c r="D392" i="12"/>
  <c r="D393" i="12"/>
  <c r="D394" i="12"/>
  <c r="D395" i="12"/>
  <c r="D396" i="12"/>
  <c r="D397" i="12"/>
  <c r="D398" i="12"/>
  <c r="D399" i="12"/>
  <c r="D400" i="12"/>
  <c r="D401" i="12"/>
  <c r="D402" i="12"/>
  <c r="D403" i="12"/>
  <c r="D404" i="12"/>
  <c r="D405" i="12"/>
  <c r="D406" i="12"/>
  <c r="D407" i="12"/>
  <c r="D408" i="12"/>
  <c r="D409" i="12"/>
  <c r="D410" i="12"/>
  <c r="D411" i="12"/>
  <c r="D412" i="12"/>
  <c r="D413" i="12"/>
  <c r="D414" i="12"/>
  <c r="D415" i="12"/>
  <c r="D416" i="12"/>
  <c r="D417" i="12"/>
  <c r="D418" i="12"/>
  <c r="D419" i="12"/>
  <c r="D420" i="12"/>
  <c r="D421" i="12"/>
  <c r="D422" i="12"/>
  <c r="D423" i="12"/>
  <c r="D424" i="12"/>
  <c r="D425" i="12"/>
  <c r="D426" i="12"/>
  <c r="D427" i="12"/>
  <c r="D428" i="12"/>
  <c r="D429" i="12"/>
  <c r="D430" i="12"/>
  <c r="D431" i="12"/>
  <c r="D432" i="12"/>
  <c r="D433" i="12"/>
  <c r="D434" i="12"/>
  <c r="D435" i="12"/>
  <c r="D436" i="12"/>
  <c r="D437" i="12"/>
  <c r="D438" i="12"/>
  <c r="D439" i="12"/>
  <c r="D440" i="12"/>
  <c r="D441" i="12"/>
  <c r="D442" i="12"/>
  <c r="D443" i="12"/>
  <c r="D444" i="12"/>
  <c r="D445" i="12"/>
  <c r="D446" i="12"/>
  <c r="D447" i="12"/>
  <c r="D448" i="12"/>
  <c r="D449" i="12"/>
  <c r="D450" i="12"/>
  <c r="D451" i="12"/>
  <c r="D452" i="12"/>
  <c r="D453" i="12"/>
  <c r="D454" i="12"/>
  <c r="D455" i="12"/>
  <c r="D456" i="12"/>
  <c r="D457" i="12"/>
  <c r="D458" i="12"/>
  <c r="D459" i="12"/>
  <c r="D460" i="12"/>
  <c r="D461" i="12"/>
  <c r="D462" i="12"/>
  <c r="D463" i="12"/>
  <c r="D464" i="12"/>
  <c r="D465" i="12"/>
  <c r="D466" i="12"/>
  <c r="D467" i="12"/>
  <c r="D468" i="12"/>
  <c r="D469" i="12"/>
  <c r="D470" i="12"/>
  <c r="D471" i="12"/>
  <c r="D472" i="12"/>
  <c r="D473" i="12"/>
  <c r="D474" i="12"/>
  <c r="D475" i="12"/>
  <c r="G103" i="3"/>
  <c r="A103" i="3" s="1"/>
  <c r="G450" i="3"/>
  <c r="A450" i="3" s="1"/>
  <c r="G128" i="3"/>
  <c r="A128" i="3" s="1"/>
  <c r="G256" i="3"/>
  <c r="A256" i="3" s="1"/>
  <c r="G257" i="3"/>
  <c r="A257" i="3" s="1"/>
  <c r="G166" i="3"/>
  <c r="A166" i="3" s="1"/>
  <c r="G123" i="3"/>
  <c r="A123" i="3" s="1"/>
  <c r="G255" i="3"/>
  <c r="A255" i="3" s="1"/>
  <c r="E41" i="12"/>
  <c r="E40" i="12"/>
  <c r="E39" i="12"/>
  <c r="E38" i="12"/>
  <c r="E37" i="12"/>
  <c r="E36" i="12"/>
  <c r="E35" i="12"/>
  <c r="E34" i="12"/>
  <c r="E33" i="12"/>
  <c r="E32" i="12"/>
  <c r="E31" i="12"/>
  <c r="E30" i="12"/>
  <c r="E29" i="12"/>
  <c r="E28" i="12"/>
  <c r="E27" i="12"/>
  <c r="E26" i="12"/>
  <c r="E25" i="12"/>
  <c r="E24" i="12"/>
  <c r="E23" i="12"/>
  <c r="E22" i="12"/>
  <c r="E21" i="12"/>
  <c r="E20" i="12"/>
  <c r="E19" i="12"/>
  <c r="E18" i="12"/>
  <c r="E17" i="12"/>
  <c r="E16" i="12"/>
  <c r="E15" i="12"/>
  <c r="E14" i="12"/>
  <c r="E13" i="12"/>
  <c r="E12" i="12"/>
  <c r="E11" i="12"/>
  <c r="E10" i="12"/>
  <c r="E9" i="12"/>
  <c r="E8" i="12"/>
  <c r="E7" i="12"/>
  <c r="E6" i="12"/>
  <c r="E5" i="12"/>
  <c r="E4" i="12"/>
  <c r="E3" i="12"/>
  <c r="B3" i="12"/>
  <c r="A3" i="12" s="1"/>
  <c r="B4" i="12"/>
  <c r="A4" i="12" s="1"/>
  <c r="B5" i="12"/>
  <c r="A5" i="12" s="1"/>
  <c r="B6" i="12"/>
  <c r="A6" i="12" s="1"/>
  <c r="B7" i="12"/>
  <c r="A7" i="12" s="1"/>
  <c r="B8" i="12"/>
  <c r="A8" i="12" s="1"/>
  <c r="B9" i="12"/>
  <c r="A9" i="12" s="1"/>
  <c r="B10" i="12"/>
  <c r="A10" i="12" s="1"/>
  <c r="B11" i="12"/>
  <c r="A11" i="12" s="1"/>
  <c r="B12" i="12"/>
  <c r="A12" i="12" s="1"/>
  <c r="B13" i="12"/>
  <c r="A13" i="12" s="1"/>
  <c r="B14" i="12"/>
  <c r="A14" i="12" s="1"/>
  <c r="B15" i="12"/>
  <c r="A15" i="12" s="1"/>
  <c r="B16" i="12"/>
  <c r="A16" i="12" s="1"/>
  <c r="B17" i="12"/>
  <c r="A17" i="12" s="1"/>
  <c r="B18" i="12"/>
  <c r="A18" i="12" s="1"/>
  <c r="B19" i="12"/>
  <c r="A19" i="12" s="1"/>
  <c r="B20" i="12"/>
  <c r="A20" i="12" s="1"/>
  <c r="B21" i="12"/>
  <c r="A21" i="12" s="1"/>
  <c r="B22" i="12"/>
  <c r="A22" i="12" s="1"/>
  <c r="B23" i="12"/>
  <c r="A23" i="12" s="1"/>
  <c r="B24" i="12"/>
  <c r="A24" i="12" s="1"/>
  <c r="B25" i="12"/>
  <c r="A25" i="12" s="1"/>
  <c r="B26" i="12"/>
  <c r="A26" i="12" s="1"/>
  <c r="B27" i="12"/>
  <c r="A27" i="12" s="1"/>
  <c r="B28" i="12"/>
  <c r="A28" i="12" s="1"/>
  <c r="B29" i="12"/>
  <c r="A29" i="12" s="1"/>
  <c r="B30" i="12"/>
  <c r="A30" i="12" s="1"/>
  <c r="B31" i="12"/>
  <c r="A31" i="12" s="1"/>
  <c r="B32" i="12"/>
  <c r="A32" i="12" s="1"/>
  <c r="B33" i="12"/>
  <c r="A33" i="12" s="1"/>
  <c r="B34" i="12"/>
  <c r="A34" i="12" s="1"/>
  <c r="B35" i="12"/>
  <c r="A35" i="12" s="1"/>
  <c r="B36" i="12"/>
  <c r="A36" i="12" s="1"/>
  <c r="B37" i="12"/>
  <c r="A37" i="12" s="1"/>
  <c r="B38" i="12"/>
  <c r="A38" i="12" s="1"/>
  <c r="B39" i="12"/>
  <c r="A39" i="12" s="1"/>
  <c r="B40" i="12"/>
  <c r="A40" i="12" s="1"/>
  <c r="B41" i="12"/>
  <c r="A41" i="12" s="1"/>
  <c r="B42" i="12"/>
  <c r="A42" i="12" s="1"/>
  <c r="B43" i="12"/>
  <c r="A43" i="12" s="1"/>
  <c r="B44" i="12"/>
  <c r="A44" i="12" s="1"/>
  <c r="B45" i="12"/>
  <c r="A45" i="12" s="1"/>
  <c r="B46" i="12"/>
  <c r="A46" i="12" s="1"/>
  <c r="B47" i="12"/>
  <c r="A47" i="12" s="1"/>
  <c r="B48" i="12"/>
  <c r="A48" i="12" s="1"/>
  <c r="B49" i="12"/>
  <c r="A49" i="12" s="1"/>
  <c r="B50" i="12"/>
  <c r="A50" i="12" s="1"/>
  <c r="B51" i="12"/>
  <c r="A51" i="12" s="1"/>
  <c r="B52" i="12"/>
  <c r="A52" i="12" s="1"/>
  <c r="B53" i="12"/>
  <c r="A53" i="12" s="1"/>
  <c r="B54" i="12"/>
  <c r="A54" i="12" s="1"/>
  <c r="B55" i="12"/>
  <c r="A55" i="12" s="1"/>
  <c r="B56" i="12"/>
  <c r="A56" i="12" s="1"/>
  <c r="B57" i="12"/>
  <c r="A57" i="12" s="1"/>
  <c r="B58" i="12"/>
  <c r="A58" i="12" s="1"/>
  <c r="B59" i="12"/>
  <c r="A59" i="12" s="1"/>
  <c r="B60" i="12"/>
  <c r="A60" i="12" s="1"/>
  <c r="B61" i="12"/>
  <c r="A61" i="12" s="1"/>
  <c r="B62" i="12"/>
  <c r="A62" i="12" s="1"/>
  <c r="B63" i="12"/>
  <c r="A63" i="12" s="1"/>
  <c r="B64" i="12"/>
  <c r="A64" i="12" s="1"/>
  <c r="B65" i="12"/>
  <c r="A65" i="12" s="1"/>
  <c r="B66" i="12"/>
  <c r="A66" i="12" s="1"/>
  <c r="B67" i="12"/>
  <c r="A67" i="12" s="1"/>
  <c r="B68" i="12"/>
  <c r="A68" i="12" s="1"/>
  <c r="B69" i="12"/>
  <c r="A69" i="12" s="1"/>
  <c r="B70" i="12"/>
  <c r="A70" i="12" s="1"/>
  <c r="B71" i="12"/>
  <c r="A71" i="12" s="1"/>
  <c r="B72" i="12"/>
  <c r="A72" i="12" s="1"/>
  <c r="B73" i="12"/>
  <c r="A73" i="12" s="1"/>
  <c r="B74" i="12"/>
  <c r="A74" i="12" s="1"/>
  <c r="B75" i="12"/>
  <c r="A75" i="12" s="1"/>
  <c r="B76" i="12"/>
  <c r="A76" i="12" s="1"/>
  <c r="B77" i="12"/>
  <c r="A77" i="12" s="1"/>
  <c r="B78" i="12"/>
  <c r="A78" i="12" s="1"/>
  <c r="B79" i="12"/>
  <c r="A79" i="12" s="1"/>
  <c r="B80" i="12"/>
  <c r="A80" i="12" s="1"/>
  <c r="B81" i="12"/>
  <c r="A81" i="12" s="1"/>
  <c r="B82" i="12"/>
  <c r="A82" i="12" s="1"/>
  <c r="B83" i="12"/>
  <c r="A83" i="12" s="1"/>
  <c r="B84" i="12"/>
  <c r="A84" i="12" s="1"/>
  <c r="B85" i="12"/>
  <c r="A85" i="12" s="1"/>
  <c r="B86" i="12"/>
  <c r="A86" i="12" s="1"/>
  <c r="B87" i="12"/>
  <c r="A87" i="12" s="1"/>
  <c r="B88" i="12"/>
  <c r="A88" i="12" s="1"/>
  <c r="B89" i="12"/>
  <c r="A89" i="12" s="1"/>
  <c r="B90" i="12"/>
  <c r="A90" i="12" s="1"/>
  <c r="B91" i="12"/>
  <c r="A91" i="12" s="1"/>
  <c r="B92" i="12"/>
  <c r="A92" i="12" s="1"/>
  <c r="B93" i="12"/>
  <c r="A93" i="12" s="1"/>
  <c r="B94" i="12"/>
  <c r="A94" i="12" s="1"/>
  <c r="B95" i="12"/>
  <c r="A95" i="12" s="1"/>
  <c r="B96" i="12"/>
  <c r="A96" i="12" s="1"/>
  <c r="B97" i="12"/>
  <c r="A97" i="12" s="1"/>
  <c r="B98" i="12"/>
  <c r="A98" i="12" s="1"/>
  <c r="B99" i="12"/>
  <c r="A99" i="12" s="1"/>
  <c r="B100" i="12"/>
  <c r="A100" i="12" s="1"/>
  <c r="B101" i="12"/>
  <c r="A101" i="12" s="1"/>
  <c r="B102" i="12"/>
  <c r="A102" i="12" s="1"/>
  <c r="B103" i="12"/>
  <c r="A103" i="12" s="1"/>
  <c r="B104" i="12"/>
  <c r="A104" i="12" s="1"/>
  <c r="B105" i="12"/>
  <c r="A105" i="12" s="1"/>
  <c r="B106" i="12"/>
  <c r="A106" i="12" s="1"/>
  <c r="B107" i="12"/>
  <c r="A107" i="12" s="1"/>
  <c r="B108" i="12"/>
  <c r="A108" i="12" s="1"/>
  <c r="B109" i="12"/>
  <c r="A109" i="12" s="1"/>
  <c r="B110" i="12"/>
  <c r="A110" i="12" s="1"/>
  <c r="B111" i="12"/>
  <c r="A111" i="12" s="1"/>
  <c r="B112" i="12"/>
  <c r="A112" i="12" s="1"/>
  <c r="B113" i="12"/>
  <c r="A113" i="12" s="1"/>
  <c r="B114" i="12"/>
  <c r="A114" i="12" s="1"/>
  <c r="B115" i="12"/>
  <c r="A115" i="12" s="1"/>
  <c r="B116" i="12"/>
  <c r="A116" i="12" s="1"/>
  <c r="B117" i="12"/>
  <c r="A117" i="12" s="1"/>
  <c r="B118" i="12"/>
  <c r="A118" i="12" s="1"/>
  <c r="B119" i="12"/>
  <c r="A119" i="12" s="1"/>
  <c r="B120" i="12"/>
  <c r="A120" i="12" s="1"/>
  <c r="B121" i="12"/>
  <c r="A121" i="12" s="1"/>
  <c r="B122" i="12"/>
  <c r="A122" i="12" s="1"/>
  <c r="B123" i="12"/>
  <c r="A123" i="12" s="1"/>
  <c r="B124" i="12"/>
  <c r="A124" i="12" s="1"/>
  <c r="B125" i="12"/>
  <c r="A125" i="12" s="1"/>
  <c r="B126" i="12"/>
  <c r="A126" i="12" s="1"/>
  <c r="B127" i="12"/>
  <c r="A127" i="12" s="1"/>
  <c r="B128" i="12"/>
  <c r="A128" i="12" s="1"/>
  <c r="B129" i="12"/>
  <c r="A129" i="12" s="1"/>
  <c r="B130" i="12"/>
  <c r="A130" i="12" s="1"/>
  <c r="B131" i="12"/>
  <c r="A131" i="12" s="1"/>
  <c r="B132" i="12"/>
  <c r="A132" i="12" s="1"/>
  <c r="B133" i="12"/>
  <c r="A133" i="12" s="1"/>
  <c r="B134" i="12"/>
  <c r="A134" i="12" s="1"/>
  <c r="B135" i="12"/>
  <c r="A135" i="12" s="1"/>
  <c r="B136" i="12"/>
  <c r="A136" i="12" s="1"/>
  <c r="B137" i="12"/>
  <c r="A137" i="12" s="1"/>
  <c r="B138" i="12"/>
  <c r="A138" i="12" s="1"/>
  <c r="B139" i="12"/>
  <c r="A139" i="12" s="1"/>
  <c r="B140" i="12"/>
  <c r="A140" i="12" s="1"/>
  <c r="B141" i="12"/>
  <c r="A141" i="12" s="1"/>
  <c r="B142" i="12"/>
  <c r="A142" i="12" s="1"/>
  <c r="B143" i="12"/>
  <c r="A143" i="12" s="1"/>
  <c r="B144" i="12"/>
  <c r="A144" i="12" s="1"/>
  <c r="B145" i="12"/>
  <c r="A145" i="12" s="1"/>
  <c r="B146" i="12"/>
  <c r="A146" i="12" s="1"/>
  <c r="B147" i="12"/>
  <c r="A147" i="12" s="1"/>
  <c r="B148" i="12"/>
  <c r="A148" i="12" s="1"/>
  <c r="B149" i="12"/>
  <c r="A149" i="12" s="1"/>
  <c r="B150" i="12"/>
  <c r="A150" i="12" s="1"/>
  <c r="B151" i="12"/>
  <c r="A151" i="12" s="1"/>
  <c r="B152" i="12"/>
  <c r="A152" i="12" s="1"/>
  <c r="B153" i="12"/>
  <c r="A153" i="12" s="1"/>
  <c r="B154" i="12"/>
  <c r="A154" i="12" s="1"/>
  <c r="B155" i="12"/>
  <c r="A155" i="12" s="1"/>
  <c r="B156" i="12"/>
  <c r="A156" i="12" s="1"/>
  <c r="B157" i="12"/>
  <c r="A157" i="12" s="1"/>
  <c r="B158" i="12"/>
  <c r="A158" i="12" s="1"/>
  <c r="B159" i="12"/>
  <c r="A159" i="12" s="1"/>
  <c r="B160" i="12"/>
  <c r="A160" i="12" s="1"/>
  <c r="B161" i="12"/>
  <c r="A161" i="12" s="1"/>
  <c r="B162" i="12"/>
  <c r="A162" i="12" s="1"/>
  <c r="B163" i="12"/>
  <c r="A163" i="12" s="1"/>
  <c r="B164" i="12"/>
  <c r="A164" i="12" s="1"/>
  <c r="B165" i="12"/>
  <c r="A165" i="12" s="1"/>
  <c r="B166" i="12"/>
  <c r="A166" i="12" s="1"/>
  <c r="B167" i="12"/>
  <c r="A167" i="12" s="1"/>
  <c r="B168" i="12"/>
  <c r="A168" i="12" s="1"/>
  <c r="B169" i="12"/>
  <c r="A169" i="12" s="1"/>
  <c r="B170" i="12"/>
  <c r="A170" i="12" s="1"/>
  <c r="B171" i="12"/>
  <c r="A171" i="12" s="1"/>
  <c r="B172" i="12"/>
  <c r="A172" i="12" s="1"/>
  <c r="B173" i="12"/>
  <c r="A173" i="12" s="1"/>
  <c r="B174" i="12"/>
  <c r="A174" i="12" s="1"/>
  <c r="B175" i="12"/>
  <c r="A175" i="12" s="1"/>
  <c r="B176" i="12"/>
  <c r="A176" i="12" s="1"/>
  <c r="B177" i="12"/>
  <c r="A177" i="12" s="1"/>
  <c r="B178" i="12"/>
  <c r="A178" i="12" s="1"/>
  <c r="B179" i="12"/>
  <c r="A179" i="12" s="1"/>
  <c r="B180" i="12"/>
  <c r="A180" i="12" s="1"/>
  <c r="B181" i="12"/>
  <c r="A181" i="12" s="1"/>
  <c r="B182" i="12"/>
  <c r="A182" i="12" s="1"/>
  <c r="B183" i="12"/>
  <c r="A183" i="12" s="1"/>
  <c r="B184" i="12"/>
  <c r="A184" i="12" s="1"/>
  <c r="B185" i="12"/>
  <c r="A185" i="12" s="1"/>
  <c r="B186" i="12"/>
  <c r="A186" i="12" s="1"/>
  <c r="B187" i="12"/>
  <c r="A187" i="12" s="1"/>
  <c r="B188" i="12"/>
  <c r="A188" i="12" s="1"/>
  <c r="B189" i="12"/>
  <c r="A189" i="12" s="1"/>
  <c r="B190" i="12"/>
  <c r="A190" i="12" s="1"/>
  <c r="B191" i="12"/>
  <c r="A191" i="12" s="1"/>
  <c r="B192" i="12"/>
  <c r="A192" i="12" s="1"/>
  <c r="B193" i="12"/>
  <c r="A193" i="12" s="1"/>
  <c r="B194" i="12"/>
  <c r="A194" i="12" s="1"/>
  <c r="B195" i="12"/>
  <c r="A195" i="12" s="1"/>
  <c r="B196" i="12"/>
  <c r="A196" i="12" s="1"/>
  <c r="B197" i="12"/>
  <c r="A197" i="12" s="1"/>
  <c r="B198" i="12"/>
  <c r="A198" i="12" s="1"/>
  <c r="B199" i="12"/>
  <c r="A199" i="12" s="1"/>
  <c r="B200" i="12"/>
  <c r="A200" i="12" s="1"/>
  <c r="B201" i="12"/>
  <c r="A201" i="12" s="1"/>
  <c r="B202" i="12"/>
  <c r="A202" i="12" s="1"/>
  <c r="B203" i="12"/>
  <c r="A203" i="12" s="1"/>
  <c r="B204" i="12"/>
  <c r="A204" i="12" s="1"/>
  <c r="B205" i="12"/>
  <c r="A205" i="12" s="1"/>
  <c r="B206" i="12"/>
  <c r="A206" i="12" s="1"/>
  <c r="B207" i="12"/>
  <c r="A207" i="12" s="1"/>
  <c r="B208" i="12"/>
  <c r="A208" i="12" s="1"/>
  <c r="B209" i="12"/>
  <c r="A209" i="12" s="1"/>
  <c r="B210" i="12"/>
  <c r="A210" i="12" s="1"/>
  <c r="B211" i="12"/>
  <c r="A211" i="12" s="1"/>
  <c r="B212" i="12"/>
  <c r="A212" i="12" s="1"/>
  <c r="B213" i="12"/>
  <c r="A213" i="12" s="1"/>
  <c r="B214" i="12"/>
  <c r="A214" i="12" s="1"/>
  <c r="B215" i="12"/>
  <c r="A215" i="12" s="1"/>
  <c r="B216" i="12"/>
  <c r="A216" i="12" s="1"/>
  <c r="B217" i="12"/>
  <c r="A217" i="12" s="1"/>
  <c r="B218" i="12"/>
  <c r="A218" i="12" s="1"/>
  <c r="B219" i="12"/>
  <c r="A219" i="12" s="1"/>
  <c r="B220" i="12"/>
  <c r="A220" i="12" s="1"/>
  <c r="B221" i="12"/>
  <c r="A221" i="12" s="1"/>
  <c r="B222" i="12"/>
  <c r="A222" i="12" s="1"/>
  <c r="B223" i="12"/>
  <c r="A223" i="12" s="1"/>
  <c r="B224" i="12"/>
  <c r="A224" i="12" s="1"/>
  <c r="B225" i="12"/>
  <c r="A225" i="12" s="1"/>
  <c r="B226" i="12"/>
  <c r="A226" i="12" s="1"/>
  <c r="B227" i="12"/>
  <c r="A227" i="12" s="1"/>
  <c r="B228" i="12"/>
  <c r="A228" i="12" s="1"/>
  <c r="B229" i="12"/>
  <c r="A229" i="12" s="1"/>
  <c r="B230" i="12"/>
  <c r="A230" i="12" s="1"/>
  <c r="B231" i="12"/>
  <c r="A231" i="12" s="1"/>
  <c r="B232" i="12"/>
  <c r="A232" i="12" s="1"/>
  <c r="B233" i="12"/>
  <c r="A233" i="12" s="1"/>
  <c r="B234" i="12"/>
  <c r="A234" i="12" s="1"/>
  <c r="B235" i="12"/>
  <c r="A235" i="12" s="1"/>
  <c r="B236" i="12"/>
  <c r="A236" i="12" s="1"/>
  <c r="B237" i="12"/>
  <c r="A237" i="12" s="1"/>
  <c r="B238" i="12"/>
  <c r="A238" i="12" s="1"/>
  <c r="B239" i="12"/>
  <c r="A239" i="12" s="1"/>
  <c r="B240" i="12"/>
  <c r="A240" i="12" s="1"/>
  <c r="B241" i="12"/>
  <c r="A241" i="12" s="1"/>
  <c r="B242" i="12"/>
  <c r="A242" i="12" s="1"/>
  <c r="B243" i="12"/>
  <c r="A243" i="12" s="1"/>
  <c r="B244" i="12"/>
  <c r="A244" i="12" s="1"/>
  <c r="B245" i="12"/>
  <c r="A245" i="12" s="1"/>
  <c r="B246" i="12"/>
  <c r="A246" i="12" s="1"/>
  <c r="B247" i="12"/>
  <c r="A247" i="12" s="1"/>
  <c r="B248" i="12"/>
  <c r="A248" i="12" s="1"/>
  <c r="B249" i="12"/>
  <c r="A249" i="12" s="1"/>
  <c r="B250" i="12"/>
  <c r="A250" i="12" s="1"/>
  <c r="B251" i="12"/>
  <c r="A251" i="12" s="1"/>
  <c r="B252" i="12"/>
  <c r="A252" i="12" s="1"/>
  <c r="B253" i="12"/>
  <c r="A253" i="12" s="1"/>
  <c r="B254" i="12"/>
  <c r="A254" i="12" s="1"/>
  <c r="B255" i="12"/>
  <c r="A255" i="12" s="1"/>
  <c r="B256" i="12"/>
  <c r="A256" i="12" s="1"/>
  <c r="B257" i="12"/>
  <c r="A257" i="12" s="1"/>
  <c r="B258" i="12"/>
  <c r="A258" i="12" s="1"/>
  <c r="B259" i="12"/>
  <c r="A259" i="12" s="1"/>
  <c r="B260" i="12"/>
  <c r="A260" i="12" s="1"/>
  <c r="B261" i="12"/>
  <c r="A261" i="12" s="1"/>
  <c r="B262" i="12"/>
  <c r="A262" i="12" s="1"/>
  <c r="B263" i="12"/>
  <c r="A263" i="12" s="1"/>
  <c r="B264" i="12"/>
  <c r="A264" i="12" s="1"/>
  <c r="B265" i="12"/>
  <c r="A265" i="12" s="1"/>
  <c r="B266" i="12"/>
  <c r="A266" i="12" s="1"/>
  <c r="B267" i="12"/>
  <c r="A267" i="12" s="1"/>
  <c r="B268" i="12"/>
  <c r="A268" i="12" s="1"/>
  <c r="B269" i="12"/>
  <c r="A269" i="12" s="1"/>
  <c r="B270" i="12"/>
  <c r="A270" i="12" s="1"/>
  <c r="B271" i="12"/>
  <c r="A271" i="12" s="1"/>
  <c r="B272" i="12"/>
  <c r="A272" i="12" s="1"/>
  <c r="B273" i="12"/>
  <c r="A273" i="12" s="1"/>
  <c r="B274" i="12"/>
  <c r="A274" i="12" s="1"/>
  <c r="B275" i="12"/>
  <c r="A275" i="12" s="1"/>
  <c r="B276" i="12"/>
  <c r="A276" i="12" s="1"/>
  <c r="B277" i="12"/>
  <c r="A277" i="12" s="1"/>
  <c r="B278" i="12"/>
  <c r="A278" i="12" s="1"/>
  <c r="B279" i="12"/>
  <c r="A279" i="12" s="1"/>
  <c r="B280" i="12"/>
  <c r="A280" i="12" s="1"/>
  <c r="B281" i="12"/>
  <c r="A281" i="12" s="1"/>
  <c r="B282" i="12"/>
  <c r="A282" i="12" s="1"/>
  <c r="B283" i="12"/>
  <c r="A283" i="12" s="1"/>
  <c r="B284" i="12"/>
  <c r="A284" i="12" s="1"/>
  <c r="B285" i="12"/>
  <c r="A285" i="12" s="1"/>
  <c r="B286" i="12"/>
  <c r="A286" i="12" s="1"/>
  <c r="B287" i="12"/>
  <c r="A287" i="12" s="1"/>
  <c r="B288" i="12"/>
  <c r="A288" i="12" s="1"/>
  <c r="B289" i="12"/>
  <c r="A289" i="12" s="1"/>
  <c r="B290" i="12"/>
  <c r="A290" i="12" s="1"/>
  <c r="B291" i="12"/>
  <c r="A291" i="12" s="1"/>
  <c r="B292" i="12"/>
  <c r="A292" i="12" s="1"/>
  <c r="B293" i="12"/>
  <c r="A293" i="12" s="1"/>
  <c r="B294" i="12"/>
  <c r="A294" i="12" s="1"/>
  <c r="B295" i="12"/>
  <c r="A295" i="12" s="1"/>
  <c r="B296" i="12"/>
  <c r="A296" i="12" s="1"/>
  <c r="B297" i="12"/>
  <c r="A297" i="12" s="1"/>
  <c r="B298" i="12"/>
  <c r="A298" i="12" s="1"/>
  <c r="B299" i="12"/>
  <c r="A299" i="12" s="1"/>
  <c r="B300" i="12"/>
  <c r="A300" i="12" s="1"/>
  <c r="B301" i="12"/>
  <c r="A301" i="12" s="1"/>
  <c r="B302" i="12"/>
  <c r="A302" i="12" s="1"/>
  <c r="B303" i="12"/>
  <c r="A303" i="12" s="1"/>
  <c r="B304" i="12"/>
  <c r="A304" i="12" s="1"/>
  <c r="B305" i="12"/>
  <c r="A305" i="12" s="1"/>
  <c r="B306" i="12"/>
  <c r="A306" i="12" s="1"/>
  <c r="B307" i="12"/>
  <c r="A307" i="12" s="1"/>
  <c r="B308" i="12"/>
  <c r="A308" i="12" s="1"/>
  <c r="B309" i="12"/>
  <c r="A309" i="12" s="1"/>
  <c r="B310" i="12"/>
  <c r="A310" i="12" s="1"/>
  <c r="B311" i="12"/>
  <c r="A311" i="12" s="1"/>
  <c r="B312" i="12"/>
  <c r="A312" i="12" s="1"/>
  <c r="B313" i="12"/>
  <c r="A313" i="12" s="1"/>
  <c r="B314" i="12"/>
  <c r="A314" i="12" s="1"/>
  <c r="B315" i="12"/>
  <c r="A315" i="12" s="1"/>
  <c r="B316" i="12"/>
  <c r="A316" i="12" s="1"/>
  <c r="B317" i="12"/>
  <c r="A317" i="12" s="1"/>
  <c r="B318" i="12"/>
  <c r="A318" i="12" s="1"/>
  <c r="B319" i="12"/>
  <c r="A319" i="12" s="1"/>
  <c r="B320" i="12"/>
  <c r="A320" i="12" s="1"/>
  <c r="B321" i="12"/>
  <c r="A321" i="12" s="1"/>
  <c r="B322" i="12"/>
  <c r="A322" i="12" s="1"/>
  <c r="B323" i="12"/>
  <c r="A323" i="12" s="1"/>
  <c r="B324" i="12"/>
  <c r="A324" i="12" s="1"/>
  <c r="B325" i="12"/>
  <c r="A325" i="12" s="1"/>
  <c r="B326" i="12"/>
  <c r="A326" i="12" s="1"/>
  <c r="B327" i="12"/>
  <c r="A327" i="12" s="1"/>
  <c r="B328" i="12"/>
  <c r="A328" i="12" s="1"/>
  <c r="B329" i="12"/>
  <c r="A329" i="12" s="1"/>
  <c r="B330" i="12"/>
  <c r="A330" i="12" s="1"/>
  <c r="B331" i="12"/>
  <c r="A331" i="12" s="1"/>
  <c r="B332" i="12"/>
  <c r="A332" i="12" s="1"/>
  <c r="B333" i="12"/>
  <c r="A333" i="12" s="1"/>
  <c r="B334" i="12"/>
  <c r="A334" i="12" s="1"/>
  <c r="B335" i="12"/>
  <c r="A335" i="12" s="1"/>
  <c r="B336" i="12"/>
  <c r="A336" i="12" s="1"/>
  <c r="B337" i="12"/>
  <c r="A337" i="12" s="1"/>
  <c r="B338" i="12"/>
  <c r="A338" i="12" s="1"/>
  <c r="B339" i="12"/>
  <c r="A339" i="12" s="1"/>
  <c r="B340" i="12"/>
  <c r="A340" i="12" s="1"/>
  <c r="B341" i="12"/>
  <c r="A341" i="12" s="1"/>
  <c r="B342" i="12"/>
  <c r="A342" i="12" s="1"/>
  <c r="B343" i="12"/>
  <c r="A343" i="12" s="1"/>
  <c r="B344" i="12"/>
  <c r="A344" i="12" s="1"/>
  <c r="B345" i="12"/>
  <c r="A345" i="12" s="1"/>
  <c r="B346" i="12"/>
  <c r="A346" i="12" s="1"/>
  <c r="B347" i="12"/>
  <c r="A347" i="12" s="1"/>
  <c r="B348" i="12"/>
  <c r="A348" i="12" s="1"/>
  <c r="B349" i="12"/>
  <c r="A349" i="12" s="1"/>
  <c r="B350" i="12"/>
  <c r="A350" i="12" s="1"/>
  <c r="B351" i="12"/>
  <c r="A351" i="12" s="1"/>
  <c r="B352" i="12"/>
  <c r="A352" i="12" s="1"/>
  <c r="B353" i="12"/>
  <c r="A353" i="12" s="1"/>
  <c r="B354" i="12"/>
  <c r="A354" i="12" s="1"/>
  <c r="B355" i="12"/>
  <c r="A355" i="12" s="1"/>
  <c r="B356" i="12"/>
  <c r="A356" i="12" s="1"/>
  <c r="B357" i="12"/>
  <c r="A357" i="12" s="1"/>
  <c r="B358" i="12"/>
  <c r="A358" i="12" s="1"/>
  <c r="B359" i="12"/>
  <c r="A359" i="12" s="1"/>
  <c r="B360" i="12"/>
  <c r="A360" i="12" s="1"/>
  <c r="B361" i="12"/>
  <c r="A361" i="12" s="1"/>
  <c r="B362" i="12"/>
  <c r="A362" i="12" s="1"/>
  <c r="B363" i="12"/>
  <c r="A363" i="12" s="1"/>
  <c r="B364" i="12"/>
  <c r="A364" i="12" s="1"/>
  <c r="B365" i="12"/>
  <c r="A365" i="12" s="1"/>
  <c r="B366" i="12"/>
  <c r="A366" i="12" s="1"/>
  <c r="B367" i="12"/>
  <c r="A367" i="12" s="1"/>
  <c r="B368" i="12"/>
  <c r="A368" i="12" s="1"/>
  <c r="B369" i="12"/>
  <c r="A369" i="12" s="1"/>
  <c r="B370" i="12"/>
  <c r="A370" i="12" s="1"/>
  <c r="B371" i="12"/>
  <c r="A371" i="12" s="1"/>
  <c r="B372" i="12"/>
  <c r="A372" i="12" s="1"/>
  <c r="B373" i="12"/>
  <c r="A373" i="12" s="1"/>
  <c r="B374" i="12"/>
  <c r="A374" i="12" s="1"/>
  <c r="B375" i="12"/>
  <c r="A375" i="12" s="1"/>
  <c r="B376" i="12"/>
  <c r="A376" i="12" s="1"/>
  <c r="B377" i="12"/>
  <c r="A377" i="12" s="1"/>
  <c r="B378" i="12"/>
  <c r="A378" i="12" s="1"/>
  <c r="B379" i="12"/>
  <c r="A379" i="12" s="1"/>
  <c r="B380" i="12"/>
  <c r="A380" i="12" s="1"/>
  <c r="B381" i="12"/>
  <c r="A381" i="12" s="1"/>
  <c r="B382" i="12"/>
  <c r="A382" i="12" s="1"/>
  <c r="B383" i="12"/>
  <c r="A383" i="12" s="1"/>
  <c r="B384" i="12"/>
  <c r="A384" i="12" s="1"/>
  <c r="B385" i="12"/>
  <c r="A385" i="12" s="1"/>
  <c r="B386" i="12"/>
  <c r="A386" i="12" s="1"/>
  <c r="B387" i="12"/>
  <c r="A387" i="12" s="1"/>
  <c r="B388" i="12"/>
  <c r="A388" i="12" s="1"/>
  <c r="B389" i="12"/>
  <c r="A389" i="12" s="1"/>
  <c r="B390" i="12"/>
  <c r="A390" i="12" s="1"/>
  <c r="B391" i="12"/>
  <c r="A391" i="12" s="1"/>
  <c r="B392" i="12"/>
  <c r="A392" i="12" s="1"/>
  <c r="B393" i="12"/>
  <c r="A393" i="12" s="1"/>
  <c r="B394" i="12"/>
  <c r="A394" i="12" s="1"/>
  <c r="B395" i="12"/>
  <c r="A395" i="12" s="1"/>
  <c r="B396" i="12"/>
  <c r="A396" i="12" s="1"/>
  <c r="B397" i="12"/>
  <c r="A397" i="12" s="1"/>
  <c r="B398" i="12"/>
  <c r="A398" i="12" s="1"/>
  <c r="B399" i="12"/>
  <c r="A399" i="12" s="1"/>
  <c r="B400" i="12"/>
  <c r="A400" i="12" s="1"/>
  <c r="B401" i="12"/>
  <c r="A401" i="12" s="1"/>
  <c r="B402" i="12"/>
  <c r="A402" i="12" s="1"/>
  <c r="B403" i="12"/>
  <c r="A403" i="12" s="1"/>
  <c r="B404" i="12"/>
  <c r="A404" i="12" s="1"/>
  <c r="B405" i="12"/>
  <c r="A405" i="12" s="1"/>
  <c r="B406" i="12"/>
  <c r="A406" i="12" s="1"/>
  <c r="B407" i="12"/>
  <c r="A407" i="12" s="1"/>
  <c r="B408" i="12"/>
  <c r="A408" i="12" s="1"/>
  <c r="B409" i="12"/>
  <c r="A409" i="12" s="1"/>
  <c r="B410" i="12"/>
  <c r="A410" i="12" s="1"/>
  <c r="B411" i="12"/>
  <c r="A411" i="12" s="1"/>
  <c r="B412" i="12"/>
  <c r="A412" i="12" s="1"/>
  <c r="B413" i="12"/>
  <c r="A413" i="12" s="1"/>
  <c r="B414" i="12"/>
  <c r="A414" i="12" s="1"/>
  <c r="B415" i="12"/>
  <c r="A415" i="12" s="1"/>
  <c r="B416" i="12"/>
  <c r="A416" i="12" s="1"/>
  <c r="B417" i="12"/>
  <c r="A417" i="12" s="1"/>
  <c r="B418" i="12"/>
  <c r="A418" i="12" s="1"/>
  <c r="B419" i="12"/>
  <c r="A419" i="12" s="1"/>
  <c r="B420" i="12"/>
  <c r="A420" i="12" s="1"/>
  <c r="B421" i="12"/>
  <c r="A421" i="12" s="1"/>
  <c r="B422" i="12"/>
  <c r="A422" i="12" s="1"/>
  <c r="B423" i="12"/>
  <c r="A423" i="12" s="1"/>
  <c r="B424" i="12"/>
  <c r="A424" i="12" s="1"/>
  <c r="B425" i="12"/>
  <c r="A425" i="12" s="1"/>
  <c r="B426" i="12"/>
  <c r="A426" i="12" s="1"/>
  <c r="B427" i="12"/>
  <c r="A427" i="12" s="1"/>
  <c r="B428" i="12"/>
  <c r="A428" i="12" s="1"/>
  <c r="B429" i="12"/>
  <c r="A429" i="12" s="1"/>
  <c r="B430" i="12"/>
  <c r="A430" i="12" s="1"/>
  <c r="B431" i="12"/>
  <c r="A431" i="12" s="1"/>
  <c r="B432" i="12"/>
  <c r="A432" i="12" s="1"/>
  <c r="B433" i="12"/>
  <c r="A433" i="12" s="1"/>
  <c r="B434" i="12"/>
  <c r="A434" i="12" s="1"/>
  <c r="B435" i="12"/>
  <c r="A435" i="12" s="1"/>
  <c r="B436" i="12"/>
  <c r="A436" i="12" s="1"/>
  <c r="B437" i="12"/>
  <c r="A437" i="12" s="1"/>
  <c r="B438" i="12"/>
  <c r="A438" i="12" s="1"/>
  <c r="B439" i="12"/>
  <c r="A439" i="12" s="1"/>
  <c r="B440" i="12"/>
  <c r="A440" i="12" s="1"/>
  <c r="B441" i="12"/>
  <c r="A441" i="12" s="1"/>
  <c r="B442" i="12"/>
  <c r="A442" i="12" s="1"/>
  <c r="B443" i="12"/>
  <c r="A443" i="12" s="1"/>
  <c r="B444" i="12"/>
  <c r="A444" i="12" s="1"/>
  <c r="B445" i="12"/>
  <c r="A445" i="12" s="1"/>
  <c r="B446" i="12"/>
  <c r="A446" i="12" s="1"/>
  <c r="B447" i="12"/>
  <c r="A447" i="12" s="1"/>
  <c r="B448" i="12"/>
  <c r="A448" i="12" s="1"/>
  <c r="B449" i="12"/>
  <c r="A449" i="12" s="1"/>
  <c r="B450" i="12"/>
  <c r="A450" i="12" s="1"/>
  <c r="B451" i="12"/>
  <c r="A451" i="12" s="1"/>
  <c r="B452" i="12"/>
  <c r="A452" i="12" s="1"/>
  <c r="B453" i="12"/>
  <c r="A453" i="12" s="1"/>
  <c r="B454" i="12"/>
  <c r="A454" i="12" s="1"/>
  <c r="B455" i="12"/>
  <c r="A455" i="12" s="1"/>
  <c r="B456" i="12"/>
  <c r="A456" i="12" s="1"/>
  <c r="B457" i="12"/>
  <c r="A457" i="12" s="1"/>
  <c r="B458" i="12"/>
  <c r="A458" i="12" s="1"/>
  <c r="B459" i="12"/>
  <c r="A459" i="12" s="1"/>
  <c r="B460" i="12"/>
  <c r="A460" i="12" s="1"/>
  <c r="B461" i="12"/>
  <c r="A461" i="12" s="1"/>
  <c r="B462" i="12"/>
  <c r="A462" i="12" s="1"/>
  <c r="B463" i="12"/>
  <c r="A463" i="12" s="1"/>
  <c r="B464" i="12"/>
  <c r="A464" i="12" s="1"/>
  <c r="B465" i="12"/>
  <c r="A465" i="12" s="1"/>
  <c r="B466" i="12"/>
  <c r="A466" i="12" s="1"/>
  <c r="B467" i="12"/>
  <c r="A467" i="12" s="1"/>
  <c r="B468" i="12"/>
  <c r="A468" i="12" s="1"/>
  <c r="B469" i="12"/>
  <c r="A469" i="12" s="1"/>
  <c r="B470" i="12"/>
  <c r="A470" i="12" s="1"/>
  <c r="B471" i="12"/>
  <c r="A471" i="12" s="1"/>
  <c r="B472" i="12"/>
  <c r="A472" i="12" s="1"/>
  <c r="B473" i="12"/>
  <c r="A473" i="12" s="1"/>
  <c r="B474" i="12"/>
  <c r="A474" i="12" s="1"/>
  <c r="B475" i="12"/>
  <c r="A475" i="12" s="1"/>
  <c r="G2" i="3"/>
  <c r="A2" i="3" s="1"/>
  <c r="G487" i="3"/>
  <c r="A487" i="3" s="1"/>
  <c r="G508" i="3"/>
  <c r="A508" i="3" s="1"/>
  <c r="G507" i="3"/>
  <c r="A507" i="3" s="1"/>
  <c r="G506" i="3"/>
  <c r="A506" i="3" s="1"/>
  <c r="G505" i="3"/>
  <c r="A505" i="3" s="1"/>
  <c r="G504" i="3"/>
  <c r="A504" i="3" s="1"/>
  <c r="G503" i="3"/>
  <c r="A503" i="3" s="1"/>
  <c r="G502" i="3"/>
  <c r="A502" i="3" s="1"/>
  <c r="G501" i="3"/>
  <c r="A501" i="3" s="1"/>
  <c r="G500" i="3"/>
  <c r="A500" i="3" s="1"/>
  <c r="G499" i="3"/>
  <c r="A499" i="3" s="1"/>
  <c r="G498" i="3"/>
  <c r="A498" i="3" s="1"/>
  <c r="G497" i="3"/>
  <c r="A497" i="3" s="1"/>
  <c r="G496" i="3"/>
  <c r="A496" i="3" s="1"/>
  <c r="G495" i="3"/>
  <c r="A495" i="3" s="1"/>
  <c r="G494" i="3"/>
  <c r="A494" i="3" s="1"/>
  <c r="G493" i="3"/>
  <c r="A493" i="3" s="1"/>
  <c r="G492" i="3"/>
  <c r="A492" i="3" s="1"/>
  <c r="G491" i="3"/>
  <c r="A491" i="3" s="1"/>
  <c r="G490" i="3"/>
  <c r="A490" i="3" s="1"/>
  <c r="G489" i="3"/>
  <c r="A489" i="3" s="1"/>
  <c r="G488" i="3"/>
  <c r="A488" i="3" s="1"/>
  <c r="G485" i="3"/>
  <c r="A485" i="3" s="1"/>
  <c r="G486" i="3"/>
  <c r="A486" i="3" s="1"/>
  <c r="G467" i="3"/>
  <c r="A467" i="3" s="1"/>
  <c r="G484" i="3"/>
  <c r="A484" i="3" s="1"/>
  <c r="G483" i="3"/>
  <c r="A483" i="3" s="1"/>
  <c r="G482" i="3"/>
  <c r="A482" i="3" s="1"/>
  <c r="G481" i="3"/>
  <c r="A481" i="3" s="1"/>
  <c r="G479" i="3"/>
  <c r="A479" i="3" s="1"/>
  <c r="G478" i="3"/>
  <c r="A478" i="3" s="1"/>
  <c r="G477" i="3"/>
  <c r="A477" i="3" s="1"/>
  <c r="G475" i="3"/>
  <c r="A475" i="3" s="1"/>
  <c r="G474" i="3"/>
  <c r="A474" i="3" s="1"/>
  <c r="G473" i="3"/>
  <c r="A473" i="3" s="1"/>
  <c r="G472" i="3"/>
  <c r="A472" i="3" s="1"/>
  <c r="G476" i="3"/>
  <c r="A476" i="3" s="1"/>
  <c r="G471" i="3"/>
  <c r="A471" i="3" s="1"/>
  <c r="G470" i="3"/>
  <c r="A470" i="3" s="1"/>
  <c r="G469" i="3"/>
  <c r="A469" i="3" s="1"/>
  <c r="G468" i="3"/>
  <c r="A468" i="3" s="1"/>
  <c r="G453" i="3"/>
  <c r="A453" i="3" s="1"/>
  <c r="G466" i="3"/>
  <c r="A466" i="3" s="1"/>
  <c r="G465" i="3"/>
  <c r="A465" i="3" s="1"/>
  <c r="G464" i="3"/>
  <c r="A464" i="3" s="1"/>
  <c r="G463" i="3"/>
  <c r="A463" i="3" s="1"/>
  <c r="G462" i="3"/>
  <c r="A462" i="3" s="1"/>
  <c r="G461" i="3"/>
  <c r="A461" i="3" s="1"/>
  <c r="G460" i="3"/>
  <c r="A460" i="3" s="1"/>
  <c r="G459" i="3"/>
  <c r="A459" i="3" s="1"/>
  <c r="G458" i="3"/>
  <c r="A458" i="3" s="1"/>
  <c r="G457" i="3"/>
  <c r="A457" i="3" s="1"/>
  <c r="G456" i="3"/>
  <c r="A456" i="3" s="1"/>
  <c r="G455" i="3"/>
  <c r="A455" i="3" s="1"/>
  <c r="G454" i="3"/>
  <c r="A454" i="3" s="1"/>
  <c r="G452" i="3"/>
  <c r="A452" i="3" s="1"/>
  <c r="G449" i="3"/>
  <c r="A449" i="3" s="1"/>
  <c r="G451" i="3"/>
  <c r="A451" i="3" s="1"/>
  <c r="G434" i="3"/>
  <c r="A434" i="3" s="1"/>
  <c r="G447" i="3"/>
  <c r="A447" i="3" s="1"/>
  <c r="G446" i="3"/>
  <c r="A446" i="3" s="1"/>
  <c r="G445" i="3"/>
  <c r="A445" i="3" s="1"/>
  <c r="G444" i="3"/>
  <c r="A444" i="3" s="1"/>
  <c r="G443" i="3"/>
  <c r="A443" i="3" s="1"/>
  <c r="G442" i="3"/>
  <c r="A442" i="3" s="1"/>
  <c r="G441" i="3"/>
  <c r="A441" i="3" s="1"/>
  <c r="G440" i="3"/>
  <c r="A440" i="3" s="1"/>
  <c r="G439" i="3"/>
  <c r="A439" i="3" s="1"/>
  <c r="G438" i="3"/>
  <c r="A438" i="3" s="1"/>
  <c r="G437" i="3"/>
  <c r="A437" i="3" s="1"/>
  <c r="G436" i="3"/>
  <c r="A436" i="3" s="1"/>
  <c r="G435" i="3"/>
  <c r="A435" i="3" s="1"/>
  <c r="G430" i="3"/>
  <c r="A430" i="3" s="1"/>
  <c r="G433" i="3"/>
  <c r="A433" i="3" s="1"/>
  <c r="G432" i="3"/>
  <c r="A432" i="3" s="1"/>
  <c r="G417" i="3"/>
  <c r="A417" i="3" s="1"/>
  <c r="G429" i="3"/>
  <c r="A429" i="3" s="1"/>
  <c r="G428" i="3"/>
  <c r="A428" i="3" s="1"/>
  <c r="G426" i="3"/>
  <c r="A426" i="3" s="1"/>
  <c r="G427" i="3"/>
  <c r="A427" i="3" s="1"/>
  <c r="G425" i="3"/>
  <c r="A425" i="3" s="1"/>
  <c r="G424" i="3"/>
  <c r="A424" i="3" s="1"/>
  <c r="G423" i="3"/>
  <c r="A423" i="3" s="1"/>
  <c r="G422" i="3"/>
  <c r="A422" i="3" s="1"/>
  <c r="G421" i="3"/>
  <c r="A421" i="3" s="1"/>
  <c r="G420" i="3"/>
  <c r="A420" i="3" s="1"/>
  <c r="G419" i="3"/>
  <c r="A419" i="3" s="1"/>
  <c r="G418" i="3"/>
  <c r="A418" i="3" s="1"/>
  <c r="G413" i="3"/>
  <c r="A413" i="3" s="1"/>
  <c r="G416" i="3"/>
  <c r="A416" i="3" s="1"/>
  <c r="G415" i="3"/>
  <c r="A415" i="3" s="1"/>
  <c r="G414" i="3"/>
  <c r="A414" i="3" s="1"/>
  <c r="G406" i="3"/>
  <c r="A406" i="3" s="1"/>
  <c r="G412" i="3"/>
  <c r="A412" i="3" s="1"/>
  <c r="G411" i="3"/>
  <c r="A411" i="3" s="1"/>
  <c r="G410" i="3"/>
  <c r="A410" i="3" s="1"/>
  <c r="G409" i="3"/>
  <c r="A409" i="3" s="1"/>
  <c r="G408" i="3"/>
  <c r="A408" i="3" s="1"/>
  <c r="G407" i="3"/>
  <c r="A407" i="3" s="1"/>
  <c r="G379" i="3"/>
  <c r="A379" i="3" s="1"/>
  <c r="G405" i="3"/>
  <c r="A405" i="3" s="1"/>
  <c r="G404" i="3"/>
  <c r="A404" i="3" s="1"/>
  <c r="G403" i="3"/>
  <c r="A403" i="3" s="1"/>
  <c r="G402" i="3"/>
  <c r="A402" i="3" s="1"/>
  <c r="G401" i="3"/>
  <c r="A401" i="3" s="1"/>
  <c r="G400" i="3"/>
  <c r="A400" i="3" s="1"/>
  <c r="G399" i="3"/>
  <c r="A399" i="3" s="1"/>
  <c r="G398" i="3"/>
  <c r="A398" i="3" s="1"/>
  <c r="G397" i="3"/>
  <c r="A397" i="3" s="1"/>
  <c r="G396" i="3"/>
  <c r="A396" i="3" s="1"/>
  <c r="G395" i="3"/>
  <c r="A395" i="3" s="1"/>
  <c r="G394" i="3"/>
  <c r="A394" i="3" s="1"/>
  <c r="G393" i="3"/>
  <c r="A393" i="3" s="1"/>
  <c r="G392" i="3"/>
  <c r="A392" i="3" s="1"/>
  <c r="G391" i="3"/>
  <c r="A391" i="3" s="1"/>
  <c r="G390" i="3"/>
  <c r="A390" i="3" s="1"/>
  <c r="G389" i="3"/>
  <c r="A389" i="3" s="1"/>
  <c r="G388" i="3"/>
  <c r="A388" i="3" s="1"/>
  <c r="G386" i="3"/>
  <c r="A386" i="3" s="1"/>
  <c r="G385" i="3"/>
  <c r="A385" i="3" s="1"/>
  <c r="G384" i="3"/>
  <c r="A384" i="3" s="1"/>
  <c r="G383" i="3"/>
  <c r="A383" i="3" s="1"/>
  <c r="G382" i="3"/>
  <c r="A382" i="3" s="1"/>
  <c r="G381" i="3"/>
  <c r="A381" i="3" s="1"/>
  <c r="G387" i="3"/>
  <c r="A387" i="3" s="1"/>
  <c r="G380" i="3"/>
  <c r="A380" i="3" s="1"/>
  <c r="G368" i="3"/>
  <c r="A368" i="3" s="1"/>
  <c r="G377" i="3"/>
  <c r="A377" i="3" s="1"/>
  <c r="G376" i="3"/>
  <c r="A376" i="3" s="1"/>
  <c r="G374" i="3"/>
  <c r="A374" i="3" s="1"/>
  <c r="G373" i="3"/>
  <c r="A373" i="3" s="1"/>
  <c r="G372" i="3"/>
  <c r="A372" i="3" s="1"/>
  <c r="G371" i="3"/>
  <c r="A371" i="3" s="1"/>
  <c r="G370" i="3"/>
  <c r="A370" i="3" s="1"/>
  <c r="G369" i="3"/>
  <c r="A369" i="3" s="1"/>
  <c r="G365" i="3"/>
  <c r="A365" i="3" s="1"/>
  <c r="G367" i="3"/>
  <c r="A367" i="3" s="1"/>
  <c r="G366" i="3"/>
  <c r="A366" i="3" s="1"/>
  <c r="G360" i="3"/>
  <c r="A360" i="3" s="1"/>
  <c r="G364" i="3"/>
  <c r="A364" i="3" s="1"/>
  <c r="G363" i="3"/>
  <c r="A363" i="3" s="1"/>
  <c r="G362" i="3"/>
  <c r="A362" i="3" s="1"/>
  <c r="G361" i="3"/>
  <c r="A361" i="3" s="1"/>
  <c r="G339" i="3"/>
  <c r="A339" i="3" s="1"/>
  <c r="G359" i="3"/>
  <c r="A359" i="3" s="1"/>
  <c r="G358" i="3"/>
  <c r="A358" i="3" s="1"/>
  <c r="G357" i="3"/>
  <c r="A357" i="3" s="1"/>
  <c r="G356" i="3"/>
  <c r="A356" i="3" s="1"/>
  <c r="G355" i="3"/>
  <c r="A355" i="3" s="1"/>
  <c r="G354" i="3"/>
  <c r="A354" i="3" s="1"/>
  <c r="G353" i="3"/>
  <c r="A353" i="3" s="1"/>
  <c r="G352" i="3"/>
  <c r="A352" i="3" s="1"/>
  <c r="G351" i="3"/>
  <c r="A351" i="3" s="1"/>
  <c r="G350" i="3"/>
  <c r="A350" i="3" s="1"/>
  <c r="G349" i="3"/>
  <c r="A349" i="3" s="1"/>
  <c r="G348" i="3"/>
  <c r="A348" i="3" s="1"/>
  <c r="G347" i="3"/>
  <c r="A347" i="3" s="1"/>
  <c r="G346" i="3"/>
  <c r="A346" i="3" s="1"/>
  <c r="G345" i="3"/>
  <c r="A345" i="3" s="1"/>
  <c r="G344" i="3"/>
  <c r="A344" i="3" s="1"/>
  <c r="G343" i="3"/>
  <c r="A343" i="3" s="1"/>
  <c r="G342" i="3"/>
  <c r="A342" i="3" s="1"/>
  <c r="G341" i="3"/>
  <c r="A341" i="3" s="1"/>
  <c r="G340" i="3"/>
  <c r="A340" i="3" s="1"/>
  <c r="G334" i="3"/>
  <c r="A334" i="3" s="1"/>
  <c r="G338" i="3"/>
  <c r="A338" i="3" s="1"/>
  <c r="G336" i="3"/>
  <c r="A336" i="3" s="1"/>
  <c r="G335" i="3"/>
  <c r="A335" i="3" s="1"/>
  <c r="G333" i="3"/>
  <c r="A333" i="3" s="1"/>
  <c r="G332" i="3"/>
  <c r="A332" i="3" s="1"/>
  <c r="G331" i="3"/>
  <c r="A331" i="3" s="1"/>
  <c r="G330" i="3"/>
  <c r="A330" i="3" s="1"/>
  <c r="G329" i="3"/>
  <c r="A329" i="3" s="1"/>
  <c r="G327" i="3"/>
  <c r="A327" i="3" s="1"/>
  <c r="G328" i="3"/>
  <c r="A328" i="3" s="1"/>
  <c r="G325" i="3"/>
  <c r="A325" i="3" s="1"/>
  <c r="G326" i="3"/>
  <c r="A326" i="3" s="1"/>
  <c r="G308" i="3"/>
  <c r="A308" i="3" s="1"/>
  <c r="G324" i="3"/>
  <c r="A324" i="3" s="1"/>
  <c r="G323" i="3"/>
  <c r="A323" i="3" s="1"/>
  <c r="G322" i="3"/>
  <c r="A322" i="3" s="1"/>
  <c r="G321" i="3"/>
  <c r="A321" i="3" s="1"/>
  <c r="G320" i="3"/>
  <c r="A320" i="3" s="1"/>
  <c r="G319" i="3"/>
  <c r="A319" i="3" s="1"/>
  <c r="G318" i="3"/>
  <c r="A318" i="3" s="1"/>
  <c r="G317" i="3"/>
  <c r="A317" i="3" s="1"/>
  <c r="G316" i="3"/>
  <c r="A316" i="3" s="1"/>
  <c r="G315" i="3"/>
  <c r="A315" i="3" s="1"/>
  <c r="G314" i="3"/>
  <c r="A314" i="3" s="1"/>
  <c r="G313" i="3"/>
  <c r="A313" i="3" s="1"/>
  <c r="G312" i="3"/>
  <c r="A312" i="3" s="1"/>
  <c r="G311" i="3"/>
  <c r="A311" i="3" s="1"/>
  <c r="G310" i="3"/>
  <c r="A310" i="3" s="1"/>
  <c r="G309" i="3"/>
  <c r="A309" i="3" s="1"/>
  <c r="G305" i="3"/>
  <c r="A305" i="3" s="1"/>
  <c r="G307" i="3"/>
  <c r="A307" i="3" s="1"/>
  <c r="G306" i="3"/>
  <c r="A306" i="3" s="1"/>
  <c r="G298" i="3"/>
  <c r="A298" i="3" s="1"/>
  <c r="G304" i="3"/>
  <c r="A304" i="3" s="1"/>
  <c r="G303" i="3"/>
  <c r="A303" i="3" s="1"/>
  <c r="G301" i="3"/>
  <c r="A301" i="3" s="1"/>
  <c r="G300" i="3"/>
  <c r="A300" i="3" s="1"/>
  <c r="G299" i="3"/>
  <c r="A299" i="3" s="1"/>
  <c r="G296" i="3"/>
  <c r="A296" i="3" s="1"/>
  <c r="G297" i="3"/>
  <c r="A297" i="3" s="1"/>
  <c r="G295" i="3"/>
  <c r="A295" i="3" s="1"/>
  <c r="G294" i="3"/>
  <c r="A294" i="3" s="1"/>
  <c r="G270" i="3"/>
  <c r="A270" i="3" s="1"/>
  <c r="G291" i="3"/>
  <c r="A291" i="3" s="1"/>
  <c r="G290" i="3"/>
  <c r="A290" i="3" s="1"/>
  <c r="G288" i="3"/>
  <c r="A288" i="3" s="1"/>
  <c r="G287" i="3"/>
  <c r="A287" i="3" s="1"/>
  <c r="G286" i="3"/>
  <c r="A286" i="3" s="1"/>
  <c r="G285" i="3"/>
  <c r="A285" i="3" s="1"/>
  <c r="G284" i="3"/>
  <c r="A284" i="3" s="1"/>
  <c r="G283" i="3"/>
  <c r="A283" i="3" s="1"/>
  <c r="G282" i="3"/>
  <c r="A282" i="3" s="1"/>
  <c r="G281" i="3"/>
  <c r="A281" i="3" s="1"/>
  <c r="G280" i="3"/>
  <c r="A280" i="3" s="1"/>
  <c r="G279" i="3"/>
  <c r="A279" i="3" s="1"/>
  <c r="G278" i="3"/>
  <c r="A278" i="3" s="1"/>
  <c r="G277" i="3"/>
  <c r="A277" i="3" s="1"/>
  <c r="G276" i="3"/>
  <c r="A276" i="3" s="1"/>
  <c r="G275" i="3"/>
  <c r="A275" i="3" s="1"/>
  <c r="G274" i="3"/>
  <c r="A274" i="3" s="1"/>
  <c r="G273" i="3"/>
  <c r="A273" i="3" s="1"/>
  <c r="G272" i="3"/>
  <c r="A272" i="3" s="1"/>
  <c r="G271" i="3"/>
  <c r="A271" i="3" s="1"/>
  <c r="G268" i="3"/>
  <c r="A268" i="3" s="1"/>
  <c r="G269" i="3"/>
  <c r="A269" i="3" s="1"/>
  <c r="G252" i="3"/>
  <c r="A252" i="3" s="1"/>
  <c r="G267" i="3"/>
  <c r="A267" i="3" s="1"/>
  <c r="G266" i="3"/>
  <c r="A266" i="3" s="1"/>
  <c r="G265" i="3"/>
  <c r="A265" i="3" s="1"/>
  <c r="G264" i="3"/>
  <c r="A264" i="3" s="1"/>
  <c r="G263" i="3"/>
  <c r="A263" i="3" s="1"/>
  <c r="G262" i="3"/>
  <c r="A262" i="3" s="1"/>
  <c r="G261" i="3"/>
  <c r="A261" i="3" s="1"/>
  <c r="G260" i="3"/>
  <c r="A260" i="3" s="1"/>
  <c r="G259" i="3"/>
  <c r="A259" i="3" s="1"/>
  <c r="G258" i="3"/>
  <c r="A258" i="3" s="1"/>
  <c r="G254" i="3"/>
  <c r="A254" i="3" s="1"/>
  <c r="G253" i="3"/>
  <c r="A253" i="3" s="1"/>
  <c r="G234" i="3"/>
  <c r="A234" i="3" s="1"/>
  <c r="G251" i="3"/>
  <c r="A251" i="3" s="1"/>
  <c r="G250" i="3"/>
  <c r="A250" i="3" s="1"/>
  <c r="G249" i="3"/>
  <c r="A249" i="3" s="1"/>
  <c r="G248" i="3"/>
  <c r="A248" i="3" s="1"/>
  <c r="G247" i="3"/>
  <c r="A247" i="3" s="1"/>
  <c r="G246" i="3"/>
  <c r="A246" i="3" s="1"/>
  <c r="G245" i="3"/>
  <c r="A245" i="3" s="1"/>
  <c r="G244" i="3"/>
  <c r="A244" i="3" s="1"/>
  <c r="G243" i="3"/>
  <c r="A243" i="3" s="1"/>
  <c r="G242" i="3"/>
  <c r="A242" i="3" s="1"/>
  <c r="G241" i="3"/>
  <c r="A241" i="3" s="1"/>
  <c r="G240" i="3"/>
  <c r="A240" i="3" s="1"/>
  <c r="G239" i="3"/>
  <c r="A239" i="3" s="1"/>
  <c r="G238" i="3"/>
  <c r="A238" i="3" s="1"/>
  <c r="G237" i="3"/>
  <c r="A237" i="3" s="1"/>
  <c r="G236" i="3"/>
  <c r="A236" i="3" s="1"/>
  <c r="G235" i="3"/>
  <c r="A235" i="3" s="1"/>
  <c r="G193" i="3"/>
  <c r="A193" i="3" s="1"/>
  <c r="G233" i="3"/>
  <c r="A233" i="3" s="1"/>
  <c r="G232" i="3"/>
  <c r="A232" i="3" s="1"/>
  <c r="G230" i="3"/>
  <c r="A230" i="3" s="1"/>
  <c r="G229" i="3"/>
  <c r="A229" i="3" s="1"/>
  <c r="G225" i="3"/>
  <c r="A225" i="3" s="1"/>
  <c r="G224" i="3"/>
  <c r="A224" i="3" s="1"/>
  <c r="G223" i="3"/>
  <c r="A223" i="3" s="1"/>
  <c r="G222" i="3"/>
  <c r="A222" i="3" s="1"/>
  <c r="G221" i="3"/>
  <c r="A221" i="3" s="1"/>
  <c r="G220" i="3"/>
  <c r="A220" i="3" s="1"/>
  <c r="G219" i="3"/>
  <c r="A219" i="3" s="1"/>
  <c r="G218" i="3"/>
  <c r="A218" i="3" s="1"/>
  <c r="G217" i="3"/>
  <c r="A217" i="3" s="1"/>
  <c r="G216" i="3"/>
  <c r="A216" i="3" s="1"/>
  <c r="G215" i="3"/>
  <c r="A215" i="3" s="1"/>
  <c r="G228" i="3"/>
  <c r="A228" i="3" s="1"/>
  <c r="G213" i="3"/>
  <c r="A213" i="3" s="1"/>
  <c r="G212" i="3"/>
  <c r="A212" i="3" s="1"/>
  <c r="G227" i="3"/>
  <c r="A227" i="3" s="1"/>
  <c r="G211" i="3"/>
  <c r="A211" i="3" s="1"/>
  <c r="G210" i="3"/>
  <c r="A210" i="3" s="1"/>
  <c r="G209" i="3"/>
  <c r="A209" i="3" s="1"/>
  <c r="G208" i="3"/>
  <c r="A208" i="3" s="1"/>
  <c r="G207" i="3"/>
  <c r="A207" i="3" s="1"/>
  <c r="G206" i="3"/>
  <c r="A206" i="3" s="1"/>
  <c r="G205" i="3"/>
  <c r="A205" i="3" s="1"/>
  <c r="G204" i="3"/>
  <c r="A204" i="3" s="1"/>
  <c r="G203" i="3"/>
  <c r="A203" i="3" s="1"/>
  <c r="G202" i="3"/>
  <c r="A202" i="3" s="1"/>
  <c r="G201" i="3"/>
  <c r="A201" i="3" s="1"/>
  <c r="G200" i="3"/>
  <c r="A200" i="3" s="1"/>
  <c r="G199" i="3"/>
  <c r="A199" i="3" s="1"/>
  <c r="G198" i="3"/>
  <c r="A198" i="3" s="1"/>
  <c r="G197" i="3"/>
  <c r="A197" i="3" s="1"/>
  <c r="G196" i="3"/>
  <c r="A196" i="3" s="1"/>
  <c r="G195" i="3"/>
  <c r="A195" i="3" s="1"/>
  <c r="G194" i="3"/>
  <c r="A194" i="3" s="1"/>
  <c r="G192" i="3"/>
  <c r="A192" i="3" s="1"/>
  <c r="G190" i="3"/>
  <c r="A190" i="3" s="1"/>
  <c r="G191" i="3"/>
  <c r="A191" i="3" s="1"/>
  <c r="G189" i="3"/>
  <c r="A189" i="3" s="1"/>
  <c r="G188" i="3"/>
  <c r="A188" i="3" s="1"/>
  <c r="G185" i="3"/>
  <c r="A185" i="3" s="1"/>
  <c r="G187" i="3"/>
  <c r="A187" i="3" s="1"/>
  <c r="G186" i="3"/>
  <c r="A186" i="3" s="1"/>
  <c r="G178" i="3"/>
  <c r="A178" i="3" s="1"/>
  <c r="G184" i="3"/>
  <c r="A184" i="3" s="1"/>
  <c r="G183" i="3"/>
  <c r="A183" i="3" s="1"/>
  <c r="G182" i="3"/>
  <c r="A182" i="3" s="1"/>
  <c r="G181" i="3"/>
  <c r="A181" i="3" s="1"/>
  <c r="G180" i="3"/>
  <c r="A180" i="3" s="1"/>
  <c r="G179" i="3"/>
  <c r="A179" i="3" s="1"/>
  <c r="G167" i="3"/>
  <c r="A167" i="3" s="1"/>
  <c r="G177" i="3"/>
  <c r="A177" i="3" s="1"/>
  <c r="G175" i="3"/>
  <c r="A175" i="3" s="1"/>
  <c r="G174" i="3"/>
  <c r="A174" i="3" s="1"/>
  <c r="G173" i="3"/>
  <c r="A173" i="3" s="1"/>
  <c r="G172" i="3"/>
  <c r="A172" i="3" s="1"/>
  <c r="G171" i="3"/>
  <c r="A171" i="3" s="1"/>
  <c r="G170" i="3"/>
  <c r="A170" i="3" s="1"/>
  <c r="G168" i="3"/>
  <c r="A168" i="3" s="1"/>
  <c r="G145" i="3"/>
  <c r="A145" i="3" s="1"/>
  <c r="G165" i="3"/>
  <c r="A165" i="3" s="1"/>
  <c r="G164" i="3"/>
  <c r="A164" i="3" s="1"/>
  <c r="G163" i="3"/>
  <c r="A163" i="3" s="1"/>
  <c r="G162" i="3"/>
  <c r="A162" i="3" s="1"/>
  <c r="G161" i="3"/>
  <c r="A161" i="3" s="1"/>
  <c r="G160" i="3"/>
  <c r="A160" i="3" s="1"/>
  <c r="G159" i="3"/>
  <c r="A159" i="3" s="1"/>
  <c r="G157" i="3"/>
  <c r="A157" i="3" s="1"/>
  <c r="G156" i="3"/>
  <c r="A156" i="3" s="1"/>
  <c r="G155" i="3"/>
  <c r="A155" i="3" s="1"/>
  <c r="G158" i="3"/>
  <c r="A158" i="3" s="1"/>
  <c r="G154" i="3"/>
  <c r="A154" i="3" s="1"/>
  <c r="G153" i="3"/>
  <c r="A153" i="3" s="1"/>
  <c r="G152" i="3"/>
  <c r="A152" i="3" s="1"/>
  <c r="G151" i="3"/>
  <c r="A151" i="3" s="1"/>
  <c r="G150" i="3"/>
  <c r="A150" i="3" s="1"/>
  <c r="G149" i="3"/>
  <c r="A149" i="3" s="1"/>
  <c r="G148" i="3"/>
  <c r="A148" i="3" s="1"/>
  <c r="G146" i="3"/>
  <c r="A146" i="3" s="1"/>
  <c r="G147" i="3"/>
  <c r="A147" i="3" s="1"/>
  <c r="G140" i="3"/>
  <c r="A140" i="3" s="1"/>
  <c r="G144" i="3"/>
  <c r="A144" i="3" s="1"/>
  <c r="G143" i="3"/>
  <c r="A143" i="3" s="1"/>
  <c r="G142" i="3"/>
  <c r="A142" i="3" s="1"/>
  <c r="G141" i="3"/>
  <c r="A141" i="3" s="1"/>
  <c r="G102" i="3"/>
  <c r="A102" i="3" s="1"/>
  <c r="G138" i="3"/>
  <c r="A138" i="3" s="1"/>
  <c r="G137" i="3"/>
  <c r="A137" i="3" s="1"/>
  <c r="G136" i="3"/>
  <c r="A136" i="3" s="1"/>
  <c r="G135" i="3"/>
  <c r="A135" i="3" s="1"/>
  <c r="G134" i="3"/>
  <c r="A134" i="3" s="1"/>
  <c r="G132" i="3"/>
  <c r="A132" i="3" s="1"/>
  <c r="G131" i="3"/>
  <c r="A131" i="3" s="1"/>
  <c r="G133" i="3"/>
  <c r="A133" i="3" s="1"/>
  <c r="G129" i="3"/>
  <c r="A129" i="3" s="1"/>
  <c r="G127" i="3"/>
  <c r="A127" i="3" s="1"/>
  <c r="G126" i="3"/>
  <c r="A126" i="3" s="1"/>
  <c r="G130" i="3"/>
  <c r="A130" i="3" s="1"/>
  <c r="G125" i="3"/>
  <c r="A125" i="3" s="1"/>
  <c r="G124" i="3"/>
  <c r="A124" i="3" s="1"/>
  <c r="G122" i="3"/>
  <c r="A122" i="3" s="1"/>
  <c r="G121" i="3"/>
  <c r="A121" i="3" s="1"/>
  <c r="G120" i="3"/>
  <c r="A120" i="3" s="1"/>
  <c r="G119" i="3"/>
  <c r="A119" i="3" s="1"/>
  <c r="G118" i="3"/>
  <c r="A118" i="3" s="1"/>
  <c r="G117" i="3"/>
  <c r="A117" i="3" s="1"/>
  <c r="G116" i="3"/>
  <c r="A116" i="3" s="1"/>
  <c r="G115" i="3"/>
  <c r="A115" i="3" s="1"/>
  <c r="G114" i="3"/>
  <c r="A114" i="3" s="1"/>
  <c r="G113" i="3"/>
  <c r="A113" i="3" s="1"/>
  <c r="G112" i="3"/>
  <c r="A112" i="3" s="1"/>
  <c r="G111" i="3"/>
  <c r="A111" i="3" s="1"/>
  <c r="G110" i="3"/>
  <c r="A110" i="3" s="1"/>
  <c r="G109" i="3"/>
  <c r="A109" i="3" s="1"/>
  <c r="G108" i="3"/>
  <c r="A108" i="3" s="1"/>
  <c r="G107" i="3"/>
  <c r="A107" i="3" s="1"/>
  <c r="G106" i="3"/>
  <c r="A106" i="3" s="1"/>
  <c r="G105" i="3"/>
  <c r="A105" i="3" s="1"/>
  <c r="G104" i="3"/>
  <c r="A104" i="3" s="1"/>
  <c r="G92" i="3"/>
  <c r="A92" i="3" s="1"/>
  <c r="G101" i="3"/>
  <c r="A101" i="3" s="1"/>
  <c r="G100" i="3"/>
  <c r="A100" i="3" s="1"/>
  <c r="G99" i="3"/>
  <c r="A99" i="3" s="1"/>
  <c r="G97" i="3"/>
  <c r="A97" i="3" s="1"/>
  <c r="G96" i="3"/>
  <c r="A96" i="3" s="1"/>
  <c r="G95" i="3"/>
  <c r="A95" i="3" s="1"/>
  <c r="G94" i="3"/>
  <c r="A94" i="3" s="1"/>
  <c r="G93" i="3"/>
  <c r="A93" i="3" s="1"/>
  <c r="G85" i="3"/>
  <c r="A85" i="3" s="1"/>
  <c r="G91" i="3"/>
  <c r="A91" i="3" s="1"/>
  <c r="G90" i="3"/>
  <c r="A90" i="3" s="1"/>
  <c r="G89" i="3"/>
  <c r="A89" i="3" s="1"/>
  <c r="G88" i="3"/>
  <c r="A88" i="3" s="1"/>
  <c r="G87" i="3"/>
  <c r="A87" i="3" s="1"/>
  <c r="G86" i="3"/>
  <c r="A86" i="3" s="1"/>
  <c r="G72" i="3"/>
  <c r="A72" i="3" s="1"/>
  <c r="G84" i="3"/>
  <c r="A84" i="3" s="1"/>
  <c r="G83" i="3"/>
  <c r="A83" i="3" s="1"/>
  <c r="G77" i="3"/>
  <c r="A77" i="3" s="1"/>
  <c r="G76" i="3"/>
  <c r="A76" i="3" s="1"/>
  <c r="G75" i="3"/>
  <c r="A75" i="3" s="1"/>
  <c r="G74" i="3"/>
  <c r="A74" i="3" s="1"/>
  <c r="G73" i="3"/>
  <c r="A73" i="3" s="1"/>
  <c r="G66" i="3"/>
  <c r="A66" i="3" s="1"/>
  <c r="G71" i="3"/>
  <c r="A71" i="3" s="1"/>
  <c r="G70" i="3"/>
  <c r="A70" i="3" s="1"/>
  <c r="G69" i="3"/>
  <c r="A69" i="3" s="1"/>
  <c r="G68" i="3"/>
  <c r="A68" i="3" s="1"/>
  <c r="G67" i="3"/>
  <c r="A67" i="3" s="1"/>
  <c r="G63" i="3"/>
  <c r="A63" i="3" s="1"/>
  <c r="G64" i="3"/>
  <c r="A64" i="3" s="1"/>
  <c r="G60" i="3"/>
  <c r="A60" i="3" s="1"/>
  <c r="G62" i="3"/>
  <c r="A62" i="3" s="1"/>
  <c r="G61" i="3"/>
  <c r="A61" i="3" s="1"/>
  <c r="G49" i="3"/>
  <c r="A49" i="3" s="1"/>
  <c r="G59" i="3"/>
  <c r="A59" i="3" s="1"/>
  <c r="G58" i="3"/>
  <c r="A58" i="3" s="1"/>
  <c r="G57" i="3"/>
  <c r="A57" i="3" s="1"/>
  <c r="G56" i="3"/>
  <c r="A56" i="3" s="1"/>
  <c r="G55" i="3"/>
  <c r="A55" i="3" s="1"/>
  <c r="G54" i="3"/>
  <c r="A54" i="3" s="1"/>
  <c r="G53" i="3"/>
  <c r="A53" i="3" s="1"/>
  <c r="G52" i="3"/>
  <c r="A52" i="3" s="1"/>
  <c r="G51" i="3"/>
  <c r="A51" i="3" s="1"/>
  <c r="G50" i="3"/>
  <c r="A50" i="3" s="1"/>
  <c r="G48" i="3"/>
  <c r="A48" i="3" s="1"/>
  <c r="G46" i="3"/>
  <c r="A46" i="3" s="1"/>
  <c r="G45" i="3"/>
  <c r="A45" i="3" s="1"/>
  <c r="G44" i="3"/>
  <c r="A44" i="3" s="1"/>
  <c r="G43" i="3"/>
  <c r="A43" i="3" s="1"/>
  <c r="G42" i="3"/>
  <c r="A42" i="3" s="1"/>
  <c r="G41" i="3"/>
  <c r="A41" i="3" s="1"/>
  <c r="G39" i="3"/>
  <c r="A39" i="3" s="1"/>
  <c r="G38" i="3"/>
  <c r="A38" i="3" s="1"/>
  <c r="G37" i="3"/>
  <c r="A37" i="3" s="1"/>
  <c r="G35" i="3"/>
  <c r="A35" i="3" s="1"/>
  <c r="G34" i="3"/>
  <c r="A34" i="3" s="1"/>
  <c r="G33" i="3"/>
  <c r="A33" i="3" s="1"/>
  <c r="G31" i="3"/>
  <c r="A31" i="3" s="1"/>
  <c r="G30" i="3"/>
  <c r="A30" i="3" s="1"/>
  <c r="G29" i="3"/>
  <c r="A29" i="3" s="1"/>
  <c r="G32" i="3"/>
  <c r="A32" i="3" s="1"/>
  <c r="G28" i="3"/>
  <c r="A28" i="3" s="1"/>
  <c r="G27" i="3"/>
  <c r="A27" i="3" s="1"/>
  <c r="G26" i="3"/>
  <c r="A26" i="3" s="1"/>
  <c r="G25" i="3"/>
  <c r="A25" i="3" s="1"/>
  <c r="G24" i="3"/>
  <c r="A24" i="3" s="1"/>
  <c r="G23" i="3"/>
  <c r="A23" i="3" s="1"/>
  <c r="G22" i="3"/>
  <c r="A22" i="3" s="1"/>
  <c r="G21" i="3"/>
  <c r="A21" i="3" s="1"/>
  <c r="G20" i="3"/>
  <c r="A20" i="3" s="1"/>
  <c r="G19" i="3"/>
  <c r="A19" i="3" s="1"/>
  <c r="G18" i="3"/>
  <c r="A18" i="3" s="1"/>
  <c r="G17" i="3"/>
  <c r="A17" i="3" s="1"/>
  <c r="G16" i="3"/>
  <c r="A16" i="3" s="1"/>
  <c r="G15" i="3"/>
  <c r="A15" i="3" s="1"/>
  <c r="G14" i="3"/>
  <c r="A14" i="3" s="1"/>
  <c r="G13" i="3"/>
  <c r="A13" i="3" s="1"/>
  <c r="G12" i="3"/>
  <c r="A12" i="3" s="1"/>
  <c r="G11" i="3"/>
  <c r="A11" i="3" s="1"/>
  <c r="G10" i="3"/>
  <c r="A10" i="3" s="1"/>
  <c r="G9" i="3"/>
  <c r="A9" i="3" s="1"/>
  <c r="G8" i="3"/>
  <c r="A8" i="3" s="1"/>
  <c r="G7" i="3"/>
  <c r="A7" i="3" s="1"/>
  <c r="G6" i="3"/>
  <c r="A6" i="3" s="1"/>
  <c r="G5" i="3"/>
  <c r="A5" i="3" s="1"/>
  <c r="G4" i="3"/>
  <c r="A4" i="3" s="1"/>
  <c r="G3" i="3"/>
  <c r="A3" i="3" s="1"/>
  <c r="B521" i="6"/>
  <c r="B520" i="6"/>
  <c r="B519" i="6"/>
  <c r="B518" i="6"/>
  <c r="B517" i="6"/>
  <c r="B516" i="6"/>
  <c r="B515" i="6"/>
  <c r="B514" i="6"/>
  <c r="B513" i="6"/>
  <c r="B512" i="6"/>
  <c r="B511" i="6"/>
  <c r="B510" i="6"/>
  <c r="B509" i="6"/>
  <c r="B508" i="6"/>
  <c r="B507" i="6"/>
  <c r="B506" i="6"/>
  <c r="B505" i="6"/>
  <c r="B504" i="6"/>
  <c r="B503" i="6"/>
  <c r="B502" i="6"/>
  <c r="B501" i="6"/>
  <c r="B500" i="6"/>
  <c r="B499" i="6"/>
  <c r="B498" i="6"/>
  <c r="B497" i="6"/>
  <c r="B496" i="6"/>
  <c r="B495" i="6"/>
  <c r="B494" i="6"/>
  <c r="B493" i="6"/>
  <c r="B492" i="6"/>
  <c r="B491" i="6"/>
  <c r="B490" i="6"/>
  <c r="B489" i="6"/>
  <c r="B488" i="6"/>
  <c r="B487" i="6"/>
  <c r="B486" i="6"/>
  <c r="B485" i="6"/>
  <c r="B484" i="6"/>
  <c r="B483" i="6"/>
  <c r="B482" i="6"/>
  <c r="B481" i="6"/>
  <c r="B480" i="6"/>
  <c r="B479" i="6"/>
  <c r="B478" i="6"/>
  <c r="B477" i="6"/>
  <c r="B476" i="6"/>
  <c r="B475" i="6"/>
  <c r="B474" i="6"/>
  <c r="B473" i="6"/>
  <c r="B472" i="6"/>
  <c r="B471" i="6"/>
  <c r="B470" i="6"/>
  <c r="B469" i="6"/>
  <c r="B468" i="6"/>
  <c r="B467" i="6"/>
  <c r="B466" i="6"/>
  <c r="B465" i="6"/>
  <c r="B464" i="6"/>
  <c r="B463" i="6"/>
  <c r="B462" i="6"/>
  <c r="B461" i="6"/>
  <c r="B460" i="6"/>
  <c r="B459" i="6"/>
  <c r="B458" i="6"/>
  <c r="B457" i="6"/>
  <c r="B456" i="6"/>
  <c r="B455" i="6"/>
  <c r="B454" i="6"/>
  <c r="B453" i="6"/>
  <c r="B452" i="6"/>
  <c r="B451" i="6"/>
  <c r="B450" i="6"/>
  <c r="B449" i="6"/>
  <c r="B448" i="6"/>
  <c r="B447" i="6"/>
  <c r="B446" i="6"/>
  <c r="B445" i="6"/>
  <c r="B444" i="6"/>
  <c r="B443" i="6"/>
  <c r="B442" i="6"/>
  <c r="B441" i="6"/>
  <c r="B440" i="6"/>
  <c r="B439" i="6"/>
  <c r="B438" i="6"/>
  <c r="B437" i="6"/>
  <c r="B436" i="6"/>
  <c r="B435" i="6"/>
  <c r="B434" i="6"/>
  <c r="B433" i="6"/>
  <c r="B432" i="6"/>
  <c r="B431" i="6"/>
  <c r="B430" i="6"/>
  <c r="B429" i="6"/>
  <c r="B428" i="6"/>
  <c r="B427" i="6"/>
  <c r="B426" i="6"/>
  <c r="B425" i="6"/>
  <c r="B424" i="6"/>
  <c r="B423" i="6"/>
  <c r="B422" i="6"/>
  <c r="B421" i="6"/>
  <c r="B420" i="6"/>
  <c r="B419" i="6"/>
  <c r="B418" i="6"/>
  <c r="B417" i="6"/>
  <c r="B416" i="6"/>
  <c r="B415" i="6"/>
  <c r="B414" i="6"/>
  <c r="B413" i="6"/>
  <c r="B412" i="6"/>
  <c r="B411" i="6"/>
  <c r="B410" i="6"/>
  <c r="B409" i="6"/>
  <c r="B408" i="6"/>
  <c r="B407" i="6"/>
  <c r="B406" i="6"/>
  <c r="B405" i="6"/>
  <c r="B404" i="6"/>
  <c r="B403" i="6"/>
  <c r="B402" i="6"/>
  <c r="B401" i="6"/>
  <c r="B400" i="6"/>
  <c r="B399" i="6"/>
  <c r="B398" i="6"/>
  <c r="B397" i="6"/>
  <c r="B396" i="6"/>
  <c r="B395" i="6"/>
  <c r="B394" i="6"/>
  <c r="B393" i="6"/>
  <c r="B392" i="6"/>
  <c r="B391" i="6"/>
  <c r="B390" i="6"/>
  <c r="B389" i="6"/>
  <c r="B388" i="6"/>
  <c r="B387" i="6"/>
  <c r="B386" i="6"/>
  <c r="B385" i="6"/>
  <c r="B384" i="6"/>
  <c r="B383" i="6"/>
  <c r="B382" i="6"/>
  <c r="B381" i="6"/>
  <c r="B380" i="6"/>
  <c r="B379" i="6"/>
  <c r="B378" i="6"/>
  <c r="B377" i="6"/>
  <c r="B376" i="6"/>
  <c r="B375" i="6"/>
  <c r="B374" i="6"/>
  <c r="B373" i="6"/>
  <c r="B372" i="6"/>
  <c r="B371" i="6"/>
  <c r="B370" i="6"/>
  <c r="B369" i="6"/>
  <c r="B368" i="6"/>
  <c r="B367" i="6"/>
  <c r="B366" i="6"/>
  <c r="B365" i="6"/>
  <c r="B364" i="6"/>
  <c r="B363" i="6"/>
  <c r="B362" i="6"/>
  <c r="B361" i="6"/>
  <c r="B360" i="6"/>
  <c r="B359" i="6"/>
  <c r="B358" i="6"/>
  <c r="B357" i="6"/>
  <c r="B356" i="6"/>
  <c r="B355" i="6"/>
  <c r="B354" i="6"/>
  <c r="B353" i="6"/>
  <c r="B352" i="6"/>
  <c r="B351" i="6"/>
  <c r="B350" i="6"/>
  <c r="B349" i="6"/>
  <c r="B348" i="6"/>
  <c r="B347" i="6"/>
  <c r="B346" i="6"/>
  <c r="B345" i="6"/>
  <c r="B344" i="6"/>
  <c r="B343" i="6"/>
  <c r="B342" i="6"/>
  <c r="B341" i="6"/>
  <c r="B340" i="6"/>
  <c r="B339" i="6"/>
  <c r="B338" i="6"/>
  <c r="B337" i="6"/>
  <c r="B336" i="6"/>
  <c r="B335" i="6"/>
  <c r="B334" i="6"/>
  <c r="B333" i="6"/>
  <c r="B332" i="6"/>
  <c r="B331" i="6"/>
  <c r="B330" i="6"/>
  <c r="B329" i="6"/>
  <c r="B328" i="6"/>
  <c r="B327" i="6"/>
  <c r="B326" i="6"/>
  <c r="B325" i="6"/>
  <c r="B324" i="6"/>
  <c r="B323" i="6"/>
  <c r="B322" i="6"/>
  <c r="B321" i="6"/>
  <c r="B320" i="6"/>
  <c r="B319" i="6"/>
  <c r="B318" i="6"/>
  <c r="B317" i="6"/>
  <c r="B316" i="6"/>
  <c r="B315" i="6"/>
  <c r="B314" i="6"/>
  <c r="B313" i="6"/>
  <c r="B312" i="6"/>
  <c r="B311" i="6"/>
  <c r="B310" i="6"/>
  <c r="B309" i="6"/>
  <c r="B308" i="6"/>
  <c r="B307" i="6"/>
  <c r="B306" i="6"/>
  <c r="B305" i="6"/>
  <c r="B304" i="6"/>
  <c r="B303" i="6"/>
  <c r="B302" i="6"/>
  <c r="B301" i="6"/>
  <c r="B300" i="6"/>
  <c r="B299" i="6"/>
  <c r="B298" i="6"/>
  <c r="B297" i="6"/>
  <c r="B296" i="6"/>
  <c r="B295" i="6"/>
  <c r="B294" i="6"/>
  <c r="B293" i="6"/>
  <c r="B292" i="6"/>
  <c r="B291" i="6"/>
  <c r="B290" i="6"/>
  <c r="B289" i="6"/>
  <c r="B288" i="6"/>
  <c r="B287" i="6"/>
  <c r="B286" i="6"/>
  <c r="B285" i="6"/>
  <c r="B284" i="6"/>
  <c r="B283" i="6"/>
  <c r="B282" i="6"/>
  <c r="B281" i="6"/>
  <c r="B280" i="6"/>
  <c r="B279" i="6"/>
  <c r="B278" i="6"/>
  <c r="B277" i="6"/>
  <c r="B276" i="6"/>
  <c r="B275" i="6"/>
  <c r="B274" i="6"/>
  <c r="B273" i="6"/>
  <c r="B272" i="6"/>
  <c r="B271" i="6"/>
  <c r="B270" i="6"/>
  <c r="B269" i="6"/>
  <c r="B268" i="6"/>
  <c r="B267" i="6"/>
  <c r="B266" i="6"/>
  <c r="B265" i="6"/>
  <c r="B264" i="6"/>
  <c r="B263" i="6"/>
  <c r="B262" i="6"/>
  <c r="B261" i="6"/>
  <c r="B260" i="6"/>
  <c r="B259" i="6"/>
  <c r="B258" i="6"/>
  <c r="B257" i="6"/>
  <c r="B256" i="6"/>
  <c r="B255" i="6"/>
  <c r="B254" i="6"/>
  <c r="B253" i="6"/>
  <c r="B252" i="6"/>
  <c r="B251" i="6"/>
  <c r="B250" i="6"/>
  <c r="B249" i="6"/>
  <c r="B248" i="6"/>
  <c r="B247" i="6"/>
  <c r="B246" i="6"/>
  <c r="B245" i="6"/>
  <c r="B244" i="6"/>
  <c r="B243" i="6"/>
  <c r="B242" i="6"/>
  <c r="B241" i="6"/>
  <c r="B240" i="6"/>
  <c r="B239" i="6"/>
  <c r="B238" i="6"/>
  <c r="B237" i="6"/>
  <c r="B236" i="6"/>
  <c r="B235" i="6"/>
  <c r="B234" i="6"/>
  <c r="B233" i="6"/>
  <c r="B232" i="6"/>
  <c r="B231" i="6"/>
  <c r="B230" i="6"/>
  <c r="B229" i="6"/>
  <c r="B228" i="6"/>
  <c r="B227" i="6"/>
  <c r="B226" i="6"/>
  <c r="B225" i="6"/>
  <c r="B224" i="6"/>
  <c r="B223" i="6"/>
  <c r="B222" i="6"/>
  <c r="B221" i="6"/>
  <c r="B220" i="6"/>
  <c r="B219" i="6"/>
  <c r="B218" i="6"/>
  <c r="B217" i="6"/>
  <c r="B216" i="6"/>
  <c r="B215" i="6"/>
  <c r="B214" i="6"/>
  <c r="B213" i="6"/>
  <c r="B212" i="6"/>
  <c r="B211" i="6"/>
  <c r="B210" i="6"/>
  <c r="B209" i="6"/>
  <c r="B208" i="6"/>
  <c r="B207" i="6"/>
  <c r="B206" i="6"/>
  <c r="B205" i="6"/>
  <c r="B204" i="6"/>
  <c r="B203" i="6"/>
  <c r="B202" i="6"/>
  <c r="B201" i="6"/>
  <c r="B200" i="6"/>
  <c r="B199" i="6"/>
  <c r="B198" i="6"/>
  <c r="B197" i="6"/>
  <c r="B196" i="6"/>
  <c r="B195" i="6"/>
  <c r="B194" i="6"/>
  <c r="B193" i="6"/>
  <c r="B192" i="6"/>
  <c r="B191" i="6"/>
  <c r="B190" i="6"/>
  <c r="B189" i="6"/>
  <c r="B188" i="6"/>
  <c r="B187" i="6"/>
  <c r="B186" i="6"/>
  <c r="B185" i="6"/>
  <c r="B184" i="6"/>
  <c r="B183" i="6"/>
  <c r="B182" i="6"/>
  <c r="B181" i="6"/>
  <c r="B180" i="6"/>
  <c r="B179" i="6"/>
  <c r="B178" i="6"/>
  <c r="B177" i="6"/>
  <c r="B176" i="6"/>
  <c r="B175" i="6"/>
  <c r="B174" i="6"/>
  <c r="B173" i="6"/>
  <c r="B172" i="6"/>
  <c r="B171" i="6"/>
  <c r="B170" i="6"/>
  <c r="B169" i="6"/>
  <c r="B168" i="6"/>
  <c r="B167" i="6"/>
  <c r="B166" i="6"/>
  <c r="B165" i="6"/>
  <c r="B164" i="6"/>
  <c r="B163" i="6"/>
  <c r="B162" i="6"/>
  <c r="B161" i="6"/>
  <c r="B160" i="6"/>
  <c r="B159" i="6"/>
  <c r="B158" i="6"/>
  <c r="B157" i="6"/>
  <c r="B156" i="6"/>
  <c r="B155" i="6"/>
  <c r="B154" i="6"/>
  <c r="B153" i="6"/>
  <c r="B152" i="6"/>
  <c r="B151" i="6"/>
  <c r="B150" i="6"/>
  <c r="B149" i="6"/>
  <c r="B148" i="6"/>
  <c r="B147" i="6"/>
  <c r="B146" i="6"/>
  <c r="B145" i="6"/>
  <c r="B144" i="6"/>
  <c r="B143" i="6"/>
  <c r="B142" i="6"/>
  <c r="B141" i="6"/>
  <c r="B140" i="6"/>
  <c r="B139" i="6"/>
  <c r="B138" i="6"/>
  <c r="B137" i="6"/>
  <c r="B136" i="6"/>
  <c r="B135" i="6"/>
  <c r="B134" i="6"/>
  <c r="B133" i="6"/>
  <c r="B132" i="6"/>
  <c r="B131" i="6"/>
  <c r="B130" i="6"/>
  <c r="B129" i="6"/>
  <c r="B128" i="6"/>
  <c r="B127" i="6"/>
  <c r="B126" i="6"/>
  <c r="B125" i="6"/>
  <c r="B124" i="6"/>
  <c r="B123" i="6"/>
  <c r="B122" i="6"/>
  <c r="B121" i="6"/>
  <c r="B120" i="6"/>
  <c r="B119" i="6"/>
  <c r="B118" i="6"/>
  <c r="B117" i="6"/>
  <c r="B116" i="6"/>
  <c r="B115" i="6"/>
  <c r="B114" i="6"/>
  <c r="B113" i="6"/>
  <c r="B112" i="6"/>
  <c r="B111" i="6"/>
  <c r="B110" i="6"/>
  <c r="B109" i="6"/>
  <c r="B108" i="6"/>
  <c r="B107" i="6"/>
  <c r="B106" i="6"/>
  <c r="B105" i="6"/>
  <c r="B104" i="6"/>
  <c r="B103" i="6"/>
  <c r="B102" i="6"/>
  <c r="B101" i="6"/>
  <c r="B100" i="6"/>
  <c r="B99" i="6"/>
  <c r="B98" i="6"/>
  <c r="B97" i="6"/>
  <c r="B96" i="6"/>
  <c r="B95" i="6"/>
  <c r="B94" i="6"/>
  <c r="B93" i="6"/>
  <c r="B92" i="6"/>
  <c r="B91" i="6"/>
  <c r="B90" i="6"/>
  <c r="B89" i="6"/>
  <c r="B88" i="6"/>
  <c r="B87" i="6"/>
  <c r="B86" i="6"/>
  <c r="B85" i="6"/>
  <c r="B84" i="6"/>
  <c r="B83" i="6"/>
  <c r="B82" i="6"/>
  <c r="B81" i="6"/>
  <c r="B80" i="6"/>
  <c r="B79" i="6"/>
  <c r="B78" i="6"/>
  <c r="B77" i="6"/>
  <c r="B76" i="6"/>
  <c r="B75" i="6"/>
  <c r="B74" i="6"/>
  <c r="B73" i="6"/>
  <c r="B72" i="6"/>
  <c r="B71" i="6"/>
  <c r="B70" i="6"/>
  <c r="B69" i="6"/>
  <c r="B68" i="6"/>
  <c r="B67" i="6"/>
  <c r="B66" i="6"/>
  <c r="B65" i="6"/>
  <c r="B64" i="6"/>
  <c r="B63" i="6"/>
  <c r="B62" i="6"/>
  <c r="B61" i="6"/>
  <c r="B60" i="6"/>
  <c r="B59" i="6"/>
  <c r="B58" i="6"/>
  <c r="B57" i="6"/>
  <c r="B56" i="6"/>
  <c r="B55" i="6"/>
  <c r="B54" i="6"/>
  <c r="B53" i="6"/>
  <c r="B52" i="6"/>
  <c r="B51" i="6"/>
  <c r="B50" i="6"/>
  <c r="B49" i="6"/>
  <c r="B48" i="6"/>
  <c r="B47" i="6"/>
  <c r="B46" i="6"/>
  <c r="B45" i="6"/>
  <c r="B44" i="6"/>
  <c r="B43" i="6"/>
  <c r="B42" i="6"/>
  <c r="B41" i="6"/>
  <c r="B40" i="6"/>
  <c r="B39" i="6"/>
  <c r="B38" i="6"/>
  <c r="B37" i="6"/>
  <c r="B36" i="6"/>
  <c r="B35" i="6"/>
  <c r="B34" i="6"/>
  <c r="B33" i="6"/>
  <c r="B32" i="6"/>
  <c r="B31" i="6"/>
  <c r="B30" i="6"/>
  <c r="B29" i="6"/>
  <c r="B28" i="6"/>
  <c r="B27" i="6"/>
  <c r="B26" i="6"/>
  <c r="B25" i="6"/>
  <c r="B24" i="6"/>
  <c r="B23" i="6"/>
  <c r="B22" i="6"/>
  <c r="B21" i="6"/>
  <c r="B20" i="6"/>
  <c r="B19" i="6"/>
  <c r="B18" i="6"/>
  <c r="B17" i="6"/>
  <c r="B16" i="6"/>
  <c r="B15" i="6"/>
  <c r="B14" i="6"/>
  <c r="B13" i="6"/>
  <c r="B12" i="6"/>
  <c r="B11" i="6"/>
  <c r="B10" i="6"/>
  <c r="B9" i="6"/>
  <c r="B8" i="6"/>
  <c r="B7" i="6"/>
  <c r="B6" i="6"/>
  <c r="B5" i="6"/>
  <c r="F508" i="12" a="1"/>
  <c r="J302" i="3" a="1"/>
  <c r="J169" i="3" a="1"/>
  <c r="J448" i="3" a="1"/>
  <c r="J375" i="3" a="1"/>
  <c r="I85" i="13" a="1"/>
  <c r="I84" i="13" a="1"/>
  <c r="I83" i="13" a="1"/>
  <c r="I82" i="13" a="1"/>
  <c r="I81" i="13" a="1"/>
  <c r="I80" i="13" a="1"/>
  <c r="J40" i="3" a="1"/>
  <c r="F507" i="12" a="1"/>
  <c r="F505" i="12" a="1"/>
  <c r="F506" i="12" a="1"/>
  <c r="F504" i="12" a="1"/>
  <c r="J431" i="3" a="1"/>
  <c r="I79" i="13" a="1"/>
  <c r="I77" i="13" a="1"/>
  <c r="I73" i="13" a="1"/>
  <c r="I74" i="13" a="1"/>
  <c r="I76" i="13" a="1"/>
  <c r="I72" i="13" a="1"/>
  <c r="I75" i="13" a="1"/>
  <c r="I71" i="13" a="1"/>
  <c r="I78" i="13" a="1"/>
  <c r="I2" i="13" a="1"/>
  <c r="I4" i="13" a="1"/>
  <c r="I6" i="13" a="1"/>
  <c r="I8" i="13" a="1"/>
  <c r="I10" i="13" a="1"/>
  <c r="I12" i="13" a="1"/>
  <c r="I14" i="13" a="1"/>
  <c r="I16" i="13" a="1"/>
  <c r="I18" i="13" a="1"/>
  <c r="I20" i="13" a="1"/>
  <c r="I22" i="13" a="1"/>
  <c r="I24" i="13" a="1"/>
  <c r="I26" i="13" a="1"/>
  <c r="I28" i="13" a="1"/>
  <c r="I30" i="13" a="1"/>
  <c r="I32" i="13" a="1"/>
  <c r="I34" i="13" a="1"/>
  <c r="I36" i="13" a="1"/>
  <c r="I38" i="13" a="1"/>
  <c r="I40" i="13" a="1"/>
  <c r="I42" i="13" a="1"/>
  <c r="I44" i="13" a="1"/>
  <c r="I46" i="13" a="1"/>
  <c r="I48" i="13" a="1"/>
  <c r="I50" i="13" a="1"/>
  <c r="I52" i="13" a="1"/>
  <c r="I54" i="13" a="1"/>
  <c r="I56" i="13" a="1"/>
  <c r="I58" i="13" a="1"/>
  <c r="I60" i="13" a="1"/>
  <c r="I62" i="13" a="1"/>
  <c r="I64" i="13" a="1"/>
  <c r="I66" i="13" a="1"/>
  <c r="I68" i="13" a="1"/>
  <c r="I70" i="13" a="1"/>
  <c r="I3" i="13" a="1"/>
  <c r="I5" i="13" a="1"/>
  <c r="I7" i="13" a="1"/>
  <c r="I9" i="13" a="1"/>
  <c r="I11" i="13" a="1"/>
  <c r="I13" i="13" a="1"/>
  <c r="I15" i="13" a="1"/>
  <c r="I17" i="13" a="1"/>
  <c r="I19" i="13" a="1"/>
  <c r="I21" i="13" a="1"/>
  <c r="I23" i="13" a="1"/>
  <c r="I25" i="13" a="1"/>
  <c r="I27" i="13" a="1"/>
  <c r="I29" i="13" a="1"/>
  <c r="I31" i="13" a="1"/>
  <c r="I33" i="13" a="1"/>
  <c r="I35" i="13" a="1"/>
  <c r="I37" i="13" a="1"/>
  <c r="I39" i="13" a="1"/>
  <c r="I41" i="13" a="1"/>
  <c r="I43" i="13" a="1"/>
  <c r="I45" i="13" a="1"/>
  <c r="I47" i="13" a="1"/>
  <c r="I49" i="13" a="1"/>
  <c r="I51" i="13" a="1"/>
  <c r="I53" i="13" a="1"/>
  <c r="I55" i="13" a="1"/>
  <c r="I57" i="13" a="1"/>
  <c r="I59" i="13" a="1"/>
  <c r="I61" i="13" a="1"/>
  <c r="I63" i="13" a="1"/>
  <c r="I65" i="13" a="1"/>
  <c r="I67" i="13" a="1"/>
  <c r="I69" i="13" a="1"/>
  <c r="J2" i="3" a="1"/>
  <c r="J4" i="3" a="1"/>
  <c r="J6" i="3" a="1"/>
  <c r="J8" i="3" a="1"/>
  <c r="J10" i="3" a="1"/>
  <c r="J12" i="3" a="1"/>
  <c r="J14" i="3" a="1"/>
  <c r="J16" i="3" a="1"/>
  <c r="J18" i="3" a="1"/>
  <c r="J3" i="3" a="1"/>
  <c r="J5" i="3" a="1"/>
  <c r="J7" i="3" a="1"/>
  <c r="J9" i="3" a="1"/>
  <c r="J11" i="3" a="1"/>
  <c r="J13" i="3" a="1"/>
  <c r="J15" i="3" a="1"/>
  <c r="J17" i="3" a="1"/>
  <c r="J19" i="3" a="1"/>
  <c r="J20" i="3" a="1"/>
  <c r="J293" i="3" a="1"/>
  <c r="J21" i="3" a="1"/>
  <c r="J25" i="3" a="1"/>
  <c r="J29" i="3" a="1"/>
  <c r="J33" i="3" a="1"/>
  <c r="J37" i="3" a="1"/>
  <c r="J42" i="3" a="1"/>
  <c r="J46" i="3" a="1"/>
  <c r="J51" i="3" a="1"/>
  <c r="J55" i="3" a="1"/>
  <c r="J59" i="3" a="1"/>
  <c r="J63" i="3" a="1"/>
  <c r="J67" i="3" a="1"/>
  <c r="J71" i="3" a="1"/>
  <c r="J75" i="3" a="1"/>
  <c r="J79" i="3" a="1"/>
  <c r="J83" i="3" a="1"/>
  <c r="J87" i="3" a="1"/>
  <c r="J91" i="3" a="1"/>
  <c r="J95" i="3" a="1"/>
  <c r="J99" i="3" a="1"/>
  <c r="J103" i="3" a="1"/>
  <c r="J107" i="3" a="1"/>
  <c r="J111" i="3" a="1"/>
  <c r="J115" i="3" a="1"/>
  <c r="J119" i="3" a="1"/>
  <c r="J123" i="3" a="1"/>
  <c r="J127" i="3" a="1"/>
  <c r="J131" i="3" a="1"/>
  <c r="J135" i="3" a="1"/>
  <c r="J140" i="3" a="1"/>
  <c r="J144" i="3" a="1"/>
  <c r="J148" i="3" a="1"/>
  <c r="J152" i="3" a="1"/>
  <c r="J156" i="3" a="1"/>
  <c r="J160" i="3" a="1"/>
  <c r="J164" i="3" a="1"/>
  <c r="J168" i="3" a="1"/>
  <c r="J171" i="3" a="1"/>
  <c r="J173" i="3" a="1"/>
  <c r="J175" i="3" a="1"/>
  <c r="J177" i="3" a="1"/>
  <c r="J179" i="3" a="1"/>
  <c r="J181" i="3" a="1"/>
  <c r="J183" i="3" a="1"/>
  <c r="J185" i="3" a="1"/>
  <c r="J187" i="3" a="1"/>
  <c r="J189" i="3" a="1"/>
  <c r="J191" i="3" a="1"/>
  <c r="J193" i="3" a="1"/>
  <c r="J195" i="3" a="1"/>
  <c r="J197" i="3" a="1"/>
  <c r="J199" i="3" a="1"/>
  <c r="J201" i="3" a="1"/>
  <c r="J203" i="3" a="1"/>
  <c r="J205" i="3" a="1"/>
  <c r="J207" i="3" a="1"/>
  <c r="J209" i="3" a="1"/>
  <c r="J211" i="3" a="1"/>
  <c r="J213" i="3" a="1"/>
  <c r="J215" i="3" a="1"/>
  <c r="J217" i="3" a="1"/>
  <c r="J219" i="3" a="1"/>
  <c r="J221" i="3" a="1"/>
  <c r="J223" i="3" a="1"/>
  <c r="J225" i="3" a="1"/>
  <c r="J47" i="3" a="1"/>
  <c r="J337" i="3" a="1"/>
  <c r="J22" i="3" a="1"/>
  <c r="J26" i="3" a="1"/>
  <c r="J30" i="3" a="1"/>
  <c r="J34" i="3" a="1"/>
  <c r="J38" i="3" a="1"/>
  <c r="J43" i="3" a="1"/>
  <c r="J48" i="3" a="1"/>
  <c r="J52" i="3" a="1"/>
  <c r="J56" i="3" a="1"/>
  <c r="J60" i="3" a="1"/>
  <c r="J64" i="3" a="1"/>
  <c r="J68" i="3" a="1"/>
  <c r="J72" i="3" a="1"/>
  <c r="J76" i="3" a="1"/>
  <c r="J80" i="3" a="1"/>
  <c r="J84" i="3" a="1"/>
  <c r="J88" i="3" a="1"/>
  <c r="J92" i="3" a="1"/>
  <c r="J96" i="3" a="1"/>
  <c r="J100" i="3" a="1"/>
  <c r="J104" i="3" a="1"/>
  <c r="J108" i="3" a="1"/>
  <c r="J112" i="3" a="1"/>
  <c r="J116" i="3" a="1"/>
  <c r="J120" i="3" a="1"/>
  <c r="J124" i="3" a="1"/>
  <c r="J128" i="3" a="1"/>
  <c r="J132" i="3" a="1"/>
  <c r="J136" i="3" a="1"/>
  <c r="J141" i="3" a="1"/>
  <c r="J145" i="3" a="1"/>
  <c r="J149" i="3" a="1"/>
  <c r="J153" i="3" a="1"/>
  <c r="J157" i="3" a="1"/>
  <c r="J161" i="3" a="1"/>
  <c r="J165" i="3" a="1"/>
  <c r="J138" i="3" a="1"/>
  <c r="J378" i="3" a="1"/>
  <c r="J23" i="3" a="1"/>
  <c r="J27" i="3" a="1"/>
  <c r="J31" i="3" a="1"/>
  <c r="J35" i="3" a="1"/>
  <c r="J39" i="3" a="1"/>
  <c r="J44" i="3" a="1"/>
  <c r="J49" i="3" a="1"/>
  <c r="J53" i="3" a="1"/>
  <c r="J57" i="3" a="1"/>
  <c r="J61" i="3" a="1"/>
  <c r="J65" i="3" a="1"/>
  <c r="J69" i="3" a="1"/>
  <c r="J73" i="3" a="1"/>
  <c r="J77" i="3" a="1"/>
  <c r="J81" i="3" a="1"/>
  <c r="J85" i="3" a="1"/>
  <c r="J89" i="3" a="1"/>
  <c r="J93" i="3" a="1"/>
  <c r="J97" i="3" a="1"/>
  <c r="J101" i="3" a="1"/>
  <c r="J105" i="3" a="1"/>
  <c r="J109" i="3" a="1"/>
  <c r="J113" i="3" a="1"/>
  <c r="J117" i="3" a="1"/>
  <c r="J121" i="3" a="1"/>
  <c r="J125" i="3" a="1"/>
  <c r="J129" i="3" a="1"/>
  <c r="J133" i="3" a="1"/>
  <c r="J137" i="3" a="1"/>
  <c r="J142" i="3" a="1"/>
  <c r="J146" i="3" a="1"/>
  <c r="J150" i="3" a="1"/>
  <c r="J154" i="3" a="1"/>
  <c r="J158" i="3" a="1"/>
  <c r="J162" i="3" a="1"/>
  <c r="J166" i="3" a="1"/>
  <c r="J170" i="3" a="1"/>
  <c r="J172" i="3" a="1"/>
  <c r="J174" i="3" a="1"/>
  <c r="J176" i="3" a="1"/>
  <c r="J178" i="3" a="1"/>
  <c r="J180" i="3" a="1"/>
  <c r="J182" i="3" a="1"/>
  <c r="J184" i="3" a="1"/>
  <c r="J186" i="3" a="1"/>
  <c r="J188" i="3" a="1"/>
  <c r="J190" i="3" a="1"/>
  <c r="J192" i="3" a="1"/>
  <c r="J194" i="3" a="1"/>
  <c r="J196" i="3" a="1"/>
  <c r="J198" i="3" a="1"/>
  <c r="J200" i="3" a="1"/>
  <c r="J202" i="3" a="1"/>
  <c r="J204" i="3" a="1"/>
  <c r="J206" i="3" a="1"/>
  <c r="J208" i="3" a="1"/>
  <c r="J210" i="3" a="1"/>
  <c r="J212" i="3" a="1"/>
  <c r="J214" i="3" a="1"/>
  <c r="J216" i="3" a="1"/>
  <c r="J218" i="3" a="1"/>
  <c r="J220" i="3" a="1"/>
  <c r="J222" i="3" a="1"/>
  <c r="J224" i="3" a="1"/>
  <c r="J226" i="3" a="1"/>
  <c r="J228" i="3" a="1"/>
  <c r="J230" i="3" a="1"/>
  <c r="J232" i="3" a="1"/>
  <c r="J234" i="3" a="1"/>
  <c r="J292" i="3" a="1"/>
  <c r="J32" i="3" a="1"/>
  <c r="J50" i="3" a="1"/>
  <c r="J66" i="3" a="1"/>
  <c r="J82" i="3" a="1"/>
  <c r="J98" i="3" a="1"/>
  <c r="J114" i="3" a="1"/>
  <c r="J130" i="3" a="1"/>
  <c r="J147" i="3" a="1"/>
  <c r="J163" i="3" a="1"/>
  <c r="J236" i="3" a="1"/>
  <c r="J241" i="3" a="1"/>
  <c r="J244" i="3" a="1"/>
  <c r="J249" i="3" a="1"/>
  <c r="J252" i="3" a="1"/>
  <c r="J257" i="3" a="1"/>
  <c r="J260" i="3" a="1"/>
  <c r="J265" i="3" a="1"/>
  <c r="J268" i="3" a="1"/>
  <c r="J273" i="3" a="1"/>
  <c r="J276" i="3" a="1"/>
  <c r="J281" i="3" a="1"/>
  <c r="J284" i="3" a="1"/>
  <c r="J289" i="3" a="1"/>
  <c r="J294" i="3" a="1"/>
  <c r="J299" i="3" a="1"/>
  <c r="J303" i="3" a="1"/>
  <c r="J308" i="3" a="1"/>
  <c r="J311" i="3" a="1"/>
  <c r="J316" i="3" a="1"/>
  <c r="J319" i="3" a="1"/>
  <c r="J324" i="3" a="1"/>
  <c r="J327" i="3" a="1"/>
  <c r="J332" i="3" a="1"/>
  <c r="J335" i="3" a="1"/>
  <c r="J341" i="3" a="1"/>
  <c r="J344" i="3" a="1"/>
  <c r="J349" i="3" a="1"/>
  <c r="J352" i="3" a="1"/>
  <c r="J357" i="3" a="1"/>
  <c r="J360" i="3" a="1"/>
  <c r="J365" i="3" a="1"/>
  <c r="J368" i="3" a="1"/>
  <c r="J373" i="3" a="1"/>
  <c r="J377" i="3" a="1"/>
  <c r="J383" i="3" a="1"/>
  <c r="J386" i="3" a="1"/>
  <c r="J391" i="3" a="1"/>
  <c r="J394" i="3" a="1"/>
  <c r="J399" i="3" a="1"/>
  <c r="J402" i="3" a="1"/>
  <c r="J407" i="3" a="1"/>
  <c r="J410" i="3" a="1"/>
  <c r="J415" i="3" a="1"/>
  <c r="J417" i="3" a="1"/>
  <c r="J422" i="3" a="1"/>
  <c r="J425" i="3" a="1"/>
  <c r="J430" i="3" a="1"/>
  <c r="J434" i="3" a="1"/>
  <c r="J439" i="3" a="1"/>
  <c r="J442" i="3" a="1"/>
  <c r="J447" i="3" a="1"/>
  <c r="J451" i="3" a="1"/>
  <c r="J456" i="3" a="1"/>
  <c r="J459" i="3" a="1"/>
  <c r="J464" i="3" a="1"/>
  <c r="J480" i="3" a="1"/>
  <c r="J36" i="3" a="1"/>
  <c r="J54" i="3" a="1"/>
  <c r="J70" i="3" a="1"/>
  <c r="J86" i="3" a="1"/>
  <c r="J102" i="3" a="1"/>
  <c r="J118" i="3" a="1"/>
  <c r="J134" i="3" a="1"/>
  <c r="J151" i="3" a="1"/>
  <c r="J167" i="3" a="1"/>
  <c r="J229" i="3" a="1"/>
  <c r="J233" i="3" a="1"/>
  <c r="J239" i="3" a="1"/>
  <c r="J242" i="3" a="1"/>
  <c r="J247" i="3" a="1"/>
  <c r="J250" i="3" a="1"/>
  <c r="J255" i="3" a="1"/>
  <c r="J258" i="3" a="1"/>
  <c r="J263" i="3" a="1"/>
  <c r="J266" i="3" a="1"/>
  <c r="J271" i="3" a="1"/>
  <c r="J274" i="3" a="1"/>
  <c r="J279" i="3" a="1"/>
  <c r="J282" i="3" a="1"/>
  <c r="J287" i="3" a="1"/>
  <c r="J290" i="3" a="1"/>
  <c r="J297" i="3" a="1"/>
  <c r="J300" i="3" a="1"/>
  <c r="J306" i="3" a="1"/>
  <c r="J309" i="3" a="1"/>
  <c r="J314" i="3" a="1"/>
  <c r="J317" i="3" a="1"/>
  <c r="J322" i="3" a="1"/>
  <c r="J325" i="3" a="1"/>
  <c r="J330" i="3" a="1"/>
  <c r="J333" i="3" a="1"/>
  <c r="J339" i="3" a="1"/>
  <c r="J342" i="3" a="1"/>
  <c r="J347" i="3" a="1"/>
  <c r="J350" i="3" a="1"/>
  <c r="J355" i="3" a="1"/>
  <c r="J358" i="3" a="1"/>
  <c r="J363" i="3" a="1"/>
  <c r="J366" i="3" a="1"/>
  <c r="J24" i="3" a="1"/>
  <c r="J41" i="3" a="1"/>
  <c r="J58" i="3" a="1"/>
  <c r="J74" i="3" a="1"/>
  <c r="J90" i="3" a="1"/>
  <c r="J106" i="3" a="1"/>
  <c r="J122" i="3" a="1"/>
  <c r="J139" i="3" a="1"/>
  <c r="J155" i="3" a="1"/>
  <c r="J237" i="3" a="1"/>
  <c r="J240" i="3" a="1"/>
  <c r="J28" i="3" a="1"/>
  <c r="J94" i="3" a="1"/>
  <c r="J159" i="3" a="1"/>
  <c r="J227" i="3" a="1"/>
  <c r="J246" i="3" a="1"/>
  <c r="J251" i="3" a="1"/>
  <c r="J262" i="3" a="1"/>
  <c r="J267" i="3" a="1"/>
  <c r="J278" i="3" a="1"/>
  <c r="J283" i="3" a="1"/>
  <c r="J296" i="3" a="1"/>
  <c r="J301" i="3" a="1"/>
  <c r="J313" i="3" a="1"/>
  <c r="J318" i="3" a="1"/>
  <c r="J329" i="3" a="1"/>
  <c r="J334" i="3" a="1"/>
  <c r="J346" i="3" a="1"/>
  <c r="J351" i="3" a="1"/>
  <c r="J362" i="3" a="1"/>
  <c r="J367" i="3" a="1"/>
  <c r="J372" i="3" a="1"/>
  <c r="J376" i="3" a="1"/>
  <c r="J381" i="3" a="1"/>
  <c r="J388" i="3" a="1"/>
  <c r="J392" i="3" a="1"/>
  <c r="J395" i="3" a="1"/>
  <c r="J406" i="3" a="1"/>
  <c r="J409" i="3" a="1"/>
  <c r="J413" i="3" a="1"/>
  <c r="J419" i="3" a="1"/>
  <c r="J423" i="3" a="1"/>
  <c r="J426" i="3" a="1"/>
  <c r="J438" i="3" a="1"/>
  <c r="J441" i="3" a="1"/>
  <c r="J445" i="3" a="1"/>
  <c r="J453" i="3" a="1"/>
  <c r="J457" i="3" a="1"/>
  <c r="J460" i="3" a="1"/>
  <c r="J467" i="3" a="1"/>
  <c r="J472" i="3" a="1"/>
  <c r="J45" i="3" a="1"/>
  <c r="J110" i="3" a="1"/>
  <c r="J231" i="3" a="1"/>
  <c r="J248" i="3" a="1"/>
  <c r="J253" i="3" a="1"/>
  <c r="J264" i="3" a="1"/>
  <c r="J269" i="3" a="1"/>
  <c r="J280" i="3" a="1"/>
  <c r="J285" i="3" a="1"/>
  <c r="J298" i="3" a="1"/>
  <c r="J304" i="3" a="1"/>
  <c r="J315" i="3" a="1"/>
  <c r="J320" i="3" a="1"/>
  <c r="J331" i="3" a="1"/>
  <c r="J336" i="3" a="1"/>
  <c r="J348" i="3" a="1"/>
  <c r="J353" i="3" a="1"/>
  <c r="J364" i="3" a="1"/>
  <c r="J369" i="3" a="1"/>
  <c r="J382" i="3" a="1"/>
  <c r="J385" i="3" a="1"/>
  <c r="J389" i="3" a="1"/>
  <c r="J396" i="3" a="1"/>
  <c r="J400" i="3" a="1"/>
  <c r="J403" i="3" a="1"/>
  <c r="J414" i="3" a="1"/>
  <c r="J416" i="3" a="1"/>
  <c r="J420" i="3" a="1"/>
  <c r="J427" i="3" a="1"/>
  <c r="J432" i="3" a="1"/>
  <c r="J435" i="3" a="1"/>
  <c r="J446" i="3" a="1"/>
  <c r="J450" i="3" a="1"/>
  <c r="J454" i="3" a="1"/>
  <c r="J461" i="3" a="1"/>
  <c r="J465" i="3" a="1"/>
  <c r="J470" i="3" a="1"/>
  <c r="J473" i="3" a="1"/>
  <c r="J475" i="3" a="1"/>
  <c r="J477" i="3" a="1"/>
  <c r="J479" i="3" a="1"/>
  <c r="J482" i="3" a="1"/>
  <c r="J484" i="3" a="1"/>
  <c r="J486" i="3" a="1"/>
  <c r="J488" i="3" a="1"/>
  <c r="J490" i="3" a="1"/>
  <c r="J492" i="3" a="1"/>
  <c r="J494" i="3" a="1"/>
  <c r="J496" i="3" a="1"/>
  <c r="J498" i="3" a="1"/>
  <c r="J500" i="3" a="1"/>
  <c r="J502" i="3" a="1"/>
  <c r="J504" i="3" a="1"/>
  <c r="J506" i="3" a="1"/>
  <c r="J508" i="3" a="1"/>
  <c r="J143" i="3" a="1"/>
  <c r="J238" i="3" a="1"/>
  <c r="J245" i="3" a="1"/>
  <c r="J256" i="3" a="1"/>
  <c r="J261" i="3" a="1"/>
  <c r="J272" i="3" a="1"/>
  <c r="J277" i="3" a="1"/>
  <c r="J288" i="3" a="1"/>
  <c r="J307" i="3" a="1"/>
  <c r="J323" i="3" a="1"/>
  <c r="J340" i="3" a="1"/>
  <c r="J356" i="3" a="1"/>
  <c r="J371" i="3" a="1"/>
  <c r="J384" i="3" a="1"/>
  <c r="J401" i="3" a="1"/>
  <c r="J412" i="3" a="1"/>
  <c r="J418" i="3" a="1"/>
  <c r="J429" i="3" a="1"/>
  <c r="J437" i="3" a="1"/>
  <c r="J449" i="3" a="1"/>
  <c r="J463" i="3" a="1"/>
  <c r="J469" i="3" a="1"/>
  <c r="J476" i="3" a="1"/>
  <c r="J481" i="3" a="1"/>
  <c r="J485" i="3" a="1"/>
  <c r="J489" i="3" a="1"/>
  <c r="J493" i="3" a="1"/>
  <c r="J497" i="3" a="1"/>
  <c r="J501" i="3" a="1"/>
  <c r="J505" i="3" a="1"/>
  <c r="J62" i="3" a="1"/>
  <c r="J126" i="3" a="1"/>
  <c r="J235" i="3" a="1"/>
  <c r="J243" i="3" a="1"/>
  <c r="J254" i="3" a="1"/>
  <c r="J259" i="3" a="1"/>
  <c r="J270" i="3" a="1"/>
  <c r="J275" i="3" a="1"/>
  <c r="J286" i="3" a="1"/>
  <c r="J291" i="3" a="1"/>
  <c r="J305" i="3" a="1"/>
  <c r="J310" i="3" a="1"/>
  <c r="J321" i="3" a="1"/>
  <c r="J326" i="3" a="1"/>
  <c r="J338" i="3" a="1"/>
  <c r="J343" i="3" a="1"/>
  <c r="J354" i="3" a="1"/>
  <c r="J359" i="3" a="1"/>
  <c r="J370" i="3" a="1"/>
  <c r="J374" i="3" a="1"/>
  <c r="J379" i="3" a="1"/>
  <c r="J390" i="3" a="1"/>
  <c r="J393" i="3" a="1"/>
  <c r="J397" i="3" a="1"/>
  <c r="J404" i="3" a="1"/>
  <c r="J408" i="3" a="1"/>
  <c r="J411" i="3" a="1"/>
  <c r="J421" i="3" a="1"/>
  <c r="J424" i="3" a="1"/>
  <c r="J428" i="3" a="1"/>
  <c r="J436" i="3" a="1"/>
  <c r="J440" i="3" a="1"/>
  <c r="J443" i="3" a="1"/>
  <c r="J455" i="3" a="1"/>
  <c r="J458" i="3" a="1"/>
  <c r="J462" i="3" a="1"/>
  <c r="J468" i="3" a="1"/>
  <c r="J471" i="3" a="1"/>
  <c r="J78" i="3" a="1"/>
  <c r="J295" i="3" a="1"/>
  <c r="J312" i="3" a="1"/>
  <c r="J328" i="3" a="1"/>
  <c r="J345" i="3" a="1"/>
  <c r="J361" i="3" a="1"/>
  <c r="J380" i="3" a="1"/>
  <c r="J387" i="3" a="1"/>
  <c r="J398" i="3" a="1"/>
  <c r="J405" i="3" a="1"/>
  <c r="J433" i="3" a="1"/>
  <c r="J444" i="3" a="1"/>
  <c r="J452" i="3" a="1"/>
  <c r="J466" i="3" a="1"/>
  <c r="J474" i="3" a="1"/>
  <c r="J478" i="3" a="1"/>
  <c r="J483" i="3" a="1"/>
  <c r="J487" i="3" a="1"/>
  <c r="J491" i="3" a="1"/>
  <c r="J495" i="3" a="1"/>
  <c r="J499" i="3" a="1"/>
  <c r="J503" i="3" a="1"/>
  <c r="J507" i="3" a="1"/>
  <c r="F4" i="12" a="1"/>
  <c r="F3" i="12" a="1"/>
  <c r="F6" i="12" a="1"/>
  <c r="F9" i="12" a="1"/>
  <c r="F14" i="12" a="1"/>
  <c r="F17" i="12" a="1"/>
  <c r="F22" i="12" a="1"/>
  <c r="F25" i="12" a="1"/>
  <c r="F30" i="12" a="1"/>
  <c r="F33" i="12" a="1"/>
  <c r="F38" i="12" a="1"/>
  <c r="F41" i="12" a="1"/>
  <c r="F46" i="12" a="1"/>
  <c r="F49" i="12" a="1"/>
  <c r="F54" i="12" a="1"/>
  <c r="F57" i="12" a="1"/>
  <c r="F62" i="12" a="1"/>
  <c r="F65" i="12" a="1"/>
  <c r="F70" i="12" a="1"/>
  <c r="F73" i="12" a="1"/>
  <c r="F78" i="12" a="1"/>
  <c r="F81" i="12" a="1"/>
  <c r="F86" i="12" a="1"/>
  <c r="F89" i="12" a="1"/>
  <c r="F94" i="12" a="1"/>
  <c r="F97" i="12" a="1"/>
  <c r="F102" i="12" a="1"/>
  <c r="F105" i="12" a="1"/>
  <c r="F110" i="12" a="1"/>
  <c r="F113" i="12" a="1"/>
  <c r="F118" i="12" a="1"/>
  <c r="F121" i="12" a="1"/>
  <c r="F126" i="12" a="1"/>
  <c r="F129" i="12" a="1"/>
  <c r="F134" i="12" a="1"/>
  <c r="F137" i="12" a="1"/>
  <c r="F142" i="12" a="1"/>
  <c r="F145" i="12" a="1"/>
  <c r="F150" i="12" a="1"/>
  <c r="F153" i="12" a="1"/>
  <c r="F158" i="12" a="1"/>
  <c r="F161" i="12" a="1"/>
  <c r="F166" i="12" a="1"/>
  <c r="F169" i="12" a="1"/>
  <c r="F174" i="12" a="1"/>
  <c r="F176" i="12" a="1"/>
  <c r="F178" i="12" a="1"/>
  <c r="F180" i="12" a="1"/>
  <c r="F182" i="12" a="1"/>
  <c r="F184" i="12" a="1"/>
  <c r="F186" i="12" a="1"/>
  <c r="F188" i="12" a="1"/>
  <c r="F190" i="12" a="1"/>
  <c r="F192" i="12" a="1"/>
  <c r="F7" i="12" a="1"/>
  <c r="F12" i="12" a="1"/>
  <c r="F15" i="12" a="1"/>
  <c r="F20" i="12" a="1"/>
  <c r="F23" i="12" a="1"/>
  <c r="F28" i="12" a="1"/>
  <c r="F31" i="12" a="1"/>
  <c r="F36" i="12" a="1"/>
  <c r="F39" i="12" a="1"/>
  <c r="F44" i="12" a="1"/>
  <c r="F47" i="12" a="1"/>
  <c r="F52" i="12" a="1"/>
  <c r="F55" i="12" a="1"/>
  <c r="F60" i="12" a="1"/>
  <c r="F63" i="12" a="1"/>
  <c r="F68" i="12" a="1"/>
  <c r="F71" i="12" a="1"/>
  <c r="F76" i="12" a="1"/>
  <c r="F79" i="12" a="1"/>
  <c r="F84" i="12" a="1"/>
  <c r="F87" i="12" a="1"/>
  <c r="F92" i="12" a="1"/>
  <c r="F95" i="12" a="1"/>
  <c r="F100" i="12" a="1"/>
  <c r="F103" i="12" a="1"/>
  <c r="F108" i="12" a="1"/>
  <c r="F111" i="12" a="1"/>
  <c r="F116" i="12" a="1"/>
  <c r="F119" i="12" a="1"/>
  <c r="F124" i="12" a="1"/>
  <c r="F127" i="12" a="1"/>
  <c r="F132" i="12" a="1"/>
  <c r="F135" i="12" a="1"/>
  <c r="F140" i="12" a="1"/>
  <c r="F143" i="12" a="1"/>
  <c r="F148" i="12" a="1"/>
  <c r="F151" i="12" a="1"/>
  <c r="F156" i="12" a="1"/>
  <c r="F159" i="12" a="1"/>
  <c r="F164" i="12" a="1"/>
  <c r="F167" i="12" a="1"/>
  <c r="F172" i="12" a="1"/>
  <c r="F5" i="12" a="1"/>
  <c r="F10" i="12" a="1"/>
  <c r="F13" i="12" a="1"/>
  <c r="F18" i="12" a="1"/>
  <c r="F21" i="12" a="1"/>
  <c r="F26" i="12" a="1"/>
  <c r="F29" i="12" a="1"/>
  <c r="F34" i="12" a="1"/>
  <c r="F37" i="12" a="1"/>
  <c r="F42" i="12" a="1"/>
  <c r="F45" i="12" a="1"/>
  <c r="F50" i="12" a="1"/>
  <c r="F53" i="12" a="1"/>
  <c r="F58" i="12" a="1"/>
  <c r="F61" i="12" a="1"/>
  <c r="F66" i="12" a="1"/>
  <c r="F69" i="12" a="1"/>
  <c r="F74" i="12" a="1"/>
  <c r="F77" i="12" a="1"/>
  <c r="F82" i="12" a="1"/>
  <c r="F85" i="12" a="1"/>
  <c r="F90" i="12" a="1"/>
  <c r="F93" i="12" a="1"/>
  <c r="F98" i="12" a="1"/>
  <c r="F101" i="12" a="1"/>
  <c r="F106" i="12" a="1"/>
  <c r="F109" i="12" a="1"/>
  <c r="F114" i="12" a="1"/>
  <c r="F117" i="12" a="1"/>
  <c r="F122" i="12" a="1"/>
  <c r="F125" i="12" a="1"/>
  <c r="F130" i="12" a="1"/>
  <c r="F133" i="12" a="1"/>
  <c r="F138" i="12" a="1"/>
  <c r="F141" i="12" a="1"/>
  <c r="F146" i="12" a="1"/>
  <c r="F149" i="12" a="1"/>
  <c r="F154" i="12" a="1"/>
  <c r="F157" i="12" a="1"/>
  <c r="F162" i="12" a="1"/>
  <c r="F165" i="12" a="1"/>
  <c r="F170" i="12" a="1"/>
  <c r="F173" i="12" a="1"/>
  <c r="F175" i="12" a="1"/>
  <c r="F177" i="12" a="1"/>
  <c r="F179" i="12" a="1"/>
  <c r="F181" i="12" a="1"/>
  <c r="F183" i="12" a="1"/>
  <c r="F185" i="12" a="1"/>
  <c r="F187" i="12" a="1"/>
  <c r="F189" i="12" a="1"/>
  <c r="F16" i="12" a="1"/>
  <c r="F27" i="12" a="1"/>
  <c r="F48" i="12" a="1"/>
  <c r="F59" i="12" a="1"/>
  <c r="F80" i="12" a="1"/>
  <c r="F91" i="12" a="1"/>
  <c r="F112" i="12" a="1"/>
  <c r="F123" i="12" a="1"/>
  <c r="F144" i="12" a="1"/>
  <c r="F155" i="12" a="1"/>
  <c r="F191" i="12" a="1"/>
  <c r="F194" i="12" a="1"/>
  <c r="F197" i="12" a="1"/>
  <c r="F202" i="12" a="1"/>
  <c r="F205" i="12" a="1"/>
  <c r="F210" i="12" a="1"/>
  <c r="F213" i="12" a="1"/>
  <c r="F218" i="12" a="1"/>
  <c r="F221" i="12" a="1"/>
  <c r="F226" i="12" a="1"/>
  <c r="F229" i="12" a="1"/>
  <c r="F234" i="12" a="1"/>
  <c r="F237" i="12" a="1"/>
  <c r="F242" i="12" a="1"/>
  <c r="F8" i="12" a="1"/>
  <c r="F19" i="12" a="1"/>
  <c r="F40" i="12" a="1"/>
  <c r="F51" i="12" a="1"/>
  <c r="F72" i="12" a="1"/>
  <c r="F83" i="12" a="1"/>
  <c r="F104" i="12" a="1"/>
  <c r="F115" i="12" a="1"/>
  <c r="F136" i="12" a="1"/>
  <c r="F147" i="12" a="1"/>
  <c r="F168" i="12" a="1"/>
  <c r="F195" i="12" a="1"/>
  <c r="F200" i="12" a="1"/>
  <c r="F203" i="12" a="1"/>
  <c r="F208" i="12" a="1"/>
  <c r="F211" i="12" a="1"/>
  <c r="F216" i="12" a="1"/>
  <c r="F219" i="12" a="1"/>
  <c r="F224" i="12" a="1"/>
  <c r="F227" i="12" a="1"/>
  <c r="F232" i="12" a="1"/>
  <c r="F235" i="12" a="1"/>
  <c r="F240" i="12" a="1"/>
  <c r="F243" i="12" a="1"/>
  <c r="F245" i="12" a="1"/>
  <c r="F247" i="12" a="1"/>
  <c r="F249" i="12" a="1"/>
  <c r="F251" i="12" a="1"/>
  <c r="F253" i="12" a="1"/>
  <c r="F255" i="12" a="1"/>
  <c r="F257" i="12" a="1"/>
  <c r="F259" i="12" a="1"/>
  <c r="F261" i="12" a="1"/>
  <c r="F263" i="12" a="1"/>
  <c r="F265" i="12" a="1"/>
  <c r="F267" i="12" a="1"/>
  <c r="F269" i="12" a="1"/>
  <c r="F271" i="12" a="1"/>
  <c r="F273" i="12" a="1"/>
  <c r="F11" i="12" a="1"/>
  <c r="F32" i="12" a="1"/>
  <c r="F43" i="12" a="1"/>
  <c r="F64" i="12" a="1"/>
  <c r="F75" i="12" a="1"/>
  <c r="F96" i="12" a="1"/>
  <c r="F107" i="12" a="1"/>
  <c r="F128" i="12" a="1"/>
  <c r="F139" i="12" a="1"/>
  <c r="F160" i="12" a="1"/>
  <c r="F171" i="12" a="1"/>
  <c r="F193" i="12" a="1"/>
  <c r="F198" i="12" a="1"/>
  <c r="F201" i="12" a="1"/>
  <c r="F206" i="12" a="1"/>
  <c r="F209" i="12" a="1"/>
  <c r="F214" i="12" a="1"/>
  <c r="F217" i="12" a="1"/>
  <c r="F222" i="12" a="1"/>
  <c r="F225" i="12" a="1"/>
  <c r="F230" i="12" a="1"/>
  <c r="F233" i="12" a="1"/>
  <c r="F238" i="12" a="1"/>
  <c r="F241" i="12" a="1"/>
  <c r="F56" i="12" a="1"/>
  <c r="F99" i="12" a="1"/>
  <c r="F199" i="12" a="1"/>
  <c r="F220" i="12" a="1"/>
  <c r="F231" i="12" a="1"/>
  <c r="F250" i="12" a="1"/>
  <c r="F258" i="12" a="1"/>
  <c r="F276" i="12" a="1"/>
  <c r="F279" i="12" a="1"/>
  <c r="F284" i="12" a="1"/>
  <c r="F287" i="12" a="1"/>
  <c r="F292" i="12" a="1"/>
  <c r="F295" i="12" a="1"/>
  <c r="F300" i="12" a="1"/>
  <c r="F303" i="12" a="1"/>
  <c r="F308" i="12" a="1"/>
  <c r="F311" i="12" a="1"/>
  <c r="F24" i="12" a="1"/>
  <c r="F67" i="12" a="1"/>
  <c r="F152" i="12" a="1"/>
  <c r="F212" i="12" a="1"/>
  <c r="F223" i="12" a="1"/>
  <c r="F244" i="12" a="1"/>
  <c r="F252" i="12" a="1"/>
  <c r="F260" i="12" a="1"/>
  <c r="F266" i="12" a="1"/>
  <c r="F270" i="12" a="1"/>
  <c r="F274" i="12" a="1"/>
  <c r="F277" i="12" a="1"/>
  <c r="F282" i="12" a="1"/>
  <c r="F285" i="12" a="1"/>
  <c r="F290" i="12" a="1"/>
  <c r="F293" i="12" a="1"/>
  <c r="F298" i="12" a="1"/>
  <c r="F301" i="12" a="1"/>
  <c r="F35" i="12" a="1"/>
  <c r="F120" i="12" a="1"/>
  <c r="F163" i="12" a="1"/>
  <c r="F204" i="12" a="1"/>
  <c r="F215" i="12" a="1"/>
  <c r="F236" i="12" a="1"/>
  <c r="F246" i="12" a="1"/>
  <c r="F254" i="12" a="1"/>
  <c r="F262" i="12" a="1"/>
  <c r="F275" i="12" a="1"/>
  <c r="F280" i="12" a="1"/>
  <c r="F283" i="12" a="1"/>
  <c r="F288" i="12" a="1"/>
  <c r="F291" i="12" a="1"/>
  <c r="F296" i="12" a="1"/>
  <c r="F299" i="12" a="1"/>
  <c r="F304" i="12" a="1"/>
  <c r="F307" i="12" a="1"/>
  <c r="F312" i="12" a="1"/>
  <c r="F315" i="12" a="1"/>
  <c r="F320" i="12" a="1"/>
  <c r="F323" i="12" a="1"/>
  <c r="F328" i="12" a="1"/>
  <c r="F331" i="12" a="1"/>
  <c r="F336" i="12" a="1"/>
  <c r="F339" i="12" a="1"/>
  <c r="F344" i="12" a="1"/>
  <c r="F347" i="12" a="1"/>
  <c r="F352" i="12" a="1"/>
  <c r="F196" i="12" a="1"/>
  <c r="F239" i="12" a="1"/>
  <c r="F268" i="12" a="1"/>
  <c r="F281" i="12" a="1"/>
  <c r="F302" i="12" a="1"/>
  <c r="F313" i="12" a="1"/>
  <c r="F316" i="12" a="1"/>
  <c r="F327" i="12" a="1"/>
  <c r="F330" i="12" a="1"/>
  <c r="F334" i="12" a="1"/>
  <c r="F341" i="12" a="1"/>
  <c r="F345" i="12" a="1"/>
  <c r="F348" i="12" a="1"/>
  <c r="F355" i="12" a="1"/>
  <c r="F360" i="12" a="1"/>
  <c r="F363" i="12" a="1"/>
  <c r="F368" i="12" a="1"/>
  <c r="F371" i="12" a="1"/>
  <c r="F376" i="12" a="1"/>
  <c r="F379" i="12" a="1"/>
  <c r="F384" i="12" a="1"/>
  <c r="F387" i="12" a="1"/>
  <c r="F392" i="12" a="1"/>
  <c r="F395" i="12" a="1"/>
  <c r="F400" i="12" a="1"/>
  <c r="F403" i="12" a="1"/>
  <c r="F408" i="12" a="1"/>
  <c r="F411" i="12" a="1"/>
  <c r="F416" i="12" a="1"/>
  <c r="F419" i="12" a="1"/>
  <c r="F424" i="12" a="1"/>
  <c r="F427" i="12" a="1"/>
  <c r="F432" i="12" a="1"/>
  <c r="F435" i="12" a="1"/>
  <c r="F440" i="12" a="1"/>
  <c r="F443" i="12" a="1"/>
  <c r="F448" i="12" a="1"/>
  <c r="F451" i="12" a="1"/>
  <c r="F456" i="12" a="1"/>
  <c r="F458" i="12" a="1"/>
  <c r="F460" i="12" a="1"/>
  <c r="F462" i="12" a="1"/>
  <c r="F464" i="12" a="1"/>
  <c r="F466" i="12" a="1"/>
  <c r="F468" i="12" a="1"/>
  <c r="F470" i="12" a="1"/>
  <c r="F472" i="12" a="1"/>
  <c r="F474" i="12" a="1"/>
  <c r="F476" i="12" a="1"/>
  <c r="F478" i="12" a="1"/>
  <c r="F480" i="12" a="1"/>
  <c r="F482" i="12" a="1"/>
  <c r="F484" i="12" a="1"/>
  <c r="F486" i="12" a="1"/>
  <c r="F488" i="12" a="1"/>
  <c r="F490" i="12" a="1"/>
  <c r="F492" i="12" a="1"/>
  <c r="F494" i="12" a="1"/>
  <c r="F496" i="12" a="1"/>
  <c r="F498" i="12" a="1"/>
  <c r="F500" i="12" a="1"/>
  <c r="F502" i="12" a="1"/>
  <c r="F278" i="12" a="1"/>
  <c r="F397" i="12" a="1"/>
  <c r="F413" i="12" a="1"/>
  <c r="F421" i="12" a="1"/>
  <c r="F429" i="12" a="1"/>
  <c r="F437" i="12" a="1"/>
  <c r="F445" i="12" a="1"/>
  <c r="F450" i="12" a="1"/>
  <c r="F88" i="12" a="1"/>
  <c r="F207" i="12" a="1"/>
  <c r="F248" i="12" a="1"/>
  <c r="F272" i="12" a="1"/>
  <c r="F294" i="12" a="1"/>
  <c r="F309" i="12" a="1"/>
  <c r="F317" i="12" a="1"/>
  <c r="F321" i="12" a="1"/>
  <c r="F324" i="12" a="1"/>
  <c r="F335" i="12" a="1"/>
  <c r="F338" i="12" a="1"/>
  <c r="F342" i="12" a="1"/>
  <c r="F349" i="12" a="1"/>
  <c r="F353" i="12" a="1"/>
  <c r="F358" i="12" a="1"/>
  <c r="F361" i="12" a="1"/>
  <c r="F366" i="12" a="1"/>
  <c r="F369" i="12" a="1"/>
  <c r="F374" i="12" a="1"/>
  <c r="F377" i="12" a="1"/>
  <c r="F382" i="12" a="1"/>
  <c r="F385" i="12" a="1"/>
  <c r="F390" i="12" a="1"/>
  <c r="F393" i="12" a="1"/>
  <c r="F398" i="12" a="1"/>
  <c r="F401" i="12" a="1"/>
  <c r="F406" i="12" a="1"/>
  <c r="F409" i="12" a="1"/>
  <c r="F414" i="12" a="1"/>
  <c r="F417" i="12" a="1"/>
  <c r="F422" i="12" a="1"/>
  <c r="F425" i="12" a="1"/>
  <c r="F430" i="12" a="1"/>
  <c r="F433" i="12" a="1"/>
  <c r="F438" i="12" a="1"/>
  <c r="F441" i="12" a="1"/>
  <c r="F446" i="12" a="1"/>
  <c r="F449" i="12" a="1"/>
  <c r="F454" i="12" a="1"/>
  <c r="F228" i="12" a="1"/>
  <c r="F306" i="12" a="1"/>
  <c r="F319" i="12" a="1"/>
  <c r="F326" i="12" a="1"/>
  <c r="F337" i="12" a="1"/>
  <c r="F354" i="12" a="1"/>
  <c r="F362" i="12" a="1"/>
  <c r="F370" i="12" a="1"/>
  <c r="F378" i="12" a="1"/>
  <c r="F386" i="12" a="1"/>
  <c r="F394" i="12" a="1"/>
  <c r="F405" i="12" a="1"/>
  <c r="F410" i="12" a="1"/>
  <c r="F418" i="12" a="1"/>
  <c r="F426" i="12" a="1"/>
  <c r="F434" i="12" a="1"/>
  <c r="F442" i="12" a="1"/>
  <c r="F453" i="12" a="1"/>
  <c r="F131" i="12" a="1"/>
  <c r="F256" i="12" a="1"/>
  <c r="F286" i="12" a="1"/>
  <c r="F297" i="12" a="1"/>
  <c r="F305" i="12" a="1"/>
  <c r="F310" i="12" a="1"/>
  <c r="F314" i="12" a="1"/>
  <c r="F318" i="12" a="1"/>
  <c r="F325" i="12" a="1"/>
  <c r="F329" i="12" a="1"/>
  <c r="F332" i="12" a="1"/>
  <c r="F343" i="12" a="1"/>
  <c r="F346" i="12" a="1"/>
  <c r="F350" i="12" a="1"/>
  <c r="F356" i="12" a="1"/>
  <c r="F359" i="12" a="1"/>
  <c r="F364" i="12" a="1"/>
  <c r="F367" i="12" a="1"/>
  <c r="F372" i="12" a="1"/>
  <c r="F375" i="12" a="1"/>
  <c r="F380" i="12" a="1"/>
  <c r="F383" i="12" a="1"/>
  <c r="F388" i="12" a="1"/>
  <c r="F391" i="12" a="1"/>
  <c r="F396" i="12" a="1"/>
  <c r="F399" i="12" a="1"/>
  <c r="F404" i="12" a="1"/>
  <c r="F407" i="12" a="1"/>
  <c r="F412" i="12" a="1"/>
  <c r="F415" i="12" a="1"/>
  <c r="F420" i="12" a="1"/>
  <c r="F423" i="12" a="1"/>
  <c r="F428" i="12" a="1"/>
  <c r="F431" i="12" a="1"/>
  <c r="F436" i="12" a="1"/>
  <c r="F439" i="12" a="1"/>
  <c r="F444" i="12" a="1"/>
  <c r="F447" i="12" a="1"/>
  <c r="F452" i="12" a="1"/>
  <c r="F455" i="12" a="1"/>
  <c r="F457" i="12" a="1"/>
  <c r="F459" i="12" a="1"/>
  <c r="F461" i="12" a="1"/>
  <c r="F463" i="12" a="1"/>
  <c r="F465" i="12" a="1"/>
  <c r="F467" i="12" a="1"/>
  <c r="F469" i="12" a="1"/>
  <c r="F471" i="12" a="1"/>
  <c r="F473" i="12" a="1"/>
  <c r="F475" i="12" a="1"/>
  <c r="F477" i="12" a="1"/>
  <c r="F479" i="12" a="1"/>
  <c r="F481" i="12" a="1"/>
  <c r="F483" i="12" a="1"/>
  <c r="F485" i="12" a="1"/>
  <c r="F487" i="12" a="1"/>
  <c r="F489" i="12" a="1"/>
  <c r="F491" i="12" a="1"/>
  <c r="F493" i="12" a="1"/>
  <c r="F495" i="12" a="1"/>
  <c r="F497" i="12" a="1"/>
  <c r="F499" i="12" a="1"/>
  <c r="F501" i="12" a="1"/>
  <c r="F503" i="12" a="1"/>
  <c r="F264" i="12" a="1"/>
  <c r="F289" i="12" a="1"/>
  <c r="F322" i="12" a="1"/>
  <c r="F333" i="12" a="1"/>
  <c r="F340" i="12" a="1"/>
  <c r="F351" i="12" a="1"/>
  <c r="F357" i="12" a="1"/>
  <c r="F365" i="12" a="1"/>
  <c r="F373" i="12" a="1"/>
  <c r="F381" i="12" a="1"/>
  <c r="F389" i="12" a="1"/>
  <c r="F402" i="12" a="1"/>
  <c r="F508" i="12" l="1"/>
  <c r="B252" i="3"/>
  <c r="B8" i="3"/>
  <c r="B4" i="3"/>
  <c r="B12" i="3"/>
  <c r="B280" i="3"/>
  <c r="B294" i="3"/>
  <c r="B305" i="3"/>
  <c r="B320" i="3"/>
  <c r="B331" i="3"/>
  <c r="B345" i="3"/>
  <c r="B357" i="3"/>
  <c r="B369" i="3"/>
  <c r="B382" i="3"/>
  <c r="B395" i="3"/>
  <c r="B407" i="3"/>
  <c r="B419" i="3"/>
  <c r="B432" i="3"/>
  <c r="B444" i="3"/>
  <c r="B434" i="3"/>
  <c r="B462" i="3"/>
  <c r="B473" i="3"/>
  <c r="B485" i="3"/>
  <c r="B499" i="3"/>
  <c r="B255" i="3"/>
  <c r="B81" i="3"/>
  <c r="B337" i="3"/>
  <c r="B214" i="3"/>
  <c r="B5" i="3"/>
  <c r="B9" i="3"/>
  <c r="B13" i="3"/>
  <c r="B17" i="3"/>
  <c r="B21" i="3"/>
  <c r="B25" i="3"/>
  <c r="B32" i="3"/>
  <c r="B33" i="3"/>
  <c r="B38" i="3"/>
  <c r="B43" i="3"/>
  <c r="B48" i="3"/>
  <c r="B53" i="3"/>
  <c r="B57" i="3"/>
  <c r="B61" i="3"/>
  <c r="B63" i="3"/>
  <c r="B70" i="3"/>
  <c r="B74" i="3"/>
  <c r="B83" i="3"/>
  <c r="B87" i="3"/>
  <c r="B91" i="3"/>
  <c r="B95" i="3"/>
  <c r="B100" i="3"/>
  <c r="B105" i="3"/>
  <c r="B16" i="3"/>
  <c r="B28" i="3"/>
  <c r="B42" i="3"/>
  <c r="B52" i="3"/>
  <c r="B64" i="3"/>
  <c r="B77" i="3"/>
  <c r="B90" i="3"/>
  <c r="B104" i="3"/>
  <c r="B112" i="3"/>
  <c r="B120" i="3"/>
  <c r="B129" i="3"/>
  <c r="B138" i="3"/>
  <c r="B146" i="3"/>
  <c r="B159" i="3"/>
  <c r="B163" i="3"/>
  <c r="B167" i="3"/>
  <c r="B182" i="3"/>
  <c r="B189" i="3"/>
  <c r="B202" i="3"/>
  <c r="B206" i="3"/>
  <c r="B213" i="3"/>
  <c r="B225" i="3"/>
  <c r="B233" i="3"/>
  <c r="B245" i="3"/>
  <c r="B249" i="3"/>
  <c r="B260" i="3"/>
  <c r="B276" i="3"/>
  <c r="B284" i="3"/>
  <c r="B304" i="3"/>
  <c r="B312" i="3"/>
  <c r="B324" i="3"/>
  <c r="B341" i="3"/>
  <c r="B349" i="3"/>
  <c r="B361" i="3"/>
  <c r="B373" i="3"/>
  <c r="B391" i="3"/>
  <c r="B399" i="3"/>
  <c r="B411" i="3"/>
  <c r="B423" i="3"/>
  <c r="B440" i="3"/>
  <c r="B454" i="3"/>
  <c r="B466" i="3"/>
  <c r="B483" i="3"/>
  <c r="B495" i="3"/>
  <c r="B507" i="3"/>
  <c r="B6" i="3"/>
  <c r="B10" i="3"/>
  <c r="B14" i="3"/>
  <c r="B18" i="3"/>
  <c r="B22" i="3"/>
  <c r="B26" i="3"/>
  <c r="B29" i="3"/>
  <c r="B34" i="3"/>
  <c r="B39" i="3"/>
  <c r="B44" i="3"/>
  <c r="B50" i="3"/>
  <c r="B54" i="3"/>
  <c r="B58" i="3"/>
  <c r="B62" i="3"/>
  <c r="B67" i="3"/>
  <c r="B71" i="3"/>
  <c r="B75" i="3"/>
  <c r="B84" i="3"/>
  <c r="B88" i="3"/>
  <c r="B85" i="3"/>
  <c r="B96" i="3"/>
  <c r="B101" i="3"/>
  <c r="B106" i="3"/>
  <c r="B110" i="3"/>
  <c r="B114" i="3"/>
  <c r="B118" i="3"/>
  <c r="B122" i="3"/>
  <c r="B126" i="3"/>
  <c r="B131" i="3"/>
  <c r="B136" i="3"/>
  <c r="B141" i="3"/>
  <c r="B140" i="3"/>
  <c r="B149" i="3"/>
  <c r="B153" i="3"/>
  <c r="B156" i="3"/>
  <c r="B161" i="3"/>
  <c r="B165" i="3"/>
  <c r="B171" i="3"/>
  <c r="B175" i="3"/>
  <c r="B180" i="3"/>
  <c r="B184" i="3"/>
  <c r="B185" i="3"/>
  <c r="B190" i="3"/>
  <c r="B196" i="3"/>
  <c r="B200" i="3"/>
  <c r="B204" i="3"/>
  <c r="B208" i="3"/>
  <c r="B227" i="3"/>
  <c r="B215" i="3"/>
  <c r="B219" i="3"/>
  <c r="B223" i="3"/>
  <c r="B230" i="3"/>
  <c r="B235" i="3"/>
  <c r="B239" i="3"/>
  <c r="B243" i="3"/>
  <c r="B247" i="3"/>
  <c r="B251" i="3"/>
  <c r="B258" i="3"/>
  <c r="B262" i="3"/>
  <c r="B266" i="3"/>
  <c r="B268" i="3"/>
  <c r="B274" i="3"/>
  <c r="B278" i="3"/>
  <c r="B282" i="3"/>
  <c r="B286" i="3"/>
  <c r="B291" i="3"/>
  <c r="B297" i="3"/>
  <c r="B301" i="3"/>
  <c r="B306" i="3"/>
  <c r="B310" i="3"/>
  <c r="B314" i="3"/>
  <c r="B318" i="3"/>
  <c r="B322" i="3"/>
  <c r="B326" i="3"/>
  <c r="B329" i="3"/>
  <c r="B333" i="3"/>
  <c r="B334" i="3"/>
  <c r="B343" i="3"/>
  <c r="B347" i="3"/>
  <c r="B351" i="3"/>
  <c r="B355" i="3"/>
  <c r="B359" i="3"/>
  <c r="B363" i="3"/>
  <c r="B367" i="3"/>
  <c r="B371" i="3"/>
  <c r="B376" i="3"/>
  <c r="B387" i="3"/>
  <c r="B384" i="3"/>
  <c r="B389" i="3"/>
  <c r="B393" i="3"/>
  <c r="B397" i="3"/>
  <c r="B401" i="3"/>
  <c r="B405" i="3"/>
  <c r="B409" i="3"/>
  <c r="B406" i="3"/>
  <c r="B413" i="3"/>
  <c r="B421" i="3"/>
  <c r="B425" i="3"/>
  <c r="B429" i="3"/>
  <c r="B430" i="3"/>
  <c r="B438" i="3"/>
  <c r="B442" i="3"/>
  <c r="B446" i="3"/>
  <c r="B449" i="3"/>
  <c r="B456" i="3"/>
  <c r="B460" i="3"/>
  <c r="B464" i="3"/>
  <c r="B468" i="3"/>
  <c r="B476" i="3"/>
  <c r="B475" i="3"/>
  <c r="B481" i="3"/>
  <c r="B467" i="3"/>
  <c r="B489" i="3"/>
  <c r="B493" i="3"/>
  <c r="B497" i="3"/>
  <c r="B501" i="3"/>
  <c r="B505" i="3"/>
  <c r="B487" i="3"/>
  <c r="B166" i="3"/>
  <c r="B450" i="3"/>
  <c r="B24" i="3"/>
  <c r="B37" i="3"/>
  <c r="B56" i="3"/>
  <c r="B69" i="3"/>
  <c r="B94" i="3"/>
  <c r="B3" i="3"/>
  <c r="B7" i="3"/>
  <c r="B11" i="3"/>
  <c r="B15" i="3"/>
  <c r="B19" i="3"/>
  <c r="B23" i="3"/>
  <c r="B27" i="3"/>
  <c r="B30" i="3"/>
  <c r="B35" i="3"/>
  <c r="B41" i="3"/>
  <c r="B45" i="3"/>
  <c r="B51" i="3"/>
  <c r="B55" i="3"/>
  <c r="B59" i="3"/>
  <c r="B60" i="3"/>
  <c r="B68" i="3"/>
  <c r="B66" i="3"/>
  <c r="B76" i="3"/>
  <c r="B72" i="3"/>
  <c r="B89" i="3"/>
  <c r="B93" i="3"/>
  <c r="B97" i="3"/>
  <c r="B92" i="3"/>
  <c r="B107" i="3"/>
  <c r="B111" i="3"/>
  <c r="B115" i="3"/>
  <c r="B119" i="3"/>
  <c r="B124" i="3"/>
  <c r="B127" i="3"/>
  <c r="B132" i="3"/>
  <c r="B137" i="3"/>
  <c r="B142" i="3"/>
  <c r="B147" i="3"/>
  <c r="B150" i="3"/>
  <c r="B154" i="3"/>
  <c r="B157" i="3"/>
  <c r="B162" i="3"/>
  <c r="B145" i="3"/>
  <c r="B172" i="3"/>
  <c r="B177" i="3"/>
  <c r="B181" i="3"/>
  <c r="B178" i="3"/>
  <c r="B188" i="3"/>
  <c r="B192" i="3"/>
  <c r="B197" i="3"/>
  <c r="B201" i="3"/>
  <c r="B205" i="3"/>
  <c r="B209" i="3"/>
  <c r="B212" i="3"/>
  <c r="B216" i="3"/>
  <c r="B220" i="3"/>
  <c r="B224" i="3"/>
  <c r="B232" i="3"/>
  <c r="B236" i="3"/>
  <c r="B240" i="3"/>
  <c r="B244" i="3"/>
  <c r="B248" i="3"/>
  <c r="B234" i="3"/>
  <c r="B259" i="3"/>
  <c r="B263" i="3"/>
  <c r="B267" i="3"/>
  <c r="B271" i="3"/>
  <c r="B275" i="3"/>
  <c r="B279" i="3"/>
  <c r="B283" i="3"/>
  <c r="B287" i="3"/>
  <c r="B270" i="3"/>
  <c r="B296" i="3"/>
  <c r="B303" i="3"/>
  <c r="B307" i="3"/>
  <c r="B311" i="3"/>
  <c r="B315" i="3"/>
  <c r="B319" i="3"/>
  <c r="B323" i="3"/>
  <c r="B325" i="3"/>
  <c r="B330" i="3"/>
  <c r="B335" i="3"/>
  <c r="B340" i="3"/>
  <c r="B344" i="3"/>
  <c r="B348" i="3"/>
  <c r="B352" i="3"/>
  <c r="B356" i="3"/>
  <c r="B339" i="3"/>
  <c r="B364" i="3"/>
  <c r="B365" i="3"/>
  <c r="B372" i="3"/>
  <c r="B377" i="3"/>
  <c r="B381" i="3"/>
  <c r="B385" i="3"/>
  <c r="B390" i="3"/>
  <c r="B394" i="3"/>
  <c r="B398" i="3"/>
  <c r="B402" i="3"/>
  <c r="B379" i="3"/>
  <c r="B410" i="3"/>
  <c r="B414" i="3"/>
  <c r="B418" i="3"/>
  <c r="B422" i="3"/>
  <c r="B427" i="3"/>
  <c r="B417" i="3"/>
  <c r="B435" i="3"/>
  <c r="B439" i="3"/>
  <c r="B443" i="3"/>
  <c r="B447" i="3"/>
  <c r="B452" i="3"/>
  <c r="B457" i="3"/>
  <c r="B461" i="3"/>
  <c r="B465" i="3"/>
  <c r="B469" i="3"/>
  <c r="B472" i="3"/>
  <c r="B477" i="3"/>
  <c r="B482" i="3"/>
  <c r="B486" i="3"/>
  <c r="B490" i="3"/>
  <c r="B494" i="3"/>
  <c r="B498" i="3"/>
  <c r="B502" i="3"/>
  <c r="B506" i="3"/>
  <c r="B2" i="3"/>
  <c r="B448" i="3"/>
  <c r="B257" i="3"/>
  <c r="B103" i="3"/>
  <c r="B80" i="3"/>
  <c r="B226" i="3"/>
  <c r="B36" i="3"/>
  <c r="B292" i="3"/>
  <c r="B20" i="3"/>
  <c r="B31" i="3"/>
  <c r="B46" i="3"/>
  <c r="B49" i="3"/>
  <c r="B73" i="3"/>
  <c r="B86" i="3"/>
  <c r="B99" i="3"/>
  <c r="B108" i="3"/>
  <c r="B116" i="3"/>
  <c r="B125" i="3"/>
  <c r="B134" i="3"/>
  <c r="B143" i="3"/>
  <c r="B151" i="3"/>
  <c r="B158" i="3"/>
  <c r="B168" i="3"/>
  <c r="B173" i="3"/>
  <c r="B186" i="3"/>
  <c r="B194" i="3"/>
  <c r="B198" i="3"/>
  <c r="B210" i="3"/>
  <c r="B217" i="3"/>
  <c r="B221" i="3"/>
  <c r="B237" i="3"/>
  <c r="B241" i="3"/>
  <c r="B253" i="3"/>
  <c r="B264" i="3"/>
  <c r="B272" i="3"/>
  <c r="B288" i="3"/>
  <c r="B299" i="3"/>
  <c r="B316" i="3"/>
  <c r="B328" i="3"/>
  <c r="B336" i="3"/>
  <c r="B353" i="3"/>
  <c r="B360" i="3"/>
  <c r="B368" i="3"/>
  <c r="B386" i="3"/>
  <c r="B403" i="3"/>
  <c r="B415" i="3"/>
  <c r="B426" i="3"/>
  <c r="B436" i="3"/>
  <c r="B458" i="3"/>
  <c r="B470" i="3"/>
  <c r="B478" i="3"/>
  <c r="B491" i="3"/>
  <c r="B503" i="3"/>
  <c r="B256" i="3"/>
  <c r="B480" i="3"/>
  <c r="B139" i="3"/>
  <c r="B293" i="3"/>
  <c r="B289" i="3"/>
  <c r="B109" i="3"/>
  <c r="B113" i="3"/>
  <c r="B117" i="3"/>
  <c r="B121" i="3"/>
  <c r="B130" i="3"/>
  <c r="B133" i="3"/>
  <c r="B135" i="3"/>
  <c r="B102" i="3"/>
  <c r="B144" i="3"/>
  <c r="B148" i="3"/>
  <c r="B152" i="3"/>
  <c r="B155" i="3"/>
  <c r="B160" i="3"/>
  <c r="B164" i="3"/>
  <c r="B170" i="3"/>
  <c r="B174" i="3"/>
  <c r="B179" i="3"/>
  <c r="B183" i="3"/>
  <c r="B187" i="3"/>
  <c r="B191" i="3"/>
  <c r="B195" i="3"/>
  <c r="B199" i="3"/>
  <c r="B203" i="3"/>
  <c r="B207" i="3"/>
  <c r="B211" i="3"/>
  <c r="B228" i="3"/>
  <c r="B218" i="3"/>
  <c r="B229" i="3"/>
  <c r="B193" i="3"/>
  <c r="B261" i="3"/>
  <c r="B265" i="3"/>
  <c r="B269" i="3"/>
  <c r="B273" i="3"/>
  <c r="B277" i="3"/>
  <c r="B281" i="3"/>
  <c r="B285" i="3"/>
  <c r="B309" i="3"/>
  <c r="B313" i="3"/>
  <c r="B317" i="3"/>
  <c r="B321" i="3"/>
  <c r="B338" i="3"/>
  <c r="B342" i="3"/>
  <c r="B346" i="3"/>
  <c r="B350" i="3"/>
  <c r="B354" i="3"/>
  <c r="B358" i="3"/>
  <c r="B362" i="3"/>
  <c r="B366" i="3"/>
  <c r="B370" i="3"/>
  <c r="B374" i="3"/>
  <c r="B380" i="3"/>
  <c r="B383" i="3"/>
  <c r="B388" i="3"/>
  <c r="B392" i="3"/>
  <c r="B396" i="3"/>
  <c r="B400" i="3"/>
  <c r="B404" i="3"/>
  <c r="B408" i="3"/>
  <c r="B412" i="3"/>
  <c r="B416" i="3"/>
  <c r="B420" i="3"/>
  <c r="B424" i="3"/>
  <c r="B428" i="3"/>
  <c r="B433" i="3"/>
  <c r="B437" i="3"/>
  <c r="B441" i="3"/>
  <c r="B445" i="3"/>
  <c r="B451" i="3"/>
  <c r="B455" i="3"/>
  <c r="B459" i="3"/>
  <c r="B463" i="3"/>
  <c r="B453" i="3"/>
  <c r="B471" i="3"/>
  <c r="B474" i="3"/>
  <c r="B479" i="3"/>
  <c r="B484" i="3"/>
  <c r="B488" i="3"/>
  <c r="B492" i="3"/>
  <c r="B496" i="3"/>
  <c r="B500" i="3"/>
  <c r="B504" i="3"/>
  <c r="B508" i="3"/>
  <c r="B65" i="3"/>
  <c r="B375" i="3"/>
  <c r="B169" i="3"/>
  <c r="B79" i="3"/>
  <c r="B47" i="3"/>
  <c r="B82" i="3"/>
  <c r="B378" i="3"/>
  <c r="B431" i="3"/>
  <c r="B222" i="3"/>
  <c r="B238" i="3"/>
  <c r="B242" i="3"/>
  <c r="B246" i="3"/>
  <c r="B250" i="3"/>
  <c r="B254" i="3"/>
  <c r="B290" i="3"/>
  <c r="B295" i="3"/>
  <c r="B300" i="3"/>
  <c r="B298" i="3"/>
  <c r="B308" i="3"/>
  <c r="B327" i="3"/>
  <c r="B332" i="3"/>
  <c r="B123" i="3"/>
  <c r="B128" i="3"/>
  <c r="B78" i="3"/>
  <c r="B98" i="3"/>
  <c r="B231" i="3"/>
  <c r="B176" i="3"/>
  <c r="B40" i="3"/>
  <c r="B302" i="3"/>
  <c r="J169" i="3"/>
  <c r="J302" i="3"/>
  <c r="J375" i="3"/>
  <c r="J448" i="3"/>
  <c r="C80" i="14"/>
  <c r="C83" i="14"/>
  <c r="D80" i="14"/>
  <c r="D82" i="14"/>
  <c r="C84" i="14"/>
  <c r="D81" i="14"/>
  <c r="C82" i="14"/>
  <c r="D85" i="14"/>
  <c r="C81" i="14"/>
  <c r="D84" i="14"/>
  <c r="C85" i="14"/>
  <c r="D83" i="14"/>
  <c r="I85" i="13"/>
  <c r="I84" i="13"/>
  <c r="I83" i="13"/>
  <c r="I82" i="13"/>
  <c r="I81" i="13"/>
  <c r="I80" i="13"/>
  <c r="F506" i="12"/>
  <c r="F505" i="12"/>
  <c r="F507" i="12"/>
  <c r="J40" i="3"/>
  <c r="F504" i="12"/>
  <c r="D69" i="14"/>
  <c r="C77" i="14"/>
  <c r="J431" i="3"/>
  <c r="D71" i="14"/>
  <c r="C72" i="14"/>
  <c r="D75" i="14"/>
  <c r="C76" i="14"/>
  <c r="D79" i="14"/>
  <c r="C71" i="14"/>
  <c r="D74" i="14"/>
  <c r="C75" i="14"/>
  <c r="D78" i="14"/>
  <c r="C79" i="14"/>
  <c r="D70" i="14"/>
  <c r="D73" i="14"/>
  <c r="C74" i="14"/>
  <c r="D77" i="14"/>
  <c r="C78" i="14"/>
  <c r="C70" i="14"/>
  <c r="D72" i="14"/>
  <c r="C73" i="14"/>
  <c r="D76" i="14"/>
  <c r="I79" i="13"/>
  <c r="I78" i="13"/>
  <c r="I71" i="13"/>
  <c r="I75" i="13"/>
  <c r="I72" i="13"/>
  <c r="I76" i="13"/>
  <c r="I74" i="13"/>
  <c r="I73" i="13"/>
  <c r="I77" i="13"/>
  <c r="I69" i="13"/>
  <c r="I67" i="13"/>
  <c r="I65" i="13"/>
  <c r="I63" i="13"/>
  <c r="I61" i="13"/>
  <c r="I59" i="13"/>
  <c r="I57" i="13"/>
  <c r="I55" i="13"/>
  <c r="I53" i="13"/>
  <c r="I51" i="13"/>
  <c r="I49" i="13"/>
  <c r="I47" i="13"/>
  <c r="I45" i="13"/>
  <c r="I43" i="13"/>
  <c r="I41" i="13"/>
  <c r="I39" i="13"/>
  <c r="I37" i="13"/>
  <c r="I35" i="13"/>
  <c r="I33" i="13"/>
  <c r="I31" i="13"/>
  <c r="I29" i="13"/>
  <c r="I27" i="13"/>
  <c r="I25" i="13"/>
  <c r="I23" i="13"/>
  <c r="I21" i="13"/>
  <c r="I19" i="13"/>
  <c r="I17" i="13"/>
  <c r="I15" i="13"/>
  <c r="I13" i="13"/>
  <c r="I11" i="13"/>
  <c r="I9" i="13"/>
  <c r="I7" i="13"/>
  <c r="I5" i="13"/>
  <c r="I3" i="13"/>
  <c r="I70" i="13"/>
  <c r="I68" i="13"/>
  <c r="I66" i="13"/>
  <c r="I64" i="13"/>
  <c r="I62" i="13"/>
  <c r="I60" i="13"/>
  <c r="I58" i="13"/>
  <c r="I56" i="13"/>
  <c r="I54" i="13"/>
  <c r="I52" i="13"/>
  <c r="I50" i="13"/>
  <c r="I48" i="13"/>
  <c r="I46" i="13"/>
  <c r="I44" i="13"/>
  <c r="I42" i="13"/>
  <c r="I40" i="13"/>
  <c r="I38" i="13"/>
  <c r="I36" i="13"/>
  <c r="I34" i="13"/>
  <c r="I32" i="13"/>
  <c r="I30" i="13"/>
  <c r="I28" i="13"/>
  <c r="I26" i="13"/>
  <c r="I24" i="13"/>
  <c r="I22" i="13"/>
  <c r="I20" i="13"/>
  <c r="I18" i="13"/>
  <c r="I16" i="13"/>
  <c r="I14" i="13"/>
  <c r="I12" i="13"/>
  <c r="I10" i="13"/>
  <c r="I8" i="13"/>
  <c r="I6" i="13"/>
  <c r="I4" i="13"/>
  <c r="I2" i="13"/>
  <c r="J507" i="3"/>
  <c r="J503" i="3"/>
  <c r="J499" i="3"/>
  <c r="J495" i="3"/>
  <c r="J491" i="3"/>
  <c r="J487" i="3"/>
  <c r="J483" i="3"/>
  <c r="J478" i="3"/>
  <c r="J474" i="3"/>
  <c r="J466" i="3"/>
  <c r="J452" i="3"/>
  <c r="J444" i="3"/>
  <c r="J433" i="3"/>
  <c r="J405" i="3"/>
  <c r="J398" i="3"/>
  <c r="J387" i="3"/>
  <c r="J380" i="3"/>
  <c r="J361" i="3"/>
  <c r="J345" i="3"/>
  <c r="J328" i="3"/>
  <c r="J312" i="3"/>
  <c r="J295" i="3"/>
  <c r="J78" i="3"/>
  <c r="J471" i="3"/>
  <c r="J468" i="3"/>
  <c r="J462" i="3"/>
  <c r="J458" i="3"/>
  <c r="J455" i="3"/>
  <c r="J443" i="3"/>
  <c r="J440" i="3"/>
  <c r="J436" i="3"/>
  <c r="J428" i="3"/>
  <c r="J424" i="3"/>
  <c r="J421" i="3"/>
  <c r="J411" i="3"/>
  <c r="J408" i="3"/>
  <c r="J404" i="3"/>
  <c r="J397" i="3"/>
  <c r="J393" i="3"/>
  <c r="J390" i="3"/>
  <c r="J379" i="3"/>
  <c r="J374" i="3"/>
  <c r="J370" i="3"/>
  <c r="J359" i="3"/>
  <c r="J354" i="3"/>
  <c r="J343" i="3"/>
  <c r="J338" i="3"/>
  <c r="J326" i="3"/>
  <c r="J321" i="3"/>
  <c r="J310" i="3"/>
  <c r="J305" i="3"/>
  <c r="J291" i="3"/>
  <c r="J286" i="3"/>
  <c r="J275" i="3"/>
  <c r="J270" i="3"/>
  <c r="J259" i="3"/>
  <c r="J254" i="3"/>
  <c r="J243" i="3"/>
  <c r="J235" i="3"/>
  <c r="J126" i="3"/>
  <c r="J62" i="3"/>
  <c r="J505" i="3"/>
  <c r="J501" i="3"/>
  <c r="J497" i="3"/>
  <c r="J493" i="3"/>
  <c r="J489" i="3"/>
  <c r="J485" i="3"/>
  <c r="J481" i="3"/>
  <c r="J476" i="3"/>
  <c r="J469" i="3"/>
  <c r="J463" i="3"/>
  <c r="J449" i="3"/>
  <c r="J437" i="3"/>
  <c r="J429" i="3"/>
  <c r="J418" i="3"/>
  <c r="J412" i="3"/>
  <c r="J401" i="3"/>
  <c r="J384" i="3"/>
  <c r="J371" i="3"/>
  <c r="J356" i="3"/>
  <c r="J340" i="3"/>
  <c r="J323" i="3"/>
  <c r="J307" i="3"/>
  <c r="J288" i="3"/>
  <c r="J277" i="3"/>
  <c r="J272" i="3"/>
  <c r="J261" i="3"/>
  <c r="J256" i="3"/>
  <c r="J245" i="3"/>
  <c r="J238" i="3"/>
  <c r="J143" i="3"/>
  <c r="J508" i="3"/>
  <c r="J506" i="3"/>
  <c r="J504" i="3"/>
  <c r="J502" i="3"/>
  <c r="J500" i="3"/>
  <c r="J498" i="3"/>
  <c r="J496" i="3"/>
  <c r="J494" i="3"/>
  <c r="J492" i="3"/>
  <c r="J490" i="3"/>
  <c r="J488" i="3"/>
  <c r="J486" i="3"/>
  <c r="J484" i="3"/>
  <c r="J482" i="3"/>
  <c r="J479" i="3"/>
  <c r="J477" i="3"/>
  <c r="J475" i="3"/>
  <c r="J473" i="3"/>
  <c r="J470" i="3"/>
  <c r="J465" i="3"/>
  <c r="J461" i="3"/>
  <c r="J454" i="3"/>
  <c r="J450" i="3"/>
  <c r="J446" i="3"/>
  <c r="J435" i="3"/>
  <c r="J432" i="3"/>
  <c r="J427" i="3"/>
  <c r="J420" i="3"/>
  <c r="J416" i="3"/>
  <c r="J414" i="3"/>
  <c r="J403" i="3"/>
  <c r="J400" i="3"/>
  <c r="J396" i="3"/>
  <c r="J389" i="3"/>
  <c r="J385" i="3"/>
  <c r="J382" i="3"/>
  <c r="J369" i="3"/>
  <c r="J364" i="3"/>
  <c r="J353" i="3"/>
  <c r="J348" i="3"/>
  <c r="J336" i="3"/>
  <c r="J331" i="3"/>
  <c r="J320" i="3"/>
  <c r="J315" i="3"/>
  <c r="J304" i="3"/>
  <c r="J298" i="3"/>
  <c r="J285" i="3"/>
  <c r="J280" i="3"/>
  <c r="J269" i="3"/>
  <c r="J264" i="3"/>
  <c r="J253" i="3"/>
  <c r="J248" i="3"/>
  <c r="J231" i="3"/>
  <c r="J110" i="3"/>
  <c r="J45" i="3"/>
  <c r="J472" i="3"/>
  <c r="J467" i="3"/>
  <c r="J460" i="3"/>
  <c r="J457" i="3"/>
  <c r="J453" i="3"/>
  <c r="J445" i="3"/>
  <c r="J441" i="3"/>
  <c r="J438" i="3"/>
  <c r="J426" i="3"/>
  <c r="J423" i="3"/>
  <c r="J419" i="3"/>
  <c r="J413" i="3"/>
  <c r="J409" i="3"/>
  <c r="J406" i="3"/>
  <c r="J395" i="3"/>
  <c r="J392" i="3"/>
  <c r="J388" i="3"/>
  <c r="J381" i="3"/>
  <c r="J376" i="3"/>
  <c r="J372" i="3"/>
  <c r="J367" i="3"/>
  <c r="J362" i="3"/>
  <c r="J351" i="3"/>
  <c r="J346" i="3"/>
  <c r="J334" i="3"/>
  <c r="J329" i="3"/>
  <c r="J318" i="3"/>
  <c r="J313" i="3"/>
  <c r="J301" i="3"/>
  <c r="J296" i="3"/>
  <c r="J283" i="3"/>
  <c r="J278" i="3"/>
  <c r="J267" i="3"/>
  <c r="J262" i="3"/>
  <c r="J251" i="3"/>
  <c r="J246" i="3"/>
  <c r="J227" i="3"/>
  <c r="J159" i="3"/>
  <c r="J94" i="3"/>
  <c r="J28" i="3"/>
  <c r="J240" i="3"/>
  <c r="J237" i="3"/>
  <c r="J155" i="3"/>
  <c r="J139" i="3"/>
  <c r="J122" i="3"/>
  <c r="J106" i="3"/>
  <c r="J90" i="3"/>
  <c r="J74" i="3"/>
  <c r="J58" i="3"/>
  <c r="J41" i="3"/>
  <c r="J24" i="3"/>
  <c r="J366" i="3"/>
  <c r="J363" i="3"/>
  <c r="J358" i="3"/>
  <c r="J355" i="3"/>
  <c r="J350" i="3"/>
  <c r="J347" i="3"/>
  <c r="J342" i="3"/>
  <c r="J339" i="3"/>
  <c r="J333" i="3"/>
  <c r="J330" i="3"/>
  <c r="J325" i="3"/>
  <c r="J322" i="3"/>
  <c r="J317" i="3"/>
  <c r="J314" i="3"/>
  <c r="J309" i="3"/>
  <c r="J306" i="3"/>
  <c r="J300" i="3"/>
  <c r="J297" i="3"/>
  <c r="J290" i="3"/>
  <c r="J287" i="3"/>
  <c r="J282" i="3"/>
  <c r="J279" i="3"/>
  <c r="J274" i="3"/>
  <c r="J271" i="3"/>
  <c r="J266" i="3"/>
  <c r="J263" i="3"/>
  <c r="J258" i="3"/>
  <c r="J255" i="3"/>
  <c r="J250" i="3"/>
  <c r="J247" i="3"/>
  <c r="J242" i="3"/>
  <c r="J239" i="3"/>
  <c r="J233" i="3"/>
  <c r="J229" i="3"/>
  <c r="J167" i="3"/>
  <c r="J151" i="3"/>
  <c r="J134" i="3"/>
  <c r="J118" i="3"/>
  <c r="J102" i="3"/>
  <c r="J86" i="3"/>
  <c r="J70" i="3"/>
  <c r="J54" i="3"/>
  <c r="J36" i="3"/>
  <c r="J480" i="3"/>
  <c r="J464" i="3"/>
  <c r="J459" i="3"/>
  <c r="J456" i="3"/>
  <c r="J451" i="3"/>
  <c r="J447" i="3"/>
  <c r="J442" i="3"/>
  <c r="J439" i="3"/>
  <c r="J434" i="3"/>
  <c r="J430" i="3"/>
  <c r="J425" i="3"/>
  <c r="J422" i="3"/>
  <c r="J417" i="3"/>
  <c r="J415" i="3"/>
  <c r="J410" i="3"/>
  <c r="J407" i="3"/>
  <c r="J402" i="3"/>
  <c r="J399" i="3"/>
  <c r="J394" i="3"/>
  <c r="J391" i="3"/>
  <c r="J386" i="3"/>
  <c r="J383" i="3"/>
  <c r="J377" i="3"/>
  <c r="J373" i="3"/>
  <c r="J368" i="3"/>
  <c r="J365" i="3"/>
  <c r="J360" i="3"/>
  <c r="J357" i="3"/>
  <c r="J352" i="3"/>
  <c r="J349" i="3"/>
  <c r="J344" i="3"/>
  <c r="J341" i="3"/>
  <c r="J335" i="3"/>
  <c r="J332" i="3"/>
  <c r="J327" i="3"/>
  <c r="J324" i="3"/>
  <c r="J319" i="3"/>
  <c r="J316" i="3"/>
  <c r="J311" i="3"/>
  <c r="J308" i="3"/>
  <c r="J303" i="3"/>
  <c r="J299" i="3"/>
  <c r="J294" i="3"/>
  <c r="J289" i="3"/>
  <c r="J284" i="3"/>
  <c r="J281" i="3"/>
  <c r="J276" i="3"/>
  <c r="J273" i="3"/>
  <c r="J268" i="3"/>
  <c r="J265" i="3"/>
  <c r="J260" i="3"/>
  <c r="J257" i="3"/>
  <c r="J252" i="3"/>
  <c r="J249" i="3"/>
  <c r="J244" i="3"/>
  <c r="J241" i="3"/>
  <c r="J236" i="3"/>
  <c r="J163" i="3"/>
  <c r="J147" i="3"/>
  <c r="J130" i="3"/>
  <c r="J114" i="3"/>
  <c r="J98" i="3"/>
  <c r="J82" i="3"/>
  <c r="J66" i="3"/>
  <c r="J50" i="3"/>
  <c r="J32" i="3"/>
  <c r="J292" i="3"/>
  <c r="J234" i="3"/>
  <c r="J232" i="3"/>
  <c r="J230" i="3"/>
  <c r="J228" i="3"/>
  <c r="J226" i="3"/>
  <c r="J224" i="3"/>
  <c r="J222" i="3"/>
  <c r="J220" i="3"/>
  <c r="J218" i="3"/>
  <c r="J216" i="3"/>
  <c r="J214" i="3"/>
  <c r="J212" i="3"/>
  <c r="J210" i="3"/>
  <c r="J208" i="3"/>
  <c r="J206" i="3"/>
  <c r="J204" i="3"/>
  <c r="J202" i="3"/>
  <c r="J200" i="3"/>
  <c r="J198" i="3"/>
  <c r="J196" i="3"/>
  <c r="J194" i="3"/>
  <c r="J192" i="3"/>
  <c r="J190" i="3"/>
  <c r="J188" i="3"/>
  <c r="J186" i="3"/>
  <c r="J184" i="3"/>
  <c r="J182" i="3"/>
  <c r="J180" i="3"/>
  <c r="J178" i="3"/>
  <c r="J176" i="3"/>
  <c r="J174" i="3"/>
  <c r="J172" i="3"/>
  <c r="J170" i="3"/>
  <c r="J166" i="3"/>
  <c r="J162" i="3"/>
  <c r="J158" i="3"/>
  <c r="J154" i="3"/>
  <c r="J150" i="3"/>
  <c r="J146" i="3"/>
  <c r="J142" i="3"/>
  <c r="J137" i="3"/>
  <c r="J133" i="3"/>
  <c r="J129" i="3"/>
  <c r="J125" i="3"/>
  <c r="J121" i="3"/>
  <c r="J117" i="3"/>
  <c r="J113" i="3"/>
  <c r="J109" i="3"/>
  <c r="J105" i="3"/>
  <c r="J101" i="3"/>
  <c r="J97" i="3"/>
  <c r="J93" i="3"/>
  <c r="J89" i="3"/>
  <c r="J85" i="3"/>
  <c r="J81" i="3"/>
  <c r="J77" i="3"/>
  <c r="J73" i="3"/>
  <c r="J69" i="3"/>
  <c r="J65" i="3"/>
  <c r="J61" i="3"/>
  <c r="J57" i="3"/>
  <c r="J53" i="3"/>
  <c r="J49" i="3"/>
  <c r="J44" i="3"/>
  <c r="J39" i="3"/>
  <c r="J35" i="3"/>
  <c r="J31" i="3"/>
  <c r="J27" i="3"/>
  <c r="J23" i="3"/>
  <c r="J378" i="3"/>
  <c r="J138" i="3"/>
  <c r="J165" i="3"/>
  <c r="J161" i="3"/>
  <c r="J157" i="3"/>
  <c r="J153" i="3"/>
  <c r="J149" i="3"/>
  <c r="J145" i="3"/>
  <c r="J141" i="3"/>
  <c r="J136" i="3"/>
  <c r="J132" i="3"/>
  <c r="J128" i="3"/>
  <c r="J124" i="3"/>
  <c r="J120" i="3"/>
  <c r="J116" i="3"/>
  <c r="J112" i="3"/>
  <c r="J108" i="3"/>
  <c r="J104" i="3"/>
  <c r="J100" i="3"/>
  <c r="J96" i="3"/>
  <c r="J92" i="3"/>
  <c r="J88" i="3"/>
  <c r="J84" i="3"/>
  <c r="J80" i="3"/>
  <c r="J76" i="3"/>
  <c r="J72" i="3"/>
  <c r="J68" i="3"/>
  <c r="J64" i="3"/>
  <c r="J60" i="3"/>
  <c r="J56" i="3"/>
  <c r="J52" i="3"/>
  <c r="J48" i="3"/>
  <c r="J43" i="3"/>
  <c r="J38" i="3"/>
  <c r="J34" i="3"/>
  <c r="J30" i="3"/>
  <c r="J26" i="3"/>
  <c r="J22" i="3"/>
  <c r="J337" i="3"/>
  <c r="J47" i="3"/>
  <c r="J225" i="3"/>
  <c r="J223" i="3"/>
  <c r="J221" i="3"/>
  <c r="J219" i="3"/>
  <c r="J217" i="3"/>
  <c r="J215" i="3"/>
  <c r="J213" i="3"/>
  <c r="J211" i="3"/>
  <c r="J209" i="3"/>
  <c r="J207" i="3"/>
  <c r="J205" i="3"/>
  <c r="J203" i="3"/>
  <c r="J201" i="3"/>
  <c r="J199" i="3"/>
  <c r="J197" i="3"/>
  <c r="J195" i="3"/>
  <c r="J193" i="3"/>
  <c r="J191" i="3"/>
  <c r="J189" i="3"/>
  <c r="J187" i="3"/>
  <c r="J185" i="3"/>
  <c r="J183" i="3"/>
  <c r="J181" i="3"/>
  <c r="J179" i="3"/>
  <c r="J177" i="3"/>
  <c r="J175" i="3"/>
  <c r="J173" i="3"/>
  <c r="J171" i="3"/>
  <c r="J168" i="3"/>
  <c r="J164" i="3"/>
  <c r="J160" i="3"/>
  <c r="J156" i="3"/>
  <c r="J152" i="3"/>
  <c r="J148" i="3"/>
  <c r="J144" i="3"/>
  <c r="J140" i="3"/>
  <c r="J135" i="3"/>
  <c r="J131" i="3"/>
  <c r="J127" i="3"/>
  <c r="J123" i="3"/>
  <c r="J119" i="3"/>
  <c r="J115" i="3"/>
  <c r="J111" i="3"/>
  <c r="J107" i="3"/>
  <c r="J103" i="3"/>
  <c r="J99" i="3"/>
  <c r="J95" i="3"/>
  <c r="J91" i="3"/>
  <c r="J87" i="3"/>
  <c r="J83" i="3"/>
  <c r="J79" i="3"/>
  <c r="J75" i="3"/>
  <c r="J71" i="3"/>
  <c r="J67" i="3"/>
  <c r="J63" i="3"/>
  <c r="J59" i="3"/>
  <c r="J55" i="3"/>
  <c r="J51" i="3"/>
  <c r="J46" i="3"/>
  <c r="J42" i="3"/>
  <c r="J37" i="3"/>
  <c r="J33" i="3"/>
  <c r="J29" i="3"/>
  <c r="J25" i="3"/>
  <c r="J21" i="3"/>
  <c r="J293" i="3"/>
  <c r="J20" i="3"/>
  <c r="J19" i="3"/>
  <c r="J17" i="3"/>
  <c r="J15" i="3"/>
  <c r="J13" i="3"/>
  <c r="J11" i="3"/>
  <c r="J9" i="3"/>
  <c r="J7" i="3"/>
  <c r="J5" i="3"/>
  <c r="J3" i="3"/>
  <c r="J18" i="3"/>
  <c r="J16" i="3"/>
  <c r="J14" i="3"/>
  <c r="J12" i="3"/>
  <c r="J10" i="3"/>
  <c r="J8" i="3"/>
  <c r="J6" i="3"/>
  <c r="J4" i="3"/>
  <c r="J2" i="3"/>
  <c r="F402" i="12"/>
  <c r="F389" i="12"/>
  <c r="F381" i="12"/>
  <c r="F373" i="12"/>
  <c r="F365" i="12"/>
  <c r="F357" i="12"/>
  <c r="F351" i="12"/>
  <c r="F340" i="12"/>
  <c r="F333" i="12"/>
  <c r="F322" i="12"/>
  <c r="F289" i="12"/>
  <c r="F264" i="12"/>
  <c r="F503" i="12"/>
  <c r="F501" i="12"/>
  <c r="F499" i="12"/>
  <c r="F497" i="12"/>
  <c r="F495" i="12"/>
  <c r="F493" i="12"/>
  <c r="F491" i="12"/>
  <c r="F489" i="12"/>
  <c r="F487" i="12"/>
  <c r="F485" i="12"/>
  <c r="F483" i="12"/>
  <c r="F481" i="12"/>
  <c r="F479" i="12"/>
  <c r="F477" i="12"/>
  <c r="F475" i="12"/>
  <c r="F473" i="12"/>
  <c r="F471" i="12"/>
  <c r="F469" i="12"/>
  <c r="F467" i="12"/>
  <c r="F465" i="12"/>
  <c r="F463" i="12"/>
  <c r="F461" i="12"/>
  <c r="F459" i="12"/>
  <c r="F457" i="12"/>
  <c r="F455" i="12"/>
  <c r="F452" i="12"/>
  <c r="F447" i="12"/>
  <c r="F444" i="12"/>
  <c r="F439" i="12"/>
  <c r="F436" i="12"/>
  <c r="F431" i="12"/>
  <c r="F428" i="12"/>
  <c r="F423" i="12"/>
  <c r="F420" i="12"/>
  <c r="F415" i="12"/>
  <c r="F412" i="12"/>
  <c r="F407" i="12"/>
  <c r="F404" i="12"/>
  <c r="F399" i="12"/>
  <c r="F396" i="12"/>
  <c r="F391" i="12"/>
  <c r="F388" i="12"/>
  <c r="F383" i="12"/>
  <c r="F380" i="12"/>
  <c r="F375" i="12"/>
  <c r="F372" i="12"/>
  <c r="F367" i="12"/>
  <c r="F364" i="12"/>
  <c r="F359" i="12"/>
  <c r="F356" i="12"/>
  <c r="F350" i="12"/>
  <c r="F346" i="12"/>
  <c r="F343" i="12"/>
  <c r="F332" i="12"/>
  <c r="F329" i="12"/>
  <c r="F325" i="12"/>
  <c r="F318" i="12"/>
  <c r="F314" i="12"/>
  <c r="F310" i="12"/>
  <c r="F305" i="12"/>
  <c r="F297" i="12"/>
  <c r="F286" i="12"/>
  <c r="F256" i="12"/>
  <c r="F131" i="12"/>
  <c r="F453" i="12"/>
  <c r="F442" i="12"/>
  <c r="F434" i="12"/>
  <c r="F426" i="12"/>
  <c r="F418" i="12"/>
  <c r="F410" i="12"/>
  <c r="F405" i="12"/>
  <c r="F394" i="12"/>
  <c r="F386" i="12"/>
  <c r="F378" i="12"/>
  <c r="F370" i="12"/>
  <c r="F362" i="12"/>
  <c r="F354" i="12"/>
  <c r="F337" i="12"/>
  <c r="F326" i="12"/>
  <c r="F319" i="12"/>
  <c r="F306" i="12"/>
  <c r="F228" i="12"/>
  <c r="F454" i="12"/>
  <c r="F449" i="12"/>
  <c r="F446" i="12"/>
  <c r="F441" i="12"/>
  <c r="F438" i="12"/>
  <c r="F433" i="12"/>
  <c r="F430" i="12"/>
  <c r="F425" i="12"/>
  <c r="F422" i="12"/>
  <c r="F417" i="12"/>
  <c r="F414" i="12"/>
  <c r="F409" i="12"/>
  <c r="F406" i="12"/>
  <c r="F401" i="12"/>
  <c r="F398" i="12"/>
  <c r="F393" i="12"/>
  <c r="F390" i="12"/>
  <c r="F385" i="12"/>
  <c r="F382" i="12"/>
  <c r="F377" i="12"/>
  <c r="F374" i="12"/>
  <c r="F369" i="12"/>
  <c r="F366" i="12"/>
  <c r="F361" i="12"/>
  <c r="F358" i="12"/>
  <c r="F353" i="12"/>
  <c r="F349" i="12"/>
  <c r="F342" i="12"/>
  <c r="F338" i="12"/>
  <c r="F335" i="12"/>
  <c r="F324" i="12"/>
  <c r="F321" i="12"/>
  <c r="F317" i="12"/>
  <c r="F309" i="12"/>
  <c r="F294" i="12"/>
  <c r="F272" i="12"/>
  <c r="F248" i="12"/>
  <c r="F207" i="12"/>
  <c r="F88" i="12"/>
  <c r="F450" i="12"/>
  <c r="F445" i="12"/>
  <c r="F437" i="12"/>
  <c r="F429" i="12"/>
  <c r="F421" i="12"/>
  <c r="F413" i="12"/>
  <c r="F397" i="12"/>
  <c r="F278" i="12"/>
  <c r="F502" i="12"/>
  <c r="F500" i="12"/>
  <c r="F498" i="12"/>
  <c r="F496" i="12"/>
  <c r="F494" i="12"/>
  <c r="F492" i="12"/>
  <c r="F490" i="12"/>
  <c r="F488" i="12"/>
  <c r="F486" i="12"/>
  <c r="F484" i="12"/>
  <c r="F482" i="12"/>
  <c r="F480" i="12"/>
  <c r="F478" i="12"/>
  <c r="F476" i="12"/>
  <c r="F474" i="12"/>
  <c r="F472" i="12"/>
  <c r="F470" i="12"/>
  <c r="F468" i="12"/>
  <c r="F466" i="12"/>
  <c r="F464" i="12"/>
  <c r="F462" i="12"/>
  <c r="F460" i="12"/>
  <c r="F458" i="12"/>
  <c r="F456" i="12"/>
  <c r="F451" i="12"/>
  <c r="F448" i="12"/>
  <c r="F443" i="12"/>
  <c r="F440" i="12"/>
  <c r="F435" i="12"/>
  <c r="F432" i="12"/>
  <c r="F427" i="12"/>
  <c r="F424" i="12"/>
  <c r="F419" i="12"/>
  <c r="F416" i="12"/>
  <c r="F411" i="12"/>
  <c r="F408" i="12"/>
  <c r="F403" i="12"/>
  <c r="F400" i="12"/>
  <c r="F395" i="12"/>
  <c r="F392" i="12"/>
  <c r="F387" i="12"/>
  <c r="F384" i="12"/>
  <c r="F379" i="12"/>
  <c r="F376" i="12"/>
  <c r="F371" i="12"/>
  <c r="F368" i="12"/>
  <c r="F363" i="12"/>
  <c r="F360" i="12"/>
  <c r="F355" i="12"/>
  <c r="F348" i="12"/>
  <c r="F345" i="12"/>
  <c r="F341" i="12"/>
  <c r="F334" i="12"/>
  <c r="F330" i="12"/>
  <c r="F327" i="12"/>
  <c r="F316" i="12"/>
  <c r="F313" i="12"/>
  <c r="F302" i="12"/>
  <c r="F281" i="12"/>
  <c r="F268" i="12"/>
  <c r="F239" i="12"/>
  <c r="F196" i="12"/>
  <c r="F352" i="12"/>
  <c r="F347" i="12"/>
  <c r="F344" i="12"/>
  <c r="F339" i="12"/>
  <c r="F336" i="12"/>
  <c r="F331" i="12"/>
  <c r="F328" i="12"/>
  <c r="F323" i="12"/>
  <c r="F320" i="12"/>
  <c r="F315" i="12"/>
  <c r="F312" i="12"/>
  <c r="F307" i="12"/>
  <c r="F304" i="12"/>
  <c r="F299" i="12"/>
  <c r="F296" i="12"/>
  <c r="F291" i="12"/>
  <c r="F288" i="12"/>
  <c r="F283" i="12"/>
  <c r="F280" i="12"/>
  <c r="F275" i="12"/>
  <c r="F262" i="12"/>
  <c r="F254" i="12"/>
  <c r="F246" i="12"/>
  <c r="F236" i="12"/>
  <c r="F215" i="12"/>
  <c r="F204" i="12"/>
  <c r="F163" i="12"/>
  <c r="F120" i="12"/>
  <c r="F35" i="12"/>
  <c r="F301" i="12"/>
  <c r="F298" i="12"/>
  <c r="F293" i="12"/>
  <c r="F290" i="12"/>
  <c r="F285" i="12"/>
  <c r="F282" i="12"/>
  <c r="F277" i="12"/>
  <c r="F274" i="12"/>
  <c r="F270" i="12"/>
  <c r="F266" i="12"/>
  <c r="F260" i="12"/>
  <c r="F252" i="12"/>
  <c r="F244" i="12"/>
  <c r="F223" i="12"/>
  <c r="F212" i="12"/>
  <c r="F152" i="12"/>
  <c r="F67" i="12"/>
  <c r="F24" i="12"/>
  <c r="F311" i="12"/>
  <c r="F308" i="12"/>
  <c r="F303" i="12"/>
  <c r="F300" i="12"/>
  <c r="F295" i="12"/>
  <c r="F292" i="12"/>
  <c r="F287" i="12"/>
  <c r="F284" i="12"/>
  <c r="F279" i="12"/>
  <c r="F276" i="12"/>
  <c r="F258" i="12"/>
  <c r="F250" i="12"/>
  <c r="F231" i="12"/>
  <c r="F220" i="12"/>
  <c r="F199" i="12"/>
  <c r="F99" i="12"/>
  <c r="F56" i="12"/>
  <c r="F241" i="12"/>
  <c r="F238" i="12"/>
  <c r="F233" i="12"/>
  <c r="F230" i="12"/>
  <c r="F225" i="12"/>
  <c r="F222" i="12"/>
  <c r="F217" i="12"/>
  <c r="F214" i="12"/>
  <c r="F209" i="12"/>
  <c r="F206" i="12"/>
  <c r="F201" i="12"/>
  <c r="F198" i="12"/>
  <c r="F193" i="12"/>
  <c r="F171" i="12"/>
  <c r="F160" i="12"/>
  <c r="F139" i="12"/>
  <c r="F128" i="12"/>
  <c r="F107" i="12"/>
  <c r="F96" i="12"/>
  <c r="F75" i="12"/>
  <c r="F64" i="12"/>
  <c r="F43" i="12"/>
  <c r="F32" i="12"/>
  <c r="F11" i="12"/>
  <c r="F273" i="12"/>
  <c r="F271" i="12"/>
  <c r="F269" i="12"/>
  <c r="F267" i="12"/>
  <c r="F265" i="12"/>
  <c r="F263" i="12"/>
  <c r="F261" i="12"/>
  <c r="F259" i="12"/>
  <c r="F257" i="12"/>
  <c r="F255" i="12"/>
  <c r="F253" i="12"/>
  <c r="F251" i="12"/>
  <c r="F249" i="12"/>
  <c r="F247" i="12"/>
  <c r="F245" i="12"/>
  <c r="F243" i="12"/>
  <c r="F240" i="12"/>
  <c r="F235" i="12"/>
  <c r="F232" i="12"/>
  <c r="F227" i="12"/>
  <c r="F224" i="12"/>
  <c r="F219" i="12"/>
  <c r="F216" i="12"/>
  <c r="F211" i="12"/>
  <c r="F208" i="12"/>
  <c r="F203" i="12"/>
  <c r="F200" i="12"/>
  <c r="F195" i="12"/>
  <c r="F168" i="12"/>
  <c r="F147" i="12"/>
  <c r="F136" i="12"/>
  <c r="F115" i="12"/>
  <c r="F104" i="12"/>
  <c r="F83" i="12"/>
  <c r="F72" i="12"/>
  <c r="F51" i="12"/>
  <c r="F40" i="12"/>
  <c r="F19" i="12"/>
  <c r="F8" i="12"/>
  <c r="F242" i="12"/>
  <c r="F237" i="12"/>
  <c r="F234" i="12"/>
  <c r="F229" i="12"/>
  <c r="F226" i="12"/>
  <c r="F221" i="12"/>
  <c r="F218" i="12"/>
  <c r="F213" i="12"/>
  <c r="F210" i="12"/>
  <c r="F205" i="12"/>
  <c r="F202" i="12"/>
  <c r="F197" i="12"/>
  <c r="F194" i="12"/>
  <c r="F191" i="12"/>
  <c r="F155" i="12"/>
  <c r="F144" i="12"/>
  <c r="F123" i="12"/>
  <c r="F112" i="12"/>
  <c r="F91" i="12"/>
  <c r="F80" i="12"/>
  <c r="F59" i="12"/>
  <c r="F48" i="12"/>
  <c r="F27" i="12"/>
  <c r="F16" i="12"/>
  <c r="F189" i="12"/>
  <c r="F187" i="12"/>
  <c r="F185" i="12"/>
  <c r="F183" i="12"/>
  <c r="F181" i="12"/>
  <c r="F179" i="12"/>
  <c r="F177" i="12"/>
  <c r="F175" i="12"/>
  <c r="F173" i="12"/>
  <c r="F170" i="12"/>
  <c r="F165" i="12"/>
  <c r="F162" i="12"/>
  <c r="F157" i="12"/>
  <c r="F154" i="12"/>
  <c r="F149" i="12"/>
  <c r="F146" i="12"/>
  <c r="F141" i="12"/>
  <c r="F138" i="12"/>
  <c r="F133" i="12"/>
  <c r="F130" i="12"/>
  <c r="F125" i="12"/>
  <c r="F122" i="12"/>
  <c r="F117" i="12"/>
  <c r="F114" i="12"/>
  <c r="F109" i="12"/>
  <c r="F106" i="12"/>
  <c r="F101" i="12"/>
  <c r="F98" i="12"/>
  <c r="F93" i="12"/>
  <c r="F90" i="12"/>
  <c r="F85" i="12"/>
  <c r="F82" i="12"/>
  <c r="F77" i="12"/>
  <c r="F74" i="12"/>
  <c r="F69" i="12"/>
  <c r="F66" i="12"/>
  <c r="F61" i="12"/>
  <c r="F58" i="12"/>
  <c r="F53" i="12"/>
  <c r="F50" i="12"/>
  <c r="F45" i="12"/>
  <c r="F42" i="12"/>
  <c r="F37" i="12"/>
  <c r="F34" i="12"/>
  <c r="F29" i="12"/>
  <c r="F26" i="12"/>
  <c r="F21" i="12"/>
  <c r="F18" i="12"/>
  <c r="F13" i="12"/>
  <c r="F10" i="12"/>
  <c r="F5" i="12"/>
  <c r="F172" i="12"/>
  <c r="F167" i="12"/>
  <c r="F164" i="12"/>
  <c r="F159" i="12"/>
  <c r="F156" i="12"/>
  <c r="F151" i="12"/>
  <c r="F148" i="12"/>
  <c r="F143" i="12"/>
  <c r="F140" i="12"/>
  <c r="F135" i="12"/>
  <c r="F132" i="12"/>
  <c r="F127" i="12"/>
  <c r="F124" i="12"/>
  <c r="F119" i="12"/>
  <c r="F116" i="12"/>
  <c r="F111" i="12"/>
  <c r="F108" i="12"/>
  <c r="F103" i="12"/>
  <c r="F100" i="12"/>
  <c r="F95" i="12"/>
  <c r="F92" i="12"/>
  <c r="F87" i="12"/>
  <c r="F84" i="12"/>
  <c r="F79" i="12"/>
  <c r="F76" i="12"/>
  <c r="F71" i="12"/>
  <c r="F68" i="12"/>
  <c r="F63" i="12"/>
  <c r="F60" i="12"/>
  <c r="F55" i="12"/>
  <c r="F52" i="12"/>
  <c r="F47" i="12"/>
  <c r="F44" i="12"/>
  <c r="F39" i="12"/>
  <c r="F36" i="12"/>
  <c r="F31" i="12"/>
  <c r="F28" i="12"/>
  <c r="F23" i="12"/>
  <c r="F20" i="12"/>
  <c r="F15" i="12"/>
  <c r="F12" i="12"/>
  <c r="F7" i="12"/>
  <c r="F192" i="12"/>
  <c r="F190" i="12"/>
  <c r="F188" i="12"/>
  <c r="F186" i="12"/>
  <c r="F184" i="12"/>
  <c r="F182" i="12"/>
  <c r="F180" i="12"/>
  <c r="F178" i="12"/>
  <c r="F176" i="12"/>
  <c r="F174" i="12"/>
  <c r="F169" i="12"/>
  <c r="F166" i="12"/>
  <c r="F161" i="12"/>
  <c r="F158" i="12"/>
  <c r="F153" i="12"/>
  <c r="F150" i="12"/>
  <c r="F145" i="12"/>
  <c r="F142" i="12"/>
  <c r="F137" i="12"/>
  <c r="F134" i="12"/>
  <c r="F129" i="12"/>
  <c r="F126" i="12"/>
  <c r="F121" i="12"/>
  <c r="F118" i="12"/>
  <c r="F113" i="12"/>
  <c r="F110" i="12"/>
  <c r="F105" i="12"/>
  <c r="F102" i="12"/>
  <c r="F97" i="12"/>
  <c r="F94" i="12"/>
  <c r="F89" i="12"/>
  <c r="F86" i="12"/>
  <c r="F81" i="12"/>
  <c r="F78" i="12"/>
  <c r="F73" i="12"/>
  <c r="F70" i="12"/>
  <c r="F65" i="12"/>
  <c r="F62" i="12"/>
  <c r="F57" i="12"/>
  <c r="F54" i="12"/>
  <c r="F49" i="12"/>
  <c r="F46" i="12"/>
  <c r="F41" i="12"/>
  <c r="F38" i="12"/>
  <c r="F33" i="12"/>
  <c r="F30" i="12"/>
  <c r="F25" i="12"/>
  <c r="F22" i="12"/>
  <c r="F17" i="12"/>
  <c r="F14" i="12"/>
  <c r="F9" i="12"/>
  <c r="F6" i="12"/>
  <c r="F3" i="12"/>
  <c r="F4" i="12"/>
  <c r="C68" i="14"/>
  <c r="C69" i="14"/>
  <c r="D68" i="14"/>
  <c r="D66" i="14"/>
  <c r="C67" i="14"/>
  <c r="D67" i="14"/>
  <c r="C16" i="14"/>
  <c r="D64" i="14"/>
  <c r="D48" i="14"/>
  <c r="D40" i="14"/>
  <c r="D36" i="14"/>
  <c r="D16" i="14"/>
  <c r="D8" i="14"/>
  <c r="C63" i="14"/>
  <c r="C59" i="14"/>
  <c r="C31" i="14"/>
  <c r="C3" i="14"/>
  <c r="D63" i="14"/>
  <c r="D55" i="14"/>
  <c r="D51" i="14"/>
  <c r="D31" i="14"/>
  <c r="D23" i="14"/>
  <c r="D19" i="14"/>
  <c r="D15" i="14"/>
  <c r="D44" i="14"/>
  <c r="C66" i="14"/>
  <c r="C22" i="14"/>
  <c r="C14" i="14"/>
  <c r="D38" i="14"/>
  <c r="D30" i="14"/>
  <c r="C65" i="14"/>
  <c r="C61" i="14"/>
  <c r="C37" i="14"/>
  <c r="D65" i="14"/>
  <c r="D57" i="14"/>
  <c r="D53" i="14"/>
  <c r="D17" i="14"/>
  <c r="D13" i="14"/>
  <c r="D5" i="14"/>
  <c r="C64" i="14"/>
  <c r="C24" i="14"/>
  <c r="C111" i="6" a="1"/>
  <c r="C215" i="6" a="1"/>
  <c r="C41" i="6" a="1"/>
  <c r="C417" i="6" a="1"/>
  <c r="C295" i="6" a="1"/>
  <c r="C26" i="6" a="1"/>
  <c r="C330" i="6" a="1"/>
  <c r="C173" i="6" a="1"/>
  <c r="C400" i="6" a="1"/>
  <c r="C66" i="6" a="1"/>
  <c r="C478" i="6" a="1"/>
  <c r="C156" i="6" a="1"/>
  <c r="C32" i="6" a="1"/>
  <c r="C232" i="6" a="1"/>
  <c r="C269" i="6" a="1"/>
  <c r="C106" i="6" a="1"/>
  <c r="C268" i="6" a="1"/>
  <c r="C168" i="6" a="1"/>
  <c r="C301" i="6" a="1"/>
  <c r="C339" i="6" a="1"/>
  <c r="C18" i="6" a="1"/>
  <c r="C199" i="6" a="1"/>
  <c r="C273" i="6" a="1"/>
  <c r="C71" i="6" a="1"/>
  <c r="C361" i="6" a="1"/>
  <c r="C408" i="6" a="1"/>
  <c r="C442" i="6" a="1"/>
  <c r="C466" i="6" a="1"/>
  <c r="C154" i="6" a="1"/>
  <c r="C123" i="6" a="1"/>
  <c r="C482" i="6" a="1"/>
  <c r="C359" i="6" a="1"/>
  <c r="C145" i="6" a="1"/>
  <c r="C455" i="6" a="1"/>
  <c r="C155" i="6" a="1"/>
  <c r="C20" i="6" a="1"/>
  <c r="C394" i="6" a="1"/>
  <c r="C468" i="6" a="1"/>
  <c r="C249" i="6" a="1"/>
  <c r="C327" i="6" a="1"/>
  <c r="C77" i="6" a="1"/>
  <c r="C256" i="6" a="1"/>
  <c r="C90" i="6" a="1"/>
  <c r="C491" i="6" a="1"/>
  <c r="C325" i="6" a="1"/>
  <c r="C141" i="6" a="1"/>
  <c r="C345" i="6" a="1"/>
  <c r="C93" i="6" a="1"/>
  <c r="C382" i="6" a="1"/>
  <c r="C86" i="6" a="1"/>
  <c r="C371" i="6" a="1"/>
  <c r="C205" i="6" a="1"/>
  <c r="C12" i="6" a="1"/>
  <c r="C48" i="6" a="1"/>
  <c r="C100" i="6" a="1"/>
  <c r="C429" i="6" a="1"/>
  <c r="C424" i="6" a="1"/>
  <c r="C13" i="6" a="1"/>
  <c r="C450" i="6" a="1"/>
  <c r="C116" i="6" a="1"/>
  <c r="C511" i="6" a="1"/>
  <c r="C126" i="6" a="1"/>
  <c r="C433" i="6" a="1"/>
  <c r="C274" i="6" a="1"/>
  <c r="C457" i="6" a="1"/>
  <c r="C67" i="6" a="1"/>
  <c r="C403" i="6" a="1"/>
  <c r="C439" i="6" a="1"/>
  <c r="C239" i="6" a="1"/>
  <c r="C501" i="6" a="1"/>
  <c r="C347" i="6" a="1"/>
  <c r="C271" i="6" a="1"/>
  <c r="C479" i="6" a="1"/>
  <c r="C481" i="6" a="1"/>
  <c r="C299" i="6" a="1"/>
  <c r="C270" i="6" a="1"/>
  <c r="C223" i="6" a="1"/>
  <c r="C46" i="6" a="1"/>
  <c r="C384" i="6" a="1"/>
  <c r="C181" i="6" a="1"/>
  <c r="C411" i="6" a="1"/>
  <c r="C157" i="6" a="1"/>
  <c r="C207" i="6" a="1"/>
  <c r="C63" i="6" a="1"/>
  <c r="C222" i="6" a="1"/>
  <c r="C461" i="6" a="1"/>
  <c r="C518" i="6" a="1"/>
  <c r="C341" i="6" a="1"/>
  <c r="C163" i="6" a="1"/>
  <c r="C492" i="6" a="1"/>
  <c r="C22" i="6" a="1"/>
  <c r="C431" i="6" a="1"/>
  <c r="C456" i="6" a="1"/>
  <c r="C231" i="6" a="1"/>
  <c r="C208" i="6" a="1"/>
  <c r="C74" i="6" a="1"/>
  <c r="C88" i="6" a="1"/>
  <c r="C285" i="6" a="1"/>
  <c r="C115" i="6" a="1"/>
  <c r="C92" i="6" a="1"/>
  <c r="C458" i="6" a="1"/>
  <c r="C138" i="6" a="1"/>
  <c r="C395" i="6" a="1"/>
  <c r="C253" i="6" a="1"/>
  <c r="C500" i="6" a="1"/>
  <c r="C486" i="6" a="1"/>
  <c r="C404" i="6" a="1"/>
  <c r="C333" i="6" a="1"/>
  <c r="C355" i="6" a="1"/>
  <c r="C6" i="6" a="1"/>
  <c r="C280" i="6" a="1"/>
  <c r="C185" i="6" a="1"/>
  <c r="C201" i="6" a="1"/>
  <c r="C517" i="6" a="1"/>
  <c r="C362" i="6" a="1"/>
  <c r="C464" i="6" a="1"/>
  <c r="C363" i="6" a="1"/>
  <c r="C319" i="6" a="1"/>
  <c r="C484" i="6" a="1"/>
  <c r="C290" i="6" a="1"/>
  <c r="C306" i="6" a="1"/>
  <c r="C137" i="6" a="1"/>
  <c r="C460" i="6" a="1"/>
  <c r="C398" i="6" a="1"/>
  <c r="C331" i="6" a="1"/>
  <c r="C443" i="6" a="1"/>
  <c r="C263" i="6" a="1"/>
  <c r="C146" i="6" a="1"/>
  <c r="C191" i="6" a="1"/>
  <c r="C37" i="6" a="1"/>
  <c r="C144" i="6" a="1"/>
  <c r="C73" i="6" a="1"/>
  <c r="C490" i="6" a="1"/>
  <c r="C350" i="6" a="1"/>
  <c r="C423" i="6" a="1"/>
  <c r="C372" i="6" a="1"/>
  <c r="C190" i="6" a="1"/>
  <c r="C49" i="6" a="1"/>
  <c r="C16" i="6" a="1"/>
  <c r="C286" i="6" a="1"/>
  <c r="C515" i="6" a="1"/>
  <c r="C103" i="6" a="1"/>
  <c r="C240" i="6" a="1"/>
  <c r="C300" i="6" a="1"/>
  <c r="C437" i="6" a="1"/>
  <c r="C91" i="6" a="1"/>
  <c r="C81" i="6" a="1"/>
  <c r="C107" i="6" a="1"/>
  <c r="C109" i="6" a="1"/>
  <c r="C89" i="6" a="1"/>
  <c r="C297" i="6" a="1"/>
  <c r="C391" i="6" a="1"/>
  <c r="C287" i="6" a="1"/>
  <c r="C265" i="6" a="1"/>
  <c r="C136" i="6" a="1"/>
  <c r="C278" i="6" a="1"/>
  <c r="C38" i="6" a="1"/>
  <c r="C23" i="6" a="1"/>
  <c r="C272" i="6" a="1"/>
  <c r="C513" i="6" a="1"/>
  <c r="C10" i="6" a="1"/>
  <c r="C336" i="6" a="1"/>
  <c r="C79" i="6" a="1"/>
  <c r="C389" i="6" a="1"/>
  <c r="C142" i="6" a="1"/>
  <c r="C171" i="6" a="1"/>
  <c r="C370" i="6" a="1"/>
  <c r="C194" i="6" a="1"/>
  <c r="C514" i="6" a="1"/>
  <c r="C282" i="6" a="1"/>
  <c r="C375" i="6" a="1"/>
  <c r="C346" i="6" a="1"/>
  <c r="C258" i="6" a="1"/>
  <c r="C264" i="6" a="1"/>
  <c r="C318" i="6" a="1"/>
  <c r="C487" i="6" a="1"/>
  <c r="C399" i="6" a="1"/>
  <c r="C390" i="6" a="1"/>
  <c r="C368" i="6" a="1"/>
  <c r="C189" i="6" a="1"/>
  <c r="C378" i="6" a="1"/>
  <c r="C374" i="6" a="1"/>
  <c r="C519" i="6" a="1"/>
  <c r="C422" i="6" a="1"/>
  <c r="C348" i="6" a="1"/>
  <c r="C475" i="6" a="1"/>
  <c r="C385" i="6" a="1"/>
  <c r="C50" i="6" a="1"/>
  <c r="C307" i="6" a="1"/>
  <c r="C236" i="6" a="1"/>
  <c r="C21" i="6" a="1"/>
  <c r="C234" i="6" a="1"/>
  <c r="C358" i="6" a="1"/>
  <c r="C25" i="6" a="1"/>
  <c r="C342" i="6" a="1"/>
  <c r="C509" i="6" a="1"/>
  <c r="C221" i="6" a="1"/>
  <c r="C238" i="6" a="1"/>
  <c r="C242" i="6" a="1"/>
  <c r="C413" i="6" a="1"/>
  <c r="C7" i="6" a="1"/>
  <c r="C453" i="6" a="1"/>
  <c r="C35" i="6" a="1"/>
  <c r="C275" i="6" a="1"/>
  <c r="C80" i="6" a="1"/>
  <c r="C104" i="6" a="1"/>
  <c r="C477" i="6" a="1"/>
  <c r="C261" i="6" a="1"/>
  <c r="C510" i="6" a="1"/>
  <c r="C228" i="6" a="1"/>
  <c r="C427" i="6" a="1"/>
  <c r="C288" i="6" a="1"/>
  <c r="C192" i="6" a="1"/>
  <c r="C476" i="6" a="1"/>
  <c r="C499" i="6" a="1"/>
  <c r="C166" i="6" a="1"/>
  <c r="C39" i="6" a="1"/>
  <c r="C153" i="6" a="1"/>
  <c r="C289" i="6" a="1"/>
  <c r="C284" i="6" a="1"/>
  <c r="C320" i="6" a="1"/>
  <c r="C235" i="6" a="1"/>
  <c r="C257" i="6" a="1"/>
  <c r="C195" i="6" a="1"/>
  <c r="C247" i="6" a="1"/>
  <c r="C179" i="6" a="1"/>
  <c r="C94" i="6" a="1"/>
  <c r="C410" i="6" a="1"/>
  <c r="C44" i="6" a="1"/>
  <c r="C276" i="6" a="1"/>
  <c r="C225" i="6" a="1"/>
  <c r="C505" i="6" a="1"/>
  <c r="C354" i="6" a="1"/>
  <c r="C164" i="6" a="1"/>
  <c r="C351" i="6" a="1"/>
  <c r="C383" i="6" a="1"/>
  <c r="C29" i="6" a="1"/>
  <c r="C119" i="6" a="1"/>
  <c r="C62" i="6" a="1"/>
  <c r="C121" i="6" a="1"/>
  <c r="C248" i="6" a="1"/>
  <c r="C353" i="6" a="1"/>
  <c r="C237" i="6" a="1"/>
  <c r="C502" i="6" a="1"/>
  <c r="C31" i="6" a="1"/>
  <c r="C293" i="6" a="1"/>
  <c r="C214" i="6" a="1"/>
  <c r="C82" i="6" a="1"/>
  <c r="C127" i="6" a="1"/>
  <c r="C15" i="6" a="1"/>
  <c r="C322" i="6" a="1"/>
  <c r="C251" i="6" a="1"/>
  <c r="C267" i="6" a="1"/>
  <c r="C58" i="6" a="1"/>
  <c r="C108" i="6" a="1"/>
  <c r="C260" i="6" a="1"/>
  <c r="C357" i="6" a="1"/>
  <c r="C204" i="6" a="1"/>
  <c r="C388" i="6" a="1"/>
  <c r="C485" i="6" a="1"/>
  <c r="C55" i="6" a="1"/>
  <c r="C324" i="6" a="1"/>
  <c r="C255" i="6" a="1"/>
  <c r="C393" i="6" a="1"/>
  <c r="C56" i="6" a="1"/>
  <c r="C227" i="6" a="1"/>
  <c r="C151" i="6" a="1"/>
  <c r="C416" i="6" a="1"/>
  <c r="C349" i="6" a="1"/>
  <c r="C462" i="6" a="1"/>
  <c r="C294" i="6" a="1"/>
  <c r="C174" i="6" a="1"/>
  <c r="C292" i="6" a="1"/>
  <c r="C139" i="6" a="1"/>
  <c r="C381" i="6" a="1"/>
  <c r="C436" i="6" a="1"/>
  <c r="C317" i="6" a="1"/>
  <c r="C65" i="6" a="1"/>
  <c r="C243" i="6" a="1"/>
  <c r="C134" i="6" a="1"/>
  <c r="C304" i="6" a="1"/>
  <c r="C70" i="6" a="1"/>
  <c r="C356" i="6" a="1"/>
  <c r="C488" i="6" a="1"/>
  <c r="C407" i="6" a="1"/>
  <c r="C277" i="6" a="1"/>
  <c r="C130" i="6" a="1"/>
  <c r="C97" i="6" a="1"/>
  <c r="C53" i="6" a="1"/>
  <c r="C344" i="6" a="1"/>
  <c r="C397" i="6" a="1"/>
  <c r="C326" i="6" a="1"/>
  <c r="C430" i="6" a="1"/>
  <c r="C128" i="6" a="1"/>
  <c r="C113" i="6" a="1"/>
  <c r="C140" i="6" a="1"/>
  <c r="C200" i="6" a="1"/>
  <c r="C147" i="6" a="1"/>
  <c r="C494" i="6" a="1"/>
  <c r="C496" i="6" a="1"/>
  <c r="C521" i="6" a="1"/>
  <c r="C449" i="6" a="1"/>
  <c r="C212" i="6" a="1"/>
  <c r="C69" i="6" a="1"/>
  <c r="C169" i="6" a="1"/>
  <c r="C83" i="6" a="1"/>
  <c r="C226" i="6" a="1"/>
  <c r="C367" i="6" a="1"/>
  <c r="C421" i="6" a="1"/>
  <c r="C124" i="6" a="1"/>
  <c r="C463" i="6" a="1"/>
  <c r="C470" i="6" a="1"/>
  <c r="C167" i="6" a="1"/>
  <c r="C434" i="6" a="1"/>
  <c r="C51" i="6" a="1"/>
  <c r="C131" i="6" a="1"/>
  <c r="C452" i="6" a="1"/>
  <c r="C332" i="6" a="1"/>
  <c r="C469" i="6" a="1"/>
  <c r="C87" i="6" a="1"/>
  <c r="C335" i="6" a="1"/>
  <c r="C19" i="6" a="1"/>
  <c r="C498" i="6" a="1"/>
  <c r="C148" i="6" a="1"/>
  <c r="C158" i="6" a="1"/>
  <c r="C182" i="6" a="1"/>
  <c r="C184" i="6" a="1"/>
  <c r="C196" i="6" a="1"/>
  <c r="C279" i="6" a="1"/>
  <c r="C160" i="6" a="1"/>
  <c r="C203" i="6" a="1"/>
  <c r="C64" i="6" a="1"/>
  <c r="C473" i="6" a="1"/>
  <c r="C409" i="6" a="1"/>
  <c r="C343" i="6" a="1"/>
  <c r="C425" i="6" a="1"/>
  <c r="C61" i="6" a="1"/>
  <c r="C364" i="6" a="1"/>
  <c r="C193" i="6" a="1"/>
  <c r="C448" i="6" a="1"/>
  <c r="C419" i="6" a="1"/>
  <c r="C380" i="6" a="1"/>
  <c r="C420" i="6" a="1"/>
  <c r="C233" i="6" a="1"/>
  <c r="C180" i="6" a="1"/>
  <c r="C85" i="6" a="1"/>
  <c r="C186" i="6" a="1"/>
  <c r="C435" i="6" a="1"/>
  <c r="C143" i="6" a="1"/>
  <c r="C5" i="6" a="1"/>
  <c r="C219" i="6" a="1"/>
  <c r="C34" i="6" a="1"/>
  <c r="C438" i="6" a="1"/>
  <c r="C112" i="6" a="1"/>
  <c r="C471" i="6" a="1"/>
  <c r="C95" i="6" a="1"/>
  <c r="C441" i="6" a="1"/>
  <c r="C386" i="6" a="1"/>
  <c r="C308" i="6" a="1"/>
  <c r="C220" i="6" a="1"/>
  <c r="C54" i="6" a="1"/>
  <c r="C45" i="6" a="1"/>
  <c r="C340" i="6" a="1"/>
  <c r="C11" i="6" a="1"/>
  <c r="C379" i="6" a="1"/>
  <c r="C321" i="6" a="1"/>
  <c r="C366" i="6" a="1"/>
  <c r="C59" i="6" a="1"/>
  <c r="C217" i="6" a="1"/>
  <c r="C252" i="6" a="1"/>
  <c r="C516" i="6" a="1"/>
  <c r="C360" i="6" a="1"/>
  <c r="C316" i="6" a="1"/>
  <c r="C412" i="6" a="1"/>
  <c r="C311" i="6" a="1"/>
  <c r="C40" i="6" a="1"/>
  <c r="C162" i="6" a="1"/>
  <c r="C187" i="6" a="1"/>
  <c r="C177" i="6" a="1"/>
  <c r="C497" i="6" a="1"/>
  <c r="C135" i="6" a="1"/>
  <c r="C72" i="6" a="1"/>
  <c r="C418" i="6" a="1"/>
  <c r="C365" i="6" a="1"/>
  <c r="C198" i="6" a="1"/>
  <c r="C312" i="6" a="1"/>
  <c r="C241" i="6" a="1"/>
  <c r="C402" i="6" a="1"/>
  <c r="C60" i="6" a="1"/>
  <c r="C105" i="6" a="1"/>
  <c r="C406" i="6" a="1"/>
  <c r="C175" i="6" a="1"/>
  <c r="C415" i="6" a="1"/>
  <c r="C520" i="6" a="1"/>
  <c r="C302" i="6" a="1"/>
  <c r="C176" i="6" a="1"/>
  <c r="C57" i="6" a="1"/>
  <c r="C334" i="6" a="1"/>
  <c r="C352" i="6" a="1"/>
  <c r="C493" i="6" a="1"/>
  <c r="C14" i="6" a="1"/>
  <c r="C373" i="6" a="1"/>
  <c r="C98" i="6" a="1"/>
  <c r="C244" i="6" a="1"/>
  <c r="C161" i="6" a="1"/>
  <c r="C246" i="6" a="1"/>
  <c r="C110" i="6" a="1"/>
  <c r="C483" i="6" a="1"/>
  <c r="C337" i="6" a="1"/>
  <c r="C229" i="6" a="1"/>
  <c r="C149" i="6" a="1"/>
  <c r="C30" i="6" a="1"/>
  <c r="C396" i="6" a="1"/>
  <c r="C114" i="6" a="1"/>
  <c r="C178" i="6" a="1"/>
  <c r="C78" i="6" a="1"/>
  <c r="C401" i="6" a="1"/>
  <c r="C377" i="6" a="1"/>
  <c r="C17" i="6" a="1"/>
  <c r="C314" i="6" a="1"/>
  <c r="C480" i="6" a="1"/>
  <c r="C447" i="6" a="1"/>
  <c r="C310" i="6" a="1"/>
  <c r="C152" i="6" a="1"/>
  <c r="C329" i="6" a="1"/>
  <c r="C338" i="6" a="1"/>
  <c r="C117" i="6" a="1"/>
  <c r="C262" i="6" a="1"/>
  <c r="C503" i="6" a="1"/>
  <c r="C197" i="6" a="1"/>
  <c r="C216" i="6" a="1"/>
  <c r="C150" i="6" a="1"/>
  <c r="C506" i="6" a="1"/>
  <c r="C68" i="6" a="1"/>
  <c r="C440" i="6" a="1"/>
  <c r="C99" i="6" a="1"/>
  <c r="C432" i="6" a="1"/>
  <c r="C444" i="6" a="1"/>
  <c r="C125" i="6" a="1"/>
  <c r="C52" i="6" a="1"/>
  <c r="C183" i="6" a="1"/>
  <c r="C512" i="6" a="1"/>
  <c r="C8" i="6" a="1"/>
  <c r="C465" i="6" a="1"/>
  <c r="C218" i="6" a="1"/>
  <c r="C369" i="6" a="1"/>
  <c r="C296" i="6" a="1"/>
  <c r="C36" i="6" a="1"/>
  <c r="C76" i="6" a="1"/>
  <c r="C47" i="6" a="1"/>
  <c r="C451" i="6" a="1"/>
  <c r="C211" i="6" a="1"/>
  <c r="C245" i="6" a="1"/>
  <c r="C84" i="6" a="1"/>
  <c r="C129" i="6" a="1"/>
  <c r="C230" i="6" a="1"/>
  <c r="C170" i="6" a="1"/>
  <c r="C459" i="6" a="1"/>
  <c r="C305" i="6" a="1"/>
  <c r="C259" i="6" a="1"/>
  <c r="C206" i="6" a="1"/>
  <c r="C9" i="6" a="1"/>
  <c r="C202" i="6" a="1"/>
  <c r="C28" i="6" a="1"/>
  <c r="C328" i="6" a="1"/>
  <c r="C428" i="6" a="1"/>
  <c r="C495" i="6" a="1"/>
  <c r="C132" i="6" a="1"/>
  <c r="C504" i="6" a="1"/>
  <c r="C266" i="6" a="1"/>
  <c r="C281" i="6" a="1"/>
  <c r="C75" i="6" a="1"/>
  <c r="C42" i="6" a="1"/>
  <c r="C315" i="6" a="1"/>
  <c r="C303" i="6" a="1"/>
  <c r="C172" i="6" a="1"/>
  <c r="C298" i="6" a="1"/>
  <c r="C159" i="6" a="1"/>
  <c r="C405" i="6" a="1"/>
  <c r="C118" i="6" a="1"/>
  <c r="C489" i="6" a="1"/>
  <c r="C313" i="6" a="1"/>
  <c r="C96" i="6" a="1"/>
  <c r="C165" i="6" a="1"/>
  <c r="C254" i="6" a="1"/>
  <c r="C446" i="6" a="1"/>
  <c r="C188" i="6" a="1"/>
  <c r="C472" i="6" a="1"/>
  <c r="C209" i="6" a="1"/>
  <c r="C467" i="6" a="1"/>
  <c r="C122" i="6" a="1"/>
  <c r="C102" i="6" a="1"/>
  <c r="C33" i="6" a="1"/>
  <c r="C426" i="6" a="1"/>
  <c r="C101" i="6" a="1"/>
  <c r="C291" i="6" a="1"/>
  <c r="C224" i="6" a="1"/>
  <c r="C387" i="6" a="1"/>
  <c r="C323" i="6" a="1"/>
  <c r="C250" i="6" a="1"/>
  <c r="C474" i="6" a="1"/>
  <c r="C283" i="6" a="1"/>
  <c r="C376" i="6" a="1"/>
  <c r="C120" i="6" a="1"/>
  <c r="C24" i="6" a="1"/>
  <c r="C508" i="6" a="1"/>
  <c r="C309" i="6" a="1"/>
  <c r="C454" i="6" a="1"/>
  <c r="C392" i="6" a="1"/>
  <c r="C414" i="6" a="1"/>
  <c r="C213" i="6" a="1"/>
  <c r="C27" i="6" a="1"/>
  <c r="C507" i="6" a="1"/>
  <c r="C133" i="6" a="1"/>
  <c r="C210" i="6" a="1"/>
  <c r="C445" i="6" a="1"/>
  <c r="C43" i="6" a="1"/>
  <c r="F83" i="14" a="1"/>
  <c r="F76" i="14" a="1"/>
  <c r="F75" i="14" a="1"/>
  <c r="F82" i="14" a="1"/>
  <c r="F85" i="14" a="1"/>
  <c r="F74" i="14" a="1"/>
  <c r="F80" i="14" a="1"/>
  <c r="F77" i="14" a="1"/>
  <c r="F72" i="14" a="1"/>
  <c r="F71" i="14" a="1"/>
  <c r="F79" i="14" a="1"/>
  <c r="F73" i="14" a="1"/>
  <c r="F84" i="14" a="1"/>
  <c r="F81" i="14" a="1"/>
  <c r="F78" i="14" a="1"/>
  <c r="F16" i="14" a="1"/>
  <c r="F70" i="14" a="1"/>
  <c r="F67" i="14" a="1"/>
  <c r="F31" i="14" a="1"/>
  <c r="F69" i="14" a="1"/>
  <c r="F66" i="14" a="1"/>
  <c r="F65" i="14" a="1"/>
  <c r="F63" i="14" a="1"/>
  <c r="F68" i="14" a="1"/>
  <c r="F64" i="14" a="1"/>
  <c r="F78" i="14" l="1"/>
  <c r="F81" i="14"/>
  <c r="F84" i="14"/>
  <c r="F73" i="14"/>
  <c r="F79" i="14"/>
  <c r="F71" i="14"/>
  <c r="F72" i="14"/>
  <c r="F77" i="14"/>
  <c r="F80" i="14"/>
  <c r="F74" i="14"/>
  <c r="F85" i="14"/>
  <c r="F82" i="14"/>
  <c r="F75" i="14"/>
  <c r="F76" i="14"/>
  <c r="F83" i="14"/>
  <c r="F64" i="14"/>
  <c r="F68" i="14"/>
  <c r="F63" i="14"/>
  <c r="F65" i="14"/>
  <c r="F66" i="14"/>
  <c r="F69" i="14"/>
  <c r="F31" i="14"/>
  <c r="F67" i="14"/>
  <c r="F70" i="14"/>
  <c r="F16" i="14"/>
  <c r="C5" i="14"/>
  <c r="D61" i="14"/>
  <c r="D21" i="14"/>
  <c r="C39" i="14"/>
  <c r="C51" i="14"/>
  <c r="C45" i="14"/>
  <c r="C11" i="14"/>
  <c r="D34" i="14"/>
  <c r="C12" i="14"/>
  <c r="C55" i="14"/>
  <c r="C9" i="14"/>
  <c r="D24" i="14"/>
  <c r="D42" i="14"/>
  <c r="D59" i="14"/>
  <c r="C57" i="14"/>
  <c r="C20" i="14"/>
  <c r="D41" i="14"/>
  <c r="C7" i="14"/>
  <c r="C49" i="14"/>
  <c r="C41" i="14"/>
  <c r="C28" i="14"/>
  <c r="D46" i="14"/>
  <c r="D12" i="14"/>
  <c r="C54" i="14"/>
  <c r="C44" i="14"/>
  <c r="C19" i="14"/>
  <c r="C10" i="14"/>
  <c r="C56" i="14"/>
  <c r="C43" i="14"/>
  <c r="D18" i="14"/>
  <c r="C26" i="14"/>
  <c r="D29" i="14"/>
  <c r="C13" i="14"/>
  <c r="D4" i="14"/>
  <c r="C33" i="14"/>
  <c r="C32" i="14"/>
  <c r="D7" i="14"/>
  <c r="D20" i="14"/>
  <c r="D45" i="14"/>
  <c r="C40" i="14"/>
  <c r="C15" i="14"/>
  <c r="C52" i="14"/>
  <c r="C35" i="14"/>
  <c r="D62" i="14"/>
  <c r="D43" i="14"/>
  <c r="D22" i="14"/>
  <c r="C6" i="14"/>
  <c r="D35" i="14"/>
  <c r="C46" i="14"/>
  <c r="C53" i="14"/>
  <c r="C47" i="14"/>
  <c r="C29" i="14"/>
  <c r="D49" i="14"/>
  <c r="C36" i="14"/>
  <c r="C8" i="14"/>
  <c r="C34" i="14"/>
  <c r="D32" i="14"/>
  <c r="C18" i="14"/>
  <c r="C62" i="14"/>
  <c r="D54" i="14"/>
  <c r="C42" i="14"/>
  <c r="D60" i="14"/>
  <c r="D47" i="14"/>
  <c r="C50" i="14"/>
  <c r="C21" i="14"/>
  <c r="D56" i="14"/>
  <c r="C58" i="14"/>
  <c r="C27" i="14"/>
  <c r="D37" i="14"/>
  <c r="C48" i="14"/>
  <c r="C23" i="14"/>
  <c r="C30" i="14"/>
  <c r="C60" i="14"/>
  <c r="D33" i="14"/>
  <c r="D50" i="14"/>
  <c r="C4" i="14"/>
  <c r="D6" i="14"/>
  <c r="C17" i="14"/>
  <c r="D52" i="14"/>
  <c r="C38" i="14"/>
  <c r="D58" i="14"/>
  <c r="C25" i="14"/>
  <c r="D14" i="14"/>
  <c r="D39" i="14"/>
  <c r="D28" i="14"/>
  <c r="D11" i="14"/>
  <c r="C43" i="6"/>
  <c r="C445" i="6"/>
  <c r="C210" i="6"/>
  <c r="C133" i="6"/>
  <c r="C507" i="6"/>
  <c r="C27" i="6"/>
  <c r="C213" i="6"/>
  <c r="C414" i="6"/>
  <c r="C392" i="6"/>
  <c r="C454" i="6"/>
  <c r="C309" i="6"/>
  <c r="C508" i="6"/>
  <c r="C24" i="6"/>
  <c r="C120" i="6"/>
  <c r="C376" i="6"/>
  <c r="C283" i="6"/>
  <c r="C474" i="6"/>
  <c r="C250" i="6"/>
  <c r="C323" i="6"/>
  <c r="C387" i="6"/>
  <c r="C224" i="6"/>
  <c r="C291" i="6"/>
  <c r="C101" i="6"/>
  <c r="C426" i="6"/>
  <c r="C33" i="6"/>
  <c r="C102" i="6"/>
  <c r="C122" i="6"/>
  <c r="C467" i="6"/>
  <c r="C209" i="6"/>
  <c r="C472" i="6"/>
  <c r="C188" i="6"/>
  <c r="C446" i="6"/>
  <c r="C254" i="6"/>
  <c r="C165" i="6"/>
  <c r="C96" i="6"/>
  <c r="C313" i="6"/>
  <c r="C489" i="6"/>
  <c r="C118" i="6"/>
  <c r="C405" i="6"/>
  <c r="C159" i="6"/>
  <c r="C298" i="6"/>
  <c r="C172" i="6"/>
  <c r="C303" i="6"/>
  <c r="C315" i="6"/>
  <c r="C42" i="6"/>
  <c r="C75" i="6"/>
  <c r="C281" i="6"/>
  <c r="C266" i="6"/>
  <c r="C504" i="6"/>
  <c r="C132" i="6"/>
  <c r="C495" i="6"/>
  <c r="C428" i="6"/>
  <c r="C328" i="6"/>
  <c r="C28" i="6"/>
  <c r="C202" i="6"/>
  <c r="C9" i="6"/>
  <c r="C206" i="6"/>
  <c r="C259" i="6"/>
  <c r="C305" i="6"/>
  <c r="C459" i="6"/>
  <c r="C170" i="6"/>
  <c r="C230" i="6"/>
  <c r="C129" i="6"/>
  <c r="C84" i="6"/>
  <c r="C245" i="6"/>
  <c r="C211" i="6"/>
  <c r="C451" i="6"/>
  <c r="C47" i="6"/>
  <c r="C76" i="6"/>
  <c r="C36" i="6"/>
  <c r="C296" i="6"/>
  <c r="C369" i="6"/>
  <c r="C218" i="6"/>
  <c r="C465" i="6"/>
  <c r="C8" i="6"/>
  <c r="C512" i="6"/>
  <c r="C183" i="6"/>
  <c r="C52" i="6"/>
  <c r="C125" i="6"/>
  <c r="C444" i="6"/>
  <c r="C432" i="6"/>
  <c r="C99" i="6"/>
  <c r="C440" i="6"/>
  <c r="C68" i="6"/>
  <c r="C506" i="6"/>
  <c r="C150" i="6"/>
  <c r="C216" i="6"/>
  <c r="C197" i="6"/>
  <c r="C503" i="6"/>
  <c r="C262" i="6"/>
  <c r="C117" i="6"/>
  <c r="C338" i="6"/>
  <c r="C329" i="6"/>
  <c r="C152" i="6"/>
  <c r="C310" i="6"/>
  <c r="C447" i="6"/>
  <c r="C480" i="6"/>
  <c r="C314" i="6"/>
  <c r="C17" i="6"/>
  <c r="C377" i="6"/>
  <c r="C401" i="6"/>
  <c r="C78" i="6"/>
  <c r="C178" i="6"/>
  <c r="C114" i="6"/>
  <c r="C396" i="6"/>
  <c r="C30" i="6"/>
  <c r="C149" i="6"/>
  <c r="C229" i="6"/>
  <c r="C337" i="6"/>
  <c r="C483" i="6"/>
  <c r="C110" i="6"/>
  <c r="C246" i="6"/>
  <c r="C161" i="6"/>
  <c r="C244" i="6"/>
  <c r="C98" i="6"/>
  <c r="C373" i="6"/>
  <c r="C14" i="6"/>
  <c r="C493" i="6"/>
  <c r="C352" i="6"/>
  <c r="C334" i="6"/>
  <c r="C57" i="6"/>
  <c r="C176" i="6"/>
  <c r="C302" i="6"/>
  <c r="C520" i="6"/>
  <c r="C415" i="6"/>
  <c r="C175" i="6"/>
  <c r="C406" i="6"/>
  <c r="C105" i="6"/>
  <c r="C60" i="6"/>
  <c r="C402" i="6"/>
  <c r="C241" i="6"/>
  <c r="C312" i="6"/>
  <c r="C198" i="6"/>
  <c r="C365" i="6"/>
  <c r="C418" i="6"/>
  <c r="C72" i="6"/>
  <c r="C135" i="6"/>
  <c r="C497" i="6"/>
  <c r="C177" i="6"/>
  <c r="C187" i="6"/>
  <c r="C162" i="6"/>
  <c r="C40" i="6"/>
  <c r="C311" i="6"/>
  <c r="C412" i="6"/>
  <c r="C316" i="6"/>
  <c r="C360" i="6"/>
  <c r="C516" i="6"/>
  <c r="C252" i="6"/>
  <c r="C217" i="6"/>
  <c r="C59" i="6"/>
  <c r="C366" i="6"/>
  <c r="C321" i="6"/>
  <c r="C379" i="6"/>
  <c r="C11" i="6"/>
  <c r="C340" i="6"/>
  <c r="C45" i="6"/>
  <c r="C54" i="6"/>
  <c r="C220" i="6"/>
  <c r="C308" i="6"/>
  <c r="C386" i="6"/>
  <c r="C441" i="6"/>
  <c r="C95" i="6"/>
  <c r="C471" i="6"/>
  <c r="C112" i="6"/>
  <c r="C438" i="6"/>
  <c r="C34" i="6"/>
  <c r="C219" i="6"/>
  <c r="C5" i="6"/>
  <c r="C143" i="6"/>
  <c r="C435" i="6"/>
  <c r="C186" i="6"/>
  <c r="C85" i="6"/>
  <c r="C180" i="6"/>
  <c r="C233" i="6"/>
  <c r="C420" i="6"/>
  <c r="C380" i="6"/>
  <c r="C419" i="6"/>
  <c r="C448" i="6"/>
  <c r="C193" i="6"/>
  <c r="C364" i="6"/>
  <c r="C61" i="6"/>
  <c r="C425" i="6"/>
  <c r="C343" i="6"/>
  <c r="C409" i="6"/>
  <c r="C473" i="6"/>
  <c r="C64" i="6"/>
  <c r="C203" i="6"/>
  <c r="C160" i="6"/>
  <c r="C279" i="6"/>
  <c r="C196" i="6"/>
  <c r="C184" i="6"/>
  <c r="C182" i="6"/>
  <c r="C158" i="6"/>
  <c r="C148" i="6"/>
  <c r="C498" i="6"/>
  <c r="C19" i="6"/>
  <c r="C335" i="6"/>
  <c r="C87" i="6"/>
  <c r="C469" i="6"/>
  <c r="C332" i="6"/>
  <c r="C452" i="6"/>
  <c r="C131" i="6"/>
  <c r="C51" i="6"/>
  <c r="C434" i="6"/>
  <c r="C167" i="6"/>
  <c r="C470" i="6"/>
  <c r="C463" i="6"/>
  <c r="C124" i="6"/>
  <c r="C421" i="6"/>
  <c r="C367" i="6"/>
  <c r="C226" i="6"/>
  <c r="C83" i="6"/>
  <c r="C169" i="6"/>
  <c r="C69" i="6"/>
  <c r="C212" i="6"/>
  <c r="C449" i="6"/>
  <c r="C521" i="6"/>
  <c r="C496" i="6"/>
  <c r="C494" i="6"/>
  <c r="C147" i="6"/>
  <c r="C200" i="6"/>
  <c r="C140" i="6"/>
  <c r="C113" i="6"/>
  <c r="C128" i="6"/>
  <c r="C430" i="6"/>
  <c r="C326" i="6"/>
  <c r="C397" i="6"/>
  <c r="C344" i="6"/>
  <c r="C53" i="6"/>
  <c r="C97" i="6"/>
  <c r="C130" i="6"/>
  <c r="C277" i="6"/>
  <c r="C407" i="6"/>
  <c r="C488" i="6"/>
  <c r="C356" i="6"/>
  <c r="C70" i="6"/>
  <c r="C304" i="6"/>
  <c r="C134" i="6"/>
  <c r="C243" i="6"/>
  <c r="C65" i="6"/>
  <c r="C317" i="6"/>
  <c r="C436" i="6"/>
  <c r="C381" i="6"/>
  <c r="C139" i="6"/>
  <c r="C292" i="6"/>
  <c r="C174" i="6"/>
  <c r="C294" i="6"/>
  <c r="C462" i="6"/>
  <c r="C349" i="6"/>
  <c r="C416" i="6"/>
  <c r="C151" i="6"/>
  <c r="C227" i="6"/>
  <c r="C56" i="6"/>
  <c r="C393" i="6"/>
  <c r="C255" i="6"/>
  <c r="C324" i="6"/>
  <c r="C55" i="6"/>
  <c r="C485" i="6"/>
  <c r="C388" i="6"/>
  <c r="C204" i="6"/>
  <c r="C357" i="6"/>
  <c r="C260" i="6"/>
  <c r="C108" i="6"/>
  <c r="C58" i="6"/>
  <c r="C267" i="6"/>
  <c r="C251" i="6"/>
  <c r="C322" i="6"/>
  <c r="C15" i="6"/>
  <c r="C127" i="6"/>
  <c r="C82" i="6"/>
  <c r="C214" i="6"/>
  <c r="C293" i="6"/>
  <c r="C31" i="6"/>
  <c r="C502" i="6"/>
  <c r="C237" i="6"/>
  <c r="C353" i="6"/>
  <c r="C248" i="6"/>
  <c r="C121" i="6"/>
  <c r="C62" i="6"/>
  <c r="C119" i="6"/>
  <c r="C29" i="6"/>
  <c r="C383" i="6"/>
  <c r="C351" i="6"/>
  <c r="C164" i="6"/>
  <c r="C354" i="6"/>
  <c r="C505" i="6"/>
  <c r="C225" i="6"/>
  <c r="C276" i="6"/>
  <c r="C44" i="6"/>
  <c r="C410" i="6"/>
  <c r="C94" i="6"/>
  <c r="C179" i="6"/>
  <c r="C247" i="6"/>
  <c r="C195" i="6"/>
  <c r="C257" i="6"/>
  <c r="C235" i="6"/>
  <c r="C320" i="6"/>
  <c r="C284" i="6"/>
  <c r="C289" i="6"/>
  <c r="C153" i="6"/>
  <c r="C39" i="6"/>
  <c r="C166" i="6"/>
  <c r="C499" i="6"/>
  <c r="C476" i="6"/>
  <c r="C192" i="6"/>
  <c r="C288" i="6"/>
  <c r="C427" i="6"/>
  <c r="C228" i="6"/>
  <c r="C510" i="6"/>
  <c r="C261" i="6"/>
  <c r="C477" i="6"/>
  <c r="C104" i="6"/>
  <c r="C80" i="6"/>
  <c r="C275" i="6"/>
  <c r="C35" i="6"/>
  <c r="C453" i="6"/>
  <c r="C7" i="6"/>
  <c r="C413" i="6"/>
  <c r="C242" i="6"/>
  <c r="C238" i="6"/>
  <c r="C221" i="6"/>
  <c r="C509" i="6"/>
  <c r="C342" i="6"/>
  <c r="C25" i="6"/>
  <c r="C358" i="6"/>
  <c r="C234" i="6"/>
  <c r="C21" i="6"/>
  <c r="C236" i="6"/>
  <c r="C307" i="6"/>
  <c r="C50" i="6"/>
  <c r="C385" i="6"/>
  <c r="C475" i="6"/>
  <c r="C348" i="6"/>
  <c r="C422" i="6"/>
  <c r="C519" i="6"/>
  <c r="C374" i="6"/>
  <c r="C378" i="6"/>
  <c r="C189" i="6"/>
  <c r="C368" i="6"/>
  <c r="C390" i="6"/>
  <c r="C399" i="6"/>
  <c r="C487" i="6"/>
  <c r="C318" i="6"/>
  <c r="C264" i="6"/>
  <c r="C258" i="6"/>
  <c r="C346" i="6"/>
  <c r="C375" i="6"/>
  <c r="C282" i="6"/>
  <c r="C514" i="6"/>
  <c r="C194" i="6"/>
  <c r="C370" i="6"/>
  <c r="C171" i="6"/>
  <c r="C142" i="6"/>
  <c r="C389" i="6"/>
  <c r="C79" i="6"/>
  <c r="C336" i="6"/>
  <c r="C10" i="6"/>
  <c r="C513" i="6"/>
  <c r="C272" i="6"/>
  <c r="C23" i="6"/>
  <c r="C38" i="6"/>
  <c r="C278" i="6"/>
  <c r="C136" i="6"/>
  <c r="C265" i="6"/>
  <c r="C287" i="6"/>
  <c r="C391" i="6"/>
  <c r="C297" i="6"/>
  <c r="C89" i="6"/>
  <c r="C109" i="6"/>
  <c r="C107" i="6"/>
  <c r="C81" i="6"/>
  <c r="C91" i="6"/>
  <c r="C437" i="6"/>
  <c r="C300" i="6"/>
  <c r="C240" i="6"/>
  <c r="C103" i="6"/>
  <c r="C515" i="6"/>
  <c r="C286" i="6"/>
  <c r="C16" i="6"/>
  <c r="C49" i="6"/>
  <c r="C190" i="6"/>
  <c r="C372" i="6"/>
  <c r="C423" i="6"/>
  <c r="C350" i="6"/>
  <c r="C490" i="6"/>
  <c r="C73" i="6"/>
  <c r="C144" i="6"/>
  <c r="C37" i="6"/>
  <c r="C191" i="6"/>
  <c r="C146" i="6"/>
  <c r="C263" i="6"/>
  <c r="C443" i="6"/>
  <c r="C331" i="6"/>
  <c r="C398" i="6"/>
  <c r="C460" i="6"/>
  <c r="C137" i="6"/>
  <c r="C306" i="6"/>
  <c r="C290" i="6"/>
  <c r="C484" i="6"/>
  <c r="C319" i="6"/>
  <c r="C363" i="6"/>
  <c r="C464" i="6"/>
  <c r="C362" i="6"/>
  <c r="C517" i="6"/>
  <c r="C201" i="6"/>
  <c r="C185" i="6"/>
  <c r="C280" i="6"/>
  <c r="C6" i="6"/>
  <c r="C355" i="6"/>
  <c r="C333" i="6"/>
  <c r="C404" i="6"/>
  <c r="C486" i="6"/>
  <c r="C500" i="6"/>
  <c r="C253" i="6"/>
  <c r="C395" i="6"/>
  <c r="C138" i="6"/>
  <c r="C458" i="6"/>
  <c r="C92" i="6"/>
  <c r="C115" i="6"/>
  <c r="C285" i="6"/>
  <c r="C88" i="6"/>
  <c r="C74" i="6"/>
  <c r="C208" i="6"/>
  <c r="C231" i="6"/>
  <c r="C456" i="6"/>
  <c r="C431" i="6"/>
  <c r="C22" i="6"/>
  <c r="C492" i="6"/>
  <c r="C163" i="6"/>
  <c r="C341" i="6"/>
  <c r="C518" i="6"/>
  <c r="C461" i="6"/>
  <c r="C222" i="6"/>
  <c r="C63" i="6"/>
  <c r="C207" i="6"/>
  <c r="C157" i="6"/>
  <c r="C411" i="6"/>
  <c r="C181" i="6"/>
  <c r="C384" i="6"/>
  <c r="C46" i="6"/>
  <c r="C223" i="6"/>
  <c r="C270" i="6"/>
  <c r="C299" i="6"/>
  <c r="C481" i="6"/>
  <c r="C479" i="6"/>
  <c r="C271" i="6"/>
  <c r="C347" i="6"/>
  <c r="C501" i="6"/>
  <c r="C239" i="6"/>
  <c r="C439" i="6"/>
  <c r="C403" i="6"/>
  <c r="C67" i="6"/>
  <c r="C457" i="6"/>
  <c r="C274" i="6"/>
  <c r="C433" i="6"/>
  <c r="C126" i="6"/>
  <c r="C511" i="6"/>
  <c r="C116" i="6"/>
  <c r="C450" i="6"/>
  <c r="C13" i="6"/>
  <c r="C424" i="6"/>
  <c r="C429" i="6"/>
  <c r="C100" i="6"/>
  <c r="C48" i="6"/>
  <c r="C12" i="6"/>
  <c r="C205" i="6"/>
  <c r="C371" i="6"/>
  <c r="C86" i="6"/>
  <c r="C382" i="6"/>
  <c r="C93" i="6"/>
  <c r="C345" i="6"/>
  <c r="C141" i="6"/>
  <c r="C325" i="6"/>
  <c r="C491" i="6"/>
  <c r="C90" i="6"/>
  <c r="C256" i="6"/>
  <c r="C77" i="6"/>
  <c r="C327" i="6"/>
  <c r="C249" i="6"/>
  <c r="C468" i="6"/>
  <c r="C394" i="6"/>
  <c r="C20" i="6"/>
  <c r="C155" i="6"/>
  <c r="C455" i="6"/>
  <c r="C145" i="6"/>
  <c r="C359" i="6"/>
  <c r="C482" i="6"/>
  <c r="C123" i="6"/>
  <c r="C154" i="6"/>
  <c r="C466" i="6"/>
  <c r="C442" i="6"/>
  <c r="C408" i="6"/>
  <c r="C361" i="6"/>
  <c r="C71" i="6"/>
  <c r="C273" i="6"/>
  <c r="C199" i="6"/>
  <c r="C18" i="6"/>
  <c r="C339" i="6"/>
  <c r="C301" i="6"/>
  <c r="C168" i="6"/>
  <c r="C268" i="6"/>
  <c r="C106" i="6"/>
  <c r="C269" i="6"/>
  <c r="C232" i="6"/>
  <c r="C32" i="6"/>
  <c r="C156" i="6"/>
  <c r="C478" i="6"/>
  <c r="C66" i="6"/>
  <c r="C400" i="6"/>
  <c r="C173" i="6"/>
  <c r="C330" i="6"/>
  <c r="C26" i="6"/>
  <c r="C295" i="6"/>
  <c r="C417" i="6"/>
  <c r="C41" i="6"/>
  <c r="C215" i="6"/>
  <c r="C111" i="6"/>
  <c r="F21" i="14" a="1"/>
  <c r="F57" i="14" a="1"/>
  <c r="F12" i="14" a="1"/>
  <c r="F45" i="14" a="1"/>
  <c r="F8" i="14" a="1"/>
  <c r="F47" i="14" a="1"/>
  <c r="F23" i="14" a="1"/>
  <c r="F50" i="14" a="1"/>
  <c r="F52" i="14" a="1"/>
  <c r="F14" i="14" a="1"/>
  <c r="F34" i="14" a="1"/>
  <c r="F24" i="14" a="1"/>
  <c r="F29" i="14" a="1"/>
  <c r="F40" i="14" a="1"/>
  <c r="F62" i="14" a="1"/>
  <c r="F35" i="14" a="1"/>
  <c r="F54" i="14" a="1"/>
  <c r="F30" i="14" a="1"/>
  <c r="F38" i="14" a="1"/>
  <c r="F39" i="14" a="1"/>
  <c r="F5" i="14" a="1"/>
  <c r="F51" i="14" a="1"/>
  <c r="F42" i="14" a="1"/>
  <c r="F41" i="14" a="1"/>
  <c r="F44" i="14" a="1"/>
  <c r="F13" i="14" a="1"/>
  <c r="F7" i="14" a="1"/>
  <c r="F15" i="14" a="1"/>
  <c r="F43" i="14" a="1"/>
  <c r="F49" i="14" a="1"/>
  <c r="F32" i="14" a="1"/>
  <c r="F37" i="14" a="1"/>
  <c r="F6" i="14" a="1"/>
  <c r="F58" i="14" a="1"/>
  <c r="F28" i="14" a="1"/>
  <c r="F61" i="14" a="1"/>
  <c r="F55" i="14" a="1"/>
  <c r="F59" i="14" a="1"/>
  <c r="F46" i="14" a="1"/>
  <c r="F19" i="14" a="1"/>
  <c r="F18" i="14" a="1"/>
  <c r="F4" i="14" a="1"/>
  <c r="F20" i="14" a="1"/>
  <c r="F22" i="14" a="1"/>
  <c r="F53" i="14" a="1"/>
  <c r="F36" i="14" a="1"/>
  <c r="F60" i="14" a="1"/>
  <c r="F56" i="14" a="1"/>
  <c r="F48" i="14" a="1"/>
  <c r="F33" i="14" a="1"/>
  <c r="F17" i="14" a="1"/>
  <c r="F11" i="14" a="1"/>
  <c r="F11" i="14" l="1"/>
  <c r="F17" i="14"/>
  <c r="F33" i="14"/>
  <c r="F48" i="14"/>
  <c r="F56" i="14"/>
  <c r="F60" i="14"/>
  <c r="F36" i="14"/>
  <c r="F53" i="14"/>
  <c r="F22" i="14"/>
  <c r="F20" i="14"/>
  <c r="F4" i="14"/>
  <c r="F18" i="14"/>
  <c r="F19" i="14"/>
  <c r="F46" i="14"/>
  <c r="F59" i="14"/>
  <c r="F55" i="14"/>
  <c r="F61" i="14"/>
  <c r="F28" i="14"/>
  <c r="F58" i="14"/>
  <c r="F6" i="14"/>
  <c r="F37" i="14"/>
  <c r="F32" i="14"/>
  <c r="F49" i="14"/>
  <c r="F43" i="14"/>
  <c r="F15" i="14"/>
  <c r="F7" i="14"/>
  <c r="F13" i="14"/>
  <c r="F44" i="14"/>
  <c r="F41" i="14"/>
  <c r="F42" i="14"/>
  <c r="F51" i="14"/>
  <c r="F5" i="14"/>
  <c r="F39" i="14"/>
  <c r="F38" i="14"/>
  <c r="F30" i="14"/>
  <c r="F54" i="14"/>
  <c r="F35" i="14"/>
  <c r="F62" i="14"/>
  <c r="F40" i="14"/>
  <c r="F29" i="14"/>
  <c r="F24" i="14"/>
  <c r="F34" i="14"/>
  <c r="F14" i="14"/>
  <c r="F52" i="14"/>
  <c r="F50" i="14"/>
  <c r="F23" i="14"/>
  <c r="F47" i="14"/>
  <c r="F8" i="14"/>
  <c r="F45" i="14"/>
  <c r="F12" i="14"/>
  <c r="F57" i="14"/>
  <c r="F21" i="14"/>
  <c r="D26" i="14"/>
  <c r="D10" i="14"/>
  <c r="D27" i="14"/>
  <c r="D25" i="14"/>
  <c r="D9" i="14"/>
  <c r="D3" i="14"/>
  <c r="F26" i="14" a="1"/>
  <c r="F9" i="14" a="1"/>
  <c r="F3" i="14" a="1"/>
  <c r="F27" i="14" a="1"/>
  <c r="F10" i="14" a="1"/>
  <c r="F25" i="14" a="1"/>
  <c r="F25" i="14" l="1"/>
  <c r="F10" i="14"/>
  <c r="F27" i="14"/>
  <c r="F3" i="14"/>
  <c r="F9" i="14"/>
  <c r="F26" i="1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<sst xmlns="http://schemas.openxmlformats.org/spreadsheetml/2006/main" count="2834" uniqueCount="2018">
  <si>
    <t>Authentication Factor</t>
  </si>
  <si>
    <t>Access Granularity</t>
  </si>
  <si>
    <t>Knowledge Factor</t>
  </si>
  <si>
    <t>Password Spraying Attack</t>
  </si>
  <si>
    <t>Account Takeover</t>
  </si>
  <si>
    <t>4-Eyes Principle</t>
  </si>
  <si>
    <t>Absolute Scale</t>
  </si>
  <si>
    <t>Access</t>
  </si>
  <si>
    <t>Access Audit (Dictionary Entry)</t>
  </si>
  <si>
    <t>Access Continuum</t>
  </si>
  <si>
    <t>Access Control (Dictionary Entry)</t>
  </si>
  <si>
    <t>Access Control List (Dictionary Entry)</t>
  </si>
  <si>
    <t>Access Control Mechanism (Dictionary Entry)</t>
  </si>
  <si>
    <t>Access Control Model (Dictionary Entry)</t>
  </si>
  <si>
    <t>Access Control Policy (Dictionary Entry)</t>
  </si>
  <si>
    <t>Access Granularity (Dictionary Entry)</t>
  </si>
  <si>
    <t>Access Privilege (Dictionary Entry)</t>
  </si>
  <si>
    <t>Access Right (Dictionary Entry)</t>
  </si>
  <si>
    <t>Access Rights Management (Dictionary Entry)</t>
  </si>
  <si>
    <t>Access Token</t>
  </si>
  <si>
    <t>Account</t>
  </si>
  <si>
    <t>Accountability (Dictionary Term)</t>
  </si>
  <si>
    <t>Account Lockout Policy (Dictionary Entry)</t>
  </si>
  <si>
    <t>Account Management (Dictionary Entry)</t>
  </si>
  <si>
    <t>Accreditation (Dictionary Entry)</t>
  </si>
  <si>
    <t>Action Research</t>
  </si>
  <si>
    <t>Active Impersonation Attack (Dictionary Entry)</t>
  </si>
  <si>
    <t>Admissible Scale Transformation (Dictionary Entry)</t>
  </si>
  <si>
    <t>Algebra (Dictionary Entry)</t>
  </si>
  <si>
    <t>AP</t>
  </si>
  <si>
    <t>Applicant (Dictionary Entry)</t>
  </si>
  <si>
    <t>Application</t>
  </si>
  <si>
    <t>Application Administrator (Dictionary Entry)</t>
  </si>
  <si>
    <t>Application Instance (Dictionary Entry)</t>
  </si>
  <si>
    <t>Application-Level Policy (Dictionary Entry)</t>
  </si>
  <si>
    <t>Application Multiplexing</t>
  </si>
  <si>
    <t>Application Package (Dictionary Entry)</t>
  </si>
  <si>
    <t>Application Program</t>
  </si>
  <si>
    <t>Archive (Dictionary Entry)</t>
  </si>
  <si>
    <t>ARM</t>
  </si>
  <si>
    <t>Asset Custody (Dictionary Entry)</t>
  </si>
  <si>
    <t>Attestation</t>
  </si>
  <si>
    <t>Attribute (Dictionary Entry - IAM)</t>
  </si>
  <si>
    <t>Attribute Provider (Dictionary Entry)</t>
  </si>
  <si>
    <t>Authenticated Users (Dictionary Entry)</t>
  </si>
  <si>
    <t>Authentication (Dictionary Entry)</t>
  </si>
  <si>
    <t>Authentication Factor (Dictionary Entry)</t>
  </si>
  <si>
    <t>Authenticator (Dictionary Entry)</t>
  </si>
  <si>
    <t>Authority (Dictionary Entry)</t>
  </si>
  <si>
    <t>Authorization (Dictionary Entry)</t>
  </si>
  <si>
    <t>Authorization Externalization</t>
  </si>
  <si>
    <t>Awareness (Dictionary Entry)</t>
  </si>
  <si>
    <t>AWS Account Root User (Dictionary Entry)</t>
  </si>
  <si>
    <t>AWS ACL (Dictionary Entry)</t>
  </si>
  <si>
    <t>AWS IAM (Dictionary Entry)</t>
  </si>
  <si>
    <t>AWS IAM Group (Dictionary Entry)</t>
  </si>
  <si>
    <t>AWS IAM Policy (Dictionary Entry)</t>
  </si>
  <si>
    <t>AWS IAM Principal (Dictionary Entry)</t>
  </si>
  <si>
    <t>AWS IAM Role (Dictionary Entry)</t>
  </si>
  <si>
    <t>AWS IAM Temporary Security Credentials (Dictionary Entry)</t>
  </si>
  <si>
    <t>AWS IAM User (Dictionary Entry)</t>
  </si>
  <si>
    <t>Axioms of Conjointness (Dictionary Entry)</t>
  </si>
  <si>
    <t>Axioms of Difference (Dictionary Entry)</t>
  </si>
  <si>
    <t>Axioms of Extension (Dictionary Entry)</t>
  </si>
  <si>
    <t>Axioms of Geometry (Dictionary Entry)</t>
  </si>
  <si>
    <t>Axioms of Order (Dictionary Entry)</t>
  </si>
  <si>
    <t>Balance (Dictionary Entry)</t>
  </si>
  <si>
    <t>BankID (Dictionary Entry)</t>
  </si>
  <si>
    <t>Basic Indicator (Dictionary Entry)</t>
  </si>
  <si>
    <t>Basic Z Rule (Dictionary Entry)</t>
  </si>
  <si>
    <t>Behavioral Authentication</t>
  </si>
  <si>
    <t>Behavioural Indicator (Dictionary Entry)</t>
  </si>
  <si>
    <t>Bell-LaPadula Model</t>
  </si>
  <si>
    <t>Benchmarking (Dictionary Entry)</t>
  </si>
  <si>
    <t>Biometric Identification (Dictionary Entry)</t>
  </si>
  <si>
    <t>Biometrics (Dictionary Entry)</t>
  </si>
  <si>
    <t>Birth Certificate (Dictionary Entry)</t>
  </si>
  <si>
    <t>Blast Radius (Dictionary Entry)</t>
  </si>
  <si>
    <t>Blockchain (Dictionary Entry)</t>
  </si>
  <si>
    <t>Boundary Control</t>
  </si>
  <si>
    <t>Broker (Dictionary Entry)</t>
  </si>
  <si>
    <t>Brute Force Attack</t>
  </si>
  <si>
    <t>Built-in (Dictionary Entry)</t>
  </si>
  <si>
    <t>BZR</t>
  </si>
  <si>
    <t>Cached Credential</t>
  </si>
  <si>
    <t>Capability (Dictionary Entry)</t>
  </si>
  <si>
    <t>Cardinal Scale (Dictionary Entry)</t>
  </si>
  <si>
    <t>Categorical Scale (Dictionary Entry)</t>
  </si>
  <si>
    <t>CDD</t>
  </si>
  <si>
    <t>Centralized Identity Management System (Dictionary Entry)</t>
  </si>
  <si>
    <t>Certification (Dictionary Entry)</t>
  </si>
  <si>
    <t>CIBA</t>
  </si>
  <si>
    <t>Claim</t>
  </si>
  <si>
    <t>Claimant (Dictionary Entry)</t>
  </si>
  <si>
    <t>Claim Registry Model</t>
  </si>
  <si>
    <t>Classification (Dictionary Entry)</t>
  </si>
  <si>
    <t>Client Initiated Backchannel Authentication</t>
  </si>
  <si>
    <t>Cloud Identity Management System (Dictionary Entry)</t>
  </si>
  <si>
    <t>Cloud IdMS (Dictionary Entry)</t>
  </si>
  <si>
    <t>Cloud Service Consumers (Dictionary Entry)</t>
  </si>
  <si>
    <t>Cloud Service Provider (Dictionary Entry)</t>
  </si>
  <si>
    <t>Cloud Service User</t>
  </si>
  <si>
    <t>Cluster Analysis (Dictionary Entry)</t>
  </si>
  <si>
    <t>Code (Dictionary Entry)</t>
  </si>
  <si>
    <t>Commission Error (Dictionary Entry)</t>
  </si>
  <si>
    <t>Compensation (Dictionary Entry)</t>
  </si>
  <si>
    <t>Competence (Dictionary Entry)</t>
  </si>
  <si>
    <t>Compromised Identity (Dictionary Entry)</t>
  </si>
  <si>
    <t>Concept (Dictionary Entry)</t>
  </si>
  <si>
    <t>Conceptual Classification (Dictionary Entry)</t>
  </si>
  <si>
    <t>Concurrent Impersonation Attack (Dictionary Entry)</t>
  </si>
  <si>
    <t>Consistency with Representation Target (Dictionary Entry)</t>
  </si>
  <si>
    <t>Construct (Dictionary Entry)</t>
  </si>
  <si>
    <t>Constructed Type (Dictionary Entry)</t>
  </si>
  <si>
    <t>Continuous Authentication (Dictionary Entry)</t>
  </si>
  <si>
    <t>Control Party (Dictionary Entry)</t>
  </si>
  <si>
    <t>Core Identity (Dictionary Entry)</t>
  </si>
  <si>
    <t>Credential</t>
  </si>
  <si>
    <t>Credential Harvesting</t>
  </si>
  <si>
    <t>Credential Service Provider (Dictionary Entry)</t>
  </si>
  <si>
    <t>Credential Stuffing</t>
  </si>
  <si>
    <t>Credential Theft (Dictionary Entry)</t>
  </si>
  <si>
    <t>Cryptographic Key (Dictionary Entry)</t>
  </si>
  <si>
    <t>CSC</t>
  </si>
  <si>
    <t>CSP</t>
  </si>
  <si>
    <t>CSU</t>
  </si>
  <si>
    <t>Customer Due Diligence (Dictionary Entry)</t>
  </si>
  <si>
    <t>Customer Identification (Dictionary Entry)</t>
  </si>
  <si>
    <t>Customer Identity (Dictionary Entry)</t>
  </si>
  <si>
    <t>Customer Identity Verification (Dictionary Entry)</t>
  </si>
  <si>
    <t>Customer On-Boarding (Dictionary Entry)</t>
  </si>
  <si>
    <t>Customer Privacy and Consent Management (Dictionary Entry)</t>
  </si>
  <si>
    <t>Cyber-sabotage</t>
  </si>
  <si>
    <t>DAC</t>
  </si>
  <si>
    <t>Data Anonymization</t>
  </si>
  <si>
    <t>Data Custodian (Dictionary Entry)</t>
  </si>
  <si>
    <t>Data-Level Policy (Dictionary Entry)</t>
  </si>
  <si>
    <t>Data Lineage (Dictionary Entry)</t>
  </si>
  <si>
    <t>Data Obfuscation (Dictionary Entry)</t>
  </si>
  <si>
    <t>Data Owner (Dictionary Entry)</t>
  </si>
  <si>
    <t>Death Certificate (Dictionary Entry)</t>
  </si>
  <si>
    <t>Decentralized Identifier (Dictionary Entry)</t>
  </si>
  <si>
    <t>De-duplication (Dictionary Entry)</t>
  </si>
  <si>
    <t>Deprovisioning (Dictionary Entry)</t>
  </si>
  <si>
    <t>Derived Indicator (Dictionary Entry)</t>
  </si>
  <si>
    <t>DID</t>
  </si>
  <si>
    <t>Digital Continuity (Dictionary Entry)</t>
  </si>
  <si>
    <t>Digital Identification System</t>
  </si>
  <si>
    <t>Digital Identity</t>
  </si>
  <si>
    <t>Digital Identity Authenticity</t>
  </si>
  <si>
    <t>Digital Triangulation (Dictionary Entry)</t>
  </si>
  <si>
    <t>Discretionary Access Control (Dictionary Entry)</t>
  </si>
  <si>
    <t>Distributed Identity (Dictionary Entry)</t>
  </si>
  <si>
    <t>Distributed Ledger Technology (Dictionary Entry)</t>
  </si>
  <si>
    <t>Dual Authorization (Dictionary Entry)</t>
  </si>
  <si>
    <t>ECS (Dictionary Entry)</t>
  </si>
  <si>
    <t>e-Identity (Dictionary Entry)</t>
  </si>
  <si>
    <t>EIdM (Dictionary Entry)</t>
  </si>
  <si>
    <t>Empirical Classification (Dictionary Entry)</t>
  </si>
  <si>
    <t>Empiricity (Dictionary Entry)</t>
  </si>
  <si>
    <t>Employee (Dictionary Entry)</t>
  </si>
  <si>
    <t>Enterprise Cloud Subscriber (Dictionary Entry)</t>
  </si>
  <si>
    <t>Enterprise Identity Management (Dictionary Entry)</t>
  </si>
  <si>
    <t>Enterprise Single Sign-On (Dictionary Entry)</t>
  </si>
  <si>
    <t>Entitlement (Dictionary Entry)</t>
  </si>
  <si>
    <t>Entitlement-Based Access Control (Dictionary Entry)</t>
  </si>
  <si>
    <t>Entitlement Management (Dictionary Entry)</t>
  </si>
  <si>
    <t>Entitlement Management Process (Dictionary Entry)</t>
  </si>
  <si>
    <t>Entitlement Management Solution (Dictionary Entry)</t>
  </si>
  <si>
    <t>Entity (Dictionary Entry)</t>
  </si>
  <si>
    <t>ESSO (Dictionary Entry)</t>
  </si>
  <si>
    <t>Evaluation Indicator (Dictionary Entry)</t>
  </si>
  <si>
    <t>Excessive Privilege Abuse (Dictionary Entry)</t>
  </si>
  <si>
    <t>Exhaustiveness (Dictionary Entry)</t>
  </si>
  <si>
    <t>Expanded Password System (Dictionary Entry)</t>
  </si>
  <si>
    <t>Exploited Identity (Dictionary Entry)</t>
  </si>
  <si>
    <t>Extended Enterprise (Dictionary Entry)</t>
  </si>
  <si>
    <t>Extensible Access Control Markup Language (Dictionary Entry)</t>
  </si>
  <si>
    <t>Fake Digital Identity</t>
  </si>
  <si>
    <t>FAPI</t>
  </si>
  <si>
    <t>Federated Identity Management (Dictionary Entry)</t>
  </si>
  <si>
    <t>Federated Identity Management System (Dictionary Entry)</t>
  </si>
  <si>
    <t>Federated SSO (Dictionary Entry)</t>
  </si>
  <si>
    <t>Federation Bridge (Dictionary Entry)</t>
  </si>
  <si>
    <t>FIM (Dictionary Entry)</t>
  </si>
  <si>
    <t>Financial-grade API</t>
  </si>
  <si>
    <t>FinTech</t>
  </si>
  <si>
    <t>Flexibility (Dictionary Entry)</t>
  </si>
  <si>
    <t>Flow Analysis (Dictionary Entry)</t>
  </si>
  <si>
    <t>Forged Identity (Dictionary Entry)</t>
  </si>
  <si>
    <t>Formal TCO (Dictionary Entry)</t>
  </si>
  <si>
    <t>Formal Verification (Dictionary Entry)</t>
  </si>
  <si>
    <t>Foundational Identification System</t>
  </si>
  <si>
    <t>Fully Polythetic Class (Dictionary Entry)</t>
  </si>
  <si>
    <t>Functional Identification System (Dictionary Entry)</t>
  </si>
  <si>
    <t>Functional System (Dictionary Entry)</t>
  </si>
  <si>
    <t>Goal (Dictionary Entry)</t>
  </si>
  <si>
    <t>Guest Account (Dictionary Entry)</t>
  </si>
  <si>
    <t>High Water Mark Principle (Dictionary Entry)</t>
  </si>
  <si>
    <t>Human Error (Dictionary Entry)</t>
  </si>
  <si>
    <t>Human Reliability (Dictionary Entry)</t>
  </si>
  <si>
    <t>IAG</t>
  </si>
  <si>
    <t>IAM</t>
  </si>
  <si>
    <t>IAM ARN (Dictionary Entry)</t>
  </si>
  <si>
    <t>IAM Management (Dictionary Entry)</t>
  </si>
  <si>
    <t>IAP (Dictionary Entry)</t>
  </si>
  <si>
    <t>IDaaS (Dictionary Entry)</t>
  </si>
  <si>
    <t>Ideal Type (Dictionary Entry)</t>
  </si>
  <si>
    <t>Identification (Dictionary Entry)</t>
  </si>
  <si>
    <t>Identification System (Dictionary Entry)</t>
  </si>
  <si>
    <t>Identifier (Dictionary Entry)</t>
  </si>
  <si>
    <t>Identifier Registry Model</t>
  </si>
  <si>
    <t>Identity (Dictionary Entry)</t>
  </si>
  <si>
    <t>Identity Aggregation</t>
  </si>
  <si>
    <t>Identity and Access Governance</t>
  </si>
  <si>
    <t>Identity and Access Management</t>
  </si>
  <si>
    <t>Identity-as-a-Service (Dictionary Entry)</t>
  </si>
  <si>
    <t>Identity Assurance</t>
  </si>
  <si>
    <t>Identity Attribute (Dictionary Entry)</t>
  </si>
  <si>
    <t>Identity-Aware Proxy (Dictionary Entry)</t>
  </si>
  <si>
    <t>Identity Establishment</t>
  </si>
  <si>
    <t>Identity Federation</t>
  </si>
  <si>
    <t>Identity Guardian</t>
  </si>
  <si>
    <t>Identity Lifecycle (Dictionary Entry)</t>
  </si>
  <si>
    <t>Identity Management (Dictionary Entry)</t>
  </si>
  <si>
    <t>Identity Management System (Dictionary Entry)</t>
  </si>
  <si>
    <t>Identity Portability</t>
  </si>
  <si>
    <t>Identity Proofing (Dictionary Entry)</t>
  </si>
  <si>
    <t>Identity Propagation (Dictionary Entry)</t>
  </si>
  <si>
    <t>Identity Provider (Dictionary Entry)</t>
  </si>
  <si>
    <t>Identity Repository (Dictionary Entry)</t>
  </si>
  <si>
    <t>IdMS (Dictionary Entry)</t>
  </si>
  <si>
    <t>IdP (Dictionary Entry)</t>
  </si>
  <si>
    <t>IMG (Dictionary Entry)</t>
  </si>
  <si>
    <t>Impact Indicator (Dictionary Entry)</t>
  </si>
  <si>
    <t>Impersonation (Dictionary Entry)</t>
  </si>
  <si>
    <t>Indicator (Dictionary Entry)</t>
  </si>
  <si>
    <t>Indicator Categories (Dictionary Entry)</t>
  </si>
  <si>
    <t>Indicator Property (Dictionary Entry)</t>
  </si>
  <si>
    <t>Indicator Selection (Dictionary Entry)</t>
  </si>
  <si>
    <t>Indicators Set (Dictionary Entry)</t>
  </si>
  <si>
    <t>Informal TCO (Dictionary Entry)</t>
  </si>
  <si>
    <t>Information (Dictionary Entry)</t>
  </si>
  <si>
    <t>Information Asset (Dictionary Entry)</t>
  </si>
  <si>
    <t>Information Custodian (Dictionary Entry)</t>
  </si>
  <si>
    <t>Information Flow Policy (Dictionary Entry)</t>
  </si>
  <si>
    <t>Information Owner (Dictionary Entry)</t>
  </si>
  <si>
    <t>Information Security Domain</t>
  </si>
  <si>
    <t>Information System</t>
  </si>
  <si>
    <t>Input Indicator (Dictionary Entry)</t>
  </si>
  <si>
    <t>Inside Attacker</t>
  </si>
  <si>
    <t>Insider</t>
  </si>
  <si>
    <t>Insider Attack</t>
  </si>
  <si>
    <t>Insider Threat</t>
  </si>
  <si>
    <t>Insufficient Granularity of Access Control (Dictionary Entry)</t>
  </si>
  <si>
    <t>Intentional Error (Dictionary Entry)</t>
  </si>
  <si>
    <t>Interested Party (Dictionary Entry)</t>
  </si>
  <si>
    <t>Interoperability (Dictionary Entry)</t>
  </si>
  <si>
    <t>Interval Scale (Dictionary Entry)</t>
  </si>
  <si>
    <t>Isolated Identity Management System (Dictionary Entry)</t>
  </si>
  <si>
    <t>IT Asset Scope (Dictionary Entry)</t>
  </si>
  <si>
    <t>IT System</t>
  </si>
  <si>
    <t>JML (Dictionary Entry)</t>
  </si>
  <si>
    <t>Joiner (Dictionary Entry)</t>
  </si>
  <si>
    <t>Joiner Hire Date (Dictionary Entry)</t>
  </si>
  <si>
    <t>Joiner Lead Time (Dictionary Entry)</t>
  </si>
  <si>
    <t>Joiner Process (Dictionary Entry)</t>
  </si>
  <si>
    <t>Joiner Start Date (Dictionary Entry)</t>
  </si>
  <si>
    <t>Key Criteria Type (Dictionary Entry)</t>
  </si>
  <si>
    <t>Key Information (Dictionary Entry)</t>
  </si>
  <si>
    <t>Keying Material (Dictionary Entry)</t>
  </si>
  <si>
    <t>KYC (Dictionary Entry)</t>
  </si>
  <si>
    <t>KYC Registry (Dictionary Entry)</t>
  </si>
  <si>
    <t>Lagging Indicator (Dictionary Entry)</t>
  </si>
  <si>
    <t>Lattice-Based Access Control (Dictionary Entry)</t>
  </si>
  <si>
    <t>Layers Architectural Pattern (Dictionary Entry)</t>
  </si>
  <si>
    <t>LBAC (Dictionary Entry)</t>
  </si>
  <si>
    <t>Leading Indicator (Dictionary Entry)</t>
  </si>
  <si>
    <t>Least Privilege (Dictionary Entry)</t>
  </si>
  <si>
    <t>Legal Entity Identifier (Dictionary Entry)</t>
  </si>
  <si>
    <t>Legitimate Privilege Abuse (Dictionary Entry)</t>
  </si>
  <si>
    <t>LEI (Dictionary Entry)</t>
  </si>
  <si>
    <t>Levels of Assurance (Dictionary Entry)</t>
  </si>
  <si>
    <t>Liberal Discretionary Access Control (Dictionary Entry)</t>
  </si>
  <si>
    <t>LOA (Dictionary Entry)</t>
  </si>
  <si>
    <t>Logic Bomb</t>
  </si>
  <si>
    <t>Login</t>
  </si>
  <si>
    <t>Login ID</t>
  </si>
  <si>
    <t>Login Name</t>
  </si>
  <si>
    <t>Meaningful Statement using Scales (Dictionary Entry)</t>
  </si>
  <si>
    <t>Measurable Quantity (Dictionary Entry)</t>
  </si>
  <si>
    <t>Measurement (Dictionary Entry)</t>
  </si>
  <si>
    <t>Measurement Indicator (Dictionary Entry)</t>
  </si>
  <si>
    <t>Measurement Scale (Dictionary Entry)</t>
  </si>
  <si>
    <t>Measurement Theory (Dictionary Entry)</t>
  </si>
  <si>
    <t>Measuring Instrument (Dictionary Entry)</t>
  </si>
  <si>
    <t>Mechanism (Dictionary Entry)</t>
  </si>
  <si>
    <t>Metadata (Dictionary Term)</t>
  </si>
  <si>
    <t>Metadirectory (Dictionary Entry)</t>
  </si>
  <si>
    <t>Metric (Dictionary Entry)</t>
  </si>
  <si>
    <t>Model (Dictionary Entry)</t>
  </si>
  <si>
    <t>Monothetic Class (Dictionary Entry)</t>
  </si>
  <si>
    <t>Monotony (Dictionary Entry)</t>
  </si>
  <si>
    <t>Multidomain Single Sign-On (Dictionary Entry)</t>
  </si>
  <si>
    <t>Multilevel Security (Dictionary Entry)</t>
  </si>
  <si>
    <t>Multiple Accounts</t>
  </si>
  <si>
    <t>Mutual Authentication (Dictionary Entry)</t>
  </si>
  <si>
    <t>Need-to-Know</t>
  </si>
  <si>
    <t>New Joiner (Dictionary Entry)</t>
  </si>
  <si>
    <t>Nominal Scale (Dictionary Entry)</t>
  </si>
  <si>
    <t>Nonworker (Dictionary Entry)</t>
  </si>
  <si>
    <t>No Tranquility Property (Dictionary Entry)</t>
  </si>
  <si>
    <t>Numerical Identity</t>
  </si>
  <si>
    <t>Numerical Taxonomy (Dictionary Entry)</t>
  </si>
  <si>
    <t>Numerical Value of Measurement (Dictionary Entry)</t>
  </si>
  <si>
    <t>OAuth (Dictionary Entry)</t>
  </si>
  <si>
    <t>Object (Dictionary Entry)</t>
  </si>
  <si>
    <t>Objective (Dictionary Entry)</t>
  </si>
  <si>
    <t>Objective Indicator (Dictionary Entry)</t>
  </si>
  <si>
    <t>Objectivity (Dictionary Entry)</t>
  </si>
  <si>
    <t>Omission Error (Dictionary Entry)</t>
  </si>
  <si>
    <t>OPA (Dictionary Entry)</t>
  </si>
  <si>
    <t>Open Policy Agent (Dictionary Entry)</t>
  </si>
  <si>
    <t>Operational Definition (Dictionary Entry)</t>
  </si>
  <si>
    <t>Operational Taxonomic Unit (Dictionary Entry)</t>
  </si>
  <si>
    <t>Ordinal Scale (Dictionary Entry)</t>
  </si>
  <si>
    <t>Organization Context (Definition)</t>
  </si>
  <si>
    <t>Organization Scope (Definition)</t>
  </si>
  <si>
    <t>Orphan (Dictionary Entry)</t>
  </si>
  <si>
    <t>Orphan Account</t>
  </si>
  <si>
    <t>Orphan File (Dictionary Entry)</t>
  </si>
  <si>
    <t>Orphan Object (Dictionary Entry)</t>
  </si>
  <si>
    <t>Orphan Process (Dictionary Entry)</t>
  </si>
  <si>
    <t>Orphan Product (Dictionary Entry)</t>
  </si>
  <si>
    <t>Orphan Role (Dictionary Entry)</t>
  </si>
  <si>
    <t>Orphan Routes / APIs (Dictionary Entry)</t>
  </si>
  <si>
    <t>Orphan System (Dictionary Entry)</t>
  </si>
  <si>
    <t>Outcome Indicator (Dictionary Entry)</t>
  </si>
  <si>
    <t>Output Indicator (Dictionary Entry)</t>
  </si>
  <si>
    <t>Outsider</t>
  </si>
  <si>
    <t>Parsimony (Dictionary Entry)</t>
  </si>
  <si>
    <t>Partial Typology (Dictionary Entry)</t>
  </si>
  <si>
    <t>Passive Impersonation Attack (Dictionary Entry)</t>
  </si>
  <si>
    <t>Password Guessing Attack</t>
  </si>
  <si>
    <t>Passwordless Authentication</t>
  </si>
  <si>
    <t>Password Rotation (Dictionary Entry)</t>
  </si>
  <si>
    <t>People (Definition)</t>
  </si>
  <si>
    <t>Performance (Definition)</t>
  </si>
  <si>
    <t>Performance Measurement System (Dictionary Entry)</t>
  </si>
  <si>
    <t>Permission (Dictionary Entry)</t>
  </si>
  <si>
    <t>Persona</t>
  </si>
  <si>
    <t>PMS (Dictionary Entry)</t>
  </si>
  <si>
    <t>Polar Types (Dictionary Entry)</t>
  </si>
  <si>
    <t>Policy (Dictionary Entry)</t>
  </si>
  <si>
    <t>Policy Analysis (Dictionary Entry)</t>
  </si>
  <si>
    <t>Policy Centralization (Dictionary Entry)</t>
  </si>
  <si>
    <t>Policy Interoperability (Dictionary Entry)</t>
  </si>
  <si>
    <t>Policy Manageability (Dictionary Entry)</t>
  </si>
  <si>
    <t>Policy Mining (Dictionary Entry)</t>
  </si>
  <si>
    <t>Policy Modeling (Dictionary Entry)</t>
  </si>
  <si>
    <t>Polythetic Class (Dictionary Entry)</t>
  </si>
  <si>
    <t>Pre-approval (Dictionary Entry)</t>
  </si>
  <si>
    <t>Preference Indicator (Dictionary Entry)</t>
  </si>
  <si>
    <t>Principal (Dictionary Entry)</t>
  </si>
  <si>
    <t>Private Key Loss</t>
  </si>
  <si>
    <t>Privilege (Dictionary Entry)</t>
  </si>
  <si>
    <t>Privilege Abuse</t>
  </si>
  <si>
    <t>Privilege Chaining (Dictionary Entry)</t>
  </si>
  <si>
    <t>Privileged Identity (Dictionary Entry)</t>
  </si>
  <si>
    <t>Privileged Insider</t>
  </si>
  <si>
    <t>Privilege Escalation (Dictionary Entry)</t>
  </si>
  <si>
    <t>Process (Dictionary Entry)</t>
  </si>
  <si>
    <t>Process Indicator (Dictionary Entry)</t>
  </si>
  <si>
    <t>Production Lead Time (Dictionary Entry)</t>
  </si>
  <si>
    <t>Protocol (Dictionary Entry)</t>
  </si>
  <si>
    <t>Provisioning (Dictionary Entry)</t>
  </si>
  <si>
    <t>QR Code Authentication</t>
  </si>
  <si>
    <t>Qualitative Classification (Dictionary Entry)</t>
  </si>
  <si>
    <t>Qualitative Identity</t>
  </si>
  <si>
    <t>Quality (Definition)</t>
  </si>
  <si>
    <t>Quantitative Classification (Dictionary Entry)</t>
  </si>
  <si>
    <t>Quantity (Dictionary Entry)</t>
  </si>
  <si>
    <t>RA (Dictionary Entry)</t>
  </si>
  <si>
    <t>Ratio Scale (Dictionary Entry)</t>
  </si>
  <si>
    <t>RBA (Dictionary Entry)</t>
  </si>
  <si>
    <t>Re-authentication (Dictionary Entry)</t>
  </si>
  <si>
    <t>Recertification (Dictionary Entry)</t>
  </si>
  <si>
    <t>Reference Monitor (Dictionary Entry)</t>
  </si>
  <si>
    <t>Registration Authority (Dictionary Entry)</t>
  </si>
  <si>
    <t>Rejoiner (Dictionary Entry)</t>
  </si>
  <si>
    <t>Relying Party (Dictionary Entry)</t>
  </si>
  <si>
    <t>Remote Identity Proofing (Dictionary Entry)</t>
  </si>
  <si>
    <t>Repeatability (Dictionary Entry)</t>
  </si>
  <si>
    <t>Representation Target (Dictionary Entry)</t>
  </si>
  <si>
    <t>Reproducibility (Dictionary Entry)</t>
  </si>
  <si>
    <t>Revocation (Dictionary Entry)</t>
  </si>
  <si>
    <t>RIDP (Dictionary Entry)</t>
  </si>
  <si>
    <t>Risk-Based Authentication (Dictionary Entry)</t>
  </si>
  <si>
    <t>Role (Dictionary Entry)</t>
  </si>
  <si>
    <t>Role-Based Access Control (Dictionary Entry)</t>
  </si>
  <si>
    <t>Role Bloating (Dictionary Entry)</t>
  </si>
  <si>
    <t>Role Capacity (Dictionary Entry)</t>
  </si>
  <si>
    <t>Role Cardinality (Dictionary Entry)</t>
  </si>
  <si>
    <t>Role Cardinality Activation Control (Dictionary Entry)</t>
  </si>
  <si>
    <t>Role Explosion (Dictionary Entry)</t>
  </si>
  <si>
    <t>Role Management (Dictionary Entry)</t>
  </si>
  <si>
    <t>RP (Dictionary Entry)</t>
  </si>
  <si>
    <t>SAM Database</t>
  </si>
  <si>
    <t>SAML</t>
  </si>
  <si>
    <t>Scale (Dictionary Entry)</t>
  </si>
  <si>
    <t>SCIM (Dictionary Entry)</t>
  </si>
  <si>
    <t>SCIM 1.0 (Dictionary Entry)</t>
  </si>
  <si>
    <t>SCIM 1.1 (Dictionary Entry)</t>
  </si>
  <si>
    <t>SCIM 2.0 (Dictionary Entry)</t>
  </si>
  <si>
    <t>Scoping (Dictionary Entry)</t>
  </si>
  <si>
    <t>SD (Dictionary Entry)</t>
  </si>
  <si>
    <t>SDP (Dictionary Entry)</t>
  </si>
  <si>
    <t>Secure Production Identity Framework for Everyone (Dictionary Entry)</t>
  </si>
  <si>
    <t>Secure System (Dictionary Entry)</t>
  </si>
  <si>
    <t>Security (Dictionary Entry)</t>
  </si>
  <si>
    <t>Security Accounts Manager (Dictionary Entry)</t>
  </si>
  <si>
    <t>Security Assertion Markup Language</t>
  </si>
  <si>
    <t>Security Clearance Level (Dictionary Entry)</t>
  </si>
  <si>
    <t>Security Compartment (Dictionary Entry)</t>
  </si>
  <si>
    <t>Security Label (Dictionary Entry)</t>
  </si>
  <si>
    <t>Segregation of Duties (Dictionary Entry)</t>
  </si>
  <si>
    <t>Self-Sovereign Identity</t>
  </si>
  <si>
    <t>Semantic Differential (Dictionary Entry)</t>
  </si>
  <si>
    <t>Service Account (Dictionary Entry)</t>
  </si>
  <si>
    <t>Service-Centric Identity Management System</t>
  </si>
  <si>
    <t>Session (Dictionary Entry)</t>
  </si>
  <si>
    <t>Single Login (Dictionary Entry)</t>
  </si>
  <si>
    <t>Single Sign-On (Dictionary Entry)</t>
  </si>
  <si>
    <t>Social Authentication</t>
  </si>
  <si>
    <t>Social Honeypot</t>
  </si>
  <si>
    <t>SoD (Dictionary Entry)</t>
  </si>
  <si>
    <t>Software-Defined Perimeter (Dictionary Entry)</t>
  </si>
  <si>
    <t>SPIFFE (Dictionary Entry)</t>
  </si>
  <si>
    <t>SPMS (Dictionary Entry)</t>
  </si>
  <si>
    <t>SSH Key (Dictionary Entry)</t>
  </si>
  <si>
    <t>SSI</t>
  </si>
  <si>
    <t>SSO (Dictionary Entry)</t>
  </si>
  <si>
    <t>Stability of Access Decision Factors (Dictionary Entry)</t>
  </si>
  <si>
    <t>Stakeholder (Dictionary Entry)</t>
  </si>
  <si>
    <t>Step-Up Authentication</t>
  </si>
  <si>
    <t>Strategic Performance Measurement System (Dictionary Entry)</t>
  </si>
  <si>
    <t>Strict Discretionary Access Control (Dictionary Entry)</t>
  </si>
  <si>
    <t>Strong Authentication (Dictionary Entry)</t>
  </si>
  <si>
    <t>Strong Tranquility Property (Dictionary Entry)</t>
  </si>
  <si>
    <t>Subject (Dictionary Entry)</t>
  </si>
  <si>
    <t>Subjective Indicator (Dictionary Entry)</t>
  </si>
  <si>
    <t>Supply Chain Attack</t>
  </si>
  <si>
    <t>Sybil Attack</t>
  </si>
  <si>
    <t>Synthetic Identity Fraud (Dictionary Entry)</t>
  </si>
  <si>
    <t>System</t>
  </si>
  <si>
    <t>System Boundaries</t>
  </si>
  <si>
    <t>System for Cross-domain Identity Management (Dictionary Entry)</t>
  </si>
  <si>
    <t>System Owner (Dictionary Entry)</t>
  </si>
  <si>
    <t>System Z (Dictionary Entry)</t>
  </si>
  <si>
    <t>Task-Based Access Control (Dictionary Entry)</t>
  </si>
  <si>
    <t>Taxa (Dictionary Entry)</t>
  </si>
  <si>
    <t>Taxon (Dictionary Entry)</t>
  </si>
  <si>
    <t>Taxonomy (Dictionary Entry)</t>
  </si>
  <si>
    <t>TCO (Dictionary Entry)</t>
  </si>
  <si>
    <t>Term (Dictionary Entry)</t>
  </si>
  <si>
    <t>Total Cost of Ownership (Dictionary Entry)</t>
  </si>
  <si>
    <t>Toxic Combinations (Dictionary Entry)</t>
  </si>
  <si>
    <t>Toxic Right Rule (Definition)</t>
  </si>
  <si>
    <t>Tranquil</t>
  </si>
  <si>
    <t>Tranquility Principle (Dictionary Entry)</t>
  </si>
  <si>
    <t>Tranquility Property (Dictionary Entry)</t>
  </si>
  <si>
    <t>Trust</t>
  </si>
  <si>
    <t>Trust Asymmetry (Dictionary Entry)</t>
  </si>
  <si>
    <t>Trust Composability (Dictionary Entry)</t>
  </si>
  <si>
    <t>Trust Personalization (Dictionary Entry)</t>
  </si>
  <si>
    <t>Trust Transitivity (Dictionary Entry)</t>
  </si>
  <si>
    <t>Type (Dictionary Entry)</t>
  </si>
  <si>
    <t>Typing Biometrics</t>
  </si>
  <si>
    <t>Typology (Dictionary Entry)</t>
  </si>
  <si>
    <t>Unanticipated User</t>
  </si>
  <si>
    <t>Unauthorized Access</t>
  </si>
  <si>
    <t>Unique ID Number</t>
  </si>
  <si>
    <t>Unit of measurement</t>
  </si>
  <si>
    <t>Unprivileged Insider</t>
  </si>
  <si>
    <t>User</t>
  </si>
  <si>
    <t>User Account</t>
  </si>
  <si>
    <t>User-Centric Identity Management System</t>
  </si>
  <si>
    <t>User De-Provisioning</t>
  </si>
  <si>
    <t>User Entitlement Reviews (Dictionary Entry)</t>
  </si>
  <si>
    <t>User ID</t>
  </si>
  <si>
    <t>Username</t>
  </si>
  <si>
    <t>User Provisioning</t>
  </si>
  <si>
    <t>Verifiable Claim</t>
  </si>
  <si>
    <t>Verification</t>
  </si>
  <si>
    <t>Virtual Directory (Dictionary Entry)</t>
  </si>
  <si>
    <t>Virtual Private Network (Dictionary Entry)</t>
  </si>
  <si>
    <t>Virtual Risk and Security Site Review (Dictionary Entry)</t>
  </si>
  <si>
    <t>VPN (Dictionary Entry)</t>
  </si>
  <si>
    <t>Weak Authentication (Dictionary Entry)</t>
  </si>
  <si>
    <t>Weak Tranquility Property (Dictionary Entry)</t>
  </si>
  <si>
    <t>Web-based Single Sign-On (Dictionary Entry)</t>
  </si>
  <si>
    <t>Windows (Non-Default) Local User Account (Dictionary Entry)</t>
  </si>
  <si>
    <t>Windows DefaultAccount Account (Dictionary Entry)</t>
  </si>
  <si>
    <t>Windows Default Local System Account (Dictionary Entry)</t>
  </si>
  <si>
    <t>Windows Default Local User Account (Dictionary Entry)</t>
  </si>
  <si>
    <t>Windows Guest Account (Dictionary Entry)</t>
  </si>
  <si>
    <t>Windows HelpAssistant Account (Dictionary Entry)</t>
  </si>
  <si>
    <t>Windows Local Account (Dictionary Entry)</t>
  </si>
  <si>
    <t>Windows Local Administrator Account (Dictionary Entry)</t>
  </si>
  <si>
    <t>Windows LOCAL SERVICE Account (Dictionary Entry)</t>
  </si>
  <si>
    <t>Windows NETWORK SERVICE Account (Dictionary Entry)</t>
  </si>
  <si>
    <t>Windows Security Identifier (Dictionary Entry)</t>
  </si>
  <si>
    <t>Windows SYSTEM Account (Dictionary Entry)</t>
  </si>
  <si>
    <t>Worker (Dictionary Entry)</t>
  </si>
  <si>
    <t>Workflow-Sensitive Access Control (Dictionary Entry)</t>
  </si>
  <si>
    <t>Workforce (Dictionary Entry)</t>
  </si>
  <si>
    <t>XACML (Dictionary Entry)</t>
  </si>
  <si>
    <t>Zero-Trust Access</t>
  </si>
  <si>
    <t>Zombie Account</t>
  </si>
  <si>
    <t>ZTA</t>
  </si>
  <si>
    <t>URL</t>
  </si>
  <si>
    <t>Title</t>
  </si>
  <si>
    <t>Link</t>
  </si>
  <si>
    <t>https://open-measure.atlassian.net/wiki/spaces/DIC/pages/805175450/4-Eyes+Principle</t>
  </si>
  <si>
    <t>https://open-measure.atlassian.net/wiki/spaces/DIC/pages/123962347/Access</t>
  </si>
  <si>
    <t>Access Audit</t>
  </si>
  <si>
    <t>https://open-measure.atlassian.net/wiki/spaces/DIC/pages/1121878227</t>
  </si>
  <si>
    <t>https://open-measure.atlassian.net/wiki/spaces/DIC/pages/1034223816/Access+Continuum</t>
  </si>
  <si>
    <t>Access Control</t>
  </si>
  <si>
    <t>https://open-measure.atlassian.net/wiki/spaces/DIC/pages/427163781</t>
  </si>
  <si>
    <t>Access Control List</t>
  </si>
  <si>
    <t>https://open-measure.atlassian.net/wiki/spaces/DIC/pages/822345754</t>
  </si>
  <si>
    <t>Access Control Mechanism</t>
  </si>
  <si>
    <t>https://open-measure.atlassian.net/wiki/spaces/DIC/pages/67633606</t>
  </si>
  <si>
    <t>Access Control Model</t>
  </si>
  <si>
    <t>https://open-measure.atlassian.net/wiki/spaces/DIC/pages/67699193</t>
  </si>
  <si>
    <t>Access Control Policy</t>
  </si>
  <si>
    <t>https://open-measure.atlassian.net/wiki/spaces/DIC/pages/67633597</t>
  </si>
  <si>
    <t>https://open-measure.atlassian.net/wiki/spaces/DIC/pages/1006632974</t>
  </si>
  <si>
    <t>Access Privilege</t>
  </si>
  <si>
    <t>https://open-measure.atlassian.net/wiki/spaces/DIC/pages/1122631723</t>
  </si>
  <si>
    <t>Access Right</t>
  </si>
  <si>
    <t>https://open-measure.atlassian.net/wiki/spaces/DIC/pages/1122599013</t>
  </si>
  <si>
    <t>Access Rights Management</t>
  </si>
  <si>
    <t>https://open-measure.atlassian.net/wiki/spaces/DIC/pages/1704003</t>
  </si>
  <si>
    <t>https://open-measure.atlassian.net/wiki/spaces/DIC/pages/1600684040/Access+Token</t>
  </si>
  <si>
    <t>https://open-measure.atlassian.net/wiki/spaces/DIC/pages/461308120/Account</t>
  </si>
  <si>
    <t>Account Lockout Policy</t>
  </si>
  <si>
    <t>https://open-measure.atlassian.net/wiki/spaces/DIC/pages/67699360</t>
  </si>
  <si>
    <t>Account Management</t>
  </si>
  <si>
    <t>https://open-measure.atlassian.net/wiki/spaces/DIC/pages/1146847331</t>
  </si>
  <si>
    <t>https://open-measure.atlassian.net/wiki/spaces/DIC/pages/1079050286/Account+Takeover</t>
  </si>
  <si>
    <t>https://open-measure.atlassian.net/wiki/spaces/DIC/pages/425623718</t>
  </si>
  <si>
    <t>Accreditation</t>
  </si>
  <si>
    <t>https://open-measure.atlassian.net/wiki/spaces/DIC/pages/446955580</t>
  </si>
  <si>
    <t>Active Impersonation Attack</t>
  </si>
  <si>
    <t>https://open-measure.atlassian.net/wiki/spaces/DIC/pages/974454812</t>
  </si>
  <si>
    <t>https://open-measure.atlassian.net/wiki/spaces/DIC/pages/81101665/AP</t>
  </si>
  <si>
    <t>Applicant</t>
  </si>
  <si>
    <t>https://open-measure.atlassian.net/wiki/spaces/DIC/pages/848625750</t>
  </si>
  <si>
    <t>https://open-measure.atlassian.net/wiki/spaces/DIC/pages/5965602/Application</t>
  </si>
  <si>
    <t>Application Administrator</t>
  </si>
  <si>
    <t>https://open-measure.atlassian.net/wiki/spaces/DIC/pages/274236090</t>
  </si>
  <si>
    <t>Application Instance</t>
  </si>
  <si>
    <t>https://open-measure.atlassian.net/wiki/spaces/DIC/pages/834044036</t>
  </si>
  <si>
    <t>https://open-measure.atlassian.net/wiki/spaces/DIC/pages/1658355721/Application+Multiplexing</t>
  </si>
  <si>
    <t>Application Package</t>
  </si>
  <si>
    <t>https://open-measure.atlassian.net/wiki/spaces/DIC/pages/5932704</t>
  </si>
  <si>
    <t>https://open-measure.atlassian.net/wiki/spaces/DIC/pages/6030793/Application+Program</t>
  </si>
  <si>
    <t>Application-Level Policy</t>
  </si>
  <si>
    <t>https://open-measure.atlassian.net/wiki/spaces/DIC/pages/1122631854</t>
  </si>
  <si>
    <t>Archive</t>
  </si>
  <si>
    <t>https://open-measure.atlassian.net/wiki/spaces/DIC/pages/425197720</t>
  </si>
  <si>
    <t>https://open-measure.atlassian.net/wiki/spaces/DIC/pages/1703994/ARM</t>
  </si>
  <si>
    <t>Asset Custody</t>
  </si>
  <si>
    <t>https://open-measure.atlassian.net/wiki/spaces/DIC/pages/1094516867</t>
  </si>
  <si>
    <t>https://open-measure.atlassian.net/wiki/spaces/DIC/pages/1323368851/Attestation</t>
  </si>
  <si>
    <t>https://open-measure.atlassian.net/wiki/spaces/DIC/pages/409174161</t>
  </si>
  <si>
    <t>Attribute Provider</t>
  </si>
  <si>
    <t>https://open-measure.atlassian.net/wiki/spaces/DIC/pages/81101655</t>
  </si>
  <si>
    <t>Authenticated Users</t>
  </si>
  <si>
    <t>https://open-measure.atlassian.net/wiki/spaces/DIC/pages/966492169</t>
  </si>
  <si>
    <t>Authentication</t>
  </si>
  <si>
    <t>https://open-measure.atlassian.net/wiki/spaces/DIC/pages/61177884</t>
  </si>
  <si>
    <t>https://open-measure.atlassian.net/wiki/spaces/DIC/pages/81199158</t>
  </si>
  <si>
    <t>Authenticator</t>
  </si>
  <si>
    <t>https://open-measure.atlassian.net/wiki/spaces/DIC/pages/848724060</t>
  </si>
  <si>
    <t>Authority</t>
  </si>
  <si>
    <t>https://open-measure.atlassian.net/wiki/spaces/DIC/pages/998178905</t>
  </si>
  <si>
    <t>Authorization</t>
  </si>
  <si>
    <t>https://open-measure.atlassian.net/wiki/spaces/DIC/pages/60882993</t>
  </si>
  <si>
    <t>https://open-measure.atlassian.net/wiki/spaces/DIC/pages/1137573936/Authorization+Externalization</t>
  </si>
  <si>
    <t>Awareness</t>
  </si>
  <si>
    <t>https://open-measure.atlassian.net/wiki/spaces/DIC/pages/1311472</t>
  </si>
  <si>
    <t>AWS Account Root User</t>
  </si>
  <si>
    <t>https://open-measure.atlassian.net/wiki/spaces/DIC/pages/998277774</t>
  </si>
  <si>
    <t>AWS ACL</t>
  </si>
  <si>
    <t>https://open-measure.atlassian.net/wiki/spaces/DIC/pages/998245198</t>
  </si>
  <si>
    <t>AWS IAM</t>
  </si>
  <si>
    <t>https://open-measure.atlassian.net/wiki/spaces/DIC/pages/998277876</t>
  </si>
  <si>
    <t>AWS IAM Group</t>
  </si>
  <si>
    <t>https://open-measure.atlassian.net/wiki/spaces/DIC/pages/998277805</t>
  </si>
  <si>
    <t>AWS IAM Policy</t>
  </si>
  <si>
    <t>https://open-measure.atlassian.net/wiki/spaces/DIC/pages/998277852</t>
  </si>
  <si>
    <t>AWS IAM Principal</t>
  </si>
  <si>
    <t>https://open-measure.atlassian.net/wiki/spaces/DIC/pages/1071251573</t>
  </si>
  <si>
    <t>AWS IAM Role</t>
  </si>
  <si>
    <t>https://open-measure.atlassian.net/wiki/spaces/DIC/pages/998245151</t>
  </si>
  <si>
    <t>AWS IAM Temporary Security Credentials</t>
  </si>
  <si>
    <t>https://open-measure.atlassian.net/wiki/spaces/DIC/pages/998277835</t>
  </si>
  <si>
    <t>AWS IAM User</t>
  </si>
  <si>
    <t>https://open-measure.atlassian.net/wiki/spaces/DIC/pages/998245125</t>
  </si>
  <si>
    <t>BankID</t>
  </si>
  <si>
    <t>https://open-measure.atlassian.net/wiki/spaces/DIC/pages/797933843</t>
  </si>
  <si>
    <t>Basic Z Rule</t>
  </si>
  <si>
    <t>https://open-measure.atlassian.net/wiki/spaces/DIC/pages/1228079157</t>
  </si>
  <si>
    <t>https://open-measure.atlassian.net/wiki/spaces/DIC/pages/1673527501/Behavioral+Authentication</t>
  </si>
  <si>
    <t>https://open-measure.atlassian.net/wiki/spaces/DIC/pages/1237549087/Bell-LaPadula+Model</t>
  </si>
  <si>
    <t>Biometric Identification</t>
  </si>
  <si>
    <t>https://open-measure.atlassian.net/wiki/spaces/DIC/pages/409174210</t>
  </si>
  <si>
    <t>Biometrics</t>
  </si>
  <si>
    <t>https://open-measure.atlassian.net/wiki/spaces/DIC/pages/409010581</t>
  </si>
  <si>
    <t>Birth Certificate</t>
  </si>
  <si>
    <t>https://open-measure.atlassian.net/wiki/spaces/DIC/pages/1031209441</t>
  </si>
  <si>
    <t>Blast Radius</t>
  </si>
  <si>
    <t>https://open-measure.atlassian.net/wiki/spaces/DIC/pages/794492970</t>
  </si>
  <si>
    <t>https://open-measure.atlassian.net/wiki/spaces/DIC/pages/1571389777/Boundary+Control</t>
  </si>
  <si>
    <t>Broker</t>
  </si>
  <si>
    <t>https://open-measure.atlassian.net/wiki/spaces/DIC/pages/81101750</t>
  </si>
  <si>
    <t>https://open-measure.atlassian.net/wiki/spaces/DIC/pages/1348763687/Brute+Force+Attack</t>
  </si>
  <si>
    <t>Built-in</t>
  </si>
  <si>
    <t>https://open-measure.atlassian.net/wiki/spaces/DIC/pages/140772106</t>
  </si>
  <si>
    <t>https://open-measure.atlassian.net/wiki/spaces/DIC/pages/1228079170/BZR</t>
  </si>
  <si>
    <t>https://open-measure.atlassian.net/wiki/spaces/DIC/pages/1254588417/Cached+Credential</t>
  </si>
  <si>
    <t>https://open-measure.atlassian.net/wiki/spaces/DIC/pages/442466346/CDD</t>
  </si>
  <si>
    <t>Centralized Identity Management System</t>
  </si>
  <si>
    <t>https://open-measure.atlassian.net/wiki/spaces/DIC/pages/1152483641</t>
  </si>
  <si>
    <t>Certification</t>
  </si>
  <si>
    <t>https://open-measure.atlassian.net/wiki/spaces/DIC/pages/823459864</t>
  </si>
  <si>
    <t>https://open-measure.atlassian.net/wiki/spaces/DIC/pages/1290076214/CIBA</t>
  </si>
  <si>
    <t>https://open-measure.atlassian.net/wiki/spaces/DIC/pages/1323499650/Claim</t>
  </si>
  <si>
    <t>https://open-measure.atlassian.net/wiki/spaces/DIC/pages/1309605928/Claim+Registry+Model</t>
  </si>
  <si>
    <t>Claimant</t>
  </si>
  <si>
    <t>https://open-measure.atlassian.net/wiki/spaces/DIC/pages/848363630</t>
  </si>
  <si>
    <t>Classification</t>
  </si>
  <si>
    <t>https://open-measure.atlassian.net/wiki/spaces/DIC/pages/140771387</t>
  </si>
  <si>
    <t>https://open-measure.atlassian.net/wiki/spaces/DIC/pages/1290076229/Client+Initiated+Backchannel+Authentication</t>
  </si>
  <si>
    <t>Cloud Identity Management System</t>
  </si>
  <si>
    <t>https://open-measure.atlassian.net/wiki/spaces/DIC/pages/1152516136</t>
  </si>
  <si>
    <t>Cloud IdMS</t>
  </si>
  <si>
    <t>https://open-measure.atlassian.net/wiki/spaces/DIC/pages/1152516118</t>
  </si>
  <si>
    <t>Cloud Service Consumers</t>
  </si>
  <si>
    <t>https://open-measure.atlassian.net/wiki/spaces/DIC/pages/1147043959</t>
  </si>
  <si>
    <t>Cloud Service Provider</t>
  </si>
  <si>
    <t>https://open-measure.atlassian.net/wiki/spaces/DIC/pages/206307528</t>
  </si>
  <si>
    <t>https://open-measure.atlassian.net/wiki/spaces/DIC/pages/206766142/Cloud+Service+User</t>
  </si>
  <si>
    <t>Commission Error</t>
  </si>
  <si>
    <t>https://open-measure.atlassian.net/wiki/spaces/DIC/pages/998277125</t>
  </si>
  <si>
    <t>Compromised Identity</t>
  </si>
  <si>
    <t>https://open-measure.atlassian.net/wiki/spaces/DIC/pages/461307985</t>
  </si>
  <si>
    <t>Concurrent Impersonation Attack</t>
  </si>
  <si>
    <t>https://open-measure.atlassian.net/wiki/spaces/DIC/pages/974454827</t>
  </si>
  <si>
    <t>Continuous Authentication</t>
  </si>
  <si>
    <t>https://open-measure.atlassian.net/wiki/spaces/DIC/pages/877297665</t>
  </si>
  <si>
    <t>Control Party</t>
  </si>
  <si>
    <t>https://open-measure.atlassian.net/wiki/spaces/DIC/pages/82838169</t>
  </si>
  <si>
    <t>Core Identity</t>
  </si>
  <si>
    <t>https://open-measure.atlassian.net/wiki/spaces/DIC/pages/138346642</t>
  </si>
  <si>
    <t>https://open-measure.atlassian.net/wiki/spaces/DIC/pages/67633343/Credential</t>
  </si>
  <si>
    <t>https://open-measure.atlassian.net/wiki/spaces/DIC/pages/1254719498/Credential+Harvesting</t>
  </si>
  <si>
    <t>Credential Service Provider</t>
  </si>
  <si>
    <t>https://open-measure.atlassian.net/wiki/spaces/DIC/pages/82870977</t>
  </si>
  <si>
    <t>https://open-measure.atlassian.net/wiki/spaces/DIC/pages/1348862053/Credential+Stuffing</t>
  </si>
  <si>
    <t>Credential Theft</t>
  </si>
  <si>
    <t>https://open-measure.atlassian.net/wiki/spaces/DIC/pages/461340725</t>
  </si>
  <si>
    <t>Cryptographic Key</t>
  </si>
  <si>
    <t>https://open-measure.atlassian.net/wiki/spaces/DIC/pages/427130918</t>
  </si>
  <si>
    <t>https://open-measure.atlassian.net/wiki/spaces/DIC/pages/1152516162/CSC</t>
  </si>
  <si>
    <t>https://open-measure.atlassian.net/wiki/spaces/DIC/pages/82903984/CSP</t>
  </si>
  <si>
    <t>https://open-measure.atlassian.net/wiki/spaces/DIC/pages/206667867/CSU</t>
  </si>
  <si>
    <t>Customer Due Diligence</t>
  </si>
  <si>
    <t>https://open-measure.atlassian.net/wiki/spaces/DIC/pages/414482448</t>
  </si>
  <si>
    <t>Customer Identification</t>
  </si>
  <si>
    <t>https://open-measure.atlassian.net/wiki/spaces/DIC/pages/414548006</t>
  </si>
  <si>
    <t>Customer Identity</t>
  </si>
  <si>
    <t>https://open-measure.atlassian.net/wiki/spaces/DIC/pages/138444875</t>
  </si>
  <si>
    <t>Customer Identity Verification</t>
  </si>
  <si>
    <t>https://open-measure.atlassian.net/wiki/spaces/DIC/pages/409010717</t>
  </si>
  <si>
    <t>Customer On-Boarding</t>
  </si>
  <si>
    <t>https://open-measure.atlassian.net/wiki/spaces/DIC/pages/408944928</t>
  </si>
  <si>
    <t>Customer Privacy and Consent Management</t>
  </si>
  <si>
    <t>https://open-measure.atlassian.net/wiki/spaces/DIC/pages/797900801</t>
  </si>
  <si>
    <t>https://open-measure.atlassian.net/wiki/spaces/DIC/pages/1451982933/Cyber-sabotage</t>
  </si>
  <si>
    <t>https://open-measure.atlassian.net/wiki/spaces/DIC/pages/1177845938/DAC</t>
  </si>
  <si>
    <t>https://open-measure.atlassian.net/wiki/spaces/DIC/pages/1267400850/Data+Anonymization</t>
  </si>
  <si>
    <t>Data Custodian</t>
  </si>
  <si>
    <t>https://open-measure.atlassian.net/wiki/spaces/DIC/pages/998244454</t>
  </si>
  <si>
    <t>Data Lineage</t>
  </si>
  <si>
    <t>https://open-measure.atlassian.net/wiki/spaces/DIC/pages/508330028</t>
  </si>
  <si>
    <t>Data Obfuscation</t>
  </si>
  <si>
    <t>https://open-measure.atlassian.net/wiki/spaces/DIC/pages/1027048097</t>
  </si>
  <si>
    <t>Data Owner</t>
  </si>
  <si>
    <t>https://open-measure.atlassian.net/wiki/spaces/DIC/pages/998179040</t>
  </si>
  <si>
    <t>Data-Level Policy</t>
  </si>
  <si>
    <t>https://open-measure.atlassian.net/wiki/spaces/DIC/pages/1132331029</t>
  </si>
  <si>
    <t>Death Certificate</t>
  </si>
  <si>
    <t>https://open-measure.atlassian.net/wiki/spaces/DIC/pages/1031242134</t>
  </si>
  <si>
    <t>Decentralized Identifier</t>
  </si>
  <si>
    <t>https://open-measure.atlassian.net/wiki/spaces/DIC/pages/782893122</t>
  </si>
  <si>
    <t>De-duplication</t>
  </si>
  <si>
    <t>https://open-measure.atlassian.net/wiki/spaces/DIC/pages/408977837</t>
  </si>
  <si>
    <t>Deprovisioning</t>
  </si>
  <si>
    <t>https://open-measure.atlassian.net/wiki/spaces/DIC/pages/62193665</t>
  </si>
  <si>
    <t>https://open-measure.atlassian.net/wiki/spaces/DIC/pages/782925889/DID</t>
  </si>
  <si>
    <t>Digital Continuity</t>
  </si>
  <si>
    <t>https://open-measure.atlassian.net/wiki/spaces/DIC/pages/458326308</t>
  </si>
  <si>
    <t>https://open-measure.atlassian.net/wiki/spaces/DIC/pages/419561482/Digital+Identification+System</t>
  </si>
  <si>
    <t>https://open-measure.atlassian.net/wiki/spaces/DIC/pages/419528705/Digital+Identity</t>
  </si>
  <si>
    <t>https://open-measure.atlassian.net/wiki/spaces/DIC/pages/1270153304/Digital+Identity+Authenticity</t>
  </si>
  <si>
    <t>Digital Triangulation</t>
  </si>
  <si>
    <t>https://open-measure.atlassian.net/wiki/spaces/DIC/pages/796983391</t>
  </si>
  <si>
    <t>Discretionary Access Control</t>
  </si>
  <si>
    <t>https://open-measure.atlassian.net/wiki/spaces/DIC/pages/1181876315</t>
  </si>
  <si>
    <t>Distributed Identity</t>
  </si>
  <si>
    <t>https://open-measure.atlassian.net/wiki/spaces/DIC/pages/810287202</t>
  </si>
  <si>
    <t>Distributed Ledger Technology</t>
  </si>
  <si>
    <t>https://open-measure.atlassian.net/wiki/spaces/DIC/pages/419594251</t>
  </si>
  <si>
    <t>Dual Authorization</t>
  </si>
  <si>
    <t>https://open-measure.atlassian.net/wiki/spaces/DIC/pages/806584322</t>
  </si>
  <si>
    <t>ECS</t>
  </si>
  <si>
    <t>https://open-measure.atlassian.net/wiki/spaces/DIC/pages/206766113</t>
  </si>
  <si>
    <t>e-Identity</t>
  </si>
  <si>
    <t>https://open-measure.atlassian.net/wiki/spaces/DIC/pages/82903896</t>
  </si>
  <si>
    <t>EIdM</t>
  </si>
  <si>
    <t>https://open-measure.atlassian.net/wiki/spaces/DIC/pages/61964467</t>
  </si>
  <si>
    <t>Employee</t>
  </si>
  <si>
    <t>https://open-measure.atlassian.net/wiki/spaces/DIC/pages/1031209232</t>
  </si>
  <si>
    <t>Enterprise Cloud Subscriber</t>
  </si>
  <si>
    <t>https://open-measure.atlassian.net/wiki/spaces/DIC/pages/206766092</t>
  </si>
  <si>
    <t>Enterprise Identity Management</t>
  </si>
  <si>
    <t>https://open-measure.atlassian.net/wiki/spaces/DIC/pages/62455952</t>
  </si>
  <si>
    <t>Enterprise Single Sign-On</t>
  </si>
  <si>
    <t>https://open-measure.atlassian.net/wiki/spaces/DIC/pages/76021801</t>
  </si>
  <si>
    <t>Entitlement</t>
  </si>
  <si>
    <t>https://open-measure.atlassian.net/wiki/spaces/DIC/pages/1121878049</t>
  </si>
  <si>
    <t>Entitlement Management</t>
  </si>
  <si>
    <t>https://open-measure.atlassian.net/wiki/spaces/DIC/pages/1122566465</t>
  </si>
  <si>
    <t>Entitlement Management Process</t>
  </si>
  <si>
    <t>https://open-measure.atlassian.net/wiki/spaces/DIC/pages/1121910973</t>
  </si>
  <si>
    <t>Entitlement Management Solution</t>
  </si>
  <si>
    <t>https://open-measure.atlassian.net/wiki/spaces/DIC/pages/1122631800</t>
  </si>
  <si>
    <t>Entitlement-Based Access Control</t>
  </si>
  <si>
    <t>https://open-measure.atlassian.net/wiki/spaces/DIC/pages/1122566173</t>
  </si>
  <si>
    <t>Entity</t>
  </si>
  <si>
    <t>https://open-measure.atlassian.net/wiki/spaces/DIC/pages/123830932</t>
  </si>
  <si>
    <t>ESSO</t>
  </si>
  <si>
    <t>https://open-measure.atlassian.net/wiki/spaces/DIC/pages/75956266</t>
  </si>
  <si>
    <t>Excessive Privilege Abuse</t>
  </si>
  <si>
    <t>https://open-measure.atlassian.net/wiki/spaces/DIC/pages/1104904275</t>
  </si>
  <si>
    <t>Expanded Password System</t>
  </si>
  <si>
    <t>https://open-measure.atlassian.net/wiki/spaces/DIC/pages/446824885</t>
  </si>
  <si>
    <t>Exploited Identity</t>
  </si>
  <si>
    <t>https://open-measure.atlassian.net/wiki/spaces/DIC/pages/461275380</t>
  </si>
  <si>
    <t>Extended Enterprise</t>
  </si>
  <si>
    <t>https://open-measure.atlassian.net/wiki/spaces/DIC/pages/82870848</t>
  </si>
  <si>
    <t>Extensible Access Control Markup Language</t>
  </si>
  <si>
    <t>https://open-measure.atlassian.net/wiki/spaces/DIC/pages/1121878505</t>
  </si>
  <si>
    <t>https://open-measure.atlassian.net/wiki/spaces/DIC/pages/1267433567/Fake+Digital+Identity</t>
  </si>
  <si>
    <t>https://open-measure.atlassian.net/wiki/spaces/DIC/pages/1290141697/FAPI</t>
  </si>
  <si>
    <t>Federated Identity Management</t>
  </si>
  <si>
    <t>https://open-measure.atlassian.net/wiki/spaces/DIC/pages/331579598</t>
  </si>
  <si>
    <t>Federated Identity Management System</t>
  </si>
  <si>
    <t>https://open-measure.atlassian.net/wiki/spaces/DIC/pages/1152483703</t>
  </si>
  <si>
    <t>Federated SSO</t>
  </si>
  <si>
    <t>https://open-measure.atlassian.net/wiki/spaces/DIC/pages/75890786</t>
  </si>
  <si>
    <t>Federation Bridge</t>
  </si>
  <si>
    <t>https://open-measure.atlassian.net/wiki/spaces/DIC/pages/763035693</t>
  </si>
  <si>
    <t>FIM</t>
  </si>
  <si>
    <t>https://open-measure.atlassian.net/wiki/spaces/DIC/pages/331579618</t>
  </si>
  <si>
    <t>https://open-measure.atlassian.net/wiki/spaces/DIC/pages/1290207237/Financial-grade+API</t>
  </si>
  <si>
    <t>https://open-measure.atlassian.net/wiki/spaces/DIC/pages/1378091043/FinTech</t>
  </si>
  <si>
    <t>Flexibility</t>
  </si>
  <si>
    <t>https://open-measure.atlassian.net/wiki/spaces/DIC/pages/438698048</t>
  </si>
  <si>
    <t>Flow Analysis</t>
  </si>
  <si>
    <t>https://open-measure.atlassian.net/wiki/spaces/DIC/pages/1223884872</t>
  </si>
  <si>
    <t>Forged Identity</t>
  </si>
  <si>
    <t>https://open-measure.atlassian.net/wiki/spaces/DIC/pages/1173585921</t>
  </si>
  <si>
    <t>Formal Verification</t>
  </si>
  <si>
    <t>https://open-measure.atlassian.net/wiki/spaces/DIC/pages/1226833964</t>
  </si>
  <si>
    <t>https://open-measure.atlassian.net/wiki/spaces/DIC/pages/419561522/Foundational+Identification+System</t>
  </si>
  <si>
    <t>Functional Identification System</t>
  </si>
  <si>
    <t>https://open-measure.atlassian.net/wiki/spaces/DIC/pages/419528747</t>
  </si>
  <si>
    <t>Functional System</t>
  </si>
  <si>
    <t>https://open-measure.atlassian.net/wiki/spaces/DIC/pages/1229619254</t>
  </si>
  <si>
    <t>Guest Account</t>
  </si>
  <si>
    <t>https://open-measure.atlassian.net/wiki/spaces/DIC/pages/966557699</t>
  </si>
  <si>
    <t>High Water Mark Principle</t>
  </si>
  <si>
    <t>https://open-measure.atlassian.net/wiki/spaces/DIC/pages/1177846011</t>
  </si>
  <si>
    <t>Human Error</t>
  </si>
  <si>
    <t>https://open-measure.atlassian.net/wiki/spaces/DIC/pages/998047786</t>
  </si>
  <si>
    <t>Human Reliability</t>
  </si>
  <si>
    <t>https://open-measure.atlassian.net/wiki/spaces/DIC/pages/998277156</t>
  </si>
  <si>
    <t>https://open-measure.atlassian.net/wiki/spaces/DIC/pages/1572865/IAG</t>
  </si>
  <si>
    <t>https://open-measure.atlassian.net/wiki/spaces/DIC/pages/1081356/IAM</t>
  </si>
  <si>
    <t>IAM ARN</t>
  </si>
  <si>
    <t>https://open-measure.atlassian.net/wiki/spaces/DIC/pages/1037926677</t>
  </si>
  <si>
    <t>IAM Management</t>
  </si>
  <si>
    <t>https://open-measure.atlassian.net/wiki/spaces/DIC/pages/82838735</t>
  </si>
  <si>
    <t>IAP</t>
  </si>
  <si>
    <t>https://open-measure.atlassian.net/wiki/spaces/DIC/pages/234487971</t>
  </si>
  <si>
    <t>IDaaS</t>
  </si>
  <si>
    <t>https://open-measure.atlassian.net/wiki/spaces/DIC/pages/1149468857</t>
  </si>
  <si>
    <t>Ideal Type</t>
  </si>
  <si>
    <t>https://open-measure.atlassian.net/wiki/spaces/DIC/pages/149356545</t>
  </si>
  <si>
    <t>Identification</t>
  </si>
  <si>
    <t>https://open-measure.atlassian.net/wiki/spaces/DIC/pages/419659837</t>
  </si>
  <si>
    <t>Identification System</t>
  </si>
  <si>
    <t>https://open-measure.atlassian.net/wiki/spaces/DIC/pages/419758113</t>
  </si>
  <si>
    <t>Identifier</t>
  </si>
  <si>
    <t>https://open-measure.atlassian.net/wiki/spaces/DIC/pages/435322922</t>
  </si>
  <si>
    <t>https://open-measure.atlassian.net/wiki/spaces/DIC/pages/1311113273/Identifier+Registry+Model</t>
  </si>
  <si>
    <t>Identity</t>
  </si>
  <si>
    <t>https://open-measure.atlassian.net/wiki/spaces/DIC/pages/67600948</t>
  </si>
  <si>
    <t>https://open-measure.atlassian.net/wiki/spaces/DIC/pages/1600618542/Identity+Aggregation</t>
  </si>
  <si>
    <t>https://open-measure.atlassian.net/wiki/spaces/DIC/pages/1458176007/Identity+and+Access+Governance</t>
  </si>
  <si>
    <t>https://open-measure.atlassian.net/wiki/spaces/DIC/pages/1409143/Identity+and+Access+Management</t>
  </si>
  <si>
    <t>https://open-measure.atlassian.net/wiki/spaces/DIC/pages/1600749655/Identity+Assurance</t>
  </si>
  <si>
    <t>Identity Attribute</t>
  </si>
  <si>
    <t>https://open-measure.atlassian.net/wiki/spaces/DIC/pages/82903275</t>
  </si>
  <si>
    <t>https://open-measure.atlassian.net/wiki/spaces/DIC/pages/123896632/Identity+Establishment</t>
  </si>
  <si>
    <t>https://open-measure.atlassian.net/wiki/spaces/DIC/pages/336035929/Identity+Federation</t>
  </si>
  <si>
    <t>https://open-measure.atlassian.net/wiki/spaces/DIC/pages/1323597918/Identity+Guardian</t>
  </si>
  <si>
    <t>Identity Lifecycle</t>
  </si>
  <si>
    <t>https://open-measure.atlassian.net/wiki/spaces/DIC/pages/67600436</t>
  </si>
  <si>
    <t>Identity Management</t>
  </si>
  <si>
    <t>https://open-measure.atlassian.net/wiki/spaces/DIC/pages/1122533530</t>
  </si>
  <si>
    <t>Identity Management System</t>
  </si>
  <si>
    <t>https://open-measure.atlassian.net/wiki/spaces/DIC/pages/1146847286</t>
  </si>
  <si>
    <t>https://open-measure.atlassian.net/wiki/spaces/DIC/pages/1323434004/Identity+Portability</t>
  </si>
  <si>
    <t>Identity Proofing</t>
  </si>
  <si>
    <t>https://open-measure.atlassian.net/wiki/spaces/DIC/pages/858522094</t>
  </si>
  <si>
    <t>Identity Propagation</t>
  </si>
  <si>
    <t>https://open-measure.atlassian.net/wiki/spaces/DIC/pages/810254353</t>
  </si>
  <si>
    <t>Identity Provider</t>
  </si>
  <si>
    <t>https://open-measure.atlassian.net/wiki/spaces/DIC/pages/82838020</t>
  </si>
  <si>
    <t>Identity Repository</t>
  </si>
  <si>
    <t>https://open-measure.atlassian.net/wiki/spaces/DIC/pages/1117913089</t>
  </si>
  <si>
    <t>Identity-as-a-Service</t>
  </si>
  <si>
    <t>https://open-measure.atlassian.net/wiki/spaces/DIC/pages/1152516217</t>
  </si>
  <si>
    <t>Identity-Aware Proxy</t>
  </si>
  <si>
    <t>https://open-measure.atlassian.net/wiki/spaces/DIC/pages/236748873</t>
  </si>
  <si>
    <t>IdMS</t>
  </si>
  <si>
    <t>https://open-measure.atlassian.net/wiki/spaces/DIC/pages/1147043904</t>
  </si>
  <si>
    <t>IdP</t>
  </si>
  <si>
    <t>https://open-measure.atlassian.net/wiki/spaces/DIC/pages/81101362</t>
  </si>
  <si>
    <t>IMG</t>
  </si>
  <si>
    <t>https://open-measure.atlassian.net/wiki/spaces/DIC/pages/107708597</t>
  </si>
  <si>
    <t>Impersonation</t>
  </si>
  <si>
    <t>https://open-measure.atlassian.net/wiki/spaces/DIC/pages/974323719</t>
  </si>
  <si>
    <t>Information</t>
  </si>
  <si>
    <t>https://open-measure.atlassian.net/wiki/spaces/DIC/pages/1027342618</t>
  </si>
  <si>
    <t>Information Asset</t>
  </si>
  <si>
    <t>https://open-measure.atlassian.net/wiki/spaces/DIC/pages/455508212</t>
  </si>
  <si>
    <t>Information Custodian</t>
  </si>
  <si>
    <t>https://open-measure.atlassian.net/wiki/spaces/DIC/pages/1004896257</t>
  </si>
  <si>
    <t>Information Flow Policy</t>
  </si>
  <si>
    <t>https://open-measure.atlassian.net/wiki/spaces/DIC/pages/1177714758</t>
  </si>
  <si>
    <t>Information Owner</t>
  </si>
  <si>
    <t>https://open-measure.atlassian.net/wiki/spaces/DIC/pages/998113409</t>
  </si>
  <si>
    <t>https://open-measure.atlassian.net/wiki/spaces/DIC/pages/438698009/Information+Security+Domain</t>
  </si>
  <si>
    <t>https://open-measure.atlassian.net/wiki/spaces/DIC/pages/1031241830/Information+System</t>
  </si>
  <si>
    <t>https://open-measure.atlassian.net/wiki/spaces/DIC/pages/1477869651/Inside+Attacker</t>
  </si>
  <si>
    <t>https://open-measure.atlassian.net/wiki/spaces/DIC/pages/1451884782/Insider</t>
  </si>
  <si>
    <t>https://open-measure.atlassian.net/wiki/spaces/DIC/pages/1478459402/Insider+Attack</t>
  </si>
  <si>
    <t>https://open-measure.atlassian.net/wiki/spaces/DIC/pages/1451098397/Insider+Threat</t>
  </si>
  <si>
    <t>Insufficient Granularity of Access Control</t>
  </si>
  <si>
    <t>https://open-measure.atlassian.net/wiki/spaces/DIC/pages/822476843</t>
  </si>
  <si>
    <t>Intentional Error</t>
  </si>
  <si>
    <t>https://open-measure.atlassian.net/wiki/spaces/DIC/pages/998277141</t>
  </si>
  <si>
    <t>Interested Party</t>
  </si>
  <si>
    <t>https://open-measure.atlassian.net/wiki/spaces/DIC/pages/1311417</t>
  </si>
  <si>
    <t>Interoperability</t>
  </si>
  <si>
    <t>https://open-measure.atlassian.net/wiki/spaces/DIC/pages/442466314</t>
  </si>
  <si>
    <t>Interval Scale</t>
  </si>
  <si>
    <t>https://open-measure.atlassian.net/wiki/spaces/DIC/pages/11567191</t>
  </si>
  <si>
    <t>Isolated Identity Management System</t>
  </si>
  <si>
    <t>https://open-measure.atlassian.net/wiki/spaces/DIC/pages/1152483625</t>
  </si>
  <si>
    <t>IT Asset Scope</t>
  </si>
  <si>
    <t>https://open-measure.atlassian.net/wiki/spaces/DIC/pages/720902</t>
  </si>
  <si>
    <t>https://open-measure.atlassian.net/wiki/spaces/DIC/pages/1569095803/IT+System</t>
  </si>
  <si>
    <t>JML</t>
  </si>
  <si>
    <t>https://open-measure.atlassian.net/wiki/spaces/DIC/pages/858488984</t>
  </si>
  <si>
    <t>Joiner</t>
  </si>
  <si>
    <t>https://open-measure.atlassian.net/wiki/spaces/DIC/pages/855506953</t>
  </si>
  <si>
    <t>Joiner Hire Date</t>
  </si>
  <si>
    <t>https://open-measure.atlassian.net/wiki/spaces/DIC/pages/858456203</t>
  </si>
  <si>
    <t>Joiner Lead Time</t>
  </si>
  <si>
    <t>https://open-measure.atlassian.net/wiki/spaces/DIC/pages/852492379</t>
  </si>
  <si>
    <t>Joiner Process</t>
  </si>
  <si>
    <t>https://open-measure.atlassian.net/wiki/spaces/DIC/pages/858521641</t>
  </si>
  <si>
    <t>Joiner Start Date</t>
  </si>
  <si>
    <t>https://open-measure.atlassian.net/wiki/spaces/DIC/pages/852492338</t>
  </si>
  <si>
    <t>Key Criteria Type</t>
  </si>
  <si>
    <t>https://open-measure.atlassian.net/wiki/spaces/DIC/pages/140706011</t>
  </si>
  <si>
    <t>Key Information</t>
  </si>
  <si>
    <t>https://open-measure.atlassian.net/wiki/spaces/DIC/pages/425623701</t>
  </si>
  <si>
    <t>Keying Material</t>
  </si>
  <si>
    <t>https://open-measure.atlassian.net/wiki/spaces/DIC/pages/427163745</t>
  </si>
  <si>
    <t>KYC</t>
  </si>
  <si>
    <t>https://open-measure.atlassian.net/wiki/spaces/DIC/pages/442499114</t>
  </si>
  <si>
    <t>KYC Registry</t>
  </si>
  <si>
    <t>https://open-measure.atlassian.net/wiki/spaces/DIC/pages/442400811</t>
  </si>
  <si>
    <t>Lattice-Based Access Control</t>
  </si>
  <si>
    <t>https://open-measure.atlassian.net/wiki/spaces/DIC/pages/1177681925</t>
  </si>
  <si>
    <t>Layers Architectural Pattern</t>
  </si>
  <si>
    <t>https://open-measure.atlassian.net/wiki/spaces/DIC/pages/1181843548</t>
  </si>
  <si>
    <t>LBAC</t>
  </si>
  <si>
    <t>https://open-measure.atlassian.net/wiki/spaces/DIC/pages/1177780225</t>
  </si>
  <si>
    <t>Leading Indicator</t>
  </si>
  <si>
    <t>https://open-measure.atlassian.net/wiki/spaces/DIC/pages/49250375</t>
  </si>
  <si>
    <t>Least Privilege</t>
  </si>
  <si>
    <t>https://open-measure.atlassian.net/wiki/spaces/DIC/pages/1006698533</t>
  </si>
  <si>
    <t>Legal Entity Identifier</t>
  </si>
  <si>
    <t>https://open-measure.atlassian.net/wiki/spaces/DIC/pages/442466361</t>
  </si>
  <si>
    <t>Legitimate Privilege Abuse</t>
  </si>
  <si>
    <t>https://open-measure.atlassian.net/wiki/spaces/DIC/pages/1104936974</t>
  </si>
  <si>
    <t>LEI</t>
  </si>
  <si>
    <t>https://open-measure.atlassian.net/wiki/spaces/DIC/pages/442368033</t>
  </si>
  <si>
    <t>Levels of Assurance</t>
  </si>
  <si>
    <t>https://open-measure.atlassian.net/wiki/spaces/DIC/pages/442466381</t>
  </si>
  <si>
    <t>Liberal Discretionary Access Control</t>
  </si>
  <si>
    <t>https://open-measure.atlassian.net/wiki/spaces/DIC/pages/1177845957</t>
  </si>
  <si>
    <t>LOA</t>
  </si>
  <si>
    <t>https://open-measure.atlassian.net/wiki/spaces/DIC/pages/442400912</t>
  </si>
  <si>
    <t>https://open-measure.atlassian.net/wiki/spaces/DIC/pages/1452048577/Logic+Bomb</t>
  </si>
  <si>
    <t>https://open-measure.atlassian.net/wiki/spaces/DIC/pages/1440153606/Login</t>
  </si>
  <si>
    <t>https://open-measure.atlassian.net/wiki/spaces/DIC/pages/1428685307/Login+ID</t>
  </si>
  <si>
    <t>https://open-measure.atlassian.net/wiki/spaces/DIC/pages/1428685365/Login+Name</t>
  </si>
  <si>
    <t>Mechanism</t>
  </si>
  <si>
    <t>https://open-measure.atlassian.net/wiki/spaces/DIC/pages/67699227</t>
  </si>
  <si>
    <t>Metadirectory</t>
  </si>
  <si>
    <t>https://open-measure.atlassian.net/wiki/spaces/DIC/pages/834044288</t>
  </si>
  <si>
    <t>Multidomain Single Sign-On</t>
  </si>
  <si>
    <t>https://open-measure.atlassian.net/wiki/spaces/DIC/pages/75890760</t>
  </si>
  <si>
    <t>Multilevel Security</t>
  </si>
  <si>
    <t>https://open-measure.atlassian.net/wiki/spaces/DIC/pages/1031241799</t>
  </si>
  <si>
    <t>https://open-measure.atlassian.net/wiki/spaces/DIC/pages/1600684160/Multiple+Accounts</t>
  </si>
  <si>
    <t>Mutual Authentication</t>
  </si>
  <si>
    <t>https://open-measure.atlassian.net/wiki/spaces/DIC/pages/998244664</t>
  </si>
  <si>
    <t>https://open-measure.atlassian.net/wiki/spaces/DIC/pages/1474592794/Need-to-Know</t>
  </si>
  <si>
    <t>New Joiner</t>
  </si>
  <si>
    <t>https://open-measure.atlassian.net/wiki/spaces/DIC/pages/858456124</t>
  </si>
  <si>
    <t>No Tranquility Property</t>
  </si>
  <si>
    <t>https://open-measure.atlassian.net/wiki/spaces/DIC/pages/1237483723</t>
  </si>
  <si>
    <t>Nonworker</t>
  </si>
  <si>
    <t>https://open-measure.atlassian.net/wiki/spaces/DIC/pages/858554692</t>
  </si>
  <si>
    <t>https://open-measure.atlassian.net/wiki/spaces/DIC/pages/1323336029/Numerical+Identity</t>
  </si>
  <si>
    <t>OAuth</t>
  </si>
  <si>
    <t>https://open-measure.atlassian.net/wiki/spaces/DIC/pages/446825168</t>
  </si>
  <si>
    <t>Object</t>
  </si>
  <si>
    <t>https://open-measure.atlassian.net/wiki/spaces/DIC/pages/67568133</t>
  </si>
  <si>
    <t>Omission Error</t>
  </si>
  <si>
    <t>https://open-measure.atlassian.net/wiki/spaces/DIC/pages/998244357</t>
  </si>
  <si>
    <t>OPA</t>
  </si>
  <si>
    <t>https://open-measure.atlassian.net/wiki/spaces/DIC/pages/1142358051</t>
  </si>
  <si>
    <t>Open Policy Agent</t>
  </si>
  <si>
    <t>https://open-measure.atlassian.net/wiki/spaces/DIC/pages/1142259761</t>
  </si>
  <si>
    <t>Operational Definition</t>
  </si>
  <si>
    <t>https://open-measure.atlassian.net/wiki/spaces/DIC/pages/3211353</t>
  </si>
  <si>
    <t>Operational Taxonomic Unit</t>
  </si>
  <si>
    <t>https://open-measure.atlassian.net/wiki/spaces/DIC/pages/148439181</t>
  </si>
  <si>
    <t>Ordinal Scale</t>
  </si>
  <si>
    <t>https://open-measure.atlassian.net/wiki/spaces/DIC/pages/5932838</t>
  </si>
  <si>
    <t>https://open-measure.atlassian.net/wiki/spaces/DIC/pages/1311403</t>
  </si>
  <si>
    <t>https://open-measure.atlassian.net/wiki/spaces/DIC/pages/557057</t>
  </si>
  <si>
    <t>Orphan</t>
  </si>
  <si>
    <t>https://open-measure.atlassian.net/wiki/spaces/DIC/pages/1061650550</t>
  </si>
  <si>
    <t>https://open-measure.atlassian.net/wiki/spaces/DIC/pages/1062207530/Orphan+Account</t>
  </si>
  <si>
    <t>Orphan File</t>
  </si>
  <si>
    <t>https://open-measure.atlassian.net/wiki/spaces/DIC/pages/1061748965</t>
  </si>
  <si>
    <t>Orphan Object</t>
  </si>
  <si>
    <t>https://open-measure.atlassian.net/wiki/spaces/DIC/pages/1061650653</t>
  </si>
  <si>
    <t>Orphan Process</t>
  </si>
  <si>
    <t>https://open-measure.atlassian.net/wiki/spaces/DIC/pages/1061748925</t>
  </si>
  <si>
    <t>Orphan Product</t>
  </si>
  <si>
    <t>https://open-measure.atlassian.net/wiki/spaces/DIC/pages/1061749016</t>
  </si>
  <si>
    <t>Orphan Role</t>
  </si>
  <si>
    <t>https://open-measure.atlassian.net/wiki/spaces/DIC/pages/1063845889</t>
  </si>
  <si>
    <t>Orphan Routes / APIs</t>
  </si>
  <si>
    <t>https://open-measure.atlassian.net/wiki/spaces/DIC/pages/1061650689</t>
  </si>
  <si>
    <t>Orphan System</t>
  </si>
  <si>
    <t>https://open-measure.atlassian.net/wiki/spaces/DIC/pages/1061748885</t>
  </si>
  <si>
    <t>https://open-measure.atlassian.net/wiki/spaces/DIC/pages/1472692289/Outsider</t>
  </si>
  <si>
    <t>Passive Impersonation Attack</t>
  </si>
  <si>
    <t>https://open-measure.atlassian.net/wiki/spaces/DIC/pages/974323764</t>
  </si>
  <si>
    <t>https://open-measure.atlassian.net/wiki/spaces/DIC/pages/1428652394/Password+Guessing+Attack</t>
  </si>
  <si>
    <t>Password Rotation</t>
  </si>
  <si>
    <t>https://open-measure.atlassian.net/wiki/spaces/DIC/pages/1027048058</t>
  </si>
  <si>
    <t>https://open-measure.atlassian.net/wiki/spaces/DIC/pages/1348730921/Password+Spraying+Attack</t>
  </si>
  <si>
    <t>https://open-measure.atlassian.net/wiki/spaces/DIC/pages/1677164566/Passwordless+Authentication</t>
  </si>
  <si>
    <t>https://open-measure.atlassian.net/wiki/spaces/DIC/pages/1409753</t>
  </si>
  <si>
    <t>Permission</t>
  </si>
  <si>
    <t>https://open-measure.atlassian.net/wiki/spaces/DIC/pages/67699129</t>
  </si>
  <si>
    <t>https://open-measure.atlassian.net/wiki/spaces/DIC/pages/1323499709/Persona</t>
  </si>
  <si>
    <t>PMS</t>
  </si>
  <si>
    <t>https://open-measure.atlassian.net/wiki/spaces/DIC/pages/1572948</t>
  </si>
  <si>
    <t>Policy</t>
  </si>
  <si>
    <t>https://open-measure.atlassian.net/wiki/spaces/DIC/pages/67568272</t>
  </si>
  <si>
    <t>Policy Analysis</t>
  </si>
  <si>
    <t>https://open-measure.atlassian.net/wiki/spaces/DIC/pages/1104904334</t>
  </si>
  <si>
    <t>Policy Centralization</t>
  </si>
  <si>
    <t>https://open-measure.atlassian.net/wiki/spaces/DIC/pages/1132331103</t>
  </si>
  <si>
    <t>Policy Interoperability</t>
  </si>
  <si>
    <t>https://open-measure.atlassian.net/wiki/spaces/DIC/pages/1132331086</t>
  </si>
  <si>
    <t>Policy Manageability</t>
  </si>
  <si>
    <t>https://open-measure.atlassian.net/wiki/spaces/DIC/pages/1122631903</t>
  </si>
  <si>
    <t>Policy Mining</t>
  </si>
  <si>
    <t>https://open-measure.atlassian.net/wiki/spaces/DIC/pages/1105068063</t>
  </si>
  <si>
    <t>Policy Modeling</t>
  </si>
  <si>
    <t>https://open-measure.atlassian.net/wiki/spaces/DIC/pages/1130987523</t>
  </si>
  <si>
    <t>Pre-approval</t>
  </si>
  <si>
    <t>https://open-measure.atlassian.net/wiki/spaces/DIC/pages/1094549649</t>
  </si>
  <si>
    <t>Principal</t>
  </si>
  <si>
    <t>https://open-measure.atlassian.net/wiki/spaces/DIC/pages/67699046</t>
  </si>
  <si>
    <t>https://open-measure.atlassian.net/wiki/spaces/DIC/pages/1323434264/Private+Key+Loss</t>
  </si>
  <si>
    <t>Privilege</t>
  </si>
  <si>
    <t>https://open-measure.atlassian.net/wiki/spaces/DIC/pages/67568310</t>
  </si>
  <si>
    <t>https://open-measure.atlassian.net/wiki/spaces/DIC/pages/814449037/Privilege+Abuse</t>
  </si>
  <si>
    <t>Privilege Chaining</t>
  </si>
  <si>
    <t>https://open-measure.atlassian.net/wiki/spaces/DIC/pages/473890861</t>
  </si>
  <si>
    <t>Privilege Escalation</t>
  </si>
  <si>
    <t>https://open-measure.atlassian.net/wiki/spaces/DIC/pages/810320380</t>
  </si>
  <si>
    <t>Privileged Identity</t>
  </si>
  <si>
    <t>https://open-measure.atlassian.net/wiki/spaces/DIC/pages/138346661</t>
  </si>
  <si>
    <t>https://open-measure.atlassian.net/wiki/spaces/DIC/pages/1477902403/Privileged+Insider</t>
  </si>
  <si>
    <t>Provisioning</t>
  </si>
  <si>
    <t>https://open-measure.atlassian.net/wiki/spaces/DIC/pages/61964289</t>
  </si>
  <si>
    <t>https://open-measure.atlassian.net/wiki/spaces/DIC/pages/1677164768/QR+Code+Authentication</t>
  </si>
  <si>
    <t>https://open-measure.atlassian.net/wiki/spaces/DIC/pages/1323598109/Qualitative+Identity</t>
  </si>
  <si>
    <t>RA</t>
  </si>
  <si>
    <t>https://open-measure.atlassian.net/wiki/spaces/DIC/pages/82903928</t>
  </si>
  <si>
    <t>Ratio Scale</t>
  </si>
  <si>
    <t>https://open-measure.atlassian.net/wiki/spaces/DIC/pages/11567198</t>
  </si>
  <si>
    <t>RBA</t>
  </si>
  <si>
    <t>https://open-measure.atlassian.net/wiki/spaces/DIC/pages/408944908</t>
  </si>
  <si>
    <t>Re-authentication</t>
  </si>
  <si>
    <t>https://open-measure.atlassian.net/wiki/spaces/DIC/pages/873201665</t>
  </si>
  <si>
    <t>Recertification</t>
  </si>
  <si>
    <t>https://open-measure.atlassian.net/wiki/spaces/DIC/pages/107840129</t>
  </si>
  <si>
    <t>Reference Monitor</t>
  </si>
  <si>
    <t>https://open-measure.atlassian.net/wiki/spaces/DIC/pages/123962234</t>
  </si>
  <si>
    <t>Registration Authority</t>
  </si>
  <si>
    <t>https://open-measure.atlassian.net/wiki/spaces/DIC/pages/82870985</t>
  </si>
  <si>
    <t>Rejoiner</t>
  </si>
  <si>
    <t>https://open-measure.atlassian.net/wiki/spaces/DIC/pages/858521682</t>
  </si>
  <si>
    <t>Relying Party</t>
  </si>
  <si>
    <t>https://open-measure.atlassian.net/wiki/spaces/DIC/pages/67699423</t>
  </si>
  <si>
    <t>Remote Identity Proofing</t>
  </si>
  <si>
    <t>https://open-measure.atlassian.net/wiki/spaces/DIC/pages/427130881</t>
  </si>
  <si>
    <t>Repeatability</t>
  </si>
  <si>
    <t>https://open-measure.atlassian.net/wiki/spaces/DIC/pages/2589003</t>
  </si>
  <si>
    <t>Representation Target</t>
  </si>
  <si>
    <t>https://open-measure.atlassian.net/wiki/spaces/DIC/pages/11141464</t>
  </si>
  <si>
    <t>Reproducibility</t>
  </si>
  <si>
    <t>https://open-measure.atlassian.net/wiki/spaces/DIC/pages/2588994</t>
  </si>
  <si>
    <t>Revocation</t>
  </si>
  <si>
    <t>https://open-measure.atlassian.net/wiki/spaces/DIC/pages/67698769</t>
  </si>
  <si>
    <t>RIDP</t>
  </si>
  <si>
    <t>https://open-measure.atlassian.net/wiki/spaces/DIC/pages/425623561</t>
  </si>
  <si>
    <t>Risk-Based Authentication</t>
  </si>
  <si>
    <t>https://open-measure.atlassian.net/wiki/spaces/DIC/pages/795836567</t>
  </si>
  <si>
    <t>Role</t>
  </si>
  <si>
    <t>https://open-measure.atlassian.net/wiki/spaces/DIC/pages/86442069</t>
  </si>
  <si>
    <t>Role Bloating</t>
  </si>
  <si>
    <t>https://open-measure.atlassian.net/wiki/spaces/DIC/pages/814514401</t>
  </si>
  <si>
    <t>Role Capacity</t>
  </si>
  <si>
    <t>https://open-measure.atlassian.net/wiki/spaces/DIC/pages/1164902443</t>
  </si>
  <si>
    <t>Role Cardinality</t>
  </si>
  <si>
    <t>https://open-measure.atlassian.net/wiki/spaces/DIC/pages/1164869655</t>
  </si>
  <si>
    <t>Role Cardinality Activation Control</t>
  </si>
  <si>
    <t>https://open-measure.atlassian.net/wiki/spaces/DIC/pages/1164902498</t>
  </si>
  <si>
    <t>Role Explosion</t>
  </si>
  <si>
    <t>https://open-measure.atlassian.net/wiki/spaces/DIC/pages/1152483772</t>
  </si>
  <si>
    <t>Role Management</t>
  </si>
  <si>
    <t>https://open-measure.atlassian.net/wiki/spaces/DIC/pages/1130921985</t>
  </si>
  <si>
    <t>Role-Based Access Control</t>
  </si>
  <si>
    <t>https://open-measure.atlassian.net/wiki/spaces/DIC/pages/1122566198</t>
  </si>
  <si>
    <t>RP</t>
  </si>
  <si>
    <t>https://open-measure.atlassian.net/wiki/spaces/DIC/pages/82903488</t>
  </si>
  <si>
    <t>https://open-measure.atlassian.net/wiki/spaces/DIC/pages/140739068/SAM+Database</t>
  </si>
  <si>
    <t>https://open-measure.atlassian.net/wiki/spaces/DIC/pages/1428586729/SAML</t>
  </si>
  <si>
    <t>SCIM</t>
  </si>
  <si>
    <t>https://open-measure.atlassian.net/wiki/spaces/DIC/pages/206307343</t>
  </si>
  <si>
    <t>SCIM 1.0</t>
  </si>
  <si>
    <t>https://open-measure.atlassian.net/wiki/spaces/DIC/pages/206372879</t>
  </si>
  <si>
    <t>SCIM 1.1</t>
  </si>
  <si>
    <t>https://open-measure.atlassian.net/wiki/spaces/DIC/pages/206307350</t>
  </si>
  <si>
    <t>SCIM 2.0</t>
  </si>
  <si>
    <t>https://open-measure.atlassian.net/wiki/spaces/DIC/pages/206307373</t>
  </si>
  <si>
    <t>Scoping</t>
  </si>
  <si>
    <t>https://open-measure.atlassian.net/wiki/spaces/DIC/pages/1376383</t>
  </si>
  <si>
    <t>SD</t>
  </si>
  <si>
    <t>https://open-measure.atlassian.net/wiki/spaces/DIC/pages/5931115</t>
  </si>
  <si>
    <t>SDP</t>
  </si>
  <si>
    <t>https://open-measure.atlassian.net/wiki/spaces/DIC/pages/234356901</t>
  </si>
  <si>
    <t>Secure Production Identity Framework for Everyone</t>
  </si>
  <si>
    <t>https://open-measure.atlassian.net/wiki/spaces/DIC/pages/1142390785</t>
  </si>
  <si>
    <t>Secure System</t>
  </si>
  <si>
    <t>https://open-measure.atlassian.net/wiki/spaces/DIC/pages/1230831633</t>
  </si>
  <si>
    <t>Security</t>
  </si>
  <si>
    <t>https://open-measure.atlassian.net/wiki/spaces/DIC/pages/1231159321</t>
  </si>
  <si>
    <t>Security Accounts Manager</t>
  </si>
  <si>
    <t>https://open-measure.atlassian.net/wiki/spaces/DIC/pages/140673497</t>
  </si>
  <si>
    <t>https://open-measure.atlassian.net/wiki/spaces/DIC/pages/1428619445/Security+Assertion+Markup+Language</t>
  </si>
  <si>
    <t>Security Clearance Level</t>
  </si>
  <si>
    <t>https://open-measure.atlassian.net/wiki/spaces/DIC/pages/1177747653</t>
  </si>
  <si>
    <t>Security Compartment</t>
  </si>
  <si>
    <t>https://open-measure.atlassian.net/wiki/spaces/DIC/pages/1181843719</t>
  </si>
  <si>
    <t>Security Label</t>
  </si>
  <si>
    <t>https://open-measure.atlassian.net/wiki/spaces/DIC/pages/1177747630</t>
  </si>
  <si>
    <t>Segregation of Duties</t>
  </si>
  <si>
    <t>https://open-measure.atlassian.net/wiki/spaces/DIC/pages/1071185955</t>
  </si>
  <si>
    <t>https://open-measure.atlassian.net/wiki/spaces/DIC/pages/446955653/Self-Sovereign+Identity</t>
  </si>
  <si>
    <t>Semantic Differential</t>
  </si>
  <si>
    <t>https://open-measure.atlassian.net/wiki/spaces/DIC/pages/6029526</t>
  </si>
  <si>
    <t>Service Account</t>
  </si>
  <si>
    <t>https://open-measure.atlassian.net/wiki/spaces/DIC/pages/805142555</t>
  </si>
  <si>
    <t>https://open-measure.atlassian.net/wiki/spaces/DIC/pages/1313538143/Service-Centric+Identity+Management+System</t>
  </si>
  <si>
    <t>Session</t>
  </si>
  <si>
    <t>https://open-measure.atlassian.net/wiki/spaces/DIC/pages/881197061</t>
  </si>
  <si>
    <t>Single Login</t>
  </si>
  <si>
    <t>https://open-measure.atlassian.net/wiki/spaces/DIC/pages/78741548</t>
  </si>
  <si>
    <t>Single Sign-On</t>
  </si>
  <si>
    <t>https://open-measure.atlassian.net/wiki/spaces/DIC/pages/75956255</t>
  </si>
  <si>
    <t>https://open-measure.atlassian.net/wiki/spaces/DIC/pages/1600684200/Social+Authentication</t>
  </si>
  <si>
    <t>https://open-measure.atlassian.net/wiki/spaces/DIC/pages/1270055026/Social+Honeypot</t>
  </si>
  <si>
    <t>SoD</t>
  </si>
  <si>
    <t>https://open-measure.atlassian.net/wiki/spaces/DIC/pages/1071317018</t>
  </si>
  <si>
    <t>Software-Defined Perimeter</t>
  </si>
  <si>
    <t>https://open-measure.atlassian.net/wiki/spaces/DIC/pages/234487981</t>
  </si>
  <si>
    <t>SPIFFE</t>
  </si>
  <si>
    <t>https://open-measure.atlassian.net/wiki/spaces/DIC/pages/1142292486</t>
  </si>
  <si>
    <t>SPMS</t>
  </si>
  <si>
    <t>https://open-measure.atlassian.net/wiki/spaces/DIC/pages/1605648</t>
  </si>
  <si>
    <t>SSH Key</t>
  </si>
  <si>
    <t>https://open-measure.atlassian.net/wiki/spaces/DIC/pages/1027342899</t>
  </si>
  <si>
    <t>https://open-measure.atlassian.net/wiki/spaces/DIC/pages/1311113221/SSI</t>
  </si>
  <si>
    <t>SSO</t>
  </si>
  <si>
    <t>https://open-measure.atlassian.net/wiki/spaces/DIC/pages/75956237</t>
  </si>
  <si>
    <t>Stability of Access Decision Factors</t>
  </si>
  <si>
    <t>https://open-measure.atlassian.net/wiki/spaces/DIC/pages/998244645</t>
  </si>
  <si>
    <t>Stakeholder</t>
  </si>
  <si>
    <t>https://open-measure.atlassian.net/wiki/spaces/DIC/pages/1311763</t>
  </si>
  <si>
    <t>https://open-measure.atlassian.net/wiki/spaces/DIC/pages/663257097/Step-Up+Authentication</t>
  </si>
  <si>
    <t>Strategic Performance Measurement System</t>
  </si>
  <si>
    <t>https://open-measure.atlassian.net/wiki/spaces/DIC/pages/1540175</t>
  </si>
  <si>
    <t>Strict Discretionary Access Control</t>
  </si>
  <si>
    <t>https://open-measure.atlassian.net/wiki/spaces/DIC/pages/1181909085</t>
  </si>
  <si>
    <t>Strong Authentication</t>
  </si>
  <si>
    <t>https://open-measure.atlassian.net/wiki/spaces/DIC/pages/81199126</t>
  </si>
  <si>
    <t>Strong Tranquility Property</t>
  </si>
  <si>
    <t>https://open-measure.atlassian.net/wiki/spaces/DIC/pages/1177747756</t>
  </si>
  <si>
    <t>Subject</t>
  </si>
  <si>
    <t>https://open-measure.atlassian.net/wiki/spaces/DIC/pages/67600697</t>
  </si>
  <si>
    <t>Subjective Indicator</t>
  </si>
  <si>
    <t>https://open-measure.atlassian.net/wiki/spaces/DIC/pages/2981920</t>
  </si>
  <si>
    <t>https://open-measure.atlassian.net/wiki/spaces/DIC/pages/1477869640/Supply+Chain+Attack</t>
  </si>
  <si>
    <t>https://open-measure.atlassian.net/wiki/spaces/DIC/pages/1254588545/Sybil+Attack</t>
  </si>
  <si>
    <t>Synthetic Identity Fraud</t>
  </si>
  <si>
    <t>https://open-measure.atlassian.net/wiki/spaces/DIC/pages/794296433</t>
  </si>
  <si>
    <t>https://open-measure.atlassian.net/wiki/spaces/DIC/pages/5965562/System</t>
  </si>
  <si>
    <t>https://open-measure.atlassian.net/wiki/spaces/DIC/pages/446824644/System+Boundaries</t>
  </si>
  <si>
    <t>System for Cross-domain Identity Management</t>
  </si>
  <si>
    <t>https://open-measure.atlassian.net/wiki/spaces/DIC/pages/206372869</t>
  </si>
  <si>
    <t>System Owner</t>
  </si>
  <si>
    <t>https://open-measure.atlassian.net/wiki/spaces/DIC/pages/1004961963</t>
  </si>
  <si>
    <t>System Z</t>
  </si>
  <si>
    <t>https://open-measure.atlassian.net/wiki/spaces/DIC/pages/1226571890</t>
  </si>
  <si>
    <t>Task-Based Access Control</t>
  </si>
  <si>
    <t>https://open-measure.atlassian.net/wiki/spaces/DIC/pages/1122631693</t>
  </si>
  <si>
    <t>Toxic Combinations</t>
  </si>
  <si>
    <t>https://open-measure.atlassian.net/wiki/spaces/DIC/pages/1130954862</t>
  </si>
  <si>
    <t>https://open-measure.atlassian.net/wiki/spaces/DIC/pages/360467</t>
  </si>
  <si>
    <t>https://open-measure.atlassian.net/wiki/spaces/DIC/pages/1237582070/Tranquil</t>
  </si>
  <si>
    <t>Tranquility Principle</t>
  </si>
  <si>
    <t>https://open-measure.atlassian.net/wiki/spaces/DIC/pages/1237483759</t>
  </si>
  <si>
    <t>Tranquility Property</t>
  </si>
  <si>
    <t>https://open-measure.atlassian.net/wiki/spaces/DIC/pages/1181876587</t>
  </si>
  <si>
    <t>https://open-measure.atlassian.net/wiki/spaces/DIC/pages/1037926452/Trust</t>
  </si>
  <si>
    <t>Trust Asymmetry</t>
  </si>
  <si>
    <t>https://open-measure.atlassian.net/wiki/spaces/DIC/pages/1027048185</t>
  </si>
  <si>
    <t>Trust Composability</t>
  </si>
  <si>
    <t>https://open-measure.atlassian.net/wiki/spaces/DIC/pages/1027048128</t>
  </si>
  <si>
    <t>Trust Personalization</t>
  </si>
  <si>
    <t>https://open-measure.atlassian.net/wiki/spaces/DIC/pages/1027048209</t>
  </si>
  <si>
    <t>Trust Transitivity</t>
  </si>
  <si>
    <t>https://open-measure.atlassian.net/wiki/spaces/DIC/pages/1031242345</t>
  </si>
  <si>
    <t>https://open-measure.atlassian.net/wiki/spaces/DIC/pages/1417084929/Typing+Biometrics</t>
  </si>
  <si>
    <t>Typology</t>
  </si>
  <si>
    <t>https://open-measure.atlassian.net/wiki/spaces/DIC/pages/140673267</t>
  </si>
  <si>
    <t>https://open-measure.atlassian.net/wiki/spaces/DIC/pages/1027080193/Unanticipated+User</t>
  </si>
  <si>
    <t>https://open-measure.atlassian.net/wiki/spaces/DIC/pages/1231126540/Unauthorized+Access</t>
  </si>
  <si>
    <t>https://open-measure.atlassian.net/wiki/spaces/DIC/pages/446955662/Unique+ID+Number</t>
  </si>
  <si>
    <t>https://open-measure.atlassian.net/wiki/spaces/DIC/pages/1477902414/Unprivileged+Insider</t>
  </si>
  <si>
    <t>https://open-measure.atlassian.net/wiki/spaces/DIC/pages/82839586/User</t>
  </si>
  <si>
    <t>https://open-measure.atlassian.net/wiki/spaces/DIC/pages/1428587273/User+Account</t>
  </si>
  <si>
    <t>https://open-measure.atlassian.net/wiki/spaces/DIC/pages/1146847344/User+De-Provisioning</t>
  </si>
  <si>
    <t>User Entitlement Reviews</t>
  </si>
  <si>
    <t>https://open-measure.atlassian.net/wiki/spaces/DIC/pages/1121878257</t>
  </si>
  <si>
    <t>https://open-measure.atlassian.net/wiki/spaces/DIC/pages/1428652448/User+ID</t>
  </si>
  <si>
    <t>https://open-measure.atlassian.net/wiki/spaces/DIC/pages/1147043973/User+Provisioning</t>
  </si>
  <si>
    <t>https://open-measure.atlassian.net/wiki/spaces/DIC/pages/1323597878/User-Centric+Identity+Management+System</t>
  </si>
  <si>
    <t>https://open-measure.atlassian.net/wiki/spaces/DIC/pages/1428652183/Username</t>
  </si>
  <si>
    <t>https://open-measure.atlassian.net/wiki/spaces/DIC/pages/1311146179/Verifiable+Claim</t>
  </si>
  <si>
    <t>https://open-measure.atlassian.net/wiki/spaces/DIC/pages/446988510/Verification</t>
  </si>
  <si>
    <t>Virtual Directory</t>
  </si>
  <si>
    <t>https://open-measure.atlassian.net/wiki/spaces/DIC/pages/834044330</t>
  </si>
  <si>
    <t>Virtual Private Network</t>
  </si>
  <si>
    <t>https://open-measure.atlassian.net/wiki/spaces/DIC/pages/236748839</t>
  </si>
  <si>
    <t>Virtual Risk and Security Site Review</t>
  </si>
  <si>
    <t>https://open-measure.atlassian.net/wiki/spaces/DIC/pages/542146561</t>
  </si>
  <si>
    <t>VPN</t>
  </si>
  <si>
    <t>https://open-measure.atlassian.net/wiki/spaces/DIC/pages/234389605</t>
  </si>
  <si>
    <t>Weak Authentication</t>
  </si>
  <si>
    <t>https://open-measure.atlassian.net/wiki/spaces/DIC/pages/81068120</t>
  </si>
  <si>
    <t>Weak Tranquility Property</t>
  </si>
  <si>
    <t>https://open-measure.atlassian.net/wiki/spaces/DIC/pages/1177845999</t>
  </si>
  <si>
    <t>Web-based Single Sign-On</t>
  </si>
  <si>
    <t>https://open-measure.atlassian.net/wiki/spaces/DIC/pages/75923587</t>
  </si>
  <si>
    <t>Windows (Non-Default) Local User Account</t>
  </si>
  <si>
    <t>https://open-measure.atlassian.net/wiki/spaces/DIC/pages/140673566</t>
  </si>
  <si>
    <t>Windows Default Local System Account</t>
  </si>
  <si>
    <t>https://open-measure.atlassian.net/wiki/spaces/DIC/pages/140739507</t>
  </si>
  <si>
    <t>Windows Default Local User Account</t>
  </si>
  <si>
    <t>https://open-measure.atlassian.net/wiki/spaces/DIC/pages/140673594</t>
  </si>
  <si>
    <t>Windows DefaultAccount Account</t>
  </si>
  <si>
    <t>https://open-measure.atlassian.net/wiki/spaces/DIC/pages/140739482</t>
  </si>
  <si>
    <t>Windows Guest Account</t>
  </si>
  <si>
    <t>https://open-measure.atlassian.net/wiki/spaces/DIC/pages/140673653</t>
  </si>
  <si>
    <t>Windows HelpAssistant Account</t>
  </si>
  <si>
    <t>https://open-measure.atlassian.net/wiki/spaces/DIC/pages/140771901</t>
  </si>
  <si>
    <t>Windows Local Account</t>
  </si>
  <si>
    <t>https://open-measure.atlassian.net/wiki/spaces/DIC/pages/140772047</t>
  </si>
  <si>
    <t>Windows Local Administrator Account</t>
  </si>
  <si>
    <t>https://open-measure.atlassian.net/wiki/spaces/DIC/pages/140739277</t>
  </si>
  <si>
    <t>Windows LOCAL SERVICE Account</t>
  </si>
  <si>
    <t>https://open-measure.atlassian.net/wiki/spaces/DIC/pages/140673818</t>
  </si>
  <si>
    <t>Windows NETWORK SERVICE Account</t>
  </si>
  <si>
    <t>https://open-measure.atlassian.net/wiki/spaces/DIC/pages/140772011</t>
  </si>
  <si>
    <t>Windows Security Identifier</t>
  </si>
  <si>
    <t>https://open-measure.atlassian.net/wiki/spaces/DIC/pages/140706624</t>
  </si>
  <si>
    <t>Windows SYSTEM Account</t>
  </si>
  <si>
    <t>https://open-measure.atlassian.net/wiki/spaces/DIC/pages/140706700</t>
  </si>
  <si>
    <t>Worker</t>
  </si>
  <si>
    <t>https://open-measure.atlassian.net/wiki/spaces/DIC/pages/855638141</t>
  </si>
  <si>
    <t>Workflow-Sensitive Access Control</t>
  </si>
  <si>
    <t>https://open-measure.atlassian.net/wiki/spaces/DIC/pages/814448722</t>
  </si>
  <si>
    <t>Workforce</t>
  </si>
  <si>
    <t>https://open-measure.atlassian.net/wiki/spaces/DIC/pages/852492409</t>
  </si>
  <si>
    <t>XACML</t>
  </si>
  <si>
    <t>https://open-measure.atlassian.net/wiki/spaces/DIC/pages/1122631791</t>
  </si>
  <si>
    <t>https://open-measure.atlassian.net/wiki/spaces/DIC/pages/234356891/Zero-Trust+Access</t>
  </si>
  <si>
    <t>https://open-measure.atlassian.net/wiki/spaces/DIC/pages/782893195/Zombie+Account</t>
  </si>
  <si>
    <t>https://open-measure.atlassian.net/wiki/spaces/DIC/pages/234389671/ZTA</t>
  </si>
  <si>
    <t>Accountability</t>
  </si>
  <si>
    <t>Attribute</t>
  </si>
  <si>
    <t>Organization Context</t>
  </si>
  <si>
    <t>Organization Scope</t>
  </si>
  <si>
    <t>People</t>
  </si>
  <si>
    <t>Copy-pasted from Confluence</t>
  </si>
  <si>
    <t>Acronym</t>
  </si>
  <si>
    <t>[TYPE]</t>
  </si>
  <si>
    <t>[DIR]</t>
  </si>
  <si>
    <t>Direction Types</t>
  </si>
  <si>
    <t>Directional</t>
  </si>
  <si>
    <t>Undirectional</t>
  </si>
  <si>
    <t>Friendly Forward Type</t>
  </si>
  <si>
    <t>Friendly Backward Type</t>
  </si>
  <si>
    <t>Accurate Forward Type</t>
  </si>
  <si>
    <t>Accurate Backward Type</t>
  </si>
  <si>
    <t>HYPERONYM</t>
  </si>
  <si>
    <t>superclass</t>
  </si>
  <si>
    <t>subclass</t>
  </si>
  <si>
    <t>hyperonym</t>
  </si>
  <si>
    <t>hyponym</t>
  </si>
  <si>
    <t>ACRONYM</t>
  </si>
  <si>
    <t>HOLONYM</t>
  </si>
  <si>
    <t>holonym</t>
  </si>
  <si>
    <t>meronym</t>
  </si>
  <si>
    <t>composite</t>
  </si>
  <si>
    <t>component</t>
  </si>
  <si>
    <t>NEAR-SYNONYM</t>
  </si>
  <si>
    <t>SYNONYM</t>
  </si>
  <si>
    <t>directionality</t>
  </si>
  <si>
    <t>Inherence Factor</t>
  </si>
  <si>
    <t>Possession Factor</t>
  </si>
  <si>
    <t>Location Factor</t>
  </si>
  <si>
    <t>Time Factor</t>
  </si>
  <si>
    <t>In-band Authentication</t>
  </si>
  <si>
    <t>Out-of-band Authentication</t>
  </si>
  <si>
    <t>Front-end Authentication</t>
  </si>
  <si>
    <t>Back-end Authentication</t>
  </si>
  <si>
    <t>Biometric Authentication</t>
  </si>
  <si>
    <t>Brainwaves Authentication</t>
  </si>
  <si>
    <t>Facial Recognition Authentication</t>
  </si>
  <si>
    <t>Geo-localization Authentication</t>
  </si>
  <si>
    <t>Fingerprint Recognition Authentication</t>
  </si>
  <si>
    <t>Gait Recognition Authentication</t>
  </si>
  <si>
    <t>Hand Gestures Recognition Authentication</t>
  </si>
  <si>
    <t>Heartbeats Recognition Authentication</t>
  </si>
  <si>
    <t>Iris Recognition Authentication</t>
  </si>
  <si>
    <t>Keystroke Recognition Authentication</t>
  </si>
  <si>
    <t>Touchstroke Recognition Authentication</t>
  </si>
  <si>
    <t>Knuckleprint Recognition Authentication</t>
  </si>
  <si>
    <t>Palmprint Recognition Authentication</t>
  </si>
  <si>
    <t>Voice Recognition Authentication</t>
  </si>
  <si>
    <t>Certificate-based Authentication</t>
  </si>
  <si>
    <t>Email OTP</t>
  </si>
  <si>
    <t>One-Time Passcode Authentication</t>
  </si>
  <si>
    <t>Physical Token OTP</t>
  </si>
  <si>
    <t>Software / App OTP</t>
  </si>
  <si>
    <t>SMS OTP</t>
  </si>
  <si>
    <t>TAN List OTP</t>
  </si>
  <si>
    <t>Voice OTP</t>
  </si>
  <si>
    <t>Password-Based Authentication</t>
  </si>
  <si>
    <t>Graphical Password-Based Authentication</t>
  </si>
  <si>
    <t>Text Password Authentication</t>
  </si>
  <si>
    <t>Personal Identification Number Authentication</t>
  </si>
  <si>
    <t>Passphrase Authentication</t>
  </si>
  <si>
    <t>Security Question Authentication</t>
  </si>
  <si>
    <t>Token-Based Authentication</t>
  </si>
  <si>
    <t>Session Authentication</t>
  </si>
  <si>
    <t>Authentication Method</t>
  </si>
  <si>
    <t>JSON</t>
  </si>
  <si>
    <t>id</t>
  </si>
  <si>
    <t>label</t>
  </si>
  <si>
    <t>url</t>
  </si>
  <si>
    <t>Control Class</t>
  </si>
  <si>
    <t>protects</t>
  </si>
  <si>
    <t>protects from</t>
  </si>
  <si>
    <t>Threat Agent</t>
  </si>
  <si>
    <t>IT Component</t>
  </si>
  <si>
    <t>IT Hardware</t>
  </si>
  <si>
    <t>is</t>
  </si>
  <si>
    <t>IT Software</t>
  </si>
  <si>
    <t>Data</t>
  </si>
  <si>
    <t>Data Operation</t>
  </si>
  <si>
    <t>Capabilty to collect information</t>
  </si>
  <si>
    <t>Capability to store information</t>
  </si>
  <si>
    <t>Capability to transform information</t>
  </si>
  <si>
    <t>Capability to transmit information</t>
  </si>
  <si>
    <t>regarded as</t>
  </si>
  <si>
    <t>Coherent Whole</t>
  </si>
  <si>
    <t>from</t>
  </si>
  <si>
    <t>to</t>
  </si>
  <si>
    <t>Best Practice</t>
  </si>
  <si>
    <t>4-Eyes Check</t>
  </si>
  <si>
    <t>Property</t>
  </si>
  <si>
    <t>Nodes JSON</t>
  </si>
  <si>
    <t>composed of</t>
  </si>
  <si>
    <t>may have</t>
  </si>
  <si>
    <t>Fingerprint recognition authentication</t>
  </si>
  <si>
    <t>bi</t>
  </si>
  <si>
    <t>synonym for</t>
  </si>
  <si>
    <t>acronym for</t>
  </si>
  <si>
    <t>Multi-Modal Biometric Authentication</t>
  </si>
  <si>
    <t>External Threat Agent</t>
  </si>
  <si>
    <t>Node A ID</t>
  </si>
  <si>
    <t>Edge ID</t>
  </si>
  <si>
    <t>Node A</t>
  </si>
  <si>
    <t>Rel</t>
  </si>
  <si>
    <t>Dir</t>
  </si>
  <si>
    <t>Node B</t>
  </si>
  <si>
    <t>Node B ID</t>
  </si>
  <si>
    <t>Common Name</t>
  </si>
  <si>
    <t>Node ID</t>
  </si>
  <si>
    <t>Class Disambiguation</t>
  </si>
  <si>
    <t>Unambiguous Name</t>
  </si>
  <si>
    <t>GUID Generator</t>
  </si>
  <si>
    <t>Edges JSON</t>
  </si>
  <si>
    <t>Identity Theft</t>
  </si>
  <si>
    <t>Attack Class</t>
  </si>
  <si>
    <t>committed by</t>
  </si>
  <si>
    <t>victimize</t>
  </si>
  <si>
    <t>owns</t>
  </si>
  <si>
    <t>distinct from</t>
  </si>
  <si>
    <t>Financial Gain</t>
  </si>
  <si>
    <t>Causing Reputation Harm</t>
  </si>
  <si>
    <t>Identity Deception</t>
  </si>
  <si>
    <t>has not</t>
  </si>
  <si>
    <t>Illegal Action</t>
  </si>
  <si>
    <t>Victim</t>
  </si>
  <si>
    <t>Perpetrator</t>
  </si>
  <si>
    <t>group</t>
  </si>
  <si>
    <t>Context Instanciation</t>
  </si>
  <si>
    <t>Unambiguous Name2</t>
  </si>
  <si>
    <t>Account Takeover: Perpetrator</t>
  </si>
  <si>
    <t>Account Takeover: Victim</t>
  </si>
  <si>
    <t>Account Takeover: Digital Identity</t>
  </si>
  <si>
    <t>Account Takeover: Authorization</t>
  </si>
  <si>
    <t>has</t>
  </si>
  <si>
    <t>to impersonate</t>
  </si>
  <si>
    <t>Account Takeover: Motivation</t>
  </si>
  <si>
    <t>may be</t>
  </si>
  <si>
    <t>Motivation</t>
  </si>
  <si>
    <t>ARM (Acronym)</t>
  </si>
  <si>
    <t>target</t>
  </si>
  <si>
    <t>take control of</t>
  </si>
  <si>
    <t>lose control of</t>
  </si>
  <si>
    <t>Make MFA Mandatory</t>
  </si>
  <si>
    <t>Risk</t>
  </si>
  <si>
    <t>Mitigation</t>
  </si>
  <si>
    <t>https://open-measure.atlassian.net/wiki/spaces/BP/pages/653525030/OM-BP-0004+Make+MFA+Mandatory+Best+Practice</t>
  </si>
  <si>
    <t>constitute a</t>
  </si>
  <si>
    <t>Account Takeover: Risk</t>
  </si>
  <si>
    <t>Account Takeover: Mitigation</t>
  </si>
  <si>
    <t>Make MFA Mandatory (Best Practice)</t>
  </si>
  <si>
    <t>Unicirty</t>
  </si>
  <si>
    <t>Export?</t>
  </si>
  <si>
    <t>EF3AF817-BA84-47CF-AE65-2E47578D7EFE</t>
  </si>
  <si>
    <t>DE5E95BA-1587-412E-A276-E34663BF4FFD</t>
  </si>
  <si>
    <t>CA1EA624-5E56-4BE1-B607-12E9CFEB0B98</t>
  </si>
  <si>
    <t>6C9E18A9-1C42-41AA-8AB3-4ABBAC053B7C</t>
  </si>
  <si>
    <t>9A5EC26A-0E5F-4F13-8ECE-970F73F9DFC5</t>
  </si>
  <si>
    <t>C6B1DEE7-AC34-406A-81B6-73C469FFFEBA</t>
  </si>
  <si>
    <t>52A33AA3-B245-4A1A-80E3-D2325B649AD1</t>
  </si>
  <si>
    <t>A5BF9E4A-B1F5-4483-8491-1CF17B076816</t>
  </si>
  <si>
    <t>ADF08795-EF9D-40CC-84C7-CF8858D77C3B</t>
  </si>
  <si>
    <t>BA2815C6-9016-47D5-81B0-640EF4494D76</t>
  </si>
  <si>
    <t>1766D719-D68F-467A-9991-4E72DD710D50</t>
  </si>
  <si>
    <t>6E925565-007A-4536-A65D-F894A31E5A77</t>
  </si>
  <si>
    <t>DF71DC82-5B06-4703-B5DD-3A78DB22E10D</t>
  </si>
  <si>
    <t>9501EBB2-B301-4820-B446-2CB0E2724926</t>
  </si>
  <si>
    <t>44E8EA0A-D8E5-4567-A78E-4B8D6F325D8C</t>
  </si>
  <si>
    <t>F83938BD-3842-448E-8398-B880417DDCD1</t>
  </si>
  <si>
    <t>75809B3D-4AFA-478D-B776-071487E4ACA6</t>
  </si>
  <si>
    <t>6F91E244-CF4B-4C2A-9D23-0EA4F55DCF3F</t>
  </si>
  <si>
    <t>3707A70E-88B7-4B6D-A934-0BC5EE398FF6</t>
  </si>
  <si>
    <t>5F148AC3-F899-4AC2-AEB2-C6CA6005999B</t>
  </si>
  <si>
    <t>2BE2F561-5FF3-4301-82B7-39FF29CD650A</t>
  </si>
  <si>
    <t>515EECD7-8927-46CD-B811-39535FB71778</t>
  </si>
  <si>
    <t>DB35E690-DA61-4DD6-8BFE-3D6A2BCFD097</t>
  </si>
  <si>
    <t>5405E693-EB16-42E8-98EA-4E4BF4569BD9</t>
  </si>
  <si>
    <t>3F14E556-DBD3-4DBF-AC75-33A3EE0A9EE2</t>
  </si>
  <si>
    <t>0356B816-5188-4965-B4D7-28144AB3745F</t>
  </si>
  <si>
    <t>1E6B6BDD-5D3C-4D14-873F-3018C1627B69</t>
  </si>
  <si>
    <t>496EA7AA-3A24-4B06-96FF-26EB9E368ECD</t>
  </si>
  <si>
    <t>4546EECC-4DB1-4E7D-B250-7C4FA9CBFD76</t>
  </si>
  <si>
    <t>23ECD50A-6EF0-45EB-80EE-FE8690C3B930</t>
  </si>
  <si>
    <t>C5E6BCD4-7E45-4F9C-82F2-0DB57EB14EEE</t>
  </si>
  <si>
    <t>3CBF7393-334C-4B5E-9319-9B289635563A</t>
  </si>
  <si>
    <t>FBC09AB6-9BA6-42D4-985B-347BCF552947</t>
  </si>
  <si>
    <t>8387CEDB-388E-4D9B-8EF5-4C0296067EFD</t>
  </si>
  <si>
    <t>3385B652-58CB-46D7-8D4B-04F594802921</t>
  </si>
  <si>
    <t>0E0EF207-A74F-41C7-8C6C-FEFABBC8533E</t>
  </si>
  <si>
    <t>189B785C-38F7-48DF-8611-D21A00C71F6A</t>
  </si>
  <si>
    <t>021F487D-5E5C-434B-B771-893DB72C04E0</t>
  </si>
  <si>
    <t>CDB3F96B-4E2C-4F45-A2C3-EEE0171479BB</t>
  </si>
  <si>
    <t>30D21895-D4A5-4F2A-A2B4-76E8AD149662</t>
  </si>
  <si>
    <t>2090D58D-5C7A-44E1-B0DD-B4C12F0CBF2B</t>
  </si>
  <si>
    <t>F6D05109-A8EB-4630-8070-A3DC00484ED2</t>
  </si>
  <si>
    <t>C667981B-B081-4789-9993-2BC97D95D5F6</t>
  </si>
  <si>
    <t>AEFD6523-59E0-47E0-921F-B5A26C6FC118</t>
  </si>
  <si>
    <t>5FDF9F3F-FD1C-4DD0-A1D2-D943DB3091B5</t>
  </si>
  <si>
    <t>F58510E3-3CCC-4A1E-9BEF-76DE48432FE1</t>
  </si>
  <si>
    <t>38617C53-5441-41E7-9C6D-C693D9A050AE</t>
  </si>
  <si>
    <t>A42E7343-FA4C-490A-A0A3-7F65FB188771</t>
  </si>
  <si>
    <t>4C6DA97E-8091-41CA-B99C-4250D2678005</t>
  </si>
  <si>
    <t>EDEC0D80-0928-4226-B6D0-E8C67746479D</t>
  </si>
  <si>
    <t>795BF7BB-BED4-45ED-A0FB-5CAE400F9B36</t>
  </si>
  <si>
    <t>4CCAC3A5-F0D1-4BDF-8B19-D0D38CCBDE4B</t>
  </si>
  <si>
    <t>3F93E417-521F-4E37-9FEB-2580B5B04AA6</t>
  </si>
  <si>
    <t>405A68C8-B875-4F50-9E41-6D62C952D939</t>
  </si>
  <si>
    <t>F6EB1544-9C33-48D4-AF92-B45BB09FED03</t>
  </si>
  <si>
    <t>C62C1C42-39F4-4AA1-9B87-83E2BEE4B626</t>
  </si>
  <si>
    <t>E61AF7B2-B5C6-449C-B896-7F48FC11826B</t>
  </si>
  <si>
    <t>8497A2DF-286C-438A-8FCC-A436A1AC5C23</t>
  </si>
  <si>
    <t>3451032E-0047-4623-A0EF-A9EE08C2868A</t>
  </si>
  <si>
    <t>E78EE0FA-A3E6-4C7E-A1FA-5D32463B089A</t>
  </si>
  <si>
    <t>201C69AD-FFEB-4BB5-9C8F-8A8A013D0F1C</t>
  </si>
  <si>
    <t>FD548709-6B42-4503-8C15-643DF8C8EA67</t>
  </si>
  <si>
    <t>8CFCEA6A-7EB1-4D9F-B537-1678723F481F</t>
  </si>
  <si>
    <t>21A4D9DF-238C-4BA7-8825-24EF16F72425</t>
  </si>
  <si>
    <t>BCDD30C8-A3BF-4F54-AD8E-3430A62E3017</t>
  </si>
  <si>
    <t>2141A15F-A0C4-4D3E-91D1-644A5680A521</t>
  </si>
  <si>
    <t>C5D41CF2-6C5F-4065-8F8F-4D6BEF8D734B</t>
  </si>
  <si>
    <t>447FA52C-F0D2-449B-9CB8-8F0DCC4160EF</t>
  </si>
  <si>
    <t>F8CB91F8-4AE7-48BD-A9ED-93259ECE5511</t>
  </si>
  <si>
    <t>772179F1-5C79-4F83-BBC9-B0D9B62A2C38</t>
  </si>
  <si>
    <t>A2967417-72BE-4537-BE1E-39E6298F5851</t>
  </si>
  <si>
    <t>1708714B-D591-4C49-BC64-A40E2EC56A62</t>
  </si>
  <si>
    <t>5C136530-C216-448D-BD43-D3CDEE503802</t>
  </si>
  <si>
    <t>13D6FA84-5FE3-442D-B9DF-224BD3E365DA</t>
  </si>
  <si>
    <t>47316C02-A4EB-4832-B925-1D094DE618CA</t>
  </si>
  <si>
    <t>566E708D-FD51-436E-9E4D-051F1F485979</t>
  </si>
  <si>
    <t>01D4A4E5-1A5A-44FF-932C-3A234AD19355</t>
  </si>
  <si>
    <t>6408D202-5D49-43C4-8791-73A68286CDC9</t>
  </si>
  <si>
    <t>12F7D586-DF55-411A-A2D1-3FF419D7892E</t>
  </si>
  <si>
    <t>2E29B474-6EA5-4C50-B128-59B4A0262EA2</t>
  </si>
  <si>
    <t>74413B1E-5653-42E3-8B45-6C7C60323C71</t>
  </si>
  <si>
    <t>F6A0BA1D-4EAD-44AE-BB90-AAFC98899178</t>
  </si>
  <si>
    <t>AFFF4DF7-5DE7-4EC2-B059-59963A26A6BD</t>
  </si>
  <si>
    <t>4414B2C4-B1F0-4BE8-A1D2-264AE3500755</t>
  </si>
  <si>
    <t>CBC6B9A3-AA38-40D4-865C-53E8DB7037F3</t>
  </si>
  <si>
    <t>972F900D-A7B8-411F-BF29-19B9F2169285</t>
  </si>
  <si>
    <t>60D564E5-DB50-4AE3-8752-13879D65CBF3</t>
  </si>
  <si>
    <t>F516AA46-E0EB-45B4-A104-A3976665B25E</t>
  </si>
  <si>
    <t>3B65B580-6075-433D-8561-B387A409BD56</t>
  </si>
  <si>
    <t>CE9CD80B-6E8D-43D3-A3D3-95067D578415</t>
  </si>
  <si>
    <t>5CBC2CC4-509C-48D2-B770-68230D252ACC</t>
  </si>
  <si>
    <t>19FCF28F-8FBB-4982-B245-3560F769CB31</t>
  </si>
  <si>
    <t>80DE07EC-7DCC-43D9-BCCD-B4EDBC295A74</t>
  </si>
  <si>
    <t>AC35FF28-B8CA-48F9-9504-5FC6F3FE32BF</t>
  </si>
  <si>
    <t>BDAFF511-D4B1-45B0-8ADC-25E77A34A642</t>
  </si>
  <si>
    <t>3F1E1BBA-CDE0-4D62-AF71-532300B38F13</t>
  </si>
  <si>
    <t>3C64CE03-CDC0-4385-9B0D-43B480F4FF2B</t>
  </si>
  <si>
    <t>6D6F4591-F482-4404-8ABF-A00BF28FA1F4</t>
  </si>
  <si>
    <t>01CEAE9D-600C-4A4D-B0EE-E301530C8C55</t>
  </si>
  <si>
    <t>70AE9E57-05FE-4B1C-8D03-E1194F9EEA8C</t>
  </si>
  <si>
    <t>F2DD1D05-0F5E-43BF-A828-718DA9EEB690</t>
  </si>
  <si>
    <t>8A66FDF6-25FA-4400-8F76-04907B9F7088</t>
  </si>
  <si>
    <t>6CD30943-D4D3-438F-9C01-C248A91BDE9C</t>
  </si>
  <si>
    <t>D89DE997-64BE-4F19-B014-7995AF4D2FDF</t>
  </si>
  <si>
    <t>AA62C302-F15B-4768-8C56-E59E07C97B03</t>
  </si>
  <si>
    <t>E8038D29-14AE-41B6-AC04-25F2B42A97CD</t>
  </si>
  <si>
    <t>5CB6C907-0D88-4068-B90F-90D2B4E5C9CF</t>
  </si>
  <si>
    <t>99F7B2C7-39DB-4A58-9132-0E2236C5812C</t>
  </si>
  <si>
    <t>9F814534-7123-4E77-8D90-93B56FA09724</t>
  </si>
  <si>
    <t>B5610ED8-EE1E-4F18-9D6C-BFF3E8CFFA86</t>
  </si>
  <si>
    <t>E7398742-2D81-43A1-9286-43105111058A</t>
  </si>
  <si>
    <t>E9E2053A-B9CA-466E-9D58-C408FC470495</t>
  </si>
  <si>
    <t>EED3245C-33E6-4527-BF19-4ED36B78325E</t>
  </si>
  <si>
    <t>80E78BDF-4943-440D-90B8-2D317C69DE7A</t>
  </si>
  <si>
    <t>ECCF1EB1-F977-411B-A39A-11DDDD6C555A</t>
  </si>
  <si>
    <t>744BFD3E-5211-4AC9-B18A-1ABC862485A0</t>
  </si>
  <si>
    <t>1C19CD0D-B98F-4548-BE0E-7301626285E6</t>
  </si>
  <si>
    <t>B7CD7B1D-8440-4BFC-80CC-94B662E0B3E6</t>
  </si>
  <si>
    <t>DD17059A-FF58-425E-AD7B-173E4AD31ED5</t>
  </si>
  <si>
    <t>9EB6B213-B16A-4255-B33F-8F129B358217</t>
  </si>
  <si>
    <t>3B8B4A9C-B755-417B-AB49-014BC1B23ABE</t>
  </si>
  <si>
    <t>7EFBF862-540D-41C7-89ED-6E714AD96CF3</t>
  </si>
  <si>
    <t>D72C1520-ABB1-40BF-B431-862B2B2025A4</t>
  </si>
  <si>
    <t>03A534B5-791B-444F-8E13-0428ABCAD180</t>
  </si>
  <si>
    <t>5B448AD7-2794-4051-AF23-EA23A4382F91</t>
  </si>
  <si>
    <t>7EE8572E-06B5-4649-9806-824BE1B5D604</t>
  </si>
  <si>
    <t>BC9316FB-BCA1-4D66-9CD7-3112BEF13D86</t>
  </si>
  <si>
    <t>848B10A2-B83E-4B4E-A37E-6B40F0BADB6A</t>
  </si>
  <si>
    <t>79C77EFB-D2E1-4437-AAC5-FE3ACD4613D0</t>
  </si>
  <si>
    <t>10537240-044E-49DF-984C-67CB23D33A0D</t>
  </si>
  <si>
    <t>90DF205E-DE37-4519-9847-FF954082EEBB</t>
  </si>
  <si>
    <t>E1132C17-7D2B-4F86-A9F2-BAAA52027A5B</t>
  </si>
  <si>
    <t>9B83B78F-F3DF-4D5A-BCA8-2329A9A280F2</t>
  </si>
  <si>
    <t>4B3210C8-39F7-4985-AC37-C8EF09EA3061</t>
  </si>
  <si>
    <t>80F6B463-F9ED-44FB-A88C-1CE92651755E</t>
  </si>
  <si>
    <t>8BEC95C0-8E9D-4DC5-8EF8-6551A505294C</t>
  </si>
  <si>
    <t>8D7EB565-4332-4814-B30E-6ED4B2DC527E</t>
  </si>
  <si>
    <t>9E2C6B4A-CFB9-46E8-876E-DFB73424448C</t>
  </si>
  <si>
    <t>BA9DA232-9DC6-4ACE-9735-B054E611BA2A</t>
  </si>
  <si>
    <t>3DC5ABFD-85BA-4B82-B09D-45770980DE95</t>
  </si>
  <si>
    <t>A237587B-270A-46F9-8435-C66292433607</t>
  </si>
  <si>
    <t>E1435B14-CC90-490D-B94E-09B54D033ED7</t>
  </si>
  <si>
    <t>FA054117-A262-4F6D-93D6-2DE0BF7AA009</t>
  </si>
  <si>
    <t>645E681F-6A1D-4BD3-9423-0A9461A10004</t>
  </si>
  <si>
    <t>4D9631E2-5D37-4E84-B756-23F708539197</t>
  </si>
  <si>
    <t>C97DE42F-B869-4048-81B0-C866B88B527A</t>
  </si>
  <si>
    <t>582B8EAF-A56F-4766-9F77-5F58C0B8D0EE</t>
  </si>
  <si>
    <t>13B1AA7C-B79A-425E-B700-05712F16DD6A</t>
  </si>
  <si>
    <t>C550F7EE-7B41-4DE1-B13F-507E85CA9D43</t>
  </si>
  <si>
    <t>8B85D281-00AE-41BB-87F1-57ABD43B93E5</t>
  </si>
  <si>
    <t>8B556C0C-5217-424F-BC90-23413E7B6587</t>
  </si>
  <si>
    <t>EEDDA991-575E-4867-BB6C-1D20D6C45BEB</t>
  </si>
  <si>
    <t>457ACBEA-70CB-43A0-AC18-D56FE9FA60A5</t>
  </si>
  <si>
    <t>46108898-4BC3-458E-8D58-039A1C42C7CB</t>
  </si>
  <si>
    <t>28947511-B080-4A93-A7B0-33218B1A2C92</t>
  </si>
  <si>
    <t>3EAA791E-3B70-449F-B568-9F5324F2D2D6</t>
  </si>
  <si>
    <t>10741EE3-59A0-4E11-9900-13A8D78F55AF</t>
  </si>
  <si>
    <t>F601F079-54E4-4305-A4BC-B76D58770A80</t>
  </si>
  <si>
    <t>FDE38578-7AC3-4972-A3E1-6A210CF1A58D</t>
  </si>
  <si>
    <t>60094F30-C554-43E2-91D3-B87498F81E1B</t>
  </si>
  <si>
    <t>AC8DD14B-B291-4F55-9CB1-ED5C8627F5C7</t>
  </si>
  <si>
    <t>04460B33-F5FE-486A-8ACF-F7C6EF519ECA</t>
  </si>
  <si>
    <t>3BE8F8F2-63B2-44EF-AC53-8A1F4490F783</t>
  </si>
  <si>
    <t>1630C7DD-5632-4037-ABFC-6895CAA636FA</t>
  </si>
  <si>
    <t>CE0DCBE2-3C5F-4C03-BB7A-B086BEAC3336</t>
  </si>
  <si>
    <t>31C91EDA-0806-410F-81D5-93FBD35200CB</t>
  </si>
  <si>
    <t>2F11B389-703D-451F-A299-CB8279214953</t>
  </si>
  <si>
    <t>C26C332D-5A94-4AC5-8F24-320F52866DDB</t>
  </si>
  <si>
    <t>8A84FB45-D721-4F51-92D2-6F252494072A</t>
  </si>
  <si>
    <t>EE59DD52-46E3-4C5E-B862-8914485F238F</t>
  </si>
  <si>
    <t>8C66A928-36FA-48EA-9F3D-2C1EF09EF236</t>
  </si>
  <si>
    <t>BF511D2A-ABDC-42A8-863D-B6DB7720C2CA</t>
  </si>
  <si>
    <t>AA96B139-EA71-4982-B3C2-CEF2CD60C0ED</t>
  </si>
  <si>
    <t>2D187D28-E0FF-4E61-B301-9004010FE0CB</t>
  </si>
  <si>
    <t>67968985-EC72-4204-8663-F69E48506540</t>
  </si>
  <si>
    <t>943003BA-F5C4-48F2-8E39-5ACB651E5CFB</t>
  </si>
  <si>
    <t>BB202734-3B2A-45BC-AA97-3942123B816B</t>
  </si>
  <si>
    <t>422E3DA9-1F9C-44DA-8A28-BF3685F5E402</t>
  </si>
  <si>
    <t>870968E0-B14B-436B-86C6-01DDFB6690F8</t>
  </si>
  <si>
    <t>8A54CA58-95DE-462C-85F0-63881C492A91</t>
  </si>
  <si>
    <t>330623DE-99EE-4CA8-B00D-114EE18DAC41</t>
  </si>
  <si>
    <t>DC655505-E767-43B6-B4E2-F76985C1DDF2</t>
  </si>
  <si>
    <t>13C6C5FD-41EF-4804-BFD7-225AD27E5D38</t>
  </si>
  <si>
    <t>685B2849-5AE1-499B-BC28-C34AC51D7CDC</t>
  </si>
  <si>
    <t>BA6CE51E-FE3C-45DC-BF7B-3D55FD86E2C8</t>
  </si>
  <si>
    <t>55389033-E3DF-46EA-A00A-0DF5AD9AEE9C</t>
  </si>
  <si>
    <t>25C98848-F1A2-47F9-A610-0905735431C6</t>
  </si>
  <si>
    <t>3209EB97-002A-444B-8EA8-FC58D3168085</t>
  </si>
  <si>
    <t>81968038-A760-40E8-88B9-48BDAF03E082</t>
  </si>
  <si>
    <t>A4ADA3D7-3568-4A97-A8E3-4E47A1368F3D</t>
  </si>
  <si>
    <t>2DD29178-312A-43CE-BDC1-683D6D41409B</t>
  </si>
  <si>
    <t>3C40F0A7-7034-4A74-B397-97E035D694CF</t>
  </si>
  <si>
    <t>5D4E535A-4BDB-43E4-8E4A-67DCD94E5851</t>
  </si>
  <si>
    <t>46401F0E-29CA-47A3-A39A-0230CB771074</t>
  </si>
  <si>
    <t>C92DDCBA-ED8B-4196-A9FF-C96029349FAC</t>
  </si>
  <si>
    <t>8F306956-00CB-4F68-965E-0326ED2BC64F</t>
  </si>
  <si>
    <t>11AAEA4F-4AD7-48B6-8503-D40BA5A579BE</t>
  </si>
  <si>
    <t>7A092CEE-E4F8-4281-BD68-F18A87121871</t>
  </si>
  <si>
    <t>38B37D63-FDC7-475E-9988-E94A8F7BEC94</t>
  </si>
  <si>
    <t>36B68626-2296-453F-BCA0-1240466A0E44</t>
  </si>
  <si>
    <t>CD9B9D1C-3229-4EB5-8852-EC243D4710C4</t>
  </si>
  <si>
    <t>93FB5035-1C15-41AE-86FB-713DF99159A2</t>
  </si>
  <si>
    <t>5B61B2A5-BF69-465F-B7C6-3B0617A2F86F</t>
  </si>
  <si>
    <t>CDC7A351-B99F-43C4-BF6C-D38446310EC5</t>
  </si>
  <si>
    <t>04FCC654-7A38-423D-9654-4BB281273FA2</t>
  </si>
  <si>
    <t>DBA49D0C-1156-48CB-9C7A-B4088A1EB0FC</t>
  </si>
  <si>
    <t>93DC22E7-F62B-4894-9016-734E87D969DC</t>
  </si>
  <si>
    <t>DA4116EE-07AC-40A4-9E22-4894AFACAF98</t>
  </si>
  <si>
    <t>7182B918-101D-409C-B591-A6DF9854D46B</t>
  </si>
  <si>
    <t>ECE5E949-7963-43BA-85FC-D7B165E74200</t>
  </si>
  <si>
    <t>AD502B6D-0586-456A-B841-C584063FFF6F</t>
  </si>
  <si>
    <t>F49E932D-1DC4-443E-879B-95852251E1F4</t>
  </si>
  <si>
    <t>C064B8CC-D2B3-4608-8ECA-84C284889DED</t>
  </si>
  <si>
    <t>2BF9EC24-DB77-42D2-A63C-BB528873268F</t>
  </si>
  <si>
    <t>3262567A-1B72-4C2F-9802-81AA2F63B13A</t>
  </si>
  <si>
    <t>8AB3C29B-04F9-4068-85E6-82031382CE74</t>
  </si>
  <si>
    <t>ADC16E09-247E-4E67-B563-C7F962784D09</t>
  </si>
  <si>
    <t>1097BABD-237E-4C31-B091-DA27B377143A</t>
  </si>
  <si>
    <t>DD91104E-A753-4608-91C4-78A10E41CA1A</t>
  </si>
  <si>
    <t>D2F0CD41-D496-44FC-B1FF-DE2DB4F6E1F1</t>
  </si>
  <si>
    <t>A236A003-6F40-4107-9F00-034B4CA62DA0</t>
  </si>
  <si>
    <t>9CD1916E-F309-41D5-AC6A-713B70461AAA</t>
  </si>
  <si>
    <t>1D0B9B27-BA0A-42A0-BA95-DA8B51BE6921</t>
  </si>
  <si>
    <t>23033304-A691-4F86-A7D2-512923E7EBB7</t>
  </si>
  <si>
    <t>8FE8C150-C077-40A5-85ED-7EB71C6537CA</t>
  </si>
  <si>
    <t>1C0D1083-FCAB-41BB-AB87-4829FB11D792</t>
  </si>
  <si>
    <t>8F8C4201-E338-4774-98F7-CDDDC3BE6782</t>
  </si>
  <si>
    <t>AB661E2B-F23C-4C53-A2BC-043F66BD26F6</t>
  </si>
  <si>
    <t>D6D32383-9B09-4C55-8468-237F6F03DB11</t>
  </si>
  <si>
    <t>430357E7-C88F-4355-9B71-CFE34E711314</t>
  </si>
  <si>
    <t>B063F9D8-C92C-4198-B23E-78506859E0C1</t>
  </si>
  <si>
    <t>949E1644-7F28-4920-A069-D27F3A050A01</t>
  </si>
  <si>
    <t>6989A549-F547-413E-9EFA-E4EFEF40B824</t>
  </si>
  <si>
    <t>16880A8C-D41A-4AC3-A936-8E73B369092B</t>
  </si>
  <si>
    <t>7650DE30-1250-4B04-841B-B56DFC24A1E3</t>
  </si>
  <si>
    <t>224CFF6B-5563-4531-A760-B85F8E142F63</t>
  </si>
  <si>
    <t>F34EDEC8-93E8-4A6B-969B-4E7B7D1F225E</t>
  </si>
  <si>
    <t>F7AADE0A-877C-4258-9BCC-813E822029EA</t>
  </si>
  <si>
    <t>50AF471B-64DE-444F-A7DD-A82966C67457</t>
  </si>
  <si>
    <t>3143C5C2-BF70-4330-AE7D-3F39E66C97EB</t>
  </si>
  <si>
    <t>320E3BFD-9B92-4683-8370-4BFE767BB9B4</t>
  </si>
  <si>
    <t>C8D1FD6C-534C-477A-BAF8-5F722BD18ECC</t>
  </si>
  <si>
    <t>0AAC5032-53F8-4789-8F0C-D073C4CCC1AF</t>
  </si>
  <si>
    <t>257D3082-7AF3-4464-9C5B-77B2D083B427</t>
  </si>
  <si>
    <t>38BE3CB8-3BB4-40EF-807C-5D8D73ED15F7</t>
  </si>
  <si>
    <t>28358D25-ECBB-4BA2-8551-6C861E153F9E</t>
  </si>
  <si>
    <t>932F2E2B-D61A-48B8-83C4-267217ACC1A4</t>
  </si>
  <si>
    <t>61B67231-2D6A-41D5-B8E4-20E97C581446</t>
  </si>
  <si>
    <t>A8C57C79-B830-4ECF-A0C9-FB4CAFE2F1E1</t>
  </si>
  <si>
    <t>AA6A4DAC-9681-4AF8-A7FB-D9326801AE4C</t>
  </si>
  <si>
    <t>D3D4C603-2CA2-4D42-B2E0-7B3B0C743DD8</t>
  </si>
  <si>
    <t>A6834E50-EC5C-4FAC-91B5-7D3C84844ABE</t>
  </si>
  <si>
    <t>398E3452-5369-450C-88AD-DB588A51D0C0</t>
  </si>
  <si>
    <t>BDF3CB39-431D-478C-A651-EBA1666F91C1</t>
  </si>
  <si>
    <t>FCBF11EB-7260-4BE4-85EF-F3883F1FC49B</t>
  </si>
  <si>
    <t>96AA1963-0BCF-447E-BC77-9FA9CD06A54A</t>
  </si>
  <si>
    <t>DB652713-5948-4322-8567-E5F6CB0440E8</t>
  </si>
  <si>
    <t>37CD23D4-9BFD-4A88-8D2B-CA84CE4FB78F</t>
  </si>
  <si>
    <t>5660B6DD-121E-4173-A110-7A4D00B3AB6A</t>
  </si>
  <si>
    <t>A4106055-17BD-4640-8746-5471A26FF444</t>
  </si>
  <si>
    <t>DDCF5707-6980-4EE7-A89F-488C260AC013</t>
  </si>
  <si>
    <t>33E5066F-5AD2-44CF-BA6A-6DDD49876562</t>
  </si>
  <si>
    <t>9F30EE8C-2188-4E04-88AF-AEB23842FABB</t>
  </si>
  <si>
    <t>5F379BAF-A7E3-454A-9383-430758055F96</t>
  </si>
  <si>
    <t>C4B32381-FE90-443B-8248-77C1FEEE79F9</t>
  </si>
  <si>
    <t>52F88A4C-3E93-4AF2-8DBF-CB8B8C2AD615</t>
  </si>
  <si>
    <t>406CC236-DFF2-405A-B465-64F605223042</t>
  </si>
  <si>
    <t>98FC67D9-C9D3-4BC6-B927-8AB8F3894DB7</t>
  </si>
  <si>
    <t>E5DF77A4-C200-40CE-9133-29FE8F45F83C</t>
  </si>
  <si>
    <t>824C4DE1-CB45-4357-8D71-3D7A9B20A1FE</t>
  </si>
  <si>
    <t>8F045301-B949-47A7-B850-24BF7725F524</t>
  </si>
  <si>
    <t>935B2B66-22E7-4674-9564-5B7FE10D4526</t>
  </si>
  <si>
    <t>1CE21E67-6A6D-4A6D-8F23-E3B426079C35</t>
  </si>
  <si>
    <t>166B5A26-5DAC-4BF8-AD48-69627F7B841D</t>
  </si>
  <si>
    <t>86E48B84-25B8-4795-9A93-5217ED1B20EE</t>
  </si>
  <si>
    <t>47F51922-5209-4A6F-A67B-D153C7E5BAD5</t>
  </si>
  <si>
    <t>EFAC5827-378C-4102-AFE2-CE07747FFDDE</t>
  </si>
  <si>
    <t>A4CDF615-A105-417E-B48D-64356629F331</t>
  </si>
  <si>
    <t>4E64ED8C-4B10-47C9-A311-D1727129E3B4</t>
  </si>
  <si>
    <t>94BD538B-2803-4922-B9FC-708C5A78D007</t>
  </si>
  <si>
    <t>AD51CEE3-FB4A-407D-BCA6-FCB60D74C6CF</t>
  </si>
  <si>
    <t>8E33930E-44DE-40EC-95F1-CFEFF12B8C1E</t>
  </si>
  <si>
    <t>C4757629-C6BF-455D-85BA-12928C66187A</t>
  </si>
  <si>
    <t>6A3A70EE-334E-421F-B119-F98B151630FB</t>
  </si>
  <si>
    <t>01E66989-6C9A-46DB-B262-E13459790817</t>
  </si>
  <si>
    <t>1D786316-F897-4DFF-8B41-5E1E1572959A</t>
  </si>
  <si>
    <t>3DC55223-7AFD-4287-8C27-5DBDFDDDED39</t>
  </si>
  <si>
    <t>2D3B2D2A-2926-478A-9DCB-A0FD0B959752</t>
  </si>
  <si>
    <t>70225704-C2BB-46FD-8E8E-C885AAE374B7</t>
  </si>
  <si>
    <t>3B358333-68D9-409A-AD5E-3E16459F4D9A</t>
  </si>
  <si>
    <t>A1D6E2B6-1A6F-40D5-BEF5-85AFDA4C4E86</t>
  </si>
  <si>
    <t>02D5061A-3036-4CEC-B1B6-546A93BD011D</t>
  </si>
  <si>
    <t>4336BC2B-6BE9-4CCB-8214-8C41DA73E58F</t>
  </si>
  <si>
    <t>847852F8-F191-4109-94AD-7E3D596BB4FB</t>
  </si>
  <si>
    <t>4E3A619E-0A05-401C-B96B-2D454AA9CF59</t>
  </si>
  <si>
    <t>BFC2B385-EAA5-409A-8F21-E3B07033449A</t>
  </si>
  <si>
    <t>41D94E9C-7647-429F-B245-C99C40319265</t>
  </si>
  <si>
    <t>358EBE6C-C333-442F-A1BB-F0003161CA3A</t>
  </si>
  <si>
    <t>4A8EA0A2-70F9-438B-A69A-82B8D0AB35C9</t>
  </si>
  <si>
    <t>F87F41D3-60DC-4E25-A0BC-1BD70749FD0C</t>
  </si>
  <si>
    <t>F2A88B98-C993-4961-8AC6-ADDD67C1A890</t>
  </si>
  <si>
    <t>6F790090-3F49-4955-A3DE-5B137E7D0EB9</t>
  </si>
  <si>
    <t>1B1C3D4E-6852-434D-A4FE-33E5D423954F</t>
  </si>
  <si>
    <t>5268CAAB-394F-4700-A5A8-A136BDF0E7C6</t>
  </si>
  <si>
    <t>B4EDB0C3-CA47-4FC6-BAC6-9B9312EDC0DF</t>
  </si>
  <si>
    <t>62158F3D-8235-421D-BD76-A242F4CA02C2</t>
  </si>
  <si>
    <t>1C4057F2-218F-46AE-B5C1-5E54DE1E25C0</t>
  </si>
  <si>
    <t>403F1915-A4D2-429F-9596-0BA64CA64705</t>
  </si>
  <si>
    <t>8E4835F5-6F16-4B18-9DDE-7D2E7FE50B12</t>
  </si>
  <si>
    <t>E7C4C96E-4B64-408D-A05F-20B342D16C2E</t>
  </si>
  <si>
    <t>2897550E-19BA-401E-AEE8-0D0F7B9CC212</t>
  </si>
  <si>
    <t>B6235869-D5C5-4C27-B038-71D84D19AFB4</t>
  </si>
  <si>
    <t>B5A5A9F7-A99F-4824-99FF-2BEA4703FE24</t>
  </si>
  <si>
    <t>F9F2E002-6268-40D6-8101-C7234A2A8324</t>
  </si>
  <si>
    <t>3BED8E0E-E548-4E83-97D0-2F9E1E8AF3C1</t>
  </si>
  <si>
    <t>B8086E89-8894-4907-BFB9-A9DCC510BAA8</t>
  </si>
  <si>
    <t>2F16F928-E5E1-4BBF-B2CC-71A7DA1006B6</t>
  </si>
  <si>
    <t>0C04B4B0-31DA-44BB-8F72-C7518001EE00</t>
  </si>
  <si>
    <t>085791C8-3974-4698-AE16-A89BA64A34F6</t>
  </si>
  <si>
    <t>900A9669-84E5-4C9A-9B4F-1CC07BFBFA11</t>
  </si>
  <si>
    <t>EBAFD0CE-623B-471B-A1BF-8E732527DD93</t>
  </si>
  <si>
    <t>99B1210B-7776-4DC5-AD0F-66FE4968BBB8</t>
  </si>
  <si>
    <t>B784914E-6379-427A-A517-3F3D25E3217D</t>
  </si>
  <si>
    <t>AD292F94-2C30-492B-87DA-45DC9CBB6D4B</t>
  </si>
  <si>
    <t>8D164FDA-D3D7-422B-81BC-9C6C41153EA2</t>
  </si>
  <si>
    <t>087C6620-F50C-4D7E-B3DF-516DA675DD50</t>
  </si>
  <si>
    <t>99618AC3-BAFD-44B7-B7D0-3E3B46896582</t>
  </si>
  <si>
    <t>7D3AEDB7-109E-4336-B9B9-6BB8C2A5CD2D</t>
  </si>
  <si>
    <t>3E674484-AD81-4D30-BBC4-A53F972BA028</t>
  </si>
  <si>
    <t>7E50447D-4D1E-46ED-A84D-7E90C85A3FC4</t>
  </si>
  <si>
    <t>37BB5E8F-E67D-4129-B2A4-C27E7BE27F78</t>
  </si>
  <si>
    <t>350D3679-E553-41BF-9B1F-4B592D10F81A</t>
  </si>
  <si>
    <t>6ECC2714-A684-4EB0-93B2-4E775A819929</t>
  </si>
  <si>
    <t>C446B750-1D60-4D40-8394-9E434437F653</t>
  </si>
  <si>
    <t>87FD8999-3B1A-4961-9E69-7A1CF4F30D47</t>
  </si>
  <si>
    <t>99021A76-61CA-44AE-BE37-E6296084E479</t>
  </si>
  <si>
    <t>886A0D30-70BF-42CF-9450-BEAE5ED1F53D</t>
  </si>
  <si>
    <t>7885B708-90A5-42B1-A82F-C33A40875DB1</t>
  </si>
  <si>
    <t>CDD4B8ED-FC21-4CBE-84D1-1D00BC936D99</t>
  </si>
  <si>
    <t>337ACFF8-BD95-4DDE-8603-B421B82F4F7B</t>
  </si>
  <si>
    <t>EE1D7A13-FB03-479F-AAD4-471F1F3574F0</t>
  </si>
  <si>
    <t>92C3BEA6-5B48-473C-AA56-0FDB337AF4FC</t>
  </si>
  <si>
    <t>790EFA1C-87AA-457B-8F45-36CD85344B1E</t>
  </si>
  <si>
    <t>4D1F76E9-CDB9-40F6-ACB5-A913F09D855F</t>
  </si>
  <si>
    <t>BD42690B-5A27-4360-BB85-BBA341F80F90</t>
  </si>
  <si>
    <t>26E164FB-0387-4F37-B760-4F0273BCC3AE</t>
  </si>
  <si>
    <t>4DAEE886-62B6-4A11-91E2-6CCC52E8C726</t>
  </si>
  <si>
    <t>C6F673E3-9A9B-468C-8A0A-59AA0393DFDC</t>
  </si>
  <si>
    <t>2D48A747-188A-4B7C-879B-A60AF15CACA5</t>
  </si>
  <si>
    <t>E9A7D411-061E-405C-9B92-1C34659C174D</t>
  </si>
  <si>
    <t>F37272F3-1097-44F4-84DC-2E9728009380</t>
  </si>
  <si>
    <t>6E3A9921-A43E-4432-A7DD-AFCB062D3882</t>
  </si>
  <si>
    <t>D4580406-13FA-46D3-A4B1-88E271E00836</t>
  </si>
  <si>
    <t>D9117FCF-D4B2-4319-B3F1-8B6281A9A4EB</t>
  </si>
  <si>
    <t>55D24624-81CD-4311-872C-ACE6508C4954</t>
  </si>
  <si>
    <t>DD56D5A2-3737-41A8-BFC6-C724FAC82A27</t>
  </si>
  <si>
    <t>898672E0-DC3F-4C74-A8FD-75D84D37F4C6</t>
  </si>
  <si>
    <t>4002F83D-1FA4-4A51-9069-862DA33587FC</t>
  </si>
  <si>
    <t>0CCE7D8E-36A2-4D6D-A989-9E5AF5BADD5F</t>
  </si>
  <si>
    <t>F5C6FED5-BE9F-47F6-AC34-4DB56021BBBB</t>
  </si>
  <si>
    <t>E75230A4-B6CE-49FE-B659-5503945A8D53</t>
  </si>
  <si>
    <t>EA8C2A7C-C847-423D-8650-3FDC4EB22C64</t>
  </si>
  <si>
    <t>7527938D-FC2F-45AD-8F13-11F85060A353</t>
  </si>
  <si>
    <t>F67B01C6-0B9E-4928-9911-4A352B25765A</t>
  </si>
  <si>
    <t>0EB5069D-E5A5-402C-8C00-DAF559131A2B</t>
  </si>
  <si>
    <t>58700DBB-B8EB-4C2F-AA3A-AC085083A3C5</t>
  </si>
  <si>
    <t>98129EFA-C4C8-41C3-8313-39ACE625CA78</t>
  </si>
  <si>
    <t>A3547087-B09A-4E9D-A244-127D48E979E2</t>
  </si>
  <si>
    <t>E8D0CCFA-DFD5-4797-BEF0-F02047B26EC1</t>
  </si>
  <si>
    <t>A853D6FF-E595-40FC-AE44-73E1EAE8E588</t>
  </si>
  <si>
    <t>F6760AC7-5706-4E92-96BC-0BD04BAADA92</t>
  </si>
  <si>
    <t>8A8B1DA2-731C-4D3E-81A5-75304481E79E</t>
  </si>
  <si>
    <t>005E7CA1-C7A4-4E9B-905F-F4E507649B81</t>
  </si>
  <si>
    <t>BF54C035-AEA4-4B89-8D09-2697ACBCA058</t>
  </si>
  <si>
    <t>75112034-1A11-4B4D-9E73-87435E2DD783</t>
  </si>
  <si>
    <t>E2F064FB-1C4A-4BAB-B863-626CFBBCDC18</t>
  </si>
  <si>
    <t>265234BD-E2FE-43F4-8AD4-0BD0F6C80093</t>
  </si>
  <si>
    <t>77A5549B-ADB4-4985-AA98-588593A5BAAC</t>
  </si>
  <si>
    <t>7C3A0667-DF23-4810-9BEE-59D939EF88A0</t>
  </si>
  <si>
    <t>DCADE1C3-9D23-48D0-99A5-D07D7EE414A0</t>
  </si>
  <si>
    <t>BC3FACA4-0E97-4210-B64C-2ABEEB957725</t>
  </si>
  <si>
    <t>4EF4C70A-5545-4CC8-91D4-926D1DBEBFD3</t>
  </si>
  <si>
    <t>099CE096-FB19-46B5-B267-49F027CAE57E</t>
  </si>
  <si>
    <t>DBA5D7A7-4AEC-4D4C-B4DF-D241E110D70B</t>
  </si>
  <si>
    <t>E2E7B142-C29A-4741-B84C-5250026C48FB</t>
  </si>
  <si>
    <t>90CB2E29-E738-4CF6-94F1-57D1D56A7DE2</t>
  </si>
  <si>
    <t>7382999F-2952-47EA-B504-605581DF965D</t>
  </si>
  <si>
    <t>9B03D500-207D-4BB2-802C-6F943AC2D63B</t>
  </si>
  <si>
    <t>068C287A-2C5D-4786-BCBD-0480BF6454FC</t>
  </si>
  <si>
    <t>2B4F240D-0052-45E8-9E88-D64C6CE7E498</t>
  </si>
  <si>
    <t>9A0E73FF-74F8-416B-9C01-C74D1A9F62AA</t>
  </si>
  <si>
    <t>F3DBFDA7-7228-4271-8DFE-C4B3274FC824</t>
  </si>
  <si>
    <t>870FB524-FE12-4832-B874-1EDAC17758D5</t>
  </si>
  <si>
    <t>EBE8666B-589D-4A28-A63A-EAF39B999CEE</t>
  </si>
  <si>
    <t>F28930DB-08DB-4FDE-BD0C-8BF3A4F7F48F</t>
  </si>
  <si>
    <t>5F072FEA-2F7C-4A5F-96C3-CCB07DB37FA7</t>
  </si>
  <si>
    <t>BCAB190F-35D0-4C68-879E-9C761061AF4C</t>
  </si>
  <si>
    <t>044E1028-928F-4A2E-BEFF-BA6CA0550388</t>
  </si>
  <si>
    <t>671AAD33-6134-431E-835D-B5AF1E68D11E</t>
  </si>
  <si>
    <t>94503EA9-AD38-4C11-9DE6-444F395D8365</t>
  </si>
  <si>
    <t>101FEA1C-4D3E-4582-81FA-C05674414CAE</t>
  </si>
  <si>
    <t>70454EDE-B6AA-47CB-9D8D-75E86F2B4D43</t>
  </si>
  <si>
    <t>48BA8CF1-C437-4C55-A6D7-66A9DCEEACBF</t>
  </si>
  <si>
    <t>E3BCF096-5AFF-4C75-9900-F8ED3FA2B44C</t>
  </si>
  <si>
    <t>3E6ECBFC-E5E3-4C64-A06B-DCC89DC4CBDD</t>
  </si>
  <si>
    <t>838B156E-51C7-49AD-86E5-021CE1C76CEF</t>
  </si>
  <si>
    <t>E291FC5B-160B-4794-A024-5F76EC077C72</t>
  </si>
  <si>
    <t>B2C6C1CF-A55F-46DF-B4F4-5EA1CE8E7DE2</t>
  </si>
  <si>
    <t>51BB27DC-A631-4ECF-A85A-AE6DB1ADB8CB</t>
  </si>
  <si>
    <t>3F0327EF-55D4-4729-8C46-C2BCCAB37CBE</t>
  </si>
  <si>
    <t>BB5A4945-7680-42C0-9AE5-C6DC4F302773</t>
  </si>
  <si>
    <t>6389E521-8890-4428-BC27-16436CA97E0E</t>
  </si>
  <si>
    <t>D2250C06-07E5-483C-90C7-54D103513A9E</t>
  </si>
  <si>
    <t>0D3BEAC3-BF18-4F5C-8CAC-2F389DE47B6A</t>
  </si>
  <si>
    <t>D7E94DEF-7DD1-42A8-81B8-9232F54C9E5E</t>
  </si>
  <si>
    <t>7BC6DF8D-2864-4107-9B24-5A62FE4DF44D</t>
  </si>
  <si>
    <t>0B583F79-2565-428E-970F-92F46196FE8E</t>
  </si>
  <si>
    <t>370838FB-B9DF-45E1-B6B7-BA831894BBC6</t>
  </si>
  <si>
    <t>CC97123E-E172-4C11-BD8C-915A1733C7CB</t>
  </si>
  <si>
    <t>1A14EF9A-0173-4449-9CE9-02DF9CA7E55D</t>
  </si>
  <si>
    <t>0F07D97A-4A97-4CBB-B3B6-1376383802B5</t>
  </si>
  <si>
    <t>C1C5A5DE-0719-4029-91FB-BA270420DAAE</t>
  </si>
  <si>
    <t>AF5F7710-3E4A-4FE7-B587-D506648F1AD6</t>
  </si>
  <si>
    <t>5EB8E1BB-048F-48F9-9C15-A607EB6CE1D7</t>
  </si>
  <si>
    <t>1CD5E796-9541-4E10-B155-5CFFB089C745</t>
  </si>
  <si>
    <t>80B586F1-8F81-45BB-A723-63E0C8D071BE</t>
  </si>
  <si>
    <t>1DBA9C53-C5E0-43EF-9435-A1EBBD55EBA5</t>
  </si>
  <si>
    <t>DAF6C5BF-9FE6-47FD-A91F-C9262E4BC678</t>
  </si>
  <si>
    <t>37D903A7-19DA-409D-B894-0E24792752A0</t>
  </si>
  <si>
    <t>E4118F66-497F-47CF-95B5-FDAE112F40D2</t>
  </si>
  <si>
    <t>3A8CFE3B-4E00-45F4-896B-2AE136802599</t>
  </si>
  <si>
    <t>423F3767-6032-47A8-9358-8200FEF6FC44</t>
  </si>
  <si>
    <t>6F38FD61-A99B-462F-B1D6-F0B58A8AF7B1</t>
  </si>
  <si>
    <t>76C9697B-0C4E-4D81-8131-2D47E500D64E</t>
  </si>
  <si>
    <t>43ED5B5E-F12A-4C25-91D6-B8C7A48F69DE</t>
  </si>
  <si>
    <t>B92DFC96-CD21-42CC-B21F-7D5820C1DCC7</t>
  </si>
  <si>
    <t>B8070D41-760A-4A0C-8C9B-DAF481931D80</t>
  </si>
  <si>
    <t>96D5B885-035E-4160-BD34-8372037552E5</t>
  </si>
  <si>
    <t>214BBC4F-915B-4EBE-90D4-A7E8FC779451</t>
  </si>
  <si>
    <t>67FF4999-75C9-47BD-8A13-29EBC3373BF8</t>
  </si>
  <si>
    <t>F71AD266-B5F6-4514-88E6-F25BCE3D8F4C</t>
  </si>
  <si>
    <t>8B5EA442-514F-4D05-89D6-33F5CE7456C2</t>
  </si>
  <si>
    <t>0AF1286B-2D4B-4F5F-981B-1B36B2526DC2</t>
  </si>
  <si>
    <t>1CA22954-068F-4603-9932-7CAFD3C4E2A6</t>
  </si>
  <si>
    <t>DF8479E4-7ED0-4699-B624-53A022550DA0</t>
  </si>
  <si>
    <t>E6AFFC0B-70FD-4FF0-B810-88AF9D1F52C5</t>
  </si>
  <si>
    <t>B5825B69-4900-43C0-A761-B839CC2A150A</t>
  </si>
  <si>
    <t>317A06D1-6B71-47B7-8DA3-E30729547A3D</t>
  </si>
  <si>
    <t>634EC852-0B85-47F5-A9CB-39119FCA597A</t>
  </si>
  <si>
    <t>CD4395C6-4D11-44F0-9379-3C7BAEDE14F2</t>
  </si>
  <si>
    <t>3476F350-3230-422E-ACA7-DB215DBE8F83</t>
  </si>
  <si>
    <t>9D1B24A0-56AF-4617-ADB3-C71C13B7ECF1</t>
  </si>
  <si>
    <t>A1678A0D-5911-4EEF-9E11-60BF598EC965</t>
  </si>
  <si>
    <t>02C83109-714D-445E-BEE7-BD8C5DF01F88</t>
  </si>
  <si>
    <t>25644D60-00E5-472D-BE6D-971FB814715F</t>
  </si>
  <si>
    <t>972542DD-F88B-4F6B-A455-6E376E45AD99</t>
  </si>
  <si>
    <t>B7CE828C-5FD8-48C8-9404-F733747924F0</t>
  </si>
  <si>
    <t>D70A7F63-0F25-47AE-8AE4-C137A5FBFDC4</t>
  </si>
  <si>
    <t>4F608F4E-4015-49D4-AC9A-086CAF01EC18</t>
  </si>
  <si>
    <t>BFDF9B3C-2AFB-413C-A8ED-285523AC2B1F</t>
  </si>
  <si>
    <t>5F07E772-71B1-4356-BFEF-4C9C6B3E0236</t>
  </si>
  <si>
    <t>32B4EC23-AF1A-4610-A639-00BBEA4C8CCA</t>
  </si>
  <si>
    <t>2169AA61-B763-4A78-84B6-AD1A906A5E71</t>
  </si>
  <si>
    <t>14F55B57-7DA0-449A-AFEC-28F642F73AC8</t>
  </si>
  <si>
    <t>069DED9F-281C-4491-A517-716E324BA3B2</t>
  </si>
  <si>
    <t>AE1792C6-7918-47DF-AAF4-019C8334670F</t>
  </si>
  <si>
    <t>218DF218-D5B3-4BFF-B0DB-794CBCCDEC98</t>
  </si>
  <si>
    <t>99A24377-B914-4F1A-A6B3-D4FF757FBC77</t>
  </si>
  <si>
    <t>5C9A52EB-A26B-4561-BD31-59AF5569B1F6</t>
  </si>
  <si>
    <t>216B8B65-351B-4014-AC11-77C5B0F7E653</t>
  </si>
  <si>
    <t>7B78C61F-6A15-4434-B851-3C9932D3B430</t>
  </si>
  <si>
    <t>54FF7375-CD37-4E95-ABFC-4397B126B84B</t>
  </si>
  <si>
    <t>1F6337C5-076B-4741-818A-798E01267BDB</t>
  </si>
  <si>
    <t>CD8C43C0-976C-4405-BAA4-A6B2B9A2D916</t>
  </si>
  <si>
    <t>0D37256E-D2AB-4231-9F6A-7B41A6762475</t>
  </si>
  <si>
    <t>D7E3E163-D6A6-42EE-BCDB-C350AEC368E2</t>
  </si>
  <si>
    <t>82E99C95-DD05-4BDF-A6AC-D511A34E4472</t>
  </si>
  <si>
    <t>F308D789-DA7D-4E47-A5C3-2B03D6929447</t>
  </si>
  <si>
    <t>E270DC66-6FD9-4503-9585-121117F6498C</t>
  </si>
  <si>
    <t>6A8F3996-9A52-4FD0-95C9-FEFDEBD8FCE3</t>
  </si>
  <si>
    <t>D0BF2D28-1BEF-43CF-860C-4D8768786898</t>
  </si>
  <si>
    <t>B5653AD0-12F8-440A-981C-AEC60F33828C</t>
  </si>
  <si>
    <t>CEA15A1E-BFFC-40BD-8BE9-22DC140E6A74</t>
  </si>
  <si>
    <t>35951275-0B52-4412-B02D-3EB5B16BFC2E</t>
  </si>
  <si>
    <t>82F7E720-E906-471F-9AB5-740B2D84D691</t>
  </si>
  <si>
    <t>BE551C08-22EA-408F-B122-B8A8E2C855C3</t>
  </si>
  <si>
    <t>F9528751-D19E-40DD-ADD9-FF376E9C549D</t>
  </si>
  <si>
    <t>60B86960-D816-4735-8E8C-565CB851E59E</t>
  </si>
  <si>
    <t>DA85A24B-8DD8-4CCE-AD5F-DFBB58FE873B</t>
  </si>
  <si>
    <t>2400C2FC-E915-49A4-AFAC-085535611F4C</t>
  </si>
  <si>
    <t>1D1BC9B6-DC7F-49C1-B6B0-D00F5669266E</t>
  </si>
  <si>
    <t>627FEBFF-57D7-4DE4-BA88-45163EB55C29</t>
  </si>
  <si>
    <t>39C7269C-EDCA-417C-AF3D-E5203F651899</t>
  </si>
  <si>
    <t>D7C6584E-303C-482C-B519-D488BE3F2067</t>
  </si>
  <si>
    <t>CA8B3C72-640E-4001-B8A9-8269C046818C</t>
  </si>
  <si>
    <t>333866DF-AFEB-4685-B074-CD68B125EE27</t>
  </si>
  <si>
    <t>78A9CFD9-8DBE-454F-A560-66A11F4EF45F</t>
  </si>
  <si>
    <t>419F868F-EF92-4928-B237-5EAFEBEE9E07</t>
  </si>
  <si>
    <t>F43A0609-0129-43ED-9F94-AF4A3D2CC422</t>
  </si>
  <si>
    <t>21BF3343-85D6-4B23-ACBA-331CF49F8E96</t>
  </si>
  <si>
    <t>3BF3D163-D486-4052-B96A-86B15857E3E5</t>
  </si>
  <si>
    <t>54417919-8533-40AC-8AE8-4433253CA245</t>
  </si>
  <si>
    <t>A17E472C-A172-448D-8213-07C1399DEEFA</t>
  </si>
  <si>
    <t>8BDEB3AE-BCDB-42D9-AA7F-516CC0127EC0</t>
  </si>
  <si>
    <t>A6E9BB21-DA1C-4399-8FC4-0166CA3A459C</t>
  </si>
  <si>
    <t>2451BBD8-749D-46FA-BD78-F55BF4C71428</t>
  </si>
  <si>
    <t>3BCFFB5B-0A18-4B2A-914D-E47714BA8556</t>
  </si>
  <si>
    <t>0123F3C2-3082-4585-8B6E-9A952C4BEBA5</t>
  </si>
  <si>
    <t>56C85E0C-EF4C-483B-862A-301E4306F3BB</t>
  </si>
  <si>
    <t>B202CE57-28CF-4BD4-BB59-7FE7F177CC48</t>
  </si>
  <si>
    <t>EEBA770F-5EF8-4495-87DF-C601E4D85E74</t>
  </si>
  <si>
    <t>037045CE-CAFF-4FC4-8629-0F8986EC231F</t>
  </si>
  <si>
    <t>066380CA-56C5-4AA4-AA77-8503109741DC</t>
  </si>
  <si>
    <t>96BB6D66-BC08-4132-B285-605F17A1FB04</t>
  </si>
  <si>
    <t>C29FCE9E-21E1-42D7-87DB-8731D7FEDF7F</t>
  </si>
  <si>
    <t>F6463590-0601-4EB7-A393-604B13E5AFB5</t>
  </si>
  <si>
    <t>41793FBD-53F6-403D-A68C-97E809C8F7BF</t>
  </si>
  <si>
    <t>ACF425C2-222C-4ACB-BEC5-7121E2BB20A3</t>
  </si>
  <si>
    <t>1E4DE7F7-3410-4064-8D62-8AC2E7F5BDCB</t>
  </si>
  <si>
    <t>462DDE67-7793-438D-A9E1-E040880F0CBB</t>
  </si>
  <si>
    <t>9147DA1B-716C-4370-8349-27B0C4D8E137</t>
  </si>
  <si>
    <t>07EB776F-7AFB-4196-BAAD-1955983C37AE</t>
  </si>
  <si>
    <t>9182F971-C8EF-4CE0-9C9B-2CA31842BEE1</t>
  </si>
  <si>
    <t>911F0665-DDA1-4886-817D-F259148022CA</t>
  </si>
  <si>
    <t>C7F4F378-9012-44FD-9610-142E7055C553</t>
  </si>
  <si>
    <t>379247CB-D303-4299-B095-6BA06E3655B7</t>
  </si>
  <si>
    <t>58516742-BDFB-4911-B546-C69551E8F832</t>
  </si>
  <si>
    <t>3F35EE72-EF26-40E6-AD83-E3EFFFBE8004</t>
  </si>
  <si>
    <t>EFC19BFA-E154-4290-BE90-38868BCFF62F</t>
  </si>
  <si>
    <t>C131A76E-DF02-4483-9E69-C20F8B04EC83</t>
  </si>
  <si>
    <t>286BD24E-847D-46DE-921B-06993F9B7479</t>
  </si>
  <si>
    <t>F4D85694-D77C-4730-8767-17ABDC889E3A</t>
  </si>
  <si>
    <t>183E600D-FA04-4EAB-BE8D-963FFB82D6B7</t>
  </si>
  <si>
    <t>48FA3CD3-D310-4F93-865D-83C3BCA9AC85</t>
  </si>
  <si>
    <t>BCCC560D-DE6C-4081-BD37-3A1F300DF47D</t>
  </si>
  <si>
    <t>232EBB4F-218B-4CF6-AE54-1EEC03F10FA7</t>
  </si>
  <si>
    <t>5C72756F-3320-43EA-88E5-138048851A00</t>
  </si>
  <si>
    <t>8FA8BA60-4F2A-4BFD-A297-E4053CB17D73</t>
  </si>
  <si>
    <t>43895014-FE0C-4117-87D5-FBF8AAF56D63</t>
  </si>
  <si>
    <t>8A776D00-32D8-4078-8B34-F55068F0FD47</t>
  </si>
  <si>
    <t>B292E7B1-1707-4B0B-BBE7-605D19444883</t>
  </si>
  <si>
    <t>33065C30-A3B9-4D0D-B5CC-ED8D767FBEC1</t>
  </si>
  <si>
    <t>C6BBD49A-A858-43A9-9337-8EB58F0C51B2</t>
  </si>
  <si>
    <t>FABAAE46-324C-4399-87DA-0B0EE767B29A</t>
  </si>
  <si>
    <t>28500740-6EE6-4335-8EF3-39D42CD9EB16</t>
  </si>
  <si>
    <t>B0C857BE-9AD0-4BB2-BEF3-0102CD2627FD</t>
  </si>
  <si>
    <t>1A7AC49D-0F1C-47EE-BC58-AC3EAE721F57</t>
  </si>
  <si>
    <t>FCE6A6BB-8894-457D-8ABB-A0A449520297</t>
  </si>
  <si>
    <t>361CF5E5-A4E7-41F1-B5E0-BE5AA8CBC1AB</t>
  </si>
  <si>
    <t>26E77BE3-5EC8-4DB4-98EF-7A96B2955DEF</t>
  </si>
  <si>
    <t>40665882-7B0C-4C43-80B9-296692AF819C</t>
  </si>
  <si>
    <t>E6BF5314-2600-4444-8CED-A384480EC12C</t>
  </si>
  <si>
    <t>DBEF589E-61B7-48CA-BF62-BE1EFE5B5B5F</t>
  </si>
  <si>
    <t>D9F6340D-C755-478B-A8BA-B75B075E3FC8</t>
  </si>
  <si>
    <t>624D8A78-15B2-4960-86BC-B962167A2B50</t>
  </si>
  <si>
    <t>AC3D99D3-A737-46B2-8B00-7D9A3ABC113C</t>
  </si>
  <si>
    <t>B8D2A8FF-158D-431C-B23D-8ABC12909059</t>
  </si>
  <si>
    <t>FF977DA1-3B9C-47F7-BE05-A16485CB0D72</t>
  </si>
  <si>
    <t>0000618D-67F2-4990-801A-1E881520AF74</t>
  </si>
  <si>
    <t>9B287D99-25E1-4DA4-B3CF-D4B1DCB74C64</t>
  </si>
  <si>
    <t>C03B5509-A5F0-4A30-AE2C-799A6A30E031</t>
  </si>
  <si>
    <t>C1A0FF6A-51A9-49F1-993D-6D626514246A</t>
  </si>
  <si>
    <t>355A97DF-7524-4AAD-9971-402E919670C5</t>
  </si>
  <si>
    <t>03C65088-C04C-48F0-BCF8-7C56E778D79A</t>
  </si>
  <si>
    <t>16C846ED-2379-48BF-B8E8-CA51AF983FE7</t>
  </si>
  <si>
    <t>1C87EBE0-AB78-4669-86B6-15191BA0722D</t>
  </si>
  <si>
    <t>99073CC5-247E-40C9-83CE-5529D6C81921</t>
  </si>
  <si>
    <t>49121DE6-F842-494C-BE1B-909B0E2D43B7</t>
  </si>
  <si>
    <t>4FA39A2E-11DF-4646-9432-46173027F558</t>
  </si>
  <si>
    <t>816A61AA-E15A-457E-A2A2-884BEDEC2928</t>
  </si>
  <si>
    <t>Authentic Identity</t>
  </si>
  <si>
    <t>Fake Identity</t>
  </si>
  <si>
    <t>Stolen Identity</t>
  </si>
  <si>
    <t>Test Account</t>
  </si>
  <si>
    <t>Research Account</t>
  </si>
  <si>
    <t>Non-compromised Identity</t>
  </si>
  <si>
    <t>U1</t>
  </si>
  <si>
    <t>U2</t>
  </si>
  <si>
    <t>B9BC6707-084C-4264-ABDB-9F04C39AC188</t>
  </si>
  <si>
    <t>FFAF2EE1-D9DE-4B8B-8A9C-EA4BB61848BD</t>
  </si>
  <si>
    <t>8933951D-59FE-48AC-8006-052B2292DA85</t>
  </si>
  <si>
    <t>01F6A80A-3190-462D-BEEB-328CC562A345</t>
  </si>
  <si>
    <t>7256DFFB-F727-40B1-B8CB-3E8ED7B93E61</t>
  </si>
  <si>
    <t>25323A0E-B290-48AC-A147-597F1DF61288</t>
  </si>
  <si>
    <t>5F168986-E77E-4F33-91B1-EA2A80D27A62</t>
  </si>
  <si>
    <t>DD3E4086-9258-4CEC-AA71-60BBCA780A26</t>
  </si>
  <si>
    <t>DE5D9227-B769-4D5A-8500-889A611D98E8</t>
  </si>
  <si>
    <t>5BF4A680-E4D0-43AF-B39E-023C875B56AE</t>
  </si>
  <si>
    <t>5C157834-A0AC-4B72-874D-381E356D1427</t>
  </si>
  <si>
    <t>B169787F-142F-4F48-91D5-4E1631A209C3</t>
  </si>
  <si>
    <t>172317F5-7551-4A51-B85B-0DAFEE004E16</t>
  </si>
  <si>
    <t>DB7BF994-4210-4C32-9CBA-583C39FE5614</t>
  </si>
  <si>
    <t>C09521E2-4E29-448A-9B5E-BAD855A6FC9D</t>
  </si>
  <si>
    <t>142CE4C1-7773-4488-BB24-CA0345911809</t>
  </si>
  <si>
    <t>64363645-20C2-4118-8A43-16197D0B273F</t>
  </si>
  <si>
    <t>C7F33B3E-E8A0-4C36-AEB3-0F4AAF16D526</t>
  </si>
  <si>
    <t>A961B21D-25E5-4F52-83DC-48A0A527EE3C</t>
  </si>
  <si>
    <t>A3A83BDB-BBEE-4294-AE65-C57A875F7714</t>
  </si>
  <si>
    <t>11D55571-665E-4CCA-B449-C292219C2AAD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</si>
</sst>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0"/>
      <color rgb="FF000000"/>
      <name val="Arial"/>
    </font>
    <font>
      <sz val="8"/>
      <color rgb="FF000000"/>
      <name val="Arial"/>
      <family val="2"/>
    </font>
    <font>
      <sz val="10"/>
      <color rgb="FF000000"/>
      <name val="Arial"/>
      <family val="2"/>
    </font>
    <font>
      <b/>
      <sz val="15"/>
      <color theme="3"/>
      <name val="Calibri"/>
      <family val="2"/>
      <scheme val="minor"/>
    </font>
    <font>
      <u/>
      <sz val="10"/>
      <color theme="10"/>
      <name val="Arial"/>
      <family val="2"/>
    </font>
    <font>
      <sz val="10"/>
      <name val="Arial"/>
      <family val="2"/>
    </font>
    <font>
      <sz val="8"/>
      <name val="Arial"/>
    </font>
    <font>
      <sz val="10"/>
      <color rgb="FF00B050"/>
      <name val="Consolas"/>
      <family val="3"/>
    </font>
    <font>
      <b/>
      <sz val="11"/>
      <color rgb="FF3F3F3F"/>
      <name val="Calibri"/>
      <family val="2"/>
      <scheme val="minor"/>
    </font>
    <font>
      <sz val="10"/>
      <color theme="1"/>
      <name val="Arial"/>
      <family val="2"/>
    </font>
    <font>
      <sz val="6"/>
      <color rgb="FF000000"/>
      <name val="Consolas"/>
      <family val="3"/>
    </font>
    <font>
      <sz val="6"/>
      <color rgb="FFFF0000"/>
      <name val="Arial"/>
      <family val="2"/>
    </font>
    <font>
      <sz val="6"/>
      <color rgb="FFFF0000"/>
      <name val="Consolas"/>
      <family val="3"/>
    </font>
    <font>
      <sz val="10"/>
      <color theme="1"/>
      <name val="Arial"/>
    </font>
    <font>
      <sz val="6"/>
      <color rgb="FFFF0000"/>
      <name val="Consolas"/>
      <family val="2"/>
    </font>
  </fonts>
  <fills count="5">
    <fill>
      <patternFill patternType="none"/>
    </fill>
    <fill>
      <patternFill patternType="gray125"/>
    </fill>
    <fill>
      <patternFill patternType="solid">
        <fgColor theme="1" tint="0.24994659260841701"/>
        <bgColor indexed="64"/>
      </patternFill>
    </fill>
    <fill>
      <patternFill patternType="solid">
        <fgColor rgb="FFF2F2F2"/>
      </patternFill>
    </fill>
    <fill>
      <patternFill patternType="solid">
        <fgColor theme="0" tint="-0.14999847407452621"/>
        <bgColor theme="0" tint="-0.14999847407452621"/>
      </patternFill>
    </fill>
  </fills>
  <borders count="4">
    <border>
      <left/>
      <right/>
      <top/>
      <bottom/>
      <diagonal/>
    </border>
    <border>
      <left style="thick">
        <color rgb="FF00B050"/>
      </left>
      <right style="thick">
        <color rgb="FF00B050"/>
      </right>
      <top style="thick">
        <color rgb="FF00B050"/>
      </top>
      <bottom style="thick">
        <color rgb="FF00B050"/>
      </bottom>
      <diagonal/>
    </border>
    <border>
      <left/>
      <right/>
      <top/>
      <bottom style="thick">
        <color theme="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5">
    <xf numFmtId="0" fontId="0" fillId="0" borderId="0"/>
    <xf numFmtId="0" fontId="7" fillId="2" borderId="1">
      <alignment vertical="center" wrapText="1"/>
    </xf>
    <xf numFmtId="0" fontId="3" fillId="0" borderId="2" applyNumberFormat="0" applyFill="0" applyAlignment="0" applyProtection="0"/>
    <xf numFmtId="0" fontId="4" fillId="0" borderId="0" applyNumberFormat="0" applyFill="0" applyBorder="0" applyAlignment="0" applyProtection="0"/>
    <xf numFmtId="0" fontId="8" fillId="3" borderId="3" applyNumberFormat="0" applyAlignment="0" applyProtection="0"/>
  </cellStyleXfs>
  <cellXfs count="44">
    <xf numFmtId="0" fontId="0" fillId="0" borderId="0" xfId="0" applyFont="1" applyAlignment="1">
      <alignment wrapText="1"/>
    </xf>
    <xf numFmtId="0" fontId="3" fillId="0" borderId="2" xfId="2" applyAlignment="1">
      <alignment vertical="top"/>
    </xf>
    <xf numFmtId="0" fontId="0" fillId="0" borderId="0" xfId="0" applyFont="1" applyAlignment="1">
      <alignment vertical="top"/>
    </xf>
    <xf numFmtId="0" fontId="0" fillId="0" borderId="0" xfId="0" applyNumberFormat="1" applyFont="1" applyAlignment="1">
      <alignment vertical="top"/>
    </xf>
    <xf numFmtId="0" fontId="0" fillId="0" borderId="0" xfId="0" applyNumberFormat="1" applyFont="1" applyBorder="1" applyAlignment="1">
      <alignment vertical="top"/>
    </xf>
    <xf numFmtId="0" fontId="4" fillId="0" borderId="0" xfId="3" applyAlignment="1">
      <alignment horizontal="left" vertical="center" wrapText="1" indent="2"/>
    </xf>
    <xf numFmtId="0" fontId="5" fillId="0" borderId="0" xfId="0" applyFont="1" applyAlignment="1">
      <alignment wrapText="1"/>
    </xf>
    <xf numFmtId="0" fontId="2" fillId="0" borderId="0" xfId="0" applyFont="1" applyAlignment="1">
      <alignment wrapText="1"/>
    </xf>
    <xf numFmtId="0" fontId="2" fillId="0" borderId="0" xfId="0" applyNumberFormat="1" applyFont="1" applyBorder="1" applyAlignment="1">
      <alignment vertical="top"/>
    </xf>
    <xf numFmtId="0" fontId="3" fillId="0" borderId="2" xfId="2" applyNumberFormat="1" applyAlignment="1">
      <alignment vertical="top"/>
    </xf>
    <xf numFmtId="0" fontId="2" fillId="0" borderId="0" xfId="0" applyNumberFormat="1" applyFont="1" applyAlignment="1">
      <alignment vertical="top"/>
    </xf>
    <xf numFmtId="0" fontId="2" fillId="0" borderId="0" xfId="0" applyFont="1" applyAlignment="1"/>
    <xf numFmtId="0" fontId="0" fillId="0" borderId="0" xfId="0" applyFont="1" applyAlignment="1"/>
    <xf numFmtId="0" fontId="10" fillId="0" borderId="0" xfId="0" applyFont="1" applyAlignment="1"/>
    <xf numFmtId="0" fontId="11" fillId="0" borderId="0" xfId="0" applyFont="1" applyAlignment="1"/>
    <xf numFmtId="0" fontId="2" fillId="0" borderId="0" xfId="0" applyNumberFormat="1" applyFont="1" applyAlignment="1"/>
    <xf numFmtId="0" fontId="9" fillId="4" borderId="0" xfId="0" applyFont="1" applyFill="1" applyAlignment="1"/>
    <xf numFmtId="0" fontId="9" fillId="0" borderId="0" xfId="0" applyFont="1" applyAlignment="1"/>
    <xf numFmtId="0" fontId="0" fillId="0" borderId="0" xfId="0" applyNumberFormat="1" applyFont="1" applyAlignment="1"/>
    <xf numFmtId="0" fontId="12" fillId="0" borderId="0" xfId="0" applyFont="1" applyAlignment="1"/>
    <xf numFmtId="0" fontId="12" fillId="0" borderId="0" xfId="0" applyNumberFormat="1" applyFont="1" applyAlignment="1"/>
    <xf numFmtId="0" fontId="10" fillId="0" borderId="0" xfId="0" applyNumberFormat="1" applyFont="1" applyAlignment="1">
      <alignment vertical="top"/>
    </xf>
    <xf numFmtId="0" fontId="10" fillId="0" borderId="0" xfId="0" applyFont="1" applyAlignment="1">
      <alignment vertical="top"/>
    </xf>
    <xf numFmtId="0" fontId="3" fillId="0" borderId="2" xfId="2" applyNumberFormat="1" applyAlignment="1"/>
    <xf numFmtId="0" fontId="8" fillId="3" borderId="3" xfId="4" applyAlignment="1"/>
    <xf numFmtId="0" fontId="7" fillId="2" borderId="1" xfId="1" applyNumberFormat="1" applyBorder="1" applyAlignment="1">
      <alignment vertical="top"/>
    </xf>
    <xf numFmtId="0" fontId="1" fillId="0" borderId="0" xfId="0" applyFont="1" applyAlignment="1">
      <alignment vertical="top"/>
    </xf>
    <xf numFmtId="0" fontId="10" fillId="0" borderId="0" xfId="0" applyNumberFormat="1" applyFont="1" applyBorder="1" applyAlignment="1">
      <alignment vertical="top"/>
    </xf>
    <xf numFmtId="0" fontId="10" fillId="0" borderId="0" xfId="0" applyNumberFormat="1" applyFont="1" applyAlignment="1"/>
    <xf numFmtId="0" fontId="14" fillId="0" borderId="0" xfId="0" applyNumberFormat="1" applyFont="1" applyAlignment="1"/>
    <xf numFmtId="0" fontId="13" fillId="0" borderId="0" xfId="0" applyFont="1" applyAlignment="1"/>
    <xf numFmtId="0" fontId="13" fillId="4" borderId="0" xfId="0" applyNumberFormat="1" applyFont="1" applyFill="1" applyAlignment="1"/>
    <xf numFmtId="0" fontId="13" fillId="0" borderId="0" xfId="0" applyNumberFormat="1" applyFont="1" applyAlignment="1"/>
    <xf numFmtId="0" fontId="13" fillId="4" borderId="0" xfId="0" applyNumberFormat="1" applyFont="1" applyFill="1" applyBorder="1" applyAlignment="1"/>
    <xf numFmtId="0" fontId="4" fillId="0" borderId="0" xfId="3" applyAlignment="1"/>
    <xf numFmtId="0" fontId="10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0" fillId="0" borderId="0" xfId="0" applyFont="1" applyAlignment="1">
      <alignment horizontal="center"/>
    </xf>
    <xf numFmtId="0" fontId="2" fillId="0" borderId="0" xfId="0" applyNumberFormat="1" applyFont="1" applyAlignment="1">
      <alignment horizontal="center" vertical="top"/>
    </xf>
    <xf numFmtId="0" fontId="2" fillId="0" borderId="0" xfId="0" applyNumberFormat="1" applyFont="1" applyBorder="1" applyAlignment="1">
      <alignment horizontal="center" vertical="top"/>
    </xf>
    <xf numFmtId="0" fontId="3" fillId="0" borderId="2" xfId="2" applyAlignment="1">
      <alignment horizontal="center" vertical="top"/>
    </xf>
    <xf numFmtId="0" fontId="2" fillId="0" borderId="0" xfId="0" applyNumberFormat="1" applyFont="1" applyAlignment="1">
      <alignment horizontal="center"/>
    </xf>
    <xf numFmtId="0" fontId="0" fillId="0" borderId="0" xfId="0" applyFont="1" applyAlignment="1">
      <alignment horizontal="center" vertical="top"/>
    </xf>
    <xf numFmtId="0" fontId="10" fillId="0" borderId="0" xfId="0" applyNumberFormat="1" applyFont="1" applyAlignment="1">
      <alignment horizontal="center"/>
    </xf>
  </cellXfs>
  <cellStyles count="5">
    <cellStyle name="Code" xfId="1" xr:uid="{B93AEFB8-F3F9-49FB-BF1F-F0FA07A64ED7}"/>
    <cellStyle name="Heading 1" xfId="2" builtinId="16"/>
    <cellStyle name="Hyperlink" xfId="3" builtinId="8"/>
    <cellStyle name="Normal" xfId="0" builtinId="0"/>
    <cellStyle name="Output" xfId="4" builtinId="21"/>
  </cellStyles>
  <dxfs count="43">
    <dxf>
      <font>
        <strike val="0"/>
        <outline val="0"/>
        <shadow val="0"/>
        <u val="none"/>
        <vertAlign val="baseline"/>
        <sz val="6"/>
        <name val="Consolas"/>
        <family val="3"/>
        <scheme val="none"/>
      </font>
      <numFmt numFmtId="0" formatCode="General"/>
      <alignment horizontal="general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6"/>
        <color rgb="FF000000"/>
        <name val="Consolas"/>
        <family val="3"/>
        <scheme val="none"/>
      </font>
      <numFmt numFmtId="0" formatCode="General"/>
      <alignment horizontal="general" vertical="bottom" textRotation="0" wrapText="0" indent="0" justifyLastLine="0" shrinkToFit="0" readingOrder="0"/>
    </dxf>
    <dxf>
      <font>
        <b/>
        <i val="0"/>
        <color theme="7"/>
      </font>
      <fill>
        <patternFill>
          <bgColor rgb="FFFF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rgb="FF000000"/>
        <name val="Consolas"/>
        <family val="3"/>
        <scheme val="none"/>
      </font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6"/>
        <color rgb="FFFF0000"/>
        <name val="Consolas"/>
        <family val="2"/>
        <scheme val="none"/>
      </font>
      <numFmt numFmtId="0" formatCode="General"/>
      <alignment horizontal="general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6"/>
        <color rgb="FFFF0000"/>
        <name val="Consolas"/>
        <family val="3"/>
        <scheme val="none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0" formatCode="General"/>
      <alignment horizontal="general" vertical="top" textRotation="0" wrapText="0" indent="0" justifyLastLine="0" shrinkToFit="0" readingOrder="0"/>
      <border diagonalUp="0" diagonalDown="0">
        <left style="thick">
          <color rgb="FF00B050"/>
        </left>
        <right style="thick">
          <color rgb="FF00B050"/>
        </right>
        <top style="thick">
          <color rgb="FF00B050"/>
        </top>
        <bottom style="thick">
          <color rgb="FF00B05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0" formatCode="General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0" formatCode="General"/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0" formatCode="General"/>
      <alignment horizontal="general" vertical="top" textRotation="0" wrapText="0" indent="0" justifyLastLine="0" shrinkToFit="0" readingOrder="0"/>
      <border diagonalUp="0" diagonalDown="0">
        <left style="thick">
          <color rgb="FF00B050"/>
        </left>
        <right style="thick">
          <color rgb="FF00B050"/>
        </right>
        <top style="thick">
          <color rgb="FF00B050"/>
        </top>
        <bottom style="thick">
          <color rgb="FF00B05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0" formatCode="General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rgb="FF000000"/>
        <name val="Consolas"/>
        <family val="3"/>
        <scheme val="none"/>
      </font>
      <numFmt numFmtId="0" formatCode="General"/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rgb="FF000000"/>
        <name val="Consolas"/>
        <family val="3"/>
        <scheme val="none"/>
      </font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6"/>
        <color rgb="FF000000"/>
        <name val="Consolas"/>
        <family val="3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rgb="FF000000"/>
        <name val="Consolas"/>
        <family val="3"/>
        <scheme val="none"/>
      </font>
      <numFmt numFmtId="0" formatCode="General"/>
      <alignment horizontal="center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rgb="FF000000"/>
        <name val="Consolas"/>
        <family val="3"/>
        <scheme val="none"/>
      </font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general" vertical="bottom" textRotation="0" wrapText="1" indent="0" justifyLastLine="0" shrinkToFit="0" readingOrder="0"/>
    </dxf>
    <dxf>
      <alignment horizontal="left" vertical="center" textRotation="0" wrapText="1" indent="2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0" formatCode="General"/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rgb="FF000000"/>
        <name val="Consolas"/>
        <family val="3"/>
        <scheme val="none"/>
      </font>
      <numFmt numFmtId="0" formatCode="General"/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rgb="FF000000"/>
        <name val="Consolas"/>
        <family val="3"/>
        <scheme val="none"/>
      </font>
      <numFmt numFmtId="0" formatCode="General"/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general" vertical="top" textRotation="0" wrapText="0" indent="0" justifyLastLine="0" shrinkToFit="0" readingOrder="0"/>
    </dxf>
    <dxf>
      <alignment horizontal="general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0" formatCode="General"/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rgb="FF000000"/>
        <name val="Consolas"/>
        <family val="3"/>
        <scheme val="none"/>
      </font>
      <numFmt numFmtId="0" formatCode="General"/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general" vertical="top" textRotation="0" wrapText="0" indent="0" justifyLastLine="0" shrinkToFit="0" readingOrder="0"/>
    </dxf>
    <dxf>
      <alignment horizontal="general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</xdr:colOff>
          <xdr:row>1</xdr:row>
          <xdr:rowOff>152400</xdr:rowOff>
        </xdr:from>
        <xdr:to>
          <xdr:col>1</xdr:col>
          <xdr:colOff>1152525</xdr:colOff>
          <xdr:row>4</xdr:row>
          <xdr:rowOff>61913</xdr:rowOff>
        </xdr:to>
        <xdr:sp macro="" textlink="">
          <xdr:nvSpPr>
            <xdr:cNvPr id="5121" name="buttonExport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2262188</xdr:colOff>
          <xdr:row>0</xdr:row>
          <xdr:rowOff>85725</xdr:rowOff>
        </xdr:from>
        <xdr:to>
          <xdr:col>1</xdr:col>
          <xdr:colOff>784225</xdr:colOff>
          <xdr:row>1</xdr:row>
          <xdr:rowOff>104775</xdr:rowOff>
        </xdr:to>
        <xdr:sp macro="" textlink="">
          <xdr:nvSpPr>
            <xdr:cNvPr id="7169" name="buttonExportNodes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3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C9712D2-CCDA-4E9C-B304-04B7352F99F1}" name="NodesData" displayName="NodesData" ref="A1:J508" totalsRowShown="0" headerRowDxfId="42" dataDxfId="41">
  <autoFilter ref="A1:J508" xr:uid="{5C9712D2-CCDA-4E9C-B304-04B7352F99F1}"/>
  <sortState xmlns:xlrd2="http://schemas.microsoft.com/office/spreadsheetml/2017/richdata2" ref="A2:J508">
    <sortCondition ref="C1:C508"/>
  </sortState>
  <tableColumns count="10">
    <tableColumn id="7" xr3:uid="{5088D59A-45C2-4E1D-97DB-D92C10772FC3}" name="Unambiguous Name" dataDxfId="17">
      <calculatedColumnFormula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calculatedColumnFormula>
    </tableColumn>
    <tableColumn id="12" xr3:uid="{F7460AC7-9720-408C-B21B-B14EAB730702}" name="U1" dataDxfId="3">
      <calculatedColumnFormula>COUNTIF(NodesData[Unambiguous Name],NodesData[[#This Row],[Unambiguous Name]])</calculatedColumnFormula>
    </tableColumn>
    <tableColumn id="3" xr3:uid="{1AC5B17D-613C-4D59-9B76-2B23701909EB}" name="Common Name" dataDxfId="40"/>
    <tableColumn id="2" xr3:uid="{90333BBB-2EEB-4564-A4DE-2C01EFC61D47}" name="Node ID" dataDxfId="16"/>
    <tableColumn id="9" xr3:uid="{64EBF582-70D0-427F-B4C9-E0E1AB19752D}" name="U2" dataDxfId="14">
      <calculatedColumnFormula>COUNTIF(NodesData[Node ID],NodesData[[#This Row],[Node ID]])</calculatedColumnFormula>
    </tableColumn>
    <tableColumn id="4" xr3:uid="{6146B9E7-30B6-4E1C-8AE1-B6449F0E0DE8}" name="Class Disambiguation" dataDxfId="15"/>
    <tableColumn id="6" xr3:uid="{FD2E50A7-4489-4F3D-B755-6C2DCB54CAEE}" name="Unambiguous Name2" dataDxfId="39">
      <calculatedColumnFormula>IF(NodesData[[#This Row],[Class Disambiguation]]="",NodesData[[#This Row],[Common Name]],NodesData[[#This Row],[Common Name]]&amp;" ("&amp;NodesData[[#This Row],[Class Disambiguation]]&amp;")")</calculatedColumnFormula>
    </tableColumn>
    <tableColumn id="1" xr3:uid="{BA3F7F86-49BD-4962-BBDE-A08B6B4A2766}" name="Context Instanciation" dataDxfId="38"/>
    <tableColumn id="8" xr3:uid="{334909EF-6768-4210-A03B-B3B2782F8DF1}" name="URL" dataDxfId="37"/>
    <tableColumn id="5" xr3:uid="{C893231A-2AE1-4035-A471-BB69C36E6D4F}" name="GUID Generator" dataDxfId="5">
      <calculatedColumnFormula array="1">CreateGuidString()</calculatedColumnFormula>
    </tableColumn>
  </tableColumns>
  <tableStyleInfo name="TableStyleMedium1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F35589B-2170-40E5-8168-E48616A8C1B9}" name="EdgesData" displayName="EdgesData" ref="A1:I85" totalsRowShown="0" headerRowDxfId="36" dataDxfId="35">
  <autoFilter ref="A1:I85" xr:uid="{5C9712D2-CCDA-4E9C-B304-04B7352F99F1}"/>
  <sortState xmlns:xlrd2="http://schemas.microsoft.com/office/spreadsheetml/2017/richdata2" ref="A2:I49">
    <sortCondition ref="D1:D49"/>
  </sortState>
  <tableColumns count="9">
    <tableColumn id="5" xr3:uid="{CE3327DB-D425-4D19-AFBC-04AB47355E47}" name="Edge ID" dataDxfId="13"/>
    <tableColumn id="9" xr3:uid="{F696736C-4E13-460F-BF11-C92DB7BC03A8}" name="Unicirty" dataDxfId="12">
      <calculatedColumnFormula>COUNTIF(EdgesData[Edge ID],EdgesData[[#This Row],[Edge ID]])</calculatedColumnFormula>
    </tableColumn>
    <tableColumn id="1" xr3:uid="{9CA13924-CA4A-44D4-8A07-E52B10C55BA7}" name="Node A ID" dataDxfId="1">
      <calculatedColumnFormula>VLOOKUP(EdgesData[[#This Row],[Node A]],NodesData[],4,FALSE)</calculatedColumnFormula>
    </tableColumn>
    <tableColumn id="3" xr3:uid="{BAA89F4B-F6C5-4ABD-86BE-5A8853F41E60}" name="Node A" dataDxfId="34"/>
    <tableColumn id="4" xr3:uid="{D3335F2C-7AD5-4D66-8BC3-253890C0E8B7}" name="Rel" dataDxfId="33"/>
    <tableColumn id="2" xr3:uid="{8D04C2D1-8FFA-4141-8A59-A1BFEFFAB089}" name="Dir" dataDxfId="32"/>
    <tableColumn id="6" xr3:uid="{C46C88E3-4516-403D-9A39-7617A8F5E08F}" name="Node B" dataDxfId="31"/>
    <tableColumn id="8" xr3:uid="{018119E0-D793-4DE2-91A3-9B20775CD938}" name="Node B ID" dataDxfId="0">
      <calculatedColumnFormula>VLOOKUP(EdgesData[[#This Row],[Node B]],NodesData[],4,FALSE)</calculatedColumnFormula>
    </tableColumn>
    <tableColumn id="7" xr3:uid="{648409CB-F2FA-4FEE-88C7-554D58380F3E}" name="GUID Generator" dataDxfId="4">
      <calculatedColumnFormula array="1">CreateGuidString()</calculatedColumnFormula>
    </tableColumn>
  </tableColumns>
  <tableStyleInfo name="TableStyleMedium1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D26B7AA-5C86-4768-82FC-AE97ACF663EB}" name="NodesJSON" displayName="NodesJSON" ref="A2:F519" totalsRowShown="0" headerRowDxfId="30" dataDxfId="29">
  <autoFilter ref="A2:F519" xr:uid="{5C9712D2-CCDA-4E9C-B304-04B7352F99F1}"/>
  <tableColumns count="6">
    <tableColumn id="3" xr3:uid="{82A8C566-EE4C-44EE-B0F5-47C24EB1BA08}" name="Export?" dataDxfId="7">
      <calculatedColumnFormula>IF(ISERR(NodesJSON[[#This Row],[label]]),0,1)</calculatedColumnFormula>
    </tableColumn>
    <tableColumn id="2" xr3:uid="{7A433402-2F5D-4FF4-8541-52C3CCA58CBF}" name="label" dataDxfId="8">
      <calculatedColumnFormula>NodesData[[#This Row],[Common Name]]</calculatedColumnFormula>
    </tableColumn>
    <tableColumn id="1" xr3:uid="{9480A146-5094-4585-8E34-79B118723205}" name="group" dataDxfId="28">
      <calculatedColumnFormula>IF(NodesData[[#This Row],[Context Instanciation]]="","",NodesData[[#This Row],[Context Instanciation]])</calculatedColumnFormula>
    </tableColumn>
    <tableColumn id="5" xr3:uid="{DE7D344F-F0A4-42CA-BECA-DEC46A3C6044}" name="id" dataDxfId="27">
      <calculatedColumnFormula>NodesData[[#This Row],[Node ID]]</calculatedColumnFormula>
    </tableColumn>
    <tableColumn id="8" xr3:uid="{D32881FA-1331-4995-98E1-08014CC00B3B}" name="url" dataDxfId="26"/>
    <tableColumn id="4" xr3:uid="{C237D77B-2B8C-448A-9D3F-782001125820}" name="JSON" dataDxfId="6" dataCellStyle="Code">
      <calculatedColumnFormula array="1">IF(NodesJSON[[#This Row],[Export?]]=0,"",IF(ROW(NodesJSON[[#This Row],[label]])&gt;ROW(NodesJSON[[#Headers],[JSON]])+1,",","") &amp;"{"&amp;twoRangesToJSON(NodesJSON[[#Headers],[label]:[url]],NodesJSON[[#This Row],[label]:[url]])&amp;"}")</calculatedColumnFormula>
    </tableColumn>
  </tableColumns>
  <tableStyleInfo name="TableStyleMedium16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2DC44691-7CC8-490A-BFD1-C0BACEDD8C5B}" name="EdgesJSON" displayName="EdgesJSON" ref="A2:F87" totalsRowShown="0" headerRowDxfId="25" dataDxfId="24">
  <autoFilter ref="A2:F87" xr:uid="{2DC44691-7CC8-490A-BFD1-C0BACEDD8C5B}"/>
  <tableColumns count="6">
    <tableColumn id="1" xr3:uid="{EAA854D8-FC3C-4095-A454-B74145F31F60}" name="Export?" dataDxfId="10">
      <calculatedColumnFormula>IF(ISERR(EdgesJSON[[#This Row],[id]]),0,1)</calculatedColumnFormula>
    </tableColumn>
    <tableColumn id="6" xr3:uid="{7B6A1A21-3B7A-41BC-953A-E7E41C3DF49A}" name="id" dataDxfId="11">
      <calculatedColumnFormula>EdgesData[[#This Row],[Edge ID]]</calculatedColumnFormula>
    </tableColumn>
    <tableColumn id="2" xr3:uid="{3D9DE3B5-4740-491A-AF2C-F3365D8C031F}" name="from" dataDxfId="23">
      <calculatedColumnFormula>EdgesData[[#This Row],[Node A ID]]</calculatedColumnFormula>
    </tableColumn>
    <tableColumn id="5" xr3:uid="{17306F30-E2AC-4FAA-A3C9-6B06FA97B7CD}" name="to" dataDxfId="22">
      <calculatedColumnFormula>EdgesData[[#This Row],[Node B ID]]</calculatedColumnFormula>
    </tableColumn>
    <tableColumn id="8" xr3:uid="{B166B7F9-2FC2-4259-83C8-E55C58025CC9}" name="label" dataDxfId="21">
      <calculatedColumnFormula>EdgesData[[#This Row],[Rel]]</calculatedColumnFormula>
    </tableColumn>
    <tableColumn id="4" xr3:uid="{BC79FDF8-B819-4DED-9F3A-54E94785DD2A}" name="JSON" dataDxfId="9" dataCellStyle="Code">
      <calculatedColumnFormula array="1">IF(EdgesJSON[[#This Row],[Export?]]=0,"",IF(ROW(EdgesJSON[[#This Row],[id]])&gt;ROW(EdgesJSON[[#Headers],[JSON]])+1,",","") &amp;"{"&amp;twoRangesToJSON(EdgesJSON[[#Headers],[id]:[label]],EdgesJSON[[#This Row],[id]:[label]])&amp;"}")</calculatedColumnFormula>
    </tableColumn>
  </tableColumns>
  <tableStyleInfo name="TableStyleMedium16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8DBD418-59A9-4655-9257-D5EE48A361D8}" name="Table6" displayName="Table6" ref="A4:C521" totalsRowShown="0" headerRowDxfId="20">
  <autoFilter ref="A4:C521" xr:uid="{58DBD418-59A9-4655-9257-D5EE48A361D8}"/>
  <sortState xmlns:xlrd2="http://schemas.microsoft.com/office/spreadsheetml/2017/richdata2" ref="A5:C521">
    <sortCondition ref="B4:B521"/>
  </sortState>
  <tableColumns count="3">
    <tableColumn id="1" xr3:uid="{EC26ABB8-939A-43CA-B0A2-8EC7CB3061CE}" name="Link" dataDxfId="19" dataCellStyle="Hyperlink"/>
    <tableColumn id="2" xr3:uid="{AEC70506-6840-4CDC-BAE7-A19184AA46C3}" name="Title">
      <calculatedColumnFormula>SUBSTITUTE(CLEAN(A5)," (Dictionary Entry)","")</calculatedColumnFormula>
    </tableColumn>
    <tableColumn id="3" xr3:uid="{70D7DAAF-0674-450B-B4DD-41A2117D026D}" name="URL" dataDxfId="18">
      <calculatedColumnFormula array="1">GetHyperlinkAddress(A5)</calculatedColumnFormula>
    </tableColumn>
  </tableColumns>
  <tableStyleInfo name="TableStyleMedium16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8BA86A3F-4484-4330-9A53-84DDA6B3CFF3}" name="Table13" displayName="Table13" ref="A4:F9" totalsRowShown="0">
  <autoFilter ref="A4:F9" xr:uid="{8BA86A3F-4484-4330-9A53-84DDA6B3CFF3}"/>
  <tableColumns count="6">
    <tableColumn id="1" xr3:uid="{EF12C93D-4FB4-41B7-A4FA-1280974091C0}" name="[TYPE]"/>
    <tableColumn id="2" xr3:uid="{438E41B3-D526-4B3C-9C51-8E1818AE2CE1}" name="directionality"/>
    <tableColumn id="3" xr3:uid="{14977927-DD8A-42C9-9A4F-6E03D691F3FF}" name="Friendly Forward Type"/>
    <tableColumn id="4" xr3:uid="{59FA715D-FE28-4FC1-AADA-0519B5A4C0B2}" name="Friendly Backward Type"/>
    <tableColumn id="5" xr3:uid="{50F9F543-CDF0-4E06-AFC4-4CE202C02357}" name="Accurate Forward Type"/>
    <tableColumn id="6" xr3:uid="{E2F332C8-FD7B-465C-A3F6-464FD716CDCB}" name="Accurate Backward Type"/>
  </tableColumns>
  <tableStyleInfo name="TableStyleLight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34CAD22A-70AF-4C14-AD19-FAC8DC4DEB5A}" name="DIRTable" displayName="DIRTable" ref="A3:A5" totalsRowShown="0">
  <autoFilter ref="A3:A5" xr:uid="{34CAD22A-70AF-4C14-AD19-FAC8DC4DEB5A}"/>
  <tableColumns count="1">
    <tableColumn id="1" xr3:uid="{4A38AA95-7235-418E-8C93-149952649B90}" name="[DIR]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open-measure.atlassian.net/wiki/spaces/BP/pages/653525030/OM-BP-0004+Make+MFA+Mandatory+Best+Practice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3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hyperlink" Target="https://open-measure.atlassian.net/wiki/spaces/DIC/pages/1348862053/Credential+Stuffing" TargetMode="External"/><Relationship Id="rId299" Type="http://schemas.openxmlformats.org/officeDocument/2006/relationships/hyperlink" Target="https://open-measure.atlassian.net/wiki/spaces/DIC/pages/43581457" TargetMode="External"/><Relationship Id="rId21" Type="http://schemas.openxmlformats.org/officeDocument/2006/relationships/hyperlink" Target="https://open-measure.atlassian.net/wiki/spaces/DIC/pages/446955580" TargetMode="External"/><Relationship Id="rId63" Type="http://schemas.openxmlformats.org/officeDocument/2006/relationships/hyperlink" Target="https://open-measure.atlassian.net/wiki/spaces/DIC/pages/59441158" TargetMode="External"/><Relationship Id="rId159" Type="http://schemas.openxmlformats.org/officeDocument/2006/relationships/hyperlink" Target="https://open-measure.atlassian.net/wiki/spaces/DIC/pages/62455952" TargetMode="External"/><Relationship Id="rId324" Type="http://schemas.openxmlformats.org/officeDocument/2006/relationships/hyperlink" Target="https://open-measure.atlassian.net/wiki/spaces/DIC/pages/557057" TargetMode="External"/><Relationship Id="rId366" Type="http://schemas.openxmlformats.org/officeDocument/2006/relationships/hyperlink" Target="https://open-measure.atlassian.net/wiki/spaces/DIC/pages/138346661" TargetMode="External"/><Relationship Id="rId170" Type="http://schemas.openxmlformats.org/officeDocument/2006/relationships/hyperlink" Target="https://open-measure.atlassian.net/wiki/spaces/DIC/pages/49316293" TargetMode="External"/><Relationship Id="rId226" Type="http://schemas.openxmlformats.org/officeDocument/2006/relationships/hyperlink" Target="https://open-measure.atlassian.net/wiki/spaces/DIC/pages/82838020" TargetMode="External"/><Relationship Id="rId433" Type="http://schemas.openxmlformats.org/officeDocument/2006/relationships/hyperlink" Target="https://open-measure.atlassian.net/wiki/spaces/DIC/pages/1071317018" TargetMode="External"/><Relationship Id="rId268" Type="http://schemas.openxmlformats.org/officeDocument/2006/relationships/hyperlink" Target="https://open-measure.atlassian.net/wiki/spaces/DIC/pages/442499114" TargetMode="External"/><Relationship Id="rId475" Type="http://schemas.openxmlformats.org/officeDocument/2006/relationships/hyperlink" Target="https://open-measure.atlassian.net/wiki/spaces/DIC/pages/1417084929/Typing+Biometrics" TargetMode="External"/><Relationship Id="rId32" Type="http://schemas.openxmlformats.org/officeDocument/2006/relationships/hyperlink" Target="https://open-measure.atlassian.net/wiki/spaces/DIC/pages/1658355721/Application+Multiplexing" TargetMode="External"/><Relationship Id="rId74" Type="http://schemas.openxmlformats.org/officeDocument/2006/relationships/hyperlink" Target="https://open-measure.atlassian.net/wiki/spaces/DIC/pages/794492970" TargetMode="External"/><Relationship Id="rId128" Type="http://schemas.openxmlformats.org/officeDocument/2006/relationships/hyperlink" Target="https://open-measure.atlassian.net/wiki/spaces/DIC/pages/797900801" TargetMode="External"/><Relationship Id="rId335" Type="http://schemas.openxmlformats.org/officeDocument/2006/relationships/hyperlink" Target="https://open-measure.atlassian.net/wiki/spaces/DIC/pages/49315842" TargetMode="External"/><Relationship Id="rId377" Type="http://schemas.openxmlformats.org/officeDocument/2006/relationships/hyperlink" Target="https://open-measure.atlassian.net/wiki/spaces/DIC/pages/1442240" TargetMode="External"/><Relationship Id="rId500" Type="http://schemas.openxmlformats.org/officeDocument/2006/relationships/hyperlink" Target="https://open-measure.atlassian.net/wiki/spaces/DIC/pages/140739482" TargetMode="External"/><Relationship Id="rId5" Type="http://schemas.openxmlformats.org/officeDocument/2006/relationships/hyperlink" Target="https://open-measure.atlassian.net/wiki/spaces/DIC/pages/1034223816/Access+Continuum" TargetMode="External"/><Relationship Id="rId181" Type="http://schemas.openxmlformats.org/officeDocument/2006/relationships/hyperlink" Target="https://open-measure.atlassian.net/wiki/spaces/DIC/pages/331579618" TargetMode="External"/><Relationship Id="rId237" Type="http://schemas.openxmlformats.org/officeDocument/2006/relationships/hyperlink" Target="https://open-measure.atlassian.net/wiki/spaces/DIC/pages/59473923" TargetMode="External"/><Relationship Id="rId402" Type="http://schemas.openxmlformats.org/officeDocument/2006/relationships/hyperlink" Target="https://open-measure.atlassian.net/wiki/spaces/DIC/pages/1152483772" TargetMode="External"/><Relationship Id="rId279" Type="http://schemas.openxmlformats.org/officeDocument/2006/relationships/hyperlink" Target="https://open-measure.atlassian.net/wiki/spaces/DIC/pages/442466381" TargetMode="External"/><Relationship Id="rId444" Type="http://schemas.openxmlformats.org/officeDocument/2006/relationships/hyperlink" Target="https://open-measure.atlassian.net/wiki/spaces/DIC/pages/1181909085" TargetMode="External"/><Relationship Id="rId486" Type="http://schemas.openxmlformats.org/officeDocument/2006/relationships/hyperlink" Target="https://open-measure.atlassian.net/wiki/spaces/DIC/pages/1121878257" TargetMode="External"/><Relationship Id="rId43" Type="http://schemas.openxmlformats.org/officeDocument/2006/relationships/hyperlink" Target="https://open-measure.atlassian.net/wiki/spaces/DIC/pages/81199158" TargetMode="External"/><Relationship Id="rId139" Type="http://schemas.openxmlformats.org/officeDocument/2006/relationships/hyperlink" Target="https://open-measure.atlassian.net/wiki/spaces/DIC/pages/408977837" TargetMode="External"/><Relationship Id="rId290" Type="http://schemas.openxmlformats.org/officeDocument/2006/relationships/hyperlink" Target="https://open-measure.atlassian.net/wiki/spaces/DIC/pages/11567150" TargetMode="External"/><Relationship Id="rId304" Type="http://schemas.openxmlformats.org/officeDocument/2006/relationships/hyperlink" Target="https://open-measure.atlassian.net/wiki/spaces/DIC/pages/1474592794/Need-to-Know" TargetMode="External"/><Relationship Id="rId346" Type="http://schemas.openxmlformats.org/officeDocument/2006/relationships/hyperlink" Target="https://open-measure.atlassian.net/wiki/spaces/DIC/pages/1572966" TargetMode="External"/><Relationship Id="rId388" Type="http://schemas.openxmlformats.org/officeDocument/2006/relationships/hyperlink" Target="https://open-measure.atlassian.net/wiki/spaces/DIC/pages/67699423" TargetMode="External"/><Relationship Id="rId511" Type="http://schemas.openxmlformats.org/officeDocument/2006/relationships/hyperlink" Target="https://open-measure.atlassian.net/wiki/spaces/DIC/pages/855638141" TargetMode="External"/><Relationship Id="rId85" Type="http://schemas.openxmlformats.org/officeDocument/2006/relationships/hyperlink" Target="https://open-measure.atlassian.net/wiki/spaces/DIC/pages/442466346/CDD" TargetMode="External"/><Relationship Id="rId150" Type="http://schemas.openxmlformats.org/officeDocument/2006/relationships/hyperlink" Target="https://open-measure.atlassian.net/wiki/spaces/DIC/pages/419594251" TargetMode="External"/><Relationship Id="rId192" Type="http://schemas.openxmlformats.org/officeDocument/2006/relationships/hyperlink" Target="https://open-measure.atlassian.net/wiki/spaces/DIC/pages/1229619254" TargetMode="External"/><Relationship Id="rId206" Type="http://schemas.openxmlformats.org/officeDocument/2006/relationships/hyperlink" Target="https://open-measure.atlassian.net/wiki/spaces/DIC/pages/419758113" TargetMode="External"/><Relationship Id="rId413" Type="http://schemas.openxmlformats.org/officeDocument/2006/relationships/hyperlink" Target="https://open-measure.atlassian.net/wiki/spaces/DIC/pages/5931115" TargetMode="External"/><Relationship Id="rId248" Type="http://schemas.openxmlformats.org/officeDocument/2006/relationships/hyperlink" Target="https://open-measure.atlassian.net/wiki/spaces/DIC/pages/1451884782/Insider" TargetMode="External"/><Relationship Id="rId455" Type="http://schemas.openxmlformats.org/officeDocument/2006/relationships/hyperlink" Target="https://open-measure.atlassian.net/wiki/spaces/DIC/pages/1004961963" TargetMode="External"/><Relationship Id="rId497" Type="http://schemas.openxmlformats.org/officeDocument/2006/relationships/hyperlink" Target="https://open-measure.atlassian.net/wiki/spaces/DIC/pages/1177845999" TargetMode="External"/><Relationship Id="rId12" Type="http://schemas.openxmlformats.org/officeDocument/2006/relationships/hyperlink" Target="https://open-measure.atlassian.net/wiki/spaces/DIC/pages/1122631723" TargetMode="External"/><Relationship Id="rId108" Type="http://schemas.openxmlformats.org/officeDocument/2006/relationships/hyperlink" Target="https://open-measure.atlassian.net/wiki/spaces/DIC/pages/43581505" TargetMode="External"/><Relationship Id="rId315" Type="http://schemas.openxmlformats.org/officeDocument/2006/relationships/hyperlink" Target="https://open-measure.atlassian.net/wiki/spaces/DIC/pages/2981904" TargetMode="External"/><Relationship Id="rId357" Type="http://schemas.openxmlformats.org/officeDocument/2006/relationships/hyperlink" Target="https://open-measure.atlassian.net/wiki/spaces/DIC/pages/1130987523" TargetMode="External"/><Relationship Id="rId54" Type="http://schemas.openxmlformats.org/officeDocument/2006/relationships/hyperlink" Target="https://open-measure.atlassian.net/wiki/spaces/DIC/pages/1071251573" TargetMode="External"/><Relationship Id="rId96" Type="http://schemas.openxmlformats.org/officeDocument/2006/relationships/hyperlink" Target="https://open-measure.atlassian.net/wiki/spaces/DIC/pages/1147043959" TargetMode="External"/><Relationship Id="rId161" Type="http://schemas.openxmlformats.org/officeDocument/2006/relationships/hyperlink" Target="https://open-measure.atlassian.net/wiki/spaces/DIC/pages/1121878049" TargetMode="External"/><Relationship Id="rId217" Type="http://schemas.openxmlformats.org/officeDocument/2006/relationships/hyperlink" Target="https://open-measure.atlassian.net/wiki/spaces/DIC/pages/123896632/Identity+Establishment" TargetMode="External"/><Relationship Id="rId399" Type="http://schemas.openxmlformats.org/officeDocument/2006/relationships/hyperlink" Target="https://open-measure.atlassian.net/wiki/spaces/DIC/pages/1164902443" TargetMode="External"/><Relationship Id="rId259" Type="http://schemas.openxmlformats.org/officeDocument/2006/relationships/hyperlink" Target="https://open-measure.atlassian.net/wiki/spaces/DIC/pages/858488984" TargetMode="External"/><Relationship Id="rId424" Type="http://schemas.openxmlformats.org/officeDocument/2006/relationships/hyperlink" Target="https://open-measure.atlassian.net/wiki/spaces/DIC/pages/446955653/Self-Sovereign+Identity" TargetMode="External"/><Relationship Id="rId466" Type="http://schemas.openxmlformats.org/officeDocument/2006/relationships/hyperlink" Target="https://open-measure.atlassian.net/wiki/spaces/DIC/pages/1237582070/Tranquil" TargetMode="External"/><Relationship Id="rId23" Type="http://schemas.openxmlformats.org/officeDocument/2006/relationships/hyperlink" Target="https://open-measure.atlassian.net/wiki/spaces/DIC/pages/974454812" TargetMode="External"/><Relationship Id="rId119" Type="http://schemas.openxmlformats.org/officeDocument/2006/relationships/hyperlink" Target="https://open-measure.atlassian.net/wiki/spaces/DIC/pages/427130918" TargetMode="External"/><Relationship Id="rId270" Type="http://schemas.openxmlformats.org/officeDocument/2006/relationships/hyperlink" Target="https://open-measure.atlassian.net/wiki/spaces/DIC/pages/49250357" TargetMode="External"/><Relationship Id="rId326" Type="http://schemas.openxmlformats.org/officeDocument/2006/relationships/hyperlink" Target="https://open-measure.atlassian.net/wiki/spaces/DIC/pages/1062207530/Orphan+Account" TargetMode="External"/><Relationship Id="rId65" Type="http://schemas.openxmlformats.org/officeDocument/2006/relationships/hyperlink" Target="https://open-measure.atlassian.net/wiki/spaces/DIC/pages/43581631" TargetMode="External"/><Relationship Id="rId130" Type="http://schemas.openxmlformats.org/officeDocument/2006/relationships/hyperlink" Target="https://open-measure.atlassian.net/wiki/spaces/DIC/pages/1177845938/DAC" TargetMode="External"/><Relationship Id="rId368" Type="http://schemas.openxmlformats.org/officeDocument/2006/relationships/hyperlink" Target="https://open-measure.atlassian.net/wiki/spaces/DIC/pages/810320380" TargetMode="External"/><Relationship Id="rId172" Type="http://schemas.openxmlformats.org/officeDocument/2006/relationships/hyperlink" Target="https://open-measure.atlassian.net/wiki/spaces/DIC/pages/461275380" TargetMode="External"/><Relationship Id="rId228" Type="http://schemas.openxmlformats.org/officeDocument/2006/relationships/hyperlink" Target="https://open-measure.atlassian.net/wiki/spaces/DIC/pages/1147043904" TargetMode="External"/><Relationship Id="rId435" Type="http://schemas.openxmlformats.org/officeDocument/2006/relationships/hyperlink" Target="https://open-measure.atlassian.net/wiki/spaces/DIC/pages/1142292486" TargetMode="External"/><Relationship Id="rId477" Type="http://schemas.openxmlformats.org/officeDocument/2006/relationships/hyperlink" Target="https://open-measure.atlassian.net/wiki/spaces/DIC/pages/1027080193/Unanticipated+User" TargetMode="External"/><Relationship Id="rId281" Type="http://schemas.openxmlformats.org/officeDocument/2006/relationships/hyperlink" Target="https://open-measure.atlassian.net/wiki/spaces/DIC/pages/442400912" TargetMode="External"/><Relationship Id="rId337" Type="http://schemas.openxmlformats.org/officeDocument/2006/relationships/hyperlink" Target="https://open-measure.atlassian.net/wiki/spaces/DIC/pages/438665302" TargetMode="External"/><Relationship Id="rId502" Type="http://schemas.openxmlformats.org/officeDocument/2006/relationships/hyperlink" Target="https://open-measure.atlassian.net/wiki/spaces/DIC/pages/140673594" TargetMode="External"/><Relationship Id="rId34" Type="http://schemas.openxmlformats.org/officeDocument/2006/relationships/hyperlink" Target="https://open-measure.atlassian.net/wiki/spaces/DIC/pages/6030793/Application+Program" TargetMode="External"/><Relationship Id="rId76" Type="http://schemas.openxmlformats.org/officeDocument/2006/relationships/hyperlink" Target="https://open-measure.atlassian.net/wiki/spaces/DIC/pages/1571389777/Boundary+Control" TargetMode="External"/><Relationship Id="rId141" Type="http://schemas.openxmlformats.org/officeDocument/2006/relationships/hyperlink" Target="https://open-measure.atlassian.net/wiki/spaces/DIC/pages/43548767" TargetMode="External"/><Relationship Id="rId379" Type="http://schemas.openxmlformats.org/officeDocument/2006/relationships/hyperlink" Target="https://open-measure.atlassian.net/wiki/spaces/DIC/pages/6030426" TargetMode="External"/><Relationship Id="rId7" Type="http://schemas.openxmlformats.org/officeDocument/2006/relationships/hyperlink" Target="https://open-measure.atlassian.net/wiki/spaces/DIC/pages/822345754" TargetMode="External"/><Relationship Id="rId183" Type="http://schemas.openxmlformats.org/officeDocument/2006/relationships/hyperlink" Target="https://open-measure.atlassian.net/wiki/spaces/DIC/pages/1378091043/FinTech" TargetMode="External"/><Relationship Id="rId239" Type="http://schemas.openxmlformats.org/officeDocument/2006/relationships/hyperlink" Target="https://open-measure.atlassian.net/wiki/spaces/DIC/pages/1027342618" TargetMode="External"/><Relationship Id="rId390" Type="http://schemas.openxmlformats.org/officeDocument/2006/relationships/hyperlink" Target="https://open-measure.atlassian.net/wiki/spaces/DIC/pages/2589003" TargetMode="External"/><Relationship Id="rId404" Type="http://schemas.openxmlformats.org/officeDocument/2006/relationships/hyperlink" Target="https://open-measure.atlassian.net/wiki/spaces/DIC/pages/82903488" TargetMode="External"/><Relationship Id="rId446" Type="http://schemas.openxmlformats.org/officeDocument/2006/relationships/hyperlink" Target="https://open-measure.atlassian.net/wiki/spaces/DIC/pages/1177747756" TargetMode="External"/><Relationship Id="rId250" Type="http://schemas.openxmlformats.org/officeDocument/2006/relationships/hyperlink" Target="https://open-measure.atlassian.net/wiki/spaces/DIC/pages/1451098397/Insider+Threat" TargetMode="External"/><Relationship Id="rId292" Type="http://schemas.openxmlformats.org/officeDocument/2006/relationships/hyperlink" Target="https://open-measure.atlassian.net/wiki/spaces/DIC/pages/2588851" TargetMode="External"/><Relationship Id="rId306" Type="http://schemas.openxmlformats.org/officeDocument/2006/relationships/hyperlink" Target="https://open-measure.atlassian.net/wiki/spaces/DIC/pages/6030903" TargetMode="External"/><Relationship Id="rId488" Type="http://schemas.openxmlformats.org/officeDocument/2006/relationships/hyperlink" Target="https://open-measure.atlassian.net/wiki/spaces/DIC/pages/1428652183/Username" TargetMode="External"/><Relationship Id="rId45" Type="http://schemas.openxmlformats.org/officeDocument/2006/relationships/hyperlink" Target="https://open-measure.atlassian.net/wiki/spaces/DIC/pages/998178905" TargetMode="External"/><Relationship Id="rId87" Type="http://schemas.openxmlformats.org/officeDocument/2006/relationships/hyperlink" Target="https://open-measure.atlassian.net/wiki/spaces/DIC/pages/823459864" TargetMode="External"/><Relationship Id="rId110" Type="http://schemas.openxmlformats.org/officeDocument/2006/relationships/hyperlink" Target="https://open-measure.atlassian.net/wiki/spaces/DIC/pages/148308282" TargetMode="External"/><Relationship Id="rId348" Type="http://schemas.openxmlformats.org/officeDocument/2006/relationships/hyperlink" Target="https://open-measure.atlassian.net/wiki/spaces/DIC/pages/1323499709/Persona" TargetMode="External"/><Relationship Id="rId513" Type="http://schemas.openxmlformats.org/officeDocument/2006/relationships/hyperlink" Target="https://open-measure.atlassian.net/wiki/spaces/DIC/pages/852492409" TargetMode="External"/><Relationship Id="rId152" Type="http://schemas.openxmlformats.org/officeDocument/2006/relationships/hyperlink" Target="https://open-measure.atlassian.net/wiki/spaces/DIC/pages/206766113" TargetMode="External"/><Relationship Id="rId194" Type="http://schemas.openxmlformats.org/officeDocument/2006/relationships/hyperlink" Target="https://open-measure.atlassian.net/wiki/spaces/DIC/pages/966557699" TargetMode="External"/><Relationship Id="rId208" Type="http://schemas.openxmlformats.org/officeDocument/2006/relationships/hyperlink" Target="https://open-measure.atlassian.net/wiki/spaces/DIC/pages/1311113273/Identifier+Registry+Model" TargetMode="External"/><Relationship Id="rId415" Type="http://schemas.openxmlformats.org/officeDocument/2006/relationships/hyperlink" Target="https://open-measure.atlassian.net/wiki/spaces/DIC/pages/1142390785" TargetMode="External"/><Relationship Id="rId457" Type="http://schemas.openxmlformats.org/officeDocument/2006/relationships/hyperlink" Target="https://open-measure.atlassian.net/wiki/spaces/DIC/pages/1122631693" TargetMode="External"/><Relationship Id="rId261" Type="http://schemas.openxmlformats.org/officeDocument/2006/relationships/hyperlink" Target="https://open-measure.atlassian.net/wiki/spaces/DIC/pages/858456203" TargetMode="External"/><Relationship Id="rId499" Type="http://schemas.openxmlformats.org/officeDocument/2006/relationships/hyperlink" Target="https://open-measure.atlassian.net/wiki/spaces/DIC/pages/140673566" TargetMode="External"/><Relationship Id="rId14" Type="http://schemas.openxmlformats.org/officeDocument/2006/relationships/hyperlink" Target="https://open-measure.atlassian.net/wiki/spaces/DIC/pages/1704003" TargetMode="External"/><Relationship Id="rId35" Type="http://schemas.openxmlformats.org/officeDocument/2006/relationships/hyperlink" Target="https://open-measure.atlassian.net/wiki/spaces/DIC/pages/425197720" TargetMode="External"/><Relationship Id="rId56" Type="http://schemas.openxmlformats.org/officeDocument/2006/relationships/hyperlink" Target="https://open-measure.atlassian.net/wiki/spaces/DIC/pages/998277835" TargetMode="External"/><Relationship Id="rId77" Type="http://schemas.openxmlformats.org/officeDocument/2006/relationships/hyperlink" Target="https://open-measure.atlassian.net/wiki/spaces/DIC/pages/81101750" TargetMode="External"/><Relationship Id="rId100" Type="http://schemas.openxmlformats.org/officeDocument/2006/relationships/hyperlink" Target="https://open-measure.atlassian.net/wiki/spaces/DIC/pages/1311881" TargetMode="External"/><Relationship Id="rId282" Type="http://schemas.openxmlformats.org/officeDocument/2006/relationships/hyperlink" Target="https://open-measure.atlassian.net/wiki/spaces/DIC/pages/1452048577/Logic+Bomb" TargetMode="External"/><Relationship Id="rId317" Type="http://schemas.openxmlformats.org/officeDocument/2006/relationships/hyperlink" Target="https://open-measure.atlassian.net/wiki/spaces/DIC/pages/998244357" TargetMode="External"/><Relationship Id="rId338" Type="http://schemas.openxmlformats.org/officeDocument/2006/relationships/hyperlink" Target="https://open-measure.atlassian.net/wiki/spaces/DIC/pages/140673286" TargetMode="External"/><Relationship Id="rId359" Type="http://schemas.openxmlformats.org/officeDocument/2006/relationships/hyperlink" Target="https://open-measure.atlassian.net/wiki/spaces/DIC/pages/1094549649" TargetMode="External"/><Relationship Id="rId503" Type="http://schemas.openxmlformats.org/officeDocument/2006/relationships/hyperlink" Target="https://open-measure.atlassian.net/wiki/spaces/DIC/pages/140673653" TargetMode="External"/><Relationship Id="rId8" Type="http://schemas.openxmlformats.org/officeDocument/2006/relationships/hyperlink" Target="https://open-measure.atlassian.net/wiki/spaces/DIC/pages/67633606" TargetMode="External"/><Relationship Id="rId98" Type="http://schemas.openxmlformats.org/officeDocument/2006/relationships/hyperlink" Target="https://open-measure.atlassian.net/wiki/spaces/DIC/pages/206766142/Cloud+Service+User" TargetMode="External"/><Relationship Id="rId121" Type="http://schemas.openxmlformats.org/officeDocument/2006/relationships/hyperlink" Target="https://open-measure.atlassian.net/wiki/spaces/DIC/pages/82903984/CSP" TargetMode="External"/><Relationship Id="rId142" Type="http://schemas.openxmlformats.org/officeDocument/2006/relationships/hyperlink" Target="https://open-measure.atlassian.net/wiki/spaces/DIC/pages/782925889/DID" TargetMode="External"/><Relationship Id="rId163" Type="http://schemas.openxmlformats.org/officeDocument/2006/relationships/hyperlink" Target="https://open-measure.atlassian.net/wiki/spaces/DIC/pages/1122566465" TargetMode="External"/><Relationship Id="rId184" Type="http://schemas.openxmlformats.org/officeDocument/2006/relationships/hyperlink" Target="https://open-measure.atlassian.net/wiki/spaces/DIC/pages/438698048" TargetMode="External"/><Relationship Id="rId219" Type="http://schemas.openxmlformats.org/officeDocument/2006/relationships/hyperlink" Target="https://open-measure.atlassian.net/wiki/spaces/DIC/pages/1323597918/Identity+Guardian" TargetMode="External"/><Relationship Id="rId370" Type="http://schemas.openxmlformats.org/officeDocument/2006/relationships/hyperlink" Target="https://open-measure.atlassian.net/wiki/spaces/DIC/pages/49250316" TargetMode="External"/><Relationship Id="rId391" Type="http://schemas.openxmlformats.org/officeDocument/2006/relationships/hyperlink" Target="https://open-measure.atlassian.net/wiki/spaces/DIC/pages/11141464" TargetMode="External"/><Relationship Id="rId405" Type="http://schemas.openxmlformats.org/officeDocument/2006/relationships/hyperlink" Target="https://open-measure.atlassian.net/wiki/spaces/DIC/pages/140739068/SAM+Database" TargetMode="External"/><Relationship Id="rId426" Type="http://schemas.openxmlformats.org/officeDocument/2006/relationships/hyperlink" Target="https://open-measure.atlassian.net/wiki/spaces/DIC/pages/805142555" TargetMode="External"/><Relationship Id="rId447" Type="http://schemas.openxmlformats.org/officeDocument/2006/relationships/hyperlink" Target="https://open-measure.atlassian.net/wiki/spaces/DIC/pages/67600697" TargetMode="External"/><Relationship Id="rId230" Type="http://schemas.openxmlformats.org/officeDocument/2006/relationships/hyperlink" Target="https://open-measure.atlassian.net/wiki/spaces/DIC/pages/107708597" TargetMode="External"/><Relationship Id="rId251" Type="http://schemas.openxmlformats.org/officeDocument/2006/relationships/hyperlink" Target="https://open-measure.atlassian.net/wiki/spaces/DIC/pages/822476843" TargetMode="External"/><Relationship Id="rId468" Type="http://schemas.openxmlformats.org/officeDocument/2006/relationships/hyperlink" Target="https://open-measure.atlassian.net/wiki/spaces/DIC/pages/1181876587" TargetMode="External"/><Relationship Id="rId489" Type="http://schemas.openxmlformats.org/officeDocument/2006/relationships/hyperlink" Target="https://open-measure.atlassian.net/wiki/spaces/DIC/pages/1147043973/User+Provisioning" TargetMode="External"/><Relationship Id="rId25" Type="http://schemas.openxmlformats.org/officeDocument/2006/relationships/hyperlink" Target="https://open-measure.atlassian.net/wiki/spaces/DIC/pages/6030518" TargetMode="External"/><Relationship Id="rId46" Type="http://schemas.openxmlformats.org/officeDocument/2006/relationships/hyperlink" Target="https://open-measure.atlassian.net/wiki/spaces/DIC/pages/60882993" TargetMode="External"/><Relationship Id="rId67" Type="http://schemas.openxmlformats.org/officeDocument/2006/relationships/hyperlink" Target="https://open-measure.atlassian.net/wiki/spaces/DIC/pages/1673527501/Behavioral+Authentication" TargetMode="External"/><Relationship Id="rId272" Type="http://schemas.openxmlformats.org/officeDocument/2006/relationships/hyperlink" Target="https://open-measure.atlassian.net/wiki/spaces/DIC/pages/1181843548" TargetMode="External"/><Relationship Id="rId293" Type="http://schemas.openxmlformats.org/officeDocument/2006/relationships/hyperlink" Target="https://open-measure.atlassian.net/wiki/spaces/DIC/pages/67699227" TargetMode="External"/><Relationship Id="rId307" Type="http://schemas.openxmlformats.org/officeDocument/2006/relationships/hyperlink" Target="https://open-measure.atlassian.net/wiki/spaces/DIC/pages/858554692" TargetMode="External"/><Relationship Id="rId328" Type="http://schemas.openxmlformats.org/officeDocument/2006/relationships/hyperlink" Target="https://open-measure.atlassian.net/wiki/spaces/DIC/pages/1061650653" TargetMode="External"/><Relationship Id="rId349" Type="http://schemas.openxmlformats.org/officeDocument/2006/relationships/hyperlink" Target="https://open-measure.atlassian.net/wiki/spaces/DIC/pages/1572948" TargetMode="External"/><Relationship Id="rId514" Type="http://schemas.openxmlformats.org/officeDocument/2006/relationships/hyperlink" Target="https://open-measure.atlassian.net/wiki/spaces/DIC/pages/1122631791" TargetMode="External"/><Relationship Id="rId88" Type="http://schemas.openxmlformats.org/officeDocument/2006/relationships/hyperlink" Target="https://open-measure.atlassian.net/wiki/spaces/DIC/pages/1290076214/CIBA" TargetMode="External"/><Relationship Id="rId111" Type="http://schemas.openxmlformats.org/officeDocument/2006/relationships/hyperlink" Target="https://open-measure.atlassian.net/wiki/spaces/DIC/pages/877297665" TargetMode="External"/><Relationship Id="rId132" Type="http://schemas.openxmlformats.org/officeDocument/2006/relationships/hyperlink" Target="https://open-measure.atlassian.net/wiki/spaces/DIC/pages/998244454" TargetMode="External"/><Relationship Id="rId153" Type="http://schemas.openxmlformats.org/officeDocument/2006/relationships/hyperlink" Target="https://open-measure.atlassian.net/wiki/spaces/DIC/pages/82903896" TargetMode="External"/><Relationship Id="rId174" Type="http://schemas.openxmlformats.org/officeDocument/2006/relationships/hyperlink" Target="https://open-measure.atlassian.net/wiki/spaces/DIC/pages/1121878505" TargetMode="External"/><Relationship Id="rId195" Type="http://schemas.openxmlformats.org/officeDocument/2006/relationships/hyperlink" Target="https://open-measure.atlassian.net/wiki/spaces/DIC/pages/1177846011" TargetMode="External"/><Relationship Id="rId209" Type="http://schemas.openxmlformats.org/officeDocument/2006/relationships/hyperlink" Target="https://open-measure.atlassian.net/wiki/spaces/DIC/pages/67600948" TargetMode="External"/><Relationship Id="rId360" Type="http://schemas.openxmlformats.org/officeDocument/2006/relationships/hyperlink" Target="https://open-measure.atlassian.net/wiki/spaces/DIC/pages/5933189" TargetMode="External"/><Relationship Id="rId381" Type="http://schemas.openxmlformats.org/officeDocument/2006/relationships/hyperlink" Target="https://open-measure.atlassian.net/wiki/spaces/DIC/pages/11567198" TargetMode="External"/><Relationship Id="rId416" Type="http://schemas.openxmlformats.org/officeDocument/2006/relationships/hyperlink" Target="https://open-measure.atlassian.net/wiki/spaces/DIC/pages/1230831633" TargetMode="External"/><Relationship Id="rId220" Type="http://schemas.openxmlformats.org/officeDocument/2006/relationships/hyperlink" Target="https://open-measure.atlassian.net/wiki/spaces/DIC/pages/67600436" TargetMode="External"/><Relationship Id="rId241" Type="http://schemas.openxmlformats.org/officeDocument/2006/relationships/hyperlink" Target="https://open-measure.atlassian.net/wiki/spaces/DIC/pages/1004896257" TargetMode="External"/><Relationship Id="rId437" Type="http://schemas.openxmlformats.org/officeDocument/2006/relationships/hyperlink" Target="https://open-measure.atlassian.net/wiki/spaces/DIC/pages/1027342899" TargetMode="External"/><Relationship Id="rId458" Type="http://schemas.openxmlformats.org/officeDocument/2006/relationships/hyperlink" Target="https://open-measure.atlassian.net/wiki/spaces/DIC/pages/148373634" TargetMode="External"/><Relationship Id="rId479" Type="http://schemas.openxmlformats.org/officeDocument/2006/relationships/hyperlink" Target="https://open-measure.atlassian.net/wiki/spaces/DIC/pages/446955662/Unique+ID+Number" TargetMode="External"/><Relationship Id="rId15" Type="http://schemas.openxmlformats.org/officeDocument/2006/relationships/hyperlink" Target="https://open-measure.atlassian.net/wiki/spaces/DIC/pages/1600684040/Access+Token" TargetMode="External"/><Relationship Id="rId36" Type="http://schemas.openxmlformats.org/officeDocument/2006/relationships/hyperlink" Target="https://open-measure.atlassian.net/wiki/spaces/DIC/pages/1703994/ARM" TargetMode="External"/><Relationship Id="rId57" Type="http://schemas.openxmlformats.org/officeDocument/2006/relationships/hyperlink" Target="https://open-measure.atlassian.net/wiki/spaces/DIC/pages/998245125" TargetMode="External"/><Relationship Id="rId262" Type="http://schemas.openxmlformats.org/officeDocument/2006/relationships/hyperlink" Target="https://open-measure.atlassian.net/wiki/spaces/DIC/pages/852492379" TargetMode="External"/><Relationship Id="rId283" Type="http://schemas.openxmlformats.org/officeDocument/2006/relationships/hyperlink" Target="https://open-measure.atlassian.net/wiki/spaces/DIC/pages/1440153606/Login" TargetMode="External"/><Relationship Id="rId318" Type="http://schemas.openxmlformats.org/officeDocument/2006/relationships/hyperlink" Target="https://open-measure.atlassian.net/wiki/spaces/DIC/pages/1142358051" TargetMode="External"/><Relationship Id="rId339" Type="http://schemas.openxmlformats.org/officeDocument/2006/relationships/hyperlink" Target="https://open-measure.atlassian.net/wiki/spaces/DIC/pages/974323764" TargetMode="External"/><Relationship Id="rId490" Type="http://schemas.openxmlformats.org/officeDocument/2006/relationships/hyperlink" Target="https://open-measure.atlassian.net/wiki/spaces/DIC/pages/1311146179/Verifiable+Claim" TargetMode="External"/><Relationship Id="rId504" Type="http://schemas.openxmlformats.org/officeDocument/2006/relationships/hyperlink" Target="https://open-measure.atlassian.net/wiki/spaces/DIC/pages/140771901" TargetMode="External"/><Relationship Id="rId78" Type="http://schemas.openxmlformats.org/officeDocument/2006/relationships/hyperlink" Target="https://open-measure.atlassian.net/wiki/spaces/DIC/pages/1348763687/Brute+Force+Attack" TargetMode="External"/><Relationship Id="rId99" Type="http://schemas.openxmlformats.org/officeDocument/2006/relationships/hyperlink" Target="https://open-measure.atlassian.net/wiki/spaces/DIC/pages/148308199" TargetMode="External"/><Relationship Id="rId101" Type="http://schemas.openxmlformats.org/officeDocument/2006/relationships/hyperlink" Target="https://open-measure.atlassian.net/wiki/spaces/DIC/pages/998277125" TargetMode="External"/><Relationship Id="rId122" Type="http://schemas.openxmlformats.org/officeDocument/2006/relationships/hyperlink" Target="https://open-measure.atlassian.net/wiki/spaces/DIC/pages/206667867/CSU" TargetMode="External"/><Relationship Id="rId143" Type="http://schemas.openxmlformats.org/officeDocument/2006/relationships/hyperlink" Target="https://open-measure.atlassian.net/wiki/spaces/DIC/pages/458326308" TargetMode="External"/><Relationship Id="rId164" Type="http://schemas.openxmlformats.org/officeDocument/2006/relationships/hyperlink" Target="https://open-measure.atlassian.net/wiki/spaces/DIC/pages/1121910973" TargetMode="External"/><Relationship Id="rId185" Type="http://schemas.openxmlformats.org/officeDocument/2006/relationships/hyperlink" Target="https://open-measure.atlassian.net/wiki/spaces/DIC/pages/1223884872" TargetMode="External"/><Relationship Id="rId350" Type="http://schemas.openxmlformats.org/officeDocument/2006/relationships/hyperlink" Target="https://open-measure.atlassian.net/wiki/spaces/DIC/pages/140771596" TargetMode="External"/><Relationship Id="rId371" Type="http://schemas.openxmlformats.org/officeDocument/2006/relationships/hyperlink" Target="https://open-measure.atlassian.net/wiki/spaces/DIC/pages/858521752" TargetMode="External"/><Relationship Id="rId406" Type="http://schemas.openxmlformats.org/officeDocument/2006/relationships/hyperlink" Target="https://open-measure.atlassian.net/wiki/spaces/DIC/pages/1428586729/SAML" TargetMode="External"/><Relationship Id="rId9" Type="http://schemas.openxmlformats.org/officeDocument/2006/relationships/hyperlink" Target="https://open-measure.atlassian.net/wiki/spaces/DIC/pages/67699193" TargetMode="External"/><Relationship Id="rId210" Type="http://schemas.openxmlformats.org/officeDocument/2006/relationships/hyperlink" Target="https://open-measure.atlassian.net/wiki/spaces/DIC/pages/1600618542/Identity+Aggregation" TargetMode="External"/><Relationship Id="rId392" Type="http://schemas.openxmlformats.org/officeDocument/2006/relationships/hyperlink" Target="https://open-measure.atlassian.net/wiki/spaces/DIC/pages/2588994" TargetMode="External"/><Relationship Id="rId427" Type="http://schemas.openxmlformats.org/officeDocument/2006/relationships/hyperlink" Target="https://open-measure.atlassian.net/wiki/spaces/DIC/pages/1313538143/Service-Centric+Identity+Management+System" TargetMode="External"/><Relationship Id="rId448" Type="http://schemas.openxmlformats.org/officeDocument/2006/relationships/hyperlink" Target="https://open-measure.atlassian.net/wiki/spaces/DIC/pages/2981920" TargetMode="External"/><Relationship Id="rId469" Type="http://schemas.openxmlformats.org/officeDocument/2006/relationships/hyperlink" Target="https://open-measure.atlassian.net/wiki/spaces/DIC/pages/1037926452/Trust" TargetMode="External"/><Relationship Id="rId26" Type="http://schemas.openxmlformats.org/officeDocument/2006/relationships/hyperlink" Target="https://open-measure.atlassian.net/wiki/spaces/DIC/pages/81101665/AP" TargetMode="External"/><Relationship Id="rId231" Type="http://schemas.openxmlformats.org/officeDocument/2006/relationships/hyperlink" Target="https://open-measure.atlassian.net/wiki/spaces/DIC/pages/46104660" TargetMode="External"/><Relationship Id="rId252" Type="http://schemas.openxmlformats.org/officeDocument/2006/relationships/hyperlink" Target="https://open-measure.atlassian.net/wiki/spaces/DIC/pages/998277141" TargetMode="External"/><Relationship Id="rId273" Type="http://schemas.openxmlformats.org/officeDocument/2006/relationships/hyperlink" Target="https://open-measure.atlassian.net/wiki/spaces/DIC/pages/1177780225" TargetMode="External"/><Relationship Id="rId294" Type="http://schemas.openxmlformats.org/officeDocument/2006/relationships/hyperlink" Target="https://open-measure.atlassian.net/wiki/spaces/DIC/pages/427163759" TargetMode="External"/><Relationship Id="rId308" Type="http://schemas.openxmlformats.org/officeDocument/2006/relationships/hyperlink" Target="https://open-measure.atlassian.net/wiki/spaces/DIC/pages/1237483723" TargetMode="External"/><Relationship Id="rId329" Type="http://schemas.openxmlformats.org/officeDocument/2006/relationships/hyperlink" Target="https://open-measure.atlassian.net/wiki/spaces/DIC/pages/1061748925" TargetMode="External"/><Relationship Id="rId480" Type="http://schemas.openxmlformats.org/officeDocument/2006/relationships/hyperlink" Target="https://open-measure.atlassian.net/wiki/spaces/DIC/pages/2523320/Unit+of+measurement" TargetMode="External"/><Relationship Id="rId515" Type="http://schemas.openxmlformats.org/officeDocument/2006/relationships/hyperlink" Target="https://open-measure.atlassian.net/wiki/spaces/DIC/pages/234356891/Zero-Trust+Access" TargetMode="External"/><Relationship Id="rId47" Type="http://schemas.openxmlformats.org/officeDocument/2006/relationships/hyperlink" Target="https://open-measure.atlassian.net/wiki/spaces/DIC/pages/1137573936/Authorization+Externalization" TargetMode="External"/><Relationship Id="rId68" Type="http://schemas.openxmlformats.org/officeDocument/2006/relationships/hyperlink" Target="https://open-measure.atlassian.net/wiki/spaces/DIC/pages/49250383" TargetMode="External"/><Relationship Id="rId89" Type="http://schemas.openxmlformats.org/officeDocument/2006/relationships/hyperlink" Target="https://open-measure.atlassian.net/wiki/spaces/DIC/pages/1323499650/Claim" TargetMode="External"/><Relationship Id="rId112" Type="http://schemas.openxmlformats.org/officeDocument/2006/relationships/hyperlink" Target="https://open-measure.atlassian.net/wiki/spaces/DIC/pages/82838169" TargetMode="External"/><Relationship Id="rId133" Type="http://schemas.openxmlformats.org/officeDocument/2006/relationships/hyperlink" Target="https://open-measure.atlassian.net/wiki/spaces/DIC/pages/1132331029" TargetMode="External"/><Relationship Id="rId154" Type="http://schemas.openxmlformats.org/officeDocument/2006/relationships/hyperlink" Target="https://open-measure.atlassian.net/wiki/spaces/DIC/pages/61964467" TargetMode="External"/><Relationship Id="rId175" Type="http://schemas.openxmlformats.org/officeDocument/2006/relationships/hyperlink" Target="https://open-measure.atlassian.net/wiki/spaces/DIC/pages/1267433567/Fake+Digital+Identity" TargetMode="External"/><Relationship Id="rId340" Type="http://schemas.openxmlformats.org/officeDocument/2006/relationships/hyperlink" Target="https://open-measure.atlassian.net/wiki/spaces/DIC/pages/1428652394/Password+Guessing+Attack" TargetMode="External"/><Relationship Id="rId361" Type="http://schemas.openxmlformats.org/officeDocument/2006/relationships/hyperlink" Target="https://open-measure.atlassian.net/wiki/spaces/DIC/pages/67699046" TargetMode="External"/><Relationship Id="rId196" Type="http://schemas.openxmlformats.org/officeDocument/2006/relationships/hyperlink" Target="https://open-measure.atlassian.net/wiki/spaces/DIC/pages/998047786" TargetMode="External"/><Relationship Id="rId200" Type="http://schemas.openxmlformats.org/officeDocument/2006/relationships/hyperlink" Target="https://open-measure.atlassian.net/wiki/spaces/DIC/pages/1037926677" TargetMode="External"/><Relationship Id="rId382" Type="http://schemas.openxmlformats.org/officeDocument/2006/relationships/hyperlink" Target="https://open-measure.atlassian.net/wiki/spaces/DIC/pages/408944908" TargetMode="External"/><Relationship Id="rId417" Type="http://schemas.openxmlformats.org/officeDocument/2006/relationships/hyperlink" Target="https://open-measure.atlassian.net/wiki/spaces/DIC/pages/1231159321" TargetMode="External"/><Relationship Id="rId438" Type="http://schemas.openxmlformats.org/officeDocument/2006/relationships/hyperlink" Target="https://open-measure.atlassian.net/wiki/spaces/DIC/pages/1311113221/SSI" TargetMode="External"/><Relationship Id="rId459" Type="http://schemas.openxmlformats.org/officeDocument/2006/relationships/hyperlink" Target="https://open-measure.atlassian.net/wiki/spaces/DIC/pages/148340845" TargetMode="External"/><Relationship Id="rId16" Type="http://schemas.openxmlformats.org/officeDocument/2006/relationships/hyperlink" Target="https://open-measure.atlassian.net/wiki/spaces/DIC/pages/461308120/Account" TargetMode="External"/><Relationship Id="rId221" Type="http://schemas.openxmlformats.org/officeDocument/2006/relationships/hyperlink" Target="https://open-measure.atlassian.net/wiki/spaces/DIC/pages/1122533530" TargetMode="External"/><Relationship Id="rId242" Type="http://schemas.openxmlformats.org/officeDocument/2006/relationships/hyperlink" Target="https://open-measure.atlassian.net/wiki/spaces/DIC/pages/1177714758" TargetMode="External"/><Relationship Id="rId263" Type="http://schemas.openxmlformats.org/officeDocument/2006/relationships/hyperlink" Target="https://open-measure.atlassian.net/wiki/spaces/DIC/pages/858521641" TargetMode="External"/><Relationship Id="rId284" Type="http://schemas.openxmlformats.org/officeDocument/2006/relationships/hyperlink" Target="https://open-measure.atlassian.net/wiki/spaces/DIC/pages/1428685307/Login+ID" TargetMode="External"/><Relationship Id="rId319" Type="http://schemas.openxmlformats.org/officeDocument/2006/relationships/hyperlink" Target="https://open-measure.atlassian.net/wiki/spaces/DIC/pages/1142259761" TargetMode="External"/><Relationship Id="rId470" Type="http://schemas.openxmlformats.org/officeDocument/2006/relationships/hyperlink" Target="https://open-measure.atlassian.net/wiki/spaces/DIC/pages/1027048185" TargetMode="External"/><Relationship Id="rId491" Type="http://schemas.openxmlformats.org/officeDocument/2006/relationships/hyperlink" Target="https://open-measure.atlassian.net/wiki/spaces/DIC/pages/446988510/Verification" TargetMode="External"/><Relationship Id="rId505" Type="http://schemas.openxmlformats.org/officeDocument/2006/relationships/hyperlink" Target="https://open-measure.atlassian.net/wiki/spaces/DIC/pages/140772047" TargetMode="External"/><Relationship Id="rId37" Type="http://schemas.openxmlformats.org/officeDocument/2006/relationships/hyperlink" Target="https://open-measure.atlassian.net/wiki/spaces/DIC/pages/1094516867" TargetMode="External"/><Relationship Id="rId58" Type="http://schemas.openxmlformats.org/officeDocument/2006/relationships/hyperlink" Target="https://open-measure.atlassian.net/wiki/spaces/DIC/pages/5899336" TargetMode="External"/><Relationship Id="rId79" Type="http://schemas.openxmlformats.org/officeDocument/2006/relationships/hyperlink" Target="https://open-measure.atlassian.net/wiki/spaces/DIC/pages/140772106" TargetMode="External"/><Relationship Id="rId102" Type="http://schemas.openxmlformats.org/officeDocument/2006/relationships/hyperlink" Target="https://open-measure.atlassian.net/wiki/spaces/DIC/pages/43516102" TargetMode="External"/><Relationship Id="rId123" Type="http://schemas.openxmlformats.org/officeDocument/2006/relationships/hyperlink" Target="https://open-measure.atlassian.net/wiki/spaces/DIC/pages/414482448" TargetMode="External"/><Relationship Id="rId144" Type="http://schemas.openxmlformats.org/officeDocument/2006/relationships/hyperlink" Target="https://open-measure.atlassian.net/wiki/spaces/DIC/pages/419561482/Digital+Identification+System" TargetMode="External"/><Relationship Id="rId330" Type="http://schemas.openxmlformats.org/officeDocument/2006/relationships/hyperlink" Target="https://open-measure.atlassian.net/wiki/spaces/DIC/pages/1061749016" TargetMode="External"/><Relationship Id="rId90" Type="http://schemas.openxmlformats.org/officeDocument/2006/relationships/hyperlink" Target="https://open-measure.atlassian.net/wiki/spaces/DIC/pages/848363630" TargetMode="External"/><Relationship Id="rId165" Type="http://schemas.openxmlformats.org/officeDocument/2006/relationships/hyperlink" Target="https://open-measure.atlassian.net/wiki/spaces/DIC/pages/1122631800" TargetMode="External"/><Relationship Id="rId186" Type="http://schemas.openxmlformats.org/officeDocument/2006/relationships/hyperlink" Target="https://open-measure.atlassian.net/wiki/spaces/DIC/pages/1173585921" TargetMode="External"/><Relationship Id="rId351" Type="http://schemas.openxmlformats.org/officeDocument/2006/relationships/hyperlink" Target="https://open-measure.atlassian.net/wiki/spaces/DIC/pages/67568272" TargetMode="External"/><Relationship Id="rId372" Type="http://schemas.openxmlformats.org/officeDocument/2006/relationships/hyperlink" Target="https://open-measure.atlassian.net/wiki/spaces/DIC/pages/446955521" TargetMode="External"/><Relationship Id="rId393" Type="http://schemas.openxmlformats.org/officeDocument/2006/relationships/hyperlink" Target="https://open-measure.atlassian.net/wiki/spaces/DIC/pages/67698769" TargetMode="External"/><Relationship Id="rId407" Type="http://schemas.openxmlformats.org/officeDocument/2006/relationships/hyperlink" Target="https://open-measure.atlassian.net/wiki/spaces/DIC/pages/5899940" TargetMode="External"/><Relationship Id="rId428" Type="http://schemas.openxmlformats.org/officeDocument/2006/relationships/hyperlink" Target="https://open-measure.atlassian.net/wiki/spaces/DIC/pages/881197061" TargetMode="External"/><Relationship Id="rId449" Type="http://schemas.openxmlformats.org/officeDocument/2006/relationships/hyperlink" Target="https://open-measure.atlassian.net/wiki/spaces/DIC/pages/1477869640/Supply+Chain+Attack" TargetMode="External"/><Relationship Id="rId211" Type="http://schemas.openxmlformats.org/officeDocument/2006/relationships/hyperlink" Target="https://open-measure.atlassian.net/wiki/spaces/DIC/pages/1458176007/Identity+and+Access+Governance" TargetMode="External"/><Relationship Id="rId232" Type="http://schemas.openxmlformats.org/officeDocument/2006/relationships/hyperlink" Target="https://open-measure.atlassian.net/wiki/spaces/DIC/pages/974323719" TargetMode="External"/><Relationship Id="rId253" Type="http://schemas.openxmlformats.org/officeDocument/2006/relationships/hyperlink" Target="https://open-measure.atlassian.net/wiki/spaces/DIC/pages/1311417" TargetMode="External"/><Relationship Id="rId274" Type="http://schemas.openxmlformats.org/officeDocument/2006/relationships/hyperlink" Target="https://open-measure.atlassian.net/wiki/spaces/DIC/pages/49250375" TargetMode="External"/><Relationship Id="rId295" Type="http://schemas.openxmlformats.org/officeDocument/2006/relationships/hyperlink" Target="https://open-measure.atlassian.net/wiki/spaces/DIC/pages/834044288" TargetMode="External"/><Relationship Id="rId309" Type="http://schemas.openxmlformats.org/officeDocument/2006/relationships/hyperlink" Target="https://open-measure.atlassian.net/wiki/spaces/DIC/pages/1323336029/Numerical+Identity" TargetMode="External"/><Relationship Id="rId460" Type="http://schemas.openxmlformats.org/officeDocument/2006/relationships/hyperlink" Target="https://open-measure.atlassian.net/wiki/spaces/DIC/pages/140706175" TargetMode="External"/><Relationship Id="rId481" Type="http://schemas.openxmlformats.org/officeDocument/2006/relationships/hyperlink" Target="https://open-measure.atlassian.net/wiki/spaces/DIC/pages/1477902414/Unprivileged+Insider" TargetMode="External"/><Relationship Id="rId516" Type="http://schemas.openxmlformats.org/officeDocument/2006/relationships/hyperlink" Target="https://open-measure.atlassian.net/wiki/spaces/DIC/pages/782893195/Zombie+Account" TargetMode="External"/><Relationship Id="rId27" Type="http://schemas.openxmlformats.org/officeDocument/2006/relationships/hyperlink" Target="https://open-measure.atlassian.net/wiki/spaces/DIC/pages/848625750" TargetMode="External"/><Relationship Id="rId48" Type="http://schemas.openxmlformats.org/officeDocument/2006/relationships/hyperlink" Target="https://open-measure.atlassian.net/wiki/spaces/DIC/pages/1311472" TargetMode="External"/><Relationship Id="rId69" Type="http://schemas.openxmlformats.org/officeDocument/2006/relationships/hyperlink" Target="https://open-measure.atlassian.net/wiki/spaces/DIC/pages/1237549087/Bell-LaPadula+Model" TargetMode="External"/><Relationship Id="rId113" Type="http://schemas.openxmlformats.org/officeDocument/2006/relationships/hyperlink" Target="https://open-measure.atlassian.net/wiki/spaces/DIC/pages/138346642" TargetMode="External"/><Relationship Id="rId134" Type="http://schemas.openxmlformats.org/officeDocument/2006/relationships/hyperlink" Target="https://open-measure.atlassian.net/wiki/spaces/DIC/pages/508330028" TargetMode="External"/><Relationship Id="rId320" Type="http://schemas.openxmlformats.org/officeDocument/2006/relationships/hyperlink" Target="https://open-measure.atlassian.net/wiki/spaces/DIC/pages/3211353" TargetMode="External"/><Relationship Id="rId80" Type="http://schemas.openxmlformats.org/officeDocument/2006/relationships/hyperlink" Target="https://open-measure.atlassian.net/wiki/spaces/DIC/pages/1228079170/BZR" TargetMode="External"/><Relationship Id="rId155" Type="http://schemas.openxmlformats.org/officeDocument/2006/relationships/hyperlink" Target="https://open-measure.atlassian.net/wiki/spaces/DIC/pages/148340918" TargetMode="External"/><Relationship Id="rId176" Type="http://schemas.openxmlformats.org/officeDocument/2006/relationships/hyperlink" Target="https://open-measure.atlassian.net/wiki/spaces/DIC/pages/1290141697/FAPI" TargetMode="External"/><Relationship Id="rId197" Type="http://schemas.openxmlformats.org/officeDocument/2006/relationships/hyperlink" Target="https://open-measure.atlassian.net/wiki/spaces/DIC/pages/998277156" TargetMode="External"/><Relationship Id="rId341" Type="http://schemas.openxmlformats.org/officeDocument/2006/relationships/hyperlink" Target="https://open-measure.atlassian.net/wiki/spaces/DIC/pages/1677164566/Passwordless+Authentication" TargetMode="External"/><Relationship Id="rId362" Type="http://schemas.openxmlformats.org/officeDocument/2006/relationships/hyperlink" Target="https://open-measure.atlassian.net/wiki/spaces/DIC/pages/1323434264/Private+Key+Loss" TargetMode="External"/><Relationship Id="rId383" Type="http://schemas.openxmlformats.org/officeDocument/2006/relationships/hyperlink" Target="https://open-measure.atlassian.net/wiki/spaces/DIC/pages/873201665" TargetMode="External"/><Relationship Id="rId418" Type="http://schemas.openxmlformats.org/officeDocument/2006/relationships/hyperlink" Target="https://open-measure.atlassian.net/wiki/spaces/DIC/pages/140673497" TargetMode="External"/><Relationship Id="rId439" Type="http://schemas.openxmlformats.org/officeDocument/2006/relationships/hyperlink" Target="https://open-measure.atlassian.net/wiki/spaces/DIC/pages/75956237" TargetMode="External"/><Relationship Id="rId201" Type="http://schemas.openxmlformats.org/officeDocument/2006/relationships/hyperlink" Target="https://open-measure.atlassian.net/wiki/spaces/DIC/pages/82838735" TargetMode="External"/><Relationship Id="rId222" Type="http://schemas.openxmlformats.org/officeDocument/2006/relationships/hyperlink" Target="https://open-measure.atlassian.net/wiki/spaces/DIC/pages/1146847286" TargetMode="External"/><Relationship Id="rId243" Type="http://schemas.openxmlformats.org/officeDocument/2006/relationships/hyperlink" Target="https://open-measure.atlassian.net/wiki/spaces/DIC/pages/998113409" TargetMode="External"/><Relationship Id="rId264" Type="http://schemas.openxmlformats.org/officeDocument/2006/relationships/hyperlink" Target="https://open-measure.atlassian.net/wiki/spaces/DIC/pages/852492338" TargetMode="External"/><Relationship Id="rId285" Type="http://schemas.openxmlformats.org/officeDocument/2006/relationships/hyperlink" Target="https://open-measure.atlassian.net/wiki/spaces/DIC/pages/1428685365/Login+Name" TargetMode="External"/><Relationship Id="rId450" Type="http://schemas.openxmlformats.org/officeDocument/2006/relationships/hyperlink" Target="https://open-measure.atlassian.net/wiki/spaces/DIC/pages/1254588545/Sybil+Attack" TargetMode="External"/><Relationship Id="rId471" Type="http://schemas.openxmlformats.org/officeDocument/2006/relationships/hyperlink" Target="https://open-measure.atlassian.net/wiki/spaces/DIC/pages/1027048128" TargetMode="External"/><Relationship Id="rId506" Type="http://schemas.openxmlformats.org/officeDocument/2006/relationships/hyperlink" Target="https://open-measure.atlassian.net/wiki/spaces/DIC/pages/140739277" TargetMode="External"/><Relationship Id="rId17" Type="http://schemas.openxmlformats.org/officeDocument/2006/relationships/hyperlink" Target="https://open-measure.atlassian.net/wiki/spaces/DIC/pages/425623718" TargetMode="External"/><Relationship Id="rId38" Type="http://schemas.openxmlformats.org/officeDocument/2006/relationships/hyperlink" Target="https://open-measure.atlassian.net/wiki/spaces/DIC/pages/1323368851/Attestation" TargetMode="External"/><Relationship Id="rId59" Type="http://schemas.openxmlformats.org/officeDocument/2006/relationships/hyperlink" Target="https://open-measure.atlassian.net/wiki/spaces/DIC/pages/5899322" TargetMode="External"/><Relationship Id="rId103" Type="http://schemas.openxmlformats.org/officeDocument/2006/relationships/hyperlink" Target="https://open-measure.atlassian.net/wiki/spaces/DIC/pages/1442363" TargetMode="External"/><Relationship Id="rId124" Type="http://schemas.openxmlformats.org/officeDocument/2006/relationships/hyperlink" Target="https://open-measure.atlassian.net/wiki/spaces/DIC/pages/414548006" TargetMode="External"/><Relationship Id="rId310" Type="http://schemas.openxmlformats.org/officeDocument/2006/relationships/hyperlink" Target="https://open-measure.atlassian.net/wiki/spaces/DIC/pages/148308170" TargetMode="External"/><Relationship Id="rId492" Type="http://schemas.openxmlformats.org/officeDocument/2006/relationships/hyperlink" Target="https://open-measure.atlassian.net/wiki/spaces/DIC/pages/834044330" TargetMode="External"/><Relationship Id="rId70" Type="http://schemas.openxmlformats.org/officeDocument/2006/relationships/hyperlink" Target="https://open-measure.atlassian.net/wiki/spaces/DIC/pages/1015823" TargetMode="External"/><Relationship Id="rId91" Type="http://schemas.openxmlformats.org/officeDocument/2006/relationships/hyperlink" Target="https://open-measure.atlassian.net/wiki/spaces/DIC/pages/1309605928/Claim+Registry+Model" TargetMode="External"/><Relationship Id="rId145" Type="http://schemas.openxmlformats.org/officeDocument/2006/relationships/hyperlink" Target="https://open-measure.atlassian.net/wiki/spaces/DIC/pages/419528705/Digital+Identity" TargetMode="External"/><Relationship Id="rId166" Type="http://schemas.openxmlformats.org/officeDocument/2006/relationships/hyperlink" Target="https://open-measure.atlassian.net/wiki/spaces/DIC/pages/123830932" TargetMode="External"/><Relationship Id="rId187" Type="http://schemas.openxmlformats.org/officeDocument/2006/relationships/hyperlink" Target="https://open-measure.atlassian.net/wiki/spaces/DIC/pages/158794590" TargetMode="External"/><Relationship Id="rId331" Type="http://schemas.openxmlformats.org/officeDocument/2006/relationships/hyperlink" Target="https://open-measure.atlassian.net/wiki/spaces/DIC/pages/1063845889" TargetMode="External"/><Relationship Id="rId352" Type="http://schemas.openxmlformats.org/officeDocument/2006/relationships/hyperlink" Target="https://open-measure.atlassian.net/wiki/spaces/DIC/pages/1104904334" TargetMode="External"/><Relationship Id="rId373" Type="http://schemas.openxmlformats.org/officeDocument/2006/relationships/hyperlink" Target="https://open-measure.atlassian.net/wiki/spaces/DIC/pages/61964289" TargetMode="External"/><Relationship Id="rId394" Type="http://schemas.openxmlformats.org/officeDocument/2006/relationships/hyperlink" Target="https://open-measure.atlassian.net/wiki/spaces/DIC/pages/425623561" TargetMode="External"/><Relationship Id="rId408" Type="http://schemas.openxmlformats.org/officeDocument/2006/relationships/hyperlink" Target="https://open-measure.atlassian.net/wiki/spaces/DIC/pages/206307343" TargetMode="External"/><Relationship Id="rId429" Type="http://schemas.openxmlformats.org/officeDocument/2006/relationships/hyperlink" Target="https://open-measure.atlassian.net/wiki/spaces/DIC/pages/78741548" TargetMode="External"/><Relationship Id="rId1" Type="http://schemas.openxmlformats.org/officeDocument/2006/relationships/hyperlink" Target="https://open-measure.atlassian.net/wiki/spaces/DIC/pages/805175450/4-Eyes+Principle" TargetMode="External"/><Relationship Id="rId212" Type="http://schemas.openxmlformats.org/officeDocument/2006/relationships/hyperlink" Target="https://open-measure.atlassian.net/wiki/spaces/DIC/pages/1409143/Identity+and+Access+Management" TargetMode="External"/><Relationship Id="rId233" Type="http://schemas.openxmlformats.org/officeDocument/2006/relationships/hyperlink" Target="https://open-measure.atlassian.net/wiki/spaces/DIC/pages/1311218" TargetMode="External"/><Relationship Id="rId254" Type="http://schemas.openxmlformats.org/officeDocument/2006/relationships/hyperlink" Target="https://open-measure.atlassian.net/wiki/spaces/DIC/pages/442466314" TargetMode="External"/><Relationship Id="rId440" Type="http://schemas.openxmlformats.org/officeDocument/2006/relationships/hyperlink" Target="https://open-measure.atlassian.net/wiki/spaces/DIC/pages/998244645" TargetMode="External"/><Relationship Id="rId28" Type="http://schemas.openxmlformats.org/officeDocument/2006/relationships/hyperlink" Target="https://open-measure.atlassian.net/wiki/spaces/DIC/pages/5965602/Application" TargetMode="External"/><Relationship Id="rId49" Type="http://schemas.openxmlformats.org/officeDocument/2006/relationships/hyperlink" Target="https://open-measure.atlassian.net/wiki/spaces/DIC/pages/998277774" TargetMode="External"/><Relationship Id="rId114" Type="http://schemas.openxmlformats.org/officeDocument/2006/relationships/hyperlink" Target="https://open-measure.atlassian.net/wiki/spaces/DIC/pages/67633343/Credential" TargetMode="External"/><Relationship Id="rId275" Type="http://schemas.openxmlformats.org/officeDocument/2006/relationships/hyperlink" Target="https://open-measure.atlassian.net/wiki/spaces/DIC/pages/1006698533" TargetMode="External"/><Relationship Id="rId296" Type="http://schemas.openxmlformats.org/officeDocument/2006/relationships/hyperlink" Target="https://open-measure.atlassian.net/wiki/spaces/DIC/pages/1311226" TargetMode="External"/><Relationship Id="rId300" Type="http://schemas.openxmlformats.org/officeDocument/2006/relationships/hyperlink" Target="https://open-measure.atlassian.net/wiki/spaces/DIC/pages/75890760" TargetMode="External"/><Relationship Id="rId461" Type="http://schemas.openxmlformats.org/officeDocument/2006/relationships/hyperlink" Target="https://open-measure.atlassian.net/wiki/spaces/DIC/pages/158794291" TargetMode="External"/><Relationship Id="rId482" Type="http://schemas.openxmlformats.org/officeDocument/2006/relationships/hyperlink" Target="https://open-measure.atlassian.net/wiki/spaces/DIC/pages/82839586/User" TargetMode="External"/><Relationship Id="rId517" Type="http://schemas.openxmlformats.org/officeDocument/2006/relationships/hyperlink" Target="https://open-measure.atlassian.net/wiki/spaces/DIC/pages/234389671/ZTA" TargetMode="External"/><Relationship Id="rId60" Type="http://schemas.openxmlformats.org/officeDocument/2006/relationships/hyperlink" Target="https://open-measure.atlassian.net/wiki/spaces/DIC/pages/5932067" TargetMode="External"/><Relationship Id="rId81" Type="http://schemas.openxmlformats.org/officeDocument/2006/relationships/hyperlink" Target="https://open-measure.atlassian.net/wiki/spaces/DIC/pages/1254588417/Cached+Credential" TargetMode="External"/><Relationship Id="rId135" Type="http://schemas.openxmlformats.org/officeDocument/2006/relationships/hyperlink" Target="https://open-measure.atlassian.net/wiki/spaces/DIC/pages/1027048097" TargetMode="External"/><Relationship Id="rId156" Type="http://schemas.openxmlformats.org/officeDocument/2006/relationships/hyperlink" Target="https://open-measure.atlassian.net/wiki/spaces/DIC/pages/5965976" TargetMode="External"/><Relationship Id="rId177" Type="http://schemas.openxmlformats.org/officeDocument/2006/relationships/hyperlink" Target="https://open-measure.atlassian.net/wiki/spaces/DIC/pages/331579598" TargetMode="External"/><Relationship Id="rId198" Type="http://schemas.openxmlformats.org/officeDocument/2006/relationships/hyperlink" Target="https://open-measure.atlassian.net/wiki/spaces/DIC/pages/1572865/IAG" TargetMode="External"/><Relationship Id="rId321" Type="http://schemas.openxmlformats.org/officeDocument/2006/relationships/hyperlink" Target="https://open-measure.atlassian.net/wiki/spaces/DIC/pages/148439181" TargetMode="External"/><Relationship Id="rId342" Type="http://schemas.openxmlformats.org/officeDocument/2006/relationships/hyperlink" Target="https://open-measure.atlassian.net/wiki/spaces/DIC/pages/1027048058" TargetMode="External"/><Relationship Id="rId363" Type="http://schemas.openxmlformats.org/officeDocument/2006/relationships/hyperlink" Target="https://open-measure.atlassian.net/wiki/spaces/DIC/pages/67568310" TargetMode="External"/><Relationship Id="rId384" Type="http://schemas.openxmlformats.org/officeDocument/2006/relationships/hyperlink" Target="https://open-measure.atlassian.net/wiki/spaces/DIC/pages/107840129" TargetMode="External"/><Relationship Id="rId419" Type="http://schemas.openxmlformats.org/officeDocument/2006/relationships/hyperlink" Target="https://open-measure.atlassian.net/wiki/spaces/DIC/pages/1428619445/Security+Assertion+Markup+Language" TargetMode="External"/><Relationship Id="rId202" Type="http://schemas.openxmlformats.org/officeDocument/2006/relationships/hyperlink" Target="https://open-measure.atlassian.net/wiki/spaces/DIC/pages/234487971" TargetMode="External"/><Relationship Id="rId223" Type="http://schemas.openxmlformats.org/officeDocument/2006/relationships/hyperlink" Target="https://open-measure.atlassian.net/wiki/spaces/DIC/pages/1323434004/Identity+Portability" TargetMode="External"/><Relationship Id="rId244" Type="http://schemas.openxmlformats.org/officeDocument/2006/relationships/hyperlink" Target="https://open-measure.atlassian.net/wiki/spaces/DIC/pages/438698009/Information+Security+Domain" TargetMode="External"/><Relationship Id="rId430" Type="http://schemas.openxmlformats.org/officeDocument/2006/relationships/hyperlink" Target="https://open-measure.atlassian.net/wiki/spaces/DIC/pages/75956255" TargetMode="External"/><Relationship Id="rId18" Type="http://schemas.openxmlformats.org/officeDocument/2006/relationships/hyperlink" Target="https://open-measure.atlassian.net/wiki/spaces/DIC/pages/67699360" TargetMode="External"/><Relationship Id="rId39" Type="http://schemas.openxmlformats.org/officeDocument/2006/relationships/hyperlink" Target="https://open-measure.atlassian.net/wiki/spaces/DIC/pages/409174161" TargetMode="External"/><Relationship Id="rId265" Type="http://schemas.openxmlformats.org/officeDocument/2006/relationships/hyperlink" Target="https://open-measure.atlassian.net/wiki/spaces/DIC/pages/140706011" TargetMode="External"/><Relationship Id="rId286" Type="http://schemas.openxmlformats.org/officeDocument/2006/relationships/hyperlink" Target="https://open-measure.atlassian.net/wiki/spaces/DIC/pages/5900142" TargetMode="External"/><Relationship Id="rId451" Type="http://schemas.openxmlformats.org/officeDocument/2006/relationships/hyperlink" Target="https://open-measure.atlassian.net/wiki/spaces/DIC/pages/794296433" TargetMode="External"/><Relationship Id="rId472" Type="http://schemas.openxmlformats.org/officeDocument/2006/relationships/hyperlink" Target="https://open-measure.atlassian.net/wiki/spaces/DIC/pages/1027048209" TargetMode="External"/><Relationship Id="rId493" Type="http://schemas.openxmlformats.org/officeDocument/2006/relationships/hyperlink" Target="https://open-measure.atlassian.net/wiki/spaces/DIC/pages/236748839" TargetMode="External"/><Relationship Id="rId507" Type="http://schemas.openxmlformats.org/officeDocument/2006/relationships/hyperlink" Target="https://open-measure.atlassian.net/wiki/spaces/DIC/pages/140673818" TargetMode="External"/><Relationship Id="rId50" Type="http://schemas.openxmlformats.org/officeDocument/2006/relationships/hyperlink" Target="https://open-measure.atlassian.net/wiki/spaces/DIC/pages/998245198" TargetMode="External"/><Relationship Id="rId104" Type="http://schemas.openxmlformats.org/officeDocument/2006/relationships/hyperlink" Target="https://open-measure.atlassian.net/wiki/spaces/DIC/pages/461307985" TargetMode="External"/><Relationship Id="rId125" Type="http://schemas.openxmlformats.org/officeDocument/2006/relationships/hyperlink" Target="https://open-measure.atlassian.net/wiki/spaces/DIC/pages/138444875" TargetMode="External"/><Relationship Id="rId146" Type="http://schemas.openxmlformats.org/officeDocument/2006/relationships/hyperlink" Target="https://open-measure.atlassian.net/wiki/spaces/DIC/pages/1270153304/Digital+Identity+Authenticity" TargetMode="External"/><Relationship Id="rId167" Type="http://schemas.openxmlformats.org/officeDocument/2006/relationships/hyperlink" Target="https://open-measure.atlassian.net/wiki/spaces/DIC/pages/75956266" TargetMode="External"/><Relationship Id="rId188" Type="http://schemas.openxmlformats.org/officeDocument/2006/relationships/hyperlink" Target="https://open-measure.atlassian.net/wiki/spaces/DIC/pages/1226833964" TargetMode="External"/><Relationship Id="rId311" Type="http://schemas.openxmlformats.org/officeDocument/2006/relationships/hyperlink" Target="https://open-measure.atlassian.net/wiki/spaces/DIC/pages/5965213" TargetMode="External"/><Relationship Id="rId332" Type="http://schemas.openxmlformats.org/officeDocument/2006/relationships/hyperlink" Target="https://open-measure.atlassian.net/wiki/spaces/DIC/pages/1061650689" TargetMode="External"/><Relationship Id="rId353" Type="http://schemas.openxmlformats.org/officeDocument/2006/relationships/hyperlink" Target="https://open-measure.atlassian.net/wiki/spaces/DIC/pages/1132331103" TargetMode="External"/><Relationship Id="rId374" Type="http://schemas.openxmlformats.org/officeDocument/2006/relationships/hyperlink" Target="https://open-measure.atlassian.net/wiki/spaces/DIC/pages/1677164768/QR+Code+Authentication" TargetMode="External"/><Relationship Id="rId395" Type="http://schemas.openxmlformats.org/officeDocument/2006/relationships/hyperlink" Target="https://open-measure.atlassian.net/wiki/spaces/DIC/pages/795836567" TargetMode="External"/><Relationship Id="rId409" Type="http://schemas.openxmlformats.org/officeDocument/2006/relationships/hyperlink" Target="https://open-measure.atlassian.net/wiki/spaces/DIC/pages/206372879" TargetMode="External"/><Relationship Id="rId71" Type="http://schemas.openxmlformats.org/officeDocument/2006/relationships/hyperlink" Target="https://open-measure.atlassian.net/wiki/spaces/DIC/pages/409174210" TargetMode="External"/><Relationship Id="rId92" Type="http://schemas.openxmlformats.org/officeDocument/2006/relationships/hyperlink" Target="https://open-measure.atlassian.net/wiki/spaces/DIC/pages/140771387" TargetMode="External"/><Relationship Id="rId213" Type="http://schemas.openxmlformats.org/officeDocument/2006/relationships/hyperlink" Target="https://open-measure.atlassian.net/wiki/spaces/DIC/pages/1152516217" TargetMode="External"/><Relationship Id="rId234" Type="http://schemas.openxmlformats.org/officeDocument/2006/relationships/hyperlink" Target="https://open-measure.atlassian.net/wiki/spaces/DIC/pages/49250393" TargetMode="External"/><Relationship Id="rId420" Type="http://schemas.openxmlformats.org/officeDocument/2006/relationships/hyperlink" Target="https://open-measure.atlassian.net/wiki/spaces/DIC/pages/1177747653" TargetMode="External"/><Relationship Id="rId2" Type="http://schemas.openxmlformats.org/officeDocument/2006/relationships/hyperlink" Target="https://open-measure.atlassian.net/wiki/spaces/DIC/pages/5932924/Absolute+Scale" TargetMode="External"/><Relationship Id="rId29" Type="http://schemas.openxmlformats.org/officeDocument/2006/relationships/hyperlink" Target="https://open-measure.atlassian.net/wiki/spaces/DIC/pages/274236090" TargetMode="External"/><Relationship Id="rId255" Type="http://schemas.openxmlformats.org/officeDocument/2006/relationships/hyperlink" Target="https://open-measure.atlassian.net/wiki/spaces/DIC/pages/11567191" TargetMode="External"/><Relationship Id="rId276" Type="http://schemas.openxmlformats.org/officeDocument/2006/relationships/hyperlink" Target="https://open-measure.atlassian.net/wiki/spaces/DIC/pages/442466361" TargetMode="External"/><Relationship Id="rId297" Type="http://schemas.openxmlformats.org/officeDocument/2006/relationships/hyperlink" Target="https://open-measure.atlassian.net/wiki/spaces/DIC/pages/67633632" TargetMode="External"/><Relationship Id="rId441" Type="http://schemas.openxmlformats.org/officeDocument/2006/relationships/hyperlink" Target="https://open-measure.atlassian.net/wiki/spaces/DIC/pages/1311763" TargetMode="External"/><Relationship Id="rId462" Type="http://schemas.openxmlformats.org/officeDocument/2006/relationships/hyperlink" Target="https://open-measure.atlassian.net/wiki/spaces/DIC/pages/1061617735" TargetMode="External"/><Relationship Id="rId483" Type="http://schemas.openxmlformats.org/officeDocument/2006/relationships/hyperlink" Target="https://open-measure.atlassian.net/wiki/spaces/DIC/pages/1428587273/User+Account" TargetMode="External"/><Relationship Id="rId518" Type="http://schemas.openxmlformats.org/officeDocument/2006/relationships/printerSettings" Target="../printerSettings/printerSettings6.bin"/><Relationship Id="rId40" Type="http://schemas.openxmlformats.org/officeDocument/2006/relationships/hyperlink" Target="https://open-measure.atlassian.net/wiki/spaces/DIC/pages/81101655" TargetMode="External"/><Relationship Id="rId115" Type="http://schemas.openxmlformats.org/officeDocument/2006/relationships/hyperlink" Target="https://open-measure.atlassian.net/wiki/spaces/DIC/pages/1254719498/Credential+Harvesting" TargetMode="External"/><Relationship Id="rId136" Type="http://schemas.openxmlformats.org/officeDocument/2006/relationships/hyperlink" Target="https://open-measure.atlassian.net/wiki/spaces/DIC/pages/998179040" TargetMode="External"/><Relationship Id="rId157" Type="http://schemas.openxmlformats.org/officeDocument/2006/relationships/hyperlink" Target="https://open-measure.atlassian.net/wiki/spaces/DIC/pages/1031209232" TargetMode="External"/><Relationship Id="rId178" Type="http://schemas.openxmlformats.org/officeDocument/2006/relationships/hyperlink" Target="https://open-measure.atlassian.net/wiki/spaces/DIC/pages/1152483703" TargetMode="External"/><Relationship Id="rId301" Type="http://schemas.openxmlformats.org/officeDocument/2006/relationships/hyperlink" Target="https://open-measure.atlassian.net/wiki/spaces/DIC/pages/1031241799" TargetMode="External"/><Relationship Id="rId322" Type="http://schemas.openxmlformats.org/officeDocument/2006/relationships/hyperlink" Target="https://open-measure.atlassian.net/wiki/spaces/DIC/pages/5932838" TargetMode="External"/><Relationship Id="rId343" Type="http://schemas.openxmlformats.org/officeDocument/2006/relationships/hyperlink" Target="https://open-measure.atlassian.net/wiki/spaces/DIC/pages/1348730921/Password+Spraying+Attack" TargetMode="External"/><Relationship Id="rId364" Type="http://schemas.openxmlformats.org/officeDocument/2006/relationships/hyperlink" Target="https://open-measure.atlassian.net/wiki/spaces/DIC/pages/814449037/Privilege+Abuse" TargetMode="External"/><Relationship Id="rId61" Type="http://schemas.openxmlformats.org/officeDocument/2006/relationships/hyperlink" Target="https://open-measure.atlassian.net/wiki/spaces/DIC/pages/5899351" TargetMode="External"/><Relationship Id="rId82" Type="http://schemas.openxmlformats.org/officeDocument/2006/relationships/hyperlink" Target="https://open-measure.atlassian.net/wiki/spaces/DIC/pages/823394314" TargetMode="External"/><Relationship Id="rId199" Type="http://schemas.openxmlformats.org/officeDocument/2006/relationships/hyperlink" Target="https://open-measure.atlassian.net/wiki/spaces/DIC/pages/1081356/IAM" TargetMode="External"/><Relationship Id="rId203" Type="http://schemas.openxmlformats.org/officeDocument/2006/relationships/hyperlink" Target="https://open-measure.atlassian.net/wiki/spaces/DIC/pages/1149468857" TargetMode="External"/><Relationship Id="rId385" Type="http://schemas.openxmlformats.org/officeDocument/2006/relationships/hyperlink" Target="https://open-measure.atlassian.net/wiki/spaces/DIC/pages/123962234" TargetMode="External"/><Relationship Id="rId19" Type="http://schemas.openxmlformats.org/officeDocument/2006/relationships/hyperlink" Target="https://open-measure.atlassian.net/wiki/spaces/DIC/pages/1146847331" TargetMode="External"/><Relationship Id="rId224" Type="http://schemas.openxmlformats.org/officeDocument/2006/relationships/hyperlink" Target="https://open-measure.atlassian.net/wiki/spaces/DIC/pages/858522094" TargetMode="External"/><Relationship Id="rId245" Type="http://schemas.openxmlformats.org/officeDocument/2006/relationships/hyperlink" Target="https://open-measure.atlassian.net/wiki/spaces/DIC/pages/1031241830/Information+System" TargetMode="External"/><Relationship Id="rId266" Type="http://schemas.openxmlformats.org/officeDocument/2006/relationships/hyperlink" Target="https://open-measure.atlassian.net/wiki/spaces/DIC/pages/425623701" TargetMode="External"/><Relationship Id="rId287" Type="http://schemas.openxmlformats.org/officeDocument/2006/relationships/hyperlink" Target="https://open-measure.atlassian.net/wiki/spaces/DIC/pages/5899544" TargetMode="External"/><Relationship Id="rId410" Type="http://schemas.openxmlformats.org/officeDocument/2006/relationships/hyperlink" Target="https://open-measure.atlassian.net/wiki/spaces/DIC/pages/206307350" TargetMode="External"/><Relationship Id="rId431" Type="http://schemas.openxmlformats.org/officeDocument/2006/relationships/hyperlink" Target="https://open-measure.atlassian.net/wiki/spaces/DIC/pages/1600684200/Social+Authentication" TargetMode="External"/><Relationship Id="rId452" Type="http://schemas.openxmlformats.org/officeDocument/2006/relationships/hyperlink" Target="https://open-measure.atlassian.net/wiki/spaces/DIC/pages/5965562/System" TargetMode="External"/><Relationship Id="rId473" Type="http://schemas.openxmlformats.org/officeDocument/2006/relationships/hyperlink" Target="https://open-measure.atlassian.net/wiki/spaces/DIC/pages/1031242345" TargetMode="External"/><Relationship Id="rId494" Type="http://schemas.openxmlformats.org/officeDocument/2006/relationships/hyperlink" Target="https://open-measure.atlassian.net/wiki/spaces/DIC/pages/542146561" TargetMode="External"/><Relationship Id="rId508" Type="http://schemas.openxmlformats.org/officeDocument/2006/relationships/hyperlink" Target="https://open-measure.atlassian.net/wiki/spaces/DIC/pages/140772011" TargetMode="External"/><Relationship Id="rId30" Type="http://schemas.openxmlformats.org/officeDocument/2006/relationships/hyperlink" Target="https://open-measure.atlassian.net/wiki/spaces/DIC/pages/834044036" TargetMode="External"/><Relationship Id="rId105" Type="http://schemas.openxmlformats.org/officeDocument/2006/relationships/hyperlink" Target="https://open-measure.atlassian.net/wiki/spaces/DIC/pages/3244066" TargetMode="External"/><Relationship Id="rId126" Type="http://schemas.openxmlformats.org/officeDocument/2006/relationships/hyperlink" Target="https://open-measure.atlassian.net/wiki/spaces/DIC/pages/409010717" TargetMode="External"/><Relationship Id="rId147" Type="http://schemas.openxmlformats.org/officeDocument/2006/relationships/hyperlink" Target="https://open-measure.atlassian.net/wiki/spaces/DIC/pages/796983391" TargetMode="External"/><Relationship Id="rId168" Type="http://schemas.openxmlformats.org/officeDocument/2006/relationships/hyperlink" Target="https://open-measure.atlassian.net/wiki/spaces/DIC/pages/17301568" TargetMode="External"/><Relationship Id="rId312" Type="http://schemas.openxmlformats.org/officeDocument/2006/relationships/hyperlink" Target="https://open-measure.atlassian.net/wiki/spaces/DIC/pages/446825168" TargetMode="External"/><Relationship Id="rId333" Type="http://schemas.openxmlformats.org/officeDocument/2006/relationships/hyperlink" Target="https://open-measure.atlassian.net/wiki/spaces/DIC/pages/1061748885" TargetMode="External"/><Relationship Id="rId354" Type="http://schemas.openxmlformats.org/officeDocument/2006/relationships/hyperlink" Target="https://open-measure.atlassian.net/wiki/spaces/DIC/pages/1132331086" TargetMode="External"/><Relationship Id="rId51" Type="http://schemas.openxmlformats.org/officeDocument/2006/relationships/hyperlink" Target="https://open-measure.atlassian.net/wiki/spaces/DIC/pages/998277876" TargetMode="External"/><Relationship Id="rId72" Type="http://schemas.openxmlformats.org/officeDocument/2006/relationships/hyperlink" Target="https://open-measure.atlassian.net/wiki/spaces/DIC/pages/409010581" TargetMode="External"/><Relationship Id="rId93" Type="http://schemas.openxmlformats.org/officeDocument/2006/relationships/hyperlink" Target="https://open-measure.atlassian.net/wiki/spaces/DIC/pages/1290076229/Client+Initiated+Backchannel+Authentication" TargetMode="External"/><Relationship Id="rId189" Type="http://schemas.openxmlformats.org/officeDocument/2006/relationships/hyperlink" Target="https://open-measure.atlassian.net/wiki/spaces/DIC/pages/419561522/Foundational+Identification+System" TargetMode="External"/><Relationship Id="rId375" Type="http://schemas.openxmlformats.org/officeDocument/2006/relationships/hyperlink" Target="https://open-measure.atlassian.net/wiki/spaces/DIC/pages/140706128" TargetMode="External"/><Relationship Id="rId396" Type="http://schemas.openxmlformats.org/officeDocument/2006/relationships/hyperlink" Target="https://open-measure.atlassian.net/wiki/spaces/DIC/pages/86442069" TargetMode="External"/><Relationship Id="rId3" Type="http://schemas.openxmlformats.org/officeDocument/2006/relationships/hyperlink" Target="https://open-measure.atlassian.net/wiki/spaces/DIC/pages/123962347/Access" TargetMode="External"/><Relationship Id="rId214" Type="http://schemas.openxmlformats.org/officeDocument/2006/relationships/hyperlink" Target="https://open-measure.atlassian.net/wiki/spaces/DIC/pages/1600749655/Identity+Assurance" TargetMode="External"/><Relationship Id="rId235" Type="http://schemas.openxmlformats.org/officeDocument/2006/relationships/hyperlink" Target="https://open-measure.atlassian.net/wiki/spaces/DIC/pages/43515956" TargetMode="External"/><Relationship Id="rId256" Type="http://schemas.openxmlformats.org/officeDocument/2006/relationships/hyperlink" Target="https://open-measure.atlassian.net/wiki/spaces/DIC/pages/1152483625" TargetMode="External"/><Relationship Id="rId277" Type="http://schemas.openxmlformats.org/officeDocument/2006/relationships/hyperlink" Target="https://open-measure.atlassian.net/wiki/spaces/DIC/pages/1104936974" TargetMode="External"/><Relationship Id="rId298" Type="http://schemas.openxmlformats.org/officeDocument/2006/relationships/hyperlink" Target="https://open-measure.atlassian.net/wiki/spaces/DIC/pages/148439237" TargetMode="External"/><Relationship Id="rId400" Type="http://schemas.openxmlformats.org/officeDocument/2006/relationships/hyperlink" Target="https://open-measure.atlassian.net/wiki/spaces/DIC/pages/1164869655" TargetMode="External"/><Relationship Id="rId421" Type="http://schemas.openxmlformats.org/officeDocument/2006/relationships/hyperlink" Target="https://open-measure.atlassian.net/wiki/spaces/DIC/pages/1181843719" TargetMode="External"/><Relationship Id="rId442" Type="http://schemas.openxmlformats.org/officeDocument/2006/relationships/hyperlink" Target="https://open-measure.atlassian.net/wiki/spaces/DIC/pages/663257097/Step-Up+Authentication" TargetMode="External"/><Relationship Id="rId463" Type="http://schemas.openxmlformats.org/officeDocument/2006/relationships/hyperlink" Target="https://open-measure.atlassian.net/wiki/spaces/DIC/pages/158728598" TargetMode="External"/><Relationship Id="rId484" Type="http://schemas.openxmlformats.org/officeDocument/2006/relationships/hyperlink" Target="https://open-measure.atlassian.net/wiki/spaces/DIC/pages/1323597878/User-Centric+Identity+Management+System" TargetMode="External"/><Relationship Id="rId519" Type="http://schemas.openxmlformats.org/officeDocument/2006/relationships/table" Target="../tables/table5.xml"/><Relationship Id="rId116" Type="http://schemas.openxmlformats.org/officeDocument/2006/relationships/hyperlink" Target="https://open-measure.atlassian.net/wiki/spaces/DIC/pages/82870977" TargetMode="External"/><Relationship Id="rId137" Type="http://schemas.openxmlformats.org/officeDocument/2006/relationships/hyperlink" Target="https://open-measure.atlassian.net/wiki/spaces/DIC/pages/1031242134" TargetMode="External"/><Relationship Id="rId158" Type="http://schemas.openxmlformats.org/officeDocument/2006/relationships/hyperlink" Target="https://open-measure.atlassian.net/wiki/spaces/DIC/pages/206766092" TargetMode="External"/><Relationship Id="rId302" Type="http://schemas.openxmlformats.org/officeDocument/2006/relationships/hyperlink" Target="https://open-measure.atlassian.net/wiki/spaces/DIC/pages/1600684160/Multiple+Accounts" TargetMode="External"/><Relationship Id="rId323" Type="http://schemas.openxmlformats.org/officeDocument/2006/relationships/hyperlink" Target="https://open-measure.atlassian.net/wiki/spaces/DIC/pages/1311403" TargetMode="External"/><Relationship Id="rId344" Type="http://schemas.openxmlformats.org/officeDocument/2006/relationships/hyperlink" Target="https://open-measure.atlassian.net/wiki/spaces/DIC/pages/1409753" TargetMode="External"/><Relationship Id="rId20" Type="http://schemas.openxmlformats.org/officeDocument/2006/relationships/hyperlink" Target="https://open-measure.atlassian.net/wiki/spaces/DIC/pages/1079050286/Account+Takeover" TargetMode="External"/><Relationship Id="rId41" Type="http://schemas.openxmlformats.org/officeDocument/2006/relationships/hyperlink" Target="https://open-measure.atlassian.net/wiki/spaces/DIC/pages/966492169" TargetMode="External"/><Relationship Id="rId62" Type="http://schemas.openxmlformats.org/officeDocument/2006/relationships/hyperlink" Target="https://open-measure.atlassian.net/wiki/spaces/DIC/pages/5965008" TargetMode="External"/><Relationship Id="rId83" Type="http://schemas.openxmlformats.org/officeDocument/2006/relationships/hyperlink" Target="https://open-measure.atlassian.net/wiki/spaces/DIC/pages/11567293" TargetMode="External"/><Relationship Id="rId179" Type="http://schemas.openxmlformats.org/officeDocument/2006/relationships/hyperlink" Target="https://open-measure.atlassian.net/wiki/spaces/DIC/pages/75890786" TargetMode="External"/><Relationship Id="rId365" Type="http://schemas.openxmlformats.org/officeDocument/2006/relationships/hyperlink" Target="https://open-measure.atlassian.net/wiki/spaces/DIC/pages/473890861" TargetMode="External"/><Relationship Id="rId386" Type="http://schemas.openxmlformats.org/officeDocument/2006/relationships/hyperlink" Target="https://open-measure.atlassian.net/wiki/spaces/DIC/pages/82870985" TargetMode="External"/><Relationship Id="rId190" Type="http://schemas.openxmlformats.org/officeDocument/2006/relationships/hyperlink" Target="https://open-measure.atlassian.net/wiki/spaces/DIC/pages/148340978" TargetMode="External"/><Relationship Id="rId204" Type="http://schemas.openxmlformats.org/officeDocument/2006/relationships/hyperlink" Target="https://open-measure.atlassian.net/wiki/spaces/DIC/pages/149356545" TargetMode="External"/><Relationship Id="rId225" Type="http://schemas.openxmlformats.org/officeDocument/2006/relationships/hyperlink" Target="https://open-measure.atlassian.net/wiki/spaces/DIC/pages/810254353" TargetMode="External"/><Relationship Id="rId246" Type="http://schemas.openxmlformats.org/officeDocument/2006/relationships/hyperlink" Target="https://open-measure.atlassian.net/wiki/spaces/DIC/pages/49250305" TargetMode="External"/><Relationship Id="rId267" Type="http://schemas.openxmlformats.org/officeDocument/2006/relationships/hyperlink" Target="https://open-measure.atlassian.net/wiki/spaces/DIC/pages/427163745" TargetMode="External"/><Relationship Id="rId288" Type="http://schemas.openxmlformats.org/officeDocument/2006/relationships/hyperlink" Target="https://open-measure.atlassian.net/wiki/spaces/DIC/pages/1310994" TargetMode="External"/><Relationship Id="rId411" Type="http://schemas.openxmlformats.org/officeDocument/2006/relationships/hyperlink" Target="https://open-measure.atlassian.net/wiki/spaces/DIC/pages/206307373" TargetMode="External"/><Relationship Id="rId432" Type="http://schemas.openxmlformats.org/officeDocument/2006/relationships/hyperlink" Target="https://open-measure.atlassian.net/wiki/spaces/DIC/pages/1270055026/Social+Honeypot" TargetMode="External"/><Relationship Id="rId453" Type="http://schemas.openxmlformats.org/officeDocument/2006/relationships/hyperlink" Target="https://open-measure.atlassian.net/wiki/spaces/DIC/pages/446824644/System+Boundaries" TargetMode="External"/><Relationship Id="rId474" Type="http://schemas.openxmlformats.org/officeDocument/2006/relationships/hyperlink" Target="https://open-measure.atlassian.net/wiki/spaces/DIC/pages/140705998" TargetMode="External"/><Relationship Id="rId509" Type="http://schemas.openxmlformats.org/officeDocument/2006/relationships/hyperlink" Target="https://open-measure.atlassian.net/wiki/spaces/DIC/pages/140706624" TargetMode="External"/><Relationship Id="rId106" Type="http://schemas.openxmlformats.org/officeDocument/2006/relationships/hyperlink" Target="https://open-measure.atlassian.net/wiki/spaces/DIC/pages/140738810" TargetMode="External"/><Relationship Id="rId127" Type="http://schemas.openxmlformats.org/officeDocument/2006/relationships/hyperlink" Target="https://open-measure.atlassian.net/wiki/spaces/DIC/pages/408944928" TargetMode="External"/><Relationship Id="rId313" Type="http://schemas.openxmlformats.org/officeDocument/2006/relationships/hyperlink" Target="https://open-measure.atlassian.net/wiki/spaces/DIC/pages/67568133" TargetMode="External"/><Relationship Id="rId495" Type="http://schemas.openxmlformats.org/officeDocument/2006/relationships/hyperlink" Target="https://open-measure.atlassian.net/wiki/spaces/DIC/pages/234389605" TargetMode="External"/><Relationship Id="rId10" Type="http://schemas.openxmlformats.org/officeDocument/2006/relationships/hyperlink" Target="https://open-measure.atlassian.net/wiki/spaces/DIC/pages/67633597" TargetMode="External"/><Relationship Id="rId31" Type="http://schemas.openxmlformats.org/officeDocument/2006/relationships/hyperlink" Target="https://open-measure.atlassian.net/wiki/spaces/DIC/pages/1122631854" TargetMode="External"/><Relationship Id="rId52" Type="http://schemas.openxmlformats.org/officeDocument/2006/relationships/hyperlink" Target="https://open-measure.atlassian.net/wiki/spaces/DIC/pages/998277805" TargetMode="External"/><Relationship Id="rId73" Type="http://schemas.openxmlformats.org/officeDocument/2006/relationships/hyperlink" Target="https://open-measure.atlassian.net/wiki/spaces/DIC/pages/1031209441" TargetMode="External"/><Relationship Id="rId94" Type="http://schemas.openxmlformats.org/officeDocument/2006/relationships/hyperlink" Target="https://open-measure.atlassian.net/wiki/spaces/DIC/pages/1152516136" TargetMode="External"/><Relationship Id="rId148" Type="http://schemas.openxmlformats.org/officeDocument/2006/relationships/hyperlink" Target="https://open-measure.atlassian.net/wiki/spaces/DIC/pages/1181876315" TargetMode="External"/><Relationship Id="rId169" Type="http://schemas.openxmlformats.org/officeDocument/2006/relationships/hyperlink" Target="https://open-measure.atlassian.net/wiki/spaces/DIC/pages/1104904275" TargetMode="External"/><Relationship Id="rId334" Type="http://schemas.openxmlformats.org/officeDocument/2006/relationships/hyperlink" Target="https://open-measure.atlassian.net/wiki/spaces/DIC/pages/49283090" TargetMode="External"/><Relationship Id="rId355" Type="http://schemas.openxmlformats.org/officeDocument/2006/relationships/hyperlink" Target="https://open-measure.atlassian.net/wiki/spaces/DIC/pages/1122631903" TargetMode="External"/><Relationship Id="rId376" Type="http://schemas.openxmlformats.org/officeDocument/2006/relationships/hyperlink" Target="https://open-measure.atlassian.net/wiki/spaces/DIC/pages/1323598109/Qualitative+Identity" TargetMode="External"/><Relationship Id="rId397" Type="http://schemas.openxmlformats.org/officeDocument/2006/relationships/hyperlink" Target="https://open-measure.atlassian.net/wiki/spaces/DIC/pages/1122566198" TargetMode="External"/><Relationship Id="rId4" Type="http://schemas.openxmlformats.org/officeDocument/2006/relationships/hyperlink" Target="https://open-measure.atlassian.net/wiki/spaces/DIC/pages/1121878227" TargetMode="External"/><Relationship Id="rId180" Type="http://schemas.openxmlformats.org/officeDocument/2006/relationships/hyperlink" Target="https://open-measure.atlassian.net/wiki/spaces/DIC/pages/763035693" TargetMode="External"/><Relationship Id="rId215" Type="http://schemas.openxmlformats.org/officeDocument/2006/relationships/hyperlink" Target="https://open-measure.atlassian.net/wiki/spaces/DIC/pages/82903275" TargetMode="External"/><Relationship Id="rId236" Type="http://schemas.openxmlformats.org/officeDocument/2006/relationships/hyperlink" Target="https://open-measure.atlassian.net/wiki/spaces/DIC/pages/11141519" TargetMode="External"/><Relationship Id="rId257" Type="http://schemas.openxmlformats.org/officeDocument/2006/relationships/hyperlink" Target="https://open-measure.atlassian.net/wiki/spaces/DIC/pages/720902" TargetMode="External"/><Relationship Id="rId278" Type="http://schemas.openxmlformats.org/officeDocument/2006/relationships/hyperlink" Target="https://open-measure.atlassian.net/wiki/spaces/DIC/pages/442368033" TargetMode="External"/><Relationship Id="rId401" Type="http://schemas.openxmlformats.org/officeDocument/2006/relationships/hyperlink" Target="https://open-measure.atlassian.net/wiki/spaces/DIC/pages/1164902498" TargetMode="External"/><Relationship Id="rId422" Type="http://schemas.openxmlformats.org/officeDocument/2006/relationships/hyperlink" Target="https://open-measure.atlassian.net/wiki/spaces/DIC/pages/1177747630" TargetMode="External"/><Relationship Id="rId443" Type="http://schemas.openxmlformats.org/officeDocument/2006/relationships/hyperlink" Target="https://open-measure.atlassian.net/wiki/spaces/DIC/pages/1540175" TargetMode="External"/><Relationship Id="rId464" Type="http://schemas.openxmlformats.org/officeDocument/2006/relationships/hyperlink" Target="https://open-measure.atlassian.net/wiki/spaces/DIC/pages/1130954862" TargetMode="External"/><Relationship Id="rId303" Type="http://schemas.openxmlformats.org/officeDocument/2006/relationships/hyperlink" Target="https://open-measure.atlassian.net/wiki/spaces/DIC/pages/998244664" TargetMode="External"/><Relationship Id="rId485" Type="http://schemas.openxmlformats.org/officeDocument/2006/relationships/hyperlink" Target="https://open-measure.atlassian.net/wiki/spaces/DIC/pages/1146847344/User+De-Provisioning" TargetMode="External"/><Relationship Id="rId42" Type="http://schemas.openxmlformats.org/officeDocument/2006/relationships/hyperlink" Target="https://open-measure.atlassian.net/wiki/spaces/DIC/pages/61177884" TargetMode="External"/><Relationship Id="rId84" Type="http://schemas.openxmlformats.org/officeDocument/2006/relationships/hyperlink" Target="https://open-measure.atlassian.net/wiki/spaces/DIC/pages/5900130" TargetMode="External"/><Relationship Id="rId138" Type="http://schemas.openxmlformats.org/officeDocument/2006/relationships/hyperlink" Target="https://open-measure.atlassian.net/wiki/spaces/DIC/pages/782893122" TargetMode="External"/><Relationship Id="rId345" Type="http://schemas.openxmlformats.org/officeDocument/2006/relationships/hyperlink" Target="https://open-measure.atlassian.net/wiki/spaces/DIC/pages/140707141" TargetMode="External"/><Relationship Id="rId387" Type="http://schemas.openxmlformats.org/officeDocument/2006/relationships/hyperlink" Target="https://open-measure.atlassian.net/wiki/spaces/DIC/pages/858521682" TargetMode="External"/><Relationship Id="rId510" Type="http://schemas.openxmlformats.org/officeDocument/2006/relationships/hyperlink" Target="https://open-measure.atlassian.net/wiki/spaces/DIC/pages/140706700" TargetMode="External"/><Relationship Id="rId191" Type="http://schemas.openxmlformats.org/officeDocument/2006/relationships/hyperlink" Target="https://open-measure.atlassian.net/wiki/spaces/DIC/pages/419528747" TargetMode="External"/><Relationship Id="rId205" Type="http://schemas.openxmlformats.org/officeDocument/2006/relationships/hyperlink" Target="https://open-measure.atlassian.net/wiki/spaces/DIC/pages/419659837" TargetMode="External"/><Relationship Id="rId247" Type="http://schemas.openxmlformats.org/officeDocument/2006/relationships/hyperlink" Target="https://open-measure.atlassian.net/wiki/spaces/DIC/pages/1477869651/Inside+Attacker" TargetMode="External"/><Relationship Id="rId412" Type="http://schemas.openxmlformats.org/officeDocument/2006/relationships/hyperlink" Target="https://open-measure.atlassian.net/wiki/spaces/DIC/pages/1376383" TargetMode="External"/><Relationship Id="rId107" Type="http://schemas.openxmlformats.org/officeDocument/2006/relationships/hyperlink" Target="https://open-measure.atlassian.net/wiki/spaces/DIC/pages/974454827" TargetMode="External"/><Relationship Id="rId289" Type="http://schemas.openxmlformats.org/officeDocument/2006/relationships/hyperlink" Target="https://open-measure.atlassian.net/wiki/spaces/DIC/pages/5933244" TargetMode="External"/><Relationship Id="rId454" Type="http://schemas.openxmlformats.org/officeDocument/2006/relationships/hyperlink" Target="https://open-measure.atlassian.net/wiki/spaces/DIC/pages/206372869" TargetMode="External"/><Relationship Id="rId496" Type="http://schemas.openxmlformats.org/officeDocument/2006/relationships/hyperlink" Target="https://open-measure.atlassian.net/wiki/spaces/DIC/pages/81068120" TargetMode="External"/><Relationship Id="rId11" Type="http://schemas.openxmlformats.org/officeDocument/2006/relationships/hyperlink" Target="https://open-measure.atlassian.net/wiki/spaces/DIC/pages/1006632974" TargetMode="External"/><Relationship Id="rId53" Type="http://schemas.openxmlformats.org/officeDocument/2006/relationships/hyperlink" Target="https://open-measure.atlassian.net/wiki/spaces/DIC/pages/998277852" TargetMode="External"/><Relationship Id="rId149" Type="http://schemas.openxmlformats.org/officeDocument/2006/relationships/hyperlink" Target="https://open-measure.atlassian.net/wiki/spaces/DIC/pages/810287202" TargetMode="External"/><Relationship Id="rId314" Type="http://schemas.openxmlformats.org/officeDocument/2006/relationships/hyperlink" Target="https://open-measure.atlassian.net/wiki/spaces/DIC/pages/1376617" TargetMode="External"/><Relationship Id="rId356" Type="http://schemas.openxmlformats.org/officeDocument/2006/relationships/hyperlink" Target="https://open-measure.atlassian.net/wiki/spaces/DIC/pages/1105068063" TargetMode="External"/><Relationship Id="rId398" Type="http://schemas.openxmlformats.org/officeDocument/2006/relationships/hyperlink" Target="https://open-measure.atlassian.net/wiki/spaces/DIC/pages/814514401" TargetMode="External"/><Relationship Id="rId95" Type="http://schemas.openxmlformats.org/officeDocument/2006/relationships/hyperlink" Target="https://open-measure.atlassian.net/wiki/spaces/DIC/pages/1152516118" TargetMode="External"/><Relationship Id="rId160" Type="http://schemas.openxmlformats.org/officeDocument/2006/relationships/hyperlink" Target="https://open-measure.atlassian.net/wiki/spaces/DIC/pages/76021801" TargetMode="External"/><Relationship Id="rId216" Type="http://schemas.openxmlformats.org/officeDocument/2006/relationships/hyperlink" Target="https://open-measure.atlassian.net/wiki/spaces/DIC/pages/236748873" TargetMode="External"/><Relationship Id="rId423" Type="http://schemas.openxmlformats.org/officeDocument/2006/relationships/hyperlink" Target="https://open-measure.atlassian.net/wiki/spaces/DIC/pages/1071185955" TargetMode="External"/><Relationship Id="rId258" Type="http://schemas.openxmlformats.org/officeDocument/2006/relationships/hyperlink" Target="https://open-measure.atlassian.net/wiki/spaces/DIC/pages/1569095803/IT+System" TargetMode="External"/><Relationship Id="rId465" Type="http://schemas.openxmlformats.org/officeDocument/2006/relationships/hyperlink" Target="https://open-measure.atlassian.net/wiki/spaces/DIC/pages/360467" TargetMode="External"/><Relationship Id="rId22" Type="http://schemas.openxmlformats.org/officeDocument/2006/relationships/hyperlink" Target="https://open-measure.atlassian.net/wiki/spaces/DIC/pages/73892144/Action+Research" TargetMode="External"/><Relationship Id="rId64" Type="http://schemas.openxmlformats.org/officeDocument/2006/relationships/hyperlink" Target="https://open-measure.atlassian.net/wiki/spaces/DIC/pages/797933843" TargetMode="External"/><Relationship Id="rId118" Type="http://schemas.openxmlformats.org/officeDocument/2006/relationships/hyperlink" Target="https://open-measure.atlassian.net/wiki/spaces/DIC/pages/461340725" TargetMode="External"/><Relationship Id="rId325" Type="http://schemas.openxmlformats.org/officeDocument/2006/relationships/hyperlink" Target="https://open-measure.atlassian.net/wiki/spaces/DIC/pages/1061650550" TargetMode="External"/><Relationship Id="rId367" Type="http://schemas.openxmlformats.org/officeDocument/2006/relationships/hyperlink" Target="https://open-measure.atlassian.net/wiki/spaces/DIC/pages/1477902403/Privileged+Insider" TargetMode="External"/><Relationship Id="rId171" Type="http://schemas.openxmlformats.org/officeDocument/2006/relationships/hyperlink" Target="https://open-measure.atlassian.net/wiki/spaces/DIC/pages/446824885" TargetMode="External"/><Relationship Id="rId227" Type="http://schemas.openxmlformats.org/officeDocument/2006/relationships/hyperlink" Target="https://open-measure.atlassian.net/wiki/spaces/DIC/pages/1117913089" TargetMode="External"/><Relationship Id="rId269" Type="http://schemas.openxmlformats.org/officeDocument/2006/relationships/hyperlink" Target="https://open-measure.atlassian.net/wiki/spaces/DIC/pages/442400811" TargetMode="External"/><Relationship Id="rId434" Type="http://schemas.openxmlformats.org/officeDocument/2006/relationships/hyperlink" Target="https://open-measure.atlassian.net/wiki/spaces/DIC/pages/234487981" TargetMode="External"/><Relationship Id="rId476" Type="http://schemas.openxmlformats.org/officeDocument/2006/relationships/hyperlink" Target="https://open-measure.atlassian.net/wiki/spaces/DIC/pages/140673267" TargetMode="External"/><Relationship Id="rId33" Type="http://schemas.openxmlformats.org/officeDocument/2006/relationships/hyperlink" Target="https://open-measure.atlassian.net/wiki/spaces/DIC/pages/5932704" TargetMode="External"/><Relationship Id="rId129" Type="http://schemas.openxmlformats.org/officeDocument/2006/relationships/hyperlink" Target="https://open-measure.atlassian.net/wiki/spaces/DIC/pages/1451982933/Cyber-sabotage" TargetMode="External"/><Relationship Id="rId280" Type="http://schemas.openxmlformats.org/officeDocument/2006/relationships/hyperlink" Target="https://open-measure.atlassian.net/wiki/spaces/DIC/pages/1177845957" TargetMode="External"/><Relationship Id="rId336" Type="http://schemas.openxmlformats.org/officeDocument/2006/relationships/hyperlink" Target="https://open-measure.atlassian.net/wiki/spaces/DIC/pages/1472692289/Outsider" TargetMode="External"/><Relationship Id="rId501" Type="http://schemas.openxmlformats.org/officeDocument/2006/relationships/hyperlink" Target="https://open-measure.atlassian.net/wiki/spaces/DIC/pages/140739507" TargetMode="External"/><Relationship Id="rId75" Type="http://schemas.openxmlformats.org/officeDocument/2006/relationships/hyperlink" Target="https://open-measure.atlassian.net/wiki/spaces/DIC/pages/408944842" TargetMode="External"/><Relationship Id="rId140" Type="http://schemas.openxmlformats.org/officeDocument/2006/relationships/hyperlink" Target="https://open-measure.atlassian.net/wiki/spaces/DIC/pages/62193665" TargetMode="External"/><Relationship Id="rId182" Type="http://schemas.openxmlformats.org/officeDocument/2006/relationships/hyperlink" Target="https://open-measure.atlassian.net/wiki/spaces/DIC/pages/1290207237/Financial-grade+API" TargetMode="External"/><Relationship Id="rId378" Type="http://schemas.openxmlformats.org/officeDocument/2006/relationships/hyperlink" Target="https://open-measure.atlassian.net/wiki/spaces/DIC/pages/148308223" TargetMode="External"/><Relationship Id="rId403" Type="http://schemas.openxmlformats.org/officeDocument/2006/relationships/hyperlink" Target="https://open-measure.atlassian.net/wiki/spaces/DIC/pages/1130921985" TargetMode="External"/><Relationship Id="rId6" Type="http://schemas.openxmlformats.org/officeDocument/2006/relationships/hyperlink" Target="https://open-measure.atlassian.net/wiki/spaces/DIC/pages/427163781" TargetMode="External"/><Relationship Id="rId238" Type="http://schemas.openxmlformats.org/officeDocument/2006/relationships/hyperlink" Target="https://open-measure.atlassian.net/wiki/spaces/DIC/pages/158827185" TargetMode="External"/><Relationship Id="rId445" Type="http://schemas.openxmlformats.org/officeDocument/2006/relationships/hyperlink" Target="https://open-measure.atlassian.net/wiki/spaces/DIC/pages/81199126" TargetMode="External"/><Relationship Id="rId487" Type="http://schemas.openxmlformats.org/officeDocument/2006/relationships/hyperlink" Target="https://open-measure.atlassian.net/wiki/spaces/DIC/pages/1428652448/User+ID" TargetMode="External"/><Relationship Id="rId291" Type="http://schemas.openxmlformats.org/officeDocument/2006/relationships/hyperlink" Target="https://open-measure.atlassian.net/wiki/spaces/DIC/pages/5899260" TargetMode="External"/><Relationship Id="rId305" Type="http://schemas.openxmlformats.org/officeDocument/2006/relationships/hyperlink" Target="https://open-measure.atlassian.net/wiki/spaces/DIC/pages/858456124" TargetMode="External"/><Relationship Id="rId347" Type="http://schemas.openxmlformats.org/officeDocument/2006/relationships/hyperlink" Target="https://open-measure.atlassian.net/wiki/spaces/DIC/pages/67699129" TargetMode="External"/><Relationship Id="rId512" Type="http://schemas.openxmlformats.org/officeDocument/2006/relationships/hyperlink" Target="https://open-measure.atlassian.net/wiki/spaces/DIC/pages/814448722" TargetMode="External"/><Relationship Id="rId44" Type="http://schemas.openxmlformats.org/officeDocument/2006/relationships/hyperlink" Target="https://open-measure.atlassian.net/wiki/spaces/DIC/pages/848724060" TargetMode="External"/><Relationship Id="rId86" Type="http://schemas.openxmlformats.org/officeDocument/2006/relationships/hyperlink" Target="https://open-measure.atlassian.net/wiki/spaces/DIC/pages/1152483641" TargetMode="External"/><Relationship Id="rId151" Type="http://schemas.openxmlformats.org/officeDocument/2006/relationships/hyperlink" Target="https://open-measure.atlassian.net/wiki/spaces/DIC/pages/806584322" TargetMode="External"/><Relationship Id="rId389" Type="http://schemas.openxmlformats.org/officeDocument/2006/relationships/hyperlink" Target="https://open-measure.atlassian.net/wiki/spaces/DIC/pages/427130881" TargetMode="External"/><Relationship Id="rId193" Type="http://schemas.openxmlformats.org/officeDocument/2006/relationships/hyperlink" Target="https://open-measure.atlassian.net/wiki/spaces/DIC/pages/1409494" TargetMode="External"/><Relationship Id="rId207" Type="http://schemas.openxmlformats.org/officeDocument/2006/relationships/hyperlink" Target="https://open-measure.atlassian.net/wiki/spaces/DIC/pages/435322922" TargetMode="External"/><Relationship Id="rId249" Type="http://schemas.openxmlformats.org/officeDocument/2006/relationships/hyperlink" Target="https://open-measure.atlassian.net/wiki/spaces/DIC/pages/1478459402/Insider+Attack" TargetMode="External"/><Relationship Id="rId414" Type="http://schemas.openxmlformats.org/officeDocument/2006/relationships/hyperlink" Target="https://open-measure.atlassian.net/wiki/spaces/DIC/pages/234356901" TargetMode="External"/><Relationship Id="rId456" Type="http://schemas.openxmlformats.org/officeDocument/2006/relationships/hyperlink" Target="https://open-measure.atlassian.net/wiki/spaces/DIC/pages/1226571890" TargetMode="External"/><Relationship Id="rId498" Type="http://schemas.openxmlformats.org/officeDocument/2006/relationships/hyperlink" Target="https://open-measure.atlassian.net/wiki/spaces/DIC/pages/75923587" TargetMode="External"/><Relationship Id="rId13" Type="http://schemas.openxmlformats.org/officeDocument/2006/relationships/hyperlink" Target="https://open-measure.atlassian.net/wiki/spaces/DIC/pages/1122599013" TargetMode="External"/><Relationship Id="rId109" Type="http://schemas.openxmlformats.org/officeDocument/2006/relationships/hyperlink" Target="https://open-measure.atlassian.net/wiki/spaces/DIC/pages/3178516" TargetMode="External"/><Relationship Id="rId260" Type="http://schemas.openxmlformats.org/officeDocument/2006/relationships/hyperlink" Target="https://open-measure.atlassian.net/wiki/spaces/DIC/pages/855506953" TargetMode="External"/><Relationship Id="rId316" Type="http://schemas.openxmlformats.org/officeDocument/2006/relationships/hyperlink" Target="https://open-measure.atlassian.net/wiki/spaces/DIC/pages/11141406" TargetMode="External"/><Relationship Id="rId55" Type="http://schemas.openxmlformats.org/officeDocument/2006/relationships/hyperlink" Target="https://open-measure.atlassian.net/wiki/spaces/DIC/pages/998245151" TargetMode="External"/><Relationship Id="rId97" Type="http://schemas.openxmlformats.org/officeDocument/2006/relationships/hyperlink" Target="https://open-measure.atlassian.net/wiki/spaces/DIC/pages/206307528" TargetMode="External"/><Relationship Id="rId120" Type="http://schemas.openxmlformats.org/officeDocument/2006/relationships/hyperlink" Target="https://open-measure.atlassian.net/wiki/spaces/DIC/pages/1152516162/CSC" TargetMode="External"/><Relationship Id="rId358" Type="http://schemas.openxmlformats.org/officeDocument/2006/relationships/hyperlink" Target="https://open-measure.atlassian.net/wiki/spaces/DIC/pages/148373776" TargetMode="External"/><Relationship Id="rId162" Type="http://schemas.openxmlformats.org/officeDocument/2006/relationships/hyperlink" Target="https://open-measure.atlassian.net/wiki/spaces/DIC/pages/1122566173" TargetMode="External"/><Relationship Id="rId218" Type="http://schemas.openxmlformats.org/officeDocument/2006/relationships/hyperlink" Target="https://open-measure.atlassian.net/wiki/spaces/DIC/pages/336035929/Identity+Federation" TargetMode="External"/><Relationship Id="rId425" Type="http://schemas.openxmlformats.org/officeDocument/2006/relationships/hyperlink" Target="https://open-measure.atlassian.net/wiki/spaces/DIC/pages/6029526" TargetMode="External"/><Relationship Id="rId467" Type="http://schemas.openxmlformats.org/officeDocument/2006/relationships/hyperlink" Target="https://open-measure.atlassian.net/wiki/spaces/DIC/pages/1237483759" TargetMode="External"/><Relationship Id="rId271" Type="http://schemas.openxmlformats.org/officeDocument/2006/relationships/hyperlink" Target="https://open-measure.atlassian.net/wiki/spaces/DIC/pages/1177681925" TargetMode="External"/><Relationship Id="rId24" Type="http://schemas.openxmlformats.org/officeDocument/2006/relationships/hyperlink" Target="https://open-measure.atlassian.net/wiki/spaces/DIC/pages/11141273" TargetMode="External"/><Relationship Id="rId66" Type="http://schemas.openxmlformats.org/officeDocument/2006/relationships/hyperlink" Target="https://open-measure.atlassian.net/wiki/spaces/DIC/pages/1228079157" TargetMode="External"/><Relationship Id="rId131" Type="http://schemas.openxmlformats.org/officeDocument/2006/relationships/hyperlink" Target="https://open-measure.atlassian.net/wiki/spaces/DIC/pages/1267400850/Data+Anonymization" TargetMode="External"/><Relationship Id="rId327" Type="http://schemas.openxmlformats.org/officeDocument/2006/relationships/hyperlink" Target="https://open-measure.atlassian.net/wiki/spaces/DIC/pages/1061748965" TargetMode="External"/><Relationship Id="rId369" Type="http://schemas.openxmlformats.org/officeDocument/2006/relationships/hyperlink" Target="https://open-measure.atlassian.net/wiki/spaces/DIC/pages/1377214" TargetMode="External"/><Relationship Id="rId173" Type="http://schemas.openxmlformats.org/officeDocument/2006/relationships/hyperlink" Target="https://open-measure.atlassian.net/wiki/spaces/DIC/pages/82870848" TargetMode="External"/><Relationship Id="rId229" Type="http://schemas.openxmlformats.org/officeDocument/2006/relationships/hyperlink" Target="https://open-measure.atlassian.net/wiki/spaces/DIC/pages/81101362" TargetMode="External"/><Relationship Id="rId380" Type="http://schemas.openxmlformats.org/officeDocument/2006/relationships/hyperlink" Target="https://open-measure.atlassian.net/wiki/spaces/DIC/pages/82903928" TargetMode="External"/><Relationship Id="rId436" Type="http://schemas.openxmlformats.org/officeDocument/2006/relationships/hyperlink" Target="https://open-measure.atlassian.net/wiki/spaces/DIC/pages/1605648" TargetMode="External"/><Relationship Id="rId240" Type="http://schemas.openxmlformats.org/officeDocument/2006/relationships/hyperlink" Target="https://open-measure.atlassian.net/wiki/spaces/DIC/pages/455508212" TargetMode="External"/><Relationship Id="rId478" Type="http://schemas.openxmlformats.org/officeDocument/2006/relationships/hyperlink" Target="https://open-measure.atlassian.net/wiki/spaces/DIC/pages/1231126540/Unauthorized+Access" TargetMode="Externa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6FFD63-4E0B-4805-B2E9-CE931AE7958E}">
  <sheetPr codeName="Sheet5"/>
  <dimension ref="A1"/>
  <sheetViews>
    <sheetView workbookViewId="0">
      <selection activeCell="B11" sqref="B11"/>
    </sheetView>
  </sheetViews>
  <sheetFormatPr defaultRowHeight="12.75" x14ac:dyDescent="0.35"/>
  <cols>
    <col min="2" max="2" width="91.06640625" customWidth="1"/>
  </cols>
  <sheetData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1" r:id="rId4" name="buttonExport">
          <controlPr defaultSize="0" autoLine="0" r:id="rId5">
            <anchor moveWithCells="1">
              <from>
                <xdr:col>1</xdr:col>
                <xdr:colOff>114300</xdr:colOff>
                <xdr:row>1</xdr:row>
                <xdr:rowOff>152400</xdr:rowOff>
              </from>
              <to>
                <xdr:col>1</xdr:col>
                <xdr:colOff>1152525</xdr:colOff>
                <xdr:row>4</xdr:row>
                <xdr:rowOff>61913</xdr:rowOff>
              </to>
            </anchor>
          </controlPr>
        </control>
      </mc:Choice>
      <mc:Fallback>
        <control shapeId="5121" r:id="rId4" name="buttonExpor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7CF444-9159-48BF-8E77-D2E2F0BCD5F8}">
  <sheetPr codeName="Sheet1">
    <tabColor theme="9"/>
  </sheetPr>
  <dimension ref="A1:J508"/>
  <sheetViews>
    <sheetView topLeftCell="A484" zoomScale="120" zoomScaleNormal="120" workbookViewId="0">
      <selection activeCell="C508" sqref="C508"/>
    </sheetView>
  </sheetViews>
  <sheetFormatPr defaultRowHeight="12.75" x14ac:dyDescent="0.35"/>
  <cols>
    <col min="1" max="1" width="34.06640625" style="12" bestFit="1" customWidth="1"/>
    <col min="2" max="2" width="3.06640625" style="12" customWidth="1"/>
    <col min="3" max="3" width="16.796875" style="12" customWidth="1"/>
    <col min="4" max="4" width="13.86328125" style="12" customWidth="1"/>
    <col min="5" max="5" width="3.06640625" style="12" customWidth="1"/>
    <col min="6" max="6" width="29.53125" style="12" customWidth="1"/>
    <col min="7" max="7" width="2.3984375" style="12" customWidth="1"/>
    <col min="8" max="16384" width="9.06640625" style="12"/>
  </cols>
  <sheetData>
    <row r="1" spans="1:10" x14ac:dyDescent="0.35">
      <c r="A1" s="11" t="s">
        <v>1377</v>
      </c>
      <c r="B1" s="11" t="s">
        <v>1995</v>
      </c>
      <c r="C1" s="11" t="s">
        <v>1374</v>
      </c>
      <c r="D1" s="11" t="s">
        <v>1375</v>
      </c>
      <c r="E1" s="11" t="s">
        <v>1996</v>
      </c>
      <c r="F1" s="11" t="s">
        <v>1376</v>
      </c>
      <c r="G1" s="11" t="s">
        <v>1395</v>
      </c>
      <c r="H1" s="11" t="s">
        <v>1394</v>
      </c>
      <c r="I1" s="11" t="s">
        <v>520</v>
      </c>
      <c r="J1" s="11" t="s">
        <v>1378</v>
      </c>
    </row>
    <row r="2" spans="1:10" x14ac:dyDescent="0.35">
      <c r="A2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4-Eyes Check (Control Class)</v>
      </c>
      <c r="B2" s="35">
        <f>COUNTIF(NodesData[Unambiguous Name],NodesData[[#This Row],[Unambiguous Name]])</f>
        <v>1</v>
      </c>
      <c r="C2" s="11" t="s">
        <v>1356</v>
      </c>
      <c r="D2" s="13" t="s">
        <v>1419</v>
      </c>
      <c r="E2" s="35">
        <f>COUNTIF(NodesData[Node ID],NodesData[[#This Row],[Node ID]])</f>
        <v>1</v>
      </c>
      <c r="F2" s="12" t="s">
        <v>1337</v>
      </c>
      <c r="G2" s="18" t="str">
        <f>IF(NodesData[[#This Row],[Class Disambiguation]]="",NodesData[[#This Row],[Common Name]],NodesData[[#This Row],[Common Name]]&amp;" ("&amp;NodesData[[#This Row],[Class Disambiguation]]&amp;")")</f>
        <v>4-Eyes Check (Control Class)</v>
      </c>
      <c r="H2" s="18"/>
      <c r="J2" s="19" t="str" cm="1">
        <f t="array" ref="J2">CreateGuidString()</f>
        <v>45FCF144-C8DB-43C2-BC0B-C4BC84B2133D</v>
      </c>
    </row>
    <row r="3" spans="1:10" x14ac:dyDescent="0.35">
      <c r="A3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4-Eyes Principle (Best Practice)</v>
      </c>
      <c r="B3" s="35">
        <f>COUNTIF(NodesData[Unambiguous Name],NodesData[[#This Row],[Unambiguous Name]])</f>
        <v>1</v>
      </c>
      <c r="C3" s="12" t="s">
        <v>5</v>
      </c>
      <c r="D3" s="13" t="s">
        <v>1420</v>
      </c>
      <c r="E3" s="35">
        <f>COUNTIF(NodesData[Node ID],NodesData[[#This Row],[Node ID]])</f>
        <v>1</v>
      </c>
      <c r="F3" s="11" t="s">
        <v>1355</v>
      </c>
      <c r="G3" s="12" t="str">
        <f>IF(NodesData[[#This Row],[Class Disambiguation]]="",NodesData[[#This Row],[Common Name]],NodesData[[#This Row],[Common Name]]&amp;" ("&amp;NodesData[[#This Row],[Class Disambiguation]]&amp;")")</f>
        <v>4-Eyes Principle (Best Practice)</v>
      </c>
      <c r="I3" s="12" t="s">
        <v>523</v>
      </c>
      <c r="J3" s="19" t="str" cm="1">
        <f t="array" ref="J3">CreateGuidString()</f>
        <v>BD3A744A-568E-4664-88A1-7801DBA43FEC</v>
      </c>
    </row>
    <row r="4" spans="1:10" x14ac:dyDescent="0.35">
      <c r="A4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Access</v>
      </c>
      <c r="B4" s="35">
        <f>COUNTIF(NodesData[Unambiguous Name],NodesData[[#This Row],[Unambiguous Name]])</f>
        <v>1</v>
      </c>
      <c r="C4" s="12" t="s">
        <v>7</v>
      </c>
      <c r="D4" s="13" t="s">
        <v>1421</v>
      </c>
      <c r="E4" s="35">
        <f>COUNTIF(NodesData[Node ID],NodesData[[#This Row],[Node ID]])</f>
        <v>1</v>
      </c>
      <c r="G4" s="12" t="str">
        <f>IF(NodesData[[#This Row],[Class Disambiguation]]="",NodesData[[#This Row],[Common Name]],NodesData[[#This Row],[Common Name]]&amp;" ("&amp;NodesData[[#This Row],[Class Disambiguation]]&amp;")")</f>
        <v>Access</v>
      </c>
      <c r="I4" s="12" t="s">
        <v>524</v>
      </c>
      <c r="J4" s="19" t="str" cm="1">
        <f t="array" ref="J4">CreateGuidString()</f>
        <v>5115FE2B-1B7D-4F4D-B403-17A66A4F653A</v>
      </c>
    </row>
    <row r="5" spans="1:10" x14ac:dyDescent="0.35">
      <c r="A5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Access Audit</v>
      </c>
      <c r="B5" s="35">
        <f>COUNTIF(NodesData[Unambiguous Name],NodesData[[#This Row],[Unambiguous Name]])</f>
        <v>1</v>
      </c>
      <c r="C5" s="12" t="s">
        <v>525</v>
      </c>
      <c r="D5" s="13" t="s">
        <v>1422</v>
      </c>
      <c r="E5" s="35">
        <f>COUNTIF(NodesData[Node ID],NodesData[[#This Row],[Node ID]])</f>
        <v>1</v>
      </c>
      <c r="G5" s="12" t="str">
        <f>IF(NodesData[[#This Row],[Class Disambiguation]]="",NodesData[[#This Row],[Common Name]],NodesData[[#This Row],[Common Name]]&amp;" ("&amp;NodesData[[#This Row],[Class Disambiguation]]&amp;")")</f>
        <v>Access Audit</v>
      </c>
      <c r="I5" s="12" t="s">
        <v>526</v>
      </c>
      <c r="J5" s="19" t="str" cm="1">
        <f t="array" ref="J5">CreateGuidString()</f>
        <v>6731633E-6E7B-497E-BE31-3E56DBF2DC4E</v>
      </c>
    </row>
    <row r="6" spans="1:10" x14ac:dyDescent="0.35">
      <c r="A6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Access Continuum</v>
      </c>
      <c r="B6" s="35">
        <f>COUNTIF(NodesData[Unambiguous Name],NodesData[[#This Row],[Unambiguous Name]])</f>
        <v>1</v>
      </c>
      <c r="C6" s="12" t="s">
        <v>9</v>
      </c>
      <c r="D6" s="13" t="s">
        <v>1423</v>
      </c>
      <c r="E6" s="35">
        <f>COUNTIF(NodesData[Node ID],NodesData[[#This Row],[Node ID]])</f>
        <v>1</v>
      </c>
      <c r="G6" s="12" t="str">
        <f>IF(NodesData[[#This Row],[Class Disambiguation]]="",NodesData[[#This Row],[Common Name]],NodesData[[#This Row],[Common Name]]&amp;" ("&amp;NodesData[[#This Row],[Class Disambiguation]]&amp;")")</f>
        <v>Access Continuum</v>
      </c>
      <c r="I6" s="12" t="s">
        <v>527</v>
      </c>
      <c r="J6" s="19" t="str" cm="1">
        <f t="array" ref="J6">CreateGuidString()</f>
        <v>5D85B385-7CE0-4294-94FD-9BA8BB07B653</v>
      </c>
    </row>
    <row r="7" spans="1:10" x14ac:dyDescent="0.35">
      <c r="A7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Access Control</v>
      </c>
      <c r="B7" s="35">
        <f>COUNTIF(NodesData[Unambiguous Name],NodesData[[#This Row],[Unambiguous Name]])</f>
        <v>1</v>
      </c>
      <c r="C7" s="12" t="s">
        <v>528</v>
      </c>
      <c r="D7" s="13" t="s">
        <v>1424</v>
      </c>
      <c r="E7" s="35">
        <f>COUNTIF(NodesData[Node ID],NodesData[[#This Row],[Node ID]])</f>
        <v>1</v>
      </c>
      <c r="G7" s="12" t="str">
        <f>IF(NodesData[[#This Row],[Class Disambiguation]]="",NodesData[[#This Row],[Common Name]],NodesData[[#This Row],[Common Name]]&amp;" ("&amp;NodesData[[#This Row],[Class Disambiguation]]&amp;")")</f>
        <v>Access Control</v>
      </c>
      <c r="I7" s="12" t="s">
        <v>529</v>
      </c>
      <c r="J7" s="19" t="str" cm="1">
        <f t="array" ref="J7">CreateGuidString()</f>
        <v>B6CDD9FA-2273-49D9-BA43-5453485A0C37</v>
      </c>
    </row>
    <row r="8" spans="1:10" x14ac:dyDescent="0.35">
      <c r="A8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Access Control List</v>
      </c>
      <c r="B8" s="35">
        <f>COUNTIF(NodesData[Unambiguous Name],NodesData[[#This Row],[Unambiguous Name]])</f>
        <v>1</v>
      </c>
      <c r="C8" s="12" t="s">
        <v>530</v>
      </c>
      <c r="D8" s="13" t="s">
        <v>1425</v>
      </c>
      <c r="E8" s="35">
        <f>COUNTIF(NodesData[Node ID],NodesData[[#This Row],[Node ID]])</f>
        <v>1</v>
      </c>
      <c r="G8" s="12" t="str">
        <f>IF(NodesData[[#This Row],[Class Disambiguation]]="",NodesData[[#This Row],[Common Name]],NodesData[[#This Row],[Common Name]]&amp;" ("&amp;NodesData[[#This Row],[Class Disambiguation]]&amp;")")</f>
        <v>Access Control List</v>
      </c>
      <c r="I8" s="12" t="s">
        <v>531</v>
      </c>
      <c r="J8" s="19" t="str" cm="1">
        <f t="array" ref="J8">CreateGuidString()</f>
        <v>243A6272-AA40-4A97-B58C-3C2743C4D290</v>
      </c>
    </row>
    <row r="9" spans="1:10" x14ac:dyDescent="0.35">
      <c r="A9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Access Control Mechanism</v>
      </c>
      <c r="B9" s="35">
        <f>COUNTIF(NodesData[Unambiguous Name],NodesData[[#This Row],[Unambiguous Name]])</f>
        <v>1</v>
      </c>
      <c r="C9" s="12" t="s">
        <v>532</v>
      </c>
      <c r="D9" s="13" t="s">
        <v>1426</v>
      </c>
      <c r="E9" s="35">
        <f>COUNTIF(NodesData[Node ID],NodesData[[#This Row],[Node ID]])</f>
        <v>1</v>
      </c>
      <c r="G9" s="12" t="str">
        <f>IF(NodesData[[#This Row],[Class Disambiguation]]="",NodesData[[#This Row],[Common Name]],NodesData[[#This Row],[Common Name]]&amp;" ("&amp;NodesData[[#This Row],[Class Disambiguation]]&amp;")")</f>
        <v>Access Control Mechanism</v>
      </c>
      <c r="I9" s="12" t="s">
        <v>533</v>
      </c>
      <c r="J9" s="19" t="str" cm="1">
        <f t="array" ref="J9">CreateGuidString()</f>
        <v>DCFAC7BB-466C-4260-BE71-C2F93BEC7333</v>
      </c>
    </row>
    <row r="10" spans="1:10" x14ac:dyDescent="0.35">
      <c r="A10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Access Control Model</v>
      </c>
      <c r="B10" s="35">
        <f>COUNTIF(NodesData[Unambiguous Name],NodesData[[#This Row],[Unambiguous Name]])</f>
        <v>1</v>
      </c>
      <c r="C10" s="12" t="s">
        <v>534</v>
      </c>
      <c r="D10" s="13" t="s">
        <v>1427</v>
      </c>
      <c r="E10" s="35">
        <f>COUNTIF(NodesData[Node ID],NodesData[[#This Row],[Node ID]])</f>
        <v>1</v>
      </c>
      <c r="G10" s="12" t="str">
        <f>IF(NodesData[[#This Row],[Class Disambiguation]]="",NodesData[[#This Row],[Common Name]],NodesData[[#This Row],[Common Name]]&amp;" ("&amp;NodesData[[#This Row],[Class Disambiguation]]&amp;")")</f>
        <v>Access Control Model</v>
      </c>
      <c r="I10" s="12" t="s">
        <v>535</v>
      </c>
      <c r="J10" s="19" t="str" cm="1">
        <f t="array" ref="J10">CreateGuidString()</f>
        <v>4EFF3663-8CE8-49E7-ADD7-EC02647A9F72</v>
      </c>
    </row>
    <row r="11" spans="1:10" x14ac:dyDescent="0.35">
      <c r="A11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Access Control Policy</v>
      </c>
      <c r="B11" s="35">
        <f>COUNTIF(NodesData[Unambiguous Name],NodesData[[#This Row],[Unambiguous Name]])</f>
        <v>1</v>
      </c>
      <c r="C11" s="12" t="s">
        <v>536</v>
      </c>
      <c r="D11" s="13" t="s">
        <v>1428</v>
      </c>
      <c r="E11" s="35">
        <f>COUNTIF(NodesData[Node ID],NodesData[[#This Row],[Node ID]])</f>
        <v>1</v>
      </c>
      <c r="G11" s="12" t="str">
        <f>IF(NodesData[[#This Row],[Class Disambiguation]]="",NodesData[[#This Row],[Common Name]],NodesData[[#This Row],[Common Name]]&amp;" ("&amp;NodesData[[#This Row],[Class Disambiguation]]&amp;")")</f>
        <v>Access Control Policy</v>
      </c>
      <c r="I11" s="12" t="s">
        <v>537</v>
      </c>
      <c r="J11" s="19" t="str" cm="1">
        <f t="array" ref="J11">CreateGuidString()</f>
        <v>966A14C0-0D90-465F-83ED-CC9DFF84EE7E</v>
      </c>
    </row>
    <row r="12" spans="1:10" x14ac:dyDescent="0.35">
      <c r="A12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Access Granularity (Property)</v>
      </c>
      <c r="B12" s="35">
        <f>COUNTIF(NodesData[Unambiguous Name],NodesData[[#This Row],[Unambiguous Name]])</f>
        <v>1</v>
      </c>
      <c r="C12" s="12" t="s">
        <v>1</v>
      </c>
      <c r="D12" s="13" t="s">
        <v>1429</v>
      </c>
      <c r="E12" s="35">
        <f>COUNTIF(NodesData[Node ID],NodesData[[#This Row],[Node ID]])</f>
        <v>1</v>
      </c>
      <c r="F12" s="11" t="s">
        <v>1357</v>
      </c>
      <c r="G12" s="12" t="str">
        <f>IF(NodesData[[#This Row],[Class Disambiguation]]="",NodesData[[#This Row],[Common Name]],NodesData[[#This Row],[Common Name]]&amp;" ("&amp;NodesData[[#This Row],[Class Disambiguation]]&amp;")")</f>
        <v>Access Granularity (Property)</v>
      </c>
      <c r="I12" s="12" t="s">
        <v>538</v>
      </c>
      <c r="J12" s="19" t="str" cm="1">
        <f t="array" ref="J12">CreateGuidString()</f>
        <v>CBC629B7-16CB-440E-AE7F-B4388F018022</v>
      </c>
    </row>
    <row r="13" spans="1:10" x14ac:dyDescent="0.35">
      <c r="A13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Access Privilege</v>
      </c>
      <c r="B13" s="35">
        <f>COUNTIF(NodesData[Unambiguous Name],NodesData[[#This Row],[Unambiguous Name]])</f>
        <v>1</v>
      </c>
      <c r="C13" s="12" t="s">
        <v>539</v>
      </c>
      <c r="D13" s="13" t="s">
        <v>1430</v>
      </c>
      <c r="E13" s="35">
        <f>COUNTIF(NodesData[Node ID],NodesData[[#This Row],[Node ID]])</f>
        <v>1</v>
      </c>
      <c r="G13" s="12" t="str">
        <f>IF(NodesData[[#This Row],[Class Disambiguation]]="",NodesData[[#This Row],[Common Name]],NodesData[[#This Row],[Common Name]]&amp;" ("&amp;NodesData[[#This Row],[Class Disambiguation]]&amp;")")</f>
        <v>Access Privilege</v>
      </c>
      <c r="I13" s="12" t="s">
        <v>540</v>
      </c>
      <c r="J13" s="19" t="str" cm="1">
        <f t="array" ref="J13">CreateGuidString()</f>
        <v>7A0ED9F4-DB39-4947-B02C-295BA09F013C</v>
      </c>
    </row>
    <row r="14" spans="1:10" x14ac:dyDescent="0.35">
      <c r="A14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Access Right</v>
      </c>
      <c r="B14" s="35">
        <f>COUNTIF(NodesData[Unambiguous Name],NodesData[[#This Row],[Unambiguous Name]])</f>
        <v>1</v>
      </c>
      <c r="C14" s="12" t="s">
        <v>541</v>
      </c>
      <c r="D14" s="13" t="s">
        <v>1431</v>
      </c>
      <c r="E14" s="35">
        <f>COUNTIF(NodesData[Node ID],NodesData[[#This Row],[Node ID]])</f>
        <v>1</v>
      </c>
      <c r="G14" s="12" t="str">
        <f>IF(NodesData[[#This Row],[Class Disambiguation]]="",NodesData[[#This Row],[Common Name]],NodesData[[#This Row],[Common Name]]&amp;" ("&amp;NodesData[[#This Row],[Class Disambiguation]]&amp;")")</f>
        <v>Access Right</v>
      </c>
      <c r="I14" s="12" t="s">
        <v>542</v>
      </c>
      <c r="J14" s="19" t="str" cm="1">
        <f t="array" ref="J14">CreateGuidString()</f>
        <v>7AA65FD4-5E0E-442A-820E-D44A7B18C77A</v>
      </c>
    </row>
    <row r="15" spans="1:10" x14ac:dyDescent="0.35">
      <c r="A15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Access Rights Management</v>
      </c>
      <c r="B15" s="35">
        <f>COUNTIF(NodesData[Unambiguous Name],NodesData[[#This Row],[Unambiguous Name]])</f>
        <v>1</v>
      </c>
      <c r="C15" s="12" t="s">
        <v>543</v>
      </c>
      <c r="D15" s="13" t="s">
        <v>1432</v>
      </c>
      <c r="E15" s="35">
        <f>COUNTIF(NodesData[Node ID],NodesData[[#This Row],[Node ID]])</f>
        <v>1</v>
      </c>
      <c r="G15" s="12" t="str">
        <f>IF(NodesData[[#This Row],[Class Disambiguation]]="",NodesData[[#This Row],[Common Name]],NodesData[[#This Row],[Common Name]]&amp;" ("&amp;NodesData[[#This Row],[Class Disambiguation]]&amp;")")</f>
        <v>Access Rights Management</v>
      </c>
      <c r="I15" s="12" t="s">
        <v>544</v>
      </c>
      <c r="J15" s="19" t="str" cm="1">
        <f t="array" ref="J15">CreateGuidString()</f>
        <v>CFC9E6E9-2E7D-4E1D-81FC-4E15D8D445BB</v>
      </c>
    </row>
    <row r="16" spans="1:10" x14ac:dyDescent="0.35">
      <c r="A16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Access Token</v>
      </c>
      <c r="B16" s="35">
        <f>COUNTIF(NodesData[Unambiguous Name],NodesData[[#This Row],[Unambiguous Name]])</f>
        <v>1</v>
      </c>
      <c r="C16" s="12" t="s">
        <v>19</v>
      </c>
      <c r="D16" s="13" t="s">
        <v>1433</v>
      </c>
      <c r="E16" s="35">
        <f>COUNTIF(NodesData[Node ID],NodesData[[#This Row],[Node ID]])</f>
        <v>1</v>
      </c>
      <c r="G16" s="12" t="str">
        <f>IF(NodesData[[#This Row],[Class Disambiguation]]="",NodesData[[#This Row],[Common Name]],NodesData[[#This Row],[Common Name]]&amp;" ("&amp;NodesData[[#This Row],[Class Disambiguation]]&amp;")")</f>
        <v>Access Token</v>
      </c>
      <c r="I16" s="12" t="s">
        <v>545</v>
      </c>
      <c r="J16" s="19" t="str" cm="1">
        <f t="array" ref="J16">CreateGuidString()</f>
        <v>5DF962AF-E9FB-4715-A17F-7C2FA68D4704</v>
      </c>
    </row>
    <row r="17" spans="1:10" x14ac:dyDescent="0.35">
      <c r="A17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Account</v>
      </c>
      <c r="B17" s="35">
        <f>COUNTIF(NodesData[Unambiguous Name],NodesData[[#This Row],[Unambiguous Name]])</f>
        <v>1</v>
      </c>
      <c r="C17" s="12" t="s">
        <v>20</v>
      </c>
      <c r="D17" s="13" t="s">
        <v>1434</v>
      </c>
      <c r="E17" s="35">
        <f>COUNTIF(NodesData[Node ID],NodesData[[#This Row],[Node ID]])</f>
        <v>1</v>
      </c>
      <c r="G17" s="12" t="str">
        <f>IF(NodesData[[#This Row],[Class Disambiguation]]="",NodesData[[#This Row],[Common Name]],NodesData[[#This Row],[Common Name]]&amp;" ("&amp;NodesData[[#This Row],[Class Disambiguation]]&amp;")")</f>
        <v>Account</v>
      </c>
      <c r="I17" s="12" t="s">
        <v>546</v>
      </c>
      <c r="J17" s="19" t="str" cm="1">
        <f t="array" ref="J17">CreateGuidString()</f>
        <v>DE35998A-F2EA-42DA-AE88-867A637AA580</v>
      </c>
    </row>
    <row r="18" spans="1:10" x14ac:dyDescent="0.35">
      <c r="A18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Account Lockout Policy</v>
      </c>
      <c r="B18" s="35">
        <f>COUNTIF(NodesData[Unambiguous Name],NodesData[[#This Row],[Unambiguous Name]])</f>
        <v>1</v>
      </c>
      <c r="C18" s="12" t="s">
        <v>547</v>
      </c>
      <c r="D18" s="13" t="s">
        <v>1435</v>
      </c>
      <c r="E18" s="35">
        <f>COUNTIF(NodesData[Node ID],NodesData[[#This Row],[Node ID]])</f>
        <v>1</v>
      </c>
      <c r="G18" s="12" t="str">
        <f>IF(NodesData[[#This Row],[Class Disambiguation]]="",NodesData[[#This Row],[Common Name]],NodesData[[#This Row],[Common Name]]&amp;" ("&amp;NodesData[[#This Row],[Class Disambiguation]]&amp;")")</f>
        <v>Account Lockout Policy</v>
      </c>
      <c r="I18" s="12" t="s">
        <v>548</v>
      </c>
      <c r="J18" s="19" t="str" cm="1">
        <f t="array" ref="J18">CreateGuidString()</f>
        <v>4F70C3DF-B7CA-4241-B432-5287E7FAC3B9</v>
      </c>
    </row>
    <row r="19" spans="1:10" x14ac:dyDescent="0.35">
      <c r="A19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Account Management</v>
      </c>
      <c r="B19" s="35">
        <f>COUNTIF(NodesData[Unambiguous Name],NodesData[[#This Row],[Unambiguous Name]])</f>
        <v>1</v>
      </c>
      <c r="C19" s="12" t="s">
        <v>549</v>
      </c>
      <c r="D19" s="13" t="s">
        <v>1436</v>
      </c>
      <c r="E19" s="35">
        <f>COUNTIF(NodesData[Node ID],NodesData[[#This Row],[Node ID]])</f>
        <v>1</v>
      </c>
      <c r="G19" s="12" t="str">
        <f>IF(NodesData[[#This Row],[Class Disambiguation]]="",NodesData[[#This Row],[Common Name]],NodesData[[#This Row],[Common Name]]&amp;" ("&amp;NodesData[[#This Row],[Class Disambiguation]]&amp;")")</f>
        <v>Account Management</v>
      </c>
      <c r="I19" s="12" t="s">
        <v>550</v>
      </c>
      <c r="J19" s="19" t="str" cm="1">
        <f t="array" ref="J19">CreateGuidString()</f>
        <v>7CF41909-59ED-45B7-9594-C554F91A0E02</v>
      </c>
    </row>
    <row r="20" spans="1:10" x14ac:dyDescent="0.35">
      <c r="A20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Account Takeover</v>
      </c>
      <c r="B20" s="35">
        <f>COUNTIF(NodesData[Unambiguous Name],NodesData[[#This Row],[Unambiguous Name]])</f>
        <v>1</v>
      </c>
      <c r="C20" s="12" t="s">
        <v>4</v>
      </c>
      <c r="D20" s="13" t="s">
        <v>1437</v>
      </c>
      <c r="E20" s="35">
        <f>COUNTIF(NodesData[Node ID],NodesData[[#This Row],[Node ID]])</f>
        <v>1</v>
      </c>
      <c r="G20" s="12" t="str">
        <f>IF(NodesData[[#This Row],[Class Disambiguation]]="",NodesData[[#This Row],[Common Name]],NodesData[[#This Row],[Common Name]]&amp;" ("&amp;NodesData[[#This Row],[Class Disambiguation]]&amp;")")</f>
        <v>Account Takeover</v>
      </c>
      <c r="H20" s="18" t="s">
        <v>4</v>
      </c>
      <c r="I20" s="12" t="s">
        <v>551</v>
      </c>
      <c r="J20" s="19" t="str" cm="1">
        <f t="array" ref="J20">CreateGuidString()</f>
        <v>8204A3FA-8CEC-4AD2-89D4-3B02F948319D</v>
      </c>
    </row>
    <row r="21" spans="1:10" x14ac:dyDescent="0.35">
      <c r="A21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Accountability</v>
      </c>
      <c r="B21" s="35">
        <f>COUNTIF(NodesData[Unambiguous Name],NodesData[[#This Row],[Unambiguous Name]])</f>
        <v>1</v>
      </c>
      <c r="C21" s="12" t="s">
        <v>1264</v>
      </c>
      <c r="D21" s="13" t="s">
        <v>1445</v>
      </c>
      <c r="E21" s="35">
        <f>COUNTIF(NodesData[Node ID],NodesData[[#This Row],[Node ID]])</f>
        <v>1</v>
      </c>
      <c r="G21" s="12" t="str">
        <f>IF(NodesData[[#This Row],[Class Disambiguation]]="",NodesData[[#This Row],[Common Name]],NodesData[[#This Row],[Common Name]]&amp;" ("&amp;NodesData[[#This Row],[Class Disambiguation]]&amp;")")</f>
        <v>Accountability</v>
      </c>
      <c r="I21" s="12" t="s">
        <v>552</v>
      </c>
      <c r="J21" s="19" t="str" cm="1">
        <f t="array" ref="J21">CreateGuidString()</f>
        <v>6F9A999C-3D5B-4B57-A6F7-734DE588F7EA</v>
      </c>
    </row>
    <row r="22" spans="1:10" x14ac:dyDescent="0.35">
      <c r="A22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Accreditation</v>
      </c>
      <c r="B22" s="35">
        <f>COUNTIF(NodesData[Unambiguous Name],NodesData[[#This Row],[Unambiguous Name]])</f>
        <v>1</v>
      </c>
      <c r="C22" s="12" t="s">
        <v>553</v>
      </c>
      <c r="D22" s="13" t="s">
        <v>1446</v>
      </c>
      <c r="E22" s="35">
        <f>COUNTIF(NodesData[Node ID],NodesData[[#This Row],[Node ID]])</f>
        <v>1</v>
      </c>
      <c r="G22" s="12" t="str">
        <f>IF(NodesData[[#This Row],[Class Disambiguation]]="",NodesData[[#This Row],[Common Name]],NodesData[[#This Row],[Common Name]]&amp;" ("&amp;NodesData[[#This Row],[Class Disambiguation]]&amp;")")</f>
        <v>Accreditation</v>
      </c>
      <c r="I22" s="12" t="s">
        <v>554</v>
      </c>
      <c r="J22" s="19" t="str" cm="1">
        <f t="array" ref="J22">CreateGuidString()</f>
        <v>EA05F268-9B64-49AE-8196-19D21288C37D</v>
      </c>
    </row>
    <row r="23" spans="1:10" x14ac:dyDescent="0.35">
      <c r="A23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Active Impersonation Attack</v>
      </c>
      <c r="B23" s="35">
        <f>COUNTIF(NodesData[Unambiguous Name],NodesData[[#This Row],[Unambiguous Name]])</f>
        <v>1</v>
      </c>
      <c r="C23" s="12" t="s">
        <v>555</v>
      </c>
      <c r="D23" s="13" t="s">
        <v>1447</v>
      </c>
      <c r="E23" s="35">
        <f>COUNTIF(NodesData[Node ID],NodesData[[#This Row],[Node ID]])</f>
        <v>1</v>
      </c>
      <c r="G23" s="12" t="str">
        <f>IF(NodesData[[#This Row],[Class Disambiguation]]="",NodesData[[#This Row],[Common Name]],NodesData[[#This Row],[Common Name]]&amp;" ("&amp;NodesData[[#This Row],[Class Disambiguation]]&amp;")")</f>
        <v>Active Impersonation Attack</v>
      </c>
      <c r="I23" s="12" t="s">
        <v>556</v>
      </c>
      <c r="J23" s="19" t="str" cm="1">
        <f t="array" ref="J23">CreateGuidString()</f>
        <v>91706B31-71A2-48F4-A308-AEBEE0F90DF0</v>
      </c>
    </row>
    <row r="24" spans="1:10" x14ac:dyDescent="0.35">
      <c r="A24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AP (Acronym)</v>
      </c>
      <c r="B24" s="35">
        <f>COUNTIF(NodesData[Unambiguous Name],NodesData[[#This Row],[Unambiguous Name]])</f>
        <v>1</v>
      </c>
      <c r="C24" s="12" t="s">
        <v>29</v>
      </c>
      <c r="D24" s="13" t="s">
        <v>1448</v>
      </c>
      <c r="E24" s="35">
        <f>COUNTIF(NodesData[Node ID],NodesData[[#This Row],[Node ID]])</f>
        <v>1</v>
      </c>
      <c r="F24" s="12" t="s">
        <v>1270</v>
      </c>
      <c r="G24" s="12" t="str">
        <f>IF(NodesData[[#This Row],[Class Disambiguation]]="",NodesData[[#This Row],[Common Name]],NodesData[[#This Row],[Common Name]]&amp;" ("&amp;NodesData[[#This Row],[Class Disambiguation]]&amp;")")</f>
        <v>AP (Acronym)</v>
      </c>
      <c r="I24" s="12" t="s">
        <v>557</v>
      </c>
      <c r="J24" s="19" t="str" cm="1">
        <f t="array" ref="J24">CreateGuidString()</f>
        <v>47082A14-1333-4AF1-856D-6B8D71FF6738</v>
      </c>
    </row>
    <row r="25" spans="1:10" x14ac:dyDescent="0.35">
      <c r="A25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Applicant</v>
      </c>
      <c r="B25" s="35">
        <f>COUNTIF(NodesData[Unambiguous Name],NodesData[[#This Row],[Unambiguous Name]])</f>
        <v>1</v>
      </c>
      <c r="C25" s="12" t="s">
        <v>558</v>
      </c>
      <c r="D25" s="13" t="s">
        <v>1449</v>
      </c>
      <c r="E25" s="35">
        <f>COUNTIF(NodesData[Node ID],NodesData[[#This Row],[Node ID]])</f>
        <v>1</v>
      </c>
      <c r="G25" s="12" t="str">
        <f>IF(NodesData[[#This Row],[Class Disambiguation]]="",NodesData[[#This Row],[Common Name]],NodesData[[#This Row],[Common Name]]&amp;" ("&amp;NodesData[[#This Row],[Class Disambiguation]]&amp;")")</f>
        <v>Applicant</v>
      </c>
      <c r="I25" s="12" t="s">
        <v>559</v>
      </c>
      <c r="J25" s="19" t="str" cm="1">
        <f t="array" ref="J25">CreateGuidString()</f>
        <v>36A55BBC-FEB2-48F5-90C0-FFDD567B67B7</v>
      </c>
    </row>
    <row r="26" spans="1:10" x14ac:dyDescent="0.35">
      <c r="A26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Application</v>
      </c>
      <c r="B26" s="35">
        <f>COUNTIF(NodesData[Unambiguous Name],NodesData[[#This Row],[Unambiguous Name]])</f>
        <v>1</v>
      </c>
      <c r="C26" s="12" t="s">
        <v>31</v>
      </c>
      <c r="D26" s="13" t="s">
        <v>1450</v>
      </c>
      <c r="E26" s="35">
        <f>COUNTIF(NodesData[Node ID],NodesData[[#This Row],[Node ID]])</f>
        <v>1</v>
      </c>
      <c r="G26" s="12" t="str">
        <f>IF(NodesData[[#This Row],[Class Disambiguation]]="",NodesData[[#This Row],[Common Name]],NodesData[[#This Row],[Common Name]]&amp;" ("&amp;NodesData[[#This Row],[Class Disambiguation]]&amp;")")</f>
        <v>Application</v>
      </c>
      <c r="I26" s="12" t="s">
        <v>560</v>
      </c>
      <c r="J26" s="19" t="str" cm="1">
        <f t="array" ref="J26">CreateGuidString()</f>
        <v>5D0C3265-A2C1-4ECC-9B8E-FD4FD9407E09</v>
      </c>
    </row>
    <row r="27" spans="1:10" x14ac:dyDescent="0.35">
      <c r="A27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Application Administrator</v>
      </c>
      <c r="B27" s="35">
        <f>COUNTIF(NodesData[Unambiguous Name],NodesData[[#This Row],[Unambiguous Name]])</f>
        <v>1</v>
      </c>
      <c r="C27" s="12" t="s">
        <v>561</v>
      </c>
      <c r="D27" s="13" t="s">
        <v>1451</v>
      </c>
      <c r="E27" s="35">
        <f>COUNTIF(NodesData[Node ID],NodesData[[#This Row],[Node ID]])</f>
        <v>1</v>
      </c>
      <c r="G27" s="12" t="str">
        <f>IF(NodesData[[#This Row],[Class Disambiguation]]="",NodesData[[#This Row],[Common Name]],NodesData[[#This Row],[Common Name]]&amp;" ("&amp;NodesData[[#This Row],[Class Disambiguation]]&amp;")")</f>
        <v>Application Administrator</v>
      </c>
      <c r="I27" s="12" t="s">
        <v>562</v>
      </c>
      <c r="J27" s="19" t="str" cm="1">
        <f t="array" ref="J27">CreateGuidString()</f>
        <v>580A2A74-EF18-4765-BDDB-562775CD700B</v>
      </c>
    </row>
    <row r="28" spans="1:10" x14ac:dyDescent="0.35">
      <c r="A28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Application Instance</v>
      </c>
      <c r="B28" s="35">
        <f>COUNTIF(NodesData[Unambiguous Name],NodesData[[#This Row],[Unambiguous Name]])</f>
        <v>1</v>
      </c>
      <c r="C28" s="12" t="s">
        <v>563</v>
      </c>
      <c r="D28" s="13" t="s">
        <v>1452</v>
      </c>
      <c r="E28" s="35">
        <f>COUNTIF(NodesData[Node ID],NodesData[[#This Row],[Node ID]])</f>
        <v>1</v>
      </c>
      <c r="G28" s="12" t="str">
        <f>IF(NodesData[[#This Row],[Class Disambiguation]]="",NodesData[[#This Row],[Common Name]],NodesData[[#This Row],[Common Name]]&amp;" ("&amp;NodesData[[#This Row],[Class Disambiguation]]&amp;")")</f>
        <v>Application Instance</v>
      </c>
      <c r="I28" s="12" t="s">
        <v>564</v>
      </c>
      <c r="J28" s="19" t="str" cm="1">
        <f t="array" ref="J28">CreateGuidString()</f>
        <v>533810D6-6FE5-4595-9884-B43EA75453A1</v>
      </c>
    </row>
    <row r="29" spans="1:10" x14ac:dyDescent="0.35">
      <c r="A29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Application Multiplexing</v>
      </c>
      <c r="B29" s="35">
        <f>COUNTIF(NodesData[Unambiguous Name],NodesData[[#This Row],[Unambiguous Name]])</f>
        <v>1</v>
      </c>
      <c r="C29" s="12" t="s">
        <v>35</v>
      </c>
      <c r="D29" s="13" t="s">
        <v>1453</v>
      </c>
      <c r="E29" s="35">
        <f>COUNTIF(NodesData[Node ID],NodesData[[#This Row],[Node ID]])</f>
        <v>1</v>
      </c>
      <c r="G29" s="12" t="str">
        <f>IF(NodesData[[#This Row],[Class Disambiguation]]="",NodesData[[#This Row],[Common Name]],NodesData[[#This Row],[Common Name]]&amp;" ("&amp;NodesData[[#This Row],[Class Disambiguation]]&amp;")")</f>
        <v>Application Multiplexing</v>
      </c>
      <c r="I29" s="12" t="s">
        <v>565</v>
      </c>
      <c r="J29" s="19" t="str" cm="1">
        <f t="array" ref="J29">CreateGuidString()</f>
        <v>DC96D770-5135-473C-B7D4-89195AEA2106</v>
      </c>
    </row>
    <row r="30" spans="1:10" x14ac:dyDescent="0.35">
      <c r="A30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Application Package</v>
      </c>
      <c r="B30" s="35">
        <f>COUNTIF(NodesData[Unambiguous Name],NodesData[[#This Row],[Unambiguous Name]])</f>
        <v>1</v>
      </c>
      <c r="C30" s="12" t="s">
        <v>566</v>
      </c>
      <c r="D30" s="13" t="s">
        <v>1454</v>
      </c>
      <c r="E30" s="35">
        <f>COUNTIF(NodesData[Node ID],NodesData[[#This Row],[Node ID]])</f>
        <v>1</v>
      </c>
      <c r="G30" s="12" t="str">
        <f>IF(NodesData[[#This Row],[Class Disambiguation]]="",NodesData[[#This Row],[Common Name]],NodesData[[#This Row],[Common Name]]&amp;" ("&amp;NodesData[[#This Row],[Class Disambiguation]]&amp;")")</f>
        <v>Application Package</v>
      </c>
      <c r="I30" s="12" t="s">
        <v>567</v>
      </c>
      <c r="J30" s="19" t="str" cm="1">
        <f t="array" ref="J30">CreateGuidString()</f>
        <v>E9A518FF-E7FF-4B63-8C82-35A380AC425D</v>
      </c>
    </row>
    <row r="31" spans="1:10" x14ac:dyDescent="0.35">
      <c r="A31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Application Program</v>
      </c>
      <c r="B31" s="35">
        <f>COUNTIF(NodesData[Unambiguous Name],NodesData[[#This Row],[Unambiguous Name]])</f>
        <v>1</v>
      </c>
      <c r="C31" s="12" t="s">
        <v>37</v>
      </c>
      <c r="D31" s="13" t="s">
        <v>1455</v>
      </c>
      <c r="E31" s="35">
        <f>COUNTIF(NodesData[Node ID],NodesData[[#This Row],[Node ID]])</f>
        <v>1</v>
      </c>
      <c r="G31" s="12" t="str">
        <f>IF(NodesData[[#This Row],[Class Disambiguation]]="",NodesData[[#This Row],[Common Name]],NodesData[[#This Row],[Common Name]]&amp;" ("&amp;NodesData[[#This Row],[Class Disambiguation]]&amp;")")</f>
        <v>Application Program</v>
      </c>
      <c r="I31" s="12" t="s">
        <v>568</v>
      </c>
      <c r="J31" s="19" t="str" cm="1">
        <f t="array" ref="J31">CreateGuidString()</f>
        <v>99A86CC0-57CD-45E3-81E6-218F7C12E37B</v>
      </c>
    </row>
    <row r="32" spans="1:10" x14ac:dyDescent="0.35">
      <c r="A32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Application-Level Policy</v>
      </c>
      <c r="B32" s="35">
        <f>COUNTIF(NodesData[Unambiguous Name],NodesData[[#This Row],[Unambiguous Name]])</f>
        <v>1</v>
      </c>
      <c r="C32" s="12" t="s">
        <v>569</v>
      </c>
      <c r="D32" s="13" t="s">
        <v>1456</v>
      </c>
      <c r="E32" s="35">
        <f>COUNTIF(NodesData[Node ID],NodesData[[#This Row],[Node ID]])</f>
        <v>1</v>
      </c>
      <c r="G32" s="12" t="str">
        <f>IF(NodesData[[#This Row],[Class Disambiguation]]="",NodesData[[#This Row],[Common Name]],NodesData[[#This Row],[Common Name]]&amp;" ("&amp;NodesData[[#This Row],[Class Disambiguation]]&amp;")")</f>
        <v>Application-Level Policy</v>
      </c>
      <c r="I32" s="12" t="s">
        <v>570</v>
      </c>
      <c r="J32" s="19" t="str" cm="1">
        <f t="array" ref="J32">CreateGuidString()</f>
        <v>45F83812-7104-4A4B-ABF7-0191DD9FC306</v>
      </c>
    </row>
    <row r="33" spans="1:10" x14ac:dyDescent="0.35">
      <c r="A33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Archive</v>
      </c>
      <c r="B33" s="35">
        <f>COUNTIF(NodesData[Unambiguous Name],NodesData[[#This Row],[Unambiguous Name]])</f>
        <v>1</v>
      </c>
      <c r="C33" s="12" t="s">
        <v>571</v>
      </c>
      <c r="D33" s="13" t="s">
        <v>1457</v>
      </c>
      <c r="E33" s="35">
        <f>COUNTIF(NodesData[Node ID],NodesData[[#This Row],[Node ID]])</f>
        <v>1</v>
      </c>
      <c r="G33" s="12" t="str">
        <f>IF(NodesData[[#This Row],[Class Disambiguation]]="",NodesData[[#This Row],[Common Name]],NodesData[[#This Row],[Common Name]]&amp;" ("&amp;NodesData[[#This Row],[Class Disambiguation]]&amp;")")</f>
        <v>Archive</v>
      </c>
      <c r="I33" s="12" t="s">
        <v>572</v>
      </c>
      <c r="J33" s="19" t="str" cm="1">
        <f t="array" ref="J33">CreateGuidString()</f>
        <v>61BAB91A-83FB-4C08-9EED-1A3982E3F714</v>
      </c>
    </row>
    <row r="34" spans="1:10" x14ac:dyDescent="0.35">
      <c r="A34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ARM (Acronym)</v>
      </c>
      <c r="B34" s="35">
        <f>COUNTIF(NodesData[Unambiguous Name],NodesData[[#This Row],[Unambiguous Name]])</f>
        <v>1</v>
      </c>
      <c r="C34" s="12" t="s">
        <v>39</v>
      </c>
      <c r="D34" s="13" t="s">
        <v>1458</v>
      </c>
      <c r="E34" s="35">
        <f>COUNTIF(NodesData[Node ID],NodesData[[#This Row],[Node ID]])</f>
        <v>1</v>
      </c>
      <c r="F34" s="12" t="s">
        <v>1270</v>
      </c>
      <c r="G34" s="12" t="str">
        <f>IF(NodesData[[#This Row],[Class Disambiguation]]="",NodesData[[#This Row],[Common Name]],NodesData[[#This Row],[Common Name]]&amp;" ("&amp;NodesData[[#This Row],[Class Disambiguation]]&amp;")")</f>
        <v>ARM (Acronym)</v>
      </c>
      <c r="I34" s="12" t="s">
        <v>573</v>
      </c>
      <c r="J34" s="19" t="str" cm="1">
        <f t="array" ref="J34">CreateGuidString()</f>
        <v>22C8DA28-FDC5-4479-9292-FC417A912976</v>
      </c>
    </row>
    <row r="35" spans="1:10" x14ac:dyDescent="0.35">
      <c r="A35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Asset Custody</v>
      </c>
      <c r="B35" s="35">
        <f>COUNTIF(NodesData[Unambiguous Name],NodesData[[#This Row],[Unambiguous Name]])</f>
        <v>1</v>
      </c>
      <c r="C35" s="12" t="s">
        <v>574</v>
      </c>
      <c r="D35" s="13" t="s">
        <v>1459</v>
      </c>
      <c r="E35" s="35">
        <f>COUNTIF(NodesData[Node ID],NodesData[[#This Row],[Node ID]])</f>
        <v>1</v>
      </c>
      <c r="G35" s="12" t="str">
        <f>IF(NodesData[[#This Row],[Class Disambiguation]]="",NodesData[[#This Row],[Common Name]],NodesData[[#This Row],[Common Name]]&amp;" ("&amp;NodesData[[#This Row],[Class Disambiguation]]&amp;")")</f>
        <v>Asset Custody</v>
      </c>
      <c r="I35" s="12" t="s">
        <v>575</v>
      </c>
      <c r="J35" s="19" t="str" cm="1">
        <f t="array" ref="J35">CreateGuidString()</f>
        <v>5BD29964-2584-4B77-AAA1-06CF5F46A1C2</v>
      </c>
    </row>
    <row r="36" spans="1:10" x14ac:dyDescent="0.35">
      <c r="A36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Attack Class</v>
      </c>
      <c r="B36" s="35">
        <f>COUNTIF(NodesData[Unambiguous Name],NodesData[[#This Row],[Unambiguous Name]])</f>
        <v>1</v>
      </c>
      <c r="C36" s="32" t="s">
        <v>1381</v>
      </c>
      <c r="D36" s="13" t="s">
        <v>1460</v>
      </c>
      <c r="E36" s="35">
        <f>COUNTIF(NodesData[Node ID],NodesData[[#This Row],[Node ID]])</f>
        <v>1</v>
      </c>
      <c r="G36" s="18" t="str">
        <f>IF(NodesData[[#This Row],[Class Disambiguation]]="",NodesData[[#This Row],[Common Name]],NodesData[[#This Row],[Common Name]]&amp;" ("&amp;NodesData[[#This Row],[Class Disambiguation]]&amp;")")</f>
        <v>Attack Class</v>
      </c>
      <c r="H36" s="18"/>
      <c r="J36" s="20" t="str" cm="1">
        <f t="array" ref="J36">CreateGuidString()</f>
        <v>7F918E89-3A82-4E97-8C3B-9FE53344DAEF</v>
      </c>
    </row>
    <row r="37" spans="1:10" x14ac:dyDescent="0.35">
      <c r="A37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Attestation</v>
      </c>
      <c r="B37" s="35">
        <f>COUNTIF(NodesData[Unambiguous Name],NodesData[[#This Row],[Unambiguous Name]])</f>
        <v>1</v>
      </c>
      <c r="C37" s="12" t="s">
        <v>41</v>
      </c>
      <c r="D37" s="13" t="s">
        <v>1461</v>
      </c>
      <c r="E37" s="35">
        <f>COUNTIF(NodesData[Node ID],NodesData[[#This Row],[Node ID]])</f>
        <v>1</v>
      </c>
      <c r="G37" s="12" t="str">
        <f>IF(NodesData[[#This Row],[Class Disambiguation]]="",NodesData[[#This Row],[Common Name]],NodesData[[#This Row],[Common Name]]&amp;" ("&amp;NodesData[[#This Row],[Class Disambiguation]]&amp;")")</f>
        <v>Attestation</v>
      </c>
      <c r="I37" s="12" t="s">
        <v>576</v>
      </c>
      <c r="J37" s="19" t="str" cm="1">
        <f t="array" ref="J37">CreateGuidString()</f>
        <v>84485551-2EC7-46B5-8C60-2E3EE14F4FD8</v>
      </c>
    </row>
    <row r="38" spans="1:10" x14ac:dyDescent="0.35">
      <c r="A38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Attribute</v>
      </c>
      <c r="B38" s="35">
        <f>COUNTIF(NodesData[Unambiguous Name],NodesData[[#This Row],[Unambiguous Name]])</f>
        <v>1</v>
      </c>
      <c r="C38" s="12" t="s">
        <v>1265</v>
      </c>
      <c r="D38" s="13" t="s">
        <v>1462</v>
      </c>
      <c r="E38" s="35">
        <f>COUNTIF(NodesData[Node ID],NodesData[[#This Row],[Node ID]])</f>
        <v>1</v>
      </c>
      <c r="G38" s="12" t="str">
        <f>IF(NodesData[[#This Row],[Class Disambiguation]]="",NodesData[[#This Row],[Common Name]],NodesData[[#This Row],[Common Name]]&amp;" ("&amp;NodesData[[#This Row],[Class Disambiguation]]&amp;")")</f>
        <v>Attribute</v>
      </c>
      <c r="I38" s="12" t="s">
        <v>577</v>
      </c>
      <c r="J38" s="19" t="str" cm="1">
        <f t="array" ref="J38">CreateGuidString()</f>
        <v>81B4F33C-8196-4143-B1B1-BA88F50F59B4</v>
      </c>
    </row>
    <row r="39" spans="1:10" x14ac:dyDescent="0.35">
      <c r="A39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Attribute Provider</v>
      </c>
      <c r="B39" s="35">
        <f>COUNTIF(NodesData[Unambiguous Name],NodesData[[#This Row],[Unambiguous Name]])</f>
        <v>1</v>
      </c>
      <c r="C39" s="12" t="s">
        <v>578</v>
      </c>
      <c r="D39" s="13" t="s">
        <v>1463</v>
      </c>
      <c r="E39" s="35">
        <f>COUNTIF(NodesData[Node ID],NodesData[[#This Row],[Node ID]])</f>
        <v>1</v>
      </c>
      <c r="G39" s="12" t="str">
        <f>IF(NodesData[[#This Row],[Class Disambiguation]]="",NodesData[[#This Row],[Common Name]],NodesData[[#This Row],[Common Name]]&amp;" ("&amp;NodesData[[#This Row],[Class Disambiguation]]&amp;")")</f>
        <v>Attribute Provider</v>
      </c>
      <c r="I39" s="12" t="s">
        <v>579</v>
      </c>
      <c r="J39" s="19" t="str" cm="1">
        <f t="array" ref="J39">CreateGuidString()</f>
        <v>B985D80F-5256-4D24-9EE9-A719F59E7E8C</v>
      </c>
    </row>
    <row r="40" spans="1:10" x14ac:dyDescent="0.35">
      <c r="A40" s="18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Authentic Identity</v>
      </c>
      <c r="B40" s="43">
        <f>COUNTIF(NodesData[Unambiguous Name],NodesData[[#This Row],[Unambiguous Name]])</f>
        <v>1</v>
      </c>
      <c r="C40" s="12" t="s">
        <v>1989</v>
      </c>
      <c r="D40" s="13" t="s">
        <v>1997</v>
      </c>
      <c r="E40" s="43">
        <f>COUNTIF(NodesData[Node ID],NodesData[[#This Row],[Node ID]])</f>
        <v>1</v>
      </c>
      <c r="G40" s="18" t="str">
        <f>IF(NodesData[[#This Row],[Class Disambiguation]]="",NodesData[[#This Row],[Common Name]],NodesData[[#This Row],[Common Name]]&amp;" ("&amp;NodesData[[#This Row],[Class Disambiguation]]&amp;")")</f>
        <v>Authentic Identity</v>
      </c>
      <c r="J40" s="20" t="str" cm="1">
        <f t="array" ref="J40">CreateGuidString()</f>
        <v>B9BC6707-084C-4264-ABDB-9F04C39AC188</v>
      </c>
    </row>
    <row r="41" spans="1:10" x14ac:dyDescent="0.35">
      <c r="A41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Authenticated Users</v>
      </c>
      <c r="B41" s="35">
        <f>COUNTIF(NodesData[Unambiguous Name],NodesData[[#This Row],[Unambiguous Name]])</f>
        <v>1</v>
      </c>
      <c r="C41" s="12" t="s">
        <v>580</v>
      </c>
      <c r="D41" s="13" t="s">
        <v>1464</v>
      </c>
      <c r="E41" s="35">
        <f>COUNTIF(NodesData[Node ID],NodesData[[#This Row],[Node ID]])</f>
        <v>1</v>
      </c>
      <c r="G41" s="12" t="str">
        <f>IF(NodesData[[#This Row],[Class Disambiguation]]="",NodesData[[#This Row],[Common Name]],NodesData[[#This Row],[Common Name]]&amp;" ("&amp;NodesData[[#This Row],[Class Disambiguation]]&amp;")")</f>
        <v>Authenticated Users</v>
      </c>
      <c r="I41" s="12" t="s">
        <v>581</v>
      </c>
      <c r="J41" s="19" t="str" cm="1">
        <f t="array" ref="J41">CreateGuidString()</f>
        <v>E04F4B3E-7B9B-40D5-915A-64B12A884230</v>
      </c>
    </row>
    <row r="42" spans="1:10" x14ac:dyDescent="0.35">
      <c r="A42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Authentication</v>
      </c>
      <c r="B42" s="35">
        <f>COUNTIF(NodesData[Unambiguous Name],NodesData[[#This Row],[Unambiguous Name]])</f>
        <v>1</v>
      </c>
      <c r="C42" s="12" t="s">
        <v>582</v>
      </c>
      <c r="D42" s="13" t="s">
        <v>1465</v>
      </c>
      <c r="E42" s="35">
        <f>COUNTIF(NodesData[Node ID],NodesData[[#This Row],[Node ID]])</f>
        <v>1</v>
      </c>
      <c r="G42" s="12" t="str">
        <f>IF(NodesData[[#This Row],[Class Disambiguation]]="",NodesData[[#This Row],[Common Name]],NodesData[[#This Row],[Common Name]]&amp;" ("&amp;NodesData[[#This Row],[Class Disambiguation]]&amp;")")</f>
        <v>Authentication</v>
      </c>
      <c r="I42" s="12" t="s">
        <v>583</v>
      </c>
      <c r="J42" s="19" t="str" cm="1">
        <f t="array" ref="J42">CreateGuidString()</f>
        <v>D42E140B-1585-4FAC-A4F6-F3F5492F04C4</v>
      </c>
    </row>
    <row r="43" spans="1:10" x14ac:dyDescent="0.35">
      <c r="A43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Authentication Factor</v>
      </c>
      <c r="B43" s="35">
        <f>COUNTIF(NodesData[Unambiguous Name],NodesData[[#This Row],[Unambiguous Name]])</f>
        <v>1</v>
      </c>
      <c r="C43" s="12" t="s">
        <v>0</v>
      </c>
      <c r="D43" s="13" t="s">
        <v>1466</v>
      </c>
      <c r="E43" s="35">
        <f>COUNTIF(NodesData[Node ID],NodesData[[#This Row],[Node ID]])</f>
        <v>1</v>
      </c>
      <c r="G43" s="12" t="str">
        <f>IF(NodesData[[#This Row],[Class Disambiguation]]="",NodesData[[#This Row],[Common Name]],NodesData[[#This Row],[Common Name]]&amp;" ("&amp;NodesData[[#This Row],[Class Disambiguation]]&amp;")")</f>
        <v>Authentication Factor</v>
      </c>
      <c r="I43" s="12" t="s">
        <v>584</v>
      </c>
      <c r="J43" s="19" t="str" cm="1">
        <f t="array" ref="J43">CreateGuidString()</f>
        <v>579371EE-D339-4588-8A56-24817465987F</v>
      </c>
    </row>
    <row r="44" spans="1:10" x14ac:dyDescent="0.35">
      <c r="A44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Authentication Method</v>
      </c>
      <c r="B44" s="35">
        <f>COUNTIF(NodesData[Unambiguous Name],NodesData[[#This Row],[Unambiguous Name]])</f>
        <v>1</v>
      </c>
      <c r="C44" s="12" t="s">
        <v>1332</v>
      </c>
      <c r="D44" s="13" t="s">
        <v>1467</v>
      </c>
      <c r="E44" s="35">
        <f>COUNTIF(NodesData[Node ID],NodesData[[#This Row],[Node ID]])</f>
        <v>1</v>
      </c>
      <c r="G44" s="12" t="str">
        <f>IF(NodesData[[#This Row],[Class Disambiguation]]="",NodesData[[#This Row],[Common Name]],NodesData[[#This Row],[Common Name]]&amp;" ("&amp;NodesData[[#This Row],[Class Disambiguation]]&amp;")")</f>
        <v>Authentication Method</v>
      </c>
      <c r="J44" s="19" t="str" cm="1">
        <f t="array" ref="J44">CreateGuidString()</f>
        <v>8E78060E-82D7-4E00-A204-AD65F005276F</v>
      </c>
    </row>
    <row r="45" spans="1:10" x14ac:dyDescent="0.35">
      <c r="A45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Authenticator</v>
      </c>
      <c r="B45" s="35">
        <f>COUNTIF(NodesData[Unambiguous Name],NodesData[[#This Row],[Unambiguous Name]])</f>
        <v>1</v>
      </c>
      <c r="C45" s="12" t="s">
        <v>585</v>
      </c>
      <c r="D45" s="13" t="s">
        <v>1468</v>
      </c>
      <c r="E45" s="35">
        <f>COUNTIF(NodesData[Node ID],NodesData[[#This Row],[Node ID]])</f>
        <v>1</v>
      </c>
      <c r="G45" s="12" t="str">
        <f>IF(NodesData[[#This Row],[Class Disambiguation]]="",NodesData[[#This Row],[Common Name]],NodesData[[#This Row],[Common Name]]&amp;" ("&amp;NodesData[[#This Row],[Class Disambiguation]]&amp;")")</f>
        <v>Authenticator</v>
      </c>
      <c r="I45" s="12" t="s">
        <v>586</v>
      </c>
      <c r="J45" s="19" t="str" cm="1">
        <f t="array" ref="J45">CreateGuidString()</f>
        <v>D759C1D2-DE4C-47EC-8BC0-40BA308DDDD7</v>
      </c>
    </row>
    <row r="46" spans="1:10" x14ac:dyDescent="0.35">
      <c r="A46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Authority</v>
      </c>
      <c r="B46" s="35">
        <f>COUNTIF(NodesData[Unambiguous Name],NodesData[[#This Row],[Unambiguous Name]])</f>
        <v>1</v>
      </c>
      <c r="C46" s="12" t="s">
        <v>587</v>
      </c>
      <c r="D46" s="13" t="s">
        <v>1469</v>
      </c>
      <c r="E46" s="35">
        <f>COUNTIF(NodesData[Node ID],NodesData[[#This Row],[Node ID]])</f>
        <v>1</v>
      </c>
      <c r="G46" s="12" t="str">
        <f>IF(NodesData[[#This Row],[Class Disambiguation]]="",NodesData[[#This Row],[Common Name]],NodesData[[#This Row],[Common Name]]&amp;" ("&amp;NodesData[[#This Row],[Class Disambiguation]]&amp;")")</f>
        <v>Authority</v>
      </c>
      <c r="I46" s="12" t="s">
        <v>588</v>
      </c>
      <c r="J46" s="19" t="str" cm="1">
        <f t="array" ref="J46">CreateGuidString()</f>
        <v>7501523E-AA73-47B5-97EF-236AB4F86A21</v>
      </c>
    </row>
    <row r="47" spans="1:10" x14ac:dyDescent="0.35">
      <c r="A47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Account Takeover: Authorization</v>
      </c>
      <c r="B47" s="35">
        <f>COUNTIF(NodesData[Unambiguous Name],NodesData[[#This Row],[Unambiguous Name]])</f>
        <v>1</v>
      </c>
      <c r="C47" s="31" t="s">
        <v>589</v>
      </c>
      <c r="D47" s="13" t="s">
        <v>1438</v>
      </c>
      <c r="E47" s="35">
        <f>COUNTIF(NodesData[Node ID],NodesData[[#This Row],[Node ID]])</f>
        <v>1</v>
      </c>
      <c r="G47" s="18" t="str">
        <f>IF(NodesData[[#This Row],[Class Disambiguation]]="",NodesData[[#This Row],[Common Name]],NodesData[[#This Row],[Common Name]]&amp;" ("&amp;NodesData[[#This Row],[Class Disambiguation]]&amp;")")</f>
        <v>Authorization</v>
      </c>
      <c r="H47" s="18" t="s">
        <v>4</v>
      </c>
      <c r="J47" s="20" t="str" cm="1">
        <f t="array" ref="J47">CreateGuidString()</f>
        <v>2D597488-7840-44AC-9A97-B45B254ED2E9</v>
      </c>
    </row>
    <row r="48" spans="1:10" x14ac:dyDescent="0.35">
      <c r="A48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Authorization</v>
      </c>
      <c r="B48" s="35">
        <f>COUNTIF(NodesData[Unambiguous Name],NodesData[[#This Row],[Unambiguous Name]])</f>
        <v>1</v>
      </c>
      <c r="C48" s="12" t="s">
        <v>589</v>
      </c>
      <c r="D48" s="13" t="s">
        <v>1470</v>
      </c>
      <c r="E48" s="35">
        <f>COUNTIF(NodesData[Node ID],NodesData[[#This Row],[Node ID]])</f>
        <v>1</v>
      </c>
      <c r="G48" s="12" t="str">
        <f>IF(NodesData[[#This Row],[Class Disambiguation]]="",NodesData[[#This Row],[Common Name]],NodesData[[#This Row],[Common Name]]&amp;" ("&amp;NodesData[[#This Row],[Class Disambiguation]]&amp;")")</f>
        <v>Authorization</v>
      </c>
      <c r="I48" s="12" t="s">
        <v>590</v>
      </c>
      <c r="J48" s="19" t="str" cm="1">
        <f t="array" ref="J48">CreateGuidString()</f>
        <v>3140383F-0EC0-4FFB-8B2D-EB83471EBE26</v>
      </c>
    </row>
    <row r="49" spans="1:10" x14ac:dyDescent="0.35">
      <c r="A49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Authorization Externalization</v>
      </c>
      <c r="B49" s="35">
        <f>COUNTIF(NodesData[Unambiguous Name],NodesData[[#This Row],[Unambiguous Name]])</f>
        <v>1</v>
      </c>
      <c r="C49" s="12" t="s">
        <v>50</v>
      </c>
      <c r="D49" s="13" t="s">
        <v>1471</v>
      </c>
      <c r="E49" s="35">
        <f>COUNTIF(NodesData[Node ID],NodesData[[#This Row],[Node ID]])</f>
        <v>1</v>
      </c>
      <c r="G49" s="12" t="str">
        <f>IF(NodesData[[#This Row],[Class Disambiguation]]="",NodesData[[#This Row],[Common Name]],NodesData[[#This Row],[Common Name]]&amp;" ("&amp;NodesData[[#This Row],[Class Disambiguation]]&amp;")")</f>
        <v>Authorization Externalization</v>
      </c>
      <c r="I49" s="12" t="s">
        <v>591</v>
      </c>
      <c r="J49" s="19" t="str" cm="1">
        <f t="array" ref="J49">CreateGuidString()</f>
        <v>ACCC9B50-59C4-415B-91E4-74E63C419464</v>
      </c>
    </row>
    <row r="50" spans="1:10" x14ac:dyDescent="0.35">
      <c r="A50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Awareness</v>
      </c>
      <c r="B50" s="35">
        <f>COUNTIF(NodesData[Unambiguous Name],NodesData[[#This Row],[Unambiguous Name]])</f>
        <v>1</v>
      </c>
      <c r="C50" s="12" t="s">
        <v>592</v>
      </c>
      <c r="D50" s="13" t="s">
        <v>1472</v>
      </c>
      <c r="E50" s="35">
        <f>COUNTIF(NodesData[Node ID],NodesData[[#This Row],[Node ID]])</f>
        <v>1</v>
      </c>
      <c r="G50" s="12" t="str">
        <f>IF(NodesData[[#This Row],[Class Disambiguation]]="",NodesData[[#This Row],[Common Name]],NodesData[[#This Row],[Common Name]]&amp;" ("&amp;NodesData[[#This Row],[Class Disambiguation]]&amp;")")</f>
        <v>Awareness</v>
      </c>
      <c r="I50" s="12" t="s">
        <v>593</v>
      </c>
      <c r="J50" s="19" t="str" cm="1">
        <f t="array" ref="J50">CreateGuidString()</f>
        <v>DC788F4C-3E21-43A9-A0BC-2D8013DF7902</v>
      </c>
    </row>
    <row r="51" spans="1:10" x14ac:dyDescent="0.35">
      <c r="A51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AWS Account Root User</v>
      </c>
      <c r="B51" s="35">
        <f>COUNTIF(NodesData[Unambiguous Name],NodesData[[#This Row],[Unambiguous Name]])</f>
        <v>1</v>
      </c>
      <c r="C51" s="12" t="s">
        <v>594</v>
      </c>
      <c r="D51" s="13" t="s">
        <v>1473</v>
      </c>
      <c r="E51" s="35">
        <f>COUNTIF(NodesData[Node ID],NodesData[[#This Row],[Node ID]])</f>
        <v>1</v>
      </c>
      <c r="G51" s="12" t="str">
        <f>IF(NodesData[[#This Row],[Class Disambiguation]]="",NodesData[[#This Row],[Common Name]],NodesData[[#This Row],[Common Name]]&amp;" ("&amp;NodesData[[#This Row],[Class Disambiguation]]&amp;")")</f>
        <v>AWS Account Root User</v>
      </c>
      <c r="I51" s="12" t="s">
        <v>595</v>
      </c>
      <c r="J51" s="19" t="str" cm="1">
        <f t="array" ref="J51">CreateGuidString()</f>
        <v>6765E37B-9E5C-41E4-830C-A486A1780FCC</v>
      </c>
    </row>
    <row r="52" spans="1:10" x14ac:dyDescent="0.35">
      <c r="A52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AWS ACL (Acronym)</v>
      </c>
      <c r="B52" s="35">
        <f>COUNTIF(NodesData[Unambiguous Name],NodesData[[#This Row],[Unambiguous Name]])</f>
        <v>1</v>
      </c>
      <c r="C52" s="12" t="s">
        <v>596</v>
      </c>
      <c r="D52" s="13" t="s">
        <v>1474</v>
      </c>
      <c r="E52" s="35">
        <f>COUNTIF(NodesData[Node ID],NodesData[[#This Row],[Node ID]])</f>
        <v>1</v>
      </c>
      <c r="F52" s="12" t="s">
        <v>1270</v>
      </c>
      <c r="G52" s="12" t="str">
        <f>IF(NodesData[[#This Row],[Class Disambiguation]]="",NodesData[[#This Row],[Common Name]],NodesData[[#This Row],[Common Name]]&amp;" ("&amp;NodesData[[#This Row],[Class Disambiguation]]&amp;")")</f>
        <v>AWS ACL (Acronym)</v>
      </c>
      <c r="I52" s="12" t="s">
        <v>597</v>
      </c>
      <c r="J52" s="19" t="str" cm="1">
        <f t="array" ref="J52">CreateGuidString()</f>
        <v>D9B5D175-96F2-492B-8927-063D1DF7AF65</v>
      </c>
    </row>
    <row r="53" spans="1:10" x14ac:dyDescent="0.35">
      <c r="A53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AWS IAM (Acronym)</v>
      </c>
      <c r="B53" s="35">
        <f>COUNTIF(NodesData[Unambiguous Name],NodesData[[#This Row],[Unambiguous Name]])</f>
        <v>1</v>
      </c>
      <c r="C53" s="12" t="s">
        <v>598</v>
      </c>
      <c r="D53" s="13" t="s">
        <v>1475</v>
      </c>
      <c r="E53" s="35">
        <f>COUNTIF(NodesData[Node ID],NodesData[[#This Row],[Node ID]])</f>
        <v>1</v>
      </c>
      <c r="F53" s="12" t="s">
        <v>1270</v>
      </c>
      <c r="G53" s="12" t="str">
        <f>IF(NodesData[[#This Row],[Class Disambiguation]]="",NodesData[[#This Row],[Common Name]],NodesData[[#This Row],[Common Name]]&amp;" ("&amp;NodesData[[#This Row],[Class Disambiguation]]&amp;")")</f>
        <v>AWS IAM (Acronym)</v>
      </c>
      <c r="I53" s="12" t="s">
        <v>599</v>
      </c>
      <c r="J53" s="19" t="str" cm="1">
        <f t="array" ref="J53">CreateGuidString()</f>
        <v>38D014EB-CA24-4332-861E-CF571A0BA424</v>
      </c>
    </row>
    <row r="54" spans="1:10" x14ac:dyDescent="0.35">
      <c r="A54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AWS IAM Group (Acronym)</v>
      </c>
      <c r="B54" s="35">
        <f>COUNTIF(NodesData[Unambiguous Name],NodesData[[#This Row],[Unambiguous Name]])</f>
        <v>1</v>
      </c>
      <c r="C54" s="12" t="s">
        <v>600</v>
      </c>
      <c r="D54" s="13" t="s">
        <v>1476</v>
      </c>
      <c r="E54" s="35">
        <f>COUNTIF(NodesData[Node ID],NodesData[[#This Row],[Node ID]])</f>
        <v>1</v>
      </c>
      <c r="F54" s="12" t="s">
        <v>1270</v>
      </c>
      <c r="G54" s="12" t="str">
        <f>IF(NodesData[[#This Row],[Class Disambiguation]]="",NodesData[[#This Row],[Common Name]],NodesData[[#This Row],[Common Name]]&amp;" ("&amp;NodesData[[#This Row],[Class Disambiguation]]&amp;")")</f>
        <v>AWS IAM Group (Acronym)</v>
      </c>
      <c r="I54" s="12" t="s">
        <v>601</v>
      </c>
      <c r="J54" s="19" t="str" cm="1">
        <f t="array" ref="J54">CreateGuidString()</f>
        <v>4786CE59-EE67-4753-BE49-0FFDFC3EA29D</v>
      </c>
    </row>
    <row r="55" spans="1:10" x14ac:dyDescent="0.35">
      <c r="A55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AWS IAM Policy (Acronym)</v>
      </c>
      <c r="B55" s="35">
        <f>COUNTIF(NodesData[Unambiguous Name],NodesData[[#This Row],[Unambiguous Name]])</f>
        <v>1</v>
      </c>
      <c r="C55" s="12" t="s">
        <v>602</v>
      </c>
      <c r="D55" s="13" t="s">
        <v>1477</v>
      </c>
      <c r="E55" s="35">
        <f>COUNTIF(NodesData[Node ID],NodesData[[#This Row],[Node ID]])</f>
        <v>1</v>
      </c>
      <c r="F55" s="12" t="s">
        <v>1270</v>
      </c>
      <c r="G55" s="12" t="str">
        <f>IF(NodesData[[#This Row],[Class Disambiguation]]="",NodesData[[#This Row],[Common Name]],NodesData[[#This Row],[Common Name]]&amp;" ("&amp;NodesData[[#This Row],[Class Disambiguation]]&amp;")")</f>
        <v>AWS IAM Policy (Acronym)</v>
      </c>
      <c r="I55" s="12" t="s">
        <v>603</v>
      </c>
      <c r="J55" s="19" t="str" cm="1">
        <f t="array" ref="J55">CreateGuidString()</f>
        <v>E5D21F1C-788B-4479-A565-FFE19A801C20</v>
      </c>
    </row>
    <row r="56" spans="1:10" x14ac:dyDescent="0.35">
      <c r="A56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AWS IAM Principal (Acronym)</v>
      </c>
      <c r="B56" s="35">
        <f>COUNTIF(NodesData[Unambiguous Name],NodesData[[#This Row],[Unambiguous Name]])</f>
        <v>1</v>
      </c>
      <c r="C56" s="12" t="s">
        <v>604</v>
      </c>
      <c r="D56" s="13" t="s">
        <v>1478</v>
      </c>
      <c r="E56" s="35">
        <f>COUNTIF(NodesData[Node ID],NodesData[[#This Row],[Node ID]])</f>
        <v>1</v>
      </c>
      <c r="F56" s="12" t="s">
        <v>1270</v>
      </c>
      <c r="G56" s="12" t="str">
        <f>IF(NodesData[[#This Row],[Class Disambiguation]]="",NodesData[[#This Row],[Common Name]],NodesData[[#This Row],[Common Name]]&amp;" ("&amp;NodesData[[#This Row],[Class Disambiguation]]&amp;")")</f>
        <v>AWS IAM Principal (Acronym)</v>
      </c>
      <c r="I56" s="12" t="s">
        <v>605</v>
      </c>
      <c r="J56" s="19" t="str" cm="1">
        <f t="array" ref="J56">CreateGuidString()</f>
        <v>CEC6786B-6DA8-44D8-A05D-F764C7AFD733</v>
      </c>
    </row>
    <row r="57" spans="1:10" x14ac:dyDescent="0.35">
      <c r="A57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AWS IAM Role (Acronym)</v>
      </c>
      <c r="B57" s="35">
        <f>COUNTIF(NodesData[Unambiguous Name],NodesData[[#This Row],[Unambiguous Name]])</f>
        <v>1</v>
      </c>
      <c r="C57" s="12" t="s">
        <v>606</v>
      </c>
      <c r="D57" s="13" t="s">
        <v>1479</v>
      </c>
      <c r="E57" s="35">
        <f>COUNTIF(NodesData[Node ID],NodesData[[#This Row],[Node ID]])</f>
        <v>1</v>
      </c>
      <c r="F57" s="12" t="s">
        <v>1270</v>
      </c>
      <c r="G57" s="12" t="str">
        <f>IF(NodesData[[#This Row],[Class Disambiguation]]="",NodesData[[#This Row],[Common Name]],NodesData[[#This Row],[Common Name]]&amp;" ("&amp;NodesData[[#This Row],[Class Disambiguation]]&amp;")")</f>
        <v>AWS IAM Role (Acronym)</v>
      </c>
      <c r="I57" s="12" t="s">
        <v>607</v>
      </c>
      <c r="J57" s="19" t="str" cm="1">
        <f t="array" ref="J57">CreateGuidString()</f>
        <v>73E06EDA-75BE-40A0-8189-78D13A0F7B97</v>
      </c>
    </row>
    <row r="58" spans="1:10" x14ac:dyDescent="0.35">
      <c r="A58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AWS IAM Temporary Security Credentials (Acronym)</v>
      </c>
      <c r="B58" s="35">
        <f>COUNTIF(NodesData[Unambiguous Name],NodesData[[#This Row],[Unambiguous Name]])</f>
        <v>1</v>
      </c>
      <c r="C58" s="12" t="s">
        <v>608</v>
      </c>
      <c r="D58" s="13" t="s">
        <v>1480</v>
      </c>
      <c r="E58" s="35">
        <f>COUNTIF(NodesData[Node ID],NodesData[[#This Row],[Node ID]])</f>
        <v>1</v>
      </c>
      <c r="F58" s="12" t="s">
        <v>1270</v>
      </c>
      <c r="G58" s="12" t="str">
        <f>IF(NodesData[[#This Row],[Class Disambiguation]]="",NodesData[[#This Row],[Common Name]],NodesData[[#This Row],[Common Name]]&amp;" ("&amp;NodesData[[#This Row],[Class Disambiguation]]&amp;")")</f>
        <v>AWS IAM Temporary Security Credentials (Acronym)</v>
      </c>
      <c r="I58" s="12" t="s">
        <v>609</v>
      </c>
      <c r="J58" s="19" t="str" cm="1">
        <f t="array" ref="J58">CreateGuidString()</f>
        <v>071E601B-835C-4EED-B043-76F022777883</v>
      </c>
    </row>
    <row r="59" spans="1:10" x14ac:dyDescent="0.35">
      <c r="A59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AWS IAM User (Acronym)</v>
      </c>
      <c r="B59" s="35">
        <f>COUNTIF(NodesData[Unambiguous Name],NodesData[[#This Row],[Unambiguous Name]])</f>
        <v>1</v>
      </c>
      <c r="C59" s="12" t="s">
        <v>610</v>
      </c>
      <c r="D59" s="13" t="s">
        <v>1481</v>
      </c>
      <c r="E59" s="35">
        <f>COUNTIF(NodesData[Node ID],NodesData[[#This Row],[Node ID]])</f>
        <v>1</v>
      </c>
      <c r="F59" s="12" t="s">
        <v>1270</v>
      </c>
      <c r="G59" s="12" t="str">
        <f>IF(NodesData[[#This Row],[Class Disambiguation]]="",NodesData[[#This Row],[Common Name]],NodesData[[#This Row],[Common Name]]&amp;" ("&amp;NodesData[[#This Row],[Class Disambiguation]]&amp;")")</f>
        <v>AWS IAM User (Acronym)</v>
      </c>
      <c r="I59" s="12" t="s">
        <v>611</v>
      </c>
      <c r="J59" s="19" t="str" cm="1">
        <f t="array" ref="J59">CreateGuidString()</f>
        <v>58A6B1E3-B337-4EA0-A649-5A96328D9C5E</v>
      </c>
    </row>
    <row r="60" spans="1:10" x14ac:dyDescent="0.35">
      <c r="A60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Back-end Authentication</v>
      </c>
      <c r="B60" s="35">
        <f>COUNTIF(NodesData[Unambiguous Name],NodesData[[#This Row],[Unambiguous Name]])</f>
        <v>1</v>
      </c>
      <c r="C60" s="12" t="s">
        <v>1301</v>
      </c>
      <c r="D60" s="13" t="s">
        <v>1482</v>
      </c>
      <c r="E60" s="35">
        <f>COUNTIF(NodesData[Node ID],NodesData[[#This Row],[Node ID]])</f>
        <v>1</v>
      </c>
      <c r="G60" s="12" t="str">
        <f>IF(NodesData[[#This Row],[Class Disambiguation]]="",NodesData[[#This Row],[Common Name]],NodesData[[#This Row],[Common Name]]&amp;" ("&amp;NodesData[[#This Row],[Class Disambiguation]]&amp;")")</f>
        <v>Back-end Authentication</v>
      </c>
      <c r="J60" s="19" t="str" cm="1">
        <f t="array" ref="J60">CreateGuidString()</f>
        <v>6C722C85-01CD-4B65-8B41-247ED554794F</v>
      </c>
    </row>
    <row r="61" spans="1:10" x14ac:dyDescent="0.35">
      <c r="A61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BankID (Acronym)</v>
      </c>
      <c r="B61" s="35">
        <f>COUNTIF(NodesData[Unambiguous Name],NodesData[[#This Row],[Unambiguous Name]])</f>
        <v>1</v>
      </c>
      <c r="C61" s="12" t="s">
        <v>612</v>
      </c>
      <c r="D61" s="13" t="s">
        <v>1483</v>
      </c>
      <c r="E61" s="35">
        <f>COUNTIF(NodesData[Node ID],NodesData[[#This Row],[Node ID]])</f>
        <v>1</v>
      </c>
      <c r="F61" s="12" t="s">
        <v>1270</v>
      </c>
      <c r="G61" s="12" t="str">
        <f>IF(NodesData[[#This Row],[Class Disambiguation]]="",NodesData[[#This Row],[Common Name]],NodesData[[#This Row],[Common Name]]&amp;" ("&amp;NodesData[[#This Row],[Class Disambiguation]]&amp;")")</f>
        <v>BankID (Acronym)</v>
      </c>
      <c r="I61" s="12" t="s">
        <v>613</v>
      </c>
      <c r="J61" s="19" t="str" cm="1">
        <f t="array" ref="J61">CreateGuidString()</f>
        <v>6E627261-7984-4D9A-9165-FDA253FEC3DD</v>
      </c>
    </row>
    <row r="62" spans="1:10" x14ac:dyDescent="0.35">
      <c r="A62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Basic Z Rule</v>
      </c>
      <c r="B62" s="35">
        <f>COUNTIF(NodesData[Unambiguous Name],NodesData[[#This Row],[Unambiguous Name]])</f>
        <v>1</v>
      </c>
      <c r="C62" s="12" t="s">
        <v>614</v>
      </c>
      <c r="D62" s="13" t="s">
        <v>1484</v>
      </c>
      <c r="E62" s="35">
        <f>COUNTIF(NodesData[Node ID],NodesData[[#This Row],[Node ID]])</f>
        <v>1</v>
      </c>
      <c r="G62" s="12" t="str">
        <f>IF(NodesData[[#This Row],[Class Disambiguation]]="",NodesData[[#This Row],[Common Name]],NodesData[[#This Row],[Common Name]]&amp;" ("&amp;NodesData[[#This Row],[Class Disambiguation]]&amp;")")</f>
        <v>Basic Z Rule</v>
      </c>
      <c r="I62" s="12" t="s">
        <v>615</v>
      </c>
      <c r="J62" s="19" t="str" cm="1">
        <f t="array" ref="J62">CreateGuidString()</f>
        <v>8519AA45-53E5-481F-B195-04C2B751E111</v>
      </c>
    </row>
    <row r="63" spans="1:10" x14ac:dyDescent="0.35">
      <c r="A63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Behavioral Authentication</v>
      </c>
      <c r="B63" s="35">
        <f>COUNTIF(NodesData[Unambiguous Name],NodesData[[#This Row],[Unambiguous Name]])</f>
        <v>1</v>
      </c>
      <c r="C63" s="12" t="s">
        <v>70</v>
      </c>
      <c r="D63" s="13" t="s">
        <v>1485</v>
      </c>
      <c r="E63" s="35">
        <f>COUNTIF(NodesData[Node ID],NodesData[[#This Row],[Node ID]])</f>
        <v>1</v>
      </c>
      <c r="G63" s="12" t="str">
        <f>IF(NodesData[[#This Row],[Class Disambiguation]]="",NodesData[[#This Row],[Common Name]],NodesData[[#This Row],[Common Name]]&amp;" ("&amp;NodesData[[#This Row],[Class Disambiguation]]&amp;")")</f>
        <v>Behavioral Authentication</v>
      </c>
      <c r="I63" s="12" t="s">
        <v>616</v>
      </c>
      <c r="J63" s="19" t="str" cm="1">
        <f t="array" ref="J63">CreateGuidString()</f>
        <v>4E5CF217-49D7-4309-8E81-38AD8A932E64</v>
      </c>
    </row>
    <row r="64" spans="1:10" x14ac:dyDescent="0.35">
      <c r="A64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Bell-LaPadula Model</v>
      </c>
      <c r="B64" s="35">
        <f>COUNTIF(NodesData[Unambiguous Name],NodesData[[#This Row],[Unambiguous Name]])</f>
        <v>1</v>
      </c>
      <c r="C64" s="12" t="s">
        <v>72</v>
      </c>
      <c r="D64" s="13" t="s">
        <v>1486</v>
      </c>
      <c r="E64" s="35">
        <f>COUNTIF(NodesData[Node ID],NodesData[[#This Row],[Node ID]])</f>
        <v>1</v>
      </c>
      <c r="G64" s="12" t="str">
        <f>IF(NodesData[[#This Row],[Class Disambiguation]]="",NodesData[[#This Row],[Common Name]],NodesData[[#This Row],[Common Name]]&amp;" ("&amp;NodesData[[#This Row],[Class Disambiguation]]&amp;")")</f>
        <v>Bell-LaPadula Model</v>
      </c>
      <c r="I64" s="12" t="s">
        <v>617</v>
      </c>
      <c r="J64" s="19" t="str" cm="1">
        <f t="array" ref="J64">CreateGuidString()</f>
        <v>22676DB2-FD79-4A14-83B7-5311C70A4B9B</v>
      </c>
    </row>
    <row r="65" spans="1:10" x14ac:dyDescent="0.35">
      <c r="A65" s="18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Best Practice</v>
      </c>
      <c r="B65" s="35">
        <f>COUNTIF(NodesData[Unambiguous Name],NodesData[[#This Row],[Unambiguous Name]])</f>
        <v>1</v>
      </c>
      <c r="C65" s="11" t="s">
        <v>1355</v>
      </c>
      <c r="D65" s="13" t="s">
        <v>1487</v>
      </c>
      <c r="E65" s="35">
        <f>COUNTIF(NodesData[Node ID],NodesData[[#This Row],[Node ID]])</f>
        <v>1</v>
      </c>
      <c r="G65" s="18" t="str">
        <f>IF(NodesData[[#This Row],[Class Disambiguation]]="",NodesData[[#This Row],[Common Name]],NodesData[[#This Row],[Common Name]]&amp;" ("&amp;NodesData[[#This Row],[Class Disambiguation]]&amp;")")</f>
        <v>Best Practice</v>
      </c>
      <c r="H65" s="11"/>
      <c r="J65" s="20" t="str" cm="1">
        <f t="array" ref="J65">CreateGuidString()</f>
        <v>4226452D-86DC-4FB4-8A02-EB163818BE85</v>
      </c>
    </row>
    <row r="66" spans="1:10" x14ac:dyDescent="0.35">
      <c r="A66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Biometric Authentication</v>
      </c>
      <c r="B66" s="35">
        <f>COUNTIF(NodesData[Unambiguous Name],NodesData[[#This Row],[Unambiguous Name]])</f>
        <v>1</v>
      </c>
      <c r="C66" s="12" t="s">
        <v>1302</v>
      </c>
      <c r="D66" s="13" t="s">
        <v>1488</v>
      </c>
      <c r="E66" s="35">
        <f>COUNTIF(NodesData[Node ID],NodesData[[#This Row],[Node ID]])</f>
        <v>1</v>
      </c>
      <c r="G66" s="12" t="str">
        <f>IF(NodesData[[#This Row],[Class Disambiguation]]="",NodesData[[#This Row],[Common Name]],NodesData[[#This Row],[Common Name]]&amp;" ("&amp;NodesData[[#This Row],[Class Disambiguation]]&amp;")")</f>
        <v>Biometric Authentication</v>
      </c>
      <c r="J66" s="19" t="str" cm="1">
        <f t="array" ref="J66">CreateGuidString()</f>
        <v>6B7D89E2-D065-4638-BC2B-D011539F967E</v>
      </c>
    </row>
    <row r="67" spans="1:10" x14ac:dyDescent="0.35">
      <c r="A67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Biometric Identification</v>
      </c>
      <c r="B67" s="35">
        <f>COUNTIF(NodesData[Unambiguous Name],NodesData[[#This Row],[Unambiguous Name]])</f>
        <v>1</v>
      </c>
      <c r="C67" s="12" t="s">
        <v>618</v>
      </c>
      <c r="D67" s="13" t="s">
        <v>1489</v>
      </c>
      <c r="E67" s="35">
        <f>COUNTIF(NodesData[Node ID],NodesData[[#This Row],[Node ID]])</f>
        <v>1</v>
      </c>
      <c r="G67" s="12" t="str">
        <f>IF(NodesData[[#This Row],[Class Disambiguation]]="",NodesData[[#This Row],[Common Name]],NodesData[[#This Row],[Common Name]]&amp;" ("&amp;NodesData[[#This Row],[Class Disambiguation]]&amp;")")</f>
        <v>Biometric Identification</v>
      </c>
      <c r="I67" s="12" t="s">
        <v>619</v>
      </c>
      <c r="J67" s="19" t="str" cm="1">
        <f t="array" ref="J67">CreateGuidString()</f>
        <v>4F9C8A4E-576B-43D5-B940-34B83A1C4B97</v>
      </c>
    </row>
    <row r="68" spans="1:10" x14ac:dyDescent="0.35">
      <c r="A68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Biometrics</v>
      </c>
      <c r="B68" s="35">
        <f>COUNTIF(NodesData[Unambiguous Name],NodesData[[#This Row],[Unambiguous Name]])</f>
        <v>1</v>
      </c>
      <c r="C68" s="12" t="s">
        <v>620</v>
      </c>
      <c r="D68" s="13" t="s">
        <v>1490</v>
      </c>
      <c r="E68" s="35">
        <f>COUNTIF(NodesData[Node ID],NodesData[[#This Row],[Node ID]])</f>
        <v>1</v>
      </c>
      <c r="G68" s="12" t="str">
        <f>IF(NodesData[[#This Row],[Class Disambiguation]]="",NodesData[[#This Row],[Common Name]],NodesData[[#This Row],[Common Name]]&amp;" ("&amp;NodesData[[#This Row],[Class Disambiguation]]&amp;")")</f>
        <v>Biometrics</v>
      </c>
      <c r="I68" s="12" t="s">
        <v>621</v>
      </c>
      <c r="J68" s="19" t="str" cm="1">
        <f t="array" ref="J68">CreateGuidString()</f>
        <v>34541D1C-3E70-4342-9DD4-CDE4F0E46AED</v>
      </c>
    </row>
    <row r="69" spans="1:10" x14ac:dyDescent="0.35">
      <c r="A69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Birth Certificate</v>
      </c>
      <c r="B69" s="35">
        <f>COUNTIF(NodesData[Unambiguous Name],NodesData[[#This Row],[Unambiguous Name]])</f>
        <v>1</v>
      </c>
      <c r="C69" s="12" t="s">
        <v>622</v>
      </c>
      <c r="D69" s="13" t="s">
        <v>1491</v>
      </c>
      <c r="E69" s="35">
        <f>COUNTIF(NodesData[Node ID],NodesData[[#This Row],[Node ID]])</f>
        <v>1</v>
      </c>
      <c r="G69" s="12" t="str">
        <f>IF(NodesData[[#This Row],[Class Disambiguation]]="",NodesData[[#This Row],[Common Name]],NodesData[[#This Row],[Common Name]]&amp;" ("&amp;NodesData[[#This Row],[Class Disambiguation]]&amp;")")</f>
        <v>Birth Certificate</v>
      </c>
      <c r="I69" s="12" t="s">
        <v>623</v>
      </c>
      <c r="J69" s="19" t="str" cm="1">
        <f t="array" ref="J69">CreateGuidString()</f>
        <v>DEC8B99E-7CF0-4F13-B6BA-3E90B316EE26</v>
      </c>
    </row>
    <row r="70" spans="1:10" x14ac:dyDescent="0.35">
      <c r="A70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Blast Radius</v>
      </c>
      <c r="B70" s="35">
        <f>COUNTIF(NodesData[Unambiguous Name],NodesData[[#This Row],[Unambiguous Name]])</f>
        <v>1</v>
      </c>
      <c r="C70" s="12" t="s">
        <v>624</v>
      </c>
      <c r="D70" s="13" t="s">
        <v>1492</v>
      </c>
      <c r="E70" s="35">
        <f>COUNTIF(NodesData[Node ID],NodesData[[#This Row],[Node ID]])</f>
        <v>1</v>
      </c>
      <c r="G70" s="12" t="str">
        <f>IF(NodesData[[#This Row],[Class Disambiguation]]="",NodesData[[#This Row],[Common Name]],NodesData[[#This Row],[Common Name]]&amp;" ("&amp;NodesData[[#This Row],[Class Disambiguation]]&amp;")")</f>
        <v>Blast Radius</v>
      </c>
      <c r="I70" s="12" t="s">
        <v>625</v>
      </c>
      <c r="J70" s="19" t="str" cm="1">
        <f t="array" ref="J70">CreateGuidString()</f>
        <v>191CE1BF-A5E8-47A4-9008-BABABB558F8C</v>
      </c>
    </row>
    <row r="71" spans="1:10" x14ac:dyDescent="0.35">
      <c r="A71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Boundary Control</v>
      </c>
      <c r="B71" s="35">
        <f>COUNTIF(NodesData[Unambiguous Name],NodesData[[#This Row],[Unambiguous Name]])</f>
        <v>1</v>
      </c>
      <c r="C71" s="12" t="s">
        <v>79</v>
      </c>
      <c r="D71" s="13" t="s">
        <v>1493</v>
      </c>
      <c r="E71" s="35">
        <f>COUNTIF(NodesData[Node ID],NodesData[[#This Row],[Node ID]])</f>
        <v>1</v>
      </c>
      <c r="G71" s="12" t="str">
        <f>IF(NodesData[[#This Row],[Class Disambiguation]]="",NodesData[[#This Row],[Common Name]],NodesData[[#This Row],[Common Name]]&amp;" ("&amp;NodesData[[#This Row],[Class Disambiguation]]&amp;")")</f>
        <v>Boundary Control</v>
      </c>
      <c r="I71" s="12" t="s">
        <v>626</v>
      </c>
      <c r="J71" s="19" t="str" cm="1">
        <f t="array" ref="J71">CreateGuidString()</f>
        <v>5D57D6C3-8A70-4A90-89F7-0B29E2E2E55E</v>
      </c>
    </row>
    <row r="72" spans="1:10" x14ac:dyDescent="0.35">
      <c r="A72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Brainwaves Authentication</v>
      </c>
      <c r="B72" s="35">
        <f>COUNTIF(NodesData[Unambiguous Name],NodesData[[#This Row],[Unambiguous Name]])</f>
        <v>1</v>
      </c>
      <c r="C72" s="12" t="s">
        <v>1303</v>
      </c>
      <c r="D72" s="13" t="s">
        <v>1494</v>
      </c>
      <c r="E72" s="35">
        <f>COUNTIF(NodesData[Node ID],NodesData[[#This Row],[Node ID]])</f>
        <v>1</v>
      </c>
      <c r="G72" s="12" t="str">
        <f>IF(NodesData[[#This Row],[Class Disambiguation]]="",NodesData[[#This Row],[Common Name]],NodesData[[#This Row],[Common Name]]&amp;" ("&amp;NodesData[[#This Row],[Class Disambiguation]]&amp;")")</f>
        <v>Brainwaves Authentication</v>
      </c>
      <c r="J72" s="19" t="str" cm="1">
        <f t="array" ref="J72">CreateGuidString()</f>
        <v>720540F9-7A0E-4E2D-A1E7-0249B1F04DF9</v>
      </c>
    </row>
    <row r="73" spans="1:10" x14ac:dyDescent="0.35">
      <c r="A73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Broker</v>
      </c>
      <c r="B73" s="35">
        <f>COUNTIF(NodesData[Unambiguous Name],NodesData[[#This Row],[Unambiguous Name]])</f>
        <v>1</v>
      </c>
      <c r="C73" s="12" t="s">
        <v>627</v>
      </c>
      <c r="D73" s="13" t="s">
        <v>1495</v>
      </c>
      <c r="E73" s="35">
        <f>COUNTIF(NodesData[Node ID],NodesData[[#This Row],[Node ID]])</f>
        <v>1</v>
      </c>
      <c r="G73" s="12" t="str">
        <f>IF(NodesData[[#This Row],[Class Disambiguation]]="",NodesData[[#This Row],[Common Name]],NodesData[[#This Row],[Common Name]]&amp;" ("&amp;NodesData[[#This Row],[Class Disambiguation]]&amp;")")</f>
        <v>Broker</v>
      </c>
      <c r="I73" s="12" t="s">
        <v>628</v>
      </c>
      <c r="J73" s="19" t="str" cm="1">
        <f t="array" ref="J73">CreateGuidString()</f>
        <v>F7EA0FFF-3ED8-4ADF-B24D-D4649D88502B</v>
      </c>
    </row>
    <row r="74" spans="1:10" x14ac:dyDescent="0.35">
      <c r="A74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Brute Force Attack</v>
      </c>
      <c r="B74" s="35">
        <f>COUNTIF(NodesData[Unambiguous Name],NodesData[[#This Row],[Unambiguous Name]])</f>
        <v>1</v>
      </c>
      <c r="C74" s="12" t="s">
        <v>81</v>
      </c>
      <c r="D74" s="13" t="s">
        <v>1496</v>
      </c>
      <c r="E74" s="35">
        <f>COUNTIF(NodesData[Node ID],NodesData[[#This Row],[Node ID]])</f>
        <v>1</v>
      </c>
      <c r="G74" s="12" t="str">
        <f>IF(NodesData[[#This Row],[Class Disambiguation]]="",NodesData[[#This Row],[Common Name]],NodesData[[#This Row],[Common Name]]&amp;" ("&amp;NodesData[[#This Row],[Class Disambiguation]]&amp;")")</f>
        <v>Brute Force Attack</v>
      </c>
      <c r="I74" s="12" t="s">
        <v>629</v>
      </c>
      <c r="J74" s="19" t="str" cm="1">
        <f t="array" ref="J74">CreateGuidString()</f>
        <v>050B758E-AACC-4D66-A907-A6D338D5C6A6</v>
      </c>
    </row>
    <row r="75" spans="1:10" x14ac:dyDescent="0.35">
      <c r="A75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Built-in</v>
      </c>
      <c r="B75" s="35">
        <f>COUNTIF(NodesData[Unambiguous Name],NodesData[[#This Row],[Unambiguous Name]])</f>
        <v>1</v>
      </c>
      <c r="C75" s="12" t="s">
        <v>630</v>
      </c>
      <c r="D75" s="13" t="s">
        <v>1497</v>
      </c>
      <c r="E75" s="35">
        <f>COUNTIF(NodesData[Node ID],NodesData[[#This Row],[Node ID]])</f>
        <v>1</v>
      </c>
      <c r="G75" s="12" t="str">
        <f>IF(NodesData[[#This Row],[Class Disambiguation]]="",NodesData[[#This Row],[Common Name]],NodesData[[#This Row],[Common Name]]&amp;" ("&amp;NodesData[[#This Row],[Class Disambiguation]]&amp;")")</f>
        <v>Built-in</v>
      </c>
      <c r="I75" s="12" t="s">
        <v>631</v>
      </c>
      <c r="J75" s="19" t="str" cm="1">
        <f t="array" ref="J75">CreateGuidString()</f>
        <v>FECE2206-7532-48B4-A48C-E48E9643D770</v>
      </c>
    </row>
    <row r="76" spans="1:10" x14ac:dyDescent="0.35">
      <c r="A76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BZR (Acronym)</v>
      </c>
      <c r="B76" s="35">
        <f>COUNTIF(NodesData[Unambiguous Name],NodesData[[#This Row],[Unambiguous Name]])</f>
        <v>1</v>
      </c>
      <c r="C76" s="12" t="s">
        <v>83</v>
      </c>
      <c r="D76" s="13" t="s">
        <v>1498</v>
      </c>
      <c r="E76" s="35">
        <f>COUNTIF(NodesData[Node ID],NodesData[[#This Row],[Node ID]])</f>
        <v>1</v>
      </c>
      <c r="F76" s="12" t="s">
        <v>1270</v>
      </c>
      <c r="G76" s="12" t="str">
        <f>IF(NodesData[[#This Row],[Class Disambiguation]]="",NodesData[[#This Row],[Common Name]],NodesData[[#This Row],[Common Name]]&amp;" ("&amp;NodesData[[#This Row],[Class Disambiguation]]&amp;")")</f>
        <v>BZR (Acronym)</v>
      </c>
      <c r="I76" s="12" t="s">
        <v>632</v>
      </c>
      <c r="J76" s="19" t="str" cm="1">
        <f t="array" ref="J76">CreateGuidString()</f>
        <v>7F4281EC-DEE9-43EA-AA65-C6165E9033BC</v>
      </c>
    </row>
    <row r="77" spans="1:10" x14ac:dyDescent="0.35">
      <c r="A77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Cached Credential</v>
      </c>
      <c r="B77" s="35">
        <f>COUNTIF(NodesData[Unambiguous Name],NodesData[[#This Row],[Unambiguous Name]])</f>
        <v>1</v>
      </c>
      <c r="C77" s="12" t="s">
        <v>84</v>
      </c>
      <c r="D77" s="13" t="s">
        <v>1499</v>
      </c>
      <c r="E77" s="35">
        <f>COUNTIF(NodesData[Node ID],NodesData[[#This Row],[Node ID]])</f>
        <v>1</v>
      </c>
      <c r="G77" s="12" t="str">
        <f>IF(NodesData[[#This Row],[Class Disambiguation]]="",NodesData[[#This Row],[Common Name]],NodesData[[#This Row],[Common Name]]&amp;" ("&amp;NodesData[[#This Row],[Class Disambiguation]]&amp;")")</f>
        <v>Cached Credential</v>
      </c>
      <c r="I77" s="12" t="s">
        <v>633</v>
      </c>
      <c r="J77" s="19" t="str" cm="1">
        <f t="array" ref="J77">CreateGuidString()</f>
        <v>B2C1BDE7-6217-40CD-ACD3-B66AF2EFFCF9</v>
      </c>
    </row>
    <row r="78" spans="1:10" x14ac:dyDescent="0.35">
      <c r="A78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Capability to store information</v>
      </c>
      <c r="B78" s="35">
        <f>COUNTIF(NodesData[Unambiguous Name],NodesData[[#This Row],[Unambiguous Name]])</f>
        <v>1</v>
      </c>
      <c r="C78" s="12" t="s">
        <v>1348</v>
      </c>
      <c r="D78" s="13" t="s">
        <v>1500</v>
      </c>
      <c r="E78" s="35">
        <f>COUNTIF(NodesData[Node ID],NodesData[[#This Row],[Node ID]])</f>
        <v>1</v>
      </c>
      <c r="G78" s="18" t="str">
        <f>IF(NodesData[[#This Row],[Class Disambiguation]]="",NodesData[[#This Row],[Common Name]],NodesData[[#This Row],[Common Name]]&amp;" ("&amp;NodesData[[#This Row],[Class Disambiguation]]&amp;")")</f>
        <v>Capability to store information</v>
      </c>
      <c r="H78" s="18"/>
      <c r="J78" s="20" t="str" cm="1">
        <f t="array" ref="J78">CreateGuidString()</f>
        <v>D380DCBA-FB6A-490D-BA21-011A2BA1FCBD</v>
      </c>
    </row>
    <row r="79" spans="1:10" x14ac:dyDescent="0.35">
      <c r="A79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Capability to transform information</v>
      </c>
      <c r="B79" s="35">
        <f>COUNTIF(NodesData[Unambiguous Name],NodesData[[#This Row],[Unambiguous Name]])</f>
        <v>1</v>
      </c>
      <c r="C79" s="12" t="s">
        <v>1349</v>
      </c>
      <c r="D79" s="13" t="s">
        <v>1501</v>
      </c>
      <c r="E79" s="35">
        <f>COUNTIF(NodesData[Node ID],NodesData[[#This Row],[Node ID]])</f>
        <v>1</v>
      </c>
      <c r="G79" s="18" t="str">
        <f>IF(NodesData[[#This Row],[Class Disambiguation]]="",NodesData[[#This Row],[Common Name]],NodesData[[#This Row],[Common Name]]&amp;" ("&amp;NodesData[[#This Row],[Class Disambiguation]]&amp;")")</f>
        <v>Capability to transform information</v>
      </c>
      <c r="H79" s="18"/>
      <c r="J79" s="20" t="str" cm="1">
        <f t="array" ref="J79">CreateGuidString()</f>
        <v>3B4FE4AC-7245-4C2F-9FDC-B7A10F97DD7F</v>
      </c>
    </row>
    <row r="80" spans="1:10" x14ac:dyDescent="0.35">
      <c r="A80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Capability to transmit information</v>
      </c>
      <c r="B80" s="35">
        <f>COUNTIF(NodesData[Unambiguous Name],NodesData[[#This Row],[Unambiguous Name]])</f>
        <v>1</v>
      </c>
      <c r="C80" s="12" t="s">
        <v>1350</v>
      </c>
      <c r="D80" s="13" t="s">
        <v>1502</v>
      </c>
      <c r="E80" s="35">
        <f>COUNTIF(NodesData[Node ID],NodesData[[#This Row],[Node ID]])</f>
        <v>1</v>
      </c>
      <c r="G80" s="18" t="str">
        <f>IF(NodesData[[#This Row],[Class Disambiguation]]="",NodesData[[#This Row],[Common Name]],NodesData[[#This Row],[Common Name]]&amp;" ("&amp;NodesData[[#This Row],[Class Disambiguation]]&amp;")")</f>
        <v>Capability to transmit information</v>
      </c>
      <c r="H80" s="18"/>
      <c r="J80" s="20" t="str" cm="1">
        <f t="array" ref="J80">CreateGuidString()</f>
        <v>FB64CA74-0395-4B63-B401-A38A69FEED0B</v>
      </c>
    </row>
    <row r="81" spans="1:10" x14ac:dyDescent="0.35">
      <c r="A81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Capabilty to collect information</v>
      </c>
      <c r="B81" s="35">
        <f>COUNTIF(NodesData[Unambiguous Name],NodesData[[#This Row],[Unambiguous Name]])</f>
        <v>1</v>
      </c>
      <c r="C81" s="12" t="s">
        <v>1347</v>
      </c>
      <c r="D81" s="13" t="s">
        <v>1503</v>
      </c>
      <c r="E81" s="35">
        <f>COUNTIF(NodesData[Node ID],NodesData[[#This Row],[Node ID]])</f>
        <v>1</v>
      </c>
      <c r="G81" s="18" t="str">
        <f>IF(NodesData[[#This Row],[Class Disambiguation]]="",NodesData[[#This Row],[Common Name]],NodesData[[#This Row],[Common Name]]&amp;" ("&amp;NodesData[[#This Row],[Class Disambiguation]]&amp;")")</f>
        <v>Capabilty to collect information</v>
      </c>
      <c r="H81" s="18"/>
      <c r="J81" s="20" t="str" cm="1">
        <f t="array" ref="J81">CreateGuidString()</f>
        <v>E132FAF1-92DB-4E84-A74F-4D47C105A2DE</v>
      </c>
    </row>
    <row r="82" spans="1:10" x14ac:dyDescent="0.35">
      <c r="A82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Causing Reputation Harm</v>
      </c>
      <c r="B82" s="35">
        <f>COUNTIF(NodesData[Unambiguous Name],NodesData[[#This Row],[Unambiguous Name]])</f>
        <v>1</v>
      </c>
      <c r="C82" s="31" t="s">
        <v>1387</v>
      </c>
      <c r="D82" s="13" t="s">
        <v>1504</v>
      </c>
      <c r="E82" s="35">
        <f>COUNTIF(NodesData[Node ID],NodesData[[#This Row],[Node ID]])</f>
        <v>1</v>
      </c>
      <c r="G82" s="18" t="str">
        <f>IF(NodesData[[#This Row],[Class Disambiguation]]="",NodesData[[#This Row],[Common Name]],NodesData[[#This Row],[Common Name]]&amp;" ("&amp;NodesData[[#This Row],[Class Disambiguation]]&amp;")")</f>
        <v>Causing Reputation Harm</v>
      </c>
      <c r="H82" s="18"/>
      <c r="J82" s="20" t="str" cm="1">
        <f t="array" ref="J82">CreateGuidString()</f>
        <v>991366B0-2BD3-4161-9A7D-19B0B1218DF4</v>
      </c>
    </row>
    <row r="83" spans="1:10" x14ac:dyDescent="0.35">
      <c r="A83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CDD (Acronym)</v>
      </c>
      <c r="B83" s="35">
        <f>COUNTIF(NodesData[Unambiguous Name],NodesData[[#This Row],[Unambiguous Name]])</f>
        <v>1</v>
      </c>
      <c r="C83" s="12" t="s">
        <v>88</v>
      </c>
      <c r="D83" s="13" t="s">
        <v>1505</v>
      </c>
      <c r="E83" s="35">
        <f>COUNTIF(NodesData[Node ID],NodesData[[#This Row],[Node ID]])</f>
        <v>1</v>
      </c>
      <c r="F83" s="12" t="s">
        <v>1270</v>
      </c>
      <c r="G83" s="12" t="str">
        <f>IF(NodesData[[#This Row],[Class Disambiguation]]="",NodesData[[#This Row],[Common Name]],NodesData[[#This Row],[Common Name]]&amp;" ("&amp;NodesData[[#This Row],[Class Disambiguation]]&amp;")")</f>
        <v>CDD (Acronym)</v>
      </c>
      <c r="I83" s="12" t="s">
        <v>634</v>
      </c>
      <c r="J83" s="19" t="str" cm="1">
        <f t="array" ref="J83">CreateGuidString()</f>
        <v>BE6AA824-E094-4D4A-89A7-5093D9B934FC</v>
      </c>
    </row>
    <row r="84" spans="1:10" x14ac:dyDescent="0.35">
      <c r="A84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Centralized Identity Management System</v>
      </c>
      <c r="B84" s="35">
        <f>COUNTIF(NodesData[Unambiguous Name],NodesData[[#This Row],[Unambiguous Name]])</f>
        <v>1</v>
      </c>
      <c r="C84" s="12" t="s">
        <v>635</v>
      </c>
      <c r="D84" s="13" t="s">
        <v>1506</v>
      </c>
      <c r="E84" s="35">
        <f>COUNTIF(NodesData[Node ID],NodesData[[#This Row],[Node ID]])</f>
        <v>1</v>
      </c>
      <c r="G84" s="12" t="str">
        <f>IF(NodesData[[#This Row],[Class Disambiguation]]="",NodesData[[#This Row],[Common Name]],NodesData[[#This Row],[Common Name]]&amp;" ("&amp;NodesData[[#This Row],[Class Disambiguation]]&amp;")")</f>
        <v>Centralized Identity Management System</v>
      </c>
      <c r="I84" s="12" t="s">
        <v>636</v>
      </c>
      <c r="J84" s="19" t="str" cm="1">
        <f t="array" ref="J84">CreateGuidString()</f>
        <v>7BA0D3A7-2865-4361-992D-5F45644D018B</v>
      </c>
    </row>
    <row r="85" spans="1:10" x14ac:dyDescent="0.35">
      <c r="A85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Certificate-based Authentication</v>
      </c>
      <c r="B85" s="35">
        <f>COUNTIF(NodesData[Unambiguous Name],NodesData[[#This Row],[Unambiguous Name]])</f>
        <v>1</v>
      </c>
      <c r="C85" s="12" t="s">
        <v>1316</v>
      </c>
      <c r="D85" s="13" t="s">
        <v>1507</v>
      </c>
      <c r="E85" s="35">
        <f>COUNTIF(NodesData[Node ID],NodesData[[#This Row],[Node ID]])</f>
        <v>1</v>
      </c>
      <c r="G85" s="12" t="str">
        <f>IF(NodesData[[#This Row],[Class Disambiguation]]="",NodesData[[#This Row],[Common Name]],NodesData[[#This Row],[Common Name]]&amp;" ("&amp;NodesData[[#This Row],[Class Disambiguation]]&amp;")")</f>
        <v>Certificate-based Authentication</v>
      </c>
      <c r="J85" s="19" t="str" cm="1">
        <f t="array" ref="J85">CreateGuidString()</f>
        <v>EC2905C8-3C3F-4B9D-83C2-17A7079A781E</v>
      </c>
    </row>
    <row r="86" spans="1:10" x14ac:dyDescent="0.35">
      <c r="A86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Certification</v>
      </c>
      <c r="B86" s="35">
        <f>COUNTIF(NodesData[Unambiguous Name],NodesData[[#This Row],[Unambiguous Name]])</f>
        <v>1</v>
      </c>
      <c r="C86" s="12" t="s">
        <v>637</v>
      </c>
      <c r="D86" s="13" t="s">
        <v>1508</v>
      </c>
      <c r="E86" s="35">
        <f>COUNTIF(NodesData[Node ID],NodesData[[#This Row],[Node ID]])</f>
        <v>1</v>
      </c>
      <c r="G86" s="12" t="str">
        <f>IF(NodesData[[#This Row],[Class Disambiguation]]="",NodesData[[#This Row],[Common Name]],NodesData[[#This Row],[Common Name]]&amp;" ("&amp;NodesData[[#This Row],[Class Disambiguation]]&amp;")")</f>
        <v>Certification</v>
      </c>
      <c r="I86" s="12" t="s">
        <v>638</v>
      </c>
      <c r="J86" s="19" t="str" cm="1">
        <f t="array" ref="J86">CreateGuidString()</f>
        <v>592E054E-C45E-4B26-B9D1-012AF5014B97</v>
      </c>
    </row>
    <row r="87" spans="1:10" x14ac:dyDescent="0.35">
      <c r="A87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CIBA (Acronym)</v>
      </c>
      <c r="B87" s="35">
        <f>COUNTIF(NodesData[Unambiguous Name],NodesData[[#This Row],[Unambiguous Name]])</f>
        <v>1</v>
      </c>
      <c r="C87" s="12" t="s">
        <v>91</v>
      </c>
      <c r="D87" s="13" t="s">
        <v>1509</v>
      </c>
      <c r="E87" s="35">
        <f>COUNTIF(NodesData[Node ID],NodesData[[#This Row],[Node ID]])</f>
        <v>1</v>
      </c>
      <c r="F87" s="12" t="s">
        <v>1270</v>
      </c>
      <c r="G87" s="12" t="str">
        <f>IF(NodesData[[#This Row],[Class Disambiguation]]="",NodesData[[#This Row],[Common Name]],NodesData[[#This Row],[Common Name]]&amp;" ("&amp;NodesData[[#This Row],[Class Disambiguation]]&amp;")")</f>
        <v>CIBA (Acronym)</v>
      </c>
      <c r="I87" s="12" t="s">
        <v>639</v>
      </c>
      <c r="J87" s="19" t="str" cm="1">
        <f t="array" ref="J87">CreateGuidString()</f>
        <v>C03E1321-9B0A-41C7-B13C-A8D2B8051251</v>
      </c>
    </row>
    <row r="88" spans="1:10" x14ac:dyDescent="0.35">
      <c r="A88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Claim</v>
      </c>
      <c r="B88" s="35">
        <f>COUNTIF(NodesData[Unambiguous Name],NodesData[[#This Row],[Unambiguous Name]])</f>
        <v>1</v>
      </c>
      <c r="C88" s="12" t="s">
        <v>92</v>
      </c>
      <c r="D88" s="13" t="s">
        <v>1510</v>
      </c>
      <c r="E88" s="35">
        <f>COUNTIF(NodesData[Node ID],NodesData[[#This Row],[Node ID]])</f>
        <v>1</v>
      </c>
      <c r="G88" s="12" t="str">
        <f>IF(NodesData[[#This Row],[Class Disambiguation]]="",NodesData[[#This Row],[Common Name]],NodesData[[#This Row],[Common Name]]&amp;" ("&amp;NodesData[[#This Row],[Class Disambiguation]]&amp;")")</f>
        <v>Claim</v>
      </c>
      <c r="I88" s="12" t="s">
        <v>640</v>
      </c>
      <c r="J88" s="19" t="str" cm="1">
        <f t="array" ref="J88">CreateGuidString()</f>
        <v>E6F9113A-2956-4EF5-BBB9-AB009A20B8FC</v>
      </c>
    </row>
    <row r="89" spans="1:10" x14ac:dyDescent="0.35">
      <c r="A89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Claim Registry Model</v>
      </c>
      <c r="B89" s="35">
        <f>COUNTIF(NodesData[Unambiguous Name],NodesData[[#This Row],[Unambiguous Name]])</f>
        <v>1</v>
      </c>
      <c r="C89" s="12" t="s">
        <v>94</v>
      </c>
      <c r="D89" s="13" t="s">
        <v>1511</v>
      </c>
      <c r="E89" s="35">
        <f>COUNTIF(NodesData[Node ID],NodesData[[#This Row],[Node ID]])</f>
        <v>1</v>
      </c>
      <c r="G89" s="12" t="str">
        <f>IF(NodesData[[#This Row],[Class Disambiguation]]="",NodesData[[#This Row],[Common Name]],NodesData[[#This Row],[Common Name]]&amp;" ("&amp;NodesData[[#This Row],[Class Disambiguation]]&amp;")")</f>
        <v>Claim Registry Model</v>
      </c>
      <c r="I89" s="12" t="s">
        <v>641</v>
      </c>
      <c r="J89" s="19" t="str" cm="1">
        <f t="array" ref="J89">CreateGuidString()</f>
        <v>04E3CC48-DEBD-4164-A295-4D747CFBBAD3</v>
      </c>
    </row>
    <row r="90" spans="1:10" x14ac:dyDescent="0.35">
      <c r="A90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Claimant</v>
      </c>
      <c r="B90" s="35">
        <f>COUNTIF(NodesData[Unambiguous Name],NodesData[[#This Row],[Unambiguous Name]])</f>
        <v>1</v>
      </c>
      <c r="C90" s="12" t="s">
        <v>642</v>
      </c>
      <c r="D90" s="13" t="s">
        <v>1512</v>
      </c>
      <c r="E90" s="35">
        <f>COUNTIF(NodesData[Node ID],NodesData[[#This Row],[Node ID]])</f>
        <v>1</v>
      </c>
      <c r="G90" s="12" t="str">
        <f>IF(NodesData[[#This Row],[Class Disambiguation]]="",NodesData[[#This Row],[Common Name]],NodesData[[#This Row],[Common Name]]&amp;" ("&amp;NodesData[[#This Row],[Class Disambiguation]]&amp;")")</f>
        <v>Claimant</v>
      </c>
      <c r="I90" s="12" t="s">
        <v>643</v>
      </c>
      <c r="J90" s="19" t="str" cm="1">
        <f t="array" ref="J90">CreateGuidString()</f>
        <v>A22FE00C-AA0D-4C82-B196-1C7B3C21E7A5</v>
      </c>
    </row>
    <row r="91" spans="1:10" x14ac:dyDescent="0.35">
      <c r="A91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Classification</v>
      </c>
      <c r="B91" s="35">
        <f>COUNTIF(NodesData[Unambiguous Name],NodesData[[#This Row],[Unambiguous Name]])</f>
        <v>1</v>
      </c>
      <c r="C91" s="12" t="s">
        <v>644</v>
      </c>
      <c r="D91" s="13" t="s">
        <v>1513</v>
      </c>
      <c r="E91" s="35">
        <f>COUNTIF(NodesData[Node ID],NodesData[[#This Row],[Node ID]])</f>
        <v>1</v>
      </c>
      <c r="G91" s="12" t="str">
        <f>IF(NodesData[[#This Row],[Class Disambiguation]]="",NodesData[[#This Row],[Common Name]],NodesData[[#This Row],[Common Name]]&amp;" ("&amp;NodesData[[#This Row],[Class Disambiguation]]&amp;")")</f>
        <v>Classification</v>
      </c>
      <c r="I91" s="12" t="s">
        <v>645</v>
      </c>
      <c r="J91" s="19" t="str" cm="1">
        <f t="array" ref="J91">CreateGuidString()</f>
        <v>A9D596C4-3427-408B-AE2D-E675E7A3CD4E</v>
      </c>
    </row>
    <row r="92" spans="1:10" x14ac:dyDescent="0.35">
      <c r="A92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Client Initiated Backchannel Authentication</v>
      </c>
      <c r="B92" s="35">
        <f>COUNTIF(NodesData[Unambiguous Name],NodesData[[#This Row],[Unambiguous Name]])</f>
        <v>1</v>
      </c>
      <c r="C92" s="12" t="s">
        <v>96</v>
      </c>
      <c r="D92" s="13" t="s">
        <v>1514</v>
      </c>
      <c r="E92" s="35">
        <f>COUNTIF(NodesData[Node ID],NodesData[[#This Row],[Node ID]])</f>
        <v>1</v>
      </c>
      <c r="G92" s="12" t="str">
        <f>IF(NodesData[[#This Row],[Class Disambiguation]]="",NodesData[[#This Row],[Common Name]],NodesData[[#This Row],[Common Name]]&amp;" ("&amp;NodesData[[#This Row],[Class Disambiguation]]&amp;")")</f>
        <v>Client Initiated Backchannel Authentication</v>
      </c>
      <c r="I92" s="12" t="s">
        <v>646</v>
      </c>
      <c r="J92" s="19" t="str" cm="1">
        <f t="array" ref="J92">CreateGuidString()</f>
        <v>AF0F4613-0817-4A05-AA28-6CFC94C68DAC</v>
      </c>
    </row>
    <row r="93" spans="1:10" x14ac:dyDescent="0.35">
      <c r="A93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Cloud Identity Management System</v>
      </c>
      <c r="B93" s="35">
        <f>COUNTIF(NodesData[Unambiguous Name],NodesData[[#This Row],[Unambiguous Name]])</f>
        <v>1</v>
      </c>
      <c r="C93" s="12" t="s">
        <v>647</v>
      </c>
      <c r="D93" s="13" t="s">
        <v>1515</v>
      </c>
      <c r="E93" s="35">
        <f>COUNTIF(NodesData[Node ID],NodesData[[#This Row],[Node ID]])</f>
        <v>1</v>
      </c>
      <c r="G93" s="12" t="str">
        <f>IF(NodesData[[#This Row],[Class Disambiguation]]="",NodesData[[#This Row],[Common Name]],NodesData[[#This Row],[Common Name]]&amp;" ("&amp;NodesData[[#This Row],[Class Disambiguation]]&amp;")")</f>
        <v>Cloud Identity Management System</v>
      </c>
      <c r="I93" s="12" t="s">
        <v>648</v>
      </c>
      <c r="J93" s="19" t="str" cm="1">
        <f t="array" ref="J93">CreateGuidString()</f>
        <v>0982630D-25C9-486E-B661-DAF817EDBBBA</v>
      </c>
    </row>
    <row r="94" spans="1:10" x14ac:dyDescent="0.35">
      <c r="A94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Cloud IdMS (Acronym)</v>
      </c>
      <c r="B94" s="35">
        <f>COUNTIF(NodesData[Unambiguous Name],NodesData[[#This Row],[Unambiguous Name]])</f>
        <v>1</v>
      </c>
      <c r="C94" s="12" t="s">
        <v>649</v>
      </c>
      <c r="D94" s="13" t="s">
        <v>1516</v>
      </c>
      <c r="E94" s="35">
        <f>COUNTIF(NodesData[Node ID],NodesData[[#This Row],[Node ID]])</f>
        <v>1</v>
      </c>
      <c r="F94" s="12" t="s">
        <v>1270</v>
      </c>
      <c r="G94" s="12" t="str">
        <f>IF(NodesData[[#This Row],[Class Disambiguation]]="",NodesData[[#This Row],[Common Name]],NodesData[[#This Row],[Common Name]]&amp;" ("&amp;NodesData[[#This Row],[Class Disambiguation]]&amp;")")</f>
        <v>Cloud IdMS (Acronym)</v>
      </c>
      <c r="I94" s="12" t="s">
        <v>650</v>
      </c>
      <c r="J94" s="19" t="str" cm="1">
        <f t="array" ref="J94">CreateGuidString()</f>
        <v>A24C5947-D9CB-4546-A469-14DF8F0F7363</v>
      </c>
    </row>
    <row r="95" spans="1:10" x14ac:dyDescent="0.35">
      <c r="A95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Cloud Service Consumers</v>
      </c>
      <c r="B95" s="35">
        <f>COUNTIF(NodesData[Unambiguous Name],NodesData[[#This Row],[Unambiguous Name]])</f>
        <v>1</v>
      </c>
      <c r="C95" s="12" t="s">
        <v>651</v>
      </c>
      <c r="D95" s="13" t="s">
        <v>1517</v>
      </c>
      <c r="E95" s="35">
        <f>COUNTIF(NodesData[Node ID],NodesData[[#This Row],[Node ID]])</f>
        <v>1</v>
      </c>
      <c r="G95" s="12" t="str">
        <f>IF(NodesData[[#This Row],[Class Disambiguation]]="",NodesData[[#This Row],[Common Name]],NodesData[[#This Row],[Common Name]]&amp;" ("&amp;NodesData[[#This Row],[Class Disambiguation]]&amp;")")</f>
        <v>Cloud Service Consumers</v>
      </c>
      <c r="I95" s="12" t="s">
        <v>652</v>
      </c>
      <c r="J95" s="19" t="str" cm="1">
        <f t="array" ref="J95">CreateGuidString()</f>
        <v>C13C4682-E070-4F63-9C62-21B73DB5FE56</v>
      </c>
    </row>
    <row r="96" spans="1:10" x14ac:dyDescent="0.35">
      <c r="A96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Cloud Service Provider</v>
      </c>
      <c r="B96" s="35">
        <f>COUNTIF(NodesData[Unambiguous Name],NodesData[[#This Row],[Unambiguous Name]])</f>
        <v>1</v>
      </c>
      <c r="C96" s="12" t="s">
        <v>653</v>
      </c>
      <c r="D96" s="13" t="s">
        <v>1518</v>
      </c>
      <c r="E96" s="35">
        <f>COUNTIF(NodesData[Node ID],NodesData[[#This Row],[Node ID]])</f>
        <v>1</v>
      </c>
      <c r="G96" s="12" t="str">
        <f>IF(NodesData[[#This Row],[Class Disambiguation]]="",NodesData[[#This Row],[Common Name]],NodesData[[#This Row],[Common Name]]&amp;" ("&amp;NodesData[[#This Row],[Class Disambiguation]]&amp;")")</f>
        <v>Cloud Service Provider</v>
      </c>
      <c r="I96" s="12" t="s">
        <v>654</v>
      </c>
      <c r="J96" s="19" t="str" cm="1">
        <f t="array" ref="J96">CreateGuidString()</f>
        <v>810C9D78-02B9-411B-9BC5-BF703AB8EABF</v>
      </c>
    </row>
    <row r="97" spans="1:10" x14ac:dyDescent="0.35">
      <c r="A97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Cloud Service User</v>
      </c>
      <c r="B97" s="35">
        <f>COUNTIF(NodesData[Unambiguous Name],NodesData[[#This Row],[Unambiguous Name]])</f>
        <v>1</v>
      </c>
      <c r="C97" s="12" t="s">
        <v>101</v>
      </c>
      <c r="D97" s="13" t="s">
        <v>1519</v>
      </c>
      <c r="E97" s="35">
        <f>COUNTIF(NodesData[Node ID],NodesData[[#This Row],[Node ID]])</f>
        <v>1</v>
      </c>
      <c r="G97" s="12" t="str">
        <f>IF(NodesData[[#This Row],[Class Disambiguation]]="",NodesData[[#This Row],[Common Name]],NodesData[[#This Row],[Common Name]]&amp;" ("&amp;NodesData[[#This Row],[Class Disambiguation]]&amp;")")</f>
        <v>Cloud Service User</v>
      </c>
      <c r="I97" s="12" t="s">
        <v>655</v>
      </c>
      <c r="J97" s="19" t="str" cm="1">
        <f t="array" ref="J97">CreateGuidString()</f>
        <v>C52748DB-D892-4562-9E72-D7CC17ADC6F9</v>
      </c>
    </row>
    <row r="98" spans="1:10" x14ac:dyDescent="0.35">
      <c r="A98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Coherent Whole</v>
      </c>
      <c r="B98" s="35">
        <f>COUNTIF(NodesData[Unambiguous Name],NodesData[[#This Row],[Unambiguous Name]])</f>
        <v>1</v>
      </c>
      <c r="C98" s="11" t="s">
        <v>1352</v>
      </c>
      <c r="D98" s="13" t="s">
        <v>1520</v>
      </c>
      <c r="E98" s="35">
        <f>COUNTIF(NodesData[Node ID],NodesData[[#This Row],[Node ID]])</f>
        <v>1</v>
      </c>
      <c r="G98" s="18" t="str">
        <f>IF(NodesData[[#This Row],[Class Disambiguation]]="",NodesData[[#This Row],[Common Name]],NodesData[[#This Row],[Common Name]]&amp;" ("&amp;NodesData[[#This Row],[Class Disambiguation]]&amp;")")</f>
        <v>Coherent Whole</v>
      </c>
      <c r="H98" s="18"/>
      <c r="J98" s="20" t="str" cm="1">
        <f t="array" ref="J98">CreateGuidString()</f>
        <v>280AA28E-AB45-49C1-BFD5-1BC861E7F82B</v>
      </c>
    </row>
    <row r="99" spans="1:10" x14ac:dyDescent="0.35">
      <c r="A99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Commission Error</v>
      </c>
      <c r="B99" s="35">
        <f>COUNTIF(NodesData[Unambiguous Name],NodesData[[#This Row],[Unambiguous Name]])</f>
        <v>1</v>
      </c>
      <c r="C99" s="12" t="s">
        <v>656</v>
      </c>
      <c r="D99" s="13" t="s">
        <v>1521</v>
      </c>
      <c r="E99" s="35">
        <f>COUNTIF(NodesData[Node ID],NodesData[[#This Row],[Node ID]])</f>
        <v>1</v>
      </c>
      <c r="G99" s="12" t="str">
        <f>IF(NodesData[[#This Row],[Class Disambiguation]]="",NodesData[[#This Row],[Common Name]],NodesData[[#This Row],[Common Name]]&amp;" ("&amp;NodesData[[#This Row],[Class Disambiguation]]&amp;")")</f>
        <v>Commission Error</v>
      </c>
      <c r="I99" s="12" t="s">
        <v>657</v>
      </c>
      <c r="J99" s="19" t="str" cm="1">
        <f t="array" ref="J99">CreateGuidString()</f>
        <v>C32C08C9-C21D-418D-B3BA-DAA098374096</v>
      </c>
    </row>
    <row r="100" spans="1:10" x14ac:dyDescent="0.35">
      <c r="A100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Compromised Identity</v>
      </c>
      <c r="B100" s="35">
        <f>COUNTIF(NodesData[Unambiguous Name],NodesData[[#This Row],[Unambiguous Name]])</f>
        <v>1</v>
      </c>
      <c r="C100" s="12" t="s">
        <v>658</v>
      </c>
      <c r="D100" s="13" t="s">
        <v>1522</v>
      </c>
      <c r="E100" s="35">
        <f>COUNTIF(NodesData[Node ID],NodesData[[#This Row],[Node ID]])</f>
        <v>1</v>
      </c>
      <c r="G100" s="12" t="str">
        <f>IF(NodesData[[#This Row],[Class Disambiguation]]="",NodesData[[#This Row],[Common Name]],NodesData[[#This Row],[Common Name]]&amp;" ("&amp;NodesData[[#This Row],[Class Disambiguation]]&amp;")")</f>
        <v>Compromised Identity</v>
      </c>
      <c r="I100" s="12" t="s">
        <v>659</v>
      </c>
      <c r="J100" s="19" t="str" cm="1">
        <f t="array" ref="J100">CreateGuidString()</f>
        <v>F75656A9-9363-4977-9EE3-E721319C09EA</v>
      </c>
    </row>
    <row r="101" spans="1:10" x14ac:dyDescent="0.35">
      <c r="A101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Concurrent Impersonation Attack</v>
      </c>
      <c r="B101" s="35">
        <f>COUNTIF(NodesData[Unambiguous Name],NodesData[[#This Row],[Unambiguous Name]])</f>
        <v>1</v>
      </c>
      <c r="C101" s="12" t="s">
        <v>660</v>
      </c>
      <c r="D101" s="13" t="s">
        <v>1523</v>
      </c>
      <c r="E101" s="35">
        <f>COUNTIF(NodesData[Node ID],NodesData[[#This Row],[Node ID]])</f>
        <v>1</v>
      </c>
      <c r="G101" s="12" t="str">
        <f>IF(NodesData[[#This Row],[Class Disambiguation]]="",NodesData[[#This Row],[Common Name]],NodesData[[#This Row],[Common Name]]&amp;" ("&amp;NodesData[[#This Row],[Class Disambiguation]]&amp;")")</f>
        <v>Concurrent Impersonation Attack</v>
      </c>
      <c r="I101" s="12" t="s">
        <v>661</v>
      </c>
      <c r="J101" s="19" t="str" cm="1">
        <f t="array" ref="J101">CreateGuidString()</f>
        <v>B8442D70-47D0-4E90-A4E8-ADF42F9AA1BC</v>
      </c>
    </row>
    <row r="102" spans="1:10" x14ac:dyDescent="0.35">
      <c r="A102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Continuous Authentication</v>
      </c>
      <c r="B102" s="35">
        <f>COUNTIF(NodesData[Unambiguous Name],NodesData[[#This Row],[Unambiguous Name]])</f>
        <v>1</v>
      </c>
      <c r="C102" s="12" t="s">
        <v>662</v>
      </c>
      <c r="D102" s="13" t="s">
        <v>1524</v>
      </c>
      <c r="E102" s="35">
        <f>COUNTIF(NodesData[Node ID],NodesData[[#This Row],[Node ID]])</f>
        <v>1</v>
      </c>
      <c r="G102" s="12" t="str">
        <f>IF(NodesData[[#This Row],[Class Disambiguation]]="",NodesData[[#This Row],[Common Name]],NodesData[[#This Row],[Common Name]]&amp;" ("&amp;NodesData[[#This Row],[Class Disambiguation]]&amp;")")</f>
        <v>Continuous Authentication</v>
      </c>
      <c r="I102" s="12" t="s">
        <v>663</v>
      </c>
      <c r="J102" s="19" t="str" cm="1">
        <f t="array" ref="J102">CreateGuidString()</f>
        <v>7E26068C-96D0-4268-94F8-D6C3FFC5F2B8</v>
      </c>
    </row>
    <row r="103" spans="1:10" x14ac:dyDescent="0.35">
      <c r="A103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Control Class</v>
      </c>
      <c r="B103" s="35">
        <f>COUNTIF(NodesData[Unambiguous Name],NodesData[[#This Row],[Unambiguous Name]])</f>
        <v>1</v>
      </c>
      <c r="C103" s="11" t="s">
        <v>1337</v>
      </c>
      <c r="D103" s="13" t="s">
        <v>1525</v>
      </c>
      <c r="E103" s="35">
        <f>COUNTIF(NodesData[Node ID],NodesData[[#This Row],[Node ID]])</f>
        <v>1</v>
      </c>
      <c r="G103" s="18" t="str">
        <f>IF(NodesData[[#This Row],[Class Disambiguation]]="",NodesData[[#This Row],[Common Name]],NodesData[[#This Row],[Common Name]]&amp;" ("&amp;NodesData[[#This Row],[Class Disambiguation]]&amp;")")</f>
        <v>Control Class</v>
      </c>
      <c r="H103" s="18"/>
      <c r="J103" s="20" t="str" cm="1">
        <f t="array" ref="J103">CreateGuidString()</f>
        <v>5F791B44-8718-49F2-A2CC-FE0FB6639171</v>
      </c>
    </row>
    <row r="104" spans="1:10" x14ac:dyDescent="0.35">
      <c r="A104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Control Party</v>
      </c>
      <c r="B104" s="35">
        <f>COUNTIF(NodesData[Unambiguous Name],NodesData[[#This Row],[Unambiguous Name]])</f>
        <v>1</v>
      </c>
      <c r="C104" s="12" t="s">
        <v>664</v>
      </c>
      <c r="D104" s="13" t="s">
        <v>1526</v>
      </c>
      <c r="E104" s="35">
        <f>COUNTIF(NodesData[Node ID],NodesData[[#This Row],[Node ID]])</f>
        <v>1</v>
      </c>
      <c r="G104" s="12" t="str">
        <f>IF(NodesData[[#This Row],[Class Disambiguation]]="",NodesData[[#This Row],[Common Name]],NodesData[[#This Row],[Common Name]]&amp;" ("&amp;NodesData[[#This Row],[Class Disambiguation]]&amp;")")</f>
        <v>Control Party</v>
      </c>
      <c r="I104" s="12" t="s">
        <v>665</v>
      </c>
      <c r="J104" s="19" t="str" cm="1">
        <f t="array" ref="J104">CreateGuidString()</f>
        <v>32A96E8F-00E0-4B00-9365-86AEB29BA499</v>
      </c>
    </row>
    <row r="105" spans="1:10" x14ac:dyDescent="0.35">
      <c r="A105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Core Identity</v>
      </c>
      <c r="B105" s="35">
        <f>COUNTIF(NodesData[Unambiguous Name],NodesData[[#This Row],[Unambiguous Name]])</f>
        <v>1</v>
      </c>
      <c r="C105" s="12" t="s">
        <v>666</v>
      </c>
      <c r="D105" s="13" t="s">
        <v>1527</v>
      </c>
      <c r="E105" s="35">
        <f>COUNTIF(NodesData[Node ID],NodesData[[#This Row],[Node ID]])</f>
        <v>1</v>
      </c>
      <c r="G105" s="12" t="str">
        <f>IF(NodesData[[#This Row],[Class Disambiguation]]="",NodesData[[#This Row],[Common Name]],NodesData[[#This Row],[Common Name]]&amp;" ("&amp;NodesData[[#This Row],[Class Disambiguation]]&amp;")")</f>
        <v>Core Identity</v>
      </c>
      <c r="I105" s="12" t="s">
        <v>667</v>
      </c>
      <c r="J105" s="19" t="str" cm="1">
        <f t="array" ref="J105">CreateGuidString()</f>
        <v>9E0717FA-4ABA-4597-8F4E-F85C27A2411F</v>
      </c>
    </row>
    <row r="106" spans="1:10" x14ac:dyDescent="0.35">
      <c r="A106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Credential</v>
      </c>
      <c r="B106" s="35">
        <f>COUNTIF(NodesData[Unambiguous Name],NodesData[[#This Row],[Unambiguous Name]])</f>
        <v>1</v>
      </c>
      <c r="C106" s="12" t="s">
        <v>117</v>
      </c>
      <c r="D106" s="13" t="s">
        <v>1528</v>
      </c>
      <c r="E106" s="35">
        <f>COUNTIF(NodesData[Node ID],NodesData[[#This Row],[Node ID]])</f>
        <v>1</v>
      </c>
      <c r="G106" s="12" t="str">
        <f>IF(NodesData[[#This Row],[Class Disambiguation]]="",NodesData[[#This Row],[Common Name]],NodesData[[#This Row],[Common Name]]&amp;" ("&amp;NodesData[[#This Row],[Class Disambiguation]]&amp;")")</f>
        <v>Credential</v>
      </c>
      <c r="I106" s="12" t="s">
        <v>668</v>
      </c>
      <c r="J106" s="19" t="str" cm="1">
        <f t="array" ref="J106">CreateGuidString()</f>
        <v>F776CDDB-EE5B-46A2-9193-A9494CC82F6D</v>
      </c>
    </row>
    <row r="107" spans="1:10" x14ac:dyDescent="0.35">
      <c r="A107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Credential Harvesting</v>
      </c>
      <c r="B107" s="35">
        <f>COUNTIF(NodesData[Unambiguous Name],NodesData[[#This Row],[Unambiguous Name]])</f>
        <v>1</v>
      </c>
      <c r="C107" s="12" t="s">
        <v>118</v>
      </c>
      <c r="D107" s="13" t="s">
        <v>1529</v>
      </c>
      <c r="E107" s="35">
        <f>COUNTIF(NodesData[Node ID],NodesData[[#This Row],[Node ID]])</f>
        <v>1</v>
      </c>
      <c r="G107" s="12" t="str">
        <f>IF(NodesData[[#This Row],[Class Disambiguation]]="",NodesData[[#This Row],[Common Name]],NodesData[[#This Row],[Common Name]]&amp;" ("&amp;NodesData[[#This Row],[Class Disambiguation]]&amp;")")</f>
        <v>Credential Harvesting</v>
      </c>
      <c r="I107" s="12" t="s">
        <v>669</v>
      </c>
      <c r="J107" s="19" t="str" cm="1">
        <f t="array" ref="J107">CreateGuidString()</f>
        <v>BB4FD4F3-0866-4D93-B2F5-3EA9128DE349</v>
      </c>
    </row>
    <row r="108" spans="1:10" x14ac:dyDescent="0.35">
      <c r="A108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Credential Service Provider</v>
      </c>
      <c r="B108" s="35">
        <f>COUNTIF(NodesData[Unambiguous Name],NodesData[[#This Row],[Unambiguous Name]])</f>
        <v>1</v>
      </c>
      <c r="C108" s="12" t="s">
        <v>670</v>
      </c>
      <c r="D108" s="13" t="s">
        <v>1530</v>
      </c>
      <c r="E108" s="35">
        <f>COUNTIF(NodesData[Node ID],NodesData[[#This Row],[Node ID]])</f>
        <v>1</v>
      </c>
      <c r="G108" s="12" t="str">
        <f>IF(NodesData[[#This Row],[Class Disambiguation]]="",NodesData[[#This Row],[Common Name]],NodesData[[#This Row],[Common Name]]&amp;" ("&amp;NodesData[[#This Row],[Class Disambiguation]]&amp;")")</f>
        <v>Credential Service Provider</v>
      </c>
      <c r="I108" s="12" t="s">
        <v>671</v>
      </c>
      <c r="J108" s="19" t="str" cm="1">
        <f t="array" ref="J108">CreateGuidString()</f>
        <v>15F0DEA4-C5DA-40AD-883B-B04783C934A6</v>
      </c>
    </row>
    <row r="109" spans="1:10" x14ac:dyDescent="0.35">
      <c r="A109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Credential Stuffing</v>
      </c>
      <c r="B109" s="35">
        <f>COUNTIF(NodesData[Unambiguous Name],NodesData[[#This Row],[Unambiguous Name]])</f>
        <v>1</v>
      </c>
      <c r="C109" s="12" t="s">
        <v>120</v>
      </c>
      <c r="D109" s="13" t="s">
        <v>1531</v>
      </c>
      <c r="E109" s="35">
        <f>COUNTIF(NodesData[Node ID],NodesData[[#This Row],[Node ID]])</f>
        <v>1</v>
      </c>
      <c r="G109" s="12" t="str">
        <f>IF(NodesData[[#This Row],[Class Disambiguation]]="",NodesData[[#This Row],[Common Name]],NodesData[[#This Row],[Common Name]]&amp;" ("&amp;NodesData[[#This Row],[Class Disambiguation]]&amp;")")</f>
        <v>Credential Stuffing</v>
      </c>
      <c r="I109" s="12" t="s">
        <v>672</v>
      </c>
      <c r="J109" s="19" t="str" cm="1">
        <f t="array" ref="J109">CreateGuidString()</f>
        <v>E2C30795-B320-47ED-83AB-1990E1539ABC</v>
      </c>
    </row>
    <row r="110" spans="1:10" x14ac:dyDescent="0.35">
      <c r="A110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Credential Theft</v>
      </c>
      <c r="B110" s="35">
        <f>COUNTIF(NodesData[Unambiguous Name],NodesData[[#This Row],[Unambiguous Name]])</f>
        <v>1</v>
      </c>
      <c r="C110" s="12" t="s">
        <v>673</v>
      </c>
      <c r="D110" s="13" t="s">
        <v>1532</v>
      </c>
      <c r="E110" s="35">
        <f>COUNTIF(NodesData[Node ID],NodesData[[#This Row],[Node ID]])</f>
        <v>1</v>
      </c>
      <c r="G110" s="12" t="str">
        <f>IF(NodesData[[#This Row],[Class Disambiguation]]="",NodesData[[#This Row],[Common Name]],NodesData[[#This Row],[Common Name]]&amp;" ("&amp;NodesData[[#This Row],[Class Disambiguation]]&amp;")")</f>
        <v>Credential Theft</v>
      </c>
      <c r="I110" s="12" t="s">
        <v>674</v>
      </c>
      <c r="J110" s="19" t="str" cm="1">
        <f t="array" ref="J110">CreateGuidString()</f>
        <v>57AD9529-690F-4805-B802-E1100D039FEA</v>
      </c>
    </row>
    <row r="111" spans="1:10" x14ac:dyDescent="0.35">
      <c r="A111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Cryptographic Key</v>
      </c>
      <c r="B111" s="35">
        <f>COUNTIF(NodesData[Unambiguous Name],NodesData[[#This Row],[Unambiguous Name]])</f>
        <v>1</v>
      </c>
      <c r="C111" s="12" t="s">
        <v>675</v>
      </c>
      <c r="D111" s="13" t="s">
        <v>1533</v>
      </c>
      <c r="E111" s="35">
        <f>COUNTIF(NodesData[Node ID],NodesData[[#This Row],[Node ID]])</f>
        <v>1</v>
      </c>
      <c r="G111" s="12" t="str">
        <f>IF(NodesData[[#This Row],[Class Disambiguation]]="",NodesData[[#This Row],[Common Name]],NodesData[[#This Row],[Common Name]]&amp;" ("&amp;NodesData[[#This Row],[Class Disambiguation]]&amp;")")</f>
        <v>Cryptographic Key</v>
      </c>
      <c r="I111" s="12" t="s">
        <v>676</v>
      </c>
      <c r="J111" s="19" t="str" cm="1">
        <f t="array" ref="J111">CreateGuidString()</f>
        <v>447217D7-2C03-4271-B327-CFD28C6DAC1F</v>
      </c>
    </row>
    <row r="112" spans="1:10" x14ac:dyDescent="0.35">
      <c r="A112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CSC (Acronym)</v>
      </c>
      <c r="B112" s="35">
        <f>COUNTIF(NodesData[Unambiguous Name],NodesData[[#This Row],[Unambiguous Name]])</f>
        <v>1</v>
      </c>
      <c r="C112" s="12" t="s">
        <v>123</v>
      </c>
      <c r="D112" s="13" t="s">
        <v>1534</v>
      </c>
      <c r="E112" s="35">
        <f>COUNTIF(NodesData[Node ID],NodesData[[#This Row],[Node ID]])</f>
        <v>1</v>
      </c>
      <c r="F112" s="12" t="s">
        <v>1270</v>
      </c>
      <c r="G112" s="12" t="str">
        <f>IF(NodesData[[#This Row],[Class Disambiguation]]="",NodesData[[#This Row],[Common Name]],NodesData[[#This Row],[Common Name]]&amp;" ("&amp;NodesData[[#This Row],[Class Disambiguation]]&amp;")")</f>
        <v>CSC (Acronym)</v>
      </c>
      <c r="I112" s="12" t="s">
        <v>677</v>
      </c>
      <c r="J112" s="19" t="str" cm="1">
        <f t="array" ref="J112">CreateGuidString()</f>
        <v>BE271CC7-BBE0-4DB2-9720-3B29FFBE36CC</v>
      </c>
    </row>
    <row r="113" spans="1:10" x14ac:dyDescent="0.35">
      <c r="A113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CSP (Acronym)</v>
      </c>
      <c r="B113" s="35">
        <f>COUNTIF(NodesData[Unambiguous Name],NodesData[[#This Row],[Unambiguous Name]])</f>
        <v>1</v>
      </c>
      <c r="C113" s="12" t="s">
        <v>124</v>
      </c>
      <c r="D113" s="13" t="s">
        <v>1535</v>
      </c>
      <c r="E113" s="35">
        <f>COUNTIF(NodesData[Node ID],NodesData[[#This Row],[Node ID]])</f>
        <v>1</v>
      </c>
      <c r="F113" s="12" t="s">
        <v>1270</v>
      </c>
      <c r="G113" s="12" t="str">
        <f>IF(NodesData[[#This Row],[Class Disambiguation]]="",NodesData[[#This Row],[Common Name]],NodesData[[#This Row],[Common Name]]&amp;" ("&amp;NodesData[[#This Row],[Class Disambiguation]]&amp;")")</f>
        <v>CSP (Acronym)</v>
      </c>
      <c r="I113" s="12" t="s">
        <v>678</v>
      </c>
      <c r="J113" s="19" t="str" cm="1">
        <f t="array" ref="J113">CreateGuidString()</f>
        <v>E0D78B03-C98D-4F60-A5FB-56E62E2986EF</v>
      </c>
    </row>
    <row r="114" spans="1:10" x14ac:dyDescent="0.35">
      <c r="A114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CSU (Acronym)</v>
      </c>
      <c r="B114" s="35">
        <f>COUNTIF(NodesData[Unambiguous Name],NodesData[[#This Row],[Unambiguous Name]])</f>
        <v>1</v>
      </c>
      <c r="C114" s="12" t="s">
        <v>125</v>
      </c>
      <c r="D114" s="13" t="s">
        <v>1536</v>
      </c>
      <c r="E114" s="35">
        <f>COUNTIF(NodesData[Node ID],NodesData[[#This Row],[Node ID]])</f>
        <v>1</v>
      </c>
      <c r="F114" s="12" t="s">
        <v>1270</v>
      </c>
      <c r="G114" s="12" t="str">
        <f>IF(NodesData[[#This Row],[Class Disambiguation]]="",NodesData[[#This Row],[Common Name]],NodesData[[#This Row],[Common Name]]&amp;" ("&amp;NodesData[[#This Row],[Class Disambiguation]]&amp;")")</f>
        <v>CSU (Acronym)</v>
      </c>
      <c r="I114" s="12" t="s">
        <v>679</v>
      </c>
      <c r="J114" s="19" t="str" cm="1">
        <f t="array" ref="J114">CreateGuidString()</f>
        <v>8F4F3268-AE0C-4A96-BB5B-CAA79C4CD021</v>
      </c>
    </row>
    <row r="115" spans="1:10" x14ac:dyDescent="0.35">
      <c r="A115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Customer Due Diligence</v>
      </c>
      <c r="B115" s="35">
        <f>COUNTIF(NodesData[Unambiguous Name],NodesData[[#This Row],[Unambiguous Name]])</f>
        <v>1</v>
      </c>
      <c r="C115" s="12" t="s">
        <v>680</v>
      </c>
      <c r="D115" s="13" t="s">
        <v>1537</v>
      </c>
      <c r="E115" s="35">
        <f>COUNTIF(NodesData[Node ID],NodesData[[#This Row],[Node ID]])</f>
        <v>1</v>
      </c>
      <c r="G115" s="12" t="str">
        <f>IF(NodesData[[#This Row],[Class Disambiguation]]="",NodesData[[#This Row],[Common Name]],NodesData[[#This Row],[Common Name]]&amp;" ("&amp;NodesData[[#This Row],[Class Disambiguation]]&amp;")")</f>
        <v>Customer Due Diligence</v>
      </c>
      <c r="I115" s="12" t="s">
        <v>681</v>
      </c>
      <c r="J115" s="19" t="str" cm="1">
        <f t="array" ref="J115">CreateGuidString()</f>
        <v>D51472FB-2640-49C8-9297-14A270710580</v>
      </c>
    </row>
    <row r="116" spans="1:10" x14ac:dyDescent="0.35">
      <c r="A116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Customer Identification</v>
      </c>
      <c r="B116" s="35">
        <f>COUNTIF(NodesData[Unambiguous Name],NodesData[[#This Row],[Unambiguous Name]])</f>
        <v>1</v>
      </c>
      <c r="C116" s="12" t="s">
        <v>682</v>
      </c>
      <c r="D116" s="13" t="s">
        <v>1538</v>
      </c>
      <c r="E116" s="35">
        <f>COUNTIF(NodesData[Node ID],NodesData[[#This Row],[Node ID]])</f>
        <v>1</v>
      </c>
      <c r="G116" s="12" t="str">
        <f>IF(NodesData[[#This Row],[Class Disambiguation]]="",NodesData[[#This Row],[Common Name]],NodesData[[#This Row],[Common Name]]&amp;" ("&amp;NodesData[[#This Row],[Class Disambiguation]]&amp;")")</f>
        <v>Customer Identification</v>
      </c>
      <c r="I116" s="12" t="s">
        <v>683</v>
      </c>
      <c r="J116" s="19" t="str" cm="1">
        <f t="array" ref="J116">CreateGuidString()</f>
        <v>3CB96DD8-62AD-4BB6-A264-0DD6DB47CABC</v>
      </c>
    </row>
    <row r="117" spans="1:10" x14ac:dyDescent="0.35">
      <c r="A117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Customer Identity</v>
      </c>
      <c r="B117" s="35">
        <f>COUNTIF(NodesData[Unambiguous Name],NodesData[[#This Row],[Unambiguous Name]])</f>
        <v>1</v>
      </c>
      <c r="C117" s="12" t="s">
        <v>684</v>
      </c>
      <c r="D117" s="13" t="s">
        <v>1539</v>
      </c>
      <c r="E117" s="35">
        <f>COUNTIF(NodesData[Node ID],NodesData[[#This Row],[Node ID]])</f>
        <v>1</v>
      </c>
      <c r="G117" s="12" t="str">
        <f>IF(NodesData[[#This Row],[Class Disambiguation]]="",NodesData[[#This Row],[Common Name]],NodesData[[#This Row],[Common Name]]&amp;" ("&amp;NodesData[[#This Row],[Class Disambiguation]]&amp;")")</f>
        <v>Customer Identity</v>
      </c>
      <c r="I117" s="12" t="s">
        <v>685</v>
      </c>
      <c r="J117" s="19" t="str" cm="1">
        <f t="array" ref="J117">CreateGuidString()</f>
        <v>ED45F113-B884-4A0C-AB3E-B58CB81531E5</v>
      </c>
    </row>
    <row r="118" spans="1:10" x14ac:dyDescent="0.35">
      <c r="A118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Customer Identity Verification</v>
      </c>
      <c r="B118" s="35">
        <f>COUNTIF(NodesData[Unambiguous Name],NodesData[[#This Row],[Unambiguous Name]])</f>
        <v>1</v>
      </c>
      <c r="C118" s="12" t="s">
        <v>686</v>
      </c>
      <c r="D118" s="13" t="s">
        <v>1540</v>
      </c>
      <c r="E118" s="35">
        <f>COUNTIF(NodesData[Node ID],NodesData[[#This Row],[Node ID]])</f>
        <v>1</v>
      </c>
      <c r="G118" s="12" t="str">
        <f>IF(NodesData[[#This Row],[Class Disambiguation]]="",NodesData[[#This Row],[Common Name]],NodesData[[#This Row],[Common Name]]&amp;" ("&amp;NodesData[[#This Row],[Class Disambiguation]]&amp;")")</f>
        <v>Customer Identity Verification</v>
      </c>
      <c r="I118" s="12" t="s">
        <v>687</v>
      </c>
      <c r="J118" s="19" t="str" cm="1">
        <f t="array" ref="J118">CreateGuidString()</f>
        <v>3062D8D4-9482-424C-AF34-9782778EEE31</v>
      </c>
    </row>
    <row r="119" spans="1:10" x14ac:dyDescent="0.35">
      <c r="A119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Customer On-Boarding</v>
      </c>
      <c r="B119" s="35">
        <f>COUNTIF(NodesData[Unambiguous Name],NodesData[[#This Row],[Unambiguous Name]])</f>
        <v>1</v>
      </c>
      <c r="C119" s="12" t="s">
        <v>688</v>
      </c>
      <c r="D119" s="13" t="s">
        <v>1541</v>
      </c>
      <c r="E119" s="35">
        <f>COUNTIF(NodesData[Node ID],NodesData[[#This Row],[Node ID]])</f>
        <v>1</v>
      </c>
      <c r="G119" s="12" t="str">
        <f>IF(NodesData[[#This Row],[Class Disambiguation]]="",NodesData[[#This Row],[Common Name]],NodesData[[#This Row],[Common Name]]&amp;" ("&amp;NodesData[[#This Row],[Class Disambiguation]]&amp;")")</f>
        <v>Customer On-Boarding</v>
      </c>
      <c r="I119" s="12" t="s">
        <v>689</v>
      </c>
      <c r="J119" s="19" t="str" cm="1">
        <f t="array" ref="J119">CreateGuidString()</f>
        <v>1B8205B0-5726-4081-9BAF-4E6B1B768993</v>
      </c>
    </row>
    <row r="120" spans="1:10" x14ac:dyDescent="0.35">
      <c r="A120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Customer Privacy and Consent Management</v>
      </c>
      <c r="B120" s="35">
        <f>COUNTIF(NodesData[Unambiguous Name],NodesData[[#This Row],[Unambiguous Name]])</f>
        <v>1</v>
      </c>
      <c r="C120" s="12" t="s">
        <v>690</v>
      </c>
      <c r="D120" s="13" t="s">
        <v>1542</v>
      </c>
      <c r="E120" s="35">
        <f>COUNTIF(NodesData[Node ID],NodesData[[#This Row],[Node ID]])</f>
        <v>1</v>
      </c>
      <c r="G120" s="12" t="str">
        <f>IF(NodesData[[#This Row],[Class Disambiguation]]="",NodesData[[#This Row],[Common Name]],NodesData[[#This Row],[Common Name]]&amp;" ("&amp;NodesData[[#This Row],[Class Disambiguation]]&amp;")")</f>
        <v>Customer Privacy and Consent Management</v>
      </c>
      <c r="I120" s="12" t="s">
        <v>691</v>
      </c>
      <c r="J120" s="19" t="str" cm="1">
        <f t="array" ref="J120">CreateGuidString()</f>
        <v>A59F20FC-88A8-45B7-8133-C17AF7CD91AD</v>
      </c>
    </row>
    <row r="121" spans="1:10" x14ac:dyDescent="0.35">
      <c r="A121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Cyber-sabotage</v>
      </c>
      <c r="B121" s="35">
        <f>COUNTIF(NodesData[Unambiguous Name],NodesData[[#This Row],[Unambiguous Name]])</f>
        <v>1</v>
      </c>
      <c r="C121" s="12" t="s">
        <v>132</v>
      </c>
      <c r="D121" s="13" t="s">
        <v>1543</v>
      </c>
      <c r="E121" s="35">
        <f>COUNTIF(NodesData[Node ID],NodesData[[#This Row],[Node ID]])</f>
        <v>1</v>
      </c>
      <c r="G121" s="12" t="str">
        <f>IF(NodesData[[#This Row],[Class Disambiguation]]="",NodesData[[#This Row],[Common Name]],NodesData[[#This Row],[Common Name]]&amp;" ("&amp;NodesData[[#This Row],[Class Disambiguation]]&amp;")")</f>
        <v>Cyber-sabotage</v>
      </c>
      <c r="I121" s="12" t="s">
        <v>692</v>
      </c>
      <c r="J121" s="19" t="str" cm="1">
        <f t="array" ref="J121">CreateGuidString()</f>
        <v>6B79E001-45A5-41F3-A1A6-E6587878B4D6</v>
      </c>
    </row>
    <row r="122" spans="1:10" x14ac:dyDescent="0.35">
      <c r="A122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DAC (Acronym)</v>
      </c>
      <c r="B122" s="35">
        <f>COUNTIF(NodesData[Unambiguous Name],NodesData[[#This Row],[Unambiguous Name]])</f>
        <v>1</v>
      </c>
      <c r="C122" s="12" t="s">
        <v>133</v>
      </c>
      <c r="D122" s="13" t="s">
        <v>1544</v>
      </c>
      <c r="E122" s="35">
        <f>COUNTIF(NodesData[Node ID],NodesData[[#This Row],[Node ID]])</f>
        <v>1</v>
      </c>
      <c r="F122" s="12" t="s">
        <v>1270</v>
      </c>
      <c r="G122" s="12" t="str">
        <f>IF(NodesData[[#This Row],[Class Disambiguation]]="",NodesData[[#This Row],[Common Name]],NodesData[[#This Row],[Common Name]]&amp;" ("&amp;NodesData[[#This Row],[Class Disambiguation]]&amp;")")</f>
        <v>DAC (Acronym)</v>
      </c>
      <c r="I122" s="12" t="s">
        <v>693</v>
      </c>
      <c r="J122" s="19" t="str" cm="1">
        <f t="array" ref="J122">CreateGuidString()</f>
        <v>4DB55C9C-8AA3-41F8-B945-EB1252E5EC96</v>
      </c>
    </row>
    <row r="123" spans="1:10" x14ac:dyDescent="0.35">
      <c r="A123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Data</v>
      </c>
      <c r="B123" s="35">
        <f>COUNTIF(NodesData[Unambiguous Name],NodesData[[#This Row],[Unambiguous Name]])</f>
        <v>1</v>
      </c>
      <c r="C123" s="12" t="s">
        <v>1345</v>
      </c>
      <c r="D123" s="13" t="s">
        <v>1545</v>
      </c>
      <c r="E123" s="35">
        <f>COUNTIF(NodesData[Node ID],NodesData[[#This Row],[Node ID]])</f>
        <v>1</v>
      </c>
      <c r="G123" s="18" t="str">
        <f>IF(NodesData[[#This Row],[Class Disambiguation]]="",NodesData[[#This Row],[Common Name]],NodesData[[#This Row],[Common Name]]&amp;" ("&amp;NodesData[[#This Row],[Class Disambiguation]]&amp;")")</f>
        <v>Data</v>
      </c>
      <c r="H123" s="18"/>
      <c r="J123" s="19" t="str" cm="1">
        <f t="array" ref="J123">CreateGuidString()</f>
        <v>B2E2636D-8393-4364-968A-BDD203C9C0AC</v>
      </c>
    </row>
    <row r="124" spans="1:10" x14ac:dyDescent="0.35">
      <c r="A124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Data Anonymization</v>
      </c>
      <c r="B124" s="35">
        <f>COUNTIF(NodesData[Unambiguous Name],NodesData[[#This Row],[Unambiguous Name]])</f>
        <v>1</v>
      </c>
      <c r="C124" s="12" t="s">
        <v>134</v>
      </c>
      <c r="D124" s="13" t="s">
        <v>1546</v>
      </c>
      <c r="E124" s="35">
        <f>COUNTIF(NodesData[Node ID],NodesData[[#This Row],[Node ID]])</f>
        <v>1</v>
      </c>
      <c r="G124" s="12" t="str">
        <f>IF(NodesData[[#This Row],[Class Disambiguation]]="",NodesData[[#This Row],[Common Name]],NodesData[[#This Row],[Common Name]]&amp;" ("&amp;NodesData[[#This Row],[Class Disambiguation]]&amp;")")</f>
        <v>Data Anonymization</v>
      </c>
      <c r="I124" s="12" t="s">
        <v>694</v>
      </c>
      <c r="J124" s="19" t="str" cm="1">
        <f t="array" ref="J124">CreateGuidString()</f>
        <v>D9C26054-9F8E-4D05-A071-5A06F06F1BD0</v>
      </c>
    </row>
    <row r="125" spans="1:10" x14ac:dyDescent="0.35">
      <c r="A125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Data Custodian</v>
      </c>
      <c r="B125" s="35">
        <f>COUNTIF(NodesData[Unambiguous Name],NodesData[[#This Row],[Unambiguous Name]])</f>
        <v>1</v>
      </c>
      <c r="C125" s="12" t="s">
        <v>695</v>
      </c>
      <c r="D125" s="13" t="s">
        <v>1547</v>
      </c>
      <c r="E125" s="35">
        <f>COUNTIF(NodesData[Node ID],NodesData[[#This Row],[Node ID]])</f>
        <v>1</v>
      </c>
      <c r="G125" s="12" t="str">
        <f>IF(NodesData[[#This Row],[Class Disambiguation]]="",NodesData[[#This Row],[Common Name]],NodesData[[#This Row],[Common Name]]&amp;" ("&amp;NodesData[[#This Row],[Class Disambiguation]]&amp;")")</f>
        <v>Data Custodian</v>
      </c>
      <c r="I125" s="12" t="s">
        <v>696</v>
      </c>
      <c r="J125" s="19" t="str" cm="1">
        <f t="array" ref="J125">CreateGuidString()</f>
        <v>DACEC4AF-D157-4FF3-9114-7402649BFADA</v>
      </c>
    </row>
    <row r="126" spans="1:10" x14ac:dyDescent="0.35">
      <c r="A126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Data Lineage</v>
      </c>
      <c r="B126" s="35">
        <f>COUNTIF(NodesData[Unambiguous Name],NodesData[[#This Row],[Unambiguous Name]])</f>
        <v>1</v>
      </c>
      <c r="C126" s="12" t="s">
        <v>697</v>
      </c>
      <c r="D126" s="13" t="s">
        <v>1548</v>
      </c>
      <c r="E126" s="35">
        <f>COUNTIF(NodesData[Node ID],NodesData[[#This Row],[Node ID]])</f>
        <v>1</v>
      </c>
      <c r="G126" s="12" t="str">
        <f>IF(NodesData[[#This Row],[Class Disambiguation]]="",NodesData[[#This Row],[Common Name]],NodesData[[#This Row],[Common Name]]&amp;" ("&amp;NodesData[[#This Row],[Class Disambiguation]]&amp;")")</f>
        <v>Data Lineage</v>
      </c>
      <c r="I126" s="12" t="s">
        <v>698</v>
      </c>
      <c r="J126" s="19" t="str" cm="1">
        <f t="array" ref="J126">CreateGuidString()</f>
        <v>2B749E01-A2A6-41CA-B754-80ABB035800C</v>
      </c>
    </row>
    <row r="127" spans="1:10" x14ac:dyDescent="0.35">
      <c r="A127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Data Obfuscation</v>
      </c>
      <c r="B127" s="35">
        <f>COUNTIF(NodesData[Unambiguous Name],NodesData[[#This Row],[Unambiguous Name]])</f>
        <v>1</v>
      </c>
      <c r="C127" s="12" t="s">
        <v>699</v>
      </c>
      <c r="D127" s="13" t="s">
        <v>1549</v>
      </c>
      <c r="E127" s="35">
        <f>COUNTIF(NodesData[Node ID],NodesData[[#This Row],[Node ID]])</f>
        <v>1</v>
      </c>
      <c r="G127" s="12" t="str">
        <f>IF(NodesData[[#This Row],[Class Disambiguation]]="",NodesData[[#This Row],[Common Name]],NodesData[[#This Row],[Common Name]]&amp;" ("&amp;NodesData[[#This Row],[Class Disambiguation]]&amp;")")</f>
        <v>Data Obfuscation</v>
      </c>
      <c r="I127" s="12" t="s">
        <v>700</v>
      </c>
      <c r="J127" s="19" t="str" cm="1">
        <f t="array" ref="J127">CreateGuidString()</f>
        <v>A238E30D-3EC3-4D75-B12A-E579199659AC</v>
      </c>
    </row>
    <row r="128" spans="1:10" x14ac:dyDescent="0.35">
      <c r="A128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Data Operation</v>
      </c>
      <c r="B128" s="35">
        <f>COUNTIF(NodesData[Unambiguous Name],NodesData[[#This Row],[Unambiguous Name]])</f>
        <v>1</v>
      </c>
      <c r="C128" s="12" t="s">
        <v>1346</v>
      </c>
      <c r="D128" s="13" t="s">
        <v>1550</v>
      </c>
      <c r="E128" s="35">
        <f>COUNTIF(NodesData[Node ID],NodesData[[#This Row],[Node ID]])</f>
        <v>1</v>
      </c>
      <c r="G128" s="18" t="str">
        <f>IF(NodesData[[#This Row],[Class Disambiguation]]="",NodesData[[#This Row],[Common Name]],NodesData[[#This Row],[Common Name]]&amp;" ("&amp;NodesData[[#This Row],[Class Disambiguation]]&amp;")")</f>
        <v>Data Operation</v>
      </c>
      <c r="H128" s="18"/>
      <c r="J128" s="20" t="str" cm="1">
        <f t="array" ref="J128">CreateGuidString()</f>
        <v>3CBB156B-E08A-4BAE-877D-DA2993755475</v>
      </c>
    </row>
    <row r="129" spans="1:10" x14ac:dyDescent="0.35">
      <c r="A129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Data Owner</v>
      </c>
      <c r="B129" s="35">
        <f>COUNTIF(NodesData[Unambiguous Name],NodesData[[#This Row],[Unambiguous Name]])</f>
        <v>1</v>
      </c>
      <c r="C129" s="12" t="s">
        <v>701</v>
      </c>
      <c r="D129" s="13" t="s">
        <v>1551</v>
      </c>
      <c r="E129" s="35">
        <f>COUNTIF(NodesData[Node ID],NodesData[[#This Row],[Node ID]])</f>
        <v>1</v>
      </c>
      <c r="G129" s="12" t="str">
        <f>IF(NodesData[[#This Row],[Class Disambiguation]]="",NodesData[[#This Row],[Common Name]],NodesData[[#This Row],[Common Name]]&amp;" ("&amp;NodesData[[#This Row],[Class Disambiguation]]&amp;")")</f>
        <v>Data Owner</v>
      </c>
      <c r="I129" s="12" t="s">
        <v>702</v>
      </c>
      <c r="J129" s="19" t="str" cm="1">
        <f t="array" ref="J129">CreateGuidString()</f>
        <v>57D1CBB6-D37B-4178-A7A8-9E7BDD3448D4</v>
      </c>
    </row>
    <row r="130" spans="1:10" x14ac:dyDescent="0.35">
      <c r="A130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Data-Level Policy</v>
      </c>
      <c r="B130" s="35">
        <f>COUNTIF(NodesData[Unambiguous Name],NodesData[[#This Row],[Unambiguous Name]])</f>
        <v>1</v>
      </c>
      <c r="C130" s="12" t="s">
        <v>703</v>
      </c>
      <c r="D130" s="13" t="s">
        <v>1552</v>
      </c>
      <c r="E130" s="35">
        <f>COUNTIF(NodesData[Node ID],NodesData[[#This Row],[Node ID]])</f>
        <v>1</v>
      </c>
      <c r="G130" s="12" t="str">
        <f>IF(NodesData[[#This Row],[Class Disambiguation]]="",NodesData[[#This Row],[Common Name]],NodesData[[#This Row],[Common Name]]&amp;" ("&amp;NodesData[[#This Row],[Class Disambiguation]]&amp;")")</f>
        <v>Data-Level Policy</v>
      </c>
      <c r="I130" s="12" t="s">
        <v>704</v>
      </c>
      <c r="J130" s="19" t="str" cm="1">
        <f t="array" ref="J130">CreateGuidString()</f>
        <v>5D452057-1350-4CCC-91F0-AA12C565C1F0</v>
      </c>
    </row>
    <row r="131" spans="1:10" x14ac:dyDescent="0.35">
      <c r="A131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Death Certificate</v>
      </c>
      <c r="B131" s="35">
        <f>COUNTIF(NodesData[Unambiguous Name],NodesData[[#This Row],[Unambiguous Name]])</f>
        <v>1</v>
      </c>
      <c r="C131" s="12" t="s">
        <v>705</v>
      </c>
      <c r="D131" s="13" t="s">
        <v>1553</v>
      </c>
      <c r="E131" s="35">
        <f>COUNTIF(NodesData[Node ID],NodesData[[#This Row],[Node ID]])</f>
        <v>1</v>
      </c>
      <c r="G131" s="12" t="str">
        <f>IF(NodesData[[#This Row],[Class Disambiguation]]="",NodesData[[#This Row],[Common Name]],NodesData[[#This Row],[Common Name]]&amp;" ("&amp;NodesData[[#This Row],[Class Disambiguation]]&amp;")")</f>
        <v>Death Certificate</v>
      </c>
      <c r="I131" s="12" t="s">
        <v>706</v>
      </c>
      <c r="J131" s="19" t="str" cm="1">
        <f t="array" ref="J131">CreateGuidString()</f>
        <v>59FC40F9-DC67-4E69-9C02-9E9BDD8A3196</v>
      </c>
    </row>
    <row r="132" spans="1:10" x14ac:dyDescent="0.35">
      <c r="A132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Decentralized Identifier</v>
      </c>
      <c r="B132" s="35">
        <f>COUNTIF(NodesData[Unambiguous Name],NodesData[[#This Row],[Unambiguous Name]])</f>
        <v>1</v>
      </c>
      <c r="C132" s="12" t="s">
        <v>707</v>
      </c>
      <c r="D132" s="13" t="s">
        <v>1554</v>
      </c>
      <c r="E132" s="35">
        <f>COUNTIF(NodesData[Node ID],NodesData[[#This Row],[Node ID]])</f>
        <v>1</v>
      </c>
      <c r="G132" s="12" t="str">
        <f>IF(NodesData[[#This Row],[Class Disambiguation]]="",NodesData[[#This Row],[Common Name]],NodesData[[#This Row],[Common Name]]&amp;" ("&amp;NodesData[[#This Row],[Class Disambiguation]]&amp;")")</f>
        <v>Decentralized Identifier</v>
      </c>
      <c r="I132" s="12" t="s">
        <v>708</v>
      </c>
      <c r="J132" s="19" t="str" cm="1">
        <f t="array" ref="J132">CreateGuidString()</f>
        <v>EE45754D-0B39-4995-B813-C37ADCAF3EAE</v>
      </c>
    </row>
    <row r="133" spans="1:10" x14ac:dyDescent="0.35">
      <c r="A133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De-duplication</v>
      </c>
      <c r="B133" s="35">
        <f>COUNTIF(NodesData[Unambiguous Name],NodesData[[#This Row],[Unambiguous Name]])</f>
        <v>1</v>
      </c>
      <c r="C133" s="12" t="s">
        <v>709</v>
      </c>
      <c r="D133" s="13" t="s">
        <v>1555</v>
      </c>
      <c r="E133" s="35">
        <f>COUNTIF(NodesData[Node ID],NodesData[[#This Row],[Node ID]])</f>
        <v>1</v>
      </c>
      <c r="G133" s="12" t="str">
        <f>IF(NodesData[[#This Row],[Class Disambiguation]]="",NodesData[[#This Row],[Common Name]],NodesData[[#This Row],[Common Name]]&amp;" ("&amp;NodesData[[#This Row],[Class Disambiguation]]&amp;")")</f>
        <v>De-duplication</v>
      </c>
      <c r="I133" s="12" t="s">
        <v>710</v>
      </c>
      <c r="J133" s="19" t="str" cm="1">
        <f t="array" ref="J133">CreateGuidString()</f>
        <v>26ABDD18-A0CF-479A-AD40-BE0B6255A5F4</v>
      </c>
    </row>
    <row r="134" spans="1:10" x14ac:dyDescent="0.35">
      <c r="A134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Deprovisioning</v>
      </c>
      <c r="B134" s="35">
        <f>COUNTIF(NodesData[Unambiguous Name],NodesData[[#This Row],[Unambiguous Name]])</f>
        <v>1</v>
      </c>
      <c r="C134" s="12" t="s">
        <v>711</v>
      </c>
      <c r="D134" s="13" t="s">
        <v>1556</v>
      </c>
      <c r="E134" s="35">
        <f>COUNTIF(NodesData[Node ID],NodesData[[#This Row],[Node ID]])</f>
        <v>1</v>
      </c>
      <c r="G134" s="12" t="str">
        <f>IF(NodesData[[#This Row],[Class Disambiguation]]="",NodesData[[#This Row],[Common Name]],NodesData[[#This Row],[Common Name]]&amp;" ("&amp;NodesData[[#This Row],[Class Disambiguation]]&amp;")")</f>
        <v>Deprovisioning</v>
      </c>
      <c r="I134" s="12" t="s">
        <v>712</v>
      </c>
      <c r="J134" s="19" t="str" cm="1">
        <f t="array" ref="J134">CreateGuidString()</f>
        <v>8771BC7B-0FCE-4488-B767-CF21FF83D1DD</v>
      </c>
    </row>
    <row r="135" spans="1:10" x14ac:dyDescent="0.35">
      <c r="A135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DID (Acronym)</v>
      </c>
      <c r="B135" s="35">
        <f>COUNTIF(NodesData[Unambiguous Name],NodesData[[#This Row],[Unambiguous Name]])</f>
        <v>1</v>
      </c>
      <c r="C135" s="12" t="s">
        <v>145</v>
      </c>
      <c r="D135" s="13" t="s">
        <v>1557</v>
      </c>
      <c r="E135" s="35">
        <f>COUNTIF(NodesData[Node ID],NodesData[[#This Row],[Node ID]])</f>
        <v>1</v>
      </c>
      <c r="F135" s="12" t="s">
        <v>1270</v>
      </c>
      <c r="G135" s="12" t="str">
        <f>IF(NodesData[[#This Row],[Class Disambiguation]]="",NodesData[[#This Row],[Common Name]],NodesData[[#This Row],[Common Name]]&amp;" ("&amp;NodesData[[#This Row],[Class Disambiguation]]&amp;")")</f>
        <v>DID (Acronym)</v>
      </c>
      <c r="I135" s="12" t="s">
        <v>713</v>
      </c>
      <c r="J135" s="19" t="str" cm="1">
        <f t="array" ref="J135">CreateGuidString()</f>
        <v>A4AC3170-A06F-4E63-8547-EA8FE96B1432</v>
      </c>
    </row>
    <row r="136" spans="1:10" x14ac:dyDescent="0.35">
      <c r="A136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Digital Continuity</v>
      </c>
      <c r="B136" s="35">
        <f>COUNTIF(NodesData[Unambiguous Name],NodesData[[#This Row],[Unambiguous Name]])</f>
        <v>1</v>
      </c>
      <c r="C136" s="12" t="s">
        <v>714</v>
      </c>
      <c r="D136" s="13" t="s">
        <v>1558</v>
      </c>
      <c r="E136" s="35">
        <f>COUNTIF(NodesData[Node ID],NodesData[[#This Row],[Node ID]])</f>
        <v>1</v>
      </c>
      <c r="G136" s="12" t="str">
        <f>IF(NodesData[[#This Row],[Class Disambiguation]]="",NodesData[[#This Row],[Common Name]],NodesData[[#This Row],[Common Name]]&amp;" ("&amp;NodesData[[#This Row],[Class Disambiguation]]&amp;")")</f>
        <v>Digital Continuity</v>
      </c>
      <c r="I136" s="12" t="s">
        <v>715</v>
      </c>
      <c r="J136" s="19" t="str" cm="1">
        <f t="array" ref="J136">CreateGuidString()</f>
        <v>233BD637-3E94-4B77-B9D4-21B5C482CA9C</v>
      </c>
    </row>
    <row r="137" spans="1:10" x14ac:dyDescent="0.35">
      <c r="A137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Digital Identification System</v>
      </c>
      <c r="B137" s="35">
        <f>COUNTIF(NodesData[Unambiguous Name],NodesData[[#This Row],[Unambiguous Name]])</f>
        <v>1</v>
      </c>
      <c r="C137" s="12" t="s">
        <v>147</v>
      </c>
      <c r="D137" s="13" t="s">
        <v>1559</v>
      </c>
      <c r="E137" s="35">
        <f>COUNTIF(NodesData[Node ID],NodesData[[#This Row],[Node ID]])</f>
        <v>1</v>
      </c>
      <c r="G137" s="12" t="str">
        <f>IF(NodesData[[#This Row],[Class Disambiguation]]="",NodesData[[#This Row],[Common Name]],NodesData[[#This Row],[Common Name]]&amp;" ("&amp;NodesData[[#This Row],[Class Disambiguation]]&amp;")")</f>
        <v>Digital Identification System</v>
      </c>
      <c r="I137" s="12" t="s">
        <v>716</v>
      </c>
      <c r="J137" s="19" t="str" cm="1">
        <f t="array" ref="J137">CreateGuidString()</f>
        <v>BC8DCD27-F2A3-4029-BF89-F1C4E38309F8</v>
      </c>
    </row>
    <row r="138" spans="1:10" x14ac:dyDescent="0.35">
      <c r="A138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Account Takeover: Digital Identity</v>
      </c>
      <c r="B138" s="35">
        <f>COUNTIF(NodesData[Unambiguous Name],NodesData[[#This Row],[Unambiguous Name]])</f>
        <v>1</v>
      </c>
      <c r="C138" s="12" t="s">
        <v>148</v>
      </c>
      <c r="D138" s="13" t="s">
        <v>1439</v>
      </c>
      <c r="E138" s="35">
        <f>COUNTIF(NodesData[Node ID],NodesData[[#This Row],[Node ID]])</f>
        <v>1</v>
      </c>
      <c r="G138" s="12" t="str">
        <f>IF(NodesData[[#This Row],[Class Disambiguation]]="",NodesData[[#This Row],[Common Name]],NodesData[[#This Row],[Common Name]]&amp;" ("&amp;NodesData[[#This Row],[Class Disambiguation]]&amp;")")</f>
        <v>Digital Identity</v>
      </c>
      <c r="H138" s="18" t="s">
        <v>4</v>
      </c>
      <c r="I138" s="12" t="s">
        <v>717</v>
      </c>
      <c r="J138" s="19" t="str" cm="1">
        <f t="array" ref="J138">CreateGuidString()</f>
        <v>71BD6304-5D0F-447F-98D5-6D44C3612C50</v>
      </c>
    </row>
    <row r="139" spans="1:10" x14ac:dyDescent="0.35">
      <c r="A139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Digital Identity</v>
      </c>
      <c r="B139" s="35">
        <f>COUNTIF(NodesData[Unambiguous Name],NodesData[[#This Row],[Unambiguous Name]])</f>
        <v>1</v>
      </c>
      <c r="C139" s="12" t="s">
        <v>148</v>
      </c>
      <c r="D139" s="13" t="s">
        <v>1560</v>
      </c>
      <c r="E139" s="35">
        <f>COUNTIF(NodesData[Node ID],NodesData[[#This Row],[Node ID]])</f>
        <v>1</v>
      </c>
      <c r="G139" s="18" t="str">
        <f>IF(NodesData[[#This Row],[Class Disambiguation]]="",NodesData[[#This Row],[Common Name]],NodesData[[#This Row],[Common Name]]&amp;" ("&amp;NodesData[[#This Row],[Class Disambiguation]]&amp;")")</f>
        <v>Digital Identity</v>
      </c>
      <c r="H139" s="18"/>
      <c r="I139" s="12" t="s">
        <v>717</v>
      </c>
      <c r="J139" s="20" t="str" cm="1">
        <f t="array" ref="J139">CreateGuidString()</f>
        <v>376D6B4D-99E3-4192-861D-122C55BE5F78</v>
      </c>
    </row>
    <row r="140" spans="1:10" x14ac:dyDescent="0.35">
      <c r="A140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Digital Identity Authenticity</v>
      </c>
      <c r="B140" s="35">
        <f>COUNTIF(NodesData[Unambiguous Name],NodesData[[#This Row],[Unambiguous Name]])</f>
        <v>1</v>
      </c>
      <c r="C140" s="12" t="s">
        <v>149</v>
      </c>
      <c r="D140" s="13" t="s">
        <v>1561</v>
      </c>
      <c r="E140" s="35">
        <f>COUNTIF(NodesData[Node ID],NodesData[[#This Row],[Node ID]])</f>
        <v>1</v>
      </c>
      <c r="G140" s="12" t="str">
        <f>IF(NodesData[[#This Row],[Class Disambiguation]]="",NodesData[[#This Row],[Common Name]],NodesData[[#This Row],[Common Name]]&amp;" ("&amp;NodesData[[#This Row],[Class Disambiguation]]&amp;")")</f>
        <v>Digital Identity Authenticity</v>
      </c>
      <c r="I140" s="12" t="s">
        <v>718</v>
      </c>
      <c r="J140" s="19" t="str" cm="1">
        <f t="array" ref="J140">CreateGuidString()</f>
        <v>36DEE7F6-5A3C-43E1-B61B-8EC137B16E10</v>
      </c>
    </row>
    <row r="141" spans="1:10" x14ac:dyDescent="0.35">
      <c r="A141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Digital Triangulation</v>
      </c>
      <c r="B141" s="35">
        <f>COUNTIF(NodesData[Unambiguous Name],NodesData[[#This Row],[Unambiguous Name]])</f>
        <v>1</v>
      </c>
      <c r="C141" s="12" t="s">
        <v>719</v>
      </c>
      <c r="D141" s="13" t="s">
        <v>1562</v>
      </c>
      <c r="E141" s="35">
        <f>COUNTIF(NodesData[Node ID],NodesData[[#This Row],[Node ID]])</f>
        <v>1</v>
      </c>
      <c r="G141" s="12" t="str">
        <f>IF(NodesData[[#This Row],[Class Disambiguation]]="",NodesData[[#This Row],[Common Name]],NodesData[[#This Row],[Common Name]]&amp;" ("&amp;NodesData[[#This Row],[Class Disambiguation]]&amp;")")</f>
        <v>Digital Triangulation</v>
      </c>
      <c r="I141" s="12" t="s">
        <v>720</v>
      </c>
      <c r="J141" s="19" t="str" cm="1">
        <f t="array" ref="J141">CreateGuidString()</f>
        <v>111FECA6-EF3A-41C8-A745-811E8E2F4A5E</v>
      </c>
    </row>
    <row r="142" spans="1:10" x14ac:dyDescent="0.35">
      <c r="A142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Discretionary Access Control</v>
      </c>
      <c r="B142" s="35">
        <f>COUNTIF(NodesData[Unambiguous Name],NodesData[[#This Row],[Unambiguous Name]])</f>
        <v>1</v>
      </c>
      <c r="C142" s="12" t="s">
        <v>721</v>
      </c>
      <c r="D142" s="13" t="s">
        <v>1563</v>
      </c>
      <c r="E142" s="35">
        <f>COUNTIF(NodesData[Node ID],NodesData[[#This Row],[Node ID]])</f>
        <v>1</v>
      </c>
      <c r="G142" s="12" t="str">
        <f>IF(NodesData[[#This Row],[Class Disambiguation]]="",NodesData[[#This Row],[Common Name]],NodesData[[#This Row],[Common Name]]&amp;" ("&amp;NodesData[[#This Row],[Class Disambiguation]]&amp;")")</f>
        <v>Discretionary Access Control</v>
      </c>
      <c r="I142" s="12" t="s">
        <v>722</v>
      </c>
      <c r="J142" s="19" t="str" cm="1">
        <f t="array" ref="J142">CreateGuidString()</f>
        <v>C761D4EA-9AE8-411C-8268-BD9DFF1AB26E</v>
      </c>
    </row>
    <row r="143" spans="1:10" x14ac:dyDescent="0.35">
      <c r="A143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Distributed Identity</v>
      </c>
      <c r="B143" s="35">
        <f>COUNTIF(NodesData[Unambiguous Name],NodesData[[#This Row],[Unambiguous Name]])</f>
        <v>1</v>
      </c>
      <c r="C143" s="12" t="s">
        <v>723</v>
      </c>
      <c r="D143" s="13" t="s">
        <v>1564</v>
      </c>
      <c r="E143" s="35">
        <f>COUNTIF(NodesData[Node ID],NodesData[[#This Row],[Node ID]])</f>
        <v>1</v>
      </c>
      <c r="G143" s="12" t="str">
        <f>IF(NodesData[[#This Row],[Class Disambiguation]]="",NodesData[[#This Row],[Common Name]],NodesData[[#This Row],[Common Name]]&amp;" ("&amp;NodesData[[#This Row],[Class Disambiguation]]&amp;")")</f>
        <v>Distributed Identity</v>
      </c>
      <c r="I143" s="12" t="s">
        <v>724</v>
      </c>
      <c r="J143" s="19" t="str" cm="1">
        <f t="array" ref="J143">CreateGuidString()</f>
        <v>5B35543D-C84C-499E-8CE6-9A9DE85D0BE6</v>
      </c>
    </row>
    <row r="144" spans="1:10" x14ac:dyDescent="0.35">
      <c r="A144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Distributed Ledger Technology</v>
      </c>
      <c r="B144" s="35">
        <f>COUNTIF(NodesData[Unambiguous Name],NodesData[[#This Row],[Unambiguous Name]])</f>
        <v>1</v>
      </c>
      <c r="C144" s="12" t="s">
        <v>725</v>
      </c>
      <c r="D144" s="13" t="s">
        <v>1565</v>
      </c>
      <c r="E144" s="35">
        <f>COUNTIF(NodesData[Node ID],NodesData[[#This Row],[Node ID]])</f>
        <v>1</v>
      </c>
      <c r="G144" s="12" t="str">
        <f>IF(NodesData[[#This Row],[Class Disambiguation]]="",NodesData[[#This Row],[Common Name]],NodesData[[#This Row],[Common Name]]&amp;" ("&amp;NodesData[[#This Row],[Class Disambiguation]]&amp;")")</f>
        <v>Distributed Ledger Technology</v>
      </c>
      <c r="I144" s="12" t="s">
        <v>726</v>
      </c>
      <c r="J144" s="19" t="str" cm="1">
        <f t="array" ref="J144">CreateGuidString()</f>
        <v>1523E101-4F3B-413C-9CD4-F46603415263</v>
      </c>
    </row>
    <row r="145" spans="1:10" x14ac:dyDescent="0.35">
      <c r="A145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Dual Authorization</v>
      </c>
      <c r="B145" s="35">
        <f>COUNTIF(NodesData[Unambiguous Name],NodesData[[#This Row],[Unambiguous Name]])</f>
        <v>1</v>
      </c>
      <c r="C145" s="12" t="s">
        <v>727</v>
      </c>
      <c r="D145" s="13" t="s">
        <v>1566</v>
      </c>
      <c r="E145" s="35">
        <f>COUNTIF(NodesData[Node ID],NodesData[[#This Row],[Node ID]])</f>
        <v>1</v>
      </c>
      <c r="G145" s="12" t="str">
        <f>IF(NodesData[[#This Row],[Class Disambiguation]]="",NodesData[[#This Row],[Common Name]],NodesData[[#This Row],[Common Name]]&amp;" ("&amp;NodesData[[#This Row],[Class Disambiguation]]&amp;")")</f>
        <v>Dual Authorization</v>
      </c>
      <c r="I145" s="12" t="s">
        <v>728</v>
      </c>
      <c r="J145" s="19" t="str" cm="1">
        <f t="array" ref="J145">CreateGuidString()</f>
        <v>9CBF6C9C-4944-4D6E-9D4F-A8449D1F66F7</v>
      </c>
    </row>
    <row r="146" spans="1:10" x14ac:dyDescent="0.35">
      <c r="A146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ECS (Acronym)</v>
      </c>
      <c r="B146" s="35">
        <f>COUNTIF(NodesData[Unambiguous Name],NodesData[[#This Row],[Unambiguous Name]])</f>
        <v>1</v>
      </c>
      <c r="C146" s="12" t="s">
        <v>729</v>
      </c>
      <c r="D146" s="13" t="s">
        <v>1567</v>
      </c>
      <c r="E146" s="35">
        <f>COUNTIF(NodesData[Node ID],NodesData[[#This Row],[Node ID]])</f>
        <v>1</v>
      </c>
      <c r="F146" s="12" t="s">
        <v>1270</v>
      </c>
      <c r="G146" s="12" t="str">
        <f>IF(NodesData[[#This Row],[Class Disambiguation]]="",NodesData[[#This Row],[Common Name]],NodesData[[#This Row],[Common Name]]&amp;" ("&amp;NodesData[[#This Row],[Class Disambiguation]]&amp;")")</f>
        <v>ECS (Acronym)</v>
      </c>
      <c r="I146" s="12" t="s">
        <v>730</v>
      </c>
      <c r="J146" s="19" t="str" cm="1">
        <f t="array" ref="J146">CreateGuidString()</f>
        <v>1D2CC28F-1033-41BA-999F-6B05D558CDE3</v>
      </c>
    </row>
    <row r="147" spans="1:10" x14ac:dyDescent="0.35">
      <c r="A147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e-Identity (Acronym)</v>
      </c>
      <c r="B147" s="35">
        <f>COUNTIF(NodesData[Unambiguous Name],NodesData[[#This Row],[Unambiguous Name]])</f>
        <v>1</v>
      </c>
      <c r="C147" s="12" t="s">
        <v>731</v>
      </c>
      <c r="D147" s="13" t="s">
        <v>1568</v>
      </c>
      <c r="E147" s="35">
        <f>COUNTIF(NodesData[Node ID],NodesData[[#This Row],[Node ID]])</f>
        <v>1</v>
      </c>
      <c r="F147" s="12" t="s">
        <v>1270</v>
      </c>
      <c r="G147" s="12" t="str">
        <f>IF(NodesData[[#This Row],[Class Disambiguation]]="",NodesData[[#This Row],[Common Name]],NodesData[[#This Row],[Common Name]]&amp;" ("&amp;NodesData[[#This Row],[Class Disambiguation]]&amp;")")</f>
        <v>e-Identity (Acronym)</v>
      </c>
      <c r="I147" s="12" t="s">
        <v>732</v>
      </c>
      <c r="J147" s="19" t="str" cm="1">
        <f t="array" ref="J147">CreateGuidString()</f>
        <v>D6E5A5AE-D083-407C-9210-FA5F0C600BED</v>
      </c>
    </row>
    <row r="148" spans="1:10" x14ac:dyDescent="0.35">
      <c r="A148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EIdM (Acronym)</v>
      </c>
      <c r="B148" s="35">
        <f>COUNTIF(NodesData[Unambiguous Name],NodesData[[#This Row],[Unambiguous Name]])</f>
        <v>1</v>
      </c>
      <c r="C148" s="12" t="s">
        <v>733</v>
      </c>
      <c r="D148" s="13" t="s">
        <v>1569</v>
      </c>
      <c r="E148" s="35">
        <f>COUNTIF(NodesData[Node ID],NodesData[[#This Row],[Node ID]])</f>
        <v>1</v>
      </c>
      <c r="F148" s="12" t="s">
        <v>1270</v>
      </c>
      <c r="G148" s="12" t="str">
        <f>IF(NodesData[[#This Row],[Class Disambiguation]]="",NodesData[[#This Row],[Common Name]],NodesData[[#This Row],[Common Name]]&amp;" ("&amp;NodesData[[#This Row],[Class Disambiguation]]&amp;")")</f>
        <v>EIdM (Acronym)</v>
      </c>
      <c r="I148" s="12" t="s">
        <v>734</v>
      </c>
      <c r="J148" s="19" t="str" cm="1">
        <f t="array" ref="J148">CreateGuidString()</f>
        <v>621DA1C1-A1BA-44E9-AC7C-2EDA407689A7</v>
      </c>
    </row>
    <row r="149" spans="1:10" x14ac:dyDescent="0.35">
      <c r="A149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Email OTP</v>
      </c>
      <c r="B149" s="35">
        <f>COUNTIF(NodesData[Unambiguous Name],NodesData[[#This Row],[Unambiguous Name]])</f>
        <v>1</v>
      </c>
      <c r="C149" s="12" t="s">
        <v>1317</v>
      </c>
      <c r="D149" s="13" t="s">
        <v>1570</v>
      </c>
      <c r="E149" s="35">
        <f>COUNTIF(NodesData[Node ID],NodesData[[#This Row],[Node ID]])</f>
        <v>1</v>
      </c>
      <c r="G149" s="12" t="str">
        <f>IF(NodesData[[#This Row],[Class Disambiguation]]="",NodesData[[#This Row],[Common Name]],NodesData[[#This Row],[Common Name]]&amp;" ("&amp;NodesData[[#This Row],[Class Disambiguation]]&amp;")")</f>
        <v>Email OTP</v>
      </c>
      <c r="J149" s="19" t="str" cm="1">
        <f t="array" ref="J149">CreateGuidString()</f>
        <v>AF34841D-0717-4AAF-9965-FBF0CB4AFDB9</v>
      </c>
    </row>
    <row r="150" spans="1:10" x14ac:dyDescent="0.35">
      <c r="A150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Employee</v>
      </c>
      <c r="B150" s="35">
        <f>COUNTIF(NodesData[Unambiguous Name],NodesData[[#This Row],[Unambiguous Name]])</f>
        <v>1</v>
      </c>
      <c r="C150" s="12" t="s">
        <v>735</v>
      </c>
      <c r="D150" s="13" t="s">
        <v>1571</v>
      </c>
      <c r="E150" s="35">
        <f>COUNTIF(NodesData[Node ID],NodesData[[#This Row],[Node ID]])</f>
        <v>1</v>
      </c>
      <c r="G150" s="12" t="str">
        <f>IF(NodesData[[#This Row],[Class Disambiguation]]="",NodesData[[#This Row],[Common Name]],NodesData[[#This Row],[Common Name]]&amp;" ("&amp;NodesData[[#This Row],[Class Disambiguation]]&amp;")")</f>
        <v>Employee</v>
      </c>
      <c r="I150" s="12" t="s">
        <v>736</v>
      </c>
      <c r="J150" s="19" t="str" cm="1">
        <f t="array" ref="J150">CreateGuidString()</f>
        <v>A07D2912-D24C-4F62-A306-F7A5C9808566</v>
      </c>
    </row>
    <row r="151" spans="1:10" x14ac:dyDescent="0.35">
      <c r="A151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Enterprise Cloud Subscriber</v>
      </c>
      <c r="B151" s="35">
        <f>COUNTIF(NodesData[Unambiguous Name],NodesData[[#This Row],[Unambiguous Name]])</f>
        <v>1</v>
      </c>
      <c r="C151" s="12" t="s">
        <v>737</v>
      </c>
      <c r="D151" s="13" t="s">
        <v>1572</v>
      </c>
      <c r="E151" s="35">
        <f>COUNTIF(NodesData[Node ID],NodesData[[#This Row],[Node ID]])</f>
        <v>1</v>
      </c>
      <c r="G151" s="12" t="str">
        <f>IF(NodesData[[#This Row],[Class Disambiguation]]="",NodesData[[#This Row],[Common Name]],NodesData[[#This Row],[Common Name]]&amp;" ("&amp;NodesData[[#This Row],[Class Disambiguation]]&amp;")")</f>
        <v>Enterprise Cloud Subscriber</v>
      </c>
      <c r="I151" s="12" t="s">
        <v>738</v>
      </c>
      <c r="J151" s="19" t="str" cm="1">
        <f t="array" ref="J151">CreateGuidString()</f>
        <v>6A588370-86BD-486B-9E11-806B8B9E56AD</v>
      </c>
    </row>
    <row r="152" spans="1:10" x14ac:dyDescent="0.35">
      <c r="A152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Enterprise Identity Management</v>
      </c>
      <c r="B152" s="35">
        <f>COUNTIF(NodesData[Unambiguous Name],NodesData[[#This Row],[Unambiguous Name]])</f>
        <v>1</v>
      </c>
      <c r="C152" s="12" t="s">
        <v>739</v>
      </c>
      <c r="D152" s="13" t="s">
        <v>1573</v>
      </c>
      <c r="E152" s="35">
        <f>COUNTIF(NodesData[Node ID],NodesData[[#This Row],[Node ID]])</f>
        <v>1</v>
      </c>
      <c r="G152" s="12" t="str">
        <f>IF(NodesData[[#This Row],[Class Disambiguation]]="",NodesData[[#This Row],[Common Name]],NodesData[[#This Row],[Common Name]]&amp;" ("&amp;NodesData[[#This Row],[Class Disambiguation]]&amp;")")</f>
        <v>Enterprise Identity Management</v>
      </c>
      <c r="I152" s="12" t="s">
        <v>740</v>
      </c>
      <c r="J152" s="19" t="str" cm="1">
        <f t="array" ref="J152">CreateGuidString()</f>
        <v>1637D1DE-A8E5-4C87-ABBF-0611F4792D3A</v>
      </c>
    </row>
    <row r="153" spans="1:10" x14ac:dyDescent="0.35">
      <c r="A153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Enterprise Single Sign-On</v>
      </c>
      <c r="B153" s="35">
        <f>COUNTIF(NodesData[Unambiguous Name],NodesData[[#This Row],[Unambiguous Name]])</f>
        <v>1</v>
      </c>
      <c r="C153" s="12" t="s">
        <v>741</v>
      </c>
      <c r="D153" s="13" t="s">
        <v>1574</v>
      </c>
      <c r="E153" s="35">
        <f>COUNTIF(NodesData[Node ID],NodesData[[#This Row],[Node ID]])</f>
        <v>1</v>
      </c>
      <c r="G153" s="12" t="str">
        <f>IF(NodesData[[#This Row],[Class Disambiguation]]="",NodesData[[#This Row],[Common Name]],NodesData[[#This Row],[Common Name]]&amp;" ("&amp;NodesData[[#This Row],[Class Disambiguation]]&amp;")")</f>
        <v>Enterprise Single Sign-On</v>
      </c>
      <c r="I153" s="12" t="s">
        <v>742</v>
      </c>
      <c r="J153" s="19" t="str" cm="1">
        <f t="array" ref="J153">CreateGuidString()</f>
        <v>BED8C58B-B661-48DC-9626-204E4415AB39</v>
      </c>
    </row>
    <row r="154" spans="1:10" x14ac:dyDescent="0.35">
      <c r="A154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Entitlement</v>
      </c>
      <c r="B154" s="35">
        <f>COUNTIF(NodesData[Unambiguous Name],NodesData[[#This Row],[Unambiguous Name]])</f>
        <v>1</v>
      </c>
      <c r="C154" s="12" t="s">
        <v>743</v>
      </c>
      <c r="D154" s="13" t="s">
        <v>1575</v>
      </c>
      <c r="E154" s="35">
        <f>COUNTIF(NodesData[Node ID],NodesData[[#This Row],[Node ID]])</f>
        <v>1</v>
      </c>
      <c r="G154" s="12" t="str">
        <f>IF(NodesData[[#This Row],[Class Disambiguation]]="",NodesData[[#This Row],[Common Name]],NodesData[[#This Row],[Common Name]]&amp;" ("&amp;NodesData[[#This Row],[Class Disambiguation]]&amp;")")</f>
        <v>Entitlement</v>
      </c>
      <c r="I154" s="12" t="s">
        <v>744</v>
      </c>
      <c r="J154" s="19" t="str" cm="1">
        <f t="array" ref="J154">CreateGuidString()</f>
        <v>F649AB51-62FE-4C72-8D57-4D57926698FB</v>
      </c>
    </row>
    <row r="155" spans="1:10" x14ac:dyDescent="0.35">
      <c r="A155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Entitlement Management</v>
      </c>
      <c r="B155" s="35">
        <f>COUNTIF(NodesData[Unambiguous Name],NodesData[[#This Row],[Unambiguous Name]])</f>
        <v>1</v>
      </c>
      <c r="C155" s="12" t="s">
        <v>745</v>
      </c>
      <c r="D155" s="13" t="s">
        <v>1576</v>
      </c>
      <c r="E155" s="35">
        <f>COUNTIF(NodesData[Node ID],NodesData[[#This Row],[Node ID]])</f>
        <v>1</v>
      </c>
      <c r="G155" s="12" t="str">
        <f>IF(NodesData[[#This Row],[Class Disambiguation]]="",NodesData[[#This Row],[Common Name]],NodesData[[#This Row],[Common Name]]&amp;" ("&amp;NodesData[[#This Row],[Class Disambiguation]]&amp;")")</f>
        <v>Entitlement Management</v>
      </c>
      <c r="I155" s="12" t="s">
        <v>746</v>
      </c>
      <c r="J155" s="19" t="str" cm="1">
        <f t="array" ref="J155">CreateGuidString()</f>
        <v>A4EE63E4-6D36-480A-B11D-81D651D4FD2B</v>
      </c>
    </row>
    <row r="156" spans="1:10" x14ac:dyDescent="0.35">
      <c r="A156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Entitlement Management Process</v>
      </c>
      <c r="B156" s="35">
        <f>COUNTIF(NodesData[Unambiguous Name],NodesData[[#This Row],[Unambiguous Name]])</f>
        <v>1</v>
      </c>
      <c r="C156" s="12" t="s">
        <v>747</v>
      </c>
      <c r="D156" s="13" t="s">
        <v>1577</v>
      </c>
      <c r="E156" s="35">
        <f>COUNTIF(NodesData[Node ID],NodesData[[#This Row],[Node ID]])</f>
        <v>1</v>
      </c>
      <c r="G156" s="12" t="str">
        <f>IF(NodesData[[#This Row],[Class Disambiguation]]="",NodesData[[#This Row],[Common Name]],NodesData[[#This Row],[Common Name]]&amp;" ("&amp;NodesData[[#This Row],[Class Disambiguation]]&amp;")")</f>
        <v>Entitlement Management Process</v>
      </c>
      <c r="I156" s="12" t="s">
        <v>748</v>
      </c>
      <c r="J156" s="19" t="str" cm="1">
        <f t="array" ref="J156">CreateGuidString()</f>
        <v>BB12E862-5B55-4F40-952C-A2FCB4DAA52B</v>
      </c>
    </row>
    <row r="157" spans="1:10" x14ac:dyDescent="0.35">
      <c r="A157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Entitlement Management Solution</v>
      </c>
      <c r="B157" s="35">
        <f>COUNTIF(NodesData[Unambiguous Name],NodesData[[#This Row],[Unambiguous Name]])</f>
        <v>1</v>
      </c>
      <c r="C157" s="12" t="s">
        <v>749</v>
      </c>
      <c r="D157" s="13" t="s">
        <v>1578</v>
      </c>
      <c r="E157" s="35">
        <f>COUNTIF(NodesData[Node ID],NodesData[[#This Row],[Node ID]])</f>
        <v>1</v>
      </c>
      <c r="G157" s="12" t="str">
        <f>IF(NodesData[[#This Row],[Class Disambiguation]]="",NodesData[[#This Row],[Common Name]],NodesData[[#This Row],[Common Name]]&amp;" ("&amp;NodesData[[#This Row],[Class Disambiguation]]&amp;")")</f>
        <v>Entitlement Management Solution</v>
      </c>
      <c r="I157" s="12" t="s">
        <v>750</v>
      </c>
      <c r="J157" s="19" t="str" cm="1">
        <f t="array" ref="J157">CreateGuidString()</f>
        <v>7BFF0634-2EB3-435C-96FA-10CB7FB18DA6</v>
      </c>
    </row>
    <row r="158" spans="1:10" x14ac:dyDescent="0.35">
      <c r="A158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Entitlement-Based Access Control</v>
      </c>
      <c r="B158" s="35">
        <f>COUNTIF(NodesData[Unambiguous Name],NodesData[[#This Row],[Unambiguous Name]])</f>
        <v>1</v>
      </c>
      <c r="C158" s="12" t="s">
        <v>751</v>
      </c>
      <c r="D158" s="13" t="s">
        <v>1579</v>
      </c>
      <c r="E158" s="35">
        <f>COUNTIF(NodesData[Node ID],NodesData[[#This Row],[Node ID]])</f>
        <v>1</v>
      </c>
      <c r="G158" s="12" t="str">
        <f>IF(NodesData[[#This Row],[Class Disambiguation]]="",NodesData[[#This Row],[Common Name]],NodesData[[#This Row],[Common Name]]&amp;" ("&amp;NodesData[[#This Row],[Class Disambiguation]]&amp;")")</f>
        <v>Entitlement-Based Access Control</v>
      </c>
      <c r="I158" s="12" t="s">
        <v>752</v>
      </c>
      <c r="J158" s="19" t="str" cm="1">
        <f t="array" ref="J158">CreateGuidString()</f>
        <v>353AE8F5-14E9-48A3-91D3-7555A3843BD7</v>
      </c>
    </row>
    <row r="159" spans="1:10" x14ac:dyDescent="0.35">
      <c r="A159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Entity</v>
      </c>
      <c r="B159" s="35">
        <f>COUNTIF(NodesData[Unambiguous Name],NodesData[[#This Row],[Unambiguous Name]])</f>
        <v>1</v>
      </c>
      <c r="C159" s="12" t="s">
        <v>753</v>
      </c>
      <c r="D159" s="13" t="s">
        <v>1580</v>
      </c>
      <c r="E159" s="35">
        <f>COUNTIF(NodesData[Node ID],NodesData[[#This Row],[Node ID]])</f>
        <v>1</v>
      </c>
      <c r="G159" s="12" t="str">
        <f>IF(NodesData[[#This Row],[Class Disambiguation]]="",NodesData[[#This Row],[Common Name]],NodesData[[#This Row],[Common Name]]&amp;" ("&amp;NodesData[[#This Row],[Class Disambiguation]]&amp;")")</f>
        <v>Entity</v>
      </c>
      <c r="I159" s="12" t="s">
        <v>754</v>
      </c>
      <c r="J159" s="19" t="str" cm="1">
        <f t="array" ref="J159">CreateGuidString()</f>
        <v>6E865789-4BAE-459C-9638-26CB9BB70F91</v>
      </c>
    </row>
    <row r="160" spans="1:10" x14ac:dyDescent="0.35">
      <c r="A160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ESSO (Acronym)</v>
      </c>
      <c r="B160" s="35">
        <f>COUNTIF(NodesData[Unambiguous Name],NodesData[[#This Row],[Unambiguous Name]])</f>
        <v>1</v>
      </c>
      <c r="C160" s="12" t="s">
        <v>755</v>
      </c>
      <c r="D160" s="13" t="s">
        <v>1581</v>
      </c>
      <c r="E160" s="35">
        <f>COUNTIF(NodesData[Node ID],NodesData[[#This Row],[Node ID]])</f>
        <v>1</v>
      </c>
      <c r="F160" s="12" t="s">
        <v>1270</v>
      </c>
      <c r="G160" s="12" t="str">
        <f>IF(NodesData[[#This Row],[Class Disambiguation]]="",NodesData[[#This Row],[Common Name]],NodesData[[#This Row],[Common Name]]&amp;" ("&amp;NodesData[[#This Row],[Class Disambiguation]]&amp;")")</f>
        <v>ESSO (Acronym)</v>
      </c>
      <c r="I160" s="12" t="s">
        <v>756</v>
      </c>
      <c r="J160" s="19" t="str" cm="1">
        <f t="array" ref="J160">CreateGuidString()</f>
        <v>C4023703-F9E7-4C2C-AA1D-CB6AA6BD9CE1</v>
      </c>
    </row>
    <row r="161" spans="1:10" x14ac:dyDescent="0.35">
      <c r="A161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Excessive Privilege Abuse</v>
      </c>
      <c r="B161" s="35">
        <f>COUNTIF(NodesData[Unambiguous Name],NodesData[[#This Row],[Unambiguous Name]])</f>
        <v>1</v>
      </c>
      <c r="C161" s="12" t="s">
        <v>757</v>
      </c>
      <c r="D161" s="13" t="s">
        <v>1582</v>
      </c>
      <c r="E161" s="35">
        <f>COUNTIF(NodesData[Node ID],NodesData[[#This Row],[Node ID]])</f>
        <v>1</v>
      </c>
      <c r="G161" s="12" t="str">
        <f>IF(NodesData[[#This Row],[Class Disambiguation]]="",NodesData[[#This Row],[Common Name]],NodesData[[#This Row],[Common Name]]&amp;" ("&amp;NodesData[[#This Row],[Class Disambiguation]]&amp;")")</f>
        <v>Excessive Privilege Abuse</v>
      </c>
      <c r="I161" s="12" t="s">
        <v>758</v>
      </c>
      <c r="J161" s="19" t="str" cm="1">
        <f t="array" ref="J161">CreateGuidString()</f>
        <v>8113B897-FCA3-4D68-B632-6FE25CEB7EF2</v>
      </c>
    </row>
    <row r="162" spans="1:10" x14ac:dyDescent="0.35">
      <c r="A162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Expanded Password System</v>
      </c>
      <c r="B162" s="35">
        <f>COUNTIF(NodesData[Unambiguous Name],NodesData[[#This Row],[Unambiguous Name]])</f>
        <v>1</v>
      </c>
      <c r="C162" s="12" t="s">
        <v>759</v>
      </c>
      <c r="D162" s="13" t="s">
        <v>1583</v>
      </c>
      <c r="E162" s="35">
        <f>COUNTIF(NodesData[Node ID],NodesData[[#This Row],[Node ID]])</f>
        <v>1</v>
      </c>
      <c r="G162" s="12" t="str">
        <f>IF(NodesData[[#This Row],[Class Disambiguation]]="",NodesData[[#This Row],[Common Name]],NodesData[[#This Row],[Common Name]]&amp;" ("&amp;NodesData[[#This Row],[Class Disambiguation]]&amp;")")</f>
        <v>Expanded Password System</v>
      </c>
      <c r="I162" s="12" t="s">
        <v>760</v>
      </c>
      <c r="J162" s="19" t="str" cm="1">
        <f t="array" ref="J162">CreateGuidString()</f>
        <v>B1CE4509-8A1C-4E91-9BB5-ECB736EBB2A4</v>
      </c>
    </row>
    <row r="163" spans="1:10" x14ac:dyDescent="0.35">
      <c r="A163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Exploited Identity</v>
      </c>
      <c r="B163" s="35">
        <f>COUNTIF(NodesData[Unambiguous Name],NodesData[[#This Row],[Unambiguous Name]])</f>
        <v>1</v>
      </c>
      <c r="C163" s="12" t="s">
        <v>761</v>
      </c>
      <c r="D163" s="13" t="s">
        <v>1584</v>
      </c>
      <c r="E163" s="35">
        <f>COUNTIF(NodesData[Node ID],NodesData[[#This Row],[Node ID]])</f>
        <v>1</v>
      </c>
      <c r="G163" s="12" t="str">
        <f>IF(NodesData[[#This Row],[Class Disambiguation]]="",NodesData[[#This Row],[Common Name]],NodesData[[#This Row],[Common Name]]&amp;" ("&amp;NodesData[[#This Row],[Class Disambiguation]]&amp;")")</f>
        <v>Exploited Identity</v>
      </c>
      <c r="I163" s="12" t="s">
        <v>762</v>
      </c>
      <c r="J163" s="19" t="str" cm="1">
        <f t="array" ref="J163">CreateGuidString()</f>
        <v>395C9271-F9CD-4834-A622-04B12DF19BE6</v>
      </c>
    </row>
    <row r="164" spans="1:10" x14ac:dyDescent="0.35">
      <c r="A164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Extended Enterprise</v>
      </c>
      <c r="B164" s="35">
        <f>COUNTIF(NodesData[Unambiguous Name],NodesData[[#This Row],[Unambiguous Name]])</f>
        <v>1</v>
      </c>
      <c r="C164" s="12" t="s">
        <v>763</v>
      </c>
      <c r="D164" s="13" t="s">
        <v>1585</v>
      </c>
      <c r="E164" s="35">
        <f>COUNTIF(NodesData[Node ID],NodesData[[#This Row],[Node ID]])</f>
        <v>1</v>
      </c>
      <c r="G164" s="12" t="str">
        <f>IF(NodesData[[#This Row],[Class Disambiguation]]="",NodesData[[#This Row],[Common Name]],NodesData[[#This Row],[Common Name]]&amp;" ("&amp;NodesData[[#This Row],[Class Disambiguation]]&amp;")")</f>
        <v>Extended Enterprise</v>
      </c>
      <c r="I164" s="12" t="s">
        <v>764</v>
      </c>
      <c r="J164" s="19" t="str" cm="1">
        <f t="array" ref="J164">CreateGuidString()</f>
        <v>447D9743-BECE-415C-AC2E-97490016B2F8</v>
      </c>
    </row>
    <row r="165" spans="1:10" x14ac:dyDescent="0.35">
      <c r="A165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Extensible Access Control Markup Language</v>
      </c>
      <c r="B165" s="35">
        <f>COUNTIF(NodesData[Unambiguous Name],NodesData[[#This Row],[Unambiguous Name]])</f>
        <v>1</v>
      </c>
      <c r="C165" s="12" t="s">
        <v>765</v>
      </c>
      <c r="D165" s="13" t="s">
        <v>1586</v>
      </c>
      <c r="E165" s="35">
        <f>COUNTIF(NodesData[Node ID],NodesData[[#This Row],[Node ID]])</f>
        <v>1</v>
      </c>
      <c r="G165" s="12" t="str">
        <f>IF(NodesData[[#This Row],[Class Disambiguation]]="",NodesData[[#This Row],[Common Name]],NodesData[[#This Row],[Common Name]]&amp;" ("&amp;NodesData[[#This Row],[Class Disambiguation]]&amp;")")</f>
        <v>Extensible Access Control Markup Language</v>
      </c>
      <c r="I165" s="12" t="s">
        <v>766</v>
      </c>
      <c r="J165" s="19" t="str" cm="1">
        <f t="array" ref="J165">CreateGuidString()</f>
        <v>D40ECD64-24DA-4798-9251-45AF50D80B13</v>
      </c>
    </row>
    <row r="166" spans="1:10" x14ac:dyDescent="0.35">
      <c r="A166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External Threat Agent</v>
      </c>
      <c r="B166" s="35">
        <f>COUNTIF(NodesData[Unambiguous Name],NodesData[[#This Row],[Unambiguous Name]])</f>
        <v>1</v>
      </c>
      <c r="C166" s="12" t="s">
        <v>1366</v>
      </c>
      <c r="D166" s="13" t="s">
        <v>1587</v>
      </c>
      <c r="E166" s="35">
        <f>COUNTIF(NodesData[Node ID],NodesData[[#This Row],[Node ID]])</f>
        <v>1</v>
      </c>
      <c r="G166" s="18" t="str">
        <f>IF(NodesData[[#This Row],[Class Disambiguation]]="",NodesData[[#This Row],[Common Name]],NodesData[[#This Row],[Common Name]]&amp;" ("&amp;NodesData[[#This Row],[Class Disambiguation]]&amp;")")</f>
        <v>External Threat Agent</v>
      </c>
      <c r="H166" s="18"/>
      <c r="J166" s="20" t="str" cm="1">
        <f t="array" ref="J166">CreateGuidString()</f>
        <v>45CAC042-7CE0-4BA2-B7B7-37F7107770DE</v>
      </c>
    </row>
    <row r="167" spans="1:10" x14ac:dyDescent="0.35">
      <c r="A167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Facial Recognition Authentication</v>
      </c>
      <c r="B167" s="35">
        <f>COUNTIF(NodesData[Unambiguous Name],NodesData[[#This Row],[Unambiguous Name]])</f>
        <v>1</v>
      </c>
      <c r="C167" s="12" t="s">
        <v>1304</v>
      </c>
      <c r="D167" s="13" t="s">
        <v>1588</v>
      </c>
      <c r="E167" s="35">
        <f>COUNTIF(NodesData[Node ID],NodesData[[#This Row],[Node ID]])</f>
        <v>1</v>
      </c>
      <c r="G167" s="12" t="str">
        <f>IF(NodesData[[#This Row],[Class Disambiguation]]="",NodesData[[#This Row],[Common Name]],NodesData[[#This Row],[Common Name]]&amp;" ("&amp;NodesData[[#This Row],[Class Disambiguation]]&amp;")")</f>
        <v>Facial Recognition Authentication</v>
      </c>
      <c r="J167" s="19" t="str" cm="1">
        <f t="array" ref="J167">CreateGuidString()</f>
        <v>FD6ADE30-776D-405A-9D47-89C9864F2BFD</v>
      </c>
    </row>
    <row r="168" spans="1:10" x14ac:dyDescent="0.35">
      <c r="A168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Fake Digital Identity</v>
      </c>
      <c r="B168" s="35">
        <f>COUNTIF(NodesData[Unambiguous Name],NodesData[[#This Row],[Unambiguous Name]])</f>
        <v>1</v>
      </c>
      <c r="C168" s="12" t="s">
        <v>178</v>
      </c>
      <c r="D168" s="13" t="s">
        <v>1589</v>
      </c>
      <c r="E168" s="35">
        <f>COUNTIF(NodesData[Node ID],NodesData[[#This Row],[Node ID]])</f>
        <v>1</v>
      </c>
      <c r="G168" s="12" t="str">
        <f>IF(NodesData[[#This Row],[Class Disambiguation]]="",NodesData[[#This Row],[Common Name]],NodesData[[#This Row],[Common Name]]&amp;" ("&amp;NodesData[[#This Row],[Class Disambiguation]]&amp;")")</f>
        <v>Fake Digital Identity</v>
      </c>
      <c r="I168" s="12" t="s">
        <v>767</v>
      </c>
      <c r="J168" s="19" t="str" cm="1">
        <f t="array" ref="J168">CreateGuidString()</f>
        <v>944FFF25-3EB4-46B1-834F-C5D29EA4EAE7</v>
      </c>
    </row>
    <row r="169" spans="1:10" x14ac:dyDescent="0.35">
      <c r="A169" s="18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Fake Identity</v>
      </c>
      <c r="B169" s="43">
        <f>COUNTIF(NodesData[Unambiguous Name],NodesData[[#This Row],[Unambiguous Name]])</f>
        <v>1</v>
      </c>
      <c r="C169" s="12" t="s">
        <v>1990</v>
      </c>
      <c r="D169" s="13" t="s">
        <v>1998</v>
      </c>
      <c r="E169" s="43">
        <f>COUNTIF(NodesData[Node ID],NodesData[[#This Row],[Node ID]])</f>
        <v>1</v>
      </c>
      <c r="G169" s="18" t="str">
        <f>IF(NodesData[[#This Row],[Class Disambiguation]]="",NodesData[[#This Row],[Common Name]],NodesData[[#This Row],[Common Name]]&amp;" ("&amp;NodesData[[#This Row],[Class Disambiguation]]&amp;")")</f>
        <v>Fake Identity</v>
      </c>
      <c r="J169" s="20" t="str" cm="1">
        <f t="array" ref="J169">CreateGuidString()</f>
        <v>FFAF2EE1-D9DE-4B8B-8A9C-EA4BB61848BD</v>
      </c>
    </row>
    <row r="170" spans="1:10" x14ac:dyDescent="0.35">
      <c r="A170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FAPI (Acronym)</v>
      </c>
      <c r="B170" s="35">
        <f>COUNTIF(NodesData[Unambiguous Name],NodesData[[#This Row],[Unambiguous Name]])</f>
        <v>1</v>
      </c>
      <c r="C170" s="12" t="s">
        <v>179</v>
      </c>
      <c r="D170" s="13" t="s">
        <v>1590</v>
      </c>
      <c r="E170" s="35">
        <f>COUNTIF(NodesData[Node ID],NodesData[[#This Row],[Node ID]])</f>
        <v>1</v>
      </c>
      <c r="F170" s="12" t="s">
        <v>1270</v>
      </c>
      <c r="G170" s="12" t="str">
        <f>IF(NodesData[[#This Row],[Class Disambiguation]]="",NodesData[[#This Row],[Common Name]],NodesData[[#This Row],[Common Name]]&amp;" ("&amp;NodesData[[#This Row],[Class Disambiguation]]&amp;")")</f>
        <v>FAPI (Acronym)</v>
      </c>
      <c r="I170" s="12" t="s">
        <v>768</v>
      </c>
      <c r="J170" s="19" t="str" cm="1">
        <f t="array" ref="J170">CreateGuidString()</f>
        <v>17743529-100B-45EC-A272-5E3EE076EC8F</v>
      </c>
    </row>
    <row r="171" spans="1:10" x14ac:dyDescent="0.35">
      <c r="A171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Federated Identity Management</v>
      </c>
      <c r="B171" s="35">
        <f>COUNTIF(NodesData[Unambiguous Name],NodesData[[#This Row],[Unambiguous Name]])</f>
        <v>1</v>
      </c>
      <c r="C171" s="12" t="s">
        <v>769</v>
      </c>
      <c r="D171" s="13" t="s">
        <v>1591</v>
      </c>
      <c r="E171" s="35">
        <f>COUNTIF(NodesData[Node ID],NodesData[[#This Row],[Node ID]])</f>
        <v>1</v>
      </c>
      <c r="G171" s="12" t="str">
        <f>IF(NodesData[[#This Row],[Class Disambiguation]]="",NodesData[[#This Row],[Common Name]],NodesData[[#This Row],[Common Name]]&amp;" ("&amp;NodesData[[#This Row],[Class Disambiguation]]&amp;")")</f>
        <v>Federated Identity Management</v>
      </c>
      <c r="I171" s="12" t="s">
        <v>770</v>
      </c>
      <c r="J171" s="19" t="str" cm="1">
        <f t="array" ref="J171">CreateGuidString()</f>
        <v>1B930020-6309-403B-9F46-1A1464D5F2C1</v>
      </c>
    </row>
    <row r="172" spans="1:10" x14ac:dyDescent="0.35">
      <c r="A172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Federated Identity Management System</v>
      </c>
      <c r="B172" s="35">
        <f>COUNTIF(NodesData[Unambiguous Name],NodesData[[#This Row],[Unambiguous Name]])</f>
        <v>1</v>
      </c>
      <c r="C172" s="12" t="s">
        <v>771</v>
      </c>
      <c r="D172" s="13" t="s">
        <v>1592</v>
      </c>
      <c r="E172" s="35">
        <f>COUNTIF(NodesData[Node ID],NodesData[[#This Row],[Node ID]])</f>
        <v>1</v>
      </c>
      <c r="G172" s="12" t="str">
        <f>IF(NodesData[[#This Row],[Class Disambiguation]]="",NodesData[[#This Row],[Common Name]],NodesData[[#This Row],[Common Name]]&amp;" ("&amp;NodesData[[#This Row],[Class Disambiguation]]&amp;")")</f>
        <v>Federated Identity Management System</v>
      </c>
      <c r="I172" s="12" t="s">
        <v>772</v>
      </c>
      <c r="J172" s="19" t="str" cm="1">
        <f t="array" ref="J172">CreateGuidString()</f>
        <v>89354506-9A82-4DF6-A3A7-ACAA1F13A54B</v>
      </c>
    </row>
    <row r="173" spans="1:10" x14ac:dyDescent="0.35">
      <c r="A173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Federated SSO</v>
      </c>
      <c r="B173" s="35">
        <f>COUNTIF(NodesData[Unambiguous Name],NodesData[[#This Row],[Unambiguous Name]])</f>
        <v>1</v>
      </c>
      <c r="C173" s="12" t="s">
        <v>773</v>
      </c>
      <c r="D173" s="13" t="s">
        <v>1593</v>
      </c>
      <c r="E173" s="35">
        <f>COUNTIF(NodesData[Node ID],NodesData[[#This Row],[Node ID]])</f>
        <v>1</v>
      </c>
      <c r="G173" s="12" t="str">
        <f>IF(NodesData[[#This Row],[Class Disambiguation]]="",NodesData[[#This Row],[Common Name]],NodesData[[#This Row],[Common Name]]&amp;" ("&amp;NodesData[[#This Row],[Class Disambiguation]]&amp;")")</f>
        <v>Federated SSO</v>
      </c>
      <c r="I173" s="12" t="s">
        <v>774</v>
      </c>
      <c r="J173" s="19" t="str" cm="1">
        <f t="array" ref="J173">CreateGuidString()</f>
        <v>4BBEA830-C696-4B30-8C3D-0CD923B409DB</v>
      </c>
    </row>
    <row r="174" spans="1:10" x14ac:dyDescent="0.35">
      <c r="A174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Federation Bridge</v>
      </c>
      <c r="B174" s="35">
        <f>COUNTIF(NodesData[Unambiguous Name],NodesData[[#This Row],[Unambiguous Name]])</f>
        <v>1</v>
      </c>
      <c r="C174" s="12" t="s">
        <v>775</v>
      </c>
      <c r="D174" s="13" t="s">
        <v>1594</v>
      </c>
      <c r="E174" s="35">
        <f>COUNTIF(NodesData[Node ID],NodesData[[#This Row],[Node ID]])</f>
        <v>1</v>
      </c>
      <c r="G174" s="12" t="str">
        <f>IF(NodesData[[#This Row],[Class Disambiguation]]="",NodesData[[#This Row],[Common Name]],NodesData[[#This Row],[Common Name]]&amp;" ("&amp;NodesData[[#This Row],[Class Disambiguation]]&amp;")")</f>
        <v>Federation Bridge</v>
      </c>
      <c r="I174" s="12" t="s">
        <v>776</v>
      </c>
      <c r="J174" s="19" t="str" cm="1">
        <f t="array" ref="J174">CreateGuidString()</f>
        <v>F898C458-F00E-44D4-AA42-379F506E499C</v>
      </c>
    </row>
    <row r="175" spans="1:10" x14ac:dyDescent="0.35">
      <c r="A175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FIM (Acronym)</v>
      </c>
      <c r="B175" s="35">
        <f>COUNTIF(NodesData[Unambiguous Name],NodesData[[#This Row],[Unambiguous Name]])</f>
        <v>1</v>
      </c>
      <c r="C175" s="12" t="s">
        <v>777</v>
      </c>
      <c r="D175" s="13" t="s">
        <v>1595</v>
      </c>
      <c r="E175" s="35">
        <f>COUNTIF(NodesData[Node ID],NodesData[[#This Row],[Node ID]])</f>
        <v>1</v>
      </c>
      <c r="F175" s="12" t="s">
        <v>1270</v>
      </c>
      <c r="G175" s="12" t="str">
        <f>IF(NodesData[[#This Row],[Class Disambiguation]]="",NodesData[[#This Row],[Common Name]],NodesData[[#This Row],[Common Name]]&amp;" ("&amp;NodesData[[#This Row],[Class Disambiguation]]&amp;")")</f>
        <v>FIM (Acronym)</v>
      </c>
      <c r="I175" s="12" t="s">
        <v>778</v>
      </c>
      <c r="J175" s="19" t="str" cm="1">
        <f t="array" ref="J175">CreateGuidString()</f>
        <v>46654E70-E929-4E4F-B2AC-6058C2CE625C</v>
      </c>
    </row>
    <row r="176" spans="1:10" x14ac:dyDescent="0.35">
      <c r="A176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Financial Gain</v>
      </c>
      <c r="B176" s="35">
        <f>COUNTIF(NodesData[Unambiguous Name],NodesData[[#This Row],[Unambiguous Name]])</f>
        <v>1</v>
      </c>
      <c r="C176" s="32" t="s">
        <v>1386</v>
      </c>
      <c r="D176" s="13" t="s">
        <v>1596</v>
      </c>
      <c r="E176" s="35">
        <f>COUNTIF(NodesData[Node ID],NodesData[[#This Row],[Node ID]])</f>
        <v>1</v>
      </c>
      <c r="G176" s="18" t="str">
        <f>IF(NodesData[[#This Row],[Class Disambiguation]]="",NodesData[[#This Row],[Common Name]],NodesData[[#This Row],[Common Name]]&amp;" ("&amp;NodesData[[#This Row],[Class Disambiguation]]&amp;")")</f>
        <v>Financial Gain</v>
      </c>
      <c r="H176" s="18"/>
      <c r="J176" s="20" t="str" cm="1">
        <f t="array" ref="J176">CreateGuidString()</f>
        <v>747B6942-4093-4729-884D-BE655B9595B9</v>
      </c>
    </row>
    <row r="177" spans="1:10" x14ac:dyDescent="0.35">
      <c r="A177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Financial-grade API</v>
      </c>
      <c r="B177" s="35">
        <f>COUNTIF(NodesData[Unambiguous Name],NodesData[[#This Row],[Unambiguous Name]])</f>
        <v>1</v>
      </c>
      <c r="C177" s="12" t="s">
        <v>185</v>
      </c>
      <c r="D177" s="13" t="s">
        <v>1597</v>
      </c>
      <c r="E177" s="35">
        <f>COUNTIF(NodesData[Node ID],NodesData[[#This Row],[Node ID]])</f>
        <v>1</v>
      </c>
      <c r="G177" s="12" t="str">
        <f>IF(NodesData[[#This Row],[Class Disambiguation]]="",NodesData[[#This Row],[Common Name]],NodesData[[#This Row],[Common Name]]&amp;" ("&amp;NodesData[[#This Row],[Class Disambiguation]]&amp;")")</f>
        <v>Financial-grade API</v>
      </c>
      <c r="I177" s="12" t="s">
        <v>779</v>
      </c>
      <c r="J177" s="19" t="str" cm="1">
        <f t="array" ref="J177">CreateGuidString()</f>
        <v>A842EDA8-4DF6-4C85-84C8-A2296B4A8656</v>
      </c>
    </row>
    <row r="178" spans="1:10" x14ac:dyDescent="0.35">
      <c r="A178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Fingerprint Recognition Authentication</v>
      </c>
      <c r="B178" s="35">
        <f>COUNTIF(NodesData[Unambiguous Name],NodesData[[#This Row],[Unambiguous Name]])</f>
        <v>1</v>
      </c>
      <c r="C178" s="12" t="s">
        <v>1306</v>
      </c>
      <c r="D178" s="13" t="s">
        <v>1598</v>
      </c>
      <c r="E178" s="35">
        <f>COUNTIF(NodesData[Node ID],NodesData[[#This Row],[Node ID]])</f>
        <v>1</v>
      </c>
      <c r="G178" s="12" t="str">
        <f>IF(NodesData[[#This Row],[Class Disambiguation]]="",NodesData[[#This Row],[Common Name]],NodesData[[#This Row],[Common Name]]&amp;" ("&amp;NodesData[[#This Row],[Class Disambiguation]]&amp;")")</f>
        <v>Fingerprint Recognition Authentication</v>
      </c>
      <c r="J178" s="19" t="str" cm="1">
        <f t="array" ref="J178">CreateGuidString()</f>
        <v>F00C11A5-E2D4-455C-9E70-FE977A2FFC86</v>
      </c>
    </row>
    <row r="179" spans="1:10" x14ac:dyDescent="0.35">
      <c r="A179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FinTech (Acronym)</v>
      </c>
      <c r="B179" s="35">
        <f>COUNTIF(NodesData[Unambiguous Name],NodesData[[#This Row],[Unambiguous Name]])</f>
        <v>1</v>
      </c>
      <c r="C179" s="12" t="s">
        <v>186</v>
      </c>
      <c r="D179" s="13" t="s">
        <v>1599</v>
      </c>
      <c r="E179" s="35">
        <f>COUNTIF(NodesData[Node ID],NodesData[[#This Row],[Node ID]])</f>
        <v>1</v>
      </c>
      <c r="F179" s="12" t="s">
        <v>1270</v>
      </c>
      <c r="G179" s="12" t="str">
        <f>IF(NodesData[[#This Row],[Class Disambiguation]]="",NodesData[[#This Row],[Common Name]],NodesData[[#This Row],[Common Name]]&amp;" ("&amp;NodesData[[#This Row],[Class Disambiguation]]&amp;")")</f>
        <v>FinTech (Acronym)</v>
      </c>
      <c r="I179" s="12" t="s">
        <v>780</v>
      </c>
      <c r="J179" s="19" t="str" cm="1">
        <f t="array" ref="J179">CreateGuidString()</f>
        <v>668171E6-8C59-4992-8F97-3BC844B5EEB9</v>
      </c>
    </row>
    <row r="180" spans="1:10" x14ac:dyDescent="0.35">
      <c r="A180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Flexibility</v>
      </c>
      <c r="B180" s="35">
        <f>COUNTIF(NodesData[Unambiguous Name],NodesData[[#This Row],[Unambiguous Name]])</f>
        <v>1</v>
      </c>
      <c r="C180" s="12" t="s">
        <v>781</v>
      </c>
      <c r="D180" s="13" t="s">
        <v>1600</v>
      </c>
      <c r="E180" s="35">
        <f>COUNTIF(NodesData[Node ID],NodesData[[#This Row],[Node ID]])</f>
        <v>1</v>
      </c>
      <c r="G180" s="12" t="str">
        <f>IF(NodesData[[#This Row],[Class Disambiguation]]="",NodesData[[#This Row],[Common Name]],NodesData[[#This Row],[Common Name]]&amp;" ("&amp;NodesData[[#This Row],[Class Disambiguation]]&amp;")")</f>
        <v>Flexibility</v>
      </c>
      <c r="I180" s="12" t="s">
        <v>782</v>
      </c>
      <c r="J180" s="19" t="str" cm="1">
        <f t="array" ref="J180">CreateGuidString()</f>
        <v>92B19679-9950-420A-A7B9-0B8A31D040FC</v>
      </c>
    </row>
    <row r="181" spans="1:10" x14ac:dyDescent="0.35">
      <c r="A181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Flow Analysis</v>
      </c>
      <c r="B181" s="35">
        <f>COUNTIF(NodesData[Unambiguous Name],NodesData[[#This Row],[Unambiguous Name]])</f>
        <v>1</v>
      </c>
      <c r="C181" s="12" t="s">
        <v>783</v>
      </c>
      <c r="D181" s="13" t="s">
        <v>1601</v>
      </c>
      <c r="E181" s="35">
        <f>COUNTIF(NodesData[Node ID],NodesData[[#This Row],[Node ID]])</f>
        <v>1</v>
      </c>
      <c r="G181" s="12" t="str">
        <f>IF(NodesData[[#This Row],[Class Disambiguation]]="",NodesData[[#This Row],[Common Name]],NodesData[[#This Row],[Common Name]]&amp;" ("&amp;NodesData[[#This Row],[Class Disambiguation]]&amp;")")</f>
        <v>Flow Analysis</v>
      </c>
      <c r="I181" s="12" t="s">
        <v>784</v>
      </c>
      <c r="J181" s="19" t="str" cm="1">
        <f t="array" ref="J181">CreateGuidString()</f>
        <v>63F02A16-2BD4-475E-A781-C656380B607E</v>
      </c>
    </row>
    <row r="182" spans="1:10" x14ac:dyDescent="0.35">
      <c r="A182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Forged Identity</v>
      </c>
      <c r="B182" s="35">
        <f>COUNTIF(NodesData[Unambiguous Name],NodesData[[#This Row],[Unambiguous Name]])</f>
        <v>1</v>
      </c>
      <c r="C182" s="12" t="s">
        <v>785</v>
      </c>
      <c r="D182" s="13" t="s">
        <v>1602</v>
      </c>
      <c r="E182" s="35">
        <f>COUNTIF(NodesData[Node ID],NodesData[[#This Row],[Node ID]])</f>
        <v>1</v>
      </c>
      <c r="G182" s="12" t="str">
        <f>IF(NodesData[[#This Row],[Class Disambiguation]]="",NodesData[[#This Row],[Common Name]],NodesData[[#This Row],[Common Name]]&amp;" ("&amp;NodesData[[#This Row],[Class Disambiguation]]&amp;")")</f>
        <v>Forged Identity</v>
      </c>
      <c r="I182" s="12" t="s">
        <v>786</v>
      </c>
      <c r="J182" s="19" t="str" cm="1">
        <f t="array" ref="J182">CreateGuidString()</f>
        <v>2D3C5504-3B5E-4FF6-B279-404F2BE3738E</v>
      </c>
    </row>
    <row r="183" spans="1:10" x14ac:dyDescent="0.35">
      <c r="A183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Formal Verification</v>
      </c>
      <c r="B183" s="35">
        <f>COUNTIF(NodesData[Unambiguous Name],NodesData[[#This Row],[Unambiguous Name]])</f>
        <v>1</v>
      </c>
      <c r="C183" s="12" t="s">
        <v>787</v>
      </c>
      <c r="D183" s="13" t="s">
        <v>1603</v>
      </c>
      <c r="E183" s="35">
        <f>COUNTIF(NodesData[Node ID],NodesData[[#This Row],[Node ID]])</f>
        <v>1</v>
      </c>
      <c r="G183" s="12" t="str">
        <f>IF(NodesData[[#This Row],[Class Disambiguation]]="",NodesData[[#This Row],[Common Name]],NodesData[[#This Row],[Common Name]]&amp;" ("&amp;NodesData[[#This Row],[Class Disambiguation]]&amp;")")</f>
        <v>Formal Verification</v>
      </c>
      <c r="I183" s="12" t="s">
        <v>788</v>
      </c>
      <c r="J183" s="19" t="str" cm="1">
        <f t="array" ref="J183">CreateGuidString()</f>
        <v>1F8DFFD6-45DA-4C2F-AD3D-850DC59A78DB</v>
      </c>
    </row>
    <row r="184" spans="1:10" x14ac:dyDescent="0.35">
      <c r="A184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Foundational Identification System</v>
      </c>
      <c r="B184" s="35">
        <f>COUNTIF(NodesData[Unambiguous Name],NodesData[[#This Row],[Unambiguous Name]])</f>
        <v>1</v>
      </c>
      <c r="C184" s="12" t="s">
        <v>192</v>
      </c>
      <c r="D184" s="13" t="s">
        <v>1604</v>
      </c>
      <c r="E184" s="35">
        <f>COUNTIF(NodesData[Node ID],NodesData[[#This Row],[Node ID]])</f>
        <v>1</v>
      </c>
      <c r="G184" s="12" t="str">
        <f>IF(NodesData[[#This Row],[Class Disambiguation]]="",NodesData[[#This Row],[Common Name]],NodesData[[#This Row],[Common Name]]&amp;" ("&amp;NodesData[[#This Row],[Class Disambiguation]]&amp;")")</f>
        <v>Foundational Identification System</v>
      </c>
      <c r="I184" s="12" t="s">
        <v>789</v>
      </c>
      <c r="J184" s="19" t="str" cm="1">
        <f t="array" ref="J184">CreateGuidString()</f>
        <v>DE666089-B0E9-4F2F-BD41-4EF419471BAF</v>
      </c>
    </row>
    <row r="185" spans="1:10" x14ac:dyDescent="0.35">
      <c r="A185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Front-end Authentication</v>
      </c>
      <c r="B185" s="35">
        <f>COUNTIF(NodesData[Unambiguous Name],NodesData[[#This Row],[Unambiguous Name]])</f>
        <v>1</v>
      </c>
      <c r="C185" s="12" t="s">
        <v>1300</v>
      </c>
      <c r="D185" s="13" t="s">
        <v>1605</v>
      </c>
      <c r="E185" s="35">
        <f>COUNTIF(NodesData[Node ID],NodesData[[#This Row],[Node ID]])</f>
        <v>1</v>
      </c>
      <c r="G185" s="12" t="str">
        <f>IF(NodesData[[#This Row],[Class Disambiguation]]="",NodesData[[#This Row],[Common Name]],NodesData[[#This Row],[Common Name]]&amp;" ("&amp;NodesData[[#This Row],[Class Disambiguation]]&amp;")")</f>
        <v>Front-end Authentication</v>
      </c>
      <c r="J185" s="19" t="str" cm="1">
        <f t="array" ref="J185">CreateGuidString()</f>
        <v>2FACEFAB-4885-4A63-97D2-9FE7541C7255</v>
      </c>
    </row>
    <row r="186" spans="1:10" x14ac:dyDescent="0.35">
      <c r="A186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Functional Identification System</v>
      </c>
      <c r="B186" s="35">
        <f>COUNTIF(NodesData[Unambiguous Name],NodesData[[#This Row],[Unambiguous Name]])</f>
        <v>1</v>
      </c>
      <c r="C186" s="12" t="s">
        <v>790</v>
      </c>
      <c r="D186" s="13" t="s">
        <v>1606</v>
      </c>
      <c r="E186" s="35">
        <f>COUNTIF(NodesData[Node ID],NodesData[[#This Row],[Node ID]])</f>
        <v>1</v>
      </c>
      <c r="G186" s="12" t="str">
        <f>IF(NodesData[[#This Row],[Class Disambiguation]]="",NodesData[[#This Row],[Common Name]],NodesData[[#This Row],[Common Name]]&amp;" ("&amp;NodesData[[#This Row],[Class Disambiguation]]&amp;")")</f>
        <v>Functional Identification System</v>
      </c>
      <c r="I186" s="12" t="s">
        <v>791</v>
      </c>
      <c r="J186" s="19" t="str" cm="1">
        <f t="array" ref="J186">CreateGuidString()</f>
        <v>1157E681-36A8-4AE5-A99F-36488D191746</v>
      </c>
    </row>
    <row r="187" spans="1:10" x14ac:dyDescent="0.35">
      <c r="A187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Functional System</v>
      </c>
      <c r="B187" s="35">
        <f>COUNTIF(NodesData[Unambiguous Name],NodesData[[#This Row],[Unambiguous Name]])</f>
        <v>1</v>
      </c>
      <c r="C187" s="12" t="s">
        <v>792</v>
      </c>
      <c r="D187" s="13" t="s">
        <v>1607</v>
      </c>
      <c r="E187" s="35">
        <f>COUNTIF(NodesData[Node ID],NodesData[[#This Row],[Node ID]])</f>
        <v>1</v>
      </c>
      <c r="G187" s="12" t="str">
        <f>IF(NodesData[[#This Row],[Class Disambiguation]]="",NodesData[[#This Row],[Common Name]],NodesData[[#This Row],[Common Name]]&amp;" ("&amp;NodesData[[#This Row],[Class Disambiguation]]&amp;")")</f>
        <v>Functional System</v>
      </c>
      <c r="I187" s="12" t="s">
        <v>793</v>
      </c>
      <c r="J187" s="19" t="str" cm="1">
        <f t="array" ref="J187">CreateGuidString()</f>
        <v>C8C188FB-20CF-43DE-ABDE-4CB68482651F</v>
      </c>
    </row>
    <row r="188" spans="1:10" x14ac:dyDescent="0.35">
      <c r="A188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Gait Recognition Authentication</v>
      </c>
      <c r="B188" s="35">
        <f>COUNTIF(NodesData[Unambiguous Name],NodesData[[#This Row],[Unambiguous Name]])</f>
        <v>1</v>
      </c>
      <c r="C188" s="12" t="s">
        <v>1307</v>
      </c>
      <c r="D188" s="13" t="s">
        <v>1608</v>
      </c>
      <c r="E188" s="35">
        <f>COUNTIF(NodesData[Node ID],NodesData[[#This Row],[Node ID]])</f>
        <v>1</v>
      </c>
      <c r="G188" s="12" t="str">
        <f>IF(NodesData[[#This Row],[Class Disambiguation]]="",NodesData[[#This Row],[Common Name]],NodesData[[#This Row],[Common Name]]&amp;" ("&amp;NodesData[[#This Row],[Class Disambiguation]]&amp;")")</f>
        <v>Gait Recognition Authentication</v>
      </c>
      <c r="J188" s="19" t="str" cm="1">
        <f t="array" ref="J188">CreateGuidString()</f>
        <v>25A8605C-4808-4C41-9213-D401A16F94AB</v>
      </c>
    </row>
    <row r="189" spans="1:10" x14ac:dyDescent="0.35">
      <c r="A189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Geo-localization Authentication</v>
      </c>
      <c r="B189" s="35">
        <f>COUNTIF(NodesData[Unambiguous Name],NodesData[[#This Row],[Unambiguous Name]])</f>
        <v>1</v>
      </c>
      <c r="C189" s="12" t="s">
        <v>1305</v>
      </c>
      <c r="D189" s="13" t="s">
        <v>1609</v>
      </c>
      <c r="E189" s="35">
        <f>COUNTIF(NodesData[Node ID],NodesData[[#This Row],[Node ID]])</f>
        <v>1</v>
      </c>
      <c r="G189" s="12" t="str">
        <f>IF(NodesData[[#This Row],[Class Disambiguation]]="",NodesData[[#This Row],[Common Name]],NodesData[[#This Row],[Common Name]]&amp;" ("&amp;NodesData[[#This Row],[Class Disambiguation]]&amp;")")</f>
        <v>Geo-localization Authentication</v>
      </c>
      <c r="J189" s="19" t="str" cm="1">
        <f t="array" ref="J189">CreateGuidString()</f>
        <v>ED09D84D-CB28-49E8-AB69-D9438E094437</v>
      </c>
    </row>
    <row r="190" spans="1:10" x14ac:dyDescent="0.35">
      <c r="A190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Graphical Password-Based Authentication</v>
      </c>
      <c r="B190" s="35">
        <f>COUNTIF(NodesData[Unambiguous Name],NodesData[[#This Row],[Unambiguous Name]])</f>
        <v>1</v>
      </c>
      <c r="C190" s="12" t="s">
        <v>1325</v>
      </c>
      <c r="D190" s="13" t="s">
        <v>1610</v>
      </c>
      <c r="E190" s="35">
        <f>COUNTIF(NodesData[Node ID],NodesData[[#This Row],[Node ID]])</f>
        <v>1</v>
      </c>
      <c r="G190" s="12" t="str">
        <f>IF(NodesData[[#This Row],[Class Disambiguation]]="",NodesData[[#This Row],[Common Name]],NodesData[[#This Row],[Common Name]]&amp;" ("&amp;NodesData[[#This Row],[Class Disambiguation]]&amp;")")</f>
        <v>Graphical Password-Based Authentication</v>
      </c>
      <c r="J190" s="19" t="str" cm="1">
        <f t="array" ref="J190">CreateGuidString()</f>
        <v>AE6913EF-B0C6-4ADD-BFEA-4B132C8635BC</v>
      </c>
    </row>
    <row r="191" spans="1:10" x14ac:dyDescent="0.35">
      <c r="A191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Guest Account</v>
      </c>
      <c r="B191" s="35">
        <f>COUNTIF(NodesData[Unambiguous Name],NodesData[[#This Row],[Unambiguous Name]])</f>
        <v>1</v>
      </c>
      <c r="C191" s="12" t="s">
        <v>794</v>
      </c>
      <c r="D191" s="13" t="s">
        <v>1611</v>
      </c>
      <c r="E191" s="35">
        <f>COUNTIF(NodesData[Node ID],NodesData[[#This Row],[Node ID]])</f>
        <v>1</v>
      </c>
      <c r="G191" s="12" t="str">
        <f>IF(NodesData[[#This Row],[Class Disambiguation]]="",NodesData[[#This Row],[Common Name]],NodesData[[#This Row],[Common Name]]&amp;" ("&amp;NodesData[[#This Row],[Class Disambiguation]]&amp;")")</f>
        <v>Guest Account</v>
      </c>
      <c r="I191" s="12" t="s">
        <v>795</v>
      </c>
      <c r="J191" s="19" t="str" cm="1">
        <f t="array" ref="J191">CreateGuidString()</f>
        <v>BADB2F87-827D-4D6F-9A6A-2502D93F3DCB</v>
      </c>
    </row>
    <row r="192" spans="1:10" x14ac:dyDescent="0.35">
      <c r="A192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Hand Gestures Recognition Authentication</v>
      </c>
      <c r="B192" s="35">
        <f>COUNTIF(NodesData[Unambiguous Name],NodesData[[#This Row],[Unambiguous Name]])</f>
        <v>1</v>
      </c>
      <c r="C192" s="12" t="s">
        <v>1308</v>
      </c>
      <c r="D192" s="13" t="s">
        <v>1612</v>
      </c>
      <c r="E192" s="35">
        <f>COUNTIF(NodesData[Node ID],NodesData[[#This Row],[Node ID]])</f>
        <v>1</v>
      </c>
      <c r="G192" s="12" t="str">
        <f>IF(NodesData[[#This Row],[Class Disambiguation]]="",NodesData[[#This Row],[Common Name]],NodesData[[#This Row],[Common Name]]&amp;" ("&amp;NodesData[[#This Row],[Class Disambiguation]]&amp;")")</f>
        <v>Hand Gestures Recognition Authentication</v>
      </c>
      <c r="J192" s="19" t="str" cm="1">
        <f t="array" ref="J192">CreateGuidString()</f>
        <v>D36F1318-C7FB-4FE0-9827-16F5A2562CBB</v>
      </c>
    </row>
    <row r="193" spans="1:10" x14ac:dyDescent="0.35">
      <c r="A193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Heartbeats Recognition Authentication</v>
      </c>
      <c r="B193" s="35">
        <f>COUNTIF(NodesData[Unambiguous Name],NodesData[[#This Row],[Unambiguous Name]])</f>
        <v>1</v>
      </c>
      <c r="C193" s="12" t="s">
        <v>1309</v>
      </c>
      <c r="D193" s="13" t="s">
        <v>1613</v>
      </c>
      <c r="E193" s="35">
        <f>COUNTIF(NodesData[Node ID],NodesData[[#This Row],[Node ID]])</f>
        <v>1</v>
      </c>
      <c r="G193" s="12" t="str">
        <f>IF(NodesData[[#This Row],[Class Disambiguation]]="",NodesData[[#This Row],[Common Name]],NodesData[[#This Row],[Common Name]]&amp;" ("&amp;NodesData[[#This Row],[Class Disambiguation]]&amp;")")</f>
        <v>Heartbeats Recognition Authentication</v>
      </c>
      <c r="J193" s="19" t="str" cm="1">
        <f t="array" ref="J193">CreateGuidString()</f>
        <v>75071B6E-C4B5-4D5A-94C0-F9E43D1FA644</v>
      </c>
    </row>
    <row r="194" spans="1:10" x14ac:dyDescent="0.35">
      <c r="A194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High Water Mark Principle</v>
      </c>
      <c r="B194" s="35">
        <f>COUNTIF(NodesData[Unambiguous Name],NodesData[[#This Row],[Unambiguous Name]])</f>
        <v>1</v>
      </c>
      <c r="C194" s="12" t="s">
        <v>796</v>
      </c>
      <c r="D194" s="13" t="s">
        <v>1614</v>
      </c>
      <c r="E194" s="35">
        <f>COUNTIF(NodesData[Node ID],NodesData[[#This Row],[Node ID]])</f>
        <v>1</v>
      </c>
      <c r="G194" s="12" t="str">
        <f>IF(NodesData[[#This Row],[Class Disambiguation]]="",NodesData[[#This Row],[Common Name]],NodesData[[#This Row],[Common Name]]&amp;" ("&amp;NodesData[[#This Row],[Class Disambiguation]]&amp;")")</f>
        <v>High Water Mark Principle</v>
      </c>
      <c r="I194" s="12" t="s">
        <v>797</v>
      </c>
      <c r="J194" s="19" t="str" cm="1">
        <f t="array" ref="J194">CreateGuidString()</f>
        <v>20B7E58C-EFE1-4BDF-BD4F-8DBA2DF04119</v>
      </c>
    </row>
    <row r="195" spans="1:10" x14ac:dyDescent="0.35">
      <c r="A195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Human Error</v>
      </c>
      <c r="B195" s="35">
        <f>COUNTIF(NodesData[Unambiguous Name],NodesData[[#This Row],[Unambiguous Name]])</f>
        <v>1</v>
      </c>
      <c r="C195" s="12" t="s">
        <v>798</v>
      </c>
      <c r="D195" s="13" t="s">
        <v>1615</v>
      </c>
      <c r="E195" s="35">
        <f>COUNTIF(NodesData[Node ID],NodesData[[#This Row],[Node ID]])</f>
        <v>1</v>
      </c>
      <c r="G195" s="12" t="str">
        <f>IF(NodesData[[#This Row],[Class Disambiguation]]="",NodesData[[#This Row],[Common Name]],NodesData[[#This Row],[Common Name]]&amp;" ("&amp;NodesData[[#This Row],[Class Disambiguation]]&amp;")")</f>
        <v>Human Error</v>
      </c>
      <c r="I195" s="12" t="s">
        <v>799</v>
      </c>
      <c r="J195" s="19" t="str" cm="1">
        <f t="array" ref="J195">CreateGuidString()</f>
        <v>90E91224-CA06-45A2-AA34-F6B50A8221DE</v>
      </c>
    </row>
    <row r="196" spans="1:10" x14ac:dyDescent="0.35">
      <c r="A196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Human Reliability</v>
      </c>
      <c r="B196" s="35">
        <f>COUNTIF(NodesData[Unambiguous Name],NodesData[[#This Row],[Unambiguous Name]])</f>
        <v>1</v>
      </c>
      <c r="C196" s="12" t="s">
        <v>800</v>
      </c>
      <c r="D196" s="13" t="s">
        <v>1616</v>
      </c>
      <c r="E196" s="35">
        <f>COUNTIF(NodesData[Node ID],NodesData[[#This Row],[Node ID]])</f>
        <v>1</v>
      </c>
      <c r="G196" s="12" t="str">
        <f>IF(NodesData[[#This Row],[Class Disambiguation]]="",NodesData[[#This Row],[Common Name]],NodesData[[#This Row],[Common Name]]&amp;" ("&amp;NodesData[[#This Row],[Class Disambiguation]]&amp;")")</f>
        <v>Human Reliability</v>
      </c>
      <c r="I196" s="12" t="s">
        <v>801</v>
      </c>
      <c r="J196" s="19" t="str" cm="1">
        <f t="array" ref="J196">CreateGuidString()</f>
        <v>14F12FD2-2B9F-4641-8F33-64AB925BE509</v>
      </c>
    </row>
    <row r="197" spans="1:10" x14ac:dyDescent="0.35">
      <c r="A197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IAG (Acronym)</v>
      </c>
      <c r="B197" s="35">
        <f>COUNTIF(NodesData[Unambiguous Name],NodesData[[#This Row],[Unambiguous Name]])</f>
        <v>1</v>
      </c>
      <c r="C197" s="12" t="s">
        <v>201</v>
      </c>
      <c r="D197" s="13" t="s">
        <v>1617</v>
      </c>
      <c r="E197" s="35">
        <f>COUNTIF(NodesData[Node ID],NodesData[[#This Row],[Node ID]])</f>
        <v>1</v>
      </c>
      <c r="F197" s="12" t="s">
        <v>1270</v>
      </c>
      <c r="G197" s="12" t="str">
        <f>IF(NodesData[[#This Row],[Class Disambiguation]]="",NodesData[[#This Row],[Common Name]],NodesData[[#This Row],[Common Name]]&amp;" ("&amp;NodesData[[#This Row],[Class Disambiguation]]&amp;")")</f>
        <v>IAG (Acronym)</v>
      </c>
      <c r="I197" s="12" t="s">
        <v>802</v>
      </c>
      <c r="J197" s="19" t="str" cm="1">
        <f t="array" ref="J197">CreateGuidString()</f>
        <v>EBC6AFE2-7BA8-413F-A864-CCEA6D746F28</v>
      </c>
    </row>
    <row r="198" spans="1:10" x14ac:dyDescent="0.35">
      <c r="A198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IAM (Acronym)</v>
      </c>
      <c r="B198" s="35">
        <f>COUNTIF(NodesData[Unambiguous Name],NodesData[[#This Row],[Unambiguous Name]])</f>
        <v>1</v>
      </c>
      <c r="C198" s="12" t="s">
        <v>202</v>
      </c>
      <c r="D198" s="13" t="s">
        <v>1618</v>
      </c>
      <c r="E198" s="35">
        <f>COUNTIF(NodesData[Node ID],NodesData[[#This Row],[Node ID]])</f>
        <v>1</v>
      </c>
      <c r="F198" s="12" t="s">
        <v>1270</v>
      </c>
      <c r="G198" s="12" t="str">
        <f>IF(NodesData[[#This Row],[Class Disambiguation]]="",NodesData[[#This Row],[Common Name]],NodesData[[#This Row],[Common Name]]&amp;" ("&amp;NodesData[[#This Row],[Class Disambiguation]]&amp;")")</f>
        <v>IAM (Acronym)</v>
      </c>
      <c r="I198" s="12" t="s">
        <v>803</v>
      </c>
      <c r="J198" s="19" t="str" cm="1">
        <f t="array" ref="J198">CreateGuidString()</f>
        <v>2A157DE3-15F4-4803-8A65-40672590E511</v>
      </c>
    </row>
    <row r="199" spans="1:10" x14ac:dyDescent="0.35">
      <c r="A199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IAM ARN (Acronym)</v>
      </c>
      <c r="B199" s="35">
        <f>COUNTIF(NodesData[Unambiguous Name],NodesData[[#This Row],[Unambiguous Name]])</f>
        <v>1</v>
      </c>
      <c r="C199" s="12" t="s">
        <v>804</v>
      </c>
      <c r="D199" s="13" t="s">
        <v>1619</v>
      </c>
      <c r="E199" s="35">
        <f>COUNTIF(NodesData[Node ID],NodesData[[#This Row],[Node ID]])</f>
        <v>1</v>
      </c>
      <c r="F199" s="12" t="s">
        <v>1270</v>
      </c>
      <c r="G199" s="12" t="str">
        <f>IF(NodesData[[#This Row],[Class Disambiguation]]="",NodesData[[#This Row],[Common Name]],NodesData[[#This Row],[Common Name]]&amp;" ("&amp;NodesData[[#This Row],[Class Disambiguation]]&amp;")")</f>
        <v>IAM ARN (Acronym)</v>
      </c>
      <c r="I199" s="12" t="s">
        <v>805</v>
      </c>
      <c r="J199" s="19" t="str" cm="1">
        <f t="array" ref="J199">CreateGuidString()</f>
        <v>FC57D2B0-A705-40A0-9F7C-4A86A4A29AA5</v>
      </c>
    </row>
    <row r="200" spans="1:10" x14ac:dyDescent="0.35">
      <c r="A200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IAM Management</v>
      </c>
      <c r="B200" s="35">
        <f>COUNTIF(NodesData[Unambiguous Name],NodesData[[#This Row],[Unambiguous Name]])</f>
        <v>1</v>
      </c>
      <c r="C200" s="12" t="s">
        <v>806</v>
      </c>
      <c r="D200" s="13" t="s">
        <v>1620</v>
      </c>
      <c r="E200" s="35">
        <f>COUNTIF(NodesData[Node ID],NodesData[[#This Row],[Node ID]])</f>
        <v>1</v>
      </c>
      <c r="G200" s="12" t="str">
        <f>IF(NodesData[[#This Row],[Class Disambiguation]]="",NodesData[[#This Row],[Common Name]],NodesData[[#This Row],[Common Name]]&amp;" ("&amp;NodesData[[#This Row],[Class Disambiguation]]&amp;")")</f>
        <v>IAM Management</v>
      </c>
      <c r="I200" s="12" t="s">
        <v>807</v>
      </c>
      <c r="J200" s="19" t="str" cm="1">
        <f t="array" ref="J200">CreateGuidString()</f>
        <v>201770A8-7004-4739-8E11-DBE9CB251CFF</v>
      </c>
    </row>
    <row r="201" spans="1:10" x14ac:dyDescent="0.35">
      <c r="A201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IAP (Acronym)</v>
      </c>
      <c r="B201" s="35">
        <f>COUNTIF(NodesData[Unambiguous Name],NodesData[[#This Row],[Unambiguous Name]])</f>
        <v>1</v>
      </c>
      <c r="C201" s="12" t="s">
        <v>808</v>
      </c>
      <c r="D201" s="13" t="s">
        <v>1621</v>
      </c>
      <c r="E201" s="35">
        <f>COUNTIF(NodesData[Node ID],NodesData[[#This Row],[Node ID]])</f>
        <v>1</v>
      </c>
      <c r="F201" s="12" t="s">
        <v>1270</v>
      </c>
      <c r="G201" s="12" t="str">
        <f>IF(NodesData[[#This Row],[Class Disambiguation]]="",NodesData[[#This Row],[Common Name]],NodesData[[#This Row],[Common Name]]&amp;" ("&amp;NodesData[[#This Row],[Class Disambiguation]]&amp;")")</f>
        <v>IAP (Acronym)</v>
      </c>
      <c r="I201" s="12" t="s">
        <v>809</v>
      </c>
      <c r="J201" s="19" t="str" cm="1">
        <f t="array" ref="J201">CreateGuidString()</f>
        <v>E43BFFB2-044B-4871-8279-BBC94A026D0A</v>
      </c>
    </row>
    <row r="202" spans="1:10" x14ac:dyDescent="0.35">
      <c r="A202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IDaaS (Acronym)</v>
      </c>
      <c r="B202" s="35">
        <f>COUNTIF(NodesData[Unambiguous Name],NodesData[[#This Row],[Unambiguous Name]])</f>
        <v>1</v>
      </c>
      <c r="C202" s="12" t="s">
        <v>810</v>
      </c>
      <c r="D202" s="13" t="s">
        <v>1622</v>
      </c>
      <c r="E202" s="35">
        <f>COUNTIF(NodesData[Node ID],NodesData[[#This Row],[Node ID]])</f>
        <v>1</v>
      </c>
      <c r="F202" s="12" t="s">
        <v>1270</v>
      </c>
      <c r="G202" s="12" t="str">
        <f>IF(NodesData[[#This Row],[Class Disambiguation]]="",NodesData[[#This Row],[Common Name]],NodesData[[#This Row],[Common Name]]&amp;" ("&amp;NodesData[[#This Row],[Class Disambiguation]]&amp;")")</f>
        <v>IDaaS (Acronym)</v>
      </c>
      <c r="I202" s="12" t="s">
        <v>811</v>
      </c>
      <c r="J202" s="19" t="str" cm="1">
        <f t="array" ref="J202">CreateGuidString()</f>
        <v>324D7674-92DD-4247-9797-5670014A6EEF</v>
      </c>
    </row>
    <row r="203" spans="1:10" x14ac:dyDescent="0.35">
      <c r="A203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Ideal Type</v>
      </c>
      <c r="B203" s="35">
        <f>COUNTIF(NodesData[Unambiguous Name],NodesData[[#This Row],[Unambiguous Name]])</f>
        <v>1</v>
      </c>
      <c r="C203" s="12" t="s">
        <v>812</v>
      </c>
      <c r="D203" s="13" t="s">
        <v>1623</v>
      </c>
      <c r="E203" s="35">
        <f>COUNTIF(NodesData[Node ID],NodesData[[#This Row],[Node ID]])</f>
        <v>1</v>
      </c>
      <c r="G203" s="12" t="str">
        <f>IF(NodesData[[#This Row],[Class Disambiguation]]="",NodesData[[#This Row],[Common Name]],NodesData[[#This Row],[Common Name]]&amp;" ("&amp;NodesData[[#This Row],[Class Disambiguation]]&amp;")")</f>
        <v>Ideal Type</v>
      </c>
      <c r="I203" s="12" t="s">
        <v>813</v>
      </c>
      <c r="J203" s="19" t="str" cm="1">
        <f t="array" ref="J203">CreateGuidString()</f>
        <v>74C399E5-95A9-4766-804A-24CB2A1827D9</v>
      </c>
    </row>
    <row r="204" spans="1:10" x14ac:dyDescent="0.35">
      <c r="A204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Identification</v>
      </c>
      <c r="B204" s="35">
        <f>COUNTIF(NodesData[Unambiguous Name],NodesData[[#This Row],[Unambiguous Name]])</f>
        <v>1</v>
      </c>
      <c r="C204" s="12" t="s">
        <v>814</v>
      </c>
      <c r="D204" s="13" t="s">
        <v>1624</v>
      </c>
      <c r="E204" s="35">
        <f>COUNTIF(NodesData[Node ID],NodesData[[#This Row],[Node ID]])</f>
        <v>1</v>
      </c>
      <c r="G204" s="12" t="str">
        <f>IF(NodesData[[#This Row],[Class Disambiguation]]="",NodesData[[#This Row],[Common Name]],NodesData[[#This Row],[Common Name]]&amp;" ("&amp;NodesData[[#This Row],[Class Disambiguation]]&amp;")")</f>
        <v>Identification</v>
      </c>
      <c r="I204" s="12" t="s">
        <v>815</v>
      </c>
      <c r="J204" s="19" t="str" cm="1">
        <f t="array" ref="J204">CreateGuidString()</f>
        <v>AE812800-197E-4B1F-A196-FFD29FD63332</v>
      </c>
    </row>
    <row r="205" spans="1:10" x14ac:dyDescent="0.35">
      <c r="A205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Identification System</v>
      </c>
      <c r="B205" s="35">
        <f>COUNTIF(NodesData[Unambiguous Name],NodesData[[#This Row],[Unambiguous Name]])</f>
        <v>1</v>
      </c>
      <c r="C205" s="12" t="s">
        <v>816</v>
      </c>
      <c r="D205" s="13" t="s">
        <v>1625</v>
      </c>
      <c r="E205" s="35">
        <f>COUNTIF(NodesData[Node ID],NodesData[[#This Row],[Node ID]])</f>
        <v>1</v>
      </c>
      <c r="G205" s="12" t="str">
        <f>IF(NodesData[[#This Row],[Class Disambiguation]]="",NodesData[[#This Row],[Common Name]],NodesData[[#This Row],[Common Name]]&amp;" ("&amp;NodesData[[#This Row],[Class Disambiguation]]&amp;")")</f>
        <v>Identification System</v>
      </c>
      <c r="I205" s="12" t="s">
        <v>817</v>
      </c>
      <c r="J205" s="19" t="str" cm="1">
        <f t="array" ref="J205">CreateGuidString()</f>
        <v>074B2FFB-0CA5-4BB6-ACA5-A02A926511F9</v>
      </c>
    </row>
    <row r="206" spans="1:10" x14ac:dyDescent="0.35">
      <c r="A206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Identifier</v>
      </c>
      <c r="B206" s="35">
        <f>COUNTIF(NodesData[Unambiguous Name],NodesData[[#This Row],[Unambiguous Name]])</f>
        <v>1</v>
      </c>
      <c r="C206" s="12" t="s">
        <v>818</v>
      </c>
      <c r="D206" s="13" t="s">
        <v>1626</v>
      </c>
      <c r="E206" s="35">
        <f>COUNTIF(NodesData[Node ID],NodesData[[#This Row],[Node ID]])</f>
        <v>1</v>
      </c>
      <c r="G206" s="12" t="str">
        <f>IF(NodesData[[#This Row],[Class Disambiguation]]="",NodesData[[#This Row],[Common Name]],NodesData[[#This Row],[Common Name]]&amp;" ("&amp;NodesData[[#This Row],[Class Disambiguation]]&amp;")")</f>
        <v>Identifier</v>
      </c>
      <c r="I206" s="12" t="s">
        <v>819</v>
      </c>
      <c r="J206" s="19" t="str" cm="1">
        <f t="array" ref="J206">CreateGuidString()</f>
        <v>92D45391-9C19-461F-8DDE-B6EA09263A4A</v>
      </c>
    </row>
    <row r="207" spans="1:10" x14ac:dyDescent="0.35">
      <c r="A207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Identifier Registry Model</v>
      </c>
      <c r="B207" s="35">
        <f>COUNTIF(NodesData[Unambiguous Name],NodesData[[#This Row],[Unambiguous Name]])</f>
        <v>1</v>
      </c>
      <c r="C207" s="12" t="s">
        <v>211</v>
      </c>
      <c r="D207" s="13" t="s">
        <v>1627</v>
      </c>
      <c r="E207" s="35">
        <f>COUNTIF(NodesData[Node ID],NodesData[[#This Row],[Node ID]])</f>
        <v>1</v>
      </c>
      <c r="G207" s="12" t="str">
        <f>IF(NodesData[[#This Row],[Class Disambiguation]]="",NodesData[[#This Row],[Common Name]],NodesData[[#This Row],[Common Name]]&amp;" ("&amp;NodesData[[#This Row],[Class Disambiguation]]&amp;")")</f>
        <v>Identifier Registry Model</v>
      </c>
      <c r="I207" s="12" t="s">
        <v>820</v>
      </c>
      <c r="J207" s="19" t="str" cm="1">
        <f t="array" ref="J207">CreateGuidString()</f>
        <v>BA117015-489E-4CFC-8EEE-CC6BE348321B</v>
      </c>
    </row>
    <row r="208" spans="1:10" x14ac:dyDescent="0.35">
      <c r="A208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Identity</v>
      </c>
      <c r="B208" s="35">
        <f>COUNTIF(NodesData[Unambiguous Name],NodesData[[#This Row],[Unambiguous Name]])</f>
        <v>1</v>
      </c>
      <c r="C208" s="12" t="s">
        <v>821</v>
      </c>
      <c r="D208" s="13" t="s">
        <v>1628</v>
      </c>
      <c r="E208" s="35">
        <f>COUNTIF(NodesData[Node ID],NodesData[[#This Row],[Node ID]])</f>
        <v>1</v>
      </c>
      <c r="G208" s="12" t="str">
        <f>IF(NodesData[[#This Row],[Class Disambiguation]]="",NodesData[[#This Row],[Common Name]],NodesData[[#This Row],[Common Name]]&amp;" ("&amp;NodesData[[#This Row],[Class Disambiguation]]&amp;")")</f>
        <v>Identity</v>
      </c>
      <c r="I208" s="12" t="s">
        <v>822</v>
      </c>
      <c r="J208" s="19" t="str" cm="1">
        <f t="array" ref="J208">CreateGuidString()</f>
        <v>1EAAA721-6CBF-434C-A848-92AF382B1A9B</v>
      </c>
    </row>
    <row r="209" spans="1:10" x14ac:dyDescent="0.35">
      <c r="A209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Identity Aggregation</v>
      </c>
      <c r="B209" s="35">
        <f>COUNTIF(NodesData[Unambiguous Name],NodesData[[#This Row],[Unambiguous Name]])</f>
        <v>1</v>
      </c>
      <c r="C209" s="12" t="s">
        <v>213</v>
      </c>
      <c r="D209" s="13" t="s">
        <v>1629</v>
      </c>
      <c r="E209" s="35">
        <f>COUNTIF(NodesData[Node ID],NodesData[[#This Row],[Node ID]])</f>
        <v>1</v>
      </c>
      <c r="G209" s="12" t="str">
        <f>IF(NodesData[[#This Row],[Class Disambiguation]]="",NodesData[[#This Row],[Common Name]],NodesData[[#This Row],[Common Name]]&amp;" ("&amp;NodesData[[#This Row],[Class Disambiguation]]&amp;")")</f>
        <v>Identity Aggregation</v>
      </c>
      <c r="I209" s="12" t="s">
        <v>823</v>
      </c>
      <c r="J209" s="19" t="str" cm="1">
        <f t="array" ref="J209">CreateGuidString()</f>
        <v>AC994CB3-BB0C-4723-80D9-4EB50D00BFA8</v>
      </c>
    </row>
    <row r="210" spans="1:10" x14ac:dyDescent="0.35">
      <c r="A210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Identity and Access Governance</v>
      </c>
      <c r="B210" s="35">
        <f>COUNTIF(NodesData[Unambiguous Name],NodesData[[#This Row],[Unambiguous Name]])</f>
        <v>1</v>
      </c>
      <c r="C210" s="12" t="s">
        <v>214</v>
      </c>
      <c r="D210" s="13" t="s">
        <v>1630</v>
      </c>
      <c r="E210" s="35">
        <f>COUNTIF(NodesData[Node ID],NodesData[[#This Row],[Node ID]])</f>
        <v>1</v>
      </c>
      <c r="G210" s="12" t="str">
        <f>IF(NodesData[[#This Row],[Class Disambiguation]]="",NodesData[[#This Row],[Common Name]],NodesData[[#This Row],[Common Name]]&amp;" ("&amp;NodesData[[#This Row],[Class Disambiguation]]&amp;")")</f>
        <v>Identity and Access Governance</v>
      </c>
      <c r="I210" s="12" t="s">
        <v>824</v>
      </c>
      <c r="J210" s="19" t="str" cm="1">
        <f t="array" ref="J210">CreateGuidString()</f>
        <v>DF4C59C2-424E-4FEC-880D-7C97B89ECD19</v>
      </c>
    </row>
    <row r="211" spans="1:10" x14ac:dyDescent="0.35">
      <c r="A211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Identity and Access Management</v>
      </c>
      <c r="B211" s="35">
        <f>COUNTIF(NodesData[Unambiguous Name],NodesData[[#This Row],[Unambiguous Name]])</f>
        <v>1</v>
      </c>
      <c r="C211" s="12" t="s">
        <v>215</v>
      </c>
      <c r="D211" s="13" t="s">
        <v>1631</v>
      </c>
      <c r="E211" s="35">
        <f>COUNTIF(NodesData[Node ID],NodesData[[#This Row],[Node ID]])</f>
        <v>1</v>
      </c>
      <c r="G211" s="12" t="str">
        <f>IF(NodesData[[#This Row],[Class Disambiguation]]="",NodesData[[#This Row],[Common Name]],NodesData[[#This Row],[Common Name]]&amp;" ("&amp;NodesData[[#This Row],[Class Disambiguation]]&amp;")")</f>
        <v>Identity and Access Management</v>
      </c>
      <c r="I211" s="12" t="s">
        <v>825</v>
      </c>
      <c r="J211" s="19" t="str" cm="1">
        <f t="array" ref="J211">CreateGuidString()</f>
        <v>5BA3A76E-113F-4119-98F4-1EEE5FF392A7</v>
      </c>
    </row>
    <row r="212" spans="1:10" x14ac:dyDescent="0.35">
      <c r="A212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Identity Assurance</v>
      </c>
      <c r="B212" s="35">
        <f>COUNTIF(NodesData[Unambiguous Name],NodesData[[#This Row],[Unambiguous Name]])</f>
        <v>1</v>
      </c>
      <c r="C212" s="12" t="s">
        <v>217</v>
      </c>
      <c r="D212" s="13" t="s">
        <v>1632</v>
      </c>
      <c r="E212" s="35">
        <f>COUNTIF(NodesData[Node ID],NodesData[[#This Row],[Node ID]])</f>
        <v>1</v>
      </c>
      <c r="G212" s="12" t="str">
        <f>IF(NodesData[[#This Row],[Class Disambiguation]]="",NodesData[[#This Row],[Common Name]],NodesData[[#This Row],[Common Name]]&amp;" ("&amp;NodesData[[#This Row],[Class Disambiguation]]&amp;")")</f>
        <v>Identity Assurance</v>
      </c>
      <c r="I212" s="12" t="s">
        <v>826</v>
      </c>
      <c r="J212" s="19" t="str" cm="1">
        <f t="array" ref="J212">CreateGuidString()</f>
        <v>CD19D32C-77FB-4220-8FEB-448F85E0A2CE</v>
      </c>
    </row>
    <row r="213" spans="1:10" x14ac:dyDescent="0.35">
      <c r="A213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Identity Attribute</v>
      </c>
      <c r="B213" s="35">
        <f>COUNTIF(NodesData[Unambiguous Name],NodesData[[#This Row],[Unambiguous Name]])</f>
        <v>1</v>
      </c>
      <c r="C213" s="12" t="s">
        <v>827</v>
      </c>
      <c r="D213" s="13" t="s">
        <v>1633</v>
      </c>
      <c r="E213" s="35">
        <f>COUNTIF(NodesData[Node ID],NodesData[[#This Row],[Node ID]])</f>
        <v>1</v>
      </c>
      <c r="G213" s="12" t="str">
        <f>IF(NodesData[[#This Row],[Class Disambiguation]]="",NodesData[[#This Row],[Common Name]],NodesData[[#This Row],[Common Name]]&amp;" ("&amp;NodesData[[#This Row],[Class Disambiguation]]&amp;")")</f>
        <v>Identity Attribute</v>
      </c>
      <c r="I213" s="12" t="s">
        <v>828</v>
      </c>
      <c r="J213" s="19" t="str" cm="1">
        <f t="array" ref="J213">CreateGuidString()</f>
        <v>5233313C-7B65-4CEC-8A4B-050B33CF8814</v>
      </c>
    </row>
    <row r="214" spans="1:10" x14ac:dyDescent="0.35">
      <c r="A214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Identity Deception</v>
      </c>
      <c r="B214" s="35">
        <f>COUNTIF(NodesData[Unambiguous Name],NodesData[[#This Row],[Unambiguous Name]])</f>
        <v>1</v>
      </c>
      <c r="C214" s="32" t="s">
        <v>1388</v>
      </c>
      <c r="D214" s="13" t="s">
        <v>1634</v>
      </c>
      <c r="E214" s="35">
        <f>COUNTIF(NodesData[Node ID],NodesData[[#This Row],[Node ID]])</f>
        <v>1</v>
      </c>
      <c r="G214" s="18" t="str">
        <f>IF(NodesData[[#This Row],[Class Disambiguation]]="",NodesData[[#This Row],[Common Name]],NodesData[[#This Row],[Common Name]]&amp;" ("&amp;NodesData[[#This Row],[Class Disambiguation]]&amp;")")</f>
        <v>Identity Deception</v>
      </c>
      <c r="H214" s="18"/>
      <c r="J214" s="20" t="str" cm="1">
        <f t="array" ref="J214">CreateGuidString()</f>
        <v>D65AC599-8CBA-432D-A55F-A1E893850BE7</v>
      </c>
    </row>
    <row r="215" spans="1:10" x14ac:dyDescent="0.35">
      <c r="A215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Identity Establishment</v>
      </c>
      <c r="B215" s="35">
        <f>COUNTIF(NodesData[Unambiguous Name],NodesData[[#This Row],[Unambiguous Name]])</f>
        <v>1</v>
      </c>
      <c r="C215" s="12" t="s">
        <v>220</v>
      </c>
      <c r="D215" s="13" t="s">
        <v>1635</v>
      </c>
      <c r="E215" s="35">
        <f>COUNTIF(NodesData[Node ID],NodesData[[#This Row],[Node ID]])</f>
        <v>1</v>
      </c>
      <c r="G215" s="12" t="str">
        <f>IF(NodesData[[#This Row],[Class Disambiguation]]="",NodesData[[#This Row],[Common Name]],NodesData[[#This Row],[Common Name]]&amp;" ("&amp;NodesData[[#This Row],[Class Disambiguation]]&amp;")")</f>
        <v>Identity Establishment</v>
      </c>
      <c r="I215" s="12" t="s">
        <v>829</v>
      </c>
      <c r="J215" s="19" t="str" cm="1">
        <f t="array" ref="J215">CreateGuidString()</f>
        <v>A46E6084-3026-4A33-9EEC-DE136EDDF2DF</v>
      </c>
    </row>
    <row r="216" spans="1:10" x14ac:dyDescent="0.35">
      <c r="A216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Identity Federation</v>
      </c>
      <c r="B216" s="35">
        <f>COUNTIF(NodesData[Unambiguous Name],NodesData[[#This Row],[Unambiguous Name]])</f>
        <v>1</v>
      </c>
      <c r="C216" s="12" t="s">
        <v>221</v>
      </c>
      <c r="D216" s="13" t="s">
        <v>1636</v>
      </c>
      <c r="E216" s="35">
        <f>COUNTIF(NodesData[Node ID],NodesData[[#This Row],[Node ID]])</f>
        <v>1</v>
      </c>
      <c r="G216" s="12" t="str">
        <f>IF(NodesData[[#This Row],[Class Disambiguation]]="",NodesData[[#This Row],[Common Name]],NodesData[[#This Row],[Common Name]]&amp;" ("&amp;NodesData[[#This Row],[Class Disambiguation]]&amp;")")</f>
        <v>Identity Federation</v>
      </c>
      <c r="I216" s="12" t="s">
        <v>830</v>
      </c>
      <c r="J216" s="19" t="str" cm="1">
        <f t="array" ref="J216">CreateGuidString()</f>
        <v>736167E0-4CCD-4AED-B84F-0D962F095AAA</v>
      </c>
    </row>
    <row r="217" spans="1:10" x14ac:dyDescent="0.35">
      <c r="A217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Identity Guardian</v>
      </c>
      <c r="B217" s="35">
        <f>COUNTIF(NodesData[Unambiguous Name],NodesData[[#This Row],[Unambiguous Name]])</f>
        <v>1</v>
      </c>
      <c r="C217" s="12" t="s">
        <v>222</v>
      </c>
      <c r="D217" s="13" t="s">
        <v>1637</v>
      </c>
      <c r="E217" s="35">
        <f>COUNTIF(NodesData[Node ID],NodesData[[#This Row],[Node ID]])</f>
        <v>1</v>
      </c>
      <c r="G217" s="12" t="str">
        <f>IF(NodesData[[#This Row],[Class Disambiguation]]="",NodesData[[#This Row],[Common Name]],NodesData[[#This Row],[Common Name]]&amp;" ("&amp;NodesData[[#This Row],[Class Disambiguation]]&amp;")")</f>
        <v>Identity Guardian</v>
      </c>
      <c r="I217" s="12" t="s">
        <v>831</v>
      </c>
      <c r="J217" s="19" t="str" cm="1">
        <f t="array" ref="J217">CreateGuidString()</f>
        <v>B1D43A40-372C-47EF-AC20-546DF4EF8914</v>
      </c>
    </row>
    <row r="218" spans="1:10" x14ac:dyDescent="0.35">
      <c r="A218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Identity Lifecycle</v>
      </c>
      <c r="B218" s="35">
        <f>COUNTIF(NodesData[Unambiguous Name],NodesData[[#This Row],[Unambiguous Name]])</f>
        <v>1</v>
      </c>
      <c r="C218" s="12" t="s">
        <v>832</v>
      </c>
      <c r="D218" s="13" t="s">
        <v>1638</v>
      </c>
      <c r="E218" s="35">
        <f>COUNTIF(NodesData[Node ID],NodesData[[#This Row],[Node ID]])</f>
        <v>1</v>
      </c>
      <c r="G218" s="12" t="str">
        <f>IF(NodesData[[#This Row],[Class Disambiguation]]="",NodesData[[#This Row],[Common Name]],NodesData[[#This Row],[Common Name]]&amp;" ("&amp;NodesData[[#This Row],[Class Disambiguation]]&amp;")")</f>
        <v>Identity Lifecycle</v>
      </c>
      <c r="I218" s="12" t="s">
        <v>833</v>
      </c>
      <c r="J218" s="19" t="str" cm="1">
        <f t="array" ref="J218">CreateGuidString()</f>
        <v>54AFCC11-9986-489F-B0CD-18B1EABA05A1</v>
      </c>
    </row>
    <row r="219" spans="1:10" x14ac:dyDescent="0.35">
      <c r="A219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Identity Management</v>
      </c>
      <c r="B219" s="35">
        <f>COUNTIF(NodesData[Unambiguous Name],NodesData[[#This Row],[Unambiguous Name]])</f>
        <v>1</v>
      </c>
      <c r="C219" s="12" t="s">
        <v>834</v>
      </c>
      <c r="D219" s="13" t="s">
        <v>1639</v>
      </c>
      <c r="E219" s="35">
        <f>COUNTIF(NodesData[Node ID],NodesData[[#This Row],[Node ID]])</f>
        <v>1</v>
      </c>
      <c r="G219" s="12" t="str">
        <f>IF(NodesData[[#This Row],[Class Disambiguation]]="",NodesData[[#This Row],[Common Name]],NodesData[[#This Row],[Common Name]]&amp;" ("&amp;NodesData[[#This Row],[Class Disambiguation]]&amp;")")</f>
        <v>Identity Management</v>
      </c>
      <c r="I219" s="12" t="s">
        <v>835</v>
      </c>
      <c r="J219" s="19" t="str" cm="1">
        <f t="array" ref="J219">CreateGuidString()</f>
        <v>240C1D1B-1CA4-4870-BE4C-C4A977B27730</v>
      </c>
    </row>
    <row r="220" spans="1:10" x14ac:dyDescent="0.35">
      <c r="A220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Identity Management System</v>
      </c>
      <c r="B220" s="35">
        <f>COUNTIF(NodesData[Unambiguous Name],NodesData[[#This Row],[Unambiguous Name]])</f>
        <v>1</v>
      </c>
      <c r="C220" s="12" t="s">
        <v>836</v>
      </c>
      <c r="D220" s="13" t="s">
        <v>1640</v>
      </c>
      <c r="E220" s="35">
        <f>COUNTIF(NodesData[Node ID],NodesData[[#This Row],[Node ID]])</f>
        <v>1</v>
      </c>
      <c r="G220" s="12" t="str">
        <f>IF(NodesData[[#This Row],[Class Disambiguation]]="",NodesData[[#This Row],[Common Name]],NodesData[[#This Row],[Common Name]]&amp;" ("&amp;NodesData[[#This Row],[Class Disambiguation]]&amp;")")</f>
        <v>Identity Management System</v>
      </c>
      <c r="I220" s="12" t="s">
        <v>837</v>
      </c>
      <c r="J220" s="19" t="str" cm="1">
        <f t="array" ref="J220">CreateGuidString()</f>
        <v>8053C2E8-A254-448E-ADD3-12CC1B834696</v>
      </c>
    </row>
    <row r="221" spans="1:10" x14ac:dyDescent="0.35">
      <c r="A221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Identity Portability</v>
      </c>
      <c r="B221" s="35">
        <f>COUNTIF(NodesData[Unambiguous Name],NodesData[[#This Row],[Unambiguous Name]])</f>
        <v>1</v>
      </c>
      <c r="C221" s="12" t="s">
        <v>226</v>
      </c>
      <c r="D221" s="13" t="s">
        <v>1641</v>
      </c>
      <c r="E221" s="35">
        <f>COUNTIF(NodesData[Node ID],NodesData[[#This Row],[Node ID]])</f>
        <v>1</v>
      </c>
      <c r="G221" s="12" t="str">
        <f>IF(NodesData[[#This Row],[Class Disambiguation]]="",NodesData[[#This Row],[Common Name]],NodesData[[#This Row],[Common Name]]&amp;" ("&amp;NodesData[[#This Row],[Class Disambiguation]]&amp;")")</f>
        <v>Identity Portability</v>
      </c>
      <c r="I221" s="12" t="s">
        <v>838</v>
      </c>
      <c r="J221" s="19" t="str" cm="1">
        <f t="array" ref="J221">CreateGuidString()</f>
        <v>8E1920AE-316F-4503-8D61-9F247E232F41</v>
      </c>
    </row>
    <row r="222" spans="1:10" x14ac:dyDescent="0.35">
      <c r="A222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Identity Proofing</v>
      </c>
      <c r="B222" s="35">
        <f>COUNTIF(NodesData[Unambiguous Name],NodesData[[#This Row],[Unambiguous Name]])</f>
        <v>1</v>
      </c>
      <c r="C222" s="12" t="s">
        <v>839</v>
      </c>
      <c r="D222" s="13" t="s">
        <v>1642</v>
      </c>
      <c r="E222" s="35">
        <f>COUNTIF(NodesData[Node ID],NodesData[[#This Row],[Node ID]])</f>
        <v>1</v>
      </c>
      <c r="G222" s="12" t="str">
        <f>IF(NodesData[[#This Row],[Class Disambiguation]]="",NodesData[[#This Row],[Common Name]],NodesData[[#This Row],[Common Name]]&amp;" ("&amp;NodesData[[#This Row],[Class Disambiguation]]&amp;")")</f>
        <v>Identity Proofing</v>
      </c>
      <c r="I222" s="12" t="s">
        <v>840</v>
      </c>
      <c r="J222" s="19" t="str" cm="1">
        <f t="array" ref="J222">CreateGuidString()</f>
        <v>51282A83-306E-485C-9F61-C9EA60942CD4</v>
      </c>
    </row>
    <row r="223" spans="1:10" x14ac:dyDescent="0.35">
      <c r="A223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Identity Propagation</v>
      </c>
      <c r="B223" s="35">
        <f>COUNTIF(NodesData[Unambiguous Name],NodesData[[#This Row],[Unambiguous Name]])</f>
        <v>1</v>
      </c>
      <c r="C223" s="12" t="s">
        <v>841</v>
      </c>
      <c r="D223" s="13" t="s">
        <v>1643</v>
      </c>
      <c r="E223" s="35">
        <f>COUNTIF(NodesData[Node ID],NodesData[[#This Row],[Node ID]])</f>
        <v>1</v>
      </c>
      <c r="G223" s="12" t="str">
        <f>IF(NodesData[[#This Row],[Class Disambiguation]]="",NodesData[[#This Row],[Common Name]],NodesData[[#This Row],[Common Name]]&amp;" ("&amp;NodesData[[#This Row],[Class Disambiguation]]&amp;")")</f>
        <v>Identity Propagation</v>
      </c>
      <c r="I223" s="12" t="s">
        <v>842</v>
      </c>
      <c r="J223" s="19" t="str" cm="1">
        <f t="array" ref="J223">CreateGuidString()</f>
        <v>480272D2-293C-4131-9277-2020895CEFFD</v>
      </c>
    </row>
    <row r="224" spans="1:10" x14ac:dyDescent="0.35">
      <c r="A224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Identity Provider</v>
      </c>
      <c r="B224" s="35">
        <f>COUNTIF(NodesData[Unambiguous Name],NodesData[[#This Row],[Unambiguous Name]])</f>
        <v>1</v>
      </c>
      <c r="C224" s="12" t="s">
        <v>843</v>
      </c>
      <c r="D224" s="13" t="s">
        <v>1644</v>
      </c>
      <c r="E224" s="35">
        <f>COUNTIF(NodesData[Node ID],NodesData[[#This Row],[Node ID]])</f>
        <v>1</v>
      </c>
      <c r="G224" s="12" t="str">
        <f>IF(NodesData[[#This Row],[Class Disambiguation]]="",NodesData[[#This Row],[Common Name]],NodesData[[#This Row],[Common Name]]&amp;" ("&amp;NodesData[[#This Row],[Class Disambiguation]]&amp;")")</f>
        <v>Identity Provider</v>
      </c>
      <c r="I224" s="12" t="s">
        <v>844</v>
      </c>
      <c r="J224" s="19" t="str" cm="1">
        <f t="array" ref="J224">CreateGuidString()</f>
        <v>A79A8C67-D7CF-468B-9F0D-5CCA8B0ABCF6</v>
      </c>
    </row>
    <row r="225" spans="1:10" x14ac:dyDescent="0.35">
      <c r="A225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Identity Repository</v>
      </c>
      <c r="B225" s="35">
        <f>COUNTIF(NodesData[Unambiguous Name],NodesData[[#This Row],[Unambiguous Name]])</f>
        <v>1</v>
      </c>
      <c r="C225" s="12" t="s">
        <v>845</v>
      </c>
      <c r="D225" s="13" t="s">
        <v>1645</v>
      </c>
      <c r="E225" s="35">
        <f>COUNTIF(NodesData[Node ID],NodesData[[#This Row],[Node ID]])</f>
        <v>1</v>
      </c>
      <c r="G225" s="12" t="str">
        <f>IF(NodesData[[#This Row],[Class Disambiguation]]="",NodesData[[#This Row],[Common Name]],NodesData[[#This Row],[Common Name]]&amp;" ("&amp;NodesData[[#This Row],[Class Disambiguation]]&amp;")")</f>
        <v>Identity Repository</v>
      </c>
      <c r="I225" s="12" t="s">
        <v>846</v>
      </c>
      <c r="J225" s="19" t="str" cm="1">
        <f t="array" ref="J225">CreateGuidString()</f>
        <v>A57AE426-8912-47C8-8176-B3AA5D991CF6</v>
      </c>
    </row>
    <row r="226" spans="1:10" x14ac:dyDescent="0.35">
      <c r="A226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Identity Theft</v>
      </c>
      <c r="B226" s="35">
        <f>COUNTIF(NodesData[Unambiguous Name],NodesData[[#This Row],[Unambiguous Name]])</f>
        <v>1</v>
      </c>
      <c r="C226" s="30" t="s">
        <v>1380</v>
      </c>
      <c r="D226" s="13" t="s">
        <v>1646</v>
      </c>
      <c r="E226" s="35">
        <f>COUNTIF(NodesData[Node ID],NodesData[[#This Row],[Node ID]])</f>
        <v>1</v>
      </c>
      <c r="G226" s="18" t="str">
        <f>IF(NodesData[[#This Row],[Class Disambiguation]]="",NodesData[[#This Row],[Common Name]],NodesData[[#This Row],[Common Name]]&amp;" ("&amp;NodesData[[#This Row],[Class Disambiguation]]&amp;")")</f>
        <v>Identity Theft</v>
      </c>
      <c r="H226" s="18"/>
      <c r="J226" s="20" t="str" cm="1">
        <f t="array" ref="J226">CreateGuidString()</f>
        <v>C78191EE-36B7-46BE-BFDD-F4E466A8EF55</v>
      </c>
    </row>
    <row r="227" spans="1:10" x14ac:dyDescent="0.35">
      <c r="A227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Identity-as-a-Service</v>
      </c>
      <c r="B227" s="35">
        <f>COUNTIF(NodesData[Unambiguous Name],NodesData[[#This Row],[Unambiguous Name]])</f>
        <v>1</v>
      </c>
      <c r="C227" s="12" t="s">
        <v>847</v>
      </c>
      <c r="D227" s="13" t="s">
        <v>1647</v>
      </c>
      <c r="E227" s="35">
        <f>COUNTIF(NodesData[Node ID],NodesData[[#This Row],[Node ID]])</f>
        <v>1</v>
      </c>
      <c r="G227" s="12" t="str">
        <f>IF(NodesData[[#This Row],[Class Disambiguation]]="",NodesData[[#This Row],[Common Name]],NodesData[[#This Row],[Common Name]]&amp;" ("&amp;NodesData[[#This Row],[Class Disambiguation]]&amp;")")</f>
        <v>Identity-as-a-Service</v>
      </c>
      <c r="I227" s="12" t="s">
        <v>848</v>
      </c>
      <c r="J227" s="19" t="str" cm="1">
        <f t="array" ref="J227">CreateGuidString()</f>
        <v>EA28127F-1E92-4BBC-9733-2A0F0E4887C7</v>
      </c>
    </row>
    <row r="228" spans="1:10" x14ac:dyDescent="0.35">
      <c r="A228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Identity-Aware Proxy</v>
      </c>
      <c r="B228" s="35">
        <f>COUNTIF(NodesData[Unambiguous Name],NodesData[[#This Row],[Unambiguous Name]])</f>
        <v>1</v>
      </c>
      <c r="C228" s="12" t="s">
        <v>849</v>
      </c>
      <c r="D228" s="13" t="s">
        <v>1648</v>
      </c>
      <c r="E228" s="35">
        <f>COUNTIF(NodesData[Node ID],NodesData[[#This Row],[Node ID]])</f>
        <v>1</v>
      </c>
      <c r="G228" s="12" t="str">
        <f>IF(NodesData[[#This Row],[Class Disambiguation]]="",NodesData[[#This Row],[Common Name]],NodesData[[#This Row],[Common Name]]&amp;" ("&amp;NodesData[[#This Row],[Class Disambiguation]]&amp;")")</f>
        <v>Identity-Aware Proxy</v>
      </c>
      <c r="I228" s="12" t="s">
        <v>850</v>
      </c>
      <c r="J228" s="19" t="str" cm="1">
        <f t="array" ref="J228">CreateGuidString()</f>
        <v>C52B24C0-510F-4F8E-8C54-4FBDCFD4B788</v>
      </c>
    </row>
    <row r="229" spans="1:10" x14ac:dyDescent="0.35">
      <c r="A229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IdMS (Acronym)</v>
      </c>
      <c r="B229" s="35">
        <f>COUNTIF(NodesData[Unambiguous Name],NodesData[[#This Row],[Unambiguous Name]])</f>
        <v>1</v>
      </c>
      <c r="C229" s="12" t="s">
        <v>851</v>
      </c>
      <c r="D229" s="13" t="s">
        <v>1649</v>
      </c>
      <c r="E229" s="35">
        <f>COUNTIF(NodesData[Node ID],NodesData[[#This Row],[Node ID]])</f>
        <v>1</v>
      </c>
      <c r="F229" s="12" t="s">
        <v>1270</v>
      </c>
      <c r="G229" s="12" t="str">
        <f>IF(NodesData[[#This Row],[Class Disambiguation]]="",NodesData[[#This Row],[Common Name]],NodesData[[#This Row],[Common Name]]&amp;" ("&amp;NodesData[[#This Row],[Class Disambiguation]]&amp;")")</f>
        <v>IdMS (Acronym)</v>
      </c>
      <c r="I229" s="12" t="s">
        <v>852</v>
      </c>
      <c r="J229" s="19" t="str" cm="1">
        <f t="array" ref="J229">CreateGuidString()</f>
        <v>4E685453-7E18-4ED4-9B39-EF6585EFF41E</v>
      </c>
    </row>
    <row r="230" spans="1:10" x14ac:dyDescent="0.35">
      <c r="A230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IdP (Acronym)</v>
      </c>
      <c r="B230" s="35">
        <f>COUNTIF(NodesData[Unambiguous Name],NodesData[[#This Row],[Unambiguous Name]])</f>
        <v>1</v>
      </c>
      <c r="C230" s="12" t="s">
        <v>853</v>
      </c>
      <c r="D230" s="13" t="s">
        <v>1650</v>
      </c>
      <c r="E230" s="35">
        <f>COUNTIF(NodesData[Node ID],NodesData[[#This Row],[Node ID]])</f>
        <v>1</v>
      </c>
      <c r="F230" s="12" t="s">
        <v>1270</v>
      </c>
      <c r="G230" s="12" t="str">
        <f>IF(NodesData[[#This Row],[Class Disambiguation]]="",NodesData[[#This Row],[Common Name]],NodesData[[#This Row],[Common Name]]&amp;" ("&amp;NodesData[[#This Row],[Class Disambiguation]]&amp;")")</f>
        <v>IdP (Acronym)</v>
      </c>
      <c r="I230" s="12" t="s">
        <v>854</v>
      </c>
      <c r="J230" s="19" t="str" cm="1">
        <f t="array" ref="J230">CreateGuidString()</f>
        <v>955ABED9-76B7-421D-B9BE-9A9292E9FD67</v>
      </c>
    </row>
    <row r="231" spans="1:10" x14ac:dyDescent="0.35">
      <c r="A231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Illegal Action</v>
      </c>
      <c r="B231" s="35">
        <f>COUNTIF(NodesData[Unambiguous Name],NodesData[[#This Row],[Unambiguous Name]])</f>
        <v>1</v>
      </c>
      <c r="C231" s="33" t="s">
        <v>1390</v>
      </c>
      <c r="D231" s="13" t="s">
        <v>1651</v>
      </c>
      <c r="E231" s="35">
        <f>COUNTIF(NodesData[Node ID],NodesData[[#This Row],[Node ID]])</f>
        <v>1</v>
      </c>
      <c r="G231" s="18" t="str">
        <f>IF(NodesData[[#This Row],[Class Disambiguation]]="",NodesData[[#This Row],[Common Name]],NodesData[[#This Row],[Common Name]]&amp;" ("&amp;NodesData[[#This Row],[Class Disambiguation]]&amp;")")</f>
        <v>Illegal Action</v>
      </c>
      <c r="H231" s="18"/>
      <c r="J231" s="20" t="str" cm="1">
        <f t="array" ref="J231">CreateGuidString()</f>
        <v>79D1DA1A-FB35-4387-B537-F6D825A25A54</v>
      </c>
    </row>
    <row r="232" spans="1:10" x14ac:dyDescent="0.35">
      <c r="A232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IMG (Acronym)</v>
      </c>
      <c r="B232" s="35">
        <f>COUNTIF(NodesData[Unambiguous Name],NodesData[[#This Row],[Unambiguous Name]])</f>
        <v>1</v>
      </c>
      <c r="C232" s="12" t="s">
        <v>855</v>
      </c>
      <c r="D232" s="13" t="s">
        <v>1652</v>
      </c>
      <c r="E232" s="35">
        <f>COUNTIF(NodesData[Node ID],NodesData[[#This Row],[Node ID]])</f>
        <v>1</v>
      </c>
      <c r="F232" s="12" t="s">
        <v>1270</v>
      </c>
      <c r="G232" s="12" t="str">
        <f>IF(NodesData[[#This Row],[Class Disambiguation]]="",NodesData[[#This Row],[Common Name]],NodesData[[#This Row],[Common Name]]&amp;" ("&amp;NodesData[[#This Row],[Class Disambiguation]]&amp;")")</f>
        <v>IMG (Acronym)</v>
      </c>
      <c r="I232" s="12" t="s">
        <v>856</v>
      </c>
      <c r="J232" s="19" t="str" cm="1">
        <f t="array" ref="J232">CreateGuidString()</f>
        <v>A32129E8-E442-4420-BCB4-71DEC55B2D4C</v>
      </c>
    </row>
    <row r="233" spans="1:10" x14ac:dyDescent="0.35">
      <c r="A233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Impersonation</v>
      </c>
      <c r="B233" s="35">
        <f>COUNTIF(NodesData[Unambiguous Name],NodesData[[#This Row],[Unambiguous Name]])</f>
        <v>1</v>
      </c>
      <c r="C233" s="12" t="s">
        <v>857</v>
      </c>
      <c r="D233" s="13" t="s">
        <v>1653</v>
      </c>
      <c r="E233" s="35">
        <f>COUNTIF(NodesData[Node ID],NodesData[[#This Row],[Node ID]])</f>
        <v>1</v>
      </c>
      <c r="G233" s="12" t="str">
        <f>IF(NodesData[[#This Row],[Class Disambiguation]]="",NodesData[[#This Row],[Common Name]],NodesData[[#This Row],[Common Name]]&amp;" ("&amp;NodesData[[#This Row],[Class Disambiguation]]&amp;")")</f>
        <v>Impersonation</v>
      </c>
      <c r="I233" s="12" t="s">
        <v>858</v>
      </c>
      <c r="J233" s="19" t="str" cm="1">
        <f t="array" ref="J233">CreateGuidString()</f>
        <v>6019CD79-85AB-4E10-8808-D9430B5441CA</v>
      </c>
    </row>
    <row r="234" spans="1:10" x14ac:dyDescent="0.35">
      <c r="A234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In-band Authentication</v>
      </c>
      <c r="B234" s="35">
        <f>COUNTIF(NodesData[Unambiguous Name],NodesData[[#This Row],[Unambiguous Name]])</f>
        <v>1</v>
      </c>
      <c r="C234" s="12" t="s">
        <v>1298</v>
      </c>
      <c r="D234" s="13" t="s">
        <v>1654</v>
      </c>
      <c r="E234" s="35">
        <f>COUNTIF(NodesData[Node ID],NodesData[[#This Row],[Node ID]])</f>
        <v>1</v>
      </c>
      <c r="G234" s="12" t="str">
        <f>IF(NodesData[[#This Row],[Class Disambiguation]]="",NodesData[[#This Row],[Common Name]],NodesData[[#This Row],[Common Name]]&amp;" ("&amp;NodesData[[#This Row],[Class Disambiguation]]&amp;")")</f>
        <v>In-band Authentication</v>
      </c>
      <c r="J234" s="19" t="str" cm="1">
        <f t="array" ref="J234">CreateGuidString()</f>
        <v>6BAD55EE-D498-4BA7-B48E-1BABD4C33621</v>
      </c>
    </row>
    <row r="235" spans="1:10" x14ac:dyDescent="0.35">
      <c r="A235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Information</v>
      </c>
      <c r="B235" s="35">
        <f>COUNTIF(NodesData[Unambiguous Name],NodesData[[#This Row],[Unambiguous Name]])</f>
        <v>1</v>
      </c>
      <c r="C235" s="12" t="s">
        <v>859</v>
      </c>
      <c r="D235" s="13" t="s">
        <v>1655</v>
      </c>
      <c r="E235" s="35">
        <f>COUNTIF(NodesData[Node ID],NodesData[[#This Row],[Node ID]])</f>
        <v>1</v>
      </c>
      <c r="G235" s="12" t="str">
        <f>IF(NodesData[[#This Row],[Class Disambiguation]]="",NodesData[[#This Row],[Common Name]],NodesData[[#This Row],[Common Name]]&amp;" ("&amp;NodesData[[#This Row],[Class Disambiguation]]&amp;")")</f>
        <v>Information</v>
      </c>
      <c r="I235" s="12" t="s">
        <v>860</v>
      </c>
      <c r="J235" s="19" t="str" cm="1">
        <f t="array" ref="J235">CreateGuidString()</f>
        <v>58673006-C82F-4BC7-88C6-CACF3C15D70A</v>
      </c>
    </row>
    <row r="236" spans="1:10" x14ac:dyDescent="0.35">
      <c r="A236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Information Asset</v>
      </c>
      <c r="B236" s="35">
        <f>COUNTIF(NodesData[Unambiguous Name],NodesData[[#This Row],[Unambiguous Name]])</f>
        <v>1</v>
      </c>
      <c r="C236" s="12" t="s">
        <v>861</v>
      </c>
      <c r="D236" s="13" t="s">
        <v>1656</v>
      </c>
      <c r="E236" s="35">
        <f>COUNTIF(NodesData[Node ID],NodesData[[#This Row],[Node ID]])</f>
        <v>1</v>
      </c>
      <c r="G236" s="12" t="str">
        <f>IF(NodesData[[#This Row],[Class Disambiguation]]="",NodesData[[#This Row],[Common Name]],NodesData[[#This Row],[Common Name]]&amp;" ("&amp;NodesData[[#This Row],[Class Disambiguation]]&amp;")")</f>
        <v>Information Asset</v>
      </c>
      <c r="I236" s="12" t="s">
        <v>862</v>
      </c>
      <c r="J236" s="19" t="str" cm="1">
        <f t="array" ref="J236">CreateGuidString()</f>
        <v>390DAF25-E862-4F54-9F7D-E954EC7A36A9</v>
      </c>
    </row>
    <row r="237" spans="1:10" x14ac:dyDescent="0.35">
      <c r="A237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Information Custodian</v>
      </c>
      <c r="B237" s="35">
        <f>COUNTIF(NodesData[Unambiguous Name],NodesData[[#This Row],[Unambiguous Name]])</f>
        <v>1</v>
      </c>
      <c r="C237" s="12" t="s">
        <v>863</v>
      </c>
      <c r="D237" s="13" t="s">
        <v>1657</v>
      </c>
      <c r="E237" s="35">
        <f>COUNTIF(NodesData[Node ID],NodesData[[#This Row],[Node ID]])</f>
        <v>1</v>
      </c>
      <c r="G237" s="12" t="str">
        <f>IF(NodesData[[#This Row],[Class Disambiguation]]="",NodesData[[#This Row],[Common Name]],NodesData[[#This Row],[Common Name]]&amp;" ("&amp;NodesData[[#This Row],[Class Disambiguation]]&amp;")")</f>
        <v>Information Custodian</v>
      </c>
      <c r="I237" s="12" t="s">
        <v>864</v>
      </c>
      <c r="J237" s="19" t="str" cm="1">
        <f t="array" ref="J237">CreateGuidString()</f>
        <v>D0C01BB0-60BE-41AC-8111-283543A16E03</v>
      </c>
    </row>
    <row r="238" spans="1:10" x14ac:dyDescent="0.35">
      <c r="A238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Information Flow Policy</v>
      </c>
      <c r="B238" s="35">
        <f>COUNTIF(NodesData[Unambiguous Name],NodesData[[#This Row],[Unambiguous Name]])</f>
        <v>1</v>
      </c>
      <c r="C238" s="12" t="s">
        <v>865</v>
      </c>
      <c r="D238" s="13" t="s">
        <v>1658</v>
      </c>
      <c r="E238" s="35">
        <f>COUNTIF(NodesData[Node ID],NodesData[[#This Row],[Node ID]])</f>
        <v>1</v>
      </c>
      <c r="G238" s="12" t="str">
        <f>IF(NodesData[[#This Row],[Class Disambiguation]]="",NodesData[[#This Row],[Common Name]],NodesData[[#This Row],[Common Name]]&amp;" ("&amp;NodesData[[#This Row],[Class Disambiguation]]&amp;")")</f>
        <v>Information Flow Policy</v>
      </c>
      <c r="I238" s="12" t="s">
        <v>866</v>
      </c>
      <c r="J238" s="19" t="str" cm="1">
        <f t="array" ref="J238">CreateGuidString()</f>
        <v>EAB26534-DD87-4BDB-95BD-E81E91846A1A</v>
      </c>
    </row>
    <row r="239" spans="1:10" x14ac:dyDescent="0.35">
      <c r="A239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Information Owner</v>
      </c>
      <c r="B239" s="35">
        <f>COUNTIF(NodesData[Unambiguous Name],NodesData[[#This Row],[Unambiguous Name]])</f>
        <v>1</v>
      </c>
      <c r="C239" s="12" t="s">
        <v>867</v>
      </c>
      <c r="D239" s="13" t="s">
        <v>1659</v>
      </c>
      <c r="E239" s="35">
        <f>COUNTIF(NodesData[Node ID],NodesData[[#This Row],[Node ID]])</f>
        <v>1</v>
      </c>
      <c r="G239" s="12" t="str">
        <f>IF(NodesData[[#This Row],[Class Disambiguation]]="",NodesData[[#This Row],[Common Name]],NodesData[[#This Row],[Common Name]]&amp;" ("&amp;NodesData[[#This Row],[Class Disambiguation]]&amp;")")</f>
        <v>Information Owner</v>
      </c>
      <c r="I239" s="12" t="s">
        <v>868</v>
      </c>
      <c r="J239" s="19" t="str" cm="1">
        <f t="array" ref="J239">CreateGuidString()</f>
        <v>5D56FF9C-6842-4E2A-85CC-7A1033FBD7BB</v>
      </c>
    </row>
    <row r="240" spans="1:10" x14ac:dyDescent="0.35">
      <c r="A240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Information Security Domain</v>
      </c>
      <c r="B240" s="35">
        <f>COUNTIF(NodesData[Unambiguous Name],NodesData[[#This Row],[Unambiguous Name]])</f>
        <v>1</v>
      </c>
      <c r="C240" s="12" t="s">
        <v>247</v>
      </c>
      <c r="D240" s="13" t="s">
        <v>1660</v>
      </c>
      <c r="E240" s="35">
        <f>COUNTIF(NodesData[Node ID],NodesData[[#This Row],[Node ID]])</f>
        <v>1</v>
      </c>
      <c r="G240" s="12" t="str">
        <f>IF(NodesData[[#This Row],[Class Disambiguation]]="",NodesData[[#This Row],[Common Name]],NodesData[[#This Row],[Common Name]]&amp;" ("&amp;NodesData[[#This Row],[Class Disambiguation]]&amp;")")</f>
        <v>Information Security Domain</v>
      </c>
      <c r="I240" s="12" t="s">
        <v>869</v>
      </c>
      <c r="J240" s="19" t="str" cm="1">
        <f t="array" ref="J240">CreateGuidString()</f>
        <v>CE9E60F5-629B-4C55-8D92-4073AD9EE8DF</v>
      </c>
    </row>
    <row r="241" spans="1:10" x14ac:dyDescent="0.35">
      <c r="A241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Information System</v>
      </c>
      <c r="B241" s="35">
        <f>COUNTIF(NodesData[Unambiguous Name],NodesData[[#This Row],[Unambiguous Name]])</f>
        <v>1</v>
      </c>
      <c r="C241" s="12" t="s">
        <v>248</v>
      </c>
      <c r="D241" s="13" t="s">
        <v>1661</v>
      </c>
      <c r="E241" s="35">
        <f>COUNTIF(NodesData[Node ID],NodesData[[#This Row],[Node ID]])</f>
        <v>1</v>
      </c>
      <c r="G241" s="12" t="str">
        <f>IF(NodesData[[#This Row],[Class Disambiguation]]="",NodesData[[#This Row],[Common Name]],NodesData[[#This Row],[Common Name]]&amp;" ("&amp;NodesData[[#This Row],[Class Disambiguation]]&amp;")")</f>
        <v>Information System</v>
      </c>
      <c r="I241" s="12" t="s">
        <v>870</v>
      </c>
      <c r="J241" s="19" t="str" cm="1">
        <f t="array" ref="J241">CreateGuidString()</f>
        <v>0C71E38A-D0A9-40F2-8685-2ED6CADE8EE3</v>
      </c>
    </row>
    <row r="242" spans="1:10" x14ac:dyDescent="0.35">
      <c r="A242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Inherence Factor</v>
      </c>
      <c r="B242" s="35">
        <f>COUNTIF(NodesData[Unambiguous Name],NodesData[[#This Row],[Unambiguous Name]])</f>
        <v>1</v>
      </c>
      <c r="C242" s="12" t="s">
        <v>1294</v>
      </c>
      <c r="D242" s="13" t="s">
        <v>1662</v>
      </c>
      <c r="E242" s="35">
        <f>COUNTIF(NodesData[Node ID],NodesData[[#This Row],[Node ID]])</f>
        <v>1</v>
      </c>
      <c r="G242" s="12" t="str">
        <f>IF(NodesData[[#This Row],[Class Disambiguation]]="",NodesData[[#This Row],[Common Name]],NodesData[[#This Row],[Common Name]]&amp;" ("&amp;NodesData[[#This Row],[Class Disambiguation]]&amp;")")</f>
        <v>Inherence Factor</v>
      </c>
      <c r="J242" s="19" t="str" cm="1">
        <f t="array" ref="J242">CreateGuidString()</f>
        <v>6D4A6EE5-58E7-48B3-B85D-B270D1A1DC6B</v>
      </c>
    </row>
    <row r="243" spans="1:10" x14ac:dyDescent="0.35">
      <c r="A243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Inside Attacker</v>
      </c>
      <c r="B243" s="35">
        <f>COUNTIF(NodesData[Unambiguous Name],NodesData[[#This Row],[Unambiguous Name]])</f>
        <v>1</v>
      </c>
      <c r="C243" s="12" t="s">
        <v>250</v>
      </c>
      <c r="D243" s="13" t="s">
        <v>1663</v>
      </c>
      <c r="E243" s="35">
        <f>COUNTIF(NodesData[Node ID],NodesData[[#This Row],[Node ID]])</f>
        <v>1</v>
      </c>
      <c r="G243" s="12" t="str">
        <f>IF(NodesData[[#This Row],[Class Disambiguation]]="",NodesData[[#This Row],[Common Name]],NodesData[[#This Row],[Common Name]]&amp;" ("&amp;NodesData[[#This Row],[Class Disambiguation]]&amp;")")</f>
        <v>Inside Attacker</v>
      </c>
      <c r="I243" s="12" t="s">
        <v>871</v>
      </c>
      <c r="J243" s="19" t="str" cm="1">
        <f t="array" ref="J243">CreateGuidString()</f>
        <v>22E26D7C-A2D5-4AEB-B959-010258DA9E82</v>
      </c>
    </row>
    <row r="244" spans="1:10" x14ac:dyDescent="0.35">
      <c r="A244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Insider</v>
      </c>
      <c r="B244" s="35">
        <f>COUNTIF(NodesData[Unambiguous Name],NodesData[[#This Row],[Unambiguous Name]])</f>
        <v>1</v>
      </c>
      <c r="C244" s="12" t="s">
        <v>251</v>
      </c>
      <c r="D244" s="13" t="s">
        <v>1664</v>
      </c>
      <c r="E244" s="35">
        <f>COUNTIF(NodesData[Node ID],NodesData[[#This Row],[Node ID]])</f>
        <v>1</v>
      </c>
      <c r="G244" s="12" t="str">
        <f>IF(NodesData[[#This Row],[Class Disambiguation]]="",NodesData[[#This Row],[Common Name]],NodesData[[#This Row],[Common Name]]&amp;" ("&amp;NodesData[[#This Row],[Class Disambiguation]]&amp;")")</f>
        <v>Insider</v>
      </c>
      <c r="I244" s="12" t="s">
        <v>872</v>
      </c>
      <c r="J244" s="19" t="str" cm="1">
        <f t="array" ref="J244">CreateGuidString()</f>
        <v>CB9CC4CC-05CF-4893-9673-6B3BC8D11B90</v>
      </c>
    </row>
    <row r="245" spans="1:10" x14ac:dyDescent="0.35">
      <c r="A245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Insider Attack</v>
      </c>
      <c r="B245" s="35">
        <f>COUNTIF(NodesData[Unambiguous Name],NodesData[[#This Row],[Unambiguous Name]])</f>
        <v>1</v>
      </c>
      <c r="C245" s="12" t="s">
        <v>252</v>
      </c>
      <c r="D245" s="13" t="s">
        <v>1665</v>
      </c>
      <c r="E245" s="35">
        <f>COUNTIF(NodesData[Node ID],NodesData[[#This Row],[Node ID]])</f>
        <v>1</v>
      </c>
      <c r="G245" s="12" t="str">
        <f>IF(NodesData[[#This Row],[Class Disambiguation]]="",NodesData[[#This Row],[Common Name]],NodesData[[#This Row],[Common Name]]&amp;" ("&amp;NodesData[[#This Row],[Class Disambiguation]]&amp;")")</f>
        <v>Insider Attack</v>
      </c>
      <c r="I245" s="12" t="s">
        <v>873</v>
      </c>
      <c r="J245" s="19" t="str" cm="1">
        <f t="array" ref="J245">CreateGuidString()</f>
        <v>BA7039F9-41EE-4FD0-AD8A-91C0DBD7D75D</v>
      </c>
    </row>
    <row r="246" spans="1:10" x14ac:dyDescent="0.35">
      <c r="A246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Insider Threat</v>
      </c>
      <c r="B246" s="35">
        <f>COUNTIF(NodesData[Unambiguous Name],NodesData[[#This Row],[Unambiguous Name]])</f>
        <v>1</v>
      </c>
      <c r="C246" s="12" t="s">
        <v>253</v>
      </c>
      <c r="D246" s="13" t="s">
        <v>1666</v>
      </c>
      <c r="E246" s="35">
        <f>COUNTIF(NodesData[Node ID],NodesData[[#This Row],[Node ID]])</f>
        <v>1</v>
      </c>
      <c r="G246" s="12" t="str">
        <f>IF(NodesData[[#This Row],[Class Disambiguation]]="",NodesData[[#This Row],[Common Name]],NodesData[[#This Row],[Common Name]]&amp;" ("&amp;NodesData[[#This Row],[Class Disambiguation]]&amp;")")</f>
        <v>Insider Threat</v>
      </c>
      <c r="I246" s="12" t="s">
        <v>874</v>
      </c>
      <c r="J246" s="19" t="str" cm="1">
        <f t="array" ref="J246">CreateGuidString()</f>
        <v>EA3131C7-1AEB-4CF4-B6E6-1E49CE827CEA</v>
      </c>
    </row>
    <row r="247" spans="1:10" x14ac:dyDescent="0.35">
      <c r="A247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Insufficient Granularity of Access Control</v>
      </c>
      <c r="B247" s="35">
        <f>COUNTIF(NodesData[Unambiguous Name],NodesData[[#This Row],[Unambiguous Name]])</f>
        <v>1</v>
      </c>
      <c r="C247" s="12" t="s">
        <v>875</v>
      </c>
      <c r="D247" s="13" t="s">
        <v>1667</v>
      </c>
      <c r="E247" s="35">
        <f>COUNTIF(NodesData[Node ID],NodesData[[#This Row],[Node ID]])</f>
        <v>1</v>
      </c>
      <c r="G247" s="12" t="str">
        <f>IF(NodesData[[#This Row],[Class Disambiguation]]="",NodesData[[#This Row],[Common Name]],NodesData[[#This Row],[Common Name]]&amp;" ("&amp;NodesData[[#This Row],[Class Disambiguation]]&amp;")")</f>
        <v>Insufficient Granularity of Access Control</v>
      </c>
      <c r="I247" s="12" t="s">
        <v>876</v>
      </c>
      <c r="J247" s="19" t="str" cm="1">
        <f t="array" ref="J247">CreateGuidString()</f>
        <v>DA5EAE2B-B1AA-4619-8585-8920F13FA0B7</v>
      </c>
    </row>
    <row r="248" spans="1:10" x14ac:dyDescent="0.35">
      <c r="A248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Intentional Error</v>
      </c>
      <c r="B248" s="35">
        <f>COUNTIF(NodesData[Unambiguous Name],NodesData[[#This Row],[Unambiguous Name]])</f>
        <v>1</v>
      </c>
      <c r="C248" s="12" t="s">
        <v>877</v>
      </c>
      <c r="D248" s="13" t="s">
        <v>1668</v>
      </c>
      <c r="E248" s="35">
        <f>COUNTIF(NodesData[Node ID],NodesData[[#This Row],[Node ID]])</f>
        <v>1</v>
      </c>
      <c r="G248" s="12" t="str">
        <f>IF(NodesData[[#This Row],[Class Disambiguation]]="",NodesData[[#This Row],[Common Name]],NodesData[[#This Row],[Common Name]]&amp;" ("&amp;NodesData[[#This Row],[Class Disambiguation]]&amp;")")</f>
        <v>Intentional Error</v>
      </c>
      <c r="I248" s="12" t="s">
        <v>878</v>
      </c>
      <c r="J248" s="19" t="str" cm="1">
        <f t="array" ref="J248">CreateGuidString()</f>
        <v>079E7D60-81B3-4FF4-BBFB-8D5FEF3C4BA5</v>
      </c>
    </row>
    <row r="249" spans="1:10" x14ac:dyDescent="0.35">
      <c r="A249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Interested Party</v>
      </c>
      <c r="B249" s="35">
        <f>COUNTIF(NodesData[Unambiguous Name],NodesData[[#This Row],[Unambiguous Name]])</f>
        <v>1</v>
      </c>
      <c r="C249" s="12" t="s">
        <v>879</v>
      </c>
      <c r="D249" s="13" t="s">
        <v>1669</v>
      </c>
      <c r="E249" s="35">
        <f>COUNTIF(NodesData[Node ID],NodesData[[#This Row],[Node ID]])</f>
        <v>1</v>
      </c>
      <c r="G249" s="12" t="str">
        <f>IF(NodesData[[#This Row],[Class Disambiguation]]="",NodesData[[#This Row],[Common Name]],NodesData[[#This Row],[Common Name]]&amp;" ("&amp;NodesData[[#This Row],[Class Disambiguation]]&amp;")")</f>
        <v>Interested Party</v>
      </c>
      <c r="I249" s="12" t="s">
        <v>880</v>
      </c>
      <c r="J249" s="19" t="str" cm="1">
        <f t="array" ref="J249">CreateGuidString()</f>
        <v>314BBF07-90A5-4FD2-98D4-0C65EBCAE547</v>
      </c>
    </row>
    <row r="250" spans="1:10" x14ac:dyDescent="0.35">
      <c r="A250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Interoperability</v>
      </c>
      <c r="B250" s="35">
        <f>COUNTIF(NodesData[Unambiguous Name],NodesData[[#This Row],[Unambiguous Name]])</f>
        <v>1</v>
      </c>
      <c r="C250" s="12" t="s">
        <v>881</v>
      </c>
      <c r="D250" s="13" t="s">
        <v>1670</v>
      </c>
      <c r="E250" s="35">
        <f>COUNTIF(NodesData[Node ID],NodesData[[#This Row],[Node ID]])</f>
        <v>1</v>
      </c>
      <c r="G250" s="12" t="str">
        <f>IF(NodesData[[#This Row],[Class Disambiguation]]="",NodesData[[#This Row],[Common Name]],NodesData[[#This Row],[Common Name]]&amp;" ("&amp;NodesData[[#This Row],[Class Disambiguation]]&amp;")")</f>
        <v>Interoperability</v>
      </c>
      <c r="I250" s="12" t="s">
        <v>882</v>
      </c>
      <c r="J250" s="19" t="str" cm="1">
        <f t="array" ref="J250">CreateGuidString()</f>
        <v>67969A3A-9D62-49D9-93DD-B6FBBD3525D6</v>
      </c>
    </row>
    <row r="251" spans="1:10" x14ac:dyDescent="0.35">
      <c r="A251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Interval Scale</v>
      </c>
      <c r="B251" s="35">
        <f>COUNTIF(NodesData[Unambiguous Name],NodesData[[#This Row],[Unambiguous Name]])</f>
        <v>1</v>
      </c>
      <c r="C251" s="12" t="s">
        <v>883</v>
      </c>
      <c r="D251" s="13" t="s">
        <v>1671</v>
      </c>
      <c r="E251" s="35">
        <f>COUNTIF(NodesData[Node ID],NodesData[[#This Row],[Node ID]])</f>
        <v>1</v>
      </c>
      <c r="G251" s="12" t="str">
        <f>IF(NodesData[[#This Row],[Class Disambiguation]]="",NodesData[[#This Row],[Common Name]],NodesData[[#This Row],[Common Name]]&amp;" ("&amp;NodesData[[#This Row],[Class Disambiguation]]&amp;")")</f>
        <v>Interval Scale</v>
      </c>
      <c r="I251" s="12" t="s">
        <v>884</v>
      </c>
      <c r="J251" s="19" t="str" cm="1">
        <f t="array" ref="J251">CreateGuidString()</f>
        <v>BA69AFFF-AF1A-42EC-9003-0CB8E262193E</v>
      </c>
    </row>
    <row r="252" spans="1:10" x14ac:dyDescent="0.35">
      <c r="A252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Iris Recognition Authentication</v>
      </c>
      <c r="B252" s="35">
        <f>COUNTIF(NodesData[Unambiguous Name],NodesData[[#This Row],[Unambiguous Name]])</f>
        <v>1</v>
      </c>
      <c r="C252" s="12" t="s">
        <v>1310</v>
      </c>
      <c r="D252" s="13" t="s">
        <v>1672</v>
      </c>
      <c r="E252" s="35">
        <f>COUNTIF(NodesData[Node ID],NodesData[[#This Row],[Node ID]])</f>
        <v>1</v>
      </c>
      <c r="G252" s="12" t="str">
        <f>IF(NodesData[[#This Row],[Class Disambiguation]]="",NodesData[[#This Row],[Common Name]],NodesData[[#This Row],[Common Name]]&amp;" ("&amp;NodesData[[#This Row],[Class Disambiguation]]&amp;")")</f>
        <v>Iris Recognition Authentication</v>
      </c>
      <c r="J252" s="19" t="str" cm="1">
        <f t="array" ref="J252">CreateGuidString()</f>
        <v>55B2E569-1268-4A5B-9A93-1FDC27562FA5</v>
      </c>
    </row>
    <row r="253" spans="1:10" x14ac:dyDescent="0.35">
      <c r="A253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Isolated Identity Management System</v>
      </c>
      <c r="B253" s="35">
        <f>COUNTIF(NodesData[Unambiguous Name],NodesData[[#This Row],[Unambiguous Name]])</f>
        <v>1</v>
      </c>
      <c r="C253" s="12" t="s">
        <v>885</v>
      </c>
      <c r="D253" s="13" t="s">
        <v>1673</v>
      </c>
      <c r="E253" s="35">
        <f>COUNTIF(NodesData[Node ID],NodesData[[#This Row],[Node ID]])</f>
        <v>1</v>
      </c>
      <c r="G253" s="12" t="str">
        <f>IF(NodesData[[#This Row],[Class Disambiguation]]="",NodesData[[#This Row],[Common Name]],NodesData[[#This Row],[Common Name]]&amp;" ("&amp;NodesData[[#This Row],[Class Disambiguation]]&amp;")")</f>
        <v>Isolated Identity Management System</v>
      </c>
      <c r="I253" s="12" t="s">
        <v>886</v>
      </c>
      <c r="J253" s="19" t="str" cm="1">
        <f t="array" ref="J253">CreateGuidString()</f>
        <v>4B9E4A8A-F709-4ADE-BBBC-B13FC681F6B4</v>
      </c>
    </row>
    <row r="254" spans="1:10" x14ac:dyDescent="0.35">
      <c r="A254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IT Asset Scope</v>
      </c>
      <c r="B254" s="35">
        <f>COUNTIF(NodesData[Unambiguous Name],NodesData[[#This Row],[Unambiguous Name]])</f>
        <v>1</v>
      </c>
      <c r="C254" s="12" t="s">
        <v>887</v>
      </c>
      <c r="D254" s="13" t="s">
        <v>1674</v>
      </c>
      <c r="E254" s="35">
        <f>COUNTIF(NodesData[Node ID],NodesData[[#This Row],[Node ID]])</f>
        <v>1</v>
      </c>
      <c r="G254" s="12" t="str">
        <f>IF(NodesData[[#This Row],[Class Disambiguation]]="",NodesData[[#This Row],[Common Name]],NodesData[[#This Row],[Common Name]]&amp;" ("&amp;NodesData[[#This Row],[Class Disambiguation]]&amp;")")</f>
        <v>IT Asset Scope</v>
      </c>
      <c r="I254" s="12" t="s">
        <v>888</v>
      </c>
      <c r="J254" s="19" t="str" cm="1">
        <f t="array" ref="J254">CreateGuidString()</f>
        <v>8C049D70-C5BD-43CD-AAC4-C947F4F182C1</v>
      </c>
    </row>
    <row r="255" spans="1:10" x14ac:dyDescent="0.35">
      <c r="A255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IT Component</v>
      </c>
      <c r="B255" s="35">
        <f>COUNTIF(NodesData[Unambiguous Name],NodesData[[#This Row],[Unambiguous Name]])</f>
        <v>1</v>
      </c>
      <c r="C255" s="12" t="s">
        <v>1341</v>
      </c>
      <c r="D255" s="13" t="s">
        <v>1675</v>
      </c>
      <c r="E255" s="35">
        <f>COUNTIF(NodesData[Node ID],NodesData[[#This Row],[Node ID]])</f>
        <v>1</v>
      </c>
      <c r="G255" s="18" t="str">
        <f>IF(NodesData[[#This Row],[Class Disambiguation]]="",NodesData[[#This Row],[Common Name]],NodesData[[#This Row],[Common Name]]&amp;" ("&amp;NodesData[[#This Row],[Class Disambiguation]]&amp;")")</f>
        <v>IT Component</v>
      </c>
      <c r="H255" s="18"/>
      <c r="J255" s="19" t="str" cm="1">
        <f t="array" ref="J255">CreateGuidString()</f>
        <v>65549756-4F44-4D63-8B81-91BF9AD8D0E9</v>
      </c>
    </row>
    <row r="256" spans="1:10" x14ac:dyDescent="0.35">
      <c r="A256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IT Hardware</v>
      </c>
      <c r="B256" s="35">
        <f>COUNTIF(NodesData[Unambiguous Name],NodesData[[#This Row],[Unambiguous Name]])</f>
        <v>1</v>
      </c>
      <c r="C256" s="12" t="s">
        <v>1342</v>
      </c>
      <c r="D256" s="13" t="s">
        <v>1676</v>
      </c>
      <c r="E256" s="35">
        <f>COUNTIF(NodesData[Node ID],NodesData[[#This Row],[Node ID]])</f>
        <v>1</v>
      </c>
      <c r="G256" s="18" t="str">
        <f>IF(NodesData[[#This Row],[Class Disambiguation]]="",NodesData[[#This Row],[Common Name]],NodesData[[#This Row],[Common Name]]&amp;" ("&amp;NodesData[[#This Row],[Class Disambiguation]]&amp;")")</f>
        <v>IT Hardware</v>
      </c>
      <c r="H256" s="18"/>
      <c r="J256" s="20" t="str" cm="1">
        <f t="array" ref="J256">CreateGuidString()</f>
        <v>CF529AC0-5E18-46FA-AC96-98B633D7B305</v>
      </c>
    </row>
    <row r="257" spans="1:10" x14ac:dyDescent="0.35">
      <c r="A257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IT Software</v>
      </c>
      <c r="B257" s="35">
        <f>COUNTIF(NodesData[Unambiguous Name],NodesData[[#This Row],[Unambiguous Name]])</f>
        <v>1</v>
      </c>
      <c r="C257" s="12" t="s">
        <v>1344</v>
      </c>
      <c r="D257" s="13" t="s">
        <v>1677</v>
      </c>
      <c r="E257" s="35">
        <f>COUNTIF(NodesData[Node ID],NodesData[[#This Row],[Node ID]])</f>
        <v>1</v>
      </c>
      <c r="G257" s="18" t="str">
        <f>IF(NodesData[[#This Row],[Class Disambiguation]]="",NodesData[[#This Row],[Common Name]],NodesData[[#This Row],[Common Name]]&amp;" ("&amp;NodesData[[#This Row],[Class Disambiguation]]&amp;")")</f>
        <v>IT Software</v>
      </c>
      <c r="H257" s="18"/>
      <c r="J257" s="20" t="str" cm="1">
        <f t="array" ref="J257">CreateGuidString()</f>
        <v>8010F1F7-6EA0-4589-BB10-D8603FEA472E</v>
      </c>
    </row>
    <row r="258" spans="1:10" x14ac:dyDescent="0.35">
      <c r="A258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IT System</v>
      </c>
      <c r="B258" s="35">
        <f>COUNTIF(NodesData[Unambiguous Name],NodesData[[#This Row],[Unambiguous Name]])</f>
        <v>1</v>
      </c>
      <c r="C258" s="12" t="s">
        <v>261</v>
      </c>
      <c r="D258" s="13" t="s">
        <v>1678</v>
      </c>
      <c r="E258" s="35">
        <f>COUNTIF(NodesData[Node ID],NodesData[[#This Row],[Node ID]])</f>
        <v>1</v>
      </c>
      <c r="G258" s="12" t="str">
        <f>IF(NodesData[[#This Row],[Class Disambiguation]]="",NodesData[[#This Row],[Common Name]],NodesData[[#This Row],[Common Name]]&amp;" ("&amp;NodesData[[#This Row],[Class Disambiguation]]&amp;")")</f>
        <v>IT System</v>
      </c>
      <c r="I258" s="12" t="s">
        <v>889</v>
      </c>
      <c r="J258" s="19" t="str" cm="1">
        <f t="array" ref="J258">CreateGuidString()</f>
        <v>CDC8E0E9-5BB1-45D5-94D4-0EDB814D13EA</v>
      </c>
    </row>
    <row r="259" spans="1:10" x14ac:dyDescent="0.35">
      <c r="A259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JML (Acronym)</v>
      </c>
      <c r="B259" s="35">
        <f>COUNTIF(NodesData[Unambiguous Name],NodesData[[#This Row],[Unambiguous Name]])</f>
        <v>1</v>
      </c>
      <c r="C259" s="12" t="s">
        <v>890</v>
      </c>
      <c r="D259" s="13" t="s">
        <v>1679</v>
      </c>
      <c r="E259" s="35">
        <f>COUNTIF(NodesData[Node ID],NodesData[[#This Row],[Node ID]])</f>
        <v>1</v>
      </c>
      <c r="F259" s="12" t="s">
        <v>1270</v>
      </c>
      <c r="G259" s="12" t="str">
        <f>IF(NodesData[[#This Row],[Class Disambiguation]]="",NodesData[[#This Row],[Common Name]],NodesData[[#This Row],[Common Name]]&amp;" ("&amp;NodesData[[#This Row],[Class Disambiguation]]&amp;")")</f>
        <v>JML (Acronym)</v>
      </c>
      <c r="I259" s="12" t="s">
        <v>891</v>
      </c>
      <c r="J259" s="19" t="str" cm="1">
        <f t="array" ref="J259">CreateGuidString()</f>
        <v>C72DF437-1AF9-4FC6-9A30-68803B27331D</v>
      </c>
    </row>
    <row r="260" spans="1:10" x14ac:dyDescent="0.35">
      <c r="A260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Joiner</v>
      </c>
      <c r="B260" s="35">
        <f>COUNTIF(NodesData[Unambiguous Name],NodesData[[#This Row],[Unambiguous Name]])</f>
        <v>1</v>
      </c>
      <c r="C260" s="12" t="s">
        <v>892</v>
      </c>
      <c r="D260" s="13" t="s">
        <v>1680</v>
      </c>
      <c r="E260" s="35">
        <f>COUNTIF(NodesData[Node ID],NodesData[[#This Row],[Node ID]])</f>
        <v>1</v>
      </c>
      <c r="G260" s="12" t="str">
        <f>IF(NodesData[[#This Row],[Class Disambiguation]]="",NodesData[[#This Row],[Common Name]],NodesData[[#This Row],[Common Name]]&amp;" ("&amp;NodesData[[#This Row],[Class Disambiguation]]&amp;")")</f>
        <v>Joiner</v>
      </c>
      <c r="I260" s="12" t="s">
        <v>893</v>
      </c>
      <c r="J260" s="19" t="str" cm="1">
        <f t="array" ref="J260">CreateGuidString()</f>
        <v>1A449D5A-FAC8-4200-8F38-C8EAB3789006</v>
      </c>
    </row>
    <row r="261" spans="1:10" x14ac:dyDescent="0.35">
      <c r="A261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Joiner Hire Date</v>
      </c>
      <c r="B261" s="35">
        <f>COUNTIF(NodesData[Unambiguous Name],NodesData[[#This Row],[Unambiguous Name]])</f>
        <v>1</v>
      </c>
      <c r="C261" s="12" t="s">
        <v>894</v>
      </c>
      <c r="D261" s="13" t="s">
        <v>1681</v>
      </c>
      <c r="E261" s="35">
        <f>COUNTIF(NodesData[Node ID],NodesData[[#This Row],[Node ID]])</f>
        <v>1</v>
      </c>
      <c r="G261" s="12" t="str">
        <f>IF(NodesData[[#This Row],[Class Disambiguation]]="",NodesData[[#This Row],[Common Name]],NodesData[[#This Row],[Common Name]]&amp;" ("&amp;NodesData[[#This Row],[Class Disambiguation]]&amp;")")</f>
        <v>Joiner Hire Date</v>
      </c>
      <c r="I261" s="12" t="s">
        <v>895</v>
      </c>
      <c r="J261" s="19" t="str" cm="1">
        <f t="array" ref="J261">CreateGuidString()</f>
        <v>40D650CB-14F8-47AA-8DEC-65EB4D1AEBA9</v>
      </c>
    </row>
    <row r="262" spans="1:10" x14ac:dyDescent="0.35">
      <c r="A262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Joiner Lead Time</v>
      </c>
      <c r="B262" s="35">
        <f>COUNTIF(NodesData[Unambiguous Name],NodesData[[#This Row],[Unambiguous Name]])</f>
        <v>1</v>
      </c>
      <c r="C262" s="12" t="s">
        <v>896</v>
      </c>
      <c r="D262" s="13" t="s">
        <v>1682</v>
      </c>
      <c r="E262" s="35">
        <f>COUNTIF(NodesData[Node ID],NodesData[[#This Row],[Node ID]])</f>
        <v>1</v>
      </c>
      <c r="G262" s="12" t="str">
        <f>IF(NodesData[[#This Row],[Class Disambiguation]]="",NodesData[[#This Row],[Common Name]],NodesData[[#This Row],[Common Name]]&amp;" ("&amp;NodesData[[#This Row],[Class Disambiguation]]&amp;")")</f>
        <v>Joiner Lead Time</v>
      </c>
      <c r="I262" s="12" t="s">
        <v>897</v>
      </c>
      <c r="J262" s="19" t="str" cm="1">
        <f t="array" ref="J262">CreateGuidString()</f>
        <v>EC2BA8FB-16FC-4BDE-8E8F-FAD3D42E368A</v>
      </c>
    </row>
    <row r="263" spans="1:10" x14ac:dyDescent="0.35">
      <c r="A263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Joiner Process</v>
      </c>
      <c r="B263" s="35">
        <f>COUNTIF(NodesData[Unambiguous Name],NodesData[[#This Row],[Unambiguous Name]])</f>
        <v>1</v>
      </c>
      <c r="C263" s="12" t="s">
        <v>898</v>
      </c>
      <c r="D263" s="13" t="s">
        <v>1683</v>
      </c>
      <c r="E263" s="35">
        <f>COUNTIF(NodesData[Node ID],NodesData[[#This Row],[Node ID]])</f>
        <v>1</v>
      </c>
      <c r="G263" s="12" t="str">
        <f>IF(NodesData[[#This Row],[Class Disambiguation]]="",NodesData[[#This Row],[Common Name]],NodesData[[#This Row],[Common Name]]&amp;" ("&amp;NodesData[[#This Row],[Class Disambiguation]]&amp;")")</f>
        <v>Joiner Process</v>
      </c>
      <c r="I263" s="12" t="s">
        <v>899</v>
      </c>
      <c r="J263" s="19" t="str" cm="1">
        <f t="array" ref="J263">CreateGuidString()</f>
        <v>C21E9FF6-7941-4FC7-81B7-2B4A034BB752</v>
      </c>
    </row>
    <row r="264" spans="1:10" x14ac:dyDescent="0.35">
      <c r="A264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Joiner Start Date</v>
      </c>
      <c r="B264" s="35">
        <f>COUNTIF(NodesData[Unambiguous Name],NodesData[[#This Row],[Unambiguous Name]])</f>
        <v>1</v>
      </c>
      <c r="C264" s="12" t="s">
        <v>900</v>
      </c>
      <c r="D264" s="13" t="s">
        <v>1684</v>
      </c>
      <c r="E264" s="35">
        <f>COUNTIF(NodesData[Node ID],NodesData[[#This Row],[Node ID]])</f>
        <v>1</v>
      </c>
      <c r="G264" s="12" t="str">
        <f>IF(NodesData[[#This Row],[Class Disambiguation]]="",NodesData[[#This Row],[Common Name]],NodesData[[#This Row],[Common Name]]&amp;" ("&amp;NodesData[[#This Row],[Class Disambiguation]]&amp;")")</f>
        <v>Joiner Start Date</v>
      </c>
      <c r="I264" s="12" t="s">
        <v>901</v>
      </c>
      <c r="J264" s="19" t="str" cm="1">
        <f t="array" ref="J264">CreateGuidString()</f>
        <v>0BF3824B-0BB9-4CBD-9EC3-4DA978C96B9D</v>
      </c>
    </row>
    <row r="265" spans="1:10" x14ac:dyDescent="0.35">
      <c r="A265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Key Criteria Type</v>
      </c>
      <c r="B265" s="35">
        <f>COUNTIF(NodesData[Unambiguous Name],NodesData[[#This Row],[Unambiguous Name]])</f>
        <v>1</v>
      </c>
      <c r="C265" s="12" t="s">
        <v>902</v>
      </c>
      <c r="D265" s="13" t="s">
        <v>1685</v>
      </c>
      <c r="E265" s="35">
        <f>COUNTIF(NodesData[Node ID],NodesData[[#This Row],[Node ID]])</f>
        <v>1</v>
      </c>
      <c r="G265" s="12" t="str">
        <f>IF(NodesData[[#This Row],[Class Disambiguation]]="",NodesData[[#This Row],[Common Name]],NodesData[[#This Row],[Common Name]]&amp;" ("&amp;NodesData[[#This Row],[Class Disambiguation]]&amp;")")</f>
        <v>Key Criteria Type</v>
      </c>
      <c r="I265" s="12" t="s">
        <v>903</v>
      </c>
      <c r="J265" s="19" t="str" cm="1">
        <f t="array" ref="J265">CreateGuidString()</f>
        <v>EF4C323F-77EB-4C24-86A7-28BBD8D500D5</v>
      </c>
    </row>
    <row r="266" spans="1:10" x14ac:dyDescent="0.35">
      <c r="A266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Key Information</v>
      </c>
      <c r="B266" s="35">
        <f>COUNTIF(NodesData[Unambiguous Name],NodesData[[#This Row],[Unambiguous Name]])</f>
        <v>1</v>
      </c>
      <c r="C266" s="12" t="s">
        <v>904</v>
      </c>
      <c r="D266" s="13" t="s">
        <v>1686</v>
      </c>
      <c r="E266" s="35">
        <f>COUNTIF(NodesData[Node ID],NodesData[[#This Row],[Node ID]])</f>
        <v>1</v>
      </c>
      <c r="G266" s="12" t="str">
        <f>IF(NodesData[[#This Row],[Class Disambiguation]]="",NodesData[[#This Row],[Common Name]],NodesData[[#This Row],[Common Name]]&amp;" ("&amp;NodesData[[#This Row],[Class Disambiguation]]&amp;")")</f>
        <v>Key Information</v>
      </c>
      <c r="I266" s="12" t="s">
        <v>905</v>
      </c>
      <c r="J266" s="19" t="str" cm="1">
        <f t="array" ref="J266">CreateGuidString()</f>
        <v>A93B03AE-800C-4F85-BDBF-391F91758A4D</v>
      </c>
    </row>
    <row r="267" spans="1:10" x14ac:dyDescent="0.35">
      <c r="A267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Keying Material</v>
      </c>
      <c r="B267" s="35">
        <f>COUNTIF(NodesData[Unambiguous Name],NodesData[[#This Row],[Unambiguous Name]])</f>
        <v>1</v>
      </c>
      <c r="C267" s="12" t="s">
        <v>906</v>
      </c>
      <c r="D267" s="13" t="s">
        <v>1687</v>
      </c>
      <c r="E267" s="35">
        <f>COUNTIF(NodesData[Node ID],NodesData[[#This Row],[Node ID]])</f>
        <v>1</v>
      </c>
      <c r="G267" s="12" t="str">
        <f>IF(NodesData[[#This Row],[Class Disambiguation]]="",NodesData[[#This Row],[Common Name]],NodesData[[#This Row],[Common Name]]&amp;" ("&amp;NodesData[[#This Row],[Class Disambiguation]]&amp;")")</f>
        <v>Keying Material</v>
      </c>
      <c r="I267" s="12" t="s">
        <v>907</v>
      </c>
      <c r="J267" s="19" t="str" cm="1">
        <f t="array" ref="J267">CreateGuidString()</f>
        <v>D1062F02-FA9E-4513-BAF8-10AECB84C27B</v>
      </c>
    </row>
    <row r="268" spans="1:10" x14ac:dyDescent="0.35">
      <c r="A268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Keystroke Recognition Authentication</v>
      </c>
      <c r="B268" s="35">
        <f>COUNTIF(NodesData[Unambiguous Name],NodesData[[#This Row],[Unambiguous Name]])</f>
        <v>1</v>
      </c>
      <c r="C268" s="12" t="s">
        <v>1311</v>
      </c>
      <c r="D268" s="13" t="s">
        <v>1688</v>
      </c>
      <c r="E268" s="35">
        <f>COUNTIF(NodesData[Node ID],NodesData[[#This Row],[Node ID]])</f>
        <v>1</v>
      </c>
      <c r="G268" s="12" t="str">
        <f>IF(NodesData[[#This Row],[Class Disambiguation]]="",NodesData[[#This Row],[Common Name]],NodesData[[#This Row],[Common Name]]&amp;" ("&amp;NodesData[[#This Row],[Class Disambiguation]]&amp;")")</f>
        <v>Keystroke Recognition Authentication</v>
      </c>
      <c r="J268" s="19" t="str" cm="1">
        <f t="array" ref="J268">CreateGuidString()</f>
        <v>9D65FF83-F1B5-4561-93A7-284EF3B58B29</v>
      </c>
    </row>
    <row r="269" spans="1:10" x14ac:dyDescent="0.35">
      <c r="A269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Knowledge Factor</v>
      </c>
      <c r="B269" s="35">
        <f>COUNTIF(NodesData[Unambiguous Name],NodesData[[#This Row],[Unambiguous Name]])</f>
        <v>1</v>
      </c>
      <c r="C269" s="12" t="s">
        <v>2</v>
      </c>
      <c r="D269" s="13" t="s">
        <v>1689</v>
      </c>
      <c r="E269" s="35">
        <f>COUNTIF(NodesData[Node ID],NodesData[[#This Row],[Node ID]])</f>
        <v>1</v>
      </c>
      <c r="G269" s="12" t="str">
        <f>IF(NodesData[[#This Row],[Class Disambiguation]]="",NodesData[[#This Row],[Common Name]],NodesData[[#This Row],[Common Name]]&amp;" ("&amp;NodesData[[#This Row],[Class Disambiguation]]&amp;")")</f>
        <v>Knowledge Factor</v>
      </c>
      <c r="J269" s="19" t="str" cm="1">
        <f t="array" ref="J269">CreateGuidString()</f>
        <v>5005451C-9C17-46DB-A116-CB6D0BE3A1FD</v>
      </c>
    </row>
    <row r="270" spans="1:10" x14ac:dyDescent="0.35">
      <c r="A270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Knuckleprint Recognition Authentication</v>
      </c>
      <c r="B270" s="35">
        <f>COUNTIF(NodesData[Unambiguous Name],NodesData[[#This Row],[Unambiguous Name]])</f>
        <v>1</v>
      </c>
      <c r="C270" s="12" t="s">
        <v>1313</v>
      </c>
      <c r="D270" s="13" t="s">
        <v>1690</v>
      </c>
      <c r="E270" s="35">
        <f>COUNTIF(NodesData[Node ID],NodesData[[#This Row],[Node ID]])</f>
        <v>1</v>
      </c>
      <c r="G270" s="12" t="str">
        <f>IF(NodesData[[#This Row],[Class Disambiguation]]="",NodesData[[#This Row],[Common Name]],NodesData[[#This Row],[Common Name]]&amp;" ("&amp;NodesData[[#This Row],[Class Disambiguation]]&amp;")")</f>
        <v>Knuckleprint Recognition Authentication</v>
      </c>
      <c r="J270" s="19" t="str" cm="1">
        <f t="array" ref="J270">CreateGuidString()</f>
        <v>DE6AB0C2-B93D-43F2-BDA2-948619C5D1E5</v>
      </c>
    </row>
    <row r="271" spans="1:10" x14ac:dyDescent="0.35">
      <c r="A271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KYC (Acronym)</v>
      </c>
      <c r="B271" s="35">
        <f>COUNTIF(NodesData[Unambiguous Name],NodesData[[#This Row],[Unambiguous Name]])</f>
        <v>1</v>
      </c>
      <c r="C271" s="12" t="s">
        <v>908</v>
      </c>
      <c r="D271" s="13" t="s">
        <v>1691</v>
      </c>
      <c r="E271" s="35">
        <f>COUNTIF(NodesData[Node ID],NodesData[[#This Row],[Node ID]])</f>
        <v>1</v>
      </c>
      <c r="F271" s="12" t="s">
        <v>1270</v>
      </c>
      <c r="G271" s="12" t="str">
        <f>IF(NodesData[[#This Row],[Class Disambiguation]]="",NodesData[[#This Row],[Common Name]],NodesData[[#This Row],[Common Name]]&amp;" ("&amp;NodesData[[#This Row],[Class Disambiguation]]&amp;")")</f>
        <v>KYC (Acronym)</v>
      </c>
      <c r="I271" s="12" t="s">
        <v>909</v>
      </c>
      <c r="J271" s="19" t="str" cm="1">
        <f t="array" ref="J271">CreateGuidString()</f>
        <v>4DDC1B2A-F4BF-4AB6-810D-F9683848E38C</v>
      </c>
    </row>
    <row r="272" spans="1:10" x14ac:dyDescent="0.35">
      <c r="A272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KYC Registry</v>
      </c>
      <c r="B272" s="35">
        <f>COUNTIF(NodesData[Unambiguous Name],NodesData[[#This Row],[Unambiguous Name]])</f>
        <v>1</v>
      </c>
      <c r="C272" s="12" t="s">
        <v>910</v>
      </c>
      <c r="D272" s="13" t="s">
        <v>1692</v>
      </c>
      <c r="E272" s="35">
        <f>COUNTIF(NodesData[Node ID],NodesData[[#This Row],[Node ID]])</f>
        <v>1</v>
      </c>
      <c r="G272" s="12" t="str">
        <f>IF(NodesData[[#This Row],[Class Disambiguation]]="",NodesData[[#This Row],[Common Name]],NodesData[[#This Row],[Common Name]]&amp;" ("&amp;NodesData[[#This Row],[Class Disambiguation]]&amp;")")</f>
        <v>KYC Registry</v>
      </c>
      <c r="I272" s="12" t="s">
        <v>911</v>
      </c>
      <c r="J272" s="19" t="str" cm="1">
        <f t="array" ref="J272">CreateGuidString()</f>
        <v>14259B64-5B39-46DA-8274-F82339A2B2C4</v>
      </c>
    </row>
    <row r="273" spans="1:10" x14ac:dyDescent="0.35">
      <c r="A273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Lattice-Based Access Control</v>
      </c>
      <c r="B273" s="35">
        <f>COUNTIF(NodesData[Unambiguous Name],NodesData[[#This Row],[Unambiguous Name]])</f>
        <v>1</v>
      </c>
      <c r="C273" s="12" t="s">
        <v>912</v>
      </c>
      <c r="D273" s="13" t="s">
        <v>1693</v>
      </c>
      <c r="E273" s="35">
        <f>COUNTIF(NodesData[Node ID],NodesData[[#This Row],[Node ID]])</f>
        <v>1</v>
      </c>
      <c r="G273" s="12" t="str">
        <f>IF(NodesData[[#This Row],[Class Disambiguation]]="",NodesData[[#This Row],[Common Name]],NodesData[[#This Row],[Common Name]]&amp;" ("&amp;NodesData[[#This Row],[Class Disambiguation]]&amp;")")</f>
        <v>Lattice-Based Access Control</v>
      </c>
      <c r="I273" s="12" t="s">
        <v>913</v>
      </c>
      <c r="J273" s="19" t="str" cm="1">
        <f t="array" ref="J273">CreateGuidString()</f>
        <v>2511C23C-F3B9-4503-A755-E765FD606172</v>
      </c>
    </row>
    <row r="274" spans="1:10" x14ac:dyDescent="0.35">
      <c r="A274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Layers Architectural Pattern</v>
      </c>
      <c r="B274" s="35">
        <f>COUNTIF(NodesData[Unambiguous Name],NodesData[[#This Row],[Unambiguous Name]])</f>
        <v>1</v>
      </c>
      <c r="C274" s="12" t="s">
        <v>914</v>
      </c>
      <c r="D274" s="13" t="s">
        <v>1694</v>
      </c>
      <c r="E274" s="35">
        <f>COUNTIF(NodesData[Node ID],NodesData[[#This Row],[Node ID]])</f>
        <v>1</v>
      </c>
      <c r="G274" s="12" t="str">
        <f>IF(NodesData[[#This Row],[Class Disambiguation]]="",NodesData[[#This Row],[Common Name]],NodesData[[#This Row],[Common Name]]&amp;" ("&amp;NodesData[[#This Row],[Class Disambiguation]]&amp;")")</f>
        <v>Layers Architectural Pattern</v>
      </c>
      <c r="I274" s="12" t="s">
        <v>915</v>
      </c>
      <c r="J274" s="19" t="str" cm="1">
        <f t="array" ref="J274">CreateGuidString()</f>
        <v>45685EF9-203C-4720-966C-FAA256EB5374</v>
      </c>
    </row>
    <row r="275" spans="1:10" x14ac:dyDescent="0.35">
      <c r="A275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LBAC (Acronym)</v>
      </c>
      <c r="B275" s="35">
        <f>COUNTIF(NodesData[Unambiguous Name],NodesData[[#This Row],[Unambiguous Name]])</f>
        <v>1</v>
      </c>
      <c r="C275" s="12" t="s">
        <v>916</v>
      </c>
      <c r="D275" s="13" t="s">
        <v>1695</v>
      </c>
      <c r="E275" s="35">
        <f>COUNTIF(NodesData[Node ID],NodesData[[#This Row],[Node ID]])</f>
        <v>1</v>
      </c>
      <c r="F275" s="12" t="s">
        <v>1270</v>
      </c>
      <c r="G275" s="12" t="str">
        <f>IF(NodesData[[#This Row],[Class Disambiguation]]="",NodesData[[#This Row],[Common Name]],NodesData[[#This Row],[Common Name]]&amp;" ("&amp;NodesData[[#This Row],[Class Disambiguation]]&amp;")")</f>
        <v>LBAC (Acronym)</v>
      </c>
      <c r="I275" s="12" t="s">
        <v>917</v>
      </c>
      <c r="J275" s="19" t="str" cm="1">
        <f t="array" ref="J275">CreateGuidString()</f>
        <v>1675A864-54D3-4AFD-AD56-8D09054A2522</v>
      </c>
    </row>
    <row r="276" spans="1:10" x14ac:dyDescent="0.35">
      <c r="A276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Leading Indicator</v>
      </c>
      <c r="B276" s="35">
        <f>COUNTIF(NodesData[Unambiguous Name],NodesData[[#This Row],[Unambiguous Name]])</f>
        <v>1</v>
      </c>
      <c r="C276" s="12" t="s">
        <v>918</v>
      </c>
      <c r="D276" s="13" t="s">
        <v>1696</v>
      </c>
      <c r="E276" s="35">
        <f>COUNTIF(NodesData[Node ID],NodesData[[#This Row],[Node ID]])</f>
        <v>1</v>
      </c>
      <c r="G276" s="12" t="str">
        <f>IF(NodesData[[#This Row],[Class Disambiguation]]="",NodesData[[#This Row],[Common Name]],NodesData[[#This Row],[Common Name]]&amp;" ("&amp;NodesData[[#This Row],[Class Disambiguation]]&amp;")")</f>
        <v>Leading Indicator</v>
      </c>
      <c r="I276" s="12" t="s">
        <v>919</v>
      </c>
      <c r="J276" s="19" t="str" cm="1">
        <f t="array" ref="J276">CreateGuidString()</f>
        <v>A035BDA2-254A-48D7-ACA2-B77F7496EF86</v>
      </c>
    </row>
    <row r="277" spans="1:10" x14ac:dyDescent="0.35">
      <c r="A277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Least Privilege</v>
      </c>
      <c r="B277" s="35">
        <f>COUNTIF(NodesData[Unambiguous Name],NodesData[[#This Row],[Unambiguous Name]])</f>
        <v>1</v>
      </c>
      <c r="C277" s="12" t="s">
        <v>920</v>
      </c>
      <c r="D277" s="13" t="s">
        <v>1697</v>
      </c>
      <c r="E277" s="35">
        <f>COUNTIF(NodesData[Node ID],NodesData[[#This Row],[Node ID]])</f>
        <v>1</v>
      </c>
      <c r="G277" s="12" t="str">
        <f>IF(NodesData[[#This Row],[Class Disambiguation]]="",NodesData[[#This Row],[Common Name]],NodesData[[#This Row],[Common Name]]&amp;" ("&amp;NodesData[[#This Row],[Class Disambiguation]]&amp;")")</f>
        <v>Least Privilege</v>
      </c>
      <c r="I277" s="12" t="s">
        <v>921</v>
      </c>
      <c r="J277" s="19" t="str" cm="1">
        <f t="array" ref="J277">CreateGuidString()</f>
        <v>5FA42B4A-114C-4B82-9CA8-F46E5C102E59</v>
      </c>
    </row>
    <row r="278" spans="1:10" x14ac:dyDescent="0.35">
      <c r="A278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Legal Entity Identifier</v>
      </c>
      <c r="B278" s="35">
        <f>COUNTIF(NodesData[Unambiguous Name],NodesData[[#This Row],[Unambiguous Name]])</f>
        <v>1</v>
      </c>
      <c r="C278" s="12" t="s">
        <v>922</v>
      </c>
      <c r="D278" s="13" t="s">
        <v>1698</v>
      </c>
      <c r="E278" s="35">
        <f>COUNTIF(NodesData[Node ID],NodesData[[#This Row],[Node ID]])</f>
        <v>1</v>
      </c>
      <c r="G278" s="12" t="str">
        <f>IF(NodesData[[#This Row],[Class Disambiguation]]="",NodesData[[#This Row],[Common Name]],NodesData[[#This Row],[Common Name]]&amp;" ("&amp;NodesData[[#This Row],[Class Disambiguation]]&amp;")")</f>
        <v>Legal Entity Identifier</v>
      </c>
      <c r="I278" s="12" t="s">
        <v>923</v>
      </c>
      <c r="J278" s="19" t="str" cm="1">
        <f t="array" ref="J278">CreateGuidString()</f>
        <v>B683D175-8F57-460B-A092-FFEDEFEE156C</v>
      </c>
    </row>
    <row r="279" spans="1:10" x14ac:dyDescent="0.35">
      <c r="A279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Legitimate Privilege Abuse</v>
      </c>
      <c r="B279" s="35">
        <f>COUNTIF(NodesData[Unambiguous Name],NodesData[[#This Row],[Unambiguous Name]])</f>
        <v>1</v>
      </c>
      <c r="C279" s="12" t="s">
        <v>924</v>
      </c>
      <c r="D279" s="13" t="s">
        <v>1699</v>
      </c>
      <c r="E279" s="35">
        <f>COUNTIF(NodesData[Node ID],NodesData[[#This Row],[Node ID]])</f>
        <v>1</v>
      </c>
      <c r="G279" s="12" t="str">
        <f>IF(NodesData[[#This Row],[Class Disambiguation]]="",NodesData[[#This Row],[Common Name]],NodesData[[#This Row],[Common Name]]&amp;" ("&amp;NodesData[[#This Row],[Class Disambiguation]]&amp;")")</f>
        <v>Legitimate Privilege Abuse</v>
      </c>
      <c r="I279" s="12" t="s">
        <v>925</v>
      </c>
      <c r="J279" s="19" t="str" cm="1">
        <f t="array" ref="J279">CreateGuidString()</f>
        <v>3F21AB69-FD7B-48EB-9738-936A3CEB53CA</v>
      </c>
    </row>
    <row r="280" spans="1:10" x14ac:dyDescent="0.35">
      <c r="A280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LEI (Acronym)</v>
      </c>
      <c r="B280" s="35">
        <f>COUNTIF(NodesData[Unambiguous Name],NodesData[[#This Row],[Unambiguous Name]])</f>
        <v>1</v>
      </c>
      <c r="C280" s="12" t="s">
        <v>926</v>
      </c>
      <c r="D280" s="13" t="s">
        <v>1700</v>
      </c>
      <c r="E280" s="35">
        <f>COUNTIF(NodesData[Node ID],NodesData[[#This Row],[Node ID]])</f>
        <v>1</v>
      </c>
      <c r="F280" s="12" t="s">
        <v>1270</v>
      </c>
      <c r="G280" s="12" t="str">
        <f>IF(NodesData[[#This Row],[Class Disambiguation]]="",NodesData[[#This Row],[Common Name]],NodesData[[#This Row],[Common Name]]&amp;" ("&amp;NodesData[[#This Row],[Class Disambiguation]]&amp;")")</f>
        <v>LEI (Acronym)</v>
      </c>
      <c r="I280" s="12" t="s">
        <v>927</v>
      </c>
      <c r="J280" s="19" t="str" cm="1">
        <f t="array" ref="J280">CreateGuidString()</f>
        <v>ABFA8E01-33CD-45F1-BCC2-0A5A7FF4AED5</v>
      </c>
    </row>
    <row r="281" spans="1:10" x14ac:dyDescent="0.35">
      <c r="A281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Levels of Assurance</v>
      </c>
      <c r="B281" s="35">
        <f>COUNTIF(NodesData[Unambiguous Name],NodesData[[#This Row],[Unambiguous Name]])</f>
        <v>1</v>
      </c>
      <c r="C281" s="12" t="s">
        <v>928</v>
      </c>
      <c r="D281" s="13" t="s">
        <v>1701</v>
      </c>
      <c r="E281" s="35">
        <f>COUNTIF(NodesData[Node ID],NodesData[[#This Row],[Node ID]])</f>
        <v>1</v>
      </c>
      <c r="G281" s="12" t="str">
        <f>IF(NodesData[[#This Row],[Class Disambiguation]]="",NodesData[[#This Row],[Common Name]],NodesData[[#This Row],[Common Name]]&amp;" ("&amp;NodesData[[#This Row],[Class Disambiguation]]&amp;")")</f>
        <v>Levels of Assurance</v>
      </c>
      <c r="I281" s="12" t="s">
        <v>929</v>
      </c>
      <c r="J281" s="19" t="str" cm="1">
        <f t="array" ref="J281">CreateGuidString()</f>
        <v>86DAD1A6-C81A-48A2-B3FA-C6412192902D</v>
      </c>
    </row>
    <row r="282" spans="1:10" x14ac:dyDescent="0.35">
      <c r="A282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Liberal Discretionary Access Control</v>
      </c>
      <c r="B282" s="35">
        <f>COUNTIF(NodesData[Unambiguous Name],NodesData[[#This Row],[Unambiguous Name]])</f>
        <v>1</v>
      </c>
      <c r="C282" s="12" t="s">
        <v>930</v>
      </c>
      <c r="D282" s="13" t="s">
        <v>1702</v>
      </c>
      <c r="E282" s="35">
        <f>COUNTIF(NodesData[Node ID],NodesData[[#This Row],[Node ID]])</f>
        <v>1</v>
      </c>
      <c r="G282" s="12" t="str">
        <f>IF(NodesData[[#This Row],[Class Disambiguation]]="",NodesData[[#This Row],[Common Name]],NodesData[[#This Row],[Common Name]]&amp;" ("&amp;NodesData[[#This Row],[Class Disambiguation]]&amp;")")</f>
        <v>Liberal Discretionary Access Control</v>
      </c>
      <c r="I282" s="12" t="s">
        <v>931</v>
      </c>
      <c r="J282" s="19" t="str" cm="1">
        <f t="array" ref="J282">CreateGuidString()</f>
        <v>F6855C29-C69D-4DC1-A359-540451A8517B</v>
      </c>
    </row>
    <row r="283" spans="1:10" x14ac:dyDescent="0.35">
      <c r="A283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LOA (Acronym)</v>
      </c>
      <c r="B283" s="35">
        <f>COUNTIF(NodesData[Unambiguous Name],NodesData[[#This Row],[Unambiguous Name]])</f>
        <v>1</v>
      </c>
      <c r="C283" s="12" t="s">
        <v>932</v>
      </c>
      <c r="D283" s="13" t="s">
        <v>1703</v>
      </c>
      <c r="E283" s="35">
        <f>COUNTIF(NodesData[Node ID],NodesData[[#This Row],[Node ID]])</f>
        <v>1</v>
      </c>
      <c r="F283" s="12" t="s">
        <v>1270</v>
      </c>
      <c r="G283" s="12" t="str">
        <f>IF(NodesData[[#This Row],[Class Disambiguation]]="",NodesData[[#This Row],[Common Name]],NodesData[[#This Row],[Common Name]]&amp;" ("&amp;NodesData[[#This Row],[Class Disambiguation]]&amp;")")</f>
        <v>LOA (Acronym)</v>
      </c>
      <c r="I283" s="12" t="s">
        <v>933</v>
      </c>
      <c r="J283" s="19" t="str" cm="1">
        <f t="array" ref="J283">CreateGuidString()</f>
        <v>0D6DC0D0-8CD0-4ADE-AC9C-CAC836B7DBF5</v>
      </c>
    </row>
    <row r="284" spans="1:10" x14ac:dyDescent="0.35">
      <c r="A284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Location Factor</v>
      </c>
      <c r="B284" s="35">
        <f>COUNTIF(NodesData[Unambiguous Name],NodesData[[#This Row],[Unambiguous Name]])</f>
        <v>1</v>
      </c>
      <c r="C284" s="12" t="s">
        <v>1296</v>
      </c>
      <c r="D284" s="13" t="s">
        <v>1704</v>
      </c>
      <c r="E284" s="35">
        <f>COUNTIF(NodesData[Node ID],NodesData[[#This Row],[Node ID]])</f>
        <v>1</v>
      </c>
      <c r="G284" s="12" t="str">
        <f>IF(NodesData[[#This Row],[Class Disambiguation]]="",NodesData[[#This Row],[Common Name]],NodesData[[#This Row],[Common Name]]&amp;" ("&amp;NodesData[[#This Row],[Class Disambiguation]]&amp;")")</f>
        <v>Location Factor</v>
      </c>
      <c r="J284" s="19" t="str" cm="1">
        <f t="array" ref="J284">CreateGuidString()</f>
        <v>546C83BB-7509-4A06-8845-4917A5642693</v>
      </c>
    </row>
    <row r="285" spans="1:10" x14ac:dyDescent="0.35">
      <c r="A285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Logic Bomb</v>
      </c>
      <c r="B285" s="35">
        <f>COUNTIF(NodesData[Unambiguous Name],NodesData[[#This Row],[Unambiguous Name]])</f>
        <v>1</v>
      </c>
      <c r="C285" s="12" t="s">
        <v>285</v>
      </c>
      <c r="D285" s="13" t="s">
        <v>1705</v>
      </c>
      <c r="E285" s="35">
        <f>COUNTIF(NodesData[Node ID],NodesData[[#This Row],[Node ID]])</f>
        <v>1</v>
      </c>
      <c r="G285" s="12" t="str">
        <f>IF(NodesData[[#This Row],[Class Disambiguation]]="",NodesData[[#This Row],[Common Name]],NodesData[[#This Row],[Common Name]]&amp;" ("&amp;NodesData[[#This Row],[Class Disambiguation]]&amp;")")</f>
        <v>Logic Bomb</v>
      </c>
      <c r="I285" s="12" t="s">
        <v>934</v>
      </c>
      <c r="J285" s="19" t="str" cm="1">
        <f t="array" ref="J285">CreateGuidString()</f>
        <v>22EF379F-6E34-4E3F-9080-374DD51B71FA</v>
      </c>
    </row>
    <row r="286" spans="1:10" x14ac:dyDescent="0.35">
      <c r="A286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Login</v>
      </c>
      <c r="B286" s="35">
        <f>COUNTIF(NodesData[Unambiguous Name],NodesData[[#This Row],[Unambiguous Name]])</f>
        <v>1</v>
      </c>
      <c r="C286" s="12" t="s">
        <v>286</v>
      </c>
      <c r="D286" s="13" t="s">
        <v>1706</v>
      </c>
      <c r="E286" s="35">
        <f>COUNTIF(NodesData[Node ID],NodesData[[#This Row],[Node ID]])</f>
        <v>1</v>
      </c>
      <c r="G286" s="12" t="str">
        <f>IF(NodesData[[#This Row],[Class Disambiguation]]="",NodesData[[#This Row],[Common Name]],NodesData[[#This Row],[Common Name]]&amp;" ("&amp;NodesData[[#This Row],[Class Disambiguation]]&amp;")")</f>
        <v>Login</v>
      </c>
      <c r="I286" s="12" t="s">
        <v>935</v>
      </c>
      <c r="J286" s="19" t="str" cm="1">
        <f t="array" ref="J286">CreateGuidString()</f>
        <v>29C6DCBB-A4CD-4EDB-B393-EDB61D70532C</v>
      </c>
    </row>
    <row r="287" spans="1:10" x14ac:dyDescent="0.35">
      <c r="A287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Login ID (Acronym)</v>
      </c>
      <c r="B287" s="35">
        <f>COUNTIF(NodesData[Unambiguous Name],NodesData[[#This Row],[Unambiguous Name]])</f>
        <v>1</v>
      </c>
      <c r="C287" s="12" t="s">
        <v>287</v>
      </c>
      <c r="D287" s="13" t="s">
        <v>1707</v>
      </c>
      <c r="E287" s="35">
        <f>COUNTIF(NodesData[Node ID],NodesData[[#This Row],[Node ID]])</f>
        <v>1</v>
      </c>
      <c r="F287" s="12" t="s">
        <v>1270</v>
      </c>
      <c r="G287" s="12" t="str">
        <f>IF(NodesData[[#This Row],[Class Disambiguation]]="",NodesData[[#This Row],[Common Name]],NodesData[[#This Row],[Common Name]]&amp;" ("&amp;NodesData[[#This Row],[Class Disambiguation]]&amp;")")</f>
        <v>Login ID (Acronym)</v>
      </c>
      <c r="I287" s="12" t="s">
        <v>936</v>
      </c>
      <c r="J287" s="19" t="str" cm="1">
        <f t="array" ref="J287">CreateGuidString()</f>
        <v>4C3FFD31-8890-4780-B084-5B5498878C33</v>
      </c>
    </row>
    <row r="288" spans="1:10" x14ac:dyDescent="0.35">
      <c r="A288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Login Name</v>
      </c>
      <c r="B288" s="35">
        <f>COUNTIF(NodesData[Unambiguous Name],NodesData[[#This Row],[Unambiguous Name]])</f>
        <v>1</v>
      </c>
      <c r="C288" s="12" t="s">
        <v>288</v>
      </c>
      <c r="D288" s="13" t="s">
        <v>1708</v>
      </c>
      <c r="E288" s="35">
        <f>COUNTIF(NodesData[Node ID],NodesData[[#This Row],[Node ID]])</f>
        <v>1</v>
      </c>
      <c r="G288" s="12" t="str">
        <f>IF(NodesData[[#This Row],[Class Disambiguation]]="",NodesData[[#This Row],[Common Name]],NodesData[[#This Row],[Common Name]]&amp;" ("&amp;NodesData[[#This Row],[Class Disambiguation]]&amp;")")</f>
        <v>Login Name</v>
      </c>
      <c r="I288" s="12" t="s">
        <v>937</v>
      </c>
      <c r="J288" s="19" t="str" cm="1">
        <f t="array" ref="J288">CreateGuidString()</f>
        <v>0D5BBAB1-7DB2-409A-B737-1AA670DE0673</v>
      </c>
    </row>
    <row r="289" spans="1:10" x14ac:dyDescent="0.35">
      <c r="A289" s="18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Make MFA Mandatory (Best Practice)</v>
      </c>
      <c r="B289" s="35">
        <f>COUNTIF(NodesData[Unambiguous Name],NodesData[[#This Row],[Unambiguous Name]])</f>
        <v>1</v>
      </c>
      <c r="C289" s="11" t="s">
        <v>1409</v>
      </c>
      <c r="D289" s="13" t="s">
        <v>1709</v>
      </c>
      <c r="E289" s="35">
        <f>COUNTIF(NodesData[Node ID],NodesData[[#This Row],[Node ID]])</f>
        <v>1</v>
      </c>
      <c r="F289" s="11" t="s">
        <v>1355</v>
      </c>
      <c r="G289" s="18" t="str">
        <f>IF(NodesData[[#This Row],[Class Disambiguation]]="",NodesData[[#This Row],[Common Name]],NodesData[[#This Row],[Common Name]]&amp;" ("&amp;NodesData[[#This Row],[Class Disambiguation]]&amp;")")</f>
        <v>Make MFA Mandatory (Best Practice)</v>
      </c>
      <c r="H289" s="11"/>
      <c r="I289" s="34" t="s">
        <v>1412</v>
      </c>
      <c r="J289" s="20" t="str" cm="1">
        <f t="array" ref="J289">CreateGuidString()</f>
        <v>93E58485-6577-4523-B40E-BC4B9C098925</v>
      </c>
    </row>
    <row r="290" spans="1:10" x14ac:dyDescent="0.35">
      <c r="A290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Mechanism</v>
      </c>
      <c r="B290" s="35">
        <f>COUNTIF(NodesData[Unambiguous Name],NodesData[[#This Row],[Unambiguous Name]])</f>
        <v>1</v>
      </c>
      <c r="C290" s="12" t="s">
        <v>938</v>
      </c>
      <c r="D290" s="13" t="s">
        <v>1710</v>
      </c>
      <c r="E290" s="35">
        <f>COUNTIF(NodesData[Node ID],NodesData[[#This Row],[Node ID]])</f>
        <v>1</v>
      </c>
      <c r="G290" s="12" t="str">
        <f>IF(NodesData[[#This Row],[Class Disambiguation]]="",NodesData[[#This Row],[Common Name]],NodesData[[#This Row],[Common Name]]&amp;" ("&amp;NodesData[[#This Row],[Class Disambiguation]]&amp;")")</f>
        <v>Mechanism</v>
      </c>
      <c r="I290" s="12" t="s">
        <v>939</v>
      </c>
      <c r="J290" s="19" t="str" cm="1">
        <f t="array" ref="J290">CreateGuidString()</f>
        <v>8C3ED821-EA24-4D79-8621-3A238E169D95</v>
      </c>
    </row>
    <row r="291" spans="1:10" x14ac:dyDescent="0.35">
      <c r="A291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Metadirectory</v>
      </c>
      <c r="B291" s="35">
        <f>COUNTIF(NodesData[Unambiguous Name],NodesData[[#This Row],[Unambiguous Name]])</f>
        <v>1</v>
      </c>
      <c r="C291" s="12" t="s">
        <v>940</v>
      </c>
      <c r="D291" s="13" t="s">
        <v>1711</v>
      </c>
      <c r="E291" s="35">
        <f>COUNTIF(NodesData[Node ID],NodesData[[#This Row],[Node ID]])</f>
        <v>1</v>
      </c>
      <c r="G291" s="12" t="str">
        <f>IF(NodesData[[#This Row],[Class Disambiguation]]="",NodesData[[#This Row],[Common Name]],NodesData[[#This Row],[Common Name]]&amp;" ("&amp;NodesData[[#This Row],[Class Disambiguation]]&amp;")")</f>
        <v>Metadirectory</v>
      </c>
      <c r="I291" s="12" t="s">
        <v>941</v>
      </c>
      <c r="J291" s="19" t="str" cm="1">
        <f t="array" ref="J291">CreateGuidString()</f>
        <v>A7A8F1B2-4766-44BC-B6A7-7710F3C6F965</v>
      </c>
    </row>
    <row r="292" spans="1:10" x14ac:dyDescent="0.35">
      <c r="A292" s="18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Account Takeover: Mitigation</v>
      </c>
      <c r="B292" s="35">
        <f>COUNTIF(NodesData[Unambiguous Name],NodesData[[#This Row],[Unambiguous Name]])</f>
        <v>1</v>
      </c>
      <c r="C292" s="11" t="s">
        <v>1411</v>
      </c>
      <c r="D292" s="13" t="s">
        <v>1440</v>
      </c>
      <c r="E292" s="35">
        <f>COUNTIF(NodesData[Node ID],NodesData[[#This Row],[Node ID]])</f>
        <v>1</v>
      </c>
      <c r="G292" s="18" t="str">
        <f>IF(NodesData[[#This Row],[Class Disambiguation]]="",NodesData[[#This Row],[Common Name]],NodesData[[#This Row],[Common Name]]&amp;" ("&amp;NodesData[[#This Row],[Class Disambiguation]]&amp;")")</f>
        <v>Mitigation</v>
      </c>
      <c r="H292" s="11" t="s">
        <v>4</v>
      </c>
      <c r="J292" s="20" t="str" cm="1">
        <f t="array" ref="J292">CreateGuidString()</f>
        <v>2F6BBEBD-676D-4502-BE1A-D621A9DFB790</v>
      </c>
    </row>
    <row r="293" spans="1:10" x14ac:dyDescent="0.35">
      <c r="A293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Account Takeover: Motivation</v>
      </c>
      <c r="B293" s="35">
        <f>COUNTIF(NodesData[Unambiguous Name],NodesData[[#This Row],[Unambiguous Name]])</f>
        <v>1</v>
      </c>
      <c r="C293" s="12" t="s">
        <v>1404</v>
      </c>
      <c r="D293" s="13" t="s">
        <v>1441</v>
      </c>
      <c r="E293" s="35">
        <f>COUNTIF(NodesData[Node ID],NodesData[[#This Row],[Node ID]])</f>
        <v>1</v>
      </c>
      <c r="G293" s="18" t="str">
        <f>IF(NodesData[[#This Row],[Class Disambiguation]]="",NodesData[[#This Row],[Common Name]],NodesData[[#This Row],[Common Name]]&amp;" ("&amp;NodesData[[#This Row],[Class Disambiguation]]&amp;")")</f>
        <v>Motivation</v>
      </c>
      <c r="H293" s="12" t="s">
        <v>4</v>
      </c>
      <c r="J293" s="20" t="str" cm="1">
        <f t="array" ref="J293">CreateGuidString()</f>
        <v>78FEA95A-AFEA-4704-A7BA-5AE2FBED77BD</v>
      </c>
    </row>
    <row r="294" spans="1:10" x14ac:dyDescent="0.35">
      <c r="A294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Multidomain Single Sign-On</v>
      </c>
      <c r="B294" s="35">
        <f>COUNTIF(NodesData[Unambiguous Name],NodesData[[#This Row],[Unambiguous Name]])</f>
        <v>1</v>
      </c>
      <c r="C294" s="12" t="s">
        <v>942</v>
      </c>
      <c r="D294" s="13" t="s">
        <v>1712</v>
      </c>
      <c r="E294" s="35">
        <f>COUNTIF(NodesData[Node ID],NodesData[[#This Row],[Node ID]])</f>
        <v>1</v>
      </c>
      <c r="G294" s="12" t="str">
        <f>IF(NodesData[[#This Row],[Class Disambiguation]]="",NodesData[[#This Row],[Common Name]],NodesData[[#This Row],[Common Name]]&amp;" ("&amp;NodesData[[#This Row],[Class Disambiguation]]&amp;")")</f>
        <v>Multidomain Single Sign-On</v>
      </c>
      <c r="I294" s="12" t="s">
        <v>943</v>
      </c>
      <c r="J294" s="19" t="str" cm="1">
        <f t="array" ref="J294">CreateGuidString()</f>
        <v>CD655499-4C70-4C6A-9369-1B1504CA21B2</v>
      </c>
    </row>
    <row r="295" spans="1:10" x14ac:dyDescent="0.35">
      <c r="A295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Multilevel Security</v>
      </c>
      <c r="B295" s="35">
        <f>COUNTIF(NodesData[Unambiguous Name],NodesData[[#This Row],[Unambiguous Name]])</f>
        <v>1</v>
      </c>
      <c r="C295" s="12" t="s">
        <v>944</v>
      </c>
      <c r="D295" s="13" t="s">
        <v>1713</v>
      </c>
      <c r="E295" s="35">
        <f>COUNTIF(NodesData[Node ID],NodesData[[#This Row],[Node ID]])</f>
        <v>1</v>
      </c>
      <c r="G295" s="12" t="str">
        <f>IF(NodesData[[#This Row],[Class Disambiguation]]="",NodesData[[#This Row],[Common Name]],NodesData[[#This Row],[Common Name]]&amp;" ("&amp;NodesData[[#This Row],[Class Disambiguation]]&amp;")")</f>
        <v>Multilevel Security</v>
      </c>
      <c r="I295" s="12" t="s">
        <v>945</v>
      </c>
      <c r="J295" s="19" t="str" cm="1">
        <f t="array" ref="J295">CreateGuidString()</f>
        <v>C59E0D07-1ACA-4778-905C-05FB299036AA</v>
      </c>
    </row>
    <row r="296" spans="1:10" x14ac:dyDescent="0.35">
      <c r="A296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Multi-Modal Biometric Authentication</v>
      </c>
      <c r="B296" s="35">
        <f>COUNTIF(NodesData[Unambiguous Name],NodesData[[#This Row],[Unambiguous Name]])</f>
        <v>1</v>
      </c>
      <c r="C296" s="11" t="s">
        <v>1365</v>
      </c>
      <c r="D296" s="13" t="s">
        <v>1714</v>
      </c>
      <c r="E296" s="35">
        <f>COUNTIF(NodesData[Node ID],NodesData[[#This Row],[Node ID]])</f>
        <v>1</v>
      </c>
      <c r="G296" s="12" t="str">
        <f>IF(NodesData[[#This Row],[Class Disambiguation]]="",NodesData[[#This Row],[Common Name]],NodesData[[#This Row],[Common Name]]&amp;" ("&amp;NodesData[[#This Row],[Class Disambiguation]]&amp;")")</f>
        <v>Multi-Modal Biometric Authentication</v>
      </c>
      <c r="J296" s="19" t="str" cm="1">
        <f t="array" ref="J296">CreateGuidString()</f>
        <v>FCECDA8B-0A93-4F54-AB09-5253C6D5120C</v>
      </c>
    </row>
    <row r="297" spans="1:10" x14ac:dyDescent="0.35">
      <c r="A297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Multiple Accounts</v>
      </c>
      <c r="B297" s="35">
        <f>COUNTIF(NodesData[Unambiguous Name],NodesData[[#This Row],[Unambiguous Name]])</f>
        <v>1</v>
      </c>
      <c r="C297" s="12" t="s">
        <v>305</v>
      </c>
      <c r="D297" s="13" t="s">
        <v>1715</v>
      </c>
      <c r="E297" s="35">
        <f>COUNTIF(NodesData[Node ID],NodesData[[#This Row],[Node ID]])</f>
        <v>1</v>
      </c>
      <c r="G297" s="12" t="str">
        <f>IF(NodesData[[#This Row],[Class Disambiguation]]="",NodesData[[#This Row],[Common Name]],NodesData[[#This Row],[Common Name]]&amp;" ("&amp;NodesData[[#This Row],[Class Disambiguation]]&amp;")")</f>
        <v>Multiple Accounts</v>
      </c>
      <c r="I297" s="12" t="s">
        <v>946</v>
      </c>
      <c r="J297" s="19" t="str" cm="1">
        <f t="array" ref="J297">CreateGuidString()</f>
        <v>014131D6-567F-46D2-B68B-DEFD7B502A65</v>
      </c>
    </row>
    <row r="298" spans="1:10" x14ac:dyDescent="0.35">
      <c r="A298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Mutual Authentication</v>
      </c>
      <c r="B298" s="35">
        <f>COUNTIF(NodesData[Unambiguous Name],NodesData[[#This Row],[Unambiguous Name]])</f>
        <v>1</v>
      </c>
      <c r="C298" s="12" t="s">
        <v>947</v>
      </c>
      <c r="D298" s="13" t="s">
        <v>1716</v>
      </c>
      <c r="E298" s="35">
        <f>COUNTIF(NodesData[Node ID],NodesData[[#This Row],[Node ID]])</f>
        <v>1</v>
      </c>
      <c r="G298" s="12" t="str">
        <f>IF(NodesData[[#This Row],[Class Disambiguation]]="",NodesData[[#This Row],[Common Name]],NodesData[[#This Row],[Common Name]]&amp;" ("&amp;NodesData[[#This Row],[Class Disambiguation]]&amp;")")</f>
        <v>Mutual Authentication</v>
      </c>
      <c r="I298" s="12" t="s">
        <v>948</v>
      </c>
      <c r="J298" s="19" t="str" cm="1">
        <f t="array" ref="J298">CreateGuidString()</f>
        <v>62A0912A-E97C-41E2-9C15-2C1F44B85554</v>
      </c>
    </row>
    <row r="299" spans="1:10" x14ac:dyDescent="0.35">
      <c r="A299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Need-to-Know</v>
      </c>
      <c r="B299" s="35">
        <f>COUNTIF(NodesData[Unambiguous Name],NodesData[[#This Row],[Unambiguous Name]])</f>
        <v>1</v>
      </c>
      <c r="C299" s="12" t="s">
        <v>307</v>
      </c>
      <c r="D299" s="13" t="s">
        <v>1717</v>
      </c>
      <c r="E299" s="35">
        <f>COUNTIF(NodesData[Node ID],NodesData[[#This Row],[Node ID]])</f>
        <v>1</v>
      </c>
      <c r="G299" s="12" t="str">
        <f>IF(NodesData[[#This Row],[Class Disambiguation]]="",NodesData[[#This Row],[Common Name]],NodesData[[#This Row],[Common Name]]&amp;" ("&amp;NodesData[[#This Row],[Class Disambiguation]]&amp;")")</f>
        <v>Need-to-Know</v>
      </c>
      <c r="I299" s="12" t="s">
        <v>949</v>
      </c>
      <c r="J299" s="19" t="str" cm="1">
        <f t="array" ref="J299">CreateGuidString()</f>
        <v>DE416149-E3D1-4911-8E54-1396F2912B50</v>
      </c>
    </row>
    <row r="300" spans="1:10" x14ac:dyDescent="0.35">
      <c r="A300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New Joiner</v>
      </c>
      <c r="B300" s="35">
        <f>COUNTIF(NodesData[Unambiguous Name],NodesData[[#This Row],[Unambiguous Name]])</f>
        <v>1</v>
      </c>
      <c r="C300" s="12" t="s">
        <v>950</v>
      </c>
      <c r="D300" s="13" t="s">
        <v>1718</v>
      </c>
      <c r="E300" s="35">
        <f>COUNTIF(NodesData[Node ID],NodesData[[#This Row],[Node ID]])</f>
        <v>1</v>
      </c>
      <c r="G300" s="12" t="str">
        <f>IF(NodesData[[#This Row],[Class Disambiguation]]="",NodesData[[#This Row],[Common Name]],NodesData[[#This Row],[Common Name]]&amp;" ("&amp;NodesData[[#This Row],[Class Disambiguation]]&amp;")")</f>
        <v>New Joiner</v>
      </c>
      <c r="I300" s="12" t="s">
        <v>951</v>
      </c>
      <c r="J300" s="19" t="str" cm="1">
        <f t="array" ref="J300">CreateGuidString()</f>
        <v>5B9D3E9F-169E-4D90-B756-7B41136864F7</v>
      </c>
    </row>
    <row r="301" spans="1:10" x14ac:dyDescent="0.35">
      <c r="A301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No Tranquility Property</v>
      </c>
      <c r="B301" s="35">
        <f>COUNTIF(NodesData[Unambiguous Name],NodesData[[#This Row],[Unambiguous Name]])</f>
        <v>1</v>
      </c>
      <c r="C301" s="12" t="s">
        <v>952</v>
      </c>
      <c r="D301" s="13" t="s">
        <v>1719</v>
      </c>
      <c r="E301" s="35">
        <f>COUNTIF(NodesData[Node ID],NodesData[[#This Row],[Node ID]])</f>
        <v>1</v>
      </c>
      <c r="G301" s="12" t="str">
        <f>IF(NodesData[[#This Row],[Class Disambiguation]]="",NodesData[[#This Row],[Common Name]],NodesData[[#This Row],[Common Name]]&amp;" ("&amp;NodesData[[#This Row],[Class Disambiguation]]&amp;")")</f>
        <v>No Tranquility Property</v>
      </c>
      <c r="I301" s="12" t="s">
        <v>953</v>
      </c>
      <c r="J301" s="19" t="str" cm="1">
        <f t="array" ref="J301">CreateGuidString()</f>
        <v>04BE60CC-49B5-49DE-907D-B2BA39B17A4B</v>
      </c>
    </row>
    <row r="302" spans="1:10" x14ac:dyDescent="0.35">
      <c r="A302" s="18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Non-compromised Identity</v>
      </c>
      <c r="B302" s="43">
        <f>COUNTIF(NodesData[Unambiguous Name],NodesData[[#This Row],[Unambiguous Name]])</f>
        <v>1</v>
      </c>
      <c r="C302" s="12" t="s">
        <v>1994</v>
      </c>
      <c r="D302" s="13" t="s">
        <v>1999</v>
      </c>
      <c r="E302" s="43">
        <f>COUNTIF(NodesData[Node ID],NodesData[[#This Row],[Node ID]])</f>
        <v>1</v>
      </c>
      <c r="G302" s="18" t="str">
        <f>IF(NodesData[[#This Row],[Class Disambiguation]]="",NodesData[[#This Row],[Common Name]],NodesData[[#This Row],[Common Name]]&amp;" ("&amp;NodesData[[#This Row],[Class Disambiguation]]&amp;")")</f>
        <v>Non-compromised Identity</v>
      </c>
      <c r="J302" s="20" t="str" cm="1">
        <f t="array" ref="J302">CreateGuidString()</f>
        <v>8933951D-59FE-48AC-8006-052B2292DA85</v>
      </c>
    </row>
    <row r="303" spans="1:10" x14ac:dyDescent="0.35">
      <c r="A303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Nonworker</v>
      </c>
      <c r="B303" s="35">
        <f>COUNTIF(NodesData[Unambiguous Name],NodesData[[#This Row],[Unambiguous Name]])</f>
        <v>1</v>
      </c>
      <c r="C303" s="12" t="s">
        <v>954</v>
      </c>
      <c r="D303" s="13" t="s">
        <v>1720</v>
      </c>
      <c r="E303" s="35">
        <f>COUNTIF(NodesData[Node ID],NodesData[[#This Row],[Node ID]])</f>
        <v>1</v>
      </c>
      <c r="G303" s="12" t="str">
        <f>IF(NodesData[[#This Row],[Class Disambiguation]]="",NodesData[[#This Row],[Common Name]],NodesData[[#This Row],[Common Name]]&amp;" ("&amp;NodesData[[#This Row],[Class Disambiguation]]&amp;")")</f>
        <v>Nonworker</v>
      </c>
      <c r="I303" s="12" t="s">
        <v>955</v>
      </c>
      <c r="J303" s="19" t="str" cm="1">
        <f t="array" ref="J303">CreateGuidString()</f>
        <v>0730F58A-0C13-40EE-8855-137D522DD77A</v>
      </c>
    </row>
    <row r="304" spans="1:10" x14ac:dyDescent="0.35">
      <c r="A304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Numerical Identity</v>
      </c>
      <c r="B304" s="35">
        <f>COUNTIF(NodesData[Unambiguous Name],NodesData[[#This Row],[Unambiguous Name]])</f>
        <v>1</v>
      </c>
      <c r="C304" s="12" t="s">
        <v>312</v>
      </c>
      <c r="D304" s="13" t="s">
        <v>1721</v>
      </c>
      <c r="E304" s="35">
        <f>COUNTIF(NodesData[Node ID],NodesData[[#This Row],[Node ID]])</f>
        <v>1</v>
      </c>
      <c r="G304" s="12" t="str">
        <f>IF(NodesData[[#This Row],[Class Disambiguation]]="",NodesData[[#This Row],[Common Name]],NodesData[[#This Row],[Common Name]]&amp;" ("&amp;NodesData[[#This Row],[Class Disambiguation]]&amp;")")</f>
        <v>Numerical Identity</v>
      </c>
      <c r="I304" s="12" t="s">
        <v>956</v>
      </c>
      <c r="J304" s="19" t="str" cm="1">
        <f t="array" ref="J304">CreateGuidString()</f>
        <v>C2B56D39-EAA7-41F7-8623-39BC67A30E9D</v>
      </c>
    </row>
    <row r="305" spans="1:10" x14ac:dyDescent="0.35">
      <c r="A305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OAuth (Acronym)</v>
      </c>
      <c r="B305" s="35">
        <f>COUNTIF(NodesData[Unambiguous Name],NodesData[[#This Row],[Unambiguous Name]])</f>
        <v>1</v>
      </c>
      <c r="C305" s="12" t="s">
        <v>957</v>
      </c>
      <c r="D305" s="13" t="s">
        <v>1722</v>
      </c>
      <c r="E305" s="35">
        <f>COUNTIF(NodesData[Node ID],NodesData[[#This Row],[Node ID]])</f>
        <v>1</v>
      </c>
      <c r="F305" s="12" t="s">
        <v>1270</v>
      </c>
      <c r="G305" s="12" t="str">
        <f>IF(NodesData[[#This Row],[Class Disambiguation]]="",NodesData[[#This Row],[Common Name]],NodesData[[#This Row],[Common Name]]&amp;" ("&amp;NodesData[[#This Row],[Class Disambiguation]]&amp;")")</f>
        <v>OAuth (Acronym)</v>
      </c>
      <c r="I305" s="12" t="s">
        <v>958</v>
      </c>
      <c r="J305" s="19" t="str" cm="1">
        <f t="array" ref="J305">CreateGuidString()</f>
        <v>4903741F-D9DD-4BA2-8691-3AAFDFBC4EB6</v>
      </c>
    </row>
    <row r="306" spans="1:10" x14ac:dyDescent="0.35">
      <c r="A306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Object</v>
      </c>
      <c r="B306" s="35">
        <f>COUNTIF(NodesData[Unambiguous Name],NodesData[[#This Row],[Unambiguous Name]])</f>
        <v>1</v>
      </c>
      <c r="C306" s="12" t="s">
        <v>959</v>
      </c>
      <c r="D306" s="13" t="s">
        <v>1723</v>
      </c>
      <c r="E306" s="35">
        <f>COUNTIF(NodesData[Node ID],NodesData[[#This Row],[Node ID]])</f>
        <v>1</v>
      </c>
      <c r="G306" s="12" t="str">
        <f>IF(NodesData[[#This Row],[Class Disambiguation]]="",NodesData[[#This Row],[Common Name]],NodesData[[#This Row],[Common Name]]&amp;" ("&amp;NodesData[[#This Row],[Class Disambiguation]]&amp;")")</f>
        <v>Object</v>
      </c>
      <c r="I306" s="12" t="s">
        <v>960</v>
      </c>
      <c r="J306" s="19" t="str" cm="1">
        <f t="array" ref="J306">CreateGuidString()</f>
        <v>57BA326A-C40A-4DA0-9B04-83DBBF918960</v>
      </c>
    </row>
    <row r="307" spans="1:10" x14ac:dyDescent="0.35">
      <c r="A307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Omission Error</v>
      </c>
      <c r="B307" s="35">
        <f>COUNTIF(NodesData[Unambiguous Name],NodesData[[#This Row],[Unambiguous Name]])</f>
        <v>1</v>
      </c>
      <c r="C307" s="12" t="s">
        <v>961</v>
      </c>
      <c r="D307" s="13" t="s">
        <v>1724</v>
      </c>
      <c r="E307" s="35">
        <f>COUNTIF(NodesData[Node ID],NodesData[[#This Row],[Node ID]])</f>
        <v>1</v>
      </c>
      <c r="G307" s="12" t="str">
        <f>IF(NodesData[[#This Row],[Class Disambiguation]]="",NodesData[[#This Row],[Common Name]],NodesData[[#This Row],[Common Name]]&amp;" ("&amp;NodesData[[#This Row],[Class Disambiguation]]&amp;")")</f>
        <v>Omission Error</v>
      </c>
      <c r="I307" s="12" t="s">
        <v>962</v>
      </c>
      <c r="J307" s="19" t="str" cm="1">
        <f t="array" ref="J307">CreateGuidString()</f>
        <v>1658C4E2-EDBF-42FF-A02E-58E20551394E</v>
      </c>
    </row>
    <row r="308" spans="1:10" x14ac:dyDescent="0.35">
      <c r="A308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One-Time Passcode Authentication</v>
      </c>
      <c r="B308" s="35">
        <f>COUNTIF(NodesData[Unambiguous Name],NodesData[[#This Row],[Unambiguous Name]])</f>
        <v>1</v>
      </c>
      <c r="C308" s="12" t="s">
        <v>1318</v>
      </c>
      <c r="D308" s="13" t="s">
        <v>1725</v>
      </c>
      <c r="E308" s="35">
        <f>COUNTIF(NodesData[Node ID],NodesData[[#This Row],[Node ID]])</f>
        <v>1</v>
      </c>
      <c r="G308" s="12" t="str">
        <f>IF(NodesData[[#This Row],[Class Disambiguation]]="",NodesData[[#This Row],[Common Name]],NodesData[[#This Row],[Common Name]]&amp;" ("&amp;NodesData[[#This Row],[Class Disambiguation]]&amp;")")</f>
        <v>One-Time Passcode Authentication</v>
      </c>
      <c r="J308" s="19" t="str" cm="1">
        <f t="array" ref="J308">CreateGuidString()</f>
        <v>A5D4C80F-0E55-4B05-B9D0-0358195A5E4C</v>
      </c>
    </row>
    <row r="309" spans="1:10" x14ac:dyDescent="0.35">
      <c r="A309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OPA (Acronym)</v>
      </c>
      <c r="B309" s="35">
        <f>COUNTIF(NodesData[Unambiguous Name],NodesData[[#This Row],[Unambiguous Name]])</f>
        <v>1</v>
      </c>
      <c r="C309" s="12" t="s">
        <v>963</v>
      </c>
      <c r="D309" s="13" t="s">
        <v>1726</v>
      </c>
      <c r="E309" s="35">
        <f>COUNTIF(NodesData[Node ID],NodesData[[#This Row],[Node ID]])</f>
        <v>1</v>
      </c>
      <c r="F309" s="12" t="s">
        <v>1270</v>
      </c>
      <c r="G309" s="12" t="str">
        <f>IF(NodesData[[#This Row],[Class Disambiguation]]="",NodesData[[#This Row],[Common Name]],NodesData[[#This Row],[Common Name]]&amp;" ("&amp;NodesData[[#This Row],[Class Disambiguation]]&amp;")")</f>
        <v>OPA (Acronym)</v>
      </c>
      <c r="I309" s="12" t="s">
        <v>964</v>
      </c>
      <c r="J309" s="19" t="str" cm="1">
        <f t="array" ref="J309">CreateGuidString()</f>
        <v>F1A98509-17DF-4DFA-BE38-A36244675364</v>
      </c>
    </row>
    <row r="310" spans="1:10" x14ac:dyDescent="0.35">
      <c r="A310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Open Policy Agent</v>
      </c>
      <c r="B310" s="35">
        <f>COUNTIF(NodesData[Unambiguous Name],NodesData[[#This Row],[Unambiguous Name]])</f>
        <v>1</v>
      </c>
      <c r="C310" s="12" t="s">
        <v>965</v>
      </c>
      <c r="D310" s="13" t="s">
        <v>1727</v>
      </c>
      <c r="E310" s="35">
        <f>COUNTIF(NodesData[Node ID],NodesData[[#This Row],[Node ID]])</f>
        <v>1</v>
      </c>
      <c r="G310" s="12" t="str">
        <f>IF(NodesData[[#This Row],[Class Disambiguation]]="",NodesData[[#This Row],[Common Name]],NodesData[[#This Row],[Common Name]]&amp;" ("&amp;NodesData[[#This Row],[Class Disambiguation]]&amp;")")</f>
        <v>Open Policy Agent</v>
      </c>
      <c r="I310" s="12" t="s">
        <v>966</v>
      </c>
      <c r="J310" s="19" t="str" cm="1">
        <f t="array" ref="J310">CreateGuidString()</f>
        <v>C72BBB1D-A4DA-4B5F-9626-D1DAF814D3FF</v>
      </c>
    </row>
    <row r="311" spans="1:10" x14ac:dyDescent="0.35">
      <c r="A311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Operational Definition</v>
      </c>
      <c r="B311" s="35">
        <f>COUNTIF(NodesData[Unambiguous Name],NodesData[[#This Row],[Unambiguous Name]])</f>
        <v>1</v>
      </c>
      <c r="C311" s="12" t="s">
        <v>967</v>
      </c>
      <c r="D311" s="13" t="s">
        <v>1728</v>
      </c>
      <c r="E311" s="35">
        <f>COUNTIF(NodesData[Node ID],NodesData[[#This Row],[Node ID]])</f>
        <v>1</v>
      </c>
      <c r="G311" s="12" t="str">
        <f>IF(NodesData[[#This Row],[Class Disambiguation]]="",NodesData[[#This Row],[Common Name]],NodesData[[#This Row],[Common Name]]&amp;" ("&amp;NodesData[[#This Row],[Class Disambiguation]]&amp;")")</f>
        <v>Operational Definition</v>
      </c>
      <c r="I311" s="12" t="s">
        <v>968</v>
      </c>
      <c r="J311" s="19" t="str" cm="1">
        <f t="array" ref="J311">CreateGuidString()</f>
        <v>2FC1727F-A345-48E4-9E2A-2A9EA7A29C09</v>
      </c>
    </row>
    <row r="312" spans="1:10" x14ac:dyDescent="0.35">
      <c r="A312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Operational Taxonomic Unit</v>
      </c>
      <c r="B312" s="35">
        <f>COUNTIF(NodesData[Unambiguous Name],NodesData[[#This Row],[Unambiguous Name]])</f>
        <v>1</v>
      </c>
      <c r="C312" s="12" t="s">
        <v>969</v>
      </c>
      <c r="D312" s="13" t="s">
        <v>1729</v>
      </c>
      <c r="E312" s="35">
        <f>COUNTIF(NodesData[Node ID],NodesData[[#This Row],[Node ID]])</f>
        <v>1</v>
      </c>
      <c r="G312" s="12" t="str">
        <f>IF(NodesData[[#This Row],[Class Disambiguation]]="",NodesData[[#This Row],[Common Name]],NodesData[[#This Row],[Common Name]]&amp;" ("&amp;NodesData[[#This Row],[Class Disambiguation]]&amp;")")</f>
        <v>Operational Taxonomic Unit</v>
      </c>
      <c r="I312" s="12" t="s">
        <v>970</v>
      </c>
      <c r="J312" s="19" t="str" cm="1">
        <f t="array" ref="J312">CreateGuidString()</f>
        <v>209A69B5-0A9C-4B22-8ECD-7DCAC5F867C3</v>
      </c>
    </row>
    <row r="313" spans="1:10" x14ac:dyDescent="0.35">
      <c r="A313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Ordinal Scale</v>
      </c>
      <c r="B313" s="35">
        <f>COUNTIF(NodesData[Unambiguous Name],NodesData[[#This Row],[Unambiguous Name]])</f>
        <v>1</v>
      </c>
      <c r="C313" s="12" t="s">
        <v>971</v>
      </c>
      <c r="D313" s="13" t="s">
        <v>1730</v>
      </c>
      <c r="E313" s="35">
        <f>COUNTIF(NodesData[Node ID],NodesData[[#This Row],[Node ID]])</f>
        <v>1</v>
      </c>
      <c r="G313" s="12" t="str">
        <f>IF(NodesData[[#This Row],[Class Disambiguation]]="",NodesData[[#This Row],[Common Name]],NodesData[[#This Row],[Common Name]]&amp;" ("&amp;NodesData[[#This Row],[Class Disambiguation]]&amp;")")</f>
        <v>Ordinal Scale</v>
      </c>
      <c r="I313" s="12" t="s">
        <v>972</v>
      </c>
      <c r="J313" s="19" t="str" cm="1">
        <f t="array" ref="J313">CreateGuidString()</f>
        <v>57834BA3-7FB0-4EB3-95AA-A1FEBF920DCA</v>
      </c>
    </row>
    <row r="314" spans="1:10" x14ac:dyDescent="0.35">
      <c r="A314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Organization Context</v>
      </c>
      <c r="B314" s="35">
        <f>COUNTIF(NodesData[Unambiguous Name],NodesData[[#This Row],[Unambiguous Name]])</f>
        <v>1</v>
      </c>
      <c r="C314" s="12" t="s">
        <v>1266</v>
      </c>
      <c r="D314" s="13" t="s">
        <v>1731</v>
      </c>
      <c r="E314" s="35">
        <f>COUNTIF(NodesData[Node ID],NodesData[[#This Row],[Node ID]])</f>
        <v>1</v>
      </c>
      <c r="G314" s="12" t="str">
        <f>IF(NodesData[[#This Row],[Class Disambiguation]]="",NodesData[[#This Row],[Common Name]],NodesData[[#This Row],[Common Name]]&amp;" ("&amp;NodesData[[#This Row],[Class Disambiguation]]&amp;")")</f>
        <v>Organization Context</v>
      </c>
      <c r="I314" s="12" t="s">
        <v>973</v>
      </c>
      <c r="J314" s="19" t="str" cm="1">
        <f t="array" ref="J314">CreateGuidString()</f>
        <v>9068AEFD-E98F-4251-914E-41C7399C9250</v>
      </c>
    </row>
    <row r="315" spans="1:10" x14ac:dyDescent="0.35">
      <c r="A315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Organization Scope</v>
      </c>
      <c r="B315" s="35">
        <f>COUNTIF(NodesData[Unambiguous Name],NodesData[[#This Row],[Unambiguous Name]])</f>
        <v>1</v>
      </c>
      <c r="C315" s="12" t="s">
        <v>1267</v>
      </c>
      <c r="D315" s="13" t="s">
        <v>1732</v>
      </c>
      <c r="E315" s="35">
        <f>COUNTIF(NodesData[Node ID],NodesData[[#This Row],[Node ID]])</f>
        <v>1</v>
      </c>
      <c r="G315" s="12" t="str">
        <f>IF(NodesData[[#This Row],[Class Disambiguation]]="",NodesData[[#This Row],[Common Name]],NodesData[[#This Row],[Common Name]]&amp;" ("&amp;NodesData[[#This Row],[Class Disambiguation]]&amp;")")</f>
        <v>Organization Scope</v>
      </c>
      <c r="I315" s="12" t="s">
        <v>974</v>
      </c>
      <c r="J315" s="19" t="str" cm="1">
        <f t="array" ref="J315">CreateGuidString()</f>
        <v>5392E55D-B2EB-44AC-9411-8D21C858ACEF</v>
      </c>
    </row>
    <row r="316" spans="1:10" x14ac:dyDescent="0.35">
      <c r="A316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Orphan</v>
      </c>
      <c r="B316" s="35">
        <f>COUNTIF(NodesData[Unambiguous Name],NodesData[[#This Row],[Unambiguous Name]])</f>
        <v>1</v>
      </c>
      <c r="C316" s="12" t="s">
        <v>975</v>
      </c>
      <c r="D316" s="13" t="s">
        <v>1733</v>
      </c>
      <c r="E316" s="35">
        <f>COUNTIF(NodesData[Node ID],NodesData[[#This Row],[Node ID]])</f>
        <v>1</v>
      </c>
      <c r="G316" s="12" t="str">
        <f>IF(NodesData[[#This Row],[Class Disambiguation]]="",NodesData[[#This Row],[Common Name]],NodesData[[#This Row],[Common Name]]&amp;" ("&amp;NodesData[[#This Row],[Class Disambiguation]]&amp;")")</f>
        <v>Orphan</v>
      </c>
      <c r="I316" s="12" t="s">
        <v>976</v>
      </c>
      <c r="J316" s="19" t="str" cm="1">
        <f t="array" ref="J316">CreateGuidString()</f>
        <v>9B9CE504-FCBA-485F-929D-66BE272409B3</v>
      </c>
    </row>
    <row r="317" spans="1:10" x14ac:dyDescent="0.35">
      <c r="A317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Orphan Account</v>
      </c>
      <c r="B317" s="35">
        <f>COUNTIF(NodesData[Unambiguous Name],NodesData[[#This Row],[Unambiguous Name]])</f>
        <v>1</v>
      </c>
      <c r="C317" s="12" t="s">
        <v>329</v>
      </c>
      <c r="D317" s="13" t="s">
        <v>1734</v>
      </c>
      <c r="E317" s="35">
        <f>COUNTIF(NodesData[Node ID],NodesData[[#This Row],[Node ID]])</f>
        <v>1</v>
      </c>
      <c r="G317" s="12" t="str">
        <f>IF(NodesData[[#This Row],[Class Disambiguation]]="",NodesData[[#This Row],[Common Name]],NodesData[[#This Row],[Common Name]]&amp;" ("&amp;NodesData[[#This Row],[Class Disambiguation]]&amp;")")</f>
        <v>Orphan Account</v>
      </c>
      <c r="I317" s="12" t="s">
        <v>977</v>
      </c>
      <c r="J317" s="19" t="str" cm="1">
        <f t="array" ref="J317">CreateGuidString()</f>
        <v>2C5D48E2-75DF-4326-8860-E3C9310CE273</v>
      </c>
    </row>
    <row r="318" spans="1:10" x14ac:dyDescent="0.35">
      <c r="A318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Orphan File</v>
      </c>
      <c r="B318" s="35">
        <f>COUNTIF(NodesData[Unambiguous Name],NodesData[[#This Row],[Unambiguous Name]])</f>
        <v>1</v>
      </c>
      <c r="C318" s="12" t="s">
        <v>978</v>
      </c>
      <c r="D318" s="13" t="s">
        <v>1735</v>
      </c>
      <c r="E318" s="35">
        <f>COUNTIF(NodesData[Node ID],NodesData[[#This Row],[Node ID]])</f>
        <v>1</v>
      </c>
      <c r="G318" s="12" t="str">
        <f>IF(NodesData[[#This Row],[Class Disambiguation]]="",NodesData[[#This Row],[Common Name]],NodesData[[#This Row],[Common Name]]&amp;" ("&amp;NodesData[[#This Row],[Class Disambiguation]]&amp;")")</f>
        <v>Orphan File</v>
      </c>
      <c r="I318" s="12" t="s">
        <v>979</v>
      </c>
      <c r="J318" s="19" t="str" cm="1">
        <f t="array" ref="J318">CreateGuidString()</f>
        <v>4744252D-D46B-4B3A-818A-A536305C688A</v>
      </c>
    </row>
    <row r="319" spans="1:10" x14ac:dyDescent="0.35">
      <c r="A319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Orphan Object</v>
      </c>
      <c r="B319" s="35">
        <f>COUNTIF(NodesData[Unambiguous Name],NodesData[[#This Row],[Unambiguous Name]])</f>
        <v>1</v>
      </c>
      <c r="C319" s="12" t="s">
        <v>980</v>
      </c>
      <c r="D319" s="13" t="s">
        <v>1736</v>
      </c>
      <c r="E319" s="35">
        <f>COUNTIF(NodesData[Node ID],NodesData[[#This Row],[Node ID]])</f>
        <v>1</v>
      </c>
      <c r="G319" s="12" t="str">
        <f>IF(NodesData[[#This Row],[Class Disambiguation]]="",NodesData[[#This Row],[Common Name]],NodesData[[#This Row],[Common Name]]&amp;" ("&amp;NodesData[[#This Row],[Class Disambiguation]]&amp;")")</f>
        <v>Orphan Object</v>
      </c>
      <c r="I319" s="12" t="s">
        <v>981</v>
      </c>
      <c r="J319" s="19" t="str" cm="1">
        <f t="array" ref="J319">CreateGuidString()</f>
        <v>0B415A6A-AFD4-4798-977C-664536AD68A3</v>
      </c>
    </row>
    <row r="320" spans="1:10" x14ac:dyDescent="0.35">
      <c r="A320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Orphan Process</v>
      </c>
      <c r="B320" s="35">
        <f>COUNTIF(NodesData[Unambiguous Name],NodesData[[#This Row],[Unambiguous Name]])</f>
        <v>1</v>
      </c>
      <c r="C320" s="12" t="s">
        <v>982</v>
      </c>
      <c r="D320" s="13" t="s">
        <v>1737</v>
      </c>
      <c r="E320" s="35">
        <f>COUNTIF(NodesData[Node ID],NodesData[[#This Row],[Node ID]])</f>
        <v>1</v>
      </c>
      <c r="G320" s="12" t="str">
        <f>IF(NodesData[[#This Row],[Class Disambiguation]]="",NodesData[[#This Row],[Common Name]],NodesData[[#This Row],[Common Name]]&amp;" ("&amp;NodesData[[#This Row],[Class Disambiguation]]&amp;")")</f>
        <v>Orphan Process</v>
      </c>
      <c r="I320" s="12" t="s">
        <v>983</v>
      </c>
      <c r="J320" s="19" t="str" cm="1">
        <f t="array" ref="J320">CreateGuidString()</f>
        <v>80250E9F-9A71-48D2-8451-F9F9E7DD2626</v>
      </c>
    </row>
    <row r="321" spans="1:10" x14ac:dyDescent="0.35">
      <c r="A321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Orphan Product</v>
      </c>
      <c r="B321" s="35">
        <f>COUNTIF(NodesData[Unambiguous Name],NodesData[[#This Row],[Unambiguous Name]])</f>
        <v>1</v>
      </c>
      <c r="C321" s="12" t="s">
        <v>984</v>
      </c>
      <c r="D321" s="13" t="s">
        <v>1738</v>
      </c>
      <c r="E321" s="35">
        <f>COUNTIF(NodesData[Node ID],NodesData[[#This Row],[Node ID]])</f>
        <v>1</v>
      </c>
      <c r="G321" s="12" t="str">
        <f>IF(NodesData[[#This Row],[Class Disambiguation]]="",NodesData[[#This Row],[Common Name]],NodesData[[#This Row],[Common Name]]&amp;" ("&amp;NodesData[[#This Row],[Class Disambiguation]]&amp;")")</f>
        <v>Orphan Product</v>
      </c>
      <c r="I321" s="12" t="s">
        <v>985</v>
      </c>
      <c r="J321" s="19" t="str" cm="1">
        <f t="array" ref="J321">CreateGuidString()</f>
        <v>C7809D9B-D969-4414-98AA-8E6397E56099</v>
      </c>
    </row>
    <row r="322" spans="1:10" x14ac:dyDescent="0.35">
      <c r="A322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Orphan Role</v>
      </c>
      <c r="B322" s="35">
        <f>COUNTIF(NodesData[Unambiguous Name],NodesData[[#This Row],[Unambiguous Name]])</f>
        <v>1</v>
      </c>
      <c r="C322" s="12" t="s">
        <v>986</v>
      </c>
      <c r="D322" s="13" t="s">
        <v>1739</v>
      </c>
      <c r="E322" s="35">
        <f>COUNTIF(NodesData[Node ID],NodesData[[#This Row],[Node ID]])</f>
        <v>1</v>
      </c>
      <c r="G322" s="12" t="str">
        <f>IF(NodesData[[#This Row],[Class Disambiguation]]="",NodesData[[#This Row],[Common Name]],NodesData[[#This Row],[Common Name]]&amp;" ("&amp;NodesData[[#This Row],[Class Disambiguation]]&amp;")")</f>
        <v>Orphan Role</v>
      </c>
      <c r="I322" s="12" t="s">
        <v>987</v>
      </c>
      <c r="J322" s="19" t="str" cm="1">
        <f t="array" ref="J322">CreateGuidString()</f>
        <v>83D4C77C-9F27-409C-A116-339B5A556D40</v>
      </c>
    </row>
    <row r="323" spans="1:10" x14ac:dyDescent="0.35">
      <c r="A323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Orphan Routes / APIs</v>
      </c>
      <c r="B323" s="35">
        <f>COUNTIF(NodesData[Unambiguous Name],NodesData[[#This Row],[Unambiguous Name]])</f>
        <v>1</v>
      </c>
      <c r="C323" s="12" t="s">
        <v>988</v>
      </c>
      <c r="D323" s="13" t="s">
        <v>1740</v>
      </c>
      <c r="E323" s="35">
        <f>COUNTIF(NodesData[Node ID],NodesData[[#This Row],[Node ID]])</f>
        <v>1</v>
      </c>
      <c r="G323" s="12" t="str">
        <f>IF(NodesData[[#This Row],[Class Disambiguation]]="",NodesData[[#This Row],[Common Name]],NodesData[[#This Row],[Common Name]]&amp;" ("&amp;NodesData[[#This Row],[Class Disambiguation]]&amp;")")</f>
        <v>Orphan Routes / APIs</v>
      </c>
      <c r="I323" s="12" t="s">
        <v>989</v>
      </c>
      <c r="J323" s="19" t="str" cm="1">
        <f t="array" ref="J323">CreateGuidString()</f>
        <v>A32F9CA2-9739-45D8-898B-F2CED2B33EC1</v>
      </c>
    </row>
    <row r="324" spans="1:10" x14ac:dyDescent="0.35">
      <c r="A324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Orphan System</v>
      </c>
      <c r="B324" s="35">
        <f>COUNTIF(NodesData[Unambiguous Name],NodesData[[#This Row],[Unambiguous Name]])</f>
        <v>1</v>
      </c>
      <c r="C324" s="12" t="s">
        <v>990</v>
      </c>
      <c r="D324" s="13" t="s">
        <v>1741</v>
      </c>
      <c r="E324" s="35">
        <f>COUNTIF(NodesData[Node ID],NodesData[[#This Row],[Node ID]])</f>
        <v>1</v>
      </c>
      <c r="G324" s="12" t="str">
        <f>IF(NodesData[[#This Row],[Class Disambiguation]]="",NodesData[[#This Row],[Common Name]],NodesData[[#This Row],[Common Name]]&amp;" ("&amp;NodesData[[#This Row],[Class Disambiguation]]&amp;")")</f>
        <v>Orphan System</v>
      </c>
      <c r="I324" s="12" t="s">
        <v>991</v>
      </c>
      <c r="J324" s="19" t="str" cm="1">
        <f t="array" ref="J324">CreateGuidString()</f>
        <v>9909DA6A-71D8-48C6-9B3D-FCEA407CF06B</v>
      </c>
    </row>
    <row r="325" spans="1:10" x14ac:dyDescent="0.35">
      <c r="A325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Out-of-band Authentication</v>
      </c>
      <c r="B325" s="35">
        <f>COUNTIF(NodesData[Unambiguous Name],NodesData[[#This Row],[Unambiguous Name]])</f>
        <v>1</v>
      </c>
      <c r="C325" s="12" t="s">
        <v>1299</v>
      </c>
      <c r="D325" s="13" t="s">
        <v>1742</v>
      </c>
      <c r="E325" s="35">
        <f>COUNTIF(NodesData[Node ID],NodesData[[#This Row],[Node ID]])</f>
        <v>1</v>
      </c>
      <c r="G325" s="12" t="str">
        <f>IF(NodesData[[#This Row],[Class Disambiguation]]="",NodesData[[#This Row],[Common Name]],NodesData[[#This Row],[Common Name]]&amp;" ("&amp;NodesData[[#This Row],[Class Disambiguation]]&amp;")")</f>
        <v>Out-of-band Authentication</v>
      </c>
      <c r="J325" s="19" t="str" cm="1">
        <f t="array" ref="J325">CreateGuidString()</f>
        <v>2FEA55D5-ADA4-4F2A-A415-DA6525C1BE62</v>
      </c>
    </row>
    <row r="326" spans="1:10" x14ac:dyDescent="0.35">
      <c r="A326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Outsider</v>
      </c>
      <c r="B326" s="35">
        <f>COUNTIF(NodesData[Unambiguous Name],NodesData[[#This Row],[Unambiguous Name]])</f>
        <v>1</v>
      </c>
      <c r="C326" s="12" t="s">
        <v>339</v>
      </c>
      <c r="D326" s="13" t="s">
        <v>1743</v>
      </c>
      <c r="E326" s="35">
        <f>COUNTIF(NodesData[Node ID],NodesData[[#This Row],[Node ID]])</f>
        <v>1</v>
      </c>
      <c r="G326" s="12" t="str">
        <f>IF(NodesData[[#This Row],[Class Disambiguation]]="",NodesData[[#This Row],[Common Name]],NodesData[[#This Row],[Common Name]]&amp;" ("&amp;NodesData[[#This Row],[Class Disambiguation]]&amp;")")</f>
        <v>Outsider</v>
      </c>
      <c r="I326" s="12" t="s">
        <v>992</v>
      </c>
      <c r="J326" s="19" t="str" cm="1">
        <f t="array" ref="J326">CreateGuidString()</f>
        <v>FC2B3E55-2E84-4877-94E8-F0D1462B7D64</v>
      </c>
    </row>
    <row r="327" spans="1:10" x14ac:dyDescent="0.35">
      <c r="A327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Palmprint Recognition Authentication</v>
      </c>
      <c r="B327" s="35">
        <f>COUNTIF(NodesData[Unambiguous Name],NodesData[[#This Row],[Unambiguous Name]])</f>
        <v>1</v>
      </c>
      <c r="C327" s="12" t="s">
        <v>1314</v>
      </c>
      <c r="D327" s="13" t="s">
        <v>1744</v>
      </c>
      <c r="E327" s="35">
        <f>COUNTIF(NodesData[Node ID],NodesData[[#This Row],[Node ID]])</f>
        <v>1</v>
      </c>
      <c r="G327" s="12" t="str">
        <f>IF(NodesData[[#This Row],[Class Disambiguation]]="",NodesData[[#This Row],[Common Name]],NodesData[[#This Row],[Common Name]]&amp;" ("&amp;NodesData[[#This Row],[Class Disambiguation]]&amp;")")</f>
        <v>Palmprint Recognition Authentication</v>
      </c>
      <c r="J327" s="19" t="str" cm="1">
        <f t="array" ref="J327">CreateGuidString()</f>
        <v>A86500F0-F5E9-4A57-A8E3-D0E2083192DA</v>
      </c>
    </row>
    <row r="328" spans="1:10" x14ac:dyDescent="0.35">
      <c r="A328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Passive Impersonation Attack</v>
      </c>
      <c r="B328" s="35">
        <f>COUNTIF(NodesData[Unambiguous Name],NodesData[[#This Row],[Unambiguous Name]])</f>
        <v>1</v>
      </c>
      <c r="C328" s="12" t="s">
        <v>993</v>
      </c>
      <c r="D328" s="13" t="s">
        <v>1745</v>
      </c>
      <c r="E328" s="35">
        <f>COUNTIF(NodesData[Node ID],NodesData[[#This Row],[Node ID]])</f>
        <v>1</v>
      </c>
      <c r="G328" s="12" t="str">
        <f>IF(NodesData[[#This Row],[Class Disambiguation]]="",NodesData[[#This Row],[Common Name]],NodesData[[#This Row],[Common Name]]&amp;" ("&amp;NodesData[[#This Row],[Class Disambiguation]]&amp;")")</f>
        <v>Passive Impersonation Attack</v>
      </c>
      <c r="I328" s="12" t="s">
        <v>994</v>
      </c>
      <c r="J328" s="19" t="str" cm="1">
        <f t="array" ref="J328">CreateGuidString()</f>
        <v>8FCEAC11-A1E6-4BE4-B7BC-EDA8A5AF6E60</v>
      </c>
    </row>
    <row r="329" spans="1:10" x14ac:dyDescent="0.35">
      <c r="A329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Passphrase Authentication</v>
      </c>
      <c r="B329" s="35">
        <f>COUNTIF(NodesData[Unambiguous Name],NodesData[[#This Row],[Unambiguous Name]])</f>
        <v>1</v>
      </c>
      <c r="C329" s="12" t="s">
        <v>1328</v>
      </c>
      <c r="D329" s="13" t="s">
        <v>1746</v>
      </c>
      <c r="E329" s="35">
        <f>COUNTIF(NodesData[Node ID],NodesData[[#This Row],[Node ID]])</f>
        <v>1</v>
      </c>
      <c r="G329" s="12" t="str">
        <f>IF(NodesData[[#This Row],[Class Disambiguation]]="",NodesData[[#This Row],[Common Name]],NodesData[[#This Row],[Common Name]]&amp;" ("&amp;NodesData[[#This Row],[Class Disambiguation]]&amp;")")</f>
        <v>Passphrase Authentication</v>
      </c>
      <c r="J329" s="19" t="str" cm="1">
        <f t="array" ref="J329">CreateGuidString()</f>
        <v>3EE39F01-5AC0-45F1-9DEC-6AF81857DA8D</v>
      </c>
    </row>
    <row r="330" spans="1:10" x14ac:dyDescent="0.35">
      <c r="A330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Password Guessing Attack</v>
      </c>
      <c r="B330" s="35">
        <f>COUNTIF(NodesData[Unambiguous Name],NodesData[[#This Row],[Unambiguous Name]])</f>
        <v>1</v>
      </c>
      <c r="C330" s="12" t="s">
        <v>343</v>
      </c>
      <c r="D330" s="13" t="s">
        <v>1747</v>
      </c>
      <c r="E330" s="35">
        <f>COUNTIF(NodesData[Node ID],NodesData[[#This Row],[Node ID]])</f>
        <v>1</v>
      </c>
      <c r="G330" s="12" t="str">
        <f>IF(NodesData[[#This Row],[Class Disambiguation]]="",NodesData[[#This Row],[Common Name]],NodesData[[#This Row],[Common Name]]&amp;" ("&amp;NodesData[[#This Row],[Class Disambiguation]]&amp;")")</f>
        <v>Password Guessing Attack</v>
      </c>
      <c r="I330" s="12" t="s">
        <v>995</v>
      </c>
      <c r="J330" s="19" t="str" cm="1">
        <f t="array" ref="J330">CreateGuidString()</f>
        <v>29DECD31-40EC-4045-8E11-24AD50911B14</v>
      </c>
    </row>
    <row r="331" spans="1:10" x14ac:dyDescent="0.35">
      <c r="A331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Password Rotation</v>
      </c>
      <c r="B331" s="35">
        <f>COUNTIF(NodesData[Unambiguous Name],NodesData[[#This Row],[Unambiguous Name]])</f>
        <v>1</v>
      </c>
      <c r="C331" s="12" t="s">
        <v>996</v>
      </c>
      <c r="D331" s="13" t="s">
        <v>1748</v>
      </c>
      <c r="E331" s="35">
        <f>COUNTIF(NodesData[Node ID],NodesData[[#This Row],[Node ID]])</f>
        <v>1</v>
      </c>
      <c r="G331" s="12" t="str">
        <f>IF(NodesData[[#This Row],[Class Disambiguation]]="",NodesData[[#This Row],[Common Name]],NodesData[[#This Row],[Common Name]]&amp;" ("&amp;NodesData[[#This Row],[Class Disambiguation]]&amp;")")</f>
        <v>Password Rotation</v>
      </c>
      <c r="I331" s="12" t="s">
        <v>997</v>
      </c>
      <c r="J331" s="19" t="str" cm="1">
        <f t="array" ref="J331">CreateGuidString()</f>
        <v>0C4D1737-BE4B-4A7A-A58C-3A6E7FCE8C4D</v>
      </c>
    </row>
    <row r="332" spans="1:10" x14ac:dyDescent="0.35">
      <c r="A332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Password Spraying Attack</v>
      </c>
      <c r="B332" s="35">
        <f>COUNTIF(NodesData[Unambiguous Name],NodesData[[#This Row],[Unambiguous Name]])</f>
        <v>1</v>
      </c>
      <c r="C332" s="12" t="s">
        <v>3</v>
      </c>
      <c r="D332" s="13" t="s">
        <v>1749</v>
      </c>
      <c r="E332" s="35">
        <f>COUNTIF(NodesData[Node ID],NodesData[[#This Row],[Node ID]])</f>
        <v>1</v>
      </c>
      <c r="G332" s="12" t="str">
        <f>IF(NodesData[[#This Row],[Class Disambiguation]]="",NodesData[[#This Row],[Common Name]],NodesData[[#This Row],[Common Name]]&amp;" ("&amp;NodesData[[#This Row],[Class Disambiguation]]&amp;")")</f>
        <v>Password Spraying Attack</v>
      </c>
      <c r="I332" s="12" t="s">
        <v>998</v>
      </c>
      <c r="J332" s="19" t="str" cm="1">
        <f t="array" ref="J332">CreateGuidString()</f>
        <v>242AD6CF-8D63-4E60-80D7-8F7BF3ED37D9</v>
      </c>
    </row>
    <row r="333" spans="1:10" x14ac:dyDescent="0.35">
      <c r="A333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Password-Based Authentication</v>
      </c>
      <c r="B333" s="35">
        <f>COUNTIF(NodesData[Unambiguous Name],NodesData[[#This Row],[Unambiguous Name]])</f>
        <v>1</v>
      </c>
      <c r="C333" s="12" t="s">
        <v>1324</v>
      </c>
      <c r="D333" s="13" t="s">
        <v>1750</v>
      </c>
      <c r="E333" s="35">
        <f>COUNTIF(NodesData[Node ID],NodesData[[#This Row],[Node ID]])</f>
        <v>1</v>
      </c>
      <c r="G333" s="12" t="str">
        <f>IF(NodesData[[#This Row],[Class Disambiguation]]="",NodesData[[#This Row],[Common Name]],NodesData[[#This Row],[Common Name]]&amp;" ("&amp;NodesData[[#This Row],[Class Disambiguation]]&amp;")")</f>
        <v>Password-Based Authentication</v>
      </c>
      <c r="J333" s="19" t="str" cm="1">
        <f t="array" ref="J333">CreateGuidString()</f>
        <v>B3664D05-0B3D-4F88-9FD4-C5B19C45E383</v>
      </c>
    </row>
    <row r="334" spans="1:10" x14ac:dyDescent="0.35">
      <c r="A334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Passwordless Authentication</v>
      </c>
      <c r="B334" s="35">
        <f>COUNTIF(NodesData[Unambiguous Name],NodesData[[#This Row],[Unambiguous Name]])</f>
        <v>1</v>
      </c>
      <c r="C334" s="12" t="s">
        <v>344</v>
      </c>
      <c r="D334" s="13" t="s">
        <v>1751</v>
      </c>
      <c r="E334" s="35">
        <f>COUNTIF(NodesData[Node ID],NodesData[[#This Row],[Node ID]])</f>
        <v>1</v>
      </c>
      <c r="G334" s="12" t="str">
        <f>IF(NodesData[[#This Row],[Class Disambiguation]]="",NodesData[[#This Row],[Common Name]],NodesData[[#This Row],[Common Name]]&amp;" ("&amp;NodesData[[#This Row],[Class Disambiguation]]&amp;")")</f>
        <v>Passwordless Authentication</v>
      </c>
      <c r="I334" s="12" t="s">
        <v>999</v>
      </c>
      <c r="J334" s="19" t="str" cm="1">
        <f t="array" ref="J334">CreateGuidString()</f>
        <v>41C02020-E3AB-4299-B8ED-D7BB2CE3C629</v>
      </c>
    </row>
    <row r="335" spans="1:10" x14ac:dyDescent="0.35">
      <c r="A335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People</v>
      </c>
      <c r="B335" s="35">
        <f>COUNTIF(NodesData[Unambiguous Name],NodesData[[#This Row],[Unambiguous Name]])</f>
        <v>1</v>
      </c>
      <c r="C335" s="12" t="s">
        <v>1268</v>
      </c>
      <c r="D335" s="13" t="s">
        <v>1752</v>
      </c>
      <c r="E335" s="35">
        <f>COUNTIF(NodesData[Node ID],NodesData[[#This Row],[Node ID]])</f>
        <v>1</v>
      </c>
      <c r="G335" s="12" t="str">
        <f>IF(NodesData[[#This Row],[Class Disambiguation]]="",NodesData[[#This Row],[Common Name]],NodesData[[#This Row],[Common Name]]&amp;" ("&amp;NodesData[[#This Row],[Class Disambiguation]]&amp;")")</f>
        <v>People</v>
      </c>
      <c r="I335" s="12" t="s">
        <v>1000</v>
      </c>
      <c r="J335" s="19" t="str" cm="1">
        <f t="array" ref="J335">CreateGuidString()</f>
        <v>ADA7677D-4D9C-45A2-8C03-B9D63514B1D9</v>
      </c>
    </row>
    <row r="336" spans="1:10" x14ac:dyDescent="0.35">
      <c r="A336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Permission</v>
      </c>
      <c r="B336" s="35">
        <f>COUNTIF(NodesData[Unambiguous Name],NodesData[[#This Row],[Unambiguous Name]])</f>
        <v>1</v>
      </c>
      <c r="C336" s="12" t="s">
        <v>1001</v>
      </c>
      <c r="D336" s="13" t="s">
        <v>1753</v>
      </c>
      <c r="E336" s="35">
        <f>COUNTIF(NodesData[Node ID],NodesData[[#This Row],[Node ID]])</f>
        <v>1</v>
      </c>
      <c r="G336" s="12" t="str">
        <f>IF(NodesData[[#This Row],[Class Disambiguation]]="",NodesData[[#This Row],[Common Name]],NodesData[[#This Row],[Common Name]]&amp;" ("&amp;NodesData[[#This Row],[Class Disambiguation]]&amp;")")</f>
        <v>Permission</v>
      </c>
      <c r="I336" s="12" t="s">
        <v>1002</v>
      </c>
      <c r="J336" s="19" t="str" cm="1">
        <f t="array" ref="J336">CreateGuidString()</f>
        <v>67E97418-F394-4DB2-9FFC-F788FD68C9D1</v>
      </c>
    </row>
    <row r="337" spans="1:10" x14ac:dyDescent="0.35">
      <c r="A337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Account Takeover: Perpetrator</v>
      </c>
      <c r="B337" s="35">
        <f>COUNTIF(NodesData[Unambiguous Name],NodesData[[#This Row],[Unambiguous Name]])</f>
        <v>1</v>
      </c>
      <c r="C337" s="31" t="s">
        <v>1392</v>
      </c>
      <c r="D337" s="13" t="s">
        <v>1442</v>
      </c>
      <c r="E337" s="35">
        <f>COUNTIF(NodesData[Node ID],NodesData[[#This Row],[Node ID]])</f>
        <v>1</v>
      </c>
      <c r="G337" s="18" t="str">
        <f>IF(NodesData[[#This Row],[Class Disambiguation]]="",NodesData[[#This Row],[Common Name]],NodesData[[#This Row],[Common Name]]&amp;" ("&amp;NodesData[[#This Row],[Class Disambiguation]]&amp;")")</f>
        <v>Perpetrator</v>
      </c>
      <c r="H337" s="18" t="s">
        <v>4</v>
      </c>
      <c r="J337" s="20" t="str" cm="1">
        <f t="array" ref="J337">CreateGuidString()</f>
        <v>C2F1FA93-7AA1-47EC-B350-BE564F3B2696</v>
      </c>
    </row>
    <row r="338" spans="1:10" x14ac:dyDescent="0.35">
      <c r="A338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Persona</v>
      </c>
      <c r="B338" s="35">
        <f>COUNTIF(NodesData[Unambiguous Name],NodesData[[#This Row],[Unambiguous Name]])</f>
        <v>1</v>
      </c>
      <c r="C338" s="12" t="s">
        <v>350</v>
      </c>
      <c r="D338" s="13" t="s">
        <v>1754</v>
      </c>
      <c r="E338" s="35">
        <f>COUNTIF(NodesData[Node ID],NodesData[[#This Row],[Node ID]])</f>
        <v>1</v>
      </c>
      <c r="G338" s="12" t="str">
        <f>IF(NodesData[[#This Row],[Class Disambiguation]]="",NodesData[[#This Row],[Common Name]],NodesData[[#This Row],[Common Name]]&amp;" ("&amp;NodesData[[#This Row],[Class Disambiguation]]&amp;")")</f>
        <v>Persona</v>
      </c>
      <c r="I338" s="12" t="s">
        <v>1003</v>
      </c>
      <c r="J338" s="19" t="str" cm="1">
        <f t="array" ref="J338">CreateGuidString()</f>
        <v>7B1C3D44-AFD0-4BEC-A17F-58AB1CC20635</v>
      </c>
    </row>
    <row r="339" spans="1:10" x14ac:dyDescent="0.35">
      <c r="A339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Personal Identification Number Authentication</v>
      </c>
      <c r="B339" s="35">
        <f>COUNTIF(NodesData[Unambiguous Name],NodesData[[#This Row],[Unambiguous Name]])</f>
        <v>1</v>
      </c>
      <c r="C339" s="12" t="s">
        <v>1327</v>
      </c>
      <c r="D339" s="13" t="s">
        <v>1755</v>
      </c>
      <c r="E339" s="35">
        <f>COUNTIF(NodesData[Node ID],NodesData[[#This Row],[Node ID]])</f>
        <v>1</v>
      </c>
      <c r="G339" s="12" t="str">
        <f>IF(NodesData[[#This Row],[Class Disambiguation]]="",NodesData[[#This Row],[Common Name]],NodesData[[#This Row],[Common Name]]&amp;" ("&amp;NodesData[[#This Row],[Class Disambiguation]]&amp;")")</f>
        <v>Personal Identification Number Authentication</v>
      </c>
      <c r="J339" s="19" t="str" cm="1">
        <f t="array" ref="J339">CreateGuidString()</f>
        <v>F259D982-C110-45EE-8769-AF95A82C4D36</v>
      </c>
    </row>
    <row r="340" spans="1:10" x14ac:dyDescent="0.35">
      <c r="A340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Physical Token OTP</v>
      </c>
      <c r="B340" s="35">
        <f>COUNTIF(NodesData[Unambiguous Name],NodesData[[#This Row],[Unambiguous Name]])</f>
        <v>1</v>
      </c>
      <c r="C340" s="12" t="s">
        <v>1319</v>
      </c>
      <c r="D340" s="13" t="s">
        <v>1756</v>
      </c>
      <c r="E340" s="35">
        <f>COUNTIF(NodesData[Node ID],NodesData[[#This Row],[Node ID]])</f>
        <v>1</v>
      </c>
      <c r="G340" s="12" t="str">
        <f>IF(NodesData[[#This Row],[Class Disambiguation]]="",NodesData[[#This Row],[Common Name]],NodesData[[#This Row],[Common Name]]&amp;" ("&amp;NodesData[[#This Row],[Class Disambiguation]]&amp;")")</f>
        <v>Physical Token OTP</v>
      </c>
      <c r="J340" s="19" t="str" cm="1">
        <f t="array" ref="J340">CreateGuidString()</f>
        <v>C5D9D699-A4B0-46E1-8E23-99C573D63F8D</v>
      </c>
    </row>
    <row r="341" spans="1:10" x14ac:dyDescent="0.35">
      <c r="A341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PMS (Acronym)</v>
      </c>
      <c r="B341" s="35">
        <f>COUNTIF(NodesData[Unambiguous Name],NodesData[[#This Row],[Unambiguous Name]])</f>
        <v>1</v>
      </c>
      <c r="C341" s="12" t="s">
        <v>1004</v>
      </c>
      <c r="D341" s="13" t="s">
        <v>1757</v>
      </c>
      <c r="E341" s="35">
        <f>COUNTIF(NodesData[Node ID],NodesData[[#This Row],[Node ID]])</f>
        <v>1</v>
      </c>
      <c r="F341" s="12" t="s">
        <v>1270</v>
      </c>
      <c r="G341" s="12" t="str">
        <f>IF(NodesData[[#This Row],[Class Disambiguation]]="",NodesData[[#This Row],[Common Name]],NodesData[[#This Row],[Common Name]]&amp;" ("&amp;NodesData[[#This Row],[Class Disambiguation]]&amp;")")</f>
        <v>PMS (Acronym)</v>
      </c>
      <c r="I341" s="12" t="s">
        <v>1005</v>
      </c>
      <c r="J341" s="19" t="str" cm="1">
        <f t="array" ref="J341">CreateGuidString()</f>
        <v>520A73BA-4375-433B-B9DC-B04CA2D6862D</v>
      </c>
    </row>
    <row r="342" spans="1:10" x14ac:dyDescent="0.35">
      <c r="A342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Policy</v>
      </c>
      <c r="B342" s="35">
        <f>COUNTIF(NodesData[Unambiguous Name],NodesData[[#This Row],[Unambiguous Name]])</f>
        <v>1</v>
      </c>
      <c r="C342" s="12" t="s">
        <v>1006</v>
      </c>
      <c r="D342" s="13" t="s">
        <v>1758</v>
      </c>
      <c r="E342" s="35">
        <f>COUNTIF(NodesData[Node ID],NodesData[[#This Row],[Node ID]])</f>
        <v>1</v>
      </c>
      <c r="G342" s="12" t="str">
        <f>IF(NodesData[[#This Row],[Class Disambiguation]]="",NodesData[[#This Row],[Common Name]],NodesData[[#This Row],[Common Name]]&amp;" ("&amp;NodesData[[#This Row],[Class Disambiguation]]&amp;")")</f>
        <v>Policy</v>
      </c>
      <c r="I342" s="12" t="s">
        <v>1007</v>
      </c>
      <c r="J342" s="19" t="str" cm="1">
        <f t="array" ref="J342">CreateGuidString()</f>
        <v>E189B331-2526-4A02-B8FE-231045512DD7</v>
      </c>
    </row>
    <row r="343" spans="1:10" x14ac:dyDescent="0.35">
      <c r="A343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Policy Analysis</v>
      </c>
      <c r="B343" s="35">
        <f>COUNTIF(NodesData[Unambiguous Name],NodesData[[#This Row],[Unambiguous Name]])</f>
        <v>1</v>
      </c>
      <c r="C343" s="12" t="s">
        <v>1008</v>
      </c>
      <c r="D343" s="13" t="s">
        <v>1759</v>
      </c>
      <c r="E343" s="35">
        <f>COUNTIF(NodesData[Node ID],NodesData[[#This Row],[Node ID]])</f>
        <v>1</v>
      </c>
      <c r="G343" s="12" t="str">
        <f>IF(NodesData[[#This Row],[Class Disambiguation]]="",NodesData[[#This Row],[Common Name]],NodesData[[#This Row],[Common Name]]&amp;" ("&amp;NodesData[[#This Row],[Class Disambiguation]]&amp;")")</f>
        <v>Policy Analysis</v>
      </c>
      <c r="I343" s="12" t="s">
        <v>1009</v>
      </c>
      <c r="J343" s="19" t="str" cm="1">
        <f t="array" ref="J343">CreateGuidString()</f>
        <v>A5D87157-B9B9-4D8E-8E7D-68229A031F97</v>
      </c>
    </row>
    <row r="344" spans="1:10" x14ac:dyDescent="0.35">
      <c r="A344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Policy Centralization</v>
      </c>
      <c r="B344" s="35">
        <f>COUNTIF(NodesData[Unambiguous Name],NodesData[[#This Row],[Unambiguous Name]])</f>
        <v>1</v>
      </c>
      <c r="C344" s="12" t="s">
        <v>1010</v>
      </c>
      <c r="D344" s="13" t="s">
        <v>1760</v>
      </c>
      <c r="E344" s="35">
        <f>COUNTIF(NodesData[Node ID],NodesData[[#This Row],[Node ID]])</f>
        <v>1</v>
      </c>
      <c r="G344" s="12" t="str">
        <f>IF(NodesData[[#This Row],[Class Disambiguation]]="",NodesData[[#This Row],[Common Name]],NodesData[[#This Row],[Common Name]]&amp;" ("&amp;NodesData[[#This Row],[Class Disambiguation]]&amp;")")</f>
        <v>Policy Centralization</v>
      </c>
      <c r="I344" s="12" t="s">
        <v>1011</v>
      </c>
      <c r="J344" s="19" t="str" cm="1">
        <f t="array" ref="J344">CreateGuidString()</f>
        <v>10ADDF8C-4098-4BC9-B75C-080E995A4E65</v>
      </c>
    </row>
    <row r="345" spans="1:10" x14ac:dyDescent="0.35">
      <c r="A345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Policy Interoperability</v>
      </c>
      <c r="B345" s="35">
        <f>COUNTIF(NodesData[Unambiguous Name],NodesData[[#This Row],[Unambiguous Name]])</f>
        <v>1</v>
      </c>
      <c r="C345" s="12" t="s">
        <v>1012</v>
      </c>
      <c r="D345" s="13" t="s">
        <v>1761</v>
      </c>
      <c r="E345" s="35">
        <f>COUNTIF(NodesData[Node ID],NodesData[[#This Row],[Node ID]])</f>
        <v>1</v>
      </c>
      <c r="G345" s="12" t="str">
        <f>IF(NodesData[[#This Row],[Class Disambiguation]]="",NodesData[[#This Row],[Common Name]],NodesData[[#This Row],[Common Name]]&amp;" ("&amp;NodesData[[#This Row],[Class Disambiguation]]&amp;")")</f>
        <v>Policy Interoperability</v>
      </c>
      <c r="I345" s="12" t="s">
        <v>1013</v>
      </c>
      <c r="J345" s="19" t="str" cm="1">
        <f t="array" ref="J345">CreateGuidString()</f>
        <v>23425D3F-A6D1-418A-99A4-C4DF2F3CA323</v>
      </c>
    </row>
    <row r="346" spans="1:10" x14ac:dyDescent="0.35">
      <c r="A346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Policy Manageability</v>
      </c>
      <c r="B346" s="35">
        <f>COUNTIF(NodesData[Unambiguous Name],NodesData[[#This Row],[Unambiguous Name]])</f>
        <v>1</v>
      </c>
      <c r="C346" s="12" t="s">
        <v>1014</v>
      </c>
      <c r="D346" s="13" t="s">
        <v>1762</v>
      </c>
      <c r="E346" s="35">
        <f>COUNTIF(NodesData[Node ID],NodesData[[#This Row],[Node ID]])</f>
        <v>1</v>
      </c>
      <c r="G346" s="12" t="str">
        <f>IF(NodesData[[#This Row],[Class Disambiguation]]="",NodesData[[#This Row],[Common Name]],NodesData[[#This Row],[Common Name]]&amp;" ("&amp;NodesData[[#This Row],[Class Disambiguation]]&amp;")")</f>
        <v>Policy Manageability</v>
      </c>
      <c r="I346" s="12" t="s">
        <v>1015</v>
      </c>
      <c r="J346" s="19" t="str" cm="1">
        <f t="array" ref="J346">CreateGuidString()</f>
        <v>AD91EEC2-0497-44EB-8EC8-3C5C6C419AFC</v>
      </c>
    </row>
    <row r="347" spans="1:10" x14ac:dyDescent="0.35">
      <c r="A347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Policy Mining</v>
      </c>
      <c r="B347" s="35">
        <f>COUNTIF(NodesData[Unambiguous Name],NodesData[[#This Row],[Unambiguous Name]])</f>
        <v>1</v>
      </c>
      <c r="C347" s="12" t="s">
        <v>1016</v>
      </c>
      <c r="D347" s="13" t="s">
        <v>1763</v>
      </c>
      <c r="E347" s="35">
        <f>COUNTIF(NodesData[Node ID],NodesData[[#This Row],[Node ID]])</f>
        <v>1</v>
      </c>
      <c r="G347" s="12" t="str">
        <f>IF(NodesData[[#This Row],[Class Disambiguation]]="",NodesData[[#This Row],[Common Name]],NodesData[[#This Row],[Common Name]]&amp;" ("&amp;NodesData[[#This Row],[Class Disambiguation]]&amp;")")</f>
        <v>Policy Mining</v>
      </c>
      <c r="I347" s="12" t="s">
        <v>1017</v>
      </c>
      <c r="J347" s="19" t="str" cm="1">
        <f t="array" ref="J347">CreateGuidString()</f>
        <v>7AACF9FF-45C1-4FB0-860F-B65546947F92</v>
      </c>
    </row>
    <row r="348" spans="1:10" x14ac:dyDescent="0.35">
      <c r="A348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Policy Modeling</v>
      </c>
      <c r="B348" s="35">
        <f>COUNTIF(NodesData[Unambiguous Name],NodesData[[#This Row],[Unambiguous Name]])</f>
        <v>1</v>
      </c>
      <c r="C348" s="12" t="s">
        <v>1018</v>
      </c>
      <c r="D348" s="13" t="s">
        <v>1764</v>
      </c>
      <c r="E348" s="35">
        <f>COUNTIF(NodesData[Node ID],NodesData[[#This Row],[Node ID]])</f>
        <v>1</v>
      </c>
      <c r="G348" s="12" t="str">
        <f>IF(NodesData[[#This Row],[Class Disambiguation]]="",NodesData[[#This Row],[Common Name]],NodesData[[#This Row],[Common Name]]&amp;" ("&amp;NodesData[[#This Row],[Class Disambiguation]]&amp;")")</f>
        <v>Policy Modeling</v>
      </c>
      <c r="I348" s="12" t="s">
        <v>1019</v>
      </c>
      <c r="J348" s="19" t="str" cm="1">
        <f t="array" ref="J348">CreateGuidString()</f>
        <v>15A75E6C-27AB-4B6A-A40E-1C8B541DAABE</v>
      </c>
    </row>
    <row r="349" spans="1:10" x14ac:dyDescent="0.35">
      <c r="A349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Possession Factor</v>
      </c>
      <c r="B349" s="35">
        <f>COUNTIF(NodesData[Unambiguous Name],NodesData[[#This Row],[Unambiguous Name]])</f>
        <v>1</v>
      </c>
      <c r="C349" s="12" t="s">
        <v>1295</v>
      </c>
      <c r="D349" s="13" t="s">
        <v>1765</v>
      </c>
      <c r="E349" s="35">
        <f>COUNTIF(NodesData[Node ID],NodesData[[#This Row],[Node ID]])</f>
        <v>1</v>
      </c>
      <c r="G349" s="12" t="str">
        <f>IF(NodesData[[#This Row],[Class Disambiguation]]="",NodesData[[#This Row],[Common Name]],NodesData[[#This Row],[Common Name]]&amp;" ("&amp;NodesData[[#This Row],[Class Disambiguation]]&amp;")")</f>
        <v>Possession Factor</v>
      </c>
      <c r="J349" s="19" t="str" cm="1">
        <f t="array" ref="J349">CreateGuidString()</f>
        <v>F8E717E3-3100-4D1B-A5F7-A004F60B8A4E</v>
      </c>
    </row>
    <row r="350" spans="1:10" x14ac:dyDescent="0.35">
      <c r="A350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Pre-approval</v>
      </c>
      <c r="B350" s="35">
        <f>COUNTIF(NodesData[Unambiguous Name],NodesData[[#This Row],[Unambiguous Name]])</f>
        <v>1</v>
      </c>
      <c r="C350" s="12" t="s">
        <v>1020</v>
      </c>
      <c r="D350" s="13" t="s">
        <v>1766</v>
      </c>
      <c r="E350" s="35">
        <f>COUNTIF(NodesData[Node ID],NodesData[[#This Row],[Node ID]])</f>
        <v>1</v>
      </c>
      <c r="G350" s="12" t="str">
        <f>IF(NodesData[[#This Row],[Class Disambiguation]]="",NodesData[[#This Row],[Common Name]],NodesData[[#This Row],[Common Name]]&amp;" ("&amp;NodesData[[#This Row],[Class Disambiguation]]&amp;")")</f>
        <v>Pre-approval</v>
      </c>
      <c r="I350" s="12" t="s">
        <v>1021</v>
      </c>
      <c r="J350" s="19" t="str" cm="1">
        <f t="array" ref="J350">CreateGuidString()</f>
        <v>BD26C44E-BCBC-451D-A0AD-35B62EBE8CA2</v>
      </c>
    </row>
    <row r="351" spans="1:10" x14ac:dyDescent="0.35">
      <c r="A351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Principal</v>
      </c>
      <c r="B351" s="35">
        <f>COUNTIF(NodesData[Unambiguous Name],NodesData[[#This Row],[Unambiguous Name]])</f>
        <v>1</v>
      </c>
      <c r="C351" s="12" t="s">
        <v>1022</v>
      </c>
      <c r="D351" s="13" t="s">
        <v>1767</v>
      </c>
      <c r="E351" s="35">
        <f>COUNTIF(NodesData[Node ID],NodesData[[#This Row],[Node ID]])</f>
        <v>1</v>
      </c>
      <c r="G351" s="12" t="str">
        <f>IF(NodesData[[#This Row],[Class Disambiguation]]="",NodesData[[#This Row],[Common Name]],NodesData[[#This Row],[Common Name]]&amp;" ("&amp;NodesData[[#This Row],[Class Disambiguation]]&amp;")")</f>
        <v>Principal</v>
      </c>
      <c r="I351" s="12" t="s">
        <v>1023</v>
      </c>
      <c r="J351" s="19" t="str" cm="1">
        <f t="array" ref="J351">CreateGuidString()</f>
        <v>61AB7D3B-CDD4-4C41-A231-F5DF3270BC08</v>
      </c>
    </row>
    <row r="352" spans="1:10" x14ac:dyDescent="0.35">
      <c r="A352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Private Key Loss</v>
      </c>
      <c r="B352" s="35">
        <f>COUNTIF(NodesData[Unambiguous Name],NodesData[[#This Row],[Unambiguous Name]])</f>
        <v>1</v>
      </c>
      <c r="C352" s="12" t="s">
        <v>364</v>
      </c>
      <c r="D352" s="13" t="s">
        <v>1768</v>
      </c>
      <c r="E352" s="35">
        <f>COUNTIF(NodesData[Node ID],NodesData[[#This Row],[Node ID]])</f>
        <v>1</v>
      </c>
      <c r="G352" s="12" t="str">
        <f>IF(NodesData[[#This Row],[Class Disambiguation]]="",NodesData[[#This Row],[Common Name]],NodesData[[#This Row],[Common Name]]&amp;" ("&amp;NodesData[[#This Row],[Class Disambiguation]]&amp;")")</f>
        <v>Private Key Loss</v>
      </c>
      <c r="I352" s="12" t="s">
        <v>1024</v>
      </c>
      <c r="J352" s="19" t="str" cm="1">
        <f t="array" ref="J352">CreateGuidString()</f>
        <v>3B3A80FB-9981-415D-B525-7AF6BBE151D3</v>
      </c>
    </row>
    <row r="353" spans="1:10" x14ac:dyDescent="0.35">
      <c r="A353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Privilege</v>
      </c>
      <c r="B353" s="35">
        <f>COUNTIF(NodesData[Unambiguous Name],NodesData[[#This Row],[Unambiguous Name]])</f>
        <v>1</v>
      </c>
      <c r="C353" s="12" t="s">
        <v>1025</v>
      </c>
      <c r="D353" s="13" t="s">
        <v>1769</v>
      </c>
      <c r="E353" s="35">
        <f>COUNTIF(NodesData[Node ID],NodesData[[#This Row],[Node ID]])</f>
        <v>1</v>
      </c>
      <c r="G353" s="12" t="str">
        <f>IF(NodesData[[#This Row],[Class Disambiguation]]="",NodesData[[#This Row],[Common Name]],NodesData[[#This Row],[Common Name]]&amp;" ("&amp;NodesData[[#This Row],[Class Disambiguation]]&amp;")")</f>
        <v>Privilege</v>
      </c>
      <c r="I353" s="12" t="s">
        <v>1026</v>
      </c>
      <c r="J353" s="19" t="str" cm="1">
        <f t="array" ref="J353">CreateGuidString()</f>
        <v>36FC09C6-67F3-4259-83BD-F1863EFA701A</v>
      </c>
    </row>
    <row r="354" spans="1:10" x14ac:dyDescent="0.35">
      <c r="A354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Privilege Abuse</v>
      </c>
      <c r="B354" s="35">
        <f>COUNTIF(NodesData[Unambiguous Name],NodesData[[#This Row],[Unambiguous Name]])</f>
        <v>1</v>
      </c>
      <c r="C354" s="12" t="s">
        <v>366</v>
      </c>
      <c r="D354" s="13" t="s">
        <v>1770</v>
      </c>
      <c r="E354" s="35">
        <f>COUNTIF(NodesData[Node ID],NodesData[[#This Row],[Node ID]])</f>
        <v>1</v>
      </c>
      <c r="G354" s="12" t="str">
        <f>IF(NodesData[[#This Row],[Class Disambiguation]]="",NodesData[[#This Row],[Common Name]],NodesData[[#This Row],[Common Name]]&amp;" ("&amp;NodesData[[#This Row],[Class Disambiguation]]&amp;")")</f>
        <v>Privilege Abuse</v>
      </c>
      <c r="I354" s="12" t="s">
        <v>1027</v>
      </c>
      <c r="J354" s="19" t="str" cm="1">
        <f t="array" ref="J354">CreateGuidString()</f>
        <v>102BB3F5-56EF-429B-BA48-310662FDB727</v>
      </c>
    </row>
    <row r="355" spans="1:10" x14ac:dyDescent="0.35">
      <c r="A355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Privilege Chaining</v>
      </c>
      <c r="B355" s="35">
        <f>COUNTIF(NodesData[Unambiguous Name],NodesData[[#This Row],[Unambiguous Name]])</f>
        <v>1</v>
      </c>
      <c r="C355" s="12" t="s">
        <v>1028</v>
      </c>
      <c r="D355" s="13" t="s">
        <v>1771</v>
      </c>
      <c r="E355" s="35">
        <f>COUNTIF(NodesData[Node ID],NodesData[[#This Row],[Node ID]])</f>
        <v>1</v>
      </c>
      <c r="G355" s="12" t="str">
        <f>IF(NodesData[[#This Row],[Class Disambiguation]]="",NodesData[[#This Row],[Common Name]],NodesData[[#This Row],[Common Name]]&amp;" ("&amp;NodesData[[#This Row],[Class Disambiguation]]&amp;")")</f>
        <v>Privilege Chaining</v>
      </c>
      <c r="I355" s="12" t="s">
        <v>1029</v>
      </c>
      <c r="J355" s="19" t="str" cm="1">
        <f t="array" ref="J355">CreateGuidString()</f>
        <v>918AA07A-2F58-40CA-B2B5-DD0342F93DC0</v>
      </c>
    </row>
    <row r="356" spans="1:10" x14ac:dyDescent="0.35">
      <c r="A356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Privilege Escalation</v>
      </c>
      <c r="B356" s="35">
        <f>COUNTIF(NodesData[Unambiguous Name],NodesData[[#This Row],[Unambiguous Name]])</f>
        <v>1</v>
      </c>
      <c r="C356" s="12" t="s">
        <v>1030</v>
      </c>
      <c r="D356" s="13" t="s">
        <v>1772</v>
      </c>
      <c r="E356" s="35">
        <f>COUNTIF(NodesData[Node ID],NodesData[[#This Row],[Node ID]])</f>
        <v>1</v>
      </c>
      <c r="G356" s="12" t="str">
        <f>IF(NodesData[[#This Row],[Class Disambiguation]]="",NodesData[[#This Row],[Common Name]],NodesData[[#This Row],[Common Name]]&amp;" ("&amp;NodesData[[#This Row],[Class Disambiguation]]&amp;")")</f>
        <v>Privilege Escalation</v>
      </c>
      <c r="I356" s="12" t="s">
        <v>1031</v>
      </c>
      <c r="J356" s="19" t="str" cm="1">
        <f t="array" ref="J356">CreateGuidString()</f>
        <v>4A6D8862-11F9-4DAD-BFB6-3B425240B995</v>
      </c>
    </row>
    <row r="357" spans="1:10" x14ac:dyDescent="0.35">
      <c r="A357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Privileged Identity</v>
      </c>
      <c r="B357" s="35">
        <f>COUNTIF(NodesData[Unambiguous Name],NodesData[[#This Row],[Unambiguous Name]])</f>
        <v>1</v>
      </c>
      <c r="C357" s="12" t="s">
        <v>1032</v>
      </c>
      <c r="D357" s="13" t="s">
        <v>1773</v>
      </c>
      <c r="E357" s="35">
        <f>COUNTIF(NodesData[Node ID],NodesData[[#This Row],[Node ID]])</f>
        <v>1</v>
      </c>
      <c r="G357" s="12" t="str">
        <f>IF(NodesData[[#This Row],[Class Disambiguation]]="",NodesData[[#This Row],[Common Name]],NodesData[[#This Row],[Common Name]]&amp;" ("&amp;NodesData[[#This Row],[Class Disambiguation]]&amp;")")</f>
        <v>Privileged Identity</v>
      </c>
      <c r="I357" s="12" t="s">
        <v>1033</v>
      </c>
      <c r="J357" s="19" t="str" cm="1">
        <f t="array" ref="J357">CreateGuidString()</f>
        <v>1C2EEDDF-7D3B-480E-B83B-0419D3B07092</v>
      </c>
    </row>
    <row r="358" spans="1:10" x14ac:dyDescent="0.35">
      <c r="A358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Privileged Insider</v>
      </c>
      <c r="B358" s="35">
        <f>COUNTIF(NodesData[Unambiguous Name],NodesData[[#This Row],[Unambiguous Name]])</f>
        <v>1</v>
      </c>
      <c r="C358" s="12" t="s">
        <v>369</v>
      </c>
      <c r="D358" s="13" t="s">
        <v>1774</v>
      </c>
      <c r="E358" s="35">
        <f>COUNTIF(NodesData[Node ID],NodesData[[#This Row],[Node ID]])</f>
        <v>1</v>
      </c>
      <c r="G358" s="12" t="str">
        <f>IF(NodesData[[#This Row],[Class Disambiguation]]="",NodesData[[#This Row],[Common Name]],NodesData[[#This Row],[Common Name]]&amp;" ("&amp;NodesData[[#This Row],[Class Disambiguation]]&amp;")")</f>
        <v>Privileged Insider</v>
      </c>
      <c r="I358" s="12" t="s">
        <v>1034</v>
      </c>
      <c r="J358" s="19" t="str" cm="1">
        <f t="array" ref="J358">CreateGuidString()</f>
        <v>BC146FA4-0286-4989-910C-D8C4167A24AF</v>
      </c>
    </row>
    <row r="359" spans="1:10" x14ac:dyDescent="0.35">
      <c r="A359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Provisioning</v>
      </c>
      <c r="B359" s="35">
        <f>COUNTIF(NodesData[Unambiguous Name],NodesData[[#This Row],[Unambiguous Name]])</f>
        <v>1</v>
      </c>
      <c r="C359" s="12" t="s">
        <v>1035</v>
      </c>
      <c r="D359" s="13" t="s">
        <v>1775</v>
      </c>
      <c r="E359" s="35">
        <f>COUNTIF(NodesData[Node ID],NodesData[[#This Row],[Node ID]])</f>
        <v>1</v>
      </c>
      <c r="G359" s="12" t="str">
        <f>IF(NodesData[[#This Row],[Class Disambiguation]]="",NodesData[[#This Row],[Common Name]],NodesData[[#This Row],[Common Name]]&amp;" ("&amp;NodesData[[#This Row],[Class Disambiguation]]&amp;")")</f>
        <v>Provisioning</v>
      </c>
      <c r="I359" s="12" t="s">
        <v>1036</v>
      </c>
      <c r="J359" s="19" t="str" cm="1">
        <f t="array" ref="J359">CreateGuidString()</f>
        <v>ADCC100E-369E-40F0-912F-DB31CECF2D5C</v>
      </c>
    </row>
    <row r="360" spans="1:10" x14ac:dyDescent="0.35">
      <c r="A360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QR Code Authentication</v>
      </c>
      <c r="B360" s="35">
        <f>COUNTIF(NodesData[Unambiguous Name],NodesData[[#This Row],[Unambiguous Name]])</f>
        <v>1</v>
      </c>
      <c r="C360" s="12" t="s">
        <v>376</v>
      </c>
      <c r="D360" s="13" t="s">
        <v>1776</v>
      </c>
      <c r="E360" s="35">
        <f>COUNTIF(NodesData[Node ID],NodesData[[#This Row],[Node ID]])</f>
        <v>1</v>
      </c>
      <c r="G360" s="12" t="str">
        <f>IF(NodesData[[#This Row],[Class Disambiguation]]="",NodesData[[#This Row],[Common Name]],NodesData[[#This Row],[Common Name]]&amp;" ("&amp;NodesData[[#This Row],[Class Disambiguation]]&amp;")")</f>
        <v>QR Code Authentication</v>
      </c>
      <c r="I360" s="12" t="s">
        <v>1037</v>
      </c>
      <c r="J360" s="19" t="str" cm="1">
        <f t="array" ref="J360">CreateGuidString()</f>
        <v>B50B7779-79A6-466F-B238-31DC484E1C9A</v>
      </c>
    </row>
    <row r="361" spans="1:10" x14ac:dyDescent="0.35">
      <c r="A361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Qualitative Identity</v>
      </c>
      <c r="B361" s="35">
        <f>COUNTIF(NodesData[Unambiguous Name],NodesData[[#This Row],[Unambiguous Name]])</f>
        <v>1</v>
      </c>
      <c r="C361" s="12" t="s">
        <v>378</v>
      </c>
      <c r="D361" s="13" t="s">
        <v>1777</v>
      </c>
      <c r="E361" s="35">
        <f>COUNTIF(NodesData[Node ID],NodesData[[#This Row],[Node ID]])</f>
        <v>1</v>
      </c>
      <c r="G361" s="12" t="str">
        <f>IF(NodesData[[#This Row],[Class Disambiguation]]="",NodesData[[#This Row],[Common Name]],NodesData[[#This Row],[Common Name]]&amp;" ("&amp;NodesData[[#This Row],[Class Disambiguation]]&amp;")")</f>
        <v>Qualitative Identity</v>
      </c>
      <c r="I361" s="12" t="s">
        <v>1038</v>
      </c>
      <c r="J361" s="19" t="str" cm="1">
        <f t="array" ref="J361">CreateGuidString()</f>
        <v>EA36C26E-E022-4172-873C-1C84998DCDE3</v>
      </c>
    </row>
    <row r="362" spans="1:10" x14ac:dyDescent="0.35">
      <c r="A362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RA (Acronym)</v>
      </c>
      <c r="B362" s="35">
        <f>COUNTIF(NodesData[Unambiguous Name],NodesData[[#This Row],[Unambiguous Name]])</f>
        <v>1</v>
      </c>
      <c r="C362" s="12" t="s">
        <v>1039</v>
      </c>
      <c r="D362" s="13" t="s">
        <v>1778</v>
      </c>
      <c r="E362" s="35">
        <f>COUNTIF(NodesData[Node ID],NodesData[[#This Row],[Node ID]])</f>
        <v>1</v>
      </c>
      <c r="F362" s="12" t="s">
        <v>1270</v>
      </c>
      <c r="G362" s="12" t="str">
        <f>IF(NodesData[[#This Row],[Class Disambiguation]]="",NodesData[[#This Row],[Common Name]],NodesData[[#This Row],[Common Name]]&amp;" ("&amp;NodesData[[#This Row],[Class Disambiguation]]&amp;")")</f>
        <v>RA (Acronym)</v>
      </c>
      <c r="I362" s="12" t="s">
        <v>1040</v>
      </c>
      <c r="J362" s="19" t="str" cm="1">
        <f t="array" ref="J362">CreateGuidString()</f>
        <v>8DEABB0C-EF0C-45F9-A8BA-03B28D6086DB</v>
      </c>
    </row>
    <row r="363" spans="1:10" x14ac:dyDescent="0.35">
      <c r="A363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Ratio Scale</v>
      </c>
      <c r="B363" s="35">
        <f>COUNTIF(NodesData[Unambiguous Name],NodesData[[#This Row],[Unambiguous Name]])</f>
        <v>1</v>
      </c>
      <c r="C363" s="12" t="s">
        <v>1041</v>
      </c>
      <c r="D363" s="13" t="s">
        <v>1779</v>
      </c>
      <c r="E363" s="35">
        <f>COUNTIF(NodesData[Node ID],NodesData[[#This Row],[Node ID]])</f>
        <v>1</v>
      </c>
      <c r="G363" s="12" t="str">
        <f>IF(NodesData[[#This Row],[Class Disambiguation]]="",NodesData[[#This Row],[Common Name]],NodesData[[#This Row],[Common Name]]&amp;" ("&amp;NodesData[[#This Row],[Class Disambiguation]]&amp;")")</f>
        <v>Ratio Scale</v>
      </c>
      <c r="I363" s="12" t="s">
        <v>1042</v>
      </c>
      <c r="J363" s="19" t="str" cm="1">
        <f t="array" ref="J363">CreateGuidString()</f>
        <v>456121C8-DDF4-43D1-8081-ACFE26E6BF7D</v>
      </c>
    </row>
    <row r="364" spans="1:10" x14ac:dyDescent="0.35">
      <c r="A364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RBA (Acronym)</v>
      </c>
      <c r="B364" s="35">
        <f>COUNTIF(NodesData[Unambiguous Name],NodesData[[#This Row],[Unambiguous Name]])</f>
        <v>1</v>
      </c>
      <c r="C364" s="12" t="s">
        <v>1043</v>
      </c>
      <c r="D364" s="13" t="s">
        <v>1780</v>
      </c>
      <c r="E364" s="35">
        <f>COUNTIF(NodesData[Node ID],NodesData[[#This Row],[Node ID]])</f>
        <v>1</v>
      </c>
      <c r="F364" s="12" t="s">
        <v>1270</v>
      </c>
      <c r="G364" s="12" t="str">
        <f>IF(NodesData[[#This Row],[Class Disambiguation]]="",NodesData[[#This Row],[Common Name]],NodesData[[#This Row],[Common Name]]&amp;" ("&amp;NodesData[[#This Row],[Class Disambiguation]]&amp;")")</f>
        <v>RBA (Acronym)</v>
      </c>
      <c r="I364" s="12" t="s">
        <v>1044</v>
      </c>
      <c r="J364" s="19" t="str" cm="1">
        <f t="array" ref="J364">CreateGuidString()</f>
        <v>670726B9-DD00-4DE7-BC08-B72D6DD0B217</v>
      </c>
    </row>
    <row r="365" spans="1:10" x14ac:dyDescent="0.35">
      <c r="A365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Re-authentication</v>
      </c>
      <c r="B365" s="35">
        <f>COUNTIF(NodesData[Unambiguous Name],NodesData[[#This Row],[Unambiguous Name]])</f>
        <v>1</v>
      </c>
      <c r="C365" s="12" t="s">
        <v>1045</v>
      </c>
      <c r="D365" s="13" t="s">
        <v>1781</v>
      </c>
      <c r="E365" s="35">
        <f>COUNTIF(NodesData[Node ID],NodesData[[#This Row],[Node ID]])</f>
        <v>1</v>
      </c>
      <c r="G365" s="12" t="str">
        <f>IF(NodesData[[#This Row],[Class Disambiguation]]="",NodesData[[#This Row],[Common Name]],NodesData[[#This Row],[Common Name]]&amp;" ("&amp;NodesData[[#This Row],[Class Disambiguation]]&amp;")")</f>
        <v>Re-authentication</v>
      </c>
      <c r="I365" s="12" t="s">
        <v>1046</v>
      </c>
      <c r="J365" s="19" t="str" cm="1">
        <f t="array" ref="J365">CreateGuidString()</f>
        <v>A2DE6794-EE89-40A7-BA99-7480B65F1E92</v>
      </c>
    </row>
    <row r="366" spans="1:10" x14ac:dyDescent="0.35">
      <c r="A366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Recertification</v>
      </c>
      <c r="B366" s="35">
        <f>COUNTIF(NodesData[Unambiguous Name],NodesData[[#This Row],[Unambiguous Name]])</f>
        <v>1</v>
      </c>
      <c r="C366" s="12" t="s">
        <v>1047</v>
      </c>
      <c r="D366" s="13" t="s">
        <v>1782</v>
      </c>
      <c r="E366" s="35">
        <f>COUNTIF(NodesData[Node ID],NodesData[[#This Row],[Node ID]])</f>
        <v>1</v>
      </c>
      <c r="G366" s="12" t="str">
        <f>IF(NodesData[[#This Row],[Class Disambiguation]]="",NodesData[[#This Row],[Common Name]],NodesData[[#This Row],[Common Name]]&amp;" ("&amp;NodesData[[#This Row],[Class Disambiguation]]&amp;")")</f>
        <v>Recertification</v>
      </c>
      <c r="I366" s="12" t="s">
        <v>1048</v>
      </c>
      <c r="J366" s="19" t="str" cm="1">
        <f t="array" ref="J366">CreateGuidString()</f>
        <v>8965CB8F-9FB5-4FFF-A3FC-493F4063F10F</v>
      </c>
    </row>
    <row r="367" spans="1:10" x14ac:dyDescent="0.35">
      <c r="A367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Reference Monitor</v>
      </c>
      <c r="B367" s="35">
        <f>COUNTIF(NodesData[Unambiguous Name],NodesData[[#This Row],[Unambiguous Name]])</f>
        <v>1</v>
      </c>
      <c r="C367" s="12" t="s">
        <v>1049</v>
      </c>
      <c r="D367" s="13" t="s">
        <v>1783</v>
      </c>
      <c r="E367" s="35">
        <f>COUNTIF(NodesData[Node ID],NodesData[[#This Row],[Node ID]])</f>
        <v>1</v>
      </c>
      <c r="G367" s="12" t="str">
        <f>IF(NodesData[[#This Row],[Class Disambiguation]]="",NodesData[[#This Row],[Common Name]],NodesData[[#This Row],[Common Name]]&amp;" ("&amp;NodesData[[#This Row],[Class Disambiguation]]&amp;")")</f>
        <v>Reference Monitor</v>
      </c>
      <c r="I367" s="12" t="s">
        <v>1050</v>
      </c>
      <c r="J367" s="19" t="str" cm="1">
        <f t="array" ref="J367">CreateGuidString()</f>
        <v>4FD4E431-B2A2-4990-9429-7F28B564B29D</v>
      </c>
    </row>
    <row r="368" spans="1:10" x14ac:dyDescent="0.35">
      <c r="A368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Registration Authority</v>
      </c>
      <c r="B368" s="35">
        <f>COUNTIF(NodesData[Unambiguous Name],NodesData[[#This Row],[Unambiguous Name]])</f>
        <v>1</v>
      </c>
      <c r="C368" s="12" t="s">
        <v>1051</v>
      </c>
      <c r="D368" s="13" t="s">
        <v>1784</v>
      </c>
      <c r="E368" s="35">
        <f>COUNTIF(NodesData[Node ID],NodesData[[#This Row],[Node ID]])</f>
        <v>1</v>
      </c>
      <c r="G368" s="12" t="str">
        <f>IF(NodesData[[#This Row],[Class Disambiguation]]="",NodesData[[#This Row],[Common Name]],NodesData[[#This Row],[Common Name]]&amp;" ("&amp;NodesData[[#This Row],[Class Disambiguation]]&amp;")")</f>
        <v>Registration Authority</v>
      </c>
      <c r="I368" s="12" t="s">
        <v>1052</v>
      </c>
      <c r="J368" s="19" t="str" cm="1">
        <f t="array" ref="J368">CreateGuidString()</f>
        <v>F1955569-110C-4CCD-8027-EDDE959BAAA8</v>
      </c>
    </row>
    <row r="369" spans="1:10" x14ac:dyDescent="0.35">
      <c r="A369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Rejoiner</v>
      </c>
      <c r="B369" s="35">
        <f>COUNTIF(NodesData[Unambiguous Name],NodesData[[#This Row],[Unambiguous Name]])</f>
        <v>1</v>
      </c>
      <c r="C369" s="12" t="s">
        <v>1053</v>
      </c>
      <c r="D369" s="13" t="s">
        <v>1785</v>
      </c>
      <c r="E369" s="35">
        <f>COUNTIF(NodesData[Node ID],NodesData[[#This Row],[Node ID]])</f>
        <v>1</v>
      </c>
      <c r="G369" s="12" t="str">
        <f>IF(NodesData[[#This Row],[Class Disambiguation]]="",NodesData[[#This Row],[Common Name]],NodesData[[#This Row],[Common Name]]&amp;" ("&amp;NodesData[[#This Row],[Class Disambiguation]]&amp;")")</f>
        <v>Rejoiner</v>
      </c>
      <c r="I369" s="12" t="s">
        <v>1054</v>
      </c>
      <c r="J369" s="19" t="str" cm="1">
        <f t="array" ref="J369">CreateGuidString()</f>
        <v>135D0CC6-6AD2-4D32-98FD-17D0590B1A28</v>
      </c>
    </row>
    <row r="370" spans="1:10" x14ac:dyDescent="0.35">
      <c r="A370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Relying Party</v>
      </c>
      <c r="B370" s="35">
        <f>COUNTIF(NodesData[Unambiguous Name],NodesData[[#This Row],[Unambiguous Name]])</f>
        <v>1</v>
      </c>
      <c r="C370" s="12" t="s">
        <v>1055</v>
      </c>
      <c r="D370" s="13" t="s">
        <v>1786</v>
      </c>
      <c r="E370" s="35">
        <f>COUNTIF(NodesData[Node ID],NodesData[[#This Row],[Node ID]])</f>
        <v>1</v>
      </c>
      <c r="G370" s="12" t="str">
        <f>IF(NodesData[[#This Row],[Class Disambiguation]]="",NodesData[[#This Row],[Common Name]],NodesData[[#This Row],[Common Name]]&amp;" ("&amp;NodesData[[#This Row],[Class Disambiguation]]&amp;")")</f>
        <v>Relying Party</v>
      </c>
      <c r="I370" s="12" t="s">
        <v>1056</v>
      </c>
      <c r="J370" s="19" t="str" cm="1">
        <f t="array" ref="J370">CreateGuidString()</f>
        <v>EE0536FE-44F6-4718-A36E-EB7BF46494EA</v>
      </c>
    </row>
    <row r="371" spans="1:10" x14ac:dyDescent="0.35">
      <c r="A371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Remote Identity Proofing</v>
      </c>
      <c r="B371" s="35">
        <f>COUNTIF(NodesData[Unambiguous Name],NodesData[[#This Row],[Unambiguous Name]])</f>
        <v>1</v>
      </c>
      <c r="C371" s="12" t="s">
        <v>1057</v>
      </c>
      <c r="D371" s="13" t="s">
        <v>1787</v>
      </c>
      <c r="E371" s="35">
        <f>COUNTIF(NodesData[Node ID],NodesData[[#This Row],[Node ID]])</f>
        <v>1</v>
      </c>
      <c r="G371" s="12" t="str">
        <f>IF(NodesData[[#This Row],[Class Disambiguation]]="",NodesData[[#This Row],[Common Name]],NodesData[[#This Row],[Common Name]]&amp;" ("&amp;NodesData[[#This Row],[Class Disambiguation]]&amp;")")</f>
        <v>Remote Identity Proofing</v>
      </c>
      <c r="I371" s="12" t="s">
        <v>1058</v>
      </c>
      <c r="J371" s="19" t="str" cm="1">
        <f t="array" ref="J371">CreateGuidString()</f>
        <v>EFE2D9E9-FEC4-4624-AD42-A97B6D53F8BF</v>
      </c>
    </row>
    <row r="372" spans="1:10" x14ac:dyDescent="0.35">
      <c r="A372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Repeatability</v>
      </c>
      <c r="B372" s="35">
        <f>COUNTIF(NodesData[Unambiguous Name],NodesData[[#This Row],[Unambiguous Name]])</f>
        <v>1</v>
      </c>
      <c r="C372" s="12" t="s">
        <v>1059</v>
      </c>
      <c r="D372" s="13" t="s">
        <v>1788</v>
      </c>
      <c r="E372" s="35">
        <f>COUNTIF(NodesData[Node ID],NodesData[[#This Row],[Node ID]])</f>
        <v>1</v>
      </c>
      <c r="G372" s="12" t="str">
        <f>IF(NodesData[[#This Row],[Class Disambiguation]]="",NodesData[[#This Row],[Common Name]],NodesData[[#This Row],[Common Name]]&amp;" ("&amp;NodesData[[#This Row],[Class Disambiguation]]&amp;")")</f>
        <v>Repeatability</v>
      </c>
      <c r="I372" s="12" t="s">
        <v>1060</v>
      </c>
      <c r="J372" s="19" t="str" cm="1">
        <f t="array" ref="J372">CreateGuidString()</f>
        <v>C52E8F7B-72B4-48D7-9002-2DD06DDC4380</v>
      </c>
    </row>
    <row r="373" spans="1:10" x14ac:dyDescent="0.35">
      <c r="A373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Representation Target</v>
      </c>
      <c r="B373" s="35">
        <f>COUNTIF(NodesData[Unambiguous Name],NodesData[[#This Row],[Unambiguous Name]])</f>
        <v>1</v>
      </c>
      <c r="C373" s="12" t="s">
        <v>1061</v>
      </c>
      <c r="D373" s="13" t="s">
        <v>1789</v>
      </c>
      <c r="E373" s="35">
        <f>COUNTIF(NodesData[Node ID],NodesData[[#This Row],[Node ID]])</f>
        <v>1</v>
      </c>
      <c r="G373" s="12" t="str">
        <f>IF(NodesData[[#This Row],[Class Disambiguation]]="",NodesData[[#This Row],[Common Name]],NodesData[[#This Row],[Common Name]]&amp;" ("&amp;NodesData[[#This Row],[Class Disambiguation]]&amp;")")</f>
        <v>Representation Target</v>
      </c>
      <c r="I373" s="12" t="s">
        <v>1062</v>
      </c>
      <c r="J373" s="19" t="str" cm="1">
        <f t="array" ref="J373">CreateGuidString()</f>
        <v>241F51F8-C6E8-4B6B-8928-6D1154531A37</v>
      </c>
    </row>
    <row r="374" spans="1:10" x14ac:dyDescent="0.35">
      <c r="A374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Reproducibility</v>
      </c>
      <c r="B374" s="35">
        <f>COUNTIF(NodesData[Unambiguous Name],NodesData[[#This Row],[Unambiguous Name]])</f>
        <v>1</v>
      </c>
      <c r="C374" s="12" t="s">
        <v>1063</v>
      </c>
      <c r="D374" s="13" t="s">
        <v>1790</v>
      </c>
      <c r="E374" s="35">
        <f>COUNTIF(NodesData[Node ID],NodesData[[#This Row],[Node ID]])</f>
        <v>1</v>
      </c>
      <c r="G374" s="12" t="str">
        <f>IF(NodesData[[#This Row],[Class Disambiguation]]="",NodesData[[#This Row],[Common Name]],NodesData[[#This Row],[Common Name]]&amp;" ("&amp;NodesData[[#This Row],[Class Disambiguation]]&amp;")")</f>
        <v>Reproducibility</v>
      </c>
      <c r="I374" s="12" t="s">
        <v>1064</v>
      </c>
      <c r="J374" s="19" t="str" cm="1">
        <f t="array" ref="J374">CreateGuidString()</f>
        <v>D098C160-FE67-4A9E-8472-462C0BDFF3AD</v>
      </c>
    </row>
    <row r="375" spans="1:10" x14ac:dyDescent="0.35">
      <c r="A375" s="18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Research Account</v>
      </c>
      <c r="B375" s="43">
        <f>COUNTIF(NodesData[Unambiguous Name],NodesData[[#This Row],[Unambiguous Name]])</f>
        <v>1</v>
      </c>
      <c r="C375" s="12" t="s">
        <v>1993</v>
      </c>
      <c r="D375" s="13" t="s">
        <v>2000</v>
      </c>
      <c r="E375" s="43">
        <f>COUNTIF(NodesData[Node ID],NodesData[[#This Row],[Node ID]])</f>
        <v>1</v>
      </c>
      <c r="G375" s="18" t="str">
        <f>IF(NodesData[[#This Row],[Class Disambiguation]]="",NodesData[[#This Row],[Common Name]],NodesData[[#This Row],[Common Name]]&amp;" ("&amp;NodesData[[#This Row],[Class Disambiguation]]&amp;")")</f>
        <v>Research Account</v>
      </c>
      <c r="J375" s="20" t="str" cm="1">
        <f t="array" ref="J375">CreateGuidString()</f>
        <v>01F6A80A-3190-462D-BEEB-328CC562A345</v>
      </c>
    </row>
    <row r="376" spans="1:10" x14ac:dyDescent="0.35">
      <c r="A376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Revocation</v>
      </c>
      <c r="B376" s="35">
        <f>COUNTIF(NodesData[Unambiguous Name],NodesData[[#This Row],[Unambiguous Name]])</f>
        <v>1</v>
      </c>
      <c r="C376" s="12" t="s">
        <v>1065</v>
      </c>
      <c r="D376" s="13" t="s">
        <v>1791</v>
      </c>
      <c r="E376" s="35">
        <f>COUNTIF(NodesData[Node ID],NodesData[[#This Row],[Node ID]])</f>
        <v>1</v>
      </c>
      <c r="G376" s="12" t="str">
        <f>IF(NodesData[[#This Row],[Class Disambiguation]]="",NodesData[[#This Row],[Common Name]],NodesData[[#This Row],[Common Name]]&amp;" ("&amp;NodesData[[#This Row],[Class Disambiguation]]&amp;")")</f>
        <v>Revocation</v>
      </c>
      <c r="I376" s="12" t="s">
        <v>1066</v>
      </c>
      <c r="J376" s="19" t="str" cm="1">
        <f t="array" ref="J376">CreateGuidString()</f>
        <v>68C42118-05E1-41CA-861B-B23E8AD10507</v>
      </c>
    </row>
    <row r="377" spans="1:10" x14ac:dyDescent="0.35">
      <c r="A377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RIDP (Acronym)</v>
      </c>
      <c r="B377" s="35">
        <f>COUNTIF(NodesData[Unambiguous Name],NodesData[[#This Row],[Unambiguous Name]])</f>
        <v>1</v>
      </c>
      <c r="C377" s="12" t="s">
        <v>1067</v>
      </c>
      <c r="D377" s="13" t="s">
        <v>1792</v>
      </c>
      <c r="E377" s="35">
        <f>COUNTIF(NodesData[Node ID],NodesData[[#This Row],[Node ID]])</f>
        <v>1</v>
      </c>
      <c r="F377" s="12" t="s">
        <v>1270</v>
      </c>
      <c r="G377" s="12" t="str">
        <f>IF(NodesData[[#This Row],[Class Disambiguation]]="",NodesData[[#This Row],[Common Name]],NodesData[[#This Row],[Common Name]]&amp;" ("&amp;NodesData[[#This Row],[Class Disambiguation]]&amp;")")</f>
        <v>RIDP (Acronym)</v>
      </c>
      <c r="I377" s="12" t="s">
        <v>1068</v>
      </c>
      <c r="J377" s="19" t="str" cm="1">
        <f t="array" ref="J377">CreateGuidString()</f>
        <v>8B30E5BD-CE71-4DD5-8BE6-BC84A302611C</v>
      </c>
    </row>
    <row r="378" spans="1:10" x14ac:dyDescent="0.35">
      <c r="A378" s="18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Account Takeover: Risk</v>
      </c>
      <c r="B378" s="35">
        <f>COUNTIF(NodesData[Unambiguous Name],NodesData[[#This Row],[Unambiguous Name]])</f>
        <v>1</v>
      </c>
      <c r="C378" s="11" t="s">
        <v>1410</v>
      </c>
      <c r="D378" s="13" t="s">
        <v>1443</v>
      </c>
      <c r="E378" s="35">
        <f>COUNTIF(NodesData[Node ID],NodesData[[#This Row],[Node ID]])</f>
        <v>1</v>
      </c>
      <c r="G378" s="18" t="str">
        <f>IF(NodesData[[#This Row],[Class Disambiguation]]="",NodesData[[#This Row],[Common Name]],NodesData[[#This Row],[Common Name]]&amp;" ("&amp;NodesData[[#This Row],[Class Disambiguation]]&amp;")")</f>
        <v>Risk</v>
      </c>
      <c r="H378" s="11" t="s">
        <v>4</v>
      </c>
      <c r="J378" s="20" t="str" cm="1">
        <f t="array" ref="J378">CreateGuidString()</f>
        <v>1EDB72B4-0017-4A18-9EF9-3CB14D779699</v>
      </c>
    </row>
    <row r="379" spans="1:10" x14ac:dyDescent="0.35">
      <c r="A379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Risk-Based Authentication</v>
      </c>
      <c r="B379" s="35">
        <f>COUNTIF(NodesData[Unambiguous Name],NodesData[[#This Row],[Unambiguous Name]])</f>
        <v>1</v>
      </c>
      <c r="C379" s="12" t="s">
        <v>1069</v>
      </c>
      <c r="D379" s="13" t="s">
        <v>1793</v>
      </c>
      <c r="E379" s="35">
        <f>COUNTIF(NodesData[Node ID],NodesData[[#This Row],[Node ID]])</f>
        <v>1</v>
      </c>
      <c r="G379" s="12" t="str">
        <f>IF(NodesData[[#This Row],[Class Disambiguation]]="",NodesData[[#This Row],[Common Name]],NodesData[[#This Row],[Common Name]]&amp;" ("&amp;NodesData[[#This Row],[Class Disambiguation]]&amp;")")</f>
        <v>Risk-Based Authentication</v>
      </c>
      <c r="I379" s="12" t="s">
        <v>1070</v>
      </c>
      <c r="J379" s="19" t="str" cm="1">
        <f t="array" ref="J379">CreateGuidString()</f>
        <v>FBA22949-351E-4797-A22B-4070EC5E17AE</v>
      </c>
    </row>
    <row r="380" spans="1:10" x14ac:dyDescent="0.35">
      <c r="A380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Role</v>
      </c>
      <c r="B380" s="35">
        <f>COUNTIF(NodesData[Unambiguous Name],NodesData[[#This Row],[Unambiguous Name]])</f>
        <v>1</v>
      </c>
      <c r="C380" s="12" t="s">
        <v>1071</v>
      </c>
      <c r="D380" s="13" t="s">
        <v>1794</v>
      </c>
      <c r="E380" s="35">
        <f>COUNTIF(NodesData[Node ID],NodesData[[#This Row],[Node ID]])</f>
        <v>1</v>
      </c>
      <c r="G380" s="12" t="str">
        <f>IF(NodesData[[#This Row],[Class Disambiguation]]="",NodesData[[#This Row],[Common Name]],NodesData[[#This Row],[Common Name]]&amp;" ("&amp;NodesData[[#This Row],[Class Disambiguation]]&amp;")")</f>
        <v>Role</v>
      </c>
      <c r="I380" s="12" t="s">
        <v>1072</v>
      </c>
      <c r="J380" s="19" t="str" cm="1">
        <f t="array" ref="J380">CreateGuidString()</f>
        <v>E63C11AB-1815-4699-A608-CCB8E8DFDFD7</v>
      </c>
    </row>
    <row r="381" spans="1:10" x14ac:dyDescent="0.35">
      <c r="A381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Role Bloating</v>
      </c>
      <c r="B381" s="35">
        <f>COUNTIF(NodesData[Unambiguous Name],NodesData[[#This Row],[Unambiguous Name]])</f>
        <v>1</v>
      </c>
      <c r="C381" s="12" t="s">
        <v>1073</v>
      </c>
      <c r="D381" s="13" t="s">
        <v>1795</v>
      </c>
      <c r="E381" s="35">
        <f>COUNTIF(NodesData[Node ID],NodesData[[#This Row],[Node ID]])</f>
        <v>1</v>
      </c>
      <c r="G381" s="12" t="str">
        <f>IF(NodesData[[#This Row],[Class Disambiguation]]="",NodesData[[#This Row],[Common Name]],NodesData[[#This Row],[Common Name]]&amp;" ("&amp;NodesData[[#This Row],[Class Disambiguation]]&amp;")")</f>
        <v>Role Bloating</v>
      </c>
      <c r="I381" s="12" t="s">
        <v>1074</v>
      </c>
      <c r="J381" s="19" t="str" cm="1">
        <f t="array" ref="J381">CreateGuidString()</f>
        <v>F9CD5E4C-4C87-4071-8D05-AF8CD68F9248</v>
      </c>
    </row>
    <row r="382" spans="1:10" x14ac:dyDescent="0.35">
      <c r="A382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Role Capacity</v>
      </c>
      <c r="B382" s="35">
        <f>COUNTIF(NodesData[Unambiguous Name],NodesData[[#This Row],[Unambiguous Name]])</f>
        <v>1</v>
      </c>
      <c r="C382" s="12" t="s">
        <v>1075</v>
      </c>
      <c r="D382" s="13" t="s">
        <v>1796</v>
      </c>
      <c r="E382" s="35">
        <f>COUNTIF(NodesData[Node ID],NodesData[[#This Row],[Node ID]])</f>
        <v>1</v>
      </c>
      <c r="G382" s="12" t="str">
        <f>IF(NodesData[[#This Row],[Class Disambiguation]]="",NodesData[[#This Row],[Common Name]],NodesData[[#This Row],[Common Name]]&amp;" ("&amp;NodesData[[#This Row],[Class Disambiguation]]&amp;")")</f>
        <v>Role Capacity</v>
      </c>
      <c r="I382" s="12" t="s">
        <v>1076</v>
      </c>
      <c r="J382" s="19" t="str" cm="1">
        <f t="array" ref="J382">CreateGuidString()</f>
        <v>CCFD49DE-61B7-4845-A862-A6EE9F3E1B31</v>
      </c>
    </row>
    <row r="383" spans="1:10" x14ac:dyDescent="0.35">
      <c r="A383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Role Cardinality</v>
      </c>
      <c r="B383" s="35">
        <f>COUNTIF(NodesData[Unambiguous Name],NodesData[[#This Row],[Unambiguous Name]])</f>
        <v>1</v>
      </c>
      <c r="C383" s="12" t="s">
        <v>1077</v>
      </c>
      <c r="D383" s="13" t="s">
        <v>1797</v>
      </c>
      <c r="E383" s="35">
        <f>COUNTIF(NodesData[Node ID],NodesData[[#This Row],[Node ID]])</f>
        <v>1</v>
      </c>
      <c r="G383" s="12" t="str">
        <f>IF(NodesData[[#This Row],[Class Disambiguation]]="",NodesData[[#This Row],[Common Name]],NodesData[[#This Row],[Common Name]]&amp;" ("&amp;NodesData[[#This Row],[Class Disambiguation]]&amp;")")</f>
        <v>Role Cardinality</v>
      </c>
      <c r="I383" s="12" t="s">
        <v>1078</v>
      </c>
      <c r="J383" s="19" t="str" cm="1">
        <f t="array" ref="J383">CreateGuidString()</f>
        <v>111B080A-906F-479A-8841-C10754261807</v>
      </c>
    </row>
    <row r="384" spans="1:10" x14ac:dyDescent="0.35">
      <c r="A384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Role Cardinality Activation Control</v>
      </c>
      <c r="B384" s="35">
        <f>COUNTIF(NodesData[Unambiguous Name],NodesData[[#This Row],[Unambiguous Name]])</f>
        <v>1</v>
      </c>
      <c r="C384" s="12" t="s">
        <v>1079</v>
      </c>
      <c r="D384" s="13" t="s">
        <v>1798</v>
      </c>
      <c r="E384" s="35">
        <f>COUNTIF(NodesData[Node ID],NodesData[[#This Row],[Node ID]])</f>
        <v>1</v>
      </c>
      <c r="G384" s="12" t="str">
        <f>IF(NodesData[[#This Row],[Class Disambiguation]]="",NodesData[[#This Row],[Common Name]],NodesData[[#This Row],[Common Name]]&amp;" ("&amp;NodesData[[#This Row],[Class Disambiguation]]&amp;")")</f>
        <v>Role Cardinality Activation Control</v>
      </c>
      <c r="I384" s="12" t="s">
        <v>1080</v>
      </c>
      <c r="J384" s="19" t="str" cm="1">
        <f t="array" ref="J384">CreateGuidString()</f>
        <v>90163D2B-3262-4B78-A90A-4521088F241C</v>
      </c>
    </row>
    <row r="385" spans="1:10" x14ac:dyDescent="0.35">
      <c r="A385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Role Explosion</v>
      </c>
      <c r="B385" s="35">
        <f>COUNTIF(NodesData[Unambiguous Name],NodesData[[#This Row],[Unambiguous Name]])</f>
        <v>1</v>
      </c>
      <c r="C385" s="12" t="s">
        <v>1081</v>
      </c>
      <c r="D385" s="13" t="s">
        <v>1799</v>
      </c>
      <c r="E385" s="35">
        <f>COUNTIF(NodesData[Node ID],NodesData[[#This Row],[Node ID]])</f>
        <v>1</v>
      </c>
      <c r="G385" s="12" t="str">
        <f>IF(NodesData[[#This Row],[Class Disambiguation]]="",NodesData[[#This Row],[Common Name]],NodesData[[#This Row],[Common Name]]&amp;" ("&amp;NodesData[[#This Row],[Class Disambiguation]]&amp;")")</f>
        <v>Role Explosion</v>
      </c>
      <c r="I385" s="12" t="s">
        <v>1082</v>
      </c>
      <c r="J385" s="19" t="str" cm="1">
        <f t="array" ref="J385">CreateGuidString()</f>
        <v>712C0248-9576-4D90-BE95-ABC768DA8E22</v>
      </c>
    </row>
    <row r="386" spans="1:10" x14ac:dyDescent="0.35">
      <c r="A386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Role Management</v>
      </c>
      <c r="B386" s="35">
        <f>COUNTIF(NodesData[Unambiguous Name],NodesData[[#This Row],[Unambiguous Name]])</f>
        <v>1</v>
      </c>
      <c r="C386" s="12" t="s">
        <v>1083</v>
      </c>
      <c r="D386" s="13" t="s">
        <v>1800</v>
      </c>
      <c r="E386" s="35">
        <f>COUNTIF(NodesData[Node ID],NodesData[[#This Row],[Node ID]])</f>
        <v>1</v>
      </c>
      <c r="G386" s="12" t="str">
        <f>IF(NodesData[[#This Row],[Class Disambiguation]]="",NodesData[[#This Row],[Common Name]],NodesData[[#This Row],[Common Name]]&amp;" ("&amp;NodesData[[#This Row],[Class Disambiguation]]&amp;")")</f>
        <v>Role Management</v>
      </c>
      <c r="I386" s="12" t="s">
        <v>1084</v>
      </c>
      <c r="J386" s="19" t="str" cm="1">
        <f t="array" ref="J386">CreateGuidString()</f>
        <v>9B4D6D32-9E9E-42AB-978D-DD695D8C28F9</v>
      </c>
    </row>
    <row r="387" spans="1:10" x14ac:dyDescent="0.35">
      <c r="A387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Role-Based Access Control</v>
      </c>
      <c r="B387" s="35">
        <f>COUNTIF(NodesData[Unambiguous Name],NodesData[[#This Row],[Unambiguous Name]])</f>
        <v>1</v>
      </c>
      <c r="C387" s="12" t="s">
        <v>1085</v>
      </c>
      <c r="D387" s="13" t="s">
        <v>1801</v>
      </c>
      <c r="E387" s="35">
        <f>COUNTIF(NodesData[Node ID],NodesData[[#This Row],[Node ID]])</f>
        <v>1</v>
      </c>
      <c r="G387" s="12" t="str">
        <f>IF(NodesData[[#This Row],[Class Disambiguation]]="",NodesData[[#This Row],[Common Name]],NodesData[[#This Row],[Common Name]]&amp;" ("&amp;NodesData[[#This Row],[Class Disambiguation]]&amp;")")</f>
        <v>Role-Based Access Control</v>
      </c>
      <c r="I387" s="12" t="s">
        <v>1086</v>
      </c>
      <c r="J387" s="19" t="str" cm="1">
        <f t="array" ref="J387">CreateGuidString()</f>
        <v>AE68F97C-7356-408F-A191-7B4ADA838B15</v>
      </c>
    </row>
    <row r="388" spans="1:10" x14ac:dyDescent="0.35">
      <c r="A388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RP (Acronym)</v>
      </c>
      <c r="B388" s="35">
        <f>COUNTIF(NodesData[Unambiguous Name],NodesData[[#This Row],[Unambiguous Name]])</f>
        <v>1</v>
      </c>
      <c r="C388" s="12" t="s">
        <v>1087</v>
      </c>
      <c r="D388" s="13" t="s">
        <v>1802</v>
      </c>
      <c r="E388" s="35">
        <f>COUNTIF(NodesData[Node ID],NodesData[[#This Row],[Node ID]])</f>
        <v>1</v>
      </c>
      <c r="F388" s="12" t="s">
        <v>1270</v>
      </c>
      <c r="G388" s="12" t="str">
        <f>IF(NodesData[[#This Row],[Class Disambiguation]]="",NodesData[[#This Row],[Common Name]],NodesData[[#This Row],[Common Name]]&amp;" ("&amp;NodesData[[#This Row],[Class Disambiguation]]&amp;")")</f>
        <v>RP (Acronym)</v>
      </c>
      <c r="I388" s="12" t="s">
        <v>1088</v>
      </c>
      <c r="J388" s="19" t="str" cm="1">
        <f t="array" ref="J388">CreateGuidString()</f>
        <v>FA872D91-9BAE-4364-BE50-4851862E83CC</v>
      </c>
    </row>
    <row r="389" spans="1:10" x14ac:dyDescent="0.35">
      <c r="A389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SAM Database</v>
      </c>
      <c r="B389" s="35">
        <f>COUNTIF(NodesData[Unambiguous Name],NodesData[[#This Row],[Unambiguous Name]])</f>
        <v>1</v>
      </c>
      <c r="C389" s="12" t="s">
        <v>407</v>
      </c>
      <c r="D389" s="13" t="s">
        <v>1803</v>
      </c>
      <c r="E389" s="35">
        <f>COUNTIF(NodesData[Node ID],NodesData[[#This Row],[Node ID]])</f>
        <v>1</v>
      </c>
      <c r="G389" s="12" t="str">
        <f>IF(NodesData[[#This Row],[Class Disambiguation]]="",NodesData[[#This Row],[Common Name]],NodesData[[#This Row],[Common Name]]&amp;" ("&amp;NodesData[[#This Row],[Class Disambiguation]]&amp;")")</f>
        <v>SAM Database</v>
      </c>
      <c r="I389" s="12" t="s">
        <v>1089</v>
      </c>
      <c r="J389" s="19" t="str" cm="1">
        <f t="array" ref="J389">CreateGuidString()</f>
        <v>F60D55CC-1618-4C6F-A4E7-A9E0BE820738</v>
      </c>
    </row>
    <row r="390" spans="1:10" x14ac:dyDescent="0.35">
      <c r="A390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SAML (Acronym)</v>
      </c>
      <c r="B390" s="35">
        <f>COUNTIF(NodesData[Unambiguous Name],NodesData[[#This Row],[Unambiguous Name]])</f>
        <v>1</v>
      </c>
      <c r="C390" s="12" t="s">
        <v>408</v>
      </c>
      <c r="D390" s="13" t="s">
        <v>1804</v>
      </c>
      <c r="E390" s="35">
        <f>COUNTIF(NodesData[Node ID],NodesData[[#This Row],[Node ID]])</f>
        <v>1</v>
      </c>
      <c r="F390" s="12" t="s">
        <v>1270</v>
      </c>
      <c r="G390" s="12" t="str">
        <f>IF(NodesData[[#This Row],[Class Disambiguation]]="",NodesData[[#This Row],[Common Name]],NodesData[[#This Row],[Common Name]]&amp;" ("&amp;NodesData[[#This Row],[Class Disambiguation]]&amp;")")</f>
        <v>SAML (Acronym)</v>
      </c>
      <c r="I390" s="12" t="s">
        <v>1090</v>
      </c>
      <c r="J390" s="19" t="str" cm="1">
        <f t="array" ref="J390">CreateGuidString()</f>
        <v>B4002215-617C-49F6-9C36-DED38BA5AB84</v>
      </c>
    </row>
    <row r="391" spans="1:10" x14ac:dyDescent="0.35">
      <c r="A391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SCIM (Acronym)</v>
      </c>
      <c r="B391" s="35">
        <f>COUNTIF(NodesData[Unambiguous Name],NodesData[[#This Row],[Unambiguous Name]])</f>
        <v>1</v>
      </c>
      <c r="C391" s="12" t="s">
        <v>1091</v>
      </c>
      <c r="D391" s="13" t="s">
        <v>1805</v>
      </c>
      <c r="E391" s="35">
        <f>COUNTIF(NodesData[Node ID],NodesData[[#This Row],[Node ID]])</f>
        <v>1</v>
      </c>
      <c r="F391" s="12" t="s">
        <v>1270</v>
      </c>
      <c r="G391" s="12" t="str">
        <f>IF(NodesData[[#This Row],[Class Disambiguation]]="",NodesData[[#This Row],[Common Name]],NodesData[[#This Row],[Common Name]]&amp;" ("&amp;NodesData[[#This Row],[Class Disambiguation]]&amp;")")</f>
        <v>SCIM (Acronym)</v>
      </c>
      <c r="I391" s="12" t="s">
        <v>1092</v>
      </c>
      <c r="J391" s="19" t="str" cm="1">
        <f t="array" ref="J391">CreateGuidString()</f>
        <v>42E3D130-9A0F-47D0-A391-A264DC11B4C1</v>
      </c>
    </row>
    <row r="392" spans="1:10" x14ac:dyDescent="0.35">
      <c r="A392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SCIM 1.0 (Acronym)</v>
      </c>
      <c r="B392" s="35">
        <f>COUNTIF(NodesData[Unambiguous Name],NodesData[[#This Row],[Unambiguous Name]])</f>
        <v>1</v>
      </c>
      <c r="C392" s="12" t="s">
        <v>1093</v>
      </c>
      <c r="D392" s="13" t="s">
        <v>1806</v>
      </c>
      <c r="E392" s="35">
        <f>COUNTIF(NodesData[Node ID],NodesData[[#This Row],[Node ID]])</f>
        <v>1</v>
      </c>
      <c r="F392" s="12" t="s">
        <v>1270</v>
      </c>
      <c r="G392" s="12" t="str">
        <f>IF(NodesData[[#This Row],[Class Disambiguation]]="",NodesData[[#This Row],[Common Name]],NodesData[[#This Row],[Common Name]]&amp;" ("&amp;NodesData[[#This Row],[Class Disambiguation]]&amp;")")</f>
        <v>SCIM 1.0 (Acronym)</v>
      </c>
      <c r="I392" s="12" t="s">
        <v>1094</v>
      </c>
      <c r="J392" s="19" t="str" cm="1">
        <f t="array" ref="J392">CreateGuidString()</f>
        <v>EFDFA6BC-2308-4A8E-960E-8ED8A176AC56</v>
      </c>
    </row>
    <row r="393" spans="1:10" x14ac:dyDescent="0.35">
      <c r="A393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SCIM 1.1 (Acronym)</v>
      </c>
      <c r="B393" s="35">
        <f>COUNTIF(NodesData[Unambiguous Name],NodesData[[#This Row],[Unambiguous Name]])</f>
        <v>1</v>
      </c>
      <c r="C393" s="12" t="s">
        <v>1095</v>
      </c>
      <c r="D393" s="13" t="s">
        <v>1807</v>
      </c>
      <c r="E393" s="35">
        <f>COUNTIF(NodesData[Node ID],NodesData[[#This Row],[Node ID]])</f>
        <v>1</v>
      </c>
      <c r="F393" s="12" t="s">
        <v>1270</v>
      </c>
      <c r="G393" s="12" t="str">
        <f>IF(NodesData[[#This Row],[Class Disambiguation]]="",NodesData[[#This Row],[Common Name]],NodesData[[#This Row],[Common Name]]&amp;" ("&amp;NodesData[[#This Row],[Class Disambiguation]]&amp;")")</f>
        <v>SCIM 1.1 (Acronym)</v>
      </c>
      <c r="I393" s="12" t="s">
        <v>1096</v>
      </c>
      <c r="J393" s="19" t="str" cm="1">
        <f t="array" ref="J393">CreateGuidString()</f>
        <v>ED4AB177-58CF-46C4-9D54-6FDA9DD4D54C</v>
      </c>
    </row>
    <row r="394" spans="1:10" x14ac:dyDescent="0.35">
      <c r="A394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SCIM 2.0 (Acronym)</v>
      </c>
      <c r="B394" s="35">
        <f>COUNTIF(NodesData[Unambiguous Name],NodesData[[#This Row],[Unambiguous Name]])</f>
        <v>1</v>
      </c>
      <c r="C394" s="12" t="s">
        <v>1097</v>
      </c>
      <c r="D394" s="13" t="s">
        <v>1808</v>
      </c>
      <c r="E394" s="35">
        <f>COUNTIF(NodesData[Node ID],NodesData[[#This Row],[Node ID]])</f>
        <v>1</v>
      </c>
      <c r="F394" s="12" t="s">
        <v>1270</v>
      </c>
      <c r="G394" s="12" t="str">
        <f>IF(NodesData[[#This Row],[Class Disambiguation]]="",NodesData[[#This Row],[Common Name]],NodesData[[#This Row],[Common Name]]&amp;" ("&amp;NodesData[[#This Row],[Class Disambiguation]]&amp;")")</f>
        <v>SCIM 2.0 (Acronym)</v>
      </c>
      <c r="I394" s="12" t="s">
        <v>1098</v>
      </c>
      <c r="J394" s="19" t="str" cm="1">
        <f t="array" ref="J394">CreateGuidString()</f>
        <v>30212590-5A24-4613-B6A6-E8FF216BAB5D</v>
      </c>
    </row>
    <row r="395" spans="1:10" x14ac:dyDescent="0.35">
      <c r="A395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Scoping</v>
      </c>
      <c r="B395" s="35">
        <f>COUNTIF(NodesData[Unambiguous Name],NodesData[[#This Row],[Unambiguous Name]])</f>
        <v>1</v>
      </c>
      <c r="C395" s="12" t="s">
        <v>1099</v>
      </c>
      <c r="D395" s="13" t="s">
        <v>1809</v>
      </c>
      <c r="E395" s="35">
        <f>COUNTIF(NodesData[Node ID],NodesData[[#This Row],[Node ID]])</f>
        <v>1</v>
      </c>
      <c r="G395" s="12" t="str">
        <f>IF(NodesData[[#This Row],[Class Disambiguation]]="",NodesData[[#This Row],[Common Name]],NodesData[[#This Row],[Common Name]]&amp;" ("&amp;NodesData[[#This Row],[Class Disambiguation]]&amp;")")</f>
        <v>Scoping</v>
      </c>
      <c r="I395" s="12" t="s">
        <v>1100</v>
      </c>
      <c r="J395" s="19" t="str" cm="1">
        <f t="array" ref="J395">CreateGuidString()</f>
        <v>32DB4FA6-3674-4322-A3CE-7805FD16A253</v>
      </c>
    </row>
    <row r="396" spans="1:10" x14ac:dyDescent="0.35">
      <c r="A396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SD (Acronym)</v>
      </c>
      <c r="B396" s="35">
        <f>COUNTIF(NodesData[Unambiguous Name],NodesData[[#This Row],[Unambiguous Name]])</f>
        <v>1</v>
      </c>
      <c r="C396" s="12" t="s">
        <v>1101</v>
      </c>
      <c r="D396" s="13" t="s">
        <v>1810</v>
      </c>
      <c r="E396" s="35">
        <f>COUNTIF(NodesData[Node ID],NodesData[[#This Row],[Node ID]])</f>
        <v>1</v>
      </c>
      <c r="F396" s="12" t="s">
        <v>1270</v>
      </c>
      <c r="G396" s="12" t="str">
        <f>IF(NodesData[[#This Row],[Class Disambiguation]]="",NodesData[[#This Row],[Common Name]],NodesData[[#This Row],[Common Name]]&amp;" ("&amp;NodesData[[#This Row],[Class Disambiguation]]&amp;")")</f>
        <v>SD (Acronym)</v>
      </c>
      <c r="I396" s="12" t="s">
        <v>1102</v>
      </c>
      <c r="J396" s="19" t="str" cm="1">
        <f t="array" ref="J396">CreateGuidString()</f>
        <v>7323F762-3C8F-4C2B-90ED-B0AF1A7A5771</v>
      </c>
    </row>
    <row r="397" spans="1:10" x14ac:dyDescent="0.35">
      <c r="A397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SDP (Acronym)</v>
      </c>
      <c r="B397" s="35">
        <f>COUNTIF(NodesData[Unambiguous Name],NodesData[[#This Row],[Unambiguous Name]])</f>
        <v>1</v>
      </c>
      <c r="C397" s="12" t="s">
        <v>1103</v>
      </c>
      <c r="D397" s="13" t="s">
        <v>1811</v>
      </c>
      <c r="E397" s="35">
        <f>COUNTIF(NodesData[Node ID],NodesData[[#This Row],[Node ID]])</f>
        <v>1</v>
      </c>
      <c r="F397" s="12" t="s">
        <v>1270</v>
      </c>
      <c r="G397" s="12" t="str">
        <f>IF(NodesData[[#This Row],[Class Disambiguation]]="",NodesData[[#This Row],[Common Name]],NodesData[[#This Row],[Common Name]]&amp;" ("&amp;NodesData[[#This Row],[Class Disambiguation]]&amp;")")</f>
        <v>SDP (Acronym)</v>
      </c>
      <c r="I397" s="12" t="s">
        <v>1104</v>
      </c>
      <c r="J397" s="19" t="str" cm="1">
        <f t="array" ref="J397">CreateGuidString()</f>
        <v>31A1C74D-1D22-4733-8016-B18404F7351C</v>
      </c>
    </row>
    <row r="398" spans="1:10" x14ac:dyDescent="0.35">
      <c r="A398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Secure Production Identity Framework for Everyone</v>
      </c>
      <c r="B398" s="35">
        <f>COUNTIF(NodesData[Unambiguous Name],NodesData[[#This Row],[Unambiguous Name]])</f>
        <v>1</v>
      </c>
      <c r="C398" s="12" t="s">
        <v>1105</v>
      </c>
      <c r="D398" s="13" t="s">
        <v>1812</v>
      </c>
      <c r="E398" s="35">
        <f>COUNTIF(NodesData[Node ID],NodesData[[#This Row],[Node ID]])</f>
        <v>1</v>
      </c>
      <c r="G398" s="12" t="str">
        <f>IF(NodesData[[#This Row],[Class Disambiguation]]="",NodesData[[#This Row],[Common Name]],NodesData[[#This Row],[Common Name]]&amp;" ("&amp;NodesData[[#This Row],[Class Disambiguation]]&amp;")")</f>
        <v>Secure Production Identity Framework for Everyone</v>
      </c>
      <c r="I398" s="12" t="s">
        <v>1106</v>
      </c>
      <c r="J398" s="19" t="str" cm="1">
        <f t="array" ref="J398">CreateGuidString()</f>
        <v>6E36A302-C5A9-465C-B0F3-51C884FDED9A</v>
      </c>
    </row>
    <row r="399" spans="1:10" x14ac:dyDescent="0.35">
      <c r="A399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Secure System</v>
      </c>
      <c r="B399" s="35">
        <f>COUNTIF(NodesData[Unambiguous Name],NodesData[[#This Row],[Unambiguous Name]])</f>
        <v>1</v>
      </c>
      <c r="C399" s="12" t="s">
        <v>1107</v>
      </c>
      <c r="D399" s="13" t="s">
        <v>1813</v>
      </c>
      <c r="E399" s="35">
        <f>COUNTIF(NodesData[Node ID],NodesData[[#This Row],[Node ID]])</f>
        <v>1</v>
      </c>
      <c r="G399" s="12" t="str">
        <f>IF(NodesData[[#This Row],[Class Disambiguation]]="",NodesData[[#This Row],[Common Name]],NodesData[[#This Row],[Common Name]]&amp;" ("&amp;NodesData[[#This Row],[Class Disambiguation]]&amp;")")</f>
        <v>Secure System</v>
      </c>
      <c r="I399" s="12" t="s">
        <v>1108</v>
      </c>
      <c r="J399" s="19" t="str" cm="1">
        <f t="array" ref="J399">CreateGuidString()</f>
        <v>E8046E75-8153-4D75-B437-BA9FC18958BC</v>
      </c>
    </row>
    <row r="400" spans="1:10" x14ac:dyDescent="0.35">
      <c r="A400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Security</v>
      </c>
      <c r="B400" s="35">
        <f>COUNTIF(NodesData[Unambiguous Name],NodesData[[#This Row],[Unambiguous Name]])</f>
        <v>1</v>
      </c>
      <c r="C400" s="12" t="s">
        <v>1109</v>
      </c>
      <c r="D400" s="13" t="s">
        <v>1814</v>
      </c>
      <c r="E400" s="35">
        <f>COUNTIF(NodesData[Node ID],NodesData[[#This Row],[Node ID]])</f>
        <v>1</v>
      </c>
      <c r="G400" s="12" t="str">
        <f>IF(NodesData[[#This Row],[Class Disambiguation]]="",NodesData[[#This Row],[Common Name]],NodesData[[#This Row],[Common Name]]&amp;" ("&amp;NodesData[[#This Row],[Class Disambiguation]]&amp;")")</f>
        <v>Security</v>
      </c>
      <c r="I400" s="12" t="s">
        <v>1110</v>
      </c>
      <c r="J400" s="19" t="str" cm="1">
        <f t="array" ref="J400">CreateGuidString()</f>
        <v>E19D0A25-36B8-4823-ACD4-1635F6C6FE8A</v>
      </c>
    </row>
    <row r="401" spans="1:10" x14ac:dyDescent="0.35">
      <c r="A401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Security Accounts Manager</v>
      </c>
      <c r="B401" s="35">
        <f>COUNTIF(NodesData[Unambiguous Name],NodesData[[#This Row],[Unambiguous Name]])</f>
        <v>1</v>
      </c>
      <c r="C401" s="12" t="s">
        <v>1111</v>
      </c>
      <c r="D401" s="13" t="s">
        <v>1815</v>
      </c>
      <c r="E401" s="35">
        <f>COUNTIF(NodesData[Node ID],NodesData[[#This Row],[Node ID]])</f>
        <v>1</v>
      </c>
      <c r="G401" s="12" t="str">
        <f>IF(NodesData[[#This Row],[Class Disambiguation]]="",NodesData[[#This Row],[Common Name]],NodesData[[#This Row],[Common Name]]&amp;" ("&amp;NodesData[[#This Row],[Class Disambiguation]]&amp;")")</f>
        <v>Security Accounts Manager</v>
      </c>
      <c r="I401" s="12" t="s">
        <v>1112</v>
      </c>
      <c r="J401" s="19" t="str" cm="1">
        <f t="array" ref="J401">CreateGuidString()</f>
        <v>E6211088-AAEC-40F6-B7AA-74B663A08D41</v>
      </c>
    </row>
    <row r="402" spans="1:10" x14ac:dyDescent="0.35">
      <c r="A402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Security Assertion Markup Language</v>
      </c>
      <c r="B402" s="35">
        <f>COUNTIF(NodesData[Unambiguous Name],NodesData[[#This Row],[Unambiguous Name]])</f>
        <v>1</v>
      </c>
      <c r="C402" s="12" t="s">
        <v>421</v>
      </c>
      <c r="D402" s="13" t="s">
        <v>1816</v>
      </c>
      <c r="E402" s="35">
        <f>COUNTIF(NodesData[Node ID],NodesData[[#This Row],[Node ID]])</f>
        <v>1</v>
      </c>
      <c r="G402" s="12" t="str">
        <f>IF(NodesData[[#This Row],[Class Disambiguation]]="",NodesData[[#This Row],[Common Name]],NodesData[[#This Row],[Common Name]]&amp;" ("&amp;NodesData[[#This Row],[Class Disambiguation]]&amp;")")</f>
        <v>Security Assertion Markup Language</v>
      </c>
      <c r="I402" s="12" t="s">
        <v>1113</v>
      </c>
      <c r="J402" s="19" t="str" cm="1">
        <f t="array" ref="J402">CreateGuidString()</f>
        <v>5886C358-60E2-4854-B1BD-A0975F731731</v>
      </c>
    </row>
    <row r="403" spans="1:10" x14ac:dyDescent="0.35">
      <c r="A403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Security Clearance Level</v>
      </c>
      <c r="B403" s="35">
        <f>COUNTIF(NodesData[Unambiguous Name],NodesData[[#This Row],[Unambiguous Name]])</f>
        <v>1</v>
      </c>
      <c r="C403" s="12" t="s">
        <v>1114</v>
      </c>
      <c r="D403" s="13" t="s">
        <v>1817</v>
      </c>
      <c r="E403" s="35">
        <f>COUNTIF(NodesData[Node ID],NodesData[[#This Row],[Node ID]])</f>
        <v>1</v>
      </c>
      <c r="G403" s="12" t="str">
        <f>IF(NodesData[[#This Row],[Class Disambiguation]]="",NodesData[[#This Row],[Common Name]],NodesData[[#This Row],[Common Name]]&amp;" ("&amp;NodesData[[#This Row],[Class Disambiguation]]&amp;")")</f>
        <v>Security Clearance Level</v>
      </c>
      <c r="I403" s="12" t="s">
        <v>1115</v>
      </c>
      <c r="J403" s="19" t="str" cm="1">
        <f t="array" ref="J403">CreateGuidString()</f>
        <v>39C23E76-CA2C-4AC2-89A2-DB880E90AA25</v>
      </c>
    </row>
    <row r="404" spans="1:10" x14ac:dyDescent="0.35">
      <c r="A404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Security Compartment</v>
      </c>
      <c r="B404" s="35">
        <f>COUNTIF(NodesData[Unambiguous Name],NodesData[[#This Row],[Unambiguous Name]])</f>
        <v>1</v>
      </c>
      <c r="C404" s="12" t="s">
        <v>1116</v>
      </c>
      <c r="D404" s="13" t="s">
        <v>1818</v>
      </c>
      <c r="E404" s="35">
        <f>COUNTIF(NodesData[Node ID],NodesData[[#This Row],[Node ID]])</f>
        <v>1</v>
      </c>
      <c r="G404" s="12" t="str">
        <f>IF(NodesData[[#This Row],[Class Disambiguation]]="",NodesData[[#This Row],[Common Name]],NodesData[[#This Row],[Common Name]]&amp;" ("&amp;NodesData[[#This Row],[Class Disambiguation]]&amp;")")</f>
        <v>Security Compartment</v>
      </c>
      <c r="I404" s="12" t="s">
        <v>1117</v>
      </c>
      <c r="J404" s="19" t="str" cm="1">
        <f t="array" ref="J404">CreateGuidString()</f>
        <v>55AB2FE4-167E-4F27-AFA2-8A802A3DD022</v>
      </c>
    </row>
    <row r="405" spans="1:10" x14ac:dyDescent="0.35">
      <c r="A405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Security Label</v>
      </c>
      <c r="B405" s="35">
        <f>COUNTIF(NodesData[Unambiguous Name],NodesData[[#This Row],[Unambiguous Name]])</f>
        <v>1</v>
      </c>
      <c r="C405" s="12" t="s">
        <v>1118</v>
      </c>
      <c r="D405" s="13" t="s">
        <v>1819</v>
      </c>
      <c r="E405" s="35">
        <f>COUNTIF(NodesData[Node ID],NodesData[[#This Row],[Node ID]])</f>
        <v>1</v>
      </c>
      <c r="G405" s="12" t="str">
        <f>IF(NodesData[[#This Row],[Class Disambiguation]]="",NodesData[[#This Row],[Common Name]],NodesData[[#This Row],[Common Name]]&amp;" ("&amp;NodesData[[#This Row],[Class Disambiguation]]&amp;")")</f>
        <v>Security Label</v>
      </c>
      <c r="I405" s="12" t="s">
        <v>1119</v>
      </c>
      <c r="J405" s="19" t="str" cm="1">
        <f t="array" ref="J405">CreateGuidString()</f>
        <v>611EAAD5-BDE0-4AF0-90BA-458956B09EA0</v>
      </c>
    </row>
    <row r="406" spans="1:10" x14ac:dyDescent="0.35">
      <c r="A406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Security Question Authentication</v>
      </c>
      <c r="B406" s="35">
        <f>COUNTIF(NodesData[Unambiguous Name],NodesData[[#This Row],[Unambiguous Name]])</f>
        <v>1</v>
      </c>
      <c r="C406" s="12" t="s">
        <v>1329</v>
      </c>
      <c r="D406" s="13" t="s">
        <v>1820</v>
      </c>
      <c r="E406" s="35">
        <f>COUNTIF(NodesData[Node ID],NodesData[[#This Row],[Node ID]])</f>
        <v>1</v>
      </c>
      <c r="G406" s="12" t="str">
        <f>IF(NodesData[[#This Row],[Class Disambiguation]]="",NodesData[[#This Row],[Common Name]],NodesData[[#This Row],[Common Name]]&amp;" ("&amp;NodesData[[#This Row],[Class Disambiguation]]&amp;")")</f>
        <v>Security Question Authentication</v>
      </c>
      <c r="J406" s="19" t="str" cm="1">
        <f t="array" ref="J406">CreateGuidString()</f>
        <v>36DDC36A-BC61-49F0-9540-50E0848AF38B</v>
      </c>
    </row>
    <row r="407" spans="1:10" x14ac:dyDescent="0.35">
      <c r="A407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Segregation of Duties</v>
      </c>
      <c r="B407" s="35">
        <f>COUNTIF(NodesData[Unambiguous Name],NodesData[[#This Row],[Unambiguous Name]])</f>
        <v>1</v>
      </c>
      <c r="C407" s="12" t="s">
        <v>1120</v>
      </c>
      <c r="D407" s="13" t="s">
        <v>1821</v>
      </c>
      <c r="E407" s="35">
        <f>COUNTIF(NodesData[Node ID],NodesData[[#This Row],[Node ID]])</f>
        <v>1</v>
      </c>
      <c r="G407" s="12" t="str">
        <f>IF(NodesData[[#This Row],[Class Disambiguation]]="",NodesData[[#This Row],[Common Name]],NodesData[[#This Row],[Common Name]]&amp;" ("&amp;NodesData[[#This Row],[Class Disambiguation]]&amp;")")</f>
        <v>Segregation of Duties</v>
      </c>
      <c r="I407" s="12" t="s">
        <v>1121</v>
      </c>
      <c r="J407" s="19" t="str" cm="1">
        <f t="array" ref="J407">CreateGuidString()</f>
        <v>12B8EC3D-5C4A-4C33-B9E5-AE7BD2AD6040</v>
      </c>
    </row>
    <row r="408" spans="1:10" x14ac:dyDescent="0.35">
      <c r="A408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Self-Sovereign Identity</v>
      </c>
      <c r="B408" s="35">
        <f>COUNTIF(NodesData[Unambiguous Name],NodesData[[#This Row],[Unambiguous Name]])</f>
        <v>1</v>
      </c>
      <c r="C408" s="12" t="s">
        <v>426</v>
      </c>
      <c r="D408" s="13" t="s">
        <v>1822</v>
      </c>
      <c r="E408" s="35">
        <f>COUNTIF(NodesData[Node ID],NodesData[[#This Row],[Node ID]])</f>
        <v>1</v>
      </c>
      <c r="G408" s="12" t="str">
        <f>IF(NodesData[[#This Row],[Class Disambiguation]]="",NodesData[[#This Row],[Common Name]],NodesData[[#This Row],[Common Name]]&amp;" ("&amp;NodesData[[#This Row],[Class Disambiguation]]&amp;")")</f>
        <v>Self-Sovereign Identity</v>
      </c>
      <c r="I408" s="12" t="s">
        <v>1122</v>
      </c>
      <c r="J408" s="19" t="str" cm="1">
        <f t="array" ref="J408">CreateGuidString()</f>
        <v>AABC9ACB-A498-4463-AFD8-0840AE4577A6</v>
      </c>
    </row>
    <row r="409" spans="1:10" x14ac:dyDescent="0.35">
      <c r="A409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Semantic Differential</v>
      </c>
      <c r="B409" s="35">
        <f>COUNTIF(NodesData[Unambiguous Name],NodesData[[#This Row],[Unambiguous Name]])</f>
        <v>1</v>
      </c>
      <c r="C409" s="12" t="s">
        <v>1123</v>
      </c>
      <c r="D409" s="13" t="s">
        <v>1823</v>
      </c>
      <c r="E409" s="35">
        <f>COUNTIF(NodesData[Node ID],NodesData[[#This Row],[Node ID]])</f>
        <v>1</v>
      </c>
      <c r="G409" s="12" t="str">
        <f>IF(NodesData[[#This Row],[Class Disambiguation]]="",NodesData[[#This Row],[Common Name]],NodesData[[#This Row],[Common Name]]&amp;" ("&amp;NodesData[[#This Row],[Class Disambiguation]]&amp;")")</f>
        <v>Semantic Differential</v>
      </c>
      <c r="I409" s="12" t="s">
        <v>1124</v>
      </c>
      <c r="J409" s="19" t="str" cm="1">
        <f t="array" ref="J409">CreateGuidString()</f>
        <v>15C51F20-9CF3-4D61-8D91-3892C7BDCA42</v>
      </c>
    </row>
    <row r="410" spans="1:10" x14ac:dyDescent="0.35">
      <c r="A410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Service Account</v>
      </c>
      <c r="B410" s="35">
        <f>COUNTIF(NodesData[Unambiguous Name],NodesData[[#This Row],[Unambiguous Name]])</f>
        <v>1</v>
      </c>
      <c r="C410" s="12" t="s">
        <v>1125</v>
      </c>
      <c r="D410" s="13" t="s">
        <v>1824</v>
      </c>
      <c r="E410" s="35">
        <f>COUNTIF(NodesData[Node ID],NodesData[[#This Row],[Node ID]])</f>
        <v>1</v>
      </c>
      <c r="G410" s="12" t="str">
        <f>IF(NodesData[[#This Row],[Class Disambiguation]]="",NodesData[[#This Row],[Common Name]],NodesData[[#This Row],[Common Name]]&amp;" ("&amp;NodesData[[#This Row],[Class Disambiguation]]&amp;")")</f>
        <v>Service Account</v>
      </c>
      <c r="I410" s="12" t="s">
        <v>1126</v>
      </c>
      <c r="J410" s="19" t="str" cm="1">
        <f t="array" ref="J410">CreateGuidString()</f>
        <v>B3007BDF-7C13-4BDD-A72C-0F6F0E5DC41A</v>
      </c>
    </row>
    <row r="411" spans="1:10" x14ac:dyDescent="0.35">
      <c r="A411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Service-Centric Identity Management System</v>
      </c>
      <c r="B411" s="35">
        <f>COUNTIF(NodesData[Unambiguous Name],NodesData[[#This Row],[Unambiguous Name]])</f>
        <v>1</v>
      </c>
      <c r="C411" s="12" t="s">
        <v>429</v>
      </c>
      <c r="D411" s="13" t="s">
        <v>1825</v>
      </c>
      <c r="E411" s="35">
        <f>COUNTIF(NodesData[Node ID],NodesData[[#This Row],[Node ID]])</f>
        <v>1</v>
      </c>
      <c r="G411" s="12" t="str">
        <f>IF(NodesData[[#This Row],[Class Disambiguation]]="",NodesData[[#This Row],[Common Name]],NodesData[[#This Row],[Common Name]]&amp;" ("&amp;NodesData[[#This Row],[Class Disambiguation]]&amp;")")</f>
        <v>Service-Centric Identity Management System</v>
      </c>
      <c r="I411" s="12" t="s">
        <v>1127</v>
      </c>
      <c r="J411" s="19" t="str" cm="1">
        <f t="array" ref="J411">CreateGuidString()</f>
        <v>821917CB-8DBA-4340-AB72-46DD7AF0D88A</v>
      </c>
    </row>
    <row r="412" spans="1:10" x14ac:dyDescent="0.35">
      <c r="A412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Session</v>
      </c>
      <c r="B412" s="35">
        <f>COUNTIF(NodesData[Unambiguous Name],NodesData[[#This Row],[Unambiguous Name]])</f>
        <v>1</v>
      </c>
      <c r="C412" s="12" t="s">
        <v>1128</v>
      </c>
      <c r="D412" s="13" t="s">
        <v>1826</v>
      </c>
      <c r="E412" s="35">
        <f>COUNTIF(NodesData[Node ID],NodesData[[#This Row],[Node ID]])</f>
        <v>1</v>
      </c>
      <c r="G412" s="12" t="str">
        <f>IF(NodesData[[#This Row],[Class Disambiguation]]="",NodesData[[#This Row],[Common Name]],NodesData[[#This Row],[Common Name]]&amp;" ("&amp;NodesData[[#This Row],[Class Disambiguation]]&amp;")")</f>
        <v>Session</v>
      </c>
      <c r="I412" s="12" t="s">
        <v>1129</v>
      </c>
      <c r="J412" s="19" t="str" cm="1">
        <f t="array" ref="J412">CreateGuidString()</f>
        <v>FAA15321-718B-481C-865A-C24C1578FF4F</v>
      </c>
    </row>
    <row r="413" spans="1:10" x14ac:dyDescent="0.35">
      <c r="A413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Session Authentication</v>
      </c>
      <c r="B413" s="35">
        <f>COUNTIF(NodesData[Unambiguous Name],NodesData[[#This Row],[Unambiguous Name]])</f>
        <v>1</v>
      </c>
      <c r="C413" s="12" t="s">
        <v>1331</v>
      </c>
      <c r="D413" s="13" t="s">
        <v>1827</v>
      </c>
      <c r="E413" s="35">
        <f>COUNTIF(NodesData[Node ID],NodesData[[#This Row],[Node ID]])</f>
        <v>1</v>
      </c>
      <c r="G413" s="12" t="str">
        <f>IF(NodesData[[#This Row],[Class Disambiguation]]="",NodesData[[#This Row],[Common Name]],NodesData[[#This Row],[Common Name]]&amp;" ("&amp;NodesData[[#This Row],[Class Disambiguation]]&amp;")")</f>
        <v>Session Authentication</v>
      </c>
      <c r="J413" s="19" t="str" cm="1">
        <f t="array" ref="J413">CreateGuidString()</f>
        <v>E29782BD-3378-4798-9FB5-A3FDAB43F27D</v>
      </c>
    </row>
    <row r="414" spans="1:10" x14ac:dyDescent="0.35">
      <c r="A414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Single Login</v>
      </c>
      <c r="B414" s="35">
        <f>COUNTIF(NodesData[Unambiguous Name],NodesData[[#This Row],[Unambiguous Name]])</f>
        <v>1</v>
      </c>
      <c r="C414" s="12" t="s">
        <v>1130</v>
      </c>
      <c r="D414" s="13" t="s">
        <v>1828</v>
      </c>
      <c r="E414" s="35">
        <f>COUNTIF(NodesData[Node ID],NodesData[[#This Row],[Node ID]])</f>
        <v>1</v>
      </c>
      <c r="G414" s="12" t="str">
        <f>IF(NodesData[[#This Row],[Class Disambiguation]]="",NodesData[[#This Row],[Common Name]],NodesData[[#This Row],[Common Name]]&amp;" ("&amp;NodesData[[#This Row],[Class Disambiguation]]&amp;")")</f>
        <v>Single Login</v>
      </c>
      <c r="I414" s="12" t="s">
        <v>1131</v>
      </c>
      <c r="J414" s="19" t="str" cm="1">
        <f t="array" ref="J414">CreateGuidString()</f>
        <v>BCFC0B71-CD8D-41F7-9779-D4CDF0D039D5</v>
      </c>
    </row>
    <row r="415" spans="1:10" x14ac:dyDescent="0.35">
      <c r="A415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Single Sign-On</v>
      </c>
      <c r="B415" s="35">
        <f>COUNTIF(NodesData[Unambiguous Name],NodesData[[#This Row],[Unambiguous Name]])</f>
        <v>1</v>
      </c>
      <c r="C415" s="12" t="s">
        <v>1132</v>
      </c>
      <c r="D415" s="13" t="s">
        <v>1829</v>
      </c>
      <c r="E415" s="35">
        <f>COUNTIF(NodesData[Node ID],NodesData[[#This Row],[Node ID]])</f>
        <v>1</v>
      </c>
      <c r="G415" s="12" t="str">
        <f>IF(NodesData[[#This Row],[Class Disambiguation]]="",NodesData[[#This Row],[Common Name]],NodesData[[#This Row],[Common Name]]&amp;" ("&amp;NodesData[[#This Row],[Class Disambiguation]]&amp;")")</f>
        <v>Single Sign-On</v>
      </c>
      <c r="I415" s="12" t="s">
        <v>1133</v>
      </c>
      <c r="J415" s="19" t="str" cm="1">
        <f t="array" ref="J415">CreateGuidString()</f>
        <v>22C3A304-EB26-4B54-82CD-598B51AE5FE9</v>
      </c>
    </row>
    <row r="416" spans="1:10" x14ac:dyDescent="0.35">
      <c r="A416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SMS OTP</v>
      </c>
      <c r="B416" s="35">
        <f>COUNTIF(NodesData[Unambiguous Name],NodesData[[#This Row],[Unambiguous Name]])</f>
        <v>1</v>
      </c>
      <c r="C416" s="12" t="s">
        <v>1321</v>
      </c>
      <c r="D416" s="13" t="s">
        <v>1830</v>
      </c>
      <c r="E416" s="35">
        <f>COUNTIF(NodesData[Node ID],NodesData[[#This Row],[Node ID]])</f>
        <v>1</v>
      </c>
      <c r="G416" s="12" t="str">
        <f>IF(NodesData[[#This Row],[Class Disambiguation]]="",NodesData[[#This Row],[Common Name]],NodesData[[#This Row],[Common Name]]&amp;" ("&amp;NodesData[[#This Row],[Class Disambiguation]]&amp;")")</f>
        <v>SMS OTP</v>
      </c>
      <c r="J416" s="19" t="str" cm="1">
        <f t="array" ref="J416">CreateGuidString()</f>
        <v>276ED6A8-5721-4F4E-B3DC-B2E0FAF86F6E</v>
      </c>
    </row>
    <row r="417" spans="1:10" x14ac:dyDescent="0.35">
      <c r="A417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Social Authentication</v>
      </c>
      <c r="B417" s="35">
        <f>COUNTIF(NodesData[Unambiguous Name],NodesData[[#This Row],[Unambiguous Name]])</f>
        <v>1</v>
      </c>
      <c r="C417" s="12" t="s">
        <v>433</v>
      </c>
      <c r="D417" s="13" t="s">
        <v>1831</v>
      </c>
      <c r="E417" s="35">
        <f>COUNTIF(NodesData[Node ID],NodesData[[#This Row],[Node ID]])</f>
        <v>1</v>
      </c>
      <c r="G417" s="12" t="str">
        <f>IF(NodesData[[#This Row],[Class Disambiguation]]="",NodesData[[#This Row],[Common Name]],NodesData[[#This Row],[Common Name]]&amp;" ("&amp;NodesData[[#This Row],[Class Disambiguation]]&amp;")")</f>
        <v>Social Authentication</v>
      </c>
      <c r="I417" s="12" t="s">
        <v>1134</v>
      </c>
      <c r="J417" s="19" t="str" cm="1">
        <f t="array" ref="J417">CreateGuidString()</f>
        <v>5E4E9B91-DA2F-4A2A-85BE-4D5536C0DB35</v>
      </c>
    </row>
    <row r="418" spans="1:10" x14ac:dyDescent="0.35">
      <c r="A418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Social Honeypot</v>
      </c>
      <c r="B418" s="35">
        <f>COUNTIF(NodesData[Unambiguous Name],NodesData[[#This Row],[Unambiguous Name]])</f>
        <v>1</v>
      </c>
      <c r="C418" s="12" t="s">
        <v>434</v>
      </c>
      <c r="D418" s="13" t="s">
        <v>1832</v>
      </c>
      <c r="E418" s="35">
        <f>COUNTIF(NodesData[Node ID],NodesData[[#This Row],[Node ID]])</f>
        <v>1</v>
      </c>
      <c r="G418" s="12" t="str">
        <f>IF(NodesData[[#This Row],[Class Disambiguation]]="",NodesData[[#This Row],[Common Name]],NodesData[[#This Row],[Common Name]]&amp;" ("&amp;NodesData[[#This Row],[Class Disambiguation]]&amp;")")</f>
        <v>Social Honeypot</v>
      </c>
      <c r="I418" s="12" t="s">
        <v>1135</v>
      </c>
      <c r="J418" s="19" t="str" cm="1">
        <f t="array" ref="J418">CreateGuidString()</f>
        <v>11DDEAA1-5C6E-4DFF-8E1F-15EC99873047</v>
      </c>
    </row>
    <row r="419" spans="1:10" x14ac:dyDescent="0.35">
      <c r="A419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SoD (Acronym)</v>
      </c>
      <c r="B419" s="35">
        <f>COUNTIF(NodesData[Unambiguous Name],NodesData[[#This Row],[Unambiguous Name]])</f>
        <v>1</v>
      </c>
      <c r="C419" s="12" t="s">
        <v>1136</v>
      </c>
      <c r="D419" s="13" t="s">
        <v>1833</v>
      </c>
      <c r="E419" s="35">
        <f>COUNTIF(NodesData[Node ID],NodesData[[#This Row],[Node ID]])</f>
        <v>1</v>
      </c>
      <c r="F419" s="12" t="s">
        <v>1270</v>
      </c>
      <c r="G419" s="12" t="str">
        <f>IF(NodesData[[#This Row],[Class Disambiguation]]="",NodesData[[#This Row],[Common Name]],NodesData[[#This Row],[Common Name]]&amp;" ("&amp;NodesData[[#This Row],[Class Disambiguation]]&amp;")")</f>
        <v>SoD (Acronym)</v>
      </c>
      <c r="I419" s="12" t="s">
        <v>1137</v>
      </c>
      <c r="J419" s="19" t="str" cm="1">
        <f t="array" ref="J419">CreateGuidString()</f>
        <v>4E6D8CDC-421B-414D-8967-4054AB03ABE6</v>
      </c>
    </row>
    <row r="420" spans="1:10" x14ac:dyDescent="0.35">
      <c r="A420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Software / App OTP</v>
      </c>
      <c r="B420" s="35">
        <f>COUNTIF(NodesData[Unambiguous Name],NodesData[[#This Row],[Unambiguous Name]])</f>
        <v>1</v>
      </c>
      <c r="C420" s="12" t="s">
        <v>1320</v>
      </c>
      <c r="D420" s="13" t="s">
        <v>1834</v>
      </c>
      <c r="E420" s="35">
        <f>COUNTIF(NodesData[Node ID],NodesData[[#This Row],[Node ID]])</f>
        <v>1</v>
      </c>
      <c r="G420" s="12" t="str">
        <f>IF(NodesData[[#This Row],[Class Disambiguation]]="",NodesData[[#This Row],[Common Name]],NodesData[[#This Row],[Common Name]]&amp;" ("&amp;NodesData[[#This Row],[Class Disambiguation]]&amp;")")</f>
        <v>Software / App OTP</v>
      </c>
      <c r="J420" s="19" t="str" cm="1">
        <f t="array" ref="J420">CreateGuidString()</f>
        <v>E88E8097-9FE9-40E1-844F-16321B6730E3</v>
      </c>
    </row>
    <row r="421" spans="1:10" x14ac:dyDescent="0.35">
      <c r="A421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Software-Defined Perimeter</v>
      </c>
      <c r="B421" s="35">
        <f>COUNTIF(NodesData[Unambiguous Name],NodesData[[#This Row],[Unambiguous Name]])</f>
        <v>1</v>
      </c>
      <c r="C421" s="12" t="s">
        <v>1138</v>
      </c>
      <c r="D421" s="13" t="s">
        <v>1835</v>
      </c>
      <c r="E421" s="35">
        <f>COUNTIF(NodesData[Node ID],NodesData[[#This Row],[Node ID]])</f>
        <v>1</v>
      </c>
      <c r="G421" s="12" t="str">
        <f>IF(NodesData[[#This Row],[Class Disambiguation]]="",NodesData[[#This Row],[Common Name]],NodesData[[#This Row],[Common Name]]&amp;" ("&amp;NodesData[[#This Row],[Class Disambiguation]]&amp;")")</f>
        <v>Software-Defined Perimeter</v>
      </c>
      <c r="I421" s="12" t="s">
        <v>1139</v>
      </c>
      <c r="J421" s="19" t="str" cm="1">
        <f t="array" ref="J421">CreateGuidString()</f>
        <v>2D34DB3E-C9DF-45C5-96DE-A7899A5BE49E</v>
      </c>
    </row>
    <row r="422" spans="1:10" x14ac:dyDescent="0.35">
      <c r="A422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SPIFFE (Acronym)</v>
      </c>
      <c r="B422" s="35">
        <f>COUNTIF(NodesData[Unambiguous Name],NodesData[[#This Row],[Unambiguous Name]])</f>
        <v>1</v>
      </c>
      <c r="C422" s="12" t="s">
        <v>1140</v>
      </c>
      <c r="D422" s="13" t="s">
        <v>1836</v>
      </c>
      <c r="E422" s="35">
        <f>COUNTIF(NodesData[Node ID],NodesData[[#This Row],[Node ID]])</f>
        <v>1</v>
      </c>
      <c r="F422" s="12" t="s">
        <v>1270</v>
      </c>
      <c r="G422" s="12" t="str">
        <f>IF(NodesData[[#This Row],[Class Disambiguation]]="",NodesData[[#This Row],[Common Name]],NodesData[[#This Row],[Common Name]]&amp;" ("&amp;NodesData[[#This Row],[Class Disambiguation]]&amp;")")</f>
        <v>SPIFFE (Acronym)</v>
      </c>
      <c r="I422" s="12" t="s">
        <v>1141</v>
      </c>
      <c r="J422" s="19" t="str" cm="1">
        <f t="array" ref="J422">CreateGuidString()</f>
        <v>D80F82D1-25AF-4C27-B60C-493436AFD1BE</v>
      </c>
    </row>
    <row r="423" spans="1:10" x14ac:dyDescent="0.35">
      <c r="A423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SPMS (Acronym)</v>
      </c>
      <c r="B423" s="35">
        <f>COUNTIF(NodesData[Unambiguous Name],NodesData[[#This Row],[Unambiguous Name]])</f>
        <v>1</v>
      </c>
      <c r="C423" s="12" t="s">
        <v>1142</v>
      </c>
      <c r="D423" s="13" t="s">
        <v>1837</v>
      </c>
      <c r="E423" s="35">
        <f>COUNTIF(NodesData[Node ID],NodesData[[#This Row],[Node ID]])</f>
        <v>1</v>
      </c>
      <c r="F423" s="12" t="s">
        <v>1270</v>
      </c>
      <c r="G423" s="12" t="str">
        <f>IF(NodesData[[#This Row],[Class Disambiguation]]="",NodesData[[#This Row],[Common Name]],NodesData[[#This Row],[Common Name]]&amp;" ("&amp;NodesData[[#This Row],[Class Disambiguation]]&amp;")")</f>
        <v>SPMS (Acronym)</v>
      </c>
      <c r="I423" s="12" t="s">
        <v>1143</v>
      </c>
      <c r="J423" s="19" t="str" cm="1">
        <f t="array" ref="J423">CreateGuidString()</f>
        <v>A488F327-09AE-4A35-BC7D-21CE582C854C</v>
      </c>
    </row>
    <row r="424" spans="1:10" x14ac:dyDescent="0.35">
      <c r="A424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SSH Key (Acronym)</v>
      </c>
      <c r="B424" s="35">
        <f>COUNTIF(NodesData[Unambiguous Name],NodesData[[#This Row],[Unambiguous Name]])</f>
        <v>1</v>
      </c>
      <c r="C424" s="12" t="s">
        <v>1144</v>
      </c>
      <c r="D424" s="13" t="s">
        <v>1838</v>
      </c>
      <c r="E424" s="35">
        <f>COUNTIF(NodesData[Node ID],NodesData[[#This Row],[Node ID]])</f>
        <v>1</v>
      </c>
      <c r="F424" s="12" t="s">
        <v>1270</v>
      </c>
      <c r="G424" s="12" t="str">
        <f>IF(NodesData[[#This Row],[Class Disambiguation]]="",NodesData[[#This Row],[Common Name]],NodesData[[#This Row],[Common Name]]&amp;" ("&amp;NodesData[[#This Row],[Class Disambiguation]]&amp;")")</f>
        <v>SSH Key (Acronym)</v>
      </c>
      <c r="I424" s="12" t="s">
        <v>1145</v>
      </c>
      <c r="J424" s="19" t="str" cm="1">
        <f t="array" ref="J424">CreateGuidString()</f>
        <v>4B636018-2769-4304-8D07-A85BD13E4660</v>
      </c>
    </row>
    <row r="425" spans="1:10" x14ac:dyDescent="0.35">
      <c r="A425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SSI (Acronym)</v>
      </c>
      <c r="B425" s="35">
        <f>COUNTIF(NodesData[Unambiguous Name],NodesData[[#This Row],[Unambiguous Name]])</f>
        <v>1</v>
      </c>
      <c r="C425" s="12" t="s">
        <v>440</v>
      </c>
      <c r="D425" s="13" t="s">
        <v>1839</v>
      </c>
      <c r="E425" s="35">
        <f>COUNTIF(NodesData[Node ID],NodesData[[#This Row],[Node ID]])</f>
        <v>1</v>
      </c>
      <c r="F425" s="12" t="s">
        <v>1270</v>
      </c>
      <c r="G425" s="12" t="str">
        <f>IF(NodesData[[#This Row],[Class Disambiguation]]="",NodesData[[#This Row],[Common Name]],NodesData[[#This Row],[Common Name]]&amp;" ("&amp;NodesData[[#This Row],[Class Disambiguation]]&amp;")")</f>
        <v>SSI (Acronym)</v>
      </c>
      <c r="I425" s="12" t="s">
        <v>1146</v>
      </c>
      <c r="J425" s="19" t="str" cm="1">
        <f t="array" ref="J425">CreateGuidString()</f>
        <v>92E8E3D5-7CFE-4362-B812-613A8E27B810</v>
      </c>
    </row>
    <row r="426" spans="1:10" x14ac:dyDescent="0.35">
      <c r="A426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SSO</v>
      </c>
      <c r="B426" s="35">
        <f>COUNTIF(NodesData[Unambiguous Name],NodesData[[#This Row],[Unambiguous Name]])</f>
        <v>1</v>
      </c>
      <c r="C426" s="12" t="s">
        <v>1147</v>
      </c>
      <c r="D426" s="13" t="s">
        <v>1840</v>
      </c>
      <c r="E426" s="35">
        <f>COUNTIF(NodesData[Node ID],NodesData[[#This Row],[Node ID]])</f>
        <v>1</v>
      </c>
      <c r="G426" s="12" t="str">
        <f>IF(NodesData[[#This Row],[Class Disambiguation]]="",NodesData[[#This Row],[Common Name]],NodesData[[#This Row],[Common Name]]&amp;" ("&amp;NodesData[[#This Row],[Class Disambiguation]]&amp;")")</f>
        <v>SSO</v>
      </c>
      <c r="J426" s="19" t="str" cm="1">
        <f t="array" ref="J426">CreateGuidString()</f>
        <v>708E03AF-D9D3-4DDA-B710-2F805A9AF281</v>
      </c>
    </row>
    <row r="427" spans="1:10" x14ac:dyDescent="0.35">
      <c r="A427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SSO (Acronym)</v>
      </c>
      <c r="B427" s="35">
        <f>COUNTIF(NodesData[Unambiguous Name],NodesData[[#This Row],[Unambiguous Name]])</f>
        <v>1</v>
      </c>
      <c r="C427" s="12" t="s">
        <v>1147</v>
      </c>
      <c r="D427" s="13" t="s">
        <v>1841</v>
      </c>
      <c r="E427" s="35">
        <f>COUNTIF(NodesData[Node ID],NodesData[[#This Row],[Node ID]])</f>
        <v>1</v>
      </c>
      <c r="F427" s="12" t="s">
        <v>1270</v>
      </c>
      <c r="G427" s="12" t="str">
        <f>IF(NodesData[[#This Row],[Class Disambiguation]]="",NodesData[[#This Row],[Common Name]],NodesData[[#This Row],[Common Name]]&amp;" ("&amp;NodesData[[#This Row],[Class Disambiguation]]&amp;")")</f>
        <v>SSO (Acronym)</v>
      </c>
      <c r="I427" s="12" t="s">
        <v>1148</v>
      </c>
      <c r="J427" s="19" t="str" cm="1">
        <f t="array" ref="J427">CreateGuidString()</f>
        <v>A54F072B-825D-44A1-A798-19074B1CFC7D</v>
      </c>
    </row>
    <row r="428" spans="1:10" x14ac:dyDescent="0.35">
      <c r="A428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Stability of Access Decision Factors</v>
      </c>
      <c r="B428" s="35">
        <f>COUNTIF(NodesData[Unambiguous Name],NodesData[[#This Row],[Unambiguous Name]])</f>
        <v>1</v>
      </c>
      <c r="C428" s="12" t="s">
        <v>1149</v>
      </c>
      <c r="D428" s="13" t="s">
        <v>1842</v>
      </c>
      <c r="E428" s="35">
        <f>COUNTIF(NodesData[Node ID],NodesData[[#This Row],[Node ID]])</f>
        <v>1</v>
      </c>
      <c r="G428" s="12" t="str">
        <f>IF(NodesData[[#This Row],[Class Disambiguation]]="",NodesData[[#This Row],[Common Name]],NodesData[[#This Row],[Common Name]]&amp;" ("&amp;NodesData[[#This Row],[Class Disambiguation]]&amp;")")</f>
        <v>Stability of Access Decision Factors</v>
      </c>
      <c r="I428" s="12" t="s">
        <v>1150</v>
      </c>
      <c r="J428" s="19" t="str" cm="1">
        <f t="array" ref="J428">CreateGuidString()</f>
        <v>84D773C3-EA6C-4399-8C85-342C9954BF1D</v>
      </c>
    </row>
    <row r="429" spans="1:10" x14ac:dyDescent="0.35">
      <c r="A429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Stakeholder</v>
      </c>
      <c r="B429" s="35">
        <f>COUNTIF(NodesData[Unambiguous Name],NodesData[[#This Row],[Unambiguous Name]])</f>
        <v>1</v>
      </c>
      <c r="C429" s="12" t="s">
        <v>1151</v>
      </c>
      <c r="D429" s="13" t="s">
        <v>1843</v>
      </c>
      <c r="E429" s="35">
        <f>COUNTIF(NodesData[Node ID],NodesData[[#This Row],[Node ID]])</f>
        <v>1</v>
      </c>
      <c r="G429" s="12" t="str">
        <f>IF(NodesData[[#This Row],[Class Disambiguation]]="",NodesData[[#This Row],[Common Name]],NodesData[[#This Row],[Common Name]]&amp;" ("&amp;NodesData[[#This Row],[Class Disambiguation]]&amp;")")</f>
        <v>Stakeholder</v>
      </c>
      <c r="I429" s="12" t="s">
        <v>1152</v>
      </c>
      <c r="J429" s="19" t="str" cm="1">
        <f t="array" ref="J429">CreateGuidString()</f>
        <v>01639AF9-D8BF-4AB7-A89E-BF7557F2A3BB</v>
      </c>
    </row>
    <row r="430" spans="1:10" x14ac:dyDescent="0.35">
      <c r="A430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Step-Up Authentication</v>
      </c>
      <c r="B430" s="35">
        <f>COUNTIF(NodesData[Unambiguous Name],NodesData[[#This Row],[Unambiguous Name]])</f>
        <v>1</v>
      </c>
      <c r="C430" s="12" t="s">
        <v>444</v>
      </c>
      <c r="D430" s="13" t="s">
        <v>1844</v>
      </c>
      <c r="E430" s="35">
        <f>COUNTIF(NodesData[Node ID],NodesData[[#This Row],[Node ID]])</f>
        <v>1</v>
      </c>
      <c r="G430" s="12" t="str">
        <f>IF(NodesData[[#This Row],[Class Disambiguation]]="",NodesData[[#This Row],[Common Name]],NodesData[[#This Row],[Common Name]]&amp;" ("&amp;NodesData[[#This Row],[Class Disambiguation]]&amp;")")</f>
        <v>Step-Up Authentication</v>
      </c>
      <c r="I430" s="12" t="s">
        <v>1153</v>
      </c>
      <c r="J430" s="19" t="str" cm="1">
        <f t="array" ref="J430">CreateGuidString()</f>
        <v>B1996F9D-510E-4429-B5CC-D5B9D889AE53</v>
      </c>
    </row>
    <row r="431" spans="1:10" x14ac:dyDescent="0.35">
      <c r="A431" s="18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Stolen Identity</v>
      </c>
      <c r="B431" s="43">
        <f>COUNTIF(NodesData[Unambiguous Name],NodesData[[#This Row],[Unambiguous Name]])</f>
        <v>1</v>
      </c>
      <c r="C431" s="12" t="s">
        <v>1991</v>
      </c>
      <c r="D431" s="13" t="s">
        <v>2001</v>
      </c>
      <c r="E431" s="43">
        <f>COUNTIF(NodesData[Node ID],NodesData[[#This Row],[Node ID]])</f>
        <v>1</v>
      </c>
      <c r="G431" s="18" t="str">
        <f>IF(NodesData[[#This Row],[Class Disambiguation]]="",NodesData[[#This Row],[Common Name]],NodesData[[#This Row],[Common Name]]&amp;" ("&amp;NodesData[[#This Row],[Class Disambiguation]]&amp;")")</f>
        <v>Stolen Identity</v>
      </c>
      <c r="J431" s="20" t="str" cm="1">
        <f t="array" ref="J431">CreateGuidString()</f>
        <v>7256DFFB-F727-40B1-B8CB-3E8ED7B93E61</v>
      </c>
    </row>
    <row r="432" spans="1:10" x14ac:dyDescent="0.35">
      <c r="A432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Strategic Performance Measurement System</v>
      </c>
      <c r="B432" s="35">
        <f>COUNTIF(NodesData[Unambiguous Name],NodesData[[#This Row],[Unambiguous Name]])</f>
        <v>1</v>
      </c>
      <c r="C432" s="12" t="s">
        <v>1154</v>
      </c>
      <c r="D432" s="13" t="s">
        <v>1845</v>
      </c>
      <c r="E432" s="35">
        <f>COUNTIF(NodesData[Node ID],NodesData[[#This Row],[Node ID]])</f>
        <v>1</v>
      </c>
      <c r="G432" s="12" t="str">
        <f>IF(NodesData[[#This Row],[Class Disambiguation]]="",NodesData[[#This Row],[Common Name]],NodesData[[#This Row],[Common Name]]&amp;" ("&amp;NodesData[[#This Row],[Class Disambiguation]]&amp;")")</f>
        <v>Strategic Performance Measurement System</v>
      </c>
      <c r="I432" s="12" t="s">
        <v>1155</v>
      </c>
      <c r="J432" s="19" t="str" cm="1">
        <f t="array" ref="J432">CreateGuidString()</f>
        <v>DE8F6D89-1795-4878-8EFB-F03ACE86006F</v>
      </c>
    </row>
    <row r="433" spans="1:10" x14ac:dyDescent="0.35">
      <c r="A433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Strict Discretionary Access Control</v>
      </c>
      <c r="B433" s="35">
        <f>COUNTIF(NodesData[Unambiguous Name],NodesData[[#This Row],[Unambiguous Name]])</f>
        <v>1</v>
      </c>
      <c r="C433" s="12" t="s">
        <v>1156</v>
      </c>
      <c r="D433" s="13" t="s">
        <v>1846</v>
      </c>
      <c r="E433" s="35">
        <f>COUNTIF(NodesData[Node ID],NodesData[[#This Row],[Node ID]])</f>
        <v>1</v>
      </c>
      <c r="G433" s="12" t="str">
        <f>IF(NodesData[[#This Row],[Class Disambiguation]]="",NodesData[[#This Row],[Common Name]],NodesData[[#This Row],[Common Name]]&amp;" ("&amp;NodesData[[#This Row],[Class Disambiguation]]&amp;")")</f>
        <v>Strict Discretionary Access Control</v>
      </c>
      <c r="I433" s="12" t="s">
        <v>1157</v>
      </c>
      <c r="J433" s="19" t="str" cm="1">
        <f t="array" ref="J433">CreateGuidString()</f>
        <v>15AF8084-167B-433A-8B99-9D1839C35C15</v>
      </c>
    </row>
    <row r="434" spans="1:10" x14ac:dyDescent="0.35">
      <c r="A434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Strong Authentication</v>
      </c>
      <c r="B434" s="35">
        <f>COUNTIF(NodesData[Unambiguous Name],NodesData[[#This Row],[Unambiguous Name]])</f>
        <v>1</v>
      </c>
      <c r="C434" s="12" t="s">
        <v>1158</v>
      </c>
      <c r="D434" s="13" t="s">
        <v>1847</v>
      </c>
      <c r="E434" s="35">
        <f>COUNTIF(NodesData[Node ID],NodesData[[#This Row],[Node ID]])</f>
        <v>1</v>
      </c>
      <c r="G434" s="12" t="str">
        <f>IF(NodesData[[#This Row],[Class Disambiguation]]="",NodesData[[#This Row],[Common Name]],NodesData[[#This Row],[Common Name]]&amp;" ("&amp;NodesData[[#This Row],[Class Disambiguation]]&amp;")")</f>
        <v>Strong Authentication</v>
      </c>
      <c r="I434" s="12" t="s">
        <v>1159</v>
      </c>
      <c r="J434" s="19" t="str" cm="1">
        <f t="array" ref="J434">CreateGuidString()</f>
        <v>EE745B9F-B0E9-41B0-B0B4-C026771CA571</v>
      </c>
    </row>
    <row r="435" spans="1:10" x14ac:dyDescent="0.35">
      <c r="A435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Strong Tranquility Property</v>
      </c>
      <c r="B435" s="35">
        <f>COUNTIF(NodesData[Unambiguous Name],NodesData[[#This Row],[Unambiguous Name]])</f>
        <v>1</v>
      </c>
      <c r="C435" s="12" t="s">
        <v>1160</v>
      </c>
      <c r="D435" s="13" t="s">
        <v>1848</v>
      </c>
      <c r="E435" s="35">
        <f>COUNTIF(NodesData[Node ID],NodesData[[#This Row],[Node ID]])</f>
        <v>1</v>
      </c>
      <c r="G435" s="12" t="str">
        <f>IF(NodesData[[#This Row],[Class Disambiguation]]="",NodesData[[#This Row],[Common Name]],NodesData[[#This Row],[Common Name]]&amp;" ("&amp;NodesData[[#This Row],[Class Disambiguation]]&amp;")")</f>
        <v>Strong Tranquility Property</v>
      </c>
      <c r="I435" s="12" t="s">
        <v>1161</v>
      </c>
      <c r="J435" s="19" t="str" cm="1">
        <f t="array" ref="J435">CreateGuidString()</f>
        <v>ADA0FAF8-602F-44F2-A044-B72DB44E2BD2</v>
      </c>
    </row>
    <row r="436" spans="1:10" x14ac:dyDescent="0.35">
      <c r="A436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Subject</v>
      </c>
      <c r="B436" s="35">
        <f>COUNTIF(NodesData[Unambiguous Name],NodesData[[#This Row],[Unambiguous Name]])</f>
        <v>1</v>
      </c>
      <c r="C436" s="12" t="s">
        <v>1162</v>
      </c>
      <c r="D436" s="13" t="s">
        <v>1849</v>
      </c>
      <c r="E436" s="35">
        <f>COUNTIF(NodesData[Node ID],NodesData[[#This Row],[Node ID]])</f>
        <v>1</v>
      </c>
      <c r="G436" s="12" t="str">
        <f>IF(NodesData[[#This Row],[Class Disambiguation]]="",NodesData[[#This Row],[Common Name]],NodesData[[#This Row],[Common Name]]&amp;" ("&amp;NodesData[[#This Row],[Class Disambiguation]]&amp;")")</f>
        <v>Subject</v>
      </c>
      <c r="I436" s="12" t="s">
        <v>1163</v>
      </c>
      <c r="J436" s="19" t="str" cm="1">
        <f t="array" ref="J436">CreateGuidString()</f>
        <v>02F5DEFA-D1B8-480C-B3B3-A86390289E1E</v>
      </c>
    </row>
    <row r="437" spans="1:10" x14ac:dyDescent="0.35">
      <c r="A437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Subjective Indicator</v>
      </c>
      <c r="B437" s="35">
        <f>COUNTIF(NodesData[Unambiguous Name],NodesData[[#This Row],[Unambiguous Name]])</f>
        <v>1</v>
      </c>
      <c r="C437" s="12" t="s">
        <v>1164</v>
      </c>
      <c r="D437" s="13" t="s">
        <v>1850</v>
      </c>
      <c r="E437" s="35">
        <f>COUNTIF(NodesData[Node ID],NodesData[[#This Row],[Node ID]])</f>
        <v>1</v>
      </c>
      <c r="G437" s="12" t="str">
        <f>IF(NodesData[[#This Row],[Class Disambiguation]]="",NodesData[[#This Row],[Common Name]],NodesData[[#This Row],[Common Name]]&amp;" ("&amp;NodesData[[#This Row],[Class Disambiguation]]&amp;")")</f>
        <v>Subjective Indicator</v>
      </c>
      <c r="I437" s="12" t="s">
        <v>1165</v>
      </c>
      <c r="J437" s="19" t="str" cm="1">
        <f t="array" ref="J437">CreateGuidString()</f>
        <v>FDA8817B-CFAE-4A95-8A41-474C5722103A</v>
      </c>
    </row>
    <row r="438" spans="1:10" x14ac:dyDescent="0.35">
      <c r="A438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Supply Chain Attack</v>
      </c>
      <c r="B438" s="35">
        <f>COUNTIF(NodesData[Unambiguous Name],NodesData[[#This Row],[Unambiguous Name]])</f>
        <v>1</v>
      </c>
      <c r="C438" s="12" t="s">
        <v>451</v>
      </c>
      <c r="D438" s="13" t="s">
        <v>1851</v>
      </c>
      <c r="E438" s="35">
        <f>COUNTIF(NodesData[Node ID],NodesData[[#This Row],[Node ID]])</f>
        <v>1</v>
      </c>
      <c r="G438" s="12" t="str">
        <f>IF(NodesData[[#This Row],[Class Disambiguation]]="",NodesData[[#This Row],[Common Name]],NodesData[[#This Row],[Common Name]]&amp;" ("&amp;NodesData[[#This Row],[Class Disambiguation]]&amp;")")</f>
        <v>Supply Chain Attack</v>
      </c>
      <c r="I438" s="12" t="s">
        <v>1166</v>
      </c>
      <c r="J438" s="19" t="str" cm="1">
        <f t="array" ref="J438">CreateGuidString()</f>
        <v>336D07F7-0137-4891-83F1-5174C1610238</v>
      </c>
    </row>
    <row r="439" spans="1:10" x14ac:dyDescent="0.35">
      <c r="A439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Sybil Attack</v>
      </c>
      <c r="B439" s="35">
        <f>COUNTIF(NodesData[Unambiguous Name],NodesData[[#This Row],[Unambiguous Name]])</f>
        <v>1</v>
      </c>
      <c r="C439" s="12" t="s">
        <v>452</v>
      </c>
      <c r="D439" s="13" t="s">
        <v>1852</v>
      </c>
      <c r="E439" s="35">
        <f>COUNTIF(NodesData[Node ID],NodesData[[#This Row],[Node ID]])</f>
        <v>1</v>
      </c>
      <c r="G439" s="12" t="str">
        <f>IF(NodesData[[#This Row],[Class Disambiguation]]="",NodesData[[#This Row],[Common Name]],NodesData[[#This Row],[Common Name]]&amp;" ("&amp;NodesData[[#This Row],[Class Disambiguation]]&amp;")")</f>
        <v>Sybil Attack</v>
      </c>
      <c r="I439" s="12" t="s">
        <v>1167</v>
      </c>
      <c r="J439" s="19" t="str" cm="1">
        <f t="array" ref="J439">CreateGuidString()</f>
        <v>9DB6D3BD-BC42-4B30-91DD-90DF879E7D64</v>
      </c>
    </row>
    <row r="440" spans="1:10" x14ac:dyDescent="0.35">
      <c r="A440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Synthetic Identity Fraud</v>
      </c>
      <c r="B440" s="35">
        <f>COUNTIF(NodesData[Unambiguous Name],NodesData[[#This Row],[Unambiguous Name]])</f>
        <v>1</v>
      </c>
      <c r="C440" s="12" t="s">
        <v>1168</v>
      </c>
      <c r="D440" s="13" t="s">
        <v>1853</v>
      </c>
      <c r="E440" s="35">
        <f>COUNTIF(NodesData[Node ID],NodesData[[#This Row],[Node ID]])</f>
        <v>1</v>
      </c>
      <c r="G440" s="12" t="str">
        <f>IF(NodesData[[#This Row],[Class Disambiguation]]="",NodesData[[#This Row],[Common Name]],NodesData[[#This Row],[Common Name]]&amp;" ("&amp;NodesData[[#This Row],[Class Disambiguation]]&amp;")")</f>
        <v>Synthetic Identity Fraud</v>
      </c>
      <c r="I440" s="12" t="s">
        <v>1169</v>
      </c>
      <c r="J440" s="19" t="str" cm="1">
        <f t="array" ref="J440">CreateGuidString()</f>
        <v>D00DC538-016A-4E68-AFB7-EC516E3437B8</v>
      </c>
    </row>
    <row r="441" spans="1:10" x14ac:dyDescent="0.35">
      <c r="A441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System</v>
      </c>
      <c r="B441" s="35">
        <f>COUNTIF(NodesData[Unambiguous Name],NodesData[[#This Row],[Unambiguous Name]])</f>
        <v>1</v>
      </c>
      <c r="C441" s="12" t="s">
        <v>454</v>
      </c>
      <c r="D441" s="13" t="s">
        <v>1854</v>
      </c>
      <c r="E441" s="35">
        <f>COUNTIF(NodesData[Node ID],NodesData[[#This Row],[Node ID]])</f>
        <v>1</v>
      </c>
      <c r="G441" s="12" t="str">
        <f>IF(NodesData[[#This Row],[Class Disambiguation]]="",NodesData[[#This Row],[Common Name]],NodesData[[#This Row],[Common Name]]&amp;" ("&amp;NodesData[[#This Row],[Class Disambiguation]]&amp;")")</f>
        <v>System</v>
      </c>
      <c r="I441" s="12" t="s">
        <v>1170</v>
      </c>
      <c r="J441" s="19" t="str" cm="1">
        <f t="array" ref="J441">CreateGuidString()</f>
        <v>113833F5-DE6F-443D-8791-7680696733C5</v>
      </c>
    </row>
    <row r="442" spans="1:10" x14ac:dyDescent="0.35">
      <c r="A442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System Boundaries</v>
      </c>
      <c r="B442" s="35">
        <f>COUNTIF(NodesData[Unambiguous Name],NodesData[[#This Row],[Unambiguous Name]])</f>
        <v>1</v>
      </c>
      <c r="C442" s="12" t="s">
        <v>455</v>
      </c>
      <c r="D442" s="13" t="s">
        <v>1855</v>
      </c>
      <c r="E442" s="35">
        <f>COUNTIF(NodesData[Node ID],NodesData[[#This Row],[Node ID]])</f>
        <v>1</v>
      </c>
      <c r="G442" s="12" t="str">
        <f>IF(NodesData[[#This Row],[Class Disambiguation]]="",NodesData[[#This Row],[Common Name]],NodesData[[#This Row],[Common Name]]&amp;" ("&amp;NodesData[[#This Row],[Class Disambiguation]]&amp;")")</f>
        <v>System Boundaries</v>
      </c>
      <c r="I442" s="12" t="s">
        <v>1171</v>
      </c>
      <c r="J442" s="19" t="str" cm="1">
        <f t="array" ref="J442">CreateGuidString()</f>
        <v>9F0D4D74-2756-4EAC-A367-1B7EC057A532</v>
      </c>
    </row>
    <row r="443" spans="1:10" x14ac:dyDescent="0.35">
      <c r="A443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System for Cross-domain Identity Management</v>
      </c>
      <c r="B443" s="35">
        <f>COUNTIF(NodesData[Unambiguous Name],NodesData[[#This Row],[Unambiguous Name]])</f>
        <v>1</v>
      </c>
      <c r="C443" s="12" t="s">
        <v>1172</v>
      </c>
      <c r="D443" s="13" t="s">
        <v>1856</v>
      </c>
      <c r="E443" s="35">
        <f>COUNTIF(NodesData[Node ID],NodesData[[#This Row],[Node ID]])</f>
        <v>1</v>
      </c>
      <c r="G443" s="12" t="str">
        <f>IF(NodesData[[#This Row],[Class Disambiguation]]="",NodesData[[#This Row],[Common Name]],NodesData[[#This Row],[Common Name]]&amp;" ("&amp;NodesData[[#This Row],[Class Disambiguation]]&amp;")")</f>
        <v>System for Cross-domain Identity Management</v>
      </c>
      <c r="I443" s="12" t="s">
        <v>1173</v>
      </c>
      <c r="J443" s="19" t="str" cm="1">
        <f t="array" ref="J443">CreateGuidString()</f>
        <v>901B52D1-9644-404A-BD53-D65412DA4C48</v>
      </c>
    </row>
    <row r="444" spans="1:10" x14ac:dyDescent="0.35">
      <c r="A444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System Owner</v>
      </c>
      <c r="B444" s="35">
        <f>COUNTIF(NodesData[Unambiguous Name],NodesData[[#This Row],[Unambiguous Name]])</f>
        <v>1</v>
      </c>
      <c r="C444" s="12" t="s">
        <v>1174</v>
      </c>
      <c r="D444" s="13" t="s">
        <v>1857</v>
      </c>
      <c r="E444" s="35">
        <f>COUNTIF(NodesData[Node ID],NodesData[[#This Row],[Node ID]])</f>
        <v>1</v>
      </c>
      <c r="G444" s="12" t="str">
        <f>IF(NodesData[[#This Row],[Class Disambiguation]]="",NodesData[[#This Row],[Common Name]],NodesData[[#This Row],[Common Name]]&amp;" ("&amp;NodesData[[#This Row],[Class Disambiguation]]&amp;")")</f>
        <v>System Owner</v>
      </c>
      <c r="I444" s="12" t="s">
        <v>1175</v>
      </c>
      <c r="J444" s="19" t="str" cm="1">
        <f t="array" ref="J444">CreateGuidString()</f>
        <v>DE63A4FC-A809-48C1-812D-37C3E0055C01</v>
      </c>
    </row>
    <row r="445" spans="1:10" x14ac:dyDescent="0.35">
      <c r="A445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System Z</v>
      </c>
      <c r="B445" s="35">
        <f>COUNTIF(NodesData[Unambiguous Name],NodesData[[#This Row],[Unambiguous Name]])</f>
        <v>1</v>
      </c>
      <c r="C445" s="12" t="s">
        <v>1176</v>
      </c>
      <c r="D445" s="13" t="s">
        <v>1858</v>
      </c>
      <c r="E445" s="35">
        <f>COUNTIF(NodesData[Node ID],NodesData[[#This Row],[Node ID]])</f>
        <v>1</v>
      </c>
      <c r="G445" s="12" t="str">
        <f>IF(NodesData[[#This Row],[Class Disambiguation]]="",NodesData[[#This Row],[Common Name]],NodesData[[#This Row],[Common Name]]&amp;" ("&amp;NodesData[[#This Row],[Class Disambiguation]]&amp;")")</f>
        <v>System Z</v>
      </c>
      <c r="I445" s="12" t="s">
        <v>1177</v>
      </c>
      <c r="J445" s="19" t="str" cm="1">
        <f t="array" ref="J445">CreateGuidString()</f>
        <v>FFDC93AC-9B3F-44B8-BDDF-0C1F3A3783D8</v>
      </c>
    </row>
    <row r="446" spans="1:10" x14ac:dyDescent="0.35">
      <c r="A446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TAN List OTP</v>
      </c>
      <c r="B446" s="35">
        <f>COUNTIF(NodesData[Unambiguous Name],NodesData[[#This Row],[Unambiguous Name]])</f>
        <v>1</v>
      </c>
      <c r="C446" s="12" t="s">
        <v>1322</v>
      </c>
      <c r="D446" s="13" t="s">
        <v>1859</v>
      </c>
      <c r="E446" s="35">
        <f>COUNTIF(NodesData[Node ID],NodesData[[#This Row],[Node ID]])</f>
        <v>1</v>
      </c>
      <c r="G446" s="12" t="str">
        <f>IF(NodesData[[#This Row],[Class Disambiguation]]="",NodesData[[#This Row],[Common Name]],NodesData[[#This Row],[Common Name]]&amp;" ("&amp;NodesData[[#This Row],[Class Disambiguation]]&amp;")")</f>
        <v>TAN List OTP</v>
      </c>
      <c r="J446" s="19" t="str" cm="1">
        <f t="array" ref="J446">CreateGuidString()</f>
        <v>0C5635DA-99C1-49BF-8F79-2AB5333604BF</v>
      </c>
    </row>
    <row r="447" spans="1:10" x14ac:dyDescent="0.35">
      <c r="A447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Task-Based Access Control</v>
      </c>
      <c r="B447" s="35">
        <f>COUNTIF(NodesData[Unambiguous Name],NodesData[[#This Row],[Unambiguous Name]])</f>
        <v>1</v>
      </c>
      <c r="C447" s="12" t="s">
        <v>1178</v>
      </c>
      <c r="D447" s="13" t="s">
        <v>1860</v>
      </c>
      <c r="E447" s="35">
        <f>COUNTIF(NodesData[Node ID],NodesData[[#This Row],[Node ID]])</f>
        <v>1</v>
      </c>
      <c r="G447" s="12" t="str">
        <f>IF(NodesData[[#This Row],[Class Disambiguation]]="",NodesData[[#This Row],[Common Name]],NodesData[[#This Row],[Common Name]]&amp;" ("&amp;NodesData[[#This Row],[Class Disambiguation]]&amp;")")</f>
        <v>Task-Based Access Control</v>
      </c>
      <c r="I447" s="12" t="s">
        <v>1179</v>
      </c>
      <c r="J447" s="19" t="str" cm="1">
        <f t="array" ref="J447">CreateGuidString()</f>
        <v>1E77B35A-DCF3-4ED2-A82B-3A8FCEEB584A</v>
      </c>
    </row>
    <row r="448" spans="1:10" x14ac:dyDescent="0.35">
      <c r="A448" s="18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Test Account</v>
      </c>
      <c r="B448" s="43">
        <f>COUNTIF(NodesData[Unambiguous Name],NodesData[[#This Row],[Unambiguous Name]])</f>
        <v>1</v>
      </c>
      <c r="C448" s="12" t="s">
        <v>1992</v>
      </c>
      <c r="D448" s="13" t="s">
        <v>2002</v>
      </c>
      <c r="E448" s="43">
        <f>COUNTIF(NodesData[Node ID],NodesData[[#This Row],[Node ID]])</f>
        <v>1</v>
      </c>
      <c r="G448" s="18" t="str">
        <f>IF(NodesData[[#This Row],[Class Disambiguation]]="",NodesData[[#This Row],[Common Name]],NodesData[[#This Row],[Common Name]]&amp;" ("&amp;NodesData[[#This Row],[Class Disambiguation]]&amp;")")</f>
        <v>Test Account</v>
      </c>
      <c r="J448" s="20" t="str" cm="1">
        <f t="array" ref="J448">CreateGuidString()</f>
        <v>25323A0E-B290-48AC-A147-597F1DF61288</v>
      </c>
    </row>
    <row r="449" spans="1:10" x14ac:dyDescent="0.35">
      <c r="A449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Text Password Authentication</v>
      </c>
      <c r="B449" s="35">
        <f>COUNTIF(NodesData[Unambiguous Name],NodesData[[#This Row],[Unambiguous Name]])</f>
        <v>1</v>
      </c>
      <c r="C449" s="12" t="s">
        <v>1326</v>
      </c>
      <c r="D449" s="13" t="s">
        <v>1861</v>
      </c>
      <c r="E449" s="35">
        <f>COUNTIF(NodesData[Node ID],NodesData[[#This Row],[Node ID]])</f>
        <v>1</v>
      </c>
      <c r="G449" s="12" t="str">
        <f>IF(NodesData[[#This Row],[Class Disambiguation]]="",NodesData[[#This Row],[Common Name]],NodesData[[#This Row],[Common Name]]&amp;" ("&amp;NodesData[[#This Row],[Class Disambiguation]]&amp;")")</f>
        <v>Text Password Authentication</v>
      </c>
      <c r="J449" s="19" t="str" cm="1">
        <f t="array" ref="J449">CreateGuidString()</f>
        <v>D8B0EF94-8BDE-4A17-B3A8-EDCBE4090E79</v>
      </c>
    </row>
    <row r="450" spans="1:10" x14ac:dyDescent="0.35">
      <c r="A450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Threat Agent</v>
      </c>
      <c r="B450" s="35">
        <f>COUNTIF(NodesData[Unambiguous Name],NodesData[[#This Row],[Unambiguous Name]])</f>
        <v>1</v>
      </c>
      <c r="C450" s="11" t="s">
        <v>1340</v>
      </c>
      <c r="D450" s="13" t="s">
        <v>1862</v>
      </c>
      <c r="E450" s="35">
        <f>COUNTIF(NodesData[Node ID],NodesData[[#This Row],[Node ID]])</f>
        <v>1</v>
      </c>
      <c r="G450" s="18" t="str">
        <f>IF(NodesData[[#This Row],[Class Disambiguation]]="",NodesData[[#This Row],[Common Name]],NodesData[[#This Row],[Common Name]]&amp;" ("&amp;NodesData[[#This Row],[Class Disambiguation]]&amp;")")</f>
        <v>Threat Agent</v>
      </c>
      <c r="H450" s="18"/>
      <c r="J450" s="20" t="str" cm="1">
        <f t="array" ref="J450">CreateGuidString()</f>
        <v>D4AE8057-EC35-4EAF-83FF-BA6F22CE8B8A</v>
      </c>
    </row>
    <row r="451" spans="1:10" x14ac:dyDescent="0.35">
      <c r="A451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Time Factor</v>
      </c>
      <c r="B451" s="35">
        <f>COUNTIF(NodesData[Unambiguous Name],NodesData[[#This Row],[Unambiguous Name]])</f>
        <v>1</v>
      </c>
      <c r="C451" s="12" t="s">
        <v>1297</v>
      </c>
      <c r="D451" s="13" t="s">
        <v>1863</v>
      </c>
      <c r="E451" s="35">
        <f>COUNTIF(NodesData[Node ID],NodesData[[#This Row],[Node ID]])</f>
        <v>1</v>
      </c>
      <c r="G451" s="12" t="str">
        <f>IF(NodesData[[#This Row],[Class Disambiguation]]="",NodesData[[#This Row],[Common Name]],NodesData[[#This Row],[Common Name]]&amp;" ("&amp;NodesData[[#This Row],[Class Disambiguation]]&amp;")")</f>
        <v>Time Factor</v>
      </c>
      <c r="J451" s="19" t="str" cm="1">
        <f t="array" ref="J451">CreateGuidString()</f>
        <v>BBD273C6-1A78-4124-B98C-A2AA26337912</v>
      </c>
    </row>
    <row r="452" spans="1:10" x14ac:dyDescent="0.35">
      <c r="A452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Token-Based Authentication</v>
      </c>
      <c r="B452" s="35">
        <f>COUNTIF(NodesData[Unambiguous Name],NodesData[[#This Row],[Unambiguous Name]])</f>
        <v>1</v>
      </c>
      <c r="C452" s="12" t="s">
        <v>1330</v>
      </c>
      <c r="D452" s="13" t="s">
        <v>1864</v>
      </c>
      <c r="E452" s="35">
        <f>COUNTIF(NodesData[Node ID],NodesData[[#This Row],[Node ID]])</f>
        <v>1</v>
      </c>
      <c r="G452" s="12" t="str">
        <f>IF(NodesData[[#This Row],[Class Disambiguation]]="",NodesData[[#This Row],[Common Name]],NodesData[[#This Row],[Common Name]]&amp;" ("&amp;NodesData[[#This Row],[Class Disambiguation]]&amp;")")</f>
        <v>Token-Based Authentication</v>
      </c>
      <c r="J452" s="19" t="str" cm="1">
        <f t="array" ref="J452">CreateGuidString()</f>
        <v>AA5447AF-D50D-4C7B-AD5C-B91C124AA662</v>
      </c>
    </row>
    <row r="453" spans="1:10" x14ac:dyDescent="0.35">
      <c r="A453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Touchstroke Recognition Authentication</v>
      </c>
      <c r="B453" s="35">
        <f>COUNTIF(NodesData[Unambiguous Name],NodesData[[#This Row],[Unambiguous Name]])</f>
        <v>1</v>
      </c>
      <c r="C453" s="12" t="s">
        <v>1312</v>
      </c>
      <c r="D453" s="13" t="s">
        <v>1865</v>
      </c>
      <c r="E453" s="35">
        <f>COUNTIF(NodesData[Node ID],NodesData[[#This Row],[Node ID]])</f>
        <v>1</v>
      </c>
      <c r="G453" s="12" t="str">
        <f>IF(NodesData[[#This Row],[Class Disambiguation]]="",NodesData[[#This Row],[Common Name]],NodesData[[#This Row],[Common Name]]&amp;" ("&amp;NodesData[[#This Row],[Class Disambiguation]]&amp;")")</f>
        <v>Touchstroke Recognition Authentication</v>
      </c>
      <c r="J453" s="19" t="str" cm="1">
        <f t="array" ref="J453">CreateGuidString()</f>
        <v>DF59B945-7306-4CCD-9CFC-D841EDA10BE2</v>
      </c>
    </row>
    <row r="454" spans="1:10" x14ac:dyDescent="0.35">
      <c r="A454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Toxic Combinations</v>
      </c>
      <c r="B454" s="35">
        <f>COUNTIF(NodesData[Unambiguous Name],NodesData[[#This Row],[Unambiguous Name]])</f>
        <v>1</v>
      </c>
      <c r="C454" s="12" t="s">
        <v>1180</v>
      </c>
      <c r="D454" s="13" t="s">
        <v>1866</v>
      </c>
      <c r="E454" s="35">
        <f>COUNTIF(NodesData[Node ID],NodesData[[#This Row],[Node ID]])</f>
        <v>1</v>
      </c>
      <c r="G454" s="12" t="str">
        <f>IF(NodesData[[#This Row],[Class Disambiguation]]="",NodesData[[#This Row],[Common Name]],NodesData[[#This Row],[Common Name]]&amp;" ("&amp;NodesData[[#This Row],[Class Disambiguation]]&amp;")")</f>
        <v>Toxic Combinations</v>
      </c>
      <c r="I454" s="12" t="s">
        <v>1181</v>
      </c>
      <c r="J454" s="19" t="str" cm="1">
        <f t="array" ref="J454">CreateGuidString()</f>
        <v>4B9272E4-FC63-49C5-B393-2BD340BF4002</v>
      </c>
    </row>
    <row r="455" spans="1:10" x14ac:dyDescent="0.35">
      <c r="A455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Toxic Right Rule (Definition)</v>
      </c>
      <c r="B455" s="35">
        <f>COUNTIF(NodesData[Unambiguous Name],NodesData[[#This Row],[Unambiguous Name]])</f>
        <v>1</v>
      </c>
      <c r="C455" s="12" t="s">
        <v>467</v>
      </c>
      <c r="D455" s="13" t="s">
        <v>1867</v>
      </c>
      <c r="E455" s="35">
        <f>COUNTIF(NodesData[Node ID],NodesData[[#This Row],[Node ID]])</f>
        <v>1</v>
      </c>
      <c r="G455" s="12" t="str">
        <f>IF(NodesData[[#This Row],[Class Disambiguation]]="",NodesData[[#This Row],[Common Name]],NodesData[[#This Row],[Common Name]]&amp;" ("&amp;NodesData[[#This Row],[Class Disambiguation]]&amp;")")</f>
        <v>Toxic Right Rule (Definition)</v>
      </c>
      <c r="I455" s="12" t="s">
        <v>1182</v>
      </c>
      <c r="J455" s="19" t="str" cm="1">
        <f t="array" ref="J455">CreateGuidString()</f>
        <v>8CF2073C-C791-4599-A2AB-0366C20E6D83</v>
      </c>
    </row>
    <row r="456" spans="1:10" x14ac:dyDescent="0.35">
      <c r="A456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Tranquil</v>
      </c>
      <c r="B456" s="35">
        <f>COUNTIF(NodesData[Unambiguous Name],NodesData[[#This Row],[Unambiguous Name]])</f>
        <v>1</v>
      </c>
      <c r="C456" s="12" t="s">
        <v>468</v>
      </c>
      <c r="D456" s="13" t="s">
        <v>1868</v>
      </c>
      <c r="E456" s="35">
        <f>COUNTIF(NodesData[Node ID],NodesData[[#This Row],[Node ID]])</f>
        <v>1</v>
      </c>
      <c r="G456" s="12" t="str">
        <f>IF(NodesData[[#This Row],[Class Disambiguation]]="",NodesData[[#This Row],[Common Name]],NodesData[[#This Row],[Common Name]]&amp;" ("&amp;NodesData[[#This Row],[Class Disambiguation]]&amp;")")</f>
        <v>Tranquil</v>
      </c>
      <c r="I456" s="12" t="s">
        <v>1183</v>
      </c>
      <c r="J456" s="19" t="str" cm="1">
        <f t="array" ref="J456">CreateGuidString()</f>
        <v>AB970BF0-BFDE-4298-AE65-7D8FB128CE67</v>
      </c>
    </row>
    <row r="457" spans="1:10" x14ac:dyDescent="0.35">
      <c r="A457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Tranquility Principle</v>
      </c>
      <c r="B457" s="35">
        <f>COUNTIF(NodesData[Unambiguous Name],NodesData[[#This Row],[Unambiguous Name]])</f>
        <v>1</v>
      </c>
      <c r="C457" s="12" t="s">
        <v>1184</v>
      </c>
      <c r="D457" s="13" t="s">
        <v>1869</v>
      </c>
      <c r="E457" s="35">
        <f>COUNTIF(NodesData[Node ID],NodesData[[#This Row],[Node ID]])</f>
        <v>1</v>
      </c>
      <c r="G457" s="12" t="str">
        <f>IF(NodesData[[#This Row],[Class Disambiguation]]="",NodesData[[#This Row],[Common Name]],NodesData[[#This Row],[Common Name]]&amp;" ("&amp;NodesData[[#This Row],[Class Disambiguation]]&amp;")")</f>
        <v>Tranquility Principle</v>
      </c>
      <c r="I457" s="12" t="s">
        <v>1185</v>
      </c>
      <c r="J457" s="19" t="str" cm="1">
        <f t="array" ref="J457">CreateGuidString()</f>
        <v>ED690D41-A870-4E2E-845F-0F2ADA96EF7F</v>
      </c>
    </row>
    <row r="458" spans="1:10" x14ac:dyDescent="0.35">
      <c r="A458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Tranquility Property</v>
      </c>
      <c r="B458" s="35">
        <f>COUNTIF(NodesData[Unambiguous Name],NodesData[[#This Row],[Unambiguous Name]])</f>
        <v>1</v>
      </c>
      <c r="C458" s="12" t="s">
        <v>1186</v>
      </c>
      <c r="D458" s="13" t="s">
        <v>1870</v>
      </c>
      <c r="E458" s="35">
        <f>COUNTIF(NodesData[Node ID],NodesData[[#This Row],[Node ID]])</f>
        <v>1</v>
      </c>
      <c r="G458" s="12" t="str">
        <f>IF(NodesData[[#This Row],[Class Disambiguation]]="",NodesData[[#This Row],[Common Name]],NodesData[[#This Row],[Common Name]]&amp;" ("&amp;NodesData[[#This Row],[Class Disambiguation]]&amp;")")</f>
        <v>Tranquility Property</v>
      </c>
      <c r="I458" s="12" t="s">
        <v>1187</v>
      </c>
      <c r="J458" s="19" t="str" cm="1">
        <f t="array" ref="J458">CreateGuidString()</f>
        <v>86E69ADE-5F50-48A0-9724-1A5FF9CE4D35</v>
      </c>
    </row>
    <row r="459" spans="1:10" x14ac:dyDescent="0.35">
      <c r="A459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Trust</v>
      </c>
      <c r="B459" s="35">
        <f>COUNTIF(NodesData[Unambiguous Name],NodesData[[#This Row],[Unambiguous Name]])</f>
        <v>1</v>
      </c>
      <c r="C459" s="12" t="s">
        <v>471</v>
      </c>
      <c r="D459" s="13" t="s">
        <v>1871</v>
      </c>
      <c r="E459" s="35">
        <f>COUNTIF(NodesData[Node ID],NodesData[[#This Row],[Node ID]])</f>
        <v>1</v>
      </c>
      <c r="G459" s="12" t="str">
        <f>IF(NodesData[[#This Row],[Class Disambiguation]]="",NodesData[[#This Row],[Common Name]],NodesData[[#This Row],[Common Name]]&amp;" ("&amp;NodesData[[#This Row],[Class Disambiguation]]&amp;")")</f>
        <v>Trust</v>
      </c>
      <c r="I459" s="12" t="s">
        <v>1188</v>
      </c>
      <c r="J459" s="19" t="str" cm="1">
        <f t="array" ref="J459">CreateGuidString()</f>
        <v>E9FB13E4-58D9-436C-896D-361742B6AC84</v>
      </c>
    </row>
    <row r="460" spans="1:10" x14ac:dyDescent="0.35">
      <c r="A460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Trust Asymmetry</v>
      </c>
      <c r="B460" s="35">
        <f>COUNTIF(NodesData[Unambiguous Name],NodesData[[#This Row],[Unambiguous Name]])</f>
        <v>1</v>
      </c>
      <c r="C460" s="12" t="s">
        <v>1189</v>
      </c>
      <c r="D460" s="13" t="s">
        <v>1872</v>
      </c>
      <c r="E460" s="35">
        <f>COUNTIF(NodesData[Node ID],NodesData[[#This Row],[Node ID]])</f>
        <v>1</v>
      </c>
      <c r="G460" s="12" t="str">
        <f>IF(NodesData[[#This Row],[Class Disambiguation]]="",NodesData[[#This Row],[Common Name]],NodesData[[#This Row],[Common Name]]&amp;" ("&amp;NodesData[[#This Row],[Class Disambiguation]]&amp;")")</f>
        <v>Trust Asymmetry</v>
      </c>
      <c r="I460" s="12" t="s">
        <v>1190</v>
      </c>
      <c r="J460" s="19" t="str" cm="1">
        <f t="array" ref="J460">CreateGuidString()</f>
        <v>0DD24C86-8AC6-46E5-BC7C-679952B99244</v>
      </c>
    </row>
    <row r="461" spans="1:10" x14ac:dyDescent="0.35">
      <c r="A461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Trust Composability</v>
      </c>
      <c r="B461" s="35">
        <f>COUNTIF(NodesData[Unambiguous Name],NodesData[[#This Row],[Unambiguous Name]])</f>
        <v>1</v>
      </c>
      <c r="C461" s="12" t="s">
        <v>1191</v>
      </c>
      <c r="D461" s="13" t="s">
        <v>1873</v>
      </c>
      <c r="E461" s="35">
        <f>COUNTIF(NodesData[Node ID],NodesData[[#This Row],[Node ID]])</f>
        <v>1</v>
      </c>
      <c r="G461" s="12" t="str">
        <f>IF(NodesData[[#This Row],[Class Disambiguation]]="",NodesData[[#This Row],[Common Name]],NodesData[[#This Row],[Common Name]]&amp;" ("&amp;NodesData[[#This Row],[Class Disambiguation]]&amp;")")</f>
        <v>Trust Composability</v>
      </c>
      <c r="I461" s="12" t="s">
        <v>1192</v>
      </c>
      <c r="J461" s="19" t="str" cm="1">
        <f t="array" ref="J461">CreateGuidString()</f>
        <v>8061913B-A940-4DD2-8C9E-FA014A6DBBFF</v>
      </c>
    </row>
    <row r="462" spans="1:10" x14ac:dyDescent="0.35">
      <c r="A462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Trust Personalization</v>
      </c>
      <c r="B462" s="35">
        <f>COUNTIF(NodesData[Unambiguous Name],NodesData[[#This Row],[Unambiguous Name]])</f>
        <v>1</v>
      </c>
      <c r="C462" s="12" t="s">
        <v>1193</v>
      </c>
      <c r="D462" s="13" t="s">
        <v>1874</v>
      </c>
      <c r="E462" s="35">
        <f>COUNTIF(NodesData[Node ID],NodesData[[#This Row],[Node ID]])</f>
        <v>1</v>
      </c>
      <c r="G462" s="12" t="str">
        <f>IF(NodesData[[#This Row],[Class Disambiguation]]="",NodesData[[#This Row],[Common Name]],NodesData[[#This Row],[Common Name]]&amp;" ("&amp;NodesData[[#This Row],[Class Disambiguation]]&amp;")")</f>
        <v>Trust Personalization</v>
      </c>
      <c r="I462" s="12" t="s">
        <v>1194</v>
      </c>
      <c r="J462" s="19" t="str" cm="1">
        <f t="array" ref="J462">CreateGuidString()</f>
        <v>134B944D-7627-490E-8C09-FEA6C35E42B6</v>
      </c>
    </row>
    <row r="463" spans="1:10" x14ac:dyDescent="0.35">
      <c r="A463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Trust Transitivity</v>
      </c>
      <c r="B463" s="35">
        <f>COUNTIF(NodesData[Unambiguous Name],NodesData[[#This Row],[Unambiguous Name]])</f>
        <v>1</v>
      </c>
      <c r="C463" s="12" t="s">
        <v>1195</v>
      </c>
      <c r="D463" s="13" t="s">
        <v>1875</v>
      </c>
      <c r="E463" s="35">
        <f>COUNTIF(NodesData[Node ID],NodesData[[#This Row],[Node ID]])</f>
        <v>1</v>
      </c>
      <c r="G463" s="12" t="str">
        <f>IF(NodesData[[#This Row],[Class Disambiguation]]="",NodesData[[#This Row],[Common Name]],NodesData[[#This Row],[Common Name]]&amp;" ("&amp;NodesData[[#This Row],[Class Disambiguation]]&amp;")")</f>
        <v>Trust Transitivity</v>
      </c>
      <c r="I463" s="12" t="s">
        <v>1196</v>
      </c>
      <c r="J463" s="19" t="str" cm="1">
        <f t="array" ref="J463">CreateGuidString()</f>
        <v>B68AD0F6-B8DB-4966-A7FC-49F88BB74DF1</v>
      </c>
    </row>
    <row r="464" spans="1:10" x14ac:dyDescent="0.35">
      <c r="A464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Typing Biometrics</v>
      </c>
      <c r="B464" s="35">
        <f>COUNTIF(NodesData[Unambiguous Name],NodesData[[#This Row],[Unambiguous Name]])</f>
        <v>1</v>
      </c>
      <c r="C464" s="12" t="s">
        <v>477</v>
      </c>
      <c r="D464" s="13" t="s">
        <v>1876</v>
      </c>
      <c r="E464" s="35">
        <f>COUNTIF(NodesData[Node ID],NodesData[[#This Row],[Node ID]])</f>
        <v>1</v>
      </c>
      <c r="G464" s="12" t="str">
        <f>IF(NodesData[[#This Row],[Class Disambiguation]]="",NodesData[[#This Row],[Common Name]],NodesData[[#This Row],[Common Name]]&amp;" ("&amp;NodesData[[#This Row],[Class Disambiguation]]&amp;")")</f>
        <v>Typing Biometrics</v>
      </c>
      <c r="I464" s="12" t="s">
        <v>1197</v>
      </c>
      <c r="J464" s="19" t="str" cm="1">
        <f t="array" ref="J464">CreateGuidString()</f>
        <v>1D15AB59-10E7-49A2-A769-EB33E1B203A3</v>
      </c>
    </row>
    <row r="465" spans="1:10" x14ac:dyDescent="0.35">
      <c r="A465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Typology</v>
      </c>
      <c r="B465" s="35">
        <f>COUNTIF(NodesData[Unambiguous Name],NodesData[[#This Row],[Unambiguous Name]])</f>
        <v>1</v>
      </c>
      <c r="C465" s="12" t="s">
        <v>1198</v>
      </c>
      <c r="D465" s="13" t="s">
        <v>1877</v>
      </c>
      <c r="E465" s="35">
        <f>COUNTIF(NodesData[Node ID],NodesData[[#This Row],[Node ID]])</f>
        <v>1</v>
      </c>
      <c r="G465" s="12" t="str">
        <f>IF(NodesData[[#This Row],[Class Disambiguation]]="",NodesData[[#This Row],[Common Name]],NodesData[[#This Row],[Common Name]]&amp;" ("&amp;NodesData[[#This Row],[Class Disambiguation]]&amp;")")</f>
        <v>Typology</v>
      </c>
      <c r="I465" s="12" t="s">
        <v>1199</v>
      </c>
      <c r="J465" s="19" t="str" cm="1">
        <f t="array" ref="J465">CreateGuidString()</f>
        <v>59B993EF-0D92-4D98-B041-ACCF4E21C49E</v>
      </c>
    </row>
    <row r="466" spans="1:10" x14ac:dyDescent="0.35">
      <c r="A466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Unanticipated User</v>
      </c>
      <c r="B466" s="35">
        <f>COUNTIF(NodesData[Unambiguous Name],NodesData[[#This Row],[Unambiguous Name]])</f>
        <v>1</v>
      </c>
      <c r="C466" s="12" t="s">
        <v>479</v>
      </c>
      <c r="D466" s="13" t="s">
        <v>1878</v>
      </c>
      <c r="E466" s="35">
        <f>COUNTIF(NodesData[Node ID],NodesData[[#This Row],[Node ID]])</f>
        <v>1</v>
      </c>
      <c r="G466" s="12" t="str">
        <f>IF(NodesData[[#This Row],[Class Disambiguation]]="",NodesData[[#This Row],[Common Name]],NodesData[[#This Row],[Common Name]]&amp;" ("&amp;NodesData[[#This Row],[Class Disambiguation]]&amp;")")</f>
        <v>Unanticipated User</v>
      </c>
      <c r="I466" s="12" t="s">
        <v>1200</v>
      </c>
      <c r="J466" s="19" t="str" cm="1">
        <f t="array" ref="J466">CreateGuidString()</f>
        <v>5AFB0340-A843-450C-A045-CE1D2C56BC2F</v>
      </c>
    </row>
    <row r="467" spans="1:10" x14ac:dyDescent="0.35">
      <c r="A467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Unauthorized Access</v>
      </c>
      <c r="B467" s="35">
        <f>COUNTIF(NodesData[Unambiguous Name],NodesData[[#This Row],[Unambiguous Name]])</f>
        <v>1</v>
      </c>
      <c r="C467" s="12" t="s">
        <v>480</v>
      </c>
      <c r="D467" s="13" t="s">
        <v>1879</v>
      </c>
      <c r="E467" s="35">
        <f>COUNTIF(NodesData[Node ID],NodesData[[#This Row],[Node ID]])</f>
        <v>1</v>
      </c>
      <c r="G467" s="12" t="str">
        <f>IF(NodesData[[#This Row],[Class Disambiguation]]="",NodesData[[#This Row],[Common Name]],NodesData[[#This Row],[Common Name]]&amp;" ("&amp;NodesData[[#This Row],[Class Disambiguation]]&amp;")")</f>
        <v>Unauthorized Access</v>
      </c>
      <c r="I467" s="12" t="s">
        <v>1201</v>
      </c>
      <c r="J467" s="19" t="str" cm="1">
        <f t="array" ref="J467">CreateGuidString()</f>
        <v>68789ED9-4ABD-4B67-BB5C-73570A032A24</v>
      </c>
    </row>
    <row r="468" spans="1:10" x14ac:dyDescent="0.35">
      <c r="A468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Unique ID Number</v>
      </c>
      <c r="B468" s="35">
        <f>COUNTIF(NodesData[Unambiguous Name],NodesData[[#This Row],[Unambiguous Name]])</f>
        <v>1</v>
      </c>
      <c r="C468" s="12" t="s">
        <v>481</v>
      </c>
      <c r="D468" s="13" t="s">
        <v>1880</v>
      </c>
      <c r="E468" s="35">
        <f>COUNTIF(NodesData[Node ID],NodesData[[#This Row],[Node ID]])</f>
        <v>1</v>
      </c>
      <c r="G468" s="12" t="str">
        <f>IF(NodesData[[#This Row],[Class Disambiguation]]="",NodesData[[#This Row],[Common Name]],NodesData[[#This Row],[Common Name]]&amp;" ("&amp;NodesData[[#This Row],[Class Disambiguation]]&amp;")")</f>
        <v>Unique ID Number</v>
      </c>
      <c r="I468" s="12" t="s">
        <v>1202</v>
      </c>
      <c r="J468" s="19" t="str" cm="1">
        <f t="array" ref="J468">CreateGuidString()</f>
        <v>CEB7DE38-7E5C-43B4-97CB-A2033FABDF26</v>
      </c>
    </row>
    <row r="469" spans="1:10" x14ac:dyDescent="0.35">
      <c r="A469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Unprivileged Insider</v>
      </c>
      <c r="B469" s="35">
        <f>COUNTIF(NodesData[Unambiguous Name],NodesData[[#This Row],[Unambiguous Name]])</f>
        <v>1</v>
      </c>
      <c r="C469" s="12" t="s">
        <v>483</v>
      </c>
      <c r="D469" s="13" t="s">
        <v>1881</v>
      </c>
      <c r="E469" s="35">
        <f>COUNTIF(NodesData[Node ID],NodesData[[#This Row],[Node ID]])</f>
        <v>1</v>
      </c>
      <c r="G469" s="12" t="str">
        <f>IF(NodesData[[#This Row],[Class Disambiguation]]="",NodesData[[#This Row],[Common Name]],NodesData[[#This Row],[Common Name]]&amp;" ("&amp;NodesData[[#This Row],[Class Disambiguation]]&amp;")")</f>
        <v>Unprivileged Insider</v>
      </c>
      <c r="I469" s="12" t="s">
        <v>1203</v>
      </c>
      <c r="J469" s="19" t="str" cm="1">
        <f t="array" ref="J469">CreateGuidString()</f>
        <v>D1C35B7E-D4F0-4544-84F2-51FEC138D4CC</v>
      </c>
    </row>
    <row r="470" spans="1:10" x14ac:dyDescent="0.35">
      <c r="A470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User</v>
      </c>
      <c r="B470" s="35">
        <f>COUNTIF(NodesData[Unambiguous Name],NodesData[[#This Row],[Unambiguous Name]])</f>
        <v>1</v>
      </c>
      <c r="C470" s="12" t="s">
        <v>484</v>
      </c>
      <c r="D470" s="13" t="s">
        <v>1882</v>
      </c>
      <c r="E470" s="35">
        <f>COUNTIF(NodesData[Node ID],NodesData[[#This Row],[Node ID]])</f>
        <v>1</v>
      </c>
      <c r="G470" s="12" t="str">
        <f>IF(NodesData[[#This Row],[Class Disambiguation]]="",NodesData[[#This Row],[Common Name]],NodesData[[#This Row],[Common Name]]&amp;" ("&amp;NodesData[[#This Row],[Class Disambiguation]]&amp;")")</f>
        <v>User</v>
      </c>
      <c r="I470" s="12" t="s">
        <v>1204</v>
      </c>
      <c r="J470" s="19" t="str" cm="1">
        <f t="array" ref="J470">CreateGuidString()</f>
        <v>0D41F2BF-EA59-4D40-A56A-54BDF69000AB</v>
      </c>
    </row>
    <row r="471" spans="1:10" x14ac:dyDescent="0.35">
      <c r="A471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User Account</v>
      </c>
      <c r="B471" s="35">
        <f>COUNTIF(NodesData[Unambiguous Name],NodesData[[#This Row],[Unambiguous Name]])</f>
        <v>1</v>
      </c>
      <c r="C471" s="12" t="s">
        <v>485</v>
      </c>
      <c r="D471" s="13" t="s">
        <v>1883</v>
      </c>
      <c r="E471" s="35">
        <f>COUNTIF(NodesData[Node ID],NodesData[[#This Row],[Node ID]])</f>
        <v>1</v>
      </c>
      <c r="G471" s="12" t="str">
        <f>IF(NodesData[[#This Row],[Class Disambiguation]]="",NodesData[[#This Row],[Common Name]],NodesData[[#This Row],[Common Name]]&amp;" ("&amp;NodesData[[#This Row],[Class Disambiguation]]&amp;")")</f>
        <v>User Account</v>
      </c>
      <c r="I471" s="12" t="s">
        <v>1205</v>
      </c>
      <c r="J471" s="19" t="str" cm="1">
        <f t="array" ref="J471">CreateGuidString()</f>
        <v>2C75C8CD-2848-43EA-93F7-5B5057EE9DB2</v>
      </c>
    </row>
    <row r="472" spans="1:10" x14ac:dyDescent="0.35">
      <c r="A472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User De-Provisioning</v>
      </c>
      <c r="B472" s="35">
        <f>COUNTIF(NodesData[Unambiguous Name],NodesData[[#This Row],[Unambiguous Name]])</f>
        <v>1</v>
      </c>
      <c r="C472" s="12" t="s">
        <v>487</v>
      </c>
      <c r="D472" s="13" t="s">
        <v>1884</v>
      </c>
      <c r="E472" s="35">
        <f>COUNTIF(NodesData[Node ID],NodesData[[#This Row],[Node ID]])</f>
        <v>1</v>
      </c>
      <c r="G472" s="12" t="str">
        <f>IF(NodesData[[#This Row],[Class Disambiguation]]="",NodesData[[#This Row],[Common Name]],NodesData[[#This Row],[Common Name]]&amp;" ("&amp;NodesData[[#This Row],[Class Disambiguation]]&amp;")")</f>
        <v>User De-Provisioning</v>
      </c>
      <c r="I472" s="12" t="s">
        <v>1206</v>
      </c>
      <c r="J472" s="19" t="str" cm="1">
        <f t="array" ref="J472">CreateGuidString()</f>
        <v>3D73D9C2-7396-426E-A830-65BC562C0B28</v>
      </c>
    </row>
    <row r="473" spans="1:10" x14ac:dyDescent="0.35">
      <c r="A473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User Entitlement Reviews</v>
      </c>
      <c r="B473" s="35">
        <f>COUNTIF(NodesData[Unambiguous Name],NodesData[[#This Row],[Unambiguous Name]])</f>
        <v>1</v>
      </c>
      <c r="C473" s="12" t="s">
        <v>1207</v>
      </c>
      <c r="D473" s="13" t="s">
        <v>1885</v>
      </c>
      <c r="E473" s="35">
        <f>COUNTIF(NodesData[Node ID],NodesData[[#This Row],[Node ID]])</f>
        <v>1</v>
      </c>
      <c r="G473" s="12" t="str">
        <f>IF(NodesData[[#This Row],[Class Disambiguation]]="",NodesData[[#This Row],[Common Name]],NodesData[[#This Row],[Common Name]]&amp;" ("&amp;NodesData[[#This Row],[Class Disambiguation]]&amp;")")</f>
        <v>User Entitlement Reviews</v>
      </c>
      <c r="I473" s="12" t="s">
        <v>1208</v>
      </c>
      <c r="J473" s="19" t="str" cm="1">
        <f t="array" ref="J473">CreateGuidString()</f>
        <v>2D36BC3E-7D15-4736-B05E-BF6E6689516C</v>
      </c>
    </row>
    <row r="474" spans="1:10" x14ac:dyDescent="0.35">
      <c r="A474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User ID (Acronym)</v>
      </c>
      <c r="B474" s="35">
        <f>COUNTIF(NodesData[Unambiguous Name],NodesData[[#This Row],[Unambiguous Name]])</f>
        <v>1</v>
      </c>
      <c r="C474" s="12" t="s">
        <v>489</v>
      </c>
      <c r="D474" s="13" t="s">
        <v>1886</v>
      </c>
      <c r="E474" s="35">
        <f>COUNTIF(NodesData[Node ID],NodesData[[#This Row],[Node ID]])</f>
        <v>1</v>
      </c>
      <c r="F474" s="12" t="s">
        <v>1270</v>
      </c>
      <c r="G474" s="12" t="str">
        <f>IF(NodesData[[#This Row],[Class Disambiguation]]="",NodesData[[#This Row],[Common Name]],NodesData[[#This Row],[Common Name]]&amp;" ("&amp;NodesData[[#This Row],[Class Disambiguation]]&amp;")")</f>
        <v>User ID (Acronym)</v>
      </c>
      <c r="I474" s="12" t="s">
        <v>1209</v>
      </c>
      <c r="J474" s="19" t="str" cm="1">
        <f t="array" ref="J474">CreateGuidString()</f>
        <v>533A6F6D-BEC2-4B5C-B050-25746FDCE4A0</v>
      </c>
    </row>
    <row r="475" spans="1:10" x14ac:dyDescent="0.35">
      <c r="A475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User Provisioning</v>
      </c>
      <c r="B475" s="35">
        <f>COUNTIF(NodesData[Unambiguous Name],NodesData[[#This Row],[Unambiguous Name]])</f>
        <v>1</v>
      </c>
      <c r="C475" s="12" t="s">
        <v>491</v>
      </c>
      <c r="D475" s="13" t="s">
        <v>1887</v>
      </c>
      <c r="E475" s="35">
        <f>COUNTIF(NodesData[Node ID],NodesData[[#This Row],[Node ID]])</f>
        <v>1</v>
      </c>
      <c r="G475" s="12" t="str">
        <f>IF(NodesData[[#This Row],[Class Disambiguation]]="",NodesData[[#This Row],[Common Name]],NodesData[[#This Row],[Common Name]]&amp;" ("&amp;NodesData[[#This Row],[Class Disambiguation]]&amp;")")</f>
        <v>User Provisioning</v>
      </c>
      <c r="I475" s="12" t="s">
        <v>1210</v>
      </c>
      <c r="J475" s="19" t="str" cm="1">
        <f t="array" ref="J475">CreateGuidString()</f>
        <v>FC3C78CE-F702-4863-A0D6-A970C86C977C</v>
      </c>
    </row>
    <row r="476" spans="1:10" x14ac:dyDescent="0.35">
      <c r="A476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User-Centric Identity Management System</v>
      </c>
      <c r="B476" s="35">
        <f>COUNTIF(NodesData[Unambiguous Name],NodesData[[#This Row],[Unambiguous Name]])</f>
        <v>1</v>
      </c>
      <c r="C476" s="12" t="s">
        <v>486</v>
      </c>
      <c r="D476" s="13" t="s">
        <v>1888</v>
      </c>
      <c r="E476" s="35">
        <f>COUNTIF(NodesData[Node ID],NodesData[[#This Row],[Node ID]])</f>
        <v>1</v>
      </c>
      <c r="G476" s="12" t="str">
        <f>IF(NodesData[[#This Row],[Class Disambiguation]]="",NodesData[[#This Row],[Common Name]],NodesData[[#This Row],[Common Name]]&amp;" ("&amp;NodesData[[#This Row],[Class Disambiguation]]&amp;")")</f>
        <v>User-Centric Identity Management System</v>
      </c>
      <c r="I476" s="12" t="s">
        <v>1211</v>
      </c>
      <c r="J476" s="19" t="str" cm="1">
        <f t="array" ref="J476">CreateGuidString()</f>
        <v>953095A5-9D8C-4649-8E8A-C5F6C5DFCCC3</v>
      </c>
    </row>
    <row r="477" spans="1:10" x14ac:dyDescent="0.35">
      <c r="A477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Username</v>
      </c>
      <c r="B477" s="35">
        <f>COUNTIF(NodesData[Unambiguous Name],NodesData[[#This Row],[Unambiguous Name]])</f>
        <v>1</v>
      </c>
      <c r="C477" s="12" t="s">
        <v>490</v>
      </c>
      <c r="D477" s="13" t="s">
        <v>1889</v>
      </c>
      <c r="E477" s="35">
        <f>COUNTIF(NodesData[Node ID],NodesData[[#This Row],[Node ID]])</f>
        <v>1</v>
      </c>
      <c r="G477" s="12" t="str">
        <f>IF(NodesData[[#This Row],[Class Disambiguation]]="",NodesData[[#This Row],[Common Name]],NodesData[[#This Row],[Common Name]]&amp;" ("&amp;NodesData[[#This Row],[Class Disambiguation]]&amp;")")</f>
        <v>Username</v>
      </c>
      <c r="I477" s="12" t="s">
        <v>1212</v>
      </c>
      <c r="J477" s="19" t="str" cm="1">
        <f t="array" ref="J477">CreateGuidString()</f>
        <v>50116BF4-7909-4C78-89D3-3062A9D203E7</v>
      </c>
    </row>
    <row r="478" spans="1:10" x14ac:dyDescent="0.35">
      <c r="A478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Verifiable Claim</v>
      </c>
      <c r="B478" s="35">
        <f>COUNTIF(NodesData[Unambiguous Name],NodesData[[#This Row],[Unambiguous Name]])</f>
        <v>1</v>
      </c>
      <c r="C478" s="12" t="s">
        <v>492</v>
      </c>
      <c r="D478" s="13" t="s">
        <v>1890</v>
      </c>
      <c r="E478" s="35">
        <f>COUNTIF(NodesData[Node ID],NodesData[[#This Row],[Node ID]])</f>
        <v>1</v>
      </c>
      <c r="G478" s="12" t="str">
        <f>IF(NodesData[[#This Row],[Class Disambiguation]]="",NodesData[[#This Row],[Common Name]],NodesData[[#This Row],[Common Name]]&amp;" ("&amp;NodesData[[#This Row],[Class Disambiguation]]&amp;")")</f>
        <v>Verifiable Claim</v>
      </c>
      <c r="I478" s="12" t="s">
        <v>1213</v>
      </c>
      <c r="J478" s="19" t="str" cm="1">
        <f t="array" ref="J478">CreateGuidString()</f>
        <v>45866399-C88C-4EF8-B2CE-5FA6498C6809</v>
      </c>
    </row>
    <row r="479" spans="1:10" x14ac:dyDescent="0.35">
      <c r="A479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Verification</v>
      </c>
      <c r="B479" s="35">
        <f>COUNTIF(NodesData[Unambiguous Name],NodesData[[#This Row],[Unambiguous Name]])</f>
        <v>1</v>
      </c>
      <c r="C479" s="12" t="s">
        <v>493</v>
      </c>
      <c r="D479" s="13" t="s">
        <v>1891</v>
      </c>
      <c r="E479" s="35">
        <f>COUNTIF(NodesData[Node ID],NodesData[[#This Row],[Node ID]])</f>
        <v>1</v>
      </c>
      <c r="G479" s="12" t="str">
        <f>IF(NodesData[[#This Row],[Class Disambiguation]]="",NodesData[[#This Row],[Common Name]],NodesData[[#This Row],[Common Name]]&amp;" ("&amp;NodesData[[#This Row],[Class Disambiguation]]&amp;")")</f>
        <v>Verification</v>
      </c>
      <c r="I479" s="12" t="s">
        <v>1214</v>
      </c>
      <c r="J479" s="19" t="str" cm="1">
        <f t="array" ref="J479">CreateGuidString()</f>
        <v>6DE8868E-CD4F-47FC-83DB-A6923BBFE40B</v>
      </c>
    </row>
    <row r="480" spans="1:10" x14ac:dyDescent="0.35">
      <c r="A480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Account Takeover: Victim</v>
      </c>
      <c r="B480" s="35">
        <f>COUNTIF(NodesData[Unambiguous Name],NodesData[[#This Row],[Unambiguous Name]])</f>
        <v>1</v>
      </c>
      <c r="C480" s="32" t="s">
        <v>1391</v>
      </c>
      <c r="D480" s="13" t="s">
        <v>1444</v>
      </c>
      <c r="E480" s="35">
        <f>COUNTIF(NodesData[Node ID],NodesData[[#This Row],[Node ID]])</f>
        <v>1</v>
      </c>
      <c r="G480" s="18" t="str">
        <f>IF(NodesData[[#This Row],[Class Disambiguation]]="",NodesData[[#This Row],[Common Name]],NodesData[[#This Row],[Common Name]]&amp;" ("&amp;NodesData[[#This Row],[Class Disambiguation]]&amp;")")</f>
        <v>Victim</v>
      </c>
      <c r="H480" s="18" t="s">
        <v>4</v>
      </c>
      <c r="J480" s="20" t="str" cm="1">
        <f t="array" ref="J480">CreateGuidString()</f>
        <v>3EEAC050-0148-43B8-B2AD-F4F10820ACFA</v>
      </c>
    </row>
    <row r="481" spans="1:10" x14ac:dyDescent="0.35">
      <c r="A481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Virtual Directory</v>
      </c>
      <c r="B481" s="35">
        <f>COUNTIF(NodesData[Unambiguous Name],NodesData[[#This Row],[Unambiguous Name]])</f>
        <v>1</v>
      </c>
      <c r="C481" s="12" t="s">
        <v>1215</v>
      </c>
      <c r="D481" s="13" t="s">
        <v>1892</v>
      </c>
      <c r="E481" s="35">
        <f>COUNTIF(NodesData[Node ID],NodesData[[#This Row],[Node ID]])</f>
        <v>1</v>
      </c>
      <c r="G481" s="12" t="str">
        <f>IF(NodesData[[#This Row],[Class Disambiguation]]="",NodesData[[#This Row],[Common Name]],NodesData[[#This Row],[Common Name]]&amp;" ("&amp;NodesData[[#This Row],[Class Disambiguation]]&amp;")")</f>
        <v>Virtual Directory</v>
      </c>
      <c r="I481" s="12" t="s">
        <v>1216</v>
      </c>
      <c r="J481" s="19" t="str" cm="1">
        <f t="array" ref="J481">CreateGuidString()</f>
        <v>3C9B8A9B-F12B-4572-BF4E-08A9BC58ECDA</v>
      </c>
    </row>
    <row r="482" spans="1:10" x14ac:dyDescent="0.35">
      <c r="A482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Virtual Private Network</v>
      </c>
      <c r="B482" s="35">
        <f>COUNTIF(NodesData[Unambiguous Name],NodesData[[#This Row],[Unambiguous Name]])</f>
        <v>1</v>
      </c>
      <c r="C482" s="12" t="s">
        <v>1217</v>
      </c>
      <c r="D482" s="13" t="s">
        <v>1893</v>
      </c>
      <c r="E482" s="35">
        <f>COUNTIF(NodesData[Node ID],NodesData[[#This Row],[Node ID]])</f>
        <v>1</v>
      </c>
      <c r="G482" s="12" t="str">
        <f>IF(NodesData[[#This Row],[Class Disambiguation]]="",NodesData[[#This Row],[Common Name]],NodesData[[#This Row],[Common Name]]&amp;" ("&amp;NodesData[[#This Row],[Class Disambiguation]]&amp;")")</f>
        <v>Virtual Private Network</v>
      </c>
      <c r="I482" s="12" t="s">
        <v>1218</v>
      </c>
      <c r="J482" s="19" t="str" cm="1">
        <f t="array" ref="J482">CreateGuidString()</f>
        <v>E2E36C5F-98AF-47A5-991B-0F9F2642D2AB</v>
      </c>
    </row>
    <row r="483" spans="1:10" x14ac:dyDescent="0.35">
      <c r="A483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Virtual Risk and Security Site Review</v>
      </c>
      <c r="B483" s="35">
        <f>COUNTIF(NodesData[Unambiguous Name],NodesData[[#This Row],[Unambiguous Name]])</f>
        <v>1</v>
      </c>
      <c r="C483" s="12" t="s">
        <v>1219</v>
      </c>
      <c r="D483" s="13" t="s">
        <v>1894</v>
      </c>
      <c r="E483" s="35">
        <f>COUNTIF(NodesData[Node ID],NodesData[[#This Row],[Node ID]])</f>
        <v>1</v>
      </c>
      <c r="G483" s="12" t="str">
        <f>IF(NodesData[[#This Row],[Class Disambiguation]]="",NodesData[[#This Row],[Common Name]],NodesData[[#This Row],[Common Name]]&amp;" ("&amp;NodesData[[#This Row],[Class Disambiguation]]&amp;")")</f>
        <v>Virtual Risk and Security Site Review</v>
      </c>
      <c r="I483" s="12" t="s">
        <v>1220</v>
      </c>
      <c r="J483" s="19" t="str" cm="1">
        <f t="array" ref="J483">CreateGuidString()</f>
        <v>821BF78C-3A31-459F-9930-08F76E02A3C2</v>
      </c>
    </row>
    <row r="484" spans="1:10" x14ac:dyDescent="0.35">
      <c r="A484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Voice OTP</v>
      </c>
      <c r="B484" s="35">
        <f>COUNTIF(NodesData[Unambiguous Name],NodesData[[#This Row],[Unambiguous Name]])</f>
        <v>1</v>
      </c>
      <c r="C484" s="12" t="s">
        <v>1323</v>
      </c>
      <c r="D484" s="13" t="s">
        <v>1895</v>
      </c>
      <c r="E484" s="35">
        <f>COUNTIF(NodesData[Node ID],NodesData[[#This Row],[Node ID]])</f>
        <v>1</v>
      </c>
      <c r="G484" s="12" t="str">
        <f>IF(NodesData[[#This Row],[Class Disambiguation]]="",NodesData[[#This Row],[Common Name]],NodesData[[#This Row],[Common Name]]&amp;" ("&amp;NodesData[[#This Row],[Class Disambiguation]]&amp;")")</f>
        <v>Voice OTP</v>
      </c>
      <c r="J484" s="19" t="str" cm="1">
        <f t="array" ref="J484">CreateGuidString()</f>
        <v>4DB379F0-E438-4199-A756-AAF970B99944</v>
      </c>
    </row>
    <row r="485" spans="1:10" x14ac:dyDescent="0.35">
      <c r="A485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Voice Recognition Authentication</v>
      </c>
      <c r="B485" s="35">
        <f>COUNTIF(NodesData[Unambiguous Name],NodesData[[#This Row],[Unambiguous Name]])</f>
        <v>1</v>
      </c>
      <c r="C485" s="12" t="s">
        <v>1315</v>
      </c>
      <c r="D485" s="13" t="s">
        <v>1896</v>
      </c>
      <c r="E485" s="35">
        <f>COUNTIF(NodesData[Node ID],NodesData[[#This Row],[Node ID]])</f>
        <v>1</v>
      </c>
      <c r="G485" s="12" t="str">
        <f>IF(NodesData[[#This Row],[Class Disambiguation]]="",NodesData[[#This Row],[Common Name]],NodesData[[#This Row],[Common Name]]&amp;" ("&amp;NodesData[[#This Row],[Class Disambiguation]]&amp;")")</f>
        <v>Voice Recognition Authentication</v>
      </c>
      <c r="J485" s="19" t="str" cm="1">
        <f t="array" ref="J485">CreateGuidString()</f>
        <v>78B9C4C5-0DAF-4FE7-9924-2B3761A0FA31</v>
      </c>
    </row>
    <row r="486" spans="1:10" x14ac:dyDescent="0.35">
      <c r="A486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VPN (Acronym)</v>
      </c>
      <c r="B486" s="35">
        <f>COUNTIF(NodesData[Unambiguous Name],NodesData[[#This Row],[Unambiguous Name]])</f>
        <v>1</v>
      </c>
      <c r="C486" s="12" t="s">
        <v>1221</v>
      </c>
      <c r="D486" s="13" t="s">
        <v>1897</v>
      </c>
      <c r="E486" s="35">
        <f>COUNTIF(NodesData[Node ID],NodesData[[#This Row],[Node ID]])</f>
        <v>1</v>
      </c>
      <c r="F486" s="12" t="s">
        <v>1270</v>
      </c>
      <c r="G486" s="12" t="str">
        <f>IF(NodesData[[#This Row],[Class Disambiguation]]="",NodesData[[#This Row],[Common Name]],NodesData[[#This Row],[Common Name]]&amp;" ("&amp;NodesData[[#This Row],[Class Disambiguation]]&amp;")")</f>
        <v>VPN (Acronym)</v>
      </c>
      <c r="I486" s="12" t="s">
        <v>1222</v>
      </c>
      <c r="J486" s="19" t="str" cm="1">
        <f t="array" ref="J486">CreateGuidString()</f>
        <v>AE0DADF1-39DC-4D23-B17A-FA19175441EB</v>
      </c>
    </row>
    <row r="487" spans="1:10" x14ac:dyDescent="0.35">
      <c r="A487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Weak Authentication</v>
      </c>
      <c r="B487" s="35">
        <f>COUNTIF(NodesData[Unambiguous Name],NodesData[[#This Row],[Unambiguous Name]])</f>
        <v>1</v>
      </c>
      <c r="C487" s="12" t="s">
        <v>1223</v>
      </c>
      <c r="D487" s="13" t="s">
        <v>1898</v>
      </c>
      <c r="E487" s="35">
        <f>COUNTIF(NodesData[Node ID],NodesData[[#This Row],[Node ID]])</f>
        <v>1</v>
      </c>
      <c r="G487" s="12" t="str">
        <f>IF(NodesData[[#This Row],[Class Disambiguation]]="",NodesData[[#This Row],[Common Name]],NodesData[[#This Row],[Common Name]]&amp;" ("&amp;NodesData[[#This Row],[Class Disambiguation]]&amp;")")</f>
        <v>Weak Authentication</v>
      </c>
      <c r="I487" s="12" t="s">
        <v>1224</v>
      </c>
      <c r="J487" s="19" t="str" cm="1">
        <f t="array" ref="J487">CreateGuidString()</f>
        <v>984EDE54-1849-4797-A5AA-5885C336752C</v>
      </c>
    </row>
    <row r="488" spans="1:10" x14ac:dyDescent="0.35">
      <c r="A488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Weak Tranquility Property</v>
      </c>
      <c r="B488" s="35">
        <f>COUNTIF(NodesData[Unambiguous Name],NodesData[[#This Row],[Unambiguous Name]])</f>
        <v>1</v>
      </c>
      <c r="C488" s="12" t="s">
        <v>1225</v>
      </c>
      <c r="D488" s="13" t="s">
        <v>1899</v>
      </c>
      <c r="E488" s="35">
        <f>COUNTIF(NodesData[Node ID],NodesData[[#This Row],[Node ID]])</f>
        <v>1</v>
      </c>
      <c r="G488" s="12" t="str">
        <f>IF(NodesData[[#This Row],[Class Disambiguation]]="",NodesData[[#This Row],[Common Name]],NodesData[[#This Row],[Common Name]]&amp;" ("&amp;NodesData[[#This Row],[Class Disambiguation]]&amp;")")</f>
        <v>Weak Tranquility Property</v>
      </c>
      <c r="I488" s="12" t="s">
        <v>1226</v>
      </c>
      <c r="J488" s="19" t="str" cm="1">
        <f t="array" ref="J488">CreateGuidString()</f>
        <v>0C6C0A2D-F17F-45E3-8A57-F204F024EED7</v>
      </c>
    </row>
    <row r="489" spans="1:10" x14ac:dyDescent="0.35">
      <c r="A489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Web-based Single Sign-On</v>
      </c>
      <c r="B489" s="35">
        <f>COUNTIF(NodesData[Unambiguous Name],NodesData[[#This Row],[Unambiguous Name]])</f>
        <v>1</v>
      </c>
      <c r="C489" s="12" t="s">
        <v>1227</v>
      </c>
      <c r="D489" s="13" t="s">
        <v>1900</v>
      </c>
      <c r="E489" s="35">
        <f>COUNTIF(NodesData[Node ID],NodesData[[#This Row],[Node ID]])</f>
        <v>1</v>
      </c>
      <c r="G489" s="12" t="str">
        <f>IF(NodesData[[#This Row],[Class Disambiguation]]="",NodesData[[#This Row],[Common Name]],NodesData[[#This Row],[Common Name]]&amp;" ("&amp;NodesData[[#This Row],[Class Disambiguation]]&amp;")")</f>
        <v>Web-based Single Sign-On</v>
      </c>
      <c r="I489" s="12" t="s">
        <v>1228</v>
      </c>
      <c r="J489" s="19" t="str" cm="1">
        <f t="array" ref="J489">CreateGuidString()</f>
        <v>4FB6F69A-701D-4F2F-B025-CBF7DEC5BD83</v>
      </c>
    </row>
    <row r="490" spans="1:10" x14ac:dyDescent="0.35">
      <c r="A490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Windows (Non-Default) Local User Account</v>
      </c>
      <c r="B490" s="35">
        <f>COUNTIF(NodesData[Unambiguous Name],NodesData[[#This Row],[Unambiguous Name]])</f>
        <v>1</v>
      </c>
      <c r="C490" s="12" t="s">
        <v>1229</v>
      </c>
      <c r="D490" s="13" t="s">
        <v>1901</v>
      </c>
      <c r="E490" s="35">
        <f>COUNTIF(NodesData[Node ID],NodesData[[#This Row],[Node ID]])</f>
        <v>1</v>
      </c>
      <c r="G490" s="12" t="str">
        <f>IF(NodesData[[#This Row],[Class Disambiguation]]="",NodesData[[#This Row],[Common Name]],NodesData[[#This Row],[Common Name]]&amp;" ("&amp;NodesData[[#This Row],[Class Disambiguation]]&amp;")")</f>
        <v>Windows (Non-Default) Local User Account</v>
      </c>
      <c r="I490" s="12" t="s">
        <v>1230</v>
      </c>
      <c r="J490" s="19" t="str" cm="1">
        <f t="array" ref="J490">CreateGuidString()</f>
        <v>A4B64C6F-2252-479D-A264-07528898EFC6</v>
      </c>
    </row>
    <row r="491" spans="1:10" x14ac:dyDescent="0.35">
      <c r="A491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Windows Default Local System Account</v>
      </c>
      <c r="B491" s="35">
        <f>COUNTIF(NodesData[Unambiguous Name],NodesData[[#This Row],[Unambiguous Name]])</f>
        <v>1</v>
      </c>
      <c r="C491" s="12" t="s">
        <v>1231</v>
      </c>
      <c r="D491" s="13" t="s">
        <v>1902</v>
      </c>
      <c r="E491" s="35">
        <f>COUNTIF(NodesData[Node ID],NodesData[[#This Row],[Node ID]])</f>
        <v>1</v>
      </c>
      <c r="G491" s="12" t="str">
        <f>IF(NodesData[[#This Row],[Class Disambiguation]]="",NodesData[[#This Row],[Common Name]],NodesData[[#This Row],[Common Name]]&amp;" ("&amp;NodesData[[#This Row],[Class Disambiguation]]&amp;")")</f>
        <v>Windows Default Local System Account</v>
      </c>
      <c r="I491" s="12" t="s">
        <v>1232</v>
      </c>
      <c r="J491" s="19" t="str" cm="1">
        <f t="array" ref="J491">CreateGuidString()</f>
        <v>415E8C96-41F6-44D3-85F1-DBF4337D634F</v>
      </c>
    </row>
    <row r="492" spans="1:10" x14ac:dyDescent="0.35">
      <c r="A492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Windows Default Local User Account</v>
      </c>
      <c r="B492" s="35">
        <f>COUNTIF(NodesData[Unambiguous Name],NodesData[[#This Row],[Unambiguous Name]])</f>
        <v>1</v>
      </c>
      <c r="C492" s="12" t="s">
        <v>1233</v>
      </c>
      <c r="D492" s="13" t="s">
        <v>1903</v>
      </c>
      <c r="E492" s="35">
        <f>COUNTIF(NodesData[Node ID],NodesData[[#This Row],[Node ID]])</f>
        <v>1</v>
      </c>
      <c r="G492" s="12" t="str">
        <f>IF(NodesData[[#This Row],[Class Disambiguation]]="",NodesData[[#This Row],[Common Name]],NodesData[[#This Row],[Common Name]]&amp;" ("&amp;NodesData[[#This Row],[Class Disambiguation]]&amp;")")</f>
        <v>Windows Default Local User Account</v>
      </c>
      <c r="I492" s="12" t="s">
        <v>1234</v>
      </c>
      <c r="J492" s="19" t="str" cm="1">
        <f t="array" ref="J492">CreateGuidString()</f>
        <v>29689711-64EC-4BE3-A204-F286F08954FB</v>
      </c>
    </row>
    <row r="493" spans="1:10" x14ac:dyDescent="0.35">
      <c r="A493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Windows DefaultAccount Account</v>
      </c>
      <c r="B493" s="35">
        <f>COUNTIF(NodesData[Unambiguous Name],NodesData[[#This Row],[Unambiguous Name]])</f>
        <v>1</v>
      </c>
      <c r="C493" s="12" t="s">
        <v>1235</v>
      </c>
      <c r="D493" s="13" t="s">
        <v>1904</v>
      </c>
      <c r="E493" s="35">
        <f>COUNTIF(NodesData[Node ID],NodesData[[#This Row],[Node ID]])</f>
        <v>1</v>
      </c>
      <c r="G493" s="12" t="str">
        <f>IF(NodesData[[#This Row],[Class Disambiguation]]="",NodesData[[#This Row],[Common Name]],NodesData[[#This Row],[Common Name]]&amp;" ("&amp;NodesData[[#This Row],[Class Disambiguation]]&amp;")")</f>
        <v>Windows DefaultAccount Account</v>
      </c>
      <c r="I493" s="12" t="s">
        <v>1236</v>
      </c>
      <c r="J493" s="19" t="str" cm="1">
        <f t="array" ref="J493">CreateGuidString()</f>
        <v>551C8DE1-68C8-4281-B4FE-CDAB84F42499</v>
      </c>
    </row>
    <row r="494" spans="1:10" x14ac:dyDescent="0.35">
      <c r="A494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Windows Guest Account</v>
      </c>
      <c r="B494" s="35">
        <f>COUNTIF(NodesData[Unambiguous Name],NodesData[[#This Row],[Unambiguous Name]])</f>
        <v>1</v>
      </c>
      <c r="C494" s="12" t="s">
        <v>1237</v>
      </c>
      <c r="D494" s="13" t="s">
        <v>1905</v>
      </c>
      <c r="E494" s="35">
        <f>COUNTIF(NodesData[Node ID],NodesData[[#This Row],[Node ID]])</f>
        <v>1</v>
      </c>
      <c r="G494" s="12" t="str">
        <f>IF(NodesData[[#This Row],[Class Disambiguation]]="",NodesData[[#This Row],[Common Name]],NodesData[[#This Row],[Common Name]]&amp;" ("&amp;NodesData[[#This Row],[Class Disambiguation]]&amp;")")</f>
        <v>Windows Guest Account</v>
      </c>
      <c r="I494" s="12" t="s">
        <v>1238</v>
      </c>
      <c r="J494" s="19" t="str" cm="1">
        <f t="array" ref="J494">CreateGuidString()</f>
        <v>5713AFDA-6B30-4F4F-807D-E6FF6EC5D80A</v>
      </c>
    </row>
    <row r="495" spans="1:10" x14ac:dyDescent="0.35">
      <c r="A495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Windows HelpAssistant Account</v>
      </c>
      <c r="B495" s="35">
        <f>COUNTIF(NodesData[Unambiguous Name],NodesData[[#This Row],[Unambiguous Name]])</f>
        <v>1</v>
      </c>
      <c r="C495" s="12" t="s">
        <v>1239</v>
      </c>
      <c r="D495" s="13" t="s">
        <v>1906</v>
      </c>
      <c r="E495" s="35">
        <f>COUNTIF(NodesData[Node ID],NodesData[[#This Row],[Node ID]])</f>
        <v>1</v>
      </c>
      <c r="G495" s="12" t="str">
        <f>IF(NodesData[[#This Row],[Class Disambiguation]]="",NodesData[[#This Row],[Common Name]],NodesData[[#This Row],[Common Name]]&amp;" ("&amp;NodesData[[#This Row],[Class Disambiguation]]&amp;")")</f>
        <v>Windows HelpAssistant Account</v>
      </c>
      <c r="I495" s="12" t="s">
        <v>1240</v>
      </c>
      <c r="J495" s="19" t="str" cm="1">
        <f t="array" ref="J495">CreateGuidString()</f>
        <v>658F4642-7FB1-47F7-9878-82C6C2AF5012</v>
      </c>
    </row>
    <row r="496" spans="1:10" x14ac:dyDescent="0.35">
      <c r="A496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Windows Local Account</v>
      </c>
      <c r="B496" s="35">
        <f>COUNTIF(NodesData[Unambiguous Name],NodesData[[#This Row],[Unambiguous Name]])</f>
        <v>1</v>
      </c>
      <c r="C496" s="12" t="s">
        <v>1241</v>
      </c>
      <c r="D496" s="13" t="s">
        <v>1907</v>
      </c>
      <c r="E496" s="35">
        <f>COUNTIF(NodesData[Node ID],NodesData[[#This Row],[Node ID]])</f>
        <v>1</v>
      </c>
      <c r="G496" s="12" t="str">
        <f>IF(NodesData[[#This Row],[Class Disambiguation]]="",NodesData[[#This Row],[Common Name]],NodesData[[#This Row],[Common Name]]&amp;" ("&amp;NodesData[[#This Row],[Class Disambiguation]]&amp;")")</f>
        <v>Windows Local Account</v>
      </c>
      <c r="I496" s="12" t="s">
        <v>1242</v>
      </c>
      <c r="J496" s="19" t="str" cm="1">
        <f t="array" ref="J496">CreateGuidString()</f>
        <v>DDDC9667-E6A6-4D8D-9BAF-4AE6AA23986A</v>
      </c>
    </row>
    <row r="497" spans="1:10" x14ac:dyDescent="0.35">
      <c r="A497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Windows Local Administrator Account</v>
      </c>
      <c r="B497" s="35">
        <f>COUNTIF(NodesData[Unambiguous Name],NodesData[[#This Row],[Unambiguous Name]])</f>
        <v>1</v>
      </c>
      <c r="C497" s="12" t="s">
        <v>1243</v>
      </c>
      <c r="D497" s="13" t="s">
        <v>1908</v>
      </c>
      <c r="E497" s="35">
        <f>COUNTIF(NodesData[Node ID],NodesData[[#This Row],[Node ID]])</f>
        <v>1</v>
      </c>
      <c r="G497" s="12" t="str">
        <f>IF(NodesData[[#This Row],[Class Disambiguation]]="",NodesData[[#This Row],[Common Name]],NodesData[[#This Row],[Common Name]]&amp;" ("&amp;NodesData[[#This Row],[Class Disambiguation]]&amp;")")</f>
        <v>Windows Local Administrator Account</v>
      </c>
      <c r="I497" s="12" t="s">
        <v>1244</v>
      </c>
      <c r="J497" s="19" t="str" cm="1">
        <f t="array" ref="J497">CreateGuidString()</f>
        <v>35062740-F1D5-49DE-955F-D601BF8C817E</v>
      </c>
    </row>
    <row r="498" spans="1:10" x14ac:dyDescent="0.35">
      <c r="A498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Windows LOCAL SERVICE Account</v>
      </c>
      <c r="B498" s="35">
        <f>COUNTIF(NodesData[Unambiguous Name],NodesData[[#This Row],[Unambiguous Name]])</f>
        <v>1</v>
      </c>
      <c r="C498" s="12" t="s">
        <v>1245</v>
      </c>
      <c r="D498" s="13" t="s">
        <v>1909</v>
      </c>
      <c r="E498" s="35">
        <f>COUNTIF(NodesData[Node ID],NodesData[[#This Row],[Node ID]])</f>
        <v>1</v>
      </c>
      <c r="G498" s="12" t="str">
        <f>IF(NodesData[[#This Row],[Class Disambiguation]]="",NodesData[[#This Row],[Common Name]],NodesData[[#This Row],[Common Name]]&amp;" ("&amp;NodesData[[#This Row],[Class Disambiguation]]&amp;")")</f>
        <v>Windows LOCAL SERVICE Account</v>
      </c>
      <c r="I498" s="12" t="s">
        <v>1246</v>
      </c>
      <c r="J498" s="19" t="str" cm="1">
        <f t="array" ref="J498">CreateGuidString()</f>
        <v>D0D7600F-F5F2-4C6D-9557-805B4C2006A0</v>
      </c>
    </row>
    <row r="499" spans="1:10" x14ac:dyDescent="0.35">
      <c r="A499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Windows NETWORK SERVICE Account</v>
      </c>
      <c r="B499" s="35">
        <f>COUNTIF(NodesData[Unambiguous Name],NodesData[[#This Row],[Unambiguous Name]])</f>
        <v>1</v>
      </c>
      <c r="C499" s="12" t="s">
        <v>1247</v>
      </c>
      <c r="D499" s="13" t="s">
        <v>1910</v>
      </c>
      <c r="E499" s="35">
        <f>COUNTIF(NodesData[Node ID],NodesData[[#This Row],[Node ID]])</f>
        <v>1</v>
      </c>
      <c r="G499" s="12" t="str">
        <f>IF(NodesData[[#This Row],[Class Disambiguation]]="",NodesData[[#This Row],[Common Name]],NodesData[[#This Row],[Common Name]]&amp;" ("&amp;NodesData[[#This Row],[Class Disambiguation]]&amp;")")</f>
        <v>Windows NETWORK SERVICE Account</v>
      </c>
      <c r="I499" s="12" t="s">
        <v>1248</v>
      </c>
      <c r="J499" s="19" t="str" cm="1">
        <f t="array" ref="J499">CreateGuidString()</f>
        <v>753A4A5B-0D48-4E4E-82FB-38E6FEC05633</v>
      </c>
    </row>
    <row r="500" spans="1:10" x14ac:dyDescent="0.35">
      <c r="A500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Windows Security Identifier</v>
      </c>
      <c r="B500" s="35">
        <f>COUNTIF(NodesData[Unambiguous Name],NodesData[[#This Row],[Unambiguous Name]])</f>
        <v>1</v>
      </c>
      <c r="C500" s="12" t="s">
        <v>1249</v>
      </c>
      <c r="D500" s="13" t="s">
        <v>1911</v>
      </c>
      <c r="E500" s="35">
        <f>COUNTIF(NodesData[Node ID],NodesData[[#This Row],[Node ID]])</f>
        <v>1</v>
      </c>
      <c r="G500" s="12" t="str">
        <f>IF(NodesData[[#This Row],[Class Disambiguation]]="",NodesData[[#This Row],[Common Name]],NodesData[[#This Row],[Common Name]]&amp;" ("&amp;NodesData[[#This Row],[Class Disambiguation]]&amp;")")</f>
        <v>Windows Security Identifier</v>
      </c>
      <c r="I500" s="12" t="s">
        <v>1250</v>
      </c>
      <c r="J500" s="19" t="str" cm="1">
        <f t="array" ref="J500">CreateGuidString()</f>
        <v>EBA9556E-6E1A-4282-9C51-E1D64840452F</v>
      </c>
    </row>
    <row r="501" spans="1:10" x14ac:dyDescent="0.35">
      <c r="A501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Windows SYSTEM Account</v>
      </c>
      <c r="B501" s="35">
        <f>COUNTIF(NodesData[Unambiguous Name],NodesData[[#This Row],[Unambiguous Name]])</f>
        <v>1</v>
      </c>
      <c r="C501" s="12" t="s">
        <v>1251</v>
      </c>
      <c r="D501" s="13" t="s">
        <v>1912</v>
      </c>
      <c r="E501" s="35">
        <f>COUNTIF(NodesData[Node ID],NodesData[[#This Row],[Node ID]])</f>
        <v>1</v>
      </c>
      <c r="G501" s="12" t="str">
        <f>IF(NodesData[[#This Row],[Class Disambiguation]]="",NodesData[[#This Row],[Common Name]],NodesData[[#This Row],[Common Name]]&amp;" ("&amp;NodesData[[#This Row],[Class Disambiguation]]&amp;")")</f>
        <v>Windows SYSTEM Account</v>
      </c>
      <c r="I501" s="12" t="s">
        <v>1252</v>
      </c>
      <c r="J501" s="19" t="str" cm="1">
        <f t="array" ref="J501">CreateGuidString()</f>
        <v>67B2CE9E-B792-4DCE-BC0E-24EA9865B5D9</v>
      </c>
    </row>
    <row r="502" spans="1:10" x14ac:dyDescent="0.35">
      <c r="A502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Worker</v>
      </c>
      <c r="B502" s="35">
        <f>COUNTIF(NodesData[Unambiguous Name],NodesData[[#This Row],[Unambiguous Name]])</f>
        <v>1</v>
      </c>
      <c r="C502" s="12" t="s">
        <v>1253</v>
      </c>
      <c r="D502" s="13" t="s">
        <v>1913</v>
      </c>
      <c r="E502" s="35">
        <f>COUNTIF(NodesData[Node ID],NodesData[[#This Row],[Node ID]])</f>
        <v>1</v>
      </c>
      <c r="G502" s="12" t="str">
        <f>IF(NodesData[[#This Row],[Class Disambiguation]]="",NodesData[[#This Row],[Common Name]],NodesData[[#This Row],[Common Name]]&amp;" ("&amp;NodesData[[#This Row],[Class Disambiguation]]&amp;")")</f>
        <v>Worker</v>
      </c>
      <c r="I502" s="12" t="s">
        <v>1254</v>
      </c>
      <c r="J502" s="19" t="str" cm="1">
        <f t="array" ref="J502">CreateGuidString()</f>
        <v>6A3CDB05-301A-4A58-9581-A40134D8D705</v>
      </c>
    </row>
    <row r="503" spans="1:10" x14ac:dyDescent="0.35">
      <c r="A503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Workflow-Sensitive Access Control</v>
      </c>
      <c r="B503" s="35">
        <f>COUNTIF(NodesData[Unambiguous Name],NodesData[[#This Row],[Unambiguous Name]])</f>
        <v>1</v>
      </c>
      <c r="C503" s="12" t="s">
        <v>1255</v>
      </c>
      <c r="D503" s="13" t="s">
        <v>1914</v>
      </c>
      <c r="E503" s="35">
        <f>COUNTIF(NodesData[Node ID],NodesData[[#This Row],[Node ID]])</f>
        <v>1</v>
      </c>
      <c r="G503" s="12" t="str">
        <f>IF(NodesData[[#This Row],[Class Disambiguation]]="",NodesData[[#This Row],[Common Name]],NodesData[[#This Row],[Common Name]]&amp;" ("&amp;NodesData[[#This Row],[Class Disambiguation]]&amp;")")</f>
        <v>Workflow-Sensitive Access Control</v>
      </c>
      <c r="I503" s="12" t="s">
        <v>1256</v>
      </c>
      <c r="J503" s="19" t="str" cm="1">
        <f t="array" ref="J503">CreateGuidString()</f>
        <v>5F7C7067-D56C-42FB-B16B-68267C36580A</v>
      </c>
    </row>
    <row r="504" spans="1:10" x14ac:dyDescent="0.35">
      <c r="A504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Workforce</v>
      </c>
      <c r="B504" s="35">
        <f>COUNTIF(NodesData[Unambiguous Name],NodesData[[#This Row],[Unambiguous Name]])</f>
        <v>1</v>
      </c>
      <c r="C504" s="12" t="s">
        <v>1257</v>
      </c>
      <c r="D504" s="13" t="s">
        <v>1915</v>
      </c>
      <c r="E504" s="35">
        <f>COUNTIF(NodesData[Node ID],NodesData[[#This Row],[Node ID]])</f>
        <v>1</v>
      </c>
      <c r="G504" s="12" t="str">
        <f>IF(NodesData[[#This Row],[Class Disambiguation]]="",NodesData[[#This Row],[Common Name]],NodesData[[#This Row],[Common Name]]&amp;" ("&amp;NodesData[[#This Row],[Class Disambiguation]]&amp;")")</f>
        <v>Workforce</v>
      </c>
      <c r="I504" s="12" t="s">
        <v>1258</v>
      </c>
      <c r="J504" s="19" t="str" cm="1">
        <f t="array" ref="J504">CreateGuidString()</f>
        <v>88AA01E8-9B86-4526-8099-27ADE6655882</v>
      </c>
    </row>
    <row r="505" spans="1:10" x14ac:dyDescent="0.35">
      <c r="A505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XACML (Acronym)</v>
      </c>
      <c r="B505" s="35">
        <f>COUNTIF(NodesData[Unambiguous Name],NodesData[[#This Row],[Unambiguous Name]])</f>
        <v>1</v>
      </c>
      <c r="C505" s="12" t="s">
        <v>1259</v>
      </c>
      <c r="D505" s="13" t="s">
        <v>1916</v>
      </c>
      <c r="E505" s="35">
        <f>COUNTIF(NodesData[Node ID],NodesData[[#This Row],[Node ID]])</f>
        <v>1</v>
      </c>
      <c r="F505" s="12" t="s">
        <v>1270</v>
      </c>
      <c r="G505" s="12" t="str">
        <f>IF(NodesData[[#This Row],[Class Disambiguation]]="",NodesData[[#This Row],[Common Name]],NodesData[[#This Row],[Common Name]]&amp;" ("&amp;NodesData[[#This Row],[Class Disambiguation]]&amp;")")</f>
        <v>XACML (Acronym)</v>
      </c>
      <c r="I505" s="12" t="s">
        <v>1260</v>
      </c>
      <c r="J505" s="19" t="str" cm="1">
        <f t="array" ref="J505">CreateGuidString()</f>
        <v>67CFBBE2-D5FC-40CA-A015-97F4CB85F506</v>
      </c>
    </row>
    <row r="506" spans="1:10" x14ac:dyDescent="0.35">
      <c r="A506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Zero-Trust Access</v>
      </c>
      <c r="B506" s="35">
        <f>COUNTIF(NodesData[Unambiguous Name],NodesData[[#This Row],[Unambiguous Name]])</f>
        <v>1</v>
      </c>
      <c r="C506" s="12" t="s">
        <v>517</v>
      </c>
      <c r="D506" s="13" t="s">
        <v>1917</v>
      </c>
      <c r="E506" s="35">
        <f>COUNTIF(NodesData[Node ID],NodesData[[#This Row],[Node ID]])</f>
        <v>1</v>
      </c>
      <c r="G506" s="12" t="str">
        <f>IF(NodesData[[#This Row],[Class Disambiguation]]="",NodesData[[#This Row],[Common Name]],NodesData[[#This Row],[Common Name]]&amp;" ("&amp;NodesData[[#This Row],[Class Disambiguation]]&amp;")")</f>
        <v>Zero-Trust Access</v>
      </c>
      <c r="I506" s="12" t="s">
        <v>1261</v>
      </c>
      <c r="J506" s="19" t="str" cm="1">
        <f t="array" ref="J506">CreateGuidString()</f>
        <v>95AD447D-A625-4610-A544-EEC722479FD8</v>
      </c>
    </row>
    <row r="507" spans="1:10" x14ac:dyDescent="0.35">
      <c r="A507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Zombie Account</v>
      </c>
      <c r="B507" s="35">
        <f>COUNTIF(NodesData[Unambiguous Name],NodesData[[#This Row],[Unambiguous Name]])</f>
        <v>1</v>
      </c>
      <c r="C507" s="12" t="s">
        <v>518</v>
      </c>
      <c r="D507" s="13" t="s">
        <v>1918</v>
      </c>
      <c r="E507" s="35">
        <f>COUNTIF(NodesData[Node ID],NodesData[[#This Row],[Node ID]])</f>
        <v>1</v>
      </c>
      <c r="G507" s="12" t="str">
        <f>IF(NodesData[[#This Row],[Class Disambiguation]]="",NodesData[[#This Row],[Common Name]],NodesData[[#This Row],[Common Name]]&amp;" ("&amp;NodesData[[#This Row],[Class Disambiguation]]&amp;")")</f>
        <v>Zombie Account</v>
      </c>
      <c r="I507" s="12" t="s">
        <v>1262</v>
      </c>
      <c r="J507" s="19" t="str" cm="1">
        <f t="array" ref="J507">CreateGuidString()</f>
        <v>23C3426B-F1EC-434C-A5F1-A1C553473271</v>
      </c>
    </row>
    <row r="508" spans="1:10" x14ac:dyDescent="0.35">
      <c r="A508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ZTA (Acronym)</v>
      </c>
      <c r="B508" s="35">
        <f>COUNTIF(NodesData[Unambiguous Name],NodesData[[#This Row],[Unambiguous Name]])</f>
        <v>1</v>
      </c>
      <c r="C508" s="12" t="s">
        <v>519</v>
      </c>
      <c r="D508" s="13" t="s">
        <v>1919</v>
      </c>
      <c r="E508" s="35">
        <f>COUNTIF(NodesData[Node ID],NodesData[[#This Row],[Node ID]])</f>
        <v>1</v>
      </c>
      <c r="F508" s="12" t="s">
        <v>1270</v>
      </c>
      <c r="G508" s="12" t="str">
        <f>IF(NodesData[[#This Row],[Class Disambiguation]]="",NodesData[[#This Row],[Common Name]],NodesData[[#This Row],[Common Name]]&amp;" ("&amp;NodesData[[#This Row],[Class Disambiguation]]&amp;")")</f>
        <v>ZTA (Acronym)</v>
      </c>
      <c r="I508" s="12" t="s">
        <v>1263</v>
      </c>
      <c r="J508" s="19" t="str" cm="1">
        <f t="array" ref="J508">CreateGuidString()</f>
        <v>35DC916F-58D2-4701-A18E-7456B39CB677</v>
      </c>
    </row>
  </sheetData>
  <phoneticPr fontId="6" type="noConversion"/>
  <conditionalFormatting sqref="D509:D1048576 E1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509:G1048576">
    <cfRule type="colorScale" priority="1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1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2:E508 B2:B508">
    <cfRule type="cellIs" dxfId="2" priority="1" operator="notEqual">
      <formula>1</formula>
    </cfRule>
  </conditionalFormatting>
  <hyperlinks>
    <hyperlink ref="I289" r:id="rId1" xr:uid="{7F271015-6AD0-4546-ADAD-4852DA416FA5}"/>
  </hyperlinks>
  <pageMargins left="0.7" right="0.7" top="0.75" bottom="0.75" header="0.3" footer="0.3"/>
  <pageSetup paperSize="9" orientation="portrait"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0F0964-92BD-427C-8B61-275EEB2ACF6F}">
  <sheetPr codeName="Sheet11">
    <tabColor theme="9"/>
  </sheetPr>
  <dimension ref="A1:I90"/>
  <sheetViews>
    <sheetView tabSelected="1" topLeftCell="A63" zoomScale="120" zoomScaleNormal="120" workbookViewId="0">
      <selection activeCell="H69" sqref="H69"/>
    </sheetView>
  </sheetViews>
  <sheetFormatPr defaultRowHeight="12.75" x14ac:dyDescent="0.35"/>
  <cols>
    <col min="1" max="1" width="23" style="12" bestFit="1" customWidth="1"/>
    <col min="2" max="2" width="2.86328125" style="37" customWidth="1"/>
    <col min="3" max="3" width="23" style="12" bestFit="1" customWidth="1"/>
    <col min="4" max="4" width="25.46484375" style="12" customWidth="1"/>
    <col min="5" max="6" width="5.53125" style="12" bestFit="1" customWidth="1"/>
    <col min="7" max="7" width="23" style="12" bestFit="1" customWidth="1"/>
    <col min="8" max="8" width="25.6640625" style="12" bestFit="1" customWidth="1"/>
    <col min="9" max="16384" width="9.06640625" style="12"/>
  </cols>
  <sheetData>
    <row r="1" spans="1:9" x14ac:dyDescent="0.35">
      <c r="A1" s="11" t="s">
        <v>1368</v>
      </c>
      <c r="B1" s="36" t="s">
        <v>1417</v>
      </c>
      <c r="C1" s="11" t="s">
        <v>1367</v>
      </c>
      <c r="D1" s="11" t="s">
        <v>1369</v>
      </c>
      <c r="E1" s="11" t="s">
        <v>1370</v>
      </c>
      <c r="F1" s="11" t="s">
        <v>1371</v>
      </c>
      <c r="G1" s="11" t="s">
        <v>1372</v>
      </c>
      <c r="H1" s="11" t="s">
        <v>1373</v>
      </c>
      <c r="I1" s="11" t="s">
        <v>1378</v>
      </c>
    </row>
    <row r="2" spans="1:9" x14ac:dyDescent="0.35">
      <c r="A2" s="13" t="s">
        <v>1920</v>
      </c>
      <c r="B2" s="35">
        <f>COUNTIF(EdgesData[Edge ID],EdgesData[[#This Row],[Edge ID]])</f>
        <v>1</v>
      </c>
      <c r="C2" s="13" t="str">
        <f>VLOOKUP(EdgesData[[#This Row],[Node A]],NodesData[],4,FALSE)</f>
        <v>30D21895-D4A5-4F2A-A2B4-76E8AD149662</v>
      </c>
      <c r="D2" s="11" t="s">
        <v>1405</v>
      </c>
      <c r="E2" s="11" t="s">
        <v>1364</v>
      </c>
      <c r="F2" s="11"/>
      <c r="G2" s="15" t="s">
        <v>543</v>
      </c>
      <c r="H2" s="13" t="str">
        <f>VLOOKUP(EdgesData[[#This Row],[Node B]],NodesData[],4,FALSE)</f>
        <v>9501EBB2-B301-4820-B446-2CB0E2724926</v>
      </c>
      <c r="I2" s="14" t="str" cm="1">
        <f t="array" ref="I2">CreateGuidString()</f>
        <v>54417919-8533-40AC-8AE8-4433253CA245</v>
      </c>
    </row>
    <row r="3" spans="1:9" x14ac:dyDescent="0.35">
      <c r="A3" s="13" t="s">
        <v>1921</v>
      </c>
      <c r="B3" s="35">
        <f>COUNTIF(EdgesData[Edge ID],EdgesData[[#This Row],[Edge ID]])</f>
        <v>1</v>
      </c>
      <c r="C3" s="13" t="str">
        <f>VLOOKUP(EdgesData[[#This Row],[Node A]],NodesData[],4,FALSE)</f>
        <v>A2967417-72BE-4537-BE1E-39E6298F5851</v>
      </c>
      <c r="D3" s="16" t="s">
        <v>618</v>
      </c>
      <c r="E3" s="11" t="s">
        <v>1343</v>
      </c>
      <c r="F3" s="11"/>
      <c r="G3" s="11" t="s">
        <v>1332</v>
      </c>
      <c r="H3" s="13" t="str">
        <f>VLOOKUP(EdgesData[[#This Row],[Node B]],NodesData[],4,FALSE)</f>
        <v>4C6DA97E-8091-41CA-B99C-4250D2678005</v>
      </c>
      <c r="I3" s="14" t="str" cm="1">
        <f t="array" ref="I3">CreateGuidString()</f>
        <v>A17E472C-A172-448D-8213-07C1399DEEFA</v>
      </c>
    </row>
    <row r="4" spans="1:9" x14ac:dyDescent="0.35">
      <c r="A4" s="13" t="s">
        <v>1922</v>
      </c>
      <c r="B4" s="35">
        <f>COUNTIF(EdgesData[Edge ID],EdgesData[[#This Row],[Edge ID]])</f>
        <v>1</v>
      </c>
      <c r="C4" s="13" t="str">
        <f>VLOOKUP(EdgesData[[#This Row],[Node A]],NodesData[],4,FALSE)</f>
        <v>47316C02-A4EB-4832-B925-1D094DE618CA</v>
      </c>
      <c r="D4" s="12" t="s">
        <v>79</v>
      </c>
      <c r="E4" s="12" t="s">
        <v>1343</v>
      </c>
      <c r="G4" s="12" t="s">
        <v>1337</v>
      </c>
      <c r="H4" s="13" t="str">
        <f>VLOOKUP(EdgesData[[#This Row],[Node B]],NodesData[],4,FALSE)</f>
        <v>5CB6C907-0D88-4068-B90F-90D2B4E5C9CF</v>
      </c>
      <c r="I4" s="14" t="str" cm="1">
        <f t="array" ref="I4">CreateGuidString()</f>
        <v>8BDEB3AE-BCDB-42D9-AA7F-516CC0127EC0</v>
      </c>
    </row>
    <row r="5" spans="1:9" x14ac:dyDescent="0.35">
      <c r="A5" s="13" t="s">
        <v>1923</v>
      </c>
      <c r="B5" s="35">
        <f>COUNTIF(EdgesData[Edge ID],EdgesData[[#This Row],[Edge ID]])</f>
        <v>1</v>
      </c>
      <c r="C5" s="13" t="str">
        <f>VLOOKUP(EdgesData[[#This Row],[Node A]],NodesData[],4,FALSE)</f>
        <v>47316C02-A4EB-4832-B925-1D094DE618CA</v>
      </c>
      <c r="D5" s="12" t="s">
        <v>79</v>
      </c>
      <c r="E5" s="12" t="s">
        <v>1338</v>
      </c>
      <c r="G5" s="12" t="s">
        <v>454</v>
      </c>
      <c r="H5" s="13" t="str">
        <f>VLOOKUP(EdgesData[[#This Row],[Node B]],NodesData[],4,FALSE)</f>
        <v>B92DFC96-CD21-42CC-B21F-7D5820C1DCC7</v>
      </c>
      <c r="I5" s="14" t="str" cm="1">
        <f t="array" ref="I5">CreateGuidString()</f>
        <v>A6E9BB21-DA1C-4399-8FC4-0166CA3A459C</v>
      </c>
    </row>
    <row r="6" spans="1:9" x14ac:dyDescent="0.35">
      <c r="A6" s="13" t="s">
        <v>1924</v>
      </c>
      <c r="B6" s="35">
        <f>COUNTIF(EdgesData[Edge ID],EdgesData[[#This Row],[Edge ID]])</f>
        <v>1</v>
      </c>
      <c r="C6" s="13" t="str">
        <f>VLOOKUP(EdgesData[[#This Row],[Node A]],NodesData[],4,FALSE)</f>
        <v>47316C02-A4EB-4832-B925-1D094DE618CA</v>
      </c>
      <c r="D6" s="12" t="s">
        <v>79</v>
      </c>
      <c r="E6" s="12" t="s">
        <v>1339</v>
      </c>
      <c r="G6" s="11" t="s">
        <v>1366</v>
      </c>
      <c r="H6" s="13" t="str">
        <f>VLOOKUP(EdgesData[[#This Row],[Node B]],NodesData[],4,FALSE)</f>
        <v>8A84FB45-D721-4F51-92D2-6F252494072A</v>
      </c>
      <c r="I6" s="14" t="str" cm="1">
        <f t="array" ref="I6">CreateGuidString()</f>
        <v>2451BBD8-749D-46FA-BD78-F55BF4C71428</v>
      </c>
    </row>
    <row r="7" spans="1:9" x14ac:dyDescent="0.35">
      <c r="A7" s="13" t="s">
        <v>1925</v>
      </c>
      <c r="B7" s="35">
        <f>COUNTIF(EdgesData[Edge ID],EdgesData[[#This Row],[Edge ID]])</f>
        <v>1</v>
      </c>
      <c r="C7" s="13" t="str">
        <f>VLOOKUP(EdgesData[[#This Row],[Node A]],NodesData[],4,FALSE)</f>
        <v>566E708D-FD51-436E-9E4D-051F1F485979</v>
      </c>
      <c r="D7" s="17" t="s">
        <v>1303</v>
      </c>
      <c r="E7" s="11" t="s">
        <v>1343</v>
      </c>
      <c r="G7" s="11" t="s">
        <v>1332</v>
      </c>
      <c r="H7" s="13" t="str">
        <f>VLOOKUP(EdgesData[[#This Row],[Node B]],NodesData[],4,FALSE)</f>
        <v>4C6DA97E-8091-41CA-B99C-4250D2678005</v>
      </c>
      <c r="I7" s="14" t="str" cm="1">
        <f t="array" ref="I7">CreateGuidString()</f>
        <v>3BCFFB5B-0A18-4B2A-914D-E47714BA8556</v>
      </c>
    </row>
    <row r="8" spans="1:9" x14ac:dyDescent="0.35">
      <c r="A8" s="13" t="s">
        <v>1926</v>
      </c>
      <c r="B8" s="35">
        <f>COUNTIF(EdgesData[Edge ID],EdgesData[[#This Row],[Edge ID]])</f>
        <v>1</v>
      </c>
      <c r="C8" s="13" t="str">
        <f>VLOOKUP(EdgesData[[#This Row],[Node A]],NodesData[],4,FALSE)</f>
        <v>566E708D-FD51-436E-9E4D-051F1F485979</v>
      </c>
      <c r="D8" s="16" t="s">
        <v>1303</v>
      </c>
      <c r="E8" s="11" t="s">
        <v>1343</v>
      </c>
      <c r="G8" s="11" t="s">
        <v>618</v>
      </c>
      <c r="H8" s="13" t="str">
        <f>VLOOKUP(EdgesData[[#This Row],[Node B]],NodesData[],4,FALSE)</f>
        <v>A2967417-72BE-4537-BE1E-39E6298F5851</v>
      </c>
      <c r="I8" s="14" t="str" cm="1">
        <f t="array" ref="I8">CreateGuidString()</f>
        <v>0123F3C2-3082-4585-8B6E-9A952C4BEBA5</v>
      </c>
    </row>
    <row r="9" spans="1:9" x14ac:dyDescent="0.35">
      <c r="A9" s="13" t="s">
        <v>1927</v>
      </c>
      <c r="B9" s="35">
        <f>COUNTIF(EdgesData[Edge ID],EdgesData[[#This Row],[Edge ID]])</f>
        <v>1</v>
      </c>
      <c r="C9" s="13" t="str">
        <f>VLOOKUP(EdgesData[[#This Row],[Node A]],NodesData[],4,FALSE)</f>
        <v>BC9316FB-BCA1-4D66-9CD7-3112BEF13D86</v>
      </c>
      <c r="D9" s="12" t="s">
        <v>1345</v>
      </c>
      <c r="E9" s="12" t="s">
        <v>1343</v>
      </c>
      <c r="G9" s="12" t="s">
        <v>1341</v>
      </c>
      <c r="H9" s="13" t="str">
        <f>VLOOKUP(EdgesData[[#This Row],[Node B]],NodesData[],4,FALSE)</f>
        <v>DB652713-5948-4322-8567-E5F6CB0440E8</v>
      </c>
      <c r="I9" s="14" t="str" cm="1">
        <f t="array" ref="I9">CreateGuidString()</f>
        <v>56C85E0C-EF4C-483B-862A-301E4306F3BB</v>
      </c>
    </row>
    <row r="10" spans="1:9" x14ac:dyDescent="0.35">
      <c r="A10" s="13" t="s">
        <v>1928</v>
      </c>
      <c r="B10" s="35">
        <f>COUNTIF(EdgesData[Edge ID],EdgesData[[#This Row],[Edge ID]])</f>
        <v>1</v>
      </c>
      <c r="C10" s="13" t="str">
        <f>VLOOKUP(EdgesData[[#This Row],[Node A]],NodesData[],4,FALSE)</f>
        <v>E1132C17-7D2B-4F86-A9F2-BAAA52027A5B</v>
      </c>
      <c r="D10" s="12" t="s">
        <v>1346</v>
      </c>
      <c r="E10" s="12" t="s">
        <v>1343</v>
      </c>
      <c r="G10" s="12" t="s">
        <v>1341</v>
      </c>
      <c r="H10" s="13" t="str">
        <f>VLOOKUP(EdgesData[[#This Row],[Node B]],NodesData[],4,FALSE)</f>
        <v>DB652713-5948-4322-8567-E5F6CB0440E8</v>
      </c>
      <c r="I10" s="14" t="str" cm="1">
        <f t="array" ref="I10">CreateGuidString()</f>
        <v>B202CE57-28CF-4BD4-BB59-7FE7F177CC48</v>
      </c>
    </row>
    <row r="11" spans="1:9" x14ac:dyDescent="0.35">
      <c r="A11" s="13" t="s">
        <v>1929</v>
      </c>
      <c r="B11" s="35">
        <f>COUNTIF(EdgesData[Edge ID],EdgesData[[#This Row],[Edge ID]])</f>
        <v>1</v>
      </c>
      <c r="C11" s="13" t="str">
        <f>VLOOKUP(EdgesData[[#This Row],[Node A]],NodesData[],4,FALSE)</f>
        <v>8A84FB45-D721-4F51-92D2-6F252494072A</v>
      </c>
      <c r="D11" s="11" t="s">
        <v>1366</v>
      </c>
      <c r="E11" s="12" t="s">
        <v>1343</v>
      </c>
      <c r="G11" s="12" t="s">
        <v>1340</v>
      </c>
      <c r="H11" s="13" t="str">
        <f>VLOOKUP(EdgesData[[#This Row],[Node B]],NodesData[],4,FALSE)</f>
        <v>1CA22954-068F-4603-9932-7CAFD3C4E2A6</v>
      </c>
      <c r="I11" s="14" t="str" cm="1">
        <f t="array" ref="I11">CreateGuidString()</f>
        <v>EEBA770F-5EF8-4495-87DF-C601E4D85E74</v>
      </c>
    </row>
    <row r="12" spans="1:9" x14ac:dyDescent="0.35">
      <c r="A12" s="13" t="s">
        <v>1930</v>
      </c>
      <c r="B12" s="35">
        <f>COUNTIF(EdgesData[Edge ID],EdgesData[[#This Row],[Edge ID]])</f>
        <v>1</v>
      </c>
      <c r="C12" s="13" t="str">
        <f>VLOOKUP(EdgesData[[#This Row],[Node A]],NodesData[],4,FALSE)</f>
        <v>EE59DD52-46E3-4C5E-B862-8914485F238F</v>
      </c>
      <c r="D12" s="17" t="s">
        <v>1304</v>
      </c>
      <c r="E12" s="11" t="s">
        <v>1343</v>
      </c>
      <c r="G12" s="11" t="s">
        <v>1332</v>
      </c>
      <c r="H12" s="13" t="str">
        <f>VLOOKUP(EdgesData[[#This Row],[Node B]],NodesData[],4,FALSE)</f>
        <v>4C6DA97E-8091-41CA-B99C-4250D2678005</v>
      </c>
      <c r="I12" s="14" t="str" cm="1">
        <f t="array" ref="I12">CreateGuidString()</f>
        <v>037045CE-CAFF-4FC4-8629-0F8986EC231F</v>
      </c>
    </row>
    <row r="13" spans="1:9" x14ac:dyDescent="0.35">
      <c r="A13" s="13" t="s">
        <v>1931</v>
      </c>
      <c r="B13" s="35">
        <f>COUNTIF(EdgesData[Edge ID],EdgesData[[#This Row],[Edge ID]])</f>
        <v>1</v>
      </c>
      <c r="C13" s="13" t="str">
        <f>VLOOKUP(EdgesData[[#This Row],[Node A]],NodesData[],4,FALSE)</f>
        <v>EE59DD52-46E3-4C5E-B862-8914485F238F</v>
      </c>
      <c r="D13" s="16" t="s">
        <v>1304</v>
      </c>
      <c r="E13" s="11" t="s">
        <v>1343</v>
      </c>
      <c r="G13" s="11" t="s">
        <v>618</v>
      </c>
      <c r="H13" s="13" t="str">
        <f>VLOOKUP(EdgesData[[#This Row],[Node B]],NodesData[],4,FALSE)</f>
        <v>A2967417-72BE-4537-BE1E-39E6298F5851</v>
      </c>
      <c r="I13" s="14" t="str" cm="1">
        <f t="array" ref="I13">CreateGuidString()</f>
        <v>066380CA-56C5-4AA4-AA77-8503109741DC</v>
      </c>
    </row>
    <row r="14" spans="1:9" x14ac:dyDescent="0.35">
      <c r="A14" s="13" t="s">
        <v>1932</v>
      </c>
      <c r="B14" s="35">
        <f>COUNTIF(EdgesData[Edge ID],EdgesData[[#This Row],[Edge ID]])</f>
        <v>1</v>
      </c>
      <c r="C14" s="13" t="str">
        <f>VLOOKUP(EdgesData[[#This Row],[Node A]],NodesData[],4,FALSE)</f>
        <v>8A54CA58-95DE-462C-85F0-63881C492A91</v>
      </c>
      <c r="D14" s="17" t="s">
        <v>1361</v>
      </c>
      <c r="E14" s="11" t="s">
        <v>1343</v>
      </c>
      <c r="G14" s="11" t="s">
        <v>1332</v>
      </c>
      <c r="H14" s="13" t="str">
        <f>VLOOKUP(EdgesData[[#This Row],[Node B]],NodesData[],4,FALSE)</f>
        <v>4C6DA97E-8091-41CA-B99C-4250D2678005</v>
      </c>
      <c r="I14" s="14" t="str" cm="1">
        <f t="array" ref="I14">CreateGuidString()</f>
        <v>96BB6D66-BC08-4132-B285-605F17A1FB04</v>
      </c>
    </row>
    <row r="15" spans="1:9" x14ac:dyDescent="0.35">
      <c r="A15" s="13" t="s">
        <v>1933</v>
      </c>
      <c r="B15" s="35">
        <f>COUNTIF(EdgesData[Edge ID],EdgesData[[#This Row],[Edge ID]])</f>
        <v>1</v>
      </c>
      <c r="C15" s="13" t="str">
        <f>VLOOKUP(EdgesData[[#This Row],[Node A]],NodesData[],4,FALSE)</f>
        <v>8A54CA58-95DE-462C-85F0-63881C492A91</v>
      </c>
      <c r="D15" s="16" t="s">
        <v>1361</v>
      </c>
      <c r="E15" s="11" t="s">
        <v>1343</v>
      </c>
      <c r="G15" s="11" t="s">
        <v>618</v>
      </c>
      <c r="H15" s="13" t="str">
        <f>VLOOKUP(EdgesData[[#This Row],[Node B]],NodesData[],4,FALSE)</f>
        <v>A2967417-72BE-4537-BE1E-39E6298F5851</v>
      </c>
      <c r="I15" s="14" t="str" cm="1">
        <f t="array" ref="I15">CreateGuidString()</f>
        <v>C29FCE9E-21E1-42D7-87DB-8731D7FEDF7F</v>
      </c>
    </row>
    <row r="16" spans="1:9" x14ac:dyDescent="0.35">
      <c r="A16" s="13" t="s">
        <v>1934</v>
      </c>
      <c r="B16" s="35">
        <f>COUNTIF(EdgesData[Edge ID],EdgesData[[#This Row],[Edge ID]])</f>
        <v>1</v>
      </c>
      <c r="C16" s="13" t="str">
        <f>VLOOKUP(EdgesData[[#This Row],[Node A]],NodesData[],4,FALSE)</f>
        <v>A4ADA3D7-3568-4A97-A8E3-4E47A1368F3D</v>
      </c>
      <c r="D16" s="17" t="s">
        <v>1307</v>
      </c>
      <c r="E16" s="11" t="s">
        <v>1343</v>
      </c>
      <c r="G16" s="11" t="s">
        <v>1332</v>
      </c>
      <c r="H16" s="13" t="str">
        <f>VLOOKUP(EdgesData[[#This Row],[Node B]],NodesData[],4,FALSE)</f>
        <v>4C6DA97E-8091-41CA-B99C-4250D2678005</v>
      </c>
      <c r="I16" s="14" t="str" cm="1">
        <f t="array" ref="I16">CreateGuidString()</f>
        <v>F6463590-0601-4EB7-A393-604B13E5AFB5</v>
      </c>
    </row>
    <row r="17" spans="1:9" x14ac:dyDescent="0.35">
      <c r="A17" s="13" t="s">
        <v>1935</v>
      </c>
      <c r="B17" s="35">
        <f>COUNTIF(EdgesData[Edge ID],EdgesData[[#This Row],[Edge ID]])</f>
        <v>1</v>
      </c>
      <c r="C17" s="13" t="str">
        <f>VLOOKUP(EdgesData[[#This Row],[Node A]],NodesData[],4,FALSE)</f>
        <v>A4ADA3D7-3568-4A97-A8E3-4E47A1368F3D</v>
      </c>
      <c r="D17" s="16" t="s">
        <v>1307</v>
      </c>
      <c r="E17" s="11" t="s">
        <v>1343</v>
      </c>
      <c r="G17" s="11" t="s">
        <v>618</v>
      </c>
      <c r="H17" s="13" t="str">
        <f>VLOOKUP(EdgesData[[#This Row],[Node B]],NodesData[],4,FALSE)</f>
        <v>A2967417-72BE-4537-BE1E-39E6298F5851</v>
      </c>
      <c r="I17" s="14" t="str" cm="1">
        <f t="array" ref="I17">CreateGuidString()</f>
        <v>41793FBD-53F6-403D-A68C-97E809C8F7BF</v>
      </c>
    </row>
    <row r="18" spans="1:9" x14ac:dyDescent="0.35">
      <c r="A18" s="13" t="s">
        <v>1936</v>
      </c>
      <c r="B18" s="35">
        <f>COUNTIF(EdgesData[Edge ID],EdgesData[[#This Row],[Edge ID]])</f>
        <v>1</v>
      </c>
      <c r="C18" s="13" t="str">
        <f>VLOOKUP(EdgesData[[#This Row],[Node A]],NodesData[],4,FALSE)</f>
        <v>46401F0E-29CA-47A3-A39A-0230CB771074</v>
      </c>
      <c r="D18" s="17" t="s">
        <v>1308</v>
      </c>
      <c r="E18" s="11" t="s">
        <v>1343</v>
      </c>
      <c r="G18" s="11" t="s">
        <v>1332</v>
      </c>
      <c r="H18" s="13" t="str">
        <f>VLOOKUP(EdgesData[[#This Row],[Node B]],NodesData[],4,FALSE)</f>
        <v>4C6DA97E-8091-41CA-B99C-4250D2678005</v>
      </c>
      <c r="I18" s="14" t="str" cm="1">
        <f t="array" ref="I18">CreateGuidString()</f>
        <v>ACF425C2-222C-4ACB-BEC5-7121E2BB20A3</v>
      </c>
    </row>
    <row r="19" spans="1:9" x14ac:dyDescent="0.35">
      <c r="A19" s="13" t="s">
        <v>1937</v>
      </c>
      <c r="B19" s="35">
        <f>COUNTIF(EdgesData[Edge ID],EdgesData[[#This Row],[Edge ID]])</f>
        <v>1</v>
      </c>
      <c r="C19" s="13" t="str">
        <f>VLOOKUP(EdgesData[[#This Row],[Node A]],NodesData[],4,FALSE)</f>
        <v>46401F0E-29CA-47A3-A39A-0230CB771074</v>
      </c>
      <c r="D19" s="16" t="s">
        <v>1308</v>
      </c>
      <c r="E19" s="11" t="s">
        <v>1343</v>
      </c>
      <c r="F19" s="11"/>
      <c r="G19" s="11" t="s">
        <v>618</v>
      </c>
      <c r="H19" s="13" t="str">
        <f>VLOOKUP(EdgesData[[#This Row],[Node B]],NodesData[],4,FALSE)</f>
        <v>A2967417-72BE-4537-BE1E-39E6298F5851</v>
      </c>
      <c r="I19" s="14" t="str" cm="1">
        <f t="array" ref="I19">CreateGuidString()</f>
        <v>1E4DE7F7-3410-4064-8D62-8AC2E7F5BDCB</v>
      </c>
    </row>
    <row r="20" spans="1:9" x14ac:dyDescent="0.35">
      <c r="A20" s="13" t="s">
        <v>1938</v>
      </c>
      <c r="B20" s="35">
        <f>COUNTIF(EdgesData[Edge ID],EdgesData[[#This Row],[Edge ID]])</f>
        <v>1</v>
      </c>
      <c r="C20" s="13" t="str">
        <f>VLOOKUP(EdgesData[[#This Row],[Node A]],NodesData[],4,FALSE)</f>
        <v>C92DDCBA-ED8B-4196-A9FF-C96029349FAC</v>
      </c>
      <c r="D20" s="17" t="s">
        <v>1309</v>
      </c>
      <c r="E20" s="11" t="s">
        <v>1343</v>
      </c>
      <c r="G20" s="11" t="s">
        <v>1332</v>
      </c>
      <c r="H20" s="13" t="str">
        <f>VLOOKUP(EdgesData[[#This Row],[Node B]],NodesData[],4,FALSE)</f>
        <v>4C6DA97E-8091-41CA-B99C-4250D2678005</v>
      </c>
      <c r="I20" s="14" t="str" cm="1">
        <f t="array" ref="I20">CreateGuidString()</f>
        <v>462DDE67-7793-438D-A9E1-E040880F0CBB</v>
      </c>
    </row>
    <row r="21" spans="1:9" x14ac:dyDescent="0.35">
      <c r="A21" s="13" t="s">
        <v>1939</v>
      </c>
      <c r="B21" s="35">
        <f>COUNTIF(EdgesData[Edge ID],EdgesData[[#This Row],[Edge ID]])</f>
        <v>1</v>
      </c>
      <c r="C21" s="13" t="str">
        <f>VLOOKUP(EdgesData[[#This Row],[Node A]],NodesData[],4,FALSE)</f>
        <v>C92DDCBA-ED8B-4196-A9FF-C96029349FAC</v>
      </c>
      <c r="D21" s="16" t="s">
        <v>1309</v>
      </c>
      <c r="E21" s="11" t="s">
        <v>1343</v>
      </c>
      <c r="G21" s="11" t="s">
        <v>618</v>
      </c>
      <c r="H21" s="13" t="str">
        <f>VLOOKUP(EdgesData[[#This Row],[Node B]],NodesData[],4,FALSE)</f>
        <v>A2967417-72BE-4537-BE1E-39E6298F5851</v>
      </c>
      <c r="I21" s="14" t="str" cm="1">
        <f t="array" ref="I21">CreateGuidString()</f>
        <v>9147DA1B-716C-4370-8349-27B0C4D8E137</v>
      </c>
    </row>
    <row r="22" spans="1:9" x14ac:dyDescent="0.35">
      <c r="A22" s="13" t="s">
        <v>1940</v>
      </c>
      <c r="B22" s="35">
        <f>COUNTIF(EdgesData[Edge ID],EdgesData[[#This Row],[Edge ID]])</f>
        <v>1</v>
      </c>
      <c r="C22" s="13" t="str">
        <f>VLOOKUP(EdgesData[[#This Row],[Node A]],NodesData[],4,FALSE)</f>
        <v>257D3082-7AF3-4464-9C5B-77B2D083B427</v>
      </c>
      <c r="D22" s="17" t="s">
        <v>1294</v>
      </c>
      <c r="E22" s="11" t="s">
        <v>1343</v>
      </c>
      <c r="G22" s="11" t="s">
        <v>0</v>
      </c>
      <c r="H22" s="13" t="str">
        <f>VLOOKUP(EdgesData[[#This Row],[Node B]],NodesData[],4,FALSE)</f>
        <v>A42E7343-FA4C-490A-A0A3-7F65FB188771</v>
      </c>
      <c r="I22" s="14" t="str" cm="1">
        <f t="array" ref="I22">CreateGuidString()</f>
        <v>07EB776F-7AFB-4196-BAAD-1955983C37AE</v>
      </c>
    </row>
    <row r="23" spans="1:9" x14ac:dyDescent="0.35">
      <c r="A23" s="13" t="s">
        <v>1941</v>
      </c>
      <c r="B23" s="35">
        <f>COUNTIF(EdgesData[Edge ID],EdgesData[[#This Row],[Edge ID]])</f>
        <v>1</v>
      </c>
      <c r="C23" s="13" t="str">
        <f>VLOOKUP(EdgesData[[#This Row],[Node A]],NodesData[],4,FALSE)</f>
        <v>BDF3CB39-431D-478C-A651-EBA1666F91C1</v>
      </c>
      <c r="D23" s="16" t="s">
        <v>1310</v>
      </c>
      <c r="E23" s="11" t="s">
        <v>1343</v>
      </c>
      <c r="G23" s="11" t="s">
        <v>1332</v>
      </c>
      <c r="H23" s="13" t="str">
        <f>VLOOKUP(EdgesData[[#This Row],[Node B]],NodesData[],4,FALSE)</f>
        <v>4C6DA97E-8091-41CA-B99C-4250D2678005</v>
      </c>
      <c r="I23" s="14" t="str" cm="1">
        <f t="array" ref="I23">CreateGuidString()</f>
        <v>9182F971-C8EF-4CE0-9C9B-2CA31842BEE1</v>
      </c>
    </row>
    <row r="24" spans="1:9" x14ac:dyDescent="0.35">
      <c r="A24" s="13" t="s">
        <v>1942</v>
      </c>
      <c r="B24" s="35">
        <f>COUNTIF(EdgesData[Edge ID],EdgesData[[#This Row],[Edge ID]])</f>
        <v>1</v>
      </c>
      <c r="C24" s="13" t="str">
        <f>VLOOKUP(EdgesData[[#This Row],[Node A]],NodesData[],4,FALSE)</f>
        <v>BDF3CB39-431D-478C-A651-EBA1666F91C1</v>
      </c>
      <c r="D24" s="17" t="s">
        <v>1310</v>
      </c>
      <c r="E24" s="11" t="s">
        <v>1343</v>
      </c>
      <c r="G24" s="11" t="s">
        <v>618</v>
      </c>
      <c r="H24" s="13" t="str">
        <f>VLOOKUP(EdgesData[[#This Row],[Node B]],NodesData[],4,FALSE)</f>
        <v>A2967417-72BE-4537-BE1E-39E6298F5851</v>
      </c>
      <c r="I24" s="14" t="str" cm="1">
        <f t="array" ref="I24">CreateGuidString()</f>
        <v>911F0665-DDA1-4886-817D-F259148022CA</v>
      </c>
    </row>
    <row r="25" spans="1:9" x14ac:dyDescent="0.35">
      <c r="A25" s="13" t="s">
        <v>1943</v>
      </c>
      <c r="B25" s="35">
        <f>COUNTIF(EdgesData[Edge ID],EdgesData[[#This Row],[Edge ID]])</f>
        <v>1</v>
      </c>
      <c r="C25" s="13" t="str">
        <f>VLOOKUP(EdgesData[[#This Row],[Node A]],NodesData[],4,FALSE)</f>
        <v>37CD23D4-9BFD-4A88-8D2B-CA84CE4FB78F</v>
      </c>
      <c r="D25" s="12" t="s">
        <v>1342</v>
      </c>
      <c r="E25" s="12" t="s">
        <v>1343</v>
      </c>
      <c r="G25" s="12" t="s">
        <v>1341</v>
      </c>
      <c r="H25" s="13" t="str">
        <f>VLOOKUP(EdgesData[[#This Row],[Node B]],NodesData[],4,FALSE)</f>
        <v>DB652713-5948-4322-8567-E5F6CB0440E8</v>
      </c>
      <c r="I25" s="14" t="str" cm="1">
        <f t="array" ref="I25">CreateGuidString()</f>
        <v>C7F4F378-9012-44FD-9610-142E7055C553</v>
      </c>
    </row>
    <row r="26" spans="1:9" x14ac:dyDescent="0.35">
      <c r="A26" s="13" t="s">
        <v>1944</v>
      </c>
      <c r="B26" s="35">
        <f>COUNTIF(EdgesData[Edge ID],EdgesData[[#This Row],[Edge ID]])</f>
        <v>1</v>
      </c>
      <c r="C26" s="13" t="str">
        <f>VLOOKUP(EdgesData[[#This Row],[Node A]],NodesData[],4,FALSE)</f>
        <v>5660B6DD-121E-4173-A110-7A4D00B3AB6A</v>
      </c>
      <c r="D26" s="12" t="s">
        <v>1344</v>
      </c>
      <c r="E26" s="12" t="s">
        <v>1343</v>
      </c>
      <c r="G26" s="12" t="s">
        <v>1341</v>
      </c>
      <c r="H26" s="13" t="str">
        <f>VLOOKUP(EdgesData[[#This Row],[Node B]],NodesData[],4,FALSE)</f>
        <v>DB652713-5948-4322-8567-E5F6CB0440E8</v>
      </c>
      <c r="I26" s="14" t="str" cm="1">
        <f t="array" ref="I26">CreateGuidString()</f>
        <v>379247CB-D303-4299-B095-6BA06E3655B7</v>
      </c>
    </row>
    <row r="27" spans="1:9" x14ac:dyDescent="0.35">
      <c r="A27" s="13" t="s">
        <v>1945</v>
      </c>
      <c r="B27" s="35">
        <f>COUNTIF(EdgesData[Edge ID],EdgesData[[#This Row],[Edge ID]])</f>
        <v>1</v>
      </c>
      <c r="C27" s="13" t="str">
        <f>VLOOKUP(EdgesData[[#This Row],[Node A]],NodesData[],4,FALSE)</f>
        <v>A4106055-17BD-4640-8746-5471A26FF444</v>
      </c>
      <c r="D27" s="12" t="s">
        <v>261</v>
      </c>
      <c r="E27" s="11" t="s">
        <v>1359</v>
      </c>
      <c r="G27" s="12" t="s">
        <v>1341</v>
      </c>
      <c r="H27" s="13" t="str">
        <f>VLOOKUP(EdgesData[[#This Row],[Node B]],NodesData[],4,FALSE)</f>
        <v>DB652713-5948-4322-8567-E5F6CB0440E8</v>
      </c>
      <c r="I27" s="14" t="str" cm="1">
        <f t="array" ref="I27">CreateGuidString()</f>
        <v>58516742-BDFB-4911-B546-C69551E8F832</v>
      </c>
    </row>
    <row r="28" spans="1:9" x14ac:dyDescent="0.35">
      <c r="A28" s="13" t="s">
        <v>1946</v>
      </c>
      <c r="B28" s="35">
        <f>COUNTIF(EdgesData[Edge ID],EdgesData[[#This Row],[Edge ID]])</f>
        <v>1</v>
      </c>
      <c r="C28" s="13" t="str">
        <f>VLOOKUP(EdgesData[[#This Row],[Node A]],NodesData[],4,FALSE)</f>
        <v>A4106055-17BD-4640-8746-5471A26FF444</v>
      </c>
      <c r="D28" s="12" t="s">
        <v>261</v>
      </c>
      <c r="E28" s="11" t="s">
        <v>1360</v>
      </c>
      <c r="G28" s="12" t="s">
        <v>1348</v>
      </c>
      <c r="H28" s="13" t="str">
        <f>VLOOKUP(EdgesData[[#This Row],[Node B]],NodesData[],4,FALSE)</f>
        <v>F6A0BA1D-4EAD-44AE-BB90-AAFC98899178</v>
      </c>
      <c r="I28" s="14" t="str" cm="1">
        <f t="array" ref="I28">CreateGuidString()</f>
        <v>3F35EE72-EF26-40E6-AD83-E3EFFFBE8004</v>
      </c>
    </row>
    <row r="29" spans="1:9" x14ac:dyDescent="0.35">
      <c r="A29" s="13" t="s">
        <v>1947</v>
      </c>
      <c r="B29" s="35">
        <f>COUNTIF(EdgesData[Edge ID],EdgesData[[#This Row],[Edge ID]])</f>
        <v>1</v>
      </c>
      <c r="C29" s="13" t="str">
        <f>VLOOKUP(EdgesData[[#This Row],[Node A]],NodesData[],4,FALSE)</f>
        <v>A4106055-17BD-4640-8746-5471A26FF444</v>
      </c>
      <c r="D29" s="12" t="s">
        <v>261</v>
      </c>
      <c r="E29" s="11" t="s">
        <v>1360</v>
      </c>
      <c r="G29" s="12" t="s">
        <v>1349</v>
      </c>
      <c r="H29" s="13" t="str">
        <f>VLOOKUP(EdgesData[[#This Row],[Node B]],NodesData[],4,FALSE)</f>
        <v>AFFF4DF7-5DE7-4EC2-B059-59963A26A6BD</v>
      </c>
      <c r="I29" s="14" t="str" cm="1">
        <f t="array" ref="I29">CreateGuidString()</f>
        <v>EFC19BFA-E154-4290-BE90-38868BCFF62F</v>
      </c>
    </row>
    <row r="30" spans="1:9" x14ac:dyDescent="0.35">
      <c r="A30" s="13" t="s">
        <v>1948</v>
      </c>
      <c r="B30" s="35">
        <f>COUNTIF(EdgesData[Edge ID],EdgesData[[#This Row],[Edge ID]])</f>
        <v>1</v>
      </c>
      <c r="C30" s="13" t="str">
        <f>VLOOKUP(EdgesData[[#This Row],[Node A]],NodesData[],4,FALSE)</f>
        <v>A4106055-17BD-4640-8746-5471A26FF444</v>
      </c>
      <c r="D30" s="12" t="s">
        <v>261</v>
      </c>
      <c r="E30" s="11" t="s">
        <v>1360</v>
      </c>
      <c r="G30" s="12" t="s">
        <v>1350</v>
      </c>
      <c r="H30" s="13" t="str">
        <f>VLOOKUP(EdgesData[[#This Row],[Node B]],NodesData[],4,FALSE)</f>
        <v>4414B2C4-B1F0-4BE8-A1D2-264AE3500755</v>
      </c>
      <c r="I30" s="14" t="str" cm="1">
        <f t="array" ref="I30">CreateGuidString()</f>
        <v>C131A76E-DF02-4483-9E69-C20F8B04EC83</v>
      </c>
    </row>
    <row r="31" spans="1:9" x14ac:dyDescent="0.35">
      <c r="A31" s="13" t="s">
        <v>1949</v>
      </c>
      <c r="B31" s="35">
        <f>COUNTIF(EdgesData[Edge ID],EdgesData[[#This Row],[Edge ID]])</f>
        <v>1</v>
      </c>
      <c r="C31" s="13" t="str">
        <f>VLOOKUP(EdgesData[[#This Row],[Node A]],NodesData[],4,FALSE)</f>
        <v>A4106055-17BD-4640-8746-5471A26FF444</v>
      </c>
      <c r="D31" s="12" t="s">
        <v>261</v>
      </c>
      <c r="E31" s="11" t="s">
        <v>1360</v>
      </c>
      <c r="G31" s="12" t="s">
        <v>1347</v>
      </c>
      <c r="H31" s="13" t="str">
        <f>VLOOKUP(EdgesData[[#This Row],[Node B]],NodesData[],4,FALSE)</f>
        <v>CBC6B9A3-AA38-40D4-865C-53E8DB7037F3</v>
      </c>
      <c r="I31" s="14" t="str" cm="1">
        <f t="array" ref="I31">CreateGuidString()</f>
        <v>286BD24E-847D-46DE-921B-06993F9B7479</v>
      </c>
    </row>
    <row r="32" spans="1:9" x14ac:dyDescent="0.35">
      <c r="A32" s="13" t="s">
        <v>1950</v>
      </c>
      <c r="B32" s="35">
        <f>COUNTIF(EdgesData[Edge ID],EdgesData[[#This Row],[Edge ID]])</f>
        <v>1</v>
      </c>
      <c r="C32" s="13" t="str">
        <f>VLOOKUP(EdgesData[[#This Row],[Node A]],NodesData[],4,FALSE)</f>
        <v>A4106055-17BD-4640-8746-5471A26FF444</v>
      </c>
      <c r="D32" s="12" t="s">
        <v>261</v>
      </c>
      <c r="E32" s="12" t="s">
        <v>1351</v>
      </c>
      <c r="G32" s="12" t="s">
        <v>1352</v>
      </c>
      <c r="H32" s="13" t="str">
        <f>VLOOKUP(EdgesData[[#This Row],[Node B]],NodesData[],4,FALSE)</f>
        <v>8A66FDF6-25FA-4400-8F76-04907B9F7088</v>
      </c>
      <c r="I32" s="14" t="str" cm="1">
        <f t="array" ref="I32">CreateGuidString()</f>
        <v>F4D85694-D77C-4730-8767-17ABDC889E3A</v>
      </c>
    </row>
    <row r="33" spans="1:9" x14ac:dyDescent="0.35">
      <c r="A33" s="13" t="s">
        <v>1951</v>
      </c>
      <c r="B33" s="35">
        <f>COUNTIF(EdgesData[Edge ID],EdgesData[[#This Row],[Edge ID]])</f>
        <v>1</v>
      </c>
      <c r="C33" s="13" t="str">
        <f>VLOOKUP(EdgesData[[#This Row],[Node A]],NodesData[],4,FALSE)</f>
        <v>824C4DE1-CB45-4357-8D71-3D7A9B20A1FE</v>
      </c>
      <c r="D33" s="11" t="s">
        <v>1311</v>
      </c>
      <c r="E33" s="11" t="s">
        <v>1363</v>
      </c>
      <c r="F33" s="11" t="s">
        <v>1362</v>
      </c>
      <c r="G33" s="11" t="s">
        <v>1312</v>
      </c>
      <c r="H33" s="13" t="str">
        <f>VLOOKUP(EdgesData[[#This Row],[Node B]],NodesData[],4,FALSE)</f>
        <v>B5825B69-4900-43C0-A761-B839CC2A150A</v>
      </c>
      <c r="I33" s="14" t="str" cm="1">
        <f t="array" ref="I33">CreateGuidString()</f>
        <v>183E600D-FA04-4EAB-BE8D-963FFB82D6B7</v>
      </c>
    </row>
    <row r="34" spans="1:9" x14ac:dyDescent="0.35">
      <c r="A34" s="13" t="s">
        <v>1952</v>
      </c>
      <c r="B34" s="35">
        <f>COUNTIF(EdgesData[Edge ID],EdgesData[[#This Row],[Edge ID]])</f>
        <v>1</v>
      </c>
      <c r="C34" s="13" t="str">
        <f>VLOOKUP(EdgesData[[#This Row],[Node A]],NodesData[],4,FALSE)</f>
        <v>824C4DE1-CB45-4357-8D71-3D7A9B20A1FE</v>
      </c>
      <c r="D34" s="16" t="s">
        <v>1311</v>
      </c>
      <c r="E34" s="11" t="s">
        <v>1343</v>
      </c>
      <c r="G34" s="11" t="s">
        <v>1332</v>
      </c>
      <c r="H34" s="13" t="str">
        <f>VLOOKUP(EdgesData[[#This Row],[Node B]],NodesData[],4,FALSE)</f>
        <v>4C6DA97E-8091-41CA-B99C-4250D2678005</v>
      </c>
      <c r="I34" s="14" t="str" cm="1">
        <f t="array" ref="I34">CreateGuidString()</f>
        <v>48FA3CD3-D310-4F93-865D-83C3BCA9AC85</v>
      </c>
    </row>
    <row r="35" spans="1:9" x14ac:dyDescent="0.35">
      <c r="A35" s="13" t="s">
        <v>1953</v>
      </c>
      <c r="B35" s="35">
        <f>COUNTIF(EdgesData[Edge ID],EdgesData[[#This Row],[Edge ID]])</f>
        <v>1</v>
      </c>
      <c r="C35" s="13" t="str">
        <f>VLOOKUP(EdgesData[[#This Row],[Node A]],NodesData[],4,FALSE)</f>
        <v>824C4DE1-CB45-4357-8D71-3D7A9B20A1FE</v>
      </c>
      <c r="D35" s="17" t="s">
        <v>1311</v>
      </c>
      <c r="E35" s="11" t="s">
        <v>1343</v>
      </c>
      <c r="G35" s="11" t="s">
        <v>618</v>
      </c>
      <c r="H35" s="13" t="str">
        <f>VLOOKUP(EdgesData[[#This Row],[Node B]],NodesData[],4,FALSE)</f>
        <v>A2967417-72BE-4537-BE1E-39E6298F5851</v>
      </c>
      <c r="I35" s="14" t="str" cm="1">
        <f t="array" ref="I35">CreateGuidString()</f>
        <v>BCCC560D-DE6C-4081-BD37-3A1F300DF47D</v>
      </c>
    </row>
    <row r="36" spans="1:9" x14ac:dyDescent="0.35">
      <c r="A36" s="13" t="s">
        <v>1954</v>
      </c>
      <c r="B36" s="35">
        <f>COUNTIF(EdgesData[Edge ID],EdgesData[[#This Row],[Edge ID]])</f>
        <v>1</v>
      </c>
      <c r="C36" s="13" t="str">
        <f>VLOOKUP(EdgesData[[#This Row],[Node A]],NodesData[],4,FALSE)</f>
        <v>8F045301-B949-47A7-B850-24BF7725F524</v>
      </c>
      <c r="D36" s="16" t="s">
        <v>2</v>
      </c>
      <c r="E36" s="11" t="s">
        <v>1343</v>
      </c>
      <c r="G36" s="11" t="s">
        <v>0</v>
      </c>
      <c r="H36" s="13" t="str">
        <f>VLOOKUP(EdgesData[[#This Row],[Node B]],NodesData[],4,FALSE)</f>
        <v>A42E7343-FA4C-490A-A0A3-7F65FB188771</v>
      </c>
      <c r="I36" s="14" t="str" cm="1">
        <f t="array" ref="I36">CreateGuidString()</f>
        <v>232EBB4F-218B-4CF6-AE54-1EEC03F10FA7</v>
      </c>
    </row>
    <row r="37" spans="1:9" x14ac:dyDescent="0.35">
      <c r="A37" s="13" t="s">
        <v>1955</v>
      </c>
      <c r="B37" s="35">
        <f>COUNTIF(EdgesData[Edge ID],EdgesData[[#This Row],[Edge ID]])</f>
        <v>1</v>
      </c>
      <c r="C37" s="13" t="str">
        <f>VLOOKUP(EdgesData[[#This Row],[Node A]],NodesData[],4,FALSE)</f>
        <v>935B2B66-22E7-4674-9564-5B7FE10D4526</v>
      </c>
      <c r="D37" s="17" t="s">
        <v>1313</v>
      </c>
      <c r="E37" s="11" t="s">
        <v>1343</v>
      </c>
      <c r="G37" s="11" t="s">
        <v>1332</v>
      </c>
      <c r="H37" s="13" t="str">
        <f>VLOOKUP(EdgesData[[#This Row],[Node B]],NodesData[],4,FALSE)</f>
        <v>4C6DA97E-8091-41CA-B99C-4250D2678005</v>
      </c>
      <c r="I37" s="14" t="str" cm="1">
        <f t="array" ref="I37">CreateGuidString()</f>
        <v>5C72756F-3320-43EA-88E5-138048851A00</v>
      </c>
    </row>
    <row r="38" spans="1:9" x14ac:dyDescent="0.35">
      <c r="A38" s="13" t="s">
        <v>1956</v>
      </c>
      <c r="B38" s="35">
        <f>COUNTIF(EdgesData[Edge ID],EdgesData[[#This Row],[Edge ID]])</f>
        <v>1</v>
      </c>
      <c r="C38" s="13" t="str">
        <f>VLOOKUP(EdgesData[[#This Row],[Node A]],NodesData[],4,FALSE)</f>
        <v>935B2B66-22E7-4674-9564-5B7FE10D4526</v>
      </c>
      <c r="D38" s="16" t="s">
        <v>1313</v>
      </c>
      <c r="E38" s="11" t="s">
        <v>1343</v>
      </c>
      <c r="G38" s="11" t="s">
        <v>618</v>
      </c>
      <c r="H38" s="13" t="str">
        <f>VLOOKUP(EdgesData[[#This Row],[Node B]],NodesData[],4,FALSE)</f>
        <v>A2967417-72BE-4537-BE1E-39E6298F5851</v>
      </c>
      <c r="I38" s="14" t="str" cm="1">
        <f t="array" ref="I38">CreateGuidString()</f>
        <v>8FA8BA60-4F2A-4BFD-A297-E4053CB17D73</v>
      </c>
    </row>
    <row r="39" spans="1:9" x14ac:dyDescent="0.35">
      <c r="A39" s="13" t="s">
        <v>1957</v>
      </c>
      <c r="B39" s="35">
        <f>COUNTIF(EdgesData[Edge ID],EdgesData[[#This Row],[Edge ID]])</f>
        <v>1</v>
      </c>
      <c r="C39" s="13" t="str">
        <f>VLOOKUP(EdgesData[[#This Row],[Node A]],NodesData[],4,FALSE)</f>
        <v>1D786316-F897-4DFF-8B41-5E1E1572959A</v>
      </c>
      <c r="D39" s="17" t="s">
        <v>1296</v>
      </c>
      <c r="E39" s="11" t="s">
        <v>1343</v>
      </c>
      <c r="G39" s="11" t="s">
        <v>0</v>
      </c>
      <c r="H39" s="13" t="str">
        <f>VLOOKUP(EdgesData[[#This Row],[Node B]],NodesData[],4,FALSE)</f>
        <v>A42E7343-FA4C-490A-A0A3-7F65FB188771</v>
      </c>
      <c r="I39" s="14" t="str" cm="1">
        <f t="array" ref="I39">CreateGuidString()</f>
        <v>43895014-FE0C-4117-87D5-FBF8AAF56D63</v>
      </c>
    </row>
    <row r="40" spans="1:9" x14ac:dyDescent="0.35">
      <c r="A40" s="13" t="s">
        <v>1958</v>
      </c>
      <c r="B40" s="35">
        <f>COUNTIF(EdgesData[Edge ID],EdgesData[[#This Row],[Edge ID]])</f>
        <v>1</v>
      </c>
      <c r="C40" s="13" t="str">
        <f>VLOOKUP(EdgesData[[#This Row],[Node A]],NodesData[],4,FALSE)</f>
        <v>BFC2B385-EAA5-409A-8F21-E3B07033449A</v>
      </c>
      <c r="D40" s="11" t="s">
        <v>1365</v>
      </c>
      <c r="E40" s="11" t="s">
        <v>1343</v>
      </c>
      <c r="G40" s="11" t="s">
        <v>1332</v>
      </c>
      <c r="H40" s="13" t="str">
        <f>VLOOKUP(EdgesData[[#This Row],[Node B]],NodesData[],4,FALSE)</f>
        <v>4C6DA97E-8091-41CA-B99C-4250D2678005</v>
      </c>
      <c r="I40" s="14" t="str" cm="1">
        <f t="array" ref="I40">CreateGuidString()</f>
        <v>8A776D00-32D8-4078-8B34-F55068F0FD47</v>
      </c>
    </row>
    <row r="41" spans="1:9" x14ac:dyDescent="0.35">
      <c r="A41" s="13" t="s">
        <v>1959</v>
      </c>
      <c r="B41" s="35">
        <f>COUNTIF(EdgesData[Edge ID],EdgesData[[#This Row],[Edge ID]])</f>
        <v>1</v>
      </c>
      <c r="C41" s="13" t="str">
        <f>VLOOKUP(EdgesData[[#This Row],[Node A]],NodesData[],4,FALSE)</f>
        <v>BFC2B385-EAA5-409A-8F21-E3B07033449A</v>
      </c>
      <c r="D41" s="11" t="s">
        <v>1365</v>
      </c>
      <c r="E41" s="11" t="s">
        <v>1343</v>
      </c>
      <c r="G41" s="11" t="s">
        <v>618</v>
      </c>
      <c r="H41" s="13" t="str">
        <f>VLOOKUP(EdgesData[[#This Row],[Node B]],NodesData[],4,FALSE)</f>
        <v>A2967417-72BE-4537-BE1E-39E6298F5851</v>
      </c>
      <c r="I41" s="14" t="str" cm="1">
        <f t="array" ref="I41">CreateGuidString()</f>
        <v>B292E7B1-1707-4B0B-BBE7-605D19444883</v>
      </c>
    </row>
    <row r="42" spans="1:9" x14ac:dyDescent="0.35">
      <c r="A42" s="13" t="s">
        <v>1960</v>
      </c>
      <c r="B42" s="35">
        <f>COUNTIF(EdgesData[Edge ID],EdgesData[[#This Row],[Edge ID]])</f>
        <v>1</v>
      </c>
      <c r="C42" s="13" t="str">
        <f>VLOOKUP(EdgesData[[#This Row],[Node A]],NodesData[],4,FALSE)</f>
        <v>087C6620-F50C-4D7E-B3DF-516DA675DD50</v>
      </c>
      <c r="D42" s="16" t="s">
        <v>1314</v>
      </c>
      <c r="E42" s="11" t="s">
        <v>1343</v>
      </c>
      <c r="G42" s="11" t="s">
        <v>1332</v>
      </c>
      <c r="H42" s="13" t="str">
        <f>VLOOKUP(EdgesData[[#This Row],[Node B]],NodesData[],4,FALSE)</f>
        <v>4C6DA97E-8091-41CA-B99C-4250D2678005</v>
      </c>
      <c r="I42" s="14" t="str" cm="1">
        <f t="array" ref="I42">CreateGuidString()</f>
        <v>33065C30-A3B9-4D0D-B5CC-ED8D767FBEC1</v>
      </c>
    </row>
    <row r="43" spans="1:9" x14ac:dyDescent="0.35">
      <c r="A43" s="13" t="s">
        <v>1961</v>
      </c>
      <c r="B43" s="35">
        <f>COUNTIF(EdgesData[Edge ID],EdgesData[[#This Row],[Edge ID]])</f>
        <v>1</v>
      </c>
      <c r="C43" s="13" t="str">
        <f>VLOOKUP(EdgesData[[#This Row],[Node A]],NodesData[],4,FALSE)</f>
        <v>087C6620-F50C-4D7E-B3DF-516DA675DD50</v>
      </c>
      <c r="D43" s="17" t="s">
        <v>1314</v>
      </c>
      <c r="E43" s="11" t="s">
        <v>1343</v>
      </c>
      <c r="G43" s="11" t="s">
        <v>618</v>
      </c>
      <c r="H43" s="13" t="str">
        <f>VLOOKUP(EdgesData[[#This Row],[Node B]],NodesData[],4,FALSE)</f>
        <v>A2967417-72BE-4537-BE1E-39E6298F5851</v>
      </c>
      <c r="I43" s="14" t="str" cm="1">
        <f t="array" ref="I43">CreateGuidString()</f>
        <v>C6BBD49A-A858-43A9-9337-8EB58F0C51B2</v>
      </c>
    </row>
    <row r="44" spans="1:9" x14ac:dyDescent="0.35">
      <c r="A44" s="13" t="s">
        <v>1962</v>
      </c>
      <c r="B44" s="35">
        <f>COUNTIF(EdgesData[Edge ID],EdgesData[[#This Row],[Edge ID]])</f>
        <v>1</v>
      </c>
      <c r="C44" s="13" t="str">
        <f>VLOOKUP(EdgesData[[#This Row],[Node A]],NodesData[],4,FALSE)</f>
        <v>4DAEE886-62B6-4A11-91E2-6CCC52E8C726</v>
      </c>
      <c r="D44" s="16" t="s">
        <v>1295</v>
      </c>
      <c r="E44" s="11" t="s">
        <v>1343</v>
      </c>
      <c r="G44" s="11" t="s">
        <v>0</v>
      </c>
      <c r="H44" s="13" t="str">
        <f>VLOOKUP(EdgesData[[#This Row],[Node B]],NodesData[],4,FALSE)</f>
        <v>A42E7343-FA4C-490A-A0A3-7F65FB188771</v>
      </c>
      <c r="I44" s="14" t="str" cm="1">
        <f t="array" ref="I44">CreateGuidString()</f>
        <v>FABAAE46-324C-4399-87DA-0B0EE767B29A</v>
      </c>
    </row>
    <row r="45" spans="1:9" x14ac:dyDescent="0.35">
      <c r="A45" s="13" t="s">
        <v>1963</v>
      </c>
      <c r="B45" s="35">
        <f>COUNTIF(EdgesData[Edge ID],EdgesData[[#This Row],[Edge ID]])</f>
        <v>1</v>
      </c>
      <c r="C45" s="13" t="str">
        <f>VLOOKUP(EdgesData[[#This Row],[Node A]],NodesData[],4,FALSE)</f>
        <v>DF8479E4-7ED0-4699-B624-53A022550DA0</v>
      </c>
      <c r="D45" s="17" t="s">
        <v>1297</v>
      </c>
      <c r="E45" s="11" t="s">
        <v>1343</v>
      </c>
      <c r="G45" s="11" t="s">
        <v>0</v>
      </c>
      <c r="H45" s="13" t="str">
        <f>VLOOKUP(EdgesData[[#This Row],[Node B]],NodesData[],4,FALSE)</f>
        <v>A42E7343-FA4C-490A-A0A3-7F65FB188771</v>
      </c>
      <c r="I45" s="14" t="str" cm="1">
        <f t="array" ref="I45">CreateGuidString()</f>
        <v>28500740-6EE6-4335-8EF3-39D42CD9EB16</v>
      </c>
    </row>
    <row r="46" spans="1:9" x14ac:dyDescent="0.35">
      <c r="A46" s="13" t="s">
        <v>1964</v>
      </c>
      <c r="B46" s="35">
        <f>COUNTIF(EdgesData[Edge ID],EdgesData[[#This Row],[Edge ID]])</f>
        <v>1</v>
      </c>
      <c r="C46" s="13" t="str">
        <f>VLOOKUP(EdgesData[[#This Row],[Node A]],NodesData[],4,FALSE)</f>
        <v>B5825B69-4900-43C0-A761-B839CC2A150A</v>
      </c>
      <c r="D46" s="16" t="s">
        <v>1312</v>
      </c>
      <c r="E46" s="11" t="s">
        <v>1343</v>
      </c>
      <c r="G46" s="11" t="s">
        <v>1332</v>
      </c>
      <c r="H46" s="13" t="str">
        <f>VLOOKUP(EdgesData[[#This Row],[Node B]],NodesData[],4,FALSE)</f>
        <v>4C6DA97E-8091-41CA-B99C-4250D2678005</v>
      </c>
      <c r="I46" s="14" t="str" cm="1">
        <f t="array" ref="I46">CreateGuidString()</f>
        <v>B0C857BE-9AD0-4BB2-BEF3-0102CD2627FD</v>
      </c>
    </row>
    <row r="47" spans="1:9" x14ac:dyDescent="0.35">
      <c r="A47" s="13" t="s">
        <v>1965</v>
      </c>
      <c r="B47" s="35">
        <f>COUNTIF(EdgesData[Edge ID],EdgesData[[#This Row],[Edge ID]])</f>
        <v>1</v>
      </c>
      <c r="C47" s="13" t="str">
        <f>VLOOKUP(EdgesData[[#This Row],[Node A]],NodesData[],4,FALSE)</f>
        <v>B5825B69-4900-43C0-A761-B839CC2A150A</v>
      </c>
      <c r="D47" s="17" t="s">
        <v>1312</v>
      </c>
      <c r="E47" s="11" t="s">
        <v>1343</v>
      </c>
      <c r="G47" s="11" t="s">
        <v>618</v>
      </c>
      <c r="H47" s="13" t="str">
        <f>VLOOKUP(EdgesData[[#This Row],[Node B]],NodesData[],4,FALSE)</f>
        <v>A2967417-72BE-4537-BE1E-39E6298F5851</v>
      </c>
      <c r="I47" s="14" t="str" cm="1">
        <f t="array" ref="I47">CreateGuidString()</f>
        <v>1A7AC49D-0F1C-47EE-BC58-AC3EAE721F57</v>
      </c>
    </row>
    <row r="48" spans="1:9" x14ac:dyDescent="0.35">
      <c r="A48" s="13" t="s">
        <v>1966</v>
      </c>
      <c r="B48" s="35">
        <f>COUNTIF(EdgesData[Edge ID],EdgesData[[#This Row],[Edge ID]])</f>
        <v>1</v>
      </c>
      <c r="C48" s="13" t="str">
        <f>VLOOKUP(EdgesData[[#This Row],[Node A]],NodesData[],4,FALSE)</f>
        <v>F308D789-DA7D-4E47-A5C3-2B03D6929447</v>
      </c>
      <c r="D48" s="16" t="s">
        <v>1315</v>
      </c>
      <c r="E48" s="11" t="s">
        <v>1343</v>
      </c>
      <c r="G48" s="11" t="s">
        <v>1332</v>
      </c>
      <c r="H48" s="13" t="str">
        <f>VLOOKUP(EdgesData[[#This Row],[Node B]],NodesData[],4,FALSE)</f>
        <v>4C6DA97E-8091-41CA-B99C-4250D2678005</v>
      </c>
      <c r="I48" s="14" t="str" cm="1">
        <f t="array" ref="I48">CreateGuidString()</f>
        <v>FCE6A6BB-8894-457D-8ABB-A0A449520297</v>
      </c>
    </row>
    <row r="49" spans="1:9" x14ac:dyDescent="0.35">
      <c r="A49" s="13" t="s">
        <v>1967</v>
      </c>
      <c r="B49" s="35">
        <f>COUNTIF(EdgesData[Edge ID],EdgesData[[#This Row],[Edge ID]])</f>
        <v>1</v>
      </c>
      <c r="C49" s="13" t="str">
        <f>VLOOKUP(EdgesData[[#This Row],[Node A]],NodesData[],4,FALSE)</f>
        <v>F308D789-DA7D-4E47-A5C3-2B03D6929447</v>
      </c>
      <c r="D49" s="17" t="s">
        <v>1315</v>
      </c>
      <c r="E49" s="11" t="s">
        <v>1343</v>
      </c>
      <c r="G49" s="11" t="s">
        <v>618</v>
      </c>
      <c r="H49" s="13" t="str">
        <f>VLOOKUP(EdgesData[[#This Row],[Node B]],NodesData[],4,FALSE)</f>
        <v>A2967417-72BE-4537-BE1E-39E6298F5851</v>
      </c>
      <c r="I49" s="14" t="str" cm="1">
        <f t="array" ref="I49">CreateGuidString()</f>
        <v>361CF5E5-A4E7-41F1-B5E0-BE5AA8CBC1AB</v>
      </c>
    </row>
    <row r="50" spans="1:9" x14ac:dyDescent="0.35">
      <c r="A50" s="13" t="s">
        <v>1968</v>
      </c>
      <c r="B50" s="35">
        <f>COUNTIF(EdgesData[Edge ID],EdgesData[[#This Row],[Edge ID]])</f>
        <v>1</v>
      </c>
      <c r="C50" s="13" t="str">
        <f>VLOOKUP(EdgesData[[#This Row],[Node A]],NodesData[],4,FALSE)</f>
        <v>3707A70E-88B7-4B6D-A934-0BC5EE398FF6</v>
      </c>
      <c r="D50" s="12" t="s">
        <v>4</v>
      </c>
      <c r="E50" s="12" t="s">
        <v>1343</v>
      </c>
      <c r="G50" s="18" t="s">
        <v>1380</v>
      </c>
      <c r="H50" s="28" t="str">
        <f>VLOOKUP(EdgesData[[#This Row],[Node B]],NodesData[],4,FALSE)</f>
        <v>AB661E2B-F23C-4C53-A2BC-043F66BD26F6</v>
      </c>
      <c r="I50" s="29" t="str" cm="1">
        <f t="array" ref="I50">CreateGuidString()</f>
        <v>26E77BE3-5EC8-4DB4-98EF-7A96B2955DEF</v>
      </c>
    </row>
    <row r="51" spans="1:9" x14ac:dyDescent="0.35">
      <c r="A51" s="13" t="s">
        <v>1969</v>
      </c>
      <c r="B51" s="35">
        <f>COUNTIF(EdgesData[Edge ID],EdgesData[[#This Row],[Edge ID]])</f>
        <v>1</v>
      </c>
      <c r="C51" s="13" t="str">
        <f>VLOOKUP(EdgesData[[#This Row],[Node A]],NodesData[],4,FALSE)</f>
        <v>AB661E2B-F23C-4C53-A2BC-043F66BD26F6</v>
      </c>
      <c r="D51" s="12" t="s">
        <v>1380</v>
      </c>
      <c r="E51" s="12" t="s">
        <v>1343</v>
      </c>
      <c r="G51" s="18" t="s">
        <v>1381</v>
      </c>
      <c r="H51" s="28" t="str">
        <f>VLOOKUP(EdgesData[[#This Row],[Node B]],NodesData[],4,FALSE)</f>
        <v>F6D05109-A8EB-4630-8070-A3DC00484ED2</v>
      </c>
      <c r="I51" s="29" t="str" cm="1">
        <f t="array" ref="I51">CreateGuidString()</f>
        <v>40665882-7B0C-4C43-80B9-296692AF819C</v>
      </c>
    </row>
    <row r="52" spans="1:9" x14ac:dyDescent="0.35">
      <c r="A52" s="13" t="s">
        <v>1970</v>
      </c>
      <c r="B52" s="35">
        <f>COUNTIF(EdgesData[Edge ID],EdgesData[[#This Row],[Edge ID]])</f>
        <v>1</v>
      </c>
      <c r="C52" s="13" t="str">
        <f>VLOOKUP(EdgesData[[#This Row],[Node A]],NodesData[],4,FALSE)</f>
        <v>3707A70E-88B7-4B6D-A934-0BC5EE398FF6</v>
      </c>
      <c r="D52" s="12" t="s">
        <v>4</v>
      </c>
      <c r="E52" s="12" t="s">
        <v>1382</v>
      </c>
      <c r="G52" s="18" t="s">
        <v>1396</v>
      </c>
      <c r="H52" s="28" t="str">
        <f>VLOOKUP(EdgesData[[#This Row],[Node B]],NodesData[],4,FALSE)</f>
        <v>5405E693-EB16-42E8-98EA-4E4BF4569BD9</v>
      </c>
      <c r="I52" s="29" t="str" cm="1">
        <f t="array" ref="I52">CreateGuidString()</f>
        <v>E6BF5314-2600-4444-8CED-A384480EC12C</v>
      </c>
    </row>
    <row r="53" spans="1:9" x14ac:dyDescent="0.35">
      <c r="A53" s="13" t="s">
        <v>1971</v>
      </c>
      <c r="B53" s="35">
        <f>COUNTIF(EdgesData[Edge ID],EdgesData[[#This Row],[Edge ID]])</f>
        <v>1</v>
      </c>
      <c r="C53" s="13" t="str">
        <f>VLOOKUP(EdgesData[[#This Row],[Node A]],NodesData[],4,FALSE)</f>
        <v>3707A70E-88B7-4B6D-A934-0BC5EE398FF6</v>
      </c>
      <c r="D53" s="12" t="s">
        <v>4</v>
      </c>
      <c r="E53" s="12" t="s">
        <v>1383</v>
      </c>
      <c r="G53" s="18" t="s">
        <v>1397</v>
      </c>
      <c r="H53" s="28" t="str">
        <f>VLOOKUP(EdgesData[[#This Row],[Node B]],NodesData[],4,FALSE)</f>
        <v>0356B816-5188-4965-B4D7-28144AB3745F</v>
      </c>
      <c r="I53" s="29" t="str" cm="1">
        <f t="array" ref="I53">CreateGuidString()</f>
        <v>DBEF589E-61B7-48CA-BF62-BE1EFE5B5B5F</v>
      </c>
    </row>
    <row r="54" spans="1:9" x14ac:dyDescent="0.35">
      <c r="A54" s="13" t="s">
        <v>1972</v>
      </c>
      <c r="B54" s="35">
        <f>COUNTIF(EdgesData[Edge ID],EdgesData[[#This Row],[Edge ID]])</f>
        <v>1</v>
      </c>
      <c r="C54" s="13" t="str">
        <f>VLOOKUP(EdgesData[[#This Row],[Node A]],NodesData[],4,FALSE)</f>
        <v>5405E693-EB16-42E8-98EA-4E4BF4569BD9</v>
      </c>
      <c r="D54" s="18" t="s">
        <v>1396</v>
      </c>
      <c r="E54" s="11" t="s">
        <v>1407</v>
      </c>
      <c r="G54" s="18" t="s">
        <v>1398</v>
      </c>
      <c r="H54" s="28" t="str">
        <f>VLOOKUP(EdgesData[[#This Row],[Node B]],NodesData[],4,FALSE)</f>
        <v>2BE2F561-5FF3-4301-82B7-39FF29CD650A</v>
      </c>
      <c r="I54" s="29" t="str" cm="1">
        <f t="array" ref="I54">CreateGuidString()</f>
        <v>D9F6340D-C755-478B-A8BA-B75B075E3FC8</v>
      </c>
    </row>
    <row r="55" spans="1:9" x14ac:dyDescent="0.35">
      <c r="A55" s="13" t="s">
        <v>1973</v>
      </c>
      <c r="B55" s="35">
        <f>COUNTIF(EdgesData[Edge ID],EdgesData[[#This Row],[Edge ID]])</f>
        <v>1</v>
      </c>
      <c r="C55" s="13" t="str">
        <f>VLOOKUP(EdgesData[[#This Row],[Node A]],NodesData[],4,FALSE)</f>
        <v>0356B816-5188-4965-B4D7-28144AB3745F</v>
      </c>
      <c r="D55" s="18" t="s">
        <v>1397</v>
      </c>
      <c r="E55" s="12" t="s">
        <v>1384</v>
      </c>
      <c r="G55" s="18" t="s">
        <v>1398</v>
      </c>
      <c r="H55" s="28" t="str">
        <f>VLOOKUP(EdgesData[[#This Row],[Node B]],NodesData[],4,FALSE)</f>
        <v>2BE2F561-5FF3-4301-82B7-39FF29CD650A</v>
      </c>
      <c r="I55" s="29" t="str" cm="1">
        <f t="array" ref="I55">CreateGuidString()</f>
        <v>624D8A78-15B2-4960-86BC-B962167A2B50</v>
      </c>
    </row>
    <row r="56" spans="1:9" x14ac:dyDescent="0.35">
      <c r="A56" s="13" t="s">
        <v>1974</v>
      </c>
      <c r="B56" s="35">
        <f>COUNTIF(EdgesData[Edge ID],EdgesData[[#This Row],[Edge ID]])</f>
        <v>1</v>
      </c>
      <c r="C56" s="13" t="str">
        <f>VLOOKUP(EdgesData[[#This Row],[Node A]],NodesData[],4,FALSE)</f>
        <v>5405E693-EB16-42E8-98EA-4E4BF4569BD9</v>
      </c>
      <c r="D56" s="18" t="s">
        <v>1396</v>
      </c>
      <c r="E56" s="12" t="s">
        <v>1385</v>
      </c>
      <c r="F56" s="12" t="s">
        <v>1362</v>
      </c>
      <c r="G56" s="18" t="s">
        <v>1397</v>
      </c>
      <c r="H56" s="28" t="str">
        <f>VLOOKUP(EdgesData[[#This Row],[Node B]],NodesData[],4,FALSE)</f>
        <v>0356B816-5188-4965-B4D7-28144AB3745F</v>
      </c>
      <c r="I56" s="29" t="str" cm="1">
        <f t="array" ref="I56">CreateGuidString()</f>
        <v>AC3D99D3-A737-46B2-8B00-7D9A3ABC113C</v>
      </c>
    </row>
    <row r="57" spans="1:9" x14ac:dyDescent="0.35">
      <c r="A57" s="13" t="s">
        <v>1975</v>
      </c>
      <c r="B57" s="35">
        <f>COUNTIF(EdgesData[Edge ID],EdgesData[[#This Row],[Edge ID]])</f>
        <v>1</v>
      </c>
      <c r="C57" s="13" t="str">
        <f>VLOOKUP(EdgesData[[#This Row],[Node A]],NodesData[],4,FALSE)</f>
        <v>DB35E690-DA61-4DD6-8BFE-3D6A2BCFD097</v>
      </c>
      <c r="D57" s="18" t="s">
        <v>1402</v>
      </c>
      <c r="E57" s="12" t="s">
        <v>1403</v>
      </c>
      <c r="G57" s="18" t="s">
        <v>1386</v>
      </c>
      <c r="H57" s="28" t="str">
        <f>VLOOKUP(EdgesData[[#This Row],[Node B]],NodesData[],4,FALSE)</f>
        <v>422E3DA9-1F9C-44DA-8A28-BF3685F5E402</v>
      </c>
      <c r="I57" s="29" t="str" cm="1">
        <f t="array" ref="I57">CreateGuidString()</f>
        <v>B8D2A8FF-158D-431C-B23D-8ABC12909059</v>
      </c>
    </row>
    <row r="58" spans="1:9" x14ac:dyDescent="0.35">
      <c r="A58" s="13" t="s">
        <v>1976</v>
      </c>
      <c r="B58" s="35">
        <f>COUNTIF(EdgesData[Edge ID],EdgesData[[#This Row],[Edge ID]])</f>
        <v>1</v>
      </c>
      <c r="C58" s="13" t="str">
        <f>VLOOKUP(EdgesData[[#This Row],[Node A]],NodesData[],4,FALSE)</f>
        <v>DB35E690-DA61-4DD6-8BFE-3D6A2BCFD097</v>
      </c>
      <c r="D58" s="18" t="s">
        <v>1402</v>
      </c>
      <c r="E58" s="12" t="s">
        <v>1403</v>
      </c>
      <c r="G58" s="18" t="s">
        <v>1387</v>
      </c>
      <c r="H58" s="28" t="str">
        <f>VLOOKUP(EdgesData[[#This Row],[Node B]],NodesData[],4,FALSE)</f>
        <v>972F900D-A7B8-411F-BF29-19B9F2169285</v>
      </c>
      <c r="I58" s="29" t="str" cm="1">
        <f t="array" ref="I58">CreateGuidString()</f>
        <v>FF977DA1-3B9C-47F7-BE05-A16485CB0D72</v>
      </c>
    </row>
    <row r="59" spans="1:9" x14ac:dyDescent="0.35">
      <c r="A59" s="13" t="s">
        <v>1977</v>
      </c>
      <c r="B59" s="35">
        <f>COUNTIF(EdgesData[Edge ID],EdgesData[[#This Row],[Edge ID]])</f>
        <v>1</v>
      </c>
      <c r="C59" s="13" t="str">
        <f>VLOOKUP(EdgesData[[#This Row],[Node A]],NodesData[],4,FALSE)</f>
        <v>DB35E690-DA61-4DD6-8BFE-3D6A2BCFD097</v>
      </c>
      <c r="D59" s="18" t="s">
        <v>1402</v>
      </c>
      <c r="E59" s="12" t="s">
        <v>1403</v>
      </c>
      <c r="G59" s="18" t="s">
        <v>1388</v>
      </c>
      <c r="H59" s="28" t="str">
        <f>VLOOKUP(EdgesData[[#This Row],[Node B]],NodesData[],4,FALSE)</f>
        <v>8AB3C29B-04F9-4068-85E6-82031382CE74</v>
      </c>
      <c r="I59" s="29" t="str" cm="1">
        <f t="array" ref="I59">CreateGuidString()</f>
        <v>0000618D-67F2-4990-801A-1E881520AF74</v>
      </c>
    </row>
    <row r="60" spans="1:9" x14ac:dyDescent="0.35">
      <c r="A60" s="13" t="s">
        <v>1978</v>
      </c>
      <c r="B60" s="35">
        <f>COUNTIF(EdgesData[Edge ID],EdgesData[[#This Row],[Edge ID]])</f>
        <v>1</v>
      </c>
      <c r="C60" s="13" t="str">
        <f>VLOOKUP(EdgesData[[#This Row],[Node A]],NodesData[],4,FALSE)</f>
        <v>5405E693-EB16-42E8-98EA-4E4BF4569BD9</v>
      </c>
      <c r="D60" s="18" t="s">
        <v>1396</v>
      </c>
      <c r="E60" s="12" t="s">
        <v>1389</v>
      </c>
      <c r="G60" s="18" t="s">
        <v>1399</v>
      </c>
      <c r="H60" s="28" t="str">
        <f>VLOOKUP(EdgesData[[#This Row],[Node B]],NodesData[],4,FALSE)</f>
        <v>5F148AC3-F899-4AC2-AEB2-C6CA6005999B</v>
      </c>
      <c r="I60" s="29" t="str" cm="1">
        <f t="array" ref="I60">CreateGuidString()</f>
        <v>9B287D99-25E1-4DA4-B3CF-D4B1DCB74C64</v>
      </c>
    </row>
    <row r="61" spans="1:9" x14ac:dyDescent="0.35">
      <c r="A61" s="13" t="s">
        <v>1979</v>
      </c>
      <c r="B61" s="35">
        <f>COUNTIF(EdgesData[Edge ID],EdgesData[[#This Row],[Edge ID]])</f>
        <v>1</v>
      </c>
      <c r="C61" s="13" t="str">
        <f>VLOOKUP(EdgesData[[#This Row],[Node A]],NodesData[],4,FALSE)</f>
        <v>0356B816-5188-4965-B4D7-28144AB3745F</v>
      </c>
      <c r="D61" s="18" t="s">
        <v>1397</v>
      </c>
      <c r="E61" s="12" t="s">
        <v>1400</v>
      </c>
      <c r="G61" s="18" t="s">
        <v>1399</v>
      </c>
      <c r="H61" s="28" t="str">
        <f>VLOOKUP(EdgesData[[#This Row],[Node B]],NodesData[],4,FALSE)</f>
        <v>5F148AC3-F899-4AC2-AEB2-C6CA6005999B</v>
      </c>
      <c r="I61" s="29" t="str" cm="1">
        <f t="array" ref="I61">CreateGuidString()</f>
        <v>C03B5509-A5F0-4A30-AE2C-799A6A30E031</v>
      </c>
    </row>
    <row r="62" spans="1:9" x14ac:dyDescent="0.35">
      <c r="A62" s="13" t="s">
        <v>1980</v>
      </c>
      <c r="B62" s="35">
        <f>COUNTIF(EdgesData[Edge ID],EdgesData[[#This Row],[Edge ID]])</f>
        <v>1</v>
      </c>
      <c r="C62" s="13" t="str">
        <f>VLOOKUP(EdgesData[[#This Row],[Node A]],NodesData[],4,FALSE)</f>
        <v>3707A70E-88B7-4B6D-A934-0BC5EE398FF6</v>
      </c>
      <c r="D62" s="12" t="s">
        <v>4</v>
      </c>
      <c r="E62" s="12" t="s">
        <v>1343</v>
      </c>
      <c r="G62" s="18" t="s">
        <v>1390</v>
      </c>
      <c r="H62" s="28" t="str">
        <f>VLOOKUP(EdgesData[[#This Row],[Node B]],NodesData[],4,FALSE)</f>
        <v>6989A549-F547-413E-9EFA-E4EFEF40B824</v>
      </c>
      <c r="I62" s="29" t="str" cm="1">
        <f t="array" ref="I62">CreateGuidString()</f>
        <v>C1A0FF6A-51A9-49F1-993D-6D626514246A</v>
      </c>
    </row>
    <row r="63" spans="1:9" x14ac:dyDescent="0.35">
      <c r="A63" s="13" t="s">
        <v>1981</v>
      </c>
      <c r="B63" s="35">
        <f>COUNTIF(EdgesData[Edge ID],EdgesData[[#This Row],[Edge ID]])</f>
        <v>1</v>
      </c>
      <c r="C63" s="13" t="str">
        <f>VLOOKUP(EdgesData[[#This Row],[Node A]],NodesData[],4,FALSE)</f>
        <v>5F148AC3-F899-4AC2-AEB2-C6CA6005999B</v>
      </c>
      <c r="D63" s="18" t="s">
        <v>1399</v>
      </c>
      <c r="E63" s="12" t="s">
        <v>1401</v>
      </c>
      <c r="G63" s="18" t="s">
        <v>1398</v>
      </c>
      <c r="H63" s="28" t="str">
        <f>VLOOKUP(EdgesData[[#This Row],[Node B]],NodesData[],4,FALSE)</f>
        <v>2BE2F561-5FF3-4301-82B7-39FF29CD650A</v>
      </c>
      <c r="I63" s="29" t="str" cm="1">
        <f t="array" ref="I63">CreateGuidString()</f>
        <v>355A97DF-7524-4AAD-9971-402E919670C5</v>
      </c>
    </row>
    <row r="64" spans="1:9" x14ac:dyDescent="0.35">
      <c r="A64" s="13" t="s">
        <v>1982</v>
      </c>
      <c r="B64" s="35">
        <f>COUNTIF(EdgesData[Edge ID],EdgesData[[#This Row],[Edge ID]])</f>
        <v>1</v>
      </c>
      <c r="C64" s="13" t="str">
        <f>VLOOKUP(EdgesData[[#This Row],[Node A]],NodesData[],4,FALSE)</f>
        <v>5405E693-EB16-42E8-98EA-4E4BF4569BD9</v>
      </c>
      <c r="D64" s="18" t="s">
        <v>1396</v>
      </c>
      <c r="E64" s="12" t="s">
        <v>1400</v>
      </c>
      <c r="G64" s="18" t="s">
        <v>1402</v>
      </c>
      <c r="H64" s="28" t="str">
        <f>VLOOKUP(EdgesData[[#This Row],[Node B]],NodesData[],4,FALSE)</f>
        <v>DB35E690-DA61-4DD6-8BFE-3D6A2BCFD097</v>
      </c>
      <c r="I64" s="29" t="str" cm="1">
        <f t="array" ref="I64">CreateGuidString()</f>
        <v>03C65088-C04C-48F0-BCF8-7C56E778D79A</v>
      </c>
    </row>
    <row r="65" spans="1:9" x14ac:dyDescent="0.35">
      <c r="A65" s="13" t="s">
        <v>1983</v>
      </c>
      <c r="B65" s="35">
        <f>COUNTIF(EdgesData[Edge ID],EdgesData[[#This Row],[Edge ID]])</f>
        <v>1</v>
      </c>
      <c r="C65" s="13" t="str">
        <f>VLOOKUP(EdgesData[[#This Row],[Node A]],NodesData[],4,FALSE)</f>
        <v>972F900D-A7B8-411F-BF29-19B9F2169285</v>
      </c>
      <c r="D65" s="18" t="s">
        <v>1387</v>
      </c>
      <c r="E65" s="12" t="s">
        <v>1354</v>
      </c>
      <c r="G65" s="18" t="s">
        <v>1397</v>
      </c>
      <c r="H65" s="28" t="str">
        <f>VLOOKUP(EdgesData[[#This Row],[Node B]],NodesData[],4,FALSE)</f>
        <v>0356B816-5188-4965-B4D7-28144AB3745F</v>
      </c>
      <c r="I65" s="29" t="str" cm="1">
        <f t="array" ref="I65">CreateGuidString()</f>
        <v>16C846ED-2379-48BF-B8E8-CA51AF983FE7</v>
      </c>
    </row>
    <row r="66" spans="1:9" x14ac:dyDescent="0.35">
      <c r="A66" s="13" t="s">
        <v>1984</v>
      </c>
      <c r="B66" s="35">
        <f>COUNTIF(EdgesData[Edge ID],EdgesData[[#This Row],[Edge ID]])</f>
        <v>1</v>
      </c>
      <c r="C66" s="28" t="str">
        <f>VLOOKUP(EdgesData[[#This Row],[Node A]],NodesData[],4,FALSE)</f>
        <v>3707A70E-88B7-4B6D-A934-0BC5EE398FF6</v>
      </c>
      <c r="D66" s="12" t="s">
        <v>4</v>
      </c>
      <c r="E66" s="11" t="s">
        <v>1406</v>
      </c>
      <c r="G66" s="18" t="s">
        <v>1398</v>
      </c>
      <c r="H66" s="28" t="str">
        <f>VLOOKUP(EdgesData[[#This Row],[Node B]],NodesData[],4,FALSE)</f>
        <v>2BE2F561-5FF3-4301-82B7-39FF29CD650A</v>
      </c>
      <c r="I66" s="29" t="str" cm="1">
        <f t="array" ref="I66">CreateGuidString()</f>
        <v>1C87EBE0-AB78-4669-86B6-15191BA0722D</v>
      </c>
    </row>
    <row r="67" spans="1:9" x14ac:dyDescent="0.35">
      <c r="A67" s="13" t="s">
        <v>1985</v>
      </c>
      <c r="B67" s="35">
        <f>COUNTIF(EdgesData[Edge ID],EdgesData[[#This Row],[Edge ID]])</f>
        <v>1</v>
      </c>
      <c r="C67" s="28" t="str">
        <f>VLOOKUP(EdgesData[[#This Row],[Node A]],NodesData[],4,FALSE)</f>
        <v>0356B816-5188-4965-B4D7-28144AB3745F</v>
      </c>
      <c r="D67" s="18" t="s">
        <v>1397</v>
      </c>
      <c r="E67" s="11" t="s">
        <v>1408</v>
      </c>
      <c r="G67" s="18" t="s">
        <v>1398</v>
      </c>
      <c r="H67" s="28" t="str">
        <f>VLOOKUP(EdgesData[[#This Row],[Node B]],NodesData[],4,FALSE)</f>
        <v>2BE2F561-5FF3-4301-82B7-39FF29CD650A</v>
      </c>
      <c r="I67" s="29" t="str" cm="1">
        <f t="array" ref="I67">CreateGuidString()</f>
        <v>99073CC5-247E-40C9-83CE-5529D6C81921</v>
      </c>
    </row>
    <row r="68" spans="1:9" x14ac:dyDescent="0.35">
      <c r="A68" s="13" t="s">
        <v>1986</v>
      </c>
      <c r="B68" s="35">
        <f>COUNTIF(EdgesData[Edge ID],EdgesData[[#This Row],[Edge ID]])</f>
        <v>1</v>
      </c>
      <c r="C68" s="28" t="str">
        <f>VLOOKUP(EdgesData[[#This Row],[Node A]],NodesData[],4,FALSE)</f>
        <v>3707A70E-88B7-4B6D-A934-0BC5EE398FF6</v>
      </c>
      <c r="D68" s="12" t="s">
        <v>4</v>
      </c>
      <c r="E68" s="11" t="s">
        <v>1413</v>
      </c>
      <c r="G68" s="15" t="s">
        <v>1414</v>
      </c>
      <c r="H68" s="28" t="str">
        <f>VLOOKUP(EdgesData[[#This Row],[Node B]],NodesData[],4,FALSE)</f>
        <v>3F14E556-DBD3-4DBF-AC75-33A3EE0A9EE2</v>
      </c>
      <c r="I68" s="29" t="str" cm="1">
        <f t="array" ref="I68">CreateGuidString()</f>
        <v>49121DE6-F842-494C-BE1B-909B0E2D43B7</v>
      </c>
    </row>
    <row r="69" spans="1:9" x14ac:dyDescent="0.35">
      <c r="A69" s="13" t="s">
        <v>1987</v>
      </c>
      <c r="B69" s="35">
        <f>COUNTIF(EdgesData[Edge ID],EdgesData[[#This Row],[Edge ID]])</f>
        <v>1</v>
      </c>
      <c r="C69" s="28" t="str">
        <f>VLOOKUP(EdgesData[[#This Row],[Node A]],NodesData[],4,FALSE)</f>
        <v>3F14E556-DBD3-4DBF-AC75-33A3EE0A9EE2</v>
      </c>
      <c r="D69" s="15" t="s">
        <v>1414</v>
      </c>
      <c r="E69" s="11" t="s">
        <v>1400</v>
      </c>
      <c r="G69" s="15" t="s">
        <v>1415</v>
      </c>
      <c r="H69" s="28" t="str">
        <f>VLOOKUP(EdgesData[[#This Row],[Node B]],NodesData[],4,FALSE)</f>
        <v>515EECD7-8927-46CD-B811-39535FB71778</v>
      </c>
      <c r="I69" s="29" t="str" cm="1">
        <f t="array" ref="I69">CreateGuidString()</f>
        <v>4FA39A2E-11DF-4646-9432-46173027F558</v>
      </c>
    </row>
    <row r="70" spans="1:9" x14ac:dyDescent="0.35">
      <c r="A70" s="13" t="s">
        <v>1988</v>
      </c>
      <c r="B70" s="35">
        <f>COUNTIF(EdgesData[Edge ID],EdgesData[[#This Row],[Edge ID]])</f>
        <v>1</v>
      </c>
      <c r="C70" s="28" t="str">
        <f>VLOOKUP(EdgesData[[#This Row],[Node A]],NodesData[],4,FALSE)</f>
        <v>515EECD7-8927-46CD-B811-39535FB71778</v>
      </c>
      <c r="D70" s="15" t="s">
        <v>1415</v>
      </c>
      <c r="E70" s="11" t="s">
        <v>1403</v>
      </c>
      <c r="G70" s="18" t="s">
        <v>1416</v>
      </c>
      <c r="H70" s="28" t="str">
        <f>VLOOKUP(EdgesData[[#This Row],[Node B]],NodesData[],4,FALSE)</f>
        <v>A1D6E2B6-1A6F-40D5-BEF5-85AFDA4C4E86</v>
      </c>
      <c r="I70" s="29" t="str" cm="1">
        <f t="array" ref="I70">CreateGuidString()</f>
        <v>816A61AA-E15A-457E-A2A2-884BEDEC2928</v>
      </c>
    </row>
    <row r="71" spans="1:9" x14ac:dyDescent="0.35">
      <c r="A71" s="13" t="s">
        <v>2003</v>
      </c>
      <c r="B71" s="43">
        <f>COUNTIF(EdgesData[Edge ID],EdgesData[[#This Row],[Edge ID]])</f>
        <v>1</v>
      </c>
      <c r="C71" s="28" t="str">
        <f>VLOOKUP(EdgesData[[#This Row],[Node A]],NodesData[],4,FALSE)</f>
        <v>2BE2F561-5FF3-4301-82B7-39FF29CD650A</v>
      </c>
      <c r="D71" s="18" t="s">
        <v>1398</v>
      </c>
      <c r="E71" s="12" t="s">
        <v>1343</v>
      </c>
      <c r="G71" s="18" t="s">
        <v>1991</v>
      </c>
      <c r="H71" s="28" t="str">
        <f>VLOOKUP(EdgesData[[#This Row],[Node B]],NodesData[],4,FALSE)</f>
        <v>7256DFFB-F727-40B1-B8CB-3E8ED7B93E61</v>
      </c>
      <c r="I71" s="29" t="str" cm="1">
        <f t="array" ref="I71">CreateGuidString()</f>
        <v>5F168986-E77E-4F33-91B1-EA2A80D27A62</v>
      </c>
    </row>
    <row r="72" spans="1:9" x14ac:dyDescent="0.35">
      <c r="A72" s="13" t="s">
        <v>2004</v>
      </c>
      <c r="B72" s="43">
        <f>COUNTIF(EdgesData[Edge ID],EdgesData[[#This Row],[Edge ID]])</f>
        <v>1</v>
      </c>
      <c r="C72" s="28" t="str">
        <f>VLOOKUP(EdgesData[[#This Row],[Node A]],NodesData[],4,FALSE)</f>
        <v>7256DFFB-F727-40B1-B8CB-3E8ED7B93E61</v>
      </c>
      <c r="D72" s="18" t="s">
        <v>1991</v>
      </c>
      <c r="E72" s="12" t="s">
        <v>1343</v>
      </c>
      <c r="G72" s="12" t="s">
        <v>658</v>
      </c>
      <c r="H72" s="28" t="str">
        <f>VLOOKUP(EdgesData[[#This Row],[Node B]],NodesData[],4,FALSE)</f>
        <v>D89DE997-64BE-4F19-B014-7995AF4D2FDF</v>
      </c>
      <c r="I72" s="29" t="str" cm="1">
        <f t="array" ref="I72">CreateGuidString()</f>
        <v>DD3E4086-9258-4CEC-AA71-60BBCA780A26</v>
      </c>
    </row>
    <row r="73" spans="1:9" x14ac:dyDescent="0.35">
      <c r="A73" s="13" t="s">
        <v>2005</v>
      </c>
      <c r="B73" s="43">
        <f>COUNTIF(EdgesData[Edge ID],EdgesData[[#This Row],[Edge ID]])</f>
        <v>1</v>
      </c>
      <c r="C73" s="28" t="str">
        <f>VLOOKUP(EdgesData[[#This Row],[Node A]],NodesData[],4,FALSE)</f>
        <v>D89DE997-64BE-4F19-B014-7995AF4D2FDF</v>
      </c>
      <c r="D73" s="12" t="s">
        <v>658</v>
      </c>
      <c r="E73" s="12" t="s">
        <v>1343</v>
      </c>
      <c r="G73" s="12" t="s">
        <v>148</v>
      </c>
      <c r="H73" s="28" t="str">
        <f>VLOOKUP(EdgesData[[#This Row],[Node B]],NodesData[],4,FALSE)</f>
        <v>E1435B14-CC90-490D-B94E-09B54D033ED7</v>
      </c>
      <c r="I73" s="29" t="str" cm="1">
        <f t="array" ref="I73">CreateGuidString()</f>
        <v>DE5D9227-B769-4D5A-8500-889A611D98E8</v>
      </c>
    </row>
    <row r="74" spans="1:9" x14ac:dyDescent="0.35">
      <c r="A74" s="13" t="s">
        <v>2006</v>
      </c>
      <c r="B74" s="43">
        <f>COUNTIF(EdgesData[Edge ID],EdgesData[[#This Row],[Edge ID]])</f>
        <v>1</v>
      </c>
      <c r="C74" s="28" t="str">
        <f>VLOOKUP(EdgesData[[#This Row],[Node A]],NodesData[],4,FALSE)</f>
        <v>8933951D-59FE-48AC-8006-052B2292DA85</v>
      </c>
      <c r="D74" s="12" t="s">
        <v>1994</v>
      </c>
      <c r="E74" s="12" t="s">
        <v>1343</v>
      </c>
      <c r="G74" s="12" t="s">
        <v>148</v>
      </c>
      <c r="H74" s="28" t="str">
        <f>VLOOKUP(EdgesData[[#This Row],[Node B]],NodesData[],4,FALSE)</f>
        <v>E1435B14-CC90-490D-B94E-09B54D033ED7</v>
      </c>
      <c r="I74" s="29" t="str" cm="1">
        <f t="array" ref="I74">CreateGuidString()</f>
        <v>5BF4A680-E4D0-43AF-B39E-023C875B56AE</v>
      </c>
    </row>
    <row r="75" spans="1:9" x14ac:dyDescent="0.35">
      <c r="A75" s="13" t="s">
        <v>2007</v>
      </c>
      <c r="B75" s="43">
        <f>COUNTIF(EdgesData[Edge ID],EdgesData[[#This Row],[Edge ID]])</f>
        <v>1</v>
      </c>
      <c r="C75" s="28" t="str">
        <f>VLOOKUP(EdgesData[[#This Row],[Node A]],NodesData[],4,FALSE)</f>
        <v>B9BC6707-084C-4264-ABDB-9F04C39AC188</v>
      </c>
      <c r="D75" s="12" t="s">
        <v>1989</v>
      </c>
      <c r="E75" s="12" t="s">
        <v>1343</v>
      </c>
      <c r="G75" s="12" t="s">
        <v>148</v>
      </c>
      <c r="H75" s="28" t="str">
        <f>VLOOKUP(EdgesData[[#This Row],[Node B]],NodesData[],4,FALSE)</f>
        <v>E1435B14-CC90-490D-B94E-09B54D033ED7</v>
      </c>
      <c r="I75" s="29" t="str" cm="1">
        <f t="array" ref="I75">CreateGuidString()</f>
        <v>5C157834-A0AC-4B72-874D-381E356D1427</v>
      </c>
    </row>
    <row r="76" spans="1:9" x14ac:dyDescent="0.35">
      <c r="A76" s="13" t="s">
        <v>2008</v>
      </c>
      <c r="B76" s="43">
        <f>COUNTIF(EdgesData[Edge ID],EdgesData[[#This Row],[Edge ID]])</f>
        <v>1</v>
      </c>
      <c r="C76" s="28" t="str">
        <f>VLOOKUP(EdgesData[[#This Row],[Node A]],NodesData[],4,FALSE)</f>
        <v>FFAF2EE1-D9DE-4B8B-8A9C-EA4BB61848BD</v>
      </c>
      <c r="D76" s="12" t="s">
        <v>1990</v>
      </c>
      <c r="E76" s="12" t="s">
        <v>1343</v>
      </c>
      <c r="G76" s="12" t="s">
        <v>148</v>
      </c>
      <c r="H76" s="28" t="str">
        <f>VLOOKUP(EdgesData[[#This Row],[Node B]],NodesData[],4,FALSE)</f>
        <v>E1435B14-CC90-490D-B94E-09B54D033ED7</v>
      </c>
      <c r="I76" s="29" t="str" cm="1">
        <f t="array" ref="I76">CreateGuidString()</f>
        <v>B169787F-142F-4F48-91D5-4E1631A209C3</v>
      </c>
    </row>
    <row r="77" spans="1:9" x14ac:dyDescent="0.35">
      <c r="A77" s="13" t="s">
        <v>2009</v>
      </c>
      <c r="B77" s="43">
        <f>COUNTIF(EdgesData[Edge ID],EdgesData[[#This Row],[Edge ID]])</f>
        <v>1</v>
      </c>
      <c r="C77" s="28" t="str">
        <f>VLOOKUP(EdgesData[[#This Row],[Node A]],NodesData[],4,FALSE)</f>
        <v>0D3BEAC3-BF18-4F5C-8CAC-2F389DE47B6A</v>
      </c>
      <c r="D77" s="12" t="s">
        <v>434</v>
      </c>
      <c r="E77" s="12" t="s">
        <v>1343</v>
      </c>
      <c r="G77" s="12" t="s">
        <v>1990</v>
      </c>
      <c r="H77" s="28" t="str">
        <f>VLOOKUP(EdgesData[[#This Row],[Node B]],NodesData[],4,FALSE)</f>
        <v>FFAF2EE1-D9DE-4B8B-8A9C-EA4BB61848BD</v>
      </c>
      <c r="I77" s="29" t="str" cm="1">
        <f t="array" ref="I77">CreateGuidString()</f>
        <v>172317F5-7551-4A51-B85B-0DAFEE004E16</v>
      </c>
    </row>
    <row r="78" spans="1:9" x14ac:dyDescent="0.35">
      <c r="A78" s="13" t="s">
        <v>2010</v>
      </c>
      <c r="B78" s="43">
        <f>COUNTIF(EdgesData[Edge ID],EdgesData[[#This Row],[Edge ID]])</f>
        <v>1</v>
      </c>
      <c r="C78" s="28" t="str">
        <f>VLOOKUP(EdgesData[[#This Row],[Node A]],NodesData[],4,FALSE)</f>
        <v>0D3BEAC3-BF18-4F5C-8CAC-2F389DE47B6A</v>
      </c>
      <c r="D78" s="12" t="s">
        <v>434</v>
      </c>
      <c r="E78" s="12" t="s">
        <v>1343</v>
      </c>
      <c r="G78" s="12" t="s">
        <v>1994</v>
      </c>
      <c r="H78" s="28" t="str">
        <f>VLOOKUP(EdgesData[[#This Row],[Node B]],NodesData[],4,FALSE)</f>
        <v>8933951D-59FE-48AC-8006-052B2292DA85</v>
      </c>
      <c r="I78" s="29" t="str" cm="1">
        <f t="array" ref="I78">CreateGuidString()</f>
        <v>DB7BF994-4210-4C32-9CBA-583C39FE5614</v>
      </c>
    </row>
    <row r="79" spans="1:9" x14ac:dyDescent="0.35">
      <c r="A79" s="13" t="s">
        <v>2011</v>
      </c>
      <c r="B79" s="43">
        <f>COUNTIF(EdgesData[Edge ID],EdgesData[[#This Row],[Edge ID]])</f>
        <v>1</v>
      </c>
      <c r="C79" s="28" t="str">
        <f>VLOOKUP(EdgesData[[#This Row],[Node A]],NodesData[],4,FALSE)</f>
        <v>21BF3343-85D6-4B23-ACBA-331CF49F8E96</v>
      </c>
      <c r="D79" s="12" t="s">
        <v>518</v>
      </c>
      <c r="E79" s="12" t="s">
        <v>1343</v>
      </c>
      <c r="G79" s="12" t="s">
        <v>658</v>
      </c>
      <c r="H79" s="28" t="str">
        <f>VLOOKUP(EdgesData[[#This Row],[Node B]],NodesData[],4,FALSE)</f>
        <v>D89DE997-64BE-4F19-B014-7995AF4D2FDF</v>
      </c>
      <c r="I79" s="29" t="str" cm="1">
        <f t="array" ref="I79">CreateGuidString()</f>
        <v>C09521E2-4E29-448A-9B5E-BAD855A6FC9D</v>
      </c>
    </row>
    <row r="80" spans="1:9" x14ac:dyDescent="0.35">
      <c r="A80" s="13" t="s">
        <v>2012</v>
      </c>
      <c r="B80" s="43">
        <f>COUNTIF(EdgesData[Edge ID],EdgesData[[#This Row],[Edge ID]])</f>
        <v>1</v>
      </c>
      <c r="C80" s="28" t="str">
        <f>VLOOKUP(EdgesData[[#This Row],[Node A]],NodesData[],4,FALSE)</f>
        <v>21BF3343-85D6-4B23-ACBA-331CF49F8E96</v>
      </c>
      <c r="D80" s="12" t="s">
        <v>518</v>
      </c>
      <c r="E80" s="12" t="s">
        <v>1343</v>
      </c>
      <c r="G80" s="12" t="s">
        <v>1990</v>
      </c>
      <c r="H80" s="28" t="str">
        <f>VLOOKUP(EdgesData[[#This Row],[Node B]],NodesData[],4,FALSE)</f>
        <v>FFAF2EE1-D9DE-4B8B-8A9C-EA4BB61848BD</v>
      </c>
      <c r="I80" s="29" t="str" cm="1">
        <f t="array" ref="I80">CreateGuidString()</f>
        <v>142CE4C1-7773-4488-BB24-CA0345911809</v>
      </c>
    </row>
    <row r="81" spans="1:9" x14ac:dyDescent="0.35">
      <c r="A81" s="13" t="s">
        <v>2013</v>
      </c>
      <c r="B81" s="43">
        <f>COUNTIF(EdgesData[Edge ID],EdgesData[[#This Row],[Edge ID]])</f>
        <v>1</v>
      </c>
      <c r="C81" s="28" t="str">
        <f>VLOOKUP(EdgesData[[#This Row],[Node A]],NodesData[],4,FALSE)</f>
        <v>7256DFFB-F727-40B1-B8CB-3E8ED7B93E61</v>
      </c>
      <c r="D81" s="18" t="s">
        <v>1991</v>
      </c>
      <c r="E81" s="12" t="s">
        <v>1343</v>
      </c>
      <c r="G81" s="12" t="s">
        <v>1990</v>
      </c>
      <c r="H81" s="28" t="str">
        <f>VLOOKUP(EdgesData[[#This Row],[Node B]],NodesData[],4,FALSE)</f>
        <v>FFAF2EE1-D9DE-4B8B-8A9C-EA4BB61848BD</v>
      </c>
      <c r="I81" s="29" t="str" cm="1">
        <f t="array" ref="I81">CreateGuidString()</f>
        <v>64363645-20C2-4118-8A43-16197D0B273F</v>
      </c>
    </row>
    <row r="82" spans="1:9" x14ac:dyDescent="0.35">
      <c r="A82" s="13" t="s">
        <v>2014</v>
      </c>
      <c r="B82" s="43">
        <f>COUNTIF(EdgesData[Edge ID],EdgesData[[#This Row],[Edge ID]])</f>
        <v>1</v>
      </c>
      <c r="C82" s="28" t="str">
        <f>VLOOKUP(EdgesData[[#This Row],[Node A]],NodesData[],4,FALSE)</f>
        <v>25323A0E-B290-48AC-A147-597F1DF61288</v>
      </c>
      <c r="D82" s="12" t="s">
        <v>1992</v>
      </c>
      <c r="E82" s="12" t="s">
        <v>1343</v>
      </c>
      <c r="G82" s="12" t="s">
        <v>1994</v>
      </c>
      <c r="H82" s="28" t="str">
        <f>VLOOKUP(EdgesData[[#This Row],[Node B]],NodesData[],4,FALSE)</f>
        <v>8933951D-59FE-48AC-8006-052B2292DA85</v>
      </c>
      <c r="I82" s="29" t="str" cm="1">
        <f t="array" ref="I82">CreateGuidString()</f>
        <v>C7F33B3E-E8A0-4C36-AEB3-0F4AAF16D526</v>
      </c>
    </row>
    <row r="83" spans="1:9" x14ac:dyDescent="0.35">
      <c r="A83" s="13" t="s">
        <v>2015</v>
      </c>
      <c r="B83" s="43">
        <f>COUNTIF(EdgesData[Edge ID],EdgesData[[#This Row],[Edge ID]])</f>
        <v>1</v>
      </c>
      <c r="C83" s="28" t="str">
        <f>VLOOKUP(EdgesData[[#This Row],[Node A]],NodesData[],4,FALSE)</f>
        <v>25323A0E-B290-48AC-A147-597F1DF61288</v>
      </c>
      <c r="D83" s="12" t="s">
        <v>1992</v>
      </c>
      <c r="E83" s="12" t="s">
        <v>1343</v>
      </c>
      <c r="G83" s="12" t="s">
        <v>1990</v>
      </c>
      <c r="H83" s="28" t="str">
        <f>VLOOKUP(EdgesData[[#This Row],[Node B]],NodesData[],4,FALSE)</f>
        <v>FFAF2EE1-D9DE-4B8B-8A9C-EA4BB61848BD</v>
      </c>
      <c r="I83" s="29" t="str" cm="1">
        <f t="array" ref="I83">CreateGuidString()</f>
        <v>A961B21D-25E5-4F52-83DC-48A0A527EE3C</v>
      </c>
    </row>
    <row r="84" spans="1:9" x14ac:dyDescent="0.35">
      <c r="A84" s="13" t="s">
        <v>2016</v>
      </c>
      <c r="B84" s="43">
        <f>COUNTIF(EdgesData[Edge ID],EdgesData[[#This Row],[Edge ID]])</f>
        <v>1</v>
      </c>
      <c r="C84" s="28" t="str">
        <f>VLOOKUP(EdgesData[[#This Row],[Node A]],NodesData[],4,FALSE)</f>
        <v>01F6A80A-3190-462D-BEEB-328CC562A345</v>
      </c>
      <c r="D84" s="12" t="s">
        <v>1993</v>
      </c>
      <c r="E84" s="12" t="s">
        <v>1343</v>
      </c>
      <c r="G84" s="12" t="s">
        <v>1994</v>
      </c>
      <c r="H84" s="28" t="str">
        <f>VLOOKUP(EdgesData[[#This Row],[Node B]],NodesData[],4,FALSE)</f>
        <v>8933951D-59FE-48AC-8006-052B2292DA85</v>
      </c>
      <c r="I84" s="29" t="str" cm="1">
        <f t="array" ref="I84">CreateGuidString()</f>
        <v>A3A83BDB-BBEE-4294-AE65-C57A875F7714</v>
      </c>
    </row>
    <row r="85" spans="1:9" x14ac:dyDescent="0.35">
      <c r="A85" s="13" t="s">
        <v>2017</v>
      </c>
      <c r="B85" s="43">
        <f>COUNTIF(EdgesData[Edge ID],EdgesData[[#This Row],[Edge ID]])</f>
        <v>1</v>
      </c>
      <c r="C85" s="28" t="str">
        <f>VLOOKUP(EdgesData[[#This Row],[Node A]],NodesData[],4,FALSE)</f>
        <v>01F6A80A-3190-462D-BEEB-328CC562A345</v>
      </c>
      <c r="D85" s="12" t="s">
        <v>1993</v>
      </c>
      <c r="E85" s="12" t="s">
        <v>1343</v>
      </c>
      <c r="G85" s="12" t="s">
        <v>1990</v>
      </c>
      <c r="H85" s="28" t="str">
        <f>VLOOKUP(EdgesData[[#This Row],[Node B]],NodesData[],4,FALSE)</f>
        <v>FFAF2EE1-D9DE-4B8B-8A9C-EA4BB61848BD</v>
      </c>
      <c r="I85" s="29" t="str" cm="1">
        <f t="array" ref="I85">CreateGuidString()</f>
        <v>11D55571-665E-4CCA-B449-C292219C2AAD</v>
      </c>
    </row>
    <row r="86" spans="1:9" x14ac:dyDescent="0.35">
      <c r="C86"/>
    </row>
    <row r="87" spans="1:9" x14ac:dyDescent="0.35">
      <c r="C87"/>
    </row>
    <row r="88" spans="1:9" x14ac:dyDescent="0.35">
      <c r="C88"/>
    </row>
    <row r="89" spans="1:9" x14ac:dyDescent="0.35">
      <c r="C89"/>
    </row>
    <row r="90" spans="1:9" x14ac:dyDescent="0.35">
      <c r="C90"/>
    </row>
  </sheetData>
  <conditionalFormatting sqref="B1:B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5EDD91-C169-4E84-9307-D7FC7ECB08E2}">
  <sheetPr codeName="Sheet10">
    <tabColor theme="1"/>
  </sheetPr>
  <dimension ref="A1:G520"/>
  <sheetViews>
    <sheetView topLeftCell="A494" zoomScale="120" zoomScaleNormal="120" workbookViewId="0">
      <selection activeCell="F508" sqref="F508"/>
    </sheetView>
  </sheetViews>
  <sheetFormatPr defaultRowHeight="12.75" x14ac:dyDescent="0.35"/>
  <cols>
    <col min="1" max="1" width="2.19921875" style="42" customWidth="1"/>
    <col min="2" max="3" width="23" style="3" bestFit="1" customWidth="1"/>
    <col min="4" max="4" width="32.59765625" style="18" customWidth="1"/>
    <col min="5" max="5" width="32.59765625" style="26" customWidth="1"/>
    <col min="6" max="6" width="32.59765625" style="2" customWidth="1"/>
    <col min="7" max="16384" width="9.06640625" style="2"/>
  </cols>
  <sheetData>
    <row r="1" spans="1:6" s="1" customFormat="1" ht="19.899999999999999" thickBot="1" x14ac:dyDescent="0.65">
      <c r="A1" s="40" t="s">
        <v>1358</v>
      </c>
      <c r="B1" s="9"/>
      <c r="C1" s="9"/>
      <c r="D1" s="23"/>
    </row>
    <row r="2" spans="1:6" s="12" customFormat="1" ht="15" thickTop="1" thickBot="1" x14ac:dyDescent="0.5">
      <c r="A2" s="41" t="s">
        <v>1418</v>
      </c>
      <c r="B2" s="18" t="s">
        <v>1335</v>
      </c>
      <c r="C2" s="18" t="s">
        <v>1393</v>
      </c>
      <c r="D2" s="15" t="s">
        <v>1334</v>
      </c>
      <c r="E2" s="15" t="s">
        <v>1336</v>
      </c>
      <c r="F2" s="24" t="s">
        <v>1333</v>
      </c>
    </row>
    <row r="3" spans="1:6" ht="13.9" thickTop="1" thickBot="1" x14ac:dyDescent="0.4">
      <c r="A3" s="38">
        <f>IF(ISERR(NodesJSON[[#This Row],[label]]),0,1)</f>
        <v>1</v>
      </c>
      <c r="B3" s="3" t="str">
        <f>NodesData[[#This Row],[Common Name]]</f>
        <v>4-Eyes Principle</v>
      </c>
      <c r="C3" s="3" t="str">
        <f>IF(NodesData[[#This Row],[Context Instanciation]]="","",NodesData[[#This Row],[Context Instanciation]])</f>
        <v/>
      </c>
      <c r="D3" s="21" t="str">
        <f>NodesData[[#This Row],[Node ID]]</f>
        <v>DE5E95BA-1587-412E-A276-E34663BF4FFD</v>
      </c>
      <c r="E3" s="3" t="str">
        <f>IF(NodesData[[#This Row],[URL]]="","",NodesData[[#This Row],[URL]])</f>
        <v>https://open-measure.atlassian.net/wiki/spaces/DIC/pages/805175450/4-Eyes+Principle</v>
      </c>
      <c r="F3" s="25" t="str" cm="1">
        <f t="array" ref="F3">IF(NodesJSON[[#This Row],[Export?]]=0,"",IF(ROW(NodesJSON[[#This Row],[label]])&gt;ROW(NodesJSON[[#Headers],[JSON]])+1,",","") &amp;"{"&amp;twoRangesToJSON(NodesJSON[[#Headers],[label]:[url]],NodesJSON[[#This Row],[label]:[url]])&amp;"}")</f>
        <v>{"label":"4-Eyes Principle","group":"","id":"DE5E95BA-1587-412E-A276-E34663BF4FFD","url":"https://open-measure.atlassian.net/wiki/spaces/DIC/pages/805175450/4-Eyes+Principle"}</v>
      </c>
    </row>
    <row r="4" spans="1:6" ht="13.9" thickTop="1" thickBot="1" x14ac:dyDescent="0.4">
      <c r="A4" s="38">
        <f>IF(ISERR(NodesJSON[[#This Row],[label]]),0,1)</f>
        <v>1</v>
      </c>
      <c r="B4" s="3" t="str">
        <f>NodesData[[#This Row],[Common Name]]</f>
        <v>Access</v>
      </c>
      <c r="C4" s="3" t="str">
        <f>IF(NodesData[[#This Row],[Context Instanciation]]="","",NodesData[[#This Row],[Context Instanciation]])</f>
        <v/>
      </c>
      <c r="D4" s="22" t="str">
        <f>NodesData[[#This Row],[Node ID]]</f>
        <v>CA1EA624-5E56-4BE1-B607-12E9CFEB0B98</v>
      </c>
      <c r="E4" s="3" t="str">
        <f>IF(NodesData[[#This Row],[URL]]="","",NodesData[[#This Row],[URL]])</f>
        <v>https://open-measure.atlassian.net/wiki/spaces/DIC/pages/123962347/Access</v>
      </c>
      <c r="F4" s="25" t="str" cm="1">
        <f t="array" ref="F4">IF(NodesJSON[[#This Row],[Export?]]=0,"",IF(ROW(NodesJSON[[#This Row],[label]])&gt;ROW(NodesJSON[[#Headers],[JSON]])+1,",","") &amp;"{"&amp;twoRangesToJSON(NodesJSON[[#Headers],[label]:[url]],NodesJSON[[#This Row],[label]:[url]])&amp;"}")</f>
        <v>,{"label":"Access","group":"","id":"CA1EA624-5E56-4BE1-B607-12E9CFEB0B98","url":"https://open-measure.atlassian.net/wiki/spaces/DIC/pages/123962347/Access"}</v>
      </c>
    </row>
    <row r="5" spans="1:6" ht="13.9" thickTop="1" thickBot="1" x14ac:dyDescent="0.4">
      <c r="A5" s="38">
        <f>IF(ISERR(NodesJSON[[#This Row],[label]]),0,1)</f>
        <v>1</v>
      </c>
      <c r="B5" s="3" t="str">
        <f>NodesData[[#This Row],[Common Name]]</f>
        <v>Access Audit</v>
      </c>
      <c r="C5" s="3" t="str">
        <f>IF(NodesData[[#This Row],[Context Instanciation]]="","",NodesData[[#This Row],[Context Instanciation]])</f>
        <v/>
      </c>
      <c r="D5" s="22" t="str">
        <f>NodesData[[#This Row],[Node ID]]</f>
        <v>6C9E18A9-1C42-41AA-8AB3-4ABBAC053B7C</v>
      </c>
      <c r="E5" s="3" t="str">
        <f>IF(NodesData[[#This Row],[URL]]="","",NodesData[[#This Row],[URL]])</f>
        <v>https://open-measure.atlassian.net/wiki/spaces/DIC/pages/1121878227</v>
      </c>
      <c r="F5" s="25" t="str" cm="1">
        <f t="array" ref="F5">IF(NodesJSON[[#This Row],[Export?]]=0,"",IF(ROW(NodesJSON[[#This Row],[label]])&gt;ROW(NodesJSON[[#Headers],[JSON]])+1,",","") &amp;"{"&amp;twoRangesToJSON(NodesJSON[[#Headers],[label]:[url]],NodesJSON[[#This Row],[label]:[url]])&amp;"}")</f>
        <v>,{"label":"Access Audit","group":"","id":"6C9E18A9-1C42-41AA-8AB3-4ABBAC053B7C","url":"https://open-measure.atlassian.net/wiki/spaces/DIC/pages/1121878227"}</v>
      </c>
    </row>
    <row r="6" spans="1:6" ht="13.9" thickTop="1" thickBot="1" x14ac:dyDescent="0.4">
      <c r="A6" s="38">
        <f>IF(ISERR(NodesJSON[[#This Row],[label]]),0,1)</f>
        <v>1</v>
      </c>
      <c r="B6" s="3" t="str">
        <f>NodesData[[#This Row],[Common Name]]</f>
        <v>Access Continuum</v>
      </c>
      <c r="C6" s="3" t="str">
        <f>IF(NodesData[[#This Row],[Context Instanciation]]="","",NodesData[[#This Row],[Context Instanciation]])</f>
        <v/>
      </c>
      <c r="D6" s="22" t="str">
        <f>NodesData[[#This Row],[Node ID]]</f>
        <v>9A5EC26A-0E5F-4F13-8ECE-970F73F9DFC5</v>
      </c>
      <c r="E6" s="3" t="str">
        <f>IF(NodesData[[#This Row],[URL]]="","",NodesData[[#This Row],[URL]])</f>
        <v>https://open-measure.atlassian.net/wiki/spaces/DIC/pages/1034223816/Access+Continuum</v>
      </c>
      <c r="F6" s="25" t="str" cm="1">
        <f t="array" ref="F6">IF(NodesJSON[[#This Row],[Export?]]=0,"",IF(ROW(NodesJSON[[#This Row],[label]])&gt;ROW(NodesJSON[[#Headers],[JSON]])+1,",","") &amp;"{"&amp;twoRangesToJSON(NodesJSON[[#Headers],[label]:[url]],NodesJSON[[#This Row],[label]:[url]])&amp;"}")</f>
        <v>,{"label":"Access Continuum","group":"","id":"9A5EC26A-0E5F-4F13-8ECE-970F73F9DFC5","url":"https://open-measure.atlassian.net/wiki/spaces/DIC/pages/1034223816/Access+Continuum"}</v>
      </c>
    </row>
    <row r="7" spans="1:6" ht="13.9" thickTop="1" thickBot="1" x14ac:dyDescent="0.4">
      <c r="A7" s="38">
        <f>IF(ISERR(NodesJSON[[#This Row],[label]]),0,1)</f>
        <v>1</v>
      </c>
      <c r="B7" s="3" t="str">
        <f>NodesData[[#This Row],[Common Name]]</f>
        <v>Access Control</v>
      </c>
      <c r="C7" s="3" t="str">
        <f>IF(NodesData[[#This Row],[Context Instanciation]]="","",NodesData[[#This Row],[Context Instanciation]])</f>
        <v/>
      </c>
      <c r="D7" s="22" t="str">
        <f>NodesData[[#This Row],[Node ID]]</f>
        <v>C6B1DEE7-AC34-406A-81B6-73C469FFFEBA</v>
      </c>
      <c r="E7" s="3" t="str">
        <f>IF(NodesData[[#This Row],[URL]]="","",NodesData[[#This Row],[URL]])</f>
        <v>https://open-measure.atlassian.net/wiki/spaces/DIC/pages/427163781</v>
      </c>
      <c r="F7" s="25" t="str" cm="1">
        <f t="array" ref="F7">IF(NodesJSON[[#This Row],[Export?]]=0,"",IF(ROW(NodesJSON[[#This Row],[label]])&gt;ROW(NodesJSON[[#Headers],[JSON]])+1,",","") &amp;"{"&amp;twoRangesToJSON(NodesJSON[[#Headers],[label]:[url]],NodesJSON[[#This Row],[label]:[url]])&amp;"}")</f>
        <v>,{"label":"Access Control","group":"","id":"C6B1DEE7-AC34-406A-81B6-73C469FFFEBA","url":"https://open-measure.atlassian.net/wiki/spaces/DIC/pages/427163781"}</v>
      </c>
    </row>
    <row r="8" spans="1:6" ht="13.9" thickTop="1" thickBot="1" x14ac:dyDescent="0.4">
      <c r="A8" s="38">
        <f>IF(ISERR(NodesJSON[[#This Row],[label]]),0,1)</f>
        <v>1</v>
      </c>
      <c r="B8" s="3" t="str">
        <f>NodesData[[#This Row],[Common Name]]</f>
        <v>Access Control List</v>
      </c>
      <c r="C8" s="3" t="str">
        <f>IF(NodesData[[#This Row],[Context Instanciation]]="","",NodesData[[#This Row],[Context Instanciation]])</f>
        <v/>
      </c>
      <c r="D8" s="22" t="str">
        <f>NodesData[[#This Row],[Node ID]]</f>
        <v>52A33AA3-B245-4A1A-80E3-D2325B649AD1</v>
      </c>
      <c r="E8" s="3" t="str">
        <f>IF(NodesData[[#This Row],[URL]]="","",NodesData[[#This Row],[URL]])</f>
        <v>https://open-measure.atlassian.net/wiki/spaces/DIC/pages/822345754</v>
      </c>
      <c r="F8" s="25" t="str" cm="1">
        <f t="array" ref="F8">IF(NodesJSON[[#This Row],[Export?]]=0,"",IF(ROW(NodesJSON[[#This Row],[label]])&gt;ROW(NodesJSON[[#Headers],[JSON]])+1,",","") &amp;"{"&amp;twoRangesToJSON(NodesJSON[[#Headers],[label]:[url]],NodesJSON[[#This Row],[label]:[url]])&amp;"}")</f>
        <v>,{"label":"Access Control List","group":"","id":"52A33AA3-B245-4A1A-80E3-D2325B649AD1","url":"https://open-measure.atlassian.net/wiki/spaces/DIC/pages/822345754"}</v>
      </c>
    </row>
    <row r="9" spans="1:6" ht="13.9" thickTop="1" thickBot="1" x14ac:dyDescent="0.4">
      <c r="A9" s="38">
        <f>IF(ISERR(NodesJSON[[#This Row],[label]]),0,1)</f>
        <v>1</v>
      </c>
      <c r="B9" s="3" t="str">
        <f>NodesData[[#This Row],[Common Name]]</f>
        <v>Access Control Mechanism</v>
      </c>
      <c r="C9" s="3" t="str">
        <f>IF(NodesData[[#This Row],[Context Instanciation]]="","",NodesData[[#This Row],[Context Instanciation]])</f>
        <v/>
      </c>
      <c r="D9" s="22" t="str">
        <f>NodesData[[#This Row],[Node ID]]</f>
        <v>A5BF9E4A-B1F5-4483-8491-1CF17B076816</v>
      </c>
      <c r="E9" s="3" t="str">
        <f>IF(NodesData[[#This Row],[URL]]="","",NodesData[[#This Row],[URL]])</f>
        <v>https://open-measure.atlassian.net/wiki/spaces/DIC/pages/67633606</v>
      </c>
      <c r="F9" s="25" t="str" cm="1">
        <f t="array" ref="F9">IF(NodesJSON[[#This Row],[Export?]]=0,"",IF(ROW(NodesJSON[[#This Row],[label]])&gt;ROW(NodesJSON[[#Headers],[JSON]])+1,",","") &amp;"{"&amp;twoRangesToJSON(NodesJSON[[#Headers],[label]:[url]],NodesJSON[[#This Row],[label]:[url]])&amp;"}")</f>
        <v>,{"label":"Access Control Mechanism","group":"","id":"A5BF9E4A-B1F5-4483-8491-1CF17B076816","url":"https://open-measure.atlassian.net/wiki/spaces/DIC/pages/67633606"}</v>
      </c>
    </row>
    <row r="10" spans="1:6" ht="13.9" thickTop="1" thickBot="1" x14ac:dyDescent="0.4">
      <c r="A10" s="38">
        <f>IF(ISERR(NodesJSON[[#This Row],[label]]),0,1)</f>
        <v>1</v>
      </c>
      <c r="B10" s="3" t="str">
        <f>NodesData[[#This Row],[Common Name]]</f>
        <v>Access Control Model</v>
      </c>
      <c r="C10" s="3" t="str">
        <f>IF(NodesData[[#This Row],[Context Instanciation]]="","",NodesData[[#This Row],[Context Instanciation]])</f>
        <v/>
      </c>
      <c r="D10" s="22" t="str">
        <f>NodesData[[#This Row],[Node ID]]</f>
        <v>ADF08795-EF9D-40CC-84C7-CF8858D77C3B</v>
      </c>
      <c r="E10" s="3" t="str">
        <f>IF(NodesData[[#This Row],[URL]]="","",NodesData[[#This Row],[URL]])</f>
        <v>https://open-measure.atlassian.net/wiki/spaces/DIC/pages/67699193</v>
      </c>
      <c r="F10" s="25" t="str" cm="1">
        <f t="array" ref="F10">IF(NodesJSON[[#This Row],[Export?]]=0,"",IF(ROW(NodesJSON[[#This Row],[label]])&gt;ROW(NodesJSON[[#Headers],[JSON]])+1,",","") &amp;"{"&amp;twoRangesToJSON(NodesJSON[[#Headers],[label]:[url]],NodesJSON[[#This Row],[label]:[url]])&amp;"}")</f>
        <v>,{"label":"Access Control Model","group":"","id":"ADF08795-EF9D-40CC-84C7-CF8858D77C3B","url":"https://open-measure.atlassian.net/wiki/spaces/DIC/pages/67699193"}</v>
      </c>
    </row>
    <row r="11" spans="1:6" ht="13.9" thickTop="1" thickBot="1" x14ac:dyDescent="0.4">
      <c r="A11" s="38">
        <f>IF(ISERR(NodesJSON[[#This Row],[label]]),0,1)</f>
        <v>1</v>
      </c>
      <c r="B11" s="3" t="str">
        <f>NodesData[[#This Row],[Common Name]]</f>
        <v>Access Control Policy</v>
      </c>
      <c r="C11" s="3" t="str">
        <f>IF(NodesData[[#This Row],[Context Instanciation]]="","",NodesData[[#This Row],[Context Instanciation]])</f>
        <v/>
      </c>
      <c r="D11" s="22" t="str">
        <f>NodesData[[#This Row],[Node ID]]</f>
        <v>BA2815C6-9016-47D5-81B0-640EF4494D76</v>
      </c>
      <c r="E11" s="3" t="str">
        <f>IF(NodesData[[#This Row],[URL]]="","",NodesData[[#This Row],[URL]])</f>
        <v>https://open-measure.atlassian.net/wiki/spaces/DIC/pages/67633597</v>
      </c>
      <c r="F11" s="25" t="str" cm="1">
        <f t="array" ref="F11">IF(NodesJSON[[#This Row],[Export?]]=0,"",IF(ROW(NodesJSON[[#This Row],[label]])&gt;ROW(NodesJSON[[#Headers],[JSON]])+1,",","") &amp;"{"&amp;twoRangesToJSON(NodesJSON[[#Headers],[label]:[url]],NodesJSON[[#This Row],[label]:[url]])&amp;"}")</f>
        <v>,{"label":"Access Control Policy","group":"","id":"BA2815C6-9016-47D5-81B0-640EF4494D76","url":"https://open-measure.atlassian.net/wiki/spaces/DIC/pages/67633597"}</v>
      </c>
    </row>
    <row r="12" spans="1:6" ht="13.9" thickTop="1" thickBot="1" x14ac:dyDescent="0.4">
      <c r="A12" s="38">
        <f>IF(ISERR(NodesJSON[[#This Row],[label]]),0,1)</f>
        <v>1</v>
      </c>
      <c r="B12" s="3" t="str">
        <f>NodesData[[#This Row],[Common Name]]</f>
        <v>Access Granularity</v>
      </c>
      <c r="C12" s="3" t="str">
        <f>IF(NodesData[[#This Row],[Context Instanciation]]="","",NodesData[[#This Row],[Context Instanciation]])</f>
        <v/>
      </c>
      <c r="D12" s="22" t="str">
        <f>NodesData[[#This Row],[Node ID]]</f>
        <v>1766D719-D68F-467A-9991-4E72DD710D50</v>
      </c>
      <c r="E12" s="3" t="str">
        <f>IF(NodesData[[#This Row],[URL]]="","",NodesData[[#This Row],[URL]])</f>
        <v>https://open-measure.atlassian.net/wiki/spaces/DIC/pages/1006632974</v>
      </c>
      <c r="F12" s="25" t="str" cm="1">
        <f t="array" ref="F12">IF(NodesJSON[[#This Row],[Export?]]=0,"",IF(ROW(NodesJSON[[#This Row],[label]])&gt;ROW(NodesJSON[[#Headers],[JSON]])+1,",","") &amp;"{"&amp;twoRangesToJSON(NodesJSON[[#Headers],[label]:[url]],NodesJSON[[#This Row],[label]:[url]])&amp;"}")</f>
        <v>,{"label":"Access Granularity","group":"","id":"1766D719-D68F-467A-9991-4E72DD710D50","url":"https://open-measure.atlassian.net/wiki/spaces/DIC/pages/1006632974"}</v>
      </c>
    </row>
    <row r="13" spans="1:6" ht="13.9" thickTop="1" thickBot="1" x14ac:dyDescent="0.4">
      <c r="A13" s="38">
        <f>IF(ISERR(NodesJSON[[#This Row],[label]]),0,1)</f>
        <v>1</v>
      </c>
      <c r="B13" s="3" t="str">
        <f>NodesData[[#This Row],[Common Name]]</f>
        <v>Access Privilege</v>
      </c>
      <c r="C13" s="3" t="str">
        <f>IF(NodesData[[#This Row],[Context Instanciation]]="","",NodesData[[#This Row],[Context Instanciation]])</f>
        <v/>
      </c>
      <c r="D13" s="22" t="str">
        <f>NodesData[[#This Row],[Node ID]]</f>
        <v>6E925565-007A-4536-A65D-F894A31E5A77</v>
      </c>
      <c r="E13" s="3" t="str">
        <f>IF(NodesData[[#This Row],[URL]]="","",NodesData[[#This Row],[URL]])</f>
        <v>https://open-measure.atlassian.net/wiki/spaces/DIC/pages/1122631723</v>
      </c>
      <c r="F13" s="25" t="str" cm="1">
        <f t="array" ref="F13">IF(NodesJSON[[#This Row],[Export?]]=0,"",IF(ROW(NodesJSON[[#This Row],[label]])&gt;ROW(NodesJSON[[#Headers],[JSON]])+1,",","") &amp;"{"&amp;twoRangesToJSON(NodesJSON[[#Headers],[label]:[url]],NodesJSON[[#This Row],[label]:[url]])&amp;"}")</f>
        <v>,{"label":"Access Privilege","group":"","id":"6E925565-007A-4536-A65D-F894A31E5A77","url":"https://open-measure.atlassian.net/wiki/spaces/DIC/pages/1122631723"}</v>
      </c>
    </row>
    <row r="14" spans="1:6" ht="13.9" thickTop="1" thickBot="1" x14ac:dyDescent="0.4">
      <c r="A14" s="38">
        <f>IF(ISERR(NodesJSON[[#This Row],[label]]),0,1)</f>
        <v>1</v>
      </c>
      <c r="B14" s="3" t="str">
        <f>NodesData[[#This Row],[Common Name]]</f>
        <v>Access Right</v>
      </c>
      <c r="C14" s="3" t="str">
        <f>IF(NodesData[[#This Row],[Context Instanciation]]="","",NodesData[[#This Row],[Context Instanciation]])</f>
        <v/>
      </c>
      <c r="D14" s="22" t="str">
        <f>NodesData[[#This Row],[Node ID]]</f>
        <v>DF71DC82-5B06-4703-B5DD-3A78DB22E10D</v>
      </c>
      <c r="E14" s="3" t="str">
        <f>IF(NodesData[[#This Row],[URL]]="","",NodesData[[#This Row],[URL]])</f>
        <v>https://open-measure.atlassian.net/wiki/spaces/DIC/pages/1122599013</v>
      </c>
      <c r="F14" s="25" t="str" cm="1">
        <f t="array" ref="F14">IF(NodesJSON[[#This Row],[Export?]]=0,"",IF(ROW(NodesJSON[[#This Row],[label]])&gt;ROW(NodesJSON[[#Headers],[JSON]])+1,",","") &amp;"{"&amp;twoRangesToJSON(NodesJSON[[#Headers],[label]:[url]],NodesJSON[[#This Row],[label]:[url]])&amp;"}")</f>
        <v>,{"label":"Access Right","group":"","id":"DF71DC82-5B06-4703-B5DD-3A78DB22E10D","url":"https://open-measure.atlassian.net/wiki/spaces/DIC/pages/1122599013"}</v>
      </c>
    </row>
    <row r="15" spans="1:6" ht="13.9" thickTop="1" thickBot="1" x14ac:dyDescent="0.4">
      <c r="A15" s="38">
        <f>IF(ISERR(NodesJSON[[#This Row],[label]]),0,1)</f>
        <v>1</v>
      </c>
      <c r="B15" s="3" t="str">
        <f>NodesData[[#This Row],[Common Name]]</f>
        <v>Access Rights Management</v>
      </c>
      <c r="C15" s="3" t="str">
        <f>IF(NodesData[[#This Row],[Context Instanciation]]="","",NodesData[[#This Row],[Context Instanciation]])</f>
        <v/>
      </c>
      <c r="D15" s="22" t="str">
        <f>NodesData[[#This Row],[Node ID]]</f>
        <v>9501EBB2-B301-4820-B446-2CB0E2724926</v>
      </c>
      <c r="E15" s="3" t="str">
        <f>IF(NodesData[[#This Row],[URL]]="","",NodesData[[#This Row],[URL]])</f>
        <v>https://open-measure.atlassian.net/wiki/spaces/DIC/pages/1704003</v>
      </c>
      <c r="F15" s="25" t="str" cm="1">
        <f t="array" ref="F15">IF(NodesJSON[[#This Row],[Export?]]=0,"",IF(ROW(NodesJSON[[#This Row],[label]])&gt;ROW(NodesJSON[[#Headers],[JSON]])+1,",","") &amp;"{"&amp;twoRangesToJSON(NodesJSON[[#Headers],[label]:[url]],NodesJSON[[#This Row],[label]:[url]])&amp;"}")</f>
        <v>,{"label":"Access Rights Management","group":"","id":"9501EBB2-B301-4820-B446-2CB0E2724926","url":"https://open-measure.atlassian.net/wiki/spaces/DIC/pages/1704003"}</v>
      </c>
    </row>
    <row r="16" spans="1:6" ht="13.9" thickTop="1" thickBot="1" x14ac:dyDescent="0.4">
      <c r="A16" s="38">
        <f>IF(ISERR(NodesJSON[[#This Row],[label]]),0,1)</f>
        <v>1</v>
      </c>
      <c r="B16" s="3" t="str">
        <f>NodesData[[#This Row],[Common Name]]</f>
        <v>Access Token</v>
      </c>
      <c r="C16" s="3" t="str">
        <f>IF(NodesData[[#This Row],[Context Instanciation]]="","",NodesData[[#This Row],[Context Instanciation]])</f>
        <v/>
      </c>
      <c r="D16" s="22" t="str">
        <f>NodesData[[#This Row],[Node ID]]</f>
        <v>44E8EA0A-D8E5-4567-A78E-4B8D6F325D8C</v>
      </c>
      <c r="E16" s="3" t="str">
        <f>IF(NodesData[[#This Row],[URL]]="","",NodesData[[#This Row],[URL]])</f>
        <v>https://open-measure.atlassian.net/wiki/spaces/DIC/pages/1600684040/Access+Token</v>
      </c>
      <c r="F16" s="25" t="str" cm="1">
        <f t="array" ref="F16">IF(NodesJSON[[#This Row],[Export?]]=0,"",IF(ROW(NodesJSON[[#This Row],[label]])&gt;ROW(NodesJSON[[#Headers],[JSON]])+1,",","") &amp;"{"&amp;twoRangesToJSON(NodesJSON[[#Headers],[label]:[url]],NodesJSON[[#This Row],[label]:[url]])&amp;"}")</f>
        <v>,{"label":"Access Token","group":"","id":"44E8EA0A-D8E5-4567-A78E-4B8D6F325D8C","url":"https://open-measure.atlassian.net/wiki/spaces/DIC/pages/1600684040/Access+Token"}</v>
      </c>
    </row>
    <row r="17" spans="1:6" ht="13.9" thickTop="1" thickBot="1" x14ac:dyDescent="0.4">
      <c r="A17" s="38">
        <f>IF(ISERR(NodesJSON[[#This Row],[label]]),0,1)</f>
        <v>1</v>
      </c>
      <c r="B17" s="3" t="str">
        <f>NodesData[[#This Row],[Common Name]]</f>
        <v>Account</v>
      </c>
      <c r="C17" s="3" t="str">
        <f>IF(NodesData[[#This Row],[Context Instanciation]]="","",NodesData[[#This Row],[Context Instanciation]])</f>
        <v/>
      </c>
      <c r="D17" s="22" t="str">
        <f>NodesData[[#This Row],[Node ID]]</f>
        <v>F83938BD-3842-448E-8398-B880417DDCD1</v>
      </c>
      <c r="E17" s="3" t="str">
        <f>IF(NodesData[[#This Row],[URL]]="","",NodesData[[#This Row],[URL]])</f>
        <v>https://open-measure.atlassian.net/wiki/spaces/DIC/pages/461308120/Account</v>
      </c>
      <c r="F17" s="25" t="str" cm="1">
        <f t="array" ref="F17">IF(NodesJSON[[#This Row],[Export?]]=0,"",IF(ROW(NodesJSON[[#This Row],[label]])&gt;ROW(NodesJSON[[#Headers],[JSON]])+1,",","") &amp;"{"&amp;twoRangesToJSON(NodesJSON[[#Headers],[label]:[url]],NodesJSON[[#This Row],[label]:[url]])&amp;"}")</f>
        <v>,{"label":"Account","group":"","id":"F83938BD-3842-448E-8398-B880417DDCD1","url":"https://open-measure.atlassian.net/wiki/spaces/DIC/pages/461308120/Account"}</v>
      </c>
    </row>
    <row r="18" spans="1:6" ht="13.9" thickTop="1" thickBot="1" x14ac:dyDescent="0.4">
      <c r="A18" s="38">
        <f>IF(ISERR(NodesJSON[[#This Row],[label]]),0,1)</f>
        <v>1</v>
      </c>
      <c r="B18" s="3" t="str">
        <f>NodesData[[#This Row],[Common Name]]</f>
        <v>Account Lockout Policy</v>
      </c>
      <c r="C18" s="3" t="str">
        <f>IF(NodesData[[#This Row],[Context Instanciation]]="","",NodesData[[#This Row],[Context Instanciation]])</f>
        <v/>
      </c>
      <c r="D18" s="22" t="str">
        <f>NodesData[[#This Row],[Node ID]]</f>
        <v>75809B3D-4AFA-478D-B776-071487E4ACA6</v>
      </c>
      <c r="E18" s="3" t="str">
        <f>IF(NodesData[[#This Row],[URL]]="","",NodesData[[#This Row],[URL]])</f>
        <v>https://open-measure.atlassian.net/wiki/spaces/DIC/pages/67699360</v>
      </c>
      <c r="F18" s="25" t="str" cm="1">
        <f t="array" ref="F18">IF(NodesJSON[[#This Row],[Export?]]=0,"",IF(ROW(NodesJSON[[#This Row],[label]])&gt;ROW(NodesJSON[[#Headers],[JSON]])+1,",","") &amp;"{"&amp;twoRangesToJSON(NodesJSON[[#Headers],[label]:[url]],NodesJSON[[#This Row],[label]:[url]])&amp;"}")</f>
        <v>,{"label":"Account Lockout Policy","group":"","id":"75809B3D-4AFA-478D-B776-071487E4ACA6","url":"https://open-measure.atlassian.net/wiki/spaces/DIC/pages/67699360"}</v>
      </c>
    </row>
    <row r="19" spans="1:6" ht="13.9" thickTop="1" thickBot="1" x14ac:dyDescent="0.4">
      <c r="A19" s="38">
        <f>IF(ISERR(NodesJSON[[#This Row],[label]]),0,1)</f>
        <v>1</v>
      </c>
      <c r="B19" s="3" t="str">
        <f>NodesData[[#This Row],[Common Name]]</f>
        <v>Account Management</v>
      </c>
      <c r="C19" s="3" t="str">
        <f>IF(NodesData[[#This Row],[Context Instanciation]]="","",NodesData[[#This Row],[Context Instanciation]])</f>
        <v/>
      </c>
      <c r="D19" s="22" t="str">
        <f>NodesData[[#This Row],[Node ID]]</f>
        <v>6F91E244-CF4B-4C2A-9D23-0EA4F55DCF3F</v>
      </c>
      <c r="E19" s="3" t="str">
        <f>IF(NodesData[[#This Row],[URL]]="","",NodesData[[#This Row],[URL]])</f>
        <v>https://open-measure.atlassian.net/wiki/spaces/DIC/pages/1146847331</v>
      </c>
      <c r="F19" s="25" t="str" cm="1">
        <f t="array" ref="F19">IF(NodesJSON[[#This Row],[Export?]]=0,"",IF(ROW(NodesJSON[[#This Row],[label]])&gt;ROW(NodesJSON[[#Headers],[JSON]])+1,",","") &amp;"{"&amp;twoRangesToJSON(NodesJSON[[#Headers],[label]:[url]],NodesJSON[[#This Row],[label]:[url]])&amp;"}")</f>
        <v>,{"label":"Account Management","group":"","id":"6F91E244-CF4B-4C2A-9D23-0EA4F55DCF3F","url":"https://open-measure.atlassian.net/wiki/spaces/DIC/pages/1146847331"}</v>
      </c>
    </row>
    <row r="20" spans="1:6" ht="13.9" thickTop="1" thickBot="1" x14ac:dyDescent="0.4">
      <c r="A20" s="38">
        <f>IF(ISERR(NodesJSON[[#This Row],[label]]),0,1)</f>
        <v>1</v>
      </c>
      <c r="B20" s="3" t="str">
        <f>NodesData[[#This Row],[Common Name]]</f>
        <v>Account Takeover</v>
      </c>
      <c r="C20" s="3" t="str">
        <f>IF(NodesData[[#This Row],[Context Instanciation]]="","",NodesData[[#This Row],[Context Instanciation]])</f>
        <v>Account Takeover</v>
      </c>
      <c r="D20" s="22" t="str">
        <f>NodesData[[#This Row],[Node ID]]</f>
        <v>3707A70E-88B7-4B6D-A934-0BC5EE398FF6</v>
      </c>
      <c r="E20" s="3" t="str">
        <f>IF(NodesData[[#This Row],[URL]]="","",NodesData[[#This Row],[URL]])</f>
        <v>https://open-measure.atlassian.net/wiki/spaces/DIC/pages/1079050286/Account+Takeover</v>
      </c>
      <c r="F20" s="25" t="str" cm="1">
        <f t="array" ref="F20">IF(NodesJSON[[#This Row],[Export?]]=0,"",IF(ROW(NodesJSON[[#This Row],[label]])&gt;ROW(NodesJSON[[#Headers],[JSON]])+1,",","") &amp;"{"&amp;twoRangesToJSON(NodesJSON[[#Headers],[label]:[url]],NodesJSON[[#This Row],[label]:[url]])&amp;"}")</f>
        <v>,{"label":"Account Takeover","group":"Account Takeover","id":"3707A70E-88B7-4B6D-A934-0BC5EE398FF6","url":"https://open-measure.atlassian.net/wiki/spaces/DIC/pages/1079050286/Account+Takeover"}</v>
      </c>
    </row>
    <row r="21" spans="1:6" ht="13.9" thickTop="1" thickBot="1" x14ac:dyDescent="0.4">
      <c r="A21" s="38">
        <f>IF(ISERR(NodesJSON[[#This Row],[label]]),0,1)</f>
        <v>1</v>
      </c>
      <c r="B21" s="3" t="str">
        <f>NodesData[[#This Row],[Common Name]]</f>
        <v>Accountability</v>
      </c>
      <c r="C21" s="3" t="str">
        <f>IF(NodesData[[#This Row],[Context Instanciation]]="","",NodesData[[#This Row],[Context Instanciation]])</f>
        <v/>
      </c>
      <c r="D21" s="22" t="str">
        <f>NodesData[[#This Row],[Node ID]]</f>
        <v>1E6B6BDD-5D3C-4D14-873F-3018C1627B69</v>
      </c>
      <c r="E21" s="3" t="str">
        <f>IF(NodesData[[#This Row],[URL]]="","",NodesData[[#This Row],[URL]])</f>
        <v>https://open-measure.atlassian.net/wiki/spaces/DIC/pages/425623718</v>
      </c>
      <c r="F21" s="25" t="str" cm="1">
        <f t="array" ref="F21">IF(NodesJSON[[#This Row],[Export?]]=0,"",IF(ROW(NodesJSON[[#This Row],[label]])&gt;ROW(NodesJSON[[#Headers],[JSON]])+1,",","") &amp;"{"&amp;twoRangesToJSON(NodesJSON[[#Headers],[label]:[url]],NodesJSON[[#This Row],[label]:[url]])&amp;"}")</f>
        <v>,{"label":"Accountability","group":"","id":"1E6B6BDD-5D3C-4D14-873F-3018C1627B69","url":"https://open-measure.atlassian.net/wiki/spaces/DIC/pages/425623718"}</v>
      </c>
    </row>
    <row r="22" spans="1:6" ht="13.9" thickTop="1" thickBot="1" x14ac:dyDescent="0.4">
      <c r="A22" s="38">
        <f>IF(ISERR(NodesJSON[[#This Row],[label]]),0,1)</f>
        <v>1</v>
      </c>
      <c r="B22" s="3" t="str">
        <f>NodesData[[#This Row],[Common Name]]</f>
        <v>Accreditation</v>
      </c>
      <c r="C22" s="3" t="str">
        <f>IF(NodesData[[#This Row],[Context Instanciation]]="","",NodesData[[#This Row],[Context Instanciation]])</f>
        <v/>
      </c>
      <c r="D22" s="22" t="str">
        <f>NodesData[[#This Row],[Node ID]]</f>
        <v>496EA7AA-3A24-4B06-96FF-26EB9E368ECD</v>
      </c>
      <c r="E22" s="3" t="str">
        <f>IF(NodesData[[#This Row],[URL]]="","",NodesData[[#This Row],[URL]])</f>
        <v>https://open-measure.atlassian.net/wiki/spaces/DIC/pages/446955580</v>
      </c>
      <c r="F22" s="25" t="str" cm="1">
        <f t="array" ref="F22">IF(NodesJSON[[#This Row],[Export?]]=0,"",IF(ROW(NodesJSON[[#This Row],[label]])&gt;ROW(NodesJSON[[#Headers],[JSON]])+1,",","") &amp;"{"&amp;twoRangesToJSON(NodesJSON[[#Headers],[label]:[url]],NodesJSON[[#This Row],[label]:[url]])&amp;"}")</f>
        <v>,{"label":"Accreditation","group":"","id":"496EA7AA-3A24-4B06-96FF-26EB9E368ECD","url":"https://open-measure.atlassian.net/wiki/spaces/DIC/pages/446955580"}</v>
      </c>
    </row>
    <row r="23" spans="1:6" ht="13.9" thickTop="1" thickBot="1" x14ac:dyDescent="0.4">
      <c r="A23" s="38">
        <f>IF(ISERR(NodesJSON[[#This Row],[label]]),0,1)</f>
        <v>1</v>
      </c>
      <c r="B23" s="3" t="str">
        <f>NodesData[[#This Row],[Common Name]]</f>
        <v>Active Impersonation Attack</v>
      </c>
      <c r="C23" s="3" t="str">
        <f>IF(NodesData[[#This Row],[Context Instanciation]]="","",NodesData[[#This Row],[Context Instanciation]])</f>
        <v/>
      </c>
      <c r="D23" s="22" t="str">
        <f>NodesData[[#This Row],[Node ID]]</f>
        <v>4546EECC-4DB1-4E7D-B250-7C4FA9CBFD76</v>
      </c>
      <c r="E23" s="3" t="str">
        <f>IF(NodesData[[#This Row],[URL]]="","",NodesData[[#This Row],[URL]])</f>
        <v>https://open-measure.atlassian.net/wiki/spaces/DIC/pages/974454812</v>
      </c>
      <c r="F23" s="25" t="str" cm="1">
        <f t="array" ref="F23">IF(NodesJSON[[#This Row],[Export?]]=0,"",IF(ROW(NodesJSON[[#This Row],[label]])&gt;ROW(NodesJSON[[#Headers],[JSON]])+1,",","") &amp;"{"&amp;twoRangesToJSON(NodesJSON[[#Headers],[label]:[url]],NodesJSON[[#This Row],[label]:[url]])&amp;"}")</f>
        <v>,{"label":"Active Impersonation Attack","group":"","id":"4546EECC-4DB1-4E7D-B250-7C4FA9CBFD76","url":"https://open-measure.atlassian.net/wiki/spaces/DIC/pages/974454812"}</v>
      </c>
    </row>
    <row r="24" spans="1:6" ht="13.9" thickTop="1" thickBot="1" x14ac:dyDescent="0.4">
      <c r="A24" s="38">
        <f>IF(ISERR(NodesJSON[[#This Row],[label]]),0,1)</f>
        <v>1</v>
      </c>
      <c r="B24" s="3" t="str">
        <f>NodesData[[#This Row],[Common Name]]</f>
        <v>AP</v>
      </c>
      <c r="C24" s="3" t="str">
        <f>IF(NodesData[[#This Row],[Context Instanciation]]="","",NodesData[[#This Row],[Context Instanciation]])</f>
        <v/>
      </c>
      <c r="D24" s="22" t="str">
        <f>NodesData[[#This Row],[Node ID]]</f>
        <v>23ECD50A-6EF0-45EB-80EE-FE8690C3B930</v>
      </c>
      <c r="E24" s="3" t="str">
        <f>IF(NodesData[[#This Row],[URL]]="","",NodesData[[#This Row],[URL]])</f>
        <v>https://open-measure.atlassian.net/wiki/spaces/DIC/pages/81101665/AP</v>
      </c>
      <c r="F24" s="25" t="str" cm="1">
        <f t="array" ref="F24">IF(NodesJSON[[#This Row],[Export?]]=0,"",IF(ROW(NodesJSON[[#This Row],[label]])&gt;ROW(NodesJSON[[#Headers],[JSON]])+1,",","") &amp;"{"&amp;twoRangesToJSON(NodesJSON[[#Headers],[label]:[url]],NodesJSON[[#This Row],[label]:[url]])&amp;"}")</f>
        <v>,{"label":"AP","group":"","id":"23ECD50A-6EF0-45EB-80EE-FE8690C3B930","url":"https://open-measure.atlassian.net/wiki/spaces/DIC/pages/81101665/AP"}</v>
      </c>
    </row>
    <row r="25" spans="1:6" ht="13.9" thickTop="1" thickBot="1" x14ac:dyDescent="0.4">
      <c r="A25" s="38">
        <f>IF(ISERR(NodesJSON[[#This Row],[label]]),0,1)</f>
        <v>1</v>
      </c>
      <c r="B25" s="3" t="str">
        <f>NodesData[[#This Row],[Common Name]]</f>
        <v>Applicant</v>
      </c>
      <c r="C25" s="3" t="str">
        <f>IF(NodesData[[#This Row],[Context Instanciation]]="","",NodesData[[#This Row],[Context Instanciation]])</f>
        <v/>
      </c>
      <c r="D25" s="22" t="str">
        <f>NodesData[[#This Row],[Node ID]]</f>
        <v>C5E6BCD4-7E45-4F9C-82F2-0DB57EB14EEE</v>
      </c>
      <c r="E25" s="3" t="str">
        <f>IF(NodesData[[#This Row],[URL]]="","",NodesData[[#This Row],[URL]])</f>
        <v>https://open-measure.atlassian.net/wiki/spaces/DIC/pages/848625750</v>
      </c>
      <c r="F25" s="25" t="str" cm="1">
        <f t="array" ref="F25">IF(NodesJSON[[#This Row],[Export?]]=0,"",IF(ROW(NodesJSON[[#This Row],[label]])&gt;ROW(NodesJSON[[#Headers],[JSON]])+1,",","") &amp;"{"&amp;twoRangesToJSON(NodesJSON[[#Headers],[label]:[url]],NodesJSON[[#This Row],[label]:[url]])&amp;"}")</f>
        <v>,{"label":"Applicant","group":"","id":"C5E6BCD4-7E45-4F9C-82F2-0DB57EB14EEE","url":"https://open-measure.atlassian.net/wiki/spaces/DIC/pages/848625750"}</v>
      </c>
    </row>
    <row r="26" spans="1:6" ht="13.9" thickTop="1" thickBot="1" x14ac:dyDescent="0.4">
      <c r="A26" s="38">
        <f>IF(ISERR(NodesJSON[[#This Row],[label]]),0,1)</f>
        <v>1</v>
      </c>
      <c r="B26" s="3" t="str">
        <f>NodesData[[#This Row],[Common Name]]</f>
        <v>Application</v>
      </c>
      <c r="C26" s="3" t="str">
        <f>IF(NodesData[[#This Row],[Context Instanciation]]="","",NodesData[[#This Row],[Context Instanciation]])</f>
        <v/>
      </c>
      <c r="D26" s="22" t="str">
        <f>NodesData[[#This Row],[Node ID]]</f>
        <v>3CBF7393-334C-4B5E-9319-9B289635563A</v>
      </c>
      <c r="E26" s="3" t="str">
        <f>IF(NodesData[[#This Row],[URL]]="","",NodesData[[#This Row],[URL]])</f>
        <v>https://open-measure.atlassian.net/wiki/spaces/DIC/pages/5965602/Application</v>
      </c>
      <c r="F26" s="25" t="str" cm="1">
        <f t="array" ref="F26">IF(NodesJSON[[#This Row],[Export?]]=0,"",IF(ROW(NodesJSON[[#This Row],[label]])&gt;ROW(NodesJSON[[#Headers],[JSON]])+1,",","") &amp;"{"&amp;twoRangesToJSON(NodesJSON[[#Headers],[label]:[url]],NodesJSON[[#This Row],[label]:[url]])&amp;"}")</f>
        <v>,{"label":"Application","group":"","id":"3CBF7393-334C-4B5E-9319-9B289635563A","url":"https://open-measure.atlassian.net/wiki/spaces/DIC/pages/5965602/Application"}</v>
      </c>
    </row>
    <row r="27" spans="1:6" ht="13.9" thickTop="1" thickBot="1" x14ac:dyDescent="0.4">
      <c r="A27" s="38">
        <f>IF(ISERR(NodesJSON[[#This Row],[label]]),0,1)</f>
        <v>1</v>
      </c>
      <c r="B27" s="3" t="str">
        <f>NodesData[[#This Row],[Common Name]]</f>
        <v>Application Administrator</v>
      </c>
      <c r="C27" s="3" t="str">
        <f>IF(NodesData[[#This Row],[Context Instanciation]]="","",NodesData[[#This Row],[Context Instanciation]])</f>
        <v/>
      </c>
      <c r="D27" s="22" t="str">
        <f>NodesData[[#This Row],[Node ID]]</f>
        <v>FBC09AB6-9BA6-42D4-985B-347BCF552947</v>
      </c>
      <c r="E27" s="3" t="str">
        <f>IF(NodesData[[#This Row],[URL]]="","",NodesData[[#This Row],[URL]])</f>
        <v>https://open-measure.atlassian.net/wiki/spaces/DIC/pages/274236090</v>
      </c>
      <c r="F27" s="25" t="str" cm="1">
        <f t="array" ref="F27">IF(NodesJSON[[#This Row],[Export?]]=0,"",IF(ROW(NodesJSON[[#This Row],[label]])&gt;ROW(NodesJSON[[#Headers],[JSON]])+1,",","") &amp;"{"&amp;twoRangesToJSON(NodesJSON[[#Headers],[label]:[url]],NodesJSON[[#This Row],[label]:[url]])&amp;"}")</f>
        <v>,{"label":"Application Administrator","group":"","id":"FBC09AB6-9BA6-42D4-985B-347BCF552947","url":"https://open-measure.atlassian.net/wiki/spaces/DIC/pages/274236090"}</v>
      </c>
    </row>
    <row r="28" spans="1:6" ht="13.9" thickTop="1" thickBot="1" x14ac:dyDescent="0.4">
      <c r="A28" s="38">
        <f>IF(ISERR(NodesJSON[[#This Row],[label]]),0,1)</f>
        <v>1</v>
      </c>
      <c r="B28" s="3" t="str">
        <f>NodesData[[#This Row],[Common Name]]</f>
        <v>Application Instance</v>
      </c>
      <c r="C28" s="3" t="str">
        <f>IF(NodesData[[#This Row],[Context Instanciation]]="","",NodesData[[#This Row],[Context Instanciation]])</f>
        <v/>
      </c>
      <c r="D28" s="22" t="str">
        <f>NodesData[[#This Row],[Node ID]]</f>
        <v>8387CEDB-388E-4D9B-8EF5-4C0296067EFD</v>
      </c>
      <c r="E28" s="3" t="str">
        <f>IF(NodesData[[#This Row],[URL]]="","",NodesData[[#This Row],[URL]])</f>
        <v>https://open-measure.atlassian.net/wiki/spaces/DIC/pages/834044036</v>
      </c>
      <c r="F28" s="25" t="str" cm="1">
        <f t="array" ref="F28">IF(NodesJSON[[#This Row],[Export?]]=0,"",IF(ROW(NodesJSON[[#This Row],[label]])&gt;ROW(NodesJSON[[#Headers],[JSON]])+1,",","") &amp;"{"&amp;twoRangesToJSON(NodesJSON[[#Headers],[label]:[url]],NodesJSON[[#This Row],[label]:[url]])&amp;"}")</f>
        <v>,{"label":"Application Instance","group":"","id":"8387CEDB-388E-4D9B-8EF5-4C0296067EFD","url":"https://open-measure.atlassian.net/wiki/spaces/DIC/pages/834044036"}</v>
      </c>
    </row>
    <row r="29" spans="1:6" ht="13.9" thickTop="1" thickBot="1" x14ac:dyDescent="0.4">
      <c r="A29" s="38">
        <f>IF(ISERR(NodesJSON[[#This Row],[label]]),0,1)</f>
        <v>1</v>
      </c>
      <c r="B29" s="3" t="str">
        <f>NodesData[[#This Row],[Common Name]]</f>
        <v>Application Multiplexing</v>
      </c>
      <c r="C29" s="3" t="str">
        <f>IF(NodesData[[#This Row],[Context Instanciation]]="","",NodesData[[#This Row],[Context Instanciation]])</f>
        <v/>
      </c>
      <c r="D29" s="22" t="str">
        <f>NodesData[[#This Row],[Node ID]]</f>
        <v>3385B652-58CB-46D7-8D4B-04F594802921</v>
      </c>
      <c r="E29" s="3" t="str">
        <f>IF(NodesData[[#This Row],[URL]]="","",NodesData[[#This Row],[URL]])</f>
        <v>https://open-measure.atlassian.net/wiki/spaces/DIC/pages/1658355721/Application+Multiplexing</v>
      </c>
      <c r="F29" s="25" t="str" cm="1">
        <f t="array" ref="F29">IF(NodesJSON[[#This Row],[Export?]]=0,"",IF(ROW(NodesJSON[[#This Row],[label]])&gt;ROW(NodesJSON[[#Headers],[JSON]])+1,",","") &amp;"{"&amp;twoRangesToJSON(NodesJSON[[#Headers],[label]:[url]],NodesJSON[[#This Row],[label]:[url]])&amp;"}")</f>
        <v>,{"label":"Application Multiplexing","group":"","id":"3385B652-58CB-46D7-8D4B-04F594802921","url":"https://open-measure.atlassian.net/wiki/spaces/DIC/pages/1658355721/Application+Multiplexing"}</v>
      </c>
    </row>
    <row r="30" spans="1:6" ht="13.9" thickTop="1" thickBot="1" x14ac:dyDescent="0.4">
      <c r="A30" s="38">
        <f>IF(ISERR(NodesJSON[[#This Row],[label]]),0,1)</f>
        <v>1</v>
      </c>
      <c r="B30" s="3" t="str">
        <f>NodesData[[#This Row],[Common Name]]</f>
        <v>Application Package</v>
      </c>
      <c r="C30" s="3" t="str">
        <f>IF(NodesData[[#This Row],[Context Instanciation]]="","",NodesData[[#This Row],[Context Instanciation]])</f>
        <v/>
      </c>
      <c r="D30" s="22" t="str">
        <f>NodesData[[#This Row],[Node ID]]</f>
        <v>0E0EF207-A74F-41C7-8C6C-FEFABBC8533E</v>
      </c>
      <c r="E30" s="3" t="str">
        <f>IF(NodesData[[#This Row],[URL]]="","",NodesData[[#This Row],[URL]])</f>
        <v>https://open-measure.atlassian.net/wiki/spaces/DIC/pages/5932704</v>
      </c>
      <c r="F30" s="25" t="str" cm="1">
        <f t="array" ref="F30">IF(NodesJSON[[#This Row],[Export?]]=0,"",IF(ROW(NodesJSON[[#This Row],[label]])&gt;ROW(NodesJSON[[#Headers],[JSON]])+1,",","") &amp;"{"&amp;twoRangesToJSON(NodesJSON[[#Headers],[label]:[url]],NodesJSON[[#This Row],[label]:[url]])&amp;"}")</f>
        <v>,{"label":"Application Package","group":"","id":"0E0EF207-A74F-41C7-8C6C-FEFABBC8533E","url":"https://open-measure.atlassian.net/wiki/spaces/DIC/pages/5932704"}</v>
      </c>
    </row>
    <row r="31" spans="1:6" ht="13.9" thickTop="1" thickBot="1" x14ac:dyDescent="0.4">
      <c r="A31" s="38">
        <f>IF(ISERR(NodesJSON[[#This Row],[label]]),0,1)</f>
        <v>1</v>
      </c>
      <c r="B31" s="3" t="str">
        <f>NodesData[[#This Row],[Common Name]]</f>
        <v>Application Program</v>
      </c>
      <c r="C31" s="3" t="str">
        <f>IF(NodesData[[#This Row],[Context Instanciation]]="","",NodesData[[#This Row],[Context Instanciation]])</f>
        <v/>
      </c>
      <c r="D31" s="22" t="str">
        <f>NodesData[[#This Row],[Node ID]]</f>
        <v>189B785C-38F7-48DF-8611-D21A00C71F6A</v>
      </c>
      <c r="E31" s="3" t="str">
        <f>IF(NodesData[[#This Row],[URL]]="","",NodesData[[#This Row],[URL]])</f>
        <v>https://open-measure.atlassian.net/wiki/spaces/DIC/pages/6030793/Application+Program</v>
      </c>
      <c r="F31" s="25" t="str" cm="1">
        <f t="array" ref="F31">IF(NodesJSON[[#This Row],[Export?]]=0,"",IF(ROW(NodesJSON[[#This Row],[label]])&gt;ROW(NodesJSON[[#Headers],[JSON]])+1,",","") &amp;"{"&amp;twoRangesToJSON(NodesJSON[[#Headers],[label]:[url]],NodesJSON[[#This Row],[label]:[url]])&amp;"}")</f>
        <v>,{"label":"Application Program","group":"","id":"189B785C-38F7-48DF-8611-D21A00C71F6A","url":"https://open-measure.atlassian.net/wiki/spaces/DIC/pages/6030793/Application+Program"}</v>
      </c>
    </row>
    <row r="32" spans="1:6" ht="13.9" thickTop="1" thickBot="1" x14ac:dyDescent="0.4">
      <c r="A32" s="38">
        <f>IF(ISERR(NodesJSON[[#This Row],[label]]),0,1)</f>
        <v>1</v>
      </c>
      <c r="B32" s="3" t="str">
        <f>NodesData[[#This Row],[Common Name]]</f>
        <v>Application-Level Policy</v>
      </c>
      <c r="C32" s="3" t="str">
        <f>IF(NodesData[[#This Row],[Context Instanciation]]="","",NodesData[[#This Row],[Context Instanciation]])</f>
        <v/>
      </c>
      <c r="D32" s="22" t="str">
        <f>NodesData[[#This Row],[Node ID]]</f>
        <v>021F487D-5E5C-434B-B771-893DB72C04E0</v>
      </c>
      <c r="E32" s="3" t="str">
        <f>IF(NodesData[[#This Row],[URL]]="","",NodesData[[#This Row],[URL]])</f>
        <v>https://open-measure.atlassian.net/wiki/spaces/DIC/pages/1122631854</v>
      </c>
      <c r="F32" s="25" t="str" cm="1">
        <f t="array" ref="F32">IF(NodesJSON[[#This Row],[Export?]]=0,"",IF(ROW(NodesJSON[[#This Row],[label]])&gt;ROW(NodesJSON[[#Headers],[JSON]])+1,",","") &amp;"{"&amp;twoRangesToJSON(NodesJSON[[#Headers],[label]:[url]],NodesJSON[[#This Row],[label]:[url]])&amp;"}")</f>
        <v>,{"label":"Application-Level Policy","group":"","id":"021F487D-5E5C-434B-B771-893DB72C04E0","url":"https://open-measure.atlassian.net/wiki/spaces/DIC/pages/1122631854"}</v>
      </c>
    </row>
    <row r="33" spans="1:6" ht="13.9" thickTop="1" thickBot="1" x14ac:dyDescent="0.4">
      <c r="A33" s="38">
        <f>IF(ISERR(NodesJSON[[#This Row],[label]]),0,1)</f>
        <v>1</v>
      </c>
      <c r="B33" s="3" t="str">
        <f>NodesData[[#This Row],[Common Name]]</f>
        <v>Archive</v>
      </c>
      <c r="C33" s="3" t="str">
        <f>IF(NodesData[[#This Row],[Context Instanciation]]="","",NodesData[[#This Row],[Context Instanciation]])</f>
        <v/>
      </c>
      <c r="D33" s="22" t="str">
        <f>NodesData[[#This Row],[Node ID]]</f>
        <v>CDB3F96B-4E2C-4F45-A2C3-EEE0171479BB</v>
      </c>
      <c r="E33" s="3" t="str">
        <f>IF(NodesData[[#This Row],[URL]]="","",NodesData[[#This Row],[URL]])</f>
        <v>https://open-measure.atlassian.net/wiki/spaces/DIC/pages/425197720</v>
      </c>
      <c r="F33" s="25" t="str" cm="1">
        <f t="array" ref="F33">IF(NodesJSON[[#This Row],[Export?]]=0,"",IF(ROW(NodesJSON[[#This Row],[label]])&gt;ROW(NodesJSON[[#Headers],[JSON]])+1,",","") &amp;"{"&amp;twoRangesToJSON(NodesJSON[[#Headers],[label]:[url]],NodesJSON[[#This Row],[label]:[url]])&amp;"}")</f>
        <v>,{"label":"Archive","group":"","id":"CDB3F96B-4E2C-4F45-A2C3-EEE0171479BB","url":"https://open-measure.atlassian.net/wiki/spaces/DIC/pages/425197720"}</v>
      </c>
    </row>
    <row r="34" spans="1:6" ht="13.9" thickTop="1" thickBot="1" x14ac:dyDescent="0.4">
      <c r="A34" s="38">
        <f>IF(ISERR(NodesJSON[[#This Row],[label]]),0,1)</f>
        <v>1</v>
      </c>
      <c r="B34" s="3" t="str">
        <f>NodesData[[#This Row],[Common Name]]</f>
        <v>ARM</v>
      </c>
      <c r="C34" s="3" t="str">
        <f>IF(NodesData[[#This Row],[Context Instanciation]]="","",NodesData[[#This Row],[Context Instanciation]])</f>
        <v/>
      </c>
      <c r="D34" s="22" t="str">
        <f>NodesData[[#This Row],[Node ID]]</f>
        <v>30D21895-D4A5-4F2A-A2B4-76E8AD149662</v>
      </c>
      <c r="E34" s="3" t="str">
        <f>IF(NodesData[[#This Row],[URL]]="","",NodesData[[#This Row],[URL]])</f>
        <v>https://open-measure.atlassian.net/wiki/spaces/DIC/pages/1703994/ARM</v>
      </c>
      <c r="F34" s="25" t="str" cm="1">
        <f t="array" ref="F34">IF(NodesJSON[[#This Row],[Export?]]=0,"",IF(ROW(NodesJSON[[#This Row],[label]])&gt;ROW(NodesJSON[[#Headers],[JSON]])+1,",","") &amp;"{"&amp;twoRangesToJSON(NodesJSON[[#Headers],[label]:[url]],NodesJSON[[#This Row],[label]:[url]])&amp;"}")</f>
        <v>,{"label":"ARM","group":"","id":"30D21895-D4A5-4F2A-A2B4-76E8AD149662","url":"https://open-measure.atlassian.net/wiki/spaces/DIC/pages/1703994/ARM"}</v>
      </c>
    </row>
    <row r="35" spans="1:6" ht="13.9" thickTop="1" thickBot="1" x14ac:dyDescent="0.4">
      <c r="A35" s="38">
        <f>IF(ISERR(NodesJSON[[#This Row],[label]]),0,1)</f>
        <v>1</v>
      </c>
      <c r="B35" s="3" t="str">
        <f>NodesData[[#This Row],[Common Name]]</f>
        <v>Asset Custody</v>
      </c>
      <c r="C35" s="3" t="str">
        <f>IF(NodesData[[#This Row],[Context Instanciation]]="","",NodesData[[#This Row],[Context Instanciation]])</f>
        <v/>
      </c>
      <c r="D35" s="22" t="str">
        <f>NodesData[[#This Row],[Node ID]]</f>
        <v>2090D58D-5C7A-44E1-B0DD-B4C12F0CBF2B</v>
      </c>
      <c r="E35" s="3" t="str">
        <f>IF(NodesData[[#This Row],[URL]]="","",NodesData[[#This Row],[URL]])</f>
        <v>https://open-measure.atlassian.net/wiki/spaces/DIC/pages/1094516867</v>
      </c>
      <c r="F35" s="25" t="str" cm="1">
        <f t="array" ref="F35">IF(NodesJSON[[#This Row],[Export?]]=0,"",IF(ROW(NodesJSON[[#This Row],[label]])&gt;ROW(NodesJSON[[#Headers],[JSON]])+1,",","") &amp;"{"&amp;twoRangesToJSON(NodesJSON[[#Headers],[label]:[url]],NodesJSON[[#This Row],[label]:[url]])&amp;"}")</f>
        <v>,{"label":"Asset Custody","group":"","id":"2090D58D-5C7A-44E1-B0DD-B4C12F0CBF2B","url":"https://open-measure.atlassian.net/wiki/spaces/DIC/pages/1094516867"}</v>
      </c>
    </row>
    <row r="36" spans="1:6" ht="13.9" thickTop="1" thickBot="1" x14ac:dyDescent="0.4">
      <c r="A36" s="38">
        <f>IF(ISERR(NodesJSON[[#This Row],[label]]),0,1)</f>
        <v>1</v>
      </c>
      <c r="B36" s="3" t="str">
        <f>NodesData[[#This Row],[Common Name]]</f>
        <v>Attack Class</v>
      </c>
      <c r="C36" s="3" t="str">
        <f>IF(NodesData[[#This Row],[Context Instanciation]]="","",NodesData[[#This Row],[Context Instanciation]])</f>
        <v/>
      </c>
      <c r="D36" s="22" t="str">
        <f>NodesData[[#This Row],[Node ID]]</f>
        <v>F6D05109-A8EB-4630-8070-A3DC00484ED2</v>
      </c>
      <c r="E36" s="3" t="str">
        <f>IF(NodesData[[#This Row],[URL]]="","",NodesData[[#This Row],[URL]])</f>
        <v/>
      </c>
      <c r="F36" s="25" t="str" cm="1">
        <f t="array" ref="F36">IF(NodesJSON[[#This Row],[Export?]]=0,"",IF(ROW(NodesJSON[[#This Row],[label]])&gt;ROW(NodesJSON[[#Headers],[JSON]])+1,",","") &amp;"{"&amp;twoRangesToJSON(NodesJSON[[#Headers],[label]:[url]],NodesJSON[[#This Row],[label]:[url]])&amp;"}")</f>
        <v>,{"label":"Attack Class","group":"","id":"F6D05109-A8EB-4630-8070-A3DC00484ED2","url":""}</v>
      </c>
    </row>
    <row r="37" spans="1:6" ht="13.9" thickTop="1" thickBot="1" x14ac:dyDescent="0.4">
      <c r="A37" s="38">
        <f>IF(ISERR(NodesJSON[[#This Row],[label]]),0,1)</f>
        <v>1</v>
      </c>
      <c r="B37" s="3" t="str">
        <f>NodesData[[#This Row],[Common Name]]</f>
        <v>Attestation</v>
      </c>
      <c r="C37" s="3" t="str">
        <f>IF(NodesData[[#This Row],[Context Instanciation]]="","",NodesData[[#This Row],[Context Instanciation]])</f>
        <v/>
      </c>
      <c r="D37" s="22" t="str">
        <f>NodesData[[#This Row],[Node ID]]</f>
        <v>C667981B-B081-4789-9993-2BC97D95D5F6</v>
      </c>
      <c r="E37" s="3" t="str">
        <f>IF(NodesData[[#This Row],[URL]]="","",NodesData[[#This Row],[URL]])</f>
        <v>https://open-measure.atlassian.net/wiki/spaces/DIC/pages/1323368851/Attestation</v>
      </c>
      <c r="F37" s="25" t="str" cm="1">
        <f t="array" ref="F37">IF(NodesJSON[[#This Row],[Export?]]=0,"",IF(ROW(NodesJSON[[#This Row],[label]])&gt;ROW(NodesJSON[[#Headers],[JSON]])+1,",","") &amp;"{"&amp;twoRangesToJSON(NodesJSON[[#Headers],[label]:[url]],NodesJSON[[#This Row],[label]:[url]])&amp;"}")</f>
        <v>,{"label":"Attestation","group":"","id":"C667981B-B081-4789-9993-2BC97D95D5F6","url":"https://open-measure.atlassian.net/wiki/spaces/DIC/pages/1323368851/Attestation"}</v>
      </c>
    </row>
    <row r="38" spans="1:6" ht="13.9" thickTop="1" thickBot="1" x14ac:dyDescent="0.4">
      <c r="A38" s="38">
        <f>IF(ISERR(NodesJSON[[#This Row],[label]]),0,1)</f>
        <v>1</v>
      </c>
      <c r="B38" s="3" t="str">
        <f>NodesData[[#This Row],[Common Name]]</f>
        <v>Attribute</v>
      </c>
      <c r="C38" s="3" t="str">
        <f>IF(NodesData[[#This Row],[Context Instanciation]]="","",NodesData[[#This Row],[Context Instanciation]])</f>
        <v/>
      </c>
      <c r="D38" s="22" t="str">
        <f>NodesData[[#This Row],[Node ID]]</f>
        <v>AEFD6523-59E0-47E0-921F-B5A26C6FC118</v>
      </c>
      <c r="E38" s="3" t="str">
        <f>IF(NodesData[[#This Row],[URL]]="","",NodesData[[#This Row],[URL]])</f>
        <v>https://open-measure.atlassian.net/wiki/spaces/DIC/pages/409174161</v>
      </c>
      <c r="F38" s="25" t="str" cm="1">
        <f t="array" ref="F38">IF(NodesJSON[[#This Row],[Export?]]=0,"",IF(ROW(NodesJSON[[#This Row],[label]])&gt;ROW(NodesJSON[[#Headers],[JSON]])+1,",","") &amp;"{"&amp;twoRangesToJSON(NodesJSON[[#Headers],[label]:[url]],NodesJSON[[#This Row],[label]:[url]])&amp;"}")</f>
        <v>,{"label":"Attribute","group":"","id":"AEFD6523-59E0-47E0-921F-B5A26C6FC118","url":"https://open-measure.atlassian.net/wiki/spaces/DIC/pages/409174161"}</v>
      </c>
    </row>
    <row r="39" spans="1:6" ht="13.9" thickTop="1" thickBot="1" x14ac:dyDescent="0.4">
      <c r="A39" s="38">
        <f>IF(ISERR(NodesJSON[[#This Row],[label]]),0,1)</f>
        <v>1</v>
      </c>
      <c r="B39" s="3" t="str">
        <f>NodesData[[#This Row],[Common Name]]</f>
        <v>Attribute Provider</v>
      </c>
      <c r="C39" s="3" t="str">
        <f>IF(NodesData[[#This Row],[Context Instanciation]]="","",NodesData[[#This Row],[Context Instanciation]])</f>
        <v/>
      </c>
      <c r="D39" s="22" t="str">
        <f>NodesData[[#This Row],[Node ID]]</f>
        <v>5FDF9F3F-FD1C-4DD0-A1D2-D943DB3091B5</v>
      </c>
      <c r="E39" s="3" t="str">
        <f>IF(NodesData[[#This Row],[URL]]="","",NodesData[[#This Row],[URL]])</f>
        <v>https://open-measure.atlassian.net/wiki/spaces/DIC/pages/81101655</v>
      </c>
      <c r="F39" s="25" t="str" cm="1">
        <f t="array" ref="F39">IF(NodesJSON[[#This Row],[Export?]]=0,"",IF(ROW(NodesJSON[[#This Row],[label]])&gt;ROW(NodesJSON[[#Headers],[JSON]])+1,",","") &amp;"{"&amp;twoRangesToJSON(NodesJSON[[#Headers],[label]:[url]],NodesJSON[[#This Row],[label]:[url]])&amp;"}")</f>
        <v>,{"label":"Attribute Provider","group":"","id":"5FDF9F3F-FD1C-4DD0-A1D2-D943DB3091B5","url":"https://open-measure.atlassian.net/wiki/spaces/DIC/pages/81101655"}</v>
      </c>
    </row>
    <row r="40" spans="1:6" ht="13.9" thickTop="1" thickBot="1" x14ac:dyDescent="0.4">
      <c r="A40" s="38">
        <f>IF(ISERR(NodesJSON[[#This Row],[label]]),0,1)</f>
        <v>1</v>
      </c>
      <c r="B40" s="3" t="str">
        <f>NodesData[[#This Row],[Common Name]]</f>
        <v>Authentic Identity</v>
      </c>
      <c r="C40" s="3" t="str">
        <f>IF(NodesData[[#This Row],[Context Instanciation]]="","",NodesData[[#This Row],[Context Instanciation]])</f>
        <v/>
      </c>
      <c r="D40" s="22" t="str">
        <f>NodesData[[#This Row],[Node ID]]</f>
        <v>B9BC6707-084C-4264-ABDB-9F04C39AC188</v>
      </c>
      <c r="E40" s="3" t="str">
        <f>IF(NodesData[[#This Row],[URL]]="","",NodesData[[#This Row],[URL]])</f>
        <v/>
      </c>
      <c r="F40" s="25" t="str" cm="1">
        <f t="array" ref="F40">IF(NodesJSON[[#This Row],[Export?]]=0,"",IF(ROW(NodesJSON[[#This Row],[label]])&gt;ROW(NodesJSON[[#Headers],[JSON]])+1,",","") &amp;"{"&amp;twoRangesToJSON(NodesJSON[[#Headers],[label]:[url]],NodesJSON[[#This Row],[label]:[url]])&amp;"}")</f>
        <v>,{"label":"Authentic Identity","group":"","id":"B9BC6707-084C-4264-ABDB-9F04C39AC188","url":""}</v>
      </c>
    </row>
    <row r="41" spans="1:6" ht="13.9" thickTop="1" thickBot="1" x14ac:dyDescent="0.4">
      <c r="A41" s="38">
        <f>IF(ISERR(NodesJSON[[#This Row],[label]]),0,1)</f>
        <v>1</v>
      </c>
      <c r="B41" s="3" t="str">
        <f>NodesData[[#This Row],[Common Name]]</f>
        <v>Authenticated Users</v>
      </c>
      <c r="C41" s="3" t="str">
        <f>IF(NodesData[[#This Row],[Context Instanciation]]="","",NodesData[[#This Row],[Context Instanciation]])</f>
        <v/>
      </c>
      <c r="D41" s="22" t="str">
        <f>NodesData[[#This Row],[Node ID]]</f>
        <v>F58510E3-3CCC-4A1E-9BEF-76DE48432FE1</v>
      </c>
      <c r="E41" s="3" t="str">
        <f>IF(NodesData[[#This Row],[URL]]="","",NodesData[[#This Row],[URL]])</f>
        <v>https://open-measure.atlassian.net/wiki/spaces/DIC/pages/966492169</v>
      </c>
      <c r="F41" s="25" t="str" cm="1">
        <f t="array" ref="F41">IF(NodesJSON[[#This Row],[Export?]]=0,"",IF(ROW(NodesJSON[[#This Row],[label]])&gt;ROW(NodesJSON[[#Headers],[JSON]])+1,",","") &amp;"{"&amp;twoRangesToJSON(NodesJSON[[#Headers],[label]:[url]],NodesJSON[[#This Row],[label]:[url]])&amp;"}")</f>
        <v>,{"label":"Authenticated Users","group":"","id":"F58510E3-3CCC-4A1E-9BEF-76DE48432FE1","url":"https://open-measure.atlassian.net/wiki/spaces/DIC/pages/966492169"}</v>
      </c>
    </row>
    <row r="42" spans="1:6" ht="13.9" thickTop="1" thickBot="1" x14ac:dyDescent="0.4">
      <c r="A42" s="38">
        <f>IF(ISERR(NodesJSON[[#This Row],[label]]),0,1)</f>
        <v>1</v>
      </c>
      <c r="B42" s="3" t="str">
        <f>NodesData[[#This Row],[Common Name]]</f>
        <v>Authentication</v>
      </c>
      <c r="C42" s="3" t="str">
        <f>IF(NodesData[[#This Row],[Context Instanciation]]="","",NodesData[[#This Row],[Context Instanciation]])</f>
        <v/>
      </c>
      <c r="D42" s="22" t="str">
        <f>NodesData[[#This Row],[Node ID]]</f>
        <v>38617C53-5441-41E7-9C6D-C693D9A050AE</v>
      </c>
      <c r="E42" s="8"/>
      <c r="F42" s="25" t="str" cm="1">
        <f t="array" ref="F42">IF(NodesJSON[[#This Row],[Export?]]=0,"",IF(ROW(NodesJSON[[#This Row],[label]])&gt;ROW(NodesJSON[[#Headers],[JSON]])+1,",","") &amp;"{"&amp;twoRangesToJSON(NodesJSON[[#Headers],[label]:[url]],NodesJSON[[#This Row],[label]:[url]])&amp;"}")</f>
        <v>,{"label":"Authentication","group":"","id":"38617C53-5441-41E7-9C6D-C693D9A050AE","url":""}</v>
      </c>
    </row>
    <row r="43" spans="1:6" ht="13.9" thickTop="1" thickBot="1" x14ac:dyDescent="0.4">
      <c r="A43" s="38">
        <f>IF(ISERR(NodesJSON[[#This Row],[label]]),0,1)</f>
        <v>1</v>
      </c>
      <c r="B43" s="3" t="str">
        <f>NodesData[[#This Row],[Common Name]]</f>
        <v>Authentication Factor</v>
      </c>
      <c r="C43" s="3" t="str">
        <f>IF(NodesData[[#This Row],[Context Instanciation]]="","",NodesData[[#This Row],[Context Instanciation]])</f>
        <v/>
      </c>
      <c r="D43" s="22" t="str">
        <f>NodesData[[#This Row],[Node ID]]</f>
        <v>A42E7343-FA4C-490A-A0A3-7F65FB188771</v>
      </c>
      <c r="E43" s="10" t="s">
        <v>586</v>
      </c>
      <c r="F43" s="25" t="str" cm="1">
        <f t="array" ref="F43">IF(NodesJSON[[#This Row],[Export?]]=0,"",IF(ROW(NodesJSON[[#This Row],[label]])&gt;ROW(NodesJSON[[#Headers],[JSON]])+1,",","") &amp;"{"&amp;twoRangesToJSON(NodesJSON[[#Headers],[label]:[url]],NodesJSON[[#This Row],[label]:[url]])&amp;"}")</f>
        <v>,{"label":"Authentication Factor","group":"","id":"A42E7343-FA4C-490A-A0A3-7F65FB188771","url":"https://open-measure.atlassian.net/wiki/spaces/DIC/pages/848724060"}</v>
      </c>
    </row>
    <row r="44" spans="1:6" ht="13.9" thickTop="1" thickBot="1" x14ac:dyDescent="0.4">
      <c r="A44" s="38">
        <f>IF(ISERR(NodesJSON[[#This Row],[label]]),0,1)</f>
        <v>1</v>
      </c>
      <c r="B44" s="3" t="str">
        <f>NodesData[[#This Row],[Common Name]]</f>
        <v>Authentication Method</v>
      </c>
      <c r="C44" s="3" t="str">
        <f>IF(NodesData[[#This Row],[Context Instanciation]]="","",NodesData[[#This Row],[Context Instanciation]])</f>
        <v/>
      </c>
      <c r="D44" s="22" t="str">
        <f>NodesData[[#This Row],[Node ID]]</f>
        <v>4C6DA97E-8091-41CA-B99C-4250D2678005</v>
      </c>
      <c r="E44" s="10" t="s">
        <v>588</v>
      </c>
      <c r="F44" s="25" t="str" cm="1">
        <f t="array" ref="F44">IF(NodesJSON[[#This Row],[Export?]]=0,"",IF(ROW(NodesJSON[[#This Row],[label]])&gt;ROW(NodesJSON[[#Headers],[JSON]])+1,",","") &amp;"{"&amp;twoRangesToJSON(NodesJSON[[#Headers],[label]:[url]],NodesJSON[[#This Row],[label]:[url]])&amp;"}")</f>
        <v>,{"label":"Authentication Method","group":"","id":"4C6DA97E-8091-41CA-B99C-4250D2678005","url":"https://open-measure.atlassian.net/wiki/spaces/DIC/pages/998178905"}</v>
      </c>
    </row>
    <row r="45" spans="1:6" ht="13.9" thickTop="1" thickBot="1" x14ac:dyDescent="0.4">
      <c r="A45" s="38">
        <f>IF(ISERR(NodesJSON[[#This Row],[label]]),0,1)</f>
        <v>1</v>
      </c>
      <c r="B45" s="3" t="str">
        <f>NodesData[[#This Row],[Common Name]]</f>
        <v>Authenticator</v>
      </c>
      <c r="C45" s="3" t="str">
        <f>IF(NodesData[[#This Row],[Context Instanciation]]="","",NodesData[[#This Row],[Context Instanciation]])</f>
        <v/>
      </c>
      <c r="D45" s="22" t="str">
        <f>NodesData[[#This Row],[Node ID]]</f>
        <v>EDEC0D80-0928-4226-B6D0-E8C67746479D</v>
      </c>
      <c r="E45" s="10" t="s">
        <v>590</v>
      </c>
      <c r="F45" s="25" t="str" cm="1">
        <f t="array" ref="F45">IF(NodesJSON[[#This Row],[Export?]]=0,"",IF(ROW(NodesJSON[[#This Row],[label]])&gt;ROW(NodesJSON[[#Headers],[JSON]])+1,",","") &amp;"{"&amp;twoRangesToJSON(NodesJSON[[#Headers],[label]:[url]],NodesJSON[[#This Row],[label]:[url]])&amp;"}")</f>
        <v>,{"label":"Authenticator","group":"","id":"EDEC0D80-0928-4226-B6D0-E8C67746479D","url":"https://open-measure.atlassian.net/wiki/spaces/DIC/pages/60882993"}</v>
      </c>
    </row>
    <row r="46" spans="1:6" ht="13.9" thickTop="1" thickBot="1" x14ac:dyDescent="0.4">
      <c r="A46" s="38">
        <f>IF(ISERR(NodesJSON[[#This Row],[label]]),0,1)</f>
        <v>1</v>
      </c>
      <c r="B46" s="3" t="str">
        <f>NodesData[[#This Row],[Common Name]]</f>
        <v>Authority</v>
      </c>
      <c r="C46" s="3" t="str">
        <f>IF(NodesData[[#This Row],[Context Instanciation]]="","",NodesData[[#This Row],[Context Instanciation]])</f>
        <v/>
      </c>
      <c r="D46" s="22" t="str">
        <f>NodesData[[#This Row],[Node ID]]</f>
        <v>795BF7BB-BED4-45ED-A0FB-5CAE400F9B36</v>
      </c>
      <c r="E46" s="10" t="s">
        <v>593</v>
      </c>
      <c r="F46" s="25" t="str" cm="1">
        <f t="array" ref="F46">IF(NodesJSON[[#This Row],[Export?]]=0,"",IF(ROW(NodesJSON[[#This Row],[label]])&gt;ROW(NodesJSON[[#Headers],[JSON]])+1,",","") &amp;"{"&amp;twoRangesToJSON(NodesJSON[[#Headers],[label]:[url]],NodesJSON[[#This Row],[label]:[url]])&amp;"}")</f>
        <v>,{"label":"Authority","group":"","id":"795BF7BB-BED4-45ED-A0FB-5CAE400F9B36","url":"https://open-measure.atlassian.net/wiki/spaces/DIC/pages/1311472"}</v>
      </c>
    </row>
    <row r="47" spans="1:6" ht="13.9" thickTop="1" thickBot="1" x14ac:dyDescent="0.4">
      <c r="A47" s="38">
        <f>IF(ISERR(NodesJSON[[#This Row],[label]]),0,1)</f>
        <v>1</v>
      </c>
      <c r="B47" s="3" t="str">
        <f>NodesData[[#This Row],[Common Name]]</f>
        <v>Authorization</v>
      </c>
      <c r="C47" s="3" t="str">
        <f>IF(NodesData[[#This Row],[Context Instanciation]]="","",NodesData[[#This Row],[Context Instanciation]])</f>
        <v>Account Takeover</v>
      </c>
      <c r="D47" s="22" t="str">
        <f>NodesData[[#This Row],[Node ID]]</f>
        <v>5F148AC3-F899-4AC2-AEB2-C6CA6005999B</v>
      </c>
      <c r="E47" s="10" t="s">
        <v>595</v>
      </c>
      <c r="F47" s="25" t="str" cm="1">
        <f t="array" ref="F47">IF(NodesJSON[[#This Row],[Export?]]=0,"",IF(ROW(NodesJSON[[#This Row],[label]])&gt;ROW(NodesJSON[[#Headers],[JSON]])+1,",","") &amp;"{"&amp;twoRangesToJSON(NodesJSON[[#Headers],[label]:[url]],NodesJSON[[#This Row],[label]:[url]])&amp;"}")</f>
        <v>,{"label":"Authorization","group":"Account Takeover","id":"5F148AC3-F899-4AC2-AEB2-C6CA6005999B","url":"https://open-measure.atlassian.net/wiki/spaces/DIC/pages/998277774"}</v>
      </c>
    </row>
    <row r="48" spans="1:6" ht="13.9" thickTop="1" thickBot="1" x14ac:dyDescent="0.4">
      <c r="A48" s="38">
        <f>IF(ISERR(NodesJSON[[#This Row],[label]]),0,1)</f>
        <v>1</v>
      </c>
      <c r="B48" s="3" t="str">
        <f>NodesData[[#This Row],[Common Name]]</f>
        <v>Authorization</v>
      </c>
      <c r="C48" s="3" t="str">
        <f>IF(NodesData[[#This Row],[Context Instanciation]]="","",NodesData[[#This Row],[Context Instanciation]])</f>
        <v/>
      </c>
      <c r="D48" s="22" t="str">
        <f>NodesData[[#This Row],[Node ID]]</f>
        <v>4CCAC3A5-F0D1-4BDF-8B19-D0D38CCBDE4B</v>
      </c>
      <c r="E48" s="10" t="s">
        <v>597</v>
      </c>
      <c r="F48" s="25" t="str" cm="1">
        <f t="array" ref="F48">IF(NodesJSON[[#This Row],[Export?]]=0,"",IF(ROW(NodesJSON[[#This Row],[label]])&gt;ROW(NodesJSON[[#Headers],[JSON]])+1,",","") &amp;"{"&amp;twoRangesToJSON(NodesJSON[[#Headers],[label]:[url]],NodesJSON[[#This Row],[label]:[url]])&amp;"}")</f>
        <v>,{"label":"Authorization","group":"","id":"4CCAC3A5-F0D1-4BDF-8B19-D0D38CCBDE4B","url":"https://open-measure.atlassian.net/wiki/spaces/DIC/pages/998245198"}</v>
      </c>
    </row>
    <row r="49" spans="1:6" ht="13.9" thickTop="1" thickBot="1" x14ac:dyDescent="0.4">
      <c r="A49" s="38">
        <f>IF(ISERR(NodesJSON[[#This Row],[label]]),0,1)</f>
        <v>1</v>
      </c>
      <c r="B49" s="3" t="str">
        <f>NodesData[[#This Row],[Common Name]]</f>
        <v>Authorization Externalization</v>
      </c>
      <c r="C49" s="3" t="str">
        <f>IF(NodesData[[#This Row],[Context Instanciation]]="","",NodesData[[#This Row],[Context Instanciation]])</f>
        <v/>
      </c>
      <c r="D49" s="22" t="str">
        <f>NodesData[[#This Row],[Node ID]]</f>
        <v>3F93E417-521F-4E37-9FEB-2580B5B04AA6</v>
      </c>
      <c r="E49" s="10" t="s">
        <v>599</v>
      </c>
      <c r="F49" s="25" t="str" cm="1">
        <f t="array" ref="F49">IF(NodesJSON[[#This Row],[Export?]]=0,"",IF(ROW(NodesJSON[[#This Row],[label]])&gt;ROW(NodesJSON[[#Headers],[JSON]])+1,",","") &amp;"{"&amp;twoRangesToJSON(NodesJSON[[#Headers],[label]:[url]],NodesJSON[[#This Row],[label]:[url]])&amp;"}")</f>
        <v>,{"label":"Authorization Externalization","group":"","id":"3F93E417-521F-4E37-9FEB-2580B5B04AA6","url":"https://open-measure.atlassian.net/wiki/spaces/DIC/pages/998277876"}</v>
      </c>
    </row>
    <row r="50" spans="1:6" ht="13.9" thickTop="1" thickBot="1" x14ac:dyDescent="0.4">
      <c r="A50" s="38">
        <f>IF(ISERR(NodesJSON[[#This Row],[label]]),0,1)</f>
        <v>1</v>
      </c>
      <c r="B50" s="3" t="str">
        <f>NodesData[[#This Row],[Common Name]]</f>
        <v>Awareness</v>
      </c>
      <c r="C50" s="3" t="str">
        <f>IF(NodesData[[#This Row],[Context Instanciation]]="","",NodesData[[#This Row],[Context Instanciation]])</f>
        <v/>
      </c>
      <c r="D50" s="22" t="str">
        <f>NodesData[[#This Row],[Node ID]]</f>
        <v>405A68C8-B875-4F50-9E41-6D62C952D939</v>
      </c>
      <c r="E50" s="10" t="s">
        <v>601</v>
      </c>
      <c r="F50" s="25" t="str" cm="1">
        <f t="array" ref="F50">IF(NodesJSON[[#This Row],[Export?]]=0,"",IF(ROW(NodesJSON[[#This Row],[label]])&gt;ROW(NodesJSON[[#Headers],[JSON]])+1,",","") &amp;"{"&amp;twoRangesToJSON(NodesJSON[[#Headers],[label]:[url]],NodesJSON[[#This Row],[label]:[url]])&amp;"}")</f>
        <v>,{"label":"Awareness","group":"","id":"405A68C8-B875-4F50-9E41-6D62C952D939","url":"https://open-measure.atlassian.net/wiki/spaces/DIC/pages/998277805"}</v>
      </c>
    </row>
    <row r="51" spans="1:6" ht="13.9" thickTop="1" thickBot="1" x14ac:dyDescent="0.4">
      <c r="A51" s="38">
        <f>IF(ISERR(NodesJSON[[#This Row],[label]]),0,1)</f>
        <v>1</v>
      </c>
      <c r="B51" s="3" t="str">
        <f>NodesData[[#This Row],[Common Name]]</f>
        <v>AWS Account Root User</v>
      </c>
      <c r="C51" s="3" t="str">
        <f>IF(NodesData[[#This Row],[Context Instanciation]]="","",NodesData[[#This Row],[Context Instanciation]])</f>
        <v/>
      </c>
      <c r="D51" s="22" t="str">
        <f>NodesData[[#This Row],[Node ID]]</f>
        <v>F6EB1544-9C33-48D4-AF92-B45BB09FED03</v>
      </c>
      <c r="E51" s="10" t="s">
        <v>603</v>
      </c>
      <c r="F51" s="25" t="str" cm="1">
        <f t="array" ref="F51">IF(NodesJSON[[#This Row],[Export?]]=0,"",IF(ROW(NodesJSON[[#This Row],[label]])&gt;ROW(NodesJSON[[#Headers],[JSON]])+1,",","") &amp;"{"&amp;twoRangesToJSON(NodesJSON[[#Headers],[label]:[url]],NodesJSON[[#This Row],[label]:[url]])&amp;"}")</f>
        <v>,{"label":"AWS Account Root User","group":"","id":"F6EB1544-9C33-48D4-AF92-B45BB09FED03","url":"https://open-measure.atlassian.net/wiki/spaces/DIC/pages/998277852"}</v>
      </c>
    </row>
    <row r="52" spans="1:6" ht="13.9" thickTop="1" thickBot="1" x14ac:dyDescent="0.4">
      <c r="A52" s="38">
        <f>IF(ISERR(NodesJSON[[#This Row],[label]]),0,1)</f>
        <v>1</v>
      </c>
      <c r="B52" s="3" t="str">
        <f>NodesData[[#This Row],[Common Name]]</f>
        <v>AWS ACL</v>
      </c>
      <c r="C52" s="3" t="str">
        <f>IF(NodesData[[#This Row],[Context Instanciation]]="","",NodesData[[#This Row],[Context Instanciation]])</f>
        <v/>
      </c>
      <c r="D52" s="22" t="str">
        <f>NodesData[[#This Row],[Node ID]]</f>
        <v>C62C1C42-39F4-4AA1-9B87-83E2BEE4B626</v>
      </c>
      <c r="E52" s="10" t="s">
        <v>605</v>
      </c>
      <c r="F52" s="25" t="str" cm="1">
        <f t="array" ref="F52">IF(NodesJSON[[#This Row],[Export?]]=0,"",IF(ROW(NodesJSON[[#This Row],[label]])&gt;ROW(NodesJSON[[#Headers],[JSON]])+1,",","") &amp;"{"&amp;twoRangesToJSON(NodesJSON[[#Headers],[label]:[url]],NodesJSON[[#This Row],[label]:[url]])&amp;"}")</f>
        <v>,{"label":"AWS ACL","group":"","id":"C62C1C42-39F4-4AA1-9B87-83E2BEE4B626","url":"https://open-measure.atlassian.net/wiki/spaces/DIC/pages/1071251573"}</v>
      </c>
    </row>
    <row r="53" spans="1:6" ht="13.9" thickTop="1" thickBot="1" x14ac:dyDescent="0.4">
      <c r="A53" s="38">
        <f>IF(ISERR(NodesJSON[[#This Row],[label]]),0,1)</f>
        <v>1</v>
      </c>
      <c r="B53" s="3" t="str">
        <f>NodesData[[#This Row],[Common Name]]</f>
        <v>AWS IAM</v>
      </c>
      <c r="C53" s="3" t="str">
        <f>IF(NodesData[[#This Row],[Context Instanciation]]="","",NodesData[[#This Row],[Context Instanciation]])</f>
        <v/>
      </c>
      <c r="D53" s="22" t="str">
        <f>NodesData[[#This Row],[Node ID]]</f>
        <v>E61AF7B2-B5C6-449C-B896-7F48FC11826B</v>
      </c>
      <c r="E53" s="10" t="s">
        <v>607</v>
      </c>
      <c r="F53" s="25" t="str" cm="1">
        <f t="array" ref="F53">IF(NodesJSON[[#This Row],[Export?]]=0,"",IF(ROW(NodesJSON[[#This Row],[label]])&gt;ROW(NodesJSON[[#Headers],[JSON]])+1,",","") &amp;"{"&amp;twoRangesToJSON(NodesJSON[[#Headers],[label]:[url]],NodesJSON[[#This Row],[label]:[url]])&amp;"}")</f>
        <v>,{"label":"AWS IAM","group":"","id":"E61AF7B2-B5C6-449C-B896-7F48FC11826B","url":"https://open-measure.atlassian.net/wiki/spaces/DIC/pages/998245151"}</v>
      </c>
    </row>
    <row r="54" spans="1:6" ht="13.9" thickTop="1" thickBot="1" x14ac:dyDescent="0.4">
      <c r="A54" s="38">
        <f>IF(ISERR(NodesJSON[[#This Row],[label]]),0,1)</f>
        <v>1</v>
      </c>
      <c r="B54" s="3" t="str">
        <f>NodesData[[#This Row],[Common Name]]</f>
        <v>AWS IAM Group</v>
      </c>
      <c r="C54" s="3" t="str">
        <f>IF(NodesData[[#This Row],[Context Instanciation]]="","",NodesData[[#This Row],[Context Instanciation]])</f>
        <v/>
      </c>
      <c r="D54" s="22" t="str">
        <f>NodesData[[#This Row],[Node ID]]</f>
        <v>8497A2DF-286C-438A-8FCC-A436A1AC5C23</v>
      </c>
      <c r="E54" s="10" t="s">
        <v>609</v>
      </c>
      <c r="F54" s="25" t="str" cm="1">
        <f t="array" ref="F54">IF(NodesJSON[[#This Row],[Export?]]=0,"",IF(ROW(NodesJSON[[#This Row],[label]])&gt;ROW(NodesJSON[[#Headers],[JSON]])+1,",","") &amp;"{"&amp;twoRangesToJSON(NodesJSON[[#Headers],[label]:[url]],NodesJSON[[#This Row],[label]:[url]])&amp;"}")</f>
        <v>,{"label":"AWS IAM Group","group":"","id":"8497A2DF-286C-438A-8FCC-A436A1AC5C23","url":"https://open-measure.atlassian.net/wiki/spaces/DIC/pages/998277835"}</v>
      </c>
    </row>
    <row r="55" spans="1:6" ht="13.9" thickTop="1" thickBot="1" x14ac:dyDescent="0.4">
      <c r="A55" s="38">
        <f>IF(ISERR(NodesJSON[[#This Row],[label]]),0,1)</f>
        <v>1</v>
      </c>
      <c r="B55" s="3" t="str">
        <f>NodesData[[#This Row],[Common Name]]</f>
        <v>AWS IAM Policy</v>
      </c>
      <c r="C55" s="3" t="str">
        <f>IF(NodesData[[#This Row],[Context Instanciation]]="","",NodesData[[#This Row],[Context Instanciation]])</f>
        <v/>
      </c>
      <c r="D55" s="22" t="str">
        <f>NodesData[[#This Row],[Node ID]]</f>
        <v>3451032E-0047-4623-A0EF-A9EE08C2868A</v>
      </c>
      <c r="E55" s="10" t="s">
        <v>611</v>
      </c>
      <c r="F55" s="25" t="str" cm="1">
        <f t="array" ref="F55">IF(NodesJSON[[#This Row],[Export?]]=0,"",IF(ROW(NodesJSON[[#This Row],[label]])&gt;ROW(NodesJSON[[#Headers],[JSON]])+1,",","") &amp;"{"&amp;twoRangesToJSON(NodesJSON[[#Headers],[label]:[url]],NodesJSON[[#This Row],[label]:[url]])&amp;"}")</f>
        <v>,{"label":"AWS IAM Policy","group":"","id":"3451032E-0047-4623-A0EF-A9EE08C2868A","url":"https://open-measure.atlassian.net/wiki/spaces/DIC/pages/998245125"}</v>
      </c>
    </row>
    <row r="56" spans="1:6" ht="13.9" thickTop="1" thickBot="1" x14ac:dyDescent="0.4">
      <c r="A56" s="38">
        <f>IF(ISERR(NodesJSON[[#This Row],[label]]),0,1)</f>
        <v>1</v>
      </c>
      <c r="B56" s="3" t="str">
        <f>NodesData[[#This Row],[Common Name]]</f>
        <v>AWS IAM Principal</v>
      </c>
      <c r="C56" s="3" t="str">
        <f>IF(NodesData[[#This Row],[Context Instanciation]]="","",NodesData[[#This Row],[Context Instanciation]])</f>
        <v/>
      </c>
      <c r="D56" s="22" t="str">
        <f>NodesData[[#This Row],[Node ID]]</f>
        <v>E78EE0FA-A3E6-4C7E-A1FA-5D32463B089A</v>
      </c>
      <c r="E56" s="10" t="s">
        <v>591</v>
      </c>
      <c r="F56" s="25" t="str" cm="1">
        <f t="array" ref="F56">IF(NodesJSON[[#This Row],[Export?]]=0,"",IF(ROW(NodesJSON[[#This Row],[label]])&gt;ROW(NodesJSON[[#Headers],[JSON]])+1,",","") &amp;"{"&amp;twoRangesToJSON(NodesJSON[[#Headers],[label]:[url]],NodesJSON[[#This Row],[label]:[url]])&amp;"}")</f>
        <v>,{"label":"AWS IAM Principal","group":"","id":"E78EE0FA-A3E6-4C7E-A1FA-5D32463B089A","url":"https://open-measure.atlassian.net/wiki/spaces/DIC/pages/1137573936/Authorization+Externalization"}</v>
      </c>
    </row>
    <row r="57" spans="1:6" ht="13.9" thickTop="1" thickBot="1" x14ac:dyDescent="0.4">
      <c r="A57" s="38">
        <f>IF(ISERR(NodesJSON[[#This Row],[label]]),0,1)</f>
        <v>1</v>
      </c>
      <c r="B57" s="3" t="str">
        <f>NodesData[[#This Row],[Common Name]]</f>
        <v>AWS IAM Role</v>
      </c>
      <c r="C57" s="3" t="str">
        <f>IF(NodesData[[#This Row],[Context Instanciation]]="","",NodesData[[#This Row],[Context Instanciation]])</f>
        <v/>
      </c>
      <c r="D57" s="22" t="str">
        <f>NodesData[[#This Row],[Node ID]]</f>
        <v>201C69AD-FFEB-4BB5-9C8F-8A8A013D0F1C</v>
      </c>
      <c r="E57" s="10" t="s">
        <v>613</v>
      </c>
      <c r="F57" s="25" t="str" cm="1">
        <f t="array" ref="F57">IF(NodesJSON[[#This Row],[Export?]]=0,"",IF(ROW(NodesJSON[[#This Row],[label]])&gt;ROW(NodesJSON[[#Headers],[JSON]])+1,",","") &amp;"{"&amp;twoRangesToJSON(NodesJSON[[#Headers],[label]:[url]],NodesJSON[[#This Row],[label]:[url]])&amp;"}")</f>
        <v>,{"label":"AWS IAM Role","group":"","id":"201C69AD-FFEB-4BB5-9C8F-8A8A013D0F1C","url":"https://open-measure.atlassian.net/wiki/spaces/DIC/pages/797933843"}</v>
      </c>
    </row>
    <row r="58" spans="1:6" ht="13.9" thickTop="1" thickBot="1" x14ac:dyDescent="0.4">
      <c r="A58" s="38">
        <f>IF(ISERR(NodesJSON[[#This Row],[label]]),0,1)</f>
        <v>1</v>
      </c>
      <c r="B58" s="3" t="str">
        <f>NodesData[[#This Row],[Common Name]]</f>
        <v>AWS IAM Temporary Security Credentials</v>
      </c>
      <c r="C58" s="3" t="str">
        <f>IF(NodesData[[#This Row],[Context Instanciation]]="","",NodesData[[#This Row],[Context Instanciation]])</f>
        <v/>
      </c>
      <c r="D58" s="22" t="str">
        <f>NodesData[[#This Row],[Node ID]]</f>
        <v>FD548709-6B42-4503-8C15-643DF8C8EA67</v>
      </c>
      <c r="E58" s="10" t="s">
        <v>615</v>
      </c>
      <c r="F58" s="25" t="str" cm="1">
        <f t="array" ref="F58">IF(NodesJSON[[#This Row],[Export?]]=0,"",IF(ROW(NodesJSON[[#This Row],[label]])&gt;ROW(NodesJSON[[#Headers],[JSON]])+1,",","") &amp;"{"&amp;twoRangesToJSON(NodesJSON[[#Headers],[label]:[url]],NodesJSON[[#This Row],[label]:[url]])&amp;"}")</f>
        <v>,{"label":"AWS IAM Temporary Security Credentials","group":"","id":"FD548709-6B42-4503-8C15-643DF8C8EA67","url":"https://open-measure.atlassian.net/wiki/spaces/DIC/pages/1228079157"}</v>
      </c>
    </row>
    <row r="59" spans="1:6" ht="13.9" thickTop="1" thickBot="1" x14ac:dyDescent="0.4">
      <c r="A59" s="38">
        <f>IF(ISERR(NodesJSON[[#This Row],[label]]),0,1)</f>
        <v>1</v>
      </c>
      <c r="B59" s="3" t="str">
        <f>NodesData[[#This Row],[Common Name]]</f>
        <v>AWS IAM User</v>
      </c>
      <c r="C59" s="3" t="str">
        <f>IF(NodesData[[#This Row],[Context Instanciation]]="","",NodesData[[#This Row],[Context Instanciation]])</f>
        <v/>
      </c>
      <c r="D59" s="22" t="str">
        <f>NodesData[[#This Row],[Node ID]]</f>
        <v>8CFCEA6A-7EB1-4D9F-B537-1678723F481F</v>
      </c>
      <c r="E59" s="4"/>
      <c r="F59" s="25" t="str" cm="1">
        <f t="array" ref="F59">IF(NodesJSON[[#This Row],[Export?]]=0,"",IF(ROW(NodesJSON[[#This Row],[label]])&gt;ROW(NodesJSON[[#Headers],[JSON]])+1,",","") &amp;"{"&amp;twoRangesToJSON(NodesJSON[[#Headers],[label]:[url]],NodesJSON[[#This Row],[label]:[url]])&amp;"}")</f>
        <v>,{"label":"AWS IAM User","group":"","id":"8CFCEA6A-7EB1-4D9F-B537-1678723F481F","url":""}</v>
      </c>
    </row>
    <row r="60" spans="1:6" ht="13.9" thickTop="1" thickBot="1" x14ac:dyDescent="0.4">
      <c r="A60" s="38">
        <f>IF(ISERR(NodesJSON[[#This Row],[label]]),0,1)</f>
        <v>1</v>
      </c>
      <c r="B60" s="3" t="str">
        <f>NodesData[[#This Row],[Common Name]]</f>
        <v>Back-end Authentication</v>
      </c>
      <c r="C60" s="3" t="str">
        <f>IF(NodesData[[#This Row],[Context Instanciation]]="","",NodesData[[#This Row],[Context Instanciation]])</f>
        <v/>
      </c>
      <c r="D60" s="22" t="str">
        <f>NodesData[[#This Row],[Node ID]]</f>
        <v>21A4D9DF-238C-4BA7-8825-24EF16F72425</v>
      </c>
      <c r="E60" s="10" t="s">
        <v>617</v>
      </c>
      <c r="F60" s="25" t="str" cm="1">
        <f t="array" ref="F60">IF(NodesJSON[[#This Row],[Export?]]=0,"",IF(ROW(NodesJSON[[#This Row],[label]])&gt;ROW(NodesJSON[[#Headers],[JSON]])+1,",","") &amp;"{"&amp;twoRangesToJSON(NodesJSON[[#Headers],[label]:[url]],NodesJSON[[#This Row],[label]:[url]])&amp;"}")</f>
        <v>,{"label":"Back-end Authentication","group":"","id":"21A4D9DF-238C-4BA7-8825-24EF16F72425","url":"https://open-measure.atlassian.net/wiki/spaces/DIC/pages/1237549087/Bell-LaPadula+Model"}</v>
      </c>
    </row>
    <row r="61" spans="1:6" ht="13.9" thickTop="1" thickBot="1" x14ac:dyDescent="0.4">
      <c r="A61" s="38">
        <f>IF(ISERR(NodesJSON[[#This Row],[label]]),0,1)</f>
        <v>1</v>
      </c>
      <c r="B61" s="3" t="str">
        <f>NodesData[[#This Row],[Common Name]]</f>
        <v>BankID</v>
      </c>
      <c r="C61" s="3" t="str">
        <f>IF(NodesData[[#This Row],[Context Instanciation]]="","",NodesData[[#This Row],[Context Instanciation]])</f>
        <v/>
      </c>
      <c r="D61" s="22" t="str">
        <f>NodesData[[#This Row],[Node ID]]</f>
        <v>BCDD30C8-A3BF-4F54-AD8E-3430A62E3017</v>
      </c>
      <c r="E61" s="10" t="s">
        <v>616</v>
      </c>
      <c r="F61" s="25" t="str" cm="1">
        <f t="array" ref="F61">IF(NodesJSON[[#This Row],[Export?]]=0,"",IF(ROW(NodesJSON[[#This Row],[label]])&gt;ROW(NodesJSON[[#Headers],[JSON]])+1,",","") &amp;"{"&amp;twoRangesToJSON(NodesJSON[[#Headers],[label]:[url]],NodesJSON[[#This Row],[label]:[url]])&amp;"}")</f>
        <v>,{"label":"BankID","group":"","id":"BCDD30C8-A3BF-4F54-AD8E-3430A62E3017","url":"https://open-measure.atlassian.net/wiki/spaces/DIC/pages/1673527501/Behavioral+Authentication"}</v>
      </c>
    </row>
    <row r="62" spans="1:6" ht="13.9" thickTop="1" thickBot="1" x14ac:dyDescent="0.4">
      <c r="A62" s="38">
        <f>IF(ISERR(NodesJSON[[#This Row],[label]]),0,1)</f>
        <v>1</v>
      </c>
      <c r="B62" s="3" t="str">
        <f>NodesData[[#This Row],[Common Name]]</f>
        <v>Basic Z Rule</v>
      </c>
      <c r="C62" s="3" t="str">
        <f>IF(NodesData[[#This Row],[Context Instanciation]]="","",NodesData[[#This Row],[Context Instanciation]])</f>
        <v/>
      </c>
      <c r="D62" s="22" t="str">
        <f>NodesData[[#This Row],[Node ID]]</f>
        <v>2141A15F-A0C4-4D3E-91D1-644A5680A521</v>
      </c>
      <c r="E62" s="10" t="s">
        <v>619</v>
      </c>
      <c r="F62" s="25" t="str" cm="1">
        <f t="array" ref="F62">IF(NodesJSON[[#This Row],[Export?]]=0,"",IF(ROW(NodesJSON[[#This Row],[label]])&gt;ROW(NodesJSON[[#Headers],[JSON]])+1,",","") &amp;"{"&amp;twoRangesToJSON(NodesJSON[[#Headers],[label]:[url]],NodesJSON[[#This Row],[label]:[url]])&amp;"}")</f>
        <v>,{"label":"Basic Z Rule","group":"","id":"2141A15F-A0C4-4D3E-91D1-644A5680A521","url":"https://open-measure.atlassian.net/wiki/spaces/DIC/pages/409174210"}</v>
      </c>
    </row>
    <row r="63" spans="1:6" ht="13.9" thickTop="1" thickBot="1" x14ac:dyDescent="0.4">
      <c r="A63" s="38">
        <f>IF(ISERR(NodesJSON[[#This Row],[label]]),0,1)</f>
        <v>1</v>
      </c>
      <c r="B63" s="3" t="str">
        <f>NodesData[[#This Row],[Common Name]]</f>
        <v>Behavioral Authentication</v>
      </c>
      <c r="C63" s="3" t="str">
        <f>IF(NodesData[[#This Row],[Context Instanciation]]="","",NodesData[[#This Row],[Context Instanciation]])</f>
        <v/>
      </c>
      <c r="D63" s="22" t="str">
        <f>NodesData[[#This Row],[Node ID]]</f>
        <v>C5D41CF2-6C5F-4065-8F8F-4D6BEF8D734B</v>
      </c>
      <c r="E63" s="10" t="s">
        <v>621</v>
      </c>
      <c r="F63" s="25" t="str" cm="1">
        <f t="array" ref="F63">IF(NodesJSON[[#This Row],[Export?]]=0,"",IF(ROW(NodesJSON[[#This Row],[label]])&gt;ROW(NodesJSON[[#Headers],[JSON]])+1,",","") &amp;"{"&amp;twoRangesToJSON(NodesJSON[[#Headers],[label]:[url]],NodesJSON[[#This Row],[label]:[url]])&amp;"}")</f>
        <v>,{"label":"Behavioral Authentication","group":"","id":"C5D41CF2-6C5F-4065-8F8F-4D6BEF8D734B","url":"https://open-measure.atlassian.net/wiki/spaces/DIC/pages/409010581"}</v>
      </c>
    </row>
    <row r="64" spans="1:6" ht="13.9" thickTop="1" thickBot="1" x14ac:dyDescent="0.4">
      <c r="A64" s="38">
        <f>IF(ISERR(NodesJSON[[#This Row],[label]]),0,1)</f>
        <v>1</v>
      </c>
      <c r="B64" s="3" t="str">
        <f>NodesData[[#This Row],[Common Name]]</f>
        <v>Bell-LaPadula Model</v>
      </c>
      <c r="C64" s="3" t="str">
        <f>IF(NodesData[[#This Row],[Context Instanciation]]="","",NodesData[[#This Row],[Context Instanciation]])</f>
        <v/>
      </c>
      <c r="D64" s="22" t="str">
        <f>NodesData[[#This Row],[Node ID]]</f>
        <v>447FA52C-F0D2-449B-9CB8-8F0DCC4160EF</v>
      </c>
      <c r="E64" s="10" t="s">
        <v>623</v>
      </c>
      <c r="F64" s="25" t="str" cm="1">
        <f t="array" ref="F64">IF(NodesJSON[[#This Row],[Export?]]=0,"",IF(ROW(NodesJSON[[#This Row],[label]])&gt;ROW(NodesJSON[[#Headers],[JSON]])+1,",","") &amp;"{"&amp;twoRangesToJSON(NodesJSON[[#Headers],[label]:[url]],NodesJSON[[#This Row],[label]:[url]])&amp;"}")</f>
        <v>,{"label":"Bell-LaPadula Model","group":"","id":"447FA52C-F0D2-449B-9CB8-8F0DCC4160EF","url":"https://open-measure.atlassian.net/wiki/spaces/DIC/pages/1031209441"}</v>
      </c>
    </row>
    <row r="65" spans="1:6" ht="13.9" thickTop="1" thickBot="1" x14ac:dyDescent="0.4">
      <c r="A65" s="38">
        <f>IF(ISERR(NodesJSON[[#This Row],[label]]),0,1)</f>
        <v>1</v>
      </c>
      <c r="B65" s="3" t="str">
        <f>NodesData[[#This Row],[Common Name]]</f>
        <v>Best Practice</v>
      </c>
      <c r="C65" s="3" t="str">
        <f>IF(NodesData[[#This Row],[Context Instanciation]]="","",NodesData[[#This Row],[Context Instanciation]])</f>
        <v/>
      </c>
      <c r="D65" s="22" t="str">
        <f>NodesData[[#This Row],[Node ID]]</f>
        <v>F8CB91F8-4AE7-48BD-A9ED-93259ECE5511</v>
      </c>
      <c r="E65" s="10" t="s">
        <v>625</v>
      </c>
      <c r="F65" s="25" t="str" cm="1">
        <f t="array" ref="F65">IF(NodesJSON[[#This Row],[Export?]]=0,"",IF(ROW(NodesJSON[[#This Row],[label]])&gt;ROW(NodesJSON[[#Headers],[JSON]])+1,",","") &amp;"{"&amp;twoRangesToJSON(NodesJSON[[#Headers],[label]:[url]],NodesJSON[[#This Row],[label]:[url]])&amp;"}")</f>
        <v>,{"label":"Best Practice","group":"","id":"F8CB91F8-4AE7-48BD-A9ED-93259ECE5511","url":"https://open-measure.atlassian.net/wiki/spaces/DIC/pages/794492970"}</v>
      </c>
    </row>
    <row r="66" spans="1:6" ht="13.9" thickTop="1" thickBot="1" x14ac:dyDescent="0.4">
      <c r="A66" s="38">
        <f>IF(ISERR(NodesJSON[[#This Row],[label]]),0,1)</f>
        <v>1</v>
      </c>
      <c r="B66" s="3" t="str">
        <f>NodesData[[#This Row],[Common Name]]</f>
        <v>Biometric Authentication</v>
      </c>
      <c r="C66" s="3" t="str">
        <f>IF(NodesData[[#This Row],[Context Instanciation]]="","",NodesData[[#This Row],[Context Instanciation]])</f>
        <v/>
      </c>
      <c r="D66" s="22" t="str">
        <f>NodesData[[#This Row],[Node ID]]</f>
        <v>772179F1-5C79-4F83-BBC9-B0D9B62A2C38</v>
      </c>
      <c r="E66" s="10" t="s">
        <v>626</v>
      </c>
      <c r="F66" s="25" t="str" cm="1">
        <f t="array" ref="F66">IF(NodesJSON[[#This Row],[Export?]]=0,"",IF(ROW(NodesJSON[[#This Row],[label]])&gt;ROW(NodesJSON[[#Headers],[JSON]])+1,",","") &amp;"{"&amp;twoRangesToJSON(NodesJSON[[#Headers],[label]:[url]],NodesJSON[[#This Row],[label]:[url]])&amp;"}")</f>
        <v>,{"label":"Biometric Authentication","group":"","id":"772179F1-5C79-4F83-BBC9-B0D9B62A2C38","url":"https://open-measure.atlassian.net/wiki/spaces/DIC/pages/1571389777/Boundary+Control"}</v>
      </c>
    </row>
    <row r="67" spans="1:6" ht="13.9" thickTop="1" thickBot="1" x14ac:dyDescent="0.4">
      <c r="A67" s="38">
        <f>IF(ISERR(NodesJSON[[#This Row],[label]]),0,1)</f>
        <v>1</v>
      </c>
      <c r="B67" s="3" t="str">
        <f>NodesData[[#This Row],[Common Name]]</f>
        <v>Biometric Identification</v>
      </c>
      <c r="C67" s="3" t="str">
        <f>IF(NodesData[[#This Row],[Context Instanciation]]="","",NodesData[[#This Row],[Context Instanciation]])</f>
        <v/>
      </c>
      <c r="D67" s="22" t="str">
        <f>NodesData[[#This Row],[Node ID]]</f>
        <v>A2967417-72BE-4537-BE1E-39E6298F5851</v>
      </c>
      <c r="E67" s="4"/>
      <c r="F67" s="25" t="str" cm="1">
        <f t="array" ref="F67">IF(NodesJSON[[#This Row],[Export?]]=0,"",IF(ROW(NodesJSON[[#This Row],[label]])&gt;ROW(NodesJSON[[#Headers],[JSON]])+1,",","") &amp;"{"&amp;twoRangesToJSON(NodesJSON[[#Headers],[label]:[url]],NodesJSON[[#This Row],[label]:[url]])&amp;"}")</f>
        <v>,{"label":"Biometric Identification","group":"","id":"A2967417-72BE-4537-BE1E-39E6298F5851","url":""}</v>
      </c>
    </row>
    <row r="68" spans="1:6" ht="13.9" thickTop="1" thickBot="1" x14ac:dyDescent="0.4">
      <c r="A68" s="38">
        <f>IF(ISERR(NodesJSON[[#This Row],[label]]),0,1)</f>
        <v>1</v>
      </c>
      <c r="B68" s="3" t="str">
        <f>NodesData[[#This Row],[Common Name]]</f>
        <v>Biometrics</v>
      </c>
      <c r="C68" s="3" t="str">
        <f>IF(NodesData[[#This Row],[Context Instanciation]]="","",NodesData[[#This Row],[Context Instanciation]])</f>
        <v/>
      </c>
      <c r="D68" s="22" t="str">
        <f>NodesData[[#This Row],[Node ID]]</f>
        <v>1708714B-D591-4C49-BC64-A40E2EC56A62</v>
      </c>
      <c r="E68" s="10" t="s">
        <v>628</v>
      </c>
      <c r="F68" s="25" t="str" cm="1">
        <f t="array" ref="F68">IF(NodesJSON[[#This Row],[Export?]]=0,"",IF(ROW(NodesJSON[[#This Row],[label]])&gt;ROW(NodesJSON[[#Headers],[JSON]])+1,",","") &amp;"{"&amp;twoRangesToJSON(NodesJSON[[#Headers],[label]:[url]],NodesJSON[[#This Row],[label]:[url]])&amp;"}")</f>
        <v>,{"label":"Biometrics","group":"","id":"1708714B-D591-4C49-BC64-A40E2EC56A62","url":"https://open-measure.atlassian.net/wiki/spaces/DIC/pages/81101750"}</v>
      </c>
    </row>
    <row r="69" spans="1:6" ht="13.9" thickTop="1" thickBot="1" x14ac:dyDescent="0.4">
      <c r="A69" s="38">
        <f>IF(ISERR(NodesJSON[[#This Row],[label]]),0,1)</f>
        <v>1</v>
      </c>
      <c r="B69" s="3" t="str">
        <f>NodesData[[#This Row],[Common Name]]</f>
        <v>Birth Certificate</v>
      </c>
      <c r="C69" s="3" t="str">
        <f>IF(NodesData[[#This Row],[Context Instanciation]]="","",NodesData[[#This Row],[Context Instanciation]])</f>
        <v/>
      </c>
      <c r="D69" s="22" t="str">
        <f>NodesData[[#This Row],[Node ID]]</f>
        <v>5C136530-C216-448D-BD43-D3CDEE503802</v>
      </c>
      <c r="E69" s="10" t="s">
        <v>629</v>
      </c>
      <c r="F69" s="25" t="str" cm="1">
        <f t="array" ref="F69">IF(NodesJSON[[#This Row],[Export?]]=0,"",IF(ROW(NodesJSON[[#This Row],[label]])&gt;ROW(NodesJSON[[#Headers],[JSON]])+1,",","") &amp;"{"&amp;twoRangesToJSON(NodesJSON[[#Headers],[label]:[url]],NodesJSON[[#This Row],[label]:[url]])&amp;"}")</f>
        <v>,{"label":"Birth Certificate","group":"","id":"5C136530-C216-448D-BD43-D3CDEE503802","url":"https://open-measure.atlassian.net/wiki/spaces/DIC/pages/1348763687/Brute+Force+Attack"}</v>
      </c>
    </row>
    <row r="70" spans="1:6" ht="13.9" thickTop="1" thickBot="1" x14ac:dyDescent="0.4">
      <c r="A70" s="38">
        <f>IF(ISERR(NodesJSON[[#This Row],[label]]),0,1)</f>
        <v>1</v>
      </c>
      <c r="B70" s="3" t="str">
        <f>NodesData[[#This Row],[Common Name]]</f>
        <v>Blast Radius</v>
      </c>
      <c r="C70" s="3" t="str">
        <f>IF(NodesData[[#This Row],[Context Instanciation]]="","",NodesData[[#This Row],[Context Instanciation]])</f>
        <v/>
      </c>
      <c r="D70" s="22" t="str">
        <f>NodesData[[#This Row],[Node ID]]</f>
        <v>13D6FA84-5FE3-442D-B9DF-224BD3E365DA</v>
      </c>
      <c r="E70" s="10" t="s">
        <v>631</v>
      </c>
      <c r="F70" s="25" t="str" cm="1">
        <f t="array" ref="F70">IF(NodesJSON[[#This Row],[Export?]]=0,"",IF(ROW(NodesJSON[[#This Row],[label]])&gt;ROW(NodesJSON[[#Headers],[JSON]])+1,",","") &amp;"{"&amp;twoRangesToJSON(NodesJSON[[#Headers],[label]:[url]],NodesJSON[[#This Row],[label]:[url]])&amp;"}")</f>
        <v>,{"label":"Blast Radius","group":"","id":"13D6FA84-5FE3-442D-B9DF-224BD3E365DA","url":"https://open-measure.atlassian.net/wiki/spaces/DIC/pages/140772106"}</v>
      </c>
    </row>
    <row r="71" spans="1:6" ht="13.9" thickTop="1" thickBot="1" x14ac:dyDescent="0.4">
      <c r="A71" s="38">
        <f>IF(ISERR(NodesJSON[[#This Row],[label]]),0,1)</f>
        <v>1</v>
      </c>
      <c r="B71" s="3" t="str">
        <f>NodesData[[#This Row],[Common Name]]</f>
        <v>Boundary Control</v>
      </c>
      <c r="C71" s="3" t="str">
        <f>IF(NodesData[[#This Row],[Context Instanciation]]="","",NodesData[[#This Row],[Context Instanciation]])</f>
        <v/>
      </c>
      <c r="D71" s="22" t="str">
        <f>NodesData[[#This Row],[Node ID]]</f>
        <v>47316C02-A4EB-4832-B925-1D094DE618CA</v>
      </c>
      <c r="E71" s="10" t="s">
        <v>632</v>
      </c>
      <c r="F71" s="25" t="str" cm="1">
        <f t="array" ref="F71">IF(NodesJSON[[#This Row],[Export?]]=0,"",IF(ROW(NodesJSON[[#This Row],[label]])&gt;ROW(NodesJSON[[#Headers],[JSON]])+1,",","") &amp;"{"&amp;twoRangesToJSON(NodesJSON[[#Headers],[label]:[url]],NodesJSON[[#This Row],[label]:[url]])&amp;"}")</f>
        <v>,{"label":"Boundary Control","group":"","id":"47316C02-A4EB-4832-B925-1D094DE618CA","url":"https://open-measure.atlassian.net/wiki/spaces/DIC/pages/1228079170/BZR"}</v>
      </c>
    </row>
    <row r="72" spans="1:6" ht="13.9" thickTop="1" thickBot="1" x14ac:dyDescent="0.4">
      <c r="A72" s="38">
        <f>IF(ISERR(NodesJSON[[#This Row],[label]]),0,1)</f>
        <v>1</v>
      </c>
      <c r="B72" s="3" t="str">
        <f>NodesData[[#This Row],[Common Name]]</f>
        <v>Brainwaves Authentication</v>
      </c>
      <c r="C72" s="3" t="str">
        <f>IF(NodesData[[#This Row],[Context Instanciation]]="","",NodesData[[#This Row],[Context Instanciation]])</f>
        <v/>
      </c>
      <c r="D72" s="22" t="str">
        <f>NodesData[[#This Row],[Node ID]]</f>
        <v>566E708D-FD51-436E-9E4D-051F1F485979</v>
      </c>
      <c r="E72" s="10" t="s">
        <v>633</v>
      </c>
      <c r="F72" s="25" t="str" cm="1">
        <f t="array" ref="F72">IF(NodesJSON[[#This Row],[Export?]]=0,"",IF(ROW(NodesJSON[[#This Row],[label]])&gt;ROW(NodesJSON[[#Headers],[JSON]])+1,",","") &amp;"{"&amp;twoRangesToJSON(NodesJSON[[#Headers],[label]:[url]],NodesJSON[[#This Row],[label]:[url]])&amp;"}")</f>
        <v>,{"label":"Brainwaves Authentication","group":"","id":"566E708D-FD51-436E-9E4D-051F1F485979","url":"https://open-measure.atlassian.net/wiki/spaces/DIC/pages/1254588417/Cached+Credential"}</v>
      </c>
    </row>
    <row r="73" spans="1:6" ht="13.9" thickTop="1" thickBot="1" x14ac:dyDescent="0.4">
      <c r="A73" s="38">
        <f>IF(ISERR(NodesJSON[[#This Row],[label]]),0,1)</f>
        <v>1</v>
      </c>
      <c r="B73" s="3" t="str">
        <f>NodesData[[#This Row],[Common Name]]</f>
        <v>Broker</v>
      </c>
      <c r="C73" s="3" t="str">
        <f>IF(NodesData[[#This Row],[Context Instanciation]]="","",NodesData[[#This Row],[Context Instanciation]])</f>
        <v/>
      </c>
      <c r="D73" s="22" t="str">
        <f>NodesData[[#This Row],[Node ID]]</f>
        <v>01D4A4E5-1A5A-44FF-932C-3A234AD19355</v>
      </c>
      <c r="E73" s="10" t="s">
        <v>634</v>
      </c>
      <c r="F73" s="25" t="str" cm="1">
        <f t="array" ref="F73">IF(NodesJSON[[#This Row],[Export?]]=0,"",IF(ROW(NodesJSON[[#This Row],[label]])&gt;ROW(NodesJSON[[#Headers],[JSON]])+1,",","") &amp;"{"&amp;twoRangesToJSON(NodesJSON[[#Headers],[label]:[url]],NodesJSON[[#This Row],[label]:[url]])&amp;"}")</f>
        <v>,{"label":"Broker","group":"","id":"01D4A4E5-1A5A-44FF-932C-3A234AD19355","url":"https://open-measure.atlassian.net/wiki/spaces/DIC/pages/442466346/CDD"}</v>
      </c>
    </row>
    <row r="74" spans="1:6" ht="13.9" thickTop="1" thickBot="1" x14ac:dyDescent="0.4">
      <c r="A74" s="38">
        <f>IF(ISERR(NodesJSON[[#This Row],[label]]),0,1)</f>
        <v>1</v>
      </c>
      <c r="B74" s="3" t="str">
        <f>NodesData[[#This Row],[Common Name]]</f>
        <v>Brute Force Attack</v>
      </c>
      <c r="C74" s="3" t="str">
        <f>IF(NodesData[[#This Row],[Context Instanciation]]="","",NodesData[[#This Row],[Context Instanciation]])</f>
        <v/>
      </c>
      <c r="D74" s="22" t="str">
        <f>NodesData[[#This Row],[Node ID]]</f>
        <v>6408D202-5D49-43C4-8791-73A68286CDC9</v>
      </c>
      <c r="E74" s="10" t="s">
        <v>636</v>
      </c>
      <c r="F74" s="25" t="str" cm="1">
        <f t="array" ref="F74">IF(NodesJSON[[#This Row],[Export?]]=0,"",IF(ROW(NodesJSON[[#This Row],[label]])&gt;ROW(NodesJSON[[#Headers],[JSON]])+1,",","") &amp;"{"&amp;twoRangesToJSON(NodesJSON[[#Headers],[label]:[url]],NodesJSON[[#This Row],[label]:[url]])&amp;"}")</f>
        <v>,{"label":"Brute Force Attack","group":"","id":"6408D202-5D49-43C4-8791-73A68286CDC9","url":"https://open-measure.atlassian.net/wiki/spaces/DIC/pages/1152483641"}</v>
      </c>
    </row>
    <row r="75" spans="1:6" ht="13.9" thickTop="1" thickBot="1" x14ac:dyDescent="0.4">
      <c r="A75" s="38">
        <f>IF(ISERR(NodesJSON[[#This Row],[label]]),0,1)</f>
        <v>1</v>
      </c>
      <c r="B75" s="3" t="str">
        <f>NodesData[[#This Row],[Common Name]]</f>
        <v>Built-in</v>
      </c>
      <c r="C75" s="3" t="str">
        <f>IF(NodesData[[#This Row],[Context Instanciation]]="","",NodesData[[#This Row],[Context Instanciation]])</f>
        <v/>
      </c>
      <c r="D75" s="22" t="str">
        <f>NodesData[[#This Row],[Node ID]]</f>
        <v>12F7D586-DF55-411A-A2D1-3FF419D7892E</v>
      </c>
      <c r="E75" s="4"/>
      <c r="F75" s="25" t="str" cm="1">
        <f t="array" ref="F75">IF(NodesJSON[[#This Row],[Export?]]=0,"",IF(ROW(NodesJSON[[#This Row],[label]])&gt;ROW(NodesJSON[[#Headers],[JSON]])+1,",","") &amp;"{"&amp;twoRangesToJSON(NodesJSON[[#Headers],[label]:[url]],NodesJSON[[#This Row],[label]:[url]])&amp;"}")</f>
        <v>,{"label":"Built-in","group":"","id":"12F7D586-DF55-411A-A2D1-3FF419D7892E","url":""}</v>
      </c>
    </row>
    <row r="76" spans="1:6" ht="13.9" thickTop="1" thickBot="1" x14ac:dyDescent="0.4">
      <c r="A76" s="38">
        <f>IF(ISERR(NodesJSON[[#This Row],[label]]),0,1)</f>
        <v>1</v>
      </c>
      <c r="B76" s="3" t="str">
        <f>NodesData[[#This Row],[Common Name]]</f>
        <v>BZR</v>
      </c>
      <c r="C76" s="3" t="str">
        <f>IF(NodesData[[#This Row],[Context Instanciation]]="","",NodesData[[#This Row],[Context Instanciation]])</f>
        <v/>
      </c>
      <c r="D76" s="22" t="str">
        <f>NodesData[[#This Row],[Node ID]]</f>
        <v>2E29B474-6EA5-4C50-B128-59B4A0262EA2</v>
      </c>
      <c r="E76" s="10" t="s">
        <v>638</v>
      </c>
      <c r="F76" s="25" t="str" cm="1">
        <f t="array" ref="F76">IF(NodesJSON[[#This Row],[Export?]]=0,"",IF(ROW(NodesJSON[[#This Row],[label]])&gt;ROW(NodesJSON[[#Headers],[JSON]])+1,",","") &amp;"{"&amp;twoRangesToJSON(NodesJSON[[#Headers],[label]:[url]],NodesJSON[[#This Row],[label]:[url]])&amp;"}")</f>
        <v>,{"label":"BZR","group":"","id":"2E29B474-6EA5-4C50-B128-59B4A0262EA2","url":"https://open-measure.atlassian.net/wiki/spaces/DIC/pages/823459864"}</v>
      </c>
    </row>
    <row r="77" spans="1:6" ht="13.9" thickTop="1" thickBot="1" x14ac:dyDescent="0.4">
      <c r="A77" s="38">
        <f>IF(ISERR(NodesJSON[[#This Row],[label]]),0,1)</f>
        <v>1</v>
      </c>
      <c r="B77" s="3" t="str">
        <f>NodesData[[#This Row],[Common Name]]</f>
        <v>Cached Credential</v>
      </c>
      <c r="C77" s="3" t="str">
        <f>IF(NodesData[[#This Row],[Context Instanciation]]="","",NodesData[[#This Row],[Context Instanciation]])</f>
        <v/>
      </c>
      <c r="D77" s="22" t="str">
        <f>NodesData[[#This Row],[Node ID]]</f>
        <v>74413B1E-5653-42E3-8B45-6C7C60323C71</v>
      </c>
      <c r="E77" s="10" t="s">
        <v>639</v>
      </c>
      <c r="F77" s="25" t="str" cm="1">
        <f t="array" ref="F77">IF(NodesJSON[[#This Row],[Export?]]=0,"",IF(ROW(NodesJSON[[#This Row],[label]])&gt;ROW(NodesJSON[[#Headers],[JSON]])+1,",","") &amp;"{"&amp;twoRangesToJSON(NodesJSON[[#Headers],[label]:[url]],NodesJSON[[#This Row],[label]:[url]])&amp;"}")</f>
        <v>,{"label":"Cached Credential","group":"","id":"74413B1E-5653-42E3-8B45-6C7C60323C71","url":"https://open-measure.atlassian.net/wiki/spaces/DIC/pages/1290076214/CIBA"}</v>
      </c>
    </row>
    <row r="78" spans="1:6" ht="13.9" thickTop="1" thickBot="1" x14ac:dyDescent="0.4">
      <c r="A78" s="38">
        <f>IF(ISERR(NodesJSON[[#This Row],[label]]),0,1)</f>
        <v>1</v>
      </c>
      <c r="B78" s="3" t="str">
        <f>NodesData[[#This Row],[Common Name]]</f>
        <v>Capability to store information</v>
      </c>
      <c r="C78" s="3" t="str">
        <f>IF(NodesData[[#This Row],[Context Instanciation]]="","",NodesData[[#This Row],[Context Instanciation]])</f>
        <v/>
      </c>
      <c r="D78" s="22" t="str">
        <f>NodesData[[#This Row],[Node ID]]</f>
        <v>F6A0BA1D-4EAD-44AE-BB90-AAFC98899178</v>
      </c>
      <c r="E78" s="10" t="s">
        <v>640</v>
      </c>
      <c r="F78" s="25" t="str" cm="1">
        <f t="array" ref="F78">IF(NodesJSON[[#This Row],[Export?]]=0,"",IF(ROW(NodesJSON[[#This Row],[label]])&gt;ROW(NodesJSON[[#Headers],[JSON]])+1,",","") &amp;"{"&amp;twoRangesToJSON(NodesJSON[[#Headers],[label]:[url]],NodesJSON[[#This Row],[label]:[url]])&amp;"}")</f>
        <v>,{"label":"Capability to store information","group":"","id":"F6A0BA1D-4EAD-44AE-BB90-AAFC98899178","url":"https://open-measure.atlassian.net/wiki/spaces/DIC/pages/1323499650/Claim"}</v>
      </c>
    </row>
    <row r="79" spans="1:6" ht="13.9" thickTop="1" thickBot="1" x14ac:dyDescent="0.4">
      <c r="A79" s="38">
        <f>IF(ISERR(NodesJSON[[#This Row],[label]]),0,1)</f>
        <v>1</v>
      </c>
      <c r="B79" s="3" t="str">
        <f>NodesData[[#This Row],[Common Name]]</f>
        <v>Capability to transform information</v>
      </c>
      <c r="C79" s="3" t="str">
        <f>IF(NodesData[[#This Row],[Context Instanciation]]="","",NodesData[[#This Row],[Context Instanciation]])</f>
        <v/>
      </c>
      <c r="D79" s="22" t="str">
        <f>NodesData[[#This Row],[Node ID]]</f>
        <v>AFFF4DF7-5DE7-4EC2-B059-59963A26A6BD</v>
      </c>
      <c r="E79" s="10" t="s">
        <v>641</v>
      </c>
      <c r="F79" s="25" t="str" cm="1">
        <f t="array" ref="F79">IF(NodesJSON[[#This Row],[Export?]]=0,"",IF(ROW(NodesJSON[[#This Row],[label]])&gt;ROW(NodesJSON[[#Headers],[JSON]])+1,",","") &amp;"{"&amp;twoRangesToJSON(NodesJSON[[#Headers],[label]:[url]],NodesJSON[[#This Row],[label]:[url]])&amp;"}")</f>
        <v>,{"label":"Capability to transform information","group":"","id":"AFFF4DF7-5DE7-4EC2-B059-59963A26A6BD","url":"https://open-measure.atlassian.net/wiki/spaces/DIC/pages/1309605928/Claim+Registry+Model"}</v>
      </c>
    </row>
    <row r="80" spans="1:6" ht="13.9" thickTop="1" thickBot="1" x14ac:dyDescent="0.4">
      <c r="A80" s="38">
        <f>IF(ISERR(NodesJSON[[#This Row],[label]]),0,1)</f>
        <v>1</v>
      </c>
      <c r="B80" s="3" t="str">
        <f>NodesData[[#This Row],[Common Name]]</f>
        <v>Capability to transmit information</v>
      </c>
      <c r="C80" s="3" t="str">
        <f>IF(NodesData[[#This Row],[Context Instanciation]]="","",NodesData[[#This Row],[Context Instanciation]])</f>
        <v/>
      </c>
      <c r="D80" s="22" t="str">
        <f>NodesData[[#This Row],[Node ID]]</f>
        <v>4414B2C4-B1F0-4BE8-A1D2-264AE3500755</v>
      </c>
      <c r="E80" s="10" t="s">
        <v>643</v>
      </c>
      <c r="F80" s="25" t="str" cm="1">
        <f t="array" ref="F80">IF(NodesJSON[[#This Row],[Export?]]=0,"",IF(ROW(NodesJSON[[#This Row],[label]])&gt;ROW(NodesJSON[[#Headers],[JSON]])+1,",","") &amp;"{"&amp;twoRangesToJSON(NodesJSON[[#Headers],[label]:[url]],NodesJSON[[#This Row],[label]:[url]])&amp;"}")</f>
        <v>,{"label":"Capability to transmit information","group":"","id":"4414B2C4-B1F0-4BE8-A1D2-264AE3500755","url":"https://open-measure.atlassian.net/wiki/spaces/DIC/pages/848363630"}</v>
      </c>
    </row>
    <row r="81" spans="1:6" ht="13.9" thickTop="1" thickBot="1" x14ac:dyDescent="0.4">
      <c r="A81" s="38">
        <f>IF(ISERR(NodesJSON[[#This Row],[label]]),0,1)</f>
        <v>1</v>
      </c>
      <c r="B81" s="3" t="str">
        <f>NodesData[[#This Row],[Common Name]]</f>
        <v>Capabilty to collect information</v>
      </c>
      <c r="C81" s="3" t="str">
        <f>IF(NodesData[[#This Row],[Context Instanciation]]="","",NodesData[[#This Row],[Context Instanciation]])</f>
        <v/>
      </c>
      <c r="D81" s="22" t="str">
        <f>NodesData[[#This Row],[Node ID]]</f>
        <v>CBC6B9A3-AA38-40D4-865C-53E8DB7037F3</v>
      </c>
      <c r="E81" s="10" t="s">
        <v>645</v>
      </c>
      <c r="F81" s="25" t="str" cm="1">
        <f t="array" ref="F81">IF(NodesJSON[[#This Row],[Export?]]=0,"",IF(ROW(NodesJSON[[#This Row],[label]])&gt;ROW(NodesJSON[[#Headers],[JSON]])+1,",","") &amp;"{"&amp;twoRangesToJSON(NodesJSON[[#Headers],[label]:[url]],NodesJSON[[#This Row],[label]:[url]])&amp;"}")</f>
        <v>,{"label":"Capabilty to collect information","group":"","id":"CBC6B9A3-AA38-40D4-865C-53E8DB7037F3","url":"https://open-measure.atlassian.net/wiki/spaces/DIC/pages/140771387"}</v>
      </c>
    </row>
    <row r="82" spans="1:6" ht="13.9" thickTop="1" thickBot="1" x14ac:dyDescent="0.4">
      <c r="A82" s="38">
        <f>IF(ISERR(NodesJSON[[#This Row],[label]]),0,1)</f>
        <v>1</v>
      </c>
      <c r="B82" s="3" t="str">
        <f>NodesData[[#This Row],[Common Name]]</f>
        <v>Causing Reputation Harm</v>
      </c>
      <c r="C82" s="3" t="str">
        <f>IF(NodesData[[#This Row],[Context Instanciation]]="","",NodesData[[#This Row],[Context Instanciation]])</f>
        <v/>
      </c>
      <c r="D82" s="22" t="str">
        <f>NodesData[[#This Row],[Node ID]]</f>
        <v>972F900D-A7B8-411F-BF29-19B9F2169285</v>
      </c>
      <c r="E82" s="4"/>
      <c r="F82" s="25" t="str" cm="1">
        <f t="array" ref="F82">IF(NodesJSON[[#This Row],[Export?]]=0,"",IF(ROW(NodesJSON[[#This Row],[label]])&gt;ROW(NodesJSON[[#Headers],[JSON]])+1,",","") &amp;"{"&amp;twoRangesToJSON(NodesJSON[[#Headers],[label]:[url]],NodesJSON[[#This Row],[label]:[url]])&amp;"}")</f>
        <v>,{"label":"Causing Reputation Harm","group":"","id":"972F900D-A7B8-411F-BF29-19B9F2169285","url":""}</v>
      </c>
    </row>
    <row r="83" spans="1:6" ht="13.9" thickTop="1" thickBot="1" x14ac:dyDescent="0.4">
      <c r="A83" s="38">
        <f>IF(ISERR(NodesJSON[[#This Row],[label]]),0,1)</f>
        <v>1</v>
      </c>
      <c r="B83" s="3" t="str">
        <f>NodesData[[#This Row],[Common Name]]</f>
        <v>CDD</v>
      </c>
      <c r="C83" s="3" t="str">
        <f>IF(NodesData[[#This Row],[Context Instanciation]]="","",NodesData[[#This Row],[Context Instanciation]])</f>
        <v/>
      </c>
      <c r="D83" s="22" t="str">
        <f>NodesData[[#This Row],[Node ID]]</f>
        <v>60D564E5-DB50-4AE3-8752-13879D65CBF3</v>
      </c>
      <c r="E83" s="10" t="s">
        <v>648</v>
      </c>
      <c r="F83" s="25" t="str" cm="1">
        <f t="array" ref="F83">IF(NodesJSON[[#This Row],[Export?]]=0,"",IF(ROW(NodesJSON[[#This Row],[label]])&gt;ROW(NodesJSON[[#Headers],[JSON]])+1,",","") &amp;"{"&amp;twoRangesToJSON(NodesJSON[[#Headers],[label]:[url]],NodesJSON[[#This Row],[label]:[url]])&amp;"}")</f>
        <v>,{"label":"CDD","group":"","id":"60D564E5-DB50-4AE3-8752-13879D65CBF3","url":"https://open-measure.atlassian.net/wiki/spaces/DIC/pages/1152516136"}</v>
      </c>
    </row>
    <row r="84" spans="1:6" ht="13.9" thickTop="1" thickBot="1" x14ac:dyDescent="0.4">
      <c r="A84" s="38">
        <f>IF(ISERR(NodesJSON[[#This Row],[label]]),0,1)</f>
        <v>1</v>
      </c>
      <c r="B84" s="3" t="str">
        <f>NodesData[[#This Row],[Common Name]]</f>
        <v>Centralized Identity Management System</v>
      </c>
      <c r="C84" s="3" t="str">
        <f>IF(NodesData[[#This Row],[Context Instanciation]]="","",NodesData[[#This Row],[Context Instanciation]])</f>
        <v/>
      </c>
      <c r="D84" s="22" t="str">
        <f>NodesData[[#This Row],[Node ID]]</f>
        <v>F516AA46-E0EB-45B4-A104-A3976665B25E</v>
      </c>
      <c r="E84" s="10" t="s">
        <v>650</v>
      </c>
      <c r="F84" s="25" t="str" cm="1">
        <f t="array" ref="F84">IF(NodesJSON[[#This Row],[Export?]]=0,"",IF(ROW(NodesJSON[[#This Row],[label]])&gt;ROW(NodesJSON[[#Headers],[JSON]])+1,",","") &amp;"{"&amp;twoRangesToJSON(NodesJSON[[#Headers],[label]:[url]],NodesJSON[[#This Row],[label]:[url]])&amp;"}")</f>
        <v>,{"label":"Centralized Identity Management System","group":"","id":"F516AA46-E0EB-45B4-A104-A3976665B25E","url":"https://open-measure.atlassian.net/wiki/spaces/DIC/pages/1152516118"}</v>
      </c>
    </row>
    <row r="85" spans="1:6" ht="13.9" thickTop="1" thickBot="1" x14ac:dyDescent="0.4">
      <c r="A85" s="38">
        <f>IF(ISERR(NodesJSON[[#This Row],[label]]),0,1)</f>
        <v>1</v>
      </c>
      <c r="B85" s="3" t="str">
        <f>NodesData[[#This Row],[Common Name]]</f>
        <v>Certificate-based Authentication</v>
      </c>
      <c r="C85" s="3" t="str">
        <f>IF(NodesData[[#This Row],[Context Instanciation]]="","",NodesData[[#This Row],[Context Instanciation]])</f>
        <v/>
      </c>
      <c r="D85" s="22" t="str">
        <f>NodesData[[#This Row],[Node ID]]</f>
        <v>3B65B580-6075-433D-8561-B387A409BD56</v>
      </c>
      <c r="E85" s="10" t="s">
        <v>652</v>
      </c>
      <c r="F85" s="25" t="str" cm="1">
        <f t="array" ref="F85">IF(NodesJSON[[#This Row],[Export?]]=0,"",IF(ROW(NodesJSON[[#This Row],[label]])&gt;ROW(NodesJSON[[#Headers],[JSON]])+1,",","") &amp;"{"&amp;twoRangesToJSON(NodesJSON[[#Headers],[label]:[url]],NodesJSON[[#This Row],[label]:[url]])&amp;"}")</f>
        <v>,{"label":"Certificate-based Authentication","group":"","id":"3B65B580-6075-433D-8561-B387A409BD56","url":"https://open-measure.atlassian.net/wiki/spaces/DIC/pages/1147043959"}</v>
      </c>
    </row>
    <row r="86" spans="1:6" ht="13.9" thickTop="1" thickBot="1" x14ac:dyDescent="0.4">
      <c r="A86" s="38">
        <f>IF(ISERR(NodesJSON[[#This Row],[label]]),0,1)</f>
        <v>1</v>
      </c>
      <c r="B86" s="3" t="str">
        <f>NodesData[[#This Row],[Common Name]]</f>
        <v>Certification</v>
      </c>
      <c r="C86" s="3" t="str">
        <f>IF(NodesData[[#This Row],[Context Instanciation]]="","",NodesData[[#This Row],[Context Instanciation]])</f>
        <v/>
      </c>
      <c r="D86" s="22" t="str">
        <f>NodesData[[#This Row],[Node ID]]</f>
        <v>CE9CD80B-6E8D-43D3-A3D3-95067D578415</v>
      </c>
      <c r="E86" s="10" t="s">
        <v>654</v>
      </c>
      <c r="F86" s="25" t="str" cm="1">
        <f t="array" ref="F86">IF(NodesJSON[[#This Row],[Export?]]=0,"",IF(ROW(NodesJSON[[#This Row],[label]])&gt;ROW(NodesJSON[[#Headers],[JSON]])+1,",","") &amp;"{"&amp;twoRangesToJSON(NodesJSON[[#Headers],[label]:[url]],NodesJSON[[#This Row],[label]:[url]])&amp;"}")</f>
        <v>,{"label":"Certification","group":"","id":"CE9CD80B-6E8D-43D3-A3D3-95067D578415","url":"https://open-measure.atlassian.net/wiki/spaces/DIC/pages/206307528"}</v>
      </c>
    </row>
    <row r="87" spans="1:6" ht="13.9" thickTop="1" thickBot="1" x14ac:dyDescent="0.4">
      <c r="A87" s="38">
        <f>IF(ISERR(NodesJSON[[#This Row],[label]]),0,1)</f>
        <v>1</v>
      </c>
      <c r="B87" s="3" t="str">
        <f>NodesData[[#This Row],[Common Name]]</f>
        <v>CIBA</v>
      </c>
      <c r="C87" s="3" t="str">
        <f>IF(NodesData[[#This Row],[Context Instanciation]]="","",NodesData[[#This Row],[Context Instanciation]])</f>
        <v/>
      </c>
      <c r="D87" s="22" t="str">
        <f>NodesData[[#This Row],[Node ID]]</f>
        <v>5CBC2CC4-509C-48D2-B770-68230D252ACC</v>
      </c>
      <c r="E87" s="10" t="s">
        <v>655</v>
      </c>
      <c r="F87" s="25" t="str" cm="1">
        <f t="array" ref="F87">IF(NodesJSON[[#This Row],[Export?]]=0,"",IF(ROW(NodesJSON[[#This Row],[label]])&gt;ROW(NodesJSON[[#Headers],[JSON]])+1,",","") &amp;"{"&amp;twoRangesToJSON(NodesJSON[[#Headers],[label]:[url]],NodesJSON[[#This Row],[label]:[url]])&amp;"}")</f>
        <v>,{"label":"CIBA","group":"","id":"5CBC2CC4-509C-48D2-B770-68230D252ACC","url":"https://open-measure.atlassian.net/wiki/spaces/DIC/pages/206766142/Cloud+Service+User"}</v>
      </c>
    </row>
    <row r="88" spans="1:6" ht="13.9" thickTop="1" thickBot="1" x14ac:dyDescent="0.4">
      <c r="A88" s="38">
        <f>IF(ISERR(NodesJSON[[#This Row],[label]]),0,1)</f>
        <v>1</v>
      </c>
      <c r="B88" s="3" t="str">
        <f>NodesData[[#This Row],[Common Name]]</f>
        <v>Claim</v>
      </c>
      <c r="C88" s="3" t="str">
        <f>IF(NodesData[[#This Row],[Context Instanciation]]="","",NodesData[[#This Row],[Context Instanciation]])</f>
        <v/>
      </c>
      <c r="D88" s="22" t="str">
        <f>NodesData[[#This Row],[Node ID]]</f>
        <v>19FCF28F-8FBB-4982-B245-3560F769CB31</v>
      </c>
      <c r="E88" s="10" t="s">
        <v>657</v>
      </c>
      <c r="F88" s="25" t="str" cm="1">
        <f t="array" ref="F88">IF(NodesJSON[[#This Row],[Export?]]=0,"",IF(ROW(NodesJSON[[#This Row],[label]])&gt;ROW(NodesJSON[[#Headers],[JSON]])+1,",","") &amp;"{"&amp;twoRangesToJSON(NodesJSON[[#Headers],[label]:[url]],NodesJSON[[#This Row],[label]:[url]])&amp;"}")</f>
        <v>,{"label":"Claim","group":"","id":"19FCF28F-8FBB-4982-B245-3560F769CB31","url":"https://open-measure.atlassian.net/wiki/spaces/DIC/pages/998277125"}</v>
      </c>
    </row>
    <row r="89" spans="1:6" ht="13.9" thickTop="1" thickBot="1" x14ac:dyDescent="0.4">
      <c r="A89" s="38">
        <f>IF(ISERR(NodesJSON[[#This Row],[label]]),0,1)</f>
        <v>1</v>
      </c>
      <c r="B89" s="3" t="str">
        <f>NodesData[[#This Row],[Common Name]]</f>
        <v>Claim Registry Model</v>
      </c>
      <c r="C89" s="3" t="str">
        <f>IF(NodesData[[#This Row],[Context Instanciation]]="","",NodesData[[#This Row],[Context Instanciation]])</f>
        <v/>
      </c>
      <c r="D89" s="22" t="str">
        <f>NodesData[[#This Row],[Node ID]]</f>
        <v>80DE07EC-7DCC-43D9-BCCD-B4EDBC295A74</v>
      </c>
      <c r="E89" s="10" t="s">
        <v>659</v>
      </c>
      <c r="F89" s="25" t="str" cm="1">
        <f t="array" ref="F89">IF(NodesJSON[[#This Row],[Export?]]=0,"",IF(ROW(NodesJSON[[#This Row],[label]])&gt;ROW(NodesJSON[[#Headers],[JSON]])+1,",","") &amp;"{"&amp;twoRangesToJSON(NodesJSON[[#Headers],[label]:[url]],NodesJSON[[#This Row],[label]:[url]])&amp;"}")</f>
        <v>,{"label":"Claim Registry Model","group":"","id":"80DE07EC-7DCC-43D9-BCCD-B4EDBC295A74","url":"https://open-measure.atlassian.net/wiki/spaces/DIC/pages/461307985"}</v>
      </c>
    </row>
    <row r="90" spans="1:6" ht="13.9" thickTop="1" thickBot="1" x14ac:dyDescent="0.4">
      <c r="A90" s="38">
        <f>IF(ISERR(NodesJSON[[#This Row],[label]]),0,1)</f>
        <v>1</v>
      </c>
      <c r="B90" s="3" t="str">
        <f>NodesData[[#This Row],[Common Name]]</f>
        <v>Claimant</v>
      </c>
      <c r="C90" s="3" t="str">
        <f>IF(NodesData[[#This Row],[Context Instanciation]]="","",NodesData[[#This Row],[Context Instanciation]])</f>
        <v/>
      </c>
      <c r="D90" s="22" t="str">
        <f>NodesData[[#This Row],[Node ID]]</f>
        <v>AC35FF28-B8CA-48F9-9504-5FC6F3FE32BF</v>
      </c>
      <c r="E90" s="10" t="s">
        <v>661</v>
      </c>
      <c r="F90" s="25" t="str" cm="1">
        <f t="array" ref="F90">IF(NodesJSON[[#This Row],[Export?]]=0,"",IF(ROW(NodesJSON[[#This Row],[label]])&gt;ROW(NodesJSON[[#Headers],[JSON]])+1,",","") &amp;"{"&amp;twoRangesToJSON(NodesJSON[[#Headers],[label]:[url]],NodesJSON[[#This Row],[label]:[url]])&amp;"}")</f>
        <v>,{"label":"Claimant","group":"","id":"AC35FF28-B8CA-48F9-9504-5FC6F3FE32BF","url":"https://open-measure.atlassian.net/wiki/spaces/DIC/pages/974454827"}</v>
      </c>
    </row>
    <row r="91" spans="1:6" ht="13.9" thickTop="1" thickBot="1" x14ac:dyDescent="0.4">
      <c r="A91" s="38">
        <f>IF(ISERR(NodesJSON[[#This Row],[label]]),0,1)</f>
        <v>1</v>
      </c>
      <c r="B91" s="3" t="str">
        <f>NodesData[[#This Row],[Common Name]]</f>
        <v>Classification</v>
      </c>
      <c r="C91" s="3" t="str">
        <f>IF(NodesData[[#This Row],[Context Instanciation]]="","",NodesData[[#This Row],[Context Instanciation]])</f>
        <v/>
      </c>
      <c r="D91" s="22" t="str">
        <f>NodesData[[#This Row],[Node ID]]</f>
        <v>BDAFF511-D4B1-45B0-8ADC-25E77A34A642</v>
      </c>
      <c r="E91" s="10" t="s">
        <v>646</v>
      </c>
      <c r="F91" s="25" t="str" cm="1">
        <f t="array" ref="F91">IF(NodesJSON[[#This Row],[Export?]]=0,"",IF(ROW(NodesJSON[[#This Row],[label]])&gt;ROW(NodesJSON[[#Headers],[JSON]])+1,",","") &amp;"{"&amp;twoRangesToJSON(NodesJSON[[#Headers],[label]:[url]],NodesJSON[[#This Row],[label]:[url]])&amp;"}")</f>
        <v>,{"label":"Classification","group":"","id":"BDAFF511-D4B1-45B0-8ADC-25E77A34A642","url":"https://open-measure.atlassian.net/wiki/spaces/DIC/pages/1290076229/Client+Initiated+Backchannel+Authentication"}</v>
      </c>
    </row>
    <row r="92" spans="1:6" ht="13.9" thickTop="1" thickBot="1" x14ac:dyDescent="0.4">
      <c r="A92" s="38">
        <f>IF(ISERR(NodesJSON[[#This Row],[label]]),0,1)</f>
        <v>1</v>
      </c>
      <c r="B92" s="3" t="str">
        <f>NodesData[[#This Row],[Common Name]]</f>
        <v>Client Initiated Backchannel Authentication</v>
      </c>
      <c r="C92" s="3" t="str">
        <f>IF(NodesData[[#This Row],[Context Instanciation]]="","",NodesData[[#This Row],[Context Instanciation]])</f>
        <v/>
      </c>
      <c r="D92" s="22" t="str">
        <f>NodesData[[#This Row],[Node ID]]</f>
        <v>3F1E1BBA-CDE0-4D62-AF71-532300B38F13</v>
      </c>
      <c r="E92" s="10" t="s">
        <v>665</v>
      </c>
      <c r="F92" s="25" t="str" cm="1">
        <f t="array" ref="F92">IF(NodesJSON[[#This Row],[Export?]]=0,"",IF(ROW(NodesJSON[[#This Row],[label]])&gt;ROW(NodesJSON[[#Headers],[JSON]])+1,",","") &amp;"{"&amp;twoRangesToJSON(NodesJSON[[#Headers],[label]:[url]],NodesJSON[[#This Row],[label]:[url]])&amp;"}")</f>
        <v>,{"label":"Client Initiated Backchannel Authentication","group":"","id":"3F1E1BBA-CDE0-4D62-AF71-532300B38F13","url":"https://open-measure.atlassian.net/wiki/spaces/DIC/pages/82838169"}</v>
      </c>
    </row>
    <row r="93" spans="1:6" ht="13.9" thickTop="1" thickBot="1" x14ac:dyDescent="0.4">
      <c r="A93" s="38">
        <f>IF(ISERR(NodesJSON[[#This Row],[label]]),0,1)</f>
        <v>1</v>
      </c>
      <c r="B93" s="3" t="str">
        <f>NodesData[[#This Row],[Common Name]]</f>
        <v>Cloud Identity Management System</v>
      </c>
      <c r="C93" s="3" t="str">
        <f>IF(NodesData[[#This Row],[Context Instanciation]]="","",NodesData[[#This Row],[Context Instanciation]])</f>
        <v/>
      </c>
      <c r="D93" s="22" t="str">
        <f>NodesData[[#This Row],[Node ID]]</f>
        <v>3C64CE03-CDC0-4385-9B0D-43B480F4FF2B</v>
      </c>
      <c r="E93" s="10" t="s">
        <v>667</v>
      </c>
      <c r="F93" s="25" t="str" cm="1">
        <f t="array" ref="F93">IF(NodesJSON[[#This Row],[Export?]]=0,"",IF(ROW(NodesJSON[[#This Row],[label]])&gt;ROW(NodesJSON[[#Headers],[JSON]])+1,",","") &amp;"{"&amp;twoRangesToJSON(NodesJSON[[#Headers],[label]:[url]],NodesJSON[[#This Row],[label]:[url]])&amp;"}")</f>
        <v>,{"label":"Cloud Identity Management System","group":"","id":"3C64CE03-CDC0-4385-9B0D-43B480F4FF2B","url":"https://open-measure.atlassian.net/wiki/spaces/DIC/pages/138346642"}</v>
      </c>
    </row>
    <row r="94" spans="1:6" ht="13.9" thickTop="1" thickBot="1" x14ac:dyDescent="0.4">
      <c r="A94" s="38">
        <f>IF(ISERR(NodesJSON[[#This Row],[label]]),0,1)</f>
        <v>1</v>
      </c>
      <c r="B94" s="3" t="str">
        <f>NodesData[[#This Row],[Common Name]]</f>
        <v>Cloud IdMS</v>
      </c>
      <c r="C94" s="3" t="str">
        <f>IF(NodesData[[#This Row],[Context Instanciation]]="","",NodesData[[#This Row],[Context Instanciation]])</f>
        <v/>
      </c>
      <c r="D94" s="22" t="str">
        <f>NodesData[[#This Row],[Node ID]]</f>
        <v>6D6F4591-F482-4404-8ABF-A00BF28FA1F4</v>
      </c>
      <c r="E94" s="10" t="s">
        <v>668</v>
      </c>
      <c r="F94" s="25" t="str" cm="1">
        <f t="array" ref="F94">IF(NodesJSON[[#This Row],[Export?]]=0,"",IF(ROW(NodesJSON[[#This Row],[label]])&gt;ROW(NodesJSON[[#Headers],[JSON]])+1,",","") &amp;"{"&amp;twoRangesToJSON(NodesJSON[[#Headers],[label]:[url]],NodesJSON[[#This Row],[label]:[url]])&amp;"}")</f>
        <v>,{"label":"Cloud IdMS","group":"","id":"6D6F4591-F482-4404-8ABF-A00BF28FA1F4","url":"https://open-measure.atlassian.net/wiki/spaces/DIC/pages/67633343/Credential"}</v>
      </c>
    </row>
    <row r="95" spans="1:6" ht="13.9" thickTop="1" thickBot="1" x14ac:dyDescent="0.4">
      <c r="A95" s="38">
        <f>IF(ISERR(NodesJSON[[#This Row],[label]]),0,1)</f>
        <v>1</v>
      </c>
      <c r="B95" s="3" t="str">
        <f>NodesData[[#This Row],[Common Name]]</f>
        <v>Cloud Service Consumers</v>
      </c>
      <c r="C95" s="3" t="str">
        <f>IF(NodesData[[#This Row],[Context Instanciation]]="","",NodesData[[#This Row],[Context Instanciation]])</f>
        <v/>
      </c>
      <c r="D95" s="22" t="str">
        <f>NodesData[[#This Row],[Node ID]]</f>
        <v>01CEAE9D-600C-4A4D-B0EE-E301530C8C55</v>
      </c>
      <c r="E95" s="10" t="s">
        <v>669</v>
      </c>
      <c r="F95" s="25" t="str" cm="1">
        <f t="array" ref="F95">IF(NodesJSON[[#This Row],[Export?]]=0,"",IF(ROW(NodesJSON[[#This Row],[label]])&gt;ROW(NodesJSON[[#Headers],[JSON]])+1,",","") &amp;"{"&amp;twoRangesToJSON(NodesJSON[[#Headers],[label]:[url]],NodesJSON[[#This Row],[label]:[url]])&amp;"}")</f>
        <v>,{"label":"Cloud Service Consumers","group":"","id":"01CEAE9D-600C-4A4D-B0EE-E301530C8C55","url":"https://open-measure.atlassian.net/wiki/spaces/DIC/pages/1254719498/Credential+Harvesting"}</v>
      </c>
    </row>
    <row r="96" spans="1:6" ht="13.9" thickTop="1" thickBot="1" x14ac:dyDescent="0.4">
      <c r="A96" s="38">
        <f>IF(ISERR(NodesJSON[[#This Row],[label]]),0,1)</f>
        <v>1</v>
      </c>
      <c r="B96" s="3" t="str">
        <f>NodesData[[#This Row],[Common Name]]</f>
        <v>Cloud Service Provider</v>
      </c>
      <c r="C96" s="3" t="str">
        <f>IF(NodesData[[#This Row],[Context Instanciation]]="","",NodesData[[#This Row],[Context Instanciation]])</f>
        <v/>
      </c>
      <c r="D96" s="22" t="str">
        <f>NodesData[[#This Row],[Node ID]]</f>
        <v>70AE9E57-05FE-4B1C-8D03-E1194F9EEA8C</v>
      </c>
      <c r="E96" s="10" t="s">
        <v>671</v>
      </c>
      <c r="F96" s="25" t="str" cm="1">
        <f t="array" ref="F96">IF(NodesJSON[[#This Row],[Export?]]=0,"",IF(ROW(NodesJSON[[#This Row],[label]])&gt;ROW(NodesJSON[[#Headers],[JSON]])+1,",","") &amp;"{"&amp;twoRangesToJSON(NodesJSON[[#Headers],[label]:[url]],NodesJSON[[#This Row],[label]:[url]])&amp;"}")</f>
        <v>,{"label":"Cloud Service Provider","group":"","id":"70AE9E57-05FE-4B1C-8D03-E1194F9EEA8C","url":"https://open-measure.atlassian.net/wiki/spaces/DIC/pages/82870977"}</v>
      </c>
    </row>
    <row r="97" spans="1:6" ht="13.9" thickTop="1" thickBot="1" x14ac:dyDescent="0.4">
      <c r="A97" s="38">
        <f>IF(ISERR(NodesJSON[[#This Row],[label]]),0,1)</f>
        <v>1</v>
      </c>
      <c r="B97" s="3" t="str">
        <f>NodesData[[#This Row],[Common Name]]</f>
        <v>Cloud Service User</v>
      </c>
      <c r="C97" s="3" t="str">
        <f>IF(NodesData[[#This Row],[Context Instanciation]]="","",NodesData[[#This Row],[Context Instanciation]])</f>
        <v/>
      </c>
      <c r="D97" s="22" t="str">
        <f>NodesData[[#This Row],[Node ID]]</f>
        <v>F2DD1D05-0F5E-43BF-A828-718DA9EEB690</v>
      </c>
      <c r="E97" s="10" t="s">
        <v>672</v>
      </c>
      <c r="F97" s="25" t="str" cm="1">
        <f t="array" ref="F97">IF(NodesJSON[[#This Row],[Export?]]=0,"",IF(ROW(NodesJSON[[#This Row],[label]])&gt;ROW(NodesJSON[[#Headers],[JSON]])+1,",","") &amp;"{"&amp;twoRangesToJSON(NodesJSON[[#Headers],[label]:[url]],NodesJSON[[#This Row],[label]:[url]])&amp;"}")</f>
        <v>,{"label":"Cloud Service User","group":"","id":"F2DD1D05-0F5E-43BF-A828-718DA9EEB690","url":"https://open-measure.atlassian.net/wiki/spaces/DIC/pages/1348862053/Credential+Stuffing"}</v>
      </c>
    </row>
    <row r="98" spans="1:6" ht="13.9" thickTop="1" thickBot="1" x14ac:dyDescent="0.4">
      <c r="A98" s="38">
        <f>IF(ISERR(NodesJSON[[#This Row],[label]]),0,1)</f>
        <v>1</v>
      </c>
      <c r="B98" s="3" t="str">
        <f>NodesData[[#This Row],[Common Name]]</f>
        <v>Coherent Whole</v>
      </c>
      <c r="C98" s="3" t="str">
        <f>IF(NodesData[[#This Row],[Context Instanciation]]="","",NodesData[[#This Row],[Context Instanciation]])</f>
        <v/>
      </c>
      <c r="D98" s="22" t="str">
        <f>NodesData[[#This Row],[Node ID]]</f>
        <v>8A66FDF6-25FA-4400-8F76-04907B9F7088</v>
      </c>
      <c r="E98" s="10" t="s">
        <v>674</v>
      </c>
      <c r="F98" s="25" t="str" cm="1">
        <f t="array" ref="F98">IF(NodesJSON[[#This Row],[Export?]]=0,"",IF(ROW(NodesJSON[[#This Row],[label]])&gt;ROW(NodesJSON[[#Headers],[JSON]])+1,",","") &amp;"{"&amp;twoRangesToJSON(NodesJSON[[#Headers],[label]:[url]],NodesJSON[[#This Row],[label]:[url]])&amp;"}")</f>
        <v>,{"label":"Coherent Whole","group":"","id":"8A66FDF6-25FA-4400-8F76-04907B9F7088","url":"https://open-measure.atlassian.net/wiki/spaces/DIC/pages/461340725"}</v>
      </c>
    </row>
    <row r="99" spans="1:6" ht="13.9" thickTop="1" thickBot="1" x14ac:dyDescent="0.4">
      <c r="A99" s="38">
        <f>IF(ISERR(NodesJSON[[#This Row],[label]]),0,1)</f>
        <v>1</v>
      </c>
      <c r="B99" s="3" t="str">
        <f>NodesData[[#This Row],[Common Name]]</f>
        <v>Commission Error</v>
      </c>
      <c r="C99" s="3" t="str">
        <f>IF(NodesData[[#This Row],[Context Instanciation]]="","",NodesData[[#This Row],[Context Instanciation]])</f>
        <v/>
      </c>
      <c r="D99" s="22" t="str">
        <f>NodesData[[#This Row],[Node ID]]</f>
        <v>6CD30943-D4D3-438F-9C01-C248A91BDE9C</v>
      </c>
      <c r="E99" s="10" t="s">
        <v>676</v>
      </c>
      <c r="F99" s="25" t="str" cm="1">
        <f t="array" ref="F99">IF(NodesJSON[[#This Row],[Export?]]=0,"",IF(ROW(NodesJSON[[#This Row],[label]])&gt;ROW(NodesJSON[[#Headers],[JSON]])+1,",","") &amp;"{"&amp;twoRangesToJSON(NodesJSON[[#Headers],[label]:[url]],NodesJSON[[#This Row],[label]:[url]])&amp;"}")</f>
        <v>,{"label":"Commission Error","group":"","id":"6CD30943-D4D3-438F-9C01-C248A91BDE9C","url":"https://open-measure.atlassian.net/wiki/spaces/DIC/pages/427130918"}</v>
      </c>
    </row>
    <row r="100" spans="1:6" ht="13.9" thickTop="1" thickBot="1" x14ac:dyDescent="0.4">
      <c r="A100" s="38">
        <f>IF(ISERR(NodesJSON[[#This Row],[label]]),0,1)</f>
        <v>1</v>
      </c>
      <c r="B100" s="3" t="str">
        <f>NodesData[[#This Row],[Common Name]]</f>
        <v>Compromised Identity</v>
      </c>
      <c r="C100" s="3" t="str">
        <f>IF(NodesData[[#This Row],[Context Instanciation]]="","",NodesData[[#This Row],[Context Instanciation]])</f>
        <v/>
      </c>
      <c r="D100" s="22" t="str">
        <f>NodesData[[#This Row],[Node ID]]</f>
        <v>D89DE997-64BE-4F19-B014-7995AF4D2FDF</v>
      </c>
      <c r="E100" s="10" t="s">
        <v>677</v>
      </c>
      <c r="F100" s="25" t="str" cm="1">
        <f t="array" ref="F100">IF(NodesJSON[[#This Row],[Export?]]=0,"",IF(ROW(NodesJSON[[#This Row],[label]])&gt;ROW(NodesJSON[[#Headers],[JSON]])+1,",","") &amp;"{"&amp;twoRangesToJSON(NodesJSON[[#Headers],[label]:[url]],NodesJSON[[#This Row],[label]:[url]])&amp;"}")</f>
        <v>,{"label":"Compromised Identity","group":"","id":"D89DE997-64BE-4F19-B014-7995AF4D2FDF","url":"https://open-measure.atlassian.net/wiki/spaces/DIC/pages/1152516162/CSC"}</v>
      </c>
    </row>
    <row r="101" spans="1:6" ht="13.9" thickTop="1" thickBot="1" x14ac:dyDescent="0.4">
      <c r="A101" s="38">
        <f>IF(ISERR(NodesJSON[[#This Row],[label]]),0,1)</f>
        <v>1</v>
      </c>
      <c r="B101" s="3" t="str">
        <f>NodesData[[#This Row],[Common Name]]</f>
        <v>Concurrent Impersonation Attack</v>
      </c>
      <c r="C101" s="3" t="str">
        <f>IF(NodesData[[#This Row],[Context Instanciation]]="","",NodesData[[#This Row],[Context Instanciation]])</f>
        <v/>
      </c>
      <c r="D101" s="22" t="str">
        <f>NodesData[[#This Row],[Node ID]]</f>
        <v>AA62C302-F15B-4768-8C56-E59E07C97B03</v>
      </c>
      <c r="E101" s="10" t="s">
        <v>678</v>
      </c>
      <c r="F101" s="25" t="str" cm="1">
        <f t="array" ref="F101">IF(NodesJSON[[#This Row],[Export?]]=0,"",IF(ROW(NodesJSON[[#This Row],[label]])&gt;ROW(NodesJSON[[#Headers],[JSON]])+1,",","") &amp;"{"&amp;twoRangesToJSON(NodesJSON[[#Headers],[label]:[url]],NodesJSON[[#This Row],[label]:[url]])&amp;"}")</f>
        <v>,{"label":"Concurrent Impersonation Attack","group":"","id":"AA62C302-F15B-4768-8C56-E59E07C97B03","url":"https://open-measure.atlassian.net/wiki/spaces/DIC/pages/82903984/CSP"}</v>
      </c>
    </row>
    <row r="102" spans="1:6" ht="13.9" thickTop="1" thickBot="1" x14ac:dyDescent="0.4">
      <c r="A102" s="38">
        <f>IF(ISERR(NodesJSON[[#This Row],[label]]),0,1)</f>
        <v>1</v>
      </c>
      <c r="B102" s="3" t="str">
        <f>NodesData[[#This Row],[Common Name]]</f>
        <v>Continuous Authentication</v>
      </c>
      <c r="C102" s="3" t="str">
        <f>IF(NodesData[[#This Row],[Context Instanciation]]="","",NodesData[[#This Row],[Context Instanciation]])</f>
        <v/>
      </c>
      <c r="D102" s="22" t="str">
        <f>NodesData[[#This Row],[Node ID]]</f>
        <v>E8038D29-14AE-41B6-AC04-25F2B42A97CD</v>
      </c>
      <c r="E102" s="10" t="s">
        <v>679</v>
      </c>
      <c r="F102" s="25" t="str" cm="1">
        <f t="array" ref="F102">IF(NodesJSON[[#This Row],[Export?]]=0,"",IF(ROW(NodesJSON[[#This Row],[label]])&gt;ROW(NodesJSON[[#Headers],[JSON]])+1,",","") &amp;"{"&amp;twoRangesToJSON(NodesJSON[[#Headers],[label]:[url]],NodesJSON[[#This Row],[label]:[url]])&amp;"}")</f>
        <v>,{"label":"Continuous Authentication","group":"","id":"E8038D29-14AE-41B6-AC04-25F2B42A97CD","url":"https://open-measure.atlassian.net/wiki/spaces/DIC/pages/206667867/CSU"}</v>
      </c>
    </row>
    <row r="103" spans="1:6" ht="13.9" thickTop="1" thickBot="1" x14ac:dyDescent="0.4">
      <c r="A103" s="38">
        <f>IF(ISERR(NodesJSON[[#This Row],[label]]),0,1)</f>
        <v>1</v>
      </c>
      <c r="B103" s="3" t="str">
        <f>NodesData[[#This Row],[Common Name]]</f>
        <v>Control Class</v>
      </c>
      <c r="C103" s="3" t="str">
        <f>IF(NodesData[[#This Row],[Context Instanciation]]="","",NodesData[[#This Row],[Context Instanciation]])</f>
        <v/>
      </c>
      <c r="D103" s="22" t="str">
        <f>NodesData[[#This Row],[Node ID]]</f>
        <v>5CB6C907-0D88-4068-B90F-90D2B4E5C9CF</v>
      </c>
      <c r="E103" s="10" t="s">
        <v>681</v>
      </c>
      <c r="F103" s="25" t="str" cm="1">
        <f t="array" ref="F103">IF(NodesJSON[[#This Row],[Export?]]=0,"",IF(ROW(NodesJSON[[#This Row],[label]])&gt;ROW(NodesJSON[[#Headers],[JSON]])+1,",","") &amp;"{"&amp;twoRangesToJSON(NodesJSON[[#Headers],[label]:[url]],NodesJSON[[#This Row],[label]:[url]])&amp;"}")</f>
        <v>,{"label":"Control Class","group":"","id":"5CB6C907-0D88-4068-B90F-90D2B4E5C9CF","url":"https://open-measure.atlassian.net/wiki/spaces/DIC/pages/414482448"}</v>
      </c>
    </row>
    <row r="104" spans="1:6" ht="13.9" thickTop="1" thickBot="1" x14ac:dyDescent="0.4">
      <c r="A104" s="38">
        <f>IF(ISERR(NodesJSON[[#This Row],[label]]),0,1)</f>
        <v>1</v>
      </c>
      <c r="B104" s="3" t="str">
        <f>NodesData[[#This Row],[Common Name]]</f>
        <v>Control Party</v>
      </c>
      <c r="C104" s="3" t="str">
        <f>IF(NodesData[[#This Row],[Context Instanciation]]="","",NodesData[[#This Row],[Context Instanciation]])</f>
        <v/>
      </c>
      <c r="D104" s="22" t="str">
        <f>NodesData[[#This Row],[Node ID]]</f>
        <v>99F7B2C7-39DB-4A58-9132-0E2236C5812C</v>
      </c>
      <c r="E104" s="10" t="s">
        <v>683</v>
      </c>
      <c r="F104" s="25" t="str" cm="1">
        <f t="array" ref="F104">IF(NodesJSON[[#This Row],[Export?]]=0,"",IF(ROW(NodesJSON[[#This Row],[label]])&gt;ROW(NodesJSON[[#Headers],[JSON]])+1,",","") &amp;"{"&amp;twoRangesToJSON(NodesJSON[[#Headers],[label]:[url]],NodesJSON[[#This Row],[label]:[url]])&amp;"}")</f>
        <v>,{"label":"Control Party","group":"","id":"99F7B2C7-39DB-4A58-9132-0E2236C5812C","url":"https://open-measure.atlassian.net/wiki/spaces/DIC/pages/414548006"}</v>
      </c>
    </row>
    <row r="105" spans="1:6" ht="13.9" thickTop="1" thickBot="1" x14ac:dyDescent="0.4">
      <c r="A105" s="38">
        <f>IF(ISERR(NodesJSON[[#This Row],[label]]),0,1)</f>
        <v>1</v>
      </c>
      <c r="B105" s="3" t="str">
        <f>NodesData[[#This Row],[Common Name]]</f>
        <v>Core Identity</v>
      </c>
      <c r="C105" s="3" t="str">
        <f>IF(NodesData[[#This Row],[Context Instanciation]]="","",NodesData[[#This Row],[Context Instanciation]])</f>
        <v/>
      </c>
      <c r="D105" s="22" t="str">
        <f>NodesData[[#This Row],[Node ID]]</f>
        <v>9F814534-7123-4E77-8D90-93B56FA09724</v>
      </c>
      <c r="E105" s="10" t="s">
        <v>685</v>
      </c>
      <c r="F105" s="25" t="str" cm="1">
        <f t="array" ref="F105">IF(NodesJSON[[#This Row],[Export?]]=0,"",IF(ROW(NodesJSON[[#This Row],[label]])&gt;ROW(NodesJSON[[#Headers],[JSON]])+1,",","") &amp;"{"&amp;twoRangesToJSON(NodesJSON[[#Headers],[label]:[url]],NodesJSON[[#This Row],[label]:[url]])&amp;"}")</f>
        <v>,{"label":"Core Identity","group":"","id":"9F814534-7123-4E77-8D90-93B56FA09724","url":"https://open-measure.atlassian.net/wiki/spaces/DIC/pages/138444875"}</v>
      </c>
    </row>
    <row r="106" spans="1:6" ht="13.9" thickTop="1" thickBot="1" x14ac:dyDescent="0.4">
      <c r="A106" s="38">
        <f>IF(ISERR(NodesJSON[[#This Row],[label]]),0,1)</f>
        <v>1</v>
      </c>
      <c r="B106" s="3" t="str">
        <f>NodesData[[#This Row],[Common Name]]</f>
        <v>Credential</v>
      </c>
      <c r="C106" s="3" t="str">
        <f>IF(NodesData[[#This Row],[Context Instanciation]]="","",NodesData[[#This Row],[Context Instanciation]])</f>
        <v/>
      </c>
      <c r="D106" s="22" t="str">
        <f>NodesData[[#This Row],[Node ID]]</f>
        <v>B5610ED8-EE1E-4F18-9D6C-BFF3E8CFFA86</v>
      </c>
      <c r="E106" s="10" t="s">
        <v>687</v>
      </c>
      <c r="F106" s="25" t="str" cm="1">
        <f t="array" ref="F106">IF(NodesJSON[[#This Row],[Export?]]=0,"",IF(ROW(NodesJSON[[#This Row],[label]])&gt;ROW(NodesJSON[[#Headers],[JSON]])+1,",","") &amp;"{"&amp;twoRangesToJSON(NodesJSON[[#Headers],[label]:[url]],NodesJSON[[#This Row],[label]:[url]])&amp;"}")</f>
        <v>,{"label":"Credential","group":"","id":"B5610ED8-EE1E-4F18-9D6C-BFF3E8CFFA86","url":"https://open-measure.atlassian.net/wiki/spaces/DIC/pages/409010717"}</v>
      </c>
    </row>
    <row r="107" spans="1:6" ht="13.9" thickTop="1" thickBot="1" x14ac:dyDescent="0.4">
      <c r="A107" s="38">
        <f>IF(ISERR(NodesJSON[[#This Row],[label]]),0,1)</f>
        <v>1</v>
      </c>
      <c r="B107" s="3" t="str">
        <f>NodesData[[#This Row],[Common Name]]</f>
        <v>Credential Harvesting</v>
      </c>
      <c r="C107" s="3" t="str">
        <f>IF(NodesData[[#This Row],[Context Instanciation]]="","",NodesData[[#This Row],[Context Instanciation]])</f>
        <v/>
      </c>
      <c r="D107" s="22" t="str">
        <f>NodesData[[#This Row],[Node ID]]</f>
        <v>E7398742-2D81-43A1-9286-43105111058A</v>
      </c>
      <c r="E107" s="10" t="s">
        <v>689</v>
      </c>
      <c r="F107" s="25" t="str" cm="1">
        <f t="array" ref="F107">IF(NodesJSON[[#This Row],[Export?]]=0,"",IF(ROW(NodesJSON[[#This Row],[label]])&gt;ROW(NodesJSON[[#Headers],[JSON]])+1,",","") &amp;"{"&amp;twoRangesToJSON(NodesJSON[[#Headers],[label]:[url]],NodesJSON[[#This Row],[label]:[url]])&amp;"}")</f>
        <v>,{"label":"Credential Harvesting","group":"","id":"E7398742-2D81-43A1-9286-43105111058A","url":"https://open-measure.atlassian.net/wiki/spaces/DIC/pages/408944928"}</v>
      </c>
    </row>
    <row r="108" spans="1:6" ht="13.9" thickTop="1" thickBot="1" x14ac:dyDescent="0.4">
      <c r="A108" s="38">
        <f>IF(ISERR(NodesJSON[[#This Row],[label]]),0,1)</f>
        <v>1</v>
      </c>
      <c r="B108" s="3" t="str">
        <f>NodesData[[#This Row],[Common Name]]</f>
        <v>Credential Service Provider</v>
      </c>
      <c r="C108" s="3" t="str">
        <f>IF(NodesData[[#This Row],[Context Instanciation]]="","",NodesData[[#This Row],[Context Instanciation]])</f>
        <v/>
      </c>
      <c r="D108" s="22" t="str">
        <f>NodesData[[#This Row],[Node ID]]</f>
        <v>E9E2053A-B9CA-466E-9D58-C408FC470495</v>
      </c>
      <c r="E108" s="10" t="s">
        <v>691</v>
      </c>
      <c r="F108" s="25" t="str" cm="1">
        <f t="array" ref="F108">IF(NodesJSON[[#This Row],[Export?]]=0,"",IF(ROW(NodesJSON[[#This Row],[label]])&gt;ROW(NodesJSON[[#Headers],[JSON]])+1,",","") &amp;"{"&amp;twoRangesToJSON(NodesJSON[[#Headers],[label]:[url]],NodesJSON[[#This Row],[label]:[url]])&amp;"}")</f>
        <v>,{"label":"Credential Service Provider","group":"","id":"E9E2053A-B9CA-466E-9D58-C408FC470495","url":"https://open-measure.atlassian.net/wiki/spaces/DIC/pages/797900801"}</v>
      </c>
    </row>
    <row r="109" spans="1:6" ht="13.9" thickTop="1" thickBot="1" x14ac:dyDescent="0.4">
      <c r="A109" s="38">
        <f>IF(ISERR(NodesJSON[[#This Row],[label]]),0,1)</f>
        <v>1</v>
      </c>
      <c r="B109" s="3" t="str">
        <f>NodesData[[#This Row],[Common Name]]</f>
        <v>Credential Stuffing</v>
      </c>
      <c r="C109" s="3" t="str">
        <f>IF(NodesData[[#This Row],[Context Instanciation]]="","",NodesData[[#This Row],[Context Instanciation]])</f>
        <v/>
      </c>
      <c r="D109" s="22" t="str">
        <f>NodesData[[#This Row],[Node ID]]</f>
        <v>EED3245C-33E6-4527-BF19-4ED36B78325E</v>
      </c>
      <c r="E109" s="10" t="s">
        <v>692</v>
      </c>
      <c r="F109" s="25" t="str" cm="1">
        <f t="array" ref="F109">IF(NodesJSON[[#This Row],[Export?]]=0,"",IF(ROW(NodesJSON[[#This Row],[label]])&gt;ROW(NodesJSON[[#Headers],[JSON]])+1,",","") &amp;"{"&amp;twoRangesToJSON(NodesJSON[[#Headers],[label]:[url]],NodesJSON[[#This Row],[label]:[url]])&amp;"}")</f>
        <v>,{"label":"Credential Stuffing","group":"","id":"EED3245C-33E6-4527-BF19-4ED36B78325E","url":"https://open-measure.atlassian.net/wiki/spaces/DIC/pages/1451982933/Cyber-sabotage"}</v>
      </c>
    </row>
    <row r="110" spans="1:6" ht="13.9" thickTop="1" thickBot="1" x14ac:dyDescent="0.4">
      <c r="A110" s="38">
        <f>IF(ISERR(NodesJSON[[#This Row],[label]]),0,1)</f>
        <v>1</v>
      </c>
      <c r="B110" s="3" t="str">
        <f>NodesData[[#This Row],[Common Name]]</f>
        <v>Credential Theft</v>
      </c>
      <c r="C110" s="3" t="str">
        <f>IF(NodesData[[#This Row],[Context Instanciation]]="","",NodesData[[#This Row],[Context Instanciation]])</f>
        <v/>
      </c>
      <c r="D110" s="22" t="str">
        <f>NodesData[[#This Row],[Node ID]]</f>
        <v>80E78BDF-4943-440D-90B8-2D317C69DE7A</v>
      </c>
      <c r="E110" s="10" t="s">
        <v>693</v>
      </c>
      <c r="F110" s="25" t="str" cm="1">
        <f t="array" ref="F110">IF(NodesJSON[[#This Row],[Export?]]=0,"",IF(ROW(NodesJSON[[#This Row],[label]])&gt;ROW(NodesJSON[[#Headers],[JSON]])+1,",","") &amp;"{"&amp;twoRangesToJSON(NodesJSON[[#Headers],[label]:[url]],NodesJSON[[#This Row],[label]:[url]])&amp;"}")</f>
        <v>,{"label":"Credential Theft","group":"","id":"80E78BDF-4943-440D-90B8-2D317C69DE7A","url":"https://open-measure.atlassian.net/wiki/spaces/DIC/pages/1177845938/DAC"}</v>
      </c>
    </row>
    <row r="111" spans="1:6" ht="13.9" thickTop="1" thickBot="1" x14ac:dyDescent="0.4">
      <c r="A111" s="38">
        <f>IF(ISERR(NodesJSON[[#This Row],[label]]),0,1)</f>
        <v>1</v>
      </c>
      <c r="B111" s="3" t="str">
        <f>NodesData[[#This Row],[Common Name]]</f>
        <v>Cryptographic Key</v>
      </c>
      <c r="C111" s="3" t="str">
        <f>IF(NodesData[[#This Row],[Context Instanciation]]="","",NodesData[[#This Row],[Context Instanciation]])</f>
        <v/>
      </c>
      <c r="D111" s="22" t="str">
        <f>NodesData[[#This Row],[Node ID]]</f>
        <v>ECCF1EB1-F977-411B-A39A-11DDDD6C555A</v>
      </c>
      <c r="E111" s="10" t="s">
        <v>694</v>
      </c>
      <c r="F111" s="25" t="str" cm="1">
        <f t="array" ref="F111">IF(NodesJSON[[#This Row],[Export?]]=0,"",IF(ROW(NodesJSON[[#This Row],[label]])&gt;ROW(NodesJSON[[#Headers],[JSON]])+1,",","") &amp;"{"&amp;twoRangesToJSON(NodesJSON[[#Headers],[label]:[url]],NodesJSON[[#This Row],[label]:[url]])&amp;"}")</f>
        <v>,{"label":"Cryptographic Key","group":"","id":"ECCF1EB1-F977-411B-A39A-11DDDD6C555A","url":"https://open-measure.atlassian.net/wiki/spaces/DIC/pages/1267400850/Data+Anonymization"}</v>
      </c>
    </row>
    <row r="112" spans="1:6" ht="13.9" thickTop="1" thickBot="1" x14ac:dyDescent="0.4">
      <c r="A112" s="38">
        <f>IF(ISERR(NodesJSON[[#This Row],[label]]),0,1)</f>
        <v>1</v>
      </c>
      <c r="B112" s="3" t="str">
        <f>NodesData[[#This Row],[Common Name]]</f>
        <v>CSC</v>
      </c>
      <c r="C112" s="3" t="str">
        <f>IF(NodesData[[#This Row],[Context Instanciation]]="","",NodesData[[#This Row],[Context Instanciation]])</f>
        <v/>
      </c>
      <c r="D112" s="22" t="str">
        <f>NodesData[[#This Row],[Node ID]]</f>
        <v>744BFD3E-5211-4AC9-B18A-1ABC862485A0</v>
      </c>
      <c r="E112" s="10" t="s">
        <v>696</v>
      </c>
      <c r="F112" s="25" t="str" cm="1">
        <f t="array" ref="F112">IF(NodesJSON[[#This Row],[Export?]]=0,"",IF(ROW(NodesJSON[[#This Row],[label]])&gt;ROW(NodesJSON[[#Headers],[JSON]])+1,",","") &amp;"{"&amp;twoRangesToJSON(NodesJSON[[#Headers],[label]:[url]],NodesJSON[[#This Row],[label]:[url]])&amp;"}")</f>
        <v>,{"label":"CSC","group":"","id":"744BFD3E-5211-4AC9-B18A-1ABC862485A0","url":"https://open-measure.atlassian.net/wiki/spaces/DIC/pages/998244454"}</v>
      </c>
    </row>
    <row r="113" spans="1:6" ht="13.9" thickTop="1" thickBot="1" x14ac:dyDescent="0.4">
      <c r="A113" s="38">
        <f>IF(ISERR(NodesJSON[[#This Row],[label]]),0,1)</f>
        <v>1</v>
      </c>
      <c r="B113" s="3" t="str">
        <f>NodesData[[#This Row],[Common Name]]</f>
        <v>CSP</v>
      </c>
      <c r="C113" s="3" t="str">
        <f>IF(NodesData[[#This Row],[Context Instanciation]]="","",NodesData[[#This Row],[Context Instanciation]])</f>
        <v/>
      </c>
      <c r="D113" s="22" t="str">
        <f>NodesData[[#This Row],[Node ID]]</f>
        <v>1C19CD0D-B98F-4548-BE0E-7301626285E6</v>
      </c>
      <c r="E113" s="10" t="s">
        <v>704</v>
      </c>
      <c r="F113" s="25" t="str" cm="1">
        <f t="array" ref="F113">IF(NodesJSON[[#This Row],[Export?]]=0,"",IF(ROW(NodesJSON[[#This Row],[label]])&gt;ROW(NodesJSON[[#Headers],[JSON]])+1,",","") &amp;"{"&amp;twoRangesToJSON(NodesJSON[[#Headers],[label]:[url]],NodesJSON[[#This Row],[label]:[url]])&amp;"}")</f>
        <v>,{"label":"CSP","group":"","id":"1C19CD0D-B98F-4548-BE0E-7301626285E6","url":"https://open-measure.atlassian.net/wiki/spaces/DIC/pages/1132331029"}</v>
      </c>
    </row>
    <row r="114" spans="1:6" ht="13.9" thickTop="1" thickBot="1" x14ac:dyDescent="0.4">
      <c r="A114" s="38">
        <f>IF(ISERR(NodesJSON[[#This Row],[label]]),0,1)</f>
        <v>1</v>
      </c>
      <c r="B114" s="3" t="str">
        <f>NodesData[[#This Row],[Common Name]]</f>
        <v>CSU</v>
      </c>
      <c r="C114" s="3" t="str">
        <f>IF(NodesData[[#This Row],[Context Instanciation]]="","",NodesData[[#This Row],[Context Instanciation]])</f>
        <v/>
      </c>
      <c r="D114" s="22" t="str">
        <f>NodesData[[#This Row],[Node ID]]</f>
        <v>B7CD7B1D-8440-4BFC-80CC-94B662E0B3E6</v>
      </c>
      <c r="E114" s="10" t="s">
        <v>698</v>
      </c>
      <c r="F114" s="25" t="str" cm="1">
        <f t="array" ref="F114">IF(NodesJSON[[#This Row],[Export?]]=0,"",IF(ROW(NodesJSON[[#This Row],[label]])&gt;ROW(NodesJSON[[#Headers],[JSON]])+1,",","") &amp;"{"&amp;twoRangesToJSON(NodesJSON[[#Headers],[label]:[url]],NodesJSON[[#This Row],[label]:[url]])&amp;"}")</f>
        <v>,{"label":"CSU","group":"","id":"B7CD7B1D-8440-4BFC-80CC-94B662E0B3E6","url":"https://open-measure.atlassian.net/wiki/spaces/DIC/pages/508330028"}</v>
      </c>
    </row>
    <row r="115" spans="1:6" ht="13.9" thickTop="1" thickBot="1" x14ac:dyDescent="0.4">
      <c r="A115" s="38">
        <f>IF(ISERR(NodesJSON[[#This Row],[label]]),0,1)</f>
        <v>1</v>
      </c>
      <c r="B115" s="3" t="str">
        <f>NodesData[[#This Row],[Common Name]]</f>
        <v>Customer Due Diligence</v>
      </c>
      <c r="C115" s="3" t="str">
        <f>IF(NodesData[[#This Row],[Context Instanciation]]="","",NodesData[[#This Row],[Context Instanciation]])</f>
        <v/>
      </c>
      <c r="D115" s="22" t="str">
        <f>NodesData[[#This Row],[Node ID]]</f>
        <v>DD17059A-FF58-425E-AD7B-173E4AD31ED5</v>
      </c>
      <c r="E115" s="10" t="s">
        <v>700</v>
      </c>
      <c r="F115" s="25" t="str" cm="1">
        <f t="array" ref="F115">IF(NodesJSON[[#This Row],[Export?]]=0,"",IF(ROW(NodesJSON[[#This Row],[label]])&gt;ROW(NodesJSON[[#Headers],[JSON]])+1,",","") &amp;"{"&amp;twoRangesToJSON(NodesJSON[[#Headers],[label]:[url]],NodesJSON[[#This Row],[label]:[url]])&amp;"}")</f>
        <v>,{"label":"Customer Due Diligence","group":"","id":"DD17059A-FF58-425E-AD7B-173E4AD31ED5","url":"https://open-measure.atlassian.net/wiki/spaces/DIC/pages/1027048097"}</v>
      </c>
    </row>
    <row r="116" spans="1:6" ht="13.9" thickTop="1" thickBot="1" x14ac:dyDescent="0.4">
      <c r="A116" s="38">
        <f>IF(ISERR(NodesJSON[[#This Row],[label]]),0,1)</f>
        <v>1</v>
      </c>
      <c r="B116" s="3" t="str">
        <f>NodesData[[#This Row],[Common Name]]</f>
        <v>Customer Identification</v>
      </c>
      <c r="C116" s="3" t="str">
        <f>IF(NodesData[[#This Row],[Context Instanciation]]="","",NodesData[[#This Row],[Context Instanciation]])</f>
        <v/>
      </c>
      <c r="D116" s="22" t="str">
        <f>NodesData[[#This Row],[Node ID]]</f>
        <v>9EB6B213-B16A-4255-B33F-8F129B358217</v>
      </c>
      <c r="E116" s="10" t="s">
        <v>702</v>
      </c>
      <c r="F116" s="25" t="str" cm="1">
        <f t="array" ref="F116">IF(NodesJSON[[#This Row],[Export?]]=0,"",IF(ROW(NodesJSON[[#This Row],[label]])&gt;ROW(NodesJSON[[#Headers],[JSON]])+1,",","") &amp;"{"&amp;twoRangesToJSON(NodesJSON[[#Headers],[label]:[url]],NodesJSON[[#This Row],[label]:[url]])&amp;"}")</f>
        <v>,{"label":"Customer Identification","group":"","id":"9EB6B213-B16A-4255-B33F-8F129B358217","url":"https://open-measure.atlassian.net/wiki/spaces/DIC/pages/998179040"}</v>
      </c>
    </row>
    <row r="117" spans="1:6" ht="13.9" thickTop="1" thickBot="1" x14ac:dyDescent="0.4">
      <c r="A117" s="38">
        <f>IF(ISERR(NodesJSON[[#This Row],[label]]),0,1)</f>
        <v>1</v>
      </c>
      <c r="B117" s="3" t="str">
        <f>NodesData[[#This Row],[Common Name]]</f>
        <v>Customer Identity</v>
      </c>
      <c r="C117" s="3" t="str">
        <f>IF(NodesData[[#This Row],[Context Instanciation]]="","",NodesData[[#This Row],[Context Instanciation]])</f>
        <v/>
      </c>
      <c r="D117" s="22" t="str">
        <f>NodesData[[#This Row],[Node ID]]</f>
        <v>3B8B4A9C-B755-417B-AB49-014BC1B23ABE</v>
      </c>
      <c r="E117" s="10" t="s">
        <v>710</v>
      </c>
      <c r="F117" s="25" t="str" cm="1">
        <f t="array" ref="F117">IF(NodesJSON[[#This Row],[Export?]]=0,"",IF(ROW(NodesJSON[[#This Row],[label]])&gt;ROW(NodesJSON[[#Headers],[JSON]])+1,",","") &amp;"{"&amp;twoRangesToJSON(NodesJSON[[#Headers],[label]:[url]],NodesJSON[[#This Row],[label]:[url]])&amp;"}")</f>
        <v>,{"label":"Customer Identity","group":"","id":"3B8B4A9C-B755-417B-AB49-014BC1B23ABE","url":"https://open-measure.atlassian.net/wiki/spaces/DIC/pages/408977837"}</v>
      </c>
    </row>
    <row r="118" spans="1:6" ht="13.9" thickTop="1" thickBot="1" x14ac:dyDescent="0.4">
      <c r="A118" s="38">
        <f>IF(ISERR(NodesJSON[[#This Row],[label]]),0,1)</f>
        <v>1</v>
      </c>
      <c r="B118" s="3" t="str">
        <f>NodesData[[#This Row],[Common Name]]</f>
        <v>Customer Identity Verification</v>
      </c>
      <c r="C118" s="3" t="str">
        <f>IF(NodesData[[#This Row],[Context Instanciation]]="","",NodesData[[#This Row],[Context Instanciation]])</f>
        <v/>
      </c>
      <c r="D118" s="22" t="str">
        <f>NodesData[[#This Row],[Node ID]]</f>
        <v>7EFBF862-540D-41C7-89ED-6E714AD96CF3</v>
      </c>
      <c r="E118" s="10" t="s">
        <v>706</v>
      </c>
      <c r="F118" s="25" t="str" cm="1">
        <f t="array" ref="F118">IF(NodesJSON[[#This Row],[Export?]]=0,"",IF(ROW(NodesJSON[[#This Row],[label]])&gt;ROW(NodesJSON[[#Headers],[JSON]])+1,",","") &amp;"{"&amp;twoRangesToJSON(NodesJSON[[#Headers],[label]:[url]],NodesJSON[[#This Row],[label]:[url]])&amp;"}")</f>
        <v>,{"label":"Customer Identity Verification","group":"","id":"7EFBF862-540D-41C7-89ED-6E714AD96CF3","url":"https://open-measure.atlassian.net/wiki/spaces/DIC/pages/1031242134"}</v>
      </c>
    </row>
    <row r="119" spans="1:6" ht="13.9" thickTop="1" thickBot="1" x14ac:dyDescent="0.4">
      <c r="A119" s="38">
        <f>IF(ISERR(NodesJSON[[#This Row],[label]]),0,1)</f>
        <v>1</v>
      </c>
      <c r="B119" s="3" t="str">
        <f>NodesData[[#This Row],[Common Name]]</f>
        <v>Customer On-Boarding</v>
      </c>
      <c r="C119" s="3" t="str">
        <f>IF(NodesData[[#This Row],[Context Instanciation]]="","",NodesData[[#This Row],[Context Instanciation]])</f>
        <v/>
      </c>
      <c r="D119" s="22" t="str">
        <f>NodesData[[#This Row],[Node ID]]</f>
        <v>D72C1520-ABB1-40BF-B431-862B2B2025A4</v>
      </c>
      <c r="E119" s="10" t="s">
        <v>708</v>
      </c>
      <c r="F119" s="25" t="str" cm="1">
        <f t="array" ref="F119">IF(NodesJSON[[#This Row],[Export?]]=0,"",IF(ROW(NodesJSON[[#This Row],[label]])&gt;ROW(NodesJSON[[#Headers],[JSON]])+1,",","") &amp;"{"&amp;twoRangesToJSON(NodesJSON[[#Headers],[label]:[url]],NodesJSON[[#This Row],[label]:[url]])&amp;"}")</f>
        <v>,{"label":"Customer On-Boarding","group":"","id":"D72C1520-ABB1-40BF-B431-862B2B2025A4","url":"https://open-measure.atlassian.net/wiki/spaces/DIC/pages/782893122"}</v>
      </c>
    </row>
    <row r="120" spans="1:6" ht="13.9" thickTop="1" thickBot="1" x14ac:dyDescent="0.4">
      <c r="A120" s="38">
        <f>IF(ISERR(NodesJSON[[#This Row],[label]]),0,1)</f>
        <v>1</v>
      </c>
      <c r="B120" s="3" t="str">
        <f>NodesData[[#This Row],[Common Name]]</f>
        <v>Customer Privacy and Consent Management</v>
      </c>
      <c r="C120" s="3" t="str">
        <f>IF(NodesData[[#This Row],[Context Instanciation]]="","",NodesData[[#This Row],[Context Instanciation]])</f>
        <v/>
      </c>
      <c r="D120" s="22" t="str">
        <f>NodesData[[#This Row],[Node ID]]</f>
        <v>03A534B5-791B-444F-8E13-0428ABCAD180</v>
      </c>
      <c r="E120" s="10" t="s">
        <v>712</v>
      </c>
      <c r="F120" s="25" t="str" cm="1">
        <f t="array" ref="F120">IF(NodesJSON[[#This Row],[Export?]]=0,"",IF(ROW(NodesJSON[[#This Row],[label]])&gt;ROW(NodesJSON[[#Headers],[JSON]])+1,",","") &amp;"{"&amp;twoRangesToJSON(NodesJSON[[#Headers],[label]:[url]],NodesJSON[[#This Row],[label]:[url]])&amp;"}")</f>
        <v>,{"label":"Customer Privacy and Consent Management","group":"","id":"03A534B5-791B-444F-8E13-0428ABCAD180","url":"https://open-measure.atlassian.net/wiki/spaces/DIC/pages/62193665"}</v>
      </c>
    </row>
    <row r="121" spans="1:6" ht="13.9" thickTop="1" thickBot="1" x14ac:dyDescent="0.4">
      <c r="A121" s="38">
        <f>IF(ISERR(NodesJSON[[#This Row],[label]]),0,1)</f>
        <v>1</v>
      </c>
      <c r="B121" s="3" t="str">
        <f>NodesData[[#This Row],[Common Name]]</f>
        <v>Cyber-sabotage</v>
      </c>
      <c r="C121" s="3" t="str">
        <f>IF(NodesData[[#This Row],[Context Instanciation]]="","",NodesData[[#This Row],[Context Instanciation]])</f>
        <v/>
      </c>
      <c r="D121" s="22" t="str">
        <f>NodesData[[#This Row],[Node ID]]</f>
        <v>5B448AD7-2794-4051-AF23-EA23A4382F91</v>
      </c>
      <c r="E121" s="10" t="s">
        <v>713</v>
      </c>
      <c r="F121" s="25" t="str" cm="1">
        <f t="array" ref="F121">IF(NodesJSON[[#This Row],[Export?]]=0,"",IF(ROW(NodesJSON[[#This Row],[label]])&gt;ROW(NodesJSON[[#Headers],[JSON]])+1,",","") &amp;"{"&amp;twoRangesToJSON(NodesJSON[[#Headers],[label]:[url]],NodesJSON[[#This Row],[label]:[url]])&amp;"}")</f>
        <v>,{"label":"Cyber-sabotage","group":"","id":"5B448AD7-2794-4051-AF23-EA23A4382F91","url":"https://open-measure.atlassian.net/wiki/spaces/DIC/pages/782925889/DID"}</v>
      </c>
    </row>
    <row r="122" spans="1:6" ht="13.9" thickTop="1" thickBot="1" x14ac:dyDescent="0.4">
      <c r="A122" s="38">
        <f>IF(ISERR(NodesJSON[[#This Row],[label]]),0,1)</f>
        <v>1</v>
      </c>
      <c r="B122" s="3" t="str">
        <f>NodesData[[#This Row],[Common Name]]</f>
        <v>DAC</v>
      </c>
      <c r="C122" s="3" t="str">
        <f>IF(NodesData[[#This Row],[Context Instanciation]]="","",NodesData[[#This Row],[Context Instanciation]])</f>
        <v/>
      </c>
      <c r="D122" s="22" t="str">
        <f>NodesData[[#This Row],[Node ID]]</f>
        <v>7EE8572E-06B5-4649-9806-824BE1B5D604</v>
      </c>
      <c r="E122" s="10" t="s">
        <v>715</v>
      </c>
      <c r="F122" s="25" t="str" cm="1">
        <f t="array" ref="F122">IF(NodesJSON[[#This Row],[Export?]]=0,"",IF(ROW(NodesJSON[[#This Row],[label]])&gt;ROW(NodesJSON[[#Headers],[JSON]])+1,",","") &amp;"{"&amp;twoRangesToJSON(NodesJSON[[#Headers],[label]:[url]],NodesJSON[[#This Row],[label]:[url]])&amp;"}")</f>
        <v>,{"label":"DAC","group":"","id":"7EE8572E-06B5-4649-9806-824BE1B5D604","url":"https://open-measure.atlassian.net/wiki/spaces/DIC/pages/458326308"}</v>
      </c>
    </row>
    <row r="123" spans="1:6" ht="13.9" thickTop="1" thickBot="1" x14ac:dyDescent="0.4">
      <c r="A123" s="38">
        <f>IF(ISERR(NodesJSON[[#This Row],[label]]),0,1)</f>
        <v>1</v>
      </c>
      <c r="B123" s="3" t="str">
        <f>NodesData[[#This Row],[Common Name]]</f>
        <v>Data</v>
      </c>
      <c r="C123" s="3" t="str">
        <f>IF(NodesData[[#This Row],[Context Instanciation]]="","",NodesData[[#This Row],[Context Instanciation]])</f>
        <v/>
      </c>
      <c r="D123" s="22" t="str">
        <f>NodesData[[#This Row],[Node ID]]</f>
        <v>BC9316FB-BCA1-4D66-9CD7-3112BEF13D86</v>
      </c>
      <c r="E123" s="10" t="s">
        <v>716</v>
      </c>
      <c r="F123" s="25" t="str" cm="1">
        <f t="array" ref="F123">IF(NodesJSON[[#This Row],[Export?]]=0,"",IF(ROW(NodesJSON[[#This Row],[label]])&gt;ROW(NodesJSON[[#Headers],[JSON]])+1,",","") &amp;"{"&amp;twoRangesToJSON(NodesJSON[[#Headers],[label]:[url]],NodesJSON[[#This Row],[label]:[url]])&amp;"}")</f>
        <v>,{"label":"Data","group":"","id":"BC9316FB-BCA1-4D66-9CD7-3112BEF13D86","url":"https://open-measure.atlassian.net/wiki/spaces/DIC/pages/419561482/Digital+Identification+System"}</v>
      </c>
    </row>
    <row r="124" spans="1:6" ht="13.9" thickTop="1" thickBot="1" x14ac:dyDescent="0.4">
      <c r="A124" s="38">
        <f>IF(ISERR(NodesJSON[[#This Row],[label]]),0,1)</f>
        <v>1</v>
      </c>
      <c r="B124" s="3" t="str">
        <f>NodesData[[#This Row],[Common Name]]</f>
        <v>Data Anonymization</v>
      </c>
      <c r="C124" s="3" t="str">
        <f>IF(NodesData[[#This Row],[Context Instanciation]]="","",NodesData[[#This Row],[Context Instanciation]])</f>
        <v/>
      </c>
      <c r="D124" s="22" t="str">
        <f>NodesData[[#This Row],[Node ID]]</f>
        <v>848B10A2-B83E-4B4E-A37E-6B40F0BADB6A</v>
      </c>
      <c r="E124" s="10" t="s">
        <v>717</v>
      </c>
      <c r="F124" s="25" t="str" cm="1">
        <f t="array" ref="F124">IF(NodesJSON[[#This Row],[Export?]]=0,"",IF(ROW(NodesJSON[[#This Row],[label]])&gt;ROW(NodesJSON[[#Headers],[JSON]])+1,",","") &amp;"{"&amp;twoRangesToJSON(NodesJSON[[#Headers],[label]:[url]],NodesJSON[[#This Row],[label]:[url]])&amp;"}")</f>
        <v>,{"label":"Data Anonymization","group":"","id":"848B10A2-B83E-4B4E-A37E-6B40F0BADB6A","url":"https://open-measure.atlassian.net/wiki/spaces/DIC/pages/419528705/Digital+Identity"}</v>
      </c>
    </row>
    <row r="125" spans="1:6" ht="13.9" thickTop="1" thickBot="1" x14ac:dyDescent="0.4">
      <c r="A125" s="38">
        <f>IF(ISERR(NodesJSON[[#This Row],[label]]),0,1)</f>
        <v>1</v>
      </c>
      <c r="B125" s="3" t="str">
        <f>NodesData[[#This Row],[Common Name]]</f>
        <v>Data Custodian</v>
      </c>
      <c r="C125" s="3" t="str">
        <f>IF(NodesData[[#This Row],[Context Instanciation]]="","",NodesData[[#This Row],[Context Instanciation]])</f>
        <v/>
      </c>
      <c r="D125" s="22" t="str">
        <f>NodesData[[#This Row],[Node ID]]</f>
        <v>79C77EFB-D2E1-4437-AAC5-FE3ACD4613D0</v>
      </c>
      <c r="E125" s="10" t="s">
        <v>663</v>
      </c>
      <c r="F125" s="25" t="str" cm="1">
        <f t="array" ref="F125">IF(NodesJSON[[#This Row],[Export?]]=0,"",IF(ROW(NodesJSON[[#This Row],[label]])&gt;ROW(NodesJSON[[#Headers],[JSON]])+1,",","") &amp;"{"&amp;twoRangesToJSON(NodesJSON[[#Headers],[label]:[url]],NodesJSON[[#This Row],[label]:[url]])&amp;"}")</f>
        <v>,{"label":"Data Custodian","group":"","id":"79C77EFB-D2E1-4437-AAC5-FE3ACD4613D0","url":"https://open-measure.atlassian.net/wiki/spaces/DIC/pages/877297665"}</v>
      </c>
    </row>
    <row r="126" spans="1:6" ht="13.9" thickTop="1" thickBot="1" x14ac:dyDescent="0.4">
      <c r="A126" s="38">
        <f>IF(ISERR(NodesJSON[[#This Row],[label]]),0,1)</f>
        <v>1</v>
      </c>
      <c r="B126" s="3" t="str">
        <f>NodesData[[#This Row],[Common Name]]</f>
        <v>Data Lineage</v>
      </c>
      <c r="C126" s="3" t="str">
        <f>IF(NodesData[[#This Row],[Context Instanciation]]="","",NodesData[[#This Row],[Context Instanciation]])</f>
        <v/>
      </c>
      <c r="D126" s="22" t="str">
        <f>NodesData[[#This Row],[Node ID]]</f>
        <v>10537240-044E-49DF-984C-67CB23D33A0D</v>
      </c>
      <c r="E126" s="10" t="s">
        <v>720</v>
      </c>
      <c r="F126" s="25" t="str" cm="1">
        <f t="array" ref="F126">IF(NodesJSON[[#This Row],[Export?]]=0,"",IF(ROW(NodesJSON[[#This Row],[label]])&gt;ROW(NodesJSON[[#Headers],[JSON]])+1,",","") &amp;"{"&amp;twoRangesToJSON(NodesJSON[[#Headers],[label]:[url]],NodesJSON[[#This Row],[label]:[url]])&amp;"}")</f>
        <v>,{"label":"Data Lineage","group":"","id":"10537240-044E-49DF-984C-67CB23D33A0D","url":"https://open-measure.atlassian.net/wiki/spaces/DIC/pages/796983391"}</v>
      </c>
    </row>
    <row r="127" spans="1:6" ht="13.9" thickTop="1" thickBot="1" x14ac:dyDescent="0.4">
      <c r="A127" s="38">
        <f>IF(ISERR(NodesJSON[[#This Row],[label]]),0,1)</f>
        <v>1</v>
      </c>
      <c r="B127" s="3" t="str">
        <f>NodesData[[#This Row],[Common Name]]</f>
        <v>Data Obfuscation</v>
      </c>
      <c r="C127" s="3" t="str">
        <f>IF(NodesData[[#This Row],[Context Instanciation]]="","",NodesData[[#This Row],[Context Instanciation]])</f>
        <v/>
      </c>
      <c r="D127" s="22" t="str">
        <f>NodesData[[#This Row],[Node ID]]</f>
        <v>90DF205E-DE37-4519-9847-FF954082EEBB</v>
      </c>
      <c r="E127" s="10" t="s">
        <v>722</v>
      </c>
      <c r="F127" s="25" t="str" cm="1">
        <f t="array" ref="F127">IF(NodesJSON[[#This Row],[Export?]]=0,"",IF(ROW(NodesJSON[[#This Row],[label]])&gt;ROW(NodesJSON[[#Headers],[JSON]])+1,",","") &amp;"{"&amp;twoRangesToJSON(NodesJSON[[#Headers],[label]:[url]],NodesJSON[[#This Row],[label]:[url]])&amp;"}")</f>
        <v>,{"label":"Data Obfuscation","group":"","id":"90DF205E-DE37-4519-9847-FF954082EEBB","url":"https://open-measure.atlassian.net/wiki/spaces/DIC/pages/1181876315"}</v>
      </c>
    </row>
    <row r="128" spans="1:6" ht="13.9" thickTop="1" thickBot="1" x14ac:dyDescent="0.4">
      <c r="A128" s="38">
        <f>IF(ISERR(NodesJSON[[#This Row],[label]]),0,1)</f>
        <v>1</v>
      </c>
      <c r="B128" s="3" t="str">
        <f>NodesData[[#This Row],[Common Name]]</f>
        <v>Data Operation</v>
      </c>
      <c r="C128" s="3" t="str">
        <f>IF(NodesData[[#This Row],[Context Instanciation]]="","",NodesData[[#This Row],[Context Instanciation]])</f>
        <v/>
      </c>
      <c r="D128" s="22" t="str">
        <f>NodesData[[#This Row],[Node ID]]</f>
        <v>E1132C17-7D2B-4F86-A9F2-BAAA52027A5B</v>
      </c>
      <c r="E128" s="10" t="s">
        <v>724</v>
      </c>
      <c r="F128" s="25" t="str" cm="1">
        <f t="array" ref="F128">IF(NodesJSON[[#This Row],[Export?]]=0,"",IF(ROW(NodesJSON[[#This Row],[label]])&gt;ROW(NodesJSON[[#Headers],[JSON]])+1,",","") &amp;"{"&amp;twoRangesToJSON(NodesJSON[[#Headers],[label]:[url]],NodesJSON[[#This Row],[label]:[url]])&amp;"}")</f>
        <v>,{"label":"Data Operation","group":"","id":"E1132C17-7D2B-4F86-A9F2-BAAA52027A5B","url":"https://open-measure.atlassian.net/wiki/spaces/DIC/pages/810287202"}</v>
      </c>
    </row>
    <row r="129" spans="1:6" ht="13.9" thickTop="1" thickBot="1" x14ac:dyDescent="0.4">
      <c r="A129" s="38">
        <f>IF(ISERR(NodesJSON[[#This Row],[label]]),0,1)</f>
        <v>1</v>
      </c>
      <c r="B129" s="3" t="str">
        <f>NodesData[[#This Row],[Common Name]]</f>
        <v>Data Owner</v>
      </c>
      <c r="C129" s="3" t="str">
        <f>IF(NodesData[[#This Row],[Context Instanciation]]="","",NodesData[[#This Row],[Context Instanciation]])</f>
        <v/>
      </c>
      <c r="D129" s="22" t="str">
        <f>NodesData[[#This Row],[Node ID]]</f>
        <v>9B83B78F-F3DF-4D5A-BCA8-2329A9A280F2</v>
      </c>
      <c r="E129" s="10" t="s">
        <v>726</v>
      </c>
      <c r="F129" s="25" t="str" cm="1">
        <f t="array" ref="F129">IF(NodesJSON[[#This Row],[Export?]]=0,"",IF(ROW(NodesJSON[[#This Row],[label]])&gt;ROW(NodesJSON[[#Headers],[JSON]])+1,",","") &amp;"{"&amp;twoRangesToJSON(NodesJSON[[#Headers],[label]:[url]],NodesJSON[[#This Row],[label]:[url]])&amp;"}")</f>
        <v>,{"label":"Data Owner","group":"","id":"9B83B78F-F3DF-4D5A-BCA8-2329A9A280F2","url":"https://open-measure.atlassian.net/wiki/spaces/DIC/pages/419594251"}</v>
      </c>
    </row>
    <row r="130" spans="1:6" ht="13.9" thickTop="1" thickBot="1" x14ac:dyDescent="0.4">
      <c r="A130" s="38">
        <f>IF(ISERR(NodesJSON[[#This Row],[label]]),0,1)</f>
        <v>1</v>
      </c>
      <c r="B130" s="3" t="str">
        <f>NodesData[[#This Row],[Common Name]]</f>
        <v>Data-Level Policy</v>
      </c>
      <c r="C130" s="3" t="str">
        <f>IF(NodesData[[#This Row],[Context Instanciation]]="","",NodesData[[#This Row],[Context Instanciation]])</f>
        <v/>
      </c>
      <c r="D130" s="22" t="str">
        <f>NodesData[[#This Row],[Node ID]]</f>
        <v>4B3210C8-39F7-4985-AC37-C8EF09EA3061</v>
      </c>
      <c r="E130" s="10" t="s">
        <v>718</v>
      </c>
      <c r="F130" s="25" t="str" cm="1">
        <f t="array" ref="F130">IF(NodesJSON[[#This Row],[Export?]]=0,"",IF(ROW(NodesJSON[[#This Row],[label]])&gt;ROW(NodesJSON[[#Headers],[JSON]])+1,",","") &amp;"{"&amp;twoRangesToJSON(NodesJSON[[#Headers],[label]:[url]],NodesJSON[[#This Row],[label]:[url]])&amp;"}")</f>
        <v>,{"label":"Data-Level Policy","group":"","id":"4B3210C8-39F7-4985-AC37-C8EF09EA3061","url":"https://open-measure.atlassian.net/wiki/spaces/DIC/pages/1270153304/Digital+Identity+Authenticity"}</v>
      </c>
    </row>
    <row r="131" spans="1:6" ht="13.9" thickTop="1" thickBot="1" x14ac:dyDescent="0.4">
      <c r="A131" s="38">
        <f>IF(ISERR(NodesJSON[[#This Row],[label]]),0,1)</f>
        <v>1</v>
      </c>
      <c r="B131" s="3" t="str">
        <f>NodesData[[#This Row],[Common Name]]</f>
        <v>Death Certificate</v>
      </c>
      <c r="C131" s="3" t="str">
        <f>IF(NodesData[[#This Row],[Context Instanciation]]="","",NodesData[[#This Row],[Context Instanciation]])</f>
        <v/>
      </c>
      <c r="D131" s="22" t="str">
        <f>NodesData[[#This Row],[Node ID]]</f>
        <v>80F6B463-F9ED-44FB-A88C-1CE92651755E</v>
      </c>
      <c r="E131" s="10" t="s">
        <v>732</v>
      </c>
      <c r="F131" s="25" t="str" cm="1">
        <f t="array" ref="F131">IF(NodesJSON[[#This Row],[Export?]]=0,"",IF(ROW(NodesJSON[[#This Row],[label]])&gt;ROW(NodesJSON[[#Headers],[JSON]])+1,",","") &amp;"{"&amp;twoRangesToJSON(NodesJSON[[#Headers],[label]:[url]],NodesJSON[[#This Row],[label]:[url]])&amp;"}")</f>
        <v>,{"label":"Death Certificate","group":"","id":"80F6B463-F9ED-44FB-A88C-1CE92651755E","url":"https://open-measure.atlassian.net/wiki/spaces/DIC/pages/82903896"}</v>
      </c>
    </row>
    <row r="132" spans="1:6" ht="13.9" thickTop="1" thickBot="1" x14ac:dyDescent="0.4">
      <c r="A132" s="38">
        <f>IF(ISERR(NodesJSON[[#This Row],[label]]),0,1)</f>
        <v>1</v>
      </c>
      <c r="B132" s="3" t="str">
        <f>NodesData[[#This Row],[Common Name]]</f>
        <v>Decentralized Identifier</v>
      </c>
      <c r="C132" s="3" t="str">
        <f>IF(NodesData[[#This Row],[Context Instanciation]]="","",NodesData[[#This Row],[Context Instanciation]])</f>
        <v/>
      </c>
      <c r="D132" s="22" t="str">
        <f>NodesData[[#This Row],[Node ID]]</f>
        <v>8BEC95C0-8E9D-4DC5-8EF8-6551A505294C</v>
      </c>
      <c r="E132" s="10" t="s">
        <v>730</v>
      </c>
      <c r="F132" s="25" t="str" cm="1">
        <f t="array" ref="F132">IF(NodesJSON[[#This Row],[Export?]]=0,"",IF(ROW(NodesJSON[[#This Row],[label]])&gt;ROW(NodesJSON[[#Headers],[JSON]])+1,",","") &amp;"{"&amp;twoRangesToJSON(NodesJSON[[#Headers],[label]:[url]],NodesJSON[[#This Row],[label]:[url]])&amp;"}")</f>
        <v>,{"label":"Decentralized Identifier","group":"","id":"8BEC95C0-8E9D-4DC5-8EF8-6551A505294C","url":"https://open-measure.atlassian.net/wiki/spaces/DIC/pages/206766113"}</v>
      </c>
    </row>
    <row r="133" spans="1:6" ht="13.9" thickTop="1" thickBot="1" x14ac:dyDescent="0.4">
      <c r="A133" s="38">
        <f>IF(ISERR(NodesJSON[[#This Row],[label]]),0,1)</f>
        <v>1</v>
      </c>
      <c r="B133" s="3" t="str">
        <f>NodesData[[#This Row],[Common Name]]</f>
        <v>De-duplication</v>
      </c>
      <c r="C133" s="3" t="str">
        <f>IF(NodesData[[#This Row],[Context Instanciation]]="","",NodesData[[#This Row],[Context Instanciation]])</f>
        <v/>
      </c>
      <c r="D133" s="22" t="str">
        <f>NodesData[[#This Row],[Node ID]]</f>
        <v>8D7EB565-4332-4814-B30E-6ED4B2DC527E</v>
      </c>
      <c r="E133" s="10" t="s">
        <v>734</v>
      </c>
      <c r="F133" s="25" t="str" cm="1">
        <f t="array" ref="F133">IF(NodesJSON[[#This Row],[Export?]]=0,"",IF(ROW(NodesJSON[[#This Row],[label]])&gt;ROW(NodesJSON[[#Headers],[JSON]])+1,",","") &amp;"{"&amp;twoRangesToJSON(NodesJSON[[#Headers],[label]:[url]],NodesJSON[[#This Row],[label]:[url]])&amp;"}")</f>
        <v>,{"label":"De-duplication","group":"","id":"8D7EB565-4332-4814-B30E-6ED4B2DC527E","url":"https://open-measure.atlassian.net/wiki/spaces/DIC/pages/61964467"}</v>
      </c>
    </row>
    <row r="134" spans="1:6" ht="13.9" thickTop="1" thickBot="1" x14ac:dyDescent="0.4">
      <c r="A134" s="38">
        <f>IF(ISERR(NodesJSON[[#This Row],[label]]),0,1)</f>
        <v>1</v>
      </c>
      <c r="B134" s="3" t="str">
        <f>NodesData[[#This Row],[Common Name]]</f>
        <v>Deprovisioning</v>
      </c>
      <c r="C134" s="3" t="str">
        <f>IF(NodesData[[#This Row],[Context Instanciation]]="","",NodesData[[#This Row],[Context Instanciation]])</f>
        <v/>
      </c>
      <c r="D134" s="22" t="str">
        <f>NodesData[[#This Row],[Node ID]]</f>
        <v>9E2C6B4A-CFB9-46E8-876E-DFB73424448C</v>
      </c>
      <c r="E134" s="4"/>
      <c r="F134" s="25" t="str" cm="1">
        <f t="array" ref="F134">IF(NodesJSON[[#This Row],[Export?]]=0,"",IF(ROW(NodesJSON[[#This Row],[label]])&gt;ROW(NodesJSON[[#Headers],[JSON]])+1,",","") &amp;"{"&amp;twoRangesToJSON(NodesJSON[[#Headers],[label]:[url]],NodesJSON[[#This Row],[label]:[url]])&amp;"}")</f>
        <v>,{"label":"Deprovisioning","group":"","id":"9E2C6B4A-CFB9-46E8-876E-DFB73424448C","url":""}</v>
      </c>
    </row>
    <row r="135" spans="1:6" ht="13.9" thickTop="1" thickBot="1" x14ac:dyDescent="0.4">
      <c r="A135" s="38">
        <f>IF(ISERR(NodesJSON[[#This Row],[label]]),0,1)</f>
        <v>1</v>
      </c>
      <c r="B135" s="3" t="str">
        <f>NodesData[[#This Row],[Common Name]]</f>
        <v>DID</v>
      </c>
      <c r="C135" s="3" t="str">
        <f>IF(NodesData[[#This Row],[Context Instanciation]]="","",NodesData[[#This Row],[Context Instanciation]])</f>
        <v/>
      </c>
      <c r="D135" s="22" t="str">
        <f>NodesData[[#This Row],[Node ID]]</f>
        <v>BA9DA232-9DC6-4ACE-9735-B054E611BA2A</v>
      </c>
      <c r="E135" s="10" t="s">
        <v>736</v>
      </c>
      <c r="F135" s="25" t="str" cm="1">
        <f t="array" ref="F135">IF(NodesJSON[[#This Row],[Export?]]=0,"",IF(ROW(NodesJSON[[#This Row],[label]])&gt;ROW(NodesJSON[[#Headers],[JSON]])+1,",","") &amp;"{"&amp;twoRangesToJSON(NodesJSON[[#Headers],[label]:[url]],NodesJSON[[#This Row],[label]:[url]])&amp;"}")</f>
        <v>,{"label":"DID","group":"","id":"BA9DA232-9DC6-4ACE-9735-B054E611BA2A","url":"https://open-measure.atlassian.net/wiki/spaces/DIC/pages/1031209232"}</v>
      </c>
    </row>
    <row r="136" spans="1:6" ht="13.9" thickTop="1" thickBot="1" x14ac:dyDescent="0.4">
      <c r="A136" s="38">
        <f>IF(ISERR(NodesJSON[[#This Row],[label]]),0,1)</f>
        <v>1</v>
      </c>
      <c r="B136" s="3" t="str">
        <f>NodesData[[#This Row],[Common Name]]</f>
        <v>Digital Continuity</v>
      </c>
      <c r="C136" s="3" t="str">
        <f>IF(NodesData[[#This Row],[Context Instanciation]]="","",NodesData[[#This Row],[Context Instanciation]])</f>
        <v/>
      </c>
      <c r="D136" s="22" t="str">
        <f>NodesData[[#This Row],[Node ID]]</f>
        <v>3DC5ABFD-85BA-4B82-B09D-45770980DE95</v>
      </c>
      <c r="E136" s="10" t="s">
        <v>738</v>
      </c>
      <c r="F136" s="25" t="str" cm="1">
        <f t="array" ref="F136">IF(NodesJSON[[#This Row],[Export?]]=0,"",IF(ROW(NodesJSON[[#This Row],[label]])&gt;ROW(NodesJSON[[#Headers],[JSON]])+1,",","") &amp;"{"&amp;twoRangesToJSON(NodesJSON[[#Headers],[label]:[url]],NodesJSON[[#This Row],[label]:[url]])&amp;"}")</f>
        <v>,{"label":"Digital Continuity","group":"","id":"3DC5ABFD-85BA-4B82-B09D-45770980DE95","url":"https://open-measure.atlassian.net/wiki/spaces/DIC/pages/206766092"}</v>
      </c>
    </row>
    <row r="137" spans="1:6" ht="13.9" thickTop="1" thickBot="1" x14ac:dyDescent="0.4">
      <c r="A137" s="38">
        <f>IF(ISERR(NodesJSON[[#This Row],[label]]),0,1)</f>
        <v>1</v>
      </c>
      <c r="B137" s="3" t="str">
        <f>NodesData[[#This Row],[Common Name]]</f>
        <v>Digital Identification System</v>
      </c>
      <c r="C137" s="3" t="str">
        <f>IF(NodesData[[#This Row],[Context Instanciation]]="","",NodesData[[#This Row],[Context Instanciation]])</f>
        <v/>
      </c>
      <c r="D137" s="22" t="str">
        <f>NodesData[[#This Row],[Node ID]]</f>
        <v>A237587B-270A-46F9-8435-C66292433607</v>
      </c>
      <c r="E137" s="10" t="s">
        <v>740</v>
      </c>
      <c r="F137" s="25" t="str" cm="1">
        <f t="array" ref="F137">IF(NodesJSON[[#This Row],[Export?]]=0,"",IF(ROW(NodesJSON[[#This Row],[label]])&gt;ROW(NodesJSON[[#Headers],[JSON]])+1,",","") &amp;"{"&amp;twoRangesToJSON(NodesJSON[[#Headers],[label]:[url]],NodesJSON[[#This Row],[label]:[url]])&amp;"}")</f>
        <v>,{"label":"Digital Identification System","group":"","id":"A237587B-270A-46F9-8435-C66292433607","url":"https://open-measure.atlassian.net/wiki/spaces/DIC/pages/62455952"}</v>
      </c>
    </row>
    <row r="138" spans="1:6" ht="13.9" thickTop="1" thickBot="1" x14ac:dyDescent="0.4">
      <c r="A138" s="38">
        <f>IF(ISERR(NodesJSON[[#This Row],[label]]),0,1)</f>
        <v>1</v>
      </c>
      <c r="B138" s="3" t="str">
        <f>NodesData[[#This Row],[Common Name]]</f>
        <v>Digital Identity</v>
      </c>
      <c r="C138" s="3" t="str">
        <f>IF(NodesData[[#This Row],[Context Instanciation]]="","",NodesData[[#This Row],[Context Instanciation]])</f>
        <v>Account Takeover</v>
      </c>
      <c r="D138" s="22" t="str">
        <f>NodesData[[#This Row],[Node ID]]</f>
        <v>2BE2F561-5FF3-4301-82B7-39FF29CD650A</v>
      </c>
      <c r="E138" s="10" t="s">
        <v>742</v>
      </c>
      <c r="F138" s="25" t="str" cm="1">
        <f t="array" ref="F138">IF(NodesJSON[[#This Row],[Export?]]=0,"",IF(ROW(NodesJSON[[#This Row],[label]])&gt;ROW(NodesJSON[[#Headers],[JSON]])+1,",","") &amp;"{"&amp;twoRangesToJSON(NodesJSON[[#Headers],[label]:[url]],NodesJSON[[#This Row],[label]:[url]])&amp;"}")</f>
        <v>,{"label":"Digital Identity","group":"Account Takeover","id":"2BE2F561-5FF3-4301-82B7-39FF29CD650A","url":"https://open-measure.atlassian.net/wiki/spaces/DIC/pages/76021801"}</v>
      </c>
    </row>
    <row r="139" spans="1:6" ht="13.9" thickTop="1" thickBot="1" x14ac:dyDescent="0.4">
      <c r="A139" s="38">
        <f>IF(ISERR(NodesJSON[[#This Row],[label]]),0,1)</f>
        <v>1</v>
      </c>
      <c r="B139" s="3" t="str">
        <f>NodesData[[#This Row],[Common Name]]</f>
        <v>Digital Identity</v>
      </c>
      <c r="C139" s="3" t="str">
        <f>IF(NodesData[[#This Row],[Context Instanciation]]="","",NodesData[[#This Row],[Context Instanciation]])</f>
        <v/>
      </c>
      <c r="D139" s="22" t="str">
        <f>NodesData[[#This Row],[Node ID]]</f>
        <v>E1435B14-CC90-490D-B94E-09B54D033ED7</v>
      </c>
      <c r="E139" s="10" t="s">
        <v>744</v>
      </c>
      <c r="F139" s="25" t="str" cm="1">
        <f t="array" ref="F139">IF(NodesJSON[[#This Row],[Export?]]=0,"",IF(ROW(NodesJSON[[#This Row],[label]])&gt;ROW(NodesJSON[[#Headers],[JSON]])+1,",","") &amp;"{"&amp;twoRangesToJSON(NodesJSON[[#Headers],[label]:[url]],NodesJSON[[#This Row],[label]:[url]])&amp;"}")</f>
        <v>,{"label":"Digital Identity","group":"","id":"E1435B14-CC90-490D-B94E-09B54D033ED7","url":"https://open-measure.atlassian.net/wiki/spaces/DIC/pages/1121878049"}</v>
      </c>
    </row>
    <row r="140" spans="1:6" ht="13.9" thickTop="1" thickBot="1" x14ac:dyDescent="0.4">
      <c r="A140" s="38">
        <f>IF(ISERR(NodesJSON[[#This Row],[label]]),0,1)</f>
        <v>1</v>
      </c>
      <c r="B140" s="3" t="str">
        <f>NodesData[[#This Row],[Common Name]]</f>
        <v>Digital Identity Authenticity</v>
      </c>
      <c r="C140" s="3" t="str">
        <f>IF(NodesData[[#This Row],[Context Instanciation]]="","",NodesData[[#This Row],[Context Instanciation]])</f>
        <v/>
      </c>
      <c r="D140" s="22" t="str">
        <f>NodesData[[#This Row],[Node ID]]</f>
        <v>FA054117-A262-4F6D-93D6-2DE0BF7AA009</v>
      </c>
      <c r="E140" s="10" t="s">
        <v>752</v>
      </c>
      <c r="F140" s="25" t="str" cm="1">
        <f t="array" ref="F140">IF(NodesJSON[[#This Row],[Export?]]=0,"",IF(ROW(NodesJSON[[#This Row],[label]])&gt;ROW(NodesJSON[[#Headers],[JSON]])+1,",","") &amp;"{"&amp;twoRangesToJSON(NodesJSON[[#Headers],[label]:[url]],NodesJSON[[#This Row],[label]:[url]])&amp;"}")</f>
        <v>,{"label":"Digital Identity Authenticity","group":"","id":"FA054117-A262-4F6D-93D6-2DE0BF7AA009","url":"https://open-measure.atlassian.net/wiki/spaces/DIC/pages/1122566173"}</v>
      </c>
    </row>
    <row r="141" spans="1:6" ht="13.9" thickTop="1" thickBot="1" x14ac:dyDescent="0.4">
      <c r="A141" s="38">
        <f>IF(ISERR(NodesJSON[[#This Row],[label]]),0,1)</f>
        <v>1</v>
      </c>
      <c r="B141" s="3" t="str">
        <f>NodesData[[#This Row],[Common Name]]</f>
        <v>Digital Triangulation</v>
      </c>
      <c r="C141" s="3" t="str">
        <f>IF(NodesData[[#This Row],[Context Instanciation]]="","",NodesData[[#This Row],[Context Instanciation]])</f>
        <v/>
      </c>
      <c r="D141" s="22" t="str">
        <f>NodesData[[#This Row],[Node ID]]</f>
        <v>645E681F-6A1D-4BD3-9423-0A9461A10004</v>
      </c>
      <c r="E141" s="10" t="s">
        <v>746</v>
      </c>
      <c r="F141" s="25" t="str" cm="1">
        <f t="array" ref="F141">IF(NodesJSON[[#This Row],[Export?]]=0,"",IF(ROW(NodesJSON[[#This Row],[label]])&gt;ROW(NodesJSON[[#Headers],[JSON]])+1,",","") &amp;"{"&amp;twoRangesToJSON(NodesJSON[[#Headers],[label]:[url]],NodesJSON[[#This Row],[label]:[url]])&amp;"}")</f>
        <v>,{"label":"Digital Triangulation","group":"","id":"645E681F-6A1D-4BD3-9423-0A9461A10004","url":"https://open-measure.atlassian.net/wiki/spaces/DIC/pages/1122566465"}</v>
      </c>
    </row>
    <row r="142" spans="1:6" ht="13.9" thickTop="1" thickBot="1" x14ac:dyDescent="0.4">
      <c r="A142" s="38">
        <f>IF(ISERR(NodesJSON[[#This Row],[label]]),0,1)</f>
        <v>1</v>
      </c>
      <c r="B142" s="3" t="str">
        <f>NodesData[[#This Row],[Common Name]]</f>
        <v>Discretionary Access Control</v>
      </c>
      <c r="C142" s="3" t="str">
        <f>IF(NodesData[[#This Row],[Context Instanciation]]="","",NodesData[[#This Row],[Context Instanciation]])</f>
        <v/>
      </c>
      <c r="D142" s="22" t="str">
        <f>NodesData[[#This Row],[Node ID]]</f>
        <v>4D9631E2-5D37-4E84-B756-23F708539197</v>
      </c>
      <c r="E142" s="10" t="s">
        <v>748</v>
      </c>
      <c r="F142" s="25" t="str" cm="1">
        <f t="array" ref="F142">IF(NodesJSON[[#This Row],[Export?]]=0,"",IF(ROW(NodesJSON[[#This Row],[label]])&gt;ROW(NodesJSON[[#Headers],[JSON]])+1,",","") &amp;"{"&amp;twoRangesToJSON(NodesJSON[[#Headers],[label]:[url]],NodesJSON[[#This Row],[label]:[url]])&amp;"}")</f>
        <v>,{"label":"Discretionary Access Control","group":"","id":"4D9631E2-5D37-4E84-B756-23F708539197","url":"https://open-measure.atlassian.net/wiki/spaces/DIC/pages/1121910973"}</v>
      </c>
    </row>
    <row r="143" spans="1:6" ht="13.9" thickTop="1" thickBot="1" x14ac:dyDescent="0.4">
      <c r="A143" s="38">
        <f>IF(ISERR(NodesJSON[[#This Row],[label]]),0,1)</f>
        <v>1</v>
      </c>
      <c r="B143" s="3" t="str">
        <f>NodesData[[#This Row],[Common Name]]</f>
        <v>Distributed Identity</v>
      </c>
      <c r="C143" s="3" t="str">
        <f>IF(NodesData[[#This Row],[Context Instanciation]]="","",NodesData[[#This Row],[Context Instanciation]])</f>
        <v/>
      </c>
      <c r="D143" s="22" t="str">
        <f>NodesData[[#This Row],[Node ID]]</f>
        <v>C97DE42F-B869-4048-81B0-C866B88B527A</v>
      </c>
      <c r="E143" s="10" t="s">
        <v>750</v>
      </c>
      <c r="F143" s="25" t="str" cm="1">
        <f t="array" ref="F143">IF(NodesJSON[[#This Row],[Export?]]=0,"",IF(ROW(NodesJSON[[#This Row],[label]])&gt;ROW(NodesJSON[[#Headers],[JSON]])+1,",","") &amp;"{"&amp;twoRangesToJSON(NodesJSON[[#Headers],[label]:[url]],NodesJSON[[#This Row],[label]:[url]])&amp;"}")</f>
        <v>,{"label":"Distributed Identity","group":"","id":"C97DE42F-B869-4048-81B0-C866B88B527A","url":"https://open-measure.atlassian.net/wiki/spaces/DIC/pages/1122631800"}</v>
      </c>
    </row>
    <row r="144" spans="1:6" ht="13.9" thickTop="1" thickBot="1" x14ac:dyDescent="0.4">
      <c r="A144" s="38">
        <f>IF(ISERR(NodesJSON[[#This Row],[label]]),0,1)</f>
        <v>1</v>
      </c>
      <c r="B144" s="3" t="str">
        <f>NodesData[[#This Row],[Common Name]]</f>
        <v>Distributed Ledger Technology</v>
      </c>
      <c r="C144" s="3" t="str">
        <f>IF(NodesData[[#This Row],[Context Instanciation]]="","",NodesData[[#This Row],[Context Instanciation]])</f>
        <v/>
      </c>
      <c r="D144" s="22" t="str">
        <f>NodesData[[#This Row],[Node ID]]</f>
        <v>582B8EAF-A56F-4766-9F77-5F58C0B8D0EE</v>
      </c>
      <c r="E144" s="10" t="s">
        <v>754</v>
      </c>
      <c r="F144" s="25" t="str" cm="1">
        <f t="array" ref="F144">IF(NodesJSON[[#This Row],[Export?]]=0,"",IF(ROW(NodesJSON[[#This Row],[label]])&gt;ROW(NodesJSON[[#Headers],[JSON]])+1,",","") &amp;"{"&amp;twoRangesToJSON(NodesJSON[[#Headers],[label]:[url]],NodesJSON[[#This Row],[label]:[url]])&amp;"}")</f>
        <v>,{"label":"Distributed Ledger Technology","group":"","id":"582B8EAF-A56F-4766-9F77-5F58C0B8D0EE","url":"https://open-measure.atlassian.net/wiki/spaces/DIC/pages/123830932"}</v>
      </c>
    </row>
    <row r="145" spans="1:6" ht="13.9" thickTop="1" thickBot="1" x14ac:dyDescent="0.4">
      <c r="A145" s="38">
        <f>IF(ISERR(NodesJSON[[#This Row],[label]]),0,1)</f>
        <v>1</v>
      </c>
      <c r="B145" s="3" t="str">
        <f>NodesData[[#This Row],[Common Name]]</f>
        <v>Dual Authorization</v>
      </c>
      <c r="C145" s="3" t="str">
        <f>IF(NodesData[[#This Row],[Context Instanciation]]="","",NodesData[[#This Row],[Context Instanciation]])</f>
        <v/>
      </c>
      <c r="D145" s="22" t="str">
        <f>NodesData[[#This Row],[Node ID]]</f>
        <v>13B1AA7C-B79A-425E-B700-05712F16DD6A</v>
      </c>
      <c r="E145" s="10" t="s">
        <v>756</v>
      </c>
      <c r="F145" s="25" t="str" cm="1">
        <f t="array" ref="F145">IF(NodesJSON[[#This Row],[Export?]]=0,"",IF(ROW(NodesJSON[[#This Row],[label]])&gt;ROW(NodesJSON[[#Headers],[JSON]])+1,",","") &amp;"{"&amp;twoRangesToJSON(NodesJSON[[#Headers],[label]:[url]],NodesJSON[[#This Row],[label]:[url]])&amp;"}")</f>
        <v>,{"label":"Dual Authorization","group":"","id":"13B1AA7C-B79A-425E-B700-05712F16DD6A","url":"https://open-measure.atlassian.net/wiki/spaces/DIC/pages/75956266"}</v>
      </c>
    </row>
    <row r="146" spans="1:6" ht="13.9" thickTop="1" thickBot="1" x14ac:dyDescent="0.4">
      <c r="A146" s="38">
        <f>IF(ISERR(NodesJSON[[#This Row],[label]]),0,1)</f>
        <v>1</v>
      </c>
      <c r="B146" s="3" t="str">
        <f>NodesData[[#This Row],[Common Name]]</f>
        <v>ECS</v>
      </c>
      <c r="C146" s="3" t="str">
        <f>IF(NodesData[[#This Row],[Context Instanciation]]="","",NodesData[[#This Row],[Context Instanciation]])</f>
        <v/>
      </c>
      <c r="D146" s="22" t="str">
        <f>NodesData[[#This Row],[Node ID]]</f>
        <v>C550F7EE-7B41-4DE1-B13F-507E85CA9D43</v>
      </c>
      <c r="E146" s="10" t="s">
        <v>758</v>
      </c>
      <c r="F146" s="25" t="str" cm="1">
        <f t="array" ref="F146">IF(NodesJSON[[#This Row],[Export?]]=0,"",IF(ROW(NodesJSON[[#This Row],[label]])&gt;ROW(NodesJSON[[#Headers],[JSON]])+1,",","") &amp;"{"&amp;twoRangesToJSON(NodesJSON[[#Headers],[label]:[url]],NodesJSON[[#This Row],[label]:[url]])&amp;"}")</f>
        <v>,{"label":"ECS","group":"","id":"C550F7EE-7B41-4DE1-B13F-507E85CA9D43","url":"https://open-measure.atlassian.net/wiki/spaces/DIC/pages/1104904275"}</v>
      </c>
    </row>
    <row r="147" spans="1:6" ht="13.9" thickTop="1" thickBot="1" x14ac:dyDescent="0.4">
      <c r="A147" s="38">
        <f>IF(ISERR(NodesJSON[[#This Row],[label]]),0,1)</f>
        <v>1</v>
      </c>
      <c r="B147" s="3" t="str">
        <f>NodesData[[#This Row],[Common Name]]</f>
        <v>e-Identity</v>
      </c>
      <c r="C147" s="3" t="str">
        <f>IF(NodesData[[#This Row],[Context Instanciation]]="","",NodesData[[#This Row],[Context Instanciation]])</f>
        <v/>
      </c>
      <c r="D147" s="22" t="str">
        <f>NodesData[[#This Row],[Node ID]]</f>
        <v>8B85D281-00AE-41BB-87F1-57ABD43B93E5</v>
      </c>
      <c r="E147" s="10" t="s">
        <v>760</v>
      </c>
      <c r="F147" s="25" t="str" cm="1">
        <f t="array" ref="F147">IF(NodesJSON[[#This Row],[Export?]]=0,"",IF(ROW(NodesJSON[[#This Row],[label]])&gt;ROW(NodesJSON[[#Headers],[JSON]])+1,",","") &amp;"{"&amp;twoRangesToJSON(NodesJSON[[#Headers],[label]:[url]],NodesJSON[[#This Row],[label]:[url]])&amp;"}")</f>
        <v>,{"label":"e-Identity","group":"","id":"8B85D281-00AE-41BB-87F1-57ABD43B93E5","url":"https://open-measure.atlassian.net/wiki/spaces/DIC/pages/446824885"}</v>
      </c>
    </row>
    <row r="148" spans="1:6" ht="13.9" thickTop="1" thickBot="1" x14ac:dyDescent="0.4">
      <c r="A148" s="38">
        <f>IF(ISERR(NodesJSON[[#This Row],[label]]),0,1)</f>
        <v>1</v>
      </c>
      <c r="B148" s="3" t="str">
        <f>NodesData[[#This Row],[Common Name]]</f>
        <v>EIdM</v>
      </c>
      <c r="C148" s="3" t="str">
        <f>IF(NodesData[[#This Row],[Context Instanciation]]="","",NodesData[[#This Row],[Context Instanciation]])</f>
        <v/>
      </c>
      <c r="D148" s="22" t="str">
        <f>NodesData[[#This Row],[Node ID]]</f>
        <v>8B556C0C-5217-424F-BC90-23413E7B6587</v>
      </c>
      <c r="E148" s="10" t="s">
        <v>762</v>
      </c>
      <c r="F148" s="25" t="str" cm="1">
        <f t="array" ref="F148">IF(NodesJSON[[#This Row],[Export?]]=0,"",IF(ROW(NodesJSON[[#This Row],[label]])&gt;ROW(NodesJSON[[#Headers],[JSON]])+1,",","") &amp;"{"&amp;twoRangesToJSON(NodesJSON[[#Headers],[label]:[url]],NodesJSON[[#This Row],[label]:[url]])&amp;"}")</f>
        <v>,{"label":"EIdM","group":"","id":"8B556C0C-5217-424F-BC90-23413E7B6587","url":"https://open-measure.atlassian.net/wiki/spaces/DIC/pages/461275380"}</v>
      </c>
    </row>
    <row r="149" spans="1:6" ht="13.9" thickTop="1" thickBot="1" x14ac:dyDescent="0.4">
      <c r="A149" s="38">
        <f>IF(ISERR(NodesJSON[[#This Row],[label]]),0,1)</f>
        <v>1</v>
      </c>
      <c r="B149" s="3" t="str">
        <f>NodesData[[#This Row],[Common Name]]</f>
        <v>Email OTP</v>
      </c>
      <c r="C149" s="3" t="str">
        <f>IF(NodesData[[#This Row],[Context Instanciation]]="","",NodesData[[#This Row],[Context Instanciation]])</f>
        <v/>
      </c>
      <c r="D149" s="22" t="str">
        <f>NodesData[[#This Row],[Node ID]]</f>
        <v>EEDDA991-575E-4867-BB6C-1D20D6C45BEB</v>
      </c>
      <c r="E149" s="10" t="s">
        <v>764</v>
      </c>
      <c r="F149" s="25" t="str" cm="1">
        <f t="array" ref="F149">IF(NodesJSON[[#This Row],[Export?]]=0,"",IF(ROW(NodesJSON[[#This Row],[label]])&gt;ROW(NodesJSON[[#Headers],[JSON]])+1,",","") &amp;"{"&amp;twoRangesToJSON(NodesJSON[[#Headers],[label]:[url]],NodesJSON[[#This Row],[label]:[url]])&amp;"}")</f>
        <v>,{"label":"Email OTP","group":"","id":"EEDDA991-575E-4867-BB6C-1D20D6C45BEB","url":"https://open-measure.atlassian.net/wiki/spaces/DIC/pages/82870848"}</v>
      </c>
    </row>
    <row r="150" spans="1:6" ht="13.9" thickTop="1" thickBot="1" x14ac:dyDescent="0.4">
      <c r="A150" s="38">
        <f>IF(ISERR(NodesJSON[[#This Row],[label]]),0,1)</f>
        <v>1</v>
      </c>
      <c r="B150" s="3" t="str">
        <f>NodesData[[#This Row],[Common Name]]</f>
        <v>Employee</v>
      </c>
      <c r="C150" s="3" t="str">
        <f>IF(NodesData[[#This Row],[Context Instanciation]]="","",NodesData[[#This Row],[Context Instanciation]])</f>
        <v/>
      </c>
      <c r="D150" s="22" t="str">
        <f>NodesData[[#This Row],[Node ID]]</f>
        <v>457ACBEA-70CB-43A0-AC18-D56FE9FA60A5</v>
      </c>
      <c r="E150" s="10" t="s">
        <v>766</v>
      </c>
      <c r="F150" s="25" t="str" cm="1">
        <f t="array" ref="F150">IF(NodesJSON[[#This Row],[Export?]]=0,"",IF(ROW(NodesJSON[[#This Row],[label]])&gt;ROW(NodesJSON[[#Headers],[JSON]])+1,",","") &amp;"{"&amp;twoRangesToJSON(NodesJSON[[#Headers],[label]:[url]],NodesJSON[[#This Row],[label]:[url]])&amp;"}")</f>
        <v>,{"label":"Employee","group":"","id":"457ACBEA-70CB-43A0-AC18-D56FE9FA60A5","url":"https://open-measure.atlassian.net/wiki/spaces/DIC/pages/1121878505"}</v>
      </c>
    </row>
    <row r="151" spans="1:6" ht="13.9" thickTop="1" thickBot="1" x14ac:dyDescent="0.4">
      <c r="A151" s="38">
        <f>IF(ISERR(NodesJSON[[#This Row],[label]]),0,1)</f>
        <v>1</v>
      </c>
      <c r="B151" s="3" t="str">
        <f>NodesData[[#This Row],[Common Name]]</f>
        <v>Enterprise Cloud Subscriber</v>
      </c>
      <c r="C151" s="3" t="str">
        <f>IF(NodesData[[#This Row],[Context Instanciation]]="","",NodesData[[#This Row],[Context Instanciation]])</f>
        <v/>
      </c>
      <c r="D151" s="22" t="str">
        <f>NodesData[[#This Row],[Node ID]]</f>
        <v>46108898-4BC3-458E-8D58-039A1C42C7CB</v>
      </c>
      <c r="E151" s="10" t="s">
        <v>728</v>
      </c>
      <c r="F151" s="25" t="str" cm="1">
        <f t="array" ref="F151">IF(NodesJSON[[#This Row],[Export?]]=0,"",IF(ROW(NodesJSON[[#This Row],[label]])&gt;ROW(NodesJSON[[#Headers],[JSON]])+1,",","") &amp;"{"&amp;twoRangesToJSON(NodesJSON[[#Headers],[label]:[url]],NodesJSON[[#This Row],[label]:[url]])&amp;"}")</f>
        <v>,{"label":"Enterprise Cloud Subscriber","group":"","id":"46108898-4BC3-458E-8D58-039A1C42C7CB","url":"https://open-measure.atlassian.net/wiki/spaces/DIC/pages/806584322"}</v>
      </c>
    </row>
    <row r="152" spans="1:6" ht="13.9" thickTop="1" thickBot="1" x14ac:dyDescent="0.4">
      <c r="A152" s="38">
        <f>IF(ISERR(NodesJSON[[#This Row],[label]]),0,1)</f>
        <v>1</v>
      </c>
      <c r="B152" s="3" t="str">
        <f>NodesData[[#This Row],[Common Name]]</f>
        <v>Enterprise Identity Management</v>
      </c>
      <c r="C152" s="3" t="str">
        <f>IF(NodesData[[#This Row],[Context Instanciation]]="","",NodesData[[#This Row],[Context Instanciation]])</f>
        <v/>
      </c>
      <c r="D152" s="22" t="str">
        <f>NodesData[[#This Row],[Node ID]]</f>
        <v>28947511-B080-4A93-A7B0-33218B1A2C92</v>
      </c>
      <c r="E152" s="10" t="s">
        <v>767</v>
      </c>
      <c r="F152" s="25" t="str" cm="1">
        <f t="array" ref="F152">IF(NodesJSON[[#This Row],[Export?]]=0,"",IF(ROW(NodesJSON[[#This Row],[label]])&gt;ROW(NodesJSON[[#Headers],[JSON]])+1,",","") &amp;"{"&amp;twoRangesToJSON(NodesJSON[[#Headers],[label]:[url]],NodesJSON[[#This Row],[label]:[url]])&amp;"}")</f>
        <v>,{"label":"Enterprise Identity Management","group":"","id":"28947511-B080-4A93-A7B0-33218B1A2C92","url":"https://open-measure.atlassian.net/wiki/spaces/DIC/pages/1267433567/Fake+Digital+Identity"}</v>
      </c>
    </row>
    <row r="153" spans="1:6" ht="13.9" thickTop="1" thickBot="1" x14ac:dyDescent="0.4">
      <c r="A153" s="38">
        <f>IF(ISERR(NodesJSON[[#This Row],[label]]),0,1)</f>
        <v>1</v>
      </c>
      <c r="B153" s="3" t="str">
        <f>NodesData[[#This Row],[Common Name]]</f>
        <v>Enterprise Single Sign-On</v>
      </c>
      <c r="C153" s="3" t="str">
        <f>IF(NodesData[[#This Row],[Context Instanciation]]="","",NodesData[[#This Row],[Context Instanciation]])</f>
        <v/>
      </c>
      <c r="D153" s="22" t="str">
        <f>NodesData[[#This Row],[Node ID]]</f>
        <v>3EAA791E-3B70-449F-B568-9F5324F2D2D6</v>
      </c>
      <c r="E153" s="10" t="s">
        <v>768</v>
      </c>
      <c r="F153" s="25" t="str" cm="1">
        <f t="array" ref="F153">IF(NodesJSON[[#This Row],[Export?]]=0,"",IF(ROW(NodesJSON[[#This Row],[label]])&gt;ROW(NodesJSON[[#Headers],[JSON]])+1,",","") &amp;"{"&amp;twoRangesToJSON(NodesJSON[[#Headers],[label]:[url]],NodesJSON[[#This Row],[label]:[url]])&amp;"}")</f>
        <v>,{"label":"Enterprise Single Sign-On","group":"","id":"3EAA791E-3B70-449F-B568-9F5324F2D2D6","url":"https://open-measure.atlassian.net/wiki/spaces/DIC/pages/1290141697/FAPI"}</v>
      </c>
    </row>
    <row r="154" spans="1:6" ht="13.9" thickTop="1" thickBot="1" x14ac:dyDescent="0.4">
      <c r="A154" s="38">
        <f>IF(ISERR(NodesJSON[[#This Row],[label]]),0,1)</f>
        <v>1</v>
      </c>
      <c r="B154" s="3" t="str">
        <f>NodesData[[#This Row],[Common Name]]</f>
        <v>Entitlement</v>
      </c>
      <c r="C154" s="3" t="str">
        <f>IF(NodesData[[#This Row],[Context Instanciation]]="","",NodesData[[#This Row],[Context Instanciation]])</f>
        <v/>
      </c>
      <c r="D154" s="22" t="str">
        <f>NodesData[[#This Row],[Node ID]]</f>
        <v>10741EE3-59A0-4E11-9900-13A8D78F55AF</v>
      </c>
      <c r="E154" s="10" t="s">
        <v>770</v>
      </c>
      <c r="F154" s="25" t="str" cm="1">
        <f t="array" ref="F154">IF(NodesJSON[[#This Row],[Export?]]=0,"",IF(ROW(NodesJSON[[#This Row],[label]])&gt;ROW(NodesJSON[[#Headers],[JSON]])+1,",","") &amp;"{"&amp;twoRangesToJSON(NodesJSON[[#Headers],[label]:[url]],NodesJSON[[#This Row],[label]:[url]])&amp;"}")</f>
        <v>,{"label":"Entitlement","group":"","id":"10741EE3-59A0-4E11-9900-13A8D78F55AF","url":"https://open-measure.atlassian.net/wiki/spaces/DIC/pages/331579598"}</v>
      </c>
    </row>
    <row r="155" spans="1:6" ht="13.9" thickTop="1" thickBot="1" x14ac:dyDescent="0.4">
      <c r="A155" s="38">
        <f>IF(ISERR(NodesJSON[[#This Row],[label]]),0,1)</f>
        <v>1</v>
      </c>
      <c r="B155" s="3" t="str">
        <f>NodesData[[#This Row],[Common Name]]</f>
        <v>Entitlement Management</v>
      </c>
      <c r="C155" s="3" t="str">
        <f>IF(NodesData[[#This Row],[Context Instanciation]]="","",NodesData[[#This Row],[Context Instanciation]])</f>
        <v/>
      </c>
      <c r="D155" s="22" t="str">
        <f>NodesData[[#This Row],[Node ID]]</f>
        <v>F601F079-54E4-4305-A4BC-B76D58770A80</v>
      </c>
      <c r="E155" s="10" t="s">
        <v>772</v>
      </c>
      <c r="F155" s="25" t="str" cm="1">
        <f t="array" ref="F155">IF(NodesJSON[[#This Row],[Export?]]=0,"",IF(ROW(NodesJSON[[#This Row],[label]])&gt;ROW(NodesJSON[[#Headers],[JSON]])+1,",","") &amp;"{"&amp;twoRangesToJSON(NodesJSON[[#Headers],[label]:[url]],NodesJSON[[#This Row],[label]:[url]])&amp;"}")</f>
        <v>,{"label":"Entitlement Management","group":"","id":"F601F079-54E4-4305-A4BC-B76D58770A80","url":"https://open-measure.atlassian.net/wiki/spaces/DIC/pages/1152483703"}</v>
      </c>
    </row>
    <row r="156" spans="1:6" ht="13.9" thickTop="1" thickBot="1" x14ac:dyDescent="0.4">
      <c r="A156" s="38">
        <f>IF(ISERR(NodesJSON[[#This Row],[label]]),0,1)</f>
        <v>1</v>
      </c>
      <c r="B156" s="3" t="str">
        <f>NodesData[[#This Row],[Common Name]]</f>
        <v>Entitlement Management Process</v>
      </c>
      <c r="C156" s="3" t="str">
        <f>IF(NodesData[[#This Row],[Context Instanciation]]="","",NodesData[[#This Row],[Context Instanciation]])</f>
        <v/>
      </c>
      <c r="D156" s="22" t="str">
        <f>NodesData[[#This Row],[Node ID]]</f>
        <v>FDE38578-7AC3-4972-A3E1-6A210CF1A58D</v>
      </c>
      <c r="E156" s="10" t="s">
        <v>774</v>
      </c>
      <c r="F156" s="25" t="str" cm="1">
        <f t="array" ref="F156">IF(NodesJSON[[#This Row],[Export?]]=0,"",IF(ROW(NodesJSON[[#This Row],[label]])&gt;ROW(NodesJSON[[#Headers],[JSON]])+1,",","") &amp;"{"&amp;twoRangesToJSON(NodesJSON[[#Headers],[label]:[url]],NodesJSON[[#This Row],[label]:[url]])&amp;"}")</f>
        <v>,{"label":"Entitlement Management Process","group":"","id":"FDE38578-7AC3-4972-A3E1-6A210CF1A58D","url":"https://open-measure.atlassian.net/wiki/spaces/DIC/pages/75890786"}</v>
      </c>
    </row>
    <row r="157" spans="1:6" ht="13.9" thickTop="1" thickBot="1" x14ac:dyDescent="0.4">
      <c r="A157" s="38">
        <f>IF(ISERR(NodesJSON[[#This Row],[label]]),0,1)</f>
        <v>1</v>
      </c>
      <c r="B157" s="3" t="str">
        <f>NodesData[[#This Row],[Common Name]]</f>
        <v>Entitlement Management Solution</v>
      </c>
      <c r="C157" s="3" t="str">
        <f>IF(NodesData[[#This Row],[Context Instanciation]]="","",NodesData[[#This Row],[Context Instanciation]])</f>
        <v/>
      </c>
      <c r="D157" s="22" t="str">
        <f>NodesData[[#This Row],[Node ID]]</f>
        <v>60094F30-C554-43E2-91D3-B87498F81E1B</v>
      </c>
      <c r="E157" s="10" t="s">
        <v>776</v>
      </c>
      <c r="F157" s="25" t="str" cm="1">
        <f t="array" ref="F157">IF(NodesJSON[[#This Row],[Export?]]=0,"",IF(ROW(NodesJSON[[#This Row],[label]])&gt;ROW(NodesJSON[[#Headers],[JSON]])+1,",","") &amp;"{"&amp;twoRangesToJSON(NodesJSON[[#Headers],[label]:[url]],NodesJSON[[#This Row],[label]:[url]])&amp;"}")</f>
        <v>,{"label":"Entitlement Management Solution","group":"","id":"60094F30-C554-43E2-91D3-B87498F81E1B","url":"https://open-measure.atlassian.net/wiki/spaces/DIC/pages/763035693"}</v>
      </c>
    </row>
    <row r="158" spans="1:6" ht="13.9" thickTop="1" thickBot="1" x14ac:dyDescent="0.4">
      <c r="A158" s="38">
        <f>IF(ISERR(NodesJSON[[#This Row],[label]]),0,1)</f>
        <v>1</v>
      </c>
      <c r="B158" s="3" t="str">
        <f>NodesData[[#This Row],[Common Name]]</f>
        <v>Entitlement-Based Access Control</v>
      </c>
      <c r="C158" s="3" t="str">
        <f>IF(NodesData[[#This Row],[Context Instanciation]]="","",NodesData[[#This Row],[Context Instanciation]])</f>
        <v/>
      </c>
      <c r="D158" s="22" t="str">
        <f>NodesData[[#This Row],[Node ID]]</f>
        <v>AC8DD14B-B291-4F55-9CB1-ED5C8627F5C7</v>
      </c>
      <c r="E158" s="10" t="s">
        <v>778</v>
      </c>
      <c r="F158" s="25" t="str" cm="1">
        <f t="array" ref="F158">IF(NodesJSON[[#This Row],[Export?]]=0,"",IF(ROW(NodesJSON[[#This Row],[label]])&gt;ROW(NodesJSON[[#Headers],[JSON]])+1,",","") &amp;"{"&amp;twoRangesToJSON(NodesJSON[[#Headers],[label]:[url]],NodesJSON[[#This Row],[label]:[url]])&amp;"}")</f>
        <v>,{"label":"Entitlement-Based Access Control","group":"","id":"AC8DD14B-B291-4F55-9CB1-ED5C8627F5C7","url":"https://open-measure.atlassian.net/wiki/spaces/DIC/pages/331579618"}</v>
      </c>
    </row>
    <row r="159" spans="1:6" ht="13.9" thickTop="1" thickBot="1" x14ac:dyDescent="0.4">
      <c r="A159" s="38">
        <f>IF(ISERR(NodesJSON[[#This Row],[label]]),0,1)</f>
        <v>1</v>
      </c>
      <c r="B159" s="3" t="str">
        <f>NodesData[[#This Row],[Common Name]]</f>
        <v>Entity</v>
      </c>
      <c r="C159" s="3" t="str">
        <f>IF(NodesData[[#This Row],[Context Instanciation]]="","",NodesData[[#This Row],[Context Instanciation]])</f>
        <v/>
      </c>
      <c r="D159" s="22" t="str">
        <f>NodesData[[#This Row],[Node ID]]</f>
        <v>04460B33-F5FE-486A-8ACF-F7C6EF519ECA</v>
      </c>
      <c r="E159" s="10" t="s">
        <v>779</v>
      </c>
      <c r="F159" s="25" t="str" cm="1">
        <f t="array" ref="F159">IF(NodesJSON[[#This Row],[Export?]]=0,"",IF(ROW(NodesJSON[[#This Row],[label]])&gt;ROW(NodesJSON[[#Headers],[JSON]])+1,",","") &amp;"{"&amp;twoRangesToJSON(NodesJSON[[#Headers],[label]:[url]],NodesJSON[[#This Row],[label]:[url]])&amp;"}")</f>
        <v>,{"label":"Entity","group":"","id":"04460B33-F5FE-486A-8ACF-F7C6EF519ECA","url":"https://open-measure.atlassian.net/wiki/spaces/DIC/pages/1290207237/Financial-grade+API"}</v>
      </c>
    </row>
    <row r="160" spans="1:6" ht="13.9" thickTop="1" thickBot="1" x14ac:dyDescent="0.4">
      <c r="A160" s="38">
        <f>IF(ISERR(NodesJSON[[#This Row],[label]]),0,1)</f>
        <v>1</v>
      </c>
      <c r="B160" s="3" t="str">
        <f>NodesData[[#This Row],[Common Name]]</f>
        <v>ESSO</v>
      </c>
      <c r="C160" s="3" t="str">
        <f>IF(NodesData[[#This Row],[Context Instanciation]]="","",NodesData[[#This Row],[Context Instanciation]])</f>
        <v/>
      </c>
      <c r="D160" s="22" t="str">
        <f>NodesData[[#This Row],[Node ID]]</f>
        <v>3BE8F8F2-63B2-44EF-AC53-8A1F4490F783</v>
      </c>
      <c r="E160" s="4"/>
      <c r="F160" s="25" t="str" cm="1">
        <f t="array" ref="F160">IF(NodesJSON[[#This Row],[Export?]]=0,"",IF(ROW(NodesJSON[[#This Row],[label]])&gt;ROW(NodesJSON[[#Headers],[JSON]])+1,",","") &amp;"{"&amp;twoRangesToJSON(NodesJSON[[#Headers],[label]:[url]],NodesJSON[[#This Row],[label]:[url]])&amp;"}")</f>
        <v>,{"label":"ESSO","group":"","id":"3BE8F8F2-63B2-44EF-AC53-8A1F4490F783","url":""}</v>
      </c>
    </row>
    <row r="161" spans="1:6" ht="13.9" thickTop="1" thickBot="1" x14ac:dyDescent="0.4">
      <c r="A161" s="38">
        <f>IF(ISERR(NodesJSON[[#This Row],[label]]),0,1)</f>
        <v>1</v>
      </c>
      <c r="B161" s="3" t="str">
        <f>NodesData[[#This Row],[Common Name]]</f>
        <v>Excessive Privilege Abuse</v>
      </c>
      <c r="C161" s="3" t="str">
        <f>IF(NodesData[[#This Row],[Context Instanciation]]="","",NodesData[[#This Row],[Context Instanciation]])</f>
        <v/>
      </c>
      <c r="D161" s="22" t="str">
        <f>NodesData[[#This Row],[Node ID]]</f>
        <v>1630C7DD-5632-4037-ABFC-6895CAA636FA</v>
      </c>
      <c r="E161" s="10" t="s">
        <v>780</v>
      </c>
      <c r="F161" s="25" t="str" cm="1">
        <f t="array" ref="F161">IF(NodesJSON[[#This Row],[Export?]]=0,"",IF(ROW(NodesJSON[[#This Row],[label]])&gt;ROW(NodesJSON[[#Headers],[JSON]])+1,",","") &amp;"{"&amp;twoRangesToJSON(NodesJSON[[#Headers],[label]:[url]],NodesJSON[[#This Row],[label]:[url]])&amp;"}")</f>
        <v>,{"label":"Excessive Privilege Abuse","group":"","id":"1630C7DD-5632-4037-ABFC-6895CAA636FA","url":"https://open-measure.atlassian.net/wiki/spaces/DIC/pages/1378091043/FinTech"}</v>
      </c>
    </row>
    <row r="162" spans="1:6" ht="13.9" thickTop="1" thickBot="1" x14ac:dyDescent="0.4">
      <c r="A162" s="38">
        <f>IF(ISERR(NodesJSON[[#This Row],[label]]),0,1)</f>
        <v>1</v>
      </c>
      <c r="B162" s="3" t="str">
        <f>NodesData[[#This Row],[Common Name]]</f>
        <v>Expanded Password System</v>
      </c>
      <c r="C162" s="3" t="str">
        <f>IF(NodesData[[#This Row],[Context Instanciation]]="","",NodesData[[#This Row],[Context Instanciation]])</f>
        <v/>
      </c>
      <c r="D162" s="22" t="str">
        <f>NodesData[[#This Row],[Node ID]]</f>
        <v>CE0DCBE2-3C5F-4C03-BB7A-B086BEAC3336</v>
      </c>
      <c r="E162" s="10" t="s">
        <v>782</v>
      </c>
      <c r="F162" s="25" t="str" cm="1">
        <f t="array" ref="F162">IF(NodesJSON[[#This Row],[Export?]]=0,"",IF(ROW(NodesJSON[[#This Row],[label]])&gt;ROW(NodesJSON[[#Headers],[JSON]])+1,",","") &amp;"{"&amp;twoRangesToJSON(NodesJSON[[#Headers],[label]:[url]],NodesJSON[[#This Row],[label]:[url]])&amp;"}")</f>
        <v>,{"label":"Expanded Password System","group":"","id":"CE0DCBE2-3C5F-4C03-BB7A-B086BEAC3336","url":"https://open-measure.atlassian.net/wiki/spaces/DIC/pages/438698048"}</v>
      </c>
    </row>
    <row r="163" spans="1:6" ht="13.9" thickTop="1" thickBot="1" x14ac:dyDescent="0.4">
      <c r="A163" s="38">
        <f>IF(ISERR(NodesJSON[[#This Row],[label]]),0,1)</f>
        <v>1</v>
      </c>
      <c r="B163" s="3" t="str">
        <f>NodesData[[#This Row],[Common Name]]</f>
        <v>Exploited Identity</v>
      </c>
      <c r="C163" s="3" t="str">
        <f>IF(NodesData[[#This Row],[Context Instanciation]]="","",NodesData[[#This Row],[Context Instanciation]])</f>
        <v/>
      </c>
      <c r="D163" s="22" t="str">
        <f>NodesData[[#This Row],[Node ID]]</f>
        <v>31C91EDA-0806-410F-81D5-93FBD35200CB</v>
      </c>
      <c r="E163" s="10" t="s">
        <v>784</v>
      </c>
      <c r="F163" s="25" t="str" cm="1">
        <f t="array" ref="F163">IF(NodesJSON[[#This Row],[Export?]]=0,"",IF(ROW(NodesJSON[[#This Row],[label]])&gt;ROW(NodesJSON[[#Headers],[JSON]])+1,",","") &amp;"{"&amp;twoRangesToJSON(NodesJSON[[#Headers],[label]:[url]],NodesJSON[[#This Row],[label]:[url]])&amp;"}")</f>
        <v>,{"label":"Exploited Identity","group":"","id":"31C91EDA-0806-410F-81D5-93FBD35200CB","url":"https://open-measure.atlassian.net/wiki/spaces/DIC/pages/1223884872"}</v>
      </c>
    </row>
    <row r="164" spans="1:6" ht="13.9" thickTop="1" thickBot="1" x14ac:dyDescent="0.4">
      <c r="A164" s="38">
        <f>IF(ISERR(NodesJSON[[#This Row],[label]]),0,1)</f>
        <v>1</v>
      </c>
      <c r="B164" s="3" t="str">
        <f>NodesData[[#This Row],[Common Name]]</f>
        <v>Extended Enterprise</v>
      </c>
      <c r="C164" s="3" t="str">
        <f>IF(NodesData[[#This Row],[Context Instanciation]]="","",NodesData[[#This Row],[Context Instanciation]])</f>
        <v/>
      </c>
      <c r="D164" s="22" t="str">
        <f>NodesData[[#This Row],[Node ID]]</f>
        <v>2F11B389-703D-451F-A299-CB8279214953</v>
      </c>
      <c r="E164" s="10" t="s">
        <v>786</v>
      </c>
      <c r="F164" s="25" t="str" cm="1">
        <f t="array" ref="F164">IF(NodesJSON[[#This Row],[Export?]]=0,"",IF(ROW(NodesJSON[[#This Row],[label]])&gt;ROW(NodesJSON[[#Headers],[JSON]])+1,",","") &amp;"{"&amp;twoRangesToJSON(NodesJSON[[#Headers],[label]:[url]],NodesJSON[[#This Row],[label]:[url]])&amp;"}")</f>
        <v>,{"label":"Extended Enterprise","group":"","id":"2F11B389-703D-451F-A299-CB8279214953","url":"https://open-measure.atlassian.net/wiki/spaces/DIC/pages/1173585921"}</v>
      </c>
    </row>
    <row r="165" spans="1:6" ht="13.9" thickTop="1" thickBot="1" x14ac:dyDescent="0.4">
      <c r="A165" s="38">
        <f>IF(ISERR(NodesJSON[[#This Row],[label]]),0,1)</f>
        <v>1</v>
      </c>
      <c r="B165" s="3" t="str">
        <f>NodesData[[#This Row],[Common Name]]</f>
        <v>Extensible Access Control Markup Language</v>
      </c>
      <c r="C165" s="3" t="str">
        <f>IF(NodesData[[#This Row],[Context Instanciation]]="","",NodesData[[#This Row],[Context Instanciation]])</f>
        <v/>
      </c>
      <c r="D165" s="22" t="str">
        <f>NodesData[[#This Row],[Node ID]]</f>
        <v>C26C332D-5A94-4AC5-8F24-320F52866DDB</v>
      </c>
      <c r="E165" s="10" t="s">
        <v>788</v>
      </c>
      <c r="F165" s="25" t="str" cm="1">
        <f t="array" ref="F165">IF(NodesJSON[[#This Row],[Export?]]=0,"",IF(ROW(NodesJSON[[#This Row],[label]])&gt;ROW(NodesJSON[[#Headers],[JSON]])+1,",","") &amp;"{"&amp;twoRangesToJSON(NodesJSON[[#Headers],[label]:[url]],NodesJSON[[#This Row],[label]:[url]])&amp;"}")</f>
        <v>,{"label":"Extensible Access Control Markup Language","group":"","id":"C26C332D-5A94-4AC5-8F24-320F52866DDB","url":"https://open-measure.atlassian.net/wiki/spaces/DIC/pages/1226833964"}</v>
      </c>
    </row>
    <row r="166" spans="1:6" ht="13.9" thickTop="1" thickBot="1" x14ac:dyDescent="0.4">
      <c r="A166" s="38">
        <f>IF(ISERR(NodesJSON[[#This Row],[label]]),0,1)</f>
        <v>1</v>
      </c>
      <c r="B166" s="3" t="str">
        <f>NodesData[[#This Row],[Common Name]]</f>
        <v>External Threat Agent</v>
      </c>
      <c r="C166" s="3" t="str">
        <f>IF(NodesData[[#This Row],[Context Instanciation]]="","",NodesData[[#This Row],[Context Instanciation]])</f>
        <v/>
      </c>
      <c r="D166" s="22" t="str">
        <f>NodesData[[#This Row],[Node ID]]</f>
        <v>8A84FB45-D721-4F51-92D2-6F252494072A</v>
      </c>
      <c r="E166" s="10" t="s">
        <v>789</v>
      </c>
      <c r="F166" s="25" t="str" cm="1">
        <f t="array" ref="F166">IF(NodesJSON[[#This Row],[Export?]]=0,"",IF(ROW(NodesJSON[[#This Row],[label]])&gt;ROW(NodesJSON[[#Headers],[JSON]])+1,",","") &amp;"{"&amp;twoRangesToJSON(NodesJSON[[#Headers],[label]:[url]],NodesJSON[[#This Row],[label]:[url]])&amp;"}")</f>
        <v>,{"label":"External Threat Agent","group":"","id":"8A84FB45-D721-4F51-92D2-6F252494072A","url":"https://open-measure.atlassian.net/wiki/spaces/DIC/pages/419561522/Foundational+Identification+System"}</v>
      </c>
    </row>
    <row r="167" spans="1:6" ht="13.9" thickTop="1" thickBot="1" x14ac:dyDescent="0.4">
      <c r="A167" s="38">
        <f>IF(ISERR(NodesJSON[[#This Row],[label]]),0,1)</f>
        <v>1</v>
      </c>
      <c r="B167" s="3" t="str">
        <f>NodesData[[#This Row],[Common Name]]</f>
        <v>Facial Recognition Authentication</v>
      </c>
      <c r="C167" s="3" t="str">
        <f>IF(NodesData[[#This Row],[Context Instanciation]]="","",NodesData[[#This Row],[Context Instanciation]])</f>
        <v/>
      </c>
      <c r="D167" s="22" t="str">
        <f>NodesData[[#This Row],[Node ID]]</f>
        <v>EE59DD52-46E3-4C5E-B862-8914485F238F</v>
      </c>
      <c r="E167" s="4"/>
      <c r="F167" s="25" t="str" cm="1">
        <f t="array" ref="F167">IF(NodesJSON[[#This Row],[Export?]]=0,"",IF(ROW(NodesJSON[[#This Row],[label]])&gt;ROW(NodesJSON[[#Headers],[JSON]])+1,",","") &amp;"{"&amp;twoRangesToJSON(NodesJSON[[#Headers],[label]:[url]],NodesJSON[[#This Row],[label]:[url]])&amp;"}")</f>
        <v>,{"label":"Facial Recognition Authentication","group":"","id":"EE59DD52-46E3-4C5E-B862-8914485F238F","url":""}</v>
      </c>
    </row>
    <row r="168" spans="1:6" ht="13.9" thickTop="1" thickBot="1" x14ac:dyDescent="0.4">
      <c r="A168" s="38">
        <f>IF(ISERR(NodesJSON[[#This Row],[label]]),0,1)</f>
        <v>1</v>
      </c>
      <c r="B168" s="3" t="str">
        <f>NodesData[[#This Row],[Common Name]]</f>
        <v>Fake Digital Identity</v>
      </c>
      <c r="C168" s="3" t="str">
        <f>IF(NodesData[[#This Row],[Context Instanciation]]="","",NodesData[[#This Row],[Context Instanciation]])</f>
        <v/>
      </c>
      <c r="D168" s="22" t="str">
        <f>NodesData[[#This Row],[Node ID]]</f>
        <v>8C66A928-36FA-48EA-9F3D-2C1EF09EF236</v>
      </c>
      <c r="E168" s="10" t="s">
        <v>791</v>
      </c>
      <c r="F168" s="25" t="str" cm="1">
        <f t="array" ref="F168">IF(NodesJSON[[#This Row],[Export?]]=0,"",IF(ROW(NodesJSON[[#This Row],[label]])&gt;ROW(NodesJSON[[#Headers],[JSON]])+1,",","") &amp;"{"&amp;twoRangesToJSON(NodesJSON[[#Headers],[label]:[url]],NodesJSON[[#This Row],[label]:[url]])&amp;"}")</f>
        <v>,{"label":"Fake Digital Identity","group":"","id":"8C66A928-36FA-48EA-9F3D-2C1EF09EF236","url":"https://open-measure.atlassian.net/wiki/spaces/DIC/pages/419528747"}</v>
      </c>
    </row>
    <row r="169" spans="1:6" ht="13.9" thickTop="1" thickBot="1" x14ac:dyDescent="0.4">
      <c r="A169" s="38">
        <f>IF(ISERR(NodesJSON[[#This Row],[label]]),0,1)</f>
        <v>1</v>
      </c>
      <c r="B169" s="3" t="str">
        <f>NodesData[[#This Row],[Common Name]]</f>
        <v>Fake Identity</v>
      </c>
      <c r="C169" s="3" t="str">
        <f>IF(NodesData[[#This Row],[Context Instanciation]]="","",NodesData[[#This Row],[Context Instanciation]])</f>
        <v/>
      </c>
      <c r="D169" s="22" t="str">
        <f>NodesData[[#This Row],[Node ID]]</f>
        <v>FFAF2EE1-D9DE-4B8B-8A9C-EA4BB61848BD</v>
      </c>
      <c r="E169" s="10" t="s">
        <v>793</v>
      </c>
      <c r="F169" s="25" t="str" cm="1">
        <f t="array" ref="F169">IF(NodesJSON[[#This Row],[Export?]]=0,"",IF(ROW(NodesJSON[[#This Row],[label]])&gt;ROW(NodesJSON[[#Headers],[JSON]])+1,",","") &amp;"{"&amp;twoRangesToJSON(NodesJSON[[#Headers],[label]:[url]],NodesJSON[[#This Row],[label]:[url]])&amp;"}")</f>
        <v>,{"label":"Fake Identity","group":"","id":"FFAF2EE1-D9DE-4B8B-8A9C-EA4BB61848BD","url":"https://open-measure.atlassian.net/wiki/spaces/DIC/pages/1229619254"}</v>
      </c>
    </row>
    <row r="170" spans="1:6" ht="13.9" thickTop="1" thickBot="1" x14ac:dyDescent="0.4">
      <c r="A170" s="38">
        <f>IF(ISERR(NodesJSON[[#This Row],[label]]),0,1)</f>
        <v>1</v>
      </c>
      <c r="B170" s="3" t="str">
        <f>NodesData[[#This Row],[Common Name]]</f>
        <v>FAPI</v>
      </c>
      <c r="C170" s="3" t="str">
        <f>IF(NodesData[[#This Row],[Context Instanciation]]="","",NodesData[[#This Row],[Context Instanciation]])</f>
        <v/>
      </c>
      <c r="D170" s="22" t="str">
        <f>NodesData[[#This Row],[Node ID]]</f>
        <v>BF511D2A-ABDC-42A8-863D-B6DB7720C2CA</v>
      </c>
      <c r="E170" s="4"/>
      <c r="F170" s="25" t="str" cm="1">
        <f t="array" ref="F170">IF(NodesJSON[[#This Row],[Export?]]=0,"",IF(ROW(NodesJSON[[#This Row],[label]])&gt;ROW(NodesJSON[[#Headers],[JSON]])+1,",","") &amp;"{"&amp;twoRangesToJSON(NodesJSON[[#Headers],[label]:[url]],NodesJSON[[#This Row],[label]:[url]])&amp;"}")</f>
        <v>,{"label":"FAPI","group":"","id":"BF511D2A-ABDC-42A8-863D-B6DB7720C2CA","url":""}</v>
      </c>
    </row>
    <row r="171" spans="1:6" ht="13.9" thickTop="1" thickBot="1" x14ac:dyDescent="0.4">
      <c r="A171" s="38">
        <f>IF(ISERR(NodesJSON[[#This Row],[label]]),0,1)</f>
        <v>1</v>
      </c>
      <c r="B171" s="3" t="str">
        <f>NodesData[[#This Row],[Common Name]]</f>
        <v>Federated Identity Management</v>
      </c>
      <c r="C171" s="3" t="str">
        <f>IF(NodesData[[#This Row],[Context Instanciation]]="","",NodesData[[#This Row],[Context Instanciation]])</f>
        <v/>
      </c>
      <c r="D171" s="22" t="str">
        <f>NodesData[[#This Row],[Node ID]]</f>
        <v>AA96B139-EA71-4982-B3C2-CEF2CD60C0ED</v>
      </c>
      <c r="E171" s="4"/>
      <c r="F171" s="25" t="str" cm="1">
        <f t="array" ref="F171">IF(NodesJSON[[#This Row],[Export?]]=0,"",IF(ROW(NodesJSON[[#This Row],[label]])&gt;ROW(NodesJSON[[#Headers],[JSON]])+1,",","") &amp;"{"&amp;twoRangesToJSON(NodesJSON[[#Headers],[label]:[url]],NodesJSON[[#This Row],[label]:[url]])&amp;"}")</f>
        <v>,{"label":"Federated Identity Management","group":"","id":"AA96B139-EA71-4982-B3C2-CEF2CD60C0ED","url":""}</v>
      </c>
    </row>
    <row r="172" spans="1:6" ht="13.9" thickTop="1" thickBot="1" x14ac:dyDescent="0.4">
      <c r="A172" s="38">
        <f>IF(ISERR(NodesJSON[[#This Row],[label]]),0,1)</f>
        <v>1</v>
      </c>
      <c r="B172" s="3" t="str">
        <f>NodesData[[#This Row],[Common Name]]</f>
        <v>Federated Identity Management System</v>
      </c>
      <c r="C172" s="3" t="str">
        <f>IF(NodesData[[#This Row],[Context Instanciation]]="","",NodesData[[#This Row],[Context Instanciation]])</f>
        <v/>
      </c>
      <c r="D172" s="22" t="str">
        <f>NodesData[[#This Row],[Node ID]]</f>
        <v>2D187D28-E0FF-4E61-B301-9004010FE0CB</v>
      </c>
      <c r="E172" s="4"/>
      <c r="F172" s="25" t="str" cm="1">
        <f t="array" ref="F172">IF(NodesJSON[[#This Row],[Export?]]=0,"",IF(ROW(NodesJSON[[#This Row],[label]])&gt;ROW(NodesJSON[[#Headers],[JSON]])+1,",","") &amp;"{"&amp;twoRangesToJSON(NodesJSON[[#Headers],[label]:[url]],NodesJSON[[#This Row],[label]:[url]])&amp;"}")</f>
        <v>,{"label":"Federated Identity Management System","group":"","id":"2D187D28-E0FF-4E61-B301-9004010FE0CB","url":""}</v>
      </c>
    </row>
    <row r="173" spans="1:6" ht="13.9" thickTop="1" thickBot="1" x14ac:dyDescent="0.4">
      <c r="A173" s="38">
        <f>IF(ISERR(NodesJSON[[#This Row],[label]]),0,1)</f>
        <v>1</v>
      </c>
      <c r="B173" s="3" t="str">
        <f>NodesData[[#This Row],[Common Name]]</f>
        <v>Federated SSO</v>
      </c>
      <c r="C173" s="3" t="str">
        <f>IF(NodesData[[#This Row],[Context Instanciation]]="","",NodesData[[#This Row],[Context Instanciation]])</f>
        <v/>
      </c>
      <c r="D173" s="22" t="str">
        <f>NodesData[[#This Row],[Node ID]]</f>
        <v>67968985-EC72-4204-8663-F69E48506540</v>
      </c>
      <c r="E173" s="10" t="s">
        <v>795</v>
      </c>
      <c r="F173" s="25" t="str" cm="1">
        <f t="array" ref="F173">IF(NodesJSON[[#This Row],[Export?]]=0,"",IF(ROW(NodesJSON[[#This Row],[label]])&gt;ROW(NodesJSON[[#Headers],[JSON]])+1,",","") &amp;"{"&amp;twoRangesToJSON(NodesJSON[[#Headers],[label]:[url]],NodesJSON[[#This Row],[label]:[url]])&amp;"}")</f>
        <v>,{"label":"Federated SSO","group":"","id":"67968985-EC72-4204-8663-F69E48506540","url":"https://open-measure.atlassian.net/wiki/spaces/DIC/pages/966557699"}</v>
      </c>
    </row>
    <row r="174" spans="1:6" ht="13.9" thickTop="1" thickBot="1" x14ac:dyDescent="0.4">
      <c r="A174" s="38">
        <f>IF(ISERR(NodesJSON[[#This Row],[label]]),0,1)</f>
        <v>1</v>
      </c>
      <c r="B174" s="3" t="str">
        <f>NodesData[[#This Row],[Common Name]]</f>
        <v>Federation Bridge</v>
      </c>
      <c r="C174" s="3" t="str">
        <f>IF(NodesData[[#This Row],[Context Instanciation]]="","",NodesData[[#This Row],[Context Instanciation]])</f>
        <v/>
      </c>
      <c r="D174" s="22" t="str">
        <f>NodesData[[#This Row],[Node ID]]</f>
        <v>943003BA-F5C4-48F2-8E39-5ACB651E5CFB</v>
      </c>
      <c r="E174" s="8"/>
      <c r="F174" s="25" t="str" cm="1">
        <f t="array" ref="F174">IF(NodesJSON[[#This Row],[Export?]]=0,"",IF(ROW(NodesJSON[[#This Row],[label]])&gt;ROW(NodesJSON[[#Headers],[JSON]])+1,",","") &amp;"{"&amp;twoRangesToJSON(NodesJSON[[#Headers],[label]:[url]],NodesJSON[[#This Row],[label]:[url]])&amp;"}")</f>
        <v>,{"label":"Federation Bridge","group":"","id":"943003BA-F5C4-48F2-8E39-5ACB651E5CFB","url":""}</v>
      </c>
    </row>
    <row r="175" spans="1:6" ht="13.9" thickTop="1" thickBot="1" x14ac:dyDescent="0.4">
      <c r="A175" s="38">
        <f>IF(ISERR(NodesJSON[[#This Row],[label]]),0,1)</f>
        <v>1</v>
      </c>
      <c r="B175" s="3" t="str">
        <f>NodesData[[#This Row],[Common Name]]</f>
        <v>FIM</v>
      </c>
      <c r="C175" s="3" t="str">
        <f>IF(NodesData[[#This Row],[Context Instanciation]]="","",NodesData[[#This Row],[Context Instanciation]])</f>
        <v/>
      </c>
      <c r="D175" s="22" t="str">
        <f>NodesData[[#This Row],[Node ID]]</f>
        <v>BB202734-3B2A-45BC-AA97-3942123B816B</v>
      </c>
      <c r="E175" s="4"/>
      <c r="F175" s="25" t="str" cm="1">
        <f t="array" ref="F175">IF(NodesJSON[[#This Row],[Export?]]=0,"",IF(ROW(NodesJSON[[#This Row],[label]])&gt;ROW(NodesJSON[[#Headers],[JSON]])+1,",","") &amp;"{"&amp;twoRangesToJSON(NodesJSON[[#Headers],[label]:[url]],NodesJSON[[#This Row],[label]:[url]])&amp;"}")</f>
        <v>,{"label":"FIM","group":"","id":"BB202734-3B2A-45BC-AA97-3942123B816B","url":""}</v>
      </c>
    </row>
    <row r="176" spans="1:6" ht="13.9" thickTop="1" thickBot="1" x14ac:dyDescent="0.4">
      <c r="A176" s="38">
        <f>IF(ISERR(NodesJSON[[#This Row],[label]]),0,1)</f>
        <v>1</v>
      </c>
      <c r="B176" s="3" t="str">
        <f>NodesData[[#This Row],[Common Name]]</f>
        <v>Financial Gain</v>
      </c>
      <c r="C176" s="3" t="str">
        <f>IF(NodesData[[#This Row],[Context Instanciation]]="","",NodesData[[#This Row],[Context Instanciation]])</f>
        <v/>
      </c>
      <c r="D176" s="22" t="str">
        <f>NodesData[[#This Row],[Node ID]]</f>
        <v>422E3DA9-1F9C-44DA-8A28-BF3685F5E402</v>
      </c>
      <c r="E176" s="10" t="s">
        <v>797</v>
      </c>
      <c r="F176" s="25" t="str" cm="1">
        <f t="array" ref="F176">IF(NodesJSON[[#This Row],[Export?]]=0,"",IF(ROW(NodesJSON[[#This Row],[label]])&gt;ROW(NodesJSON[[#Headers],[JSON]])+1,",","") &amp;"{"&amp;twoRangesToJSON(NodesJSON[[#Headers],[label]:[url]],NodesJSON[[#This Row],[label]:[url]])&amp;"}")</f>
        <v>,{"label":"Financial Gain","group":"","id":"422E3DA9-1F9C-44DA-8A28-BF3685F5E402","url":"https://open-measure.atlassian.net/wiki/spaces/DIC/pages/1177846011"}</v>
      </c>
    </row>
    <row r="177" spans="1:6" ht="13.9" thickTop="1" thickBot="1" x14ac:dyDescent="0.4">
      <c r="A177" s="38">
        <f>IF(ISERR(NodesJSON[[#This Row],[label]]),0,1)</f>
        <v>1</v>
      </c>
      <c r="B177" s="3" t="str">
        <f>NodesData[[#This Row],[Common Name]]</f>
        <v>Financial-grade API</v>
      </c>
      <c r="C177" s="3" t="str">
        <f>IF(NodesData[[#This Row],[Context Instanciation]]="","",NodesData[[#This Row],[Context Instanciation]])</f>
        <v/>
      </c>
      <c r="D177" s="22" t="str">
        <f>NodesData[[#This Row],[Node ID]]</f>
        <v>870968E0-B14B-436B-86C6-01DDFB6690F8</v>
      </c>
      <c r="E177" s="10" t="s">
        <v>799</v>
      </c>
      <c r="F177" s="25" t="str" cm="1">
        <f t="array" ref="F177">IF(NodesJSON[[#This Row],[Export?]]=0,"",IF(ROW(NodesJSON[[#This Row],[label]])&gt;ROW(NodesJSON[[#Headers],[JSON]])+1,",","") &amp;"{"&amp;twoRangesToJSON(NodesJSON[[#Headers],[label]:[url]],NodesJSON[[#This Row],[label]:[url]])&amp;"}")</f>
        <v>,{"label":"Financial-grade API","group":"","id":"870968E0-B14B-436B-86C6-01DDFB6690F8","url":"https://open-measure.atlassian.net/wiki/spaces/DIC/pages/998047786"}</v>
      </c>
    </row>
    <row r="178" spans="1:6" ht="13.9" thickTop="1" thickBot="1" x14ac:dyDescent="0.4">
      <c r="A178" s="38">
        <f>IF(ISERR(NodesJSON[[#This Row],[label]]),0,1)</f>
        <v>1</v>
      </c>
      <c r="B178" s="3" t="str">
        <f>NodesData[[#This Row],[Common Name]]</f>
        <v>Fingerprint Recognition Authentication</v>
      </c>
      <c r="C178" s="3" t="str">
        <f>IF(NodesData[[#This Row],[Context Instanciation]]="","",NodesData[[#This Row],[Context Instanciation]])</f>
        <v/>
      </c>
      <c r="D178" s="22" t="str">
        <f>NodesData[[#This Row],[Node ID]]</f>
        <v>8A54CA58-95DE-462C-85F0-63881C492A91</v>
      </c>
      <c r="E178" s="10" t="s">
        <v>801</v>
      </c>
      <c r="F178" s="25" t="str" cm="1">
        <f t="array" ref="F178">IF(NodesJSON[[#This Row],[Export?]]=0,"",IF(ROW(NodesJSON[[#This Row],[label]])&gt;ROW(NodesJSON[[#Headers],[JSON]])+1,",","") &amp;"{"&amp;twoRangesToJSON(NodesJSON[[#Headers],[label]:[url]],NodesJSON[[#This Row],[label]:[url]])&amp;"}")</f>
        <v>,{"label":"Fingerprint Recognition Authentication","group":"","id":"8A54CA58-95DE-462C-85F0-63881C492A91","url":"https://open-measure.atlassian.net/wiki/spaces/DIC/pages/998277156"}</v>
      </c>
    </row>
    <row r="179" spans="1:6" ht="13.9" thickTop="1" thickBot="1" x14ac:dyDescent="0.4">
      <c r="A179" s="38">
        <f>IF(ISERR(NodesJSON[[#This Row],[label]]),0,1)</f>
        <v>1</v>
      </c>
      <c r="B179" s="3" t="str">
        <f>NodesData[[#This Row],[Common Name]]</f>
        <v>FinTech</v>
      </c>
      <c r="C179" s="3" t="str">
        <f>IF(NodesData[[#This Row],[Context Instanciation]]="","",NodesData[[#This Row],[Context Instanciation]])</f>
        <v/>
      </c>
      <c r="D179" s="22" t="str">
        <f>NodesData[[#This Row],[Node ID]]</f>
        <v>330623DE-99EE-4CA8-B00D-114EE18DAC41</v>
      </c>
      <c r="E179" s="10" t="s">
        <v>802</v>
      </c>
      <c r="F179" s="25" t="str" cm="1">
        <f t="array" ref="F179">IF(NodesJSON[[#This Row],[Export?]]=0,"",IF(ROW(NodesJSON[[#This Row],[label]])&gt;ROW(NodesJSON[[#Headers],[JSON]])+1,",","") &amp;"{"&amp;twoRangesToJSON(NodesJSON[[#Headers],[label]:[url]],NodesJSON[[#This Row],[label]:[url]])&amp;"}")</f>
        <v>,{"label":"FinTech","group":"","id":"330623DE-99EE-4CA8-B00D-114EE18DAC41","url":"https://open-measure.atlassian.net/wiki/spaces/DIC/pages/1572865/IAG"}</v>
      </c>
    </row>
    <row r="180" spans="1:6" ht="13.9" thickTop="1" thickBot="1" x14ac:dyDescent="0.4">
      <c r="A180" s="38">
        <f>IF(ISERR(NodesJSON[[#This Row],[label]]),0,1)</f>
        <v>1</v>
      </c>
      <c r="B180" s="3" t="str">
        <f>NodesData[[#This Row],[Common Name]]</f>
        <v>Flexibility</v>
      </c>
      <c r="C180" s="3" t="str">
        <f>IF(NodesData[[#This Row],[Context Instanciation]]="","",NodesData[[#This Row],[Context Instanciation]])</f>
        <v/>
      </c>
      <c r="D180" s="22" t="str">
        <f>NodesData[[#This Row],[Node ID]]</f>
        <v>DC655505-E767-43B6-B4E2-F76985C1DDF2</v>
      </c>
      <c r="E180" s="10" t="s">
        <v>803</v>
      </c>
      <c r="F180" s="25" t="str" cm="1">
        <f t="array" ref="F180">IF(NodesJSON[[#This Row],[Export?]]=0,"",IF(ROW(NodesJSON[[#This Row],[label]])&gt;ROW(NodesJSON[[#Headers],[JSON]])+1,",","") &amp;"{"&amp;twoRangesToJSON(NodesJSON[[#Headers],[label]:[url]],NodesJSON[[#This Row],[label]:[url]])&amp;"}")</f>
        <v>,{"label":"Flexibility","group":"","id":"DC655505-E767-43B6-B4E2-F76985C1DDF2","url":"https://open-measure.atlassian.net/wiki/spaces/DIC/pages/1081356/IAM"}</v>
      </c>
    </row>
    <row r="181" spans="1:6" ht="13.9" thickTop="1" thickBot="1" x14ac:dyDescent="0.4">
      <c r="A181" s="38">
        <f>IF(ISERR(NodesJSON[[#This Row],[label]]),0,1)</f>
        <v>1</v>
      </c>
      <c r="B181" s="3" t="str">
        <f>NodesData[[#This Row],[Common Name]]</f>
        <v>Flow Analysis</v>
      </c>
      <c r="C181" s="3" t="str">
        <f>IF(NodesData[[#This Row],[Context Instanciation]]="","",NodesData[[#This Row],[Context Instanciation]])</f>
        <v/>
      </c>
      <c r="D181" s="22" t="str">
        <f>NodesData[[#This Row],[Node ID]]</f>
        <v>13C6C5FD-41EF-4804-BFD7-225AD27E5D38</v>
      </c>
      <c r="E181" s="10" t="s">
        <v>805</v>
      </c>
      <c r="F181" s="25" t="str" cm="1">
        <f t="array" ref="F181">IF(NodesJSON[[#This Row],[Export?]]=0,"",IF(ROW(NodesJSON[[#This Row],[label]])&gt;ROW(NodesJSON[[#Headers],[JSON]])+1,",","") &amp;"{"&amp;twoRangesToJSON(NodesJSON[[#Headers],[label]:[url]],NodesJSON[[#This Row],[label]:[url]])&amp;"}")</f>
        <v>,{"label":"Flow Analysis","group":"","id":"13C6C5FD-41EF-4804-BFD7-225AD27E5D38","url":"https://open-measure.atlassian.net/wiki/spaces/DIC/pages/1037926677"}</v>
      </c>
    </row>
    <row r="182" spans="1:6" ht="13.9" thickTop="1" thickBot="1" x14ac:dyDescent="0.4">
      <c r="A182" s="38">
        <f>IF(ISERR(NodesJSON[[#This Row],[label]]),0,1)</f>
        <v>1</v>
      </c>
      <c r="B182" s="3" t="str">
        <f>NodesData[[#This Row],[Common Name]]</f>
        <v>Forged Identity</v>
      </c>
      <c r="C182" s="3" t="str">
        <f>IF(NodesData[[#This Row],[Context Instanciation]]="","",NodesData[[#This Row],[Context Instanciation]])</f>
        <v/>
      </c>
      <c r="D182" s="22" t="str">
        <f>NodesData[[#This Row],[Node ID]]</f>
        <v>685B2849-5AE1-499B-BC28-C34AC51D7CDC</v>
      </c>
      <c r="E182" s="10" t="s">
        <v>807</v>
      </c>
      <c r="F182" s="25" t="str" cm="1">
        <f t="array" ref="F182">IF(NodesJSON[[#This Row],[Export?]]=0,"",IF(ROW(NodesJSON[[#This Row],[label]])&gt;ROW(NodesJSON[[#Headers],[JSON]])+1,",","") &amp;"{"&amp;twoRangesToJSON(NodesJSON[[#Headers],[label]:[url]],NodesJSON[[#This Row],[label]:[url]])&amp;"}")</f>
        <v>,{"label":"Forged Identity","group":"","id":"685B2849-5AE1-499B-BC28-C34AC51D7CDC","url":"https://open-measure.atlassian.net/wiki/spaces/DIC/pages/82838735"}</v>
      </c>
    </row>
    <row r="183" spans="1:6" ht="13.9" thickTop="1" thickBot="1" x14ac:dyDescent="0.4">
      <c r="A183" s="38">
        <f>IF(ISERR(NodesJSON[[#This Row],[label]]),0,1)</f>
        <v>1</v>
      </c>
      <c r="B183" s="3" t="str">
        <f>NodesData[[#This Row],[Common Name]]</f>
        <v>Formal Verification</v>
      </c>
      <c r="C183" s="3" t="str">
        <f>IF(NodesData[[#This Row],[Context Instanciation]]="","",NodesData[[#This Row],[Context Instanciation]])</f>
        <v/>
      </c>
      <c r="D183" s="22" t="str">
        <f>NodesData[[#This Row],[Node ID]]</f>
        <v>BA6CE51E-FE3C-45DC-BF7B-3D55FD86E2C8</v>
      </c>
      <c r="E183" s="10" t="s">
        <v>809</v>
      </c>
      <c r="F183" s="25" t="str" cm="1">
        <f t="array" ref="F183">IF(NodesJSON[[#This Row],[Export?]]=0,"",IF(ROW(NodesJSON[[#This Row],[label]])&gt;ROW(NodesJSON[[#Headers],[JSON]])+1,",","") &amp;"{"&amp;twoRangesToJSON(NodesJSON[[#Headers],[label]:[url]],NodesJSON[[#This Row],[label]:[url]])&amp;"}")</f>
        <v>,{"label":"Formal Verification","group":"","id":"BA6CE51E-FE3C-45DC-BF7B-3D55FD86E2C8","url":"https://open-measure.atlassian.net/wiki/spaces/DIC/pages/234487971"}</v>
      </c>
    </row>
    <row r="184" spans="1:6" ht="13.9" thickTop="1" thickBot="1" x14ac:dyDescent="0.4">
      <c r="A184" s="38">
        <f>IF(ISERR(NodesJSON[[#This Row],[label]]),0,1)</f>
        <v>1</v>
      </c>
      <c r="B184" s="3" t="str">
        <f>NodesData[[#This Row],[Common Name]]</f>
        <v>Foundational Identification System</v>
      </c>
      <c r="C184" s="3" t="str">
        <f>IF(NodesData[[#This Row],[Context Instanciation]]="","",NodesData[[#This Row],[Context Instanciation]])</f>
        <v/>
      </c>
      <c r="D184" s="22" t="str">
        <f>NodesData[[#This Row],[Node ID]]</f>
        <v>55389033-E3DF-46EA-A00A-0DF5AD9AEE9C</v>
      </c>
      <c r="E184" s="10" t="s">
        <v>811</v>
      </c>
      <c r="F184" s="25" t="str" cm="1">
        <f t="array" ref="F184">IF(NodesJSON[[#This Row],[Export?]]=0,"",IF(ROW(NodesJSON[[#This Row],[label]])&gt;ROW(NodesJSON[[#Headers],[JSON]])+1,",","") &amp;"{"&amp;twoRangesToJSON(NodesJSON[[#Headers],[label]:[url]],NodesJSON[[#This Row],[label]:[url]])&amp;"}")</f>
        <v>,{"label":"Foundational Identification System","group":"","id":"55389033-E3DF-46EA-A00A-0DF5AD9AEE9C","url":"https://open-measure.atlassian.net/wiki/spaces/DIC/pages/1149468857"}</v>
      </c>
    </row>
    <row r="185" spans="1:6" ht="13.9" thickTop="1" thickBot="1" x14ac:dyDescent="0.4">
      <c r="A185" s="38">
        <f>IF(ISERR(NodesJSON[[#This Row],[label]]),0,1)</f>
        <v>1</v>
      </c>
      <c r="B185" s="3" t="str">
        <f>NodesData[[#This Row],[Common Name]]</f>
        <v>Front-end Authentication</v>
      </c>
      <c r="C185" s="3" t="str">
        <f>IF(NodesData[[#This Row],[Context Instanciation]]="","",NodesData[[#This Row],[Context Instanciation]])</f>
        <v/>
      </c>
      <c r="D185" s="22" t="str">
        <f>NodesData[[#This Row],[Node ID]]</f>
        <v>25C98848-F1A2-47F9-A610-0905735431C6</v>
      </c>
      <c r="E185" s="10" t="s">
        <v>813</v>
      </c>
      <c r="F185" s="25" t="str" cm="1">
        <f t="array" ref="F185">IF(NodesJSON[[#This Row],[Export?]]=0,"",IF(ROW(NodesJSON[[#This Row],[label]])&gt;ROW(NodesJSON[[#Headers],[JSON]])+1,",","") &amp;"{"&amp;twoRangesToJSON(NodesJSON[[#Headers],[label]:[url]],NodesJSON[[#This Row],[label]:[url]])&amp;"}")</f>
        <v>,{"label":"Front-end Authentication","group":"","id":"25C98848-F1A2-47F9-A610-0905735431C6","url":"https://open-measure.atlassian.net/wiki/spaces/DIC/pages/149356545"}</v>
      </c>
    </row>
    <row r="186" spans="1:6" ht="13.9" thickTop="1" thickBot="1" x14ac:dyDescent="0.4">
      <c r="A186" s="38">
        <f>IF(ISERR(NodesJSON[[#This Row],[label]]),0,1)</f>
        <v>1</v>
      </c>
      <c r="B186" s="3" t="str">
        <f>NodesData[[#This Row],[Common Name]]</f>
        <v>Functional Identification System</v>
      </c>
      <c r="C186" s="3" t="str">
        <f>IF(NodesData[[#This Row],[Context Instanciation]]="","",NodesData[[#This Row],[Context Instanciation]])</f>
        <v/>
      </c>
      <c r="D186" s="22" t="str">
        <f>NodesData[[#This Row],[Node ID]]</f>
        <v>3209EB97-002A-444B-8EA8-FC58D3168085</v>
      </c>
      <c r="E186" s="10" t="s">
        <v>815</v>
      </c>
      <c r="F186" s="25" t="str" cm="1">
        <f t="array" ref="F186">IF(NodesJSON[[#This Row],[Export?]]=0,"",IF(ROW(NodesJSON[[#This Row],[label]])&gt;ROW(NodesJSON[[#Headers],[JSON]])+1,",","") &amp;"{"&amp;twoRangesToJSON(NodesJSON[[#Headers],[label]:[url]],NodesJSON[[#This Row],[label]:[url]])&amp;"}")</f>
        <v>,{"label":"Functional Identification System","group":"","id":"3209EB97-002A-444B-8EA8-FC58D3168085","url":"https://open-measure.atlassian.net/wiki/spaces/DIC/pages/419659837"}</v>
      </c>
    </row>
    <row r="187" spans="1:6" ht="13.9" thickTop="1" thickBot="1" x14ac:dyDescent="0.4">
      <c r="A187" s="38">
        <f>IF(ISERR(NodesJSON[[#This Row],[label]]),0,1)</f>
        <v>1</v>
      </c>
      <c r="B187" s="3" t="str">
        <f>NodesData[[#This Row],[Common Name]]</f>
        <v>Functional System</v>
      </c>
      <c r="C187" s="3" t="str">
        <f>IF(NodesData[[#This Row],[Context Instanciation]]="","",NodesData[[#This Row],[Context Instanciation]])</f>
        <v/>
      </c>
      <c r="D187" s="22" t="str">
        <f>NodesData[[#This Row],[Node ID]]</f>
        <v>81968038-A760-40E8-88B9-48BDAF03E082</v>
      </c>
      <c r="E187" s="10" t="s">
        <v>817</v>
      </c>
      <c r="F187" s="25" t="str" cm="1">
        <f t="array" ref="F187">IF(NodesJSON[[#This Row],[Export?]]=0,"",IF(ROW(NodesJSON[[#This Row],[label]])&gt;ROW(NodesJSON[[#Headers],[JSON]])+1,",","") &amp;"{"&amp;twoRangesToJSON(NodesJSON[[#Headers],[label]:[url]],NodesJSON[[#This Row],[label]:[url]])&amp;"}")</f>
        <v>,{"label":"Functional System","group":"","id":"81968038-A760-40E8-88B9-48BDAF03E082","url":"https://open-measure.atlassian.net/wiki/spaces/DIC/pages/419758113"}</v>
      </c>
    </row>
    <row r="188" spans="1:6" ht="13.9" thickTop="1" thickBot="1" x14ac:dyDescent="0.4">
      <c r="A188" s="38">
        <f>IF(ISERR(NodesJSON[[#This Row],[label]]),0,1)</f>
        <v>1</v>
      </c>
      <c r="B188" s="3" t="str">
        <f>NodesData[[#This Row],[Common Name]]</f>
        <v>Gait Recognition Authentication</v>
      </c>
      <c r="C188" s="3" t="str">
        <f>IF(NodesData[[#This Row],[Context Instanciation]]="","",NodesData[[#This Row],[Context Instanciation]])</f>
        <v/>
      </c>
      <c r="D188" s="22" t="str">
        <f>NodesData[[#This Row],[Node ID]]</f>
        <v>A4ADA3D7-3568-4A97-A8E3-4E47A1368F3D</v>
      </c>
      <c r="E188" s="10" t="s">
        <v>819</v>
      </c>
      <c r="F188" s="25" t="str" cm="1">
        <f t="array" ref="F188">IF(NodesJSON[[#This Row],[Export?]]=0,"",IF(ROW(NodesJSON[[#This Row],[label]])&gt;ROW(NodesJSON[[#Headers],[JSON]])+1,",","") &amp;"{"&amp;twoRangesToJSON(NodesJSON[[#Headers],[label]:[url]],NodesJSON[[#This Row],[label]:[url]])&amp;"}")</f>
        <v>,{"label":"Gait Recognition Authentication","group":"","id":"A4ADA3D7-3568-4A97-A8E3-4E47A1368F3D","url":"https://open-measure.atlassian.net/wiki/spaces/DIC/pages/435322922"}</v>
      </c>
    </row>
    <row r="189" spans="1:6" ht="13.9" thickTop="1" thickBot="1" x14ac:dyDescent="0.4">
      <c r="A189" s="38">
        <f>IF(ISERR(NodesJSON[[#This Row],[label]]),0,1)</f>
        <v>1</v>
      </c>
      <c r="B189" s="3" t="str">
        <f>NodesData[[#This Row],[Common Name]]</f>
        <v>Geo-localization Authentication</v>
      </c>
      <c r="C189" s="3" t="str">
        <f>IF(NodesData[[#This Row],[Context Instanciation]]="","",NodesData[[#This Row],[Context Instanciation]])</f>
        <v/>
      </c>
      <c r="D189" s="22" t="str">
        <f>NodesData[[#This Row],[Node ID]]</f>
        <v>2DD29178-312A-43CE-BDC1-683D6D41409B</v>
      </c>
      <c r="E189" s="10" t="s">
        <v>820</v>
      </c>
      <c r="F189" s="25" t="str" cm="1">
        <f t="array" ref="F189">IF(NodesJSON[[#This Row],[Export?]]=0,"",IF(ROW(NodesJSON[[#This Row],[label]])&gt;ROW(NodesJSON[[#Headers],[JSON]])+1,",","") &amp;"{"&amp;twoRangesToJSON(NodesJSON[[#Headers],[label]:[url]],NodesJSON[[#This Row],[label]:[url]])&amp;"}")</f>
        <v>,{"label":"Geo-localization Authentication","group":"","id":"2DD29178-312A-43CE-BDC1-683D6D41409B","url":"https://open-measure.atlassian.net/wiki/spaces/DIC/pages/1311113273/Identifier+Registry+Model"}</v>
      </c>
    </row>
    <row r="190" spans="1:6" ht="13.9" thickTop="1" thickBot="1" x14ac:dyDescent="0.4">
      <c r="A190" s="38">
        <f>IF(ISERR(NodesJSON[[#This Row],[label]]),0,1)</f>
        <v>1</v>
      </c>
      <c r="B190" s="3" t="str">
        <f>NodesData[[#This Row],[Common Name]]</f>
        <v>Graphical Password-Based Authentication</v>
      </c>
      <c r="C190" s="3" t="str">
        <f>IF(NodesData[[#This Row],[Context Instanciation]]="","",NodesData[[#This Row],[Context Instanciation]])</f>
        <v/>
      </c>
      <c r="D190" s="22" t="str">
        <f>NodesData[[#This Row],[Node ID]]</f>
        <v>3C40F0A7-7034-4A74-B397-97E035D694CF</v>
      </c>
      <c r="E190" s="10" t="s">
        <v>822</v>
      </c>
      <c r="F190" s="25" t="str" cm="1">
        <f t="array" ref="F190">IF(NodesJSON[[#This Row],[Export?]]=0,"",IF(ROW(NodesJSON[[#This Row],[label]])&gt;ROW(NodesJSON[[#Headers],[JSON]])+1,",","") &amp;"{"&amp;twoRangesToJSON(NodesJSON[[#Headers],[label]:[url]],NodesJSON[[#This Row],[label]:[url]])&amp;"}")</f>
        <v>,{"label":"Graphical Password-Based Authentication","group":"","id":"3C40F0A7-7034-4A74-B397-97E035D694CF","url":"https://open-measure.atlassian.net/wiki/spaces/DIC/pages/67600948"}</v>
      </c>
    </row>
    <row r="191" spans="1:6" ht="13.9" thickTop="1" thickBot="1" x14ac:dyDescent="0.4">
      <c r="A191" s="38">
        <f>IF(ISERR(NodesJSON[[#This Row],[label]]),0,1)</f>
        <v>1</v>
      </c>
      <c r="B191" s="3" t="str">
        <f>NodesData[[#This Row],[Common Name]]</f>
        <v>Guest Account</v>
      </c>
      <c r="C191" s="3" t="str">
        <f>IF(NodesData[[#This Row],[Context Instanciation]]="","",NodesData[[#This Row],[Context Instanciation]])</f>
        <v/>
      </c>
      <c r="D191" s="22" t="str">
        <f>NodesData[[#This Row],[Node ID]]</f>
        <v>5D4E535A-4BDB-43E4-8E4A-67DCD94E5851</v>
      </c>
      <c r="E191" s="10" t="s">
        <v>823</v>
      </c>
      <c r="F191" s="25" t="str" cm="1">
        <f t="array" ref="F191">IF(NodesJSON[[#This Row],[Export?]]=0,"",IF(ROW(NodesJSON[[#This Row],[label]])&gt;ROW(NodesJSON[[#Headers],[JSON]])+1,",","") &amp;"{"&amp;twoRangesToJSON(NodesJSON[[#Headers],[label]:[url]],NodesJSON[[#This Row],[label]:[url]])&amp;"}")</f>
        <v>,{"label":"Guest Account","group":"","id":"5D4E535A-4BDB-43E4-8E4A-67DCD94E5851","url":"https://open-measure.atlassian.net/wiki/spaces/DIC/pages/1600618542/Identity+Aggregation"}</v>
      </c>
    </row>
    <row r="192" spans="1:6" ht="13.9" thickTop="1" thickBot="1" x14ac:dyDescent="0.4">
      <c r="A192" s="38">
        <f>IF(ISERR(NodesJSON[[#This Row],[label]]),0,1)</f>
        <v>1</v>
      </c>
      <c r="B192" s="3" t="str">
        <f>NodesData[[#This Row],[Common Name]]</f>
        <v>Hand Gestures Recognition Authentication</v>
      </c>
      <c r="C192" s="3" t="str">
        <f>IF(NodesData[[#This Row],[Context Instanciation]]="","",NodesData[[#This Row],[Context Instanciation]])</f>
        <v/>
      </c>
      <c r="D192" s="22" t="str">
        <f>NodesData[[#This Row],[Node ID]]</f>
        <v>46401F0E-29CA-47A3-A39A-0230CB771074</v>
      </c>
      <c r="E192" s="10" t="s">
        <v>824</v>
      </c>
      <c r="F192" s="25" t="str" cm="1">
        <f t="array" ref="F192">IF(NodesJSON[[#This Row],[Export?]]=0,"",IF(ROW(NodesJSON[[#This Row],[label]])&gt;ROW(NodesJSON[[#Headers],[JSON]])+1,",","") &amp;"{"&amp;twoRangesToJSON(NodesJSON[[#Headers],[label]:[url]],NodesJSON[[#This Row],[label]:[url]])&amp;"}")</f>
        <v>,{"label":"Hand Gestures Recognition Authentication","group":"","id":"46401F0E-29CA-47A3-A39A-0230CB771074","url":"https://open-measure.atlassian.net/wiki/spaces/DIC/pages/1458176007/Identity+and+Access+Governance"}</v>
      </c>
    </row>
    <row r="193" spans="1:6" ht="13.9" thickTop="1" thickBot="1" x14ac:dyDescent="0.4">
      <c r="A193" s="38">
        <f>IF(ISERR(NodesJSON[[#This Row],[label]]),0,1)</f>
        <v>1</v>
      </c>
      <c r="B193" s="3" t="str">
        <f>NodesData[[#This Row],[Common Name]]</f>
        <v>Heartbeats Recognition Authentication</v>
      </c>
      <c r="C193" s="3" t="str">
        <f>IF(NodesData[[#This Row],[Context Instanciation]]="","",NodesData[[#This Row],[Context Instanciation]])</f>
        <v/>
      </c>
      <c r="D193" s="22" t="str">
        <f>NodesData[[#This Row],[Node ID]]</f>
        <v>C92DDCBA-ED8B-4196-A9FF-C96029349FAC</v>
      </c>
      <c r="E193" s="10" t="s">
        <v>825</v>
      </c>
      <c r="F193" s="25" t="str" cm="1">
        <f t="array" ref="F193">IF(NodesJSON[[#This Row],[Export?]]=0,"",IF(ROW(NodesJSON[[#This Row],[label]])&gt;ROW(NodesJSON[[#Headers],[JSON]])+1,",","") &amp;"{"&amp;twoRangesToJSON(NodesJSON[[#Headers],[label]:[url]],NodesJSON[[#This Row],[label]:[url]])&amp;"}")</f>
        <v>,{"label":"Heartbeats Recognition Authentication","group":"","id":"C92DDCBA-ED8B-4196-A9FF-C96029349FAC","url":"https://open-measure.atlassian.net/wiki/spaces/DIC/pages/1409143/Identity+and+Access+Management"}</v>
      </c>
    </row>
    <row r="194" spans="1:6" ht="13.9" thickTop="1" thickBot="1" x14ac:dyDescent="0.4">
      <c r="A194" s="38">
        <f>IF(ISERR(NodesJSON[[#This Row],[label]]),0,1)</f>
        <v>1</v>
      </c>
      <c r="B194" s="3" t="str">
        <f>NodesData[[#This Row],[Common Name]]</f>
        <v>High Water Mark Principle</v>
      </c>
      <c r="C194" s="3" t="str">
        <f>IF(NodesData[[#This Row],[Context Instanciation]]="","",NodesData[[#This Row],[Context Instanciation]])</f>
        <v/>
      </c>
      <c r="D194" s="22" t="str">
        <f>NodesData[[#This Row],[Node ID]]</f>
        <v>8F306956-00CB-4F68-965E-0326ED2BC64F</v>
      </c>
      <c r="E194" s="10" t="s">
        <v>848</v>
      </c>
      <c r="F194" s="25" t="str" cm="1">
        <f t="array" ref="F194">IF(NodesJSON[[#This Row],[Export?]]=0,"",IF(ROW(NodesJSON[[#This Row],[label]])&gt;ROW(NodesJSON[[#Headers],[JSON]])+1,",","") &amp;"{"&amp;twoRangesToJSON(NodesJSON[[#Headers],[label]:[url]],NodesJSON[[#This Row],[label]:[url]])&amp;"}")</f>
        <v>,{"label":"High Water Mark Principle","group":"","id":"8F306956-00CB-4F68-965E-0326ED2BC64F","url":"https://open-measure.atlassian.net/wiki/spaces/DIC/pages/1152516217"}</v>
      </c>
    </row>
    <row r="195" spans="1:6" ht="13.9" thickTop="1" thickBot="1" x14ac:dyDescent="0.4">
      <c r="A195" s="38">
        <f>IF(ISERR(NodesJSON[[#This Row],[label]]),0,1)</f>
        <v>1</v>
      </c>
      <c r="B195" s="3" t="str">
        <f>NodesData[[#This Row],[Common Name]]</f>
        <v>Human Error</v>
      </c>
      <c r="C195" s="3" t="str">
        <f>IF(NodesData[[#This Row],[Context Instanciation]]="","",NodesData[[#This Row],[Context Instanciation]])</f>
        <v/>
      </c>
      <c r="D195" s="22" t="str">
        <f>NodesData[[#This Row],[Node ID]]</f>
        <v>11AAEA4F-4AD7-48B6-8503-D40BA5A579BE</v>
      </c>
      <c r="E195" s="10" t="s">
        <v>826</v>
      </c>
      <c r="F195" s="25" t="str" cm="1">
        <f t="array" ref="F195">IF(NodesJSON[[#This Row],[Export?]]=0,"",IF(ROW(NodesJSON[[#This Row],[label]])&gt;ROW(NodesJSON[[#Headers],[JSON]])+1,",","") &amp;"{"&amp;twoRangesToJSON(NodesJSON[[#Headers],[label]:[url]],NodesJSON[[#This Row],[label]:[url]])&amp;"}")</f>
        <v>,{"label":"Human Error","group":"","id":"11AAEA4F-4AD7-48B6-8503-D40BA5A579BE","url":"https://open-measure.atlassian.net/wiki/spaces/DIC/pages/1600749655/Identity+Assurance"}</v>
      </c>
    </row>
    <row r="196" spans="1:6" ht="13.9" thickTop="1" thickBot="1" x14ac:dyDescent="0.4">
      <c r="A196" s="38">
        <f>IF(ISERR(NodesJSON[[#This Row],[label]]),0,1)</f>
        <v>1</v>
      </c>
      <c r="B196" s="3" t="str">
        <f>NodesData[[#This Row],[Common Name]]</f>
        <v>Human Reliability</v>
      </c>
      <c r="C196" s="3" t="str">
        <f>IF(NodesData[[#This Row],[Context Instanciation]]="","",NodesData[[#This Row],[Context Instanciation]])</f>
        <v/>
      </c>
      <c r="D196" s="22" t="str">
        <f>NodesData[[#This Row],[Node ID]]</f>
        <v>7A092CEE-E4F8-4281-BD68-F18A87121871</v>
      </c>
      <c r="E196" s="10" t="s">
        <v>828</v>
      </c>
      <c r="F196" s="25" t="str" cm="1">
        <f t="array" ref="F196">IF(NodesJSON[[#This Row],[Export?]]=0,"",IF(ROW(NodesJSON[[#This Row],[label]])&gt;ROW(NodesJSON[[#Headers],[JSON]])+1,",","") &amp;"{"&amp;twoRangesToJSON(NodesJSON[[#Headers],[label]:[url]],NodesJSON[[#This Row],[label]:[url]])&amp;"}")</f>
        <v>,{"label":"Human Reliability","group":"","id":"7A092CEE-E4F8-4281-BD68-F18A87121871","url":"https://open-measure.atlassian.net/wiki/spaces/DIC/pages/82903275"}</v>
      </c>
    </row>
    <row r="197" spans="1:6" ht="13.9" thickTop="1" thickBot="1" x14ac:dyDescent="0.4">
      <c r="A197" s="38">
        <f>IF(ISERR(NodesJSON[[#This Row],[label]]),0,1)</f>
        <v>1</v>
      </c>
      <c r="B197" s="3" t="str">
        <f>NodesData[[#This Row],[Common Name]]</f>
        <v>IAG</v>
      </c>
      <c r="C197" s="3" t="str">
        <f>IF(NodesData[[#This Row],[Context Instanciation]]="","",NodesData[[#This Row],[Context Instanciation]])</f>
        <v/>
      </c>
      <c r="D197" s="22" t="str">
        <f>NodesData[[#This Row],[Node ID]]</f>
        <v>38B37D63-FDC7-475E-9988-E94A8F7BEC94</v>
      </c>
      <c r="E197" s="10" t="s">
        <v>850</v>
      </c>
      <c r="F197" s="25" t="str" cm="1">
        <f t="array" ref="F197">IF(NodesJSON[[#This Row],[Export?]]=0,"",IF(ROW(NodesJSON[[#This Row],[label]])&gt;ROW(NodesJSON[[#Headers],[JSON]])+1,",","") &amp;"{"&amp;twoRangesToJSON(NodesJSON[[#Headers],[label]:[url]],NodesJSON[[#This Row],[label]:[url]])&amp;"}")</f>
        <v>,{"label":"IAG","group":"","id":"38B37D63-FDC7-475E-9988-E94A8F7BEC94","url":"https://open-measure.atlassian.net/wiki/spaces/DIC/pages/236748873"}</v>
      </c>
    </row>
    <row r="198" spans="1:6" ht="13.9" thickTop="1" thickBot="1" x14ac:dyDescent="0.4">
      <c r="A198" s="38">
        <f>IF(ISERR(NodesJSON[[#This Row],[label]]),0,1)</f>
        <v>1</v>
      </c>
      <c r="B198" s="3" t="str">
        <f>NodesData[[#This Row],[Common Name]]</f>
        <v>IAM</v>
      </c>
      <c r="C198" s="3" t="str">
        <f>IF(NodesData[[#This Row],[Context Instanciation]]="","",NodesData[[#This Row],[Context Instanciation]])</f>
        <v/>
      </c>
      <c r="D198" s="22" t="str">
        <f>NodesData[[#This Row],[Node ID]]</f>
        <v>36B68626-2296-453F-BCA0-1240466A0E44</v>
      </c>
      <c r="E198" s="10" t="s">
        <v>829</v>
      </c>
      <c r="F198" s="25" t="str" cm="1">
        <f t="array" ref="F198">IF(NodesJSON[[#This Row],[Export?]]=0,"",IF(ROW(NodesJSON[[#This Row],[label]])&gt;ROW(NodesJSON[[#Headers],[JSON]])+1,",","") &amp;"{"&amp;twoRangesToJSON(NodesJSON[[#Headers],[label]:[url]],NodesJSON[[#This Row],[label]:[url]])&amp;"}")</f>
        <v>,{"label":"IAM","group":"","id":"36B68626-2296-453F-BCA0-1240466A0E44","url":"https://open-measure.atlassian.net/wiki/spaces/DIC/pages/123896632/Identity+Establishment"}</v>
      </c>
    </row>
    <row r="199" spans="1:6" ht="13.9" thickTop="1" thickBot="1" x14ac:dyDescent="0.4">
      <c r="A199" s="38">
        <f>IF(ISERR(NodesJSON[[#This Row],[label]]),0,1)</f>
        <v>1</v>
      </c>
      <c r="B199" s="3" t="str">
        <f>NodesData[[#This Row],[Common Name]]</f>
        <v>IAM ARN</v>
      </c>
      <c r="C199" s="3" t="str">
        <f>IF(NodesData[[#This Row],[Context Instanciation]]="","",NodesData[[#This Row],[Context Instanciation]])</f>
        <v/>
      </c>
      <c r="D199" s="22" t="str">
        <f>NodesData[[#This Row],[Node ID]]</f>
        <v>CD9B9D1C-3229-4EB5-8852-EC243D4710C4</v>
      </c>
      <c r="E199" s="10" t="s">
        <v>830</v>
      </c>
      <c r="F199" s="25" t="str" cm="1">
        <f t="array" ref="F199">IF(NodesJSON[[#This Row],[Export?]]=0,"",IF(ROW(NodesJSON[[#This Row],[label]])&gt;ROW(NodesJSON[[#Headers],[JSON]])+1,",","") &amp;"{"&amp;twoRangesToJSON(NodesJSON[[#Headers],[label]:[url]],NodesJSON[[#This Row],[label]:[url]])&amp;"}")</f>
        <v>,{"label":"IAM ARN","group":"","id":"CD9B9D1C-3229-4EB5-8852-EC243D4710C4","url":"https://open-measure.atlassian.net/wiki/spaces/DIC/pages/336035929/Identity+Federation"}</v>
      </c>
    </row>
    <row r="200" spans="1:6" ht="13.9" thickTop="1" thickBot="1" x14ac:dyDescent="0.4">
      <c r="A200" s="38">
        <f>IF(ISERR(NodesJSON[[#This Row],[label]]),0,1)</f>
        <v>1</v>
      </c>
      <c r="B200" s="3" t="str">
        <f>NodesData[[#This Row],[Common Name]]</f>
        <v>IAM Management</v>
      </c>
      <c r="C200" s="3" t="str">
        <f>IF(NodesData[[#This Row],[Context Instanciation]]="","",NodesData[[#This Row],[Context Instanciation]])</f>
        <v/>
      </c>
      <c r="D200" s="22" t="str">
        <f>NodesData[[#This Row],[Node ID]]</f>
        <v>93FB5035-1C15-41AE-86FB-713DF99159A2</v>
      </c>
      <c r="E200" s="10" t="s">
        <v>831</v>
      </c>
      <c r="F200" s="25" t="str" cm="1">
        <f t="array" ref="F200">IF(NodesJSON[[#This Row],[Export?]]=0,"",IF(ROW(NodesJSON[[#This Row],[label]])&gt;ROW(NodesJSON[[#Headers],[JSON]])+1,",","") &amp;"{"&amp;twoRangesToJSON(NodesJSON[[#Headers],[label]:[url]],NodesJSON[[#This Row],[label]:[url]])&amp;"}")</f>
        <v>,{"label":"IAM Management","group":"","id":"93FB5035-1C15-41AE-86FB-713DF99159A2","url":"https://open-measure.atlassian.net/wiki/spaces/DIC/pages/1323597918/Identity+Guardian"}</v>
      </c>
    </row>
    <row r="201" spans="1:6" ht="13.9" thickTop="1" thickBot="1" x14ac:dyDescent="0.4">
      <c r="A201" s="38">
        <f>IF(ISERR(NodesJSON[[#This Row],[label]]),0,1)</f>
        <v>1</v>
      </c>
      <c r="B201" s="3" t="str">
        <f>NodesData[[#This Row],[Common Name]]</f>
        <v>IAP</v>
      </c>
      <c r="C201" s="3" t="str">
        <f>IF(NodesData[[#This Row],[Context Instanciation]]="","",NodesData[[#This Row],[Context Instanciation]])</f>
        <v/>
      </c>
      <c r="D201" s="22" t="str">
        <f>NodesData[[#This Row],[Node ID]]</f>
        <v>5B61B2A5-BF69-465F-B7C6-3B0617A2F86F</v>
      </c>
      <c r="E201" s="10" t="s">
        <v>833</v>
      </c>
      <c r="F201" s="25" t="str" cm="1">
        <f t="array" ref="F201">IF(NodesJSON[[#This Row],[Export?]]=0,"",IF(ROW(NodesJSON[[#This Row],[label]])&gt;ROW(NodesJSON[[#Headers],[JSON]])+1,",","") &amp;"{"&amp;twoRangesToJSON(NodesJSON[[#Headers],[label]:[url]],NodesJSON[[#This Row],[label]:[url]])&amp;"}")</f>
        <v>,{"label":"IAP","group":"","id":"5B61B2A5-BF69-465F-B7C6-3B0617A2F86F","url":"https://open-measure.atlassian.net/wiki/spaces/DIC/pages/67600436"}</v>
      </c>
    </row>
    <row r="202" spans="1:6" ht="13.9" thickTop="1" thickBot="1" x14ac:dyDescent="0.4">
      <c r="A202" s="38">
        <f>IF(ISERR(NodesJSON[[#This Row],[label]]),0,1)</f>
        <v>1</v>
      </c>
      <c r="B202" s="3" t="str">
        <f>NodesData[[#This Row],[Common Name]]</f>
        <v>IDaaS</v>
      </c>
      <c r="C202" s="3" t="str">
        <f>IF(NodesData[[#This Row],[Context Instanciation]]="","",NodesData[[#This Row],[Context Instanciation]])</f>
        <v/>
      </c>
      <c r="D202" s="22" t="str">
        <f>NodesData[[#This Row],[Node ID]]</f>
        <v>CDC7A351-B99F-43C4-BF6C-D38446310EC5</v>
      </c>
      <c r="E202" s="10" t="s">
        <v>835</v>
      </c>
      <c r="F202" s="25" t="str" cm="1">
        <f t="array" ref="F202">IF(NodesJSON[[#This Row],[Export?]]=0,"",IF(ROW(NodesJSON[[#This Row],[label]])&gt;ROW(NodesJSON[[#Headers],[JSON]])+1,",","") &amp;"{"&amp;twoRangesToJSON(NodesJSON[[#Headers],[label]:[url]],NodesJSON[[#This Row],[label]:[url]])&amp;"}")</f>
        <v>,{"label":"IDaaS","group":"","id":"CDC7A351-B99F-43C4-BF6C-D38446310EC5","url":"https://open-measure.atlassian.net/wiki/spaces/DIC/pages/1122533530"}</v>
      </c>
    </row>
    <row r="203" spans="1:6" ht="13.9" thickTop="1" thickBot="1" x14ac:dyDescent="0.4">
      <c r="A203" s="38">
        <f>IF(ISERR(NodesJSON[[#This Row],[label]]),0,1)</f>
        <v>1</v>
      </c>
      <c r="B203" s="3" t="str">
        <f>NodesData[[#This Row],[Common Name]]</f>
        <v>Ideal Type</v>
      </c>
      <c r="C203" s="3" t="str">
        <f>IF(NodesData[[#This Row],[Context Instanciation]]="","",NodesData[[#This Row],[Context Instanciation]])</f>
        <v/>
      </c>
      <c r="D203" s="22" t="str">
        <f>NodesData[[#This Row],[Node ID]]</f>
        <v>04FCC654-7A38-423D-9654-4BB281273FA2</v>
      </c>
      <c r="E203" s="10" t="s">
        <v>837</v>
      </c>
      <c r="F203" s="25" t="str" cm="1">
        <f t="array" ref="F203">IF(NodesJSON[[#This Row],[Export?]]=0,"",IF(ROW(NodesJSON[[#This Row],[label]])&gt;ROW(NodesJSON[[#Headers],[JSON]])+1,",","") &amp;"{"&amp;twoRangesToJSON(NodesJSON[[#Headers],[label]:[url]],NodesJSON[[#This Row],[label]:[url]])&amp;"}")</f>
        <v>,{"label":"Ideal Type","group":"","id":"04FCC654-7A38-423D-9654-4BB281273FA2","url":"https://open-measure.atlassian.net/wiki/spaces/DIC/pages/1146847286"}</v>
      </c>
    </row>
    <row r="204" spans="1:6" ht="13.9" thickTop="1" thickBot="1" x14ac:dyDescent="0.4">
      <c r="A204" s="38">
        <f>IF(ISERR(NodesJSON[[#This Row],[label]]),0,1)</f>
        <v>1</v>
      </c>
      <c r="B204" s="3" t="str">
        <f>NodesData[[#This Row],[Common Name]]</f>
        <v>Identification</v>
      </c>
      <c r="C204" s="3" t="str">
        <f>IF(NodesData[[#This Row],[Context Instanciation]]="","",NodesData[[#This Row],[Context Instanciation]])</f>
        <v/>
      </c>
      <c r="D204" s="22" t="str">
        <f>NodesData[[#This Row],[Node ID]]</f>
        <v>DBA49D0C-1156-48CB-9C7A-B4088A1EB0FC</v>
      </c>
      <c r="E204" s="10" t="s">
        <v>838</v>
      </c>
      <c r="F204" s="25" t="str" cm="1">
        <f t="array" ref="F204">IF(NodesJSON[[#This Row],[Export?]]=0,"",IF(ROW(NodesJSON[[#This Row],[label]])&gt;ROW(NodesJSON[[#Headers],[JSON]])+1,",","") &amp;"{"&amp;twoRangesToJSON(NodesJSON[[#Headers],[label]:[url]],NodesJSON[[#This Row],[label]:[url]])&amp;"}")</f>
        <v>,{"label":"Identification","group":"","id":"DBA49D0C-1156-48CB-9C7A-B4088A1EB0FC","url":"https://open-measure.atlassian.net/wiki/spaces/DIC/pages/1323434004/Identity+Portability"}</v>
      </c>
    </row>
    <row r="205" spans="1:6" ht="13.9" thickTop="1" thickBot="1" x14ac:dyDescent="0.4">
      <c r="A205" s="38">
        <f>IF(ISERR(NodesJSON[[#This Row],[label]]),0,1)</f>
        <v>1</v>
      </c>
      <c r="B205" s="3" t="str">
        <f>NodesData[[#This Row],[Common Name]]</f>
        <v>Identification System</v>
      </c>
      <c r="C205" s="3" t="str">
        <f>IF(NodesData[[#This Row],[Context Instanciation]]="","",NodesData[[#This Row],[Context Instanciation]])</f>
        <v/>
      </c>
      <c r="D205" s="22" t="str">
        <f>NodesData[[#This Row],[Node ID]]</f>
        <v>93DC22E7-F62B-4894-9016-734E87D969DC</v>
      </c>
      <c r="E205" s="10" t="s">
        <v>840</v>
      </c>
      <c r="F205" s="25" t="str" cm="1">
        <f t="array" ref="F205">IF(NodesJSON[[#This Row],[Export?]]=0,"",IF(ROW(NodesJSON[[#This Row],[label]])&gt;ROW(NodesJSON[[#Headers],[JSON]])+1,",","") &amp;"{"&amp;twoRangesToJSON(NodesJSON[[#Headers],[label]:[url]],NodesJSON[[#This Row],[label]:[url]])&amp;"}")</f>
        <v>,{"label":"Identification System","group":"","id":"93DC22E7-F62B-4894-9016-734E87D969DC","url":"https://open-measure.atlassian.net/wiki/spaces/DIC/pages/858522094"}</v>
      </c>
    </row>
    <row r="206" spans="1:6" ht="13.9" thickTop="1" thickBot="1" x14ac:dyDescent="0.4">
      <c r="A206" s="38">
        <f>IF(ISERR(NodesJSON[[#This Row],[label]]),0,1)</f>
        <v>1</v>
      </c>
      <c r="B206" s="3" t="str">
        <f>NodesData[[#This Row],[Common Name]]</f>
        <v>Identifier</v>
      </c>
      <c r="C206" s="3" t="str">
        <f>IF(NodesData[[#This Row],[Context Instanciation]]="","",NodesData[[#This Row],[Context Instanciation]])</f>
        <v/>
      </c>
      <c r="D206" s="22" t="str">
        <f>NodesData[[#This Row],[Node ID]]</f>
        <v>DA4116EE-07AC-40A4-9E22-4894AFACAF98</v>
      </c>
      <c r="E206" s="10" t="s">
        <v>842</v>
      </c>
      <c r="F206" s="25" t="str" cm="1">
        <f t="array" ref="F206">IF(NodesJSON[[#This Row],[Export?]]=0,"",IF(ROW(NodesJSON[[#This Row],[label]])&gt;ROW(NodesJSON[[#Headers],[JSON]])+1,",","") &amp;"{"&amp;twoRangesToJSON(NodesJSON[[#Headers],[label]:[url]],NodesJSON[[#This Row],[label]:[url]])&amp;"}")</f>
        <v>,{"label":"Identifier","group":"","id":"DA4116EE-07AC-40A4-9E22-4894AFACAF98","url":"https://open-measure.atlassian.net/wiki/spaces/DIC/pages/810254353"}</v>
      </c>
    </row>
    <row r="207" spans="1:6" ht="13.9" thickTop="1" thickBot="1" x14ac:dyDescent="0.4">
      <c r="A207" s="38">
        <f>IF(ISERR(NodesJSON[[#This Row],[label]]),0,1)</f>
        <v>1</v>
      </c>
      <c r="B207" s="3" t="str">
        <f>NodesData[[#This Row],[Common Name]]</f>
        <v>Identifier Registry Model</v>
      </c>
      <c r="C207" s="3" t="str">
        <f>IF(NodesData[[#This Row],[Context Instanciation]]="","",NodesData[[#This Row],[Context Instanciation]])</f>
        <v/>
      </c>
      <c r="D207" s="22" t="str">
        <f>NodesData[[#This Row],[Node ID]]</f>
        <v>7182B918-101D-409C-B591-A6DF9854D46B</v>
      </c>
      <c r="E207" s="10" t="s">
        <v>844</v>
      </c>
      <c r="F207" s="25" t="str" cm="1">
        <f t="array" ref="F207">IF(NodesJSON[[#This Row],[Export?]]=0,"",IF(ROW(NodesJSON[[#This Row],[label]])&gt;ROW(NodesJSON[[#Headers],[JSON]])+1,",","") &amp;"{"&amp;twoRangesToJSON(NodesJSON[[#Headers],[label]:[url]],NodesJSON[[#This Row],[label]:[url]])&amp;"}")</f>
        <v>,{"label":"Identifier Registry Model","group":"","id":"7182B918-101D-409C-B591-A6DF9854D46B","url":"https://open-measure.atlassian.net/wiki/spaces/DIC/pages/82838020"}</v>
      </c>
    </row>
    <row r="208" spans="1:6" ht="13.9" thickTop="1" thickBot="1" x14ac:dyDescent="0.4">
      <c r="A208" s="38">
        <f>IF(ISERR(NodesJSON[[#This Row],[label]]),0,1)</f>
        <v>1</v>
      </c>
      <c r="B208" s="3" t="str">
        <f>NodesData[[#This Row],[Common Name]]</f>
        <v>Identity</v>
      </c>
      <c r="C208" s="3" t="str">
        <f>IF(NodesData[[#This Row],[Context Instanciation]]="","",NodesData[[#This Row],[Context Instanciation]])</f>
        <v/>
      </c>
      <c r="D208" s="22" t="str">
        <f>NodesData[[#This Row],[Node ID]]</f>
        <v>ECE5E949-7963-43BA-85FC-D7B165E74200</v>
      </c>
      <c r="E208" s="10" t="s">
        <v>846</v>
      </c>
      <c r="F208" s="25" t="str" cm="1">
        <f t="array" ref="F208">IF(NodesJSON[[#This Row],[Export?]]=0,"",IF(ROW(NodesJSON[[#This Row],[label]])&gt;ROW(NodesJSON[[#Headers],[JSON]])+1,",","") &amp;"{"&amp;twoRangesToJSON(NodesJSON[[#Headers],[label]:[url]],NodesJSON[[#This Row],[label]:[url]])&amp;"}")</f>
        <v>,{"label":"Identity","group":"","id":"ECE5E949-7963-43BA-85FC-D7B165E74200","url":"https://open-measure.atlassian.net/wiki/spaces/DIC/pages/1117913089"}</v>
      </c>
    </row>
    <row r="209" spans="1:6" ht="13.9" thickTop="1" thickBot="1" x14ac:dyDescent="0.4">
      <c r="A209" s="38">
        <f>IF(ISERR(NodesJSON[[#This Row],[label]]),0,1)</f>
        <v>1</v>
      </c>
      <c r="B209" s="3" t="str">
        <f>NodesData[[#This Row],[Common Name]]</f>
        <v>Identity Aggregation</v>
      </c>
      <c r="C209" s="3" t="str">
        <f>IF(NodesData[[#This Row],[Context Instanciation]]="","",NodesData[[#This Row],[Context Instanciation]])</f>
        <v/>
      </c>
      <c r="D209" s="22" t="str">
        <f>NodesData[[#This Row],[Node ID]]</f>
        <v>AD502B6D-0586-456A-B841-C584063FFF6F</v>
      </c>
      <c r="E209" s="10" t="s">
        <v>852</v>
      </c>
      <c r="F209" s="25" t="str" cm="1">
        <f t="array" ref="F209">IF(NodesJSON[[#This Row],[Export?]]=0,"",IF(ROW(NodesJSON[[#This Row],[label]])&gt;ROW(NodesJSON[[#Headers],[JSON]])+1,",","") &amp;"{"&amp;twoRangesToJSON(NodesJSON[[#Headers],[label]:[url]],NodesJSON[[#This Row],[label]:[url]])&amp;"}")</f>
        <v>,{"label":"Identity Aggregation","group":"","id":"AD502B6D-0586-456A-B841-C584063FFF6F","url":"https://open-measure.atlassian.net/wiki/spaces/DIC/pages/1147043904"}</v>
      </c>
    </row>
    <row r="210" spans="1:6" ht="13.9" thickTop="1" thickBot="1" x14ac:dyDescent="0.4">
      <c r="A210" s="38">
        <f>IF(ISERR(NodesJSON[[#This Row],[label]]),0,1)</f>
        <v>1</v>
      </c>
      <c r="B210" s="3" t="str">
        <f>NodesData[[#This Row],[Common Name]]</f>
        <v>Identity and Access Governance</v>
      </c>
      <c r="C210" s="3" t="str">
        <f>IF(NodesData[[#This Row],[Context Instanciation]]="","",NodesData[[#This Row],[Context Instanciation]])</f>
        <v/>
      </c>
      <c r="D210" s="22" t="str">
        <f>NodesData[[#This Row],[Node ID]]</f>
        <v>F49E932D-1DC4-443E-879B-95852251E1F4</v>
      </c>
      <c r="E210" s="10" t="s">
        <v>854</v>
      </c>
      <c r="F210" s="25" t="str" cm="1">
        <f t="array" ref="F210">IF(NodesJSON[[#This Row],[Export?]]=0,"",IF(ROW(NodesJSON[[#This Row],[label]])&gt;ROW(NodesJSON[[#Headers],[JSON]])+1,",","") &amp;"{"&amp;twoRangesToJSON(NodesJSON[[#Headers],[label]:[url]],NodesJSON[[#This Row],[label]:[url]])&amp;"}")</f>
        <v>,{"label":"Identity and Access Governance","group":"","id":"F49E932D-1DC4-443E-879B-95852251E1F4","url":"https://open-measure.atlassian.net/wiki/spaces/DIC/pages/81101362"}</v>
      </c>
    </row>
    <row r="211" spans="1:6" ht="13.9" thickTop="1" thickBot="1" x14ac:dyDescent="0.4">
      <c r="A211" s="38">
        <f>IF(ISERR(NodesJSON[[#This Row],[label]]),0,1)</f>
        <v>1</v>
      </c>
      <c r="B211" s="3" t="str">
        <f>NodesData[[#This Row],[Common Name]]</f>
        <v>Identity and Access Management</v>
      </c>
      <c r="C211" s="3" t="str">
        <f>IF(NodesData[[#This Row],[Context Instanciation]]="","",NodesData[[#This Row],[Context Instanciation]])</f>
        <v/>
      </c>
      <c r="D211" s="22" t="str">
        <f>NodesData[[#This Row],[Node ID]]</f>
        <v>C064B8CC-D2B3-4608-8ECA-84C284889DED</v>
      </c>
      <c r="E211" s="10" t="s">
        <v>856</v>
      </c>
      <c r="F211" s="25" t="str" cm="1">
        <f t="array" ref="F211">IF(NodesJSON[[#This Row],[Export?]]=0,"",IF(ROW(NodesJSON[[#This Row],[label]])&gt;ROW(NodesJSON[[#Headers],[JSON]])+1,",","") &amp;"{"&amp;twoRangesToJSON(NodesJSON[[#Headers],[label]:[url]],NodesJSON[[#This Row],[label]:[url]])&amp;"}")</f>
        <v>,{"label":"Identity and Access Management","group":"","id":"C064B8CC-D2B3-4608-8ECA-84C284889DED","url":"https://open-measure.atlassian.net/wiki/spaces/DIC/pages/107708597"}</v>
      </c>
    </row>
    <row r="212" spans="1:6" ht="13.9" thickTop="1" thickBot="1" x14ac:dyDescent="0.4">
      <c r="A212" s="38">
        <f>IF(ISERR(NodesJSON[[#This Row],[label]]),0,1)</f>
        <v>1</v>
      </c>
      <c r="B212" s="3" t="str">
        <f>NodesData[[#This Row],[Common Name]]</f>
        <v>Identity Assurance</v>
      </c>
      <c r="C212" s="3" t="str">
        <f>IF(NodesData[[#This Row],[Context Instanciation]]="","",NodesData[[#This Row],[Context Instanciation]])</f>
        <v/>
      </c>
      <c r="D212" s="22" t="str">
        <f>NodesData[[#This Row],[Node ID]]</f>
        <v>2BF9EC24-DB77-42D2-A63C-BB528873268F</v>
      </c>
      <c r="E212" s="10" t="s">
        <v>858</v>
      </c>
      <c r="F212" s="25" t="str" cm="1">
        <f t="array" ref="F212">IF(NodesJSON[[#This Row],[Export?]]=0,"",IF(ROW(NodesJSON[[#This Row],[label]])&gt;ROW(NodesJSON[[#Headers],[JSON]])+1,",","") &amp;"{"&amp;twoRangesToJSON(NodesJSON[[#Headers],[label]:[url]],NodesJSON[[#This Row],[label]:[url]])&amp;"}")</f>
        <v>,{"label":"Identity Assurance","group":"","id":"2BF9EC24-DB77-42D2-A63C-BB528873268F","url":"https://open-measure.atlassian.net/wiki/spaces/DIC/pages/974323719"}</v>
      </c>
    </row>
    <row r="213" spans="1:6" ht="13.9" thickTop="1" thickBot="1" x14ac:dyDescent="0.4">
      <c r="A213" s="38">
        <f>IF(ISERR(NodesJSON[[#This Row],[label]]),0,1)</f>
        <v>1</v>
      </c>
      <c r="B213" s="3" t="str">
        <f>NodesData[[#This Row],[Common Name]]</f>
        <v>Identity Attribute</v>
      </c>
      <c r="C213" s="3" t="str">
        <f>IF(NodesData[[#This Row],[Context Instanciation]]="","",NodesData[[#This Row],[Context Instanciation]])</f>
        <v/>
      </c>
      <c r="D213" s="22" t="str">
        <f>NodesData[[#This Row],[Node ID]]</f>
        <v>3262567A-1B72-4C2F-9802-81AA2F63B13A</v>
      </c>
      <c r="E213" s="4"/>
      <c r="F213" s="25" t="str" cm="1">
        <f t="array" ref="F213">IF(NodesJSON[[#This Row],[Export?]]=0,"",IF(ROW(NodesJSON[[#This Row],[label]])&gt;ROW(NodesJSON[[#Headers],[JSON]])+1,",","") &amp;"{"&amp;twoRangesToJSON(NodesJSON[[#Headers],[label]:[url]],NodesJSON[[#This Row],[label]:[url]])&amp;"}")</f>
        <v>,{"label":"Identity Attribute","group":"","id":"3262567A-1B72-4C2F-9802-81AA2F63B13A","url":""}</v>
      </c>
    </row>
    <row r="214" spans="1:6" ht="13.9" thickTop="1" thickBot="1" x14ac:dyDescent="0.4">
      <c r="A214" s="38">
        <f>IF(ISERR(NodesJSON[[#This Row],[label]]),0,1)</f>
        <v>1</v>
      </c>
      <c r="B214" s="3" t="str">
        <f>NodesData[[#This Row],[Common Name]]</f>
        <v>Identity Deception</v>
      </c>
      <c r="C214" s="3" t="str">
        <f>IF(NodesData[[#This Row],[Context Instanciation]]="","",NodesData[[#This Row],[Context Instanciation]])</f>
        <v/>
      </c>
      <c r="D214" s="22" t="str">
        <f>NodesData[[#This Row],[Node ID]]</f>
        <v>8AB3C29B-04F9-4068-85E6-82031382CE74</v>
      </c>
      <c r="E214" s="10" t="s">
        <v>860</v>
      </c>
      <c r="F214" s="25" t="str" cm="1">
        <f t="array" ref="F214">IF(NodesJSON[[#This Row],[Export?]]=0,"",IF(ROW(NodesJSON[[#This Row],[label]])&gt;ROW(NodesJSON[[#Headers],[JSON]])+1,",","") &amp;"{"&amp;twoRangesToJSON(NodesJSON[[#Headers],[label]:[url]],NodesJSON[[#This Row],[label]:[url]])&amp;"}")</f>
        <v>,{"label":"Identity Deception","group":"","id":"8AB3C29B-04F9-4068-85E6-82031382CE74","url":"https://open-measure.atlassian.net/wiki/spaces/DIC/pages/1027342618"}</v>
      </c>
    </row>
    <row r="215" spans="1:6" ht="13.9" thickTop="1" thickBot="1" x14ac:dyDescent="0.4">
      <c r="A215" s="38">
        <f>IF(ISERR(NodesJSON[[#This Row],[label]]),0,1)</f>
        <v>1</v>
      </c>
      <c r="B215" s="3" t="str">
        <f>NodesData[[#This Row],[Common Name]]</f>
        <v>Identity Establishment</v>
      </c>
      <c r="C215" s="3" t="str">
        <f>IF(NodesData[[#This Row],[Context Instanciation]]="","",NodesData[[#This Row],[Context Instanciation]])</f>
        <v/>
      </c>
      <c r="D215" s="22" t="str">
        <f>NodesData[[#This Row],[Node ID]]</f>
        <v>ADC16E09-247E-4E67-B563-C7F962784D09</v>
      </c>
      <c r="E215" s="10" t="s">
        <v>862</v>
      </c>
      <c r="F215" s="25" t="str" cm="1">
        <f t="array" ref="F215">IF(NodesJSON[[#This Row],[Export?]]=0,"",IF(ROW(NodesJSON[[#This Row],[label]])&gt;ROW(NodesJSON[[#Headers],[JSON]])+1,",","") &amp;"{"&amp;twoRangesToJSON(NodesJSON[[#Headers],[label]:[url]],NodesJSON[[#This Row],[label]:[url]])&amp;"}")</f>
        <v>,{"label":"Identity Establishment","group":"","id":"ADC16E09-247E-4E67-B563-C7F962784D09","url":"https://open-measure.atlassian.net/wiki/spaces/DIC/pages/455508212"}</v>
      </c>
    </row>
    <row r="216" spans="1:6" ht="13.9" thickTop="1" thickBot="1" x14ac:dyDescent="0.4">
      <c r="A216" s="38">
        <f>IF(ISERR(NodesJSON[[#This Row],[label]]),0,1)</f>
        <v>1</v>
      </c>
      <c r="B216" s="3" t="str">
        <f>NodesData[[#This Row],[Common Name]]</f>
        <v>Identity Federation</v>
      </c>
      <c r="C216" s="3" t="str">
        <f>IF(NodesData[[#This Row],[Context Instanciation]]="","",NodesData[[#This Row],[Context Instanciation]])</f>
        <v/>
      </c>
      <c r="D216" s="22" t="str">
        <f>NodesData[[#This Row],[Node ID]]</f>
        <v>1097BABD-237E-4C31-B091-DA27B377143A</v>
      </c>
      <c r="E216" s="10" t="s">
        <v>864</v>
      </c>
      <c r="F216" s="25" t="str" cm="1">
        <f t="array" ref="F216">IF(NodesJSON[[#This Row],[Export?]]=0,"",IF(ROW(NodesJSON[[#This Row],[label]])&gt;ROW(NodesJSON[[#Headers],[JSON]])+1,",","") &amp;"{"&amp;twoRangesToJSON(NodesJSON[[#Headers],[label]:[url]],NodesJSON[[#This Row],[label]:[url]])&amp;"}")</f>
        <v>,{"label":"Identity Federation","group":"","id":"1097BABD-237E-4C31-B091-DA27B377143A","url":"https://open-measure.atlassian.net/wiki/spaces/DIC/pages/1004896257"}</v>
      </c>
    </row>
    <row r="217" spans="1:6" ht="13.9" thickTop="1" thickBot="1" x14ac:dyDescent="0.4">
      <c r="A217" s="38">
        <f>IF(ISERR(NodesJSON[[#This Row],[label]]),0,1)</f>
        <v>1</v>
      </c>
      <c r="B217" s="3" t="str">
        <f>NodesData[[#This Row],[Common Name]]</f>
        <v>Identity Guardian</v>
      </c>
      <c r="C217" s="3" t="str">
        <f>IF(NodesData[[#This Row],[Context Instanciation]]="","",NodesData[[#This Row],[Context Instanciation]])</f>
        <v/>
      </c>
      <c r="D217" s="22" t="str">
        <f>NodesData[[#This Row],[Node ID]]</f>
        <v>DD91104E-A753-4608-91C4-78A10E41CA1A</v>
      </c>
      <c r="E217" s="10" t="s">
        <v>866</v>
      </c>
      <c r="F217" s="25" t="str" cm="1">
        <f t="array" ref="F217">IF(NodesJSON[[#This Row],[Export?]]=0,"",IF(ROW(NodesJSON[[#This Row],[label]])&gt;ROW(NodesJSON[[#Headers],[JSON]])+1,",","") &amp;"{"&amp;twoRangesToJSON(NodesJSON[[#Headers],[label]:[url]],NodesJSON[[#This Row],[label]:[url]])&amp;"}")</f>
        <v>,{"label":"Identity Guardian","group":"","id":"DD91104E-A753-4608-91C4-78A10E41CA1A","url":"https://open-measure.atlassian.net/wiki/spaces/DIC/pages/1177714758"}</v>
      </c>
    </row>
    <row r="218" spans="1:6" ht="13.9" thickTop="1" thickBot="1" x14ac:dyDescent="0.4">
      <c r="A218" s="38">
        <f>IF(ISERR(NodesJSON[[#This Row],[label]]),0,1)</f>
        <v>1</v>
      </c>
      <c r="B218" s="3" t="str">
        <f>NodesData[[#This Row],[Common Name]]</f>
        <v>Identity Lifecycle</v>
      </c>
      <c r="C218" s="3" t="str">
        <f>IF(NodesData[[#This Row],[Context Instanciation]]="","",NodesData[[#This Row],[Context Instanciation]])</f>
        <v/>
      </c>
      <c r="D218" s="22" t="str">
        <f>NodesData[[#This Row],[Node ID]]</f>
        <v>D2F0CD41-D496-44FC-B1FF-DE2DB4F6E1F1</v>
      </c>
      <c r="E218" s="10" t="s">
        <v>868</v>
      </c>
      <c r="F218" s="25" t="str" cm="1">
        <f t="array" ref="F218">IF(NodesJSON[[#This Row],[Export?]]=0,"",IF(ROW(NodesJSON[[#This Row],[label]])&gt;ROW(NodesJSON[[#Headers],[JSON]])+1,",","") &amp;"{"&amp;twoRangesToJSON(NodesJSON[[#Headers],[label]:[url]],NodesJSON[[#This Row],[label]:[url]])&amp;"}")</f>
        <v>,{"label":"Identity Lifecycle","group":"","id":"D2F0CD41-D496-44FC-B1FF-DE2DB4F6E1F1","url":"https://open-measure.atlassian.net/wiki/spaces/DIC/pages/998113409"}</v>
      </c>
    </row>
    <row r="219" spans="1:6" ht="13.9" thickTop="1" thickBot="1" x14ac:dyDescent="0.4">
      <c r="A219" s="38">
        <f>IF(ISERR(NodesJSON[[#This Row],[label]]),0,1)</f>
        <v>1</v>
      </c>
      <c r="B219" s="3" t="str">
        <f>NodesData[[#This Row],[Common Name]]</f>
        <v>Identity Management</v>
      </c>
      <c r="C219" s="3" t="str">
        <f>IF(NodesData[[#This Row],[Context Instanciation]]="","",NodesData[[#This Row],[Context Instanciation]])</f>
        <v/>
      </c>
      <c r="D219" s="22" t="str">
        <f>NodesData[[#This Row],[Node ID]]</f>
        <v>A236A003-6F40-4107-9F00-034B4CA62DA0</v>
      </c>
      <c r="E219" s="10" t="s">
        <v>869</v>
      </c>
      <c r="F219" s="25" t="str" cm="1">
        <f t="array" ref="F219">IF(NodesJSON[[#This Row],[Export?]]=0,"",IF(ROW(NodesJSON[[#This Row],[label]])&gt;ROW(NodesJSON[[#Headers],[JSON]])+1,",","") &amp;"{"&amp;twoRangesToJSON(NodesJSON[[#Headers],[label]:[url]],NodesJSON[[#This Row],[label]:[url]])&amp;"}")</f>
        <v>,{"label":"Identity Management","group":"","id":"A236A003-6F40-4107-9F00-034B4CA62DA0","url":"https://open-measure.atlassian.net/wiki/spaces/DIC/pages/438698009/Information+Security+Domain"}</v>
      </c>
    </row>
    <row r="220" spans="1:6" ht="13.9" thickTop="1" thickBot="1" x14ac:dyDescent="0.4">
      <c r="A220" s="38">
        <f>IF(ISERR(NodesJSON[[#This Row],[label]]),0,1)</f>
        <v>1</v>
      </c>
      <c r="B220" s="3" t="str">
        <f>NodesData[[#This Row],[Common Name]]</f>
        <v>Identity Management System</v>
      </c>
      <c r="C220" s="3" t="str">
        <f>IF(NodesData[[#This Row],[Context Instanciation]]="","",NodesData[[#This Row],[Context Instanciation]])</f>
        <v/>
      </c>
      <c r="D220" s="22" t="str">
        <f>NodesData[[#This Row],[Node ID]]</f>
        <v>9CD1916E-F309-41D5-AC6A-713B70461AAA</v>
      </c>
      <c r="E220" s="10" t="s">
        <v>870</v>
      </c>
      <c r="F220" s="25" t="str" cm="1">
        <f t="array" ref="F220">IF(NodesJSON[[#This Row],[Export?]]=0,"",IF(ROW(NodesJSON[[#This Row],[label]])&gt;ROW(NodesJSON[[#Headers],[JSON]])+1,",","") &amp;"{"&amp;twoRangesToJSON(NodesJSON[[#Headers],[label]:[url]],NodesJSON[[#This Row],[label]:[url]])&amp;"}")</f>
        <v>,{"label":"Identity Management System","group":"","id":"9CD1916E-F309-41D5-AC6A-713B70461AAA","url":"https://open-measure.atlassian.net/wiki/spaces/DIC/pages/1031241830/Information+System"}</v>
      </c>
    </row>
    <row r="221" spans="1:6" ht="13.9" thickTop="1" thickBot="1" x14ac:dyDescent="0.4">
      <c r="A221" s="38">
        <f>IF(ISERR(NodesJSON[[#This Row],[label]]),0,1)</f>
        <v>1</v>
      </c>
      <c r="B221" s="3" t="str">
        <f>NodesData[[#This Row],[Common Name]]</f>
        <v>Identity Portability</v>
      </c>
      <c r="C221" s="3" t="str">
        <f>IF(NodesData[[#This Row],[Context Instanciation]]="","",NodesData[[#This Row],[Context Instanciation]])</f>
        <v/>
      </c>
      <c r="D221" s="22" t="str">
        <f>NodesData[[#This Row],[Node ID]]</f>
        <v>1D0B9B27-BA0A-42A0-BA95-DA8B51BE6921</v>
      </c>
      <c r="E221" s="3"/>
      <c r="F221" s="25" t="str" cm="1">
        <f t="array" ref="F221">IF(NodesJSON[[#This Row],[Export?]]=0,"",IF(ROW(NodesJSON[[#This Row],[label]])&gt;ROW(NodesJSON[[#Headers],[JSON]])+1,",","") &amp;"{"&amp;twoRangesToJSON(NodesJSON[[#Headers],[label]:[url]],NodesJSON[[#This Row],[label]:[url]])&amp;"}")</f>
        <v>,{"label":"Identity Portability","group":"","id":"1D0B9B27-BA0A-42A0-BA95-DA8B51BE6921","url":""}</v>
      </c>
    </row>
    <row r="222" spans="1:6" ht="13.9" thickTop="1" thickBot="1" x14ac:dyDescent="0.4">
      <c r="A222" s="38">
        <f>IF(ISERR(NodesJSON[[#This Row],[label]]),0,1)</f>
        <v>1</v>
      </c>
      <c r="B222" s="3" t="str">
        <f>NodesData[[#This Row],[Common Name]]</f>
        <v>Identity Proofing</v>
      </c>
      <c r="C222" s="3" t="str">
        <f>IF(NodesData[[#This Row],[Context Instanciation]]="","",NodesData[[#This Row],[Context Instanciation]])</f>
        <v/>
      </c>
      <c r="D222" s="22" t="str">
        <f>NodesData[[#This Row],[Node ID]]</f>
        <v>23033304-A691-4F86-A7D2-512923E7EBB7</v>
      </c>
      <c r="E222" s="10" t="s">
        <v>871</v>
      </c>
      <c r="F222" s="25" t="str" cm="1">
        <f t="array" ref="F222">IF(NodesJSON[[#This Row],[Export?]]=0,"",IF(ROW(NodesJSON[[#This Row],[label]])&gt;ROW(NodesJSON[[#Headers],[JSON]])+1,",","") &amp;"{"&amp;twoRangesToJSON(NodesJSON[[#Headers],[label]:[url]],NodesJSON[[#This Row],[label]:[url]])&amp;"}")</f>
        <v>,{"label":"Identity Proofing","group":"","id":"23033304-A691-4F86-A7D2-512923E7EBB7","url":"https://open-measure.atlassian.net/wiki/spaces/DIC/pages/1477869651/Inside+Attacker"}</v>
      </c>
    </row>
    <row r="223" spans="1:6" ht="13.9" thickTop="1" thickBot="1" x14ac:dyDescent="0.4">
      <c r="A223" s="38">
        <f>IF(ISERR(NodesJSON[[#This Row],[label]]),0,1)</f>
        <v>1</v>
      </c>
      <c r="B223" s="3" t="str">
        <f>NodesData[[#This Row],[Common Name]]</f>
        <v>Identity Propagation</v>
      </c>
      <c r="C223" s="3" t="str">
        <f>IF(NodesData[[#This Row],[Context Instanciation]]="","",NodesData[[#This Row],[Context Instanciation]])</f>
        <v/>
      </c>
      <c r="D223" s="22" t="str">
        <f>NodesData[[#This Row],[Node ID]]</f>
        <v>8FE8C150-C077-40A5-85ED-7EB71C6537CA</v>
      </c>
      <c r="E223" s="10" t="s">
        <v>872</v>
      </c>
      <c r="F223" s="25" t="str" cm="1">
        <f t="array" ref="F223">IF(NodesJSON[[#This Row],[Export?]]=0,"",IF(ROW(NodesJSON[[#This Row],[label]])&gt;ROW(NodesJSON[[#Headers],[JSON]])+1,",","") &amp;"{"&amp;twoRangesToJSON(NodesJSON[[#Headers],[label]:[url]],NodesJSON[[#This Row],[label]:[url]])&amp;"}")</f>
        <v>,{"label":"Identity Propagation","group":"","id":"8FE8C150-C077-40A5-85ED-7EB71C6537CA","url":"https://open-measure.atlassian.net/wiki/spaces/DIC/pages/1451884782/Insider"}</v>
      </c>
    </row>
    <row r="224" spans="1:6" ht="13.9" thickTop="1" thickBot="1" x14ac:dyDescent="0.4">
      <c r="A224" s="38">
        <f>IF(ISERR(NodesJSON[[#This Row],[label]]),0,1)</f>
        <v>1</v>
      </c>
      <c r="B224" s="3" t="str">
        <f>NodesData[[#This Row],[Common Name]]</f>
        <v>Identity Provider</v>
      </c>
      <c r="C224" s="3" t="str">
        <f>IF(NodesData[[#This Row],[Context Instanciation]]="","",NodesData[[#This Row],[Context Instanciation]])</f>
        <v/>
      </c>
      <c r="D224" s="22" t="str">
        <f>NodesData[[#This Row],[Node ID]]</f>
        <v>1C0D1083-FCAB-41BB-AB87-4829FB11D792</v>
      </c>
      <c r="E224" s="10" t="s">
        <v>873</v>
      </c>
      <c r="F224" s="25" t="str" cm="1">
        <f t="array" ref="F224">IF(NodesJSON[[#This Row],[Export?]]=0,"",IF(ROW(NodesJSON[[#This Row],[label]])&gt;ROW(NodesJSON[[#Headers],[JSON]])+1,",","") &amp;"{"&amp;twoRangesToJSON(NodesJSON[[#Headers],[label]:[url]],NodesJSON[[#This Row],[label]:[url]])&amp;"}")</f>
        <v>,{"label":"Identity Provider","group":"","id":"1C0D1083-FCAB-41BB-AB87-4829FB11D792","url":"https://open-measure.atlassian.net/wiki/spaces/DIC/pages/1478459402/Insider+Attack"}</v>
      </c>
    </row>
    <row r="225" spans="1:6" ht="13.9" thickTop="1" thickBot="1" x14ac:dyDescent="0.4">
      <c r="A225" s="38">
        <f>IF(ISERR(NodesJSON[[#This Row],[label]]),0,1)</f>
        <v>1</v>
      </c>
      <c r="B225" s="3" t="str">
        <f>NodesData[[#This Row],[Common Name]]</f>
        <v>Identity Repository</v>
      </c>
      <c r="C225" s="3" t="str">
        <f>IF(NodesData[[#This Row],[Context Instanciation]]="","",NodesData[[#This Row],[Context Instanciation]])</f>
        <v/>
      </c>
      <c r="D225" s="22" t="str">
        <f>NodesData[[#This Row],[Node ID]]</f>
        <v>8F8C4201-E338-4774-98F7-CDDDC3BE6782</v>
      </c>
      <c r="E225" s="10" t="s">
        <v>874</v>
      </c>
      <c r="F225" s="25" t="str" cm="1">
        <f t="array" ref="F225">IF(NodesJSON[[#This Row],[Export?]]=0,"",IF(ROW(NodesJSON[[#This Row],[label]])&gt;ROW(NodesJSON[[#Headers],[JSON]])+1,",","") &amp;"{"&amp;twoRangesToJSON(NodesJSON[[#Headers],[label]:[url]],NodesJSON[[#This Row],[label]:[url]])&amp;"}")</f>
        <v>,{"label":"Identity Repository","group":"","id":"8F8C4201-E338-4774-98F7-CDDDC3BE6782","url":"https://open-measure.atlassian.net/wiki/spaces/DIC/pages/1451098397/Insider+Threat"}</v>
      </c>
    </row>
    <row r="226" spans="1:6" ht="13.9" thickTop="1" thickBot="1" x14ac:dyDescent="0.4">
      <c r="A226" s="38">
        <f>IF(ISERR(NodesJSON[[#This Row],[label]]),0,1)</f>
        <v>1</v>
      </c>
      <c r="B226" s="3" t="str">
        <f>NodesData[[#This Row],[Common Name]]</f>
        <v>Identity Theft</v>
      </c>
      <c r="C226" s="3" t="str">
        <f>IF(NodesData[[#This Row],[Context Instanciation]]="","",NodesData[[#This Row],[Context Instanciation]])</f>
        <v/>
      </c>
      <c r="D226" s="22" t="str">
        <f>NodesData[[#This Row],[Node ID]]</f>
        <v>AB661E2B-F23C-4C53-A2BC-043F66BD26F6</v>
      </c>
      <c r="E226" s="10" t="s">
        <v>876</v>
      </c>
      <c r="F226" s="25" t="str" cm="1">
        <f t="array" ref="F226">IF(NodesJSON[[#This Row],[Export?]]=0,"",IF(ROW(NodesJSON[[#This Row],[label]])&gt;ROW(NodesJSON[[#Headers],[JSON]])+1,",","") &amp;"{"&amp;twoRangesToJSON(NodesJSON[[#Headers],[label]:[url]],NodesJSON[[#This Row],[label]:[url]])&amp;"}")</f>
        <v>,{"label":"Identity Theft","group":"","id":"AB661E2B-F23C-4C53-A2BC-043F66BD26F6","url":"https://open-measure.atlassian.net/wiki/spaces/DIC/pages/822476843"}</v>
      </c>
    </row>
    <row r="227" spans="1:6" ht="13.9" thickTop="1" thickBot="1" x14ac:dyDescent="0.4">
      <c r="A227" s="38">
        <f>IF(ISERR(NodesJSON[[#This Row],[label]]),0,1)</f>
        <v>1</v>
      </c>
      <c r="B227" s="3" t="str">
        <f>NodesData[[#This Row],[Common Name]]</f>
        <v>Identity-as-a-Service</v>
      </c>
      <c r="C227" s="3" t="str">
        <f>IF(NodesData[[#This Row],[Context Instanciation]]="","",NodesData[[#This Row],[Context Instanciation]])</f>
        <v/>
      </c>
      <c r="D227" s="22" t="str">
        <f>NodesData[[#This Row],[Node ID]]</f>
        <v>D6D32383-9B09-4C55-8468-237F6F03DB11</v>
      </c>
      <c r="E227" s="10" t="s">
        <v>878</v>
      </c>
      <c r="F227" s="25" t="str" cm="1">
        <f t="array" ref="F227">IF(NodesJSON[[#This Row],[Export?]]=0,"",IF(ROW(NodesJSON[[#This Row],[label]])&gt;ROW(NodesJSON[[#Headers],[JSON]])+1,",","") &amp;"{"&amp;twoRangesToJSON(NodesJSON[[#Headers],[label]:[url]],NodesJSON[[#This Row],[label]:[url]])&amp;"}")</f>
        <v>,{"label":"Identity-as-a-Service","group":"","id":"D6D32383-9B09-4C55-8468-237F6F03DB11","url":"https://open-measure.atlassian.net/wiki/spaces/DIC/pages/998277141"}</v>
      </c>
    </row>
    <row r="228" spans="1:6" ht="13.9" thickTop="1" thickBot="1" x14ac:dyDescent="0.4">
      <c r="A228" s="38">
        <f>IF(ISERR(NodesJSON[[#This Row],[label]]),0,1)</f>
        <v>1</v>
      </c>
      <c r="B228" s="3" t="str">
        <f>NodesData[[#This Row],[Common Name]]</f>
        <v>Identity-Aware Proxy</v>
      </c>
      <c r="C228" s="3" t="str">
        <f>IF(NodesData[[#This Row],[Context Instanciation]]="","",NodesData[[#This Row],[Context Instanciation]])</f>
        <v/>
      </c>
      <c r="D228" s="22" t="str">
        <f>NodesData[[#This Row],[Node ID]]</f>
        <v>430357E7-C88F-4355-9B71-CFE34E711314</v>
      </c>
      <c r="E228" s="10" t="s">
        <v>880</v>
      </c>
      <c r="F228" s="25" t="str" cm="1">
        <f t="array" ref="F228">IF(NodesJSON[[#This Row],[Export?]]=0,"",IF(ROW(NodesJSON[[#This Row],[label]])&gt;ROW(NodesJSON[[#Headers],[JSON]])+1,",","") &amp;"{"&amp;twoRangesToJSON(NodesJSON[[#Headers],[label]:[url]],NodesJSON[[#This Row],[label]:[url]])&amp;"}")</f>
        <v>,{"label":"Identity-Aware Proxy","group":"","id":"430357E7-C88F-4355-9B71-CFE34E711314","url":"https://open-measure.atlassian.net/wiki/spaces/DIC/pages/1311417"}</v>
      </c>
    </row>
    <row r="229" spans="1:6" ht="13.9" thickTop="1" thickBot="1" x14ac:dyDescent="0.4">
      <c r="A229" s="38">
        <f>IF(ISERR(NodesJSON[[#This Row],[label]]),0,1)</f>
        <v>1</v>
      </c>
      <c r="B229" s="3" t="str">
        <f>NodesData[[#This Row],[Common Name]]</f>
        <v>IdMS</v>
      </c>
      <c r="C229" s="3" t="str">
        <f>IF(NodesData[[#This Row],[Context Instanciation]]="","",NodesData[[#This Row],[Context Instanciation]])</f>
        <v/>
      </c>
      <c r="D229" s="22" t="str">
        <f>NodesData[[#This Row],[Node ID]]</f>
        <v>B063F9D8-C92C-4198-B23E-78506859E0C1</v>
      </c>
      <c r="E229" s="10" t="s">
        <v>882</v>
      </c>
      <c r="F229" s="25" t="str" cm="1">
        <f t="array" ref="F229">IF(NodesJSON[[#This Row],[Export?]]=0,"",IF(ROW(NodesJSON[[#This Row],[label]])&gt;ROW(NodesJSON[[#Headers],[JSON]])+1,",","") &amp;"{"&amp;twoRangesToJSON(NodesJSON[[#Headers],[label]:[url]],NodesJSON[[#This Row],[label]:[url]])&amp;"}")</f>
        <v>,{"label":"IdMS","group":"","id":"B063F9D8-C92C-4198-B23E-78506859E0C1","url":"https://open-measure.atlassian.net/wiki/spaces/DIC/pages/442466314"}</v>
      </c>
    </row>
    <row r="230" spans="1:6" ht="13.9" thickTop="1" thickBot="1" x14ac:dyDescent="0.4">
      <c r="A230" s="38">
        <f>IF(ISERR(NodesJSON[[#This Row],[label]]),0,1)</f>
        <v>1</v>
      </c>
      <c r="B230" s="3" t="str">
        <f>NodesData[[#This Row],[Common Name]]</f>
        <v>IdP</v>
      </c>
      <c r="C230" s="3" t="str">
        <f>IF(NodesData[[#This Row],[Context Instanciation]]="","",NodesData[[#This Row],[Context Instanciation]])</f>
        <v/>
      </c>
      <c r="D230" s="22" t="str">
        <f>NodesData[[#This Row],[Node ID]]</f>
        <v>949E1644-7F28-4920-A069-D27F3A050A01</v>
      </c>
      <c r="E230" s="10" t="s">
        <v>884</v>
      </c>
      <c r="F230" s="25" t="str" cm="1">
        <f t="array" ref="F230">IF(NodesJSON[[#This Row],[Export?]]=0,"",IF(ROW(NodesJSON[[#This Row],[label]])&gt;ROW(NodesJSON[[#Headers],[JSON]])+1,",","") &amp;"{"&amp;twoRangesToJSON(NodesJSON[[#Headers],[label]:[url]],NodesJSON[[#This Row],[label]:[url]])&amp;"}")</f>
        <v>,{"label":"IdP","group":"","id":"949E1644-7F28-4920-A069-D27F3A050A01","url":"https://open-measure.atlassian.net/wiki/spaces/DIC/pages/11567191"}</v>
      </c>
    </row>
    <row r="231" spans="1:6" ht="13.9" thickTop="1" thickBot="1" x14ac:dyDescent="0.4">
      <c r="A231" s="38">
        <f>IF(ISERR(NodesJSON[[#This Row],[label]]),0,1)</f>
        <v>1</v>
      </c>
      <c r="B231" s="3" t="str">
        <f>NodesData[[#This Row],[Common Name]]</f>
        <v>Illegal Action</v>
      </c>
      <c r="C231" s="3" t="str">
        <f>IF(NodesData[[#This Row],[Context Instanciation]]="","",NodesData[[#This Row],[Context Instanciation]])</f>
        <v/>
      </c>
      <c r="D231" s="22" t="str">
        <f>NodesData[[#This Row],[Node ID]]</f>
        <v>6989A549-F547-413E-9EFA-E4EFEF40B824</v>
      </c>
      <c r="E231" s="3"/>
      <c r="F231" s="25" t="str" cm="1">
        <f t="array" ref="F231">IF(NodesJSON[[#This Row],[Export?]]=0,"",IF(ROW(NodesJSON[[#This Row],[label]])&gt;ROW(NodesJSON[[#Headers],[JSON]])+1,",","") &amp;"{"&amp;twoRangesToJSON(NodesJSON[[#Headers],[label]:[url]],NodesJSON[[#This Row],[label]:[url]])&amp;"}")</f>
        <v>,{"label":"Illegal Action","group":"","id":"6989A549-F547-413E-9EFA-E4EFEF40B824","url":""}</v>
      </c>
    </row>
    <row r="232" spans="1:6" ht="13.9" thickTop="1" thickBot="1" x14ac:dyDescent="0.4">
      <c r="A232" s="38">
        <f>IF(ISERR(NodesJSON[[#This Row],[label]]),0,1)</f>
        <v>1</v>
      </c>
      <c r="B232" s="3" t="str">
        <f>NodesData[[#This Row],[Common Name]]</f>
        <v>IMG</v>
      </c>
      <c r="C232" s="3" t="str">
        <f>IF(NodesData[[#This Row],[Context Instanciation]]="","",NodesData[[#This Row],[Context Instanciation]])</f>
        <v/>
      </c>
      <c r="D232" s="22" t="str">
        <f>NodesData[[#This Row],[Node ID]]</f>
        <v>16880A8C-D41A-4AC3-A936-8E73B369092B</v>
      </c>
      <c r="E232" s="10" t="s">
        <v>886</v>
      </c>
      <c r="F232" s="25" t="str" cm="1">
        <f t="array" ref="F232">IF(NodesJSON[[#This Row],[Export?]]=0,"",IF(ROW(NodesJSON[[#This Row],[label]])&gt;ROW(NodesJSON[[#Headers],[JSON]])+1,",","") &amp;"{"&amp;twoRangesToJSON(NodesJSON[[#Headers],[label]:[url]],NodesJSON[[#This Row],[label]:[url]])&amp;"}")</f>
        <v>,{"label":"IMG","group":"","id":"16880A8C-D41A-4AC3-A936-8E73B369092B","url":"https://open-measure.atlassian.net/wiki/spaces/DIC/pages/1152483625"}</v>
      </c>
    </row>
    <row r="233" spans="1:6" ht="13.9" thickTop="1" thickBot="1" x14ac:dyDescent="0.4">
      <c r="A233" s="38">
        <f>IF(ISERR(NodesJSON[[#This Row],[label]]),0,1)</f>
        <v>1</v>
      </c>
      <c r="B233" s="3" t="str">
        <f>NodesData[[#This Row],[Common Name]]</f>
        <v>Impersonation</v>
      </c>
      <c r="C233" s="3" t="str">
        <f>IF(NodesData[[#This Row],[Context Instanciation]]="","",NodesData[[#This Row],[Context Instanciation]])</f>
        <v/>
      </c>
      <c r="D233" s="22" t="str">
        <f>NodesData[[#This Row],[Node ID]]</f>
        <v>7650DE30-1250-4B04-841B-B56DFC24A1E3</v>
      </c>
      <c r="E233" s="10" t="s">
        <v>888</v>
      </c>
      <c r="F233" s="25" t="str" cm="1">
        <f t="array" ref="F233">IF(NodesJSON[[#This Row],[Export?]]=0,"",IF(ROW(NodesJSON[[#This Row],[label]])&gt;ROW(NodesJSON[[#Headers],[JSON]])+1,",","") &amp;"{"&amp;twoRangesToJSON(NodesJSON[[#Headers],[label]:[url]],NodesJSON[[#This Row],[label]:[url]])&amp;"}")</f>
        <v>,{"label":"Impersonation","group":"","id":"7650DE30-1250-4B04-841B-B56DFC24A1E3","url":"https://open-measure.atlassian.net/wiki/spaces/DIC/pages/720902"}</v>
      </c>
    </row>
    <row r="234" spans="1:6" ht="13.9" thickTop="1" thickBot="1" x14ac:dyDescent="0.4">
      <c r="A234" s="38">
        <f>IF(ISERR(NodesJSON[[#This Row],[label]]),0,1)</f>
        <v>1</v>
      </c>
      <c r="B234" s="3" t="str">
        <f>NodesData[[#This Row],[Common Name]]</f>
        <v>In-band Authentication</v>
      </c>
      <c r="C234" s="3" t="str">
        <f>IF(NodesData[[#This Row],[Context Instanciation]]="","",NodesData[[#This Row],[Context Instanciation]])</f>
        <v/>
      </c>
      <c r="D234" s="22" t="str">
        <f>NodesData[[#This Row],[Node ID]]</f>
        <v>224CFF6B-5563-4531-A760-B85F8E142F63</v>
      </c>
      <c r="E234" s="10" t="s">
        <v>889</v>
      </c>
      <c r="F234" s="25" t="str" cm="1">
        <f t="array" ref="F234">IF(NodesJSON[[#This Row],[Export?]]=0,"",IF(ROW(NodesJSON[[#This Row],[label]])&gt;ROW(NodesJSON[[#Headers],[JSON]])+1,",","") &amp;"{"&amp;twoRangesToJSON(NodesJSON[[#Headers],[label]:[url]],NodesJSON[[#This Row],[label]:[url]])&amp;"}")</f>
        <v>,{"label":"In-band Authentication","group":"","id":"224CFF6B-5563-4531-A760-B85F8E142F63","url":"https://open-measure.atlassian.net/wiki/spaces/DIC/pages/1569095803/IT+System"}</v>
      </c>
    </row>
    <row r="235" spans="1:6" ht="13.9" thickTop="1" thickBot="1" x14ac:dyDescent="0.4">
      <c r="A235" s="38">
        <f>IF(ISERR(NodesJSON[[#This Row],[label]]),0,1)</f>
        <v>1</v>
      </c>
      <c r="B235" s="3" t="str">
        <f>NodesData[[#This Row],[Common Name]]</f>
        <v>Information</v>
      </c>
      <c r="C235" s="3" t="str">
        <f>IF(NodesData[[#This Row],[Context Instanciation]]="","",NodesData[[#This Row],[Context Instanciation]])</f>
        <v/>
      </c>
      <c r="D235" s="22" t="str">
        <f>NodesData[[#This Row],[Node ID]]</f>
        <v>F34EDEC8-93E8-4A6B-969B-4E7B7D1F225E</v>
      </c>
      <c r="E235" s="10" t="s">
        <v>891</v>
      </c>
      <c r="F235" s="25" t="str" cm="1">
        <f t="array" ref="F235">IF(NodesJSON[[#This Row],[Export?]]=0,"",IF(ROW(NodesJSON[[#This Row],[label]])&gt;ROW(NodesJSON[[#Headers],[JSON]])+1,",","") &amp;"{"&amp;twoRangesToJSON(NodesJSON[[#Headers],[label]:[url]],NodesJSON[[#This Row],[label]:[url]])&amp;"}")</f>
        <v>,{"label":"Information","group":"","id":"F34EDEC8-93E8-4A6B-969B-4E7B7D1F225E","url":"https://open-measure.atlassian.net/wiki/spaces/DIC/pages/858488984"}</v>
      </c>
    </row>
    <row r="236" spans="1:6" ht="13.9" thickTop="1" thickBot="1" x14ac:dyDescent="0.4">
      <c r="A236" s="38">
        <f>IF(ISERR(NodesJSON[[#This Row],[label]]),0,1)</f>
        <v>1</v>
      </c>
      <c r="B236" s="3" t="str">
        <f>NodesData[[#This Row],[Common Name]]</f>
        <v>Information Asset</v>
      </c>
      <c r="C236" s="3" t="str">
        <f>IF(NodesData[[#This Row],[Context Instanciation]]="","",NodesData[[#This Row],[Context Instanciation]])</f>
        <v/>
      </c>
      <c r="D236" s="22" t="str">
        <f>NodesData[[#This Row],[Node ID]]</f>
        <v>F7AADE0A-877C-4258-9BCC-813E822029EA</v>
      </c>
      <c r="E236" s="10" t="s">
        <v>893</v>
      </c>
      <c r="F236" s="25" t="str" cm="1">
        <f t="array" ref="F236">IF(NodesJSON[[#This Row],[Export?]]=0,"",IF(ROW(NodesJSON[[#This Row],[label]])&gt;ROW(NodesJSON[[#Headers],[JSON]])+1,",","") &amp;"{"&amp;twoRangesToJSON(NodesJSON[[#Headers],[label]:[url]],NodesJSON[[#This Row],[label]:[url]])&amp;"}")</f>
        <v>,{"label":"Information Asset","group":"","id":"F7AADE0A-877C-4258-9BCC-813E822029EA","url":"https://open-measure.atlassian.net/wiki/spaces/DIC/pages/855506953"}</v>
      </c>
    </row>
    <row r="237" spans="1:6" ht="13.9" thickTop="1" thickBot="1" x14ac:dyDescent="0.4">
      <c r="A237" s="38">
        <f>IF(ISERR(NodesJSON[[#This Row],[label]]),0,1)</f>
        <v>1</v>
      </c>
      <c r="B237" s="3" t="str">
        <f>NodesData[[#This Row],[Common Name]]</f>
        <v>Information Custodian</v>
      </c>
      <c r="C237" s="3" t="str">
        <f>IF(NodesData[[#This Row],[Context Instanciation]]="","",NodesData[[#This Row],[Context Instanciation]])</f>
        <v/>
      </c>
      <c r="D237" s="22" t="str">
        <f>NodesData[[#This Row],[Node ID]]</f>
        <v>50AF471B-64DE-444F-A7DD-A82966C67457</v>
      </c>
      <c r="E237" s="10" t="s">
        <v>895</v>
      </c>
      <c r="F237" s="25" t="str" cm="1">
        <f t="array" ref="F237">IF(NodesJSON[[#This Row],[Export?]]=0,"",IF(ROW(NodesJSON[[#This Row],[label]])&gt;ROW(NodesJSON[[#Headers],[JSON]])+1,",","") &amp;"{"&amp;twoRangesToJSON(NodesJSON[[#Headers],[label]:[url]],NodesJSON[[#This Row],[label]:[url]])&amp;"}")</f>
        <v>,{"label":"Information Custodian","group":"","id":"50AF471B-64DE-444F-A7DD-A82966C67457","url":"https://open-measure.atlassian.net/wiki/spaces/DIC/pages/858456203"}</v>
      </c>
    </row>
    <row r="238" spans="1:6" ht="13.9" thickTop="1" thickBot="1" x14ac:dyDescent="0.4">
      <c r="A238" s="38">
        <f>IF(ISERR(NodesJSON[[#This Row],[label]]),0,1)</f>
        <v>1</v>
      </c>
      <c r="B238" s="3" t="str">
        <f>NodesData[[#This Row],[Common Name]]</f>
        <v>Information Flow Policy</v>
      </c>
      <c r="C238" s="3" t="str">
        <f>IF(NodesData[[#This Row],[Context Instanciation]]="","",NodesData[[#This Row],[Context Instanciation]])</f>
        <v/>
      </c>
      <c r="D238" s="22" t="str">
        <f>NodesData[[#This Row],[Node ID]]</f>
        <v>3143C5C2-BF70-4330-AE7D-3F39E66C97EB</v>
      </c>
      <c r="E238" s="10" t="s">
        <v>897</v>
      </c>
      <c r="F238" s="25" t="str" cm="1">
        <f t="array" ref="F238">IF(NodesJSON[[#This Row],[Export?]]=0,"",IF(ROW(NodesJSON[[#This Row],[label]])&gt;ROW(NodesJSON[[#Headers],[JSON]])+1,",","") &amp;"{"&amp;twoRangesToJSON(NodesJSON[[#Headers],[label]:[url]],NodesJSON[[#This Row],[label]:[url]])&amp;"}")</f>
        <v>,{"label":"Information Flow Policy","group":"","id":"3143C5C2-BF70-4330-AE7D-3F39E66C97EB","url":"https://open-measure.atlassian.net/wiki/spaces/DIC/pages/852492379"}</v>
      </c>
    </row>
    <row r="239" spans="1:6" ht="13.9" thickTop="1" thickBot="1" x14ac:dyDescent="0.4">
      <c r="A239" s="38">
        <f>IF(ISERR(NodesJSON[[#This Row],[label]]),0,1)</f>
        <v>1</v>
      </c>
      <c r="B239" s="3" t="str">
        <f>NodesData[[#This Row],[Common Name]]</f>
        <v>Information Owner</v>
      </c>
      <c r="C239" s="3" t="str">
        <f>IF(NodesData[[#This Row],[Context Instanciation]]="","",NodesData[[#This Row],[Context Instanciation]])</f>
        <v/>
      </c>
      <c r="D239" s="22" t="str">
        <f>NodesData[[#This Row],[Node ID]]</f>
        <v>320E3BFD-9B92-4683-8370-4BFE767BB9B4</v>
      </c>
      <c r="E239" s="10" t="s">
        <v>899</v>
      </c>
      <c r="F239" s="25" t="str" cm="1">
        <f t="array" ref="F239">IF(NodesJSON[[#This Row],[Export?]]=0,"",IF(ROW(NodesJSON[[#This Row],[label]])&gt;ROW(NodesJSON[[#Headers],[JSON]])+1,",","") &amp;"{"&amp;twoRangesToJSON(NodesJSON[[#Headers],[label]:[url]],NodesJSON[[#This Row],[label]:[url]])&amp;"}")</f>
        <v>,{"label":"Information Owner","group":"","id":"320E3BFD-9B92-4683-8370-4BFE767BB9B4","url":"https://open-measure.atlassian.net/wiki/spaces/DIC/pages/858521641"}</v>
      </c>
    </row>
    <row r="240" spans="1:6" ht="13.9" thickTop="1" thickBot="1" x14ac:dyDescent="0.4">
      <c r="A240" s="38">
        <f>IF(ISERR(NodesJSON[[#This Row],[label]]),0,1)</f>
        <v>1</v>
      </c>
      <c r="B240" s="3" t="str">
        <f>NodesData[[#This Row],[Common Name]]</f>
        <v>Information Security Domain</v>
      </c>
      <c r="C240" s="3" t="str">
        <f>IF(NodesData[[#This Row],[Context Instanciation]]="","",NodesData[[#This Row],[Context Instanciation]])</f>
        <v/>
      </c>
      <c r="D240" s="22" t="str">
        <f>NodesData[[#This Row],[Node ID]]</f>
        <v>C8D1FD6C-534C-477A-BAF8-5F722BD18ECC</v>
      </c>
      <c r="E240" s="10" t="s">
        <v>901</v>
      </c>
      <c r="F240" s="25" t="str" cm="1">
        <f t="array" ref="F240">IF(NodesJSON[[#This Row],[Export?]]=0,"",IF(ROW(NodesJSON[[#This Row],[label]])&gt;ROW(NodesJSON[[#Headers],[JSON]])+1,",","") &amp;"{"&amp;twoRangesToJSON(NodesJSON[[#Headers],[label]:[url]],NodesJSON[[#This Row],[label]:[url]])&amp;"}")</f>
        <v>,{"label":"Information Security Domain","group":"","id":"C8D1FD6C-534C-477A-BAF8-5F722BD18ECC","url":"https://open-measure.atlassian.net/wiki/spaces/DIC/pages/852492338"}</v>
      </c>
    </row>
    <row r="241" spans="1:6" ht="13.9" thickTop="1" thickBot="1" x14ac:dyDescent="0.4">
      <c r="A241" s="38">
        <f>IF(ISERR(NodesJSON[[#This Row],[label]]),0,1)</f>
        <v>1</v>
      </c>
      <c r="B241" s="3" t="str">
        <f>NodesData[[#This Row],[Common Name]]</f>
        <v>Information System</v>
      </c>
      <c r="C241" s="3" t="str">
        <f>IF(NodesData[[#This Row],[Context Instanciation]]="","",NodesData[[#This Row],[Context Instanciation]])</f>
        <v/>
      </c>
      <c r="D241" s="22" t="str">
        <f>NodesData[[#This Row],[Node ID]]</f>
        <v>0AAC5032-53F8-4789-8F0C-D073C4CCC1AF</v>
      </c>
      <c r="E241" s="10" t="s">
        <v>903</v>
      </c>
      <c r="F241" s="25" t="str" cm="1">
        <f t="array" ref="F241">IF(NodesJSON[[#This Row],[Export?]]=0,"",IF(ROW(NodesJSON[[#This Row],[label]])&gt;ROW(NodesJSON[[#Headers],[JSON]])+1,",","") &amp;"{"&amp;twoRangesToJSON(NodesJSON[[#Headers],[label]:[url]],NodesJSON[[#This Row],[label]:[url]])&amp;"}")</f>
        <v>,{"label":"Information System","group":"","id":"0AAC5032-53F8-4789-8F0C-D073C4CCC1AF","url":"https://open-measure.atlassian.net/wiki/spaces/DIC/pages/140706011"}</v>
      </c>
    </row>
    <row r="242" spans="1:6" ht="13.9" thickTop="1" thickBot="1" x14ac:dyDescent="0.4">
      <c r="A242" s="38">
        <f>IF(ISERR(NodesJSON[[#This Row],[label]]),0,1)</f>
        <v>1</v>
      </c>
      <c r="B242" s="3" t="str">
        <f>NodesData[[#This Row],[Common Name]]</f>
        <v>Inherence Factor</v>
      </c>
      <c r="C242" s="3" t="str">
        <f>IF(NodesData[[#This Row],[Context Instanciation]]="","",NodesData[[#This Row],[Context Instanciation]])</f>
        <v/>
      </c>
      <c r="D242" s="22" t="str">
        <f>NodesData[[#This Row],[Node ID]]</f>
        <v>257D3082-7AF3-4464-9C5B-77B2D083B427</v>
      </c>
      <c r="E242" s="10" t="s">
        <v>905</v>
      </c>
      <c r="F242" s="25" t="str" cm="1">
        <f t="array" ref="F242">IF(NodesJSON[[#This Row],[Export?]]=0,"",IF(ROW(NodesJSON[[#This Row],[label]])&gt;ROW(NodesJSON[[#Headers],[JSON]])+1,",","") &amp;"{"&amp;twoRangesToJSON(NodesJSON[[#Headers],[label]:[url]],NodesJSON[[#This Row],[label]:[url]])&amp;"}")</f>
        <v>,{"label":"Inherence Factor","group":"","id":"257D3082-7AF3-4464-9C5B-77B2D083B427","url":"https://open-measure.atlassian.net/wiki/spaces/DIC/pages/425623701"}</v>
      </c>
    </row>
    <row r="243" spans="1:6" ht="13.9" thickTop="1" thickBot="1" x14ac:dyDescent="0.4">
      <c r="A243" s="38">
        <f>IF(ISERR(NodesJSON[[#This Row],[label]]),0,1)</f>
        <v>1</v>
      </c>
      <c r="B243" s="3" t="str">
        <f>NodesData[[#This Row],[Common Name]]</f>
        <v>Inside Attacker</v>
      </c>
      <c r="C243" s="3" t="str">
        <f>IF(NodesData[[#This Row],[Context Instanciation]]="","",NodesData[[#This Row],[Context Instanciation]])</f>
        <v/>
      </c>
      <c r="D243" s="22" t="str">
        <f>NodesData[[#This Row],[Node ID]]</f>
        <v>38BE3CB8-3BB4-40EF-807C-5D8D73ED15F7</v>
      </c>
      <c r="E243" s="10" t="s">
        <v>907</v>
      </c>
      <c r="F243" s="25" t="str" cm="1">
        <f t="array" ref="F243">IF(NodesJSON[[#This Row],[Export?]]=0,"",IF(ROW(NodesJSON[[#This Row],[label]])&gt;ROW(NodesJSON[[#Headers],[JSON]])+1,",","") &amp;"{"&amp;twoRangesToJSON(NodesJSON[[#Headers],[label]:[url]],NodesJSON[[#This Row],[label]:[url]])&amp;"}")</f>
        <v>,{"label":"Inside Attacker","group":"","id":"38BE3CB8-3BB4-40EF-807C-5D8D73ED15F7","url":"https://open-measure.atlassian.net/wiki/spaces/DIC/pages/427163745"}</v>
      </c>
    </row>
    <row r="244" spans="1:6" ht="13.9" thickTop="1" thickBot="1" x14ac:dyDescent="0.4">
      <c r="A244" s="38">
        <f>IF(ISERR(NodesJSON[[#This Row],[label]]),0,1)</f>
        <v>1</v>
      </c>
      <c r="B244" s="3" t="str">
        <f>NodesData[[#This Row],[Common Name]]</f>
        <v>Insider</v>
      </c>
      <c r="C244" s="3" t="str">
        <f>IF(NodesData[[#This Row],[Context Instanciation]]="","",NodesData[[#This Row],[Context Instanciation]])</f>
        <v/>
      </c>
      <c r="D244" s="22" t="str">
        <f>NodesData[[#This Row],[Node ID]]</f>
        <v>28358D25-ECBB-4BA2-8551-6C861E153F9E</v>
      </c>
      <c r="E244" s="4"/>
      <c r="F244" s="25" t="str" cm="1">
        <f t="array" ref="F244">IF(NodesJSON[[#This Row],[Export?]]=0,"",IF(ROW(NodesJSON[[#This Row],[label]])&gt;ROW(NodesJSON[[#Headers],[JSON]])+1,",","") &amp;"{"&amp;twoRangesToJSON(NodesJSON[[#Headers],[label]:[url]],NodesJSON[[#This Row],[label]:[url]])&amp;"}")</f>
        <v>,{"label":"Insider","group":"","id":"28358D25-ECBB-4BA2-8551-6C861E153F9E","url":""}</v>
      </c>
    </row>
    <row r="245" spans="1:6" ht="13.9" thickTop="1" thickBot="1" x14ac:dyDescent="0.4">
      <c r="A245" s="38">
        <f>IF(ISERR(NodesJSON[[#This Row],[label]]),0,1)</f>
        <v>1</v>
      </c>
      <c r="B245" s="3" t="str">
        <f>NodesData[[#This Row],[Common Name]]</f>
        <v>Insider Attack</v>
      </c>
      <c r="C245" s="3" t="str">
        <f>IF(NodesData[[#This Row],[Context Instanciation]]="","",NodesData[[#This Row],[Context Instanciation]])</f>
        <v/>
      </c>
      <c r="D245" s="22" t="str">
        <f>NodesData[[#This Row],[Node ID]]</f>
        <v>932F2E2B-D61A-48B8-83C4-267217ACC1A4</v>
      </c>
      <c r="E245" s="3"/>
      <c r="F245" s="25" t="str" cm="1">
        <f t="array" ref="F245">IF(NodesJSON[[#This Row],[Export?]]=0,"",IF(ROW(NodesJSON[[#This Row],[label]])&gt;ROW(NodesJSON[[#Headers],[JSON]])+1,",","") &amp;"{"&amp;twoRangesToJSON(NodesJSON[[#Headers],[label]:[url]],NodesJSON[[#This Row],[label]:[url]])&amp;"}")</f>
        <v>,{"label":"Insider Attack","group":"","id":"932F2E2B-D61A-48B8-83C4-267217ACC1A4","url":""}</v>
      </c>
    </row>
    <row r="246" spans="1:6" ht="13.9" thickTop="1" thickBot="1" x14ac:dyDescent="0.4">
      <c r="A246" s="38">
        <f>IF(ISERR(NodesJSON[[#This Row],[label]]),0,1)</f>
        <v>1</v>
      </c>
      <c r="B246" s="3" t="str">
        <f>NodesData[[#This Row],[Common Name]]</f>
        <v>Insider Threat</v>
      </c>
      <c r="C246" s="3" t="str">
        <f>IF(NodesData[[#This Row],[Context Instanciation]]="","",NodesData[[#This Row],[Context Instanciation]])</f>
        <v/>
      </c>
      <c r="D246" s="22" t="str">
        <f>NodesData[[#This Row],[Node ID]]</f>
        <v>61B67231-2D6A-41D5-B8E4-20E97C581446</v>
      </c>
      <c r="E246" s="4"/>
      <c r="F246" s="25" t="str" cm="1">
        <f t="array" ref="F246">IF(NodesJSON[[#This Row],[Export?]]=0,"",IF(ROW(NodesJSON[[#This Row],[label]])&gt;ROW(NodesJSON[[#Headers],[JSON]])+1,",","") &amp;"{"&amp;twoRangesToJSON(NodesJSON[[#Headers],[label]:[url]],NodesJSON[[#This Row],[label]:[url]])&amp;"}")</f>
        <v>,{"label":"Insider Threat","group":"","id":"61B67231-2D6A-41D5-B8E4-20E97C581446","url":""}</v>
      </c>
    </row>
    <row r="247" spans="1:6" ht="13.9" thickTop="1" thickBot="1" x14ac:dyDescent="0.4">
      <c r="A247" s="38">
        <f>IF(ISERR(NodesJSON[[#This Row],[label]]),0,1)</f>
        <v>1</v>
      </c>
      <c r="B247" s="3" t="str">
        <f>NodesData[[#This Row],[Common Name]]</f>
        <v>Insufficient Granularity of Access Control</v>
      </c>
      <c r="C247" s="3" t="str">
        <f>IF(NodesData[[#This Row],[Context Instanciation]]="","",NodesData[[#This Row],[Context Instanciation]])</f>
        <v/>
      </c>
      <c r="D247" s="22" t="str">
        <f>NodesData[[#This Row],[Node ID]]</f>
        <v>A8C57C79-B830-4ECF-A0C9-FB4CAFE2F1E1</v>
      </c>
      <c r="E247" s="10" t="s">
        <v>909</v>
      </c>
      <c r="F247" s="25" t="str" cm="1">
        <f t="array" ref="F247">IF(NodesJSON[[#This Row],[Export?]]=0,"",IF(ROW(NodesJSON[[#This Row],[label]])&gt;ROW(NodesJSON[[#Headers],[JSON]])+1,",","") &amp;"{"&amp;twoRangesToJSON(NodesJSON[[#Headers],[label]:[url]],NodesJSON[[#This Row],[label]:[url]])&amp;"}")</f>
        <v>,{"label":"Insufficient Granularity of Access Control","group":"","id":"A8C57C79-B830-4ECF-A0C9-FB4CAFE2F1E1","url":"https://open-measure.atlassian.net/wiki/spaces/DIC/pages/442499114"}</v>
      </c>
    </row>
    <row r="248" spans="1:6" ht="13.9" thickTop="1" thickBot="1" x14ac:dyDescent="0.4">
      <c r="A248" s="38">
        <f>IF(ISERR(NodesJSON[[#This Row],[label]]),0,1)</f>
        <v>1</v>
      </c>
      <c r="B248" s="3" t="str">
        <f>NodesData[[#This Row],[Common Name]]</f>
        <v>Intentional Error</v>
      </c>
      <c r="C248" s="3" t="str">
        <f>IF(NodesData[[#This Row],[Context Instanciation]]="","",NodesData[[#This Row],[Context Instanciation]])</f>
        <v/>
      </c>
      <c r="D248" s="22" t="str">
        <f>NodesData[[#This Row],[Node ID]]</f>
        <v>AA6A4DAC-9681-4AF8-A7FB-D9326801AE4C</v>
      </c>
      <c r="E248" s="10" t="s">
        <v>911</v>
      </c>
      <c r="F248" s="25" t="str" cm="1">
        <f t="array" ref="F248">IF(NodesJSON[[#This Row],[Export?]]=0,"",IF(ROW(NodesJSON[[#This Row],[label]])&gt;ROW(NodesJSON[[#Headers],[JSON]])+1,",","") &amp;"{"&amp;twoRangesToJSON(NodesJSON[[#Headers],[label]:[url]],NodesJSON[[#This Row],[label]:[url]])&amp;"}")</f>
        <v>,{"label":"Intentional Error","group":"","id":"AA6A4DAC-9681-4AF8-A7FB-D9326801AE4C","url":"https://open-measure.atlassian.net/wiki/spaces/DIC/pages/442400811"}</v>
      </c>
    </row>
    <row r="249" spans="1:6" ht="13.9" thickTop="1" thickBot="1" x14ac:dyDescent="0.4">
      <c r="A249" s="38">
        <f>IF(ISERR(NodesJSON[[#This Row],[label]]),0,1)</f>
        <v>1</v>
      </c>
      <c r="B249" s="3" t="str">
        <f>NodesData[[#This Row],[Common Name]]</f>
        <v>Interested Party</v>
      </c>
      <c r="C249" s="3" t="str">
        <f>IF(NodesData[[#This Row],[Context Instanciation]]="","",NodesData[[#This Row],[Context Instanciation]])</f>
        <v/>
      </c>
      <c r="D249" s="22" t="str">
        <f>NodesData[[#This Row],[Node ID]]</f>
        <v>D3D4C603-2CA2-4D42-B2E0-7B3B0C743DD8</v>
      </c>
      <c r="E249" s="10" t="s">
        <v>913</v>
      </c>
      <c r="F249" s="25" t="str" cm="1">
        <f t="array" ref="F249">IF(NodesJSON[[#This Row],[Export?]]=0,"",IF(ROW(NodesJSON[[#This Row],[label]])&gt;ROW(NodesJSON[[#Headers],[JSON]])+1,",","") &amp;"{"&amp;twoRangesToJSON(NodesJSON[[#Headers],[label]:[url]],NodesJSON[[#This Row],[label]:[url]])&amp;"}")</f>
        <v>,{"label":"Interested Party","group":"","id":"D3D4C603-2CA2-4D42-B2E0-7B3B0C743DD8","url":"https://open-measure.atlassian.net/wiki/spaces/DIC/pages/1177681925"}</v>
      </c>
    </row>
    <row r="250" spans="1:6" ht="13.9" thickTop="1" thickBot="1" x14ac:dyDescent="0.4">
      <c r="A250" s="38">
        <f>IF(ISERR(NodesJSON[[#This Row],[label]]),0,1)</f>
        <v>1</v>
      </c>
      <c r="B250" s="3" t="str">
        <f>NodesData[[#This Row],[Common Name]]</f>
        <v>Interoperability</v>
      </c>
      <c r="C250" s="3" t="str">
        <f>IF(NodesData[[#This Row],[Context Instanciation]]="","",NodesData[[#This Row],[Context Instanciation]])</f>
        <v/>
      </c>
      <c r="D250" s="22" t="str">
        <f>NodesData[[#This Row],[Node ID]]</f>
        <v>A6834E50-EC5C-4FAC-91B5-7D3C84844ABE</v>
      </c>
      <c r="E250" s="10" t="s">
        <v>915</v>
      </c>
      <c r="F250" s="25" t="str" cm="1">
        <f t="array" ref="F250">IF(NodesJSON[[#This Row],[Export?]]=0,"",IF(ROW(NodesJSON[[#This Row],[label]])&gt;ROW(NodesJSON[[#Headers],[JSON]])+1,",","") &amp;"{"&amp;twoRangesToJSON(NodesJSON[[#Headers],[label]:[url]],NodesJSON[[#This Row],[label]:[url]])&amp;"}")</f>
        <v>,{"label":"Interoperability","group":"","id":"A6834E50-EC5C-4FAC-91B5-7D3C84844ABE","url":"https://open-measure.atlassian.net/wiki/spaces/DIC/pages/1181843548"}</v>
      </c>
    </row>
    <row r="251" spans="1:6" ht="13.9" thickTop="1" thickBot="1" x14ac:dyDescent="0.4">
      <c r="A251" s="38">
        <f>IF(ISERR(NodesJSON[[#This Row],[label]]),0,1)</f>
        <v>1</v>
      </c>
      <c r="B251" s="3" t="str">
        <f>NodesData[[#This Row],[Common Name]]</f>
        <v>Interval Scale</v>
      </c>
      <c r="C251" s="3" t="str">
        <f>IF(NodesData[[#This Row],[Context Instanciation]]="","",NodesData[[#This Row],[Context Instanciation]])</f>
        <v/>
      </c>
      <c r="D251" s="22" t="str">
        <f>NodesData[[#This Row],[Node ID]]</f>
        <v>398E3452-5369-450C-88AD-DB588A51D0C0</v>
      </c>
      <c r="E251" s="10" t="s">
        <v>917</v>
      </c>
      <c r="F251" s="25" t="str" cm="1">
        <f t="array" ref="F251">IF(NodesJSON[[#This Row],[Export?]]=0,"",IF(ROW(NodesJSON[[#This Row],[label]])&gt;ROW(NodesJSON[[#Headers],[JSON]])+1,",","") &amp;"{"&amp;twoRangesToJSON(NodesJSON[[#Headers],[label]:[url]],NodesJSON[[#This Row],[label]:[url]])&amp;"}")</f>
        <v>,{"label":"Interval Scale","group":"","id":"398E3452-5369-450C-88AD-DB588A51D0C0","url":"https://open-measure.atlassian.net/wiki/spaces/DIC/pages/1177780225"}</v>
      </c>
    </row>
    <row r="252" spans="1:6" ht="13.9" thickTop="1" thickBot="1" x14ac:dyDescent="0.4">
      <c r="A252" s="38">
        <f>IF(ISERR(NodesJSON[[#This Row],[label]]),0,1)</f>
        <v>1</v>
      </c>
      <c r="B252" s="3" t="str">
        <f>NodesData[[#This Row],[Common Name]]</f>
        <v>Iris Recognition Authentication</v>
      </c>
      <c r="C252" s="3" t="str">
        <f>IF(NodesData[[#This Row],[Context Instanciation]]="","",NodesData[[#This Row],[Context Instanciation]])</f>
        <v/>
      </c>
      <c r="D252" s="22" t="str">
        <f>NodesData[[#This Row],[Node ID]]</f>
        <v>BDF3CB39-431D-478C-A651-EBA1666F91C1</v>
      </c>
      <c r="E252" s="10" t="s">
        <v>919</v>
      </c>
      <c r="F252" s="25" t="str" cm="1">
        <f t="array" ref="F252">IF(NodesJSON[[#This Row],[Export?]]=0,"",IF(ROW(NodesJSON[[#This Row],[label]])&gt;ROW(NodesJSON[[#Headers],[JSON]])+1,",","") &amp;"{"&amp;twoRangesToJSON(NodesJSON[[#Headers],[label]:[url]],NodesJSON[[#This Row],[label]:[url]])&amp;"}")</f>
        <v>,{"label":"Iris Recognition Authentication","group":"","id":"BDF3CB39-431D-478C-A651-EBA1666F91C1","url":"https://open-measure.atlassian.net/wiki/spaces/DIC/pages/49250375"}</v>
      </c>
    </row>
    <row r="253" spans="1:6" ht="13.9" thickTop="1" thickBot="1" x14ac:dyDescent="0.4">
      <c r="A253" s="38">
        <f>IF(ISERR(NodesJSON[[#This Row],[label]]),0,1)</f>
        <v>1</v>
      </c>
      <c r="B253" s="3" t="str">
        <f>NodesData[[#This Row],[Common Name]]</f>
        <v>Isolated Identity Management System</v>
      </c>
      <c r="C253" s="3" t="str">
        <f>IF(NodesData[[#This Row],[Context Instanciation]]="","",NodesData[[#This Row],[Context Instanciation]])</f>
        <v/>
      </c>
      <c r="D253" s="22" t="str">
        <f>NodesData[[#This Row],[Node ID]]</f>
        <v>FCBF11EB-7260-4BE4-85EF-F3883F1FC49B</v>
      </c>
      <c r="E253" s="10" t="s">
        <v>921</v>
      </c>
      <c r="F253" s="25" t="str" cm="1">
        <f t="array" ref="F253">IF(NodesJSON[[#This Row],[Export?]]=0,"",IF(ROW(NodesJSON[[#This Row],[label]])&gt;ROW(NodesJSON[[#Headers],[JSON]])+1,",","") &amp;"{"&amp;twoRangesToJSON(NodesJSON[[#Headers],[label]:[url]],NodesJSON[[#This Row],[label]:[url]])&amp;"}")</f>
        <v>,{"label":"Isolated Identity Management System","group":"","id":"FCBF11EB-7260-4BE4-85EF-F3883F1FC49B","url":"https://open-measure.atlassian.net/wiki/spaces/DIC/pages/1006698533"}</v>
      </c>
    </row>
    <row r="254" spans="1:6" ht="13.9" thickTop="1" thickBot="1" x14ac:dyDescent="0.4">
      <c r="A254" s="38">
        <f>IF(ISERR(NodesJSON[[#This Row],[label]]),0,1)</f>
        <v>1</v>
      </c>
      <c r="B254" s="3" t="str">
        <f>NodesData[[#This Row],[Common Name]]</f>
        <v>IT Asset Scope</v>
      </c>
      <c r="C254" s="3" t="str">
        <f>IF(NodesData[[#This Row],[Context Instanciation]]="","",NodesData[[#This Row],[Context Instanciation]])</f>
        <v/>
      </c>
      <c r="D254" s="22" t="str">
        <f>NodesData[[#This Row],[Node ID]]</f>
        <v>96AA1963-0BCF-447E-BC77-9FA9CD06A54A</v>
      </c>
      <c r="E254" s="10" t="s">
        <v>923</v>
      </c>
      <c r="F254" s="25" t="str" cm="1">
        <f t="array" ref="F254">IF(NodesJSON[[#This Row],[Export?]]=0,"",IF(ROW(NodesJSON[[#This Row],[label]])&gt;ROW(NodesJSON[[#Headers],[JSON]])+1,",","") &amp;"{"&amp;twoRangesToJSON(NodesJSON[[#Headers],[label]:[url]],NodesJSON[[#This Row],[label]:[url]])&amp;"}")</f>
        <v>,{"label":"IT Asset Scope","group":"","id":"96AA1963-0BCF-447E-BC77-9FA9CD06A54A","url":"https://open-measure.atlassian.net/wiki/spaces/DIC/pages/442466361"}</v>
      </c>
    </row>
    <row r="255" spans="1:6" ht="13.9" thickTop="1" thickBot="1" x14ac:dyDescent="0.4">
      <c r="A255" s="38">
        <f>IF(ISERR(NodesJSON[[#This Row],[label]]),0,1)</f>
        <v>1</v>
      </c>
      <c r="B255" s="3" t="str">
        <f>NodesData[[#This Row],[Common Name]]</f>
        <v>IT Component</v>
      </c>
      <c r="C255" s="3" t="str">
        <f>IF(NodesData[[#This Row],[Context Instanciation]]="","",NodesData[[#This Row],[Context Instanciation]])</f>
        <v/>
      </c>
      <c r="D255" s="22" t="str">
        <f>NodesData[[#This Row],[Node ID]]</f>
        <v>DB652713-5948-4322-8567-E5F6CB0440E8</v>
      </c>
      <c r="E255" s="10" t="s">
        <v>925</v>
      </c>
      <c r="F255" s="25" t="str" cm="1">
        <f t="array" ref="F255">IF(NodesJSON[[#This Row],[Export?]]=0,"",IF(ROW(NodesJSON[[#This Row],[label]])&gt;ROW(NodesJSON[[#Headers],[JSON]])+1,",","") &amp;"{"&amp;twoRangesToJSON(NodesJSON[[#Headers],[label]:[url]],NodesJSON[[#This Row],[label]:[url]])&amp;"}")</f>
        <v>,{"label":"IT Component","group":"","id":"DB652713-5948-4322-8567-E5F6CB0440E8","url":"https://open-measure.atlassian.net/wiki/spaces/DIC/pages/1104936974"}</v>
      </c>
    </row>
    <row r="256" spans="1:6" ht="13.9" thickTop="1" thickBot="1" x14ac:dyDescent="0.4">
      <c r="A256" s="38">
        <f>IF(ISERR(NodesJSON[[#This Row],[label]]),0,1)</f>
        <v>1</v>
      </c>
      <c r="B256" s="3" t="str">
        <f>NodesData[[#This Row],[Common Name]]</f>
        <v>IT Hardware</v>
      </c>
      <c r="C256" s="3" t="str">
        <f>IF(NodesData[[#This Row],[Context Instanciation]]="","",NodesData[[#This Row],[Context Instanciation]])</f>
        <v/>
      </c>
      <c r="D256" s="22" t="str">
        <f>NodesData[[#This Row],[Node ID]]</f>
        <v>37CD23D4-9BFD-4A88-8D2B-CA84CE4FB78F</v>
      </c>
      <c r="E256" s="10" t="s">
        <v>927</v>
      </c>
      <c r="F256" s="25" t="str" cm="1">
        <f t="array" ref="F256">IF(NodesJSON[[#This Row],[Export?]]=0,"",IF(ROW(NodesJSON[[#This Row],[label]])&gt;ROW(NodesJSON[[#Headers],[JSON]])+1,",","") &amp;"{"&amp;twoRangesToJSON(NodesJSON[[#Headers],[label]:[url]],NodesJSON[[#This Row],[label]:[url]])&amp;"}")</f>
        <v>,{"label":"IT Hardware","group":"","id":"37CD23D4-9BFD-4A88-8D2B-CA84CE4FB78F","url":"https://open-measure.atlassian.net/wiki/spaces/DIC/pages/442368033"}</v>
      </c>
    </row>
    <row r="257" spans="1:6" ht="13.9" thickTop="1" thickBot="1" x14ac:dyDescent="0.4">
      <c r="A257" s="38">
        <f>IF(ISERR(NodesJSON[[#This Row],[label]]),0,1)</f>
        <v>1</v>
      </c>
      <c r="B257" s="3" t="str">
        <f>NodesData[[#This Row],[Common Name]]</f>
        <v>IT Software</v>
      </c>
      <c r="C257" s="3" t="str">
        <f>IF(NodesData[[#This Row],[Context Instanciation]]="","",NodesData[[#This Row],[Context Instanciation]])</f>
        <v/>
      </c>
      <c r="D257" s="22" t="str">
        <f>NodesData[[#This Row],[Node ID]]</f>
        <v>5660B6DD-121E-4173-A110-7A4D00B3AB6A</v>
      </c>
      <c r="E257" s="10" t="s">
        <v>929</v>
      </c>
      <c r="F257" s="25" t="str" cm="1">
        <f t="array" ref="F257">IF(NodesJSON[[#This Row],[Export?]]=0,"",IF(ROW(NodesJSON[[#This Row],[label]])&gt;ROW(NodesJSON[[#Headers],[JSON]])+1,",","") &amp;"{"&amp;twoRangesToJSON(NodesJSON[[#Headers],[label]:[url]],NodesJSON[[#This Row],[label]:[url]])&amp;"}")</f>
        <v>,{"label":"IT Software","group":"","id":"5660B6DD-121E-4173-A110-7A4D00B3AB6A","url":"https://open-measure.atlassian.net/wiki/spaces/DIC/pages/442466381"}</v>
      </c>
    </row>
    <row r="258" spans="1:6" ht="13.9" thickTop="1" thickBot="1" x14ac:dyDescent="0.4">
      <c r="A258" s="38">
        <f>IF(ISERR(NodesJSON[[#This Row],[label]]),0,1)</f>
        <v>1</v>
      </c>
      <c r="B258" s="3" t="str">
        <f>NodesData[[#This Row],[Common Name]]</f>
        <v>IT System</v>
      </c>
      <c r="C258" s="3" t="str">
        <f>IF(NodesData[[#This Row],[Context Instanciation]]="","",NodesData[[#This Row],[Context Instanciation]])</f>
        <v/>
      </c>
      <c r="D258" s="22" t="str">
        <f>NodesData[[#This Row],[Node ID]]</f>
        <v>A4106055-17BD-4640-8746-5471A26FF444</v>
      </c>
      <c r="E258" s="10" t="s">
        <v>931</v>
      </c>
      <c r="F258" s="25" t="str" cm="1">
        <f t="array" ref="F258">IF(NodesJSON[[#This Row],[Export?]]=0,"",IF(ROW(NodesJSON[[#This Row],[label]])&gt;ROW(NodesJSON[[#Headers],[JSON]])+1,",","") &amp;"{"&amp;twoRangesToJSON(NodesJSON[[#Headers],[label]:[url]],NodesJSON[[#This Row],[label]:[url]])&amp;"}")</f>
        <v>,{"label":"IT System","group":"","id":"A4106055-17BD-4640-8746-5471A26FF444","url":"https://open-measure.atlassian.net/wiki/spaces/DIC/pages/1177845957"}</v>
      </c>
    </row>
    <row r="259" spans="1:6" ht="13.9" thickTop="1" thickBot="1" x14ac:dyDescent="0.4">
      <c r="A259" s="38">
        <f>IF(ISERR(NodesJSON[[#This Row],[label]]),0,1)</f>
        <v>1</v>
      </c>
      <c r="B259" s="3" t="str">
        <f>NodesData[[#This Row],[Common Name]]</f>
        <v>JML</v>
      </c>
      <c r="C259" s="3" t="str">
        <f>IF(NodesData[[#This Row],[Context Instanciation]]="","",NodesData[[#This Row],[Context Instanciation]])</f>
        <v/>
      </c>
      <c r="D259" s="22" t="str">
        <f>NodesData[[#This Row],[Node ID]]</f>
        <v>DDCF5707-6980-4EE7-A89F-488C260AC013</v>
      </c>
      <c r="E259" s="10" t="s">
        <v>933</v>
      </c>
      <c r="F259" s="25" t="str" cm="1">
        <f t="array" ref="F259">IF(NodesJSON[[#This Row],[Export?]]=0,"",IF(ROW(NodesJSON[[#This Row],[label]])&gt;ROW(NodesJSON[[#Headers],[JSON]])+1,",","") &amp;"{"&amp;twoRangesToJSON(NodesJSON[[#Headers],[label]:[url]],NodesJSON[[#This Row],[label]:[url]])&amp;"}")</f>
        <v>,{"label":"JML","group":"","id":"DDCF5707-6980-4EE7-A89F-488C260AC013","url":"https://open-measure.atlassian.net/wiki/spaces/DIC/pages/442400912"}</v>
      </c>
    </row>
    <row r="260" spans="1:6" ht="13.9" thickTop="1" thickBot="1" x14ac:dyDescent="0.4">
      <c r="A260" s="38">
        <f>IF(ISERR(NodesJSON[[#This Row],[label]]),0,1)</f>
        <v>1</v>
      </c>
      <c r="B260" s="3" t="str">
        <f>NodesData[[#This Row],[Common Name]]</f>
        <v>Joiner</v>
      </c>
      <c r="C260" s="3" t="str">
        <f>IF(NodesData[[#This Row],[Context Instanciation]]="","",NodesData[[#This Row],[Context Instanciation]])</f>
        <v/>
      </c>
      <c r="D260" s="22" t="str">
        <f>NodesData[[#This Row],[Node ID]]</f>
        <v>33E5066F-5AD2-44CF-BA6A-6DDD49876562</v>
      </c>
      <c r="E260" s="3"/>
      <c r="F260" s="25" t="str" cm="1">
        <f t="array" ref="F260">IF(NodesJSON[[#This Row],[Export?]]=0,"",IF(ROW(NodesJSON[[#This Row],[label]])&gt;ROW(NodesJSON[[#Headers],[JSON]])+1,",","") &amp;"{"&amp;twoRangesToJSON(NodesJSON[[#Headers],[label]:[url]],NodesJSON[[#This Row],[label]:[url]])&amp;"}")</f>
        <v>,{"label":"Joiner","group":"","id":"33E5066F-5AD2-44CF-BA6A-6DDD49876562","url":""}</v>
      </c>
    </row>
    <row r="261" spans="1:6" ht="13.9" thickTop="1" thickBot="1" x14ac:dyDescent="0.4">
      <c r="A261" s="38">
        <f>IF(ISERR(NodesJSON[[#This Row],[label]]),0,1)</f>
        <v>1</v>
      </c>
      <c r="B261" s="3" t="str">
        <f>NodesData[[#This Row],[Common Name]]</f>
        <v>Joiner Hire Date</v>
      </c>
      <c r="C261" s="3" t="str">
        <f>IF(NodesData[[#This Row],[Context Instanciation]]="","",NodesData[[#This Row],[Context Instanciation]])</f>
        <v/>
      </c>
      <c r="D261" s="22" t="str">
        <f>NodesData[[#This Row],[Node ID]]</f>
        <v>9F30EE8C-2188-4E04-88AF-AEB23842FABB</v>
      </c>
      <c r="E261" s="10" t="s">
        <v>934</v>
      </c>
      <c r="F261" s="25" t="str" cm="1">
        <f t="array" ref="F261">IF(NodesJSON[[#This Row],[Export?]]=0,"",IF(ROW(NodesJSON[[#This Row],[label]])&gt;ROW(NodesJSON[[#Headers],[JSON]])+1,",","") &amp;"{"&amp;twoRangesToJSON(NodesJSON[[#Headers],[label]:[url]],NodesJSON[[#This Row],[label]:[url]])&amp;"}")</f>
        <v>,{"label":"Joiner Hire Date","group":"","id":"9F30EE8C-2188-4E04-88AF-AEB23842FABB","url":"https://open-measure.atlassian.net/wiki/spaces/DIC/pages/1452048577/Logic+Bomb"}</v>
      </c>
    </row>
    <row r="262" spans="1:6" ht="13.9" thickTop="1" thickBot="1" x14ac:dyDescent="0.4">
      <c r="A262" s="38">
        <f>IF(ISERR(NodesJSON[[#This Row],[label]]),0,1)</f>
        <v>1</v>
      </c>
      <c r="B262" s="3" t="str">
        <f>NodesData[[#This Row],[Common Name]]</f>
        <v>Joiner Lead Time</v>
      </c>
      <c r="C262" s="3" t="str">
        <f>IF(NodesData[[#This Row],[Context Instanciation]]="","",NodesData[[#This Row],[Context Instanciation]])</f>
        <v/>
      </c>
      <c r="D262" s="22" t="str">
        <f>NodesData[[#This Row],[Node ID]]</f>
        <v>5F379BAF-A7E3-454A-9383-430758055F96</v>
      </c>
      <c r="E262" s="10" t="s">
        <v>935</v>
      </c>
      <c r="F262" s="25" t="str" cm="1">
        <f t="array" ref="F262">IF(NodesJSON[[#This Row],[Export?]]=0,"",IF(ROW(NodesJSON[[#This Row],[label]])&gt;ROW(NodesJSON[[#Headers],[JSON]])+1,",","") &amp;"{"&amp;twoRangesToJSON(NodesJSON[[#Headers],[label]:[url]],NodesJSON[[#This Row],[label]:[url]])&amp;"}")</f>
        <v>,{"label":"Joiner Lead Time","group":"","id":"5F379BAF-A7E3-454A-9383-430758055F96","url":"https://open-measure.atlassian.net/wiki/spaces/DIC/pages/1440153606/Login"}</v>
      </c>
    </row>
    <row r="263" spans="1:6" ht="13.9" thickTop="1" thickBot="1" x14ac:dyDescent="0.4">
      <c r="A263" s="38">
        <f>IF(ISERR(NodesJSON[[#This Row],[label]]),0,1)</f>
        <v>1</v>
      </c>
      <c r="B263" s="3" t="str">
        <f>NodesData[[#This Row],[Common Name]]</f>
        <v>Joiner Process</v>
      </c>
      <c r="C263" s="3" t="str">
        <f>IF(NodesData[[#This Row],[Context Instanciation]]="","",NodesData[[#This Row],[Context Instanciation]])</f>
        <v/>
      </c>
      <c r="D263" s="22" t="str">
        <f>NodesData[[#This Row],[Node ID]]</f>
        <v>C4B32381-FE90-443B-8248-77C1FEEE79F9</v>
      </c>
      <c r="E263" s="10" t="s">
        <v>936</v>
      </c>
      <c r="F263" s="25" t="str" cm="1">
        <f t="array" ref="F263">IF(NodesJSON[[#This Row],[Export?]]=0,"",IF(ROW(NodesJSON[[#This Row],[label]])&gt;ROW(NodesJSON[[#Headers],[JSON]])+1,",","") &amp;"{"&amp;twoRangesToJSON(NodesJSON[[#Headers],[label]:[url]],NodesJSON[[#This Row],[label]:[url]])&amp;"}")</f>
        <v>,{"label":"Joiner Process","group":"","id":"C4B32381-FE90-443B-8248-77C1FEEE79F9","url":"https://open-measure.atlassian.net/wiki/spaces/DIC/pages/1428685307/Login+ID"}</v>
      </c>
    </row>
    <row r="264" spans="1:6" ht="13.9" thickTop="1" thickBot="1" x14ac:dyDescent="0.4">
      <c r="A264" s="38">
        <f>IF(ISERR(NodesJSON[[#This Row],[label]]),0,1)</f>
        <v>1</v>
      </c>
      <c r="B264" s="3" t="str">
        <f>NodesData[[#This Row],[Common Name]]</f>
        <v>Joiner Start Date</v>
      </c>
      <c r="C264" s="3" t="str">
        <f>IF(NodesData[[#This Row],[Context Instanciation]]="","",NodesData[[#This Row],[Context Instanciation]])</f>
        <v/>
      </c>
      <c r="D264" s="22" t="str">
        <f>NodesData[[#This Row],[Node ID]]</f>
        <v>52F88A4C-3E93-4AF2-8DBF-CB8B8C2AD615</v>
      </c>
      <c r="E264" s="10" t="s">
        <v>937</v>
      </c>
      <c r="F264" s="25" t="str" cm="1">
        <f t="array" ref="F264">IF(NodesJSON[[#This Row],[Export?]]=0,"",IF(ROW(NodesJSON[[#This Row],[label]])&gt;ROW(NodesJSON[[#Headers],[JSON]])+1,",","") &amp;"{"&amp;twoRangesToJSON(NodesJSON[[#Headers],[label]:[url]],NodesJSON[[#This Row],[label]:[url]])&amp;"}")</f>
        <v>,{"label":"Joiner Start Date","group":"","id":"52F88A4C-3E93-4AF2-8DBF-CB8B8C2AD615","url":"https://open-measure.atlassian.net/wiki/spaces/DIC/pages/1428685365/Login+Name"}</v>
      </c>
    </row>
    <row r="265" spans="1:6" ht="13.9" thickTop="1" thickBot="1" x14ac:dyDescent="0.4">
      <c r="A265" s="38">
        <f>IF(ISERR(NodesJSON[[#This Row],[label]]),0,1)</f>
        <v>1</v>
      </c>
      <c r="B265" s="3" t="str">
        <f>NodesData[[#This Row],[Common Name]]</f>
        <v>Key Criteria Type</v>
      </c>
      <c r="C265" s="3" t="str">
        <f>IF(NodesData[[#This Row],[Context Instanciation]]="","",NodesData[[#This Row],[Context Instanciation]])</f>
        <v/>
      </c>
      <c r="D265" s="22" t="str">
        <f>NodesData[[#This Row],[Node ID]]</f>
        <v>406CC236-DFF2-405A-B465-64F605223042</v>
      </c>
      <c r="E265" s="10" t="s">
        <v>939</v>
      </c>
      <c r="F265" s="25" t="str" cm="1">
        <f t="array" ref="F265">IF(NodesJSON[[#This Row],[Export?]]=0,"",IF(ROW(NodesJSON[[#This Row],[label]])&gt;ROW(NodesJSON[[#Headers],[JSON]])+1,",","") &amp;"{"&amp;twoRangesToJSON(NodesJSON[[#Headers],[label]:[url]],NodesJSON[[#This Row],[label]:[url]])&amp;"}")</f>
        <v>,{"label":"Key Criteria Type","group":"","id":"406CC236-DFF2-405A-B465-64F605223042","url":"https://open-measure.atlassian.net/wiki/spaces/DIC/pages/67699227"}</v>
      </c>
    </row>
    <row r="266" spans="1:6" ht="13.9" thickTop="1" thickBot="1" x14ac:dyDescent="0.4">
      <c r="A266" s="38">
        <f>IF(ISERR(NodesJSON[[#This Row],[label]]),0,1)</f>
        <v>1</v>
      </c>
      <c r="B266" s="3" t="str">
        <f>NodesData[[#This Row],[Common Name]]</f>
        <v>Key Information</v>
      </c>
      <c r="C266" s="3" t="str">
        <f>IF(NodesData[[#This Row],[Context Instanciation]]="","",NodesData[[#This Row],[Context Instanciation]])</f>
        <v/>
      </c>
      <c r="D266" s="22" t="str">
        <f>NodesData[[#This Row],[Node ID]]</f>
        <v>98FC67D9-C9D3-4BC6-B927-8AB8F3894DB7</v>
      </c>
      <c r="E266" s="10" t="s">
        <v>941</v>
      </c>
      <c r="F266" s="25" t="str" cm="1">
        <f t="array" ref="F266">IF(NodesJSON[[#This Row],[Export?]]=0,"",IF(ROW(NodesJSON[[#This Row],[label]])&gt;ROW(NodesJSON[[#Headers],[JSON]])+1,",","") &amp;"{"&amp;twoRangesToJSON(NodesJSON[[#Headers],[label]:[url]],NodesJSON[[#This Row],[label]:[url]])&amp;"}")</f>
        <v>,{"label":"Key Information","group":"","id":"98FC67D9-C9D3-4BC6-B927-8AB8F3894DB7","url":"https://open-measure.atlassian.net/wiki/spaces/DIC/pages/834044288"}</v>
      </c>
    </row>
    <row r="267" spans="1:6" ht="13.9" thickTop="1" thickBot="1" x14ac:dyDescent="0.4">
      <c r="A267" s="38">
        <f>IF(ISERR(NodesJSON[[#This Row],[label]]),0,1)</f>
        <v>1</v>
      </c>
      <c r="B267" s="3" t="str">
        <f>NodesData[[#This Row],[Common Name]]</f>
        <v>Keying Material</v>
      </c>
      <c r="C267" s="3" t="str">
        <f>IF(NodesData[[#This Row],[Context Instanciation]]="","",NodesData[[#This Row],[Context Instanciation]])</f>
        <v/>
      </c>
      <c r="D267" s="22" t="str">
        <f>NodesData[[#This Row],[Node ID]]</f>
        <v>E5DF77A4-C200-40CE-9133-29FE8F45F83C</v>
      </c>
      <c r="E267" s="4"/>
      <c r="F267" s="25" t="str" cm="1">
        <f t="array" ref="F267">IF(NodesJSON[[#This Row],[Export?]]=0,"",IF(ROW(NodesJSON[[#This Row],[label]])&gt;ROW(NodesJSON[[#Headers],[JSON]])+1,",","") &amp;"{"&amp;twoRangesToJSON(NodesJSON[[#Headers],[label]:[url]],NodesJSON[[#This Row],[label]:[url]])&amp;"}")</f>
        <v>,{"label":"Keying Material","group":"","id":"E5DF77A4-C200-40CE-9133-29FE8F45F83C","url":""}</v>
      </c>
    </row>
    <row r="268" spans="1:6" ht="13.9" thickTop="1" thickBot="1" x14ac:dyDescent="0.4">
      <c r="A268" s="38">
        <f>IF(ISERR(NodesJSON[[#This Row],[label]]),0,1)</f>
        <v>1</v>
      </c>
      <c r="B268" s="3" t="str">
        <f>NodesData[[#This Row],[Common Name]]</f>
        <v>Keystroke Recognition Authentication</v>
      </c>
      <c r="C268" s="3" t="str">
        <f>IF(NodesData[[#This Row],[Context Instanciation]]="","",NodesData[[#This Row],[Context Instanciation]])</f>
        <v/>
      </c>
      <c r="D268" s="22" t="str">
        <f>NodesData[[#This Row],[Node ID]]</f>
        <v>824C4DE1-CB45-4357-8D71-3D7A9B20A1FE</v>
      </c>
      <c r="E268" s="10" t="s">
        <v>943</v>
      </c>
      <c r="F268" s="25" t="str" cm="1">
        <f t="array" ref="F268">IF(NodesJSON[[#This Row],[Export?]]=0,"",IF(ROW(NodesJSON[[#This Row],[label]])&gt;ROW(NodesJSON[[#Headers],[JSON]])+1,",","") &amp;"{"&amp;twoRangesToJSON(NodesJSON[[#Headers],[label]:[url]],NodesJSON[[#This Row],[label]:[url]])&amp;"}")</f>
        <v>,{"label":"Keystroke Recognition Authentication","group":"","id":"824C4DE1-CB45-4357-8D71-3D7A9B20A1FE","url":"https://open-measure.atlassian.net/wiki/spaces/DIC/pages/75890760"}</v>
      </c>
    </row>
    <row r="269" spans="1:6" ht="13.9" thickTop="1" thickBot="1" x14ac:dyDescent="0.4">
      <c r="A269" s="38">
        <f>IF(ISERR(NodesJSON[[#This Row],[label]]),0,1)</f>
        <v>1</v>
      </c>
      <c r="B269" s="3" t="str">
        <f>NodesData[[#This Row],[Common Name]]</f>
        <v>Knowledge Factor</v>
      </c>
      <c r="C269" s="3" t="str">
        <f>IF(NodesData[[#This Row],[Context Instanciation]]="","",NodesData[[#This Row],[Context Instanciation]])</f>
        <v/>
      </c>
      <c r="D269" s="22" t="str">
        <f>NodesData[[#This Row],[Node ID]]</f>
        <v>8F045301-B949-47A7-B850-24BF7725F524</v>
      </c>
      <c r="E269" s="10" t="s">
        <v>945</v>
      </c>
      <c r="F269" s="25" t="str" cm="1">
        <f t="array" ref="F269">IF(NodesJSON[[#This Row],[Export?]]=0,"",IF(ROW(NodesJSON[[#This Row],[label]])&gt;ROW(NodesJSON[[#Headers],[JSON]])+1,",","") &amp;"{"&amp;twoRangesToJSON(NodesJSON[[#Headers],[label]:[url]],NodesJSON[[#This Row],[label]:[url]])&amp;"}")</f>
        <v>,{"label":"Knowledge Factor","group":"","id":"8F045301-B949-47A7-B850-24BF7725F524","url":"https://open-measure.atlassian.net/wiki/spaces/DIC/pages/1031241799"}</v>
      </c>
    </row>
    <row r="270" spans="1:6" ht="13.9" thickTop="1" thickBot="1" x14ac:dyDescent="0.4">
      <c r="A270" s="38">
        <f>IF(ISERR(NodesJSON[[#This Row],[label]]),0,1)</f>
        <v>1</v>
      </c>
      <c r="B270" s="3" t="str">
        <f>NodesData[[#This Row],[Common Name]]</f>
        <v>Knuckleprint Recognition Authentication</v>
      </c>
      <c r="C270" s="3" t="str">
        <f>IF(NodesData[[#This Row],[Context Instanciation]]="","",NodesData[[#This Row],[Context Instanciation]])</f>
        <v/>
      </c>
      <c r="D270" s="22" t="str">
        <f>NodesData[[#This Row],[Node ID]]</f>
        <v>935B2B66-22E7-4674-9564-5B7FE10D4526</v>
      </c>
      <c r="E270" s="10" t="s">
        <v>946</v>
      </c>
      <c r="F270" s="25" t="str" cm="1">
        <f t="array" ref="F270">IF(NodesJSON[[#This Row],[Export?]]=0,"",IF(ROW(NodesJSON[[#This Row],[label]])&gt;ROW(NodesJSON[[#Headers],[JSON]])+1,",","") &amp;"{"&amp;twoRangesToJSON(NodesJSON[[#Headers],[label]:[url]],NodesJSON[[#This Row],[label]:[url]])&amp;"}")</f>
        <v>,{"label":"Knuckleprint Recognition Authentication","group":"","id":"935B2B66-22E7-4674-9564-5B7FE10D4526","url":"https://open-measure.atlassian.net/wiki/spaces/DIC/pages/1600684160/Multiple+Accounts"}</v>
      </c>
    </row>
    <row r="271" spans="1:6" ht="13.9" thickTop="1" thickBot="1" x14ac:dyDescent="0.4">
      <c r="A271" s="38">
        <f>IF(ISERR(NodesJSON[[#This Row],[label]]),0,1)</f>
        <v>1</v>
      </c>
      <c r="B271" s="3" t="str">
        <f>NodesData[[#This Row],[Common Name]]</f>
        <v>KYC</v>
      </c>
      <c r="C271" s="3" t="str">
        <f>IF(NodesData[[#This Row],[Context Instanciation]]="","",NodesData[[#This Row],[Context Instanciation]])</f>
        <v/>
      </c>
      <c r="D271" s="22" t="str">
        <f>NodesData[[#This Row],[Node ID]]</f>
        <v>1CE21E67-6A6D-4A6D-8F23-E3B426079C35</v>
      </c>
      <c r="E271" s="4"/>
      <c r="F271" s="25" t="str" cm="1">
        <f t="array" ref="F271">IF(NodesJSON[[#This Row],[Export?]]=0,"",IF(ROW(NodesJSON[[#This Row],[label]])&gt;ROW(NodesJSON[[#Headers],[JSON]])+1,",","") &amp;"{"&amp;twoRangesToJSON(NodesJSON[[#Headers],[label]:[url]],NodesJSON[[#This Row],[label]:[url]])&amp;"}")</f>
        <v>,{"label":"KYC","group":"","id":"1CE21E67-6A6D-4A6D-8F23-E3B426079C35","url":""}</v>
      </c>
    </row>
    <row r="272" spans="1:6" ht="13.9" thickTop="1" thickBot="1" x14ac:dyDescent="0.4">
      <c r="A272" s="38">
        <f>IF(ISERR(NodesJSON[[#This Row],[label]]),0,1)</f>
        <v>1</v>
      </c>
      <c r="B272" s="3" t="str">
        <f>NodesData[[#This Row],[Common Name]]</f>
        <v>KYC Registry</v>
      </c>
      <c r="C272" s="3" t="str">
        <f>IF(NodesData[[#This Row],[Context Instanciation]]="","",NodesData[[#This Row],[Context Instanciation]])</f>
        <v/>
      </c>
      <c r="D272" s="22" t="str">
        <f>NodesData[[#This Row],[Node ID]]</f>
        <v>166B5A26-5DAC-4BF8-AD48-69627F7B841D</v>
      </c>
      <c r="E272" s="10" t="s">
        <v>949</v>
      </c>
      <c r="F272" s="25" t="str" cm="1">
        <f t="array" ref="F272">IF(NodesJSON[[#This Row],[Export?]]=0,"",IF(ROW(NodesJSON[[#This Row],[label]])&gt;ROW(NodesJSON[[#Headers],[JSON]])+1,",","") &amp;"{"&amp;twoRangesToJSON(NodesJSON[[#Headers],[label]:[url]],NodesJSON[[#This Row],[label]:[url]])&amp;"}")</f>
        <v>,{"label":"KYC Registry","group":"","id":"166B5A26-5DAC-4BF8-AD48-69627F7B841D","url":"https://open-measure.atlassian.net/wiki/spaces/DIC/pages/1474592794/Need-to-Know"}</v>
      </c>
    </row>
    <row r="273" spans="1:6" ht="13.9" thickTop="1" thickBot="1" x14ac:dyDescent="0.4">
      <c r="A273" s="38">
        <f>IF(ISERR(NodesJSON[[#This Row],[label]]),0,1)</f>
        <v>1</v>
      </c>
      <c r="B273" s="3" t="str">
        <f>NodesData[[#This Row],[Common Name]]</f>
        <v>Lattice-Based Access Control</v>
      </c>
      <c r="C273" s="3" t="str">
        <f>IF(NodesData[[#This Row],[Context Instanciation]]="","",NodesData[[#This Row],[Context Instanciation]])</f>
        <v/>
      </c>
      <c r="D273" s="22" t="str">
        <f>NodesData[[#This Row],[Node ID]]</f>
        <v>86E48B84-25B8-4795-9A93-5217ED1B20EE</v>
      </c>
      <c r="E273" s="10" t="s">
        <v>951</v>
      </c>
      <c r="F273" s="25" t="str" cm="1">
        <f t="array" ref="F273">IF(NodesJSON[[#This Row],[Export?]]=0,"",IF(ROW(NodesJSON[[#This Row],[label]])&gt;ROW(NodesJSON[[#Headers],[JSON]])+1,",","") &amp;"{"&amp;twoRangesToJSON(NodesJSON[[#Headers],[label]:[url]],NodesJSON[[#This Row],[label]:[url]])&amp;"}")</f>
        <v>,{"label":"Lattice-Based Access Control","group":"","id":"86E48B84-25B8-4795-9A93-5217ED1B20EE","url":"https://open-measure.atlassian.net/wiki/spaces/DIC/pages/858456124"}</v>
      </c>
    </row>
    <row r="274" spans="1:6" ht="13.9" thickTop="1" thickBot="1" x14ac:dyDescent="0.4">
      <c r="A274" s="38">
        <f>IF(ISERR(NodesJSON[[#This Row],[label]]),0,1)</f>
        <v>1</v>
      </c>
      <c r="B274" s="3" t="str">
        <f>NodesData[[#This Row],[Common Name]]</f>
        <v>Layers Architectural Pattern</v>
      </c>
      <c r="C274" s="3" t="str">
        <f>IF(NodesData[[#This Row],[Context Instanciation]]="","",NodesData[[#This Row],[Context Instanciation]])</f>
        <v/>
      </c>
      <c r="D274" s="22" t="str">
        <f>NodesData[[#This Row],[Node ID]]</f>
        <v>47F51922-5209-4A6F-A67B-D153C7E5BAD5</v>
      </c>
      <c r="E274" s="10" t="s">
        <v>953</v>
      </c>
      <c r="F274" s="25" t="str" cm="1">
        <f t="array" ref="F274">IF(NodesJSON[[#This Row],[Export?]]=0,"",IF(ROW(NodesJSON[[#This Row],[label]])&gt;ROW(NodesJSON[[#Headers],[JSON]])+1,",","") &amp;"{"&amp;twoRangesToJSON(NodesJSON[[#Headers],[label]:[url]],NodesJSON[[#This Row],[label]:[url]])&amp;"}")</f>
        <v>,{"label":"Layers Architectural Pattern","group":"","id":"47F51922-5209-4A6F-A67B-D153C7E5BAD5","url":"https://open-measure.atlassian.net/wiki/spaces/DIC/pages/1237483723"}</v>
      </c>
    </row>
    <row r="275" spans="1:6" ht="13.9" thickTop="1" thickBot="1" x14ac:dyDescent="0.4">
      <c r="A275" s="38">
        <f>IF(ISERR(NodesJSON[[#This Row],[label]]),0,1)</f>
        <v>1</v>
      </c>
      <c r="B275" s="3" t="str">
        <f>NodesData[[#This Row],[Common Name]]</f>
        <v>LBAC</v>
      </c>
      <c r="C275" s="3" t="str">
        <f>IF(NodesData[[#This Row],[Context Instanciation]]="","",NodesData[[#This Row],[Context Instanciation]])</f>
        <v/>
      </c>
      <c r="D275" s="22" t="str">
        <f>NodesData[[#This Row],[Node ID]]</f>
        <v>EFAC5827-378C-4102-AFE2-CE07747FFDDE</v>
      </c>
      <c r="E275" s="10" t="s">
        <v>955</v>
      </c>
      <c r="F275" s="25" t="str" cm="1">
        <f t="array" ref="F275">IF(NodesJSON[[#This Row],[Export?]]=0,"",IF(ROW(NodesJSON[[#This Row],[label]])&gt;ROW(NodesJSON[[#Headers],[JSON]])+1,",","") &amp;"{"&amp;twoRangesToJSON(NodesJSON[[#Headers],[label]:[url]],NodesJSON[[#This Row],[label]:[url]])&amp;"}")</f>
        <v>,{"label":"LBAC","group":"","id":"EFAC5827-378C-4102-AFE2-CE07747FFDDE","url":"https://open-measure.atlassian.net/wiki/spaces/DIC/pages/858554692"}</v>
      </c>
    </row>
    <row r="276" spans="1:6" ht="13.9" thickTop="1" thickBot="1" x14ac:dyDescent="0.4">
      <c r="A276" s="38">
        <f>IF(ISERR(NodesJSON[[#This Row],[label]]),0,1)</f>
        <v>1</v>
      </c>
      <c r="B276" s="3" t="str">
        <f>NodesData[[#This Row],[Common Name]]</f>
        <v>Leading Indicator</v>
      </c>
      <c r="C276" s="3" t="str">
        <f>IF(NodesData[[#This Row],[Context Instanciation]]="","",NodesData[[#This Row],[Context Instanciation]])</f>
        <v/>
      </c>
      <c r="D276" s="22" t="str">
        <f>NodesData[[#This Row],[Node ID]]</f>
        <v>A4CDF615-A105-417E-B48D-64356629F331</v>
      </c>
      <c r="E276" s="10" t="s">
        <v>956</v>
      </c>
      <c r="F276" s="25" t="str" cm="1">
        <f t="array" ref="F276">IF(NodesJSON[[#This Row],[Export?]]=0,"",IF(ROW(NodesJSON[[#This Row],[label]])&gt;ROW(NodesJSON[[#Headers],[JSON]])+1,",","") &amp;"{"&amp;twoRangesToJSON(NodesJSON[[#Headers],[label]:[url]],NodesJSON[[#This Row],[label]:[url]])&amp;"}")</f>
        <v>,{"label":"Leading Indicator","group":"","id":"A4CDF615-A105-417E-B48D-64356629F331","url":"https://open-measure.atlassian.net/wiki/spaces/DIC/pages/1323336029/Numerical+Identity"}</v>
      </c>
    </row>
    <row r="277" spans="1:6" ht="13.9" thickTop="1" thickBot="1" x14ac:dyDescent="0.4">
      <c r="A277" s="38">
        <f>IF(ISERR(NodesJSON[[#This Row],[label]]),0,1)</f>
        <v>1</v>
      </c>
      <c r="B277" s="3" t="str">
        <f>NodesData[[#This Row],[Common Name]]</f>
        <v>Least Privilege</v>
      </c>
      <c r="C277" s="3" t="str">
        <f>IF(NodesData[[#This Row],[Context Instanciation]]="","",NodesData[[#This Row],[Context Instanciation]])</f>
        <v/>
      </c>
      <c r="D277" s="22" t="str">
        <f>NodesData[[#This Row],[Node ID]]</f>
        <v>4E64ED8C-4B10-47C9-A311-D1727129E3B4</v>
      </c>
      <c r="E277" s="10" t="s">
        <v>948</v>
      </c>
      <c r="F277" s="25" t="str" cm="1">
        <f t="array" ref="F277">IF(NodesJSON[[#This Row],[Export?]]=0,"",IF(ROW(NodesJSON[[#This Row],[label]])&gt;ROW(NodesJSON[[#Headers],[JSON]])+1,",","") &amp;"{"&amp;twoRangesToJSON(NodesJSON[[#Headers],[label]:[url]],NodesJSON[[#This Row],[label]:[url]])&amp;"}")</f>
        <v>,{"label":"Least Privilege","group":"","id":"4E64ED8C-4B10-47C9-A311-D1727129E3B4","url":"https://open-measure.atlassian.net/wiki/spaces/DIC/pages/998244664"}</v>
      </c>
    </row>
    <row r="278" spans="1:6" ht="13.9" thickTop="1" thickBot="1" x14ac:dyDescent="0.4">
      <c r="A278" s="38">
        <f>IF(ISERR(NodesJSON[[#This Row],[label]]),0,1)</f>
        <v>1</v>
      </c>
      <c r="B278" s="3" t="str">
        <f>NodesData[[#This Row],[Common Name]]</f>
        <v>Legal Entity Identifier</v>
      </c>
      <c r="C278" s="3" t="str">
        <f>IF(NodesData[[#This Row],[Context Instanciation]]="","",NodesData[[#This Row],[Context Instanciation]])</f>
        <v/>
      </c>
      <c r="D278" s="22" t="str">
        <f>NodesData[[#This Row],[Node ID]]</f>
        <v>94BD538B-2803-4922-B9FC-708C5A78D007</v>
      </c>
      <c r="E278" s="10" t="s">
        <v>960</v>
      </c>
      <c r="F278" s="25" t="str" cm="1">
        <f t="array" ref="F278">IF(NodesJSON[[#This Row],[Export?]]=0,"",IF(ROW(NodesJSON[[#This Row],[label]])&gt;ROW(NodesJSON[[#Headers],[JSON]])+1,",","") &amp;"{"&amp;twoRangesToJSON(NodesJSON[[#Headers],[label]:[url]],NodesJSON[[#This Row],[label]:[url]])&amp;"}")</f>
        <v>,{"label":"Legal Entity Identifier","group":"","id":"94BD538B-2803-4922-B9FC-708C5A78D007","url":"https://open-measure.atlassian.net/wiki/spaces/DIC/pages/67568133"}</v>
      </c>
    </row>
    <row r="279" spans="1:6" ht="13.9" thickTop="1" thickBot="1" x14ac:dyDescent="0.4">
      <c r="A279" s="38">
        <f>IF(ISERR(NodesJSON[[#This Row],[label]]),0,1)</f>
        <v>1</v>
      </c>
      <c r="B279" s="3" t="str">
        <f>NodesData[[#This Row],[Common Name]]</f>
        <v>Legitimate Privilege Abuse</v>
      </c>
      <c r="C279" s="3" t="str">
        <f>IF(NodesData[[#This Row],[Context Instanciation]]="","",NodesData[[#This Row],[Context Instanciation]])</f>
        <v/>
      </c>
      <c r="D279" s="22" t="str">
        <f>NodesData[[#This Row],[Node ID]]</f>
        <v>AD51CEE3-FB4A-407D-BCA6-FCB60D74C6CF</v>
      </c>
      <c r="E279" s="10" t="s">
        <v>962</v>
      </c>
      <c r="F279" s="25" t="str" cm="1">
        <f t="array" ref="F279">IF(NodesJSON[[#This Row],[Export?]]=0,"",IF(ROW(NodesJSON[[#This Row],[label]])&gt;ROW(NodesJSON[[#Headers],[JSON]])+1,",","") &amp;"{"&amp;twoRangesToJSON(NodesJSON[[#Headers],[label]:[url]],NodesJSON[[#This Row],[label]:[url]])&amp;"}")</f>
        <v>,{"label":"Legitimate Privilege Abuse","group":"","id":"AD51CEE3-FB4A-407D-BCA6-FCB60D74C6CF","url":"https://open-measure.atlassian.net/wiki/spaces/DIC/pages/998244357"}</v>
      </c>
    </row>
    <row r="280" spans="1:6" ht="13.9" thickTop="1" thickBot="1" x14ac:dyDescent="0.4">
      <c r="A280" s="38">
        <f>IF(ISERR(NodesJSON[[#This Row],[label]]),0,1)</f>
        <v>1</v>
      </c>
      <c r="B280" s="3" t="str">
        <f>NodesData[[#This Row],[Common Name]]</f>
        <v>LEI</v>
      </c>
      <c r="C280" s="3" t="str">
        <f>IF(NodesData[[#This Row],[Context Instanciation]]="","",NodesData[[#This Row],[Context Instanciation]])</f>
        <v/>
      </c>
      <c r="D280" s="22" t="str">
        <f>NodesData[[#This Row],[Node ID]]</f>
        <v>8E33930E-44DE-40EC-95F1-CFEFF12B8C1E</v>
      </c>
      <c r="E280" s="10" t="s">
        <v>958</v>
      </c>
      <c r="F280" s="25" t="str" cm="1">
        <f t="array" ref="F280">IF(NodesJSON[[#This Row],[Export?]]=0,"",IF(ROW(NodesJSON[[#This Row],[label]])&gt;ROW(NodesJSON[[#Headers],[JSON]])+1,",","") &amp;"{"&amp;twoRangesToJSON(NodesJSON[[#Headers],[label]:[url]],NodesJSON[[#This Row],[label]:[url]])&amp;"}")</f>
        <v>,{"label":"LEI","group":"","id":"8E33930E-44DE-40EC-95F1-CFEFF12B8C1E","url":"https://open-measure.atlassian.net/wiki/spaces/DIC/pages/446825168"}</v>
      </c>
    </row>
    <row r="281" spans="1:6" ht="13.9" thickTop="1" thickBot="1" x14ac:dyDescent="0.4">
      <c r="A281" s="38">
        <f>IF(ISERR(NodesJSON[[#This Row],[label]]),0,1)</f>
        <v>1</v>
      </c>
      <c r="B281" s="3" t="str">
        <f>NodesData[[#This Row],[Common Name]]</f>
        <v>Levels of Assurance</v>
      </c>
      <c r="C281" s="3" t="str">
        <f>IF(NodesData[[#This Row],[Context Instanciation]]="","",NodesData[[#This Row],[Context Instanciation]])</f>
        <v/>
      </c>
      <c r="D281" s="22" t="str">
        <f>NodesData[[#This Row],[Node ID]]</f>
        <v>C4757629-C6BF-455D-85BA-12928C66187A</v>
      </c>
      <c r="E281" s="10" t="s">
        <v>964</v>
      </c>
      <c r="F281" s="25" t="str" cm="1">
        <f t="array" ref="F281">IF(NodesJSON[[#This Row],[Export?]]=0,"",IF(ROW(NodesJSON[[#This Row],[label]])&gt;ROW(NodesJSON[[#Headers],[JSON]])+1,",","") &amp;"{"&amp;twoRangesToJSON(NodesJSON[[#Headers],[label]:[url]],NodesJSON[[#This Row],[label]:[url]])&amp;"}")</f>
        <v>,{"label":"Levels of Assurance","group":"","id":"C4757629-C6BF-455D-85BA-12928C66187A","url":"https://open-measure.atlassian.net/wiki/spaces/DIC/pages/1142358051"}</v>
      </c>
    </row>
    <row r="282" spans="1:6" ht="13.9" thickTop="1" thickBot="1" x14ac:dyDescent="0.4">
      <c r="A282" s="38">
        <f>IF(ISERR(NodesJSON[[#This Row],[label]]),0,1)</f>
        <v>1</v>
      </c>
      <c r="B282" s="3" t="str">
        <f>NodesData[[#This Row],[Common Name]]</f>
        <v>Liberal Discretionary Access Control</v>
      </c>
      <c r="C282" s="3" t="str">
        <f>IF(NodesData[[#This Row],[Context Instanciation]]="","",NodesData[[#This Row],[Context Instanciation]])</f>
        <v/>
      </c>
      <c r="D282" s="22" t="str">
        <f>NodesData[[#This Row],[Node ID]]</f>
        <v>6A3A70EE-334E-421F-B119-F98B151630FB</v>
      </c>
      <c r="E282" s="10" t="s">
        <v>966</v>
      </c>
      <c r="F282" s="25" t="str" cm="1">
        <f t="array" ref="F282">IF(NodesJSON[[#This Row],[Export?]]=0,"",IF(ROW(NodesJSON[[#This Row],[label]])&gt;ROW(NodesJSON[[#Headers],[JSON]])+1,",","") &amp;"{"&amp;twoRangesToJSON(NodesJSON[[#Headers],[label]:[url]],NodesJSON[[#This Row],[label]:[url]])&amp;"}")</f>
        <v>,{"label":"Liberal Discretionary Access Control","group":"","id":"6A3A70EE-334E-421F-B119-F98B151630FB","url":"https://open-measure.atlassian.net/wiki/spaces/DIC/pages/1142259761"}</v>
      </c>
    </row>
    <row r="283" spans="1:6" ht="13.9" thickTop="1" thickBot="1" x14ac:dyDescent="0.4">
      <c r="A283" s="38">
        <f>IF(ISERR(NodesJSON[[#This Row],[label]]),0,1)</f>
        <v>1</v>
      </c>
      <c r="B283" s="3" t="str">
        <f>NodesData[[#This Row],[Common Name]]</f>
        <v>LOA</v>
      </c>
      <c r="C283" s="3" t="str">
        <f>IF(NodesData[[#This Row],[Context Instanciation]]="","",NodesData[[#This Row],[Context Instanciation]])</f>
        <v/>
      </c>
      <c r="D283" s="22" t="str">
        <f>NodesData[[#This Row],[Node ID]]</f>
        <v>01E66989-6C9A-46DB-B262-E13459790817</v>
      </c>
      <c r="E283" s="10" t="s">
        <v>968</v>
      </c>
      <c r="F283" s="25" t="str" cm="1">
        <f t="array" ref="F283">IF(NodesJSON[[#This Row],[Export?]]=0,"",IF(ROW(NodesJSON[[#This Row],[label]])&gt;ROW(NodesJSON[[#Headers],[JSON]])+1,",","") &amp;"{"&amp;twoRangesToJSON(NodesJSON[[#Headers],[label]:[url]],NodesJSON[[#This Row],[label]:[url]])&amp;"}")</f>
        <v>,{"label":"LOA","group":"","id":"01E66989-6C9A-46DB-B262-E13459790817","url":"https://open-measure.atlassian.net/wiki/spaces/DIC/pages/3211353"}</v>
      </c>
    </row>
    <row r="284" spans="1:6" ht="13.9" thickTop="1" thickBot="1" x14ac:dyDescent="0.4">
      <c r="A284" s="38">
        <f>IF(ISERR(NodesJSON[[#This Row],[label]]),0,1)</f>
        <v>1</v>
      </c>
      <c r="B284" s="3" t="str">
        <f>NodesData[[#This Row],[Common Name]]</f>
        <v>Location Factor</v>
      </c>
      <c r="C284" s="3" t="str">
        <f>IF(NodesData[[#This Row],[Context Instanciation]]="","",NodesData[[#This Row],[Context Instanciation]])</f>
        <v/>
      </c>
      <c r="D284" s="22" t="str">
        <f>NodesData[[#This Row],[Node ID]]</f>
        <v>1D786316-F897-4DFF-8B41-5E1E1572959A</v>
      </c>
      <c r="E284" s="10" t="s">
        <v>970</v>
      </c>
      <c r="F284" s="25" t="str" cm="1">
        <f t="array" ref="F284">IF(NodesJSON[[#This Row],[Export?]]=0,"",IF(ROW(NodesJSON[[#This Row],[label]])&gt;ROW(NodesJSON[[#Headers],[JSON]])+1,",","") &amp;"{"&amp;twoRangesToJSON(NodesJSON[[#Headers],[label]:[url]],NodesJSON[[#This Row],[label]:[url]])&amp;"}")</f>
        <v>,{"label":"Location Factor","group":"","id":"1D786316-F897-4DFF-8B41-5E1E1572959A","url":"https://open-measure.atlassian.net/wiki/spaces/DIC/pages/148439181"}</v>
      </c>
    </row>
    <row r="285" spans="1:6" ht="13.9" thickTop="1" thickBot="1" x14ac:dyDescent="0.4">
      <c r="A285" s="38">
        <f>IF(ISERR(NodesJSON[[#This Row],[label]]),0,1)</f>
        <v>1</v>
      </c>
      <c r="B285" s="3" t="str">
        <f>NodesData[[#This Row],[Common Name]]</f>
        <v>Logic Bomb</v>
      </c>
      <c r="C285" s="3" t="str">
        <f>IF(NodesData[[#This Row],[Context Instanciation]]="","",NodesData[[#This Row],[Context Instanciation]])</f>
        <v/>
      </c>
      <c r="D285" s="22" t="str">
        <f>NodesData[[#This Row],[Node ID]]</f>
        <v>3DC55223-7AFD-4287-8C27-5DBDFDDDED39</v>
      </c>
      <c r="E285" s="10" t="s">
        <v>972</v>
      </c>
      <c r="F285" s="25" t="str" cm="1">
        <f t="array" ref="F285">IF(NodesJSON[[#This Row],[Export?]]=0,"",IF(ROW(NodesJSON[[#This Row],[label]])&gt;ROW(NodesJSON[[#Headers],[JSON]])+1,",","") &amp;"{"&amp;twoRangesToJSON(NodesJSON[[#Headers],[label]:[url]],NodesJSON[[#This Row],[label]:[url]])&amp;"}")</f>
        <v>,{"label":"Logic Bomb","group":"","id":"3DC55223-7AFD-4287-8C27-5DBDFDDDED39","url":"https://open-measure.atlassian.net/wiki/spaces/DIC/pages/5932838"}</v>
      </c>
    </row>
    <row r="286" spans="1:6" ht="13.9" thickTop="1" thickBot="1" x14ac:dyDescent="0.4">
      <c r="A286" s="38">
        <f>IF(ISERR(NodesJSON[[#This Row],[label]]),0,1)</f>
        <v>1</v>
      </c>
      <c r="B286" s="3" t="str">
        <f>NodesData[[#This Row],[Common Name]]</f>
        <v>Login</v>
      </c>
      <c r="C286" s="3" t="str">
        <f>IF(NodesData[[#This Row],[Context Instanciation]]="","",NodesData[[#This Row],[Context Instanciation]])</f>
        <v/>
      </c>
      <c r="D286" s="22" t="str">
        <f>NodesData[[#This Row],[Node ID]]</f>
        <v>2D3B2D2A-2926-478A-9DCB-A0FD0B959752</v>
      </c>
      <c r="E286" s="10" t="s">
        <v>973</v>
      </c>
      <c r="F286" s="25" t="str" cm="1">
        <f t="array" ref="F286">IF(NodesJSON[[#This Row],[Export?]]=0,"",IF(ROW(NodesJSON[[#This Row],[label]])&gt;ROW(NodesJSON[[#Headers],[JSON]])+1,",","") &amp;"{"&amp;twoRangesToJSON(NodesJSON[[#Headers],[label]:[url]],NodesJSON[[#This Row],[label]:[url]])&amp;"}")</f>
        <v>,{"label":"Login","group":"","id":"2D3B2D2A-2926-478A-9DCB-A0FD0B959752","url":"https://open-measure.atlassian.net/wiki/spaces/DIC/pages/1311403"}</v>
      </c>
    </row>
    <row r="287" spans="1:6" ht="13.9" thickTop="1" thickBot="1" x14ac:dyDescent="0.4">
      <c r="A287" s="38">
        <f>IF(ISERR(NodesJSON[[#This Row],[label]]),0,1)</f>
        <v>1</v>
      </c>
      <c r="B287" s="3" t="str">
        <f>NodesData[[#This Row],[Common Name]]</f>
        <v>Login ID</v>
      </c>
      <c r="C287" s="3" t="str">
        <f>IF(NodesData[[#This Row],[Context Instanciation]]="","",NodesData[[#This Row],[Context Instanciation]])</f>
        <v/>
      </c>
      <c r="D287" s="22" t="str">
        <f>NodesData[[#This Row],[Node ID]]</f>
        <v>70225704-C2BB-46FD-8E8E-C885AAE374B7</v>
      </c>
      <c r="E287" s="10" t="s">
        <v>974</v>
      </c>
      <c r="F287" s="25" t="str" cm="1">
        <f t="array" ref="F287">IF(NodesJSON[[#This Row],[Export?]]=0,"",IF(ROW(NodesJSON[[#This Row],[label]])&gt;ROW(NodesJSON[[#Headers],[JSON]])+1,",","") &amp;"{"&amp;twoRangesToJSON(NodesJSON[[#Headers],[label]:[url]],NodesJSON[[#This Row],[label]:[url]])&amp;"}")</f>
        <v>,{"label":"Login ID","group":"","id":"70225704-C2BB-46FD-8E8E-C885AAE374B7","url":"https://open-measure.atlassian.net/wiki/spaces/DIC/pages/557057"}</v>
      </c>
    </row>
    <row r="288" spans="1:6" ht="13.9" thickTop="1" thickBot="1" x14ac:dyDescent="0.4">
      <c r="A288" s="38">
        <f>IF(ISERR(NodesJSON[[#This Row],[label]]),0,1)</f>
        <v>1</v>
      </c>
      <c r="B288" s="3" t="str">
        <f>NodesData[[#This Row],[Common Name]]</f>
        <v>Login Name</v>
      </c>
      <c r="C288" s="3" t="str">
        <f>IF(NodesData[[#This Row],[Context Instanciation]]="","",NodesData[[#This Row],[Context Instanciation]])</f>
        <v/>
      </c>
      <c r="D288" s="22" t="str">
        <f>NodesData[[#This Row],[Node ID]]</f>
        <v>3B358333-68D9-409A-AD5E-3E16459F4D9A</v>
      </c>
      <c r="E288" s="10" t="s">
        <v>976</v>
      </c>
      <c r="F288" s="25" t="str" cm="1">
        <f t="array" ref="F288">IF(NodesJSON[[#This Row],[Export?]]=0,"",IF(ROW(NodesJSON[[#This Row],[label]])&gt;ROW(NodesJSON[[#Headers],[JSON]])+1,",","") &amp;"{"&amp;twoRangesToJSON(NodesJSON[[#Headers],[label]:[url]],NodesJSON[[#This Row],[label]:[url]])&amp;"}")</f>
        <v>,{"label":"Login Name","group":"","id":"3B358333-68D9-409A-AD5E-3E16459F4D9A","url":"https://open-measure.atlassian.net/wiki/spaces/DIC/pages/1061650550"}</v>
      </c>
    </row>
    <row r="289" spans="1:6" ht="13.9" thickTop="1" thickBot="1" x14ac:dyDescent="0.4">
      <c r="A289" s="38">
        <f>IF(ISERR(NodesJSON[[#This Row],[label]]),0,1)</f>
        <v>1</v>
      </c>
      <c r="B289" s="3" t="str">
        <f>NodesData[[#This Row],[Common Name]]</f>
        <v>Make MFA Mandatory</v>
      </c>
      <c r="C289" s="3" t="str">
        <f>IF(NodesData[[#This Row],[Context Instanciation]]="","",NodesData[[#This Row],[Context Instanciation]])</f>
        <v/>
      </c>
      <c r="D289" s="22" t="str">
        <f>NodesData[[#This Row],[Node ID]]</f>
        <v>A1D6E2B6-1A6F-40D5-BEF5-85AFDA4C4E86</v>
      </c>
      <c r="E289" s="10" t="s">
        <v>977</v>
      </c>
      <c r="F289" s="25" t="str" cm="1">
        <f t="array" ref="F289">IF(NodesJSON[[#This Row],[Export?]]=0,"",IF(ROW(NodesJSON[[#This Row],[label]])&gt;ROW(NodesJSON[[#Headers],[JSON]])+1,",","") &amp;"{"&amp;twoRangesToJSON(NodesJSON[[#Headers],[label]:[url]],NodesJSON[[#This Row],[label]:[url]])&amp;"}")</f>
        <v>,{"label":"Make MFA Mandatory","group":"","id":"A1D6E2B6-1A6F-40D5-BEF5-85AFDA4C4E86","url":"https://open-measure.atlassian.net/wiki/spaces/DIC/pages/1062207530/Orphan+Account"}</v>
      </c>
    </row>
    <row r="290" spans="1:6" ht="13.9" thickTop="1" thickBot="1" x14ac:dyDescent="0.4">
      <c r="A290" s="38">
        <f>IF(ISERR(NodesJSON[[#This Row],[label]]),0,1)</f>
        <v>1</v>
      </c>
      <c r="B290" s="3" t="str">
        <f>NodesData[[#This Row],[Common Name]]</f>
        <v>Mechanism</v>
      </c>
      <c r="C290" s="3" t="str">
        <f>IF(NodesData[[#This Row],[Context Instanciation]]="","",NodesData[[#This Row],[Context Instanciation]])</f>
        <v/>
      </c>
      <c r="D290" s="22" t="str">
        <f>NodesData[[#This Row],[Node ID]]</f>
        <v>02D5061A-3036-4CEC-B1B6-546A93BD011D</v>
      </c>
      <c r="E290" s="10" t="s">
        <v>979</v>
      </c>
      <c r="F290" s="25" t="str" cm="1">
        <f t="array" ref="F290">IF(NodesJSON[[#This Row],[Export?]]=0,"",IF(ROW(NodesJSON[[#This Row],[label]])&gt;ROW(NodesJSON[[#Headers],[JSON]])+1,",","") &amp;"{"&amp;twoRangesToJSON(NodesJSON[[#Headers],[label]:[url]],NodesJSON[[#This Row],[label]:[url]])&amp;"}")</f>
        <v>,{"label":"Mechanism","group":"","id":"02D5061A-3036-4CEC-B1B6-546A93BD011D","url":"https://open-measure.atlassian.net/wiki/spaces/DIC/pages/1061748965"}</v>
      </c>
    </row>
    <row r="291" spans="1:6" ht="13.9" thickTop="1" thickBot="1" x14ac:dyDescent="0.4">
      <c r="A291" s="38">
        <f>IF(ISERR(NodesJSON[[#This Row],[label]]),0,1)</f>
        <v>1</v>
      </c>
      <c r="B291" s="3" t="str">
        <f>NodesData[[#This Row],[Common Name]]</f>
        <v>Metadirectory</v>
      </c>
      <c r="C291" s="3" t="str">
        <f>IF(NodesData[[#This Row],[Context Instanciation]]="","",NodesData[[#This Row],[Context Instanciation]])</f>
        <v/>
      </c>
      <c r="D291" s="22" t="str">
        <f>NodesData[[#This Row],[Node ID]]</f>
        <v>4336BC2B-6BE9-4CCB-8214-8C41DA73E58F</v>
      </c>
      <c r="E291" s="10" t="s">
        <v>981</v>
      </c>
      <c r="F291" s="25" t="str" cm="1">
        <f t="array" ref="F291">IF(NodesJSON[[#This Row],[Export?]]=0,"",IF(ROW(NodesJSON[[#This Row],[label]])&gt;ROW(NodesJSON[[#Headers],[JSON]])+1,",","") &amp;"{"&amp;twoRangesToJSON(NodesJSON[[#Headers],[label]:[url]],NodesJSON[[#This Row],[label]:[url]])&amp;"}")</f>
        <v>,{"label":"Metadirectory","group":"","id":"4336BC2B-6BE9-4CCB-8214-8C41DA73E58F","url":"https://open-measure.atlassian.net/wiki/spaces/DIC/pages/1061650653"}</v>
      </c>
    </row>
    <row r="292" spans="1:6" ht="13.9" thickTop="1" thickBot="1" x14ac:dyDescent="0.4">
      <c r="A292" s="38">
        <f>IF(ISERR(NodesJSON[[#This Row],[label]]),0,1)</f>
        <v>1</v>
      </c>
      <c r="B292" s="3" t="str">
        <f>NodesData[[#This Row],[Common Name]]</f>
        <v>Mitigation</v>
      </c>
      <c r="C292" s="3" t="str">
        <f>IF(NodesData[[#This Row],[Context Instanciation]]="","",NodesData[[#This Row],[Context Instanciation]])</f>
        <v>Account Takeover</v>
      </c>
      <c r="D292" s="22" t="str">
        <f>NodesData[[#This Row],[Node ID]]</f>
        <v>515EECD7-8927-46CD-B811-39535FB71778</v>
      </c>
      <c r="E292" s="10" t="s">
        <v>983</v>
      </c>
      <c r="F292" s="25" t="str" cm="1">
        <f t="array" ref="F292">IF(NodesJSON[[#This Row],[Export?]]=0,"",IF(ROW(NodesJSON[[#This Row],[label]])&gt;ROW(NodesJSON[[#Headers],[JSON]])+1,",","") &amp;"{"&amp;twoRangesToJSON(NodesJSON[[#Headers],[label]:[url]],NodesJSON[[#This Row],[label]:[url]])&amp;"}")</f>
        <v>,{"label":"Mitigation","group":"Account Takeover","id":"515EECD7-8927-46CD-B811-39535FB71778","url":"https://open-measure.atlassian.net/wiki/spaces/DIC/pages/1061748925"}</v>
      </c>
    </row>
    <row r="293" spans="1:6" ht="13.9" thickTop="1" thickBot="1" x14ac:dyDescent="0.4">
      <c r="A293" s="38">
        <f>IF(ISERR(NodesJSON[[#This Row],[label]]),0,1)</f>
        <v>1</v>
      </c>
      <c r="B293" s="3" t="str">
        <f>NodesData[[#This Row],[Common Name]]</f>
        <v>Motivation</v>
      </c>
      <c r="C293" s="3" t="str">
        <f>IF(NodesData[[#This Row],[Context Instanciation]]="","",NodesData[[#This Row],[Context Instanciation]])</f>
        <v>Account Takeover</v>
      </c>
      <c r="D293" s="22" t="str">
        <f>NodesData[[#This Row],[Node ID]]</f>
        <v>DB35E690-DA61-4DD6-8BFE-3D6A2BCFD097</v>
      </c>
      <c r="E293" s="10" t="s">
        <v>985</v>
      </c>
      <c r="F293" s="25" t="str" cm="1">
        <f t="array" ref="F293">IF(NodesJSON[[#This Row],[Export?]]=0,"",IF(ROW(NodesJSON[[#This Row],[label]])&gt;ROW(NodesJSON[[#Headers],[JSON]])+1,",","") &amp;"{"&amp;twoRangesToJSON(NodesJSON[[#Headers],[label]:[url]],NodesJSON[[#This Row],[label]:[url]])&amp;"}")</f>
        <v>,{"label":"Motivation","group":"Account Takeover","id":"DB35E690-DA61-4DD6-8BFE-3D6A2BCFD097","url":"https://open-measure.atlassian.net/wiki/spaces/DIC/pages/1061749016"}</v>
      </c>
    </row>
    <row r="294" spans="1:6" ht="13.9" thickTop="1" thickBot="1" x14ac:dyDescent="0.4">
      <c r="A294" s="38">
        <f>IF(ISERR(NodesJSON[[#This Row],[label]]),0,1)</f>
        <v>1</v>
      </c>
      <c r="B294" s="3" t="str">
        <f>NodesData[[#This Row],[Common Name]]</f>
        <v>Multidomain Single Sign-On</v>
      </c>
      <c r="C294" s="3" t="str">
        <f>IF(NodesData[[#This Row],[Context Instanciation]]="","",NodesData[[#This Row],[Context Instanciation]])</f>
        <v/>
      </c>
      <c r="D294" s="22" t="str">
        <f>NodesData[[#This Row],[Node ID]]</f>
        <v>847852F8-F191-4109-94AD-7E3D596BB4FB</v>
      </c>
      <c r="E294" s="10" t="s">
        <v>987</v>
      </c>
      <c r="F294" s="25" t="str" cm="1">
        <f t="array" ref="F294">IF(NodesJSON[[#This Row],[Export?]]=0,"",IF(ROW(NodesJSON[[#This Row],[label]])&gt;ROW(NodesJSON[[#Headers],[JSON]])+1,",","") &amp;"{"&amp;twoRangesToJSON(NodesJSON[[#Headers],[label]:[url]],NodesJSON[[#This Row],[label]:[url]])&amp;"}")</f>
        <v>,{"label":"Multidomain Single Sign-On","group":"","id":"847852F8-F191-4109-94AD-7E3D596BB4FB","url":"https://open-measure.atlassian.net/wiki/spaces/DIC/pages/1063845889"}</v>
      </c>
    </row>
    <row r="295" spans="1:6" ht="13.9" thickTop="1" thickBot="1" x14ac:dyDescent="0.4">
      <c r="A295" s="38">
        <f>IF(ISERR(NodesJSON[[#This Row],[label]]),0,1)</f>
        <v>1</v>
      </c>
      <c r="B295" s="3" t="str">
        <f>NodesData[[#This Row],[Common Name]]</f>
        <v>Multilevel Security</v>
      </c>
      <c r="C295" s="3" t="str">
        <f>IF(NodesData[[#This Row],[Context Instanciation]]="","",NodesData[[#This Row],[Context Instanciation]])</f>
        <v/>
      </c>
      <c r="D295" s="22" t="str">
        <f>NodesData[[#This Row],[Node ID]]</f>
        <v>4E3A619E-0A05-401C-B96B-2D454AA9CF59</v>
      </c>
      <c r="E295" s="10" t="s">
        <v>989</v>
      </c>
      <c r="F295" s="25" t="str" cm="1">
        <f t="array" ref="F295">IF(NodesJSON[[#This Row],[Export?]]=0,"",IF(ROW(NodesJSON[[#This Row],[label]])&gt;ROW(NodesJSON[[#Headers],[JSON]])+1,",","") &amp;"{"&amp;twoRangesToJSON(NodesJSON[[#Headers],[label]:[url]],NodesJSON[[#This Row],[label]:[url]])&amp;"}")</f>
        <v>,{"label":"Multilevel Security","group":"","id":"4E3A619E-0A05-401C-B96B-2D454AA9CF59","url":"https://open-measure.atlassian.net/wiki/spaces/DIC/pages/1061650689"}</v>
      </c>
    </row>
    <row r="296" spans="1:6" ht="13.9" thickTop="1" thickBot="1" x14ac:dyDescent="0.4">
      <c r="A296" s="38">
        <f>IF(ISERR(NodesJSON[[#This Row],[label]]),0,1)</f>
        <v>1</v>
      </c>
      <c r="B296" s="3" t="str">
        <f>NodesData[[#This Row],[Common Name]]</f>
        <v>Multi-Modal Biometric Authentication</v>
      </c>
      <c r="C296" s="3" t="str">
        <f>IF(NodesData[[#This Row],[Context Instanciation]]="","",NodesData[[#This Row],[Context Instanciation]])</f>
        <v/>
      </c>
      <c r="D296" s="22" t="str">
        <f>NodesData[[#This Row],[Node ID]]</f>
        <v>BFC2B385-EAA5-409A-8F21-E3B07033449A</v>
      </c>
      <c r="E296" s="10" t="s">
        <v>991</v>
      </c>
      <c r="F296" s="25" t="str" cm="1">
        <f t="array" ref="F296">IF(NodesJSON[[#This Row],[Export?]]=0,"",IF(ROW(NodesJSON[[#This Row],[label]])&gt;ROW(NodesJSON[[#Headers],[JSON]])+1,",","") &amp;"{"&amp;twoRangesToJSON(NodesJSON[[#Headers],[label]:[url]],NodesJSON[[#This Row],[label]:[url]])&amp;"}")</f>
        <v>,{"label":"Multi-Modal Biometric Authentication","group":"","id":"BFC2B385-EAA5-409A-8F21-E3B07033449A","url":"https://open-measure.atlassian.net/wiki/spaces/DIC/pages/1061748885"}</v>
      </c>
    </row>
    <row r="297" spans="1:6" ht="13.9" thickTop="1" thickBot="1" x14ac:dyDescent="0.4">
      <c r="A297" s="38">
        <f>IF(ISERR(NodesJSON[[#This Row],[label]]),0,1)</f>
        <v>1</v>
      </c>
      <c r="B297" s="3" t="str">
        <f>NodesData[[#This Row],[Common Name]]</f>
        <v>Multiple Accounts</v>
      </c>
      <c r="C297" s="3" t="str">
        <f>IF(NodesData[[#This Row],[Context Instanciation]]="","",NodesData[[#This Row],[Context Instanciation]])</f>
        <v/>
      </c>
      <c r="D297" s="22" t="str">
        <f>NodesData[[#This Row],[Node ID]]</f>
        <v>41D94E9C-7647-429F-B245-C99C40319265</v>
      </c>
      <c r="E297" s="4"/>
      <c r="F297" s="25" t="str" cm="1">
        <f t="array" ref="F297">IF(NodesJSON[[#This Row],[Export?]]=0,"",IF(ROW(NodesJSON[[#This Row],[label]])&gt;ROW(NodesJSON[[#Headers],[JSON]])+1,",","") &amp;"{"&amp;twoRangesToJSON(NodesJSON[[#Headers],[label]:[url]],NodesJSON[[#This Row],[label]:[url]])&amp;"}")</f>
        <v>,{"label":"Multiple Accounts","group":"","id":"41D94E9C-7647-429F-B245-C99C40319265","url":""}</v>
      </c>
    </row>
    <row r="298" spans="1:6" ht="13.9" thickTop="1" thickBot="1" x14ac:dyDescent="0.4">
      <c r="A298" s="38">
        <f>IF(ISERR(NodesJSON[[#This Row],[label]]),0,1)</f>
        <v>1</v>
      </c>
      <c r="B298" s="3" t="str">
        <f>NodesData[[#This Row],[Common Name]]</f>
        <v>Mutual Authentication</v>
      </c>
      <c r="C298" s="3" t="str">
        <f>IF(NodesData[[#This Row],[Context Instanciation]]="","",NodesData[[#This Row],[Context Instanciation]])</f>
        <v/>
      </c>
      <c r="D298" s="22" t="str">
        <f>NodesData[[#This Row],[Node ID]]</f>
        <v>358EBE6C-C333-442F-A1BB-F0003161CA3A</v>
      </c>
      <c r="E298" s="10" t="s">
        <v>992</v>
      </c>
      <c r="F298" s="25" t="str" cm="1">
        <f t="array" ref="F298">IF(NodesJSON[[#This Row],[Export?]]=0,"",IF(ROW(NodesJSON[[#This Row],[label]])&gt;ROW(NodesJSON[[#Headers],[JSON]])+1,",","") &amp;"{"&amp;twoRangesToJSON(NodesJSON[[#Headers],[label]:[url]],NodesJSON[[#This Row],[label]:[url]])&amp;"}")</f>
        <v>,{"label":"Mutual Authentication","group":"","id":"358EBE6C-C333-442F-A1BB-F0003161CA3A","url":"https://open-measure.atlassian.net/wiki/spaces/DIC/pages/1472692289/Outsider"}</v>
      </c>
    </row>
    <row r="299" spans="1:6" ht="13.9" thickTop="1" thickBot="1" x14ac:dyDescent="0.4">
      <c r="A299" s="38">
        <f>IF(ISERR(NodesJSON[[#This Row],[label]]),0,1)</f>
        <v>1</v>
      </c>
      <c r="B299" s="3" t="str">
        <f>NodesData[[#This Row],[Common Name]]</f>
        <v>Need-to-Know</v>
      </c>
      <c r="C299" s="3" t="str">
        <f>IF(NodesData[[#This Row],[Context Instanciation]]="","",NodesData[[#This Row],[Context Instanciation]])</f>
        <v/>
      </c>
      <c r="D299" s="22" t="str">
        <f>NodesData[[#This Row],[Node ID]]</f>
        <v>4A8EA0A2-70F9-438B-A69A-82B8D0AB35C9</v>
      </c>
      <c r="E299" s="4"/>
      <c r="F299" s="25" t="str" cm="1">
        <f t="array" ref="F299">IF(NodesJSON[[#This Row],[Export?]]=0,"",IF(ROW(NodesJSON[[#This Row],[label]])&gt;ROW(NodesJSON[[#Headers],[JSON]])+1,",","") &amp;"{"&amp;twoRangesToJSON(NodesJSON[[#Headers],[label]:[url]],NodesJSON[[#This Row],[label]:[url]])&amp;"}")</f>
        <v>,{"label":"Need-to-Know","group":"","id":"4A8EA0A2-70F9-438B-A69A-82B8D0AB35C9","url":""}</v>
      </c>
    </row>
    <row r="300" spans="1:6" ht="13.9" thickTop="1" thickBot="1" x14ac:dyDescent="0.4">
      <c r="A300" s="38">
        <f>IF(ISERR(NodesJSON[[#This Row],[label]]),0,1)</f>
        <v>1</v>
      </c>
      <c r="B300" s="3" t="str">
        <f>NodesData[[#This Row],[Common Name]]</f>
        <v>New Joiner</v>
      </c>
      <c r="C300" s="3" t="str">
        <f>IF(NodesData[[#This Row],[Context Instanciation]]="","",NodesData[[#This Row],[Context Instanciation]])</f>
        <v/>
      </c>
      <c r="D300" s="22" t="str">
        <f>NodesData[[#This Row],[Node ID]]</f>
        <v>F87F41D3-60DC-4E25-A0BC-1BD70749FD0C</v>
      </c>
      <c r="E300" s="10" t="s">
        <v>994</v>
      </c>
      <c r="F300" s="25" t="str" cm="1">
        <f t="array" ref="F300">IF(NodesJSON[[#This Row],[Export?]]=0,"",IF(ROW(NodesJSON[[#This Row],[label]])&gt;ROW(NodesJSON[[#Headers],[JSON]])+1,",","") &amp;"{"&amp;twoRangesToJSON(NodesJSON[[#Headers],[label]:[url]],NodesJSON[[#This Row],[label]:[url]])&amp;"}")</f>
        <v>,{"label":"New Joiner","group":"","id":"F87F41D3-60DC-4E25-A0BC-1BD70749FD0C","url":"https://open-measure.atlassian.net/wiki/spaces/DIC/pages/974323764"}</v>
      </c>
    </row>
    <row r="301" spans="1:6" ht="13.9" thickTop="1" thickBot="1" x14ac:dyDescent="0.4">
      <c r="A301" s="38">
        <f>IF(ISERR(NodesJSON[[#This Row],[label]]),0,1)</f>
        <v>1</v>
      </c>
      <c r="B301" s="3" t="str">
        <f>NodesData[[#This Row],[Common Name]]</f>
        <v>No Tranquility Property</v>
      </c>
      <c r="C301" s="3" t="str">
        <f>IF(NodesData[[#This Row],[Context Instanciation]]="","",NodesData[[#This Row],[Context Instanciation]])</f>
        <v/>
      </c>
      <c r="D301" s="22" t="str">
        <f>NodesData[[#This Row],[Node ID]]</f>
        <v>F2A88B98-C993-4961-8AC6-ADDD67C1A890</v>
      </c>
      <c r="E301" s="4"/>
      <c r="F301" s="25" t="str" cm="1">
        <f t="array" ref="F301">IF(NodesJSON[[#This Row],[Export?]]=0,"",IF(ROW(NodesJSON[[#This Row],[label]])&gt;ROW(NodesJSON[[#Headers],[JSON]])+1,",","") &amp;"{"&amp;twoRangesToJSON(NodesJSON[[#Headers],[label]:[url]],NodesJSON[[#This Row],[label]:[url]])&amp;"}")</f>
        <v>,{"label":"No Tranquility Property","group":"","id":"F2A88B98-C993-4961-8AC6-ADDD67C1A890","url":""}</v>
      </c>
    </row>
    <row r="302" spans="1:6" ht="13.9" thickTop="1" thickBot="1" x14ac:dyDescent="0.4">
      <c r="A302" s="38">
        <f>IF(ISERR(NodesJSON[[#This Row],[label]]),0,1)</f>
        <v>1</v>
      </c>
      <c r="B302" s="3" t="str">
        <f>NodesData[[#This Row],[Common Name]]</f>
        <v>Non-compromised Identity</v>
      </c>
      <c r="C302" s="3" t="str">
        <f>IF(NodesData[[#This Row],[Context Instanciation]]="","",NodesData[[#This Row],[Context Instanciation]])</f>
        <v/>
      </c>
      <c r="D302" s="22" t="str">
        <f>NodesData[[#This Row],[Node ID]]</f>
        <v>8933951D-59FE-48AC-8006-052B2292DA85</v>
      </c>
      <c r="E302" s="8"/>
      <c r="F302" s="25" t="str" cm="1">
        <f t="array" ref="F302">IF(NodesJSON[[#This Row],[Export?]]=0,"",IF(ROW(NodesJSON[[#This Row],[label]])&gt;ROW(NodesJSON[[#Headers],[JSON]])+1,",","") &amp;"{"&amp;twoRangesToJSON(NodesJSON[[#Headers],[label]:[url]],NodesJSON[[#This Row],[label]:[url]])&amp;"}")</f>
        <v>,{"label":"Non-compromised Identity","group":"","id":"8933951D-59FE-48AC-8006-052B2292DA85","url":""}</v>
      </c>
    </row>
    <row r="303" spans="1:6" ht="13.9" thickTop="1" thickBot="1" x14ac:dyDescent="0.4">
      <c r="A303" s="38">
        <f>IF(ISERR(NodesJSON[[#This Row],[label]]),0,1)</f>
        <v>1</v>
      </c>
      <c r="B303" s="3" t="str">
        <f>NodesData[[#This Row],[Common Name]]</f>
        <v>Nonworker</v>
      </c>
      <c r="C303" s="3" t="str">
        <f>IF(NodesData[[#This Row],[Context Instanciation]]="","",NodesData[[#This Row],[Context Instanciation]])</f>
        <v/>
      </c>
      <c r="D303" s="22" t="str">
        <f>NodesData[[#This Row],[Node ID]]</f>
        <v>6F790090-3F49-4955-A3DE-5B137E7D0EB9</v>
      </c>
      <c r="E303" s="10" t="s">
        <v>995</v>
      </c>
      <c r="F303" s="25" t="str" cm="1">
        <f t="array" ref="F303">IF(NodesJSON[[#This Row],[Export?]]=0,"",IF(ROW(NodesJSON[[#This Row],[label]])&gt;ROW(NodesJSON[[#Headers],[JSON]])+1,",","") &amp;"{"&amp;twoRangesToJSON(NodesJSON[[#Headers],[label]:[url]],NodesJSON[[#This Row],[label]:[url]])&amp;"}")</f>
        <v>,{"label":"Nonworker","group":"","id":"6F790090-3F49-4955-A3DE-5B137E7D0EB9","url":"https://open-measure.atlassian.net/wiki/spaces/DIC/pages/1428652394/Password+Guessing+Attack"}</v>
      </c>
    </row>
    <row r="304" spans="1:6" ht="13.9" thickTop="1" thickBot="1" x14ac:dyDescent="0.4">
      <c r="A304" s="38">
        <f>IF(ISERR(NodesJSON[[#This Row],[label]]),0,1)</f>
        <v>1</v>
      </c>
      <c r="B304" s="3" t="str">
        <f>NodesData[[#This Row],[Common Name]]</f>
        <v>Numerical Identity</v>
      </c>
      <c r="C304" s="3" t="str">
        <f>IF(NodesData[[#This Row],[Context Instanciation]]="","",NodesData[[#This Row],[Context Instanciation]])</f>
        <v/>
      </c>
      <c r="D304" s="22" t="str">
        <f>NodesData[[#This Row],[Node ID]]</f>
        <v>1B1C3D4E-6852-434D-A4FE-33E5D423954F</v>
      </c>
      <c r="E304" s="10" t="s">
        <v>997</v>
      </c>
      <c r="F304" s="25" t="str" cm="1">
        <f t="array" ref="F304">IF(NodesJSON[[#This Row],[Export?]]=0,"",IF(ROW(NodesJSON[[#This Row],[label]])&gt;ROW(NodesJSON[[#Headers],[JSON]])+1,",","") &amp;"{"&amp;twoRangesToJSON(NodesJSON[[#Headers],[label]:[url]],NodesJSON[[#This Row],[label]:[url]])&amp;"}")</f>
        <v>,{"label":"Numerical Identity","group":"","id":"1B1C3D4E-6852-434D-A4FE-33E5D423954F","url":"https://open-measure.atlassian.net/wiki/spaces/DIC/pages/1027048058"}</v>
      </c>
    </row>
    <row r="305" spans="1:6" ht="13.9" thickTop="1" thickBot="1" x14ac:dyDescent="0.4">
      <c r="A305" s="38">
        <f>IF(ISERR(NodesJSON[[#This Row],[label]]),0,1)</f>
        <v>1</v>
      </c>
      <c r="B305" s="3" t="str">
        <f>NodesData[[#This Row],[Common Name]]</f>
        <v>OAuth</v>
      </c>
      <c r="C305" s="3" t="str">
        <f>IF(NodesData[[#This Row],[Context Instanciation]]="","",NodesData[[#This Row],[Context Instanciation]])</f>
        <v/>
      </c>
      <c r="D305" s="22" t="str">
        <f>NodesData[[#This Row],[Node ID]]</f>
        <v>5268CAAB-394F-4700-A5A8-A136BDF0E7C6</v>
      </c>
      <c r="E305" s="10" t="s">
        <v>998</v>
      </c>
      <c r="F305" s="25" t="str" cm="1">
        <f t="array" ref="F305">IF(NodesJSON[[#This Row],[Export?]]=0,"",IF(ROW(NodesJSON[[#This Row],[label]])&gt;ROW(NodesJSON[[#Headers],[JSON]])+1,",","") &amp;"{"&amp;twoRangesToJSON(NodesJSON[[#Headers],[label]:[url]],NodesJSON[[#This Row],[label]:[url]])&amp;"}")</f>
        <v>,{"label":"OAuth","group":"","id":"5268CAAB-394F-4700-A5A8-A136BDF0E7C6","url":"https://open-measure.atlassian.net/wiki/spaces/DIC/pages/1348730921/Password+Spraying+Attack"}</v>
      </c>
    </row>
    <row r="306" spans="1:6" ht="13.9" thickTop="1" thickBot="1" x14ac:dyDescent="0.4">
      <c r="A306" s="38">
        <f>IF(ISERR(NodesJSON[[#This Row],[label]]),0,1)</f>
        <v>1</v>
      </c>
      <c r="B306" s="3" t="str">
        <f>NodesData[[#This Row],[Common Name]]</f>
        <v>Object</v>
      </c>
      <c r="C306" s="3" t="str">
        <f>IF(NodesData[[#This Row],[Context Instanciation]]="","",NodesData[[#This Row],[Context Instanciation]])</f>
        <v/>
      </c>
      <c r="D306" s="22" t="str">
        <f>NodesData[[#This Row],[Node ID]]</f>
        <v>B4EDB0C3-CA47-4FC6-BAC6-9B9312EDC0DF</v>
      </c>
      <c r="E306" s="8"/>
      <c r="F306" s="25" t="str" cm="1">
        <f t="array" ref="F306">IF(NodesJSON[[#This Row],[Export?]]=0,"",IF(ROW(NodesJSON[[#This Row],[label]])&gt;ROW(NodesJSON[[#Headers],[JSON]])+1,",","") &amp;"{"&amp;twoRangesToJSON(NodesJSON[[#Headers],[label]:[url]],NodesJSON[[#This Row],[label]:[url]])&amp;"}")</f>
        <v>,{"label":"Object","group":"","id":"B4EDB0C3-CA47-4FC6-BAC6-9B9312EDC0DF","url":""}</v>
      </c>
    </row>
    <row r="307" spans="1:6" ht="13.9" thickTop="1" thickBot="1" x14ac:dyDescent="0.4">
      <c r="A307" s="38">
        <f>IF(ISERR(NodesJSON[[#This Row],[label]]),0,1)</f>
        <v>1</v>
      </c>
      <c r="B307" s="3" t="str">
        <f>NodesData[[#This Row],[Common Name]]</f>
        <v>Omission Error</v>
      </c>
      <c r="C307" s="3" t="str">
        <f>IF(NodesData[[#This Row],[Context Instanciation]]="","",NodesData[[#This Row],[Context Instanciation]])</f>
        <v/>
      </c>
      <c r="D307" s="22" t="str">
        <f>NodesData[[#This Row],[Node ID]]</f>
        <v>62158F3D-8235-421D-BD76-A242F4CA02C2</v>
      </c>
      <c r="E307" s="10" t="s">
        <v>1000</v>
      </c>
      <c r="F307" s="25" t="str" cm="1">
        <f t="array" ref="F307">IF(NodesJSON[[#This Row],[Export?]]=0,"",IF(ROW(NodesJSON[[#This Row],[label]])&gt;ROW(NodesJSON[[#Headers],[JSON]])+1,",","") &amp;"{"&amp;twoRangesToJSON(NodesJSON[[#Headers],[label]:[url]],NodesJSON[[#This Row],[label]:[url]])&amp;"}")</f>
        <v>,{"label":"Omission Error","group":"","id":"62158F3D-8235-421D-BD76-A242F4CA02C2","url":"https://open-measure.atlassian.net/wiki/spaces/DIC/pages/1409753"}</v>
      </c>
    </row>
    <row r="308" spans="1:6" ht="13.9" thickTop="1" thickBot="1" x14ac:dyDescent="0.4">
      <c r="A308" s="38">
        <f>IF(ISERR(NodesJSON[[#This Row],[label]]),0,1)</f>
        <v>1</v>
      </c>
      <c r="B308" s="3" t="str">
        <f>NodesData[[#This Row],[Common Name]]</f>
        <v>One-Time Passcode Authentication</v>
      </c>
      <c r="C308" s="3" t="str">
        <f>IF(NodesData[[#This Row],[Context Instanciation]]="","",NodesData[[#This Row],[Context Instanciation]])</f>
        <v/>
      </c>
      <c r="D308" s="22" t="str">
        <f>NodesData[[#This Row],[Node ID]]</f>
        <v>1C4057F2-218F-46AE-B5C1-5E54DE1E25C0</v>
      </c>
      <c r="E308" s="10" t="s">
        <v>1002</v>
      </c>
      <c r="F308" s="25" t="str" cm="1">
        <f t="array" ref="F308">IF(NodesJSON[[#This Row],[Export?]]=0,"",IF(ROW(NodesJSON[[#This Row],[label]])&gt;ROW(NodesJSON[[#Headers],[JSON]])+1,",","") &amp;"{"&amp;twoRangesToJSON(NodesJSON[[#Headers],[label]:[url]],NodesJSON[[#This Row],[label]:[url]])&amp;"}")</f>
        <v>,{"label":"One-Time Passcode Authentication","group":"","id":"1C4057F2-218F-46AE-B5C1-5E54DE1E25C0","url":"https://open-measure.atlassian.net/wiki/spaces/DIC/pages/67699129"}</v>
      </c>
    </row>
    <row r="309" spans="1:6" ht="13.9" thickTop="1" thickBot="1" x14ac:dyDescent="0.4">
      <c r="A309" s="38">
        <f>IF(ISERR(NodesJSON[[#This Row],[label]]),0,1)</f>
        <v>1</v>
      </c>
      <c r="B309" s="3" t="str">
        <f>NodesData[[#This Row],[Common Name]]</f>
        <v>OPA</v>
      </c>
      <c r="C309" s="3" t="str">
        <f>IF(NodesData[[#This Row],[Context Instanciation]]="","",NodesData[[#This Row],[Context Instanciation]])</f>
        <v/>
      </c>
      <c r="D309" s="22" t="str">
        <f>NodesData[[#This Row],[Node ID]]</f>
        <v>403F1915-A4D2-429F-9596-0BA64CA64705</v>
      </c>
      <c r="E309" s="10" t="s">
        <v>1003</v>
      </c>
      <c r="F309" s="25" t="str" cm="1">
        <f t="array" ref="F309">IF(NodesJSON[[#This Row],[Export?]]=0,"",IF(ROW(NodesJSON[[#This Row],[label]])&gt;ROW(NodesJSON[[#Headers],[JSON]])+1,",","") &amp;"{"&amp;twoRangesToJSON(NodesJSON[[#Headers],[label]:[url]],NodesJSON[[#This Row],[label]:[url]])&amp;"}")</f>
        <v>,{"label":"OPA","group":"","id":"403F1915-A4D2-429F-9596-0BA64CA64705","url":"https://open-measure.atlassian.net/wiki/spaces/DIC/pages/1323499709/Persona"}</v>
      </c>
    </row>
    <row r="310" spans="1:6" ht="13.9" thickTop="1" thickBot="1" x14ac:dyDescent="0.4">
      <c r="A310" s="38">
        <f>IF(ISERR(NodesJSON[[#This Row],[label]]),0,1)</f>
        <v>1</v>
      </c>
      <c r="B310" s="3" t="str">
        <f>NodesData[[#This Row],[Common Name]]</f>
        <v>Open Policy Agent</v>
      </c>
      <c r="C310" s="3" t="str">
        <f>IF(NodesData[[#This Row],[Context Instanciation]]="","",NodesData[[#This Row],[Context Instanciation]])</f>
        <v/>
      </c>
      <c r="D310" s="22" t="str">
        <f>NodesData[[#This Row],[Node ID]]</f>
        <v>8E4835F5-6F16-4B18-9DDE-7D2E7FE50B12</v>
      </c>
      <c r="E310" s="10" t="s">
        <v>999</v>
      </c>
      <c r="F310" s="25" t="str" cm="1">
        <f t="array" ref="F310">IF(NodesJSON[[#This Row],[Export?]]=0,"",IF(ROW(NodesJSON[[#This Row],[label]])&gt;ROW(NodesJSON[[#Headers],[JSON]])+1,",","") &amp;"{"&amp;twoRangesToJSON(NodesJSON[[#Headers],[label]:[url]],NodesJSON[[#This Row],[label]:[url]])&amp;"}")</f>
        <v>,{"label":"Open Policy Agent","group":"","id":"8E4835F5-6F16-4B18-9DDE-7D2E7FE50B12","url":"https://open-measure.atlassian.net/wiki/spaces/DIC/pages/1677164566/Passwordless+Authentication"}</v>
      </c>
    </row>
    <row r="311" spans="1:6" ht="13.9" thickTop="1" thickBot="1" x14ac:dyDescent="0.4">
      <c r="A311" s="38">
        <f>IF(ISERR(NodesJSON[[#This Row],[label]]),0,1)</f>
        <v>1</v>
      </c>
      <c r="B311" s="3" t="str">
        <f>NodesData[[#This Row],[Common Name]]</f>
        <v>Operational Definition</v>
      </c>
      <c r="C311" s="3" t="str">
        <f>IF(NodesData[[#This Row],[Context Instanciation]]="","",NodesData[[#This Row],[Context Instanciation]])</f>
        <v/>
      </c>
      <c r="D311" s="22" t="str">
        <f>NodesData[[#This Row],[Node ID]]</f>
        <v>E7C4C96E-4B64-408D-A05F-20B342D16C2E</v>
      </c>
      <c r="E311" s="4"/>
      <c r="F311" s="25" t="str" cm="1">
        <f t="array" ref="F311">IF(NodesJSON[[#This Row],[Export?]]=0,"",IF(ROW(NodesJSON[[#This Row],[label]])&gt;ROW(NodesJSON[[#Headers],[JSON]])+1,",","") &amp;"{"&amp;twoRangesToJSON(NodesJSON[[#Headers],[label]:[url]],NodesJSON[[#This Row],[label]:[url]])&amp;"}")</f>
        <v>,{"label":"Operational Definition","group":"","id":"E7C4C96E-4B64-408D-A05F-20B342D16C2E","url":""}</v>
      </c>
    </row>
    <row r="312" spans="1:6" ht="13.9" thickTop="1" thickBot="1" x14ac:dyDescent="0.4">
      <c r="A312" s="38">
        <f>IF(ISERR(NodesJSON[[#This Row],[label]]),0,1)</f>
        <v>1</v>
      </c>
      <c r="B312" s="3" t="str">
        <f>NodesData[[#This Row],[Common Name]]</f>
        <v>Operational Taxonomic Unit</v>
      </c>
      <c r="C312" s="3" t="str">
        <f>IF(NodesData[[#This Row],[Context Instanciation]]="","",NodesData[[#This Row],[Context Instanciation]])</f>
        <v/>
      </c>
      <c r="D312" s="22" t="str">
        <f>NodesData[[#This Row],[Node ID]]</f>
        <v>2897550E-19BA-401E-AEE8-0D0F7B9CC212</v>
      </c>
      <c r="E312" s="10" t="s">
        <v>1005</v>
      </c>
      <c r="F312" s="25" t="str" cm="1">
        <f t="array" ref="F312">IF(NodesJSON[[#This Row],[Export?]]=0,"",IF(ROW(NodesJSON[[#This Row],[label]])&gt;ROW(NodesJSON[[#Headers],[JSON]])+1,",","") &amp;"{"&amp;twoRangesToJSON(NodesJSON[[#Headers],[label]:[url]],NodesJSON[[#This Row],[label]:[url]])&amp;"}")</f>
        <v>,{"label":"Operational Taxonomic Unit","group":"","id":"2897550E-19BA-401E-AEE8-0D0F7B9CC212","url":"https://open-measure.atlassian.net/wiki/spaces/DIC/pages/1572948"}</v>
      </c>
    </row>
    <row r="313" spans="1:6" ht="13.9" thickTop="1" thickBot="1" x14ac:dyDescent="0.4">
      <c r="A313" s="38">
        <f>IF(ISERR(NodesJSON[[#This Row],[label]]),0,1)</f>
        <v>1</v>
      </c>
      <c r="B313" s="3" t="str">
        <f>NodesData[[#This Row],[Common Name]]</f>
        <v>Ordinal Scale</v>
      </c>
      <c r="C313" s="3" t="str">
        <f>IF(NodesData[[#This Row],[Context Instanciation]]="","",NodesData[[#This Row],[Context Instanciation]])</f>
        <v/>
      </c>
      <c r="D313" s="22" t="str">
        <f>NodesData[[#This Row],[Node ID]]</f>
        <v>B6235869-D5C5-4C27-B038-71D84D19AFB4</v>
      </c>
      <c r="E313" s="10" t="s">
        <v>1007</v>
      </c>
      <c r="F313" s="25" t="str" cm="1">
        <f t="array" ref="F313">IF(NodesJSON[[#This Row],[Export?]]=0,"",IF(ROW(NodesJSON[[#This Row],[label]])&gt;ROW(NodesJSON[[#Headers],[JSON]])+1,",","") &amp;"{"&amp;twoRangesToJSON(NodesJSON[[#Headers],[label]:[url]],NodesJSON[[#This Row],[label]:[url]])&amp;"}")</f>
        <v>,{"label":"Ordinal Scale","group":"","id":"B6235869-D5C5-4C27-B038-71D84D19AFB4","url":"https://open-measure.atlassian.net/wiki/spaces/DIC/pages/67568272"}</v>
      </c>
    </row>
    <row r="314" spans="1:6" ht="13.9" thickTop="1" thickBot="1" x14ac:dyDescent="0.4">
      <c r="A314" s="38">
        <f>IF(ISERR(NodesJSON[[#This Row],[label]]),0,1)</f>
        <v>1</v>
      </c>
      <c r="B314" s="3" t="str">
        <f>NodesData[[#This Row],[Common Name]]</f>
        <v>Organization Context</v>
      </c>
      <c r="C314" s="3" t="str">
        <f>IF(NodesData[[#This Row],[Context Instanciation]]="","",NodesData[[#This Row],[Context Instanciation]])</f>
        <v/>
      </c>
      <c r="D314" s="22" t="str">
        <f>NodesData[[#This Row],[Node ID]]</f>
        <v>B5A5A9F7-A99F-4824-99FF-2BEA4703FE24</v>
      </c>
      <c r="E314" s="10" t="s">
        <v>1009</v>
      </c>
      <c r="F314" s="25" t="str" cm="1">
        <f t="array" ref="F314">IF(NodesJSON[[#This Row],[Export?]]=0,"",IF(ROW(NodesJSON[[#This Row],[label]])&gt;ROW(NodesJSON[[#Headers],[JSON]])+1,",","") &amp;"{"&amp;twoRangesToJSON(NodesJSON[[#Headers],[label]:[url]],NodesJSON[[#This Row],[label]:[url]])&amp;"}")</f>
        <v>,{"label":"Organization Context","group":"","id":"B5A5A9F7-A99F-4824-99FF-2BEA4703FE24","url":"https://open-measure.atlassian.net/wiki/spaces/DIC/pages/1104904334"}</v>
      </c>
    </row>
    <row r="315" spans="1:6" ht="13.9" thickTop="1" thickBot="1" x14ac:dyDescent="0.4">
      <c r="A315" s="38">
        <f>IF(ISERR(NodesJSON[[#This Row],[label]]),0,1)</f>
        <v>1</v>
      </c>
      <c r="B315" s="3" t="str">
        <f>NodesData[[#This Row],[Common Name]]</f>
        <v>Organization Scope</v>
      </c>
      <c r="C315" s="3" t="str">
        <f>IF(NodesData[[#This Row],[Context Instanciation]]="","",NodesData[[#This Row],[Context Instanciation]])</f>
        <v/>
      </c>
      <c r="D315" s="22" t="str">
        <f>NodesData[[#This Row],[Node ID]]</f>
        <v>F9F2E002-6268-40D6-8101-C7234A2A8324</v>
      </c>
      <c r="E315" s="10" t="s">
        <v>1011</v>
      </c>
      <c r="F315" s="25" t="str" cm="1">
        <f t="array" ref="F315">IF(NodesJSON[[#This Row],[Export?]]=0,"",IF(ROW(NodesJSON[[#This Row],[label]])&gt;ROW(NodesJSON[[#Headers],[JSON]])+1,",","") &amp;"{"&amp;twoRangesToJSON(NodesJSON[[#Headers],[label]:[url]],NodesJSON[[#This Row],[label]:[url]])&amp;"}")</f>
        <v>,{"label":"Organization Scope","group":"","id":"F9F2E002-6268-40D6-8101-C7234A2A8324","url":"https://open-measure.atlassian.net/wiki/spaces/DIC/pages/1132331103"}</v>
      </c>
    </row>
    <row r="316" spans="1:6" ht="13.9" thickTop="1" thickBot="1" x14ac:dyDescent="0.4">
      <c r="A316" s="38">
        <f>IF(ISERR(NodesJSON[[#This Row],[label]]),0,1)</f>
        <v>1</v>
      </c>
      <c r="B316" s="3" t="str">
        <f>NodesData[[#This Row],[Common Name]]</f>
        <v>Orphan</v>
      </c>
      <c r="C316" s="3" t="str">
        <f>IF(NodesData[[#This Row],[Context Instanciation]]="","",NodesData[[#This Row],[Context Instanciation]])</f>
        <v/>
      </c>
      <c r="D316" s="22" t="str">
        <f>NodesData[[#This Row],[Node ID]]</f>
        <v>3BED8E0E-E548-4E83-97D0-2F9E1E8AF3C1</v>
      </c>
      <c r="E316" s="10" t="s">
        <v>1013</v>
      </c>
      <c r="F316" s="25" t="str" cm="1">
        <f t="array" ref="F316">IF(NodesJSON[[#This Row],[Export?]]=0,"",IF(ROW(NodesJSON[[#This Row],[label]])&gt;ROW(NodesJSON[[#Headers],[JSON]])+1,",","") &amp;"{"&amp;twoRangesToJSON(NodesJSON[[#Headers],[label]:[url]],NodesJSON[[#This Row],[label]:[url]])&amp;"}")</f>
        <v>,{"label":"Orphan","group":"","id":"3BED8E0E-E548-4E83-97D0-2F9E1E8AF3C1","url":"https://open-measure.atlassian.net/wiki/spaces/DIC/pages/1132331086"}</v>
      </c>
    </row>
    <row r="317" spans="1:6" ht="13.9" thickTop="1" thickBot="1" x14ac:dyDescent="0.4">
      <c r="A317" s="38">
        <f>IF(ISERR(NodesJSON[[#This Row],[label]]),0,1)</f>
        <v>1</v>
      </c>
      <c r="B317" s="3" t="str">
        <f>NodesData[[#This Row],[Common Name]]</f>
        <v>Orphan Account</v>
      </c>
      <c r="C317" s="3" t="str">
        <f>IF(NodesData[[#This Row],[Context Instanciation]]="","",NodesData[[#This Row],[Context Instanciation]])</f>
        <v/>
      </c>
      <c r="D317" s="22" t="str">
        <f>NodesData[[#This Row],[Node ID]]</f>
        <v>B8086E89-8894-4907-BFB9-A9DCC510BAA8</v>
      </c>
      <c r="E317" s="10" t="s">
        <v>1015</v>
      </c>
      <c r="F317" s="25" t="str" cm="1">
        <f t="array" ref="F317">IF(NodesJSON[[#This Row],[Export?]]=0,"",IF(ROW(NodesJSON[[#This Row],[label]])&gt;ROW(NodesJSON[[#Headers],[JSON]])+1,",","") &amp;"{"&amp;twoRangesToJSON(NodesJSON[[#Headers],[label]:[url]],NodesJSON[[#This Row],[label]:[url]])&amp;"}")</f>
        <v>,{"label":"Orphan Account","group":"","id":"B8086E89-8894-4907-BFB9-A9DCC510BAA8","url":"https://open-measure.atlassian.net/wiki/spaces/DIC/pages/1122631903"}</v>
      </c>
    </row>
    <row r="318" spans="1:6" ht="13.9" thickTop="1" thickBot="1" x14ac:dyDescent="0.4">
      <c r="A318" s="38">
        <f>IF(ISERR(NodesJSON[[#This Row],[label]]),0,1)</f>
        <v>1</v>
      </c>
      <c r="B318" s="3" t="str">
        <f>NodesData[[#This Row],[Common Name]]</f>
        <v>Orphan File</v>
      </c>
      <c r="C318" s="3" t="str">
        <f>IF(NodesData[[#This Row],[Context Instanciation]]="","",NodesData[[#This Row],[Context Instanciation]])</f>
        <v/>
      </c>
      <c r="D318" s="22" t="str">
        <f>NodesData[[#This Row],[Node ID]]</f>
        <v>2F16F928-E5E1-4BBF-B2CC-71A7DA1006B6</v>
      </c>
      <c r="E318" s="10" t="s">
        <v>1017</v>
      </c>
      <c r="F318" s="25" t="str" cm="1">
        <f t="array" ref="F318">IF(NodesJSON[[#This Row],[Export?]]=0,"",IF(ROW(NodesJSON[[#This Row],[label]])&gt;ROW(NodesJSON[[#Headers],[JSON]])+1,",","") &amp;"{"&amp;twoRangesToJSON(NodesJSON[[#Headers],[label]:[url]],NodesJSON[[#This Row],[label]:[url]])&amp;"}")</f>
        <v>,{"label":"Orphan File","group":"","id":"2F16F928-E5E1-4BBF-B2CC-71A7DA1006B6","url":"https://open-measure.atlassian.net/wiki/spaces/DIC/pages/1105068063"}</v>
      </c>
    </row>
    <row r="319" spans="1:6" ht="13.9" thickTop="1" thickBot="1" x14ac:dyDescent="0.4">
      <c r="A319" s="38">
        <f>IF(ISERR(NodesJSON[[#This Row],[label]]),0,1)</f>
        <v>1</v>
      </c>
      <c r="B319" s="3" t="str">
        <f>NodesData[[#This Row],[Common Name]]</f>
        <v>Orphan Object</v>
      </c>
      <c r="C319" s="3" t="str">
        <f>IF(NodesData[[#This Row],[Context Instanciation]]="","",NodesData[[#This Row],[Context Instanciation]])</f>
        <v/>
      </c>
      <c r="D319" s="22" t="str">
        <f>NodesData[[#This Row],[Node ID]]</f>
        <v>0C04B4B0-31DA-44BB-8F72-C7518001EE00</v>
      </c>
      <c r="E319" s="10" t="s">
        <v>1019</v>
      </c>
      <c r="F319" s="25" t="str" cm="1">
        <f t="array" ref="F319">IF(NodesJSON[[#This Row],[Export?]]=0,"",IF(ROW(NodesJSON[[#This Row],[label]])&gt;ROW(NodesJSON[[#Headers],[JSON]])+1,",","") &amp;"{"&amp;twoRangesToJSON(NodesJSON[[#Headers],[label]:[url]],NodesJSON[[#This Row],[label]:[url]])&amp;"}")</f>
        <v>,{"label":"Orphan Object","group":"","id":"0C04B4B0-31DA-44BB-8F72-C7518001EE00","url":"https://open-measure.atlassian.net/wiki/spaces/DIC/pages/1130987523"}</v>
      </c>
    </row>
    <row r="320" spans="1:6" ht="13.9" thickTop="1" thickBot="1" x14ac:dyDescent="0.4">
      <c r="A320" s="38">
        <f>IF(ISERR(NodesJSON[[#This Row],[label]]),0,1)</f>
        <v>1</v>
      </c>
      <c r="B320" s="3" t="str">
        <f>NodesData[[#This Row],[Common Name]]</f>
        <v>Orphan Process</v>
      </c>
      <c r="C320" s="3" t="str">
        <f>IF(NodesData[[#This Row],[Context Instanciation]]="","",NodesData[[#This Row],[Context Instanciation]])</f>
        <v/>
      </c>
      <c r="D320" s="22" t="str">
        <f>NodesData[[#This Row],[Node ID]]</f>
        <v>085791C8-3974-4698-AE16-A89BA64A34F6</v>
      </c>
      <c r="E320" s="3"/>
      <c r="F320" s="25" t="str" cm="1">
        <f t="array" ref="F320">IF(NodesJSON[[#This Row],[Export?]]=0,"",IF(ROW(NodesJSON[[#This Row],[label]])&gt;ROW(NodesJSON[[#Headers],[JSON]])+1,",","") &amp;"{"&amp;twoRangesToJSON(NodesJSON[[#Headers],[label]:[url]],NodesJSON[[#This Row],[label]:[url]])&amp;"}")</f>
        <v>,{"label":"Orphan Process","group":"","id":"085791C8-3974-4698-AE16-A89BA64A34F6","url":""}</v>
      </c>
    </row>
    <row r="321" spans="1:6" ht="13.9" thickTop="1" thickBot="1" x14ac:dyDescent="0.4">
      <c r="A321" s="38">
        <f>IF(ISERR(NodesJSON[[#This Row],[label]]),0,1)</f>
        <v>1</v>
      </c>
      <c r="B321" s="3" t="str">
        <f>NodesData[[#This Row],[Common Name]]</f>
        <v>Orphan Product</v>
      </c>
      <c r="C321" s="3" t="str">
        <f>IF(NodesData[[#This Row],[Context Instanciation]]="","",NodesData[[#This Row],[Context Instanciation]])</f>
        <v/>
      </c>
      <c r="D321" s="22" t="str">
        <f>NodesData[[#This Row],[Node ID]]</f>
        <v>900A9669-84E5-4C9A-9B4F-1CC07BFBFA11</v>
      </c>
      <c r="E321" s="10" t="s">
        <v>1021</v>
      </c>
      <c r="F321" s="25" t="str" cm="1">
        <f t="array" ref="F321">IF(NodesJSON[[#This Row],[Export?]]=0,"",IF(ROW(NodesJSON[[#This Row],[label]])&gt;ROW(NodesJSON[[#Headers],[JSON]])+1,",","") &amp;"{"&amp;twoRangesToJSON(NodesJSON[[#Headers],[label]:[url]],NodesJSON[[#This Row],[label]:[url]])&amp;"}")</f>
        <v>,{"label":"Orphan Product","group":"","id":"900A9669-84E5-4C9A-9B4F-1CC07BFBFA11","url":"https://open-measure.atlassian.net/wiki/spaces/DIC/pages/1094549649"}</v>
      </c>
    </row>
    <row r="322" spans="1:6" ht="13.9" thickTop="1" thickBot="1" x14ac:dyDescent="0.4">
      <c r="A322" s="38">
        <f>IF(ISERR(NodesJSON[[#This Row],[label]]),0,1)</f>
        <v>1</v>
      </c>
      <c r="B322" s="3" t="str">
        <f>NodesData[[#This Row],[Common Name]]</f>
        <v>Orphan Role</v>
      </c>
      <c r="C322" s="3" t="str">
        <f>IF(NodesData[[#This Row],[Context Instanciation]]="","",NodesData[[#This Row],[Context Instanciation]])</f>
        <v/>
      </c>
      <c r="D322" s="22" t="str">
        <f>NodesData[[#This Row],[Node ID]]</f>
        <v>EBAFD0CE-623B-471B-A1BF-8E732527DD93</v>
      </c>
      <c r="E322" s="10" t="s">
        <v>1023</v>
      </c>
      <c r="F322" s="25" t="str" cm="1">
        <f t="array" ref="F322">IF(NodesJSON[[#This Row],[Export?]]=0,"",IF(ROW(NodesJSON[[#This Row],[label]])&gt;ROW(NodesJSON[[#Headers],[JSON]])+1,",","") &amp;"{"&amp;twoRangesToJSON(NodesJSON[[#Headers],[label]:[url]],NodesJSON[[#This Row],[label]:[url]])&amp;"}")</f>
        <v>,{"label":"Orphan Role","group":"","id":"EBAFD0CE-623B-471B-A1BF-8E732527DD93","url":"https://open-measure.atlassian.net/wiki/spaces/DIC/pages/67699046"}</v>
      </c>
    </row>
    <row r="323" spans="1:6" ht="13.9" thickTop="1" thickBot="1" x14ac:dyDescent="0.4">
      <c r="A323" s="38">
        <f>IF(ISERR(NodesJSON[[#This Row],[label]]),0,1)</f>
        <v>1</v>
      </c>
      <c r="B323" s="3" t="str">
        <f>NodesData[[#This Row],[Common Name]]</f>
        <v>Orphan Routes / APIs</v>
      </c>
      <c r="C323" s="3" t="str">
        <f>IF(NodesData[[#This Row],[Context Instanciation]]="","",NodesData[[#This Row],[Context Instanciation]])</f>
        <v/>
      </c>
      <c r="D323" s="22" t="str">
        <f>NodesData[[#This Row],[Node ID]]</f>
        <v>99B1210B-7776-4DC5-AD0F-66FE4968BBB8</v>
      </c>
      <c r="E323" s="10" t="s">
        <v>1024</v>
      </c>
      <c r="F323" s="25" t="str" cm="1">
        <f t="array" ref="F323">IF(NodesJSON[[#This Row],[Export?]]=0,"",IF(ROW(NodesJSON[[#This Row],[label]])&gt;ROW(NodesJSON[[#Headers],[JSON]])+1,",","") &amp;"{"&amp;twoRangesToJSON(NodesJSON[[#Headers],[label]:[url]],NodesJSON[[#This Row],[label]:[url]])&amp;"}")</f>
        <v>,{"label":"Orphan Routes / APIs","group":"","id":"99B1210B-7776-4DC5-AD0F-66FE4968BBB8","url":"https://open-measure.atlassian.net/wiki/spaces/DIC/pages/1323434264/Private+Key+Loss"}</v>
      </c>
    </row>
    <row r="324" spans="1:6" ht="13.9" thickTop="1" thickBot="1" x14ac:dyDescent="0.4">
      <c r="A324" s="38">
        <f>IF(ISERR(NodesJSON[[#This Row],[label]]),0,1)</f>
        <v>1</v>
      </c>
      <c r="B324" s="3" t="str">
        <f>NodesData[[#This Row],[Common Name]]</f>
        <v>Orphan System</v>
      </c>
      <c r="C324" s="3" t="str">
        <f>IF(NodesData[[#This Row],[Context Instanciation]]="","",NodesData[[#This Row],[Context Instanciation]])</f>
        <v/>
      </c>
      <c r="D324" s="22" t="str">
        <f>NodesData[[#This Row],[Node ID]]</f>
        <v>B784914E-6379-427A-A517-3F3D25E3217D</v>
      </c>
      <c r="E324" s="10" t="s">
        <v>1026</v>
      </c>
      <c r="F324" s="25" t="str" cm="1">
        <f t="array" ref="F324">IF(NodesJSON[[#This Row],[Export?]]=0,"",IF(ROW(NodesJSON[[#This Row],[label]])&gt;ROW(NodesJSON[[#Headers],[JSON]])+1,",","") &amp;"{"&amp;twoRangesToJSON(NodesJSON[[#Headers],[label]:[url]],NodesJSON[[#This Row],[label]:[url]])&amp;"}")</f>
        <v>,{"label":"Orphan System","group":"","id":"B784914E-6379-427A-A517-3F3D25E3217D","url":"https://open-measure.atlassian.net/wiki/spaces/DIC/pages/67568310"}</v>
      </c>
    </row>
    <row r="325" spans="1:6" ht="13.9" thickTop="1" thickBot="1" x14ac:dyDescent="0.4">
      <c r="A325" s="38">
        <f>IF(ISERR(NodesJSON[[#This Row],[label]]),0,1)</f>
        <v>1</v>
      </c>
      <c r="B325" s="3" t="str">
        <f>NodesData[[#This Row],[Common Name]]</f>
        <v>Out-of-band Authentication</v>
      </c>
      <c r="C325" s="3" t="str">
        <f>IF(NodesData[[#This Row],[Context Instanciation]]="","",NodesData[[#This Row],[Context Instanciation]])</f>
        <v/>
      </c>
      <c r="D325" s="22" t="str">
        <f>NodesData[[#This Row],[Node ID]]</f>
        <v>AD292F94-2C30-492B-87DA-45DC9CBB6D4B</v>
      </c>
      <c r="E325" s="10" t="s">
        <v>1027</v>
      </c>
      <c r="F325" s="25" t="str" cm="1">
        <f t="array" ref="F325">IF(NodesJSON[[#This Row],[Export?]]=0,"",IF(ROW(NodesJSON[[#This Row],[label]])&gt;ROW(NodesJSON[[#Headers],[JSON]])+1,",","") &amp;"{"&amp;twoRangesToJSON(NodesJSON[[#Headers],[label]:[url]],NodesJSON[[#This Row],[label]:[url]])&amp;"}")</f>
        <v>,{"label":"Out-of-band Authentication","group":"","id":"AD292F94-2C30-492B-87DA-45DC9CBB6D4B","url":"https://open-measure.atlassian.net/wiki/spaces/DIC/pages/814449037/Privilege+Abuse"}</v>
      </c>
    </row>
    <row r="326" spans="1:6" ht="13.9" thickTop="1" thickBot="1" x14ac:dyDescent="0.4">
      <c r="A326" s="38">
        <f>IF(ISERR(NodesJSON[[#This Row],[label]]),0,1)</f>
        <v>1</v>
      </c>
      <c r="B326" s="3" t="str">
        <f>NodesData[[#This Row],[Common Name]]</f>
        <v>Outsider</v>
      </c>
      <c r="C326" s="3" t="str">
        <f>IF(NodesData[[#This Row],[Context Instanciation]]="","",NodesData[[#This Row],[Context Instanciation]])</f>
        <v/>
      </c>
      <c r="D326" s="22" t="str">
        <f>NodesData[[#This Row],[Node ID]]</f>
        <v>8D164FDA-D3D7-422B-81BC-9C6C41153EA2</v>
      </c>
      <c r="E326" s="10" t="s">
        <v>1029</v>
      </c>
      <c r="F326" s="25" t="str" cm="1">
        <f t="array" ref="F326">IF(NodesJSON[[#This Row],[Export?]]=0,"",IF(ROW(NodesJSON[[#This Row],[label]])&gt;ROW(NodesJSON[[#Headers],[JSON]])+1,",","") &amp;"{"&amp;twoRangesToJSON(NodesJSON[[#Headers],[label]:[url]],NodesJSON[[#This Row],[label]:[url]])&amp;"}")</f>
        <v>,{"label":"Outsider","group":"","id":"8D164FDA-D3D7-422B-81BC-9C6C41153EA2","url":"https://open-measure.atlassian.net/wiki/spaces/DIC/pages/473890861"}</v>
      </c>
    </row>
    <row r="327" spans="1:6" ht="13.9" thickTop="1" thickBot="1" x14ac:dyDescent="0.4">
      <c r="A327" s="38">
        <f>IF(ISERR(NodesJSON[[#This Row],[label]]),0,1)</f>
        <v>1</v>
      </c>
      <c r="B327" s="3" t="str">
        <f>NodesData[[#This Row],[Common Name]]</f>
        <v>Palmprint Recognition Authentication</v>
      </c>
      <c r="C327" s="3" t="str">
        <f>IF(NodesData[[#This Row],[Context Instanciation]]="","",NodesData[[#This Row],[Context Instanciation]])</f>
        <v/>
      </c>
      <c r="D327" s="22" t="str">
        <f>NodesData[[#This Row],[Node ID]]</f>
        <v>087C6620-F50C-4D7E-B3DF-516DA675DD50</v>
      </c>
      <c r="E327" s="10" t="s">
        <v>1031</v>
      </c>
      <c r="F327" s="25" t="str" cm="1">
        <f t="array" ref="F327">IF(NodesJSON[[#This Row],[Export?]]=0,"",IF(ROW(NodesJSON[[#This Row],[label]])&gt;ROW(NodesJSON[[#Headers],[JSON]])+1,",","") &amp;"{"&amp;twoRangesToJSON(NodesJSON[[#Headers],[label]:[url]],NodesJSON[[#This Row],[label]:[url]])&amp;"}")</f>
        <v>,{"label":"Palmprint Recognition Authentication","group":"","id":"087C6620-F50C-4D7E-B3DF-516DA675DD50","url":"https://open-measure.atlassian.net/wiki/spaces/DIC/pages/810320380"}</v>
      </c>
    </row>
    <row r="328" spans="1:6" ht="13.9" thickTop="1" thickBot="1" x14ac:dyDescent="0.4">
      <c r="A328" s="38">
        <f>IF(ISERR(NodesJSON[[#This Row],[label]]),0,1)</f>
        <v>1</v>
      </c>
      <c r="B328" s="3" t="str">
        <f>NodesData[[#This Row],[Common Name]]</f>
        <v>Passive Impersonation Attack</v>
      </c>
      <c r="C328" s="3" t="str">
        <f>IF(NodesData[[#This Row],[Context Instanciation]]="","",NodesData[[#This Row],[Context Instanciation]])</f>
        <v/>
      </c>
      <c r="D328" s="22" t="str">
        <f>NodesData[[#This Row],[Node ID]]</f>
        <v>99618AC3-BAFD-44B7-B7D0-3E3B46896582</v>
      </c>
      <c r="E328" s="10" t="s">
        <v>1033</v>
      </c>
      <c r="F328" s="25" t="str" cm="1">
        <f t="array" ref="F328">IF(NodesJSON[[#This Row],[Export?]]=0,"",IF(ROW(NodesJSON[[#This Row],[label]])&gt;ROW(NodesJSON[[#Headers],[JSON]])+1,",","") &amp;"{"&amp;twoRangesToJSON(NodesJSON[[#Headers],[label]:[url]],NodesJSON[[#This Row],[label]:[url]])&amp;"}")</f>
        <v>,{"label":"Passive Impersonation Attack","group":"","id":"99618AC3-BAFD-44B7-B7D0-3E3B46896582","url":"https://open-measure.atlassian.net/wiki/spaces/DIC/pages/138346661"}</v>
      </c>
    </row>
    <row r="329" spans="1:6" ht="13.9" thickTop="1" thickBot="1" x14ac:dyDescent="0.4">
      <c r="A329" s="38">
        <f>IF(ISERR(NodesJSON[[#This Row],[label]]),0,1)</f>
        <v>1</v>
      </c>
      <c r="B329" s="3" t="str">
        <f>NodesData[[#This Row],[Common Name]]</f>
        <v>Passphrase Authentication</v>
      </c>
      <c r="C329" s="3" t="str">
        <f>IF(NodesData[[#This Row],[Context Instanciation]]="","",NodesData[[#This Row],[Context Instanciation]])</f>
        <v/>
      </c>
      <c r="D329" s="22" t="str">
        <f>NodesData[[#This Row],[Node ID]]</f>
        <v>7D3AEDB7-109E-4336-B9B9-6BB8C2A5CD2D</v>
      </c>
      <c r="E329" s="10" t="s">
        <v>1034</v>
      </c>
      <c r="F329" s="25" t="str" cm="1">
        <f t="array" ref="F329">IF(NodesJSON[[#This Row],[Export?]]=0,"",IF(ROW(NodesJSON[[#This Row],[label]])&gt;ROW(NodesJSON[[#Headers],[JSON]])+1,",","") &amp;"{"&amp;twoRangesToJSON(NodesJSON[[#Headers],[label]:[url]],NodesJSON[[#This Row],[label]:[url]])&amp;"}")</f>
        <v>,{"label":"Passphrase Authentication","group":"","id":"7D3AEDB7-109E-4336-B9B9-6BB8C2A5CD2D","url":"https://open-measure.atlassian.net/wiki/spaces/DIC/pages/1477902403/Privileged+Insider"}</v>
      </c>
    </row>
    <row r="330" spans="1:6" ht="13.9" thickTop="1" thickBot="1" x14ac:dyDescent="0.4">
      <c r="A330" s="38">
        <f>IF(ISERR(NodesJSON[[#This Row],[label]]),0,1)</f>
        <v>1</v>
      </c>
      <c r="B330" s="3" t="str">
        <f>NodesData[[#This Row],[Common Name]]</f>
        <v>Password Guessing Attack</v>
      </c>
      <c r="C330" s="3" t="str">
        <f>IF(NodesData[[#This Row],[Context Instanciation]]="","",NodesData[[#This Row],[Context Instanciation]])</f>
        <v/>
      </c>
      <c r="D330" s="22" t="str">
        <f>NodesData[[#This Row],[Node ID]]</f>
        <v>3E674484-AD81-4D30-BBC4-A53F972BA028</v>
      </c>
      <c r="E330" s="10" t="s">
        <v>1036</v>
      </c>
      <c r="F330" s="25" t="str" cm="1">
        <f t="array" ref="F330">IF(NodesJSON[[#This Row],[Export?]]=0,"",IF(ROW(NodesJSON[[#This Row],[label]])&gt;ROW(NodesJSON[[#Headers],[JSON]])+1,",","") &amp;"{"&amp;twoRangesToJSON(NodesJSON[[#Headers],[label]:[url]],NodesJSON[[#This Row],[label]:[url]])&amp;"}")</f>
        <v>,{"label":"Password Guessing Attack","group":"","id":"3E674484-AD81-4D30-BBC4-A53F972BA028","url":"https://open-measure.atlassian.net/wiki/spaces/DIC/pages/61964289"}</v>
      </c>
    </row>
    <row r="331" spans="1:6" ht="13.9" thickTop="1" thickBot="1" x14ac:dyDescent="0.4">
      <c r="A331" s="38">
        <f>IF(ISERR(NodesJSON[[#This Row],[label]]),0,1)</f>
        <v>1</v>
      </c>
      <c r="B331" s="3" t="str">
        <f>NodesData[[#This Row],[Common Name]]</f>
        <v>Password Rotation</v>
      </c>
      <c r="C331" s="3" t="str">
        <f>IF(NodesData[[#This Row],[Context Instanciation]]="","",NodesData[[#This Row],[Context Instanciation]])</f>
        <v/>
      </c>
      <c r="D331" s="22" t="str">
        <f>NodesData[[#This Row],[Node ID]]</f>
        <v>7E50447D-4D1E-46ED-A84D-7E90C85A3FC4</v>
      </c>
      <c r="E331" s="8"/>
      <c r="F331" s="25" t="str" cm="1">
        <f t="array" ref="F331">IF(NodesJSON[[#This Row],[Export?]]=0,"",IF(ROW(NodesJSON[[#This Row],[label]])&gt;ROW(NodesJSON[[#Headers],[JSON]])+1,",","") &amp;"{"&amp;twoRangesToJSON(NodesJSON[[#Headers],[label]:[url]],NodesJSON[[#This Row],[label]:[url]])&amp;"}")</f>
        <v>,{"label":"Password Rotation","group":"","id":"7E50447D-4D1E-46ED-A84D-7E90C85A3FC4","url":""}</v>
      </c>
    </row>
    <row r="332" spans="1:6" ht="13.9" thickTop="1" thickBot="1" x14ac:dyDescent="0.4">
      <c r="A332" s="38">
        <f>IF(ISERR(NodesJSON[[#This Row],[label]]),0,1)</f>
        <v>1</v>
      </c>
      <c r="B332" s="3" t="str">
        <f>NodesData[[#This Row],[Common Name]]</f>
        <v>Password Spraying Attack</v>
      </c>
      <c r="C332" s="3" t="str">
        <f>IF(NodesData[[#This Row],[Context Instanciation]]="","",NodesData[[#This Row],[Context Instanciation]])</f>
        <v/>
      </c>
      <c r="D332" s="22" t="str">
        <f>NodesData[[#This Row],[Node ID]]</f>
        <v>37BB5E8F-E67D-4129-B2A4-C27E7BE27F78</v>
      </c>
      <c r="E332" s="10" t="s">
        <v>1038</v>
      </c>
      <c r="F332" s="25" t="str" cm="1">
        <f t="array" ref="F332">IF(NodesJSON[[#This Row],[Export?]]=0,"",IF(ROW(NodesJSON[[#This Row],[label]])&gt;ROW(NodesJSON[[#Headers],[JSON]])+1,",","") &amp;"{"&amp;twoRangesToJSON(NodesJSON[[#Headers],[label]:[url]],NodesJSON[[#This Row],[label]:[url]])&amp;"}")</f>
        <v>,{"label":"Password Spraying Attack","group":"","id":"37BB5E8F-E67D-4129-B2A4-C27E7BE27F78","url":"https://open-measure.atlassian.net/wiki/spaces/DIC/pages/1323598109/Qualitative+Identity"}</v>
      </c>
    </row>
    <row r="333" spans="1:6" ht="13.9" thickTop="1" thickBot="1" x14ac:dyDescent="0.4">
      <c r="A333" s="38">
        <f>IF(ISERR(NodesJSON[[#This Row],[label]]),0,1)</f>
        <v>1</v>
      </c>
      <c r="B333" s="3" t="str">
        <f>NodesData[[#This Row],[Common Name]]</f>
        <v>Password-Based Authentication</v>
      </c>
      <c r="C333" s="3" t="str">
        <f>IF(NodesData[[#This Row],[Context Instanciation]]="","",NodesData[[#This Row],[Context Instanciation]])</f>
        <v/>
      </c>
      <c r="D333" s="22" t="str">
        <f>NodesData[[#This Row],[Node ID]]</f>
        <v>350D3679-E553-41BF-9B1F-4B592D10F81A</v>
      </c>
      <c r="E333" s="10" t="s">
        <v>1040</v>
      </c>
      <c r="F333" s="25" t="str" cm="1">
        <f t="array" ref="F333">IF(NodesJSON[[#This Row],[Export?]]=0,"",IF(ROW(NodesJSON[[#This Row],[label]])&gt;ROW(NodesJSON[[#Headers],[JSON]])+1,",","") &amp;"{"&amp;twoRangesToJSON(NodesJSON[[#Headers],[label]:[url]],NodesJSON[[#This Row],[label]:[url]])&amp;"}")</f>
        <v>,{"label":"Password-Based Authentication","group":"","id":"350D3679-E553-41BF-9B1F-4B592D10F81A","url":"https://open-measure.atlassian.net/wiki/spaces/DIC/pages/82903928"}</v>
      </c>
    </row>
    <row r="334" spans="1:6" ht="13.9" thickTop="1" thickBot="1" x14ac:dyDescent="0.4">
      <c r="A334" s="38">
        <f>IF(ISERR(NodesJSON[[#This Row],[label]]),0,1)</f>
        <v>1</v>
      </c>
      <c r="B334" s="3" t="str">
        <f>NodesData[[#This Row],[Common Name]]</f>
        <v>Passwordless Authentication</v>
      </c>
      <c r="C334" s="3" t="str">
        <f>IF(NodesData[[#This Row],[Context Instanciation]]="","",NodesData[[#This Row],[Context Instanciation]])</f>
        <v/>
      </c>
      <c r="D334" s="22" t="str">
        <f>NodesData[[#This Row],[Node ID]]</f>
        <v>6ECC2714-A684-4EB0-93B2-4E775A819929</v>
      </c>
      <c r="E334" s="10" t="s">
        <v>1042</v>
      </c>
      <c r="F334" s="25" t="str" cm="1">
        <f t="array" ref="F334">IF(NodesJSON[[#This Row],[Export?]]=0,"",IF(ROW(NodesJSON[[#This Row],[label]])&gt;ROW(NodesJSON[[#Headers],[JSON]])+1,",","") &amp;"{"&amp;twoRangesToJSON(NodesJSON[[#Headers],[label]:[url]],NodesJSON[[#This Row],[label]:[url]])&amp;"}")</f>
        <v>,{"label":"Passwordless Authentication","group":"","id":"6ECC2714-A684-4EB0-93B2-4E775A819929","url":"https://open-measure.atlassian.net/wiki/spaces/DIC/pages/11567198"}</v>
      </c>
    </row>
    <row r="335" spans="1:6" ht="13.9" thickTop="1" thickBot="1" x14ac:dyDescent="0.4">
      <c r="A335" s="38">
        <f>IF(ISERR(NodesJSON[[#This Row],[label]]),0,1)</f>
        <v>1</v>
      </c>
      <c r="B335" s="3" t="str">
        <f>NodesData[[#This Row],[Common Name]]</f>
        <v>People</v>
      </c>
      <c r="C335" s="3" t="str">
        <f>IF(NodesData[[#This Row],[Context Instanciation]]="","",NodesData[[#This Row],[Context Instanciation]])</f>
        <v/>
      </c>
      <c r="D335" s="22" t="str">
        <f>NodesData[[#This Row],[Node ID]]</f>
        <v>C446B750-1D60-4D40-8394-9E434437F653</v>
      </c>
      <c r="E335" s="10" t="s">
        <v>1044</v>
      </c>
      <c r="F335" s="25" t="str" cm="1">
        <f t="array" ref="F335">IF(NodesJSON[[#This Row],[Export?]]=0,"",IF(ROW(NodesJSON[[#This Row],[label]])&gt;ROW(NodesJSON[[#Headers],[JSON]])+1,",","") &amp;"{"&amp;twoRangesToJSON(NodesJSON[[#Headers],[label]:[url]],NodesJSON[[#This Row],[label]:[url]])&amp;"}")</f>
        <v>,{"label":"People","group":"","id":"C446B750-1D60-4D40-8394-9E434437F653","url":"https://open-measure.atlassian.net/wiki/spaces/DIC/pages/408944908"}</v>
      </c>
    </row>
    <row r="336" spans="1:6" ht="13.9" thickTop="1" thickBot="1" x14ac:dyDescent="0.4">
      <c r="A336" s="38">
        <f>IF(ISERR(NodesJSON[[#This Row],[label]]),0,1)</f>
        <v>1</v>
      </c>
      <c r="B336" s="3" t="str">
        <f>NodesData[[#This Row],[Common Name]]</f>
        <v>Permission</v>
      </c>
      <c r="C336" s="3" t="str">
        <f>IF(NodesData[[#This Row],[Context Instanciation]]="","",NodesData[[#This Row],[Context Instanciation]])</f>
        <v/>
      </c>
      <c r="D336" s="22" t="str">
        <f>NodesData[[#This Row],[Node ID]]</f>
        <v>87FD8999-3B1A-4961-9E69-7A1CF4F30D47</v>
      </c>
      <c r="E336" s="10" t="s">
        <v>1037</v>
      </c>
      <c r="F336" s="25" t="str" cm="1">
        <f t="array" ref="F336">IF(NodesJSON[[#This Row],[Export?]]=0,"",IF(ROW(NodesJSON[[#This Row],[label]])&gt;ROW(NodesJSON[[#Headers],[JSON]])+1,",","") &amp;"{"&amp;twoRangesToJSON(NodesJSON[[#Headers],[label]:[url]],NodesJSON[[#This Row],[label]:[url]])&amp;"}")</f>
        <v>,{"label":"Permission","group":"","id":"87FD8999-3B1A-4961-9E69-7A1CF4F30D47","url":"https://open-measure.atlassian.net/wiki/spaces/DIC/pages/1677164768/QR+Code+Authentication"}</v>
      </c>
    </row>
    <row r="337" spans="1:6" ht="13.9" thickTop="1" thickBot="1" x14ac:dyDescent="0.4">
      <c r="A337" s="38">
        <f>IF(ISERR(NodesJSON[[#This Row],[label]]),0,1)</f>
        <v>1</v>
      </c>
      <c r="B337" s="3" t="str">
        <f>NodesData[[#This Row],[Common Name]]</f>
        <v>Perpetrator</v>
      </c>
      <c r="C337" s="3" t="str">
        <f>IF(NodesData[[#This Row],[Context Instanciation]]="","",NodesData[[#This Row],[Context Instanciation]])</f>
        <v>Account Takeover</v>
      </c>
      <c r="D337" s="22" t="str">
        <f>NodesData[[#This Row],[Node ID]]</f>
        <v>5405E693-EB16-42E8-98EA-4E4BF4569BD9</v>
      </c>
      <c r="E337" s="10" t="s">
        <v>1048</v>
      </c>
      <c r="F337" s="25" t="str" cm="1">
        <f t="array" ref="F337">IF(NodesJSON[[#This Row],[Export?]]=0,"",IF(ROW(NodesJSON[[#This Row],[label]])&gt;ROW(NodesJSON[[#Headers],[JSON]])+1,",","") &amp;"{"&amp;twoRangesToJSON(NodesJSON[[#Headers],[label]:[url]],NodesJSON[[#This Row],[label]:[url]])&amp;"}")</f>
        <v>,{"label":"Perpetrator","group":"Account Takeover","id":"5405E693-EB16-42E8-98EA-4E4BF4569BD9","url":"https://open-measure.atlassian.net/wiki/spaces/DIC/pages/107840129"}</v>
      </c>
    </row>
    <row r="338" spans="1:6" ht="13.9" thickTop="1" thickBot="1" x14ac:dyDescent="0.4">
      <c r="A338" s="38">
        <f>IF(ISERR(NodesJSON[[#This Row],[label]]),0,1)</f>
        <v>1</v>
      </c>
      <c r="B338" s="3" t="str">
        <f>NodesData[[#This Row],[Common Name]]</f>
        <v>Persona</v>
      </c>
      <c r="C338" s="3" t="str">
        <f>IF(NodesData[[#This Row],[Context Instanciation]]="","",NodesData[[#This Row],[Context Instanciation]])</f>
        <v/>
      </c>
      <c r="D338" s="22" t="str">
        <f>NodesData[[#This Row],[Node ID]]</f>
        <v>99021A76-61CA-44AE-BE37-E6296084E479</v>
      </c>
      <c r="E338" s="10" t="s">
        <v>1050</v>
      </c>
      <c r="F338" s="25" t="str" cm="1">
        <f t="array" ref="F338">IF(NodesJSON[[#This Row],[Export?]]=0,"",IF(ROW(NodesJSON[[#This Row],[label]])&gt;ROW(NodesJSON[[#Headers],[JSON]])+1,",","") &amp;"{"&amp;twoRangesToJSON(NodesJSON[[#Headers],[label]:[url]],NodesJSON[[#This Row],[label]:[url]])&amp;"}")</f>
        <v>,{"label":"Persona","group":"","id":"99021A76-61CA-44AE-BE37-E6296084E479","url":"https://open-measure.atlassian.net/wiki/spaces/DIC/pages/123962234"}</v>
      </c>
    </row>
    <row r="339" spans="1:6" ht="13.9" thickTop="1" thickBot="1" x14ac:dyDescent="0.4">
      <c r="A339" s="38">
        <f>IF(ISERR(NodesJSON[[#This Row],[label]]),0,1)</f>
        <v>1</v>
      </c>
      <c r="B339" s="3" t="str">
        <f>NodesData[[#This Row],[Common Name]]</f>
        <v>Personal Identification Number Authentication</v>
      </c>
      <c r="C339" s="3" t="str">
        <f>IF(NodesData[[#This Row],[Context Instanciation]]="","",NodesData[[#This Row],[Context Instanciation]])</f>
        <v/>
      </c>
      <c r="D339" s="22" t="str">
        <f>NodesData[[#This Row],[Node ID]]</f>
        <v>886A0D30-70BF-42CF-9450-BEAE5ED1F53D</v>
      </c>
      <c r="E339" s="10" t="s">
        <v>1046</v>
      </c>
      <c r="F339" s="25" t="str" cm="1">
        <f t="array" ref="F339">IF(NodesJSON[[#This Row],[Export?]]=0,"",IF(ROW(NodesJSON[[#This Row],[label]])&gt;ROW(NodesJSON[[#Headers],[JSON]])+1,",","") &amp;"{"&amp;twoRangesToJSON(NodesJSON[[#Headers],[label]:[url]],NodesJSON[[#This Row],[label]:[url]])&amp;"}")</f>
        <v>,{"label":"Personal Identification Number Authentication","group":"","id":"886A0D30-70BF-42CF-9450-BEAE5ED1F53D","url":"https://open-measure.atlassian.net/wiki/spaces/DIC/pages/873201665"}</v>
      </c>
    </row>
    <row r="340" spans="1:6" ht="13.9" thickTop="1" thickBot="1" x14ac:dyDescent="0.4">
      <c r="A340" s="38">
        <f>IF(ISERR(NodesJSON[[#This Row],[label]]),0,1)</f>
        <v>1</v>
      </c>
      <c r="B340" s="3" t="str">
        <f>NodesData[[#This Row],[Common Name]]</f>
        <v>Physical Token OTP</v>
      </c>
      <c r="C340" s="3" t="str">
        <f>IF(NodesData[[#This Row],[Context Instanciation]]="","",NodesData[[#This Row],[Context Instanciation]])</f>
        <v/>
      </c>
      <c r="D340" s="22" t="str">
        <f>NodesData[[#This Row],[Node ID]]</f>
        <v>7885B708-90A5-42B1-A82F-C33A40875DB1</v>
      </c>
      <c r="E340" s="10" t="s">
        <v>1054</v>
      </c>
      <c r="F340" s="25" t="str" cm="1">
        <f t="array" ref="F340">IF(NodesJSON[[#This Row],[Export?]]=0,"",IF(ROW(NodesJSON[[#This Row],[label]])&gt;ROW(NodesJSON[[#Headers],[JSON]])+1,",","") &amp;"{"&amp;twoRangesToJSON(NodesJSON[[#Headers],[label]:[url]],NodesJSON[[#This Row],[label]:[url]])&amp;"}")</f>
        <v>,{"label":"Physical Token OTP","group":"","id":"7885B708-90A5-42B1-A82F-C33A40875DB1","url":"https://open-measure.atlassian.net/wiki/spaces/DIC/pages/858521682"}</v>
      </c>
    </row>
    <row r="341" spans="1:6" ht="13.9" thickTop="1" thickBot="1" x14ac:dyDescent="0.4">
      <c r="A341" s="38">
        <f>IF(ISERR(NodesJSON[[#This Row],[label]]),0,1)</f>
        <v>1</v>
      </c>
      <c r="B341" s="3" t="str">
        <f>NodesData[[#This Row],[Common Name]]</f>
        <v>PMS</v>
      </c>
      <c r="C341" s="3" t="str">
        <f>IF(NodesData[[#This Row],[Context Instanciation]]="","",NodesData[[#This Row],[Context Instanciation]])</f>
        <v/>
      </c>
      <c r="D341" s="22" t="str">
        <f>NodesData[[#This Row],[Node ID]]</f>
        <v>CDD4B8ED-FC21-4CBE-84D1-1D00BC936D99</v>
      </c>
      <c r="E341" s="10" t="s">
        <v>1056</v>
      </c>
      <c r="F341" s="25" t="str" cm="1">
        <f t="array" ref="F341">IF(NodesJSON[[#This Row],[Export?]]=0,"",IF(ROW(NodesJSON[[#This Row],[label]])&gt;ROW(NodesJSON[[#Headers],[JSON]])+1,",","") &amp;"{"&amp;twoRangesToJSON(NodesJSON[[#Headers],[label]:[url]],NodesJSON[[#This Row],[label]:[url]])&amp;"}")</f>
        <v>,{"label":"PMS","group":"","id":"CDD4B8ED-FC21-4CBE-84D1-1D00BC936D99","url":"https://open-measure.atlassian.net/wiki/spaces/DIC/pages/67699423"}</v>
      </c>
    </row>
    <row r="342" spans="1:6" ht="13.9" thickTop="1" thickBot="1" x14ac:dyDescent="0.4">
      <c r="A342" s="38">
        <f>IF(ISERR(NodesJSON[[#This Row],[label]]),0,1)</f>
        <v>1</v>
      </c>
      <c r="B342" s="3" t="str">
        <f>NodesData[[#This Row],[Common Name]]</f>
        <v>Policy</v>
      </c>
      <c r="C342" s="3" t="str">
        <f>IF(NodesData[[#This Row],[Context Instanciation]]="","",NodesData[[#This Row],[Context Instanciation]])</f>
        <v/>
      </c>
      <c r="D342" s="22" t="str">
        <f>NodesData[[#This Row],[Node ID]]</f>
        <v>337ACFF8-BD95-4DDE-8603-B421B82F4F7B</v>
      </c>
      <c r="E342" s="10" t="s">
        <v>1058</v>
      </c>
      <c r="F342" s="25" t="str" cm="1">
        <f t="array" ref="F342">IF(NodesJSON[[#This Row],[Export?]]=0,"",IF(ROW(NodesJSON[[#This Row],[label]])&gt;ROW(NodesJSON[[#Headers],[JSON]])+1,",","") &amp;"{"&amp;twoRangesToJSON(NodesJSON[[#Headers],[label]:[url]],NodesJSON[[#This Row],[label]:[url]])&amp;"}")</f>
        <v>,{"label":"Policy","group":"","id":"337ACFF8-BD95-4DDE-8603-B421B82F4F7B","url":"https://open-measure.atlassian.net/wiki/spaces/DIC/pages/427130881"}</v>
      </c>
    </row>
    <row r="343" spans="1:6" ht="13.9" thickTop="1" thickBot="1" x14ac:dyDescent="0.4">
      <c r="A343" s="38">
        <f>IF(ISERR(NodesJSON[[#This Row],[label]]),0,1)</f>
        <v>1</v>
      </c>
      <c r="B343" s="3" t="str">
        <f>NodesData[[#This Row],[Common Name]]</f>
        <v>Policy Analysis</v>
      </c>
      <c r="C343" s="3" t="str">
        <f>IF(NodesData[[#This Row],[Context Instanciation]]="","",NodesData[[#This Row],[Context Instanciation]])</f>
        <v/>
      </c>
      <c r="D343" s="22" t="str">
        <f>NodesData[[#This Row],[Node ID]]</f>
        <v>EE1D7A13-FB03-479F-AAD4-471F1F3574F0</v>
      </c>
      <c r="E343" s="10" t="s">
        <v>1060</v>
      </c>
      <c r="F343" s="25" t="str" cm="1">
        <f t="array" ref="F343">IF(NodesJSON[[#This Row],[Export?]]=0,"",IF(ROW(NodesJSON[[#This Row],[label]])&gt;ROW(NodesJSON[[#Headers],[JSON]])+1,",","") &amp;"{"&amp;twoRangesToJSON(NodesJSON[[#Headers],[label]:[url]],NodesJSON[[#This Row],[label]:[url]])&amp;"}")</f>
        <v>,{"label":"Policy Analysis","group":"","id":"EE1D7A13-FB03-479F-AAD4-471F1F3574F0","url":"https://open-measure.atlassian.net/wiki/spaces/DIC/pages/2589003"}</v>
      </c>
    </row>
    <row r="344" spans="1:6" ht="13.9" thickTop="1" thickBot="1" x14ac:dyDescent="0.4">
      <c r="A344" s="38">
        <f>IF(ISERR(NodesJSON[[#This Row],[label]]),0,1)</f>
        <v>1</v>
      </c>
      <c r="B344" s="3" t="str">
        <f>NodesData[[#This Row],[Common Name]]</f>
        <v>Policy Centralization</v>
      </c>
      <c r="C344" s="3" t="str">
        <f>IF(NodesData[[#This Row],[Context Instanciation]]="","",NodesData[[#This Row],[Context Instanciation]])</f>
        <v/>
      </c>
      <c r="D344" s="22" t="str">
        <f>NodesData[[#This Row],[Node ID]]</f>
        <v>92C3BEA6-5B48-473C-AA56-0FDB337AF4FC</v>
      </c>
      <c r="E344" s="10" t="s">
        <v>1062</v>
      </c>
      <c r="F344" s="25" t="str" cm="1">
        <f t="array" ref="F344">IF(NodesJSON[[#This Row],[Export?]]=0,"",IF(ROW(NodesJSON[[#This Row],[label]])&gt;ROW(NodesJSON[[#Headers],[JSON]])+1,",","") &amp;"{"&amp;twoRangesToJSON(NodesJSON[[#Headers],[label]:[url]],NodesJSON[[#This Row],[label]:[url]])&amp;"}")</f>
        <v>,{"label":"Policy Centralization","group":"","id":"92C3BEA6-5B48-473C-AA56-0FDB337AF4FC","url":"https://open-measure.atlassian.net/wiki/spaces/DIC/pages/11141464"}</v>
      </c>
    </row>
    <row r="345" spans="1:6" ht="13.9" thickTop="1" thickBot="1" x14ac:dyDescent="0.4">
      <c r="A345" s="38">
        <f>IF(ISERR(NodesJSON[[#This Row],[label]]),0,1)</f>
        <v>1</v>
      </c>
      <c r="B345" s="3" t="str">
        <f>NodesData[[#This Row],[Common Name]]</f>
        <v>Policy Interoperability</v>
      </c>
      <c r="C345" s="3" t="str">
        <f>IF(NodesData[[#This Row],[Context Instanciation]]="","",NodesData[[#This Row],[Context Instanciation]])</f>
        <v/>
      </c>
      <c r="D345" s="22" t="str">
        <f>NodesData[[#This Row],[Node ID]]</f>
        <v>790EFA1C-87AA-457B-8F45-36CD85344B1E</v>
      </c>
      <c r="E345" s="10" t="s">
        <v>1064</v>
      </c>
      <c r="F345" s="25" t="str" cm="1">
        <f t="array" ref="F345">IF(NodesJSON[[#This Row],[Export?]]=0,"",IF(ROW(NodesJSON[[#This Row],[label]])&gt;ROW(NodesJSON[[#Headers],[JSON]])+1,",","") &amp;"{"&amp;twoRangesToJSON(NodesJSON[[#Headers],[label]:[url]],NodesJSON[[#This Row],[label]:[url]])&amp;"}")</f>
        <v>,{"label":"Policy Interoperability","group":"","id":"790EFA1C-87AA-457B-8F45-36CD85344B1E","url":"https://open-measure.atlassian.net/wiki/spaces/DIC/pages/2588994"}</v>
      </c>
    </row>
    <row r="346" spans="1:6" ht="13.9" thickTop="1" thickBot="1" x14ac:dyDescent="0.4">
      <c r="A346" s="38">
        <f>IF(ISERR(NodesJSON[[#This Row],[label]]),0,1)</f>
        <v>1</v>
      </c>
      <c r="B346" s="3" t="str">
        <f>NodesData[[#This Row],[Common Name]]</f>
        <v>Policy Manageability</v>
      </c>
      <c r="C346" s="3" t="str">
        <f>IF(NodesData[[#This Row],[Context Instanciation]]="","",NodesData[[#This Row],[Context Instanciation]])</f>
        <v/>
      </c>
      <c r="D346" s="22" t="str">
        <f>NodesData[[#This Row],[Node ID]]</f>
        <v>4D1F76E9-CDB9-40F6-ACB5-A913F09D855F</v>
      </c>
      <c r="E346" s="10" t="s">
        <v>1066</v>
      </c>
      <c r="F346" s="25" t="str" cm="1">
        <f t="array" ref="F346">IF(NodesJSON[[#This Row],[Export?]]=0,"",IF(ROW(NodesJSON[[#This Row],[label]])&gt;ROW(NodesJSON[[#Headers],[JSON]])+1,",","") &amp;"{"&amp;twoRangesToJSON(NodesJSON[[#Headers],[label]:[url]],NodesJSON[[#This Row],[label]:[url]])&amp;"}")</f>
        <v>,{"label":"Policy Manageability","group":"","id":"4D1F76E9-CDB9-40F6-ACB5-A913F09D855F","url":"https://open-measure.atlassian.net/wiki/spaces/DIC/pages/67698769"}</v>
      </c>
    </row>
    <row r="347" spans="1:6" ht="13.9" thickTop="1" thickBot="1" x14ac:dyDescent="0.4">
      <c r="A347" s="38">
        <f>IF(ISERR(NodesJSON[[#This Row],[label]]),0,1)</f>
        <v>1</v>
      </c>
      <c r="B347" s="3" t="str">
        <f>NodesData[[#This Row],[Common Name]]</f>
        <v>Policy Mining</v>
      </c>
      <c r="C347" s="3" t="str">
        <f>IF(NodesData[[#This Row],[Context Instanciation]]="","",NodesData[[#This Row],[Context Instanciation]])</f>
        <v/>
      </c>
      <c r="D347" s="22" t="str">
        <f>NodesData[[#This Row],[Node ID]]</f>
        <v>BD42690B-5A27-4360-BB85-BBA341F80F90</v>
      </c>
      <c r="E347" s="10" t="s">
        <v>1068</v>
      </c>
      <c r="F347" s="25" t="str" cm="1">
        <f t="array" ref="F347">IF(NodesJSON[[#This Row],[Export?]]=0,"",IF(ROW(NodesJSON[[#This Row],[label]])&gt;ROW(NodesJSON[[#Headers],[JSON]])+1,",","") &amp;"{"&amp;twoRangesToJSON(NodesJSON[[#Headers],[label]:[url]],NodesJSON[[#This Row],[label]:[url]])&amp;"}")</f>
        <v>,{"label":"Policy Mining","group":"","id":"BD42690B-5A27-4360-BB85-BBA341F80F90","url":"https://open-measure.atlassian.net/wiki/spaces/DIC/pages/425623561"}</v>
      </c>
    </row>
    <row r="348" spans="1:6" ht="13.9" thickTop="1" thickBot="1" x14ac:dyDescent="0.4">
      <c r="A348" s="38">
        <f>IF(ISERR(NodesJSON[[#This Row],[label]]),0,1)</f>
        <v>1</v>
      </c>
      <c r="B348" s="3" t="str">
        <f>NodesData[[#This Row],[Common Name]]</f>
        <v>Policy Modeling</v>
      </c>
      <c r="C348" s="3" t="str">
        <f>IF(NodesData[[#This Row],[Context Instanciation]]="","",NodesData[[#This Row],[Context Instanciation]])</f>
        <v/>
      </c>
      <c r="D348" s="22" t="str">
        <f>NodesData[[#This Row],[Node ID]]</f>
        <v>26E164FB-0387-4F37-B760-4F0273BCC3AE</v>
      </c>
      <c r="E348" s="10" t="s">
        <v>1052</v>
      </c>
      <c r="F348" s="25" t="str" cm="1">
        <f t="array" ref="F348">IF(NodesJSON[[#This Row],[Export?]]=0,"",IF(ROW(NodesJSON[[#This Row],[label]])&gt;ROW(NodesJSON[[#Headers],[JSON]])+1,",","") &amp;"{"&amp;twoRangesToJSON(NodesJSON[[#Headers],[label]:[url]],NodesJSON[[#This Row],[label]:[url]])&amp;"}")</f>
        <v>,{"label":"Policy Modeling","group":"","id":"26E164FB-0387-4F37-B760-4F0273BCC3AE","url":"https://open-measure.atlassian.net/wiki/spaces/DIC/pages/82870985"}</v>
      </c>
    </row>
    <row r="349" spans="1:6" ht="13.9" thickTop="1" thickBot="1" x14ac:dyDescent="0.4">
      <c r="A349" s="38">
        <f>IF(ISERR(NodesJSON[[#This Row],[label]]),0,1)</f>
        <v>1</v>
      </c>
      <c r="B349" s="3" t="str">
        <f>NodesData[[#This Row],[Common Name]]</f>
        <v>Possession Factor</v>
      </c>
      <c r="C349" s="3" t="str">
        <f>IF(NodesData[[#This Row],[Context Instanciation]]="","",NodesData[[#This Row],[Context Instanciation]])</f>
        <v/>
      </c>
      <c r="D349" s="22" t="str">
        <f>NodesData[[#This Row],[Node ID]]</f>
        <v>4DAEE886-62B6-4A11-91E2-6CCC52E8C726</v>
      </c>
      <c r="E349" s="10" t="s">
        <v>1072</v>
      </c>
      <c r="F349" s="25" t="str" cm="1">
        <f t="array" ref="F349">IF(NodesJSON[[#This Row],[Export?]]=0,"",IF(ROW(NodesJSON[[#This Row],[label]])&gt;ROW(NodesJSON[[#Headers],[JSON]])+1,",","") &amp;"{"&amp;twoRangesToJSON(NodesJSON[[#Headers],[label]:[url]],NodesJSON[[#This Row],[label]:[url]])&amp;"}")</f>
        <v>,{"label":"Possession Factor","group":"","id":"4DAEE886-62B6-4A11-91E2-6CCC52E8C726","url":"https://open-measure.atlassian.net/wiki/spaces/DIC/pages/86442069"}</v>
      </c>
    </row>
    <row r="350" spans="1:6" ht="13.9" thickTop="1" thickBot="1" x14ac:dyDescent="0.4">
      <c r="A350" s="38">
        <f>IF(ISERR(NodesJSON[[#This Row],[label]]),0,1)</f>
        <v>1</v>
      </c>
      <c r="B350" s="3" t="str">
        <f>NodesData[[#This Row],[Common Name]]</f>
        <v>Pre-approval</v>
      </c>
      <c r="C350" s="3" t="str">
        <f>IF(NodesData[[#This Row],[Context Instanciation]]="","",NodesData[[#This Row],[Context Instanciation]])</f>
        <v/>
      </c>
      <c r="D350" s="22" t="str">
        <f>NodesData[[#This Row],[Node ID]]</f>
        <v>C6F673E3-9A9B-468C-8A0A-59AA0393DFDC</v>
      </c>
      <c r="E350" s="10" t="s">
        <v>1086</v>
      </c>
      <c r="F350" s="25" t="str" cm="1">
        <f t="array" ref="F350">IF(NodesJSON[[#This Row],[Export?]]=0,"",IF(ROW(NodesJSON[[#This Row],[label]])&gt;ROW(NodesJSON[[#Headers],[JSON]])+1,",","") &amp;"{"&amp;twoRangesToJSON(NodesJSON[[#Headers],[label]:[url]],NodesJSON[[#This Row],[label]:[url]])&amp;"}")</f>
        <v>,{"label":"Pre-approval","group":"","id":"C6F673E3-9A9B-468C-8A0A-59AA0393DFDC","url":"https://open-measure.atlassian.net/wiki/spaces/DIC/pages/1122566198"}</v>
      </c>
    </row>
    <row r="351" spans="1:6" ht="13.9" thickTop="1" thickBot="1" x14ac:dyDescent="0.4">
      <c r="A351" s="38">
        <f>IF(ISERR(NodesJSON[[#This Row],[label]]),0,1)</f>
        <v>1</v>
      </c>
      <c r="B351" s="3" t="str">
        <f>NodesData[[#This Row],[Common Name]]</f>
        <v>Principal</v>
      </c>
      <c r="C351" s="3" t="str">
        <f>IF(NodesData[[#This Row],[Context Instanciation]]="","",NodesData[[#This Row],[Context Instanciation]])</f>
        <v/>
      </c>
      <c r="D351" s="22" t="str">
        <f>NodesData[[#This Row],[Node ID]]</f>
        <v>2D48A747-188A-4B7C-879B-A60AF15CACA5</v>
      </c>
      <c r="E351" s="10" t="s">
        <v>1074</v>
      </c>
      <c r="F351" s="25" t="str" cm="1">
        <f t="array" ref="F351">IF(NodesJSON[[#This Row],[Export?]]=0,"",IF(ROW(NodesJSON[[#This Row],[label]])&gt;ROW(NodesJSON[[#Headers],[JSON]])+1,",","") &amp;"{"&amp;twoRangesToJSON(NodesJSON[[#Headers],[label]:[url]],NodesJSON[[#This Row],[label]:[url]])&amp;"}")</f>
        <v>,{"label":"Principal","group":"","id":"2D48A747-188A-4B7C-879B-A60AF15CACA5","url":"https://open-measure.atlassian.net/wiki/spaces/DIC/pages/814514401"}</v>
      </c>
    </row>
    <row r="352" spans="1:6" ht="13.9" thickTop="1" thickBot="1" x14ac:dyDescent="0.4">
      <c r="A352" s="38">
        <f>IF(ISERR(NodesJSON[[#This Row],[label]]),0,1)</f>
        <v>1</v>
      </c>
      <c r="B352" s="3" t="str">
        <f>NodesData[[#This Row],[Common Name]]</f>
        <v>Private Key Loss</v>
      </c>
      <c r="C352" s="3" t="str">
        <f>IF(NodesData[[#This Row],[Context Instanciation]]="","",NodesData[[#This Row],[Context Instanciation]])</f>
        <v/>
      </c>
      <c r="D352" s="22" t="str">
        <f>NodesData[[#This Row],[Node ID]]</f>
        <v>E9A7D411-061E-405C-9B92-1C34659C174D</v>
      </c>
      <c r="E352" s="10" t="s">
        <v>1076</v>
      </c>
      <c r="F352" s="25" t="str" cm="1">
        <f t="array" ref="F352">IF(NodesJSON[[#This Row],[Export?]]=0,"",IF(ROW(NodesJSON[[#This Row],[label]])&gt;ROW(NodesJSON[[#Headers],[JSON]])+1,",","") &amp;"{"&amp;twoRangesToJSON(NodesJSON[[#Headers],[label]:[url]],NodesJSON[[#This Row],[label]:[url]])&amp;"}")</f>
        <v>,{"label":"Private Key Loss","group":"","id":"E9A7D411-061E-405C-9B92-1C34659C174D","url":"https://open-measure.atlassian.net/wiki/spaces/DIC/pages/1164902443"}</v>
      </c>
    </row>
    <row r="353" spans="1:6" ht="13.9" thickTop="1" thickBot="1" x14ac:dyDescent="0.4">
      <c r="A353" s="38">
        <f>IF(ISERR(NodesJSON[[#This Row],[label]]),0,1)</f>
        <v>1</v>
      </c>
      <c r="B353" s="3" t="str">
        <f>NodesData[[#This Row],[Common Name]]</f>
        <v>Privilege</v>
      </c>
      <c r="C353" s="3" t="str">
        <f>IF(NodesData[[#This Row],[Context Instanciation]]="","",NodesData[[#This Row],[Context Instanciation]])</f>
        <v/>
      </c>
      <c r="D353" s="22" t="str">
        <f>NodesData[[#This Row],[Node ID]]</f>
        <v>F37272F3-1097-44F4-84DC-2E9728009380</v>
      </c>
      <c r="E353" s="10" t="s">
        <v>1078</v>
      </c>
      <c r="F353" s="25" t="str" cm="1">
        <f t="array" ref="F353">IF(NodesJSON[[#This Row],[Export?]]=0,"",IF(ROW(NodesJSON[[#This Row],[label]])&gt;ROW(NodesJSON[[#Headers],[JSON]])+1,",","") &amp;"{"&amp;twoRangesToJSON(NodesJSON[[#Headers],[label]:[url]],NodesJSON[[#This Row],[label]:[url]])&amp;"}")</f>
        <v>,{"label":"Privilege","group":"","id":"F37272F3-1097-44F4-84DC-2E9728009380","url":"https://open-measure.atlassian.net/wiki/spaces/DIC/pages/1164869655"}</v>
      </c>
    </row>
    <row r="354" spans="1:6" ht="13.9" thickTop="1" thickBot="1" x14ac:dyDescent="0.4">
      <c r="A354" s="38">
        <f>IF(ISERR(NodesJSON[[#This Row],[label]]),0,1)</f>
        <v>1</v>
      </c>
      <c r="B354" s="3" t="str">
        <f>NodesData[[#This Row],[Common Name]]</f>
        <v>Privilege Abuse</v>
      </c>
      <c r="C354" s="3" t="str">
        <f>IF(NodesData[[#This Row],[Context Instanciation]]="","",NodesData[[#This Row],[Context Instanciation]])</f>
        <v/>
      </c>
      <c r="D354" s="22" t="str">
        <f>NodesData[[#This Row],[Node ID]]</f>
        <v>6E3A9921-A43E-4432-A7DD-AFCB062D3882</v>
      </c>
      <c r="E354" s="10" t="s">
        <v>1080</v>
      </c>
      <c r="F354" s="25" t="str" cm="1">
        <f t="array" ref="F354">IF(NodesJSON[[#This Row],[Export?]]=0,"",IF(ROW(NodesJSON[[#This Row],[label]])&gt;ROW(NodesJSON[[#Headers],[JSON]])+1,",","") &amp;"{"&amp;twoRangesToJSON(NodesJSON[[#Headers],[label]:[url]],NodesJSON[[#This Row],[label]:[url]])&amp;"}")</f>
        <v>,{"label":"Privilege Abuse","group":"","id":"6E3A9921-A43E-4432-A7DD-AFCB062D3882","url":"https://open-measure.atlassian.net/wiki/spaces/DIC/pages/1164902498"}</v>
      </c>
    </row>
    <row r="355" spans="1:6" ht="13.9" thickTop="1" thickBot="1" x14ac:dyDescent="0.4">
      <c r="A355" s="38">
        <f>IF(ISERR(NodesJSON[[#This Row],[label]]),0,1)</f>
        <v>1</v>
      </c>
      <c r="B355" s="3" t="str">
        <f>NodesData[[#This Row],[Common Name]]</f>
        <v>Privilege Chaining</v>
      </c>
      <c r="C355" s="3" t="str">
        <f>IF(NodesData[[#This Row],[Context Instanciation]]="","",NodesData[[#This Row],[Context Instanciation]])</f>
        <v/>
      </c>
      <c r="D355" s="22" t="str">
        <f>NodesData[[#This Row],[Node ID]]</f>
        <v>D4580406-13FA-46D3-A4B1-88E271E00836</v>
      </c>
      <c r="E355" s="10" t="s">
        <v>1082</v>
      </c>
      <c r="F355" s="25" t="str" cm="1">
        <f t="array" ref="F355">IF(NodesJSON[[#This Row],[Export?]]=0,"",IF(ROW(NodesJSON[[#This Row],[label]])&gt;ROW(NodesJSON[[#Headers],[JSON]])+1,",","") &amp;"{"&amp;twoRangesToJSON(NodesJSON[[#Headers],[label]:[url]],NodesJSON[[#This Row],[label]:[url]])&amp;"}")</f>
        <v>,{"label":"Privilege Chaining","group":"","id":"D4580406-13FA-46D3-A4B1-88E271E00836","url":"https://open-measure.atlassian.net/wiki/spaces/DIC/pages/1152483772"}</v>
      </c>
    </row>
    <row r="356" spans="1:6" ht="13.9" thickTop="1" thickBot="1" x14ac:dyDescent="0.4">
      <c r="A356" s="38">
        <f>IF(ISERR(NodesJSON[[#This Row],[label]]),0,1)</f>
        <v>1</v>
      </c>
      <c r="B356" s="3" t="str">
        <f>NodesData[[#This Row],[Common Name]]</f>
        <v>Privilege Escalation</v>
      </c>
      <c r="C356" s="3" t="str">
        <f>IF(NodesData[[#This Row],[Context Instanciation]]="","",NodesData[[#This Row],[Context Instanciation]])</f>
        <v/>
      </c>
      <c r="D356" s="22" t="str">
        <f>NodesData[[#This Row],[Node ID]]</f>
        <v>D9117FCF-D4B2-4319-B3F1-8B6281A9A4EB</v>
      </c>
      <c r="E356" s="10" t="s">
        <v>1084</v>
      </c>
      <c r="F356" s="25" t="str" cm="1">
        <f t="array" ref="F356">IF(NodesJSON[[#This Row],[Export?]]=0,"",IF(ROW(NodesJSON[[#This Row],[label]])&gt;ROW(NodesJSON[[#Headers],[JSON]])+1,",","") &amp;"{"&amp;twoRangesToJSON(NodesJSON[[#Headers],[label]:[url]],NodesJSON[[#This Row],[label]:[url]])&amp;"}")</f>
        <v>,{"label":"Privilege Escalation","group":"","id":"D9117FCF-D4B2-4319-B3F1-8B6281A9A4EB","url":"https://open-measure.atlassian.net/wiki/spaces/DIC/pages/1130921985"}</v>
      </c>
    </row>
    <row r="357" spans="1:6" ht="13.9" thickTop="1" thickBot="1" x14ac:dyDescent="0.4">
      <c r="A357" s="38">
        <f>IF(ISERR(NodesJSON[[#This Row],[label]]),0,1)</f>
        <v>1</v>
      </c>
      <c r="B357" s="3" t="str">
        <f>NodesData[[#This Row],[Common Name]]</f>
        <v>Privileged Identity</v>
      </c>
      <c r="C357" s="3" t="str">
        <f>IF(NodesData[[#This Row],[Context Instanciation]]="","",NodesData[[#This Row],[Context Instanciation]])</f>
        <v/>
      </c>
      <c r="D357" s="22" t="str">
        <f>NodesData[[#This Row],[Node ID]]</f>
        <v>55D24624-81CD-4311-872C-ACE6508C4954</v>
      </c>
      <c r="E357" s="10" t="s">
        <v>1088</v>
      </c>
      <c r="F357" s="25" t="str" cm="1">
        <f t="array" ref="F357">IF(NodesJSON[[#This Row],[Export?]]=0,"",IF(ROW(NodesJSON[[#This Row],[label]])&gt;ROW(NodesJSON[[#Headers],[JSON]])+1,",","") &amp;"{"&amp;twoRangesToJSON(NodesJSON[[#Headers],[label]:[url]],NodesJSON[[#This Row],[label]:[url]])&amp;"}")</f>
        <v>,{"label":"Privileged Identity","group":"","id":"55D24624-81CD-4311-872C-ACE6508C4954","url":"https://open-measure.atlassian.net/wiki/spaces/DIC/pages/82903488"}</v>
      </c>
    </row>
    <row r="358" spans="1:6" ht="13.9" thickTop="1" thickBot="1" x14ac:dyDescent="0.4">
      <c r="A358" s="38">
        <f>IF(ISERR(NodesJSON[[#This Row],[label]]),0,1)</f>
        <v>1</v>
      </c>
      <c r="B358" s="3" t="str">
        <f>NodesData[[#This Row],[Common Name]]</f>
        <v>Privileged Insider</v>
      </c>
      <c r="C358" s="3" t="str">
        <f>IF(NodesData[[#This Row],[Context Instanciation]]="","",NodesData[[#This Row],[Context Instanciation]])</f>
        <v/>
      </c>
      <c r="D358" s="22" t="str">
        <f>NodesData[[#This Row],[Node ID]]</f>
        <v>DD56D5A2-3737-41A8-BFC6-C724FAC82A27</v>
      </c>
      <c r="E358" s="10" t="s">
        <v>1089</v>
      </c>
      <c r="F358" s="25" t="str" cm="1">
        <f t="array" ref="F358">IF(NodesJSON[[#This Row],[Export?]]=0,"",IF(ROW(NodesJSON[[#This Row],[label]])&gt;ROW(NodesJSON[[#Headers],[JSON]])+1,",","") &amp;"{"&amp;twoRangesToJSON(NodesJSON[[#Headers],[label]:[url]],NodesJSON[[#This Row],[label]:[url]])&amp;"}")</f>
        <v>,{"label":"Privileged Insider","group":"","id":"DD56D5A2-3737-41A8-BFC6-C724FAC82A27","url":"https://open-measure.atlassian.net/wiki/spaces/DIC/pages/140739068/SAM+Database"}</v>
      </c>
    </row>
    <row r="359" spans="1:6" ht="13.9" thickTop="1" thickBot="1" x14ac:dyDescent="0.4">
      <c r="A359" s="38">
        <f>IF(ISERR(NodesJSON[[#This Row],[label]]),0,1)</f>
        <v>1</v>
      </c>
      <c r="B359" s="3" t="str">
        <f>NodesData[[#This Row],[Common Name]]</f>
        <v>Provisioning</v>
      </c>
      <c r="C359" s="3" t="str">
        <f>IF(NodesData[[#This Row],[Context Instanciation]]="","",NodesData[[#This Row],[Context Instanciation]])</f>
        <v/>
      </c>
      <c r="D359" s="22" t="str">
        <f>NodesData[[#This Row],[Node ID]]</f>
        <v>898672E0-DC3F-4C74-A8FD-75D84D37F4C6</v>
      </c>
      <c r="E359" s="10" t="s">
        <v>1090</v>
      </c>
      <c r="F359" s="25" t="str" cm="1">
        <f t="array" ref="F359">IF(NodesJSON[[#This Row],[Export?]]=0,"",IF(ROW(NodesJSON[[#This Row],[label]])&gt;ROW(NodesJSON[[#Headers],[JSON]])+1,",","") &amp;"{"&amp;twoRangesToJSON(NodesJSON[[#Headers],[label]:[url]],NodesJSON[[#This Row],[label]:[url]])&amp;"}")</f>
        <v>,{"label":"Provisioning","group":"","id":"898672E0-DC3F-4C74-A8FD-75D84D37F4C6","url":"https://open-measure.atlassian.net/wiki/spaces/DIC/pages/1428586729/SAML"}</v>
      </c>
    </row>
    <row r="360" spans="1:6" ht="13.9" thickTop="1" thickBot="1" x14ac:dyDescent="0.4">
      <c r="A360" s="38">
        <f>IF(ISERR(NodesJSON[[#This Row],[label]]),0,1)</f>
        <v>1</v>
      </c>
      <c r="B360" s="3" t="str">
        <f>NodesData[[#This Row],[Common Name]]</f>
        <v>QR Code Authentication</v>
      </c>
      <c r="C360" s="3" t="str">
        <f>IF(NodesData[[#This Row],[Context Instanciation]]="","",NodesData[[#This Row],[Context Instanciation]])</f>
        <v/>
      </c>
      <c r="D360" s="22" t="str">
        <f>NodesData[[#This Row],[Node ID]]</f>
        <v>4002F83D-1FA4-4A51-9069-862DA33587FC</v>
      </c>
      <c r="E360" s="10" t="s">
        <v>1092</v>
      </c>
      <c r="F360" s="25" t="str" cm="1">
        <f t="array" ref="F360">IF(NodesJSON[[#This Row],[Export?]]=0,"",IF(ROW(NodesJSON[[#This Row],[label]])&gt;ROW(NodesJSON[[#Headers],[JSON]])+1,",","") &amp;"{"&amp;twoRangesToJSON(NodesJSON[[#Headers],[label]:[url]],NodesJSON[[#This Row],[label]:[url]])&amp;"}")</f>
        <v>,{"label":"QR Code Authentication","group":"","id":"4002F83D-1FA4-4A51-9069-862DA33587FC","url":"https://open-measure.atlassian.net/wiki/spaces/DIC/pages/206307343"}</v>
      </c>
    </row>
    <row r="361" spans="1:6" ht="13.9" thickTop="1" thickBot="1" x14ac:dyDescent="0.4">
      <c r="A361" s="38">
        <f>IF(ISERR(NodesJSON[[#This Row],[label]]),0,1)</f>
        <v>1</v>
      </c>
      <c r="B361" s="3" t="str">
        <f>NodesData[[#This Row],[Common Name]]</f>
        <v>Qualitative Identity</v>
      </c>
      <c r="C361" s="3" t="str">
        <f>IF(NodesData[[#This Row],[Context Instanciation]]="","",NodesData[[#This Row],[Context Instanciation]])</f>
        <v/>
      </c>
      <c r="D361" s="22" t="str">
        <f>NodesData[[#This Row],[Node ID]]</f>
        <v>0CCE7D8E-36A2-4D6D-A989-9E5AF5BADD5F</v>
      </c>
      <c r="E361" s="10" t="s">
        <v>1094</v>
      </c>
      <c r="F361" s="25" t="str" cm="1">
        <f t="array" ref="F361">IF(NodesJSON[[#This Row],[Export?]]=0,"",IF(ROW(NodesJSON[[#This Row],[label]])&gt;ROW(NodesJSON[[#Headers],[JSON]])+1,",","") &amp;"{"&amp;twoRangesToJSON(NodesJSON[[#Headers],[label]:[url]],NodesJSON[[#This Row],[label]:[url]])&amp;"}")</f>
        <v>,{"label":"Qualitative Identity","group":"","id":"0CCE7D8E-36A2-4D6D-A989-9E5AF5BADD5F","url":"https://open-measure.atlassian.net/wiki/spaces/DIC/pages/206372879"}</v>
      </c>
    </row>
    <row r="362" spans="1:6" ht="13.9" thickTop="1" thickBot="1" x14ac:dyDescent="0.4">
      <c r="A362" s="38">
        <f>IF(ISERR(NodesJSON[[#This Row],[label]]),0,1)</f>
        <v>1</v>
      </c>
      <c r="B362" s="3" t="str">
        <f>NodesData[[#This Row],[Common Name]]</f>
        <v>RA</v>
      </c>
      <c r="C362" s="3" t="str">
        <f>IF(NodesData[[#This Row],[Context Instanciation]]="","",NodesData[[#This Row],[Context Instanciation]])</f>
        <v/>
      </c>
      <c r="D362" s="22" t="str">
        <f>NodesData[[#This Row],[Node ID]]</f>
        <v>F5C6FED5-BE9F-47F6-AC34-4DB56021BBBB</v>
      </c>
      <c r="E362" s="10" t="s">
        <v>1096</v>
      </c>
      <c r="F362" s="25" t="str" cm="1">
        <f t="array" ref="F362">IF(NodesJSON[[#This Row],[Export?]]=0,"",IF(ROW(NodesJSON[[#This Row],[label]])&gt;ROW(NodesJSON[[#Headers],[JSON]])+1,",","") &amp;"{"&amp;twoRangesToJSON(NodesJSON[[#Headers],[label]:[url]],NodesJSON[[#This Row],[label]:[url]])&amp;"}")</f>
        <v>,{"label":"RA","group":"","id":"F5C6FED5-BE9F-47F6-AC34-4DB56021BBBB","url":"https://open-measure.atlassian.net/wiki/spaces/DIC/pages/206307350"}</v>
      </c>
    </row>
    <row r="363" spans="1:6" ht="13.9" thickTop="1" thickBot="1" x14ac:dyDescent="0.4">
      <c r="A363" s="38">
        <f>IF(ISERR(NodesJSON[[#This Row],[label]]),0,1)</f>
        <v>1</v>
      </c>
      <c r="B363" s="3" t="str">
        <f>NodesData[[#This Row],[Common Name]]</f>
        <v>Ratio Scale</v>
      </c>
      <c r="C363" s="3" t="str">
        <f>IF(NodesData[[#This Row],[Context Instanciation]]="","",NodesData[[#This Row],[Context Instanciation]])</f>
        <v/>
      </c>
      <c r="D363" s="22" t="str">
        <f>NodesData[[#This Row],[Node ID]]</f>
        <v>E75230A4-B6CE-49FE-B659-5503945A8D53</v>
      </c>
      <c r="E363" s="10" t="s">
        <v>1098</v>
      </c>
      <c r="F363" s="25" t="str" cm="1">
        <f t="array" ref="F363">IF(NodesJSON[[#This Row],[Export?]]=0,"",IF(ROW(NodesJSON[[#This Row],[label]])&gt;ROW(NodesJSON[[#Headers],[JSON]])+1,",","") &amp;"{"&amp;twoRangesToJSON(NodesJSON[[#Headers],[label]:[url]],NodesJSON[[#This Row],[label]:[url]])&amp;"}")</f>
        <v>,{"label":"Ratio Scale","group":"","id":"E75230A4-B6CE-49FE-B659-5503945A8D53","url":"https://open-measure.atlassian.net/wiki/spaces/DIC/pages/206307373"}</v>
      </c>
    </row>
    <row r="364" spans="1:6" ht="13.9" thickTop="1" thickBot="1" x14ac:dyDescent="0.4">
      <c r="A364" s="38">
        <f>IF(ISERR(NodesJSON[[#This Row],[label]]),0,1)</f>
        <v>1</v>
      </c>
      <c r="B364" s="3" t="str">
        <f>NodesData[[#This Row],[Common Name]]</f>
        <v>RBA</v>
      </c>
      <c r="C364" s="3" t="str">
        <f>IF(NodesData[[#This Row],[Context Instanciation]]="","",NodesData[[#This Row],[Context Instanciation]])</f>
        <v/>
      </c>
      <c r="D364" s="22" t="str">
        <f>NodesData[[#This Row],[Node ID]]</f>
        <v>EA8C2A7C-C847-423D-8650-3FDC4EB22C64</v>
      </c>
      <c r="E364" s="10" t="s">
        <v>1100</v>
      </c>
      <c r="F364" s="25" t="str" cm="1">
        <f t="array" ref="F364">IF(NodesJSON[[#This Row],[Export?]]=0,"",IF(ROW(NodesJSON[[#This Row],[label]])&gt;ROW(NodesJSON[[#Headers],[JSON]])+1,",","") &amp;"{"&amp;twoRangesToJSON(NodesJSON[[#Headers],[label]:[url]],NodesJSON[[#This Row],[label]:[url]])&amp;"}")</f>
        <v>,{"label":"RBA","group":"","id":"EA8C2A7C-C847-423D-8650-3FDC4EB22C64","url":"https://open-measure.atlassian.net/wiki/spaces/DIC/pages/1376383"}</v>
      </c>
    </row>
    <row r="365" spans="1:6" ht="13.9" thickTop="1" thickBot="1" x14ac:dyDescent="0.4">
      <c r="A365" s="38">
        <f>IF(ISERR(NodesJSON[[#This Row],[label]]),0,1)</f>
        <v>1</v>
      </c>
      <c r="B365" s="3" t="str">
        <f>NodesData[[#This Row],[Common Name]]</f>
        <v>Re-authentication</v>
      </c>
      <c r="C365" s="3" t="str">
        <f>IF(NodesData[[#This Row],[Context Instanciation]]="","",NodesData[[#This Row],[Context Instanciation]])</f>
        <v/>
      </c>
      <c r="D365" s="22" t="str">
        <f>NodesData[[#This Row],[Node ID]]</f>
        <v>7527938D-FC2F-45AD-8F13-11F85060A353</v>
      </c>
      <c r="E365" s="10" t="s">
        <v>1102</v>
      </c>
      <c r="F365" s="25" t="str" cm="1">
        <f t="array" ref="F365">IF(NodesJSON[[#This Row],[Export?]]=0,"",IF(ROW(NodesJSON[[#This Row],[label]])&gt;ROW(NodesJSON[[#Headers],[JSON]])+1,",","") &amp;"{"&amp;twoRangesToJSON(NodesJSON[[#Headers],[label]:[url]],NodesJSON[[#This Row],[label]:[url]])&amp;"}")</f>
        <v>,{"label":"Re-authentication","group":"","id":"7527938D-FC2F-45AD-8F13-11F85060A353","url":"https://open-measure.atlassian.net/wiki/spaces/DIC/pages/5931115"}</v>
      </c>
    </row>
    <row r="366" spans="1:6" ht="13.9" thickTop="1" thickBot="1" x14ac:dyDescent="0.4">
      <c r="A366" s="38">
        <f>IF(ISERR(NodesJSON[[#This Row],[label]]),0,1)</f>
        <v>1</v>
      </c>
      <c r="B366" s="3" t="str">
        <f>NodesData[[#This Row],[Common Name]]</f>
        <v>Recertification</v>
      </c>
      <c r="C366" s="3" t="str">
        <f>IF(NodesData[[#This Row],[Context Instanciation]]="","",NodesData[[#This Row],[Context Instanciation]])</f>
        <v/>
      </c>
      <c r="D366" s="22" t="str">
        <f>NodesData[[#This Row],[Node ID]]</f>
        <v>F67B01C6-0B9E-4928-9911-4A352B25765A</v>
      </c>
      <c r="E366" s="10" t="s">
        <v>1104</v>
      </c>
      <c r="F366" s="25" t="str" cm="1">
        <f t="array" ref="F366">IF(NodesJSON[[#This Row],[Export?]]=0,"",IF(ROW(NodesJSON[[#This Row],[label]])&gt;ROW(NodesJSON[[#Headers],[JSON]])+1,",","") &amp;"{"&amp;twoRangesToJSON(NodesJSON[[#Headers],[label]:[url]],NodesJSON[[#This Row],[label]:[url]])&amp;"}")</f>
        <v>,{"label":"Recertification","group":"","id":"F67B01C6-0B9E-4928-9911-4A352B25765A","url":"https://open-measure.atlassian.net/wiki/spaces/DIC/pages/234356901"}</v>
      </c>
    </row>
    <row r="367" spans="1:6" ht="13.9" thickTop="1" thickBot="1" x14ac:dyDescent="0.4">
      <c r="A367" s="38">
        <f>IF(ISERR(NodesJSON[[#This Row],[label]]),0,1)</f>
        <v>1</v>
      </c>
      <c r="B367" s="3" t="str">
        <f>NodesData[[#This Row],[Common Name]]</f>
        <v>Reference Monitor</v>
      </c>
      <c r="C367" s="3" t="str">
        <f>IF(NodesData[[#This Row],[Context Instanciation]]="","",NodesData[[#This Row],[Context Instanciation]])</f>
        <v/>
      </c>
      <c r="D367" s="22" t="str">
        <f>NodesData[[#This Row],[Node ID]]</f>
        <v>0EB5069D-E5A5-402C-8C00-DAF559131A2B</v>
      </c>
      <c r="E367" s="10" t="s">
        <v>1106</v>
      </c>
      <c r="F367" s="25" t="str" cm="1">
        <f t="array" ref="F367">IF(NodesJSON[[#This Row],[Export?]]=0,"",IF(ROW(NodesJSON[[#This Row],[label]])&gt;ROW(NodesJSON[[#Headers],[JSON]])+1,",","") &amp;"{"&amp;twoRangesToJSON(NodesJSON[[#Headers],[label]:[url]],NodesJSON[[#This Row],[label]:[url]])&amp;"}")</f>
        <v>,{"label":"Reference Monitor","group":"","id":"0EB5069D-E5A5-402C-8C00-DAF559131A2B","url":"https://open-measure.atlassian.net/wiki/spaces/DIC/pages/1142390785"}</v>
      </c>
    </row>
    <row r="368" spans="1:6" ht="13.9" thickTop="1" thickBot="1" x14ac:dyDescent="0.4">
      <c r="A368" s="38">
        <f>IF(ISERR(NodesJSON[[#This Row],[label]]),0,1)</f>
        <v>1</v>
      </c>
      <c r="B368" s="3" t="str">
        <f>NodesData[[#This Row],[Common Name]]</f>
        <v>Registration Authority</v>
      </c>
      <c r="C368" s="3" t="str">
        <f>IF(NodesData[[#This Row],[Context Instanciation]]="","",NodesData[[#This Row],[Context Instanciation]])</f>
        <v/>
      </c>
      <c r="D368" s="22" t="str">
        <f>NodesData[[#This Row],[Node ID]]</f>
        <v>58700DBB-B8EB-4C2F-AA3A-AC085083A3C5</v>
      </c>
      <c r="E368" s="10" t="s">
        <v>1108</v>
      </c>
      <c r="F368" s="25" t="str" cm="1">
        <f t="array" ref="F368">IF(NodesJSON[[#This Row],[Export?]]=0,"",IF(ROW(NodesJSON[[#This Row],[label]])&gt;ROW(NodesJSON[[#Headers],[JSON]])+1,",","") &amp;"{"&amp;twoRangesToJSON(NodesJSON[[#Headers],[label]:[url]],NodesJSON[[#This Row],[label]:[url]])&amp;"}")</f>
        <v>,{"label":"Registration Authority","group":"","id":"58700DBB-B8EB-4C2F-AA3A-AC085083A3C5","url":"https://open-measure.atlassian.net/wiki/spaces/DIC/pages/1230831633"}</v>
      </c>
    </row>
    <row r="369" spans="1:6" ht="13.9" thickTop="1" thickBot="1" x14ac:dyDescent="0.4">
      <c r="A369" s="38">
        <f>IF(ISERR(NodesJSON[[#This Row],[label]]),0,1)</f>
        <v>1</v>
      </c>
      <c r="B369" s="3" t="str">
        <f>NodesData[[#This Row],[Common Name]]</f>
        <v>Rejoiner</v>
      </c>
      <c r="C369" s="3" t="str">
        <f>IF(NodesData[[#This Row],[Context Instanciation]]="","",NodesData[[#This Row],[Context Instanciation]])</f>
        <v/>
      </c>
      <c r="D369" s="22" t="str">
        <f>NodesData[[#This Row],[Node ID]]</f>
        <v>98129EFA-C4C8-41C3-8313-39ACE625CA78</v>
      </c>
      <c r="E369" s="10" t="s">
        <v>1110</v>
      </c>
      <c r="F369" s="25" t="str" cm="1">
        <f t="array" ref="F369">IF(NodesJSON[[#This Row],[Export?]]=0,"",IF(ROW(NodesJSON[[#This Row],[label]])&gt;ROW(NodesJSON[[#Headers],[JSON]])+1,",","") &amp;"{"&amp;twoRangesToJSON(NodesJSON[[#Headers],[label]:[url]],NodesJSON[[#This Row],[label]:[url]])&amp;"}")</f>
        <v>,{"label":"Rejoiner","group":"","id":"98129EFA-C4C8-41C3-8313-39ACE625CA78","url":"https://open-measure.atlassian.net/wiki/spaces/DIC/pages/1231159321"}</v>
      </c>
    </row>
    <row r="370" spans="1:6" ht="13.9" thickTop="1" thickBot="1" x14ac:dyDescent="0.4">
      <c r="A370" s="38">
        <f>IF(ISERR(NodesJSON[[#This Row],[label]]),0,1)</f>
        <v>1</v>
      </c>
      <c r="B370" s="3" t="str">
        <f>NodesData[[#This Row],[Common Name]]</f>
        <v>Relying Party</v>
      </c>
      <c r="C370" s="3" t="str">
        <f>IF(NodesData[[#This Row],[Context Instanciation]]="","",NodesData[[#This Row],[Context Instanciation]])</f>
        <v/>
      </c>
      <c r="D370" s="22" t="str">
        <f>NodesData[[#This Row],[Node ID]]</f>
        <v>A3547087-B09A-4E9D-A244-127D48E979E2</v>
      </c>
      <c r="E370" s="10" t="s">
        <v>1112</v>
      </c>
      <c r="F370" s="25" t="str" cm="1">
        <f t="array" ref="F370">IF(NodesJSON[[#This Row],[Export?]]=0,"",IF(ROW(NodesJSON[[#This Row],[label]])&gt;ROW(NodesJSON[[#Headers],[JSON]])+1,",","") &amp;"{"&amp;twoRangesToJSON(NodesJSON[[#Headers],[label]:[url]],NodesJSON[[#This Row],[label]:[url]])&amp;"}")</f>
        <v>,{"label":"Relying Party","group":"","id":"A3547087-B09A-4E9D-A244-127D48E979E2","url":"https://open-measure.atlassian.net/wiki/spaces/DIC/pages/140673497"}</v>
      </c>
    </row>
    <row r="371" spans="1:6" ht="13.9" thickTop="1" thickBot="1" x14ac:dyDescent="0.4">
      <c r="A371" s="38">
        <f>IF(ISERR(NodesJSON[[#This Row],[label]]),0,1)</f>
        <v>1</v>
      </c>
      <c r="B371" s="3" t="str">
        <f>NodesData[[#This Row],[Common Name]]</f>
        <v>Remote Identity Proofing</v>
      </c>
      <c r="C371" s="3" t="str">
        <f>IF(NodesData[[#This Row],[Context Instanciation]]="","",NodesData[[#This Row],[Context Instanciation]])</f>
        <v/>
      </c>
      <c r="D371" s="22" t="str">
        <f>NodesData[[#This Row],[Node ID]]</f>
        <v>E8D0CCFA-DFD5-4797-BEF0-F02047B26EC1</v>
      </c>
      <c r="E371" s="10" t="s">
        <v>1113</v>
      </c>
      <c r="F371" s="25" t="str" cm="1">
        <f t="array" ref="F371">IF(NodesJSON[[#This Row],[Export?]]=0,"",IF(ROW(NodesJSON[[#This Row],[label]])&gt;ROW(NodesJSON[[#Headers],[JSON]])+1,",","") &amp;"{"&amp;twoRangesToJSON(NodesJSON[[#Headers],[label]:[url]],NodesJSON[[#This Row],[label]:[url]])&amp;"}")</f>
        <v>,{"label":"Remote Identity Proofing","group":"","id":"E8D0CCFA-DFD5-4797-BEF0-F02047B26EC1","url":"https://open-measure.atlassian.net/wiki/spaces/DIC/pages/1428619445/Security+Assertion+Markup+Language"}</v>
      </c>
    </row>
    <row r="372" spans="1:6" ht="13.9" thickTop="1" thickBot="1" x14ac:dyDescent="0.4">
      <c r="A372" s="38">
        <f>IF(ISERR(NodesJSON[[#This Row],[label]]),0,1)</f>
        <v>1</v>
      </c>
      <c r="B372" s="3" t="str">
        <f>NodesData[[#This Row],[Common Name]]</f>
        <v>Repeatability</v>
      </c>
      <c r="C372" s="3" t="str">
        <f>IF(NodesData[[#This Row],[Context Instanciation]]="","",NodesData[[#This Row],[Context Instanciation]])</f>
        <v/>
      </c>
      <c r="D372" s="22" t="str">
        <f>NodesData[[#This Row],[Node ID]]</f>
        <v>A853D6FF-E595-40FC-AE44-73E1EAE8E588</v>
      </c>
      <c r="E372" s="10" t="s">
        <v>1115</v>
      </c>
      <c r="F372" s="25" t="str" cm="1">
        <f t="array" ref="F372">IF(NodesJSON[[#This Row],[Export?]]=0,"",IF(ROW(NodesJSON[[#This Row],[label]])&gt;ROW(NodesJSON[[#Headers],[JSON]])+1,",","") &amp;"{"&amp;twoRangesToJSON(NodesJSON[[#Headers],[label]:[url]],NodesJSON[[#This Row],[label]:[url]])&amp;"}")</f>
        <v>,{"label":"Repeatability","group":"","id":"A853D6FF-E595-40FC-AE44-73E1EAE8E588","url":"https://open-measure.atlassian.net/wiki/spaces/DIC/pages/1177747653"}</v>
      </c>
    </row>
    <row r="373" spans="1:6" ht="13.9" thickTop="1" thickBot="1" x14ac:dyDescent="0.4">
      <c r="A373" s="38">
        <f>IF(ISERR(NodesJSON[[#This Row],[label]]),0,1)</f>
        <v>1</v>
      </c>
      <c r="B373" s="3" t="str">
        <f>NodesData[[#This Row],[Common Name]]</f>
        <v>Representation Target</v>
      </c>
      <c r="C373" s="3" t="str">
        <f>IF(NodesData[[#This Row],[Context Instanciation]]="","",NodesData[[#This Row],[Context Instanciation]])</f>
        <v/>
      </c>
      <c r="D373" s="22" t="str">
        <f>NodesData[[#This Row],[Node ID]]</f>
        <v>F6760AC7-5706-4E92-96BC-0BD04BAADA92</v>
      </c>
      <c r="E373" s="10" t="s">
        <v>1117</v>
      </c>
      <c r="F373" s="25" t="str" cm="1">
        <f t="array" ref="F373">IF(NodesJSON[[#This Row],[Export?]]=0,"",IF(ROW(NodesJSON[[#This Row],[label]])&gt;ROW(NodesJSON[[#Headers],[JSON]])+1,",","") &amp;"{"&amp;twoRangesToJSON(NodesJSON[[#Headers],[label]:[url]],NodesJSON[[#This Row],[label]:[url]])&amp;"}")</f>
        <v>,{"label":"Representation Target","group":"","id":"F6760AC7-5706-4E92-96BC-0BD04BAADA92","url":"https://open-measure.atlassian.net/wiki/spaces/DIC/pages/1181843719"}</v>
      </c>
    </row>
    <row r="374" spans="1:6" ht="13.9" thickTop="1" thickBot="1" x14ac:dyDescent="0.4">
      <c r="A374" s="38">
        <f>IF(ISERR(NodesJSON[[#This Row],[label]]),0,1)</f>
        <v>1</v>
      </c>
      <c r="B374" s="3" t="str">
        <f>NodesData[[#This Row],[Common Name]]</f>
        <v>Reproducibility</v>
      </c>
      <c r="C374" s="3" t="str">
        <f>IF(NodesData[[#This Row],[Context Instanciation]]="","",NodesData[[#This Row],[Context Instanciation]])</f>
        <v/>
      </c>
      <c r="D374" s="22" t="str">
        <f>NodesData[[#This Row],[Node ID]]</f>
        <v>8A8B1DA2-731C-4D3E-81A5-75304481E79E</v>
      </c>
      <c r="E374" s="10" t="s">
        <v>1119</v>
      </c>
      <c r="F374" s="25" t="str" cm="1">
        <f t="array" ref="F374">IF(NodesJSON[[#This Row],[Export?]]=0,"",IF(ROW(NodesJSON[[#This Row],[label]])&gt;ROW(NodesJSON[[#Headers],[JSON]])+1,",","") &amp;"{"&amp;twoRangesToJSON(NodesJSON[[#Headers],[label]:[url]],NodesJSON[[#This Row],[label]:[url]])&amp;"}")</f>
        <v>,{"label":"Reproducibility","group":"","id":"8A8B1DA2-731C-4D3E-81A5-75304481E79E","url":"https://open-measure.atlassian.net/wiki/spaces/DIC/pages/1177747630"}</v>
      </c>
    </row>
    <row r="375" spans="1:6" ht="13.9" thickTop="1" thickBot="1" x14ac:dyDescent="0.4">
      <c r="A375" s="38">
        <f>IF(ISERR(NodesJSON[[#This Row],[label]]),0,1)</f>
        <v>1</v>
      </c>
      <c r="B375" s="3" t="str">
        <f>NodesData[[#This Row],[Common Name]]</f>
        <v>Research Account</v>
      </c>
      <c r="C375" s="3" t="str">
        <f>IF(NodesData[[#This Row],[Context Instanciation]]="","",NodesData[[#This Row],[Context Instanciation]])</f>
        <v/>
      </c>
      <c r="D375" s="22" t="str">
        <f>NodesData[[#This Row],[Node ID]]</f>
        <v>01F6A80A-3190-462D-BEEB-328CC562A345</v>
      </c>
      <c r="E375" s="10" t="s">
        <v>1070</v>
      </c>
      <c r="F375" s="25" t="str" cm="1">
        <f t="array" ref="F375">IF(NodesJSON[[#This Row],[Export?]]=0,"",IF(ROW(NodesJSON[[#This Row],[label]])&gt;ROW(NodesJSON[[#Headers],[JSON]])+1,",","") &amp;"{"&amp;twoRangesToJSON(NodesJSON[[#Headers],[label]:[url]],NodesJSON[[#This Row],[label]:[url]])&amp;"}")</f>
        <v>,{"label":"Research Account","group":"","id":"01F6A80A-3190-462D-BEEB-328CC562A345","url":"https://open-measure.atlassian.net/wiki/spaces/DIC/pages/795836567"}</v>
      </c>
    </row>
    <row r="376" spans="1:6" ht="13.9" thickTop="1" thickBot="1" x14ac:dyDescent="0.4">
      <c r="A376" s="38">
        <f>IF(ISERR(NodesJSON[[#This Row],[label]]),0,1)</f>
        <v>1</v>
      </c>
      <c r="B376" s="3" t="str">
        <f>NodesData[[#This Row],[Common Name]]</f>
        <v>Revocation</v>
      </c>
      <c r="C376" s="3" t="str">
        <f>IF(NodesData[[#This Row],[Context Instanciation]]="","",NodesData[[#This Row],[Context Instanciation]])</f>
        <v/>
      </c>
      <c r="D376" s="22" t="str">
        <f>NodesData[[#This Row],[Node ID]]</f>
        <v>005E7CA1-C7A4-4E9B-905F-F4E507649B81</v>
      </c>
      <c r="E376" s="10" t="s">
        <v>1121</v>
      </c>
      <c r="F376" s="25" t="str" cm="1">
        <f t="array" ref="F376">IF(NodesJSON[[#This Row],[Export?]]=0,"",IF(ROW(NodesJSON[[#This Row],[label]])&gt;ROW(NodesJSON[[#Headers],[JSON]])+1,",","") &amp;"{"&amp;twoRangesToJSON(NodesJSON[[#Headers],[label]:[url]],NodesJSON[[#This Row],[label]:[url]])&amp;"}")</f>
        <v>,{"label":"Revocation","group":"","id":"005E7CA1-C7A4-4E9B-905F-F4E507649B81","url":"https://open-measure.atlassian.net/wiki/spaces/DIC/pages/1071185955"}</v>
      </c>
    </row>
    <row r="377" spans="1:6" ht="13.9" thickTop="1" thickBot="1" x14ac:dyDescent="0.4">
      <c r="A377" s="38">
        <f>IF(ISERR(NodesJSON[[#This Row],[label]]),0,1)</f>
        <v>1</v>
      </c>
      <c r="B377" s="3" t="str">
        <f>NodesData[[#This Row],[Common Name]]</f>
        <v>RIDP</v>
      </c>
      <c r="C377" s="3" t="str">
        <f>IF(NodesData[[#This Row],[Context Instanciation]]="","",NodesData[[#This Row],[Context Instanciation]])</f>
        <v/>
      </c>
      <c r="D377" s="22" t="str">
        <f>NodesData[[#This Row],[Node ID]]</f>
        <v>BF54C035-AEA4-4B89-8D09-2697ACBCA058</v>
      </c>
      <c r="E377" s="10" t="s">
        <v>1122</v>
      </c>
      <c r="F377" s="25" t="str" cm="1">
        <f t="array" ref="F377">IF(NodesJSON[[#This Row],[Export?]]=0,"",IF(ROW(NodesJSON[[#This Row],[label]])&gt;ROW(NodesJSON[[#Headers],[JSON]])+1,",","") &amp;"{"&amp;twoRangesToJSON(NodesJSON[[#Headers],[label]:[url]],NodesJSON[[#This Row],[label]:[url]])&amp;"}")</f>
        <v>,{"label":"RIDP","group":"","id":"BF54C035-AEA4-4B89-8D09-2697ACBCA058","url":"https://open-measure.atlassian.net/wiki/spaces/DIC/pages/446955653/Self-Sovereign+Identity"}</v>
      </c>
    </row>
    <row r="378" spans="1:6" ht="13.9" thickTop="1" thickBot="1" x14ac:dyDescent="0.4">
      <c r="A378" s="38">
        <f>IF(ISERR(NodesJSON[[#This Row],[label]]),0,1)</f>
        <v>1</v>
      </c>
      <c r="B378" s="3" t="str">
        <f>NodesData[[#This Row],[Common Name]]</f>
        <v>Risk</v>
      </c>
      <c r="C378" s="3" t="str">
        <f>IF(NodesData[[#This Row],[Context Instanciation]]="","",NodesData[[#This Row],[Context Instanciation]])</f>
        <v>Account Takeover</v>
      </c>
      <c r="D378" s="22" t="str">
        <f>NodesData[[#This Row],[Node ID]]</f>
        <v>3F14E556-DBD3-4DBF-AC75-33A3EE0A9EE2</v>
      </c>
      <c r="E378" s="10" t="s">
        <v>1124</v>
      </c>
      <c r="F378" s="25" t="str" cm="1">
        <f t="array" ref="F378">IF(NodesJSON[[#This Row],[Export?]]=0,"",IF(ROW(NodesJSON[[#This Row],[label]])&gt;ROW(NodesJSON[[#Headers],[JSON]])+1,",","") &amp;"{"&amp;twoRangesToJSON(NodesJSON[[#Headers],[label]:[url]],NodesJSON[[#This Row],[label]:[url]])&amp;"}")</f>
        <v>,{"label":"Risk","group":"Account Takeover","id":"3F14E556-DBD3-4DBF-AC75-33A3EE0A9EE2","url":"https://open-measure.atlassian.net/wiki/spaces/DIC/pages/6029526"}</v>
      </c>
    </row>
    <row r="379" spans="1:6" ht="13.9" thickTop="1" thickBot="1" x14ac:dyDescent="0.4">
      <c r="A379" s="38">
        <f>IF(ISERR(NodesJSON[[#This Row],[label]]),0,1)</f>
        <v>1</v>
      </c>
      <c r="B379" s="3" t="str">
        <f>NodesData[[#This Row],[Common Name]]</f>
        <v>Risk-Based Authentication</v>
      </c>
      <c r="C379" s="3" t="str">
        <f>IF(NodesData[[#This Row],[Context Instanciation]]="","",NodesData[[#This Row],[Context Instanciation]])</f>
        <v/>
      </c>
      <c r="D379" s="22" t="str">
        <f>NodesData[[#This Row],[Node ID]]</f>
        <v>75112034-1A11-4B4D-9E73-87435E2DD783</v>
      </c>
      <c r="E379" s="10" t="s">
        <v>1126</v>
      </c>
      <c r="F379" s="25" t="str" cm="1">
        <f t="array" ref="F379">IF(NodesJSON[[#This Row],[Export?]]=0,"",IF(ROW(NodesJSON[[#This Row],[label]])&gt;ROW(NodesJSON[[#Headers],[JSON]])+1,",","") &amp;"{"&amp;twoRangesToJSON(NodesJSON[[#Headers],[label]:[url]],NodesJSON[[#This Row],[label]:[url]])&amp;"}")</f>
        <v>,{"label":"Risk-Based Authentication","group":"","id":"75112034-1A11-4B4D-9E73-87435E2DD783","url":"https://open-measure.atlassian.net/wiki/spaces/DIC/pages/805142555"}</v>
      </c>
    </row>
    <row r="380" spans="1:6" ht="13.9" thickTop="1" thickBot="1" x14ac:dyDescent="0.4">
      <c r="A380" s="38">
        <f>IF(ISERR(NodesJSON[[#This Row],[label]]),0,1)</f>
        <v>1</v>
      </c>
      <c r="B380" s="3" t="str">
        <f>NodesData[[#This Row],[Common Name]]</f>
        <v>Role</v>
      </c>
      <c r="C380" s="3" t="str">
        <f>IF(NodesData[[#This Row],[Context Instanciation]]="","",NodesData[[#This Row],[Context Instanciation]])</f>
        <v/>
      </c>
      <c r="D380" s="22" t="str">
        <f>NodesData[[#This Row],[Node ID]]</f>
        <v>E2F064FB-1C4A-4BAB-B863-626CFBBCDC18</v>
      </c>
      <c r="E380" s="10" t="s">
        <v>1127</v>
      </c>
      <c r="F380" s="25" t="str" cm="1">
        <f t="array" ref="F380">IF(NodesJSON[[#This Row],[Export?]]=0,"",IF(ROW(NodesJSON[[#This Row],[label]])&gt;ROW(NodesJSON[[#Headers],[JSON]])+1,",","") &amp;"{"&amp;twoRangesToJSON(NodesJSON[[#Headers],[label]:[url]],NodesJSON[[#This Row],[label]:[url]])&amp;"}")</f>
        <v>,{"label":"Role","group":"","id":"E2F064FB-1C4A-4BAB-B863-626CFBBCDC18","url":"https://open-measure.atlassian.net/wiki/spaces/DIC/pages/1313538143/Service-Centric+Identity+Management+System"}</v>
      </c>
    </row>
    <row r="381" spans="1:6" ht="13.9" thickTop="1" thickBot="1" x14ac:dyDescent="0.4">
      <c r="A381" s="38">
        <f>IF(ISERR(NodesJSON[[#This Row],[label]]),0,1)</f>
        <v>1</v>
      </c>
      <c r="B381" s="3" t="str">
        <f>NodesData[[#This Row],[Common Name]]</f>
        <v>Role Bloating</v>
      </c>
      <c r="C381" s="3" t="str">
        <f>IF(NodesData[[#This Row],[Context Instanciation]]="","",NodesData[[#This Row],[Context Instanciation]])</f>
        <v/>
      </c>
      <c r="D381" s="22" t="str">
        <f>NodesData[[#This Row],[Node ID]]</f>
        <v>265234BD-E2FE-43F4-8AD4-0BD0F6C80093</v>
      </c>
      <c r="E381" s="10" t="s">
        <v>1129</v>
      </c>
      <c r="F381" s="25" t="str" cm="1">
        <f t="array" ref="F381">IF(NodesJSON[[#This Row],[Export?]]=0,"",IF(ROW(NodesJSON[[#This Row],[label]])&gt;ROW(NodesJSON[[#Headers],[JSON]])+1,",","") &amp;"{"&amp;twoRangesToJSON(NodesJSON[[#Headers],[label]:[url]],NodesJSON[[#This Row],[label]:[url]])&amp;"}")</f>
        <v>,{"label":"Role Bloating","group":"","id":"265234BD-E2FE-43F4-8AD4-0BD0F6C80093","url":"https://open-measure.atlassian.net/wiki/spaces/DIC/pages/881197061"}</v>
      </c>
    </row>
    <row r="382" spans="1:6" ht="13.9" thickTop="1" thickBot="1" x14ac:dyDescent="0.4">
      <c r="A382" s="38">
        <f>IF(ISERR(NodesJSON[[#This Row],[label]]),0,1)</f>
        <v>1</v>
      </c>
      <c r="B382" s="3" t="str">
        <f>NodesData[[#This Row],[Common Name]]</f>
        <v>Role Capacity</v>
      </c>
      <c r="C382" s="3" t="str">
        <f>IF(NodesData[[#This Row],[Context Instanciation]]="","",NodesData[[#This Row],[Context Instanciation]])</f>
        <v/>
      </c>
      <c r="D382" s="22" t="str">
        <f>NodesData[[#This Row],[Node ID]]</f>
        <v>77A5549B-ADB4-4985-AA98-588593A5BAAC</v>
      </c>
      <c r="E382" s="8"/>
      <c r="F382" s="25" t="str" cm="1">
        <f t="array" ref="F382">IF(NodesJSON[[#This Row],[Export?]]=0,"",IF(ROW(NodesJSON[[#This Row],[label]])&gt;ROW(NodesJSON[[#Headers],[JSON]])+1,",","") &amp;"{"&amp;twoRangesToJSON(NodesJSON[[#Headers],[label]:[url]],NodesJSON[[#This Row],[label]:[url]])&amp;"}")</f>
        <v>,{"label":"Role Capacity","group":"","id":"77A5549B-ADB4-4985-AA98-588593A5BAAC","url":""}</v>
      </c>
    </row>
    <row r="383" spans="1:6" ht="13.9" thickTop="1" thickBot="1" x14ac:dyDescent="0.4">
      <c r="A383" s="38">
        <f>IF(ISERR(NodesJSON[[#This Row],[label]]),0,1)</f>
        <v>1</v>
      </c>
      <c r="B383" s="3" t="str">
        <f>NodesData[[#This Row],[Common Name]]</f>
        <v>Role Cardinality</v>
      </c>
      <c r="C383" s="3" t="str">
        <f>IF(NodesData[[#This Row],[Context Instanciation]]="","",NodesData[[#This Row],[Context Instanciation]])</f>
        <v/>
      </c>
      <c r="D383" s="22" t="str">
        <f>NodesData[[#This Row],[Node ID]]</f>
        <v>7C3A0667-DF23-4810-9BEE-59D939EF88A0</v>
      </c>
      <c r="E383" s="10" t="s">
        <v>1131</v>
      </c>
      <c r="F383" s="25" t="str" cm="1">
        <f t="array" ref="F383">IF(NodesJSON[[#This Row],[Export?]]=0,"",IF(ROW(NodesJSON[[#This Row],[label]])&gt;ROW(NodesJSON[[#Headers],[JSON]])+1,",","") &amp;"{"&amp;twoRangesToJSON(NodesJSON[[#Headers],[label]:[url]],NodesJSON[[#This Row],[label]:[url]])&amp;"}")</f>
        <v>,{"label":"Role Cardinality","group":"","id":"7C3A0667-DF23-4810-9BEE-59D939EF88A0","url":"https://open-measure.atlassian.net/wiki/spaces/DIC/pages/78741548"}</v>
      </c>
    </row>
    <row r="384" spans="1:6" ht="13.9" thickTop="1" thickBot="1" x14ac:dyDescent="0.4">
      <c r="A384" s="38">
        <f>IF(ISERR(NodesJSON[[#This Row],[label]]),0,1)</f>
        <v>1</v>
      </c>
      <c r="B384" s="3" t="str">
        <f>NodesData[[#This Row],[Common Name]]</f>
        <v>Role Cardinality Activation Control</v>
      </c>
      <c r="C384" s="3" t="str">
        <f>IF(NodesData[[#This Row],[Context Instanciation]]="","",NodesData[[#This Row],[Context Instanciation]])</f>
        <v/>
      </c>
      <c r="D384" s="22" t="str">
        <f>NodesData[[#This Row],[Node ID]]</f>
        <v>DCADE1C3-9D23-48D0-99A5-D07D7EE414A0</v>
      </c>
      <c r="E384" s="10" t="s">
        <v>1133</v>
      </c>
      <c r="F384" s="25" t="str" cm="1">
        <f t="array" ref="F384">IF(NodesJSON[[#This Row],[Export?]]=0,"",IF(ROW(NodesJSON[[#This Row],[label]])&gt;ROW(NodesJSON[[#Headers],[JSON]])+1,",","") &amp;"{"&amp;twoRangesToJSON(NodesJSON[[#Headers],[label]:[url]],NodesJSON[[#This Row],[label]:[url]])&amp;"}")</f>
        <v>,{"label":"Role Cardinality Activation Control","group":"","id":"DCADE1C3-9D23-48D0-99A5-D07D7EE414A0","url":"https://open-measure.atlassian.net/wiki/spaces/DIC/pages/75956255"}</v>
      </c>
    </row>
    <row r="385" spans="1:6" ht="13.9" thickTop="1" thickBot="1" x14ac:dyDescent="0.4">
      <c r="A385" s="38">
        <f>IF(ISERR(NodesJSON[[#This Row],[label]]),0,1)</f>
        <v>1</v>
      </c>
      <c r="B385" s="3" t="str">
        <f>NodesData[[#This Row],[Common Name]]</f>
        <v>Role Explosion</v>
      </c>
      <c r="C385" s="3" t="str">
        <f>IF(NodesData[[#This Row],[Context Instanciation]]="","",NodesData[[#This Row],[Context Instanciation]])</f>
        <v/>
      </c>
      <c r="D385" s="22" t="str">
        <f>NodesData[[#This Row],[Node ID]]</f>
        <v>BC3FACA4-0E97-4210-B64C-2ABEEB957725</v>
      </c>
      <c r="E385" s="8"/>
      <c r="F385" s="25" t="str" cm="1">
        <f t="array" ref="F385">IF(NodesJSON[[#This Row],[Export?]]=0,"",IF(ROW(NodesJSON[[#This Row],[label]])&gt;ROW(NodesJSON[[#Headers],[JSON]])+1,",","") &amp;"{"&amp;twoRangesToJSON(NodesJSON[[#Headers],[label]:[url]],NodesJSON[[#This Row],[label]:[url]])&amp;"}")</f>
        <v>,{"label":"Role Explosion","group":"","id":"BC3FACA4-0E97-4210-B64C-2ABEEB957725","url":""}</v>
      </c>
    </row>
    <row r="386" spans="1:6" ht="13.9" thickTop="1" thickBot="1" x14ac:dyDescent="0.4">
      <c r="A386" s="38">
        <f>IF(ISERR(NodesJSON[[#This Row],[label]]),0,1)</f>
        <v>1</v>
      </c>
      <c r="B386" s="3" t="str">
        <f>NodesData[[#This Row],[Common Name]]</f>
        <v>Role Management</v>
      </c>
      <c r="C386" s="3" t="str">
        <f>IF(NodesData[[#This Row],[Context Instanciation]]="","",NodesData[[#This Row],[Context Instanciation]])</f>
        <v/>
      </c>
      <c r="D386" s="22" t="str">
        <f>NodesData[[#This Row],[Node ID]]</f>
        <v>4EF4C70A-5545-4CC8-91D4-926D1DBEBFD3</v>
      </c>
      <c r="E386" s="4"/>
      <c r="F386" s="25" t="str" cm="1">
        <f t="array" ref="F386">IF(NodesJSON[[#This Row],[Export?]]=0,"",IF(ROW(NodesJSON[[#This Row],[label]])&gt;ROW(NodesJSON[[#Headers],[JSON]])+1,",","") &amp;"{"&amp;twoRangesToJSON(NodesJSON[[#Headers],[label]:[url]],NodesJSON[[#This Row],[label]:[url]])&amp;"}")</f>
        <v>,{"label":"Role Management","group":"","id":"4EF4C70A-5545-4CC8-91D4-926D1DBEBFD3","url":""}</v>
      </c>
    </row>
    <row r="387" spans="1:6" ht="13.9" thickTop="1" thickBot="1" x14ac:dyDescent="0.4">
      <c r="A387" s="38">
        <f>IF(ISERR(NodesJSON[[#This Row],[label]]),0,1)</f>
        <v>1</v>
      </c>
      <c r="B387" s="3" t="str">
        <f>NodesData[[#This Row],[Common Name]]</f>
        <v>Role-Based Access Control</v>
      </c>
      <c r="C387" s="3" t="str">
        <f>IF(NodesData[[#This Row],[Context Instanciation]]="","",NodesData[[#This Row],[Context Instanciation]])</f>
        <v/>
      </c>
      <c r="D387" s="22" t="str">
        <f>NodesData[[#This Row],[Node ID]]</f>
        <v>099CE096-FB19-46B5-B267-49F027CAE57E</v>
      </c>
      <c r="E387" s="8"/>
      <c r="F387" s="25" t="str" cm="1">
        <f t="array" ref="F387">IF(NodesJSON[[#This Row],[Export?]]=0,"",IF(ROW(NodesJSON[[#This Row],[label]])&gt;ROW(NodesJSON[[#Headers],[JSON]])+1,",","") &amp;"{"&amp;twoRangesToJSON(NodesJSON[[#Headers],[label]:[url]],NodesJSON[[#This Row],[label]:[url]])&amp;"}")</f>
        <v>,{"label":"Role-Based Access Control","group":"","id":"099CE096-FB19-46B5-B267-49F027CAE57E","url":""}</v>
      </c>
    </row>
    <row r="388" spans="1:6" ht="13.9" thickTop="1" thickBot="1" x14ac:dyDescent="0.4">
      <c r="A388" s="38">
        <f>IF(ISERR(NodesJSON[[#This Row],[label]]),0,1)</f>
        <v>1</v>
      </c>
      <c r="B388" s="3" t="str">
        <f>NodesData[[#This Row],[Common Name]]</f>
        <v>RP</v>
      </c>
      <c r="C388" s="3" t="str">
        <f>IF(NodesData[[#This Row],[Context Instanciation]]="","",NodesData[[#This Row],[Context Instanciation]])</f>
        <v/>
      </c>
      <c r="D388" s="22" t="str">
        <f>NodesData[[#This Row],[Node ID]]</f>
        <v>DBA5D7A7-4AEC-4D4C-B4DF-D241E110D70B</v>
      </c>
      <c r="E388" s="10" t="s">
        <v>1135</v>
      </c>
      <c r="F388" s="25" t="str" cm="1">
        <f t="array" ref="F388">IF(NodesJSON[[#This Row],[Export?]]=0,"",IF(ROW(NodesJSON[[#This Row],[label]])&gt;ROW(NodesJSON[[#Headers],[JSON]])+1,",","") &amp;"{"&amp;twoRangesToJSON(NodesJSON[[#Headers],[label]:[url]],NodesJSON[[#This Row],[label]:[url]])&amp;"}")</f>
        <v>,{"label":"RP","group":"","id":"DBA5D7A7-4AEC-4D4C-B4DF-D241E110D70B","url":"https://open-measure.atlassian.net/wiki/spaces/DIC/pages/1270055026/Social+Honeypot"}</v>
      </c>
    </row>
    <row r="389" spans="1:6" ht="13.9" thickTop="1" thickBot="1" x14ac:dyDescent="0.4">
      <c r="A389" s="38">
        <f>IF(ISERR(NodesJSON[[#This Row],[label]]),0,1)</f>
        <v>1</v>
      </c>
      <c r="B389" s="3" t="str">
        <f>NodesData[[#This Row],[Common Name]]</f>
        <v>SAM Database</v>
      </c>
      <c r="C389" s="3" t="str">
        <f>IF(NodesData[[#This Row],[Context Instanciation]]="","",NodesData[[#This Row],[Context Instanciation]])</f>
        <v/>
      </c>
      <c r="D389" s="22" t="str">
        <f>NodesData[[#This Row],[Node ID]]</f>
        <v>E2E7B142-C29A-4741-B84C-5250026C48FB</v>
      </c>
      <c r="E389" s="10" t="s">
        <v>1137</v>
      </c>
      <c r="F389" s="25" t="str" cm="1">
        <f t="array" ref="F389">IF(NodesJSON[[#This Row],[Export?]]=0,"",IF(ROW(NodesJSON[[#This Row],[label]])&gt;ROW(NodesJSON[[#Headers],[JSON]])+1,",","") &amp;"{"&amp;twoRangesToJSON(NodesJSON[[#Headers],[label]:[url]],NodesJSON[[#This Row],[label]:[url]])&amp;"}")</f>
        <v>,{"label":"SAM Database","group":"","id":"E2E7B142-C29A-4741-B84C-5250026C48FB","url":"https://open-measure.atlassian.net/wiki/spaces/DIC/pages/1071317018"}</v>
      </c>
    </row>
    <row r="390" spans="1:6" ht="13.9" thickTop="1" thickBot="1" x14ac:dyDescent="0.4">
      <c r="A390" s="38">
        <f>IF(ISERR(NodesJSON[[#This Row],[label]]),0,1)</f>
        <v>1</v>
      </c>
      <c r="B390" s="3" t="str">
        <f>NodesData[[#This Row],[Common Name]]</f>
        <v>SAML</v>
      </c>
      <c r="C390" s="3" t="str">
        <f>IF(NodesData[[#This Row],[Context Instanciation]]="","",NodesData[[#This Row],[Context Instanciation]])</f>
        <v/>
      </c>
      <c r="D390" s="22" t="str">
        <f>NodesData[[#This Row],[Node ID]]</f>
        <v>90CB2E29-E738-4CF6-94F1-57D1D56A7DE2</v>
      </c>
      <c r="E390" s="4"/>
      <c r="F390" s="25" t="str" cm="1">
        <f t="array" ref="F390">IF(NodesJSON[[#This Row],[Export?]]=0,"",IF(ROW(NodesJSON[[#This Row],[label]])&gt;ROW(NodesJSON[[#Headers],[JSON]])+1,",","") &amp;"{"&amp;twoRangesToJSON(NodesJSON[[#Headers],[label]:[url]],NodesJSON[[#This Row],[label]:[url]])&amp;"}")</f>
        <v>,{"label":"SAML","group":"","id":"90CB2E29-E738-4CF6-94F1-57D1D56A7DE2","url":""}</v>
      </c>
    </row>
    <row r="391" spans="1:6" ht="13.9" thickTop="1" thickBot="1" x14ac:dyDescent="0.4">
      <c r="A391" s="38">
        <f>IF(ISERR(NodesJSON[[#This Row],[label]]),0,1)</f>
        <v>1</v>
      </c>
      <c r="B391" s="3" t="str">
        <f>NodesData[[#This Row],[Common Name]]</f>
        <v>SCIM</v>
      </c>
      <c r="C391" s="3" t="str">
        <f>IF(NodesData[[#This Row],[Context Instanciation]]="","",NodesData[[#This Row],[Context Instanciation]])</f>
        <v/>
      </c>
      <c r="D391" s="22" t="str">
        <f>NodesData[[#This Row],[Node ID]]</f>
        <v>7382999F-2952-47EA-B504-605581DF965D</v>
      </c>
      <c r="E391" s="10" t="s">
        <v>1139</v>
      </c>
      <c r="F391" s="25" t="str" cm="1">
        <f t="array" ref="F391">IF(NodesJSON[[#This Row],[Export?]]=0,"",IF(ROW(NodesJSON[[#This Row],[label]])&gt;ROW(NodesJSON[[#Headers],[JSON]])+1,",","") &amp;"{"&amp;twoRangesToJSON(NodesJSON[[#Headers],[label]:[url]],NodesJSON[[#This Row],[label]:[url]])&amp;"}")</f>
        <v>,{"label":"SCIM","group":"","id":"7382999F-2952-47EA-B504-605581DF965D","url":"https://open-measure.atlassian.net/wiki/spaces/DIC/pages/234487981"}</v>
      </c>
    </row>
    <row r="392" spans="1:6" ht="13.9" thickTop="1" thickBot="1" x14ac:dyDescent="0.4">
      <c r="A392" s="38">
        <f>IF(ISERR(NodesJSON[[#This Row],[label]]),0,1)</f>
        <v>1</v>
      </c>
      <c r="B392" s="3" t="str">
        <f>NodesData[[#This Row],[Common Name]]</f>
        <v>SCIM 1.0</v>
      </c>
      <c r="C392" s="3" t="str">
        <f>IF(NodesData[[#This Row],[Context Instanciation]]="","",NodesData[[#This Row],[Context Instanciation]])</f>
        <v/>
      </c>
      <c r="D392" s="22" t="str">
        <f>NodesData[[#This Row],[Node ID]]</f>
        <v>9B03D500-207D-4BB2-802C-6F943AC2D63B</v>
      </c>
      <c r="E392" s="10" t="s">
        <v>1141</v>
      </c>
      <c r="F392" s="25" t="str" cm="1">
        <f t="array" ref="F392">IF(NodesJSON[[#This Row],[Export?]]=0,"",IF(ROW(NodesJSON[[#This Row],[label]])&gt;ROW(NodesJSON[[#Headers],[JSON]])+1,",","") &amp;"{"&amp;twoRangesToJSON(NodesJSON[[#Headers],[label]:[url]],NodesJSON[[#This Row],[label]:[url]])&amp;"}")</f>
        <v>,{"label":"SCIM 1.0","group":"","id":"9B03D500-207D-4BB2-802C-6F943AC2D63B","url":"https://open-measure.atlassian.net/wiki/spaces/DIC/pages/1142292486"}</v>
      </c>
    </row>
    <row r="393" spans="1:6" ht="13.9" thickTop="1" thickBot="1" x14ac:dyDescent="0.4">
      <c r="A393" s="38">
        <f>IF(ISERR(NodesJSON[[#This Row],[label]]),0,1)</f>
        <v>1</v>
      </c>
      <c r="B393" s="3" t="str">
        <f>NodesData[[#This Row],[Common Name]]</f>
        <v>SCIM 1.1</v>
      </c>
      <c r="C393" s="3" t="str">
        <f>IF(NodesData[[#This Row],[Context Instanciation]]="","",NodesData[[#This Row],[Context Instanciation]])</f>
        <v/>
      </c>
      <c r="D393" s="22" t="str">
        <f>NodesData[[#This Row],[Node ID]]</f>
        <v>068C287A-2C5D-4786-BCBD-0480BF6454FC</v>
      </c>
      <c r="E393" s="10" t="s">
        <v>1143</v>
      </c>
      <c r="F393" s="25" t="str" cm="1">
        <f t="array" ref="F393">IF(NodesJSON[[#This Row],[Export?]]=0,"",IF(ROW(NodesJSON[[#This Row],[label]])&gt;ROW(NodesJSON[[#Headers],[JSON]])+1,",","") &amp;"{"&amp;twoRangesToJSON(NodesJSON[[#Headers],[label]:[url]],NodesJSON[[#This Row],[label]:[url]])&amp;"}")</f>
        <v>,{"label":"SCIM 1.1","group":"","id":"068C287A-2C5D-4786-BCBD-0480BF6454FC","url":"https://open-measure.atlassian.net/wiki/spaces/DIC/pages/1605648"}</v>
      </c>
    </row>
    <row r="394" spans="1:6" ht="13.9" thickTop="1" thickBot="1" x14ac:dyDescent="0.4">
      <c r="A394" s="38">
        <f>IF(ISERR(NodesJSON[[#This Row],[label]]),0,1)</f>
        <v>1</v>
      </c>
      <c r="B394" s="3" t="str">
        <f>NodesData[[#This Row],[Common Name]]</f>
        <v>SCIM 2.0</v>
      </c>
      <c r="C394" s="3" t="str">
        <f>IF(NodesData[[#This Row],[Context Instanciation]]="","",NodesData[[#This Row],[Context Instanciation]])</f>
        <v/>
      </c>
      <c r="D394" s="22" t="str">
        <f>NodesData[[#This Row],[Node ID]]</f>
        <v>2B4F240D-0052-45E8-9E88-D64C6CE7E498</v>
      </c>
      <c r="E394" s="10" t="s">
        <v>1145</v>
      </c>
      <c r="F394" s="25" t="str" cm="1">
        <f t="array" ref="F394">IF(NodesJSON[[#This Row],[Export?]]=0,"",IF(ROW(NodesJSON[[#This Row],[label]])&gt;ROW(NodesJSON[[#Headers],[JSON]])+1,",","") &amp;"{"&amp;twoRangesToJSON(NodesJSON[[#Headers],[label]:[url]],NodesJSON[[#This Row],[label]:[url]])&amp;"}")</f>
        <v>,{"label":"SCIM 2.0","group":"","id":"2B4F240D-0052-45E8-9E88-D64C6CE7E498","url":"https://open-measure.atlassian.net/wiki/spaces/DIC/pages/1027342899"}</v>
      </c>
    </row>
    <row r="395" spans="1:6" ht="13.9" thickTop="1" thickBot="1" x14ac:dyDescent="0.4">
      <c r="A395" s="38">
        <f>IF(ISERR(NodesJSON[[#This Row],[label]]),0,1)</f>
        <v>1</v>
      </c>
      <c r="B395" s="3" t="str">
        <f>NodesData[[#This Row],[Common Name]]</f>
        <v>Scoping</v>
      </c>
      <c r="C395" s="3" t="str">
        <f>IF(NodesData[[#This Row],[Context Instanciation]]="","",NodesData[[#This Row],[Context Instanciation]])</f>
        <v/>
      </c>
      <c r="D395" s="22" t="str">
        <f>NodesData[[#This Row],[Node ID]]</f>
        <v>9A0E73FF-74F8-416B-9C01-C74D1A9F62AA</v>
      </c>
      <c r="E395" s="10" t="s">
        <v>1146</v>
      </c>
      <c r="F395" s="25" t="str" cm="1">
        <f t="array" ref="F395">IF(NodesJSON[[#This Row],[Export?]]=0,"",IF(ROW(NodesJSON[[#This Row],[label]])&gt;ROW(NodesJSON[[#Headers],[JSON]])+1,",","") &amp;"{"&amp;twoRangesToJSON(NodesJSON[[#Headers],[label]:[url]],NodesJSON[[#This Row],[label]:[url]])&amp;"}")</f>
        <v>,{"label":"Scoping","group":"","id":"9A0E73FF-74F8-416B-9C01-C74D1A9F62AA","url":"https://open-measure.atlassian.net/wiki/spaces/DIC/pages/1311113221/SSI"}</v>
      </c>
    </row>
    <row r="396" spans="1:6" ht="13.9" thickTop="1" thickBot="1" x14ac:dyDescent="0.4">
      <c r="A396" s="38">
        <f>IF(ISERR(NodesJSON[[#This Row],[label]]),0,1)</f>
        <v>1</v>
      </c>
      <c r="B396" s="3" t="str">
        <f>NodesData[[#This Row],[Common Name]]</f>
        <v>SD</v>
      </c>
      <c r="C396" s="3" t="str">
        <f>IF(NodesData[[#This Row],[Context Instanciation]]="","",NodesData[[#This Row],[Context Instanciation]])</f>
        <v/>
      </c>
      <c r="D396" s="22" t="str">
        <f>NodesData[[#This Row],[Node ID]]</f>
        <v>F3DBFDA7-7228-4271-8DFE-C4B3274FC824</v>
      </c>
      <c r="E396" s="10" t="s">
        <v>1148</v>
      </c>
      <c r="F396" s="25" t="str" cm="1">
        <f t="array" ref="F396">IF(NodesJSON[[#This Row],[Export?]]=0,"",IF(ROW(NodesJSON[[#This Row],[label]])&gt;ROW(NodesJSON[[#Headers],[JSON]])+1,",","") &amp;"{"&amp;twoRangesToJSON(NodesJSON[[#Headers],[label]:[url]],NodesJSON[[#This Row],[label]:[url]])&amp;"}")</f>
        <v>,{"label":"SD","group":"","id":"F3DBFDA7-7228-4271-8DFE-C4B3274FC824","url":"https://open-measure.atlassian.net/wiki/spaces/DIC/pages/75956237"}</v>
      </c>
    </row>
    <row r="397" spans="1:6" ht="13.9" thickTop="1" thickBot="1" x14ac:dyDescent="0.4">
      <c r="A397" s="38">
        <f>IF(ISERR(NodesJSON[[#This Row],[label]]),0,1)</f>
        <v>1</v>
      </c>
      <c r="B397" s="3" t="str">
        <f>NodesData[[#This Row],[Common Name]]</f>
        <v>SDP</v>
      </c>
      <c r="C397" s="3" t="str">
        <f>IF(NodesData[[#This Row],[Context Instanciation]]="","",NodesData[[#This Row],[Context Instanciation]])</f>
        <v/>
      </c>
      <c r="D397" s="22" t="str">
        <f>NodesData[[#This Row],[Node ID]]</f>
        <v>870FB524-FE12-4832-B874-1EDAC17758D5</v>
      </c>
      <c r="E397" s="8"/>
      <c r="F397" s="25" t="str" cm="1">
        <f t="array" ref="F397">IF(NodesJSON[[#This Row],[Export?]]=0,"",IF(ROW(NodesJSON[[#This Row],[label]])&gt;ROW(NodesJSON[[#Headers],[JSON]])+1,",","") &amp;"{"&amp;twoRangesToJSON(NodesJSON[[#Headers],[label]:[url]],NodesJSON[[#This Row],[label]:[url]])&amp;"}")</f>
        <v>,{"label":"SDP","group":"","id":"870FB524-FE12-4832-B874-1EDAC17758D5","url":""}</v>
      </c>
    </row>
    <row r="398" spans="1:6" ht="13.9" thickTop="1" thickBot="1" x14ac:dyDescent="0.4">
      <c r="A398" s="38">
        <f>IF(ISERR(NodesJSON[[#This Row],[label]]),0,1)</f>
        <v>1</v>
      </c>
      <c r="B398" s="3" t="str">
        <f>NodesData[[#This Row],[Common Name]]</f>
        <v>Secure Production Identity Framework for Everyone</v>
      </c>
      <c r="C398" s="3" t="str">
        <f>IF(NodesData[[#This Row],[Context Instanciation]]="","",NodesData[[#This Row],[Context Instanciation]])</f>
        <v/>
      </c>
      <c r="D398" s="22" t="str">
        <f>NodesData[[#This Row],[Node ID]]</f>
        <v>EBE8666B-589D-4A28-A63A-EAF39B999CEE</v>
      </c>
      <c r="E398" s="10" t="s">
        <v>1150</v>
      </c>
      <c r="F398" s="25" t="str" cm="1">
        <f t="array" ref="F398">IF(NodesJSON[[#This Row],[Export?]]=0,"",IF(ROW(NodesJSON[[#This Row],[label]])&gt;ROW(NodesJSON[[#Headers],[JSON]])+1,",","") &amp;"{"&amp;twoRangesToJSON(NodesJSON[[#Headers],[label]:[url]],NodesJSON[[#This Row],[label]:[url]])&amp;"}")</f>
        <v>,{"label":"Secure Production Identity Framework for Everyone","group":"","id":"EBE8666B-589D-4A28-A63A-EAF39B999CEE","url":"https://open-measure.atlassian.net/wiki/spaces/DIC/pages/998244645"}</v>
      </c>
    </row>
    <row r="399" spans="1:6" ht="13.9" thickTop="1" thickBot="1" x14ac:dyDescent="0.4">
      <c r="A399" s="38">
        <f>IF(ISERR(NodesJSON[[#This Row],[label]]),0,1)</f>
        <v>1</v>
      </c>
      <c r="B399" s="3" t="str">
        <f>NodesData[[#This Row],[Common Name]]</f>
        <v>Secure System</v>
      </c>
      <c r="C399" s="3" t="str">
        <f>IF(NodesData[[#This Row],[Context Instanciation]]="","",NodesData[[#This Row],[Context Instanciation]])</f>
        <v/>
      </c>
      <c r="D399" s="22" t="str">
        <f>NodesData[[#This Row],[Node ID]]</f>
        <v>F28930DB-08DB-4FDE-BD0C-8BF3A4F7F48F</v>
      </c>
      <c r="E399" s="10" t="s">
        <v>1152</v>
      </c>
      <c r="F399" s="25" t="str" cm="1">
        <f t="array" ref="F399">IF(NodesJSON[[#This Row],[Export?]]=0,"",IF(ROW(NodesJSON[[#This Row],[label]])&gt;ROW(NodesJSON[[#Headers],[JSON]])+1,",","") &amp;"{"&amp;twoRangesToJSON(NodesJSON[[#Headers],[label]:[url]],NodesJSON[[#This Row],[label]:[url]])&amp;"}")</f>
        <v>,{"label":"Secure System","group":"","id":"F28930DB-08DB-4FDE-BD0C-8BF3A4F7F48F","url":"https://open-measure.atlassian.net/wiki/spaces/DIC/pages/1311763"}</v>
      </c>
    </row>
    <row r="400" spans="1:6" ht="13.9" thickTop="1" thickBot="1" x14ac:dyDescent="0.4">
      <c r="A400" s="38">
        <f>IF(ISERR(NodesJSON[[#This Row],[label]]),0,1)</f>
        <v>1</v>
      </c>
      <c r="B400" s="3" t="str">
        <f>NodesData[[#This Row],[Common Name]]</f>
        <v>Security</v>
      </c>
      <c r="C400" s="3" t="str">
        <f>IF(NodesData[[#This Row],[Context Instanciation]]="","",NodesData[[#This Row],[Context Instanciation]])</f>
        <v/>
      </c>
      <c r="D400" s="22" t="str">
        <f>NodesData[[#This Row],[Node ID]]</f>
        <v>5F072FEA-2F7C-4A5F-96C3-CCB07DB37FA7</v>
      </c>
      <c r="E400" s="10" t="s">
        <v>1134</v>
      </c>
      <c r="F400" s="25" t="str" cm="1">
        <f t="array" ref="F400">IF(NodesJSON[[#This Row],[Export?]]=0,"",IF(ROW(NodesJSON[[#This Row],[label]])&gt;ROW(NodesJSON[[#Headers],[JSON]])+1,",","") &amp;"{"&amp;twoRangesToJSON(NodesJSON[[#Headers],[label]:[url]],NodesJSON[[#This Row],[label]:[url]])&amp;"}")</f>
        <v>,{"label":"Security","group":"","id":"5F072FEA-2F7C-4A5F-96C3-CCB07DB37FA7","url":"https://open-measure.atlassian.net/wiki/spaces/DIC/pages/1600684200/Social+Authentication"}</v>
      </c>
    </row>
    <row r="401" spans="1:6" ht="13.9" thickTop="1" thickBot="1" x14ac:dyDescent="0.4">
      <c r="A401" s="38">
        <f>IF(ISERR(NodesJSON[[#This Row],[label]]),0,1)</f>
        <v>1</v>
      </c>
      <c r="B401" s="3" t="str">
        <f>NodesData[[#This Row],[Common Name]]</f>
        <v>Security Accounts Manager</v>
      </c>
      <c r="C401" s="3" t="str">
        <f>IF(NodesData[[#This Row],[Context Instanciation]]="","",NodesData[[#This Row],[Context Instanciation]])</f>
        <v/>
      </c>
      <c r="D401" s="22" t="str">
        <f>NodesData[[#This Row],[Node ID]]</f>
        <v>BCAB190F-35D0-4C68-879E-9C761061AF4C</v>
      </c>
      <c r="E401" s="10" t="s">
        <v>1155</v>
      </c>
      <c r="F401" s="25" t="str" cm="1">
        <f t="array" ref="F401">IF(NodesJSON[[#This Row],[Export?]]=0,"",IF(ROW(NodesJSON[[#This Row],[label]])&gt;ROW(NodesJSON[[#Headers],[JSON]])+1,",","") &amp;"{"&amp;twoRangesToJSON(NodesJSON[[#Headers],[label]:[url]],NodesJSON[[#This Row],[label]:[url]])&amp;"}")</f>
        <v>,{"label":"Security Accounts Manager","group":"","id":"BCAB190F-35D0-4C68-879E-9C761061AF4C","url":"https://open-measure.atlassian.net/wiki/spaces/DIC/pages/1540175"}</v>
      </c>
    </row>
    <row r="402" spans="1:6" ht="13.9" thickTop="1" thickBot="1" x14ac:dyDescent="0.4">
      <c r="A402" s="38">
        <f>IF(ISERR(NodesJSON[[#This Row],[label]]),0,1)</f>
        <v>1</v>
      </c>
      <c r="B402" s="3" t="str">
        <f>NodesData[[#This Row],[Common Name]]</f>
        <v>Security Assertion Markup Language</v>
      </c>
      <c r="C402" s="3" t="str">
        <f>IF(NodesData[[#This Row],[Context Instanciation]]="","",NodesData[[#This Row],[Context Instanciation]])</f>
        <v/>
      </c>
      <c r="D402" s="22" t="str">
        <f>NodesData[[#This Row],[Node ID]]</f>
        <v>044E1028-928F-4A2E-BEFF-BA6CA0550388</v>
      </c>
      <c r="E402" s="10" t="s">
        <v>1157</v>
      </c>
      <c r="F402" s="25" t="str" cm="1">
        <f t="array" ref="F402">IF(NodesJSON[[#This Row],[Export?]]=0,"",IF(ROW(NodesJSON[[#This Row],[label]])&gt;ROW(NodesJSON[[#Headers],[JSON]])+1,",","") &amp;"{"&amp;twoRangesToJSON(NodesJSON[[#Headers],[label]:[url]],NodesJSON[[#This Row],[label]:[url]])&amp;"}")</f>
        <v>,{"label":"Security Assertion Markup Language","group":"","id":"044E1028-928F-4A2E-BEFF-BA6CA0550388","url":"https://open-measure.atlassian.net/wiki/spaces/DIC/pages/1181909085"}</v>
      </c>
    </row>
    <row r="403" spans="1:6" ht="13.9" thickTop="1" thickBot="1" x14ac:dyDescent="0.4">
      <c r="A403" s="38">
        <f>IF(ISERR(NodesJSON[[#This Row],[label]]),0,1)</f>
        <v>1</v>
      </c>
      <c r="B403" s="3" t="str">
        <f>NodesData[[#This Row],[Common Name]]</f>
        <v>Security Clearance Level</v>
      </c>
      <c r="C403" s="3" t="str">
        <f>IF(NodesData[[#This Row],[Context Instanciation]]="","",NodesData[[#This Row],[Context Instanciation]])</f>
        <v/>
      </c>
      <c r="D403" s="22" t="str">
        <f>NodesData[[#This Row],[Node ID]]</f>
        <v>671AAD33-6134-431E-835D-B5AF1E68D11E</v>
      </c>
      <c r="E403" s="10" t="s">
        <v>1153</v>
      </c>
      <c r="F403" s="25" t="str" cm="1">
        <f t="array" ref="F403">IF(NodesJSON[[#This Row],[Export?]]=0,"",IF(ROW(NodesJSON[[#This Row],[label]])&gt;ROW(NodesJSON[[#Headers],[JSON]])+1,",","") &amp;"{"&amp;twoRangesToJSON(NodesJSON[[#Headers],[label]:[url]],NodesJSON[[#This Row],[label]:[url]])&amp;"}")</f>
        <v>,{"label":"Security Clearance Level","group":"","id":"671AAD33-6134-431E-835D-B5AF1E68D11E","url":"https://open-measure.atlassian.net/wiki/spaces/DIC/pages/663257097/Step-Up+Authentication"}</v>
      </c>
    </row>
    <row r="404" spans="1:6" ht="13.9" thickTop="1" thickBot="1" x14ac:dyDescent="0.4">
      <c r="A404" s="38">
        <f>IF(ISERR(NodesJSON[[#This Row],[label]]),0,1)</f>
        <v>1</v>
      </c>
      <c r="B404" s="3" t="str">
        <f>NodesData[[#This Row],[Common Name]]</f>
        <v>Security Compartment</v>
      </c>
      <c r="C404" s="3" t="str">
        <f>IF(NodesData[[#This Row],[Context Instanciation]]="","",NodesData[[#This Row],[Context Instanciation]])</f>
        <v/>
      </c>
      <c r="D404" s="22" t="str">
        <f>NodesData[[#This Row],[Node ID]]</f>
        <v>94503EA9-AD38-4C11-9DE6-444F395D8365</v>
      </c>
      <c r="E404" s="10" t="s">
        <v>1161</v>
      </c>
      <c r="F404" s="25" t="str" cm="1">
        <f t="array" ref="F404">IF(NodesJSON[[#This Row],[Export?]]=0,"",IF(ROW(NodesJSON[[#This Row],[label]])&gt;ROW(NodesJSON[[#Headers],[JSON]])+1,",","") &amp;"{"&amp;twoRangesToJSON(NodesJSON[[#Headers],[label]:[url]],NodesJSON[[#This Row],[label]:[url]])&amp;"}")</f>
        <v>,{"label":"Security Compartment","group":"","id":"94503EA9-AD38-4C11-9DE6-444F395D8365","url":"https://open-measure.atlassian.net/wiki/spaces/DIC/pages/1177747756"}</v>
      </c>
    </row>
    <row r="405" spans="1:6" ht="13.9" thickTop="1" thickBot="1" x14ac:dyDescent="0.4">
      <c r="A405" s="38">
        <f>IF(ISERR(NodesJSON[[#This Row],[label]]),0,1)</f>
        <v>1</v>
      </c>
      <c r="B405" s="3" t="str">
        <f>NodesData[[#This Row],[Common Name]]</f>
        <v>Security Label</v>
      </c>
      <c r="C405" s="3" t="str">
        <f>IF(NodesData[[#This Row],[Context Instanciation]]="","",NodesData[[#This Row],[Context Instanciation]])</f>
        <v/>
      </c>
      <c r="D405" s="22" t="str">
        <f>NodesData[[#This Row],[Node ID]]</f>
        <v>101FEA1C-4D3E-4582-81FA-C05674414CAE</v>
      </c>
      <c r="E405" s="10" t="s">
        <v>1163</v>
      </c>
      <c r="F405" s="25" t="str" cm="1">
        <f t="array" ref="F405">IF(NodesJSON[[#This Row],[Export?]]=0,"",IF(ROW(NodesJSON[[#This Row],[label]])&gt;ROW(NodesJSON[[#Headers],[JSON]])+1,",","") &amp;"{"&amp;twoRangesToJSON(NodesJSON[[#Headers],[label]:[url]],NodesJSON[[#This Row],[label]:[url]])&amp;"}")</f>
        <v>,{"label":"Security Label","group":"","id":"101FEA1C-4D3E-4582-81FA-C05674414CAE","url":"https://open-measure.atlassian.net/wiki/spaces/DIC/pages/67600697"}</v>
      </c>
    </row>
    <row r="406" spans="1:6" ht="13.9" thickTop="1" thickBot="1" x14ac:dyDescent="0.4">
      <c r="A406" s="38">
        <f>IF(ISERR(NodesJSON[[#This Row],[label]]),0,1)</f>
        <v>1</v>
      </c>
      <c r="B406" s="3" t="str">
        <f>NodesData[[#This Row],[Common Name]]</f>
        <v>Security Question Authentication</v>
      </c>
      <c r="C406" s="3" t="str">
        <f>IF(NodesData[[#This Row],[Context Instanciation]]="","",NodesData[[#This Row],[Context Instanciation]])</f>
        <v/>
      </c>
      <c r="D406" s="22" t="str">
        <f>NodesData[[#This Row],[Node ID]]</f>
        <v>70454EDE-B6AA-47CB-9D8D-75E86F2B4D43</v>
      </c>
      <c r="E406" s="10" t="s">
        <v>1165</v>
      </c>
      <c r="F406" s="25" t="str" cm="1">
        <f t="array" ref="F406">IF(NodesJSON[[#This Row],[Export?]]=0,"",IF(ROW(NodesJSON[[#This Row],[label]])&gt;ROW(NodesJSON[[#Headers],[JSON]])+1,",","") &amp;"{"&amp;twoRangesToJSON(NodesJSON[[#Headers],[label]:[url]],NodesJSON[[#This Row],[label]:[url]])&amp;"}")</f>
        <v>,{"label":"Security Question Authentication","group":"","id":"70454EDE-B6AA-47CB-9D8D-75E86F2B4D43","url":"https://open-measure.atlassian.net/wiki/spaces/DIC/pages/2981920"}</v>
      </c>
    </row>
    <row r="407" spans="1:6" ht="13.9" thickTop="1" thickBot="1" x14ac:dyDescent="0.4">
      <c r="A407" s="38">
        <f>IF(ISERR(NodesJSON[[#This Row],[label]]),0,1)</f>
        <v>1</v>
      </c>
      <c r="B407" s="3" t="str">
        <f>NodesData[[#This Row],[Common Name]]</f>
        <v>Segregation of Duties</v>
      </c>
      <c r="C407" s="3" t="str">
        <f>IF(NodesData[[#This Row],[Context Instanciation]]="","",NodesData[[#This Row],[Context Instanciation]])</f>
        <v/>
      </c>
      <c r="D407" s="22" t="str">
        <f>NodesData[[#This Row],[Node ID]]</f>
        <v>48BA8CF1-C437-4C55-A6D7-66A9DCEEACBF</v>
      </c>
      <c r="E407" s="10" t="s">
        <v>1166</v>
      </c>
      <c r="F407" s="25" t="str" cm="1">
        <f t="array" ref="F407">IF(NodesJSON[[#This Row],[Export?]]=0,"",IF(ROW(NodesJSON[[#This Row],[label]])&gt;ROW(NodesJSON[[#Headers],[JSON]])+1,",","") &amp;"{"&amp;twoRangesToJSON(NodesJSON[[#Headers],[label]:[url]],NodesJSON[[#This Row],[label]:[url]])&amp;"}")</f>
        <v>,{"label":"Segregation of Duties","group":"","id":"48BA8CF1-C437-4C55-A6D7-66A9DCEEACBF","url":"https://open-measure.atlassian.net/wiki/spaces/DIC/pages/1477869640/Supply+Chain+Attack"}</v>
      </c>
    </row>
    <row r="408" spans="1:6" ht="13.9" thickTop="1" thickBot="1" x14ac:dyDescent="0.4">
      <c r="A408" s="38">
        <f>IF(ISERR(NodesJSON[[#This Row],[label]]),0,1)</f>
        <v>1</v>
      </c>
      <c r="B408" s="3" t="str">
        <f>NodesData[[#This Row],[Common Name]]</f>
        <v>Self-Sovereign Identity</v>
      </c>
      <c r="C408" s="3" t="str">
        <f>IF(NodesData[[#This Row],[Context Instanciation]]="","",NodesData[[#This Row],[Context Instanciation]])</f>
        <v/>
      </c>
      <c r="D408" s="22" t="str">
        <f>NodesData[[#This Row],[Node ID]]</f>
        <v>E3BCF096-5AFF-4C75-9900-F8ED3FA2B44C</v>
      </c>
      <c r="E408" s="10" t="s">
        <v>1167</v>
      </c>
      <c r="F408" s="25" t="str" cm="1">
        <f t="array" ref="F408">IF(NodesJSON[[#This Row],[Export?]]=0,"",IF(ROW(NodesJSON[[#This Row],[label]])&gt;ROW(NodesJSON[[#Headers],[JSON]])+1,",","") &amp;"{"&amp;twoRangesToJSON(NodesJSON[[#Headers],[label]:[url]],NodesJSON[[#This Row],[label]:[url]])&amp;"}")</f>
        <v>,{"label":"Self-Sovereign Identity","group":"","id":"E3BCF096-5AFF-4C75-9900-F8ED3FA2B44C","url":"https://open-measure.atlassian.net/wiki/spaces/DIC/pages/1254588545/Sybil+Attack"}</v>
      </c>
    </row>
    <row r="409" spans="1:6" ht="13.9" thickTop="1" thickBot="1" x14ac:dyDescent="0.4">
      <c r="A409" s="38">
        <f>IF(ISERR(NodesJSON[[#This Row],[label]]),0,1)</f>
        <v>1</v>
      </c>
      <c r="B409" s="3" t="str">
        <f>NodesData[[#This Row],[Common Name]]</f>
        <v>Semantic Differential</v>
      </c>
      <c r="C409" s="3" t="str">
        <f>IF(NodesData[[#This Row],[Context Instanciation]]="","",NodesData[[#This Row],[Context Instanciation]])</f>
        <v/>
      </c>
      <c r="D409" s="22" t="str">
        <f>NodesData[[#This Row],[Node ID]]</f>
        <v>3E6ECBFC-E5E3-4C64-A06B-DCC89DC4CBDD</v>
      </c>
      <c r="E409" s="10" t="s">
        <v>1169</v>
      </c>
      <c r="F409" s="25" t="str" cm="1">
        <f t="array" ref="F409">IF(NodesJSON[[#This Row],[Export?]]=0,"",IF(ROW(NodesJSON[[#This Row],[label]])&gt;ROW(NodesJSON[[#Headers],[JSON]])+1,",","") &amp;"{"&amp;twoRangesToJSON(NodesJSON[[#Headers],[label]:[url]],NodesJSON[[#This Row],[label]:[url]])&amp;"}")</f>
        <v>,{"label":"Semantic Differential","group":"","id":"3E6ECBFC-E5E3-4C64-A06B-DCC89DC4CBDD","url":"https://open-measure.atlassian.net/wiki/spaces/DIC/pages/794296433"}</v>
      </c>
    </row>
    <row r="410" spans="1:6" ht="13.9" thickTop="1" thickBot="1" x14ac:dyDescent="0.4">
      <c r="A410" s="38">
        <f>IF(ISERR(NodesJSON[[#This Row],[label]]),0,1)</f>
        <v>1</v>
      </c>
      <c r="B410" s="3" t="str">
        <f>NodesData[[#This Row],[Common Name]]</f>
        <v>Service Account</v>
      </c>
      <c r="C410" s="3" t="str">
        <f>IF(NodesData[[#This Row],[Context Instanciation]]="","",NodesData[[#This Row],[Context Instanciation]])</f>
        <v/>
      </c>
      <c r="D410" s="22" t="str">
        <f>NodesData[[#This Row],[Node ID]]</f>
        <v>838B156E-51C7-49AD-86E5-021CE1C76CEF</v>
      </c>
      <c r="E410" s="10" t="s">
        <v>1170</v>
      </c>
      <c r="F410" s="25" t="str" cm="1">
        <f t="array" ref="F410">IF(NodesJSON[[#This Row],[Export?]]=0,"",IF(ROW(NodesJSON[[#This Row],[label]])&gt;ROW(NodesJSON[[#Headers],[JSON]])+1,",","") &amp;"{"&amp;twoRangesToJSON(NodesJSON[[#Headers],[label]:[url]],NodesJSON[[#This Row],[label]:[url]])&amp;"}")</f>
        <v>,{"label":"Service Account","group":"","id":"838B156E-51C7-49AD-86E5-021CE1C76CEF","url":"https://open-measure.atlassian.net/wiki/spaces/DIC/pages/5965562/System"}</v>
      </c>
    </row>
    <row r="411" spans="1:6" ht="13.9" thickTop="1" thickBot="1" x14ac:dyDescent="0.4">
      <c r="A411" s="38">
        <f>IF(ISERR(NodesJSON[[#This Row],[label]]),0,1)</f>
        <v>1</v>
      </c>
      <c r="B411" s="3" t="str">
        <f>NodesData[[#This Row],[Common Name]]</f>
        <v>Service-Centric Identity Management System</v>
      </c>
      <c r="C411" s="3" t="str">
        <f>IF(NodesData[[#This Row],[Context Instanciation]]="","",NodesData[[#This Row],[Context Instanciation]])</f>
        <v/>
      </c>
      <c r="D411" s="22" t="str">
        <f>NodesData[[#This Row],[Node ID]]</f>
        <v>E291FC5B-160B-4794-A024-5F76EC077C72</v>
      </c>
      <c r="E411" s="10" t="s">
        <v>1171</v>
      </c>
      <c r="F411" s="25" t="str" cm="1">
        <f t="array" ref="F411">IF(NodesJSON[[#This Row],[Export?]]=0,"",IF(ROW(NodesJSON[[#This Row],[label]])&gt;ROW(NodesJSON[[#Headers],[JSON]])+1,",","") &amp;"{"&amp;twoRangesToJSON(NodesJSON[[#Headers],[label]:[url]],NodesJSON[[#This Row],[label]:[url]])&amp;"}")</f>
        <v>,{"label":"Service-Centric Identity Management System","group":"","id":"E291FC5B-160B-4794-A024-5F76EC077C72","url":"https://open-measure.atlassian.net/wiki/spaces/DIC/pages/446824644/System+Boundaries"}</v>
      </c>
    </row>
    <row r="412" spans="1:6" ht="13.9" thickTop="1" thickBot="1" x14ac:dyDescent="0.4">
      <c r="A412" s="38">
        <f>IF(ISERR(NodesJSON[[#This Row],[label]]),0,1)</f>
        <v>1</v>
      </c>
      <c r="B412" s="3" t="str">
        <f>NodesData[[#This Row],[Common Name]]</f>
        <v>Session</v>
      </c>
      <c r="C412" s="3" t="str">
        <f>IF(NodesData[[#This Row],[Context Instanciation]]="","",NodesData[[#This Row],[Context Instanciation]])</f>
        <v/>
      </c>
      <c r="D412" s="22" t="str">
        <f>NodesData[[#This Row],[Node ID]]</f>
        <v>B2C6C1CF-A55F-46DF-B4F4-5EA1CE8E7DE2</v>
      </c>
      <c r="E412" s="10" t="s">
        <v>1173</v>
      </c>
      <c r="F412" s="25" t="str" cm="1">
        <f t="array" ref="F412">IF(NodesJSON[[#This Row],[Export?]]=0,"",IF(ROW(NodesJSON[[#This Row],[label]])&gt;ROW(NodesJSON[[#Headers],[JSON]])+1,",","") &amp;"{"&amp;twoRangesToJSON(NodesJSON[[#Headers],[label]:[url]],NodesJSON[[#This Row],[label]:[url]])&amp;"}")</f>
        <v>,{"label":"Session","group":"","id":"B2C6C1CF-A55F-46DF-B4F4-5EA1CE8E7DE2","url":"https://open-measure.atlassian.net/wiki/spaces/DIC/pages/206372869"}</v>
      </c>
    </row>
    <row r="413" spans="1:6" ht="13.9" thickTop="1" thickBot="1" x14ac:dyDescent="0.4">
      <c r="A413" s="38">
        <f>IF(ISERR(NodesJSON[[#This Row],[label]]),0,1)</f>
        <v>1</v>
      </c>
      <c r="B413" s="3" t="str">
        <f>NodesData[[#This Row],[Common Name]]</f>
        <v>Session Authentication</v>
      </c>
      <c r="C413" s="3" t="str">
        <f>IF(NodesData[[#This Row],[Context Instanciation]]="","",NodesData[[#This Row],[Context Instanciation]])</f>
        <v/>
      </c>
      <c r="D413" s="22" t="str">
        <f>NodesData[[#This Row],[Node ID]]</f>
        <v>51BB27DC-A631-4ECF-A85A-AE6DB1ADB8CB</v>
      </c>
      <c r="E413" s="10" t="s">
        <v>1175</v>
      </c>
      <c r="F413" s="25" t="str" cm="1">
        <f t="array" ref="F413">IF(NodesJSON[[#This Row],[Export?]]=0,"",IF(ROW(NodesJSON[[#This Row],[label]])&gt;ROW(NodesJSON[[#Headers],[JSON]])+1,",","") &amp;"{"&amp;twoRangesToJSON(NodesJSON[[#Headers],[label]:[url]],NodesJSON[[#This Row],[label]:[url]])&amp;"}")</f>
        <v>,{"label":"Session Authentication","group":"","id":"51BB27DC-A631-4ECF-A85A-AE6DB1ADB8CB","url":"https://open-measure.atlassian.net/wiki/spaces/DIC/pages/1004961963"}</v>
      </c>
    </row>
    <row r="414" spans="1:6" ht="13.9" thickTop="1" thickBot="1" x14ac:dyDescent="0.4">
      <c r="A414" s="38">
        <f>IF(ISERR(NodesJSON[[#This Row],[label]]),0,1)</f>
        <v>1</v>
      </c>
      <c r="B414" s="3" t="str">
        <f>NodesData[[#This Row],[Common Name]]</f>
        <v>Single Login</v>
      </c>
      <c r="C414" s="3" t="str">
        <f>IF(NodesData[[#This Row],[Context Instanciation]]="","",NodesData[[#This Row],[Context Instanciation]])</f>
        <v/>
      </c>
      <c r="D414" s="22" t="str">
        <f>NodesData[[#This Row],[Node ID]]</f>
        <v>3F0327EF-55D4-4729-8C46-C2BCCAB37CBE</v>
      </c>
      <c r="E414" s="10" t="s">
        <v>1177</v>
      </c>
      <c r="F414" s="25" t="str" cm="1">
        <f t="array" ref="F414">IF(NodesJSON[[#This Row],[Export?]]=0,"",IF(ROW(NodesJSON[[#This Row],[label]])&gt;ROW(NodesJSON[[#Headers],[JSON]])+1,",","") &amp;"{"&amp;twoRangesToJSON(NodesJSON[[#Headers],[label]:[url]],NodesJSON[[#This Row],[label]:[url]])&amp;"}")</f>
        <v>,{"label":"Single Login","group":"","id":"3F0327EF-55D4-4729-8C46-C2BCCAB37CBE","url":"https://open-measure.atlassian.net/wiki/spaces/DIC/pages/1226571890"}</v>
      </c>
    </row>
    <row r="415" spans="1:6" ht="13.9" thickTop="1" thickBot="1" x14ac:dyDescent="0.4">
      <c r="A415" s="38">
        <f>IF(ISERR(NodesJSON[[#This Row],[label]]),0,1)</f>
        <v>1</v>
      </c>
      <c r="B415" s="3" t="str">
        <f>NodesData[[#This Row],[Common Name]]</f>
        <v>Single Sign-On</v>
      </c>
      <c r="C415" s="3" t="str">
        <f>IF(NodesData[[#This Row],[Context Instanciation]]="","",NodesData[[#This Row],[Context Instanciation]])</f>
        <v/>
      </c>
      <c r="D415" s="22" t="str">
        <f>NodesData[[#This Row],[Node ID]]</f>
        <v>BB5A4945-7680-42C0-9AE5-C6DC4F302773</v>
      </c>
      <c r="E415" s="4"/>
      <c r="F415" s="25" t="str" cm="1">
        <f t="array" ref="F415">IF(NodesJSON[[#This Row],[Export?]]=0,"",IF(ROW(NodesJSON[[#This Row],[label]])&gt;ROW(NodesJSON[[#Headers],[JSON]])+1,",","") &amp;"{"&amp;twoRangesToJSON(NodesJSON[[#Headers],[label]:[url]],NodesJSON[[#This Row],[label]:[url]])&amp;"}")</f>
        <v>,{"label":"Single Sign-On","group":"","id":"BB5A4945-7680-42C0-9AE5-C6DC4F302773","url":""}</v>
      </c>
    </row>
    <row r="416" spans="1:6" ht="13.9" thickTop="1" thickBot="1" x14ac:dyDescent="0.4">
      <c r="A416" s="38">
        <f>IF(ISERR(NodesJSON[[#This Row],[label]]),0,1)</f>
        <v>1</v>
      </c>
      <c r="B416" s="3" t="str">
        <f>NodesData[[#This Row],[Common Name]]</f>
        <v>SMS OTP</v>
      </c>
      <c r="C416" s="3" t="str">
        <f>IF(NodesData[[#This Row],[Context Instanciation]]="","",NodesData[[#This Row],[Context Instanciation]])</f>
        <v/>
      </c>
      <c r="D416" s="22" t="str">
        <f>NodesData[[#This Row],[Node ID]]</f>
        <v>6389E521-8890-4428-BC27-16436CA97E0E</v>
      </c>
      <c r="E416" s="10" t="s">
        <v>1179</v>
      </c>
      <c r="F416" s="25" t="str" cm="1">
        <f t="array" ref="F416">IF(NodesJSON[[#This Row],[Export?]]=0,"",IF(ROW(NodesJSON[[#This Row],[label]])&gt;ROW(NodesJSON[[#Headers],[JSON]])+1,",","") &amp;"{"&amp;twoRangesToJSON(NodesJSON[[#Headers],[label]:[url]],NodesJSON[[#This Row],[label]:[url]])&amp;"}")</f>
        <v>,{"label":"SMS OTP","group":"","id":"6389E521-8890-4428-BC27-16436CA97E0E","url":"https://open-measure.atlassian.net/wiki/spaces/DIC/pages/1122631693"}</v>
      </c>
    </row>
    <row r="417" spans="1:6" ht="13.9" thickTop="1" thickBot="1" x14ac:dyDescent="0.4">
      <c r="A417" s="38">
        <f>IF(ISERR(NodesJSON[[#This Row],[label]]),0,1)</f>
        <v>1</v>
      </c>
      <c r="B417" s="3" t="str">
        <f>NodesData[[#This Row],[Common Name]]</f>
        <v>Social Authentication</v>
      </c>
      <c r="C417" s="3" t="str">
        <f>IF(NodesData[[#This Row],[Context Instanciation]]="","",NodesData[[#This Row],[Context Instanciation]])</f>
        <v/>
      </c>
      <c r="D417" s="22" t="str">
        <f>NodesData[[#This Row],[Node ID]]</f>
        <v>D2250C06-07E5-483C-90C7-54D103513A9E</v>
      </c>
      <c r="E417" s="10" t="s">
        <v>1159</v>
      </c>
      <c r="F417" s="25" t="str" cm="1">
        <f t="array" ref="F417">IF(NodesJSON[[#This Row],[Export?]]=0,"",IF(ROW(NodesJSON[[#This Row],[label]])&gt;ROW(NodesJSON[[#Headers],[JSON]])+1,",","") &amp;"{"&amp;twoRangesToJSON(NodesJSON[[#Headers],[label]:[url]],NodesJSON[[#This Row],[label]:[url]])&amp;"}")</f>
        <v>,{"label":"Social Authentication","group":"","id":"D2250C06-07E5-483C-90C7-54D103513A9E","url":"https://open-measure.atlassian.net/wiki/spaces/DIC/pages/81199126"}</v>
      </c>
    </row>
    <row r="418" spans="1:6" ht="13.9" thickTop="1" thickBot="1" x14ac:dyDescent="0.4">
      <c r="A418" s="38">
        <f>IF(ISERR(NodesJSON[[#This Row],[label]]),0,1)</f>
        <v>1</v>
      </c>
      <c r="B418" s="3" t="str">
        <f>NodesData[[#This Row],[Common Name]]</f>
        <v>Social Honeypot</v>
      </c>
      <c r="C418" s="3" t="str">
        <f>IF(NodesData[[#This Row],[Context Instanciation]]="","",NodesData[[#This Row],[Context Instanciation]])</f>
        <v/>
      </c>
      <c r="D418" s="22" t="str">
        <f>NodesData[[#This Row],[Node ID]]</f>
        <v>0D3BEAC3-BF18-4F5C-8CAC-2F389DE47B6A</v>
      </c>
      <c r="E418" s="3"/>
      <c r="F418" s="25" t="str" cm="1">
        <f t="array" ref="F418">IF(NodesJSON[[#This Row],[Export?]]=0,"",IF(ROW(NodesJSON[[#This Row],[label]])&gt;ROW(NodesJSON[[#Headers],[JSON]])+1,",","") &amp;"{"&amp;twoRangesToJSON(NodesJSON[[#Headers],[label]:[url]],NodesJSON[[#This Row],[label]:[url]])&amp;"}")</f>
        <v>,{"label":"Social Honeypot","group":"","id":"0D3BEAC3-BF18-4F5C-8CAC-2F389DE47B6A","url":""}</v>
      </c>
    </row>
    <row r="419" spans="1:6" ht="13.9" thickTop="1" thickBot="1" x14ac:dyDescent="0.4">
      <c r="A419" s="38">
        <f>IF(ISERR(NodesJSON[[#This Row],[label]]),0,1)</f>
        <v>1</v>
      </c>
      <c r="B419" s="3" t="str">
        <f>NodesData[[#This Row],[Common Name]]</f>
        <v>SoD</v>
      </c>
      <c r="C419" s="3" t="str">
        <f>IF(NodesData[[#This Row],[Context Instanciation]]="","",NodesData[[#This Row],[Context Instanciation]])</f>
        <v/>
      </c>
      <c r="D419" s="22" t="str">
        <f>NodesData[[#This Row],[Node ID]]</f>
        <v>D7E94DEF-7DD1-42A8-81B8-9232F54C9E5E</v>
      </c>
      <c r="E419" s="8"/>
      <c r="F419" s="25" t="str" cm="1">
        <f t="array" ref="F419">IF(NodesJSON[[#This Row],[Export?]]=0,"",IF(ROW(NodesJSON[[#This Row],[label]])&gt;ROW(NodesJSON[[#Headers],[JSON]])+1,",","") &amp;"{"&amp;twoRangesToJSON(NodesJSON[[#Headers],[label]:[url]],NodesJSON[[#This Row],[label]:[url]])&amp;"}")</f>
        <v>,{"label":"SoD","group":"","id":"D7E94DEF-7DD1-42A8-81B8-9232F54C9E5E","url":""}</v>
      </c>
    </row>
    <row r="420" spans="1:6" ht="13.9" thickTop="1" thickBot="1" x14ac:dyDescent="0.4">
      <c r="A420" s="38">
        <f>IF(ISERR(NodesJSON[[#This Row],[label]]),0,1)</f>
        <v>1</v>
      </c>
      <c r="B420" s="3" t="str">
        <f>NodesData[[#This Row],[Common Name]]</f>
        <v>Software / App OTP</v>
      </c>
      <c r="C420" s="3" t="str">
        <f>IF(NodesData[[#This Row],[Context Instanciation]]="","",NodesData[[#This Row],[Context Instanciation]])</f>
        <v/>
      </c>
      <c r="D420" s="22" t="str">
        <f>NodesData[[#This Row],[Node ID]]</f>
        <v>7BC6DF8D-2864-4107-9B24-5A62FE4DF44D</v>
      </c>
      <c r="E420" s="8"/>
      <c r="F420" s="25" t="str" cm="1">
        <f t="array" ref="F420">IF(NodesJSON[[#This Row],[Export?]]=0,"",IF(ROW(NodesJSON[[#This Row],[label]])&gt;ROW(NodesJSON[[#Headers],[JSON]])+1,",","") &amp;"{"&amp;twoRangesToJSON(NodesJSON[[#Headers],[label]:[url]],NodesJSON[[#This Row],[label]:[url]])&amp;"}")</f>
        <v>,{"label":"Software / App OTP","group":"","id":"7BC6DF8D-2864-4107-9B24-5A62FE4DF44D","url":""}</v>
      </c>
    </row>
    <row r="421" spans="1:6" ht="13.9" thickTop="1" thickBot="1" x14ac:dyDescent="0.4">
      <c r="A421" s="38">
        <f>IF(ISERR(NodesJSON[[#This Row],[label]]),0,1)</f>
        <v>1</v>
      </c>
      <c r="B421" s="3" t="str">
        <f>NodesData[[#This Row],[Common Name]]</f>
        <v>Software-Defined Perimeter</v>
      </c>
      <c r="C421" s="3" t="str">
        <f>IF(NodesData[[#This Row],[Context Instanciation]]="","",NodesData[[#This Row],[Context Instanciation]])</f>
        <v/>
      </c>
      <c r="D421" s="22" t="str">
        <f>NodesData[[#This Row],[Node ID]]</f>
        <v>0B583F79-2565-428E-970F-92F46196FE8E</v>
      </c>
      <c r="E421" s="10" t="s">
        <v>1181</v>
      </c>
      <c r="F421" s="25" t="str" cm="1">
        <f t="array" ref="F421">IF(NodesJSON[[#This Row],[Export?]]=0,"",IF(ROW(NodesJSON[[#This Row],[label]])&gt;ROW(NodesJSON[[#Headers],[JSON]])+1,",","") &amp;"{"&amp;twoRangesToJSON(NodesJSON[[#Headers],[label]:[url]],NodesJSON[[#This Row],[label]:[url]])&amp;"}")</f>
        <v>,{"label":"Software-Defined Perimeter","group":"","id":"0B583F79-2565-428E-970F-92F46196FE8E","url":"https://open-measure.atlassian.net/wiki/spaces/DIC/pages/1130954862"}</v>
      </c>
    </row>
    <row r="422" spans="1:6" ht="13.9" thickTop="1" thickBot="1" x14ac:dyDescent="0.4">
      <c r="A422" s="38">
        <f>IF(ISERR(NodesJSON[[#This Row],[label]]),0,1)</f>
        <v>1</v>
      </c>
      <c r="B422" s="3" t="str">
        <f>NodesData[[#This Row],[Common Name]]</f>
        <v>SPIFFE</v>
      </c>
      <c r="C422" s="3" t="str">
        <f>IF(NodesData[[#This Row],[Context Instanciation]]="","",NodesData[[#This Row],[Context Instanciation]])</f>
        <v/>
      </c>
      <c r="D422" s="22" t="str">
        <f>NodesData[[#This Row],[Node ID]]</f>
        <v>370838FB-B9DF-45E1-B6B7-BA831894BBC6</v>
      </c>
      <c r="E422" s="10" t="s">
        <v>1182</v>
      </c>
      <c r="F422" s="25" t="str" cm="1">
        <f t="array" ref="F422">IF(NodesJSON[[#This Row],[Export?]]=0,"",IF(ROW(NodesJSON[[#This Row],[label]])&gt;ROW(NodesJSON[[#Headers],[JSON]])+1,",","") &amp;"{"&amp;twoRangesToJSON(NodesJSON[[#Headers],[label]:[url]],NodesJSON[[#This Row],[label]:[url]])&amp;"}")</f>
        <v>,{"label":"SPIFFE","group":"","id":"370838FB-B9DF-45E1-B6B7-BA831894BBC6","url":"https://open-measure.atlassian.net/wiki/spaces/DIC/pages/360467"}</v>
      </c>
    </row>
    <row r="423" spans="1:6" ht="13.9" thickTop="1" thickBot="1" x14ac:dyDescent="0.4">
      <c r="A423" s="38">
        <f>IF(ISERR(NodesJSON[[#This Row],[label]]),0,1)</f>
        <v>1</v>
      </c>
      <c r="B423" s="3" t="str">
        <f>NodesData[[#This Row],[Common Name]]</f>
        <v>SPMS</v>
      </c>
      <c r="C423" s="3" t="str">
        <f>IF(NodesData[[#This Row],[Context Instanciation]]="","",NodesData[[#This Row],[Context Instanciation]])</f>
        <v/>
      </c>
      <c r="D423" s="22" t="str">
        <f>NodesData[[#This Row],[Node ID]]</f>
        <v>CC97123E-E172-4C11-BD8C-915A1733C7CB</v>
      </c>
      <c r="E423" s="10" t="s">
        <v>1183</v>
      </c>
      <c r="F423" s="25" t="str" cm="1">
        <f t="array" ref="F423">IF(NodesJSON[[#This Row],[Export?]]=0,"",IF(ROW(NodesJSON[[#This Row],[label]])&gt;ROW(NodesJSON[[#Headers],[JSON]])+1,",","") &amp;"{"&amp;twoRangesToJSON(NodesJSON[[#Headers],[label]:[url]],NodesJSON[[#This Row],[label]:[url]])&amp;"}")</f>
        <v>,{"label":"SPMS","group":"","id":"CC97123E-E172-4C11-BD8C-915A1733C7CB","url":"https://open-measure.atlassian.net/wiki/spaces/DIC/pages/1237582070/Tranquil"}</v>
      </c>
    </row>
    <row r="424" spans="1:6" ht="13.9" thickTop="1" thickBot="1" x14ac:dyDescent="0.4">
      <c r="A424" s="38">
        <f>IF(ISERR(NodesJSON[[#This Row],[label]]),0,1)</f>
        <v>1</v>
      </c>
      <c r="B424" s="3" t="str">
        <f>NodesData[[#This Row],[Common Name]]</f>
        <v>SSH Key</v>
      </c>
      <c r="C424" s="3" t="str">
        <f>IF(NodesData[[#This Row],[Context Instanciation]]="","",NodesData[[#This Row],[Context Instanciation]])</f>
        <v/>
      </c>
      <c r="D424" s="22" t="str">
        <f>NodesData[[#This Row],[Node ID]]</f>
        <v>1A14EF9A-0173-4449-9CE9-02DF9CA7E55D</v>
      </c>
      <c r="E424" s="10" t="s">
        <v>1185</v>
      </c>
      <c r="F424" s="25" t="str" cm="1">
        <f t="array" ref="F424">IF(NodesJSON[[#This Row],[Export?]]=0,"",IF(ROW(NodesJSON[[#This Row],[label]])&gt;ROW(NodesJSON[[#Headers],[JSON]])+1,",","") &amp;"{"&amp;twoRangesToJSON(NodesJSON[[#Headers],[label]:[url]],NodesJSON[[#This Row],[label]:[url]])&amp;"}")</f>
        <v>,{"label":"SSH Key","group":"","id":"1A14EF9A-0173-4449-9CE9-02DF9CA7E55D","url":"https://open-measure.atlassian.net/wiki/spaces/DIC/pages/1237483759"}</v>
      </c>
    </row>
    <row r="425" spans="1:6" ht="13.9" thickTop="1" thickBot="1" x14ac:dyDescent="0.4">
      <c r="A425" s="38">
        <f>IF(ISERR(NodesJSON[[#This Row],[label]]),0,1)</f>
        <v>1</v>
      </c>
      <c r="B425" s="3" t="str">
        <f>NodesData[[#This Row],[Common Name]]</f>
        <v>SSI</v>
      </c>
      <c r="C425" s="3" t="str">
        <f>IF(NodesData[[#This Row],[Context Instanciation]]="","",NodesData[[#This Row],[Context Instanciation]])</f>
        <v/>
      </c>
      <c r="D425" s="22" t="str">
        <f>NodesData[[#This Row],[Node ID]]</f>
        <v>0F07D97A-4A97-4CBB-B3B6-1376383802B5</v>
      </c>
      <c r="E425" s="10" t="s">
        <v>1187</v>
      </c>
      <c r="F425" s="25" t="str" cm="1">
        <f t="array" ref="F425">IF(NodesJSON[[#This Row],[Export?]]=0,"",IF(ROW(NodesJSON[[#This Row],[label]])&gt;ROW(NodesJSON[[#Headers],[JSON]])+1,",","") &amp;"{"&amp;twoRangesToJSON(NodesJSON[[#Headers],[label]:[url]],NodesJSON[[#This Row],[label]:[url]])&amp;"}")</f>
        <v>,{"label":"SSI","group":"","id":"0F07D97A-4A97-4CBB-B3B6-1376383802B5","url":"https://open-measure.atlassian.net/wiki/spaces/DIC/pages/1181876587"}</v>
      </c>
    </row>
    <row r="426" spans="1:6" ht="13.9" thickTop="1" thickBot="1" x14ac:dyDescent="0.4">
      <c r="A426" s="38">
        <f>IF(ISERR(NodesJSON[[#This Row],[label]]),0,1)</f>
        <v>1</v>
      </c>
      <c r="B426" s="3" t="str">
        <f>NodesData[[#This Row],[Common Name]]</f>
        <v>SSO</v>
      </c>
      <c r="C426" s="3" t="str">
        <f>IF(NodesData[[#This Row],[Context Instanciation]]="","",NodesData[[#This Row],[Context Instanciation]])</f>
        <v/>
      </c>
      <c r="D426" s="22" t="str">
        <f>NodesData[[#This Row],[Node ID]]</f>
        <v>C1C5A5DE-0719-4029-91FB-BA270420DAAE</v>
      </c>
      <c r="E426" s="10" t="s">
        <v>1188</v>
      </c>
      <c r="F426" s="25" t="str" cm="1">
        <f t="array" ref="F426">IF(NodesJSON[[#This Row],[Export?]]=0,"",IF(ROW(NodesJSON[[#This Row],[label]])&gt;ROW(NodesJSON[[#Headers],[JSON]])+1,",","") &amp;"{"&amp;twoRangesToJSON(NodesJSON[[#Headers],[label]:[url]],NodesJSON[[#This Row],[label]:[url]])&amp;"}")</f>
        <v>,{"label":"SSO","group":"","id":"C1C5A5DE-0719-4029-91FB-BA270420DAAE","url":"https://open-measure.atlassian.net/wiki/spaces/DIC/pages/1037926452/Trust"}</v>
      </c>
    </row>
    <row r="427" spans="1:6" ht="13.9" thickTop="1" thickBot="1" x14ac:dyDescent="0.4">
      <c r="A427" s="38">
        <f>IF(ISERR(NodesJSON[[#This Row],[label]]),0,1)</f>
        <v>1</v>
      </c>
      <c r="B427" s="3" t="str">
        <f>NodesData[[#This Row],[Common Name]]</f>
        <v>SSO</v>
      </c>
      <c r="C427" s="3" t="str">
        <f>IF(NodesData[[#This Row],[Context Instanciation]]="","",NodesData[[#This Row],[Context Instanciation]])</f>
        <v/>
      </c>
      <c r="D427" s="22" t="str">
        <f>NodesData[[#This Row],[Node ID]]</f>
        <v>AF5F7710-3E4A-4FE7-B587-D506648F1AD6</v>
      </c>
      <c r="E427" s="10" t="s">
        <v>1190</v>
      </c>
      <c r="F427" s="25" t="str" cm="1">
        <f t="array" ref="F427">IF(NodesJSON[[#This Row],[Export?]]=0,"",IF(ROW(NodesJSON[[#This Row],[label]])&gt;ROW(NodesJSON[[#Headers],[JSON]])+1,",","") &amp;"{"&amp;twoRangesToJSON(NodesJSON[[#Headers],[label]:[url]],NodesJSON[[#This Row],[label]:[url]])&amp;"}")</f>
        <v>,{"label":"SSO","group":"","id":"AF5F7710-3E4A-4FE7-B587-D506648F1AD6","url":"https://open-measure.atlassian.net/wiki/spaces/DIC/pages/1027048185"}</v>
      </c>
    </row>
    <row r="428" spans="1:6" ht="13.9" thickTop="1" thickBot="1" x14ac:dyDescent="0.4">
      <c r="A428" s="38">
        <f>IF(ISERR(NodesJSON[[#This Row],[label]]),0,1)</f>
        <v>1</v>
      </c>
      <c r="B428" s="3" t="str">
        <f>NodesData[[#This Row],[Common Name]]</f>
        <v>Stability of Access Decision Factors</v>
      </c>
      <c r="C428" s="3" t="str">
        <f>IF(NodesData[[#This Row],[Context Instanciation]]="","",NodesData[[#This Row],[Context Instanciation]])</f>
        <v/>
      </c>
      <c r="D428" s="22" t="str">
        <f>NodesData[[#This Row],[Node ID]]</f>
        <v>5EB8E1BB-048F-48F9-9C15-A607EB6CE1D7</v>
      </c>
      <c r="E428" s="10" t="s">
        <v>1192</v>
      </c>
      <c r="F428" s="25" t="str" cm="1">
        <f t="array" ref="F428">IF(NodesJSON[[#This Row],[Export?]]=0,"",IF(ROW(NodesJSON[[#This Row],[label]])&gt;ROW(NodesJSON[[#Headers],[JSON]])+1,",","") &amp;"{"&amp;twoRangesToJSON(NodesJSON[[#Headers],[label]:[url]],NodesJSON[[#This Row],[label]:[url]])&amp;"}")</f>
        <v>,{"label":"Stability of Access Decision Factors","group":"","id":"5EB8E1BB-048F-48F9-9C15-A607EB6CE1D7","url":"https://open-measure.atlassian.net/wiki/spaces/DIC/pages/1027048128"}</v>
      </c>
    </row>
    <row r="429" spans="1:6" ht="13.9" thickTop="1" thickBot="1" x14ac:dyDescent="0.4">
      <c r="A429" s="38">
        <f>IF(ISERR(NodesJSON[[#This Row],[label]]),0,1)</f>
        <v>1</v>
      </c>
      <c r="B429" s="3" t="str">
        <f>NodesData[[#This Row],[Common Name]]</f>
        <v>Stakeholder</v>
      </c>
      <c r="C429" s="3" t="str">
        <f>IF(NodesData[[#This Row],[Context Instanciation]]="","",NodesData[[#This Row],[Context Instanciation]])</f>
        <v/>
      </c>
      <c r="D429" s="22" t="str">
        <f>NodesData[[#This Row],[Node ID]]</f>
        <v>1CD5E796-9541-4E10-B155-5CFFB089C745</v>
      </c>
      <c r="E429" s="10" t="s">
        <v>1194</v>
      </c>
      <c r="F429" s="25" t="str" cm="1">
        <f t="array" ref="F429">IF(NodesJSON[[#This Row],[Export?]]=0,"",IF(ROW(NodesJSON[[#This Row],[label]])&gt;ROW(NodesJSON[[#Headers],[JSON]])+1,",","") &amp;"{"&amp;twoRangesToJSON(NodesJSON[[#Headers],[label]:[url]],NodesJSON[[#This Row],[label]:[url]])&amp;"}")</f>
        <v>,{"label":"Stakeholder","group":"","id":"1CD5E796-9541-4E10-B155-5CFFB089C745","url":"https://open-measure.atlassian.net/wiki/spaces/DIC/pages/1027048209"}</v>
      </c>
    </row>
    <row r="430" spans="1:6" ht="13.9" thickTop="1" thickBot="1" x14ac:dyDescent="0.4">
      <c r="A430" s="38">
        <f>IF(ISERR(NodesJSON[[#This Row],[label]]),0,1)</f>
        <v>1</v>
      </c>
      <c r="B430" s="3" t="str">
        <f>NodesData[[#This Row],[Common Name]]</f>
        <v>Step-Up Authentication</v>
      </c>
      <c r="C430" s="3" t="str">
        <f>IF(NodesData[[#This Row],[Context Instanciation]]="","",NodesData[[#This Row],[Context Instanciation]])</f>
        <v/>
      </c>
      <c r="D430" s="22" t="str">
        <f>NodesData[[#This Row],[Node ID]]</f>
        <v>80B586F1-8F81-45BB-A723-63E0C8D071BE</v>
      </c>
      <c r="E430" s="10" t="s">
        <v>1196</v>
      </c>
      <c r="F430" s="25" t="str" cm="1">
        <f t="array" ref="F430">IF(NodesJSON[[#This Row],[Export?]]=0,"",IF(ROW(NodesJSON[[#This Row],[label]])&gt;ROW(NodesJSON[[#Headers],[JSON]])+1,",","") &amp;"{"&amp;twoRangesToJSON(NodesJSON[[#Headers],[label]:[url]],NodesJSON[[#This Row],[label]:[url]])&amp;"}")</f>
        <v>,{"label":"Step-Up Authentication","group":"","id":"80B586F1-8F81-45BB-A723-63E0C8D071BE","url":"https://open-measure.atlassian.net/wiki/spaces/DIC/pages/1031242345"}</v>
      </c>
    </row>
    <row r="431" spans="1:6" ht="13.9" thickTop="1" thickBot="1" x14ac:dyDescent="0.4">
      <c r="A431" s="38">
        <f>IF(ISERR(NodesJSON[[#This Row],[label]]),0,1)</f>
        <v>1</v>
      </c>
      <c r="B431" s="3" t="str">
        <f>NodesData[[#This Row],[Common Name]]</f>
        <v>Stolen Identity</v>
      </c>
      <c r="C431" s="3" t="str">
        <f>IF(NodesData[[#This Row],[Context Instanciation]]="","",NodesData[[#This Row],[Context Instanciation]])</f>
        <v/>
      </c>
      <c r="D431" s="22" t="str">
        <f>NodesData[[#This Row],[Node ID]]</f>
        <v>7256DFFB-F727-40B1-B8CB-3E8ED7B93E61</v>
      </c>
      <c r="E431" s="10" t="s">
        <v>1197</v>
      </c>
      <c r="F431" s="25" t="str" cm="1">
        <f t="array" ref="F431">IF(NodesJSON[[#This Row],[Export?]]=0,"",IF(ROW(NodesJSON[[#This Row],[label]])&gt;ROW(NodesJSON[[#Headers],[JSON]])+1,",","") &amp;"{"&amp;twoRangesToJSON(NodesJSON[[#Headers],[label]:[url]],NodesJSON[[#This Row],[label]:[url]])&amp;"}")</f>
        <v>,{"label":"Stolen Identity","group":"","id":"7256DFFB-F727-40B1-B8CB-3E8ED7B93E61","url":"https://open-measure.atlassian.net/wiki/spaces/DIC/pages/1417084929/Typing+Biometrics"}</v>
      </c>
    </row>
    <row r="432" spans="1:6" ht="13.9" thickTop="1" thickBot="1" x14ac:dyDescent="0.4">
      <c r="A432" s="38">
        <f>IF(ISERR(NodesJSON[[#This Row],[label]]),0,1)</f>
        <v>1</v>
      </c>
      <c r="B432" s="3" t="str">
        <f>NodesData[[#This Row],[Common Name]]</f>
        <v>Strategic Performance Measurement System</v>
      </c>
      <c r="C432" s="3" t="str">
        <f>IF(NodesData[[#This Row],[Context Instanciation]]="","",NodesData[[#This Row],[Context Instanciation]])</f>
        <v/>
      </c>
      <c r="D432" s="22" t="str">
        <f>NodesData[[#This Row],[Node ID]]</f>
        <v>1DBA9C53-C5E0-43EF-9435-A1EBBD55EBA5</v>
      </c>
      <c r="E432" s="10" t="s">
        <v>1199</v>
      </c>
      <c r="F432" s="25" t="str" cm="1">
        <f t="array" ref="F432">IF(NodesJSON[[#This Row],[Export?]]=0,"",IF(ROW(NodesJSON[[#This Row],[label]])&gt;ROW(NodesJSON[[#Headers],[JSON]])+1,",","") &amp;"{"&amp;twoRangesToJSON(NodesJSON[[#Headers],[label]:[url]],NodesJSON[[#This Row],[label]:[url]])&amp;"}")</f>
        <v>,{"label":"Strategic Performance Measurement System","group":"","id":"1DBA9C53-C5E0-43EF-9435-A1EBBD55EBA5","url":"https://open-measure.atlassian.net/wiki/spaces/DIC/pages/140673267"}</v>
      </c>
    </row>
    <row r="433" spans="1:6" ht="13.9" thickTop="1" thickBot="1" x14ac:dyDescent="0.4">
      <c r="A433" s="38">
        <f>IF(ISERR(NodesJSON[[#This Row],[label]]),0,1)</f>
        <v>1</v>
      </c>
      <c r="B433" s="3" t="str">
        <f>NodesData[[#This Row],[Common Name]]</f>
        <v>Strict Discretionary Access Control</v>
      </c>
      <c r="C433" s="3" t="str">
        <f>IF(NodesData[[#This Row],[Context Instanciation]]="","",NodesData[[#This Row],[Context Instanciation]])</f>
        <v/>
      </c>
      <c r="D433" s="22" t="str">
        <f>NodesData[[#This Row],[Node ID]]</f>
        <v>DAF6C5BF-9FE6-47FD-A91F-C9262E4BC678</v>
      </c>
      <c r="E433" s="10" t="s">
        <v>1200</v>
      </c>
      <c r="F433" s="25" t="str" cm="1">
        <f t="array" ref="F433">IF(NodesJSON[[#This Row],[Export?]]=0,"",IF(ROW(NodesJSON[[#This Row],[label]])&gt;ROW(NodesJSON[[#Headers],[JSON]])+1,",","") &amp;"{"&amp;twoRangesToJSON(NodesJSON[[#Headers],[label]:[url]],NodesJSON[[#This Row],[label]:[url]])&amp;"}")</f>
        <v>,{"label":"Strict Discretionary Access Control","group":"","id":"DAF6C5BF-9FE6-47FD-A91F-C9262E4BC678","url":"https://open-measure.atlassian.net/wiki/spaces/DIC/pages/1027080193/Unanticipated+User"}</v>
      </c>
    </row>
    <row r="434" spans="1:6" ht="13.9" thickTop="1" thickBot="1" x14ac:dyDescent="0.4">
      <c r="A434" s="38">
        <f>IF(ISERR(NodesJSON[[#This Row],[label]]),0,1)</f>
        <v>1</v>
      </c>
      <c r="B434" s="3" t="str">
        <f>NodesData[[#This Row],[Common Name]]</f>
        <v>Strong Authentication</v>
      </c>
      <c r="C434" s="3" t="str">
        <f>IF(NodesData[[#This Row],[Context Instanciation]]="","",NodesData[[#This Row],[Context Instanciation]])</f>
        <v/>
      </c>
      <c r="D434" s="22" t="str">
        <f>NodesData[[#This Row],[Node ID]]</f>
        <v>37D903A7-19DA-409D-B894-0E24792752A0</v>
      </c>
      <c r="E434" s="4"/>
      <c r="F434" s="25" t="str" cm="1">
        <f t="array" ref="F434">IF(NodesJSON[[#This Row],[Export?]]=0,"",IF(ROW(NodesJSON[[#This Row],[label]])&gt;ROW(NodesJSON[[#Headers],[JSON]])+1,",","") &amp;"{"&amp;twoRangesToJSON(NodesJSON[[#Headers],[label]:[url]],NodesJSON[[#This Row],[label]:[url]])&amp;"}")</f>
        <v>,{"label":"Strong Authentication","group":"","id":"37D903A7-19DA-409D-B894-0E24792752A0","url":""}</v>
      </c>
    </row>
    <row r="435" spans="1:6" ht="13.9" thickTop="1" thickBot="1" x14ac:dyDescent="0.4">
      <c r="A435" s="38">
        <f>IF(ISERR(NodesJSON[[#This Row],[label]]),0,1)</f>
        <v>1</v>
      </c>
      <c r="B435" s="3" t="str">
        <f>NodesData[[#This Row],[Common Name]]</f>
        <v>Strong Tranquility Property</v>
      </c>
      <c r="C435" s="3" t="str">
        <f>IF(NodesData[[#This Row],[Context Instanciation]]="","",NodesData[[#This Row],[Context Instanciation]])</f>
        <v/>
      </c>
      <c r="D435" s="22" t="str">
        <f>NodesData[[#This Row],[Node ID]]</f>
        <v>E4118F66-497F-47CF-95B5-FDAE112F40D2</v>
      </c>
      <c r="E435" s="10" t="s">
        <v>1202</v>
      </c>
      <c r="F435" s="25" t="str" cm="1">
        <f t="array" ref="F435">IF(NodesJSON[[#This Row],[Export?]]=0,"",IF(ROW(NodesJSON[[#This Row],[label]])&gt;ROW(NodesJSON[[#Headers],[JSON]])+1,",","") &amp;"{"&amp;twoRangesToJSON(NodesJSON[[#Headers],[label]:[url]],NodesJSON[[#This Row],[label]:[url]])&amp;"}")</f>
        <v>,{"label":"Strong Tranquility Property","group":"","id":"E4118F66-497F-47CF-95B5-FDAE112F40D2","url":"https://open-measure.atlassian.net/wiki/spaces/DIC/pages/446955662/Unique+ID+Number"}</v>
      </c>
    </row>
    <row r="436" spans="1:6" ht="13.9" thickTop="1" thickBot="1" x14ac:dyDescent="0.4">
      <c r="A436" s="38">
        <f>IF(ISERR(NodesJSON[[#This Row],[label]]),0,1)</f>
        <v>1</v>
      </c>
      <c r="B436" s="3" t="str">
        <f>NodesData[[#This Row],[Common Name]]</f>
        <v>Subject</v>
      </c>
      <c r="C436" s="3" t="str">
        <f>IF(NodesData[[#This Row],[Context Instanciation]]="","",NodesData[[#This Row],[Context Instanciation]])</f>
        <v/>
      </c>
      <c r="D436" s="22" t="str">
        <f>NodesData[[#This Row],[Node ID]]</f>
        <v>3A8CFE3B-4E00-45F4-896B-2AE136802599</v>
      </c>
      <c r="E436" s="10" t="s">
        <v>1203</v>
      </c>
      <c r="F436" s="25" t="str" cm="1">
        <f t="array" ref="F436">IF(NodesJSON[[#This Row],[Export?]]=0,"",IF(ROW(NodesJSON[[#This Row],[label]])&gt;ROW(NodesJSON[[#Headers],[JSON]])+1,",","") &amp;"{"&amp;twoRangesToJSON(NodesJSON[[#Headers],[label]:[url]],NodesJSON[[#This Row],[label]:[url]])&amp;"}")</f>
        <v>,{"label":"Subject","group":"","id":"3A8CFE3B-4E00-45F4-896B-2AE136802599","url":"https://open-measure.atlassian.net/wiki/spaces/DIC/pages/1477902414/Unprivileged+Insider"}</v>
      </c>
    </row>
    <row r="437" spans="1:6" ht="13.9" thickTop="1" thickBot="1" x14ac:dyDescent="0.4">
      <c r="A437" s="38">
        <f>IF(ISERR(NodesJSON[[#This Row],[label]]),0,1)</f>
        <v>1</v>
      </c>
      <c r="B437" s="3" t="str">
        <f>NodesData[[#This Row],[Common Name]]</f>
        <v>Subjective Indicator</v>
      </c>
      <c r="C437" s="3" t="str">
        <f>IF(NodesData[[#This Row],[Context Instanciation]]="","",NodesData[[#This Row],[Context Instanciation]])</f>
        <v/>
      </c>
      <c r="D437" s="22" t="str">
        <f>NodesData[[#This Row],[Node ID]]</f>
        <v>423F3767-6032-47A8-9358-8200FEF6FC44</v>
      </c>
      <c r="E437" s="10" t="s">
        <v>1204</v>
      </c>
      <c r="F437" s="25" t="str" cm="1">
        <f t="array" ref="F437">IF(NodesJSON[[#This Row],[Export?]]=0,"",IF(ROW(NodesJSON[[#This Row],[label]])&gt;ROW(NodesJSON[[#Headers],[JSON]])+1,",","") &amp;"{"&amp;twoRangesToJSON(NodesJSON[[#Headers],[label]:[url]],NodesJSON[[#This Row],[label]:[url]])&amp;"}")</f>
        <v>,{"label":"Subjective Indicator","group":"","id":"423F3767-6032-47A8-9358-8200FEF6FC44","url":"https://open-measure.atlassian.net/wiki/spaces/DIC/pages/82839586/User"}</v>
      </c>
    </row>
    <row r="438" spans="1:6" ht="13.9" thickTop="1" thickBot="1" x14ac:dyDescent="0.4">
      <c r="A438" s="38">
        <f>IF(ISERR(NodesJSON[[#This Row],[label]]),0,1)</f>
        <v>1</v>
      </c>
      <c r="B438" s="3" t="str">
        <f>NodesData[[#This Row],[Common Name]]</f>
        <v>Supply Chain Attack</v>
      </c>
      <c r="C438" s="3" t="str">
        <f>IF(NodesData[[#This Row],[Context Instanciation]]="","",NodesData[[#This Row],[Context Instanciation]])</f>
        <v/>
      </c>
      <c r="D438" s="22" t="str">
        <f>NodesData[[#This Row],[Node ID]]</f>
        <v>6F38FD61-A99B-462F-B1D6-F0B58A8AF7B1</v>
      </c>
      <c r="E438" s="10" t="s">
        <v>1205</v>
      </c>
      <c r="F438" s="25" t="str" cm="1">
        <f t="array" ref="F438">IF(NodesJSON[[#This Row],[Export?]]=0,"",IF(ROW(NodesJSON[[#This Row],[label]])&gt;ROW(NodesJSON[[#Headers],[JSON]])+1,",","") &amp;"{"&amp;twoRangesToJSON(NodesJSON[[#Headers],[label]:[url]],NodesJSON[[#This Row],[label]:[url]])&amp;"}")</f>
        <v>,{"label":"Supply Chain Attack","group":"","id":"6F38FD61-A99B-462F-B1D6-F0B58A8AF7B1","url":"https://open-measure.atlassian.net/wiki/spaces/DIC/pages/1428587273/User+Account"}</v>
      </c>
    </row>
    <row r="439" spans="1:6" ht="13.9" thickTop="1" thickBot="1" x14ac:dyDescent="0.4">
      <c r="A439" s="38">
        <f>IF(ISERR(NodesJSON[[#This Row],[label]]),0,1)</f>
        <v>1</v>
      </c>
      <c r="B439" s="3" t="str">
        <f>NodesData[[#This Row],[Common Name]]</f>
        <v>Sybil Attack</v>
      </c>
      <c r="C439" s="3" t="str">
        <f>IF(NodesData[[#This Row],[Context Instanciation]]="","",NodesData[[#This Row],[Context Instanciation]])</f>
        <v/>
      </c>
      <c r="D439" s="22" t="str">
        <f>NodesData[[#This Row],[Node ID]]</f>
        <v>76C9697B-0C4E-4D81-8131-2D47E500D64E</v>
      </c>
      <c r="E439" s="10" t="s">
        <v>1211</v>
      </c>
      <c r="F439" s="25" t="str" cm="1">
        <f t="array" ref="F439">IF(NodesJSON[[#This Row],[Export?]]=0,"",IF(ROW(NodesJSON[[#This Row],[label]])&gt;ROW(NodesJSON[[#Headers],[JSON]])+1,",","") &amp;"{"&amp;twoRangesToJSON(NodesJSON[[#Headers],[label]:[url]],NodesJSON[[#This Row],[label]:[url]])&amp;"}")</f>
        <v>,{"label":"Sybil Attack","group":"","id":"76C9697B-0C4E-4D81-8131-2D47E500D64E","url":"https://open-measure.atlassian.net/wiki/spaces/DIC/pages/1323597878/User-Centric+Identity+Management+System"}</v>
      </c>
    </row>
    <row r="440" spans="1:6" ht="13.9" thickTop="1" thickBot="1" x14ac:dyDescent="0.4">
      <c r="A440" s="38">
        <f>IF(ISERR(NodesJSON[[#This Row],[label]]),0,1)</f>
        <v>1</v>
      </c>
      <c r="B440" s="3" t="str">
        <f>NodesData[[#This Row],[Common Name]]</f>
        <v>Synthetic Identity Fraud</v>
      </c>
      <c r="C440" s="3" t="str">
        <f>IF(NodesData[[#This Row],[Context Instanciation]]="","",NodesData[[#This Row],[Context Instanciation]])</f>
        <v/>
      </c>
      <c r="D440" s="22" t="str">
        <f>NodesData[[#This Row],[Node ID]]</f>
        <v>43ED5B5E-F12A-4C25-91D6-B8C7A48F69DE</v>
      </c>
      <c r="E440" s="10" t="s">
        <v>1206</v>
      </c>
      <c r="F440" s="25" t="str" cm="1">
        <f t="array" ref="F440">IF(NodesJSON[[#This Row],[Export?]]=0,"",IF(ROW(NodesJSON[[#This Row],[label]])&gt;ROW(NodesJSON[[#Headers],[JSON]])+1,",","") &amp;"{"&amp;twoRangesToJSON(NodesJSON[[#Headers],[label]:[url]],NodesJSON[[#This Row],[label]:[url]])&amp;"}")</f>
        <v>,{"label":"Synthetic Identity Fraud","group":"","id":"43ED5B5E-F12A-4C25-91D6-B8C7A48F69DE","url":"https://open-measure.atlassian.net/wiki/spaces/DIC/pages/1146847344/User+De-Provisioning"}</v>
      </c>
    </row>
    <row r="441" spans="1:6" ht="13.9" thickTop="1" thickBot="1" x14ac:dyDescent="0.4">
      <c r="A441" s="38">
        <f>IF(ISERR(NodesJSON[[#This Row],[label]]),0,1)</f>
        <v>1</v>
      </c>
      <c r="B441" s="3" t="str">
        <f>NodesData[[#This Row],[Common Name]]</f>
        <v>System</v>
      </c>
      <c r="C441" s="3" t="str">
        <f>IF(NodesData[[#This Row],[Context Instanciation]]="","",NodesData[[#This Row],[Context Instanciation]])</f>
        <v/>
      </c>
      <c r="D441" s="22" t="str">
        <f>NodesData[[#This Row],[Node ID]]</f>
        <v>B92DFC96-CD21-42CC-B21F-7D5820C1DCC7</v>
      </c>
      <c r="E441" s="10" t="s">
        <v>1208</v>
      </c>
      <c r="F441" s="25" t="str" cm="1">
        <f t="array" ref="F441">IF(NodesJSON[[#This Row],[Export?]]=0,"",IF(ROW(NodesJSON[[#This Row],[label]])&gt;ROW(NodesJSON[[#Headers],[JSON]])+1,",","") &amp;"{"&amp;twoRangesToJSON(NodesJSON[[#Headers],[label]:[url]],NodesJSON[[#This Row],[label]:[url]])&amp;"}")</f>
        <v>,{"label":"System","group":"","id":"B92DFC96-CD21-42CC-B21F-7D5820C1DCC7","url":"https://open-measure.atlassian.net/wiki/spaces/DIC/pages/1121878257"}</v>
      </c>
    </row>
    <row r="442" spans="1:6" ht="13.9" thickTop="1" thickBot="1" x14ac:dyDescent="0.4">
      <c r="A442" s="38">
        <f>IF(ISERR(NodesJSON[[#This Row],[label]]),0,1)</f>
        <v>1</v>
      </c>
      <c r="B442" s="3" t="str">
        <f>NodesData[[#This Row],[Common Name]]</f>
        <v>System Boundaries</v>
      </c>
      <c r="C442" s="3" t="str">
        <f>IF(NodesData[[#This Row],[Context Instanciation]]="","",NodesData[[#This Row],[Context Instanciation]])</f>
        <v/>
      </c>
      <c r="D442" s="22" t="str">
        <f>NodesData[[#This Row],[Node ID]]</f>
        <v>B8070D41-760A-4A0C-8C9B-DAF481931D80</v>
      </c>
      <c r="E442" s="10" t="s">
        <v>1209</v>
      </c>
      <c r="F442" s="25" t="str" cm="1">
        <f t="array" ref="F442">IF(NodesJSON[[#This Row],[Export?]]=0,"",IF(ROW(NodesJSON[[#This Row],[label]])&gt;ROW(NodesJSON[[#Headers],[JSON]])+1,",","") &amp;"{"&amp;twoRangesToJSON(NodesJSON[[#Headers],[label]:[url]],NodesJSON[[#This Row],[label]:[url]])&amp;"}")</f>
        <v>,{"label":"System Boundaries","group":"","id":"B8070D41-760A-4A0C-8C9B-DAF481931D80","url":"https://open-measure.atlassian.net/wiki/spaces/DIC/pages/1428652448/User+ID"}</v>
      </c>
    </row>
    <row r="443" spans="1:6" ht="13.9" thickTop="1" thickBot="1" x14ac:dyDescent="0.4">
      <c r="A443" s="38">
        <f>IF(ISERR(NodesJSON[[#This Row],[label]]),0,1)</f>
        <v>1</v>
      </c>
      <c r="B443" s="3" t="str">
        <f>NodesData[[#This Row],[Common Name]]</f>
        <v>System for Cross-domain Identity Management</v>
      </c>
      <c r="C443" s="3" t="str">
        <f>IF(NodesData[[#This Row],[Context Instanciation]]="","",NodesData[[#This Row],[Context Instanciation]])</f>
        <v/>
      </c>
      <c r="D443" s="22" t="str">
        <f>NodesData[[#This Row],[Node ID]]</f>
        <v>96D5B885-035E-4160-BD34-8372037552E5</v>
      </c>
      <c r="E443" s="10" t="s">
        <v>1210</v>
      </c>
      <c r="F443" s="25" t="str" cm="1">
        <f t="array" ref="F443">IF(NodesJSON[[#This Row],[Export?]]=0,"",IF(ROW(NodesJSON[[#This Row],[label]])&gt;ROW(NodesJSON[[#Headers],[JSON]])+1,",","") &amp;"{"&amp;twoRangesToJSON(NodesJSON[[#Headers],[label]:[url]],NodesJSON[[#This Row],[label]:[url]])&amp;"}")</f>
        <v>,{"label":"System for Cross-domain Identity Management","group":"","id":"96D5B885-035E-4160-BD34-8372037552E5","url":"https://open-measure.atlassian.net/wiki/spaces/DIC/pages/1147043973/User+Provisioning"}</v>
      </c>
    </row>
    <row r="444" spans="1:6" ht="13.9" thickTop="1" thickBot="1" x14ac:dyDescent="0.4">
      <c r="A444" s="38">
        <f>IF(ISERR(NodesJSON[[#This Row],[label]]),0,1)</f>
        <v>1</v>
      </c>
      <c r="B444" s="3" t="str">
        <f>NodesData[[#This Row],[Common Name]]</f>
        <v>System Owner</v>
      </c>
      <c r="C444" s="3" t="str">
        <f>IF(NodesData[[#This Row],[Context Instanciation]]="","",NodesData[[#This Row],[Context Instanciation]])</f>
        <v/>
      </c>
      <c r="D444" s="22" t="str">
        <f>NodesData[[#This Row],[Node ID]]</f>
        <v>214BBC4F-915B-4EBE-90D4-A7E8FC779451</v>
      </c>
      <c r="E444" s="10" t="s">
        <v>1212</v>
      </c>
      <c r="F444" s="25" t="str" cm="1">
        <f t="array" ref="F444">IF(NodesJSON[[#This Row],[Export?]]=0,"",IF(ROW(NodesJSON[[#This Row],[label]])&gt;ROW(NodesJSON[[#Headers],[JSON]])+1,",","") &amp;"{"&amp;twoRangesToJSON(NodesJSON[[#Headers],[label]:[url]],NodesJSON[[#This Row],[label]:[url]])&amp;"}")</f>
        <v>,{"label":"System Owner","group":"","id":"214BBC4F-915B-4EBE-90D4-A7E8FC779451","url":"https://open-measure.atlassian.net/wiki/spaces/DIC/pages/1428652183/Username"}</v>
      </c>
    </row>
    <row r="445" spans="1:6" ht="13.9" thickTop="1" thickBot="1" x14ac:dyDescent="0.4">
      <c r="A445" s="38">
        <f>IF(ISERR(NodesJSON[[#This Row],[label]]),0,1)</f>
        <v>1</v>
      </c>
      <c r="B445" s="3" t="str">
        <f>NodesData[[#This Row],[Common Name]]</f>
        <v>System Z</v>
      </c>
      <c r="C445" s="3" t="str">
        <f>IF(NodesData[[#This Row],[Context Instanciation]]="","",NodesData[[#This Row],[Context Instanciation]])</f>
        <v/>
      </c>
      <c r="D445" s="22" t="str">
        <f>NodesData[[#This Row],[Node ID]]</f>
        <v>67FF4999-75C9-47BD-8A13-29EBC3373BF8</v>
      </c>
      <c r="E445" s="10" t="s">
        <v>1213</v>
      </c>
      <c r="F445" s="25" t="str" cm="1">
        <f t="array" ref="F445">IF(NodesJSON[[#This Row],[Export?]]=0,"",IF(ROW(NodesJSON[[#This Row],[label]])&gt;ROW(NodesJSON[[#Headers],[JSON]])+1,",","") &amp;"{"&amp;twoRangesToJSON(NodesJSON[[#Headers],[label]:[url]],NodesJSON[[#This Row],[label]:[url]])&amp;"}")</f>
        <v>,{"label":"System Z","group":"","id":"67FF4999-75C9-47BD-8A13-29EBC3373BF8","url":"https://open-measure.atlassian.net/wiki/spaces/DIC/pages/1311146179/Verifiable+Claim"}</v>
      </c>
    </row>
    <row r="446" spans="1:6" ht="13.9" thickTop="1" thickBot="1" x14ac:dyDescent="0.4">
      <c r="A446" s="38">
        <f>IF(ISERR(NodesJSON[[#This Row],[label]]),0,1)</f>
        <v>1</v>
      </c>
      <c r="B446" s="3" t="str">
        <f>NodesData[[#This Row],[Common Name]]</f>
        <v>TAN List OTP</v>
      </c>
      <c r="C446" s="3" t="str">
        <f>IF(NodesData[[#This Row],[Context Instanciation]]="","",NodesData[[#This Row],[Context Instanciation]])</f>
        <v/>
      </c>
      <c r="D446" s="22" t="str">
        <f>NodesData[[#This Row],[Node ID]]</f>
        <v>F71AD266-B5F6-4514-88E6-F25BCE3D8F4C</v>
      </c>
      <c r="E446" s="10" t="s">
        <v>1214</v>
      </c>
      <c r="F446" s="25" t="str" cm="1">
        <f t="array" ref="F446">IF(NodesJSON[[#This Row],[Export?]]=0,"",IF(ROW(NodesJSON[[#This Row],[label]])&gt;ROW(NodesJSON[[#Headers],[JSON]])+1,",","") &amp;"{"&amp;twoRangesToJSON(NodesJSON[[#Headers],[label]:[url]],NodesJSON[[#This Row],[label]:[url]])&amp;"}")</f>
        <v>,{"label":"TAN List OTP","group":"","id":"F71AD266-B5F6-4514-88E6-F25BCE3D8F4C","url":"https://open-measure.atlassian.net/wiki/spaces/DIC/pages/446988510/Verification"}</v>
      </c>
    </row>
    <row r="447" spans="1:6" ht="13.9" thickTop="1" thickBot="1" x14ac:dyDescent="0.4">
      <c r="A447" s="38">
        <f>IF(ISERR(NodesJSON[[#This Row],[label]]),0,1)</f>
        <v>1</v>
      </c>
      <c r="B447" s="3" t="str">
        <f>NodesData[[#This Row],[Common Name]]</f>
        <v>Task-Based Access Control</v>
      </c>
      <c r="C447" s="3" t="str">
        <f>IF(NodesData[[#This Row],[Context Instanciation]]="","",NodesData[[#This Row],[Context Instanciation]])</f>
        <v/>
      </c>
      <c r="D447" s="22" t="str">
        <f>NodesData[[#This Row],[Node ID]]</f>
        <v>8B5EA442-514F-4D05-89D6-33F5CE7456C2</v>
      </c>
      <c r="E447" s="10" t="s">
        <v>1216</v>
      </c>
      <c r="F447" s="25" t="str" cm="1">
        <f t="array" ref="F447">IF(NodesJSON[[#This Row],[Export?]]=0,"",IF(ROW(NodesJSON[[#This Row],[label]])&gt;ROW(NodesJSON[[#Headers],[JSON]])+1,",","") &amp;"{"&amp;twoRangesToJSON(NodesJSON[[#Headers],[label]:[url]],NodesJSON[[#This Row],[label]:[url]])&amp;"}")</f>
        <v>,{"label":"Task-Based Access Control","group":"","id":"8B5EA442-514F-4D05-89D6-33F5CE7456C2","url":"https://open-measure.atlassian.net/wiki/spaces/DIC/pages/834044330"}</v>
      </c>
    </row>
    <row r="448" spans="1:6" ht="13.9" thickTop="1" thickBot="1" x14ac:dyDescent="0.4">
      <c r="A448" s="38">
        <f>IF(ISERR(NodesJSON[[#This Row],[label]]),0,1)</f>
        <v>1</v>
      </c>
      <c r="B448" s="3" t="str">
        <f>NodesData[[#This Row],[Common Name]]</f>
        <v>Test Account</v>
      </c>
      <c r="C448" s="3" t="str">
        <f>IF(NodesData[[#This Row],[Context Instanciation]]="","",NodesData[[#This Row],[Context Instanciation]])</f>
        <v/>
      </c>
      <c r="D448" s="22" t="str">
        <f>NodesData[[#This Row],[Node ID]]</f>
        <v>25323A0E-B290-48AC-A147-597F1DF61288</v>
      </c>
      <c r="E448" s="10" t="s">
        <v>1218</v>
      </c>
      <c r="F448" s="25" t="str" cm="1">
        <f t="array" ref="F448">IF(NodesJSON[[#This Row],[Export?]]=0,"",IF(ROW(NodesJSON[[#This Row],[label]])&gt;ROW(NodesJSON[[#Headers],[JSON]])+1,",","") &amp;"{"&amp;twoRangesToJSON(NodesJSON[[#Headers],[label]:[url]],NodesJSON[[#This Row],[label]:[url]])&amp;"}")</f>
        <v>,{"label":"Test Account","group":"","id":"25323A0E-B290-48AC-A147-597F1DF61288","url":"https://open-measure.atlassian.net/wiki/spaces/DIC/pages/236748839"}</v>
      </c>
    </row>
    <row r="449" spans="1:6" ht="13.9" thickTop="1" thickBot="1" x14ac:dyDescent="0.4">
      <c r="A449" s="38">
        <f>IF(ISERR(NodesJSON[[#This Row],[label]]),0,1)</f>
        <v>1</v>
      </c>
      <c r="B449" s="3" t="str">
        <f>NodesData[[#This Row],[Common Name]]</f>
        <v>Text Password Authentication</v>
      </c>
      <c r="C449" s="3" t="str">
        <f>IF(NodesData[[#This Row],[Context Instanciation]]="","",NodesData[[#This Row],[Context Instanciation]])</f>
        <v/>
      </c>
      <c r="D449" s="22" t="str">
        <f>NodesData[[#This Row],[Node ID]]</f>
        <v>0AF1286B-2D4B-4F5F-981B-1B36B2526DC2</v>
      </c>
      <c r="E449" s="10" t="s">
        <v>1220</v>
      </c>
      <c r="F449" s="25" t="str" cm="1">
        <f t="array" ref="F449">IF(NodesJSON[[#This Row],[Export?]]=0,"",IF(ROW(NodesJSON[[#This Row],[label]])&gt;ROW(NodesJSON[[#Headers],[JSON]])+1,",","") &amp;"{"&amp;twoRangesToJSON(NodesJSON[[#Headers],[label]:[url]],NodesJSON[[#This Row],[label]:[url]])&amp;"}")</f>
        <v>,{"label":"Text Password Authentication","group":"","id":"0AF1286B-2D4B-4F5F-981B-1B36B2526DC2","url":"https://open-measure.atlassian.net/wiki/spaces/DIC/pages/542146561"}</v>
      </c>
    </row>
    <row r="450" spans="1:6" ht="13.9" thickTop="1" thickBot="1" x14ac:dyDescent="0.4">
      <c r="A450" s="38">
        <f>IF(ISERR(NodesJSON[[#This Row],[label]]),0,1)</f>
        <v>1</v>
      </c>
      <c r="B450" s="3" t="str">
        <f>NodesData[[#This Row],[Common Name]]</f>
        <v>Threat Agent</v>
      </c>
      <c r="C450" s="3" t="str">
        <f>IF(NodesData[[#This Row],[Context Instanciation]]="","",NodesData[[#This Row],[Context Instanciation]])</f>
        <v/>
      </c>
      <c r="D450" s="22" t="str">
        <f>NodesData[[#This Row],[Node ID]]</f>
        <v>1CA22954-068F-4603-9932-7CAFD3C4E2A6</v>
      </c>
      <c r="E450" s="8"/>
      <c r="F450" s="25" t="str" cm="1">
        <f t="array" ref="F450">IF(NodesJSON[[#This Row],[Export?]]=0,"",IF(ROW(NodesJSON[[#This Row],[label]])&gt;ROW(NodesJSON[[#Headers],[JSON]])+1,",","") &amp;"{"&amp;twoRangesToJSON(NodesJSON[[#Headers],[label]:[url]],NodesJSON[[#This Row],[label]:[url]])&amp;"}")</f>
        <v>,{"label":"Threat Agent","group":"","id":"1CA22954-068F-4603-9932-7CAFD3C4E2A6","url":""}</v>
      </c>
    </row>
    <row r="451" spans="1:6" ht="13.9" thickTop="1" thickBot="1" x14ac:dyDescent="0.4">
      <c r="A451" s="38">
        <f>IF(ISERR(NodesJSON[[#This Row],[label]]),0,1)</f>
        <v>1</v>
      </c>
      <c r="B451" s="3" t="str">
        <f>NodesData[[#This Row],[Common Name]]</f>
        <v>Time Factor</v>
      </c>
      <c r="C451" s="3" t="str">
        <f>IF(NodesData[[#This Row],[Context Instanciation]]="","",NodesData[[#This Row],[Context Instanciation]])</f>
        <v/>
      </c>
      <c r="D451" s="22" t="str">
        <f>NodesData[[#This Row],[Node ID]]</f>
        <v>DF8479E4-7ED0-4699-B624-53A022550DA0</v>
      </c>
      <c r="E451" s="10" t="s">
        <v>1201</v>
      </c>
      <c r="F451" s="25" t="str" cm="1">
        <f t="array" ref="F451">IF(NodesJSON[[#This Row],[Export?]]=0,"",IF(ROW(NodesJSON[[#This Row],[label]])&gt;ROW(NodesJSON[[#Headers],[JSON]])+1,",","") &amp;"{"&amp;twoRangesToJSON(NodesJSON[[#Headers],[label]:[url]],NodesJSON[[#This Row],[label]:[url]])&amp;"}")</f>
        <v>,{"label":"Time Factor","group":"","id":"DF8479E4-7ED0-4699-B624-53A022550DA0","url":"https://open-measure.atlassian.net/wiki/spaces/DIC/pages/1231126540/Unauthorized+Access"}</v>
      </c>
    </row>
    <row r="452" spans="1:6" ht="13.9" thickTop="1" thickBot="1" x14ac:dyDescent="0.4">
      <c r="A452" s="38">
        <f>IF(ISERR(NodesJSON[[#This Row],[label]]),0,1)</f>
        <v>1</v>
      </c>
      <c r="B452" s="3" t="str">
        <f>NodesData[[#This Row],[Common Name]]</f>
        <v>Token-Based Authentication</v>
      </c>
      <c r="C452" s="3" t="str">
        <f>IF(NodesData[[#This Row],[Context Instanciation]]="","",NodesData[[#This Row],[Context Instanciation]])</f>
        <v/>
      </c>
      <c r="D452" s="22" t="str">
        <f>NodesData[[#This Row],[Node ID]]</f>
        <v>E6AFFC0B-70FD-4FF0-B810-88AF9D1F52C5</v>
      </c>
      <c r="E452" s="10" t="s">
        <v>1222</v>
      </c>
      <c r="F452" s="25" t="str" cm="1">
        <f t="array" ref="F452">IF(NodesJSON[[#This Row],[Export?]]=0,"",IF(ROW(NodesJSON[[#This Row],[label]])&gt;ROW(NodesJSON[[#Headers],[JSON]])+1,",","") &amp;"{"&amp;twoRangesToJSON(NodesJSON[[#Headers],[label]:[url]],NodesJSON[[#This Row],[label]:[url]])&amp;"}")</f>
        <v>,{"label":"Token-Based Authentication","group":"","id":"E6AFFC0B-70FD-4FF0-B810-88AF9D1F52C5","url":"https://open-measure.atlassian.net/wiki/spaces/DIC/pages/234389605"}</v>
      </c>
    </row>
    <row r="453" spans="1:6" ht="13.9" thickTop="1" thickBot="1" x14ac:dyDescent="0.4">
      <c r="A453" s="38">
        <f>IF(ISERR(NodesJSON[[#This Row],[label]]),0,1)</f>
        <v>1</v>
      </c>
      <c r="B453" s="3" t="str">
        <f>NodesData[[#This Row],[Common Name]]</f>
        <v>Touchstroke Recognition Authentication</v>
      </c>
      <c r="C453" s="3" t="str">
        <f>IF(NodesData[[#This Row],[Context Instanciation]]="","",NodesData[[#This Row],[Context Instanciation]])</f>
        <v/>
      </c>
      <c r="D453" s="22" t="str">
        <f>NodesData[[#This Row],[Node ID]]</f>
        <v>B5825B69-4900-43C0-A761-B839CC2A150A</v>
      </c>
      <c r="E453" s="4"/>
      <c r="F453" s="25" t="str" cm="1">
        <f t="array" ref="F453">IF(NodesJSON[[#This Row],[Export?]]=0,"",IF(ROW(NodesJSON[[#This Row],[label]])&gt;ROW(NodesJSON[[#Headers],[JSON]])+1,",","") &amp;"{"&amp;twoRangesToJSON(NodesJSON[[#Headers],[label]:[url]],NodesJSON[[#This Row],[label]:[url]])&amp;"}")</f>
        <v>,{"label":"Touchstroke Recognition Authentication","group":"","id":"B5825B69-4900-43C0-A761-B839CC2A150A","url":""}</v>
      </c>
    </row>
    <row r="454" spans="1:6" ht="13.9" thickTop="1" thickBot="1" x14ac:dyDescent="0.4">
      <c r="A454" s="38">
        <f>IF(ISERR(NodesJSON[[#This Row],[label]]),0,1)</f>
        <v>1</v>
      </c>
      <c r="B454" s="3" t="str">
        <f>NodesData[[#This Row],[Common Name]]</f>
        <v>Toxic Combinations</v>
      </c>
      <c r="C454" s="3" t="str">
        <f>IF(NodesData[[#This Row],[Context Instanciation]]="","",NodesData[[#This Row],[Context Instanciation]])</f>
        <v/>
      </c>
      <c r="D454" s="22" t="str">
        <f>NodesData[[#This Row],[Node ID]]</f>
        <v>317A06D1-6B71-47B7-8DA3-E30729547A3D</v>
      </c>
      <c r="E454" s="10" t="s">
        <v>1226</v>
      </c>
      <c r="F454" s="25" t="str" cm="1">
        <f t="array" ref="F454">IF(NodesJSON[[#This Row],[Export?]]=0,"",IF(ROW(NodesJSON[[#This Row],[label]])&gt;ROW(NodesJSON[[#Headers],[JSON]])+1,",","") &amp;"{"&amp;twoRangesToJSON(NodesJSON[[#Headers],[label]:[url]],NodesJSON[[#This Row],[label]:[url]])&amp;"}")</f>
        <v>,{"label":"Toxic Combinations","group":"","id":"317A06D1-6B71-47B7-8DA3-E30729547A3D","url":"https://open-measure.atlassian.net/wiki/spaces/DIC/pages/1177845999"}</v>
      </c>
    </row>
    <row r="455" spans="1:6" ht="13.9" thickTop="1" thickBot="1" x14ac:dyDescent="0.4">
      <c r="A455" s="38">
        <f>IF(ISERR(NodesJSON[[#This Row],[label]]),0,1)</f>
        <v>1</v>
      </c>
      <c r="B455" s="3" t="str">
        <f>NodesData[[#This Row],[Common Name]]</f>
        <v>Toxic Right Rule (Definition)</v>
      </c>
      <c r="C455" s="3" t="str">
        <f>IF(NodesData[[#This Row],[Context Instanciation]]="","",NodesData[[#This Row],[Context Instanciation]])</f>
        <v/>
      </c>
      <c r="D455" s="22" t="str">
        <f>NodesData[[#This Row],[Node ID]]</f>
        <v>634EC852-0B85-47F5-A9CB-39119FCA597A</v>
      </c>
      <c r="E455" s="10" t="s">
        <v>1228</v>
      </c>
      <c r="F455" s="25" t="str" cm="1">
        <f t="array" ref="F455">IF(NodesJSON[[#This Row],[Export?]]=0,"",IF(ROW(NodesJSON[[#This Row],[label]])&gt;ROW(NodesJSON[[#Headers],[JSON]])+1,",","") &amp;"{"&amp;twoRangesToJSON(NodesJSON[[#Headers],[label]:[url]],NodesJSON[[#This Row],[label]:[url]])&amp;"}")</f>
        <v>,{"label":"Toxic Right Rule (Definition)","group":"","id":"634EC852-0B85-47F5-A9CB-39119FCA597A","url":"https://open-measure.atlassian.net/wiki/spaces/DIC/pages/75923587"}</v>
      </c>
    </row>
    <row r="456" spans="1:6" ht="13.9" thickTop="1" thickBot="1" x14ac:dyDescent="0.4">
      <c r="A456" s="38">
        <f>IF(ISERR(NodesJSON[[#This Row],[label]]),0,1)</f>
        <v>1</v>
      </c>
      <c r="B456" s="3" t="str">
        <f>NodesData[[#This Row],[Common Name]]</f>
        <v>Tranquil</v>
      </c>
      <c r="C456" s="3" t="str">
        <f>IF(NodesData[[#This Row],[Context Instanciation]]="","",NodesData[[#This Row],[Context Instanciation]])</f>
        <v/>
      </c>
      <c r="D456" s="22" t="str">
        <f>NodesData[[#This Row],[Node ID]]</f>
        <v>CD4395C6-4D11-44F0-9379-3C7BAEDE14F2</v>
      </c>
      <c r="E456" s="10" t="s">
        <v>1230</v>
      </c>
      <c r="F456" s="25" t="str" cm="1">
        <f t="array" ref="F456">IF(NodesJSON[[#This Row],[Export?]]=0,"",IF(ROW(NodesJSON[[#This Row],[label]])&gt;ROW(NodesJSON[[#Headers],[JSON]])+1,",","") &amp;"{"&amp;twoRangesToJSON(NodesJSON[[#Headers],[label]:[url]],NodesJSON[[#This Row],[label]:[url]])&amp;"}")</f>
        <v>,{"label":"Tranquil","group":"","id":"CD4395C6-4D11-44F0-9379-3C7BAEDE14F2","url":"https://open-measure.atlassian.net/wiki/spaces/DIC/pages/140673566"}</v>
      </c>
    </row>
    <row r="457" spans="1:6" ht="13.9" thickTop="1" thickBot="1" x14ac:dyDescent="0.4">
      <c r="A457" s="38">
        <f>IF(ISERR(NodesJSON[[#This Row],[label]]),0,1)</f>
        <v>1</v>
      </c>
      <c r="B457" s="3" t="str">
        <f>NodesData[[#This Row],[Common Name]]</f>
        <v>Tranquility Principle</v>
      </c>
      <c r="C457" s="3" t="str">
        <f>IF(NodesData[[#This Row],[Context Instanciation]]="","",NodesData[[#This Row],[Context Instanciation]])</f>
        <v/>
      </c>
      <c r="D457" s="22" t="str">
        <f>NodesData[[#This Row],[Node ID]]</f>
        <v>3476F350-3230-422E-ACA7-DB215DBE8F83</v>
      </c>
      <c r="E457" s="10" t="s">
        <v>1232</v>
      </c>
      <c r="F457" s="25" t="str" cm="1">
        <f t="array" ref="F457">IF(NodesJSON[[#This Row],[Export?]]=0,"",IF(ROW(NodesJSON[[#This Row],[label]])&gt;ROW(NodesJSON[[#Headers],[JSON]])+1,",","") &amp;"{"&amp;twoRangesToJSON(NodesJSON[[#Headers],[label]:[url]],NodesJSON[[#This Row],[label]:[url]])&amp;"}")</f>
        <v>,{"label":"Tranquility Principle","group":"","id":"3476F350-3230-422E-ACA7-DB215DBE8F83","url":"https://open-measure.atlassian.net/wiki/spaces/DIC/pages/140739507"}</v>
      </c>
    </row>
    <row r="458" spans="1:6" ht="13.9" thickTop="1" thickBot="1" x14ac:dyDescent="0.4">
      <c r="A458" s="38">
        <f>IF(ISERR(NodesJSON[[#This Row],[label]]),0,1)</f>
        <v>1</v>
      </c>
      <c r="B458" s="3" t="str">
        <f>NodesData[[#This Row],[Common Name]]</f>
        <v>Tranquility Property</v>
      </c>
      <c r="C458" s="3" t="str">
        <f>IF(NodesData[[#This Row],[Context Instanciation]]="","",NodesData[[#This Row],[Context Instanciation]])</f>
        <v/>
      </c>
      <c r="D458" s="22" t="str">
        <f>NodesData[[#This Row],[Node ID]]</f>
        <v>9D1B24A0-56AF-4617-ADB3-C71C13B7ECF1</v>
      </c>
      <c r="E458" s="10" t="s">
        <v>1234</v>
      </c>
      <c r="F458" s="25" t="str" cm="1">
        <f t="array" ref="F458">IF(NodesJSON[[#This Row],[Export?]]=0,"",IF(ROW(NodesJSON[[#This Row],[label]])&gt;ROW(NodesJSON[[#Headers],[JSON]])+1,",","") &amp;"{"&amp;twoRangesToJSON(NodesJSON[[#Headers],[label]:[url]],NodesJSON[[#This Row],[label]:[url]])&amp;"}")</f>
        <v>,{"label":"Tranquility Property","group":"","id":"9D1B24A0-56AF-4617-ADB3-C71C13B7ECF1","url":"https://open-measure.atlassian.net/wiki/spaces/DIC/pages/140673594"}</v>
      </c>
    </row>
    <row r="459" spans="1:6" ht="13.9" thickTop="1" thickBot="1" x14ac:dyDescent="0.4">
      <c r="A459" s="38">
        <f>IF(ISERR(NodesJSON[[#This Row],[label]]),0,1)</f>
        <v>1</v>
      </c>
      <c r="B459" s="3" t="str">
        <f>NodesData[[#This Row],[Common Name]]</f>
        <v>Trust</v>
      </c>
      <c r="C459" s="3" t="str">
        <f>IF(NodesData[[#This Row],[Context Instanciation]]="","",NodesData[[#This Row],[Context Instanciation]])</f>
        <v/>
      </c>
      <c r="D459" s="22" t="str">
        <f>NodesData[[#This Row],[Node ID]]</f>
        <v>A1678A0D-5911-4EEF-9E11-60BF598EC965</v>
      </c>
      <c r="E459" s="10" t="s">
        <v>1236</v>
      </c>
      <c r="F459" s="25" t="str" cm="1">
        <f t="array" ref="F459">IF(NodesJSON[[#This Row],[Export?]]=0,"",IF(ROW(NodesJSON[[#This Row],[label]])&gt;ROW(NodesJSON[[#Headers],[JSON]])+1,",","") &amp;"{"&amp;twoRangesToJSON(NodesJSON[[#Headers],[label]:[url]],NodesJSON[[#This Row],[label]:[url]])&amp;"}")</f>
        <v>,{"label":"Trust","group":"","id":"A1678A0D-5911-4EEF-9E11-60BF598EC965","url":"https://open-measure.atlassian.net/wiki/spaces/DIC/pages/140739482"}</v>
      </c>
    </row>
    <row r="460" spans="1:6" ht="13.9" thickTop="1" thickBot="1" x14ac:dyDescent="0.4">
      <c r="A460" s="38">
        <f>IF(ISERR(NodesJSON[[#This Row],[label]]),0,1)</f>
        <v>1</v>
      </c>
      <c r="B460" s="3" t="str">
        <f>NodesData[[#This Row],[Common Name]]</f>
        <v>Trust Asymmetry</v>
      </c>
      <c r="C460" s="3" t="str">
        <f>IF(NodesData[[#This Row],[Context Instanciation]]="","",NodesData[[#This Row],[Context Instanciation]])</f>
        <v/>
      </c>
      <c r="D460" s="22" t="str">
        <f>NodesData[[#This Row],[Node ID]]</f>
        <v>02C83109-714D-445E-BEE7-BD8C5DF01F88</v>
      </c>
      <c r="E460" s="10" t="s">
        <v>1238</v>
      </c>
      <c r="F460" s="25" t="str" cm="1">
        <f t="array" ref="F460">IF(NodesJSON[[#This Row],[Export?]]=0,"",IF(ROW(NodesJSON[[#This Row],[label]])&gt;ROW(NodesJSON[[#Headers],[JSON]])+1,",","") &amp;"{"&amp;twoRangesToJSON(NodesJSON[[#Headers],[label]:[url]],NodesJSON[[#This Row],[label]:[url]])&amp;"}")</f>
        <v>,{"label":"Trust Asymmetry","group":"","id":"02C83109-714D-445E-BEE7-BD8C5DF01F88","url":"https://open-measure.atlassian.net/wiki/spaces/DIC/pages/140673653"}</v>
      </c>
    </row>
    <row r="461" spans="1:6" ht="13.9" thickTop="1" thickBot="1" x14ac:dyDescent="0.4">
      <c r="A461" s="38">
        <f>IF(ISERR(NodesJSON[[#This Row],[label]]),0,1)</f>
        <v>1</v>
      </c>
      <c r="B461" s="3" t="str">
        <f>NodesData[[#This Row],[Common Name]]</f>
        <v>Trust Composability</v>
      </c>
      <c r="C461" s="3" t="str">
        <f>IF(NodesData[[#This Row],[Context Instanciation]]="","",NodesData[[#This Row],[Context Instanciation]])</f>
        <v/>
      </c>
      <c r="D461" s="22" t="str">
        <f>NodesData[[#This Row],[Node ID]]</f>
        <v>25644D60-00E5-472D-BE6D-971FB814715F</v>
      </c>
      <c r="E461" s="10" t="s">
        <v>1240</v>
      </c>
      <c r="F461" s="25" t="str" cm="1">
        <f t="array" ref="F461">IF(NodesJSON[[#This Row],[Export?]]=0,"",IF(ROW(NodesJSON[[#This Row],[label]])&gt;ROW(NodesJSON[[#Headers],[JSON]])+1,",","") &amp;"{"&amp;twoRangesToJSON(NodesJSON[[#Headers],[label]:[url]],NodesJSON[[#This Row],[label]:[url]])&amp;"}")</f>
        <v>,{"label":"Trust Composability","group":"","id":"25644D60-00E5-472D-BE6D-971FB814715F","url":"https://open-measure.atlassian.net/wiki/spaces/DIC/pages/140771901"}</v>
      </c>
    </row>
    <row r="462" spans="1:6" ht="13.9" thickTop="1" thickBot="1" x14ac:dyDescent="0.4">
      <c r="A462" s="38">
        <f>IF(ISERR(NodesJSON[[#This Row],[label]]),0,1)</f>
        <v>1</v>
      </c>
      <c r="B462" s="3" t="str">
        <f>NodesData[[#This Row],[Common Name]]</f>
        <v>Trust Personalization</v>
      </c>
      <c r="C462" s="3" t="str">
        <f>IF(NodesData[[#This Row],[Context Instanciation]]="","",NodesData[[#This Row],[Context Instanciation]])</f>
        <v/>
      </c>
      <c r="D462" s="22" t="str">
        <f>NodesData[[#This Row],[Node ID]]</f>
        <v>972542DD-F88B-4F6B-A455-6E376E45AD99</v>
      </c>
      <c r="E462" s="10" t="s">
        <v>1242</v>
      </c>
      <c r="F462" s="25" t="str" cm="1">
        <f t="array" ref="F462">IF(NodesJSON[[#This Row],[Export?]]=0,"",IF(ROW(NodesJSON[[#This Row],[label]])&gt;ROW(NodesJSON[[#Headers],[JSON]])+1,",","") &amp;"{"&amp;twoRangesToJSON(NodesJSON[[#Headers],[label]:[url]],NodesJSON[[#This Row],[label]:[url]])&amp;"}")</f>
        <v>,{"label":"Trust Personalization","group":"","id":"972542DD-F88B-4F6B-A455-6E376E45AD99","url":"https://open-measure.atlassian.net/wiki/spaces/DIC/pages/140772047"}</v>
      </c>
    </row>
    <row r="463" spans="1:6" ht="13.9" thickTop="1" thickBot="1" x14ac:dyDescent="0.4">
      <c r="A463" s="38">
        <f>IF(ISERR(NodesJSON[[#This Row],[label]]),0,1)</f>
        <v>1</v>
      </c>
      <c r="B463" s="3" t="str">
        <f>NodesData[[#This Row],[Common Name]]</f>
        <v>Trust Transitivity</v>
      </c>
      <c r="C463" s="3" t="str">
        <f>IF(NodesData[[#This Row],[Context Instanciation]]="","",NodesData[[#This Row],[Context Instanciation]])</f>
        <v/>
      </c>
      <c r="D463" s="22" t="str">
        <f>NodesData[[#This Row],[Node ID]]</f>
        <v>B7CE828C-5FD8-48C8-9404-F733747924F0</v>
      </c>
      <c r="E463" s="10" t="s">
        <v>1244</v>
      </c>
      <c r="F463" s="25" t="str" cm="1">
        <f t="array" ref="F463">IF(NodesJSON[[#This Row],[Export?]]=0,"",IF(ROW(NodesJSON[[#This Row],[label]])&gt;ROW(NodesJSON[[#Headers],[JSON]])+1,",","") &amp;"{"&amp;twoRangesToJSON(NodesJSON[[#Headers],[label]:[url]],NodesJSON[[#This Row],[label]:[url]])&amp;"}")</f>
        <v>,{"label":"Trust Transitivity","group":"","id":"B7CE828C-5FD8-48C8-9404-F733747924F0","url":"https://open-measure.atlassian.net/wiki/spaces/DIC/pages/140739277"}</v>
      </c>
    </row>
    <row r="464" spans="1:6" ht="13.9" thickTop="1" thickBot="1" x14ac:dyDescent="0.4">
      <c r="A464" s="38">
        <f>IF(ISERR(NodesJSON[[#This Row],[label]]),0,1)</f>
        <v>1</v>
      </c>
      <c r="B464" s="3" t="str">
        <f>NodesData[[#This Row],[Common Name]]</f>
        <v>Typing Biometrics</v>
      </c>
      <c r="C464" s="3" t="str">
        <f>IF(NodesData[[#This Row],[Context Instanciation]]="","",NodesData[[#This Row],[Context Instanciation]])</f>
        <v/>
      </c>
      <c r="D464" s="22" t="str">
        <f>NodesData[[#This Row],[Node ID]]</f>
        <v>D70A7F63-0F25-47AE-8AE4-C137A5FBFDC4</v>
      </c>
      <c r="E464" s="10" t="s">
        <v>1246</v>
      </c>
      <c r="F464" s="25" t="str" cm="1">
        <f t="array" ref="F464">IF(NodesJSON[[#This Row],[Export?]]=0,"",IF(ROW(NodesJSON[[#This Row],[label]])&gt;ROW(NodesJSON[[#Headers],[JSON]])+1,",","") &amp;"{"&amp;twoRangesToJSON(NodesJSON[[#Headers],[label]:[url]],NodesJSON[[#This Row],[label]:[url]])&amp;"}")</f>
        <v>,{"label":"Typing Biometrics","group":"","id":"D70A7F63-0F25-47AE-8AE4-C137A5FBFDC4","url":"https://open-measure.atlassian.net/wiki/spaces/DIC/pages/140673818"}</v>
      </c>
    </row>
    <row r="465" spans="1:7" ht="13.9" thickTop="1" thickBot="1" x14ac:dyDescent="0.4">
      <c r="A465" s="38">
        <f>IF(ISERR(NodesJSON[[#This Row],[label]]),0,1)</f>
        <v>1</v>
      </c>
      <c r="B465" s="3" t="str">
        <f>NodesData[[#This Row],[Common Name]]</f>
        <v>Typology</v>
      </c>
      <c r="C465" s="3" t="str">
        <f>IF(NodesData[[#This Row],[Context Instanciation]]="","",NodesData[[#This Row],[Context Instanciation]])</f>
        <v/>
      </c>
      <c r="D465" s="22" t="str">
        <f>NodesData[[#This Row],[Node ID]]</f>
        <v>4F608F4E-4015-49D4-AC9A-086CAF01EC18</v>
      </c>
      <c r="E465" s="10" t="s">
        <v>1248</v>
      </c>
      <c r="F465" s="25" t="str" cm="1">
        <f t="array" ref="F465">IF(NodesJSON[[#This Row],[Export?]]=0,"",IF(ROW(NodesJSON[[#This Row],[label]])&gt;ROW(NodesJSON[[#Headers],[JSON]])+1,",","") &amp;"{"&amp;twoRangesToJSON(NodesJSON[[#Headers],[label]:[url]],NodesJSON[[#This Row],[label]:[url]])&amp;"}")</f>
        <v>,{"label":"Typology","group":"","id":"4F608F4E-4015-49D4-AC9A-086CAF01EC18","url":"https://open-measure.atlassian.net/wiki/spaces/DIC/pages/140772011"}</v>
      </c>
    </row>
    <row r="466" spans="1:7" ht="13.9" thickTop="1" thickBot="1" x14ac:dyDescent="0.4">
      <c r="A466" s="38">
        <f>IF(ISERR(NodesJSON[[#This Row],[label]]),0,1)</f>
        <v>1</v>
      </c>
      <c r="B466" s="3" t="str">
        <f>NodesData[[#This Row],[Common Name]]</f>
        <v>Unanticipated User</v>
      </c>
      <c r="C466" s="3" t="str">
        <f>IF(NodesData[[#This Row],[Context Instanciation]]="","",NodesData[[#This Row],[Context Instanciation]])</f>
        <v/>
      </c>
      <c r="D466" s="22" t="str">
        <f>NodesData[[#This Row],[Node ID]]</f>
        <v>BFDF9B3C-2AFB-413C-A8ED-285523AC2B1F</v>
      </c>
      <c r="E466" s="10" t="s">
        <v>1250</v>
      </c>
      <c r="F466" s="25" t="str" cm="1">
        <f t="array" ref="F466">IF(NodesJSON[[#This Row],[Export?]]=0,"",IF(ROW(NodesJSON[[#This Row],[label]])&gt;ROW(NodesJSON[[#Headers],[JSON]])+1,",","") &amp;"{"&amp;twoRangesToJSON(NodesJSON[[#Headers],[label]:[url]],NodesJSON[[#This Row],[label]:[url]])&amp;"}")</f>
        <v>,{"label":"Unanticipated User","group":"","id":"BFDF9B3C-2AFB-413C-A8ED-285523AC2B1F","url":"https://open-measure.atlassian.net/wiki/spaces/DIC/pages/140706624"}</v>
      </c>
    </row>
    <row r="467" spans="1:7" ht="13.9" thickTop="1" thickBot="1" x14ac:dyDescent="0.4">
      <c r="A467" s="38">
        <f>IF(ISERR(NodesJSON[[#This Row],[label]]),0,1)</f>
        <v>1</v>
      </c>
      <c r="B467" s="3" t="str">
        <f>NodesData[[#This Row],[Common Name]]</f>
        <v>Unauthorized Access</v>
      </c>
      <c r="C467" s="3" t="str">
        <f>IF(NodesData[[#This Row],[Context Instanciation]]="","",NodesData[[#This Row],[Context Instanciation]])</f>
        <v/>
      </c>
      <c r="D467" s="22" t="str">
        <f>NodesData[[#This Row],[Node ID]]</f>
        <v>5F07E772-71B1-4356-BFEF-4C9C6B3E0236</v>
      </c>
      <c r="E467" s="10" t="s">
        <v>1252</v>
      </c>
      <c r="F467" s="25" t="str" cm="1">
        <f t="array" ref="F467">IF(NodesJSON[[#This Row],[Export?]]=0,"",IF(ROW(NodesJSON[[#This Row],[label]])&gt;ROW(NodesJSON[[#Headers],[JSON]])+1,",","") &amp;"{"&amp;twoRangesToJSON(NodesJSON[[#Headers],[label]:[url]],NodesJSON[[#This Row],[label]:[url]])&amp;"}")</f>
        <v>,{"label":"Unauthorized Access","group":"","id":"5F07E772-71B1-4356-BFEF-4C9C6B3E0236","url":"https://open-measure.atlassian.net/wiki/spaces/DIC/pages/140706700"}</v>
      </c>
    </row>
    <row r="468" spans="1:7" ht="13.9" thickTop="1" thickBot="1" x14ac:dyDescent="0.4">
      <c r="A468" s="38">
        <f>IF(ISERR(NodesJSON[[#This Row],[label]]),0,1)</f>
        <v>1</v>
      </c>
      <c r="B468" s="3" t="str">
        <f>NodesData[[#This Row],[Common Name]]</f>
        <v>Unique ID Number</v>
      </c>
      <c r="C468" s="3" t="str">
        <f>IF(NodesData[[#This Row],[Context Instanciation]]="","",NodesData[[#This Row],[Context Instanciation]])</f>
        <v/>
      </c>
      <c r="D468" s="22" t="str">
        <f>NodesData[[#This Row],[Node ID]]</f>
        <v>32B4EC23-AF1A-4610-A639-00BBEA4C8CCA</v>
      </c>
      <c r="E468" s="10" t="s">
        <v>1254</v>
      </c>
      <c r="F468" s="25" t="str" cm="1">
        <f t="array" ref="F468">IF(NodesJSON[[#This Row],[Export?]]=0,"",IF(ROW(NodesJSON[[#This Row],[label]])&gt;ROW(NodesJSON[[#Headers],[JSON]])+1,",","") &amp;"{"&amp;twoRangesToJSON(NodesJSON[[#Headers],[label]:[url]],NodesJSON[[#This Row],[label]:[url]])&amp;"}")</f>
        <v>,{"label":"Unique ID Number","group":"","id":"32B4EC23-AF1A-4610-A639-00BBEA4C8CCA","url":"https://open-measure.atlassian.net/wiki/spaces/DIC/pages/855638141"}</v>
      </c>
    </row>
    <row r="469" spans="1:7" ht="13.9" thickTop="1" thickBot="1" x14ac:dyDescent="0.4">
      <c r="A469" s="38">
        <f>IF(ISERR(NodesJSON[[#This Row],[label]]),0,1)</f>
        <v>1</v>
      </c>
      <c r="B469" s="3" t="str">
        <f>NodesData[[#This Row],[Common Name]]</f>
        <v>Unprivileged Insider</v>
      </c>
      <c r="C469" s="3" t="str">
        <f>IF(NodesData[[#This Row],[Context Instanciation]]="","",NodesData[[#This Row],[Context Instanciation]])</f>
        <v/>
      </c>
      <c r="D469" s="22" t="str">
        <f>NodesData[[#This Row],[Node ID]]</f>
        <v>2169AA61-B763-4A78-84B6-AD1A906A5E71</v>
      </c>
      <c r="E469" s="10" t="s">
        <v>1256</v>
      </c>
      <c r="F469" s="25" t="str" cm="1">
        <f t="array" ref="F469">IF(NodesJSON[[#This Row],[Export?]]=0,"",IF(ROW(NodesJSON[[#This Row],[label]])&gt;ROW(NodesJSON[[#Headers],[JSON]])+1,",","") &amp;"{"&amp;twoRangesToJSON(NodesJSON[[#Headers],[label]:[url]],NodesJSON[[#This Row],[label]:[url]])&amp;"}")</f>
        <v>,{"label":"Unprivileged Insider","group":"","id":"2169AA61-B763-4A78-84B6-AD1A906A5E71","url":"https://open-measure.atlassian.net/wiki/spaces/DIC/pages/814448722"}</v>
      </c>
    </row>
    <row r="470" spans="1:7" ht="13.9" thickTop="1" thickBot="1" x14ac:dyDescent="0.4">
      <c r="A470" s="38">
        <f>IF(ISERR(NodesJSON[[#This Row],[label]]),0,1)</f>
        <v>1</v>
      </c>
      <c r="B470" s="3" t="str">
        <f>NodesData[[#This Row],[Common Name]]</f>
        <v>User</v>
      </c>
      <c r="C470" s="3" t="str">
        <f>IF(NodesData[[#This Row],[Context Instanciation]]="","",NodesData[[#This Row],[Context Instanciation]])</f>
        <v/>
      </c>
      <c r="D470" s="22" t="str">
        <f>NodesData[[#This Row],[Node ID]]</f>
        <v>14F55B57-7DA0-449A-AFEC-28F642F73AC8</v>
      </c>
      <c r="E470" s="10" t="s">
        <v>1258</v>
      </c>
      <c r="F470" s="25" t="str" cm="1">
        <f t="array" ref="F470">IF(NodesJSON[[#This Row],[Export?]]=0,"",IF(ROW(NodesJSON[[#This Row],[label]])&gt;ROW(NodesJSON[[#Headers],[JSON]])+1,",","") &amp;"{"&amp;twoRangesToJSON(NodesJSON[[#Headers],[label]:[url]],NodesJSON[[#This Row],[label]:[url]])&amp;"}")</f>
        <v>,{"label":"User","group":"","id":"14F55B57-7DA0-449A-AFEC-28F642F73AC8","url":"https://open-measure.atlassian.net/wiki/spaces/DIC/pages/852492409"}</v>
      </c>
    </row>
    <row r="471" spans="1:7" ht="13.9" thickTop="1" thickBot="1" x14ac:dyDescent="0.4">
      <c r="A471" s="38">
        <f>IF(ISERR(NodesJSON[[#This Row],[label]]),0,1)</f>
        <v>1</v>
      </c>
      <c r="B471" s="3" t="str">
        <f>NodesData[[#This Row],[Common Name]]</f>
        <v>User Account</v>
      </c>
      <c r="C471" s="3" t="str">
        <f>IF(NodesData[[#This Row],[Context Instanciation]]="","",NodesData[[#This Row],[Context Instanciation]])</f>
        <v/>
      </c>
      <c r="D471" s="22" t="str">
        <f>NodesData[[#This Row],[Node ID]]</f>
        <v>069DED9F-281C-4491-A517-716E324BA3B2</v>
      </c>
      <c r="E471" s="10" t="s">
        <v>1260</v>
      </c>
      <c r="F471" s="25" t="str" cm="1">
        <f t="array" ref="F471">IF(NodesJSON[[#This Row],[Export?]]=0,"",IF(ROW(NodesJSON[[#This Row],[label]])&gt;ROW(NodesJSON[[#Headers],[JSON]])+1,",","") &amp;"{"&amp;twoRangesToJSON(NodesJSON[[#Headers],[label]:[url]],NodesJSON[[#This Row],[label]:[url]])&amp;"}")</f>
        <v>,{"label":"User Account","group":"","id":"069DED9F-281C-4491-A517-716E324BA3B2","url":"https://open-measure.atlassian.net/wiki/spaces/DIC/pages/1122631791"}</v>
      </c>
    </row>
    <row r="472" spans="1:7" ht="13.9" thickTop="1" thickBot="1" x14ac:dyDescent="0.4">
      <c r="A472" s="38">
        <f>IF(ISERR(NodesJSON[[#This Row],[label]]),0,1)</f>
        <v>1</v>
      </c>
      <c r="B472" s="3" t="str">
        <f>NodesData[[#This Row],[Common Name]]</f>
        <v>User De-Provisioning</v>
      </c>
      <c r="C472" s="3" t="str">
        <f>IF(NodesData[[#This Row],[Context Instanciation]]="","",NodesData[[#This Row],[Context Instanciation]])</f>
        <v/>
      </c>
      <c r="D472" s="22" t="str">
        <f>NodesData[[#This Row],[Node ID]]</f>
        <v>AE1792C6-7918-47DF-AAF4-019C8334670F</v>
      </c>
      <c r="E472" s="10" t="s">
        <v>1261</v>
      </c>
      <c r="F472" s="25" t="str" cm="1">
        <f t="array" ref="F472">IF(NodesJSON[[#This Row],[Export?]]=0,"",IF(ROW(NodesJSON[[#This Row],[label]])&gt;ROW(NodesJSON[[#Headers],[JSON]])+1,",","") &amp;"{"&amp;twoRangesToJSON(NodesJSON[[#Headers],[label]:[url]],NodesJSON[[#This Row],[label]:[url]])&amp;"}")</f>
        <v>,{"label":"User De-Provisioning","group":"","id":"AE1792C6-7918-47DF-AAF4-019C8334670F","url":"https://open-measure.atlassian.net/wiki/spaces/DIC/pages/234356891/Zero-Trust+Access"}</v>
      </c>
    </row>
    <row r="473" spans="1:7" ht="13.9" thickTop="1" thickBot="1" x14ac:dyDescent="0.4">
      <c r="A473" s="38">
        <f>IF(ISERR(NodesJSON[[#This Row],[label]]),0,1)</f>
        <v>1</v>
      </c>
      <c r="B473" s="3" t="str">
        <f>NodesData[[#This Row],[Common Name]]</f>
        <v>User Entitlement Reviews</v>
      </c>
      <c r="C473" s="3" t="str">
        <f>IF(NodesData[[#This Row],[Context Instanciation]]="","",NodesData[[#This Row],[Context Instanciation]])</f>
        <v/>
      </c>
      <c r="D473" s="22" t="str">
        <f>NodesData[[#This Row],[Node ID]]</f>
        <v>218DF218-D5B3-4BFF-B0DB-794CBCCDEC98</v>
      </c>
      <c r="E473" s="10" t="s">
        <v>1262</v>
      </c>
      <c r="F473" s="25" t="str" cm="1">
        <f t="array" ref="F473">IF(NodesJSON[[#This Row],[Export?]]=0,"",IF(ROW(NodesJSON[[#This Row],[label]])&gt;ROW(NodesJSON[[#Headers],[JSON]])+1,",","") &amp;"{"&amp;twoRangesToJSON(NodesJSON[[#Headers],[label]:[url]],NodesJSON[[#This Row],[label]:[url]])&amp;"}")</f>
        <v>,{"label":"User Entitlement Reviews","group":"","id":"218DF218-D5B3-4BFF-B0DB-794CBCCDEC98","url":"https://open-measure.atlassian.net/wiki/spaces/DIC/pages/782893195/Zombie+Account"}</v>
      </c>
    </row>
    <row r="474" spans="1:7" ht="13.9" thickTop="1" thickBot="1" x14ac:dyDescent="0.4">
      <c r="A474" s="38">
        <f>IF(ISERR(NodesJSON[[#This Row],[label]]),0,1)</f>
        <v>1</v>
      </c>
      <c r="B474" s="3" t="str">
        <f>NodesData[[#This Row],[Common Name]]</f>
        <v>User ID</v>
      </c>
      <c r="C474" s="3" t="str">
        <f>IF(NodesData[[#This Row],[Context Instanciation]]="","",NodesData[[#This Row],[Context Instanciation]])</f>
        <v/>
      </c>
      <c r="D474" s="22" t="str">
        <f>NodesData[[#This Row],[Node ID]]</f>
        <v>99A24377-B914-4F1A-A6B3-D4FF757FBC77</v>
      </c>
      <c r="E474" s="10" t="s">
        <v>1263</v>
      </c>
      <c r="F474" s="25" t="str" cm="1">
        <f t="array" ref="F474">IF(NodesJSON[[#This Row],[Export?]]=0,"",IF(ROW(NodesJSON[[#This Row],[label]])&gt;ROW(NodesJSON[[#Headers],[JSON]])+1,",","") &amp;"{"&amp;twoRangesToJSON(NodesJSON[[#Headers],[label]:[url]],NodesJSON[[#This Row],[label]:[url]])&amp;"}")</f>
        <v>,{"label":"User ID","group":"","id":"99A24377-B914-4F1A-A6B3-D4FF757FBC77","url":"https://open-measure.atlassian.net/wiki/spaces/DIC/pages/234389671/ZTA"}</v>
      </c>
    </row>
    <row r="475" spans="1:7" ht="13.9" thickTop="1" thickBot="1" x14ac:dyDescent="0.4">
      <c r="A475" s="38">
        <f>IF(ISERR(NodesJSON[[#This Row],[label]]),0,1)</f>
        <v>1</v>
      </c>
      <c r="B475" s="3" t="str">
        <f>NodesData[[#This Row],[Common Name]]</f>
        <v>User Provisioning</v>
      </c>
      <c r="C475" s="3" t="str">
        <f>IF(NodesData[[#This Row],[Context Instanciation]]="","",NodesData[[#This Row],[Context Instanciation]])</f>
        <v/>
      </c>
      <c r="D475" s="22" t="str">
        <f>NodesData[[#This Row],[Node ID]]</f>
        <v>5C9A52EB-A26B-4561-BD31-59AF5569B1F6</v>
      </c>
      <c r="E475" s="10" t="s">
        <v>1224</v>
      </c>
      <c r="F475" s="25" t="str" cm="1">
        <f t="array" ref="F475">IF(NodesJSON[[#This Row],[Export?]]=0,"",IF(ROW(NodesJSON[[#This Row],[label]])&gt;ROW(NodesJSON[[#Headers],[JSON]])+1,",","") &amp;"{"&amp;twoRangesToJSON(NodesJSON[[#Headers],[label]:[url]],NodesJSON[[#This Row],[label]:[url]])&amp;"}")</f>
        <v>,{"label":"User Provisioning","group":"","id":"5C9A52EB-A26B-4561-BD31-59AF5569B1F6","url":"https://open-measure.atlassian.net/wiki/spaces/DIC/pages/81068120"}</v>
      </c>
    </row>
    <row r="476" spans="1:7" ht="13.9" thickTop="1" thickBot="1" x14ac:dyDescent="0.4">
      <c r="A476" s="39">
        <f>IF(ISERR(NodesJSON[[#This Row],[label]]),0,1)</f>
        <v>1</v>
      </c>
      <c r="B476" s="8" t="str">
        <f>NodesData[[#This Row],[Common Name]]</f>
        <v>User-Centric Identity Management System</v>
      </c>
      <c r="C476" s="8" t="str">
        <f>IF(NodesData[[#This Row],[Context Instanciation]]="","",NodesData[[#This Row],[Context Instanciation]])</f>
        <v/>
      </c>
      <c r="D476" s="27" t="str">
        <f>NodesData[[#This Row],[Node ID]]</f>
        <v>216B8B65-351B-4014-AC11-77C5B0F7E653</v>
      </c>
      <c r="E476" s="8"/>
      <c r="F476" s="25" t="str" cm="1">
        <f t="array" ref="F476">IF(NodesJSON[[#This Row],[Export?]]=0,"",IF(ROW(NodesJSON[[#This Row],[label]])&gt;ROW(NodesJSON[[#Headers],[JSON]])+1,",","") &amp;"{"&amp;twoRangesToJSON(NodesJSON[[#Headers],[label]:[url]],NodesJSON[[#This Row],[label]:[url]])&amp;"}")</f>
        <v>,{"label":"User-Centric Identity Management System","group":"","id":"216B8B65-351B-4014-AC11-77C5B0F7E653","url":""}</v>
      </c>
      <c r="G476" s="26"/>
    </row>
    <row r="477" spans="1:7" ht="13.9" thickTop="1" thickBot="1" x14ac:dyDescent="0.4">
      <c r="A477" s="39">
        <f>IF(ISERR(NodesJSON[[#This Row],[label]]),0,1)</f>
        <v>1</v>
      </c>
      <c r="B477" s="8" t="str">
        <f>NodesData[[#This Row],[Common Name]]</f>
        <v>Username</v>
      </c>
      <c r="C477" s="8" t="str">
        <f>IF(NodesData[[#This Row],[Context Instanciation]]="","",NodesData[[#This Row],[Context Instanciation]])</f>
        <v/>
      </c>
      <c r="D477" s="27" t="str">
        <f>NodesData[[#This Row],[Node ID]]</f>
        <v>7B78C61F-6A15-4434-B851-3C9932D3B430</v>
      </c>
      <c r="E477" s="8"/>
      <c r="F477" s="25" t="str" cm="1">
        <f t="array" ref="F477">IF(NodesJSON[[#This Row],[Export?]]=0,"",IF(ROW(NodesJSON[[#This Row],[label]])&gt;ROW(NodesJSON[[#Headers],[JSON]])+1,",","") &amp;"{"&amp;twoRangesToJSON(NodesJSON[[#Headers],[label]:[url]],NodesJSON[[#This Row],[label]:[url]])&amp;"}")</f>
        <v>,{"label":"Username","group":"","id":"7B78C61F-6A15-4434-B851-3C9932D3B430","url":""}</v>
      </c>
      <c r="G477" s="26"/>
    </row>
    <row r="478" spans="1:7" ht="13.9" thickTop="1" thickBot="1" x14ac:dyDescent="0.4">
      <c r="A478" s="39">
        <f>IF(ISERR(NodesJSON[[#This Row],[label]]),0,1)</f>
        <v>1</v>
      </c>
      <c r="B478" s="8" t="str">
        <f>NodesData[[#This Row],[Common Name]]</f>
        <v>Verifiable Claim</v>
      </c>
      <c r="C478" s="8" t="str">
        <f>IF(NodesData[[#This Row],[Context Instanciation]]="","",NodesData[[#This Row],[Context Instanciation]])</f>
        <v/>
      </c>
      <c r="D478" s="27" t="str">
        <f>NodesData[[#This Row],[Node ID]]</f>
        <v>54FF7375-CD37-4E95-ABFC-4397B126B84B</v>
      </c>
      <c r="E478" s="8"/>
      <c r="F478" s="25" t="str" cm="1">
        <f t="array" ref="F478">IF(NodesJSON[[#This Row],[Export?]]=0,"",IF(ROW(NodesJSON[[#This Row],[label]])&gt;ROW(NodesJSON[[#Headers],[JSON]])+1,",","") &amp;"{"&amp;twoRangesToJSON(NodesJSON[[#Headers],[label]:[url]],NodesJSON[[#This Row],[label]:[url]])&amp;"}")</f>
        <v>,{"label":"Verifiable Claim","group":"","id":"54FF7375-CD37-4E95-ABFC-4397B126B84B","url":""}</v>
      </c>
      <c r="G478" s="26"/>
    </row>
    <row r="479" spans="1:7" ht="13.9" thickTop="1" thickBot="1" x14ac:dyDescent="0.4">
      <c r="A479" s="39">
        <f>IF(ISERR(NodesJSON[[#This Row],[label]]),0,1)</f>
        <v>1</v>
      </c>
      <c r="B479" s="8" t="str">
        <f>NodesData[[#This Row],[Common Name]]</f>
        <v>Verification</v>
      </c>
      <c r="C479" s="8" t="str">
        <f>IF(NodesData[[#This Row],[Context Instanciation]]="","",NodesData[[#This Row],[Context Instanciation]])</f>
        <v/>
      </c>
      <c r="D479" s="27" t="str">
        <f>NodesData[[#This Row],[Node ID]]</f>
        <v>1F6337C5-076B-4741-818A-798E01267BDB</v>
      </c>
      <c r="E479" s="8"/>
      <c r="F479" s="25" t="str" cm="1">
        <f t="array" ref="F479">IF(NodesJSON[[#This Row],[Export?]]=0,"",IF(ROW(NodesJSON[[#This Row],[label]])&gt;ROW(NodesJSON[[#Headers],[JSON]])+1,",","") &amp;"{"&amp;twoRangesToJSON(NodesJSON[[#Headers],[label]:[url]],NodesJSON[[#This Row],[label]:[url]])&amp;"}")</f>
        <v>,{"label":"Verification","group":"","id":"1F6337C5-076B-4741-818A-798E01267BDB","url":""}</v>
      </c>
      <c r="G479" s="26"/>
    </row>
    <row r="480" spans="1:7" ht="13.9" thickTop="1" thickBot="1" x14ac:dyDescent="0.4">
      <c r="A480" s="39">
        <f>IF(ISERR(NodesJSON[[#This Row],[label]]),0,1)</f>
        <v>1</v>
      </c>
      <c r="B480" s="8" t="str">
        <f>NodesData[[#This Row],[Common Name]]</f>
        <v>Victim</v>
      </c>
      <c r="C480" s="8" t="str">
        <f>IF(NodesData[[#This Row],[Context Instanciation]]="","",NodesData[[#This Row],[Context Instanciation]])</f>
        <v>Account Takeover</v>
      </c>
      <c r="D480" s="27" t="str">
        <f>NodesData[[#This Row],[Node ID]]</f>
        <v>0356B816-5188-4965-B4D7-28144AB3745F</v>
      </c>
      <c r="E480" s="8"/>
      <c r="F480" s="25" t="str" cm="1">
        <f t="array" ref="F480">IF(NodesJSON[[#This Row],[Export?]]=0,"",IF(ROW(NodesJSON[[#This Row],[label]])&gt;ROW(NodesJSON[[#Headers],[JSON]])+1,",","") &amp;"{"&amp;twoRangesToJSON(NodesJSON[[#Headers],[label]:[url]],NodesJSON[[#This Row],[label]:[url]])&amp;"}")</f>
        <v>,{"label":"Victim","group":"Account Takeover","id":"0356B816-5188-4965-B4D7-28144AB3745F","url":""}</v>
      </c>
      <c r="G480" s="26"/>
    </row>
    <row r="481" spans="1:7" ht="13.9" thickTop="1" thickBot="1" x14ac:dyDescent="0.4">
      <c r="A481" s="39">
        <f>IF(ISERR(NodesJSON[[#This Row],[label]]),0,1)</f>
        <v>1</v>
      </c>
      <c r="B481" s="8" t="str">
        <f>NodesData[[#This Row],[Common Name]]</f>
        <v>Virtual Directory</v>
      </c>
      <c r="C481" s="8" t="str">
        <f>IF(NodesData[[#This Row],[Context Instanciation]]="","",NodesData[[#This Row],[Context Instanciation]])</f>
        <v/>
      </c>
      <c r="D481" s="27" t="str">
        <f>NodesData[[#This Row],[Node ID]]</f>
        <v>CD8C43C0-976C-4405-BAA4-A6B2B9A2D916</v>
      </c>
      <c r="E481" s="8"/>
      <c r="F481" s="25" t="str" cm="1">
        <f t="array" ref="F481">IF(NodesJSON[[#This Row],[Export?]]=0,"",IF(ROW(NodesJSON[[#This Row],[label]])&gt;ROW(NodesJSON[[#Headers],[JSON]])+1,",","") &amp;"{"&amp;twoRangesToJSON(NodesJSON[[#Headers],[label]:[url]],NodesJSON[[#This Row],[label]:[url]])&amp;"}")</f>
        <v>,{"label":"Virtual Directory","group":"","id":"CD8C43C0-976C-4405-BAA4-A6B2B9A2D916","url":""}</v>
      </c>
      <c r="G481" s="26"/>
    </row>
    <row r="482" spans="1:7" ht="13.9" thickTop="1" thickBot="1" x14ac:dyDescent="0.4">
      <c r="A482" s="39">
        <f>IF(ISERR(NodesJSON[[#This Row],[label]]),0,1)</f>
        <v>1</v>
      </c>
      <c r="B482" s="8" t="str">
        <f>NodesData[[#This Row],[Common Name]]</f>
        <v>Virtual Private Network</v>
      </c>
      <c r="C482" s="8" t="str">
        <f>IF(NodesData[[#This Row],[Context Instanciation]]="","",NodesData[[#This Row],[Context Instanciation]])</f>
        <v/>
      </c>
      <c r="D482" s="27" t="str">
        <f>NodesData[[#This Row],[Node ID]]</f>
        <v>0D37256E-D2AB-4231-9F6A-7B41A6762475</v>
      </c>
      <c r="E482" s="8"/>
      <c r="F482" s="25" t="str" cm="1">
        <f t="array" ref="F482">IF(NodesJSON[[#This Row],[Export?]]=0,"",IF(ROW(NodesJSON[[#This Row],[label]])&gt;ROW(NodesJSON[[#Headers],[JSON]])+1,",","") &amp;"{"&amp;twoRangesToJSON(NodesJSON[[#Headers],[label]:[url]],NodesJSON[[#This Row],[label]:[url]])&amp;"}")</f>
        <v>,{"label":"Virtual Private Network","group":"","id":"0D37256E-D2AB-4231-9F6A-7B41A6762475","url":""}</v>
      </c>
      <c r="G482" s="26"/>
    </row>
    <row r="483" spans="1:7" ht="13.9" thickTop="1" thickBot="1" x14ac:dyDescent="0.4">
      <c r="A483" s="39">
        <f>IF(ISERR(NodesJSON[[#This Row],[label]]),0,1)</f>
        <v>1</v>
      </c>
      <c r="B483" s="8" t="str">
        <f>NodesData[[#This Row],[Common Name]]</f>
        <v>Virtual Risk and Security Site Review</v>
      </c>
      <c r="C483" s="8" t="str">
        <f>IF(NodesData[[#This Row],[Context Instanciation]]="","",NodesData[[#This Row],[Context Instanciation]])</f>
        <v/>
      </c>
      <c r="D483" s="27" t="str">
        <f>NodesData[[#This Row],[Node ID]]</f>
        <v>D7E3E163-D6A6-42EE-BCDB-C350AEC368E2</v>
      </c>
      <c r="E483" s="8"/>
      <c r="F483" s="25" t="str" cm="1">
        <f t="array" ref="F483">IF(NodesJSON[[#This Row],[Export?]]=0,"",IF(ROW(NodesJSON[[#This Row],[label]])&gt;ROW(NodesJSON[[#Headers],[JSON]])+1,",","") &amp;"{"&amp;twoRangesToJSON(NodesJSON[[#Headers],[label]:[url]],NodesJSON[[#This Row],[label]:[url]])&amp;"}")</f>
        <v>,{"label":"Virtual Risk and Security Site Review","group":"","id":"D7E3E163-D6A6-42EE-BCDB-C350AEC368E2","url":""}</v>
      </c>
      <c r="G483" s="26"/>
    </row>
    <row r="484" spans="1:7" ht="13.9" thickTop="1" thickBot="1" x14ac:dyDescent="0.4">
      <c r="A484" s="39">
        <f>IF(ISERR(NodesJSON[[#This Row],[label]]),0,1)</f>
        <v>1</v>
      </c>
      <c r="B484" s="8" t="str">
        <f>NodesData[[#This Row],[Common Name]]</f>
        <v>Voice OTP</v>
      </c>
      <c r="C484" s="8" t="str">
        <f>IF(NodesData[[#This Row],[Context Instanciation]]="","",NodesData[[#This Row],[Context Instanciation]])</f>
        <v/>
      </c>
      <c r="D484" s="27" t="str">
        <f>NodesData[[#This Row],[Node ID]]</f>
        <v>82E99C95-DD05-4BDF-A6AC-D511A34E4472</v>
      </c>
      <c r="E484" s="8"/>
      <c r="F484" s="25" t="str" cm="1">
        <f t="array" ref="F484">IF(NodesJSON[[#This Row],[Export?]]=0,"",IF(ROW(NodesJSON[[#This Row],[label]])&gt;ROW(NodesJSON[[#Headers],[JSON]])+1,",","") &amp;"{"&amp;twoRangesToJSON(NodesJSON[[#Headers],[label]:[url]],NodesJSON[[#This Row],[label]:[url]])&amp;"}")</f>
        <v>,{"label":"Voice OTP","group":"","id":"82E99C95-DD05-4BDF-A6AC-D511A34E4472","url":""}</v>
      </c>
      <c r="G484" s="26"/>
    </row>
    <row r="485" spans="1:7" ht="13.9" thickTop="1" thickBot="1" x14ac:dyDescent="0.4">
      <c r="A485" s="39">
        <f>IF(ISERR(NodesJSON[[#This Row],[label]]),0,1)</f>
        <v>1</v>
      </c>
      <c r="B485" s="8" t="str">
        <f>NodesData[[#This Row],[Common Name]]</f>
        <v>Voice Recognition Authentication</v>
      </c>
      <c r="C485" s="8" t="str">
        <f>IF(NodesData[[#This Row],[Context Instanciation]]="","",NodesData[[#This Row],[Context Instanciation]])</f>
        <v/>
      </c>
      <c r="D485" s="27" t="str">
        <f>NodesData[[#This Row],[Node ID]]</f>
        <v>F308D789-DA7D-4E47-A5C3-2B03D6929447</v>
      </c>
      <c r="E485" s="8"/>
      <c r="F485" s="25" t="str" cm="1">
        <f t="array" ref="F485">IF(NodesJSON[[#This Row],[Export?]]=0,"",IF(ROW(NodesJSON[[#This Row],[label]])&gt;ROW(NodesJSON[[#Headers],[JSON]])+1,",","") &amp;"{"&amp;twoRangesToJSON(NodesJSON[[#Headers],[label]:[url]],NodesJSON[[#This Row],[label]:[url]])&amp;"}")</f>
        <v>,{"label":"Voice Recognition Authentication","group":"","id":"F308D789-DA7D-4E47-A5C3-2B03D6929447","url":""}</v>
      </c>
      <c r="G485" s="26"/>
    </row>
    <row r="486" spans="1:7" ht="13.9" thickTop="1" thickBot="1" x14ac:dyDescent="0.4">
      <c r="A486" s="39">
        <f>IF(ISERR(NodesJSON[[#This Row],[label]]),0,1)</f>
        <v>1</v>
      </c>
      <c r="B486" s="8" t="str">
        <f>NodesData[[#This Row],[Common Name]]</f>
        <v>VPN</v>
      </c>
      <c r="C486" s="8" t="str">
        <f>IF(NodesData[[#This Row],[Context Instanciation]]="","",NodesData[[#This Row],[Context Instanciation]])</f>
        <v/>
      </c>
      <c r="D486" s="27" t="str">
        <f>NodesData[[#This Row],[Node ID]]</f>
        <v>E270DC66-6FD9-4503-9585-121117F6498C</v>
      </c>
      <c r="E486" s="8"/>
      <c r="F486" s="25" t="str" cm="1">
        <f t="array" ref="F486">IF(NodesJSON[[#This Row],[Export?]]=0,"",IF(ROW(NodesJSON[[#This Row],[label]])&gt;ROW(NodesJSON[[#Headers],[JSON]])+1,",","") &amp;"{"&amp;twoRangesToJSON(NodesJSON[[#Headers],[label]:[url]],NodesJSON[[#This Row],[label]:[url]])&amp;"}")</f>
        <v>,{"label":"VPN","group":"","id":"E270DC66-6FD9-4503-9585-121117F6498C","url":""}</v>
      </c>
      <c r="G486" s="26"/>
    </row>
    <row r="487" spans="1:7" ht="13.9" thickTop="1" thickBot="1" x14ac:dyDescent="0.4">
      <c r="A487" s="39">
        <f>IF(ISERR(NodesJSON[[#This Row],[label]]),0,1)</f>
        <v>1</v>
      </c>
      <c r="B487" s="8" t="str">
        <f>NodesData[[#This Row],[Common Name]]</f>
        <v>Weak Authentication</v>
      </c>
      <c r="C487" s="8" t="str">
        <f>IF(NodesData[[#This Row],[Context Instanciation]]="","",NodesData[[#This Row],[Context Instanciation]])</f>
        <v/>
      </c>
      <c r="D487" s="27" t="str">
        <f>NodesData[[#This Row],[Node ID]]</f>
        <v>6A8F3996-9A52-4FD0-95C9-FEFDEBD8FCE3</v>
      </c>
      <c r="E487" s="8"/>
      <c r="F487" s="25" t="str" cm="1">
        <f t="array" ref="F487">IF(NodesJSON[[#This Row],[Export?]]=0,"",IF(ROW(NodesJSON[[#This Row],[label]])&gt;ROW(NodesJSON[[#Headers],[JSON]])+1,",","") &amp;"{"&amp;twoRangesToJSON(NodesJSON[[#Headers],[label]:[url]],NodesJSON[[#This Row],[label]:[url]])&amp;"}")</f>
        <v>,{"label":"Weak Authentication","group":"","id":"6A8F3996-9A52-4FD0-95C9-FEFDEBD8FCE3","url":""}</v>
      </c>
      <c r="G487" s="26"/>
    </row>
    <row r="488" spans="1:7" ht="13.9" thickTop="1" thickBot="1" x14ac:dyDescent="0.4">
      <c r="A488" s="39">
        <f>IF(ISERR(NodesJSON[[#This Row],[label]]),0,1)</f>
        <v>1</v>
      </c>
      <c r="B488" s="8" t="str">
        <f>NodesData[[#This Row],[Common Name]]</f>
        <v>Weak Tranquility Property</v>
      </c>
      <c r="C488" s="8" t="str">
        <f>IF(NodesData[[#This Row],[Context Instanciation]]="","",NodesData[[#This Row],[Context Instanciation]])</f>
        <v/>
      </c>
      <c r="D488" s="27" t="str">
        <f>NodesData[[#This Row],[Node ID]]</f>
        <v>D0BF2D28-1BEF-43CF-860C-4D8768786898</v>
      </c>
      <c r="E488" s="8"/>
      <c r="F488" s="25" t="str" cm="1">
        <f t="array" ref="F488">IF(NodesJSON[[#This Row],[Export?]]=0,"",IF(ROW(NodesJSON[[#This Row],[label]])&gt;ROW(NodesJSON[[#Headers],[JSON]])+1,",","") &amp;"{"&amp;twoRangesToJSON(NodesJSON[[#Headers],[label]:[url]],NodesJSON[[#This Row],[label]:[url]])&amp;"}")</f>
        <v>,{"label":"Weak Tranquility Property","group":"","id":"D0BF2D28-1BEF-43CF-860C-4D8768786898","url":""}</v>
      </c>
      <c r="G488" s="26"/>
    </row>
    <row r="489" spans="1:7" ht="13.9" thickTop="1" thickBot="1" x14ac:dyDescent="0.4">
      <c r="A489" s="39">
        <f>IF(ISERR(NodesJSON[[#This Row],[label]]),0,1)</f>
        <v>1</v>
      </c>
      <c r="B489" s="8" t="str">
        <f>NodesData[[#This Row],[Common Name]]</f>
        <v>Web-based Single Sign-On</v>
      </c>
      <c r="C489" s="8" t="str">
        <f>IF(NodesData[[#This Row],[Context Instanciation]]="","",NodesData[[#This Row],[Context Instanciation]])</f>
        <v/>
      </c>
      <c r="D489" s="27" t="str">
        <f>NodesData[[#This Row],[Node ID]]</f>
        <v>B5653AD0-12F8-440A-981C-AEC60F33828C</v>
      </c>
      <c r="E489" s="8"/>
      <c r="F489" s="25" t="str" cm="1">
        <f t="array" ref="F489">IF(NodesJSON[[#This Row],[Export?]]=0,"",IF(ROW(NodesJSON[[#This Row],[label]])&gt;ROW(NodesJSON[[#Headers],[JSON]])+1,",","") &amp;"{"&amp;twoRangesToJSON(NodesJSON[[#Headers],[label]:[url]],NodesJSON[[#This Row],[label]:[url]])&amp;"}")</f>
        <v>,{"label":"Web-based Single Sign-On","group":"","id":"B5653AD0-12F8-440A-981C-AEC60F33828C","url":""}</v>
      </c>
      <c r="G489" s="26"/>
    </row>
    <row r="490" spans="1:7" ht="13.9" thickTop="1" thickBot="1" x14ac:dyDescent="0.4">
      <c r="A490" s="39">
        <f>IF(ISERR(NodesJSON[[#This Row],[label]]),0,1)</f>
        <v>1</v>
      </c>
      <c r="B490" s="4" t="str">
        <f>NodesData[[#This Row],[Common Name]]</f>
        <v>Windows (Non-Default) Local User Account</v>
      </c>
      <c r="C490" s="8" t="str">
        <f>IF(NodesData[[#This Row],[Context Instanciation]]="","",NodesData[[#This Row],[Context Instanciation]])</f>
        <v/>
      </c>
      <c r="D490" s="27" t="str">
        <f>NodesData[[#This Row],[Node ID]]</f>
        <v>CEA15A1E-BFFC-40BD-8BE9-22DC140E6A74</v>
      </c>
      <c r="E490" s="4"/>
      <c r="F490" s="25" t="str" cm="1">
        <f t="array" ref="F490">IF(NodesJSON[[#This Row],[Export?]]=0,"",IF(ROW(NodesJSON[[#This Row],[label]])&gt;ROW(NodesJSON[[#Headers],[JSON]])+1,",","") &amp;"{"&amp;twoRangesToJSON(NodesJSON[[#Headers],[label]:[url]],NodesJSON[[#This Row],[label]:[url]])&amp;"}")</f>
        <v>,{"label":"Windows (Non-Default) Local User Account","group":"","id":"CEA15A1E-BFFC-40BD-8BE9-22DC140E6A74","url":""}</v>
      </c>
    </row>
    <row r="491" spans="1:7" ht="13.9" thickTop="1" thickBot="1" x14ac:dyDescent="0.4">
      <c r="A491" s="39">
        <f>IF(ISERR(NodesJSON[[#This Row],[label]]),0,1)</f>
        <v>1</v>
      </c>
      <c r="B491" s="4" t="str">
        <f>NodesData[[#This Row],[Common Name]]</f>
        <v>Windows Default Local System Account</v>
      </c>
      <c r="C491" s="8" t="str">
        <f>IF(NodesData[[#This Row],[Context Instanciation]]="","",NodesData[[#This Row],[Context Instanciation]])</f>
        <v/>
      </c>
      <c r="D491" s="27" t="str">
        <f>NodesData[[#This Row],[Node ID]]</f>
        <v>35951275-0B52-4412-B02D-3EB5B16BFC2E</v>
      </c>
      <c r="E491" s="4"/>
      <c r="F491" s="25" t="str" cm="1">
        <f t="array" ref="F491">IF(NodesJSON[[#This Row],[Export?]]=0,"",IF(ROW(NodesJSON[[#This Row],[label]])&gt;ROW(NodesJSON[[#Headers],[JSON]])+1,",","") &amp;"{"&amp;twoRangesToJSON(NodesJSON[[#Headers],[label]:[url]],NodesJSON[[#This Row],[label]:[url]])&amp;"}")</f>
        <v>,{"label":"Windows Default Local System Account","group":"","id":"35951275-0B52-4412-B02D-3EB5B16BFC2E","url":""}</v>
      </c>
    </row>
    <row r="492" spans="1:7" ht="13.9" thickTop="1" thickBot="1" x14ac:dyDescent="0.4">
      <c r="A492" s="39">
        <f>IF(ISERR(NodesJSON[[#This Row],[label]]),0,1)</f>
        <v>1</v>
      </c>
      <c r="B492" s="4" t="str">
        <f>NodesData[[#This Row],[Common Name]]</f>
        <v>Windows Default Local User Account</v>
      </c>
      <c r="C492" s="8" t="str">
        <f>IF(NodesData[[#This Row],[Context Instanciation]]="","",NodesData[[#This Row],[Context Instanciation]])</f>
        <v/>
      </c>
      <c r="D492" s="27" t="str">
        <f>NodesData[[#This Row],[Node ID]]</f>
        <v>82F7E720-E906-471F-9AB5-740B2D84D691</v>
      </c>
      <c r="E492" s="4"/>
      <c r="F492" s="25" t="str" cm="1">
        <f t="array" ref="F492">IF(NodesJSON[[#This Row],[Export?]]=0,"",IF(ROW(NodesJSON[[#This Row],[label]])&gt;ROW(NodesJSON[[#Headers],[JSON]])+1,",","") &amp;"{"&amp;twoRangesToJSON(NodesJSON[[#Headers],[label]:[url]],NodesJSON[[#This Row],[label]:[url]])&amp;"}")</f>
        <v>,{"label":"Windows Default Local User Account","group":"","id":"82F7E720-E906-471F-9AB5-740B2D84D691","url":""}</v>
      </c>
    </row>
    <row r="493" spans="1:7" ht="13.9" thickTop="1" thickBot="1" x14ac:dyDescent="0.4">
      <c r="A493" s="39">
        <f>IF(ISERR(NodesJSON[[#This Row],[label]]),0,1)</f>
        <v>1</v>
      </c>
      <c r="B493" s="4" t="str">
        <f>NodesData[[#This Row],[Common Name]]</f>
        <v>Windows DefaultAccount Account</v>
      </c>
      <c r="C493" s="8" t="str">
        <f>IF(NodesData[[#This Row],[Context Instanciation]]="","",NodesData[[#This Row],[Context Instanciation]])</f>
        <v/>
      </c>
      <c r="D493" s="27" t="str">
        <f>NodesData[[#This Row],[Node ID]]</f>
        <v>BE551C08-22EA-408F-B122-B8A8E2C855C3</v>
      </c>
      <c r="E493" s="4"/>
      <c r="F493" s="25" t="str" cm="1">
        <f t="array" ref="F493">IF(NodesJSON[[#This Row],[Export?]]=0,"",IF(ROW(NodesJSON[[#This Row],[label]])&gt;ROW(NodesJSON[[#Headers],[JSON]])+1,",","") &amp;"{"&amp;twoRangesToJSON(NodesJSON[[#Headers],[label]:[url]],NodesJSON[[#This Row],[label]:[url]])&amp;"}")</f>
        <v>,{"label":"Windows DefaultAccount Account","group":"","id":"BE551C08-22EA-408F-B122-B8A8E2C855C3","url":""}</v>
      </c>
    </row>
    <row r="494" spans="1:7" ht="13.9" thickTop="1" thickBot="1" x14ac:dyDescent="0.4">
      <c r="A494" s="39">
        <f>IF(ISERR(NodesJSON[[#This Row],[label]]),0,1)</f>
        <v>1</v>
      </c>
      <c r="B494" s="4" t="str">
        <f>NodesData[[#This Row],[Common Name]]</f>
        <v>Windows Guest Account</v>
      </c>
      <c r="C494" s="8" t="str">
        <f>IF(NodesData[[#This Row],[Context Instanciation]]="","",NodesData[[#This Row],[Context Instanciation]])</f>
        <v/>
      </c>
      <c r="D494" s="27" t="str">
        <f>NodesData[[#This Row],[Node ID]]</f>
        <v>F9528751-D19E-40DD-ADD9-FF376E9C549D</v>
      </c>
      <c r="E494" s="4"/>
      <c r="F494" s="25" t="str" cm="1">
        <f t="array" ref="F494">IF(NodesJSON[[#This Row],[Export?]]=0,"",IF(ROW(NodesJSON[[#This Row],[label]])&gt;ROW(NodesJSON[[#Headers],[JSON]])+1,",","") &amp;"{"&amp;twoRangesToJSON(NodesJSON[[#Headers],[label]:[url]],NodesJSON[[#This Row],[label]:[url]])&amp;"}")</f>
        <v>,{"label":"Windows Guest Account","group":"","id":"F9528751-D19E-40DD-ADD9-FF376E9C549D","url":""}</v>
      </c>
    </row>
    <row r="495" spans="1:7" ht="13.9" thickTop="1" thickBot="1" x14ac:dyDescent="0.4">
      <c r="A495" s="39">
        <f>IF(ISERR(NodesJSON[[#This Row],[label]]),0,1)</f>
        <v>1</v>
      </c>
      <c r="B495" s="4" t="str">
        <f>NodesData[[#This Row],[Common Name]]</f>
        <v>Windows HelpAssistant Account</v>
      </c>
      <c r="C495" s="8" t="str">
        <f>IF(NodesData[[#This Row],[Context Instanciation]]="","",NodesData[[#This Row],[Context Instanciation]])</f>
        <v/>
      </c>
      <c r="D495" s="27" t="str">
        <f>NodesData[[#This Row],[Node ID]]</f>
        <v>60B86960-D816-4735-8E8C-565CB851E59E</v>
      </c>
      <c r="E495" s="4"/>
      <c r="F495" s="25" t="str" cm="1">
        <f t="array" ref="F495">IF(NodesJSON[[#This Row],[Export?]]=0,"",IF(ROW(NodesJSON[[#This Row],[label]])&gt;ROW(NodesJSON[[#Headers],[JSON]])+1,",","") &amp;"{"&amp;twoRangesToJSON(NodesJSON[[#Headers],[label]:[url]],NodesJSON[[#This Row],[label]:[url]])&amp;"}")</f>
        <v>,{"label":"Windows HelpAssistant Account","group":"","id":"60B86960-D816-4735-8E8C-565CB851E59E","url":""}</v>
      </c>
    </row>
    <row r="496" spans="1:7" ht="13.9" thickTop="1" thickBot="1" x14ac:dyDescent="0.4">
      <c r="A496" s="39">
        <f>IF(ISERR(NodesJSON[[#This Row],[label]]),0,1)</f>
        <v>1</v>
      </c>
      <c r="B496" s="4" t="str">
        <f>NodesData[[#This Row],[Common Name]]</f>
        <v>Windows Local Account</v>
      </c>
      <c r="C496" s="8" t="str">
        <f>IF(NodesData[[#This Row],[Context Instanciation]]="","",NodesData[[#This Row],[Context Instanciation]])</f>
        <v/>
      </c>
      <c r="D496" s="27" t="str">
        <f>NodesData[[#This Row],[Node ID]]</f>
        <v>DA85A24B-8DD8-4CCE-AD5F-DFBB58FE873B</v>
      </c>
      <c r="E496" s="4"/>
      <c r="F496" s="25" t="str" cm="1">
        <f t="array" ref="F496">IF(NodesJSON[[#This Row],[Export?]]=0,"",IF(ROW(NodesJSON[[#This Row],[label]])&gt;ROW(NodesJSON[[#Headers],[JSON]])+1,",","") &amp;"{"&amp;twoRangesToJSON(NodesJSON[[#Headers],[label]:[url]],NodesJSON[[#This Row],[label]:[url]])&amp;"}")</f>
        <v>,{"label":"Windows Local Account","group":"","id":"DA85A24B-8DD8-4CCE-AD5F-DFBB58FE873B","url":""}</v>
      </c>
    </row>
    <row r="497" spans="1:6" ht="13.9" thickTop="1" thickBot="1" x14ac:dyDescent="0.4">
      <c r="A497" s="39">
        <f>IF(ISERR(NodesJSON[[#This Row],[label]]),0,1)</f>
        <v>1</v>
      </c>
      <c r="B497" s="4" t="str">
        <f>NodesData[[#This Row],[Common Name]]</f>
        <v>Windows Local Administrator Account</v>
      </c>
      <c r="C497" s="8" t="str">
        <f>IF(NodesData[[#This Row],[Context Instanciation]]="","",NodesData[[#This Row],[Context Instanciation]])</f>
        <v/>
      </c>
      <c r="D497" s="27" t="str">
        <f>NodesData[[#This Row],[Node ID]]</f>
        <v>2400C2FC-E915-49A4-AFAC-085535611F4C</v>
      </c>
      <c r="E497" s="4"/>
      <c r="F497" s="25" t="str" cm="1">
        <f t="array" ref="F497">IF(NodesJSON[[#This Row],[Export?]]=0,"",IF(ROW(NodesJSON[[#This Row],[label]])&gt;ROW(NodesJSON[[#Headers],[JSON]])+1,",","") &amp;"{"&amp;twoRangesToJSON(NodesJSON[[#Headers],[label]:[url]],NodesJSON[[#This Row],[label]:[url]])&amp;"}")</f>
        <v>,{"label":"Windows Local Administrator Account","group":"","id":"2400C2FC-E915-49A4-AFAC-085535611F4C","url":""}</v>
      </c>
    </row>
    <row r="498" spans="1:6" ht="13.9" thickTop="1" thickBot="1" x14ac:dyDescent="0.4">
      <c r="A498" s="39">
        <f>IF(ISERR(NodesJSON[[#This Row],[label]]),0,1)</f>
        <v>1</v>
      </c>
      <c r="B498" s="4" t="str">
        <f>NodesData[[#This Row],[Common Name]]</f>
        <v>Windows LOCAL SERVICE Account</v>
      </c>
      <c r="C498" s="8" t="str">
        <f>IF(NodesData[[#This Row],[Context Instanciation]]="","",NodesData[[#This Row],[Context Instanciation]])</f>
        <v/>
      </c>
      <c r="D498" s="27" t="str">
        <f>NodesData[[#This Row],[Node ID]]</f>
        <v>1D1BC9B6-DC7F-49C1-B6B0-D00F5669266E</v>
      </c>
      <c r="E498" s="4"/>
      <c r="F498" s="25" t="str" cm="1">
        <f t="array" ref="F498">IF(NodesJSON[[#This Row],[Export?]]=0,"",IF(ROW(NodesJSON[[#This Row],[label]])&gt;ROW(NodesJSON[[#Headers],[JSON]])+1,",","") &amp;"{"&amp;twoRangesToJSON(NodesJSON[[#Headers],[label]:[url]],NodesJSON[[#This Row],[label]:[url]])&amp;"}")</f>
        <v>,{"label":"Windows LOCAL SERVICE Account","group":"","id":"1D1BC9B6-DC7F-49C1-B6B0-D00F5669266E","url":""}</v>
      </c>
    </row>
    <row r="499" spans="1:6" ht="13.9" thickTop="1" thickBot="1" x14ac:dyDescent="0.4">
      <c r="A499" s="39">
        <f>IF(ISERR(NodesJSON[[#This Row],[label]]),0,1)</f>
        <v>1</v>
      </c>
      <c r="B499" s="4" t="str">
        <f>NodesData[[#This Row],[Common Name]]</f>
        <v>Windows NETWORK SERVICE Account</v>
      </c>
      <c r="C499" s="8" t="str">
        <f>IF(NodesData[[#This Row],[Context Instanciation]]="","",NodesData[[#This Row],[Context Instanciation]])</f>
        <v/>
      </c>
      <c r="D499" s="27" t="str">
        <f>NodesData[[#This Row],[Node ID]]</f>
        <v>627FEBFF-57D7-4DE4-BA88-45163EB55C29</v>
      </c>
      <c r="E499" s="4"/>
      <c r="F499" s="25" t="str" cm="1">
        <f t="array" ref="F499">IF(NodesJSON[[#This Row],[Export?]]=0,"",IF(ROW(NodesJSON[[#This Row],[label]])&gt;ROW(NodesJSON[[#Headers],[JSON]])+1,",","") &amp;"{"&amp;twoRangesToJSON(NodesJSON[[#Headers],[label]:[url]],NodesJSON[[#This Row],[label]:[url]])&amp;"}")</f>
        <v>,{"label":"Windows NETWORK SERVICE Account","group":"","id":"627FEBFF-57D7-4DE4-BA88-45163EB55C29","url":""}</v>
      </c>
    </row>
    <row r="500" spans="1:6" ht="13.9" thickTop="1" thickBot="1" x14ac:dyDescent="0.4">
      <c r="A500" s="39">
        <f>IF(ISERR(NodesJSON[[#This Row],[label]]),0,1)</f>
        <v>1</v>
      </c>
      <c r="B500" s="8" t="str">
        <f>NodesData[[#This Row],[Common Name]]</f>
        <v>Windows Security Identifier</v>
      </c>
      <c r="C500" s="8" t="str">
        <f>IF(NodesData[[#This Row],[Context Instanciation]]="","",NodesData[[#This Row],[Context Instanciation]])</f>
        <v/>
      </c>
      <c r="D500" s="27" t="str">
        <f>NodesData[[#This Row],[Node ID]]</f>
        <v>39C7269C-EDCA-417C-AF3D-E5203F651899</v>
      </c>
      <c r="E500" s="8"/>
      <c r="F500" s="25" t="str" cm="1">
        <f t="array" ref="F500">IF(NodesJSON[[#This Row],[Export?]]=0,"",IF(ROW(NodesJSON[[#This Row],[label]])&gt;ROW(NodesJSON[[#Headers],[JSON]])+1,",","") &amp;"{"&amp;twoRangesToJSON(NodesJSON[[#Headers],[label]:[url]],NodesJSON[[#This Row],[label]:[url]])&amp;"}")</f>
        <v>,{"label":"Windows Security Identifier","group":"","id":"39C7269C-EDCA-417C-AF3D-E5203F651899","url":""}</v>
      </c>
    </row>
    <row r="501" spans="1:6" ht="13.9" thickTop="1" thickBot="1" x14ac:dyDescent="0.4">
      <c r="A501" s="39">
        <f>IF(ISERR(NodesJSON[[#This Row],[label]]),0,1)</f>
        <v>1</v>
      </c>
      <c r="B501" s="8" t="str">
        <f>NodesData[[#This Row],[Common Name]]</f>
        <v>Windows SYSTEM Account</v>
      </c>
      <c r="C501" s="8" t="str">
        <f>IF(NodesData[[#This Row],[Context Instanciation]]="","",NodesData[[#This Row],[Context Instanciation]])</f>
        <v/>
      </c>
      <c r="D501" s="27" t="str">
        <f>NodesData[[#This Row],[Node ID]]</f>
        <v>D7C6584E-303C-482C-B519-D488BE3F2067</v>
      </c>
      <c r="E501" s="8"/>
      <c r="F501" s="25" t="str" cm="1">
        <f t="array" ref="F501">IF(NodesJSON[[#This Row],[Export?]]=0,"",IF(ROW(NodesJSON[[#This Row],[label]])&gt;ROW(NodesJSON[[#Headers],[JSON]])+1,",","") &amp;"{"&amp;twoRangesToJSON(NodesJSON[[#Headers],[label]:[url]],NodesJSON[[#This Row],[label]:[url]])&amp;"}")</f>
        <v>,{"label":"Windows SYSTEM Account","group":"","id":"D7C6584E-303C-482C-B519-D488BE3F2067","url":""}</v>
      </c>
    </row>
    <row r="502" spans="1:6" ht="13.9" thickTop="1" thickBot="1" x14ac:dyDescent="0.4">
      <c r="A502" s="39">
        <f>IF(ISERR(NodesJSON[[#This Row],[label]]),0,1)</f>
        <v>1</v>
      </c>
      <c r="B502" s="8" t="str">
        <f>NodesData[[#This Row],[Common Name]]</f>
        <v>Worker</v>
      </c>
      <c r="C502" s="8" t="str">
        <f>IF(NodesData[[#This Row],[Context Instanciation]]="","",NodesData[[#This Row],[Context Instanciation]])</f>
        <v/>
      </c>
      <c r="D502" s="27" t="str">
        <f>NodesData[[#This Row],[Node ID]]</f>
        <v>CA8B3C72-640E-4001-B8A9-8269C046818C</v>
      </c>
      <c r="E502" s="8"/>
      <c r="F502" s="25" t="str" cm="1">
        <f t="array" ref="F502">IF(NodesJSON[[#This Row],[Export?]]=0,"",IF(ROW(NodesJSON[[#This Row],[label]])&gt;ROW(NodesJSON[[#Headers],[JSON]])+1,",","") &amp;"{"&amp;twoRangesToJSON(NodesJSON[[#Headers],[label]:[url]],NodesJSON[[#This Row],[label]:[url]])&amp;"}")</f>
        <v>,{"label":"Worker","group":"","id":"CA8B3C72-640E-4001-B8A9-8269C046818C","url":""}</v>
      </c>
    </row>
    <row r="503" spans="1:6" ht="13.9" thickTop="1" thickBot="1" x14ac:dyDescent="0.4">
      <c r="A503" s="39">
        <f>IF(ISERR(NodesJSON[[#This Row],[label]]),0,1)</f>
        <v>1</v>
      </c>
      <c r="B503" s="8" t="str">
        <f>NodesData[[#This Row],[Common Name]]</f>
        <v>Workflow-Sensitive Access Control</v>
      </c>
      <c r="C503" s="8" t="str">
        <f>IF(NodesData[[#This Row],[Context Instanciation]]="","",NodesData[[#This Row],[Context Instanciation]])</f>
        <v/>
      </c>
      <c r="D503" s="27" t="str">
        <f>NodesData[[#This Row],[Node ID]]</f>
        <v>333866DF-AFEB-4685-B074-CD68B125EE27</v>
      </c>
      <c r="E503" s="8"/>
      <c r="F503" s="25" t="str" cm="1">
        <f t="array" ref="F503">IF(NodesJSON[[#This Row],[Export?]]=0,"",IF(ROW(NodesJSON[[#This Row],[label]])&gt;ROW(NodesJSON[[#Headers],[JSON]])+1,",","") &amp;"{"&amp;twoRangesToJSON(NodesJSON[[#Headers],[label]:[url]],NodesJSON[[#This Row],[label]:[url]])&amp;"}")</f>
        <v>,{"label":"Workflow-Sensitive Access Control","group":"","id":"333866DF-AFEB-4685-B074-CD68B125EE27","url":""}</v>
      </c>
    </row>
    <row r="504" spans="1:6" ht="13.9" thickTop="1" thickBot="1" x14ac:dyDescent="0.4">
      <c r="A504" s="39">
        <f>IF(ISERR(NodesJSON[[#This Row],[label]]),0,1)</f>
        <v>1</v>
      </c>
      <c r="B504" s="8" t="str">
        <f>NodesData[[#This Row],[Common Name]]</f>
        <v>Workforce</v>
      </c>
      <c r="C504" s="8" t="str">
        <f>IF(NodesData[[#This Row],[Context Instanciation]]="","",NodesData[[#This Row],[Context Instanciation]])</f>
        <v/>
      </c>
      <c r="D504" s="27" t="str">
        <f>NodesData[[#This Row],[Node ID]]</f>
        <v>78A9CFD9-8DBE-454F-A560-66A11F4EF45F</v>
      </c>
      <c r="E504" s="8"/>
      <c r="F504" s="25" t="str" cm="1">
        <f t="array" ref="F504">IF(NodesJSON[[#This Row],[Export?]]=0,"",IF(ROW(NodesJSON[[#This Row],[label]])&gt;ROW(NodesJSON[[#Headers],[JSON]])+1,",","") &amp;"{"&amp;twoRangesToJSON(NodesJSON[[#Headers],[label]:[url]],NodesJSON[[#This Row],[label]:[url]])&amp;"}")</f>
        <v>,{"label":"Workforce","group":"","id":"78A9CFD9-8DBE-454F-A560-66A11F4EF45F","url":""}</v>
      </c>
    </row>
    <row r="505" spans="1:6" ht="13.9" thickTop="1" thickBot="1" x14ac:dyDescent="0.4">
      <c r="A505" s="39">
        <f>IF(ISERR(NodesJSON[[#This Row],[label]]),0,1)</f>
        <v>1</v>
      </c>
      <c r="B505" s="8" t="str">
        <f>NodesData[[#This Row],[Common Name]]</f>
        <v>XACML</v>
      </c>
      <c r="C505" s="8" t="str">
        <f>IF(NodesData[[#This Row],[Context Instanciation]]="","",NodesData[[#This Row],[Context Instanciation]])</f>
        <v/>
      </c>
      <c r="D505" s="27" t="str">
        <f>NodesData[[#This Row],[Node ID]]</f>
        <v>419F868F-EF92-4928-B237-5EAFEBEE9E07</v>
      </c>
      <c r="E505" s="8"/>
      <c r="F505" s="25" t="str" cm="1">
        <f t="array" ref="F505">IF(NodesJSON[[#This Row],[Export?]]=0,"",IF(ROW(NodesJSON[[#This Row],[label]])&gt;ROW(NodesJSON[[#Headers],[JSON]])+1,",","") &amp;"{"&amp;twoRangesToJSON(NodesJSON[[#Headers],[label]:[url]],NodesJSON[[#This Row],[label]:[url]])&amp;"}")</f>
        <v>,{"label":"XACML","group":"","id":"419F868F-EF92-4928-B237-5EAFEBEE9E07","url":""}</v>
      </c>
    </row>
    <row r="506" spans="1:6" ht="13.9" thickTop="1" thickBot="1" x14ac:dyDescent="0.4">
      <c r="A506" s="39">
        <f>IF(ISERR(NodesJSON[[#This Row],[label]]),0,1)</f>
        <v>1</v>
      </c>
      <c r="B506" s="8" t="str">
        <f>NodesData[[#This Row],[Common Name]]</f>
        <v>Zero-Trust Access</v>
      </c>
      <c r="C506" s="8" t="str">
        <f>IF(NodesData[[#This Row],[Context Instanciation]]="","",NodesData[[#This Row],[Context Instanciation]])</f>
        <v/>
      </c>
      <c r="D506" s="27" t="str">
        <f>NodesData[[#This Row],[Node ID]]</f>
        <v>F43A0609-0129-43ED-9F94-AF4A3D2CC422</v>
      </c>
      <c r="E506" s="8"/>
      <c r="F506" s="25" t="str" cm="1">
        <f t="array" ref="F506">IF(NodesJSON[[#This Row],[Export?]]=0,"",IF(ROW(NodesJSON[[#This Row],[label]])&gt;ROW(NodesJSON[[#Headers],[JSON]])+1,",","") &amp;"{"&amp;twoRangesToJSON(NodesJSON[[#Headers],[label]:[url]],NodesJSON[[#This Row],[label]:[url]])&amp;"}")</f>
        <v>,{"label":"Zero-Trust Access","group":"","id":"F43A0609-0129-43ED-9F94-AF4A3D2CC422","url":""}</v>
      </c>
    </row>
    <row r="507" spans="1:6" ht="13.9" thickTop="1" thickBot="1" x14ac:dyDescent="0.4">
      <c r="A507" s="39">
        <f>IF(ISERR(NodesJSON[[#This Row],[label]]),0,1)</f>
        <v>1</v>
      </c>
      <c r="B507" s="8" t="str">
        <f>NodesData[[#This Row],[Common Name]]</f>
        <v>Zombie Account</v>
      </c>
      <c r="C507" s="8" t="str">
        <f>IF(NodesData[[#This Row],[Context Instanciation]]="","",NodesData[[#This Row],[Context Instanciation]])</f>
        <v/>
      </c>
      <c r="D507" s="27" t="str">
        <f>NodesData[[#This Row],[Node ID]]</f>
        <v>21BF3343-85D6-4B23-ACBA-331CF49F8E96</v>
      </c>
      <c r="E507" s="8"/>
      <c r="F507" s="25" t="str" cm="1">
        <f t="array" ref="F507">IF(NodesJSON[[#This Row],[Export?]]=0,"",IF(ROW(NodesJSON[[#This Row],[label]])&gt;ROW(NodesJSON[[#Headers],[JSON]])+1,",","") &amp;"{"&amp;twoRangesToJSON(NodesJSON[[#Headers],[label]:[url]],NodesJSON[[#This Row],[label]:[url]])&amp;"}")</f>
        <v>,{"label":"Zombie Account","group":"","id":"21BF3343-85D6-4B23-ACBA-331CF49F8E96","url":""}</v>
      </c>
    </row>
    <row r="508" spans="1:6" ht="13.9" thickTop="1" thickBot="1" x14ac:dyDescent="0.4">
      <c r="A508" s="39">
        <f>IF(ISERR(NodesJSON[[#This Row],[label]]),0,1)</f>
        <v>1</v>
      </c>
      <c r="B508" s="8" t="str">
        <f>NodesData[[#This Row],[Common Name]]</f>
        <v>ZTA</v>
      </c>
      <c r="C508" s="8" t="str">
        <f>IF(NodesData[[#This Row],[Context Instanciation]]="","",NodesData[[#This Row],[Context Instanciation]])</f>
        <v/>
      </c>
      <c r="D508" s="27" t="str">
        <f>NodesData[[#This Row],[Node ID]]</f>
        <v>3BF3D163-D486-4052-B96A-86B15857E3E5</v>
      </c>
      <c r="E508" s="8"/>
      <c r="F508" s="25" t="str" cm="1">
        <f t="array" ref="F508">IF(NodesJSON[[#This Row],[Export?]]=0,"",IF(ROW(NodesJSON[[#This Row],[label]])&gt;ROW(NodesJSON[[#Headers],[JSON]])+1,",","") &amp;"{"&amp;twoRangesToJSON(NodesJSON[[#Headers],[label]:[url]],NodesJSON[[#This Row],[label]:[url]])&amp;"}")</f>
        <v>,{"label":"ZTA","group":"","id":"3BF3D163-D486-4052-B96A-86B15857E3E5","url":""}</v>
      </c>
    </row>
    <row r="509" spans="1:6" ht="13.9" thickTop="1" thickBot="1" x14ac:dyDescent="0.4">
      <c r="A509" s="39">
        <f>IF(ISERR(NodesJSON[[#This Row],[label]]),0,1)</f>
        <v>0</v>
      </c>
      <c r="B509" s="8" t="e">
        <f>NodesData[[#This Row],[Common Name]]</f>
        <v>#VALUE!</v>
      </c>
      <c r="C509" s="8" t="e">
        <f>IF(NodesData[[#This Row],[Context Instanciation]]="","",NodesData[[#This Row],[Context Instanciation]])</f>
        <v>#VALUE!</v>
      </c>
      <c r="D509" s="27" t="e">
        <f>NodesData[[#This Row],[Node ID]]</f>
        <v>#VALUE!</v>
      </c>
      <c r="E509" s="8"/>
      <c r="F509" s="25" t="str" cm="1">
        <f t="array" ref="F509">IF(NodesJSON[[#This Row],[Export?]]=0,"",IF(ROW(NodesJSON[[#This Row],[label]])&gt;ROW(NodesJSON[[#Headers],[JSON]])+1,",","") &amp;"{"&amp;twoRangesToJSON(NodesJSON[[#Headers],[label]:[url]],NodesJSON[[#This Row],[label]:[url]])&amp;"}")</f>
        <v/>
      </c>
    </row>
    <row r="510" spans="1:6" ht="13.9" thickTop="1" thickBot="1" x14ac:dyDescent="0.4">
      <c r="A510" s="39">
        <f>IF(ISERR(NodesJSON[[#This Row],[label]]),0,1)</f>
        <v>0</v>
      </c>
      <c r="B510" s="8" t="e">
        <f>NodesData[[#This Row],[Common Name]]</f>
        <v>#VALUE!</v>
      </c>
      <c r="C510" s="8" t="e">
        <f>IF(NodesData[[#This Row],[Context Instanciation]]="","",NodesData[[#This Row],[Context Instanciation]])</f>
        <v>#VALUE!</v>
      </c>
      <c r="D510" s="27" t="e">
        <f>NodesData[[#This Row],[Node ID]]</f>
        <v>#VALUE!</v>
      </c>
      <c r="E510" s="8"/>
      <c r="F510" s="25" t="str" cm="1">
        <f t="array" ref="F510">IF(NodesJSON[[#This Row],[Export?]]=0,"",IF(ROW(NodesJSON[[#This Row],[label]])&gt;ROW(NodesJSON[[#Headers],[JSON]])+1,",","") &amp;"{"&amp;twoRangesToJSON(NodesJSON[[#Headers],[label]:[url]],NodesJSON[[#This Row],[label]:[url]])&amp;"}")</f>
        <v/>
      </c>
    </row>
    <row r="511" spans="1:6" ht="13.9" thickTop="1" thickBot="1" x14ac:dyDescent="0.4">
      <c r="A511" s="39">
        <f>IF(ISERR(NodesJSON[[#This Row],[label]]),0,1)</f>
        <v>0</v>
      </c>
      <c r="B511" s="8" t="e">
        <f>NodesData[[#This Row],[Common Name]]</f>
        <v>#VALUE!</v>
      </c>
      <c r="C511" s="8" t="e">
        <f>IF(NodesData[[#This Row],[Context Instanciation]]="","",NodesData[[#This Row],[Context Instanciation]])</f>
        <v>#VALUE!</v>
      </c>
      <c r="D511" s="27" t="e">
        <f>NodesData[[#This Row],[Node ID]]</f>
        <v>#VALUE!</v>
      </c>
      <c r="E511" s="8"/>
      <c r="F511" s="25" t="str" cm="1">
        <f t="array" ref="F511">IF(NodesJSON[[#This Row],[Export?]]=0,"",IF(ROW(NodesJSON[[#This Row],[label]])&gt;ROW(NodesJSON[[#Headers],[JSON]])+1,",","") &amp;"{"&amp;twoRangesToJSON(NodesJSON[[#Headers],[label]:[url]],NodesJSON[[#This Row],[label]:[url]])&amp;"}")</f>
        <v/>
      </c>
    </row>
    <row r="512" spans="1:6" ht="13.9" thickTop="1" thickBot="1" x14ac:dyDescent="0.4">
      <c r="A512" s="39">
        <f>IF(ISERR(NodesJSON[[#This Row],[label]]),0,1)</f>
        <v>0</v>
      </c>
      <c r="B512" s="8" t="e">
        <f>NodesData[[#This Row],[Common Name]]</f>
        <v>#VALUE!</v>
      </c>
      <c r="C512" s="8" t="e">
        <f>IF(NodesData[[#This Row],[Context Instanciation]]="","",NodesData[[#This Row],[Context Instanciation]])</f>
        <v>#VALUE!</v>
      </c>
      <c r="D512" s="27" t="e">
        <f>NodesData[[#This Row],[Node ID]]</f>
        <v>#VALUE!</v>
      </c>
      <c r="E512" s="8"/>
      <c r="F512" s="25" t="str" cm="1">
        <f t="array" ref="F512">IF(NodesJSON[[#This Row],[Export?]]=0,"",IF(ROW(NodesJSON[[#This Row],[label]])&gt;ROW(NodesJSON[[#Headers],[JSON]])+1,",","") &amp;"{"&amp;twoRangesToJSON(NodesJSON[[#Headers],[label]:[url]],NodesJSON[[#This Row],[label]:[url]])&amp;"}")</f>
        <v/>
      </c>
    </row>
    <row r="513" spans="1:6" ht="13.9" thickTop="1" thickBot="1" x14ac:dyDescent="0.4">
      <c r="A513" s="39">
        <f>IF(ISERR(NodesJSON[[#This Row],[label]]),0,1)</f>
        <v>0</v>
      </c>
      <c r="B513" s="8" t="e">
        <f>NodesData[[#This Row],[Common Name]]</f>
        <v>#VALUE!</v>
      </c>
      <c r="C513" s="8" t="e">
        <f>IF(NodesData[[#This Row],[Context Instanciation]]="","",NodesData[[#This Row],[Context Instanciation]])</f>
        <v>#VALUE!</v>
      </c>
      <c r="D513" s="27" t="e">
        <f>NodesData[[#This Row],[Node ID]]</f>
        <v>#VALUE!</v>
      </c>
      <c r="E513" s="8"/>
      <c r="F513" s="25" t="str" cm="1">
        <f t="array" ref="F513">IF(NodesJSON[[#This Row],[Export?]]=0,"",IF(ROW(NodesJSON[[#This Row],[label]])&gt;ROW(NodesJSON[[#Headers],[JSON]])+1,",","") &amp;"{"&amp;twoRangesToJSON(NodesJSON[[#Headers],[label]:[url]],NodesJSON[[#This Row],[label]:[url]])&amp;"}")</f>
        <v/>
      </c>
    </row>
    <row r="514" spans="1:6" ht="13.9" thickTop="1" thickBot="1" x14ac:dyDescent="0.4">
      <c r="A514" s="39">
        <f>IF(ISERR(NodesJSON[[#This Row],[label]]),0,1)</f>
        <v>0</v>
      </c>
      <c r="B514" s="8" t="e">
        <f>NodesData[[#This Row],[Common Name]]</f>
        <v>#VALUE!</v>
      </c>
      <c r="C514" s="8" t="e">
        <f>IF(NodesData[[#This Row],[Context Instanciation]]="","",NodesData[[#This Row],[Context Instanciation]])</f>
        <v>#VALUE!</v>
      </c>
      <c r="D514" s="27" t="e">
        <f>NodesData[[#This Row],[Node ID]]</f>
        <v>#VALUE!</v>
      </c>
      <c r="E514" s="8"/>
      <c r="F514" s="25" t="str" cm="1">
        <f t="array" ref="F514">IF(NodesJSON[[#This Row],[Export?]]=0,"",IF(ROW(NodesJSON[[#This Row],[label]])&gt;ROW(NodesJSON[[#Headers],[JSON]])+1,",","") &amp;"{"&amp;twoRangesToJSON(NodesJSON[[#Headers],[label]:[url]],NodesJSON[[#This Row],[label]:[url]])&amp;"}")</f>
        <v/>
      </c>
    </row>
    <row r="515" spans="1:6" ht="13.9" thickTop="1" thickBot="1" x14ac:dyDescent="0.4">
      <c r="A515" s="39">
        <f>IF(ISERR(NodesJSON[[#This Row],[label]]),0,1)</f>
        <v>0</v>
      </c>
      <c r="B515" s="8" t="e">
        <f>NodesData[[#This Row],[Common Name]]</f>
        <v>#VALUE!</v>
      </c>
      <c r="C515" s="8" t="e">
        <f>IF(NodesData[[#This Row],[Context Instanciation]]="","",NodesData[[#This Row],[Context Instanciation]])</f>
        <v>#VALUE!</v>
      </c>
      <c r="D515" s="27" t="e">
        <f>NodesData[[#This Row],[Node ID]]</f>
        <v>#VALUE!</v>
      </c>
      <c r="E515" s="8"/>
      <c r="F515" s="25" t="str" cm="1">
        <f t="array" ref="F515">IF(NodesJSON[[#This Row],[Export?]]=0,"",IF(ROW(NodesJSON[[#This Row],[label]])&gt;ROW(NodesJSON[[#Headers],[JSON]])+1,",","") &amp;"{"&amp;twoRangesToJSON(NodesJSON[[#Headers],[label]:[url]],NodesJSON[[#This Row],[label]:[url]])&amp;"}")</f>
        <v/>
      </c>
    </row>
    <row r="516" spans="1:6" ht="13.9" thickTop="1" thickBot="1" x14ac:dyDescent="0.4">
      <c r="A516" s="39">
        <f>IF(ISERR(NodesJSON[[#This Row],[label]]),0,1)</f>
        <v>0</v>
      </c>
      <c r="B516" s="8" t="e">
        <f>NodesData[[#This Row],[Common Name]]</f>
        <v>#VALUE!</v>
      </c>
      <c r="C516" s="8" t="e">
        <f>IF(NodesData[[#This Row],[Context Instanciation]]="","",NodesData[[#This Row],[Context Instanciation]])</f>
        <v>#VALUE!</v>
      </c>
      <c r="D516" s="27" t="e">
        <f>NodesData[[#This Row],[Node ID]]</f>
        <v>#VALUE!</v>
      </c>
      <c r="E516" s="8"/>
      <c r="F516" s="25" t="str" cm="1">
        <f t="array" ref="F516">IF(NodesJSON[[#This Row],[Export?]]=0,"",IF(ROW(NodesJSON[[#This Row],[label]])&gt;ROW(NodesJSON[[#Headers],[JSON]])+1,",","") &amp;"{"&amp;twoRangesToJSON(NodesJSON[[#Headers],[label]:[url]],NodesJSON[[#This Row],[label]:[url]])&amp;"}")</f>
        <v/>
      </c>
    </row>
    <row r="517" spans="1:6" ht="13.9" thickTop="1" thickBot="1" x14ac:dyDescent="0.4">
      <c r="A517" s="39">
        <f>IF(ISERR(NodesJSON[[#This Row],[label]]),0,1)</f>
        <v>0</v>
      </c>
      <c r="B517" s="8" t="e">
        <f>NodesData[[#This Row],[Common Name]]</f>
        <v>#VALUE!</v>
      </c>
      <c r="C517" s="8" t="e">
        <f>IF(NodesData[[#This Row],[Context Instanciation]]="","",NodesData[[#This Row],[Context Instanciation]])</f>
        <v>#VALUE!</v>
      </c>
      <c r="D517" s="27" t="e">
        <f>NodesData[[#This Row],[Node ID]]</f>
        <v>#VALUE!</v>
      </c>
      <c r="E517" s="8"/>
      <c r="F517" s="25" t="str" cm="1">
        <f t="array" ref="F517">IF(NodesJSON[[#This Row],[Export?]]=0,"",IF(ROW(NodesJSON[[#This Row],[label]])&gt;ROW(NodesJSON[[#Headers],[JSON]])+1,",","") &amp;"{"&amp;twoRangesToJSON(NodesJSON[[#Headers],[label]:[url]],NodesJSON[[#This Row],[label]:[url]])&amp;"}")</f>
        <v/>
      </c>
    </row>
    <row r="518" spans="1:6" ht="13.9" thickTop="1" thickBot="1" x14ac:dyDescent="0.4">
      <c r="A518" s="39">
        <f>IF(ISERR(NodesJSON[[#This Row],[label]]),0,1)</f>
        <v>0</v>
      </c>
      <c r="B518" s="8" t="e">
        <f>NodesData[[#This Row],[Common Name]]</f>
        <v>#VALUE!</v>
      </c>
      <c r="C518" s="8" t="e">
        <f>IF(NodesData[[#This Row],[Context Instanciation]]="","",NodesData[[#This Row],[Context Instanciation]])</f>
        <v>#VALUE!</v>
      </c>
      <c r="D518" s="27" t="e">
        <f>NodesData[[#This Row],[Node ID]]</f>
        <v>#VALUE!</v>
      </c>
      <c r="E518" s="8"/>
      <c r="F518" s="25" t="str" cm="1">
        <f t="array" ref="F518">IF(NodesJSON[[#This Row],[Export?]]=0,"",IF(ROW(NodesJSON[[#This Row],[label]])&gt;ROW(NodesJSON[[#Headers],[JSON]])+1,",","") &amp;"{"&amp;twoRangesToJSON(NodesJSON[[#Headers],[label]:[url]],NodesJSON[[#This Row],[label]:[url]])&amp;"}")</f>
        <v/>
      </c>
    </row>
    <row r="519" spans="1:6" ht="13.9" thickTop="1" thickBot="1" x14ac:dyDescent="0.4">
      <c r="A519" s="39">
        <f>IF(ISERR(NodesJSON[[#This Row],[label]]),0,1)</f>
        <v>0</v>
      </c>
      <c r="B519" s="8" t="e">
        <f>NodesData[[#This Row],[Common Name]]</f>
        <v>#VALUE!</v>
      </c>
      <c r="C519" s="8" t="e">
        <f>IF(NodesData[[#This Row],[Context Instanciation]]="","",NodesData[[#This Row],[Context Instanciation]])</f>
        <v>#VALUE!</v>
      </c>
      <c r="D519" s="27" t="e">
        <f>NodesData[[#This Row],[Node ID]]</f>
        <v>#VALUE!</v>
      </c>
      <c r="E519" s="8"/>
      <c r="F519" s="25" t="str" cm="1">
        <f t="array" ref="F519">IF(NodesJSON[[#This Row],[Export?]]=0,"",IF(ROW(NodesJSON[[#This Row],[label]])&gt;ROW(NodesJSON[[#Headers],[JSON]])+1,",","") &amp;"{"&amp;twoRangesToJSON(NodesJSON[[#Headers],[label]:[url]],NodesJSON[[#This Row],[label]:[url]])&amp;"}")</f>
        <v/>
      </c>
    </row>
    <row r="520" spans="1:6" ht="13.15" thickTop="1" x14ac:dyDescent="0.35"/>
  </sheetData>
  <conditionalFormatting sqref="A3:A519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7169" r:id="rId4" name="buttonExportNodes">
          <controlPr defaultSize="0" autoLine="0" r:id="rId5">
            <anchor moveWithCells="1">
              <from>
                <xdr:col>1</xdr:col>
                <xdr:colOff>0</xdr:colOff>
                <xdr:row>0</xdr:row>
                <xdr:rowOff>85725</xdr:rowOff>
              </from>
              <to>
                <xdr:col>1</xdr:col>
                <xdr:colOff>785813</xdr:colOff>
                <xdr:row>1</xdr:row>
                <xdr:rowOff>104775</xdr:rowOff>
              </to>
            </anchor>
          </controlPr>
        </control>
      </mc:Choice>
      <mc:Fallback>
        <control shapeId="7169" r:id="rId4" name="buttonExportNodes"/>
      </mc:Fallback>
    </mc:AlternateContent>
  </controls>
  <tableParts count="1">
    <tablePart r:id="rId6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856D80-232D-4E8B-B6CB-C383C4761304}">
  <sheetPr codeName="Sheet12">
    <tabColor theme="1"/>
  </sheetPr>
  <dimension ref="A1:F88"/>
  <sheetViews>
    <sheetView topLeftCell="A61" zoomScale="120" zoomScaleNormal="120" workbookViewId="0">
      <selection activeCell="A70" sqref="A70"/>
    </sheetView>
  </sheetViews>
  <sheetFormatPr defaultRowHeight="12.75" x14ac:dyDescent="0.35"/>
  <cols>
    <col min="1" max="1" width="2.53125" style="2" customWidth="1"/>
    <col min="2" max="3" width="23" style="3" bestFit="1" customWidth="1"/>
    <col min="4" max="4" width="32.59765625" style="18" customWidth="1"/>
    <col min="5" max="5" width="120.3984375" style="26" customWidth="1"/>
    <col min="6" max="6" width="60" style="2" customWidth="1"/>
    <col min="7" max="16384" width="9.06640625" style="2"/>
  </cols>
  <sheetData>
    <row r="1" spans="1:6" s="1" customFormat="1" ht="19.899999999999999" thickBot="1" x14ac:dyDescent="0.65">
      <c r="A1" s="1" t="s">
        <v>1379</v>
      </c>
      <c r="B1" s="9"/>
      <c r="C1" s="9"/>
      <c r="D1" s="23"/>
    </row>
    <row r="2" spans="1:6" s="12" customFormat="1" ht="15" thickTop="1" thickBot="1" x14ac:dyDescent="0.5">
      <c r="A2" s="15" t="s">
        <v>1418</v>
      </c>
      <c r="B2" s="15" t="s">
        <v>1334</v>
      </c>
      <c r="C2" s="15" t="s">
        <v>1353</v>
      </c>
      <c r="D2" s="15" t="s">
        <v>1354</v>
      </c>
      <c r="E2" s="15" t="s">
        <v>1335</v>
      </c>
      <c r="F2" s="24" t="s">
        <v>1333</v>
      </c>
    </row>
    <row r="3" spans="1:6" ht="13.9" thickTop="1" thickBot="1" x14ac:dyDescent="0.4">
      <c r="A3" s="38">
        <f>IF(ISERR(EdgesJSON[[#This Row],[id]]),0,1)</f>
        <v>1</v>
      </c>
      <c r="B3" s="21" t="str">
        <f>EdgesData[[#This Row],[Edge ID]]</f>
        <v>A17E472C-A172-448D-8213-07C1399DEEFA</v>
      </c>
      <c r="C3" s="21" t="str">
        <f>EdgesData[[#This Row],[Node A ID]]</f>
        <v>A2967417-72BE-4537-BE1E-39E6298F5851</v>
      </c>
      <c r="D3" s="21" t="str">
        <f>EdgesData[[#This Row],[Node B ID]]</f>
        <v>4C6DA97E-8091-41CA-B99C-4250D2678005</v>
      </c>
      <c r="E3" s="3" t="str">
        <f>EdgesData[[#This Row],[Rel]]</f>
        <v>is</v>
      </c>
      <c r="F3" s="25" t="str" cm="1">
        <f t="array" ref="F3">IF(EdgesJSON[[#This Row],[Export?]]=0,"",IF(ROW(EdgesJSON[[#This Row],[id]])&gt;ROW(EdgesJSON[[#Headers],[JSON]])+1,",","") &amp;"{"&amp;twoRangesToJSON(EdgesJSON[[#Headers],[id]:[label]],EdgesJSON[[#This Row],[id]:[label]])&amp;"}")</f>
        <v>{"id":"A17E472C-A172-448D-8213-07C1399DEEFA","from":"A2967417-72BE-4537-BE1E-39E6298F5851","to":"4C6DA97E-8091-41CA-B99C-4250D2678005","label":"is"}</v>
      </c>
    </row>
    <row r="4" spans="1:6" ht="13.9" thickTop="1" thickBot="1" x14ac:dyDescent="0.4">
      <c r="A4" s="38">
        <f>IF(ISERR(EdgesJSON[[#This Row],[id]]),0,1)</f>
        <v>1</v>
      </c>
      <c r="B4" s="21" t="str">
        <f>EdgesData[[#This Row],[Edge ID]]</f>
        <v>8BDEB3AE-BCDB-42D9-AA7F-516CC0127EC0</v>
      </c>
      <c r="C4" s="21" t="str">
        <f>EdgesData[[#This Row],[Node A ID]]</f>
        <v>47316C02-A4EB-4832-B925-1D094DE618CA</v>
      </c>
      <c r="D4" s="21" t="str">
        <f>EdgesData[[#This Row],[Node B ID]]</f>
        <v>5CB6C907-0D88-4068-B90F-90D2B4E5C9CF</v>
      </c>
      <c r="E4" s="3" t="str">
        <f>EdgesData[[#This Row],[Rel]]</f>
        <v>is</v>
      </c>
      <c r="F4" s="25" t="str" cm="1">
        <f t="array" ref="F4">IF(EdgesJSON[[#This Row],[Export?]]=0,"",IF(ROW(EdgesJSON[[#This Row],[id]])&gt;ROW(EdgesJSON[[#Headers],[JSON]])+1,",","") &amp;"{"&amp;twoRangesToJSON(EdgesJSON[[#Headers],[id]:[label]],EdgesJSON[[#This Row],[id]:[label]])&amp;"}")</f>
        <v>,{"id":"8BDEB3AE-BCDB-42D9-AA7F-516CC0127EC0","from":"47316C02-A4EB-4832-B925-1D094DE618CA","to":"5CB6C907-0D88-4068-B90F-90D2B4E5C9CF","label":"is"}</v>
      </c>
    </row>
    <row r="5" spans="1:6" ht="13.9" thickTop="1" thickBot="1" x14ac:dyDescent="0.4">
      <c r="A5" s="38">
        <f>IF(ISERR(EdgesJSON[[#This Row],[id]]),0,1)</f>
        <v>1</v>
      </c>
      <c r="B5" s="21" t="str">
        <f>EdgesData[[#This Row],[Edge ID]]</f>
        <v>A6E9BB21-DA1C-4399-8FC4-0166CA3A459C</v>
      </c>
      <c r="C5" s="21" t="str">
        <f>EdgesData[[#This Row],[Node A ID]]</f>
        <v>47316C02-A4EB-4832-B925-1D094DE618CA</v>
      </c>
      <c r="D5" s="21" t="str">
        <f>EdgesData[[#This Row],[Node B ID]]</f>
        <v>B92DFC96-CD21-42CC-B21F-7D5820C1DCC7</v>
      </c>
      <c r="E5" s="3" t="str">
        <f>EdgesData[[#This Row],[Rel]]</f>
        <v>protects</v>
      </c>
      <c r="F5" s="25" t="str" cm="1">
        <f t="array" ref="F5">IF(EdgesJSON[[#This Row],[Export?]]=0,"",IF(ROW(EdgesJSON[[#This Row],[id]])&gt;ROW(EdgesJSON[[#Headers],[JSON]])+1,",","") &amp;"{"&amp;twoRangesToJSON(EdgesJSON[[#Headers],[id]:[label]],EdgesJSON[[#This Row],[id]:[label]])&amp;"}")</f>
        <v>,{"id":"A6E9BB21-DA1C-4399-8FC4-0166CA3A459C","from":"47316C02-A4EB-4832-B925-1D094DE618CA","to":"B92DFC96-CD21-42CC-B21F-7D5820C1DCC7","label":"protects"}</v>
      </c>
    </row>
    <row r="6" spans="1:6" ht="13.9" thickTop="1" thickBot="1" x14ac:dyDescent="0.4">
      <c r="A6" s="38">
        <f>IF(ISERR(EdgesJSON[[#This Row],[id]]),0,1)</f>
        <v>1</v>
      </c>
      <c r="B6" s="21" t="str">
        <f>EdgesData[[#This Row],[Edge ID]]</f>
        <v>2451BBD8-749D-46FA-BD78-F55BF4C71428</v>
      </c>
      <c r="C6" s="21" t="str">
        <f>EdgesData[[#This Row],[Node A ID]]</f>
        <v>47316C02-A4EB-4832-B925-1D094DE618CA</v>
      </c>
      <c r="D6" s="21" t="str">
        <f>EdgesData[[#This Row],[Node B ID]]</f>
        <v>8A84FB45-D721-4F51-92D2-6F252494072A</v>
      </c>
      <c r="E6" s="3" t="str">
        <f>EdgesData[[#This Row],[Rel]]</f>
        <v>protects from</v>
      </c>
      <c r="F6" s="25" t="str" cm="1">
        <f t="array" ref="F6">IF(EdgesJSON[[#This Row],[Export?]]=0,"",IF(ROW(EdgesJSON[[#This Row],[id]])&gt;ROW(EdgesJSON[[#Headers],[JSON]])+1,",","") &amp;"{"&amp;twoRangesToJSON(EdgesJSON[[#Headers],[id]:[label]],EdgesJSON[[#This Row],[id]:[label]])&amp;"}")</f>
        <v>,{"id":"2451BBD8-749D-46FA-BD78-F55BF4C71428","from":"47316C02-A4EB-4832-B925-1D094DE618CA","to":"8A84FB45-D721-4F51-92D2-6F252494072A","label":"protects from"}</v>
      </c>
    </row>
    <row r="7" spans="1:6" ht="13.9" thickTop="1" thickBot="1" x14ac:dyDescent="0.4">
      <c r="A7" s="38">
        <f>IF(ISERR(EdgesJSON[[#This Row],[id]]),0,1)</f>
        <v>1</v>
      </c>
      <c r="B7" s="21" t="str">
        <f>EdgesData[[#This Row],[Edge ID]]</f>
        <v>3BCFFB5B-0A18-4B2A-914D-E47714BA8556</v>
      </c>
      <c r="C7" s="21" t="str">
        <f>EdgesData[[#This Row],[Node A ID]]</f>
        <v>566E708D-FD51-436E-9E4D-051F1F485979</v>
      </c>
      <c r="D7" s="21" t="str">
        <f>EdgesData[[#This Row],[Node B ID]]</f>
        <v>4C6DA97E-8091-41CA-B99C-4250D2678005</v>
      </c>
      <c r="E7" s="3" t="str">
        <f>EdgesData[[#This Row],[Rel]]</f>
        <v>is</v>
      </c>
      <c r="F7" s="25" t="str" cm="1">
        <f t="array" ref="F7">IF(EdgesJSON[[#This Row],[Export?]]=0,"",IF(ROW(EdgesJSON[[#This Row],[id]])&gt;ROW(EdgesJSON[[#Headers],[JSON]])+1,",","") &amp;"{"&amp;twoRangesToJSON(EdgesJSON[[#Headers],[id]:[label]],EdgesJSON[[#This Row],[id]:[label]])&amp;"}")</f>
        <v>,{"id":"3BCFFB5B-0A18-4B2A-914D-E47714BA8556","from":"566E708D-FD51-436E-9E4D-051F1F485979","to":"4C6DA97E-8091-41CA-B99C-4250D2678005","label":"is"}</v>
      </c>
    </row>
    <row r="8" spans="1:6" ht="13.9" thickTop="1" thickBot="1" x14ac:dyDescent="0.4">
      <c r="A8" s="38">
        <f>IF(ISERR(EdgesJSON[[#This Row],[id]]),0,1)</f>
        <v>1</v>
      </c>
      <c r="B8" s="21" t="str">
        <f>EdgesData[[#This Row],[Edge ID]]</f>
        <v>0123F3C2-3082-4585-8B6E-9A952C4BEBA5</v>
      </c>
      <c r="C8" s="21" t="str">
        <f>EdgesData[[#This Row],[Node A ID]]</f>
        <v>566E708D-FD51-436E-9E4D-051F1F485979</v>
      </c>
      <c r="D8" s="21" t="str">
        <f>EdgesData[[#This Row],[Node B ID]]</f>
        <v>A2967417-72BE-4537-BE1E-39E6298F5851</v>
      </c>
      <c r="E8" s="3" t="str">
        <f>EdgesData[[#This Row],[Rel]]</f>
        <v>is</v>
      </c>
      <c r="F8" s="25" t="str" cm="1">
        <f t="array" ref="F8">IF(EdgesJSON[[#This Row],[Export?]]=0,"",IF(ROW(EdgesJSON[[#This Row],[id]])&gt;ROW(EdgesJSON[[#Headers],[JSON]])+1,",","") &amp;"{"&amp;twoRangesToJSON(EdgesJSON[[#Headers],[id]:[label]],EdgesJSON[[#This Row],[id]:[label]])&amp;"}")</f>
        <v>,{"id":"0123F3C2-3082-4585-8B6E-9A952C4BEBA5","from":"566E708D-FD51-436E-9E4D-051F1F485979","to":"A2967417-72BE-4537-BE1E-39E6298F5851","label":"is"}</v>
      </c>
    </row>
    <row r="9" spans="1:6" ht="13.9" thickTop="1" thickBot="1" x14ac:dyDescent="0.4">
      <c r="A9" s="38">
        <f>IF(ISERR(EdgesJSON[[#This Row],[id]]),0,1)</f>
        <v>1</v>
      </c>
      <c r="B9" s="21" t="str">
        <f>EdgesData[[#This Row],[Edge ID]]</f>
        <v>56C85E0C-EF4C-483B-862A-301E4306F3BB</v>
      </c>
      <c r="C9" s="21" t="str">
        <f>EdgesData[[#This Row],[Node A ID]]</f>
        <v>BC9316FB-BCA1-4D66-9CD7-3112BEF13D86</v>
      </c>
      <c r="D9" s="21" t="str">
        <f>EdgesData[[#This Row],[Node B ID]]</f>
        <v>DB652713-5948-4322-8567-E5F6CB0440E8</v>
      </c>
      <c r="E9" s="3" t="str">
        <f>EdgesData[[#This Row],[Rel]]</f>
        <v>is</v>
      </c>
      <c r="F9" s="25" t="str" cm="1">
        <f t="array" ref="F9">IF(EdgesJSON[[#This Row],[Export?]]=0,"",IF(ROW(EdgesJSON[[#This Row],[id]])&gt;ROW(EdgesJSON[[#Headers],[JSON]])+1,",","") &amp;"{"&amp;twoRangesToJSON(EdgesJSON[[#Headers],[id]:[label]],EdgesJSON[[#This Row],[id]:[label]])&amp;"}")</f>
        <v>,{"id":"56C85E0C-EF4C-483B-862A-301E4306F3BB","from":"BC9316FB-BCA1-4D66-9CD7-3112BEF13D86","to":"DB652713-5948-4322-8567-E5F6CB0440E8","label":"is"}</v>
      </c>
    </row>
    <row r="10" spans="1:6" ht="13.9" thickTop="1" thickBot="1" x14ac:dyDescent="0.4">
      <c r="A10" s="38">
        <f>IF(ISERR(EdgesJSON[[#This Row],[id]]),0,1)</f>
        <v>1</v>
      </c>
      <c r="B10" s="21" t="str">
        <f>EdgesData[[#This Row],[Edge ID]]</f>
        <v>B202CE57-28CF-4BD4-BB59-7FE7F177CC48</v>
      </c>
      <c r="C10" s="21" t="str">
        <f>EdgesData[[#This Row],[Node A ID]]</f>
        <v>E1132C17-7D2B-4F86-A9F2-BAAA52027A5B</v>
      </c>
      <c r="D10" s="21" t="str">
        <f>EdgesData[[#This Row],[Node B ID]]</f>
        <v>DB652713-5948-4322-8567-E5F6CB0440E8</v>
      </c>
      <c r="E10" s="3" t="str">
        <f>EdgesData[[#This Row],[Rel]]</f>
        <v>is</v>
      </c>
      <c r="F10" s="25" t="str" cm="1">
        <f t="array" ref="F10">IF(EdgesJSON[[#This Row],[Export?]]=0,"",IF(ROW(EdgesJSON[[#This Row],[id]])&gt;ROW(EdgesJSON[[#Headers],[JSON]])+1,",","") &amp;"{"&amp;twoRangesToJSON(EdgesJSON[[#Headers],[id]:[label]],EdgesJSON[[#This Row],[id]:[label]])&amp;"}")</f>
        <v>,{"id":"B202CE57-28CF-4BD4-BB59-7FE7F177CC48","from":"E1132C17-7D2B-4F86-A9F2-BAAA52027A5B","to":"DB652713-5948-4322-8567-E5F6CB0440E8","label":"is"}</v>
      </c>
    </row>
    <row r="11" spans="1:6" ht="13.9" thickTop="1" thickBot="1" x14ac:dyDescent="0.4">
      <c r="A11" s="38">
        <f>IF(ISERR(EdgesJSON[[#This Row],[id]]),0,1)</f>
        <v>1</v>
      </c>
      <c r="B11" s="21" t="str">
        <f>EdgesData[[#This Row],[Edge ID]]</f>
        <v>EEBA770F-5EF8-4495-87DF-C601E4D85E74</v>
      </c>
      <c r="C11" s="21" t="str">
        <f>EdgesData[[#This Row],[Node A ID]]</f>
        <v>8A84FB45-D721-4F51-92D2-6F252494072A</v>
      </c>
      <c r="D11" s="21" t="str">
        <f>EdgesData[[#This Row],[Node B ID]]</f>
        <v>1CA22954-068F-4603-9932-7CAFD3C4E2A6</v>
      </c>
      <c r="E11" s="3" t="str">
        <f>EdgesData[[#This Row],[Rel]]</f>
        <v>is</v>
      </c>
      <c r="F11" s="25" t="str" cm="1">
        <f t="array" ref="F11">IF(EdgesJSON[[#This Row],[Export?]]=0,"",IF(ROW(EdgesJSON[[#This Row],[id]])&gt;ROW(EdgesJSON[[#Headers],[JSON]])+1,",","") &amp;"{"&amp;twoRangesToJSON(EdgesJSON[[#Headers],[id]:[label]],EdgesJSON[[#This Row],[id]:[label]])&amp;"}")</f>
        <v>,{"id":"EEBA770F-5EF8-4495-87DF-C601E4D85E74","from":"8A84FB45-D721-4F51-92D2-6F252494072A","to":"1CA22954-068F-4603-9932-7CAFD3C4E2A6","label":"is"}</v>
      </c>
    </row>
    <row r="12" spans="1:6" ht="13.9" thickTop="1" thickBot="1" x14ac:dyDescent="0.4">
      <c r="A12" s="38">
        <f>IF(ISERR(EdgesJSON[[#This Row],[id]]),0,1)</f>
        <v>1</v>
      </c>
      <c r="B12" s="21" t="str">
        <f>EdgesData[[#This Row],[Edge ID]]</f>
        <v>037045CE-CAFF-4FC4-8629-0F8986EC231F</v>
      </c>
      <c r="C12" s="21" t="str">
        <f>EdgesData[[#This Row],[Node A ID]]</f>
        <v>EE59DD52-46E3-4C5E-B862-8914485F238F</v>
      </c>
      <c r="D12" s="21" t="str">
        <f>EdgesData[[#This Row],[Node B ID]]</f>
        <v>4C6DA97E-8091-41CA-B99C-4250D2678005</v>
      </c>
      <c r="E12" s="3" t="str">
        <f>EdgesData[[#This Row],[Rel]]</f>
        <v>is</v>
      </c>
      <c r="F12" s="25" t="str" cm="1">
        <f t="array" ref="F12">IF(EdgesJSON[[#This Row],[Export?]]=0,"",IF(ROW(EdgesJSON[[#This Row],[id]])&gt;ROW(EdgesJSON[[#Headers],[JSON]])+1,",","") &amp;"{"&amp;twoRangesToJSON(EdgesJSON[[#Headers],[id]:[label]],EdgesJSON[[#This Row],[id]:[label]])&amp;"}")</f>
        <v>,{"id":"037045CE-CAFF-4FC4-8629-0F8986EC231F","from":"EE59DD52-46E3-4C5E-B862-8914485F238F","to":"4C6DA97E-8091-41CA-B99C-4250D2678005","label":"is"}</v>
      </c>
    </row>
    <row r="13" spans="1:6" ht="13.9" thickTop="1" thickBot="1" x14ac:dyDescent="0.4">
      <c r="A13" s="38">
        <f>IF(ISERR(EdgesJSON[[#This Row],[id]]),0,1)</f>
        <v>1</v>
      </c>
      <c r="B13" s="21" t="str">
        <f>EdgesData[[#This Row],[Edge ID]]</f>
        <v>066380CA-56C5-4AA4-AA77-8503109741DC</v>
      </c>
      <c r="C13" s="21" t="str">
        <f>EdgesData[[#This Row],[Node A ID]]</f>
        <v>EE59DD52-46E3-4C5E-B862-8914485F238F</v>
      </c>
      <c r="D13" s="21" t="str">
        <f>EdgesData[[#This Row],[Node B ID]]</f>
        <v>A2967417-72BE-4537-BE1E-39E6298F5851</v>
      </c>
      <c r="E13" s="3" t="str">
        <f>EdgesData[[#This Row],[Rel]]</f>
        <v>is</v>
      </c>
      <c r="F13" s="25" t="str" cm="1">
        <f t="array" ref="F13">IF(EdgesJSON[[#This Row],[Export?]]=0,"",IF(ROW(EdgesJSON[[#This Row],[id]])&gt;ROW(EdgesJSON[[#Headers],[JSON]])+1,",","") &amp;"{"&amp;twoRangesToJSON(EdgesJSON[[#Headers],[id]:[label]],EdgesJSON[[#This Row],[id]:[label]])&amp;"}")</f>
        <v>,{"id":"066380CA-56C5-4AA4-AA77-8503109741DC","from":"EE59DD52-46E3-4C5E-B862-8914485F238F","to":"A2967417-72BE-4537-BE1E-39E6298F5851","label":"is"}</v>
      </c>
    </row>
    <row r="14" spans="1:6" ht="13.9" thickTop="1" thickBot="1" x14ac:dyDescent="0.4">
      <c r="A14" s="38">
        <f>IF(ISERR(EdgesJSON[[#This Row],[id]]),0,1)</f>
        <v>1</v>
      </c>
      <c r="B14" s="21" t="str">
        <f>EdgesData[[#This Row],[Edge ID]]</f>
        <v>96BB6D66-BC08-4132-B285-605F17A1FB04</v>
      </c>
      <c r="C14" s="21" t="str">
        <f>EdgesData[[#This Row],[Node A ID]]</f>
        <v>8A54CA58-95DE-462C-85F0-63881C492A91</v>
      </c>
      <c r="D14" s="21" t="str">
        <f>EdgesData[[#This Row],[Node B ID]]</f>
        <v>4C6DA97E-8091-41CA-B99C-4250D2678005</v>
      </c>
      <c r="E14" s="3" t="str">
        <f>EdgesData[[#This Row],[Rel]]</f>
        <v>is</v>
      </c>
      <c r="F14" s="25" t="str" cm="1">
        <f t="array" ref="F14">IF(EdgesJSON[[#This Row],[Export?]]=0,"",IF(ROW(EdgesJSON[[#This Row],[id]])&gt;ROW(EdgesJSON[[#Headers],[JSON]])+1,",","") &amp;"{"&amp;twoRangesToJSON(EdgesJSON[[#Headers],[id]:[label]],EdgesJSON[[#This Row],[id]:[label]])&amp;"}")</f>
        <v>,{"id":"96BB6D66-BC08-4132-B285-605F17A1FB04","from":"8A54CA58-95DE-462C-85F0-63881C492A91","to":"4C6DA97E-8091-41CA-B99C-4250D2678005","label":"is"}</v>
      </c>
    </row>
    <row r="15" spans="1:6" ht="13.9" thickTop="1" thickBot="1" x14ac:dyDescent="0.4">
      <c r="A15" s="38">
        <f>IF(ISERR(EdgesJSON[[#This Row],[id]]),0,1)</f>
        <v>1</v>
      </c>
      <c r="B15" s="21" t="str">
        <f>EdgesData[[#This Row],[Edge ID]]</f>
        <v>C29FCE9E-21E1-42D7-87DB-8731D7FEDF7F</v>
      </c>
      <c r="C15" s="21" t="str">
        <f>EdgesData[[#This Row],[Node A ID]]</f>
        <v>8A54CA58-95DE-462C-85F0-63881C492A91</v>
      </c>
      <c r="D15" s="21" t="str">
        <f>EdgesData[[#This Row],[Node B ID]]</f>
        <v>A2967417-72BE-4537-BE1E-39E6298F5851</v>
      </c>
      <c r="E15" s="3" t="str">
        <f>EdgesData[[#This Row],[Rel]]</f>
        <v>is</v>
      </c>
      <c r="F15" s="25" t="str" cm="1">
        <f t="array" ref="F15">IF(EdgesJSON[[#This Row],[Export?]]=0,"",IF(ROW(EdgesJSON[[#This Row],[id]])&gt;ROW(EdgesJSON[[#Headers],[JSON]])+1,",","") &amp;"{"&amp;twoRangesToJSON(EdgesJSON[[#Headers],[id]:[label]],EdgesJSON[[#This Row],[id]:[label]])&amp;"}")</f>
        <v>,{"id":"C29FCE9E-21E1-42D7-87DB-8731D7FEDF7F","from":"8A54CA58-95DE-462C-85F0-63881C492A91","to":"A2967417-72BE-4537-BE1E-39E6298F5851","label":"is"}</v>
      </c>
    </row>
    <row r="16" spans="1:6" ht="13.9" thickTop="1" thickBot="1" x14ac:dyDescent="0.4">
      <c r="A16" s="38">
        <f>IF(ISERR(EdgesJSON[[#This Row],[id]]),0,1)</f>
        <v>1</v>
      </c>
      <c r="B16" s="21" t="str">
        <f>EdgesData[[#This Row],[Edge ID]]</f>
        <v>F6463590-0601-4EB7-A393-604B13E5AFB5</v>
      </c>
      <c r="C16" s="21" t="str">
        <f>EdgesData[[#This Row],[Node A ID]]</f>
        <v>A4ADA3D7-3568-4A97-A8E3-4E47A1368F3D</v>
      </c>
      <c r="D16" s="21" t="str">
        <f>EdgesData[[#This Row],[Node B ID]]</f>
        <v>4C6DA97E-8091-41CA-B99C-4250D2678005</v>
      </c>
      <c r="E16" s="3" t="str">
        <f>EdgesData[[#This Row],[Rel]]</f>
        <v>is</v>
      </c>
      <c r="F16" s="25" t="str" cm="1">
        <f t="array" ref="F16">IF(EdgesJSON[[#This Row],[Export?]]=0,"",IF(ROW(EdgesJSON[[#This Row],[id]])&gt;ROW(EdgesJSON[[#Headers],[JSON]])+1,",","") &amp;"{"&amp;twoRangesToJSON(EdgesJSON[[#Headers],[id]:[label]],EdgesJSON[[#This Row],[id]:[label]])&amp;"}")</f>
        <v>,{"id":"F6463590-0601-4EB7-A393-604B13E5AFB5","from":"A4ADA3D7-3568-4A97-A8E3-4E47A1368F3D","to":"4C6DA97E-8091-41CA-B99C-4250D2678005","label":"is"}</v>
      </c>
    </row>
    <row r="17" spans="1:6" ht="13.9" thickTop="1" thickBot="1" x14ac:dyDescent="0.4">
      <c r="A17" s="38">
        <f>IF(ISERR(EdgesJSON[[#This Row],[id]]),0,1)</f>
        <v>1</v>
      </c>
      <c r="B17" s="21" t="str">
        <f>EdgesData[[#This Row],[Edge ID]]</f>
        <v>41793FBD-53F6-403D-A68C-97E809C8F7BF</v>
      </c>
      <c r="C17" s="21" t="str">
        <f>EdgesData[[#This Row],[Node A ID]]</f>
        <v>A4ADA3D7-3568-4A97-A8E3-4E47A1368F3D</v>
      </c>
      <c r="D17" s="21" t="str">
        <f>EdgesData[[#This Row],[Node B ID]]</f>
        <v>A2967417-72BE-4537-BE1E-39E6298F5851</v>
      </c>
      <c r="E17" s="3" t="str">
        <f>EdgesData[[#This Row],[Rel]]</f>
        <v>is</v>
      </c>
      <c r="F17" s="25" t="str" cm="1">
        <f t="array" ref="F17">IF(EdgesJSON[[#This Row],[Export?]]=0,"",IF(ROW(EdgesJSON[[#This Row],[id]])&gt;ROW(EdgesJSON[[#Headers],[JSON]])+1,",","") &amp;"{"&amp;twoRangesToJSON(EdgesJSON[[#Headers],[id]:[label]],EdgesJSON[[#This Row],[id]:[label]])&amp;"}")</f>
        <v>,{"id":"41793FBD-53F6-403D-A68C-97E809C8F7BF","from":"A4ADA3D7-3568-4A97-A8E3-4E47A1368F3D","to":"A2967417-72BE-4537-BE1E-39E6298F5851","label":"is"}</v>
      </c>
    </row>
    <row r="18" spans="1:6" ht="13.9" thickTop="1" thickBot="1" x14ac:dyDescent="0.4">
      <c r="A18" s="38">
        <f>IF(ISERR(EdgesJSON[[#This Row],[id]]),0,1)</f>
        <v>1</v>
      </c>
      <c r="B18" s="21" t="str">
        <f>EdgesData[[#This Row],[Edge ID]]</f>
        <v>ACF425C2-222C-4ACB-BEC5-7121E2BB20A3</v>
      </c>
      <c r="C18" s="21" t="str">
        <f>EdgesData[[#This Row],[Node A ID]]</f>
        <v>46401F0E-29CA-47A3-A39A-0230CB771074</v>
      </c>
      <c r="D18" s="21" t="str">
        <f>EdgesData[[#This Row],[Node B ID]]</f>
        <v>4C6DA97E-8091-41CA-B99C-4250D2678005</v>
      </c>
      <c r="E18" s="3" t="str">
        <f>EdgesData[[#This Row],[Rel]]</f>
        <v>is</v>
      </c>
      <c r="F18" s="25" t="str" cm="1">
        <f t="array" ref="F18">IF(EdgesJSON[[#This Row],[Export?]]=0,"",IF(ROW(EdgesJSON[[#This Row],[id]])&gt;ROW(EdgesJSON[[#Headers],[JSON]])+1,",","") &amp;"{"&amp;twoRangesToJSON(EdgesJSON[[#Headers],[id]:[label]],EdgesJSON[[#This Row],[id]:[label]])&amp;"}")</f>
        <v>,{"id":"ACF425C2-222C-4ACB-BEC5-7121E2BB20A3","from":"46401F0E-29CA-47A3-A39A-0230CB771074","to":"4C6DA97E-8091-41CA-B99C-4250D2678005","label":"is"}</v>
      </c>
    </row>
    <row r="19" spans="1:6" ht="13.9" thickTop="1" thickBot="1" x14ac:dyDescent="0.4">
      <c r="A19" s="38">
        <f>IF(ISERR(EdgesJSON[[#This Row],[id]]),0,1)</f>
        <v>1</v>
      </c>
      <c r="B19" s="21" t="str">
        <f>EdgesData[[#This Row],[Edge ID]]</f>
        <v>1E4DE7F7-3410-4064-8D62-8AC2E7F5BDCB</v>
      </c>
      <c r="C19" s="21" t="str">
        <f>EdgesData[[#This Row],[Node A ID]]</f>
        <v>46401F0E-29CA-47A3-A39A-0230CB771074</v>
      </c>
      <c r="D19" s="21" t="str">
        <f>EdgesData[[#This Row],[Node B ID]]</f>
        <v>A2967417-72BE-4537-BE1E-39E6298F5851</v>
      </c>
      <c r="E19" s="3" t="str">
        <f>EdgesData[[#This Row],[Rel]]</f>
        <v>is</v>
      </c>
      <c r="F19" s="25" t="str" cm="1">
        <f t="array" ref="F19">IF(EdgesJSON[[#This Row],[Export?]]=0,"",IF(ROW(EdgesJSON[[#This Row],[id]])&gt;ROW(EdgesJSON[[#Headers],[JSON]])+1,",","") &amp;"{"&amp;twoRangesToJSON(EdgesJSON[[#Headers],[id]:[label]],EdgesJSON[[#This Row],[id]:[label]])&amp;"}")</f>
        <v>,{"id":"1E4DE7F7-3410-4064-8D62-8AC2E7F5BDCB","from":"46401F0E-29CA-47A3-A39A-0230CB771074","to":"A2967417-72BE-4537-BE1E-39E6298F5851","label":"is"}</v>
      </c>
    </row>
    <row r="20" spans="1:6" ht="13.9" thickTop="1" thickBot="1" x14ac:dyDescent="0.4">
      <c r="A20" s="38">
        <f>IF(ISERR(EdgesJSON[[#This Row],[id]]),0,1)</f>
        <v>1</v>
      </c>
      <c r="B20" s="21" t="str">
        <f>EdgesData[[#This Row],[Edge ID]]</f>
        <v>462DDE67-7793-438D-A9E1-E040880F0CBB</v>
      </c>
      <c r="C20" s="21" t="str">
        <f>EdgesData[[#This Row],[Node A ID]]</f>
        <v>C92DDCBA-ED8B-4196-A9FF-C96029349FAC</v>
      </c>
      <c r="D20" s="21" t="str">
        <f>EdgesData[[#This Row],[Node B ID]]</f>
        <v>4C6DA97E-8091-41CA-B99C-4250D2678005</v>
      </c>
      <c r="E20" s="3" t="str">
        <f>EdgesData[[#This Row],[Rel]]</f>
        <v>is</v>
      </c>
      <c r="F20" s="25" t="str" cm="1">
        <f t="array" ref="F20">IF(EdgesJSON[[#This Row],[Export?]]=0,"",IF(ROW(EdgesJSON[[#This Row],[id]])&gt;ROW(EdgesJSON[[#Headers],[JSON]])+1,",","") &amp;"{"&amp;twoRangesToJSON(EdgesJSON[[#Headers],[id]:[label]],EdgesJSON[[#This Row],[id]:[label]])&amp;"}")</f>
        <v>,{"id":"462DDE67-7793-438D-A9E1-E040880F0CBB","from":"C92DDCBA-ED8B-4196-A9FF-C96029349FAC","to":"4C6DA97E-8091-41CA-B99C-4250D2678005","label":"is"}</v>
      </c>
    </row>
    <row r="21" spans="1:6" ht="13.9" thickTop="1" thickBot="1" x14ac:dyDescent="0.4">
      <c r="A21" s="38">
        <f>IF(ISERR(EdgesJSON[[#This Row],[id]]),0,1)</f>
        <v>1</v>
      </c>
      <c r="B21" s="21" t="str">
        <f>EdgesData[[#This Row],[Edge ID]]</f>
        <v>9147DA1B-716C-4370-8349-27B0C4D8E137</v>
      </c>
      <c r="C21" s="21" t="str">
        <f>EdgesData[[#This Row],[Node A ID]]</f>
        <v>C92DDCBA-ED8B-4196-A9FF-C96029349FAC</v>
      </c>
      <c r="D21" s="21" t="str">
        <f>EdgesData[[#This Row],[Node B ID]]</f>
        <v>A2967417-72BE-4537-BE1E-39E6298F5851</v>
      </c>
      <c r="E21" s="3" t="str">
        <f>EdgesData[[#This Row],[Rel]]</f>
        <v>is</v>
      </c>
      <c r="F21" s="25" t="str" cm="1">
        <f t="array" ref="F21">IF(EdgesJSON[[#This Row],[Export?]]=0,"",IF(ROW(EdgesJSON[[#This Row],[id]])&gt;ROW(EdgesJSON[[#Headers],[JSON]])+1,",","") &amp;"{"&amp;twoRangesToJSON(EdgesJSON[[#Headers],[id]:[label]],EdgesJSON[[#This Row],[id]:[label]])&amp;"}")</f>
        <v>,{"id":"9147DA1B-716C-4370-8349-27B0C4D8E137","from":"C92DDCBA-ED8B-4196-A9FF-C96029349FAC","to":"A2967417-72BE-4537-BE1E-39E6298F5851","label":"is"}</v>
      </c>
    </row>
    <row r="22" spans="1:6" ht="13.9" thickTop="1" thickBot="1" x14ac:dyDescent="0.4">
      <c r="A22" s="38">
        <f>IF(ISERR(EdgesJSON[[#This Row],[id]]),0,1)</f>
        <v>1</v>
      </c>
      <c r="B22" s="21" t="str">
        <f>EdgesData[[#This Row],[Edge ID]]</f>
        <v>07EB776F-7AFB-4196-BAAD-1955983C37AE</v>
      </c>
      <c r="C22" s="21" t="str">
        <f>EdgesData[[#This Row],[Node A ID]]</f>
        <v>257D3082-7AF3-4464-9C5B-77B2D083B427</v>
      </c>
      <c r="D22" s="21" t="str">
        <f>EdgesData[[#This Row],[Node B ID]]</f>
        <v>A42E7343-FA4C-490A-A0A3-7F65FB188771</v>
      </c>
      <c r="E22" s="3" t="str">
        <f>EdgesData[[#This Row],[Rel]]</f>
        <v>is</v>
      </c>
      <c r="F22" s="25" t="str" cm="1">
        <f t="array" ref="F22">IF(EdgesJSON[[#This Row],[Export?]]=0,"",IF(ROW(EdgesJSON[[#This Row],[id]])&gt;ROW(EdgesJSON[[#Headers],[JSON]])+1,",","") &amp;"{"&amp;twoRangesToJSON(EdgesJSON[[#Headers],[id]:[label]],EdgesJSON[[#This Row],[id]:[label]])&amp;"}")</f>
        <v>,{"id":"07EB776F-7AFB-4196-BAAD-1955983C37AE","from":"257D3082-7AF3-4464-9C5B-77B2D083B427","to":"A42E7343-FA4C-490A-A0A3-7F65FB188771","label":"is"}</v>
      </c>
    </row>
    <row r="23" spans="1:6" ht="13.9" thickTop="1" thickBot="1" x14ac:dyDescent="0.4">
      <c r="A23" s="38">
        <f>IF(ISERR(EdgesJSON[[#This Row],[id]]),0,1)</f>
        <v>1</v>
      </c>
      <c r="B23" s="21" t="str">
        <f>EdgesData[[#This Row],[Edge ID]]</f>
        <v>9182F971-C8EF-4CE0-9C9B-2CA31842BEE1</v>
      </c>
      <c r="C23" s="21" t="str">
        <f>EdgesData[[#This Row],[Node A ID]]</f>
        <v>BDF3CB39-431D-478C-A651-EBA1666F91C1</v>
      </c>
      <c r="D23" s="21" t="str">
        <f>EdgesData[[#This Row],[Node B ID]]</f>
        <v>4C6DA97E-8091-41CA-B99C-4250D2678005</v>
      </c>
      <c r="E23" s="3" t="str">
        <f>EdgesData[[#This Row],[Rel]]</f>
        <v>is</v>
      </c>
      <c r="F23" s="25" t="str" cm="1">
        <f t="array" ref="F23">IF(EdgesJSON[[#This Row],[Export?]]=0,"",IF(ROW(EdgesJSON[[#This Row],[id]])&gt;ROW(EdgesJSON[[#Headers],[JSON]])+1,",","") &amp;"{"&amp;twoRangesToJSON(EdgesJSON[[#Headers],[id]:[label]],EdgesJSON[[#This Row],[id]:[label]])&amp;"}")</f>
        <v>,{"id":"9182F971-C8EF-4CE0-9C9B-2CA31842BEE1","from":"BDF3CB39-431D-478C-A651-EBA1666F91C1","to":"4C6DA97E-8091-41CA-B99C-4250D2678005","label":"is"}</v>
      </c>
    </row>
    <row r="24" spans="1:6" ht="13.9" thickTop="1" thickBot="1" x14ac:dyDescent="0.4">
      <c r="A24" s="38">
        <f>IF(ISERR(EdgesJSON[[#This Row],[id]]),0,1)</f>
        <v>1</v>
      </c>
      <c r="B24" s="21" t="str">
        <f>EdgesData[[#This Row],[Edge ID]]</f>
        <v>911F0665-DDA1-4886-817D-F259148022CA</v>
      </c>
      <c r="C24" s="21" t="str">
        <f>EdgesData[[#This Row],[Node A ID]]</f>
        <v>BDF3CB39-431D-478C-A651-EBA1666F91C1</v>
      </c>
      <c r="D24" s="21" t="str">
        <f>EdgesData[[#This Row],[Node B ID]]</f>
        <v>A2967417-72BE-4537-BE1E-39E6298F5851</v>
      </c>
      <c r="E24" s="3" t="str">
        <f>EdgesData[[#This Row],[Rel]]</f>
        <v>is</v>
      </c>
      <c r="F24" s="25" t="str" cm="1">
        <f t="array" ref="F24">IF(EdgesJSON[[#This Row],[Export?]]=0,"",IF(ROW(EdgesJSON[[#This Row],[id]])&gt;ROW(EdgesJSON[[#Headers],[JSON]])+1,",","") &amp;"{"&amp;twoRangesToJSON(EdgesJSON[[#Headers],[id]:[label]],EdgesJSON[[#This Row],[id]:[label]])&amp;"}")</f>
        <v>,{"id":"911F0665-DDA1-4886-817D-F259148022CA","from":"BDF3CB39-431D-478C-A651-EBA1666F91C1","to":"A2967417-72BE-4537-BE1E-39E6298F5851","label":"is"}</v>
      </c>
    </row>
    <row r="25" spans="1:6" ht="13.9" thickTop="1" thickBot="1" x14ac:dyDescent="0.4">
      <c r="A25" s="38">
        <f>IF(ISERR(EdgesJSON[[#This Row],[id]]),0,1)</f>
        <v>1</v>
      </c>
      <c r="B25" s="21" t="str">
        <f>EdgesData[[#This Row],[Edge ID]]</f>
        <v>C7F4F378-9012-44FD-9610-142E7055C553</v>
      </c>
      <c r="C25" s="21" t="str">
        <f>EdgesData[[#This Row],[Node A ID]]</f>
        <v>37CD23D4-9BFD-4A88-8D2B-CA84CE4FB78F</v>
      </c>
      <c r="D25" s="21" t="str">
        <f>EdgesData[[#This Row],[Node B ID]]</f>
        <v>DB652713-5948-4322-8567-E5F6CB0440E8</v>
      </c>
      <c r="E25" s="3" t="str">
        <f>EdgesData[[#This Row],[Rel]]</f>
        <v>is</v>
      </c>
      <c r="F25" s="25" t="str" cm="1">
        <f t="array" ref="F25">IF(EdgesJSON[[#This Row],[Export?]]=0,"",IF(ROW(EdgesJSON[[#This Row],[id]])&gt;ROW(EdgesJSON[[#Headers],[JSON]])+1,",","") &amp;"{"&amp;twoRangesToJSON(EdgesJSON[[#Headers],[id]:[label]],EdgesJSON[[#This Row],[id]:[label]])&amp;"}")</f>
        <v>,{"id":"C7F4F378-9012-44FD-9610-142E7055C553","from":"37CD23D4-9BFD-4A88-8D2B-CA84CE4FB78F","to":"DB652713-5948-4322-8567-E5F6CB0440E8","label":"is"}</v>
      </c>
    </row>
    <row r="26" spans="1:6" ht="13.9" thickTop="1" thickBot="1" x14ac:dyDescent="0.4">
      <c r="A26" s="38">
        <f>IF(ISERR(EdgesJSON[[#This Row],[id]]),0,1)</f>
        <v>1</v>
      </c>
      <c r="B26" s="21" t="str">
        <f>EdgesData[[#This Row],[Edge ID]]</f>
        <v>379247CB-D303-4299-B095-6BA06E3655B7</v>
      </c>
      <c r="C26" s="21" t="str">
        <f>EdgesData[[#This Row],[Node A ID]]</f>
        <v>5660B6DD-121E-4173-A110-7A4D00B3AB6A</v>
      </c>
      <c r="D26" s="21" t="str">
        <f>EdgesData[[#This Row],[Node B ID]]</f>
        <v>DB652713-5948-4322-8567-E5F6CB0440E8</v>
      </c>
      <c r="E26" s="3" t="str">
        <f>EdgesData[[#This Row],[Rel]]</f>
        <v>is</v>
      </c>
      <c r="F26" s="25" t="str" cm="1">
        <f t="array" ref="F26">IF(EdgesJSON[[#This Row],[Export?]]=0,"",IF(ROW(EdgesJSON[[#This Row],[id]])&gt;ROW(EdgesJSON[[#Headers],[JSON]])+1,",","") &amp;"{"&amp;twoRangesToJSON(EdgesJSON[[#Headers],[id]:[label]],EdgesJSON[[#This Row],[id]:[label]])&amp;"}")</f>
        <v>,{"id":"379247CB-D303-4299-B095-6BA06E3655B7","from":"5660B6DD-121E-4173-A110-7A4D00B3AB6A","to":"DB652713-5948-4322-8567-E5F6CB0440E8","label":"is"}</v>
      </c>
    </row>
    <row r="27" spans="1:6" ht="13.9" thickTop="1" thickBot="1" x14ac:dyDescent="0.4">
      <c r="A27" s="38">
        <f>IF(ISERR(EdgesJSON[[#This Row],[id]]),0,1)</f>
        <v>1</v>
      </c>
      <c r="B27" s="21" t="str">
        <f>EdgesData[[#This Row],[Edge ID]]</f>
        <v>58516742-BDFB-4911-B546-C69551E8F832</v>
      </c>
      <c r="C27" s="21" t="str">
        <f>EdgesData[[#This Row],[Node A ID]]</f>
        <v>A4106055-17BD-4640-8746-5471A26FF444</v>
      </c>
      <c r="D27" s="21" t="str">
        <f>EdgesData[[#This Row],[Node B ID]]</f>
        <v>DB652713-5948-4322-8567-E5F6CB0440E8</v>
      </c>
      <c r="E27" s="3" t="str">
        <f>EdgesData[[#This Row],[Rel]]</f>
        <v>composed of</v>
      </c>
      <c r="F27" s="25" t="str" cm="1">
        <f t="array" ref="F27">IF(EdgesJSON[[#This Row],[Export?]]=0,"",IF(ROW(EdgesJSON[[#This Row],[id]])&gt;ROW(EdgesJSON[[#Headers],[JSON]])+1,",","") &amp;"{"&amp;twoRangesToJSON(EdgesJSON[[#Headers],[id]:[label]],EdgesJSON[[#This Row],[id]:[label]])&amp;"}")</f>
        <v>,{"id":"58516742-BDFB-4911-B546-C69551E8F832","from":"A4106055-17BD-4640-8746-5471A26FF444","to":"DB652713-5948-4322-8567-E5F6CB0440E8","label":"composed of"}</v>
      </c>
    </row>
    <row r="28" spans="1:6" ht="13.9" thickTop="1" thickBot="1" x14ac:dyDescent="0.4">
      <c r="A28" s="38">
        <f>IF(ISERR(EdgesJSON[[#This Row],[id]]),0,1)</f>
        <v>1</v>
      </c>
      <c r="B28" s="21" t="str">
        <f>EdgesData[[#This Row],[Edge ID]]</f>
        <v>3F35EE72-EF26-40E6-AD83-E3EFFFBE8004</v>
      </c>
      <c r="C28" s="21" t="str">
        <f>EdgesData[[#This Row],[Node A ID]]</f>
        <v>A4106055-17BD-4640-8746-5471A26FF444</v>
      </c>
      <c r="D28" s="21" t="str">
        <f>EdgesData[[#This Row],[Node B ID]]</f>
        <v>F6A0BA1D-4EAD-44AE-BB90-AAFC98899178</v>
      </c>
      <c r="E28" s="3" t="str">
        <f>EdgesData[[#This Row],[Rel]]</f>
        <v>may have</v>
      </c>
      <c r="F28" s="25" t="str" cm="1">
        <f t="array" ref="F28">IF(EdgesJSON[[#This Row],[Export?]]=0,"",IF(ROW(EdgesJSON[[#This Row],[id]])&gt;ROW(EdgesJSON[[#Headers],[JSON]])+1,",","") &amp;"{"&amp;twoRangesToJSON(EdgesJSON[[#Headers],[id]:[label]],EdgesJSON[[#This Row],[id]:[label]])&amp;"}")</f>
        <v>,{"id":"3F35EE72-EF26-40E6-AD83-E3EFFFBE8004","from":"A4106055-17BD-4640-8746-5471A26FF444","to":"F6A0BA1D-4EAD-44AE-BB90-AAFC98899178","label":"may have"}</v>
      </c>
    </row>
    <row r="29" spans="1:6" ht="13.9" thickTop="1" thickBot="1" x14ac:dyDescent="0.4">
      <c r="A29" s="38">
        <f>IF(ISERR(EdgesJSON[[#This Row],[id]]),0,1)</f>
        <v>1</v>
      </c>
      <c r="B29" s="21" t="str">
        <f>EdgesData[[#This Row],[Edge ID]]</f>
        <v>EFC19BFA-E154-4290-BE90-38868BCFF62F</v>
      </c>
      <c r="C29" s="21" t="str">
        <f>EdgesData[[#This Row],[Node A ID]]</f>
        <v>A4106055-17BD-4640-8746-5471A26FF444</v>
      </c>
      <c r="D29" s="21" t="str">
        <f>EdgesData[[#This Row],[Node B ID]]</f>
        <v>AFFF4DF7-5DE7-4EC2-B059-59963A26A6BD</v>
      </c>
      <c r="E29" s="3" t="str">
        <f>EdgesData[[#This Row],[Rel]]</f>
        <v>may have</v>
      </c>
      <c r="F29" s="25" t="str" cm="1">
        <f t="array" ref="F29">IF(EdgesJSON[[#This Row],[Export?]]=0,"",IF(ROW(EdgesJSON[[#This Row],[id]])&gt;ROW(EdgesJSON[[#Headers],[JSON]])+1,",","") &amp;"{"&amp;twoRangesToJSON(EdgesJSON[[#Headers],[id]:[label]],EdgesJSON[[#This Row],[id]:[label]])&amp;"}")</f>
        <v>,{"id":"EFC19BFA-E154-4290-BE90-38868BCFF62F","from":"A4106055-17BD-4640-8746-5471A26FF444","to":"AFFF4DF7-5DE7-4EC2-B059-59963A26A6BD","label":"may have"}</v>
      </c>
    </row>
    <row r="30" spans="1:6" ht="13.9" thickTop="1" thickBot="1" x14ac:dyDescent="0.4">
      <c r="A30" s="38">
        <f>IF(ISERR(EdgesJSON[[#This Row],[id]]),0,1)</f>
        <v>1</v>
      </c>
      <c r="B30" s="21" t="str">
        <f>EdgesData[[#This Row],[Edge ID]]</f>
        <v>C131A76E-DF02-4483-9E69-C20F8B04EC83</v>
      </c>
      <c r="C30" s="21" t="str">
        <f>EdgesData[[#This Row],[Node A ID]]</f>
        <v>A4106055-17BD-4640-8746-5471A26FF444</v>
      </c>
      <c r="D30" s="21" t="str">
        <f>EdgesData[[#This Row],[Node B ID]]</f>
        <v>4414B2C4-B1F0-4BE8-A1D2-264AE3500755</v>
      </c>
      <c r="E30" s="3" t="str">
        <f>EdgesData[[#This Row],[Rel]]</f>
        <v>may have</v>
      </c>
      <c r="F30" s="25" t="str" cm="1">
        <f t="array" ref="F30">IF(EdgesJSON[[#This Row],[Export?]]=0,"",IF(ROW(EdgesJSON[[#This Row],[id]])&gt;ROW(EdgesJSON[[#Headers],[JSON]])+1,",","") &amp;"{"&amp;twoRangesToJSON(EdgesJSON[[#Headers],[id]:[label]],EdgesJSON[[#This Row],[id]:[label]])&amp;"}")</f>
        <v>,{"id":"C131A76E-DF02-4483-9E69-C20F8B04EC83","from":"A4106055-17BD-4640-8746-5471A26FF444","to":"4414B2C4-B1F0-4BE8-A1D2-264AE3500755","label":"may have"}</v>
      </c>
    </row>
    <row r="31" spans="1:6" ht="13.9" thickTop="1" thickBot="1" x14ac:dyDescent="0.4">
      <c r="A31" s="38">
        <f>IF(ISERR(EdgesJSON[[#This Row],[id]]),0,1)</f>
        <v>1</v>
      </c>
      <c r="B31" s="21" t="str">
        <f>EdgesData[[#This Row],[Edge ID]]</f>
        <v>286BD24E-847D-46DE-921B-06993F9B7479</v>
      </c>
      <c r="C31" s="21" t="str">
        <f>EdgesData[[#This Row],[Node A ID]]</f>
        <v>A4106055-17BD-4640-8746-5471A26FF444</v>
      </c>
      <c r="D31" s="21" t="str">
        <f>EdgesData[[#This Row],[Node B ID]]</f>
        <v>CBC6B9A3-AA38-40D4-865C-53E8DB7037F3</v>
      </c>
      <c r="E31" s="3" t="str">
        <f>EdgesData[[#This Row],[Rel]]</f>
        <v>may have</v>
      </c>
      <c r="F31" s="25" t="str" cm="1">
        <f t="array" ref="F31">IF(EdgesJSON[[#This Row],[Export?]]=0,"",IF(ROW(EdgesJSON[[#This Row],[id]])&gt;ROW(EdgesJSON[[#Headers],[JSON]])+1,",","") &amp;"{"&amp;twoRangesToJSON(EdgesJSON[[#Headers],[id]:[label]],EdgesJSON[[#This Row],[id]:[label]])&amp;"}")</f>
        <v>,{"id":"286BD24E-847D-46DE-921B-06993F9B7479","from":"A4106055-17BD-4640-8746-5471A26FF444","to":"CBC6B9A3-AA38-40D4-865C-53E8DB7037F3","label":"may have"}</v>
      </c>
    </row>
    <row r="32" spans="1:6" ht="13.9" thickTop="1" thickBot="1" x14ac:dyDescent="0.4">
      <c r="A32" s="38">
        <f>IF(ISERR(EdgesJSON[[#This Row],[id]]),0,1)</f>
        <v>1</v>
      </c>
      <c r="B32" s="21" t="str">
        <f>EdgesData[[#This Row],[Edge ID]]</f>
        <v>F4D85694-D77C-4730-8767-17ABDC889E3A</v>
      </c>
      <c r="C32" s="21" t="str">
        <f>EdgesData[[#This Row],[Node A ID]]</f>
        <v>A4106055-17BD-4640-8746-5471A26FF444</v>
      </c>
      <c r="D32" s="21" t="str">
        <f>EdgesData[[#This Row],[Node B ID]]</f>
        <v>8A66FDF6-25FA-4400-8F76-04907B9F7088</v>
      </c>
      <c r="E32" s="3" t="str">
        <f>EdgesData[[#This Row],[Rel]]</f>
        <v>regarded as</v>
      </c>
      <c r="F32" s="25" t="str" cm="1">
        <f t="array" ref="F32">IF(EdgesJSON[[#This Row],[Export?]]=0,"",IF(ROW(EdgesJSON[[#This Row],[id]])&gt;ROW(EdgesJSON[[#Headers],[JSON]])+1,",","") &amp;"{"&amp;twoRangesToJSON(EdgesJSON[[#Headers],[id]:[label]],EdgesJSON[[#This Row],[id]:[label]])&amp;"}")</f>
        <v>,{"id":"F4D85694-D77C-4730-8767-17ABDC889E3A","from":"A4106055-17BD-4640-8746-5471A26FF444","to":"8A66FDF6-25FA-4400-8F76-04907B9F7088","label":"regarded as"}</v>
      </c>
    </row>
    <row r="33" spans="1:6" ht="13.9" thickTop="1" thickBot="1" x14ac:dyDescent="0.4">
      <c r="A33" s="38">
        <f>IF(ISERR(EdgesJSON[[#This Row],[id]]),0,1)</f>
        <v>1</v>
      </c>
      <c r="B33" s="21" t="str">
        <f>EdgesData[[#This Row],[Edge ID]]</f>
        <v>183E600D-FA04-4EAB-BE8D-963FFB82D6B7</v>
      </c>
      <c r="C33" s="21" t="str">
        <f>EdgesData[[#This Row],[Node A ID]]</f>
        <v>824C4DE1-CB45-4357-8D71-3D7A9B20A1FE</v>
      </c>
      <c r="D33" s="21" t="str">
        <f>EdgesData[[#This Row],[Node B ID]]</f>
        <v>B5825B69-4900-43C0-A761-B839CC2A150A</v>
      </c>
      <c r="E33" s="3" t="str">
        <f>EdgesData[[#This Row],[Rel]]</f>
        <v>synonym for</v>
      </c>
      <c r="F33" s="25" t="str" cm="1">
        <f t="array" ref="F33">IF(EdgesJSON[[#This Row],[Export?]]=0,"",IF(ROW(EdgesJSON[[#This Row],[id]])&gt;ROW(EdgesJSON[[#Headers],[JSON]])+1,",","") &amp;"{"&amp;twoRangesToJSON(EdgesJSON[[#Headers],[id]:[label]],EdgesJSON[[#This Row],[id]:[label]])&amp;"}")</f>
        <v>,{"id":"183E600D-FA04-4EAB-BE8D-963FFB82D6B7","from":"824C4DE1-CB45-4357-8D71-3D7A9B20A1FE","to":"B5825B69-4900-43C0-A761-B839CC2A150A","label":"synonym for"}</v>
      </c>
    </row>
    <row r="34" spans="1:6" ht="13.9" thickTop="1" thickBot="1" x14ac:dyDescent="0.4">
      <c r="A34" s="38">
        <f>IF(ISERR(EdgesJSON[[#This Row],[id]]),0,1)</f>
        <v>1</v>
      </c>
      <c r="B34" s="21" t="str">
        <f>EdgesData[[#This Row],[Edge ID]]</f>
        <v>48FA3CD3-D310-4F93-865D-83C3BCA9AC85</v>
      </c>
      <c r="C34" s="21" t="str">
        <f>EdgesData[[#This Row],[Node A ID]]</f>
        <v>824C4DE1-CB45-4357-8D71-3D7A9B20A1FE</v>
      </c>
      <c r="D34" s="21" t="str">
        <f>EdgesData[[#This Row],[Node B ID]]</f>
        <v>4C6DA97E-8091-41CA-B99C-4250D2678005</v>
      </c>
      <c r="E34" s="3" t="str">
        <f>EdgesData[[#This Row],[Rel]]</f>
        <v>is</v>
      </c>
      <c r="F34" s="25" t="str" cm="1">
        <f t="array" ref="F34">IF(EdgesJSON[[#This Row],[Export?]]=0,"",IF(ROW(EdgesJSON[[#This Row],[id]])&gt;ROW(EdgesJSON[[#Headers],[JSON]])+1,",","") &amp;"{"&amp;twoRangesToJSON(EdgesJSON[[#Headers],[id]:[label]],EdgesJSON[[#This Row],[id]:[label]])&amp;"}")</f>
        <v>,{"id":"48FA3CD3-D310-4F93-865D-83C3BCA9AC85","from":"824C4DE1-CB45-4357-8D71-3D7A9B20A1FE","to":"4C6DA97E-8091-41CA-B99C-4250D2678005","label":"is"}</v>
      </c>
    </row>
    <row r="35" spans="1:6" ht="13.9" thickTop="1" thickBot="1" x14ac:dyDescent="0.4">
      <c r="A35" s="38">
        <f>IF(ISERR(EdgesJSON[[#This Row],[id]]),0,1)</f>
        <v>1</v>
      </c>
      <c r="B35" s="21" t="str">
        <f>EdgesData[[#This Row],[Edge ID]]</f>
        <v>BCCC560D-DE6C-4081-BD37-3A1F300DF47D</v>
      </c>
      <c r="C35" s="21" t="str">
        <f>EdgesData[[#This Row],[Node A ID]]</f>
        <v>824C4DE1-CB45-4357-8D71-3D7A9B20A1FE</v>
      </c>
      <c r="D35" s="21" t="str">
        <f>EdgesData[[#This Row],[Node B ID]]</f>
        <v>A2967417-72BE-4537-BE1E-39E6298F5851</v>
      </c>
      <c r="E35" s="3" t="str">
        <f>EdgesData[[#This Row],[Rel]]</f>
        <v>is</v>
      </c>
      <c r="F35" s="25" t="str" cm="1">
        <f t="array" ref="F35">IF(EdgesJSON[[#This Row],[Export?]]=0,"",IF(ROW(EdgesJSON[[#This Row],[id]])&gt;ROW(EdgesJSON[[#Headers],[JSON]])+1,",","") &amp;"{"&amp;twoRangesToJSON(EdgesJSON[[#Headers],[id]:[label]],EdgesJSON[[#This Row],[id]:[label]])&amp;"}")</f>
        <v>,{"id":"BCCC560D-DE6C-4081-BD37-3A1F300DF47D","from":"824C4DE1-CB45-4357-8D71-3D7A9B20A1FE","to":"A2967417-72BE-4537-BE1E-39E6298F5851","label":"is"}</v>
      </c>
    </row>
    <row r="36" spans="1:6" ht="13.9" thickTop="1" thickBot="1" x14ac:dyDescent="0.4">
      <c r="A36" s="38">
        <f>IF(ISERR(EdgesJSON[[#This Row],[id]]),0,1)</f>
        <v>1</v>
      </c>
      <c r="B36" s="21" t="str">
        <f>EdgesData[[#This Row],[Edge ID]]</f>
        <v>232EBB4F-218B-4CF6-AE54-1EEC03F10FA7</v>
      </c>
      <c r="C36" s="21" t="str">
        <f>EdgesData[[#This Row],[Node A ID]]</f>
        <v>8F045301-B949-47A7-B850-24BF7725F524</v>
      </c>
      <c r="D36" s="21" t="str">
        <f>EdgesData[[#This Row],[Node B ID]]</f>
        <v>A42E7343-FA4C-490A-A0A3-7F65FB188771</v>
      </c>
      <c r="E36" s="3" t="str">
        <f>EdgesData[[#This Row],[Rel]]</f>
        <v>is</v>
      </c>
      <c r="F36" s="25" t="str" cm="1">
        <f t="array" ref="F36">IF(EdgesJSON[[#This Row],[Export?]]=0,"",IF(ROW(EdgesJSON[[#This Row],[id]])&gt;ROW(EdgesJSON[[#Headers],[JSON]])+1,",","") &amp;"{"&amp;twoRangesToJSON(EdgesJSON[[#Headers],[id]:[label]],EdgesJSON[[#This Row],[id]:[label]])&amp;"}")</f>
        <v>,{"id":"232EBB4F-218B-4CF6-AE54-1EEC03F10FA7","from":"8F045301-B949-47A7-B850-24BF7725F524","to":"A42E7343-FA4C-490A-A0A3-7F65FB188771","label":"is"}</v>
      </c>
    </row>
    <row r="37" spans="1:6" ht="13.9" thickTop="1" thickBot="1" x14ac:dyDescent="0.4">
      <c r="A37" s="38">
        <f>IF(ISERR(EdgesJSON[[#This Row],[id]]),0,1)</f>
        <v>1</v>
      </c>
      <c r="B37" s="21" t="str">
        <f>EdgesData[[#This Row],[Edge ID]]</f>
        <v>5C72756F-3320-43EA-88E5-138048851A00</v>
      </c>
      <c r="C37" s="21" t="str">
        <f>EdgesData[[#This Row],[Node A ID]]</f>
        <v>935B2B66-22E7-4674-9564-5B7FE10D4526</v>
      </c>
      <c r="D37" s="21" t="str">
        <f>EdgesData[[#This Row],[Node B ID]]</f>
        <v>4C6DA97E-8091-41CA-B99C-4250D2678005</v>
      </c>
      <c r="E37" s="3" t="str">
        <f>EdgesData[[#This Row],[Rel]]</f>
        <v>is</v>
      </c>
      <c r="F37" s="25" t="str" cm="1">
        <f t="array" ref="F37">IF(EdgesJSON[[#This Row],[Export?]]=0,"",IF(ROW(EdgesJSON[[#This Row],[id]])&gt;ROW(EdgesJSON[[#Headers],[JSON]])+1,",","") &amp;"{"&amp;twoRangesToJSON(EdgesJSON[[#Headers],[id]:[label]],EdgesJSON[[#This Row],[id]:[label]])&amp;"}")</f>
        <v>,{"id":"5C72756F-3320-43EA-88E5-138048851A00","from":"935B2B66-22E7-4674-9564-5B7FE10D4526","to":"4C6DA97E-8091-41CA-B99C-4250D2678005","label":"is"}</v>
      </c>
    </row>
    <row r="38" spans="1:6" ht="13.9" thickTop="1" thickBot="1" x14ac:dyDescent="0.4">
      <c r="A38" s="38">
        <f>IF(ISERR(EdgesJSON[[#This Row],[id]]),0,1)</f>
        <v>1</v>
      </c>
      <c r="B38" s="21" t="str">
        <f>EdgesData[[#This Row],[Edge ID]]</f>
        <v>8FA8BA60-4F2A-4BFD-A297-E4053CB17D73</v>
      </c>
      <c r="C38" s="21" t="str">
        <f>EdgesData[[#This Row],[Node A ID]]</f>
        <v>935B2B66-22E7-4674-9564-5B7FE10D4526</v>
      </c>
      <c r="D38" s="21" t="str">
        <f>EdgesData[[#This Row],[Node B ID]]</f>
        <v>A2967417-72BE-4537-BE1E-39E6298F5851</v>
      </c>
      <c r="E38" s="3" t="str">
        <f>EdgesData[[#This Row],[Rel]]</f>
        <v>is</v>
      </c>
      <c r="F38" s="25" t="str" cm="1">
        <f t="array" ref="F38">IF(EdgesJSON[[#This Row],[Export?]]=0,"",IF(ROW(EdgesJSON[[#This Row],[id]])&gt;ROW(EdgesJSON[[#Headers],[JSON]])+1,",","") &amp;"{"&amp;twoRangesToJSON(EdgesJSON[[#Headers],[id]:[label]],EdgesJSON[[#This Row],[id]:[label]])&amp;"}")</f>
        <v>,{"id":"8FA8BA60-4F2A-4BFD-A297-E4053CB17D73","from":"935B2B66-22E7-4674-9564-5B7FE10D4526","to":"A2967417-72BE-4537-BE1E-39E6298F5851","label":"is"}</v>
      </c>
    </row>
    <row r="39" spans="1:6" ht="13.9" thickTop="1" thickBot="1" x14ac:dyDescent="0.4">
      <c r="A39" s="38">
        <f>IF(ISERR(EdgesJSON[[#This Row],[id]]),0,1)</f>
        <v>1</v>
      </c>
      <c r="B39" s="21" t="str">
        <f>EdgesData[[#This Row],[Edge ID]]</f>
        <v>43895014-FE0C-4117-87D5-FBF8AAF56D63</v>
      </c>
      <c r="C39" s="21" t="str">
        <f>EdgesData[[#This Row],[Node A ID]]</f>
        <v>1D786316-F897-4DFF-8B41-5E1E1572959A</v>
      </c>
      <c r="D39" s="21" t="str">
        <f>EdgesData[[#This Row],[Node B ID]]</f>
        <v>A42E7343-FA4C-490A-A0A3-7F65FB188771</v>
      </c>
      <c r="E39" s="3" t="str">
        <f>EdgesData[[#This Row],[Rel]]</f>
        <v>is</v>
      </c>
      <c r="F39" s="25" t="str" cm="1">
        <f t="array" ref="F39">IF(EdgesJSON[[#This Row],[Export?]]=0,"",IF(ROW(EdgesJSON[[#This Row],[id]])&gt;ROW(EdgesJSON[[#Headers],[JSON]])+1,",","") &amp;"{"&amp;twoRangesToJSON(EdgesJSON[[#Headers],[id]:[label]],EdgesJSON[[#This Row],[id]:[label]])&amp;"}")</f>
        <v>,{"id":"43895014-FE0C-4117-87D5-FBF8AAF56D63","from":"1D786316-F897-4DFF-8B41-5E1E1572959A","to":"A42E7343-FA4C-490A-A0A3-7F65FB188771","label":"is"}</v>
      </c>
    </row>
    <row r="40" spans="1:6" ht="13.9" thickTop="1" thickBot="1" x14ac:dyDescent="0.4">
      <c r="A40" s="38">
        <f>IF(ISERR(EdgesJSON[[#This Row],[id]]),0,1)</f>
        <v>1</v>
      </c>
      <c r="B40" s="21" t="str">
        <f>EdgesData[[#This Row],[Edge ID]]</f>
        <v>8A776D00-32D8-4078-8B34-F55068F0FD47</v>
      </c>
      <c r="C40" s="21" t="str">
        <f>EdgesData[[#This Row],[Node A ID]]</f>
        <v>BFC2B385-EAA5-409A-8F21-E3B07033449A</v>
      </c>
      <c r="D40" s="21" t="str">
        <f>EdgesData[[#This Row],[Node B ID]]</f>
        <v>4C6DA97E-8091-41CA-B99C-4250D2678005</v>
      </c>
      <c r="E40" s="3" t="str">
        <f>EdgesData[[#This Row],[Rel]]</f>
        <v>is</v>
      </c>
      <c r="F40" s="25" t="str" cm="1">
        <f t="array" ref="F40">IF(EdgesJSON[[#This Row],[Export?]]=0,"",IF(ROW(EdgesJSON[[#This Row],[id]])&gt;ROW(EdgesJSON[[#Headers],[JSON]])+1,",","") &amp;"{"&amp;twoRangesToJSON(EdgesJSON[[#Headers],[id]:[label]],EdgesJSON[[#This Row],[id]:[label]])&amp;"}")</f>
        <v>,{"id":"8A776D00-32D8-4078-8B34-F55068F0FD47","from":"BFC2B385-EAA5-409A-8F21-E3B07033449A","to":"4C6DA97E-8091-41CA-B99C-4250D2678005","label":"is"}</v>
      </c>
    </row>
    <row r="41" spans="1:6" ht="13.9" thickTop="1" thickBot="1" x14ac:dyDescent="0.4">
      <c r="A41" s="38">
        <f>IF(ISERR(EdgesJSON[[#This Row],[id]]),0,1)</f>
        <v>1</v>
      </c>
      <c r="B41" s="21" t="str">
        <f>EdgesData[[#This Row],[Edge ID]]</f>
        <v>B292E7B1-1707-4B0B-BBE7-605D19444883</v>
      </c>
      <c r="C41" s="21" t="str">
        <f>EdgesData[[#This Row],[Node A ID]]</f>
        <v>BFC2B385-EAA5-409A-8F21-E3B07033449A</v>
      </c>
      <c r="D41" s="21" t="str">
        <f>EdgesData[[#This Row],[Node B ID]]</f>
        <v>A2967417-72BE-4537-BE1E-39E6298F5851</v>
      </c>
      <c r="E41" s="3" t="str">
        <f>EdgesData[[#This Row],[Rel]]</f>
        <v>is</v>
      </c>
      <c r="F41" s="25" t="str" cm="1">
        <f t="array" ref="F41">IF(EdgesJSON[[#This Row],[Export?]]=0,"",IF(ROW(EdgesJSON[[#This Row],[id]])&gt;ROW(EdgesJSON[[#Headers],[JSON]])+1,",","") &amp;"{"&amp;twoRangesToJSON(EdgesJSON[[#Headers],[id]:[label]],EdgesJSON[[#This Row],[id]:[label]])&amp;"}")</f>
        <v>,{"id":"B292E7B1-1707-4B0B-BBE7-605D19444883","from":"BFC2B385-EAA5-409A-8F21-E3B07033449A","to":"A2967417-72BE-4537-BE1E-39E6298F5851","label":"is"}</v>
      </c>
    </row>
    <row r="42" spans="1:6" ht="13.9" thickTop="1" thickBot="1" x14ac:dyDescent="0.4">
      <c r="A42" s="38">
        <f>IF(ISERR(EdgesJSON[[#This Row],[id]]),0,1)</f>
        <v>1</v>
      </c>
      <c r="B42" s="21" t="str">
        <f>EdgesData[[#This Row],[Edge ID]]</f>
        <v>33065C30-A3B9-4D0D-B5CC-ED8D767FBEC1</v>
      </c>
      <c r="C42" s="21" t="str">
        <f>EdgesData[[#This Row],[Node A ID]]</f>
        <v>087C6620-F50C-4D7E-B3DF-516DA675DD50</v>
      </c>
      <c r="D42" s="21" t="str">
        <f>EdgesData[[#This Row],[Node B ID]]</f>
        <v>4C6DA97E-8091-41CA-B99C-4250D2678005</v>
      </c>
      <c r="E42" s="3" t="str">
        <f>EdgesData[[#This Row],[Rel]]</f>
        <v>is</v>
      </c>
      <c r="F42" s="25" t="str" cm="1">
        <f t="array" ref="F42">IF(EdgesJSON[[#This Row],[Export?]]=0,"",IF(ROW(EdgesJSON[[#This Row],[id]])&gt;ROW(EdgesJSON[[#Headers],[JSON]])+1,",","") &amp;"{"&amp;twoRangesToJSON(EdgesJSON[[#Headers],[id]:[label]],EdgesJSON[[#This Row],[id]:[label]])&amp;"}")</f>
        <v>,{"id":"33065C30-A3B9-4D0D-B5CC-ED8D767FBEC1","from":"087C6620-F50C-4D7E-B3DF-516DA675DD50","to":"4C6DA97E-8091-41CA-B99C-4250D2678005","label":"is"}</v>
      </c>
    </row>
    <row r="43" spans="1:6" ht="13.9" thickTop="1" thickBot="1" x14ac:dyDescent="0.4">
      <c r="A43" s="38">
        <f>IF(ISERR(EdgesJSON[[#This Row],[id]]),0,1)</f>
        <v>1</v>
      </c>
      <c r="B43" s="21" t="str">
        <f>EdgesData[[#This Row],[Edge ID]]</f>
        <v>C6BBD49A-A858-43A9-9337-8EB58F0C51B2</v>
      </c>
      <c r="C43" s="21" t="str">
        <f>EdgesData[[#This Row],[Node A ID]]</f>
        <v>087C6620-F50C-4D7E-B3DF-516DA675DD50</v>
      </c>
      <c r="D43" s="21" t="str">
        <f>EdgesData[[#This Row],[Node B ID]]</f>
        <v>A2967417-72BE-4537-BE1E-39E6298F5851</v>
      </c>
      <c r="E43" s="3" t="str">
        <f>EdgesData[[#This Row],[Rel]]</f>
        <v>is</v>
      </c>
      <c r="F43" s="25" t="str" cm="1">
        <f t="array" ref="F43">IF(EdgesJSON[[#This Row],[Export?]]=0,"",IF(ROW(EdgesJSON[[#This Row],[id]])&gt;ROW(EdgesJSON[[#Headers],[JSON]])+1,",","") &amp;"{"&amp;twoRangesToJSON(EdgesJSON[[#Headers],[id]:[label]],EdgesJSON[[#This Row],[id]:[label]])&amp;"}")</f>
        <v>,{"id":"C6BBD49A-A858-43A9-9337-8EB58F0C51B2","from":"087C6620-F50C-4D7E-B3DF-516DA675DD50","to":"A2967417-72BE-4537-BE1E-39E6298F5851","label":"is"}</v>
      </c>
    </row>
    <row r="44" spans="1:6" ht="13.9" thickTop="1" thickBot="1" x14ac:dyDescent="0.4">
      <c r="A44" s="38">
        <f>IF(ISERR(EdgesJSON[[#This Row],[id]]),0,1)</f>
        <v>1</v>
      </c>
      <c r="B44" s="21" t="str">
        <f>EdgesData[[#This Row],[Edge ID]]</f>
        <v>FABAAE46-324C-4399-87DA-0B0EE767B29A</v>
      </c>
      <c r="C44" s="21" t="str">
        <f>EdgesData[[#This Row],[Node A ID]]</f>
        <v>4DAEE886-62B6-4A11-91E2-6CCC52E8C726</v>
      </c>
      <c r="D44" s="21" t="str">
        <f>EdgesData[[#This Row],[Node B ID]]</f>
        <v>A42E7343-FA4C-490A-A0A3-7F65FB188771</v>
      </c>
      <c r="E44" s="3" t="str">
        <f>EdgesData[[#This Row],[Rel]]</f>
        <v>is</v>
      </c>
      <c r="F44" s="25" t="str" cm="1">
        <f t="array" ref="F44">IF(EdgesJSON[[#This Row],[Export?]]=0,"",IF(ROW(EdgesJSON[[#This Row],[id]])&gt;ROW(EdgesJSON[[#Headers],[JSON]])+1,",","") &amp;"{"&amp;twoRangesToJSON(EdgesJSON[[#Headers],[id]:[label]],EdgesJSON[[#This Row],[id]:[label]])&amp;"}")</f>
        <v>,{"id":"FABAAE46-324C-4399-87DA-0B0EE767B29A","from":"4DAEE886-62B6-4A11-91E2-6CCC52E8C726","to":"A42E7343-FA4C-490A-A0A3-7F65FB188771","label":"is"}</v>
      </c>
    </row>
    <row r="45" spans="1:6" ht="13.9" thickTop="1" thickBot="1" x14ac:dyDescent="0.4">
      <c r="A45" s="38">
        <f>IF(ISERR(EdgesJSON[[#This Row],[id]]),0,1)</f>
        <v>1</v>
      </c>
      <c r="B45" s="21" t="str">
        <f>EdgesData[[#This Row],[Edge ID]]</f>
        <v>28500740-6EE6-4335-8EF3-39D42CD9EB16</v>
      </c>
      <c r="C45" s="21" t="str">
        <f>EdgesData[[#This Row],[Node A ID]]</f>
        <v>DF8479E4-7ED0-4699-B624-53A022550DA0</v>
      </c>
      <c r="D45" s="21" t="str">
        <f>EdgesData[[#This Row],[Node B ID]]</f>
        <v>A42E7343-FA4C-490A-A0A3-7F65FB188771</v>
      </c>
      <c r="E45" s="3" t="str">
        <f>EdgesData[[#This Row],[Rel]]</f>
        <v>is</v>
      </c>
      <c r="F45" s="25" t="str" cm="1">
        <f t="array" ref="F45">IF(EdgesJSON[[#This Row],[Export?]]=0,"",IF(ROW(EdgesJSON[[#This Row],[id]])&gt;ROW(EdgesJSON[[#Headers],[JSON]])+1,",","") &amp;"{"&amp;twoRangesToJSON(EdgesJSON[[#Headers],[id]:[label]],EdgesJSON[[#This Row],[id]:[label]])&amp;"}")</f>
        <v>,{"id":"28500740-6EE6-4335-8EF3-39D42CD9EB16","from":"DF8479E4-7ED0-4699-B624-53A022550DA0","to":"A42E7343-FA4C-490A-A0A3-7F65FB188771","label":"is"}</v>
      </c>
    </row>
    <row r="46" spans="1:6" ht="13.9" thickTop="1" thickBot="1" x14ac:dyDescent="0.4">
      <c r="A46" s="38">
        <f>IF(ISERR(EdgesJSON[[#This Row],[id]]),0,1)</f>
        <v>1</v>
      </c>
      <c r="B46" s="21" t="str">
        <f>EdgesData[[#This Row],[Edge ID]]</f>
        <v>B0C857BE-9AD0-4BB2-BEF3-0102CD2627FD</v>
      </c>
      <c r="C46" s="21" t="str">
        <f>EdgesData[[#This Row],[Node A ID]]</f>
        <v>B5825B69-4900-43C0-A761-B839CC2A150A</v>
      </c>
      <c r="D46" s="21" t="str">
        <f>EdgesData[[#This Row],[Node B ID]]</f>
        <v>4C6DA97E-8091-41CA-B99C-4250D2678005</v>
      </c>
      <c r="E46" s="3" t="str">
        <f>EdgesData[[#This Row],[Rel]]</f>
        <v>is</v>
      </c>
      <c r="F46" s="25" t="str" cm="1">
        <f t="array" ref="F46">IF(EdgesJSON[[#This Row],[Export?]]=0,"",IF(ROW(EdgesJSON[[#This Row],[id]])&gt;ROW(EdgesJSON[[#Headers],[JSON]])+1,",","") &amp;"{"&amp;twoRangesToJSON(EdgesJSON[[#Headers],[id]:[label]],EdgesJSON[[#This Row],[id]:[label]])&amp;"}")</f>
        <v>,{"id":"B0C857BE-9AD0-4BB2-BEF3-0102CD2627FD","from":"B5825B69-4900-43C0-A761-B839CC2A150A","to":"4C6DA97E-8091-41CA-B99C-4250D2678005","label":"is"}</v>
      </c>
    </row>
    <row r="47" spans="1:6" ht="13.9" thickTop="1" thickBot="1" x14ac:dyDescent="0.4">
      <c r="A47" s="38">
        <f>IF(ISERR(EdgesJSON[[#This Row],[id]]),0,1)</f>
        <v>1</v>
      </c>
      <c r="B47" s="21" t="str">
        <f>EdgesData[[#This Row],[Edge ID]]</f>
        <v>1A7AC49D-0F1C-47EE-BC58-AC3EAE721F57</v>
      </c>
      <c r="C47" s="21" t="str">
        <f>EdgesData[[#This Row],[Node A ID]]</f>
        <v>B5825B69-4900-43C0-A761-B839CC2A150A</v>
      </c>
      <c r="D47" s="21" t="str">
        <f>EdgesData[[#This Row],[Node B ID]]</f>
        <v>A2967417-72BE-4537-BE1E-39E6298F5851</v>
      </c>
      <c r="E47" s="3" t="str">
        <f>EdgesData[[#This Row],[Rel]]</f>
        <v>is</v>
      </c>
      <c r="F47" s="25" t="str" cm="1">
        <f t="array" ref="F47">IF(EdgesJSON[[#This Row],[Export?]]=0,"",IF(ROW(EdgesJSON[[#This Row],[id]])&gt;ROW(EdgesJSON[[#Headers],[JSON]])+1,",","") &amp;"{"&amp;twoRangesToJSON(EdgesJSON[[#Headers],[id]:[label]],EdgesJSON[[#This Row],[id]:[label]])&amp;"}")</f>
        <v>,{"id":"1A7AC49D-0F1C-47EE-BC58-AC3EAE721F57","from":"B5825B69-4900-43C0-A761-B839CC2A150A","to":"A2967417-72BE-4537-BE1E-39E6298F5851","label":"is"}</v>
      </c>
    </row>
    <row r="48" spans="1:6" ht="13.9" thickTop="1" thickBot="1" x14ac:dyDescent="0.4">
      <c r="A48" s="38">
        <f>IF(ISERR(EdgesJSON[[#This Row],[id]]),0,1)</f>
        <v>1</v>
      </c>
      <c r="B48" s="21" t="str">
        <f>EdgesData[[#This Row],[Edge ID]]</f>
        <v>FCE6A6BB-8894-457D-8ABB-A0A449520297</v>
      </c>
      <c r="C48" s="21" t="str">
        <f>EdgesData[[#This Row],[Node A ID]]</f>
        <v>F308D789-DA7D-4E47-A5C3-2B03D6929447</v>
      </c>
      <c r="D48" s="21" t="str">
        <f>EdgesData[[#This Row],[Node B ID]]</f>
        <v>4C6DA97E-8091-41CA-B99C-4250D2678005</v>
      </c>
      <c r="E48" s="3" t="str">
        <f>EdgesData[[#This Row],[Rel]]</f>
        <v>is</v>
      </c>
      <c r="F48" s="25" t="str" cm="1">
        <f t="array" ref="F48">IF(EdgesJSON[[#This Row],[Export?]]=0,"",IF(ROW(EdgesJSON[[#This Row],[id]])&gt;ROW(EdgesJSON[[#Headers],[JSON]])+1,",","") &amp;"{"&amp;twoRangesToJSON(EdgesJSON[[#Headers],[id]:[label]],EdgesJSON[[#This Row],[id]:[label]])&amp;"}")</f>
        <v>,{"id":"FCE6A6BB-8894-457D-8ABB-A0A449520297","from":"F308D789-DA7D-4E47-A5C3-2B03D6929447","to":"4C6DA97E-8091-41CA-B99C-4250D2678005","label":"is"}</v>
      </c>
    </row>
    <row r="49" spans="1:6" ht="13.9" thickTop="1" thickBot="1" x14ac:dyDescent="0.4">
      <c r="A49" s="38">
        <f>IF(ISERR(EdgesJSON[[#This Row],[id]]),0,1)</f>
        <v>1</v>
      </c>
      <c r="B49" s="21" t="str">
        <f>EdgesData[[#This Row],[Edge ID]]</f>
        <v>361CF5E5-A4E7-41F1-B5E0-BE5AA8CBC1AB</v>
      </c>
      <c r="C49" s="21" t="str">
        <f>EdgesData[[#This Row],[Node A ID]]</f>
        <v>F308D789-DA7D-4E47-A5C3-2B03D6929447</v>
      </c>
      <c r="D49" s="21" t="str">
        <f>EdgesData[[#This Row],[Node B ID]]</f>
        <v>A2967417-72BE-4537-BE1E-39E6298F5851</v>
      </c>
      <c r="E49" s="3" t="str">
        <f>EdgesData[[#This Row],[Rel]]</f>
        <v>is</v>
      </c>
      <c r="F49" s="25" t="str" cm="1">
        <f t="array" ref="F49">IF(EdgesJSON[[#This Row],[Export?]]=0,"",IF(ROW(EdgesJSON[[#This Row],[id]])&gt;ROW(EdgesJSON[[#Headers],[JSON]])+1,",","") &amp;"{"&amp;twoRangesToJSON(EdgesJSON[[#Headers],[id]:[label]],EdgesJSON[[#This Row],[id]:[label]])&amp;"}")</f>
        <v>,{"id":"361CF5E5-A4E7-41F1-B5E0-BE5AA8CBC1AB","from":"F308D789-DA7D-4E47-A5C3-2B03D6929447","to":"A2967417-72BE-4537-BE1E-39E6298F5851","label":"is"}</v>
      </c>
    </row>
    <row r="50" spans="1:6" ht="13.9" thickTop="1" thickBot="1" x14ac:dyDescent="0.4">
      <c r="A50" s="38">
        <f>IF(ISERR(EdgesJSON[[#This Row],[id]]),0,1)</f>
        <v>1</v>
      </c>
      <c r="B50" s="21" t="str">
        <f>EdgesData[[#This Row],[Edge ID]]</f>
        <v>26E77BE3-5EC8-4DB4-98EF-7A96B2955DEF</v>
      </c>
      <c r="C50" s="21" t="str">
        <f>EdgesData[[#This Row],[Node A ID]]</f>
        <v>3707A70E-88B7-4B6D-A934-0BC5EE398FF6</v>
      </c>
      <c r="D50" s="21" t="str">
        <f>EdgesData[[#This Row],[Node B ID]]</f>
        <v>AB661E2B-F23C-4C53-A2BC-043F66BD26F6</v>
      </c>
      <c r="E50" s="3" t="str">
        <f>EdgesData[[#This Row],[Rel]]</f>
        <v>is</v>
      </c>
      <c r="F50" s="25" t="str" cm="1">
        <f t="array" ref="F50">IF(EdgesJSON[[#This Row],[Export?]]=0,"",IF(ROW(EdgesJSON[[#This Row],[id]])&gt;ROW(EdgesJSON[[#Headers],[JSON]])+1,",","") &amp;"{"&amp;twoRangesToJSON(EdgesJSON[[#Headers],[id]:[label]],EdgesJSON[[#This Row],[id]:[label]])&amp;"}")</f>
        <v>,{"id":"26E77BE3-5EC8-4DB4-98EF-7A96B2955DEF","from":"3707A70E-88B7-4B6D-A934-0BC5EE398FF6","to":"AB661E2B-F23C-4C53-A2BC-043F66BD26F6","label":"is"}</v>
      </c>
    </row>
    <row r="51" spans="1:6" ht="13.9" thickTop="1" thickBot="1" x14ac:dyDescent="0.4">
      <c r="A51" s="39">
        <f>IF(ISERR(EdgesJSON[[#This Row],[id]]),0,1)</f>
        <v>1</v>
      </c>
      <c r="B51" s="27" t="str">
        <f>EdgesData[[#This Row],[Edge ID]]</f>
        <v>40665882-7B0C-4C43-80B9-296692AF819C</v>
      </c>
      <c r="C51" s="27" t="str">
        <f>EdgesData[[#This Row],[Node A ID]]</f>
        <v>AB661E2B-F23C-4C53-A2BC-043F66BD26F6</v>
      </c>
      <c r="D51" s="27" t="str">
        <f>EdgesData[[#This Row],[Node B ID]]</f>
        <v>F6D05109-A8EB-4630-8070-A3DC00484ED2</v>
      </c>
      <c r="E51" s="4" t="str">
        <f>EdgesData[[#This Row],[Rel]]</f>
        <v>is</v>
      </c>
      <c r="F51" s="25" t="str" cm="1">
        <f t="array" ref="F51">IF(EdgesJSON[[#This Row],[Export?]]=0,"",IF(ROW(EdgesJSON[[#This Row],[id]])&gt;ROW(EdgesJSON[[#Headers],[JSON]])+1,",","") &amp;"{"&amp;twoRangesToJSON(EdgesJSON[[#Headers],[id]:[label]],EdgesJSON[[#This Row],[id]:[label]])&amp;"}")</f>
        <v>,{"id":"40665882-7B0C-4C43-80B9-296692AF819C","from":"AB661E2B-F23C-4C53-A2BC-043F66BD26F6","to":"F6D05109-A8EB-4630-8070-A3DC00484ED2","label":"is"}</v>
      </c>
    </row>
    <row r="52" spans="1:6" ht="13.9" thickTop="1" thickBot="1" x14ac:dyDescent="0.4">
      <c r="A52" s="39">
        <f>IF(ISERR(EdgesJSON[[#This Row],[id]]),0,1)</f>
        <v>1</v>
      </c>
      <c r="B52" s="27" t="str">
        <f>EdgesData[[#This Row],[Edge ID]]</f>
        <v>E6BF5314-2600-4444-8CED-A384480EC12C</v>
      </c>
      <c r="C52" s="27" t="str">
        <f>EdgesData[[#This Row],[Node A ID]]</f>
        <v>3707A70E-88B7-4B6D-A934-0BC5EE398FF6</v>
      </c>
      <c r="D52" s="27" t="str">
        <f>EdgesData[[#This Row],[Node B ID]]</f>
        <v>5405E693-EB16-42E8-98EA-4E4BF4569BD9</v>
      </c>
      <c r="E52" s="4" t="str">
        <f>EdgesData[[#This Row],[Rel]]</f>
        <v>committed by</v>
      </c>
      <c r="F52" s="25" t="str" cm="1">
        <f t="array" ref="F52">IF(EdgesJSON[[#This Row],[Export?]]=0,"",IF(ROW(EdgesJSON[[#This Row],[id]])&gt;ROW(EdgesJSON[[#Headers],[JSON]])+1,",","") &amp;"{"&amp;twoRangesToJSON(EdgesJSON[[#Headers],[id]:[label]],EdgesJSON[[#This Row],[id]:[label]])&amp;"}")</f>
        <v>,{"id":"E6BF5314-2600-4444-8CED-A384480EC12C","from":"3707A70E-88B7-4B6D-A934-0BC5EE398FF6","to":"5405E693-EB16-42E8-98EA-4E4BF4569BD9","label":"committed by"}</v>
      </c>
    </row>
    <row r="53" spans="1:6" ht="13.9" thickTop="1" thickBot="1" x14ac:dyDescent="0.4">
      <c r="A53" s="39">
        <f>IF(ISERR(EdgesJSON[[#This Row],[id]]),0,1)</f>
        <v>1</v>
      </c>
      <c r="B53" s="27" t="str">
        <f>EdgesData[[#This Row],[Edge ID]]</f>
        <v>DBEF589E-61B7-48CA-BF62-BE1EFE5B5B5F</v>
      </c>
      <c r="C53" s="27" t="str">
        <f>EdgesData[[#This Row],[Node A ID]]</f>
        <v>3707A70E-88B7-4B6D-A934-0BC5EE398FF6</v>
      </c>
      <c r="D53" s="27" t="str">
        <f>EdgesData[[#This Row],[Node B ID]]</f>
        <v>0356B816-5188-4965-B4D7-28144AB3745F</v>
      </c>
      <c r="E53" s="4" t="str">
        <f>EdgesData[[#This Row],[Rel]]</f>
        <v>victimize</v>
      </c>
      <c r="F53" s="25" t="str" cm="1">
        <f t="array" ref="F53">IF(EdgesJSON[[#This Row],[Export?]]=0,"",IF(ROW(EdgesJSON[[#This Row],[id]])&gt;ROW(EdgesJSON[[#Headers],[JSON]])+1,",","") &amp;"{"&amp;twoRangesToJSON(EdgesJSON[[#Headers],[id]:[label]],EdgesJSON[[#This Row],[id]:[label]])&amp;"}")</f>
        <v>,{"id":"DBEF589E-61B7-48CA-BF62-BE1EFE5B5B5F","from":"3707A70E-88B7-4B6D-A934-0BC5EE398FF6","to":"0356B816-5188-4965-B4D7-28144AB3745F","label":"victimize"}</v>
      </c>
    </row>
    <row r="54" spans="1:6" ht="13.9" thickTop="1" thickBot="1" x14ac:dyDescent="0.4">
      <c r="A54" s="39">
        <f>IF(ISERR(EdgesJSON[[#This Row],[id]]),0,1)</f>
        <v>1</v>
      </c>
      <c r="B54" s="27" t="str">
        <f>EdgesData[[#This Row],[Edge ID]]</f>
        <v>D9F6340D-C755-478B-A8BA-B75B075E3FC8</v>
      </c>
      <c r="C54" s="27" t="str">
        <f>EdgesData[[#This Row],[Node A ID]]</f>
        <v>5405E693-EB16-42E8-98EA-4E4BF4569BD9</v>
      </c>
      <c r="D54" s="27" t="str">
        <f>EdgesData[[#This Row],[Node B ID]]</f>
        <v>2BE2F561-5FF3-4301-82B7-39FF29CD650A</v>
      </c>
      <c r="E54" s="4" t="str">
        <f>EdgesData[[#This Row],[Rel]]</f>
        <v>take control of</v>
      </c>
      <c r="F54" s="25" t="str" cm="1">
        <f t="array" ref="F54">IF(EdgesJSON[[#This Row],[Export?]]=0,"",IF(ROW(EdgesJSON[[#This Row],[id]])&gt;ROW(EdgesJSON[[#Headers],[JSON]])+1,",","") &amp;"{"&amp;twoRangesToJSON(EdgesJSON[[#Headers],[id]:[label]],EdgesJSON[[#This Row],[id]:[label]])&amp;"}")</f>
        <v>,{"id":"D9F6340D-C755-478B-A8BA-B75B075E3FC8","from":"5405E693-EB16-42E8-98EA-4E4BF4569BD9","to":"2BE2F561-5FF3-4301-82B7-39FF29CD650A","label":"take control of"}</v>
      </c>
    </row>
    <row r="55" spans="1:6" ht="13.9" thickTop="1" thickBot="1" x14ac:dyDescent="0.4">
      <c r="A55" s="39">
        <f>IF(ISERR(EdgesJSON[[#This Row],[id]]),0,1)</f>
        <v>1</v>
      </c>
      <c r="B55" s="27" t="str">
        <f>EdgesData[[#This Row],[Edge ID]]</f>
        <v>624D8A78-15B2-4960-86BC-B962167A2B50</v>
      </c>
      <c r="C55" s="27" t="str">
        <f>EdgesData[[#This Row],[Node A ID]]</f>
        <v>0356B816-5188-4965-B4D7-28144AB3745F</v>
      </c>
      <c r="D55" s="27" t="str">
        <f>EdgesData[[#This Row],[Node B ID]]</f>
        <v>2BE2F561-5FF3-4301-82B7-39FF29CD650A</v>
      </c>
      <c r="E55" s="4" t="str">
        <f>EdgesData[[#This Row],[Rel]]</f>
        <v>owns</v>
      </c>
      <c r="F55" s="25" t="str" cm="1">
        <f t="array" ref="F55">IF(EdgesJSON[[#This Row],[Export?]]=0,"",IF(ROW(EdgesJSON[[#This Row],[id]])&gt;ROW(EdgesJSON[[#Headers],[JSON]])+1,",","") &amp;"{"&amp;twoRangesToJSON(EdgesJSON[[#Headers],[id]:[label]],EdgesJSON[[#This Row],[id]:[label]])&amp;"}")</f>
        <v>,{"id":"624D8A78-15B2-4960-86BC-B962167A2B50","from":"0356B816-5188-4965-B4D7-28144AB3745F","to":"2BE2F561-5FF3-4301-82B7-39FF29CD650A","label":"owns"}</v>
      </c>
    </row>
    <row r="56" spans="1:6" ht="13.9" thickTop="1" thickBot="1" x14ac:dyDescent="0.4">
      <c r="A56" s="39">
        <f>IF(ISERR(EdgesJSON[[#This Row],[id]]),0,1)</f>
        <v>1</v>
      </c>
      <c r="B56" s="27" t="str">
        <f>EdgesData[[#This Row],[Edge ID]]</f>
        <v>AC3D99D3-A737-46B2-8B00-7D9A3ABC113C</v>
      </c>
      <c r="C56" s="27" t="str">
        <f>EdgesData[[#This Row],[Node A ID]]</f>
        <v>5405E693-EB16-42E8-98EA-4E4BF4569BD9</v>
      </c>
      <c r="D56" s="27" t="str">
        <f>EdgesData[[#This Row],[Node B ID]]</f>
        <v>0356B816-5188-4965-B4D7-28144AB3745F</v>
      </c>
      <c r="E56" s="4" t="str">
        <f>EdgesData[[#This Row],[Rel]]</f>
        <v>distinct from</v>
      </c>
      <c r="F56" s="25" t="str" cm="1">
        <f t="array" ref="F56">IF(EdgesJSON[[#This Row],[Export?]]=0,"",IF(ROW(EdgesJSON[[#This Row],[id]])&gt;ROW(EdgesJSON[[#Headers],[JSON]])+1,",","") &amp;"{"&amp;twoRangesToJSON(EdgesJSON[[#Headers],[id]:[label]],EdgesJSON[[#This Row],[id]:[label]])&amp;"}")</f>
        <v>,{"id":"AC3D99D3-A737-46B2-8B00-7D9A3ABC113C","from":"5405E693-EB16-42E8-98EA-4E4BF4569BD9","to":"0356B816-5188-4965-B4D7-28144AB3745F","label":"distinct from"}</v>
      </c>
    </row>
    <row r="57" spans="1:6" ht="13.9" thickTop="1" thickBot="1" x14ac:dyDescent="0.4">
      <c r="A57" s="39">
        <f>IF(ISERR(EdgesJSON[[#This Row],[id]]),0,1)</f>
        <v>1</v>
      </c>
      <c r="B57" s="27" t="str">
        <f>EdgesData[[#This Row],[Edge ID]]</f>
        <v>B8D2A8FF-158D-431C-B23D-8ABC12909059</v>
      </c>
      <c r="C57" s="27" t="str">
        <f>EdgesData[[#This Row],[Node A ID]]</f>
        <v>DB35E690-DA61-4DD6-8BFE-3D6A2BCFD097</v>
      </c>
      <c r="D57" s="27" t="str">
        <f>EdgesData[[#This Row],[Node B ID]]</f>
        <v>422E3DA9-1F9C-44DA-8A28-BF3685F5E402</v>
      </c>
      <c r="E57" s="4" t="str">
        <f>EdgesData[[#This Row],[Rel]]</f>
        <v>may be</v>
      </c>
      <c r="F57" s="25" t="str" cm="1">
        <f t="array" ref="F57">IF(EdgesJSON[[#This Row],[Export?]]=0,"",IF(ROW(EdgesJSON[[#This Row],[id]])&gt;ROW(EdgesJSON[[#Headers],[JSON]])+1,",","") &amp;"{"&amp;twoRangesToJSON(EdgesJSON[[#Headers],[id]:[label]],EdgesJSON[[#This Row],[id]:[label]])&amp;"}")</f>
        <v>,{"id":"B8D2A8FF-158D-431C-B23D-8ABC12909059","from":"DB35E690-DA61-4DD6-8BFE-3D6A2BCFD097","to":"422E3DA9-1F9C-44DA-8A28-BF3685F5E402","label":"may be"}</v>
      </c>
    </row>
    <row r="58" spans="1:6" ht="13.9" thickTop="1" thickBot="1" x14ac:dyDescent="0.4">
      <c r="A58" s="39">
        <f>IF(ISERR(EdgesJSON[[#This Row],[id]]),0,1)</f>
        <v>1</v>
      </c>
      <c r="B58" s="27" t="str">
        <f>EdgesData[[#This Row],[Edge ID]]</f>
        <v>FF977DA1-3B9C-47F7-BE05-A16485CB0D72</v>
      </c>
      <c r="C58" s="27" t="str">
        <f>EdgesData[[#This Row],[Node A ID]]</f>
        <v>DB35E690-DA61-4DD6-8BFE-3D6A2BCFD097</v>
      </c>
      <c r="D58" s="27" t="str">
        <f>EdgesData[[#This Row],[Node B ID]]</f>
        <v>972F900D-A7B8-411F-BF29-19B9F2169285</v>
      </c>
      <c r="E58" s="4" t="str">
        <f>EdgesData[[#This Row],[Rel]]</f>
        <v>may be</v>
      </c>
      <c r="F58" s="25" t="str" cm="1">
        <f t="array" ref="F58">IF(EdgesJSON[[#This Row],[Export?]]=0,"",IF(ROW(EdgesJSON[[#This Row],[id]])&gt;ROW(EdgesJSON[[#Headers],[JSON]])+1,",","") &amp;"{"&amp;twoRangesToJSON(EdgesJSON[[#Headers],[id]:[label]],EdgesJSON[[#This Row],[id]:[label]])&amp;"}")</f>
        <v>,{"id":"FF977DA1-3B9C-47F7-BE05-A16485CB0D72","from":"DB35E690-DA61-4DD6-8BFE-3D6A2BCFD097","to":"972F900D-A7B8-411F-BF29-19B9F2169285","label":"may be"}</v>
      </c>
    </row>
    <row r="59" spans="1:6" ht="13.9" thickTop="1" thickBot="1" x14ac:dyDescent="0.4">
      <c r="A59" s="39">
        <f>IF(ISERR(EdgesJSON[[#This Row],[id]]),0,1)</f>
        <v>1</v>
      </c>
      <c r="B59" s="27" t="str">
        <f>EdgesData[[#This Row],[Edge ID]]</f>
        <v>0000618D-67F2-4990-801A-1E881520AF74</v>
      </c>
      <c r="C59" s="27" t="str">
        <f>EdgesData[[#This Row],[Node A ID]]</f>
        <v>DB35E690-DA61-4DD6-8BFE-3D6A2BCFD097</v>
      </c>
      <c r="D59" s="27" t="str">
        <f>EdgesData[[#This Row],[Node B ID]]</f>
        <v>8AB3C29B-04F9-4068-85E6-82031382CE74</v>
      </c>
      <c r="E59" s="4" t="str">
        <f>EdgesData[[#This Row],[Rel]]</f>
        <v>may be</v>
      </c>
      <c r="F59" s="25" t="str" cm="1">
        <f t="array" ref="F59">IF(EdgesJSON[[#This Row],[Export?]]=0,"",IF(ROW(EdgesJSON[[#This Row],[id]])&gt;ROW(EdgesJSON[[#Headers],[JSON]])+1,",","") &amp;"{"&amp;twoRangesToJSON(EdgesJSON[[#Headers],[id]:[label]],EdgesJSON[[#This Row],[id]:[label]])&amp;"}")</f>
        <v>,{"id":"0000618D-67F2-4990-801A-1E881520AF74","from":"DB35E690-DA61-4DD6-8BFE-3D6A2BCFD097","to":"8AB3C29B-04F9-4068-85E6-82031382CE74","label":"may be"}</v>
      </c>
    </row>
    <row r="60" spans="1:6" ht="13.9" thickTop="1" thickBot="1" x14ac:dyDescent="0.4">
      <c r="A60" s="39">
        <f>IF(ISERR(EdgesJSON[[#This Row],[id]]),0,1)</f>
        <v>1</v>
      </c>
      <c r="B60" s="27" t="str">
        <f>EdgesData[[#This Row],[Edge ID]]</f>
        <v>9B287D99-25E1-4DA4-B3CF-D4B1DCB74C64</v>
      </c>
      <c r="C60" s="27" t="str">
        <f>EdgesData[[#This Row],[Node A ID]]</f>
        <v>5405E693-EB16-42E8-98EA-4E4BF4569BD9</v>
      </c>
      <c r="D60" s="27" t="str">
        <f>EdgesData[[#This Row],[Node B ID]]</f>
        <v>5F148AC3-F899-4AC2-AEB2-C6CA6005999B</v>
      </c>
      <c r="E60" s="4" t="str">
        <f>EdgesData[[#This Row],[Rel]]</f>
        <v>has not</v>
      </c>
      <c r="F60" s="25" t="str" cm="1">
        <f t="array" ref="F60">IF(EdgesJSON[[#This Row],[Export?]]=0,"",IF(ROW(EdgesJSON[[#This Row],[id]])&gt;ROW(EdgesJSON[[#Headers],[JSON]])+1,",","") &amp;"{"&amp;twoRangesToJSON(EdgesJSON[[#Headers],[id]:[label]],EdgesJSON[[#This Row],[id]:[label]])&amp;"}")</f>
        <v>,{"id":"9B287D99-25E1-4DA4-B3CF-D4B1DCB74C64","from":"5405E693-EB16-42E8-98EA-4E4BF4569BD9","to":"5F148AC3-F899-4AC2-AEB2-C6CA6005999B","label":"has not"}</v>
      </c>
    </row>
    <row r="61" spans="1:6" ht="13.9" thickTop="1" thickBot="1" x14ac:dyDescent="0.4">
      <c r="A61" s="39">
        <f>IF(ISERR(EdgesJSON[[#This Row],[id]]),0,1)</f>
        <v>1</v>
      </c>
      <c r="B61" s="27" t="str">
        <f>EdgesData[[#This Row],[Edge ID]]</f>
        <v>C03B5509-A5F0-4A30-AE2C-799A6A30E031</v>
      </c>
      <c r="C61" s="27" t="str">
        <f>EdgesData[[#This Row],[Node A ID]]</f>
        <v>0356B816-5188-4965-B4D7-28144AB3745F</v>
      </c>
      <c r="D61" s="27" t="str">
        <f>EdgesData[[#This Row],[Node B ID]]</f>
        <v>5F148AC3-F899-4AC2-AEB2-C6CA6005999B</v>
      </c>
      <c r="E61" s="4" t="str">
        <f>EdgesData[[#This Row],[Rel]]</f>
        <v>has</v>
      </c>
      <c r="F61" s="25" t="str" cm="1">
        <f t="array" ref="F61">IF(EdgesJSON[[#This Row],[Export?]]=0,"",IF(ROW(EdgesJSON[[#This Row],[id]])&gt;ROW(EdgesJSON[[#Headers],[JSON]])+1,",","") &amp;"{"&amp;twoRangesToJSON(EdgesJSON[[#Headers],[id]:[label]],EdgesJSON[[#This Row],[id]:[label]])&amp;"}")</f>
        <v>,{"id":"C03B5509-A5F0-4A30-AE2C-799A6A30E031","from":"0356B816-5188-4965-B4D7-28144AB3745F","to":"5F148AC3-F899-4AC2-AEB2-C6CA6005999B","label":"has"}</v>
      </c>
    </row>
    <row r="62" spans="1:6" ht="13.9" thickTop="1" thickBot="1" x14ac:dyDescent="0.4">
      <c r="A62" s="39">
        <f>IF(ISERR(EdgesJSON[[#This Row],[id]]),0,1)</f>
        <v>1</v>
      </c>
      <c r="B62" s="27" t="str">
        <f>EdgesData[[#This Row],[Edge ID]]</f>
        <v>C1A0FF6A-51A9-49F1-993D-6D626514246A</v>
      </c>
      <c r="C62" s="27" t="str">
        <f>EdgesData[[#This Row],[Node A ID]]</f>
        <v>3707A70E-88B7-4B6D-A934-0BC5EE398FF6</v>
      </c>
      <c r="D62" s="27" t="str">
        <f>EdgesData[[#This Row],[Node B ID]]</f>
        <v>6989A549-F547-413E-9EFA-E4EFEF40B824</v>
      </c>
      <c r="E62" s="4" t="str">
        <f>EdgesData[[#This Row],[Rel]]</f>
        <v>is</v>
      </c>
      <c r="F62" s="25" t="str" cm="1">
        <f t="array" ref="F62">IF(EdgesJSON[[#This Row],[Export?]]=0,"",IF(ROW(EdgesJSON[[#This Row],[id]])&gt;ROW(EdgesJSON[[#Headers],[JSON]])+1,",","") &amp;"{"&amp;twoRangesToJSON(EdgesJSON[[#Headers],[id]:[label]],EdgesJSON[[#This Row],[id]:[label]])&amp;"}")</f>
        <v>,{"id":"C1A0FF6A-51A9-49F1-993D-6D626514246A","from":"3707A70E-88B7-4B6D-A934-0BC5EE398FF6","to":"6989A549-F547-413E-9EFA-E4EFEF40B824","label":"is"}</v>
      </c>
    </row>
    <row r="63" spans="1:6" ht="13.9" thickTop="1" thickBot="1" x14ac:dyDescent="0.4">
      <c r="A63" s="39">
        <f>IF(ISERR(EdgesJSON[[#This Row],[id]]),0,1)</f>
        <v>1</v>
      </c>
      <c r="B63" s="27" t="str">
        <f>EdgesData[[#This Row],[Edge ID]]</f>
        <v>355A97DF-7524-4AAD-9971-402E919670C5</v>
      </c>
      <c r="C63" s="27" t="str">
        <f>EdgesData[[#This Row],[Node A ID]]</f>
        <v>5F148AC3-F899-4AC2-AEB2-C6CA6005999B</v>
      </c>
      <c r="D63" s="27" t="str">
        <f>EdgesData[[#This Row],[Node B ID]]</f>
        <v>2BE2F561-5FF3-4301-82B7-39FF29CD650A</v>
      </c>
      <c r="E63" s="4" t="str">
        <f>EdgesData[[#This Row],[Rel]]</f>
        <v>to impersonate</v>
      </c>
      <c r="F63" s="25" t="str" cm="1">
        <f t="array" ref="F63">IF(EdgesJSON[[#This Row],[Export?]]=0,"",IF(ROW(EdgesJSON[[#This Row],[id]])&gt;ROW(EdgesJSON[[#Headers],[JSON]])+1,",","") &amp;"{"&amp;twoRangesToJSON(EdgesJSON[[#Headers],[id]:[label]],EdgesJSON[[#This Row],[id]:[label]])&amp;"}")</f>
        <v>,{"id":"355A97DF-7524-4AAD-9971-402E919670C5","from":"5F148AC3-F899-4AC2-AEB2-C6CA6005999B","to":"2BE2F561-5FF3-4301-82B7-39FF29CD650A","label":"to impersonate"}</v>
      </c>
    </row>
    <row r="64" spans="1:6" ht="13.9" thickTop="1" thickBot="1" x14ac:dyDescent="0.4">
      <c r="A64" s="39">
        <f>IF(ISERR(EdgesJSON[[#This Row],[id]]),0,1)</f>
        <v>1</v>
      </c>
      <c r="B64" s="27" t="str">
        <f>EdgesData[[#This Row],[Edge ID]]</f>
        <v>03C65088-C04C-48F0-BCF8-7C56E778D79A</v>
      </c>
      <c r="C64" s="27" t="str">
        <f>EdgesData[[#This Row],[Node A ID]]</f>
        <v>5405E693-EB16-42E8-98EA-4E4BF4569BD9</v>
      </c>
      <c r="D64" s="27" t="str">
        <f>EdgesData[[#This Row],[Node B ID]]</f>
        <v>DB35E690-DA61-4DD6-8BFE-3D6A2BCFD097</v>
      </c>
      <c r="E64" s="4" t="str">
        <f>EdgesData[[#This Row],[Rel]]</f>
        <v>has</v>
      </c>
      <c r="F64" s="25" t="str" cm="1">
        <f t="array" ref="F64">IF(EdgesJSON[[#This Row],[Export?]]=0,"",IF(ROW(EdgesJSON[[#This Row],[id]])&gt;ROW(EdgesJSON[[#Headers],[JSON]])+1,",","") &amp;"{"&amp;twoRangesToJSON(EdgesJSON[[#Headers],[id]:[label]],EdgesJSON[[#This Row],[id]:[label]])&amp;"}")</f>
        <v>,{"id":"03C65088-C04C-48F0-BCF8-7C56E778D79A","from":"5405E693-EB16-42E8-98EA-4E4BF4569BD9","to":"DB35E690-DA61-4DD6-8BFE-3D6A2BCFD097","label":"has"}</v>
      </c>
    </row>
    <row r="65" spans="1:6" ht="13.9" thickTop="1" thickBot="1" x14ac:dyDescent="0.4">
      <c r="A65" s="39">
        <f>IF(ISERR(EdgesJSON[[#This Row],[id]]),0,1)</f>
        <v>1</v>
      </c>
      <c r="B65" s="27" t="str">
        <f>EdgesData[[#This Row],[Edge ID]]</f>
        <v>16C846ED-2379-48BF-B8E8-CA51AF983FE7</v>
      </c>
      <c r="C65" s="27" t="str">
        <f>EdgesData[[#This Row],[Node A ID]]</f>
        <v>972F900D-A7B8-411F-BF29-19B9F2169285</v>
      </c>
      <c r="D65" s="27" t="str">
        <f>EdgesData[[#This Row],[Node B ID]]</f>
        <v>0356B816-5188-4965-B4D7-28144AB3745F</v>
      </c>
      <c r="E65" s="4" t="str">
        <f>EdgesData[[#This Row],[Rel]]</f>
        <v>to</v>
      </c>
      <c r="F65" s="25" t="str" cm="1">
        <f t="array" ref="F65">IF(EdgesJSON[[#This Row],[Export?]]=0,"",IF(ROW(EdgesJSON[[#This Row],[id]])&gt;ROW(EdgesJSON[[#Headers],[JSON]])+1,",","") &amp;"{"&amp;twoRangesToJSON(EdgesJSON[[#Headers],[id]:[label]],EdgesJSON[[#This Row],[id]:[label]])&amp;"}")</f>
        <v>,{"id":"16C846ED-2379-48BF-B8E8-CA51AF983FE7","from":"972F900D-A7B8-411F-BF29-19B9F2169285","to":"0356B816-5188-4965-B4D7-28144AB3745F","label":"to"}</v>
      </c>
    </row>
    <row r="66" spans="1:6" ht="13.9" thickTop="1" thickBot="1" x14ac:dyDescent="0.4">
      <c r="A66" s="39">
        <f>IF(ISERR(EdgesJSON[[#This Row],[id]]),0,1)</f>
        <v>1</v>
      </c>
      <c r="B66" s="27" t="str">
        <f>EdgesData[[#This Row],[Edge ID]]</f>
        <v>1C87EBE0-AB78-4669-86B6-15191BA0722D</v>
      </c>
      <c r="C66" s="27" t="str">
        <f>EdgesData[[#This Row],[Node A ID]]</f>
        <v>3707A70E-88B7-4B6D-A934-0BC5EE398FF6</v>
      </c>
      <c r="D66" s="27" t="str">
        <f>EdgesData[[#This Row],[Node B ID]]</f>
        <v>2BE2F561-5FF3-4301-82B7-39FF29CD650A</v>
      </c>
      <c r="E66" s="8" t="str">
        <f>EdgesData[[#This Row],[Rel]]</f>
        <v>target</v>
      </c>
      <c r="F66" s="25" t="str" cm="1">
        <f t="array" ref="F66">IF(EdgesJSON[[#This Row],[Export?]]=0,"",IF(ROW(EdgesJSON[[#This Row],[id]])&gt;ROW(EdgesJSON[[#Headers],[JSON]])+1,",","") &amp;"{"&amp;twoRangesToJSON(EdgesJSON[[#Headers],[id]:[label]],EdgesJSON[[#This Row],[id]:[label]])&amp;"}")</f>
        <v>,{"id":"1C87EBE0-AB78-4669-86B6-15191BA0722D","from":"3707A70E-88B7-4B6D-A934-0BC5EE398FF6","to":"2BE2F561-5FF3-4301-82B7-39FF29CD650A","label":"target"}</v>
      </c>
    </row>
    <row r="67" spans="1:6" ht="13.9" thickTop="1" thickBot="1" x14ac:dyDescent="0.4">
      <c r="A67" s="39">
        <f>IF(ISERR(EdgesJSON[[#This Row],[id]]),0,1)</f>
        <v>1</v>
      </c>
      <c r="B67" s="27" t="str">
        <f>EdgesData[[#This Row],[Edge ID]]</f>
        <v>99073CC5-247E-40C9-83CE-5529D6C81921</v>
      </c>
      <c r="C67" s="27" t="str">
        <f>EdgesData[[#This Row],[Node A ID]]</f>
        <v>0356B816-5188-4965-B4D7-28144AB3745F</v>
      </c>
      <c r="D67" s="27" t="str">
        <f>EdgesData[[#This Row],[Node B ID]]</f>
        <v>2BE2F561-5FF3-4301-82B7-39FF29CD650A</v>
      </c>
      <c r="E67" s="8" t="str">
        <f>EdgesData[[#This Row],[Rel]]</f>
        <v>lose control of</v>
      </c>
      <c r="F67" s="25" t="str" cm="1">
        <f t="array" ref="F67">IF(EdgesJSON[[#This Row],[Export?]]=0,"",IF(ROW(EdgesJSON[[#This Row],[id]])&gt;ROW(EdgesJSON[[#Headers],[JSON]])+1,",","") &amp;"{"&amp;twoRangesToJSON(EdgesJSON[[#Headers],[id]:[label]],EdgesJSON[[#This Row],[id]:[label]])&amp;"}")</f>
        <v>,{"id":"99073CC5-247E-40C9-83CE-5529D6C81921","from":"0356B816-5188-4965-B4D7-28144AB3745F","to":"2BE2F561-5FF3-4301-82B7-39FF29CD650A","label":"lose control of"}</v>
      </c>
    </row>
    <row r="68" spans="1:6" ht="13.9" thickTop="1" thickBot="1" x14ac:dyDescent="0.4">
      <c r="A68" s="39">
        <f>IF(ISERR(EdgesJSON[[#This Row],[id]]),0,1)</f>
        <v>1</v>
      </c>
      <c r="B68" s="27" t="str">
        <f>EdgesData[[#This Row],[Edge ID]]</f>
        <v>49121DE6-F842-494C-BE1B-909B0E2D43B7</v>
      </c>
      <c r="C68" s="27" t="str">
        <f>EdgesData[[#This Row],[Node A ID]]</f>
        <v>3707A70E-88B7-4B6D-A934-0BC5EE398FF6</v>
      </c>
      <c r="D68" s="27" t="str">
        <f>EdgesData[[#This Row],[Node B ID]]</f>
        <v>3F14E556-DBD3-4DBF-AC75-33A3EE0A9EE2</v>
      </c>
      <c r="E68" s="8" t="str">
        <f>EdgesData[[#This Row],[Rel]]</f>
        <v>constitute a</v>
      </c>
      <c r="F68" s="25" t="str" cm="1">
        <f t="array" ref="F68">IF(EdgesJSON[[#This Row],[Export?]]=0,"",IF(ROW(EdgesJSON[[#This Row],[id]])&gt;ROW(EdgesJSON[[#Headers],[JSON]])+1,",","") &amp;"{"&amp;twoRangesToJSON(EdgesJSON[[#Headers],[id]:[label]],EdgesJSON[[#This Row],[id]:[label]])&amp;"}")</f>
        <v>,{"id":"49121DE6-F842-494C-BE1B-909B0E2D43B7","from":"3707A70E-88B7-4B6D-A934-0BC5EE398FF6","to":"3F14E556-DBD3-4DBF-AC75-33A3EE0A9EE2","label":"constitute a"}</v>
      </c>
    </row>
    <row r="69" spans="1:6" ht="13.9" thickTop="1" thickBot="1" x14ac:dyDescent="0.4">
      <c r="A69" s="39">
        <f>IF(ISERR(EdgesJSON[[#This Row],[id]]),0,1)</f>
        <v>1</v>
      </c>
      <c r="B69" s="27" t="str">
        <f>EdgesData[[#This Row],[Edge ID]]</f>
        <v>4FA39A2E-11DF-4646-9432-46173027F558</v>
      </c>
      <c r="C69" s="27" t="str">
        <f>EdgesData[[#This Row],[Node A ID]]</f>
        <v>3F14E556-DBD3-4DBF-AC75-33A3EE0A9EE2</v>
      </c>
      <c r="D69" s="27" t="str">
        <f>EdgesData[[#This Row],[Node B ID]]</f>
        <v>515EECD7-8927-46CD-B811-39535FB71778</v>
      </c>
      <c r="E69" s="8" t="str">
        <f>EdgesData[[#This Row],[Rel]]</f>
        <v>has</v>
      </c>
      <c r="F69" s="25" t="str" cm="1">
        <f t="array" ref="F69">IF(EdgesJSON[[#This Row],[Export?]]=0,"",IF(ROW(EdgesJSON[[#This Row],[id]])&gt;ROW(EdgesJSON[[#Headers],[JSON]])+1,",","") &amp;"{"&amp;twoRangesToJSON(EdgesJSON[[#Headers],[id]:[label]],EdgesJSON[[#This Row],[id]:[label]])&amp;"}")</f>
        <v>,{"id":"4FA39A2E-11DF-4646-9432-46173027F558","from":"3F14E556-DBD3-4DBF-AC75-33A3EE0A9EE2","to":"515EECD7-8927-46CD-B811-39535FB71778","label":"has"}</v>
      </c>
    </row>
    <row r="70" spans="1:6" ht="13.9" thickTop="1" thickBot="1" x14ac:dyDescent="0.4">
      <c r="A70" s="39">
        <f>IF(ISERR(EdgesJSON[[#This Row],[id]]),0,1)</f>
        <v>1</v>
      </c>
      <c r="B70" s="27" t="str">
        <f>EdgesData[[#This Row],[Edge ID]]</f>
        <v>816A61AA-E15A-457E-A2A2-884BEDEC2928</v>
      </c>
      <c r="C70" s="27" t="str">
        <f>EdgesData[[#This Row],[Node A ID]]</f>
        <v>515EECD7-8927-46CD-B811-39535FB71778</v>
      </c>
      <c r="D70" s="27" t="str">
        <f>EdgesData[[#This Row],[Node B ID]]</f>
        <v>A1D6E2B6-1A6F-40D5-BEF5-85AFDA4C4E86</v>
      </c>
      <c r="E70" s="8" t="str">
        <f>EdgesData[[#This Row],[Rel]]</f>
        <v>may be</v>
      </c>
      <c r="F70" s="25" t="str" cm="1">
        <f t="array" ref="F70">IF(EdgesJSON[[#This Row],[Export?]]=0,"",IF(ROW(EdgesJSON[[#This Row],[id]])&gt;ROW(EdgesJSON[[#Headers],[JSON]])+1,",","") &amp;"{"&amp;twoRangesToJSON(EdgesJSON[[#Headers],[id]:[label]],EdgesJSON[[#This Row],[id]:[label]])&amp;"}")</f>
        <v>,{"id":"816A61AA-E15A-457E-A2A2-884BEDEC2928","from":"515EECD7-8927-46CD-B811-39535FB71778","to":"A1D6E2B6-1A6F-40D5-BEF5-85AFDA4C4E86","label":"may be"}</v>
      </c>
    </row>
    <row r="71" spans="1:6" ht="13.9" thickTop="1" thickBot="1" x14ac:dyDescent="0.4">
      <c r="A71" s="39">
        <f>IF(ISERR(EdgesJSON[[#This Row],[id]]),0,1)</f>
        <v>1</v>
      </c>
      <c r="B71" s="27" t="str">
        <f>EdgesData[[#This Row],[Edge ID]]</f>
        <v>5F168986-E77E-4F33-91B1-EA2A80D27A62</v>
      </c>
      <c r="C71" s="27" t="str">
        <f>EdgesData[[#This Row],[Node A ID]]</f>
        <v>2BE2F561-5FF3-4301-82B7-39FF29CD650A</v>
      </c>
      <c r="D71" s="27" t="str">
        <f>EdgesData[[#This Row],[Node B ID]]</f>
        <v>7256DFFB-F727-40B1-B8CB-3E8ED7B93E61</v>
      </c>
      <c r="E71" s="8" t="str">
        <f>EdgesData[[#This Row],[Rel]]</f>
        <v>is</v>
      </c>
      <c r="F71" s="25" t="str" cm="1">
        <f t="array" ref="F71">IF(EdgesJSON[[#This Row],[Export?]]=0,"",IF(ROW(EdgesJSON[[#This Row],[id]])&gt;ROW(EdgesJSON[[#Headers],[JSON]])+1,",","") &amp;"{"&amp;twoRangesToJSON(EdgesJSON[[#Headers],[id]:[label]],EdgesJSON[[#This Row],[id]:[label]])&amp;"}")</f>
        <v>,{"id":"5F168986-E77E-4F33-91B1-EA2A80D27A62","from":"2BE2F561-5FF3-4301-82B7-39FF29CD650A","to":"7256DFFB-F727-40B1-B8CB-3E8ED7B93E61","label":"is"}</v>
      </c>
    </row>
    <row r="72" spans="1:6" ht="13.9" thickTop="1" thickBot="1" x14ac:dyDescent="0.4">
      <c r="A72" s="39">
        <f>IF(ISERR(EdgesJSON[[#This Row],[id]]),0,1)</f>
        <v>1</v>
      </c>
      <c r="B72" s="27" t="str">
        <f>EdgesData[[#This Row],[Edge ID]]</f>
        <v>DD3E4086-9258-4CEC-AA71-60BBCA780A26</v>
      </c>
      <c r="C72" s="27" t="str">
        <f>EdgesData[[#This Row],[Node A ID]]</f>
        <v>7256DFFB-F727-40B1-B8CB-3E8ED7B93E61</v>
      </c>
      <c r="D72" s="27" t="str">
        <f>EdgesData[[#This Row],[Node B ID]]</f>
        <v>D89DE997-64BE-4F19-B014-7995AF4D2FDF</v>
      </c>
      <c r="E72" s="8" t="str">
        <f>EdgesData[[#This Row],[Rel]]</f>
        <v>is</v>
      </c>
      <c r="F72" s="25" t="str" cm="1">
        <f t="array" ref="F72">IF(EdgesJSON[[#This Row],[Export?]]=0,"",IF(ROW(EdgesJSON[[#This Row],[id]])&gt;ROW(EdgesJSON[[#Headers],[JSON]])+1,",","") &amp;"{"&amp;twoRangesToJSON(EdgesJSON[[#Headers],[id]:[label]],EdgesJSON[[#This Row],[id]:[label]])&amp;"}")</f>
        <v>,{"id":"DD3E4086-9258-4CEC-AA71-60BBCA780A26","from":"7256DFFB-F727-40B1-B8CB-3E8ED7B93E61","to":"D89DE997-64BE-4F19-B014-7995AF4D2FDF","label":"is"}</v>
      </c>
    </row>
    <row r="73" spans="1:6" ht="13.9" thickTop="1" thickBot="1" x14ac:dyDescent="0.4">
      <c r="A73" s="39">
        <f>IF(ISERR(EdgesJSON[[#This Row],[id]]),0,1)</f>
        <v>1</v>
      </c>
      <c r="B73" s="27" t="str">
        <f>EdgesData[[#This Row],[Edge ID]]</f>
        <v>DE5D9227-B769-4D5A-8500-889A611D98E8</v>
      </c>
      <c r="C73" s="27" t="str">
        <f>EdgesData[[#This Row],[Node A ID]]</f>
        <v>D89DE997-64BE-4F19-B014-7995AF4D2FDF</v>
      </c>
      <c r="D73" s="27" t="str">
        <f>EdgesData[[#This Row],[Node B ID]]</f>
        <v>E1435B14-CC90-490D-B94E-09B54D033ED7</v>
      </c>
      <c r="E73" s="8" t="str">
        <f>EdgesData[[#This Row],[Rel]]</f>
        <v>is</v>
      </c>
      <c r="F73" s="25" t="str" cm="1">
        <f t="array" ref="F73">IF(EdgesJSON[[#This Row],[Export?]]=0,"",IF(ROW(EdgesJSON[[#This Row],[id]])&gt;ROW(EdgesJSON[[#Headers],[JSON]])+1,",","") &amp;"{"&amp;twoRangesToJSON(EdgesJSON[[#Headers],[id]:[label]],EdgesJSON[[#This Row],[id]:[label]])&amp;"}")</f>
        <v>,{"id":"DE5D9227-B769-4D5A-8500-889A611D98E8","from":"D89DE997-64BE-4F19-B014-7995AF4D2FDF","to":"E1435B14-CC90-490D-B94E-09B54D033ED7","label":"is"}</v>
      </c>
    </row>
    <row r="74" spans="1:6" ht="13.9" thickTop="1" thickBot="1" x14ac:dyDescent="0.4">
      <c r="A74" s="39">
        <f>IF(ISERR(EdgesJSON[[#This Row],[id]]),0,1)</f>
        <v>1</v>
      </c>
      <c r="B74" s="27" t="str">
        <f>EdgesData[[#This Row],[Edge ID]]</f>
        <v>5BF4A680-E4D0-43AF-B39E-023C875B56AE</v>
      </c>
      <c r="C74" s="27" t="str">
        <f>EdgesData[[#This Row],[Node A ID]]</f>
        <v>8933951D-59FE-48AC-8006-052B2292DA85</v>
      </c>
      <c r="D74" s="27" t="str">
        <f>EdgesData[[#This Row],[Node B ID]]</f>
        <v>E1435B14-CC90-490D-B94E-09B54D033ED7</v>
      </c>
      <c r="E74" s="8" t="str">
        <f>EdgesData[[#This Row],[Rel]]</f>
        <v>is</v>
      </c>
      <c r="F74" s="25" t="str" cm="1">
        <f t="array" ref="F74">IF(EdgesJSON[[#This Row],[Export?]]=0,"",IF(ROW(EdgesJSON[[#This Row],[id]])&gt;ROW(EdgesJSON[[#Headers],[JSON]])+1,",","") &amp;"{"&amp;twoRangesToJSON(EdgesJSON[[#Headers],[id]:[label]],EdgesJSON[[#This Row],[id]:[label]])&amp;"}")</f>
        <v>,{"id":"5BF4A680-E4D0-43AF-B39E-023C875B56AE","from":"8933951D-59FE-48AC-8006-052B2292DA85","to":"E1435B14-CC90-490D-B94E-09B54D033ED7","label":"is"}</v>
      </c>
    </row>
    <row r="75" spans="1:6" ht="13.9" thickTop="1" thickBot="1" x14ac:dyDescent="0.4">
      <c r="A75" s="39">
        <f>IF(ISERR(EdgesJSON[[#This Row],[id]]),0,1)</f>
        <v>1</v>
      </c>
      <c r="B75" s="27" t="str">
        <f>EdgesData[[#This Row],[Edge ID]]</f>
        <v>5C157834-A0AC-4B72-874D-381E356D1427</v>
      </c>
      <c r="C75" s="27" t="str">
        <f>EdgesData[[#This Row],[Node A ID]]</f>
        <v>B9BC6707-084C-4264-ABDB-9F04C39AC188</v>
      </c>
      <c r="D75" s="27" t="str">
        <f>EdgesData[[#This Row],[Node B ID]]</f>
        <v>E1435B14-CC90-490D-B94E-09B54D033ED7</v>
      </c>
      <c r="E75" s="8" t="str">
        <f>EdgesData[[#This Row],[Rel]]</f>
        <v>is</v>
      </c>
      <c r="F75" s="25" t="str" cm="1">
        <f t="array" ref="F75">IF(EdgesJSON[[#This Row],[Export?]]=0,"",IF(ROW(EdgesJSON[[#This Row],[id]])&gt;ROW(EdgesJSON[[#Headers],[JSON]])+1,",","") &amp;"{"&amp;twoRangesToJSON(EdgesJSON[[#Headers],[id]:[label]],EdgesJSON[[#This Row],[id]:[label]])&amp;"}")</f>
        <v>,{"id":"5C157834-A0AC-4B72-874D-381E356D1427","from":"B9BC6707-084C-4264-ABDB-9F04C39AC188","to":"E1435B14-CC90-490D-B94E-09B54D033ED7","label":"is"}</v>
      </c>
    </row>
    <row r="76" spans="1:6" ht="13.9" thickTop="1" thickBot="1" x14ac:dyDescent="0.4">
      <c r="A76" s="39">
        <f>IF(ISERR(EdgesJSON[[#This Row],[id]]),0,1)</f>
        <v>1</v>
      </c>
      <c r="B76" s="27" t="str">
        <f>EdgesData[[#This Row],[Edge ID]]</f>
        <v>B169787F-142F-4F48-91D5-4E1631A209C3</v>
      </c>
      <c r="C76" s="27" t="str">
        <f>EdgesData[[#This Row],[Node A ID]]</f>
        <v>FFAF2EE1-D9DE-4B8B-8A9C-EA4BB61848BD</v>
      </c>
      <c r="D76" s="27" t="str">
        <f>EdgesData[[#This Row],[Node B ID]]</f>
        <v>E1435B14-CC90-490D-B94E-09B54D033ED7</v>
      </c>
      <c r="E76" s="8" t="str">
        <f>EdgesData[[#This Row],[Rel]]</f>
        <v>is</v>
      </c>
      <c r="F76" s="25" t="str" cm="1">
        <f t="array" ref="F76">IF(EdgesJSON[[#This Row],[Export?]]=0,"",IF(ROW(EdgesJSON[[#This Row],[id]])&gt;ROW(EdgesJSON[[#Headers],[JSON]])+1,",","") &amp;"{"&amp;twoRangesToJSON(EdgesJSON[[#Headers],[id]:[label]],EdgesJSON[[#This Row],[id]:[label]])&amp;"}")</f>
        <v>,{"id":"B169787F-142F-4F48-91D5-4E1631A209C3","from":"FFAF2EE1-D9DE-4B8B-8A9C-EA4BB61848BD","to":"E1435B14-CC90-490D-B94E-09B54D033ED7","label":"is"}</v>
      </c>
    </row>
    <row r="77" spans="1:6" ht="13.9" thickTop="1" thickBot="1" x14ac:dyDescent="0.4">
      <c r="A77" s="39">
        <f>IF(ISERR(EdgesJSON[[#This Row],[id]]),0,1)</f>
        <v>1</v>
      </c>
      <c r="B77" s="27" t="str">
        <f>EdgesData[[#This Row],[Edge ID]]</f>
        <v>172317F5-7551-4A51-B85B-0DAFEE004E16</v>
      </c>
      <c r="C77" s="27" t="str">
        <f>EdgesData[[#This Row],[Node A ID]]</f>
        <v>0D3BEAC3-BF18-4F5C-8CAC-2F389DE47B6A</v>
      </c>
      <c r="D77" s="27" t="str">
        <f>EdgesData[[#This Row],[Node B ID]]</f>
        <v>FFAF2EE1-D9DE-4B8B-8A9C-EA4BB61848BD</v>
      </c>
      <c r="E77" s="8" t="str">
        <f>EdgesData[[#This Row],[Rel]]</f>
        <v>is</v>
      </c>
      <c r="F77" s="25" t="str" cm="1">
        <f t="array" ref="F77">IF(EdgesJSON[[#This Row],[Export?]]=0,"",IF(ROW(EdgesJSON[[#This Row],[id]])&gt;ROW(EdgesJSON[[#Headers],[JSON]])+1,",","") &amp;"{"&amp;twoRangesToJSON(EdgesJSON[[#Headers],[id]:[label]],EdgesJSON[[#This Row],[id]:[label]])&amp;"}")</f>
        <v>,{"id":"172317F5-7551-4A51-B85B-0DAFEE004E16","from":"0D3BEAC3-BF18-4F5C-8CAC-2F389DE47B6A","to":"FFAF2EE1-D9DE-4B8B-8A9C-EA4BB61848BD","label":"is"}</v>
      </c>
    </row>
    <row r="78" spans="1:6" ht="13.9" thickTop="1" thickBot="1" x14ac:dyDescent="0.4">
      <c r="A78" s="39">
        <f>IF(ISERR(EdgesJSON[[#This Row],[id]]),0,1)</f>
        <v>1</v>
      </c>
      <c r="B78" s="27" t="str">
        <f>EdgesData[[#This Row],[Edge ID]]</f>
        <v>DB7BF994-4210-4C32-9CBA-583C39FE5614</v>
      </c>
      <c r="C78" s="27" t="str">
        <f>EdgesData[[#This Row],[Node A ID]]</f>
        <v>0D3BEAC3-BF18-4F5C-8CAC-2F389DE47B6A</v>
      </c>
      <c r="D78" s="27" t="str">
        <f>EdgesData[[#This Row],[Node B ID]]</f>
        <v>8933951D-59FE-48AC-8006-052B2292DA85</v>
      </c>
      <c r="E78" s="8" t="str">
        <f>EdgesData[[#This Row],[Rel]]</f>
        <v>is</v>
      </c>
      <c r="F78" s="25" t="str" cm="1">
        <f t="array" ref="F78">IF(EdgesJSON[[#This Row],[Export?]]=0,"",IF(ROW(EdgesJSON[[#This Row],[id]])&gt;ROW(EdgesJSON[[#Headers],[JSON]])+1,",","") &amp;"{"&amp;twoRangesToJSON(EdgesJSON[[#Headers],[id]:[label]],EdgesJSON[[#This Row],[id]:[label]])&amp;"}")</f>
        <v>,{"id":"DB7BF994-4210-4C32-9CBA-583C39FE5614","from":"0D3BEAC3-BF18-4F5C-8CAC-2F389DE47B6A","to":"8933951D-59FE-48AC-8006-052B2292DA85","label":"is"}</v>
      </c>
    </row>
    <row r="79" spans="1:6" ht="13.9" thickTop="1" thickBot="1" x14ac:dyDescent="0.4">
      <c r="A79" s="39">
        <f>IF(ISERR(EdgesJSON[[#This Row],[id]]),0,1)</f>
        <v>1</v>
      </c>
      <c r="B79" s="27" t="str">
        <f>EdgesData[[#This Row],[Edge ID]]</f>
        <v>C09521E2-4E29-448A-9B5E-BAD855A6FC9D</v>
      </c>
      <c r="C79" s="27" t="str">
        <f>EdgesData[[#This Row],[Node A ID]]</f>
        <v>21BF3343-85D6-4B23-ACBA-331CF49F8E96</v>
      </c>
      <c r="D79" s="27" t="str">
        <f>EdgesData[[#This Row],[Node B ID]]</f>
        <v>D89DE997-64BE-4F19-B014-7995AF4D2FDF</v>
      </c>
      <c r="E79" s="8" t="str">
        <f>EdgesData[[#This Row],[Rel]]</f>
        <v>is</v>
      </c>
      <c r="F79" s="25" t="str" cm="1">
        <f t="array" ref="F79">IF(EdgesJSON[[#This Row],[Export?]]=0,"",IF(ROW(EdgesJSON[[#This Row],[id]])&gt;ROW(EdgesJSON[[#Headers],[JSON]])+1,",","") &amp;"{"&amp;twoRangesToJSON(EdgesJSON[[#Headers],[id]:[label]],EdgesJSON[[#This Row],[id]:[label]])&amp;"}")</f>
        <v>,{"id":"C09521E2-4E29-448A-9B5E-BAD855A6FC9D","from":"21BF3343-85D6-4B23-ACBA-331CF49F8E96","to":"D89DE997-64BE-4F19-B014-7995AF4D2FDF","label":"is"}</v>
      </c>
    </row>
    <row r="80" spans="1:6" ht="13.9" thickTop="1" thickBot="1" x14ac:dyDescent="0.4">
      <c r="A80" s="39">
        <f>IF(ISERR(EdgesJSON[[#This Row],[id]]),0,1)</f>
        <v>1</v>
      </c>
      <c r="B80" s="27" t="str">
        <f>EdgesData[[#This Row],[Edge ID]]</f>
        <v>142CE4C1-7773-4488-BB24-CA0345911809</v>
      </c>
      <c r="C80" s="27" t="str">
        <f>EdgesData[[#This Row],[Node A ID]]</f>
        <v>21BF3343-85D6-4B23-ACBA-331CF49F8E96</v>
      </c>
      <c r="D80" s="27" t="str">
        <f>EdgesData[[#This Row],[Node B ID]]</f>
        <v>FFAF2EE1-D9DE-4B8B-8A9C-EA4BB61848BD</v>
      </c>
      <c r="E80" s="8" t="str">
        <f>EdgesData[[#This Row],[Rel]]</f>
        <v>is</v>
      </c>
      <c r="F80" s="25" t="str" cm="1">
        <f t="array" ref="F80">IF(EdgesJSON[[#This Row],[Export?]]=0,"",IF(ROW(EdgesJSON[[#This Row],[id]])&gt;ROW(EdgesJSON[[#Headers],[JSON]])+1,",","") &amp;"{"&amp;twoRangesToJSON(EdgesJSON[[#Headers],[id]:[label]],EdgesJSON[[#This Row],[id]:[label]])&amp;"}")</f>
        <v>,{"id":"142CE4C1-7773-4488-BB24-CA0345911809","from":"21BF3343-85D6-4B23-ACBA-331CF49F8E96","to":"FFAF2EE1-D9DE-4B8B-8A9C-EA4BB61848BD","label":"is"}</v>
      </c>
    </row>
    <row r="81" spans="1:6" ht="13.9" thickTop="1" thickBot="1" x14ac:dyDescent="0.4">
      <c r="A81" s="39">
        <f>IF(ISERR(EdgesJSON[[#This Row],[id]]),0,1)</f>
        <v>1</v>
      </c>
      <c r="B81" s="27" t="str">
        <f>EdgesData[[#This Row],[Edge ID]]</f>
        <v>64363645-20C2-4118-8A43-16197D0B273F</v>
      </c>
      <c r="C81" s="27" t="str">
        <f>EdgesData[[#This Row],[Node A ID]]</f>
        <v>7256DFFB-F727-40B1-B8CB-3E8ED7B93E61</v>
      </c>
      <c r="D81" s="27" t="str">
        <f>EdgesData[[#This Row],[Node B ID]]</f>
        <v>FFAF2EE1-D9DE-4B8B-8A9C-EA4BB61848BD</v>
      </c>
      <c r="E81" s="8" t="str">
        <f>EdgesData[[#This Row],[Rel]]</f>
        <v>is</v>
      </c>
      <c r="F81" s="25" t="str" cm="1">
        <f t="array" ref="F81">IF(EdgesJSON[[#This Row],[Export?]]=0,"",IF(ROW(EdgesJSON[[#This Row],[id]])&gt;ROW(EdgesJSON[[#Headers],[JSON]])+1,",","") &amp;"{"&amp;twoRangesToJSON(EdgesJSON[[#Headers],[id]:[label]],EdgesJSON[[#This Row],[id]:[label]])&amp;"}")</f>
        <v>,{"id":"64363645-20C2-4118-8A43-16197D0B273F","from":"7256DFFB-F727-40B1-B8CB-3E8ED7B93E61","to":"FFAF2EE1-D9DE-4B8B-8A9C-EA4BB61848BD","label":"is"}</v>
      </c>
    </row>
    <row r="82" spans="1:6" ht="13.9" thickTop="1" thickBot="1" x14ac:dyDescent="0.4">
      <c r="A82" s="39">
        <f>IF(ISERR(EdgesJSON[[#This Row],[id]]),0,1)</f>
        <v>1</v>
      </c>
      <c r="B82" s="27" t="str">
        <f>EdgesData[[#This Row],[Edge ID]]</f>
        <v>C7F33B3E-E8A0-4C36-AEB3-0F4AAF16D526</v>
      </c>
      <c r="C82" s="27" t="str">
        <f>EdgesData[[#This Row],[Node A ID]]</f>
        <v>25323A0E-B290-48AC-A147-597F1DF61288</v>
      </c>
      <c r="D82" s="27" t="str">
        <f>EdgesData[[#This Row],[Node B ID]]</f>
        <v>8933951D-59FE-48AC-8006-052B2292DA85</v>
      </c>
      <c r="E82" s="8" t="str">
        <f>EdgesData[[#This Row],[Rel]]</f>
        <v>is</v>
      </c>
      <c r="F82" s="25" t="str" cm="1">
        <f t="array" ref="F82">IF(EdgesJSON[[#This Row],[Export?]]=0,"",IF(ROW(EdgesJSON[[#This Row],[id]])&gt;ROW(EdgesJSON[[#Headers],[JSON]])+1,",","") &amp;"{"&amp;twoRangesToJSON(EdgesJSON[[#Headers],[id]:[label]],EdgesJSON[[#This Row],[id]:[label]])&amp;"}")</f>
        <v>,{"id":"C7F33B3E-E8A0-4C36-AEB3-0F4AAF16D526","from":"25323A0E-B290-48AC-A147-597F1DF61288","to":"8933951D-59FE-48AC-8006-052B2292DA85","label":"is"}</v>
      </c>
    </row>
    <row r="83" spans="1:6" ht="13.9" thickTop="1" thickBot="1" x14ac:dyDescent="0.4">
      <c r="A83" s="39">
        <f>IF(ISERR(EdgesJSON[[#This Row],[id]]),0,1)</f>
        <v>1</v>
      </c>
      <c r="B83" s="27" t="str">
        <f>EdgesData[[#This Row],[Edge ID]]</f>
        <v>A961B21D-25E5-4F52-83DC-48A0A527EE3C</v>
      </c>
      <c r="C83" s="27" t="str">
        <f>EdgesData[[#This Row],[Node A ID]]</f>
        <v>25323A0E-B290-48AC-A147-597F1DF61288</v>
      </c>
      <c r="D83" s="27" t="str">
        <f>EdgesData[[#This Row],[Node B ID]]</f>
        <v>FFAF2EE1-D9DE-4B8B-8A9C-EA4BB61848BD</v>
      </c>
      <c r="E83" s="8" t="str">
        <f>EdgesData[[#This Row],[Rel]]</f>
        <v>is</v>
      </c>
      <c r="F83" s="25" t="str" cm="1">
        <f t="array" ref="F83">IF(EdgesJSON[[#This Row],[Export?]]=0,"",IF(ROW(EdgesJSON[[#This Row],[id]])&gt;ROW(EdgesJSON[[#Headers],[JSON]])+1,",","") &amp;"{"&amp;twoRangesToJSON(EdgesJSON[[#Headers],[id]:[label]],EdgesJSON[[#This Row],[id]:[label]])&amp;"}")</f>
        <v>,{"id":"A961B21D-25E5-4F52-83DC-48A0A527EE3C","from":"25323A0E-B290-48AC-A147-597F1DF61288","to":"FFAF2EE1-D9DE-4B8B-8A9C-EA4BB61848BD","label":"is"}</v>
      </c>
    </row>
    <row r="84" spans="1:6" ht="13.9" thickTop="1" thickBot="1" x14ac:dyDescent="0.4">
      <c r="A84" s="39">
        <f>IF(ISERR(EdgesJSON[[#This Row],[id]]),0,1)</f>
        <v>1</v>
      </c>
      <c r="B84" s="27" t="str">
        <f>EdgesData[[#This Row],[Edge ID]]</f>
        <v>A3A83BDB-BBEE-4294-AE65-C57A875F7714</v>
      </c>
      <c r="C84" s="27" t="str">
        <f>EdgesData[[#This Row],[Node A ID]]</f>
        <v>01F6A80A-3190-462D-BEEB-328CC562A345</v>
      </c>
      <c r="D84" s="27" t="str">
        <f>EdgesData[[#This Row],[Node B ID]]</f>
        <v>8933951D-59FE-48AC-8006-052B2292DA85</v>
      </c>
      <c r="E84" s="8" t="str">
        <f>EdgesData[[#This Row],[Rel]]</f>
        <v>is</v>
      </c>
      <c r="F84" s="25" t="str" cm="1">
        <f t="array" ref="F84">IF(EdgesJSON[[#This Row],[Export?]]=0,"",IF(ROW(EdgesJSON[[#This Row],[id]])&gt;ROW(EdgesJSON[[#Headers],[JSON]])+1,",","") &amp;"{"&amp;twoRangesToJSON(EdgesJSON[[#Headers],[id]:[label]],EdgesJSON[[#This Row],[id]:[label]])&amp;"}")</f>
        <v>,{"id":"A3A83BDB-BBEE-4294-AE65-C57A875F7714","from":"01F6A80A-3190-462D-BEEB-328CC562A345","to":"8933951D-59FE-48AC-8006-052B2292DA85","label":"is"}</v>
      </c>
    </row>
    <row r="85" spans="1:6" ht="13.9" thickTop="1" thickBot="1" x14ac:dyDescent="0.4">
      <c r="A85" s="39">
        <f>IF(ISERR(EdgesJSON[[#This Row],[id]]),0,1)</f>
        <v>1</v>
      </c>
      <c r="B85" s="27" t="str">
        <f>EdgesData[[#This Row],[Edge ID]]</f>
        <v>11D55571-665E-4CCA-B449-C292219C2AAD</v>
      </c>
      <c r="C85" s="27" t="str">
        <f>EdgesData[[#This Row],[Node A ID]]</f>
        <v>01F6A80A-3190-462D-BEEB-328CC562A345</v>
      </c>
      <c r="D85" s="27" t="str">
        <f>EdgesData[[#This Row],[Node B ID]]</f>
        <v>FFAF2EE1-D9DE-4B8B-8A9C-EA4BB61848BD</v>
      </c>
      <c r="E85" s="8" t="str">
        <f>EdgesData[[#This Row],[Rel]]</f>
        <v>is</v>
      </c>
      <c r="F85" s="25" t="str" cm="1">
        <f t="array" ref="F85">IF(EdgesJSON[[#This Row],[Export?]]=0,"",IF(ROW(EdgesJSON[[#This Row],[id]])&gt;ROW(EdgesJSON[[#Headers],[JSON]])+1,",","") &amp;"{"&amp;twoRangesToJSON(EdgesJSON[[#Headers],[id]:[label]],EdgesJSON[[#This Row],[id]:[label]])&amp;"}")</f>
        <v>,{"id":"11D55571-665E-4CCA-B449-C292219C2AAD","from":"01F6A80A-3190-462D-BEEB-328CC562A345","to":"FFAF2EE1-D9DE-4B8B-8A9C-EA4BB61848BD","label":"is"}</v>
      </c>
    </row>
    <row r="86" spans="1:6" ht="13.9" thickTop="1" thickBot="1" x14ac:dyDescent="0.4">
      <c r="A86" s="39">
        <f>IF(ISERR(EdgesJSON[[#This Row],[id]]),0,1)</f>
        <v>0</v>
      </c>
      <c r="B86" s="27" t="e">
        <f>EdgesData[[#This Row],[Edge ID]]</f>
        <v>#VALUE!</v>
      </c>
      <c r="C86" s="27" t="e">
        <f>EdgesData[[#This Row],[Node A ID]]</f>
        <v>#VALUE!</v>
      </c>
      <c r="D86" s="27" t="e">
        <f>EdgesData[[#This Row],[Node B ID]]</f>
        <v>#VALUE!</v>
      </c>
      <c r="E86" s="8" t="e">
        <f>EdgesData[[#This Row],[Rel]]</f>
        <v>#VALUE!</v>
      </c>
      <c r="F86" s="25" t="str" cm="1">
        <f t="array" ref="F86">IF(EdgesJSON[[#This Row],[Export?]]=0,"",IF(ROW(EdgesJSON[[#This Row],[id]])&gt;ROW(EdgesJSON[[#Headers],[JSON]])+1,",","") &amp;"{"&amp;twoRangesToJSON(EdgesJSON[[#Headers],[id]:[label]],EdgesJSON[[#This Row],[id]:[label]])&amp;"}")</f>
        <v/>
      </c>
    </row>
    <row r="87" spans="1:6" ht="13.9" thickTop="1" thickBot="1" x14ac:dyDescent="0.4">
      <c r="A87" s="39">
        <f>IF(ISERR(EdgesJSON[[#This Row],[id]]),0,1)</f>
        <v>0</v>
      </c>
      <c r="B87" s="27" t="e">
        <f>EdgesData[[#This Row],[Edge ID]]</f>
        <v>#VALUE!</v>
      </c>
      <c r="C87" s="27" t="e">
        <f>EdgesData[[#This Row],[Node A ID]]</f>
        <v>#VALUE!</v>
      </c>
      <c r="D87" s="27" t="e">
        <f>EdgesData[[#This Row],[Node B ID]]</f>
        <v>#VALUE!</v>
      </c>
      <c r="E87" s="8" t="e">
        <f>EdgesData[[#This Row],[Rel]]</f>
        <v>#VALUE!</v>
      </c>
      <c r="F87" s="25" t="str" cm="1">
        <f t="array" ref="F87">IF(EdgesJSON[[#This Row],[Export?]]=0,"",IF(ROW(EdgesJSON[[#This Row],[id]])&gt;ROW(EdgesJSON[[#Headers],[JSON]])+1,",","") &amp;"{"&amp;twoRangesToJSON(EdgesJSON[[#Headers],[id]:[label]],EdgesJSON[[#This Row],[id]:[label]])&amp;"}")</f>
        <v/>
      </c>
    </row>
    <row r="88" spans="1:6" ht="13.15" thickTop="1" x14ac:dyDescent="0.35"/>
  </sheetData>
  <conditionalFormatting sqref="A3:A87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ABEBCB-44CD-4DDA-90F7-D5220F1CA51F}">
  <sheetPr codeName="Sheet2"/>
  <dimension ref="A2:C521"/>
  <sheetViews>
    <sheetView workbookViewId="0">
      <selection activeCell="B21" sqref="B21"/>
    </sheetView>
  </sheetViews>
  <sheetFormatPr defaultRowHeight="12.75" x14ac:dyDescent="0.35"/>
  <cols>
    <col min="1" max="1" width="73.46484375" customWidth="1"/>
    <col min="2" max="2" width="90.3984375" customWidth="1"/>
    <col min="3" max="3" width="119.53125" customWidth="1"/>
  </cols>
  <sheetData>
    <row r="2" spans="1:3" x14ac:dyDescent="0.35">
      <c r="A2" s="7" t="s">
        <v>1269</v>
      </c>
    </row>
    <row r="4" spans="1:3" x14ac:dyDescent="0.35">
      <c r="A4" s="7" t="s">
        <v>522</v>
      </c>
      <c r="B4" s="7" t="s">
        <v>521</v>
      </c>
      <c r="C4" s="7" t="s">
        <v>520</v>
      </c>
    </row>
    <row r="5" spans="1:3" x14ac:dyDescent="0.35">
      <c r="A5" s="5" t="s">
        <v>5</v>
      </c>
      <c r="B5" t="str">
        <f>SUBSTITUTE(CLEAN(A5)," (Dictionary Entry)","")</f>
        <v>4-Eyes Principle</v>
      </c>
      <c r="C5" s="6" t="str" cm="1">
        <f t="array" ref="C5">GetHyperlinkAddress(A5)</f>
        <v>https://open-measure.atlassian.net/wiki/spaces/DIC/pages/805175450/4-Eyes+Principle</v>
      </c>
    </row>
    <row r="6" spans="1:3" x14ac:dyDescent="0.35">
      <c r="A6" s="5" t="s">
        <v>6</v>
      </c>
      <c r="B6" t="str">
        <f t="shared" ref="B6:B69" si="0">SUBSTITUTE(CLEAN(A6)," (Dictionary Entry)","")</f>
        <v>Absolute Scale</v>
      </c>
      <c r="C6" s="6" t="str" cm="1">
        <f t="array" ref="C6">GetHyperlinkAddress(A6)</f>
        <v>https://open-measure.atlassian.net/wiki/spaces/DIC/pages/5932924/Absolute+Scale</v>
      </c>
    </row>
    <row r="7" spans="1:3" x14ac:dyDescent="0.35">
      <c r="A7" s="5" t="s">
        <v>7</v>
      </c>
      <c r="B7" t="str">
        <f t="shared" si="0"/>
        <v>Access</v>
      </c>
      <c r="C7" s="6" t="str" cm="1">
        <f t="array" ref="C7">GetHyperlinkAddress(A7)</f>
        <v>https://open-measure.atlassian.net/wiki/spaces/DIC/pages/123962347/Access</v>
      </c>
    </row>
    <row r="8" spans="1:3" x14ac:dyDescent="0.35">
      <c r="A8" s="5" t="s">
        <v>8</v>
      </c>
      <c r="B8" t="str">
        <f t="shared" si="0"/>
        <v>Access Audit</v>
      </c>
      <c r="C8" s="6" t="str" cm="1">
        <f t="array" ref="C8">GetHyperlinkAddress(A8)</f>
        <v>https://open-measure.atlassian.net/wiki/spaces/DIC/pages/1121878227</v>
      </c>
    </row>
    <row r="9" spans="1:3" x14ac:dyDescent="0.35">
      <c r="A9" s="5" t="s">
        <v>9</v>
      </c>
      <c r="B9" t="str">
        <f t="shared" si="0"/>
        <v>Access Continuum</v>
      </c>
      <c r="C9" s="6" t="str" cm="1">
        <f t="array" ref="C9">GetHyperlinkAddress(A9)</f>
        <v>https://open-measure.atlassian.net/wiki/spaces/DIC/pages/1034223816/Access+Continuum</v>
      </c>
    </row>
    <row r="10" spans="1:3" x14ac:dyDescent="0.35">
      <c r="A10" s="5" t="s">
        <v>10</v>
      </c>
      <c r="B10" t="str">
        <f t="shared" si="0"/>
        <v>Access Control</v>
      </c>
      <c r="C10" s="6" t="str" cm="1">
        <f t="array" ref="C10">GetHyperlinkAddress(A10)</f>
        <v>https://open-measure.atlassian.net/wiki/spaces/DIC/pages/427163781</v>
      </c>
    </row>
    <row r="11" spans="1:3" x14ac:dyDescent="0.35">
      <c r="A11" s="5" t="s">
        <v>11</v>
      </c>
      <c r="B11" t="str">
        <f t="shared" si="0"/>
        <v>Access Control List</v>
      </c>
      <c r="C11" s="6" t="str" cm="1">
        <f t="array" ref="C11">GetHyperlinkAddress(A11)</f>
        <v>https://open-measure.atlassian.net/wiki/spaces/DIC/pages/822345754</v>
      </c>
    </row>
    <row r="12" spans="1:3" x14ac:dyDescent="0.35">
      <c r="A12" s="5" t="s">
        <v>12</v>
      </c>
      <c r="B12" t="str">
        <f t="shared" si="0"/>
        <v>Access Control Mechanism</v>
      </c>
      <c r="C12" s="6" t="str" cm="1">
        <f t="array" ref="C12">GetHyperlinkAddress(A12)</f>
        <v>https://open-measure.atlassian.net/wiki/spaces/DIC/pages/67633606</v>
      </c>
    </row>
    <row r="13" spans="1:3" x14ac:dyDescent="0.35">
      <c r="A13" s="5" t="s">
        <v>13</v>
      </c>
      <c r="B13" t="str">
        <f t="shared" si="0"/>
        <v>Access Control Model</v>
      </c>
      <c r="C13" s="6" t="str" cm="1">
        <f t="array" ref="C13">GetHyperlinkAddress(A13)</f>
        <v>https://open-measure.atlassian.net/wiki/spaces/DIC/pages/67699193</v>
      </c>
    </row>
    <row r="14" spans="1:3" x14ac:dyDescent="0.35">
      <c r="A14" s="5" t="s">
        <v>14</v>
      </c>
      <c r="B14" t="str">
        <f t="shared" si="0"/>
        <v>Access Control Policy</v>
      </c>
      <c r="C14" s="6" t="str" cm="1">
        <f t="array" ref="C14">GetHyperlinkAddress(A14)</f>
        <v>https://open-measure.atlassian.net/wiki/spaces/DIC/pages/67633597</v>
      </c>
    </row>
    <row r="15" spans="1:3" x14ac:dyDescent="0.35">
      <c r="A15" s="5" t="s">
        <v>15</v>
      </c>
      <c r="B15" t="str">
        <f t="shared" si="0"/>
        <v>Access Granularity</v>
      </c>
      <c r="C15" s="6" t="str" cm="1">
        <f t="array" ref="C15">GetHyperlinkAddress(A15)</f>
        <v>https://open-measure.atlassian.net/wiki/spaces/DIC/pages/1006632974</v>
      </c>
    </row>
    <row r="16" spans="1:3" x14ac:dyDescent="0.35">
      <c r="A16" s="5" t="s">
        <v>16</v>
      </c>
      <c r="B16" t="str">
        <f t="shared" si="0"/>
        <v>Access Privilege</v>
      </c>
      <c r="C16" s="6" t="str" cm="1">
        <f t="array" ref="C16">GetHyperlinkAddress(A16)</f>
        <v>https://open-measure.atlassian.net/wiki/spaces/DIC/pages/1122631723</v>
      </c>
    </row>
    <row r="17" spans="1:3" x14ac:dyDescent="0.35">
      <c r="A17" s="5" t="s">
        <v>17</v>
      </c>
      <c r="B17" t="str">
        <f t="shared" si="0"/>
        <v>Access Right</v>
      </c>
      <c r="C17" s="6" t="str" cm="1">
        <f t="array" ref="C17">GetHyperlinkAddress(A17)</f>
        <v>https://open-measure.atlassian.net/wiki/spaces/DIC/pages/1122599013</v>
      </c>
    </row>
    <row r="18" spans="1:3" x14ac:dyDescent="0.35">
      <c r="A18" s="5" t="s">
        <v>18</v>
      </c>
      <c r="B18" t="str">
        <f t="shared" si="0"/>
        <v>Access Rights Management</v>
      </c>
      <c r="C18" s="6" t="str" cm="1">
        <f t="array" ref="C18">GetHyperlinkAddress(A18)</f>
        <v>https://open-measure.atlassian.net/wiki/spaces/DIC/pages/1704003</v>
      </c>
    </row>
    <row r="19" spans="1:3" x14ac:dyDescent="0.35">
      <c r="A19" s="5" t="s">
        <v>19</v>
      </c>
      <c r="B19" t="str">
        <f t="shared" si="0"/>
        <v>Access Token</v>
      </c>
      <c r="C19" s="6" t="str" cm="1">
        <f t="array" ref="C19">GetHyperlinkAddress(A19)</f>
        <v>https://open-measure.atlassian.net/wiki/spaces/DIC/pages/1600684040/Access+Token</v>
      </c>
    </row>
    <row r="20" spans="1:3" x14ac:dyDescent="0.35">
      <c r="A20" s="5" t="s">
        <v>20</v>
      </c>
      <c r="B20" t="str">
        <f t="shared" si="0"/>
        <v>Account</v>
      </c>
      <c r="C20" s="6" t="str" cm="1">
        <f t="array" ref="C20">GetHyperlinkAddress(A20)</f>
        <v>https://open-measure.atlassian.net/wiki/spaces/DIC/pages/461308120/Account</v>
      </c>
    </row>
    <row r="21" spans="1:3" x14ac:dyDescent="0.35">
      <c r="A21" s="5" t="s">
        <v>22</v>
      </c>
      <c r="B21" t="str">
        <f t="shared" si="0"/>
        <v>Account Lockout Policy</v>
      </c>
      <c r="C21" s="6" t="str" cm="1">
        <f t="array" ref="C21">GetHyperlinkAddress(A21)</f>
        <v>https://open-measure.atlassian.net/wiki/spaces/DIC/pages/67699360</v>
      </c>
    </row>
    <row r="22" spans="1:3" x14ac:dyDescent="0.35">
      <c r="A22" s="5" t="s">
        <v>23</v>
      </c>
      <c r="B22" t="str">
        <f t="shared" si="0"/>
        <v>Account Management</v>
      </c>
      <c r="C22" s="6" t="str" cm="1">
        <f t="array" ref="C22">GetHyperlinkAddress(A22)</f>
        <v>https://open-measure.atlassian.net/wiki/spaces/DIC/pages/1146847331</v>
      </c>
    </row>
    <row r="23" spans="1:3" x14ac:dyDescent="0.35">
      <c r="A23" s="5" t="s">
        <v>4</v>
      </c>
      <c r="B23" t="str">
        <f t="shared" si="0"/>
        <v>Account Takeover</v>
      </c>
      <c r="C23" s="6" t="str" cm="1">
        <f t="array" ref="C23">GetHyperlinkAddress(A23)</f>
        <v>https://open-measure.atlassian.net/wiki/spaces/DIC/pages/1079050286/Account+Takeover</v>
      </c>
    </row>
    <row r="24" spans="1:3" x14ac:dyDescent="0.35">
      <c r="A24" s="5" t="s">
        <v>21</v>
      </c>
      <c r="B24" t="str">
        <f t="shared" si="0"/>
        <v>Accountability (Dictionary Term)</v>
      </c>
      <c r="C24" s="6" t="str" cm="1">
        <f t="array" ref="C24">GetHyperlinkAddress(A24)</f>
        <v>https://open-measure.atlassian.net/wiki/spaces/DIC/pages/425623718</v>
      </c>
    </row>
    <row r="25" spans="1:3" x14ac:dyDescent="0.35">
      <c r="A25" s="5" t="s">
        <v>24</v>
      </c>
      <c r="B25" t="str">
        <f t="shared" si="0"/>
        <v>Accreditation</v>
      </c>
      <c r="C25" s="6" t="str" cm="1">
        <f t="array" ref="C25">GetHyperlinkAddress(A25)</f>
        <v>https://open-measure.atlassian.net/wiki/spaces/DIC/pages/446955580</v>
      </c>
    </row>
    <row r="26" spans="1:3" x14ac:dyDescent="0.35">
      <c r="A26" s="5" t="s">
        <v>25</v>
      </c>
      <c r="B26" t="str">
        <f t="shared" si="0"/>
        <v>Action Research</v>
      </c>
      <c r="C26" s="6" t="str" cm="1">
        <f t="array" ref="C26">GetHyperlinkAddress(A26)</f>
        <v>https://open-measure.atlassian.net/wiki/spaces/DIC/pages/73892144/Action+Research</v>
      </c>
    </row>
    <row r="27" spans="1:3" x14ac:dyDescent="0.35">
      <c r="A27" s="5" t="s">
        <v>26</v>
      </c>
      <c r="B27" t="str">
        <f t="shared" si="0"/>
        <v>Active Impersonation Attack</v>
      </c>
      <c r="C27" s="6" t="str" cm="1">
        <f t="array" ref="C27">GetHyperlinkAddress(A27)</f>
        <v>https://open-measure.atlassian.net/wiki/spaces/DIC/pages/974454812</v>
      </c>
    </row>
    <row r="28" spans="1:3" x14ac:dyDescent="0.35">
      <c r="A28" s="5" t="s">
        <v>27</v>
      </c>
      <c r="B28" t="str">
        <f t="shared" si="0"/>
        <v>Admissible Scale Transformation</v>
      </c>
      <c r="C28" s="6" t="str" cm="1">
        <f t="array" ref="C28">GetHyperlinkAddress(A28)</f>
        <v>https://open-measure.atlassian.net/wiki/spaces/DIC/pages/11141273</v>
      </c>
    </row>
    <row r="29" spans="1:3" x14ac:dyDescent="0.35">
      <c r="A29" s="5" t="s">
        <v>28</v>
      </c>
      <c r="B29" t="str">
        <f t="shared" si="0"/>
        <v>Algebra</v>
      </c>
      <c r="C29" s="6" t="str" cm="1">
        <f t="array" ref="C29">GetHyperlinkAddress(A29)</f>
        <v>https://open-measure.atlassian.net/wiki/spaces/DIC/pages/6030518</v>
      </c>
    </row>
    <row r="30" spans="1:3" x14ac:dyDescent="0.35">
      <c r="A30" s="5" t="s">
        <v>29</v>
      </c>
      <c r="B30" t="str">
        <f t="shared" si="0"/>
        <v>AP</v>
      </c>
      <c r="C30" s="6" t="str" cm="1">
        <f t="array" ref="C30">GetHyperlinkAddress(A30)</f>
        <v>https://open-measure.atlassian.net/wiki/spaces/DIC/pages/81101665/AP</v>
      </c>
    </row>
    <row r="31" spans="1:3" x14ac:dyDescent="0.35">
      <c r="A31" s="5" t="s">
        <v>30</v>
      </c>
      <c r="B31" t="str">
        <f t="shared" si="0"/>
        <v>Applicant</v>
      </c>
      <c r="C31" s="6" t="str" cm="1">
        <f t="array" ref="C31">GetHyperlinkAddress(A31)</f>
        <v>https://open-measure.atlassian.net/wiki/spaces/DIC/pages/848625750</v>
      </c>
    </row>
    <row r="32" spans="1:3" x14ac:dyDescent="0.35">
      <c r="A32" s="5" t="s">
        <v>31</v>
      </c>
      <c r="B32" t="str">
        <f t="shared" si="0"/>
        <v>Application</v>
      </c>
      <c r="C32" s="6" t="str" cm="1">
        <f t="array" ref="C32">GetHyperlinkAddress(A32)</f>
        <v>https://open-measure.atlassian.net/wiki/spaces/DIC/pages/5965602/Application</v>
      </c>
    </row>
    <row r="33" spans="1:3" x14ac:dyDescent="0.35">
      <c r="A33" s="5" t="s">
        <v>32</v>
      </c>
      <c r="B33" t="str">
        <f t="shared" si="0"/>
        <v>Application Administrator</v>
      </c>
      <c r="C33" s="6" t="str" cm="1">
        <f t="array" ref="C33">GetHyperlinkAddress(A33)</f>
        <v>https://open-measure.atlassian.net/wiki/spaces/DIC/pages/274236090</v>
      </c>
    </row>
    <row r="34" spans="1:3" x14ac:dyDescent="0.35">
      <c r="A34" s="5" t="s">
        <v>33</v>
      </c>
      <c r="B34" t="str">
        <f t="shared" si="0"/>
        <v>Application Instance</v>
      </c>
      <c r="C34" s="6" t="str" cm="1">
        <f t="array" ref="C34">GetHyperlinkAddress(A34)</f>
        <v>https://open-measure.atlassian.net/wiki/spaces/DIC/pages/834044036</v>
      </c>
    </row>
    <row r="35" spans="1:3" x14ac:dyDescent="0.35">
      <c r="A35" s="5" t="s">
        <v>35</v>
      </c>
      <c r="B35" t="str">
        <f t="shared" si="0"/>
        <v>Application Multiplexing</v>
      </c>
      <c r="C35" s="6" t="str" cm="1">
        <f t="array" ref="C35">GetHyperlinkAddress(A35)</f>
        <v>https://open-measure.atlassian.net/wiki/spaces/DIC/pages/1658355721/Application+Multiplexing</v>
      </c>
    </row>
    <row r="36" spans="1:3" x14ac:dyDescent="0.35">
      <c r="A36" s="5" t="s">
        <v>36</v>
      </c>
      <c r="B36" t="str">
        <f t="shared" si="0"/>
        <v>Application Package</v>
      </c>
      <c r="C36" s="6" t="str" cm="1">
        <f t="array" ref="C36">GetHyperlinkAddress(A36)</f>
        <v>https://open-measure.atlassian.net/wiki/spaces/DIC/pages/5932704</v>
      </c>
    </row>
    <row r="37" spans="1:3" x14ac:dyDescent="0.35">
      <c r="A37" s="5" t="s">
        <v>37</v>
      </c>
      <c r="B37" t="str">
        <f t="shared" si="0"/>
        <v>Application Program</v>
      </c>
      <c r="C37" s="6" t="str" cm="1">
        <f t="array" ref="C37">GetHyperlinkAddress(A37)</f>
        <v>https://open-measure.atlassian.net/wiki/spaces/DIC/pages/6030793/Application+Program</v>
      </c>
    </row>
    <row r="38" spans="1:3" x14ac:dyDescent="0.35">
      <c r="A38" s="5" t="s">
        <v>34</v>
      </c>
      <c r="B38" t="str">
        <f t="shared" si="0"/>
        <v>Application-Level Policy</v>
      </c>
      <c r="C38" s="6" t="str" cm="1">
        <f t="array" ref="C38">GetHyperlinkAddress(A38)</f>
        <v>https://open-measure.atlassian.net/wiki/spaces/DIC/pages/1122631854</v>
      </c>
    </row>
    <row r="39" spans="1:3" x14ac:dyDescent="0.35">
      <c r="A39" s="5" t="s">
        <v>38</v>
      </c>
      <c r="B39" t="str">
        <f t="shared" si="0"/>
        <v>Archive</v>
      </c>
      <c r="C39" s="6" t="str" cm="1">
        <f t="array" ref="C39">GetHyperlinkAddress(A39)</f>
        <v>https://open-measure.atlassian.net/wiki/spaces/DIC/pages/425197720</v>
      </c>
    </row>
    <row r="40" spans="1:3" x14ac:dyDescent="0.35">
      <c r="A40" s="5" t="s">
        <v>39</v>
      </c>
      <c r="B40" t="str">
        <f t="shared" si="0"/>
        <v>ARM</v>
      </c>
      <c r="C40" s="6" t="str" cm="1">
        <f t="array" ref="C40">GetHyperlinkAddress(A40)</f>
        <v>https://open-measure.atlassian.net/wiki/spaces/DIC/pages/1703994/ARM</v>
      </c>
    </row>
    <row r="41" spans="1:3" x14ac:dyDescent="0.35">
      <c r="A41" s="5" t="s">
        <v>40</v>
      </c>
      <c r="B41" t="str">
        <f t="shared" si="0"/>
        <v>Asset Custody</v>
      </c>
      <c r="C41" s="6" t="str" cm="1">
        <f t="array" ref="C41">GetHyperlinkAddress(A41)</f>
        <v>https://open-measure.atlassian.net/wiki/spaces/DIC/pages/1094516867</v>
      </c>
    </row>
    <row r="42" spans="1:3" x14ac:dyDescent="0.35">
      <c r="A42" s="5" t="s">
        <v>41</v>
      </c>
      <c r="B42" t="str">
        <f t="shared" si="0"/>
        <v>Attestation</v>
      </c>
      <c r="C42" s="6" t="str" cm="1">
        <f t="array" ref="C42">GetHyperlinkAddress(A42)</f>
        <v>https://open-measure.atlassian.net/wiki/spaces/DIC/pages/1323368851/Attestation</v>
      </c>
    </row>
    <row r="43" spans="1:3" x14ac:dyDescent="0.35">
      <c r="A43" s="5" t="s">
        <v>42</v>
      </c>
      <c r="B43" t="str">
        <f t="shared" si="0"/>
        <v>Attribute (Dictionary Entry - IAM)</v>
      </c>
      <c r="C43" s="6" t="str" cm="1">
        <f t="array" ref="C43">GetHyperlinkAddress(A43)</f>
        <v>https://open-measure.atlassian.net/wiki/spaces/DIC/pages/409174161</v>
      </c>
    </row>
    <row r="44" spans="1:3" x14ac:dyDescent="0.35">
      <c r="A44" s="5" t="s">
        <v>43</v>
      </c>
      <c r="B44" t="str">
        <f t="shared" si="0"/>
        <v>Attribute Provider</v>
      </c>
      <c r="C44" s="6" t="str" cm="1">
        <f t="array" ref="C44">GetHyperlinkAddress(A44)</f>
        <v>https://open-measure.atlassian.net/wiki/spaces/DIC/pages/81101655</v>
      </c>
    </row>
    <row r="45" spans="1:3" x14ac:dyDescent="0.35">
      <c r="A45" s="5" t="s">
        <v>44</v>
      </c>
      <c r="B45" t="str">
        <f t="shared" si="0"/>
        <v>Authenticated Users</v>
      </c>
      <c r="C45" s="6" t="str" cm="1">
        <f t="array" ref="C45">GetHyperlinkAddress(A45)</f>
        <v>https://open-measure.atlassian.net/wiki/spaces/DIC/pages/966492169</v>
      </c>
    </row>
    <row r="46" spans="1:3" x14ac:dyDescent="0.35">
      <c r="A46" s="5" t="s">
        <v>45</v>
      </c>
      <c r="B46" t="str">
        <f t="shared" si="0"/>
        <v>Authentication</v>
      </c>
      <c r="C46" s="6" t="str" cm="1">
        <f t="array" ref="C46">GetHyperlinkAddress(A46)</f>
        <v>https://open-measure.atlassian.net/wiki/spaces/DIC/pages/61177884</v>
      </c>
    </row>
    <row r="47" spans="1:3" x14ac:dyDescent="0.35">
      <c r="A47" s="5" t="s">
        <v>46</v>
      </c>
      <c r="B47" t="str">
        <f t="shared" si="0"/>
        <v>Authentication Factor</v>
      </c>
      <c r="C47" s="6" t="str" cm="1">
        <f t="array" ref="C47">GetHyperlinkAddress(A47)</f>
        <v>https://open-measure.atlassian.net/wiki/spaces/DIC/pages/81199158</v>
      </c>
    </row>
    <row r="48" spans="1:3" x14ac:dyDescent="0.35">
      <c r="A48" s="5" t="s">
        <v>47</v>
      </c>
      <c r="B48" t="str">
        <f t="shared" si="0"/>
        <v>Authenticator</v>
      </c>
      <c r="C48" s="6" t="str" cm="1">
        <f t="array" ref="C48">GetHyperlinkAddress(A48)</f>
        <v>https://open-measure.atlassian.net/wiki/spaces/DIC/pages/848724060</v>
      </c>
    </row>
    <row r="49" spans="1:3" x14ac:dyDescent="0.35">
      <c r="A49" s="5" t="s">
        <v>48</v>
      </c>
      <c r="B49" t="str">
        <f t="shared" si="0"/>
        <v>Authority</v>
      </c>
      <c r="C49" s="6" t="str" cm="1">
        <f t="array" ref="C49">GetHyperlinkAddress(A49)</f>
        <v>https://open-measure.atlassian.net/wiki/spaces/DIC/pages/998178905</v>
      </c>
    </row>
    <row r="50" spans="1:3" x14ac:dyDescent="0.35">
      <c r="A50" s="5" t="s">
        <v>49</v>
      </c>
      <c r="B50" t="str">
        <f t="shared" si="0"/>
        <v>Authorization</v>
      </c>
      <c r="C50" s="6" t="str" cm="1">
        <f t="array" ref="C50">GetHyperlinkAddress(A50)</f>
        <v>https://open-measure.atlassian.net/wiki/spaces/DIC/pages/60882993</v>
      </c>
    </row>
    <row r="51" spans="1:3" x14ac:dyDescent="0.35">
      <c r="A51" s="5" t="s">
        <v>50</v>
      </c>
      <c r="B51" t="str">
        <f t="shared" si="0"/>
        <v>Authorization Externalization</v>
      </c>
      <c r="C51" s="6" t="str" cm="1">
        <f t="array" ref="C51">GetHyperlinkAddress(A51)</f>
        <v>https://open-measure.atlassian.net/wiki/spaces/DIC/pages/1137573936/Authorization+Externalization</v>
      </c>
    </row>
    <row r="52" spans="1:3" x14ac:dyDescent="0.35">
      <c r="A52" s="5" t="s">
        <v>51</v>
      </c>
      <c r="B52" t="str">
        <f t="shared" si="0"/>
        <v>Awareness</v>
      </c>
      <c r="C52" s="6" t="str" cm="1">
        <f t="array" ref="C52">GetHyperlinkAddress(A52)</f>
        <v>https://open-measure.atlassian.net/wiki/spaces/DIC/pages/1311472</v>
      </c>
    </row>
    <row r="53" spans="1:3" x14ac:dyDescent="0.35">
      <c r="A53" s="5" t="s">
        <v>52</v>
      </c>
      <c r="B53" t="str">
        <f t="shared" si="0"/>
        <v>AWS Account Root User</v>
      </c>
      <c r="C53" s="6" t="str" cm="1">
        <f t="array" ref="C53">GetHyperlinkAddress(A53)</f>
        <v>https://open-measure.atlassian.net/wiki/spaces/DIC/pages/998277774</v>
      </c>
    </row>
    <row r="54" spans="1:3" x14ac:dyDescent="0.35">
      <c r="A54" s="5" t="s">
        <v>53</v>
      </c>
      <c r="B54" t="str">
        <f t="shared" si="0"/>
        <v>AWS ACL</v>
      </c>
      <c r="C54" s="6" t="str" cm="1">
        <f t="array" ref="C54">GetHyperlinkAddress(A54)</f>
        <v>https://open-measure.atlassian.net/wiki/spaces/DIC/pages/998245198</v>
      </c>
    </row>
    <row r="55" spans="1:3" x14ac:dyDescent="0.35">
      <c r="A55" s="5" t="s">
        <v>54</v>
      </c>
      <c r="B55" t="str">
        <f t="shared" si="0"/>
        <v>AWS IAM</v>
      </c>
      <c r="C55" s="6" t="str" cm="1">
        <f t="array" ref="C55">GetHyperlinkAddress(A55)</f>
        <v>https://open-measure.atlassian.net/wiki/spaces/DIC/pages/998277876</v>
      </c>
    </row>
    <row r="56" spans="1:3" x14ac:dyDescent="0.35">
      <c r="A56" s="5" t="s">
        <v>55</v>
      </c>
      <c r="B56" t="str">
        <f t="shared" si="0"/>
        <v>AWS IAM Group</v>
      </c>
      <c r="C56" s="6" t="str" cm="1">
        <f t="array" ref="C56">GetHyperlinkAddress(A56)</f>
        <v>https://open-measure.atlassian.net/wiki/spaces/DIC/pages/998277805</v>
      </c>
    </row>
    <row r="57" spans="1:3" x14ac:dyDescent="0.35">
      <c r="A57" s="5" t="s">
        <v>56</v>
      </c>
      <c r="B57" t="str">
        <f t="shared" si="0"/>
        <v>AWS IAM Policy</v>
      </c>
      <c r="C57" s="6" t="str" cm="1">
        <f t="array" ref="C57">GetHyperlinkAddress(A57)</f>
        <v>https://open-measure.atlassian.net/wiki/spaces/DIC/pages/998277852</v>
      </c>
    </row>
    <row r="58" spans="1:3" x14ac:dyDescent="0.35">
      <c r="A58" s="5" t="s">
        <v>57</v>
      </c>
      <c r="B58" t="str">
        <f t="shared" si="0"/>
        <v>AWS IAM Principal</v>
      </c>
      <c r="C58" s="6" t="str" cm="1">
        <f t="array" ref="C58">GetHyperlinkAddress(A58)</f>
        <v>https://open-measure.atlassian.net/wiki/spaces/DIC/pages/1071251573</v>
      </c>
    </row>
    <row r="59" spans="1:3" x14ac:dyDescent="0.35">
      <c r="A59" s="5" t="s">
        <v>58</v>
      </c>
      <c r="B59" t="str">
        <f t="shared" si="0"/>
        <v>AWS IAM Role</v>
      </c>
      <c r="C59" s="6" t="str" cm="1">
        <f t="array" ref="C59">GetHyperlinkAddress(A59)</f>
        <v>https://open-measure.atlassian.net/wiki/spaces/DIC/pages/998245151</v>
      </c>
    </row>
    <row r="60" spans="1:3" x14ac:dyDescent="0.35">
      <c r="A60" s="5" t="s">
        <v>59</v>
      </c>
      <c r="B60" t="str">
        <f t="shared" si="0"/>
        <v>AWS IAM Temporary Security Credentials</v>
      </c>
      <c r="C60" s="6" t="str" cm="1">
        <f t="array" ref="C60">GetHyperlinkAddress(A60)</f>
        <v>https://open-measure.atlassian.net/wiki/spaces/DIC/pages/998277835</v>
      </c>
    </row>
    <row r="61" spans="1:3" x14ac:dyDescent="0.35">
      <c r="A61" s="5" t="s">
        <v>60</v>
      </c>
      <c r="B61" t="str">
        <f t="shared" si="0"/>
        <v>AWS IAM User</v>
      </c>
      <c r="C61" s="6" t="str" cm="1">
        <f t="array" ref="C61">GetHyperlinkAddress(A61)</f>
        <v>https://open-measure.atlassian.net/wiki/spaces/DIC/pages/998245125</v>
      </c>
    </row>
    <row r="62" spans="1:3" x14ac:dyDescent="0.35">
      <c r="A62" s="5" t="s">
        <v>61</v>
      </c>
      <c r="B62" t="str">
        <f t="shared" si="0"/>
        <v>Axioms of Conjointness</v>
      </c>
      <c r="C62" s="6" t="str" cm="1">
        <f t="array" ref="C62">GetHyperlinkAddress(A62)</f>
        <v>https://open-measure.atlassian.net/wiki/spaces/DIC/pages/5899336</v>
      </c>
    </row>
    <row r="63" spans="1:3" x14ac:dyDescent="0.35">
      <c r="A63" s="5" t="s">
        <v>62</v>
      </c>
      <c r="B63" t="str">
        <f t="shared" si="0"/>
        <v>Axioms of Difference</v>
      </c>
      <c r="C63" s="6" t="str" cm="1">
        <f t="array" ref="C63">GetHyperlinkAddress(A63)</f>
        <v>https://open-measure.atlassian.net/wiki/spaces/DIC/pages/5899322</v>
      </c>
    </row>
    <row r="64" spans="1:3" x14ac:dyDescent="0.35">
      <c r="A64" s="5" t="s">
        <v>63</v>
      </c>
      <c r="B64" t="str">
        <f t="shared" si="0"/>
        <v>Axioms of Extension</v>
      </c>
      <c r="C64" s="6" t="str" cm="1">
        <f t="array" ref="C64">GetHyperlinkAddress(A64)</f>
        <v>https://open-measure.atlassian.net/wiki/spaces/DIC/pages/5932067</v>
      </c>
    </row>
    <row r="65" spans="1:3" x14ac:dyDescent="0.35">
      <c r="A65" s="5" t="s">
        <v>64</v>
      </c>
      <c r="B65" t="str">
        <f t="shared" si="0"/>
        <v>Axioms of Geometry</v>
      </c>
      <c r="C65" s="6" t="str" cm="1">
        <f t="array" ref="C65">GetHyperlinkAddress(A65)</f>
        <v>https://open-measure.atlassian.net/wiki/spaces/DIC/pages/5899351</v>
      </c>
    </row>
    <row r="66" spans="1:3" x14ac:dyDescent="0.35">
      <c r="A66" s="5" t="s">
        <v>65</v>
      </c>
      <c r="B66" t="str">
        <f t="shared" si="0"/>
        <v>Axioms of Order</v>
      </c>
      <c r="C66" s="6" t="str" cm="1">
        <f t="array" ref="C66">GetHyperlinkAddress(A66)</f>
        <v>https://open-measure.atlassian.net/wiki/spaces/DIC/pages/5965008</v>
      </c>
    </row>
    <row r="67" spans="1:3" x14ac:dyDescent="0.35">
      <c r="A67" s="5" t="s">
        <v>66</v>
      </c>
      <c r="B67" t="str">
        <f t="shared" si="0"/>
        <v>Balance</v>
      </c>
      <c r="C67" s="6" t="str" cm="1">
        <f t="array" ref="C67">GetHyperlinkAddress(A67)</f>
        <v>https://open-measure.atlassian.net/wiki/spaces/DIC/pages/59441158</v>
      </c>
    </row>
    <row r="68" spans="1:3" x14ac:dyDescent="0.35">
      <c r="A68" s="5" t="s">
        <v>67</v>
      </c>
      <c r="B68" t="str">
        <f t="shared" si="0"/>
        <v>BankID</v>
      </c>
      <c r="C68" s="6" t="str" cm="1">
        <f t="array" ref="C68">GetHyperlinkAddress(A68)</f>
        <v>https://open-measure.atlassian.net/wiki/spaces/DIC/pages/797933843</v>
      </c>
    </row>
    <row r="69" spans="1:3" x14ac:dyDescent="0.35">
      <c r="A69" s="5" t="s">
        <v>68</v>
      </c>
      <c r="B69" t="str">
        <f t="shared" si="0"/>
        <v>Basic Indicator</v>
      </c>
      <c r="C69" s="6" t="str" cm="1">
        <f t="array" ref="C69">GetHyperlinkAddress(A69)</f>
        <v>https://open-measure.atlassian.net/wiki/spaces/DIC/pages/43581631</v>
      </c>
    </row>
    <row r="70" spans="1:3" x14ac:dyDescent="0.35">
      <c r="A70" s="5" t="s">
        <v>69</v>
      </c>
      <c r="B70" t="str">
        <f t="shared" ref="B70:B133" si="1">SUBSTITUTE(CLEAN(A70)," (Dictionary Entry)","")</f>
        <v>Basic Z Rule</v>
      </c>
      <c r="C70" s="6" t="str" cm="1">
        <f t="array" ref="C70">GetHyperlinkAddress(A70)</f>
        <v>https://open-measure.atlassian.net/wiki/spaces/DIC/pages/1228079157</v>
      </c>
    </row>
    <row r="71" spans="1:3" x14ac:dyDescent="0.35">
      <c r="A71" s="5" t="s">
        <v>70</v>
      </c>
      <c r="B71" t="str">
        <f t="shared" si="1"/>
        <v>Behavioral Authentication</v>
      </c>
      <c r="C71" s="6" t="str" cm="1">
        <f t="array" ref="C71">GetHyperlinkAddress(A71)</f>
        <v>https://open-measure.atlassian.net/wiki/spaces/DIC/pages/1673527501/Behavioral+Authentication</v>
      </c>
    </row>
    <row r="72" spans="1:3" x14ac:dyDescent="0.35">
      <c r="A72" s="5" t="s">
        <v>71</v>
      </c>
      <c r="B72" t="str">
        <f t="shared" si="1"/>
        <v>Behavioural Indicator</v>
      </c>
      <c r="C72" s="6" t="str" cm="1">
        <f t="array" ref="C72">GetHyperlinkAddress(A72)</f>
        <v>https://open-measure.atlassian.net/wiki/spaces/DIC/pages/49250383</v>
      </c>
    </row>
    <row r="73" spans="1:3" x14ac:dyDescent="0.35">
      <c r="A73" s="5" t="s">
        <v>72</v>
      </c>
      <c r="B73" t="str">
        <f t="shared" si="1"/>
        <v>Bell-LaPadula Model</v>
      </c>
      <c r="C73" s="6" t="str" cm="1">
        <f t="array" ref="C73">GetHyperlinkAddress(A73)</f>
        <v>https://open-measure.atlassian.net/wiki/spaces/DIC/pages/1237549087/Bell-LaPadula+Model</v>
      </c>
    </row>
    <row r="74" spans="1:3" x14ac:dyDescent="0.35">
      <c r="A74" s="5" t="s">
        <v>73</v>
      </c>
      <c r="B74" t="str">
        <f t="shared" si="1"/>
        <v>Benchmarking</v>
      </c>
      <c r="C74" s="6" t="str" cm="1">
        <f t="array" ref="C74">GetHyperlinkAddress(A74)</f>
        <v>https://open-measure.atlassian.net/wiki/spaces/DIC/pages/1015823</v>
      </c>
    </row>
    <row r="75" spans="1:3" x14ac:dyDescent="0.35">
      <c r="A75" s="5" t="s">
        <v>74</v>
      </c>
      <c r="B75" t="str">
        <f t="shared" si="1"/>
        <v>Biometric Identification</v>
      </c>
      <c r="C75" s="6" t="str" cm="1">
        <f t="array" ref="C75">GetHyperlinkAddress(A75)</f>
        <v>https://open-measure.atlassian.net/wiki/spaces/DIC/pages/409174210</v>
      </c>
    </row>
    <row r="76" spans="1:3" x14ac:dyDescent="0.35">
      <c r="A76" s="5" t="s">
        <v>75</v>
      </c>
      <c r="B76" t="str">
        <f t="shared" si="1"/>
        <v>Biometrics</v>
      </c>
      <c r="C76" s="6" t="str" cm="1">
        <f t="array" ref="C76">GetHyperlinkAddress(A76)</f>
        <v>https://open-measure.atlassian.net/wiki/spaces/DIC/pages/409010581</v>
      </c>
    </row>
    <row r="77" spans="1:3" x14ac:dyDescent="0.35">
      <c r="A77" s="5" t="s">
        <v>76</v>
      </c>
      <c r="B77" t="str">
        <f t="shared" si="1"/>
        <v>Birth Certificate</v>
      </c>
      <c r="C77" s="6" t="str" cm="1">
        <f t="array" ref="C77">GetHyperlinkAddress(A77)</f>
        <v>https://open-measure.atlassian.net/wiki/spaces/DIC/pages/1031209441</v>
      </c>
    </row>
    <row r="78" spans="1:3" x14ac:dyDescent="0.35">
      <c r="A78" s="5" t="s">
        <v>77</v>
      </c>
      <c r="B78" t="str">
        <f t="shared" si="1"/>
        <v>Blast Radius</v>
      </c>
      <c r="C78" s="6" t="str" cm="1">
        <f t="array" ref="C78">GetHyperlinkAddress(A78)</f>
        <v>https://open-measure.atlassian.net/wiki/spaces/DIC/pages/794492970</v>
      </c>
    </row>
    <row r="79" spans="1:3" x14ac:dyDescent="0.35">
      <c r="A79" s="5" t="s">
        <v>78</v>
      </c>
      <c r="B79" t="str">
        <f t="shared" si="1"/>
        <v>Blockchain</v>
      </c>
      <c r="C79" s="6" t="str" cm="1">
        <f t="array" ref="C79">GetHyperlinkAddress(A79)</f>
        <v>https://open-measure.atlassian.net/wiki/spaces/DIC/pages/408944842</v>
      </c>
    </row>
    <row r="80" spans="1:3" x14ac:dyDescent="0.35">
      <c r="A80" s="5" t="s">
        <v>79</v>
      </c>
      <c r="B80" t="str">
        <f t="shared" si="1"/>
        <v>Boundary Control</v>
      </c>
      <c r="C80" s="6" t="str" cm="1">
        <f t="array" ref="C80">GetHyperlinkAddress(A80)</f>
        <v>https://open-measure.atlassian.net/wiki/spaces/DIC/pages/1571389777/Boundary+Control</v>
      </c>
    </row>
    <row r="81" spans="1:3" x14ac:dyDescent="0.35">
      <c r="A81" s="5" t="s">
        <v>80</v>
      </c>
      <c r="B81" t="str">
        <f t="shared" si="1"/>
        <v>Broker</v>
      </c>
      <c r="C81" s="6" t="str" cm="1">
        <f t="array" ref="C81">GetHyperlinkAddress(A81)</f>
        <v>https://open-measure.atlassian.net/wiki/spaces/DIC/pages/81101750</v>
      </c>
    </row>
    <row r="82" spans="1:3" x14ac:dyDescent="0.35">
      <c r="A82" s="5" t="s">
        <v>81</v>
      </c>
      <c r="B82" t="str">
        <f t="shared" si="1"/>
        <v>Brute Force Attack</v>
      </c>
      <c r="C82" s="6" t="str" cm="1">
        <f t="array" ref="C82">GetHyperlinkAddress(A82)</f>
        <v>https://open-measure.atlassian.net/wiki/spaces/DIC/pages/1348763687/Brute+Force+Attack</v>
      </c>
    </row>
    <row r="83" spans="1:3" x14ac:dyDescent="0.35">
      <c r="A83" s="5" t="s">
        <v>82</v>
      </c>
      <c r="B83" t="str">
        <f t="shared" si="1"/>
        <v>Built-in</v>
      </c>
      <c r="C83" s="6" t="str" cm="1">
        <f t="array" ref="C83">GetHyperlinkAddress(A83)</f>
        <v>https://open-measure.atlassian.net/wiki/spaces/DIC/pages/140772106</v>
      </c>
    </row>
    <row r="84" spans="1:3" x14ac:dyDescent="0.35">
      <c r="A84" s="5" t="s">
        <v>83</v>
      </c>
      <c r="B84" t="str">
        <f t="shared" si="1"/>
        <v>BZR</v>
      </c>
      <c r="C84" s="6" t="str" cm="1">
        <f t="array" ref="C84">GetHyperlinkAddress(A84)</f>
        <v>https://open-measure.atlassian.net/wiki/spaces/DIC/pages/1228079170/BZR</v>
      </c>
    </row>
    <row r="85" spans="1:3" x14ac:dyDescent="0.35">
      <c r="A85" s="5" t="s">
        <v>84</v>
      </c>
      <c r="B85" t="str">
        <f t="shared" si="1"/>
        <v>Cached Credential</v>
      </c>
      <c r="C85" s="6" t="str" cm="1">
        <f t="array" ref="C85">GetHyperlinkAddress(A85)</f>
        <v>https://open-measure.atlassian.net/wiki/spaces/DIC/pages/1254588417/Cached+Credential</v>
      </c>
    </row>
    <row r="86" spans="1:3" x14ac:dyDescent="0.35">
      <c r="A86" s="5" t="s">
        <v>85</v>
      </c>
      <c r="B86" t="str">
        <f t="shared" si="1"/>
        <v>Capability</v>
      </c>
      <c r="C86" s="6" t="str" cm="1">
        <f t="array" ref="C86">GetHyperlinkAddress(A86)</f>
        <v>https://open-measure.atlassian.net/wiki/spaces/DIC/pages/823394314</v>
      </c>
    </row>
    <row r="87" spans="1:3" x14ac:dyDescent="0.35">
      <c r="A87" s="5" t="s">
        <v>86</v>
      </c>
      <c r="B87" t="str">
        <f t="shared" si="1"/>
        <v>Cardinal Scale</v>
      </c>
      <c r="C87" s="6" t="str" cm="1">
        <f t="array" ref="C87">GetHyperlinkAddress(A87)</f>
        <v>https://open-measure.atlassian.net/wiki/spaces/DIC/pages/11567293</v>
      </c>
    </row>
    <row r="88" spans="1:3" x14ac:dyDescent="0.35">
      <c r="A88" s="5" t="s">
        <v>87</v>
      </c>
      <c r="B88" t="str">
        <f t="shared" si="1"/>
        <v>Categorical Scale</v>
      </c>
      <c r="C88" s="6" t="str" cm="1">
        <f t="array" ref="C88">GetHyperlinkAddress(A88)</f>
        <v>https://open-measure.atlassian.net/wiki/spaces/DIC/pages/5900130</v>
      </c>
    </row>
    <row r="89" spans="1:3" x14ac:dyDescent="0.35">
      <c r="A89" s="5" t="s">
        <v>88</v>
      </c>
      <c r="B89" t="str">
        <f t="shared" si="1"/>
        <v>CDD</v>
      </c>
      <c r="C89" s="6" t="str" cm="1">
        <f t="array" ref="C89">GetHyperlinkAddress(A89)</f>
        <v>https://open-measure.atlassian.net/wiki/spaces/DIC/pages/442466346/CDD</v>
      </c>
    </row>
    <row r="90" spans="1:3" x14ac:dyDescent="0.35">
      <c r="A90" s="5" t="s">
        <v>89</v>
      </c>
      <c r="B90" t="str">
        <f t="shared" si="1"/>
        <v>Centralized Identity Management System</v>
      </c>
      <c r="C90" s="6" t="str" cm="1">
        <f t="array" ref="C90">GetHyperlinkAddress(A90)</f>
        <v>https://open-measure.atlassian.net/wiki/spaces/DIC/pages/1152483641</v>
      </c>
    </row>
    <row r="91" spans="1:3" x14ac:dyDescent="0.35">
      <c r="A91" s="5" t="s">
        <v>90</v>
      </c>
      <c r="B91" t="str">
        <f t="shared" si="1"/>
        <v>Certification</v>
      </c>
      <c r="C91" s="6" t="str" cm="1">
        <f t="array" ref="C91">GetHyperlinkAddress(A91)</f>
        <v>https://open-measure.atlassian.net/wiki/spaces/DIC/pages/823459864</v>
      </c>
    </row>
    <row r="92" spans="1:3" x14ac:dyDescent="0.35">
      <c r="A92" s="5" t="s">
        <v>91</v>
      </c>
      <c r="B92" t="str">
        <f t="shared" si="1"/>
        <v>CIBA</v>
      </c>
      <c r="C92" s="6" t="str" cm="1">
        <f t="array" ref="C92">GetHyperlinkAddress(A92)</f>
        <v>https://open-measure.atlassian.net/wiki/spaces/DIC/pages/1290076214/CIBA</v>
      </c>
    </row>
    <row r="93" spans="1:3" x14ac:dyDescent="0.35">
      <c r="A93" s="5" t="s">
        <v>92</v>
      </c>
      <c r="B93" t="str">
        <f t="shared" si="1"/>
        <v>Claim</v>
      </c>
      <c r="C93" s="6" t="str" cm="1">
        <f t="array" ref="C93">GetHyperlinkAddress(A93)</f>
        <v>https://open-measure.atlassian.net/wiki/spaces/DIC/pages/1323499650/Claim</v>
      </c>
    </row>
    <row r="94" spans="1:3" x14ac:dyDescent="0.35">
      <c r="A94" s="5" t="s">
        <v>94</v>
      </c>
      <c r="B94" t="str">
        <f t="shared" si="1"/>
        <v>Claim Registry Model</v>
      </c>
      <c r="C94" s="6" t="str" cm="1">
        <f t="array" ref="C94">GetHyperlinkAddress(A94)</f>
        <v>https://open-measure.atlassian.net/wiki/spaces/DIC/pages/1309605928/Claim+Registry+Model</v>
      </c>
    </row>
    <row r="95" spans="1:3" x14ac:dyDescent="0.35">
      <c r="A95" s="5" t="s">
        <v>93</v>
      </c>
      <c r="B95" t="str">
        <f t="shared" si="1"/>
        <v>Claimant</v>
      </c>
      <c r="C95" s="6" t="str" cm="1">
        <f t="array" ref="C95">GetHyperlinkAddress(A95)</f>
        <v>https://open-measure.atlassian.net/wiki/spaces/DIC/pages/848363630</v>
      </c>
    </row>
    <row r="96" spans="1:3" x14ac:dyDescent="0.35">
      <c r="A96" s="5" t="s">
        <v>95</v>
      </c>
      <c r="B96" t="str">
        <f t="shared" si="1"/>
        <v>Classification</v>
      </c>
      <c r="C96" s="6" t="str" cm="1">
        <f t="array" ref="C96">GetHyperlinkAddress(A96)</f>
        <v>https://open-measure.atlassian.net/wiki/spaces/DIC/pages/140771387</v>
      </c>
    </row>
    <row r="97" spans="1:3" x14ac:dyDescent="0.35">
      <c r="A97" s="5" t="s">
        <v>96</v>
      </c>
      <c r="B97" t="str">
        <f t="shared" si="1"/>
        <v>Client Initiated Backchannel Authentication</v>
      </c>
      <c r="C97" s="6" t="str" cm="1">
        <f t="array" ref="C97">GetHyperlinkAddress(A97)</f>
        <v>https://open-measure.atlassian.net/wiki/spaces/DIC/pages/1290076229/Client+Initiated+Backchannel+Authentication</v>
      </c>
    </row>
    <row r="98" spans="1:3" x14ac:dyDescent="0.35">
      <c r="A98" s="5" t="s">
        <v>97</v>
      </c>
      <c r="B98" t="str">
        <f t="shared" si="1"/>
        <v>Cloud Identity Management System</v>
      </c>
      <c r="C98" s="6" t="str" cm="1">
        <f t="array" ref="C98">GetHyperlinkAddress(A98)</f>
        <v>https://open-measure.atlassian.net/wiki/spaces/DIC/pages/1152516136</v>
      </c>
    </row>
    <row r="99" spans="1:3" x14ac:dyDescent="0.35">
      <c r="A99" s="5" t="s">
        <v>98</v>
      </c>
      <c r="B99" t="str">
        <f t="shared" si="1"/>
        <v>Cloud IdMS</v>
      </c>
      <c r="C99" s="6" t="str" cm="1">
        <f t="array" ref="C99">GetHyperlinkAddress(A99)</f>
        <v>https://open-measure.atlassian.net/wiki/spaces/DIC/pages/1152516118</v>
      </c>
    </row>
    <row r="100" spans="1:3" x14ac:dyDescent="0.35">
      <c r="A100" s="5" t="s">
        <v>99</v>
      </c>
      <c r="B100" t="str">
        <f t="shared" si="1"/>
        <v>Cloud Service Consumers</v>
      </c>
      <c r="C100" s="6" t="str" cm="1">
        <f t="array" ref="C100">GetHyperlinkAddress(A100)</f>
        <v>https://open-measure.atlassian.net/wiki/spaces/DIC/pages/1147043959</v>
      </c>
    </row>
    <row r="101" spans="1:3" x14ac:dyDescent="0.35">
      <c r="A101" s="5" t="s">
        <v>100</v>
      </c>
      <c r="B101" t="str">
        <f t="shared" si="1"/>
        <v>Cloud Service Provider</v>
      </c>
      <c r="C101" s="6" t="str" cm="1">
        <f t="array" ref="C101">GetHyperlinkAddress(A101)</f>
        <v>https://open-measure.atlassian.net/wiki/spaces/DIC/pages/206307528</v>
      </c>
    </row>
    <row r="102" spans="1:3" x14ac:dyDescent="0.35">
      <c r="A102" s="5" t="s">
        <v>101</v>
      </c>
      <c r="B102" t="str">
        <f t="shared" si="1"/>
        <v>Cloud Service User</v>
      </c>
      <c r="C102" s="6" t="str" cm="1">
        <f t="array" ref="C102">GetHyperlinkAddress(A102)</f>
        <v>https://open-measure.atlassian.net/wiki/spaces/DIC/pages/206766142/Cloud+Service+User</v>
      </c>
    </row>
    <row r="103" spans="1:3" x14ac:dyDescent="0.35">
      <c r="A103" s="5" t="s">
        <v>102</v>
      </c>
      <c r="B103" t="str">
        <f t="shared" si="1"/>
        <v>Cluster Analysis</v>
      </c>
      <c r="C103" s="6" t="str" cm="1">
        <f t="array" ref="C103">GetHyperlinkAddress(A103)</f>
        <v>https://open-measure.atlassian.net/wiki/spaces/DIC/pages/148308199</v>
      </c>
    </row>
    <row r="104" spans="1:3" x14ac:dyDescent="0.35">
      <c r="A104" s="5" t="s">
        <v>103</v>
      </c>
      <c r="B104" t="str">
        <f t="shared" si="1"/>
        <v>Code</v>
      </c>
      <c r="C104" s="6" t="str" cm="1">
        <f t="array" ref="C104">GetHyperlinkAddress(A104)</f>
        <v>https://open-measure.atlassian.net/wiki/spaces/DIC/pages/1311881</v>
      </c>
    </row>
    <row r="105" spans="1:3" x14ac:dyDescent="0.35">
      <c r="A105" s="5" t="s">
        <v>104</v>
      </c>
      <c r="B105" t="str">
        <f t="shared" si="1"/>
        <v>Commission Error</v>
      </c>
      <c r="C105" s="6" t="str" cm="1">
        <f t="array" ref="C105">GetHyperlinkAddress(A105)</f>
        <v>https://open-measure.atlassian.net/wiki/spaces/DIC/pages/998277125</v>
      </c>
    </row>
    <row r="106" spans="1:3" x14ac:dyDescent="0.35">
      <c r="A106" s="5" t="s">
        <v>105</v>
      </c>
      <c r="B106" t="str">
        <f t="shared" si="1"/>
        <v>Compensation</v>
      </c>
      <c r="C106" s="6" t="str" cm="1">
        <f t="array" ref="C106">GetHyperlinkAddress(A106)</f>
        <v>https://open-measure.atlassian.net/wiki/spaces/DIC/pages/43516102</v>
      </c>
    </row>
    <row r="107" spans="1:3" x14ac:dyDescent="0.35">
      <c r="A107" s="5" t="s">
        <v>106</v>
      </c>
      <c r="B107" t="str">
        <f t="shared" si="1"/>
        <v>Competence</v>
      </c>
      <c r="C107" s="6" t="str" cm="1">
        <f t="array" ref="C107">GetHyperlinkAddress(A107)</f>
        <v>https://open-measure.atlassian.net/wiki/spaces/DIC/pages/1442363</v>
      </c>
    </row>
    <row r="108" spans="1:3" x14ac:dyDescent="0.35">
      <c r="A108" s="5" t="s">
        <v>107</v>
      </c>
      <c r="B108" t="str">
        <f t="shared" si="1"/>
        <v>Compromised Identity</v>
      </c>
      <c r="C108" s="6" t="str" cm="1">
        <f t="array" ref="C108">GetHyperlinkAddress(A108)</f>
        <v>https://open-measure.atlassian.net/wiki/spaces/DIC/pages/461307985</v>
      </c>
    </row>
    <row r="109" spans="1:3" x14ac:dyDescent="0.35">
      <c r="A109" s="5" t="s">
        <v>108</v>
      </c>
      <c r="B109" t="str">
        <f t="shared" si="1"/>
        <v>Concept</v>
      </c>
      <c r="C109" s="6" t="str" cm="1">
        <f t="array" ref="C109">GetHyperlinkAddress(A109)</f>
        <v>https://open-measure.atlassian.net/wiki/spaces/DIC/pages/3244066</v>
      </c>
    </row>
    <row r="110" spans="1:3" x14ac:dyDescent="0.35">
      <c r="A110" s="5" t="s">
        <v>109</v>
      </c>
      <c r="B110" t="str">
        <f t="shared" si="1"/>
        <v>Conceptual Classification</v>
      </c>
      <c r="C110" s="6" t="str" cm="1">
        <f t="array" ref="C110">GetHyperlinkAddress(A110)</f>
        <v>https://open-measure.atlassian.net/wiki/spaces/DIC/pages/140738810</v>
      </c>
    </row>
    <row r="111" spans="1:3" x14ac:dyDescent="0.35">
      <c r="A111" s="5" t="s">
        <v>110</v>
      </c>
      <c r="B111" t="str">
        <f t="shared" si="1"/>
        <v>Concurrent Impersonation Attack</v>
      </c>
      <c r="C111" s="6" t="str" cm="1">
        <f t="array" ref="C111">GetHyperlinkAddress(A111)</f>
        <v>https://open-measure.atlassian.net/wiki/spaces/DIC/pages/974454827</v>
      </c>
    </row>
    <row r="112" spans="1:3" x14ac:dyDescent="0.35">
      <c r="A112" s="5" t="s">
        <v>111</v>
      </c>
      <c r="B112" t="str">
        <f t="shared" si="1"/>
        <v>Consistency with Representation Target</v>
      </c>
      <c r="C112" s="6" t="str" cm="1">
        <f t="array" ref="C112">GetHyperlinkAddress(A112)</f>
        <v>https://open-measure.atlassian.net/wiki/spaces/DIC/pages/43581505</v>
      </c>
    </row>
    <row r="113" spans="1:3" x14ac:dyDescent="0.35">
      <c r="A113" s="5" t="s">
        <v>112</v>
      </c>
      <c r="B113" t="str">
        <f t="shared" si="1"/>
        <v>Construct</v>
      </c>
      <c r="C113" s="6" t="str" cm="1">
        <f t="array" ref="C113">GetHyperlinkAddress(A113)</f>
        <v>https://open-measure.atlassian.net/wiki/spaces/DIC/pages/3178516</v>
      </c>
    </row>
    <row r="114" spans="1:3" x14ac:dyDescent="0.35">
      <c r="A114" s="5" t="s">
        <v>113</v>
      </c>
      <c r="B114" t="str">
        <f t="shared" si="1"/>
        <v>Constructed Type</v>
      </c>
      <c r="C114" s="6" t="str" cm="1">
        <f t="array" ref="C114">GetHyperlinkAddress(A114)</f>
        <v>https://open-measure.atlassian.net/wiki/spaces/DIC/pages/148308282</v>
      </c>
    </row>
    <row r="115" spans="1:3" x14ac:dyDescent="0.35">
      <c r="A115" s="5" t="s">
        <v>114</v>
      </c>
      <c r="B115" t="str">
        <f t="shared" si="1"/>
        <v>Continuous Authentication</v>
      </c>
      <c r="C115" s="6" t="str" cm="1">
        <f t="array" ref="C115">GetHyperlinkAddress(A115)</f>
        <v>https://open-measure.atlassian.net/wiki/spaces/DIC/pages/877297665</v>
      </c>
    </row>
    <row r="116" spans="1:3" x14ac:dyDescent="0.35">
      <c r="A116" s="5" t="s">
        <v>115</v>
      </c>
      <c r="B116" t="str">
        <f t="shared" si="1"/>
        <v>Control Party</v>
      </c>
      <c r="C116" s="6" t="str" cm="1">
        <f t="array" ref="C116">GetHyperlinkAddress(A116)</f>
        <v>https://open-measure.atlassian.net/wiki/spaces/DIC/pages/82838169</v>
      </c>
    </row>
    <row r="117" spans="1:3" x14ac:dyDescent="0.35">
      <c r="A117" s="5" t="s">
        <v>116</v>
      </c>
      <c r="B117" t="str">
        <f t="shared" si="1"/>
        <v>Core Identity</v>
      </c>
      <c r="C117" s="6" t="str" cm="1">
        <f t="array" ref="C117">GetHyperlinkAddress(A117)</f>
        <v>https://open-measure.atlassian.net/wiki/spaces/DIC/pages/138346642</v>
      </c>
    </row>
    <row r="118" spans="1:3" x14ac:dyDescent="0.35">
      <c r="A118" s="5" t="s">
        <v>117</v>
      </c>
      <c r="B118" t="str">
        <f t="shared" si="1"/>
        <v>Credential</v>
      </c>
      <c r="C118" s="6" t="str" cm="1">
        <f t="array" ref="C118">GetHyperlinkAddress(A118)</f>
        <v>https://open-measure.atlassian.net/wiki/spaces/DIC/pages/67633343/Credential</v>
      </c>
    </row>
    <row r="119" spans="1:3" x14ac:dyDescent="0.35">
      <c r="A119" s="5" t="s">
        <v>118</v>
      </c>
      <c r="B119" t="str">
        <f t="shared" si="1"/>
        <v>Credential Harvesting</v>
      </c>
      <c r="C119" s="6" t="str" cm="1">
        <f t="array" ref="C119">GetHyperlinkAddress(A119)</f>
        <v>https://open-measure.atlassian.net/wiki/spaces/DIC/pages/1254719498/Credential+Harvesting</v>
      </c>
    </row>
    <row r="120" spans="1:3" x14ac:dyDescent="0.35">
      <c r="A120" s="5" t="s">
        <v>119</v>
      </c>
      <c r="B120" t="str">
        <f t="shared" si="1"/>
        <v>Credential Service Provider</v>
      </c>
      <c r="C120" s="6" t="str" cm="1">
        <f t="array" ref="C120">GetHyperlinkAddress(A120)</f>
        <v>https://open-measure.atlassian.net/wiki/spaces/DIC/pages/82870977</v>
      </c>
    </row>
    <row r="121" spans="1:3" x14ac:dyDescent="0.35">
      <c r="A121" s="5" t="s">
        <v>120</v>
      </c>
      <c r="B121" t="str">
        <f t="shared" si="1"/>
        <v>Credential Stuffing</v>
      </c>
      <c r="C121" s="6" t="str" cm="1">
        <f t="array" ref="C121">GetHyperlinkAddress(A121)</f>
        <v>https://open-measure.atlassian.net/wiki/spaces/DIC/pages/1348862053/Credential+Stuffing</v>
      </c>
    </row>
    <row r="122" spans="1:3" x14ac:dyDescent="0.35">
      <c r="A122" s="5" t="s">
        <v>121</v>
      </c>
      <c r="B122" t="str">
        <f t="shared" si="1"/>
        <v>Credential Theft</v>
      </c>
      <c r="C122" s="6" t="str" cm="1">
        <f t="array" ref="C122">GetHyperlinkAddress(A122)</f>
        <v>https://open-measure.atlassian.net/wiki/spaces/DIC/pages/461340725</v>
      </c>
    </row>
    <row r="123" spans="1:3" x14ac:dyDescent="0.35">
      <c r="A123" s="5" t="s">
        <v>122</v>
      </c>
      <c r="B123" t="str">
        <f t="shared" si="1"/>
        <v>Cryptographic Key</v>
      </c>
      <c r="C123" s="6" t="str" cm="1">
        <f t="array" ref="C123">GetHyperlinkAddress(A123)</f>
        <v>https://open-measure.atlassian.net/wiki/spaces/DIC/pages/427130918</v>
      </c>
    </row>
    <row r="124" spans="1:3" x14ac:dyDescent="0.35">
      <c r="A124" s="5" t="s">
        <v>123</v>
      </c>
      <c r="B124" t="str">
        <f t="shared" si="1"/>
        <v>CSC</v>
      </c>
      <c r="C124" s="6" t="str" cm="1">
        <f t="array" ref="C124">GetHyperlinkAddress(A124)</f>
        <v>https://open-measure.atlassian.net/wiki/spaces/DIC/pages/1152516162/CSC</v>
      </c>
    </row>
    <row r="125" spans="1:3" x14ac:dyDescent="0.35">
      <c r="A125" s="5" t="s">
        <v>124</v>
      </c>
      <c r="B125" t="str">
        <f t="shared" si="1"/>
        <v>CSP</v>
      </c>
      <c r="C125" s="6" t="str" cm="1">
        <f t="array" ref="C125">GetHyperlinkAddress(A125)</f>
        <v>https://open-measure.atlassian.net/wiki/spaces/DIC/pages/82903984/CSP</v>
      </c>
    </row>
    <row r="126" spans="1:3" x14ac:dyDescent="0.35">
      <c r="A126" s="5" t="s">
        <v>125</v>
      </c>
      <c r="B126" t="str">
        <f t="shared" si="1"/>
        <v>CSU</v>
      </c>
      <c r="C126" s="6" t="str" cm="1">
        <f t="array" ref="C126">GetHyperlinkAddress(A126)</f>
        <v>https://open-measure.atlassian.net/wiki/spaces/DIC/pages/206667867/CSU</v>
      </c>
    </row>
    <row r="127" spans="1:3" x14ac:dyDescent="0.35">
      <c r="A127" s="5" t="s">
        <v>126</v>
      </c>
      <c r="B127" t="str">
        <f t="shared" si="1"/>
        <v>Customer Due Diligence</v>
      </c>
      <c r="C127" s="6" t="str" cm="1">
        <f t="array" ref="C127">GetHyperlinkAddress(A127)</f>
        <v>https://open-measure.atlassian.net/wiki/spaces/DIC/pages/414482448</v>
      </c>
    </row>
    <row r="128" spans="1:3" x14ac:dyDescent="0.35">
      <c r="A128" s="5" t="s">
        <v>127</v>
      </c>
      <c r="B128" t="str">
        <f t="shared" si="1"/>
        <v>Customer Identification</v>
      </c>
      <c r="C128" s="6" t="str" cm="1">
        <f t="array" ref="C128">GetHyperlinkAddress(A128)</f>
        <v>https://open-measure.atlassian.net/wiki/spaces/DIC/pages/414548006</v>
      </c>
    </row>
    <row r="129" spans="1:3" x14ac:dyDescent="0.35">
      <c r="A129" s="5" t="s">
        <v>128</v>
      </c>
      <c r="B129" t="str">
        <f t="shared" si="1"/>
        <v>Customer Identity</v>
      </c>
      <c r="C129" s="6" t="str" cm="1">
        <f t="array" ref="C129">GetHyperlinkAddress(A129)</f>
        <v>https://open-measure.atlassian.net/wiki/spaces/DIC/pages/138444875</v>
      </c>
    </row>
    <row r="130" spans="1:3" x14ac:dyDescent="0.35">
      <c r="A130" s="5" t="s">
        <v>129</v>
      </c>
      <c r="B130" t="str">
        <f t="shared" si="1"/>
        <v>Customer Identity Verification</v>
      </c>
      <c r="C130" s="6" t="str" cm="1">
        <f t="array" ref="C130">GetHyperlinkAddress(A130)</f>
        <v>https://open-measure.atlassian.net/wiki/spaces/DIC/pages/409010717</v>
      </c>
    </row>
    <row r="131" spans="1:3" x14ac:dyDescent="0.35">
      <c r="A131" s="5" t="s">
        <v>130</v>
      </c>
      <c r="B131" t="str">
        <f t="shared" si="1"/>
        <v>Customer On-Boarding</v>
      </c>
      <c r="C131" s="6" t="str" cm="1">
        <f t="array" ref="C131">GetHyperlinkAddress(A131)</f>
        <v>https://open-measure.atlassian.net/wiki/spaces/DIC/pages/408944928</v>
      </c>
    </row>
    <row r="132" spans="1:3" x14ac:dyDescent="0.35">
      <c r="A132" s="5" t="s">
        <v>131</v>
      </c>
      <c r="B132" t="str">
        <f t="shared" si="1"/>
        <v>Customer Privacy and Consent Management</v>
      </c>
      <c r="C132" s="6" t="str" cm="1">
        <f t="array" ref="C132">GetHyperlinkAddress(A132)</f>
        <v>https://open-measure.atlassian.net/wiki/spaces/DIC/pages/797900801</v>
      </c>
    </row>
    <row r="133" spans="1:3" x14ac:dyDescent="0.35">
      <c r="A133" s="5" t="s">
        <v>132</v>
      </c>
      <c r="B133" t="str">
        <f t="shared" si="1"/>
        <v>Cyber-sabotage</v>
      </c>
      <c r="C133" s="6" t="str" cm="1">
        <f t="array" ref="C133">GetHyperlinkAddress(A133)</f>
        <v>https://open-measure.atlassian.net/wiki/spaces/DIC/pages/1451982933/Cyber-sabotage</v>
      </c>
    </row>
    <row r="134" spans="1:3" x14ac:dyDescent="0.35">
      <c r="A134" s="5" t="s">
        <v>133</v>
      </c>
      <c r="B134" t="str">
        <f t="shared" ref="B134:B197" si="2">SUBSTITUTE(CLEAN(A134)," (Dictionary Entry)","")</f>
        <v>DAC</v>
      </c>
      <c r="C134" s="6" t="str" cm="1">
        <f t="array" ref="C134">GetHyperlinkAddress(A134)</f>
        <v>https://open-measure.atlassian.net/wiki/spaces/DIC/pages/1177845938/DAC</v>
      </c>
    </row>
    <row r="135" spans="1:3" x14ac:dyDescent="0.35">
      <c r="A135" s="5" t="s">
        <v>134</v>
      </c>
      <c r="B135" t="str">
        <f t="shared" si="2"/>
        <v>Data Anonymization</v>
      </c>
      <c r="C135" s="6" t="str" cm="1">
        <f t="array" ref="C135">GetHyperlinkAddress(A135)</f>
        <v>https://open-measure.atlassian.net/wiki/spaces/DIC/pages/1267400850/Data+Anonymization</v>
      </c>
    </row>
    <row r="136" spans="1:3" x14ac:dyDescent="0.35">
      <c r="A136" s="5" t="s">
        <v>135</v>
      </c>
      <c r="B136" t="str">
        <f t="shared" si="2"/>
        <v>Data Custodian</v>
      </c>
      <c r="C136" s="6" t="str" cm="1">
        <f t="array" ref="C136">GetHyperlinkAddress(A136)</f>
        <v>https://open-measure.atlassian.net/wiki/spaces/DIC/pages/998244454</v>
      </c>
    </row>
    <row r="137" spans="1:3" x14ac:dyDescent="0.35">
      <c r="A137" s="5" t="s">
        <v>137</v>
      </c>
      <c r="B137" t="str">
        <f t="shared" si="2"/>
        <v>Data Lineage</v>
      </c>
      <c r="C137" s="6" t="str" cm="1">
        <f t="array" ref="C137">GetHyperlinkAddress(A137)</f>
        <v>https://open-measure.atlassian.net/wiki/spaces/DIC/pages/508330028</v>
      </c>
    </row>
    <row r="138" spans="1:3" x14ac:dyDescent="0.35">
      <c r="A138" s="5" t="s">
        <v>138</v>
      </c>
      <c r="B138" t="str">
        <f t="shared" si="2"/>
        <v>Data Obfuscation</v>
      </c>
      <c r="C138" s="6" t="str" cm="1">
        <f t="array" ref="C138">GetHyperlinkAddress(A138)</f>
        <v>https://open-measure.atlassian.net/wiki/spaces/DIC/pages/1027048097</v>
      </c>
    </row>
    <row r="139" spans="1:3" x14ac:dyDescent="0.35">
      <c r="A139" s="5" t="s">
        <v>139</v>
      </c>
      <c r="B139" t="str">
        <f t="shared" si="2"/>
        <v>Data Owner</v>
      </c>
      <c r="C139" s="6" t="str" cm="1">
        <f t="array" ref="C139">GetHyperlinkAddress(A139)</f>
        <v>https://open-measure.atlassian.net/wiki/spaces/DIC/pages/998179040</v>
      </c>
    </row>
    <row r="140" spans="1:3" x14ac:dyDescent="0.35">
      <c r="A140" s="5" t="s">
        <v>136</v>
      </c>
      <c r="B140" t="str">
        <f t="shared" si="2"/>
        <v>Data-Level Policy</v>
      </c>
      <c r="C140" s="6" t="str" cm="1">
        <f t="array" ref="C140">GetHyperlinkAddress(A140)</f>
        <v>https://open-measure.atlassian.net/wiki/spaces/DIC/pages/1132331029</v>
      </c>
    </row>
    <row r="141" spans="1:3" x14ac:dyDescent="0.35">
      <c r="A141" s="5" t="s">
        <v>140</v>
      </c>
      <c r="B141" t="str">
        <f t="shared" si="2"/>
        <v>Death Certificate</v>
      </c>
      <c r="C141" s="6" t="str" cm="1">
        <f t="array" ref="C141">GetHyperlinkAddress(A141)</f>
        <v>https://open-measure.atlassian.net/wiki/spaces/DIC/pages/1031242134</v>
      </c>
    </row>
    <row r="142" spans="1:3" x14ac:dyDescent="0.35">
      <c r="A142" s="5" t="s">
        <v>141</v>
      </c>
      <c r="B142" t="str">
        <f t="shared" si="2"/>
        <v>Decentralized Identifier</v>
      </c>
      <c r="C142" s="6" t="str" cm="1">
        <f t="array" ref="C142">GetHyperlinkAddress(A142)</f>
        <v>https://open-measure.atlassian.net/wiki/spaces/DIC/pages/782893122</v>
      </c>
    </row>
    <row r="143" spans="1:3" x14ac:dyDescent="0.35">
      <c r="A143" s="5" t="s">
        <v>142</v>
      </c>
      <c r="B143" t="str">
        <f t="shared" si="2"/>
        <v>De-duplication</v>
      </c>
      <c r="C143" s="6" t="str" cm="1">
        <f t="array" ref="C143">GetHyperlinkAddress(A143)</f>
        <v>https://open-measure.atlassian.net/wiki/spaces/DIC/pages/408977837</v>
      </c>
    </row>
    <row r="144" spans="1:3" x14ac:dyDescent="0.35">
      <c r="A144" s="5" t="s">
        <v>143</v>
      </c>
      <c r="B144" t="str">
        <f t="shared" si="2"/>
        <v>Deprovisioning</v>
      </c>
      <c r="C144" s="6" t="str" cm="1">
        <f t="array" ref="C144">GetHyperlinkAddress(A144)</f>
        <v>https://open-measure.atlassian.net/wiki/spaces/DIC/pages/62193665</v>
      </c>
    </row>
    <row r="145" spans="1:3" x14ac:dyDescent="0.35">
      <c r="A145" s="5" t="s">
        <v>144</v>
      </c>
      <c r="B145" t="str">
        <f t="shared" si="2"/>
        <v>Derived Indicator</v>
      </c>
      <c r="C145" s="6" t="str" cm="1">
        <f t="array" ref="C145">GetHyperlinkAddress(A145)</f>
        <v>https://open-measure.atlassian.net/wiki/spaces/DIC/pages/43548767</v>
      </c>
    </row>
    <row r="146" spans="1:3" x14ac:dyDescent="0.35">
      <c r="A146" s="5" t="s">
        <v>145</v>
      </c>
      <c r="B146" t="str">
        <f t="shared" si="2"/>
        <v>DID</v>
      </c>
      <c r="C146" s="6" t="str" cm="1">
        <f t="array" ref="C146">GetHyperlinkAddress(A146)</f>
        <v>https://open-measure.atlassian.net/wiki/spaces/DIC/pages/782925889/DID</v>
      </c>
    </row>
    <row r="147" spans="1:3" x14ac:dyDescent="0.35">
      <c r="A147" s="5" t="s">
        <v>146</v>
      </c>
      <c r="B147" t="str">
        <f t="shared" si="2"/>
        <v>Digital Continuity</v>
      </c>
      <c r="C147" s="6" t="str" cm="1">
        <f t="array" ref="C147">GetHyperlinkAddress(A147)</f>
        <v>https://open-measure.atlassian.net/wiki/spaces/DIC/pages/458326308</v>
      </c>
    </row>
    <row r="148" spans="1:3" x14ac:dyDescent="0.35">
      <c r="A148" s="5" t="s">
        <v>147</v>
      </c>
      <c r="B148" t="str">
        <f t="shared" si="2"/>
        <v>Digital Identification System</v>
      </c>
      <c r="C148" s="6" t="str" cm="1">
        <f t="array" ref="C148">GetHyperlinkAddress(A148)</f>
        <v>https://open-measure.atlassian.net/wiki/spaces/DIC/pages/419561482/Digital+Identification+System</v>
      </c>
    </row>
    <row r="149" spans="1:3" x14ac:dyDescent="0.35">
      <c r="A149" s="5" t="s">
        <v>148</v>
      </c>
      <c r="B149" t="str">
        <f t="shared" si="2"/>
        <v>Digital Identity</v>
      </c>
      <c r="C149" s="6" t="str" cm="1">
        <f t="array" ref="C149">GetHyperlinkAddress(A149)</f>
        <v>https://open-measure.atlassian.net/wiki/spaces/DIC/pages/419528705/Digital+Identity</v>
      </c>
    </row>
    <row r="150" spans="1:3" x14ac:dyDescent="0.35">
      <c r="A150" s="5" t="s">
        <v>149</v>
      </c>
      <c r="B150" t="str">
        <f t="shared" si="2"/>
        <v>Digital Identity Authenticity</v>
      </c>
      <c r="C150" s="6" t="str" cm="1">
        <f t="array" ref="C150">GetHyperlinkAddress(A150)</f>
        <v>https://open-measure.atlassian.net/wiki/spaces/DIC/pages/1270153304/Digital+Identity+Authenticity</v>
      </c>
    </row>
    <row r="151" spans="1:3" x14ac:dyDescent="0.35">
      <c r="A151" s="5" t="s">
        <v>150</v>
      </c>
      <c r="B151" t="str">
        <f t="shared" si="2"/>
        <v>Digital Triangulation</v>
      </c>
      <c r="C151" s="6" t="str" cm="1">
        <f t="array" ref="C151">GetHyperlinkAddress(A151)</f>
        <v>https://open-measure.atlassian.net/wiki/spaces/DIC/pages/796983391</v>
      </c>
    </row>
    <row r="152" spans="1:3" x14ac:dyDescent="0.35">
      <c r="A152" s="5" t="s">
        <v>151</v>
      </c>
      <c r="B152" t="str">
        <f t="shared" si="2"/>
        <v>Discretionary Access Control</v>
      </c>
      <c r="C152" s="6" t="str" cm="1">
        <f t="array" ref="C152">GetHyperlinkAddress(A152)</f>
        <v>https://open-measure.atlassian.net/wiki/spaces/DIC/pages/1181876315</v>
      </c>
    </row>
    <row r="153" spans="1:3" x14ac:dyDescent="0.35">
      <c r="A153" s="5" t="s">
        <v>152</v>
      </c>
      <c r="B153" t="str">
        <f t="shared" si="2"/>
        <v>Distributed Identity</v>
      </c>
      <c r="C153" s="6" t="str" cm="1">
        <f t="array" ref="C153">GetHyperlinkAddress(A153)</f>
        <v>https://open-measure.atlassian.net/wiki/spaces/DIC/pages/810287202</v>
      </c>
    </row>
    <row r="154" spans="1:3" x14ac:dyDescent="0.35">
      <c r="A154" s="5" t="s">
        <v>153</v>
      </c>
      <c r="B154" t="str">
        <f t="shared" si="2"/>
        <v>Distributed Ledger Technology</v>
      </c>
      <c r="C154" s="6" t="str" cm="1">
        <f t="array" ref="C154">GetHyperlinkAddress(A154)</f>
        <v>https://open-measure.atlassian.net/wiki/spaces/DIC/pages/419594251</v>
      </c>
    </row>
    <row r="155" spans="1:3" x14ac:dyDescent="0.35">
      <c r="A155" s="5" t="s">
        <v>154</v>
      </c>
      <c r="B155" t="str">
        <f t="shared" si="2"/>
        <v>Dual Authorization</v>
      </c>
      <c r="C155" s="6" t="str" cm="1">
        <f t="array" ref="C155">GetHyperlinkAddress(A155)</f>
        <v>https://open-measure.atlassian.net/wiki/spaces/DIC/pages/806584322</v>
      </c>
    </row>
    <row r="156" spans="1:3" x14ac:dyDescent="0.35">
      <c r="A156" s="5" t="s">
        <v>155</v>
      </c>
      <c r="B156" t="str">
        <f t="shared" si="2"/>
        <v>ECS</v>
      </c>
      <c r="C156" s="6" t="str" cm="1">
        <f t="array" ref="C156">GetHyperlinkAddress(A156)</f>
        <v>https://open-measure.atlassian.net/wiki/spaces/DIC/pages/206766113</v>
      </c>
    </row>
    <row r="157" spans="1:3" x14ac:dyDescent="0.35">
      <c r="A157" s="5" t="s">
        <v>156</v>
      </c>
      <c r="B157" t="str">
        <f t="shared" si="2"/>
        <v>e-Identity</v>
      </c>
      <c r="C157" s="6" t="str" cm="1">
        <f t="array" ref="C157">GetHyperlinkAddress(A157)</f>
        <v>https://open-measure.atlassian.net/wiki/spaces/DIC/pages/82903896</v>
      </c>
    </row>
    <row r="158" spans="1:3" x14ac:dyDescent="0.35">
      <c r="A158" s="5" t="s">
        <v>157</v>
      </c>
      <c r="B158" t="str">
        <f t="shared" si="2"/>
        <v>EIdM</v>
      </c>
      <c r="C158" s="6" t="str" cm="1">
        <f t="array" ref="C158">GetHyperlinkAddress(A158)</f>
        <v>https://open-measure.atlassian.net/wiki/spaces/DIC/pages/61964467</v>
      </c>
    </row>
    <row r="159" spans="1:3" x14ac:dyDescent="0.35">
      <c r="A159" s="5" t="s">
        <v>158</v>
      </c>
      <c r="B159" t="str">
        <f t="shared" si="2"/>
        <v>Empirical Classification</v>
      </c>
      <c r="C159" s="6" t="str" cm="1">
        <f t="array" ref="C159">GetHyperlinkAddress(A159)</f>
        <v>https://open-measure.atlassian.net/wiki/spaces/DIC/pages/148340918</v>
      </c>
    </row>
    <row r="160" spans="1:3" x14ac:dyDescent="0.35">
      <c r="A160" s="5" t="s">
        <v>159</v>
      </c>
      <c r="B160" t="str">
        <f t="shared" si="2"/>
        <v>Empiricity</v>
      </c>
      <c r="C160" s="6" t="str" cm="1">
        <f t="array" ref="C160">GetHyperlinkAddress(A160)</f>
        <v>https://open-measure.atlassian.net/wiki/spaces/DIC/pages/5965976</v>
      </c>
    </row>
    <row r="161" spans="1:3" x14ac:dyDescent="0.35">
      <c r="A161" s="5" t="s">
        <v>160</v>
      </c>
      <c r="B161" t="str">
        <f t="shared" si="2"/>
        <v>Employee</v>
      </c>
      <c r="C161" s="6" t="str" cm="1">
        <f t="array" ref="C161">GetHyperlinkAddress(A161)</f>
        <v>https://open-measure.atlassian.net/wiki/spaces/DIC/pages/1031209232</v>
      </c>
    </row>
    <row r="162" spans="1:3" x14ac:dyDescent="0.35">
      <c r="A162" s="5" t="s">
        <v>161</v>
      </c>
      <c r="B162" t="str">
        <f t="shared" si="2"/>
        <v>Enterprise Cloud Subscriber</v>
      </c>
      <c r="C162" s="6" t="str" cm="1">
        <f t="array" ref="C162">GetHyperlinkAddress(A162)</f>
        <v>https://open-measure.atlassian.net/wiki/spaces/DIC/pages/206766092</v>
      </c>
    </row>
    <row r="163" spans="1:3" x14ac:dyDescent="0.35">
      <c r="A163" s="5" t="s">
        <v>162</v>
      </c>
      <c r="B163" t="str">
        <f t="shared" si="2"/>
        <v>Enterprise Identity Management</v>
      </c>
      <c r="C163" s="6" t="str" cm="1">
        <f t="array" ref="C163">GetHyperlinkAddress(A163)</f>
        <v>https://open-measure.atlassian.net/wiki/spaces/DIC/pages/62455952</v>
      </c>
    </row>
    <row r="164" spans="1:3" x14ac:dyDescent="0.35">
      <c r="A164" s="5" t="s">
        <v>163</v>
      </c>
      <c r="B164" t="str">
        <f t="shared" si="2"/>
        <v>Enterprise Single Sign-On</v>
      </c>
      <c r="C164" s="6" t="str" cm="1">
        <f t="array" ref="C164">GetHyperlinkAddress(A164)</f>
        <v>https://open-measure.atlassian.net/wiki/spaces/DIC/pages/76021801</v>
      </c>
    </row>
    <row r="165" spans="1:3" x14ac:dyDescent="0.35">
      <c r="A165" s="5" t="s">
        <v>164</v>
      </c>
      <c r="B165" t="str">
        <f t="shared" si="2"/>
        <v>Entitlement</v>
      </c>
      <c r="C165" s="6" t="str" cm="1">
        <f t="array" ref="C165">GetHyperlinkAddress(A165)</f>
        <v>https://open-measure.atlassian.net/wiki/spaces/DIC/pages/1121878049</v>
      </c>
    </row>
    <row r="166" spans="1:3" x14ac:dyDescent="0.35">
      <c r="A166" s="5" t="s">
        <v>166</v>
      </c>
      <c r="B166" t="str">
        <f t="shared" si="2"/>
        <v>Entitlement Management</v>
      </c>
      <c r="C166" s="6" t="str" cm="1">
        <f t="array" ref="C166">GetHyperlinkAddress(A166)</f>
        <v>https://open-measure.atlassian.net/wiki/spaces/DIC/pages/1122566465</v>
      </c>
    </row>
    <row r="167" spans="1:3" x14ac:dyDescent="0.35">
      <c r="A167" s="5" t="s">
        <v>167</v>
      </c>
      <c r="B167" t="str">
        <f t="shared" si="2"/>
        <v>Entitlement Management Process</v>
      </c>
      <c r="C167" s="6" t="str" cm="1">
        <f t="array" ref="C167">GetHyperlinkAddress(A167)</f>
        <v>https://open-measure.atlassian.net/wiki/spaces/DIC/pages/1121910973</v>
      </c>
    </row>
    <row r="168" spans="1:3" x14ac:dyDescent="0.35">
      <c r="A168" s="5" t="s">
        <v>168</v>
      </c>
      <c r="B168" t="str">
        <f t="shared" si="2"/>
        <v>Entitlement Management Solution</v>
      </c>
      <c r="C168" s="6" t="str" cm="1">
        <f t="array" ref="C168">GetHyperlinkAddress(A168)</f>
        <v>https://open-measure.atlassian.net/wiki/spaces/DIC/pages/1122631800</v>
      </c>
    </row>
    <row r="169" spans="1:3" x14ac:dyDescent="0.35">
      <c r="A169" s="5" t="s">
        <v>165</v>
      </c>
      <c r="B169" t="str">
        <f t="shared" si="2"/>
        <v>Entitlement-Based Access Control</v>
      </c>
      <c r="C169" s="6" t="str" cm="1">
        <f t="array" ref="C169">GetHyperlinkAddress(A169)</f>
        <v>https://open-measure.atlassian.net/wiki/spaces/DIC/pages/1122566173</v>
      </c>
    </row>
    <row r="170" spans="1:3" x14ac:dyDescent="0.35">
      <c r="A170" s="5" t="s">
        <v>169</v>
      </c>
      <c r="B170" t="str">
        <f t="shared" si="2"/>
        <v>Entity</v>
      </c>
      <c r="C170" s="6" t="str" cm="1">
        <f t="array" ref="C170">GetHyperlinkAddress(A170)</f>
        <v>https://open-measure.atlassian.net/wiki/spaces/DIC/pages/123830932</v>
      </c>
    </row>
    <row r="171" spans="1:3" x14ac:dyDescent="0.35">
      <c r="A171" s="5" t="s">
        <v>170</v>
      </c>
      <c r="B171" t="str">
        <f t="shared" si="2"/>
        <v>ESSO</v>
      </c>
      <c r="C171" s="6" t="str" cm="1">
        <f t="array" ref="C171">GetHyperlinkAddress(A171)</f>
        <v>https://open-measure.atlassian.net/wiki/spaces/DIC/pages/75956266</v>
      </c>
    </row>
    <row r="172" spans="1:3" x14ac:dyDescent="0.35">
      <c r="A172" s="5" t="s">
        <v>171</v>
      </c>
      <c r="B172" t="str">
        <f t="shared" si="2"/>
        <v>Evaluation Indicator</v>
      </c>
      <c r="C172" s="6" t="str" cm="1">
        <f t="array" ref="C172">GetHyperlinkAddress(A172)</f>
        <v>https://open-measure.atlassian.net/wiki/spaces/DIC/pages/17301568</v>
      </c>
    </row>
    <row r="173" spans="1:3" x14ac:dyDescent="0.35">
      <c r="A173" s="5" t="s">
        <v>172</v>
      </c>
      <c r="B173" t="str">
        <f t="shared" si="2"/>
        <v>Excessive Privilege Abuse</v>
      </c>
      <c r="C173" s="6" t="str" cm="1">
        <f t="array" ref="C173">GetHyperlinkAddress(A173)</f>
        <v>https://open-measure.atlassian.net/wiki/spaces/DIC/pages/1104904275</v>
      </c>
    </row>
    <row r="174" spans="1:3" x14ac:dyDescent="0.35">
      <c r="A174" s="5" t="s">
        <v>173</v>
      </c>
      <c r="B174" t="str">
        <f t="shared" si="2"/>
        <v>Exhaustiveness</v>
      </c>
      <c r="C174" s="6" t="str" cm="1">
        <f t="array" ref="C174">GetHyperlinkAddress(A174)</f>
        <v>https://open-measure.atlassian.net/wiki/spaces/DIC/pages/49316293</v>
      </c>
    </row>
    <row r="175" spans="1:3" x14ac:dyDescent="0.35">
      <c r="A175" s="5" t="s">
        <v>174</v>
      </c>
      <c r="B175" t="str">
        <f t="shared" si="2"/>
        <v>Expanded Password System</v>
      </c>
      <c r="C175" s="6" t="str" cm="1">
        <f t="array" ref="C175">GetHyperlinkAddress(A175)</f>
        <v>https://open-measure.atlassian.net/wiki/spaces/DIC/pages/446824885</v>
      </c>
    </row>
    <row r="176" spans="1:3" x14ac:dyDescent="0.35">
      <c r="A176" s="5" t="s">
        <v>175</v>
      </c>
      <c r="B176" t="str">
        <f t="shared" si="2"/>
        <v>Exploited Identity</v>
      </c>
      <c r="C176" s="6" t="str" cm="1">
        <f t="array" ref="C176">GetHyperlinkAddress(A176)</f>
        <v>https://open-measure.atlassian.net/wiki/spaces/DIC/pages/461275380</v>
      </c>
    </row>
    <row r="177" spans="1:3" x14ac:dyDescent="0.35">
      <c r="A177" s="5" t="s">
        <v>176</v>
      </c>
      <c r="B177" t="str">
        <f t="shared" si="2"/>
        <v>Extended Enterprise</v>
      </c>
      <c r="C177" s="6" t="str" cm="1">
        <f t="array" ref="C177">GetHyperlinkAddress(A177)</f>
        <v>https://open-measure.atlassian.net/wiki/spaces/DIC/pages/82870848</v>
      </c>
    </row>
    <row r="178" spans="1:3" x14ac:dyDescent="0.35">
      <c r="A178" s="5" t="s">
        <v>177</v>
      </c>
      <c r="B178" t="str">
        <f t="shared" si="2"/>
        <v>Extensible Access Control Markup Language</v>
      </c>
      <c r="C178" s="6" t="str" cm="1">
        <f t="array" ref="C178">GetHyperlinkAddress(A178)</f>
        <v>https://open-measure.atlassian.net/wiki/spaces/DIC/pages/1121878505</v>
      </c>
    </row>
    <row r="179" spans="1:3" x14ac:dyDescent="0.35">
      <c r="A179" s="5" t="s">
        <v>178</v>
      </c>
      <c r="B179" t="str">
        <f t="shared" si="2"/>
        <v>Fake Digital Identity</v>
      </c>
      <c r="C179" s="6" t="str" cm="1">
        <f t="array" ref="C179">GetHyperlinkAddress(A179)</f>
        <v>https://open-measure.atlassian.net/wiki/spaces/DIC/pages/1267433567/Fake+Digital+Identity</v>
      </c>
    </row>
    <row r="180" spans="1:3" x14ac:dyDescent="0.35">
      <c r="A180" s="5" t="s">
        <v>179</v>
      </c>
      <c r="B180" t="str">
        <f t="shared" si="2"/>
        <v>FAPI</v>
      </c>
      <c r="C180" s="6" t="str" cm="1">
        <f t="array" ref="C180">GetHyperlinkAddress(A180)</f>
        <v>https://open-measure.atlassian.net/wiki/spaces/DIC/pages/1290141697/FAPI</v>
      </c>
    </row>
    <row r="181" spans="1:3" x14ac:dyDescent="0.35">
      <c r="A181" s="5" t="s">
        <v>180</v>
      </c>
      <c r="B181" t="str">
        <f t="shared" si="2"/>
        <v>Federated Identity Management</v>
      </c>
      <c r="C181" s="6" t="str" cm="1">
        <f t="array" ref="C181">GetHyperlinkAddress(A181)</f>
        <v>https://open-measure.atlassian.net/wiki/spaces/DIC/pages/331579598</v>
      </c>
    </row>
    <row r="182" spans="1:3" x14ac:dyDescent="0.35">
      <c r="A182" s="5" t="s">
        <v>181</v>
      </c>
      <c r="B182" t="str">
        <f t="shared" si="2"/>
        <v>Federated Identity Management System</v>
      </c>
      <c r="C182" s="6" t="str" cm="1">
        <f t="array" ref="C182">GetHyperlinkAddress(A182)</f>
        <v>https://open-measure.atlassian.net/wiki/spaces/DIC/pages/1152483703</v>
      </c>
    </row>
    <row r="183" spans="1:3" x14ac:dyDescent="0.35">
      <c r="A183" s="5" t="s">
        <v>182</v>
      </c>
      <c r="B183" t="str">
        <f t="shared" si="2"/>
        <v>Federated SSO</v>
      </c>
      <c r="C183" s="6" t="str" cm="1">
        <f t="array" ref="C183">GetHyperlinkAddress(A183)</f>
        <v>https://open-measure.atlassian.net/wiki/spaces/DIC/pages/75890786</v>
      </c>
    </row>
    <row r="184" spans="1:3" x14ac:dyDescent="0.35">
      <c r="A184" s="5" t="s">
        <v>183</v>
      </c>
      <c r="B184" t="str">
        <f t="shared" si="2"/>
        <v>Federation Bridge</v>
      </c>
      <c r="C184" s="6" t="str" cm="1">
        <f t="array" ref="C184">GetHyperlinkAddress(A184)</f>
        <v>https://open-measure.atlassian.net/wiki/spaces/DIC/pages/763035693</v>
      </c>
    </row>
    <row r="185" spans="1:3" x14ac:dyDescent="0.35">
      <c r="A185" s="5" t="s">
        <v>184</v>
      </c>
      <c r="B185" t="str">
        <f t="shared" si="2"/>
        <v>FIM</v>
      </c>
      <c r="C185" s="6" t="str" cm="1">
        <f t="array" ref="C185">GetHyperlinkAddress(A185)</f>
        <v>https://open-measure.atlassian.net/wiki/spaces/DIC/pages/331579618</v>
      </c>
    </row>
    <row r="186" spans="1:3" x14ac:dyDescent="0.35">
      <c r="A186" s="5" t="s">
        <v>185</v>
      </c>
      <c r="B186" t="str">
        <f t="shared" si="2"/>
        <v>Financial-grade API</v>
      </c>
      <c r="C186" s="6" t="str" cm="1">
        <f t="array" ref="C186">GetHyperlinkAddress(A186)</f>
        <v>https://open-measure.atlassian.net/wiki/spaces/DIC/pages/1290207237/Financial-grade+API</v>
      </c>
    </row>
    <row r="187" spans="1:3" x14ac:dyDescent="0.35">
      <c r="A187" s="5" t="s">
        <v>186</v>
      </c>
      <c r="B187" t="str">
        <f t="shared" si="2"/>
        <v>FinTech</v>
      </c>
      <c r="C187" s="6" t="str" cm="1">
        <f t="array" ref="C187">GetHyperlinkAddress(A187)</f>
        <v>https://open-measure.atlassian.net/wiki/spaces/DIC/pages/1378091043/FinTech</v>
      </c>
    </row>
    <row r="188" spans="1:3" x14ac:dyDescent="0.35">
      <c r="A188" s="5" t="s">
        <v>187</v>
      </c>
      <c r="B188" t="str">
        <f t="shared" si="2"/>
        <v>Flexibility</v>
      </c>
      <c r="C188" s="6" t="str" cm="1">
        <f t="array" ref="C188">GetHyperlinkAddress(A188)</f>
        <v>https://open-measure.atlassian.net/wiki/spaces/DIC/pages/438698048</v>
      </c>
    </row>
    <row r="189" spans="1:3" x14ac:dyDescent="0.35">
      <c r="A189" s="5" t="s">
        <v>188</v>
      </c>
      <c r="B189" t="str">
        <f t="shared" si="2"/>
        <v>Flow Analysis</v>
      </c>
      <c r="C189" s="6" t="str" cm="1">
        <f t="array" ref="C189">GetHyperlinkAddress(A189)</f>
        <v>https://open-measure.atlassian.net/wiki/spaces/DIC/pages/1223884872</v>
      </c>
    </row>
    <row r="190" spans="1:3" x14ac:dyDescent="0.35">
      <c r="A190" s="5" t="s">
        <v>189</v>
      </c>
      <c r="B190" t="str">
        <f t="shared" si="2"/>
        <v>Forged Identity</v>
      </c>
      <c r="C190" s="6" t="str" cm="1">
        <f t="array" ref="C190">GetHyperlinkAddress(A190)</f>
        <v>https://open-measure.atlassian.net/wiki/spaces/DIC/pages/1173585921</v>
      </c>
    </row>
    <row r="191" spans="1:3" x14ac:dyDescent="0.35">
      <c r="A191" s="5" t="s">
        <v>190</v>
      </c>
      <c r="B191" t="str">
        <f t="shared" si="2"/>
        <v>Formal TCO</v>
      </c>
      <c r="C191" s="6" t="str" cm="1">
        <f t="array" ref="C191">GetHyperlinkAddress(A191)</f>
        <v>https://open-measure.atlassian.net/wiki/spaces/DIC/pages/158794590</v>
      </c>
    </row>
    <row r="192" spans="1:3" x14ac:dyDescent="0.35">
      <c r="A192" s="5" t="s">
        <v>191</v>
      </c>
      <c r="B192" t="str">
        <f t="shared" si="2"/>
        <v>Formal Verification</v>
      </c>
      <c r="C192" s="6" t="str" cm="1">
        <f t="array" ref="C192">GetHyperlinkAddress(A192)</f>
        <v>https://open-measure.atlassian.net/wiki/spaces/DIC/pages/1226833964</v>
      </c>
    </row>
    <row r="193" spans="1:3" x14ac:dyDescent="0.35">
      <c r="A193" s="5" t="s">
        <v>192</v>
      </c>
      <c r="B193" t="str">
        <f t="shared" si="2"/>
        <v>Foundational Identification System</v>
      </c>
      <c r="C193" s="6" t="str" cm="1">
        <f t="array" ref="C193">GetHyperlinkAddress(A193)</f>
        <v>https://open-measure.atlassian.net/wiki/spaces/DIC/pages/419561522/Foundational+Identification+System</v>
      </c>
    </row>
    <row r="194" spans="1:3" x14ac:dyDescent="0.35">
      <c r="A194" s="5" t="s">
        <v>193</v>
      </c>
      <c r="B194" t="str">
        <f t="shared" si="2"/>
        <v>Fully Polythetic Class</v>
      </c>
      <c r="C194" s="6" t="str" cm="1">
        <f t="array" ref="C194">GetHyperlinkAddress(A194)</f>
        <v>https://open-measure.atlassian.net/wiki/spaces/DIC/pages/148340978</v>
      </c>
    </row>
    <row r="195" spans="1:3" x14ac:dyDescent="0.35">
      <c r="A195" s="5" t="s">
        <v>194</v>
      </c>
      <c r="B195" t="str">
        <f t="shared" si="2"/>
        <v>Functional Identification System</v>
      </c>
      <c r="C195" s="6" t="str" cm="1">
        <f t="array" ref="C195">GetHyperlinkAddress(A195)</f>
        <v>https://open-measure.atlassian.net/wiki/spaces/DIC/pages/419528747</v>
      </c>
    </row>
    <row r="196" spans="1:3" x14ac:dyDescent="0.35">
      <c r="A196" s="5" t="s">
        <v>195</v>
      </c>
      <c r="B196" t="str">
        <f t="shared" si="2"/>
        <v>Functional System</v>
      </c>
      <c r="C196" s="6" t="str" cm="1">
        <f t="array" ref="C196">GetHyperlinkAddress(A196)</f>
        <v>https://open-measure.atlassian.net/wiki/spaces/DIC/pages/1229619254</v>
      </c>
    </row>
    <row r="197" spans="1:3" x14ac:dyDescent="0.35">
      <c r="A197" s="5" t="s">
        <v>196</v>
      </c>
      <c r="B197" t="str">
        <f t="shared" si="2"/>
        <v>Goal</v>
      </c>
      <c r="C197" s="6" t="str" cm="1">
        <f t="array" ref="C197">GetHyperlinkAddress(A197)</f>
        <v>https://open-measure.atlassian.net/wiki/spaces/DIC/pages/1409494</v>
      </c>
    </row>
    <row r="198" spans="1:3" x14ac:dyDescent="0.35">
      <c r="A198" s="5" t="s">
        <v>197</v>
      </c>
      <c r="B198" t="str">
        <f t="shared" ref="B198:B261" si="3">SUBSTITUTE(CLEAN(A198)," (Dictionary Entry)","")</f>
        <v>Guest Account</v>
      </c>
      <c r="C198" s="6" t="str" cm="1">
        <f t="array" ref="C198">GetHyperlinkAddress(A198)</f>
        <v>https://open-measure.atlassian.net/wiki/spaces/DIC/pages/966557699</v>
      </c>
    </row>
    <row r="199" spans="1:3" x14ac:dyDescent="0.35">
      <c r="A199" s="5" t="s">
        <v>198</v>
      </c>
      <c r="B199" t="str">
        <f t="shared" si="3"/>
        <v>High Water Mark Principle</v>
      </c>
      <c r="C199" s="6" t="str" cm="1">
        <f t="array" ref="C199">GetHyperlinkAddress(A199)</f>
        <v>https://open-measure.atlassian.net/wiki/spaces/DIC/pages/1177846011</v>
      </c>
    </row>
    <row r="200" spans="1:3" x14ac:dyDescent="0.35">
      <c r="A200" s="5" t="s">
        <v>199</v>
      </c>
      <c r="B200" t="str">
        <f t="shared" si="3"/>
        <v>Human Error</v>
      </c>
      <c r="C200" s="6" t="str" cm="1">
        <f t="array" ref="C200">GetHyperlinkAddress(A200)</f>
        <v>https://open-measure.atlassian.net/wiki/spaces/DIC/pages/998047786</v>
      </c>
    </row>
    <row r="201" spans="1:3" x14ac:dyDescent="0.35">
      <c r="A201" s="5" t="s">
        <v>200</v>
      </c>
      <c r="B201" t="str">
        <f t="shared" si="3"/>
        <v>Human Reliability</v>
      </c>
      <c r="C201" s="6" t="str" cm="1">
        <f t="array" ref="C201">GetHyperlinkAddress(A201)</f>
        <v>https://open-measure.atlassian.net/wiki/spaces/DIC/pages/998277156</v>
      </c>
    </row>
    <row r="202" spans="1:3" x14ac:dyDescent="0.35">
      <c r="A202" s="5" t="s">
        <v>201</v>
      </c>
      <c r="B202" t="str">
        <f t="shared" si="3"/>
        <v>IAG</v>
      </c>
      <c r="C202" s="6" t="str" cm="1">
        <f t="array" ref="C202">GetHyperlinkAddress(A202)</f>
        <v>https://open-measure.atlassian.net/wiki/spaces/DIC/pages/1572865/IAG</v>
      </c>
    </row>
    <row r="203" spans="1:3" x14ac:dyDescent="0.35">
      <c r="A203" s="5" t="s">
        <v>202</v>
      </c>
      <c r="B203" t="str">
        <f t="shared" si="3"/>
        <v>IAM</v>
      </c>
      <c r="C203" s="6" t="str" cm="1">
        <f t="array" ref="C203">GetHyperlinkAddress(A203)</f>
        <v>https://open-measure.atlassian.net/wiki/spaces/DIC/pages/1081356/IAM</v>
      </c>
    </row>
    <row r="204" spans="1:3" x14ac:dyDescent="0.35">
      <c r="A204" s="5" t="s">
        <v>203</v>
      </c>
      <c r="B204" t="str">
        <f t="shared" si="3"/>
        <v>IAM ARN</v>
      </c>
      <c r="C204" s="6" t="str" cm="1">
        <f t="array" ref="C204">GetHyperlinkAddress(A204)</f>
        <v>https://open-measure.atlassian.net/wiki/spaces/DIC/pages/1037926677</v>
      </c>
    </row>
    <row r="205" spans="1:3" x14ac:dyDescent="0.35">
      <c r="A205" s="5" t="s">
        <v>204</v>
      </c>
      <c r="B205" t="str">
        <f t="shared" si="3"/>
        <v>IAM Management</v>
      </c>
      <c r="C205" s="6" t="str" cm="1">
        <f t="array" ref="C205">GetHyperlinkAddress(A205)</f>
        <v>https://open-measure.atlassian.net/wiki/spaces/DIC/pages/82838735</v>
      </c>
    </row>
    <row r="206" spans="1:3" x14ac:dyDescent="0.35">
      <c r="A206" s="5" t="s">
        <v>205</v>
      </c>
      <c r="B206" t="str">
        <f t="shared" si="3"/>
        <v>IAP</v>
      </c>
      <c r="C206" s="6" t="str" cm="1">
        <f t="array" ref="C206">GetHyperlinkAddress(A206)</f>
        <v>https://open-measure.atlassian.net/wiki/spaces/DIC/pages/234487971</v>
      </c>
    </row>
    <row r="207" spans="1:3" x14ac:dyDescent="0.35">
      <c r="A207" s="5" t="s">
        <v>206</v>
      </c>
      <c r="B207" t="str">
        <f t="shared" si="3"/>
        <v>IDaaS</v>
      </c>
      <c r="C207" s="6" t="str" cm="1">
        <f t="array" ref="C207">GetHyperlinkAddress(A207)</f>
        <v>https://open-measure.atlassian.net/wiki/spaces/DIC/pages/1149468857</v>
      </c>
    </row>
    <row r="208" spans="1:3" x14ac:dyDescent="0.35">
      <c r="A208" s="5" t="s">
        <v>207</v>
      </c>
      <c r="B208" t="str">
        <f t="shared" si="3"/>
        <v>Ideal Type</v>
      </c>
      <c r="C208" s="6" t="str" cm="1">
        <f t="array" ref="C208">GetHyperlinkAddress(A208)</f>
        <v>https://open-measure.atlassian.net/wiki/spaces/DIC/pages/149356545</v>
      </c>
    </row>
    <row r="209" spans="1:3" x14ac:dyDescent="0.35">
      <c r="A209" s="5" t="s">
        <v>208</v>
      </c>
      <c r="B209" t="str">
        <f t="shared" si="3"/>
        <v>Identification</v>
      </c>
      <c r="C209" s="6" t="str" cm="1">
        <f t="array" ref="C209">GetHyperlinkAddress(A209)</f>
        <v>https://open-measure.atlassian.net/wiki/spaces/DIC/pages/419659837</v>
      </c>
    </row>
    <row r="210" spans="1:3" x14ac:dyDescent="0.35">
      <c r="A210" s="5" t="s">
        <v>209</v>
      </c>
      <c r="B210" t="str">
        <f t="shared" si="3"/>
        <v>Identification System</v>
      </c>
      <c r="C210" s="6" t="str" cm="1">
        <f t="array" ref="C210">GetHyperlinkAddress(A210)</f>
        <v>https://open-measure.atlassian.net/wiki/spaces/DIC/pages/419758113</v>
      </c>
    </row>
    <row r="211" spans="1:3" x14ac:dyDescent="0.35">
      <c r="A211" s="5" t="s">
        <v>210</v>
      </c>
      <c r="B211" t="str">
        <f t="shared" si="3"/>
        <v>Identifier</v>
      </c>
      <c r="C211" s="6" t="str" cm="1">
        <f t="array" ref="C211">GetHyperlinkAddress(A211)</f>
        <v>https://open-measure.atlassian.net/wiki/spaces/DIC/pages/435322922</v>
      </c>
    </row>
    <row r="212" spans="1:3" x14ac:dyDescent="0.35">
      <c r="A212" s="5" t="s">
        <v>211</v>
      </c>
      <c r="B212" t="str">
        <f t="shared" si="3"/>
        <v>Identifier Registry Model</v>
      </c>
      <c r="C212" s="6" t="str" cm="1">
        <f t="array" ref="C212">GetHyperlinkAddress(A212)</f>
        <v>https://open-measure.atlassian.net/wiki/spaces/DIC/pages/1311113273/Identifier+Registry+Model</v>
      </c>
    </row>
    <row r="213" spans="1:3" x14ac:dyDescent="0.35">
      <c r="A213" s="5" t="s">
        <v>212</v>
      </c>
      <c r="B213" t="str">
        <f t="shared" si="3"/>
        <v>Identity</v>
      </c>
      <c r="C213" s="6" t="str" cm="1">
        <f t="array" ref="C213">GetHyperlinkAddress(A213)</f>
        <v>https://open-measure.atlassian.net/wiki/spaces/DIC/pages/67600948</v>
      </c>
    </row>
    <row r="214" spans="1:3" x14ac:dyDescent="0.35">
      <c r="A214" s="5" t="s">
        <v>213</v>
      </c>
      <c r="B214" t="str">
        <f t="shared" si="3"/>
        <v>Identity Aggregation</v>
      </c>
      <c r="C214" s="6" t="str" cm="1">
        <f t="array" ref="C214">GetHyperlinkAddress(A214)</f>
        <v>https://open-measure.atlassian.net/wiki/spaces/DIC/pages/1600618542/Identity+Aggregation</v>
      </c>
    </row>
    <row r="215" spans="1:3" x14ac:dyDescent="0.35">
      <c r="A215" s="5" t="s">
        <v>214</v>
      </c>
      <c r="B215" t="str">
        <f t="shared" si="3"/>
        <v>Identity and Access Governance</v>
      </c>
      <c r="C215" s="6" t="str" cm="1">
        <f t="array" ref="C215">GetHyperlinkAddress(A215)</f>
        <v>https://open-measure.atlassian.net/wiki/spaces/DIC/pages/1458176007/Identity+and+Access+Governance</v>
      </c>
    </row>
    <row r="216" spans="1:3" x14ac:dyDescent="0.35">
      <c r="A216" s="5" t="s">
        <v>215</v>
      </c>
      <c r="B216" t="str">
        <f t="shared" si="3"/>
        <v>Identity and Access Management</v>
      </c>
      <c r="C216" s="6" t="str" cm="1">
        <f t="array" ref="C216">GetHyperlinkAddress(A216)</f>
        <v>https://open-measure.atlassian.net/wiki/spaces/DIC/pages/1409143/Identity+and+Access+Management</v>
      </c>
    </row>
    <row r="217" spans="1:3" x14ac:dyDescent="0.35">
      <c r="A217" s="5" t="s">
        <v>217</v>
      </c>
      <c r="B217" t="str">
        <f t="shared" si="3"/>
        <v>Identity Assurance</v>
      </c>
      <c r="C217" s="6" t="str" cm="1">
        <f t="array" ref="C217">GetHyperlinkAddress(A217)</f>
        <v>https://open-measure.atlassian.net/wiki/spaces/DIC/pages/1600749655/Identity+Assurance</v>
      </c>
    </row>
    <row r="218" spans="1:3" x14ac:dyDescent="0.35">
      <c r="A218" s="5" t="s">
        <v>218</v>
      </c>
      <c r="B218" t="str">
        <f t="shared" si="3"/>
        <v>Identity Attribute</v>
      </c>
      <c r="C218" s="6" t="str" cm="1">
        <f t="array" ref="C218">GetHyperlinkAddress(A218)</f>
        <v>https://open-measure.atlassian.net/wiki/spaces/DIC/pages/82903275</v>
      </c>
    </row>
    <row r="219" spans="1:3" x14ac:dyDescent="0.35">
      <c r="A219" s="5" t="s">
        <v>220</v>
      </c>
      <c r="B219" t="str">
        <f t="shared" si="3"/>
        <v>Identity Establishment</v>
      </c>
      <c r="C219" s="6" t="str" cm="1">
        <f t="array" ref="C219">GetHyperlinkAddress(A219)</f>
        <v>https://open-measure.atlassian.net/wiki/spaces/DIC/pages/123896632/Identity+Establishment</v>
      </c>
    </row>
    <row r="220" spans="1:3" x14ac:dyDescent="0.35">
      <c r="A220" s="5" t="s">
        <v>221</v>
      </c>
      <c r="B220" t="str">
        <f t="shared" si="3"/>
        <v>Identity Federation</v>
      </c>
      <c r="C220" s="6" t="str" cm="1">
        <f t="array" ref="C220">GetHyperlinkAddress(A220)</f>
        <v>https://open-measure.atlassian.net/wiki/spaces/DIC/pages/336035929/Identity+Federation</v>
      </c>
    </row>
    <row r="221" spans="1:3" x14ac:dyDescent="0.35">
      <c r="A221" s="5" t="s">
        <v>222</v>
      </c>
      <c r="B221" t="str">
        <f t="shared" si="3"/>
        <v>Identity Guardian</v>
      </c>
      <c r="C221" s="6" t="str" cm="1">
        <f t="array" ref="C221">GetHyperlinkAddress(A221)</f>
        <v>https://open-measure.atlassian.net/wiki/spaces/DIC/pages/1323597918/Identity+Guardian</v>
      </c>
    </row>
    <row r="222" spans="1:3" x14ac:dyDescent="0.35">
      <c r="A222" s="5" t="s">
        <v>223</v>
      </c>
      <c r="B222" t="str">
        <f t="shared" si="3"/>
        <v>Identity Lifecycle</v>
      </c>
      <c r="C222" s="6" t="str" cm="1">
        <f t="array" ref="C222">GetHyperlinkAddress(A222)</f>
        <v>https://open-measure.atlassian.net/wiki/spaces/DIC/pages/67600436</v>
      </c>
    </row>
    <row r="223" spans="1:3" x14ac:dyDescent="0.35">
      <c r="A223" s="5" t="s">
        <v>224</v>
      </c>
      <c r="B223" t="str">
        <f t="shared" si="3"/>
        <v>Identity Management</v>
      </c>
      <c r="C223" s="6" t="str" cm="1">
        <f t="array" ref="C223">GetHyperlinkAddress(A223)</f>
        <v>https://open-measure.atlassian.net/wiki/spaces/DIC/pages/1122533530</v>
      </c>
    </row>
    <row r="224" spans="1:3" x14ac:dyDescent="0.35">
      <c r="A224" s="5" t="s">
        <v>225</v>
      </c>
      <c r="B224" t="str">
        <f t="shared" si="3"/>
        <v>Identity Management System</v>
      </c>
      <c r="C224" s="6" t="str" cm="1">
        <f t="array" ref="C224">GetHyperlinkAddress(A224)</f>
        <v>https://open-measure.atlassian.net/wiki/spaces/DIC/pages/1146847286</v>
      </c>
    </row>
    <row r="225" spans="1:3" x14ac:dyDescent="0.35">
      <c r="A225" s="5" t="s">
        <v>226</v>
      </c>
      <c r="B225" t="str">
        <f t="shared" si="3"/>
        <v>Identity Portability</v>
      </c>
      <c r="C225" s="6" t="str" cm="1">
        <f t="array" ref="C225">GetHyperlinkAddress(A225)</f>
        <v>https://open-measure.atlassian.net/wiki/spaces/DIC/pages/1323434004/Identity+Portability</v>
      </c>
    </row>
    <row r="226" spans="1:3" x14ac:dyDescent="0.35">
      <c r="A226" s="5" t="s">
        <v>227</v>
      </c>
      <c r="B226" t="str">
        <f t="shared" si="3"/>
        <v>Identity Proofing</v>
      </c>
      <c r="C226" s="6" t="str" cm="1">
        <f t="array" ref="C226">GetHyperlinkAddress(A226)</f>
        <v>https://open-measure.atlassian.net/wiki/spaces/DIC/pages/858522094</v>
      </c>
    </row>
    <row r="227" spans="1:3" x14ac:dyDescent="0.35">
      <c r="A227" s="5" t="s">
        <v>228</v>
      </c>
      <c r="B227" t="str">
        <f t="shared" si="3"/>
        <v>Identity Propagation</v>
      </c>
      <c r="C227" s="6" t="str" cm="1">
        <f t="array" ref="C227">GetHyperlinkAddress(A227)</f>
        <v>https://open-measure.atlassian.net/wiki/spaces/DIC/pages/810254353</v>
      </c>
    </row>
    <row r="228" spans="1:3" x14ac:dyDescent="0.35">
      <c r="A228" s="5" t="s">
        <v>229</v>
      </c>
      <c r="B228" t="str">
        <f t="shared" si="3"/>
        <v>Identity Provider</v>
      </c>
      <c r="C228" s="6" t="str" cm="1">
        <f t="array" ref="C228">GetHyperlinkAddress(A228)</f>
        <v>https://open-measure.atlassian.net/wiki/spaces/DIC/pages/82838020</v>
      </c>
    </row>
    <row r="229" spans="1:3" x14ac:dyDescent="0.35">
      <c r="A229" s="5" t="s">
        <v>230</v>
      </c>
      <c r="B229" t="str">
        <f t="shared" si="3"/>
        <v>Identity Repository</v>
      </c>
      <c r="C229" s="6" t="str" cm="1">
        <f t="array" ref="C229">GetHyperlinkAddress(A229)</f>
        <v>https://open-measure.atlassian.net/wiki/spaces/DIC/pages/1117913089</v>
      </c>
    </row>
    <row r="230" spans="1:3" x14ac:dyDescent="0.35">
      <c r="A230" s="5" t="s">
        <v>216</v>
      </c>
      <c r="B230" t="str">
        <f t="shared" si="3"/>
        <v>Identity-as-a-Service</v>
      </c>
      <c r="C230" s="6" t="str" cm="1">
        <f t="array" ref="C230">GetHyperlinkAddress(A230)</f>
        <v>https://open-measure.atlassian.net/wiki/spaces/DIC/pages/1152516217</v>
      </c>
    </row>
    <row r="231" spans="1:3" x14ac:dyDescent="0.35">
      <c r="A231" s="5" t="s">
        <v>219</v>
      </c>
      <c r="B231" t="str">
        <f t="shared" si="3"/>
        <v>Identity-Aware Proxy</v>
      </c>
      <c r="C231" s="6" t="str" cm="1">
        <f t="array" ref="C231">GetHyperlinkAddress(A231)</f>
        <v>https://open-measure.atlassian.net/wiki/spaces/DIC/pages/236748873</v>
      </c>
    </row>
    <row r="232" spans="1:3" x14ac:dyDescent="0.35">
      <c r="A232" s="5" t="s">
        <v>231</v>
      </c>
      <c r="B232" t="str">
        <f t="shared" si="3"/>
        <v>IdMS</v>
      </c>
      <c r="C232" s="6" t="str" cm="1">
        <f t="array" ref="C232">GetHyperlinkAddress(A232)</f>
        <v>https://open-measure.atlassian.net/wiki/spaces/DIC/pages/1147043904</v>
      </c>
    </row>
    <row r="233" spans="1:3" x14ac:dyDescent="0.35">
      <c r="A233" s="5" t="s">
        <v>232</v>
      </c>
      <c r="B233" t="str">
        <f t="shared" si="3"/>
        <v>IdP</v>
      </c>
      <c r="C233" s="6" t="str" cm="1">
        <f t="array" ref="C233">GetHyperlinkAddress(A233)</f>
        <v>https://open-measure.atlassian.net/wiki/spaces/DIC/pages/81101362</v>
      </c>
    </row>
    <row r="234" spans="1:3" x14ac:dyDescent="0.35">
      <c r="A234" s="5" t="s">
        <v>233</v>
      </c>
      <c r="B234" t="str">
        <f t="shared" si="3"/>
        <v>IMG</v>
      </c>
      <c r="C234" s="6" t="str" cm="1">
        <f t="array" ref="C234">GetHyperlinkAddress(A234)</f>
        <v>https://open-measure.atlassian.net/wiki/spaces/DIC/pages/107708597</v>
      </c>
    </row>
    <row r="235" spans="1:3" x14ac:dyDescent="0.35">
      <c r="A235" s="5" t="s">
        <v>234</v>
      </c>
      <c r="B235" t="str">
        <f t="shared" si="3"/>
        <v>Impact Indicator</v>
      </c>
      <c r="C235" s="6" t="str" cm="1">
        <f t="array" ref="C235">GetHyperlinkAddress(A235)</f>
        <v>https://open-measure.atlassian.net/wiki/spaces/DIC/pages/46104660</v>
      </c>
    </row>
    <row r="236" spans="1:3" x14ac:dyDescent="0.35">
      <c r="A236" s="5" t="s">
        <v>235</v>
      </c>
      <c r="B236" t="str">
        <f t="shared" si="3"/>
        <v>Impersonation</v>
      </c>
      <c r="C236" s="6" t="str" cm="1">
        <f t="array" ref="C236">GetHyperlinkAddress(A236)</f>
        <v>https://open-measure.atlassian.net/wiki/spaces/DIC/pages/974323719</v>
      </c>
    </row>
    <row r="237" spans="1:3" x14ac:dyDescent="0.35">
      <c r="A237" s="5" t="s">
        <v>236</v>
      </c>
      <c r="B237" t="str">
        <f t="shared" si="3"/>
        <v>Indicator</v>
      </c>
      <c r="C237" s="6" t="str" cm="1">
        <f t="array" ref="C237">GetHyperlinkAddress(A237)</f>
        <v>https://open-measure.atlassian.net/wiki/spaces/DIC/pages/1311218</v>
      </c>
    </row>
    <row r="238" spans="1:3" x14ac:dyDescent="0.35">
      <c r="A238" s="5" t="s">
        <v>237</v>
      </c>
      <c r="B238" t="str">
        <f t="shared" si="3"/>
        <v>Indicator Categories</v>
      </c>
      <c r="C238" s="6" t="str" cm="1">
        <f t="array" ref="C238">GetHyperlinkAddress(A238)</f>
        <v>https://open-measure.atlassian.net/wiki/spaces/DIC/pages/49250393</v>
      </c>
    </row>
    <row r="239" spans="1:3" x14ac:dyDescent="0.35">
      <c r="A239" s="5" t="s">
        <v>238</v>
      </c>
      <c r="B239" t="str">
        <f t="shared" si="3"/>
        <v>Indicator Property</v>
      </c>
      <c r="C239" s="6" t="str" cm="1">
        <f t="array" ref="C239">GetHyperlinkAddress(A239)</f>
        <v>https://open-measure.atlassian.net/wiki/spaces/DIC/pages/43515956</v>
      </c>
    </row>
    <row r="240" spans="1:3" x14ac:dyDescent="0.35">
      <c r="A240" s="5" t="s">
        <v>239</v>
      </c>
      <c r="B240" t="str">
        <f t="shared" si="3"/>
        <v>Indicator Selection</v>
      </c>
      <c r="C240" s="6" t="str" cm="1">
        <f t="array" ref="C240">GetHyperlinkAddress(A240)</f>
        <v>https://open-measure.atlassian.net/wiki/spaces/DIC/pages/11141519</v>
      </c>
    </row>
    <row r="241" spans="1:3" x14ac:dyDescent="0.35">
      <c r="A241" s="5" t="s">
        <v>240</v>
      </c>
      <c r="B241" t="str">
        <f t="shared" si="3"/>
        <v>Indicators Set</v>
      </c>
      <c r="C241" s="6" t="str" cm="1">
        <f t="array" ref="C241">GetHyperlinkAddress(A241)</f>
        <v>https://open-measure.atlassian.net/wiki/spaces/DIC/pages/59473923</v>
      </c>
    </row>
    <row r="242" spans="1:3" x14ac:dyDescent="0.35">
      <c r="A242" s="5" t="s">
        <v>241</v>
      </c>
      <c r="B242" t="str">
        <f t="shared" si="3"/>
        <v>Informal TCO</v>
      </c>
      <c r="C242" s="6" t="str" cm="1">
        <f t="array" ref="C242">GetHyperlinkAddress(A242)</f>
        <v>https://open-measure.atlassian.net/wiki/spaces/DIC/pages/158827185</v>
      </c>
    </row>
    <row r="243" spans="1:3" x14ac:dyDescent="0.35">
      <c r="A243" s="5" t="s">
        <v>242</v>
      </c>
      <c r="B243" t="str">
        <f t="shared" si="3"/>
        <v>Information</v>
      </c>
      <c r="C243" s="6" t="str" cm="1">
        <f t="array" ref="C243">GetHyperlinkAddress(A243)</f>
        <v>https://open-measure.atlassian.net/wiki/spaces/DIC/pages/1027342618</v>
      </c>
    </row>
    <row r="244" spans="1:3" x14ac:dyDescent="0.35">
      <c r="A244" s="5" t="s">
        <v>243</v>
      </c>
      <c r="B244" t="str">
        <f t="shared" si="3"/>
        <v>Information Asset</v>
      </c>
      <c r="C244" s="6" t="str" cm="1">
        <f t="array" ref="C244">GetHyperlinkAddress(A244)</f>
        <v>https://open-measure.atlassian.net/wiki/spaces/DIC/pages/455508212</v>
      </c>
    </row>
    <row r="245" spans="1:3" x14ac:dyDescent="0.35">
      <c r="A245" s="5" t="s">
        <v>244</v>
      </c>
      <c r="B245" t="str">
        <f t="shared" si="3"/>
        <v>Information Custodian</v>
      </c>
      <c r="C245" s="6" t="str" cm="1">
        <f t="array" ref="C245">GetHyperlinkAddress(A245)</f>
        <v>https://open-measure.atlassian.net/wiki/spaces/DIC/pages/1004896257</v>
      </c>
    </row>
    <row r="246" spans="1:3" x14ac:dyDescent="0.35">
      <c r="A246" s="5" t="s">
        <v>245</v>
      </c>
      <c r="B246" t="str">
        <f t="shared" si="3"/>
        <v>Information Flow Policy</v>
      </c>
      <c r="C246" s="6" t="str" cm="1">
        <f t="array" ref="C246">GetHyperlinkAddress(A246)</f>
        <v>https://open-measure.atlassian.net/wiki/spaces/DIC/pages/1177714758</v>
      </c>
    </row>
    <row r="247" spans="1:3" x14ac:dyDescent="0.35">
      <c r="A247" s="5" t="s">
        <v>246</v>
      </c>
      <c r="B247" t="str">
        <f t="shared" si="3"/>
        <v>Information Owner</v>
      </c>
      <c r="C247" s="6" t="str" cm="1">
        <f t="array" ref="C247">GetHyperlinkAddress(A247)</f>
        <v>https://open-measure.atlassian.net/wiki/spaces/DIC/pages/998113409</v>
      </c>
    </row>
    <row r="248" spans="1:3" x14ac:dyDescent="0.35">
      <c r="A248" s="5" t="s">
        <v>247</v>
      </c>
      <c r="B248" t="str">
        <f t="shared" si="3"/>
        <v>Information Security Domain</v>
      </c>
      <c r="C248" s="6" t="str" cm="1">
        <f t="array" ref="C248">GetHyperlinkAddress(A248)</f>
        <v>https://open-measure.atlassian.net/wiki/spaces/DIC/pages/438698009/Information+Security+Domain</v>
      </c>
    </row>
    <row r="249" spans="1:3" x14ac:dyDescent="0.35">
      <c r="A249" s="5" t="s">
        <v>248</v>
      </c>
      <c r="B249" t="str">
        <f t="shared" si="3"/>
        <v>Information System</v>
      </c>
      <c r="C249" s="6" t="str" cm="1">
        <f t="array" ref="C249">GetHyperlinkAddress(A249)</f>
        <v>https://open-measure.atlassian.net/wiki/spaces/DIC/pages/1031241830/Information+System</v>
      </c>
    </row>
    <row r="250" spans="1:3" x14ac:dyDescent="0.35">
      <c r="A250" s="5" t="s">
        <v>249</v>
      </c>
      <c r="B250" t="str">
        <f t="shared" si="3"/>
        <v>Input Indicator</v>
      </c>
      <c r="C250" s="6" t="str" cm="1">
        <f t="array" ref="C250">GetHyperlinkAddress(A250)</f>
        <v>https://open-measure.atlassian.net/wiki/spaces/DIC/pages/49250305</v>
      </c>
    </row>
    <row r="251" spans="1:3" x14ac:dyDescent="0.35">
      <c r="A251" s="5" t="s">
        <v>250</v>
      </c>
      <c r="B251" t="str">
        <f t="shared" si="3"/>
        <v>Inside Attacker</v>
      </c>
      <c r="C251" s="6" t="str" cm="1">
        <f t="array" ref="C251">GetHyperlinkAddress(A251)</f>
        <v>https://open-measure.atlassian.net/wiki/spaces/DIC/pages/1477869651/Inside+Attacker</v>
      </c>
    </row>
    <row r="252" spans="1:3" x14ac:dyDescent="0.35">
      <c r="A252" s="5" t="s">
        <v>251</v>
      </c>
      <c r="B252" t="str">
        <f t="shared" si="3"/>
        <v>Insider</v>
      </c>
      <c r="C252" s="6" t="str" cm="1">
        <f t="array" ref="C252">GetHyperlinkAddress(A252)</f>
        <v>https://open-measure.atlassian.net/wiki/spaces/DIC/pages/1451884782/Insider</v>
      </c>
    </row>
    <row r="253" spans="1:3" x14ac:dyDescent="0.35">
      <c r="A253" s="5" t="s">
        <v>252</v>
      </c>
      <c r="B253" t="str">
        <f t="shared" si="3"/>
        <v>Insider Attack</v>
      </c>
      <c r="C253" s="6" t="str" cm="1">
        <f t="array" ref="C253">GetHyperlinkAddress(A253)</f>
        <v>https://open-measure.atlassian.net/wiki/spaces/DIC/pages/1478459402/Insider+Attack</v>
      </c>
    </row>
    <row r="254" spans="1:3" x14ac:dyDescent="0.35">
      <c r="A254" s="5" t="s">
        <v>253</v>
      </c>
      <c r="B254" t="str">
        <f t="shared" si="3"/>
        <v>Insider Threat</v>
      </c>
      <c r="C254" s="6" t="str" cm="1">
        <f t="array" ref="C254">GetHyperlinkAddress(A254)</f>
        <v>https://open-measure.atlassian.net/wiki/spaces/DIC/pages/1451098397/Insider+Threat</v>
      </c>
    </row>
    <row r="255" spans="1:3" x14ac:dyDescent="0.35">
      <c r="A255" s="5" t="s">
        <v>254</v>
      </c>
      <c r="B255" t="str">
        <f t="shared" si="3"/>
        <v>Insufficient Granularity of Access Control</v>
      </c>
      <c r="C255" s="6" t="str" cm="1">
        <f t="array" ref="C255">GetHyperlinkAddress(A255)</f>
        <v>https://open-measure.atlassian.net/wiki/spaces/DIC/pages/822476843</v>
      </c>
    </row>
    <row r="256" spans="1:3" x14ac:dyDescent="0.35">
      <c r="A256" s="5" t="s">
        <v>255</v>
      </c>
      <c r="B256" t="str">
        <f t="shared" si="3"/>
        <v>Intentional Error</v>
      </c>
      <c r="C256" s="6" t="str" cm="1">
        <f t="array" ref="C256">GetHyperlinkAddress(A256)</f>
        <v>https://open-measure.atlassian.net/wiki/spaces/DIC/pages/998277141</v>
      </c>
    </row>
    <row r="257" spans="1:3" x14ac:dyDescent="0.35">
      <c r="A257" s="5" t="s">
        <v>256</v>
      </c>
      <c r="B257" t="str">
        <f t="shared" si="3"/>
        <v>Interested Party</v>
      </c>
      <c r="C257" s="6" t="str" cm="1">
        <f t="array" ref="C257">GetHyperlinkAddress(A257)</f>
        <v>https://open-measure.atlassian.net/wiki/spaces/DIC/pages/1311417</v>
      </c>
    </row>
    <row r="258" spans="1:3" x14ac:dyDescent="0.35">
      <c r="A258" s="5" t="s">
        <v>257</v>
      </c>
      <c r="B258" t="str">
        <f t="shared" si="3"/>
        <v>Interoperability</v>
      </c>
      <c r="C258" s="6" t="str" cm="1">
        <f t="array" ref="C258">GetHyperlinkAddress(A258)</f>
        <v>https://open-measure.atlassian.net/wiki/spaces/DIC/pages/442466314</v>
      </c>
    </row>
    <row r="259" spans="1:3" x14ac:dyDescent="0.35">
      <c r="A259" s="5" t="s">
        <v>258</v>
      </c>
      <c r="B259" t="str">
        <f t="shared" si="3"/>
        <v>Interval Scale</v>
      </c>
      <c r="C259" s="6" t="str" cm="1">
        <f t="array" ref="C259">GetHyperlinkAddress(A259)</f>
        <v>https://open-measure.atlassian.net/wiki/spaces/DIC/pages/11567191</v>
      </c>
    </row>
    <row r="260" spans="1:3" x14ac:dyDescent="0.35">
      <c r="A260" s="5" t="s">
        <v>259</v>
      </c>
      <c r="B260" t="str">
        <f t="shared" si="3"/>
        <v>Isolated Identity Management System</v>
      </c>
      <c r="C260" s="6" t="str" cm="1">
        <f t="array" ref="C260">GetHyperlinkAddress(A260)</f>
        <v>https://open-measure.atlassian.net/wiki/spaces/DIC/pages/1152483625</v>
      </c>
    </row>
    <row r="261" spans="1:3" x14ac:dyDescent="0.35">
      <c r="A261" s="5" t="s">
        <v>260</v>
      </c>
      <c r="B261" t="str">
        <f t="shared" si="3"/>
        <v>IT Asset Scope</v>
      </c>
      <c r="C261" s="6" t="str" cm="1">
        <f t="array" ref="C261">GetHyperlinkAddress(A261)</f>
        <v>https://open-measure.atlassian.net/wiki/spaces/DIC/pages/720902</v>
      </c>
    </row>
    <row r="262" spans="1:3" x14ac:dyDescent="0.35">
      <c r="A262" s="5" t="s">
        <v>261</v>
      </c>
      <c r="B262" t="str">
        <f t="shared" ref="B262:B325" si="4">SUBSTITUTE(CLEAN(A262)," (Dictionary Entry)","")</f>
        <v>IT System</v>
      </c>
      <c r="C262" s="6" t="str" cm="1">
        <f t="array" ref="C262">GetHyperlinkAddress(A262)</f>
        <v>https://open-measure.atlassian.net/wiki/spaces/DIC/pages/1569095803/IT+System</v>
      </c>
    </row>
    <row r="263" spans="1:3" x14ac:dyDescent="0.35">
      <c r="A263" s="5" t="s">
        <v>262</v>
      </c>
      <c r="B263" t="str">
        <f t="shared" si="4"/>
        <v>JML</v>
      </c>
      <c r="C263" s="6" t="str" cm="1">
        <f t="array" ref="C263">GetHyperlinkAddress(A263)</f>
        <v>https://open-measure.atlassian.net/wiki/spaces/DIC/pages/858488984</v>
      </c>
    </row>
    <row r="264" spans="1:3" x14ac:dyDescent="0.35">
      <c r="A264" s="5" t="s">
        <v>263</v>
      </c>
      <c r="B264" t="str">
        <f t="shared" si="4"/>
        <v>Joiner</v>
      </c>
      <c r="C264" s="6" t="str" cm="1">
        <f t="array" ref="C264">GetHyperlinkAddress(A264)</f>
        <v>https://open-measure.atlassian.net/wiki/spaces/DIC/pages/855506953</v>
      </c>
    </row>
    <row r="265" spans="1:3" x14ac:dyDescent="0.35">
      <c r="A265" s="5" t="s">
        <v>264</v>
      </c>
      <c r="B265" t="str">
        <f t="shared" si="4"/>
        <v>Joiner Hire Date</v>
      </c>
      <c r="C265" s="6" t="str" cm="1">
        <f t="array" ref="C265">GetHyperlinkAddress(A265)</f>
        <v>https://open-measure.atlassian.net/wiki/spaces/DIC/pages/858456203</v>
      </c>
    </row>
    <row r="266" spans="1:3" x14ac:dyDescent="0.35">
      <c r="A266" s="5" t="s">
        <v>265</v>
      </c>
      <c r="B266" t="str">
        <f t="shared" si="4"/>
        <v>Joiner Lead Time</v>
      </c>
      <c r="C266" s="6" t="str" cm="1">
        <f t="array" ref="C266">GetHyperlinkAddress(A266)</f>
        <v>https://open-measure.atlassian.net/wiki/spaces/DIC/pages/852492379</v>
      </c>
    </row>
    <row r="267" spans="1:3" x14ac:dyDescent="0.35">
      <c r="A267" s="5" t="s">
        <v>266</v>
      </c>
      <c r="B267" t="str">
        <f t="shared" si="4"/>
        <v>Joiner Process</v>
      </c>
      <c r="C267" s="6" t="str" cm="1">
        <f t="array" ref="C267">GetHyperlinkAddress(A267)</f>
        <v>https://open-measure.atlassian.net/wiki/spaces/DIC/pages/858521641</v>
      </c>
    </row>
    <row r="268" spans="1:3" x14ac:dyDescent="0.35">
      <c r="A268" s="5" t="s">
        <v>267</v>
      </c>
      <c r="B268" t="str">
        <f t="shared" si="4"/>
        <v>Joiner Start Date</v>
      </c>
      <c r="C268" s="6" t="str" cm="1">
        <f t="array" ref="C268">GetHyperlinkAddress(A268)</f>
        <v>https://open-measure.atlassian.net/wiki/spaces/DIC/pages/852492338</v>
      </c>
    </row>
    <row r="269" spans="1:3" x14ac:dyDescent="0.35">
      <c r="A269" s="5" t="s">
        <v>268</v>
      </c>
      <c r="B269" t="str">
        <f t="shared" si="4"/>
        <v>Key Criteria Type</v>
      </c>
      <c r="C269" s="6" t="str" cm="1">
        <f t="array" ref="C269">GetHyperlinkAddress(A269)</f>
        <v>https://open-measure.atlassian.net/wiki/spaces/DIC/pages/140706011</v>
      </c>
    </row>
    <row r="270" spans="1:3" x14ac:dyDescent="0.35">
      <c r="A270" s="5" t="s">
        <v>269</v>
      </c>
      <c r="B270" t="str">
        <f t="shared" si="4"/>
        <v>Key Information</v>
      </c>
      <c r="C270" s="6" t="str" cm="1">
        <f t="array" ref="C270">GetHyperlinkAddress(A270)</f>
        <v>https://open-measure.atlassian.net/wiki/spaces/DIC/pages/425623701</v>
      </c>
    </row>
    <row r="271" spans="1:3" x14ac:dyDescent="0.35">
      <c r="A271" s="5" t="s">
        <v>270</v>
      </c>
      <c r="B271" t="str">
        <f t="shared" si="4"/>
        <v>Keying Material</v>
      </c>
      <c r="C271" s="6" t="str" cm="1">
        <f t="array" ref="C271">GetHyperlinkAddress(A271)</f>
        <v>https://open-measure.atlassian.net/wiki/spaces/DIC/pages/427163745</v>
      </c>
    </row>
    <row r="272" spans="1:3" x14ac:dyDescent="0.35">
      <c r="A272" s="5" t="s">
        <v>271</v>
      </c>
      <c r="B272" t="str">
        <f t="shared" si="4"/>
        <v>KYC</v>
      </c>
      <c r="C272" s="6" t="str" cm="1">
        <f t="array" ref="C272">GetHyperlinkAddress(A272)</f>
        <v>https://open-measure.atlassian.net/wiki/spaces/DIC/pages/442499114</v>
      </c>
    </row>
    <row r="273" spans="1:3" x14ac:dyDescent="0.35">
      <c r="A273" s="5" t="s">
        <v>272</v>
      </c>
      <c r="B273" t="str">
        <f t="shared" si="4"/>
        <v>KYC Registry</v>
      </c>
      <c r="C273" s="6" t="str" cm="1">
        <f t="array" ref="C273">GetHyperlinkAddress(A273)</f>
        <v>https://open-measure.atlassian.net/wiki/spaces/DIC/pages/442400811</v>
      </c>
    </row>
    <row r="274" spans="1:3" x14ac:dyDescent="0.35">
      <c r="A274" s="5" t="s">
        <v>273</v>
      </c>
      <c r="B274" t="str">
        <f t="shared" si="4"/>
        <v>Lagging Indicator</v>
      </c>
      <c r="C274" s="6" t="str" cm="1">
        <f t="array" ref="C274">GetHyperlinkAddress(A274)</f>
        <v>https://open-measure.atlassian.net/wiki/spaces/DIC/pages/49250357</v>
      </c>
    </row>
    <row r="275" spans="1:3" x14ac:dyDescent="0.35">
      <c r="A275" s="5" t="s">
        <v>274</v>
      </c>
      <c r="B275" t="str">
        <f t="shared" si="4"/>
        <v>Lattice-Based Access Control</v>
      </c>
      <c r="C275" s="6" t="str" cm="1">
        <f t="array" ref="C275">GetHyperlinkAddress(A275)</f>
        <v>https://open-measure.atlassian.net/wiki/spaces/DIC/pages/1177681925</v>
      </c>
    </row>
    <row r="276" spans="1:3" x14ac:dyDescent="0.35">
      <c r="A276" s="5" t="s">
        <v>275</v>
      </c>
      <c r="B276" t="str">
        <f t="shared" si="4"/>
        <v>Layers Architectural Pattern</v>
      </c>
      <c r="C276" s="6" t="str" cm="1">
        <f t="array" ref="C276">GetHyperlinkAddress(A276)</f>
        <v>https://open-measure.atlassian.net/wiki/spaces/DIC/pages/1181843548</v>
      </c>
    </row>
    <row r="277" spans="1:3" x14ac:dyDescent="0.35">
      <c r="A277" s="5" t="s">
        <v>276</v>
      </c>
      <c r="B277" t="str">
        <f t="shared" si="4"/>
        <v>LBAC</v>
      </c>
      <c r="C277" s="6" t="str" cm="1">
        <f t="array" ref="C277">GetHyperlinkAddress(A277)</f>
        <v>https://open-measure.atlassian.net/wiki/spaces/DIC/pages/1177780225</v>
      </c>
    </row>
    <row r="278" spans="1:3" x14ac:dyDescent="0.35">
      <c r="A278" s="5" t="s">
        <v>277</v>
      </c>
      <c r="B278" t="str">
        <f t="shared" si="4"/>
        <v>Leading Indicator</v>
      </c>
      <c r="C278" s="6" t="str" cm="1">
        <f t="array" ref="C278">GetHyperlinkAddress(A278)</f>
        <v>https://open-measure.atlassian.net/wiki/spaces/DIC/pages/49250375</v>
      </c>
    </row>
    <row r="279" spans="1:3" x14ac:dyDescent="0.35">
      <c r="A279" s="5" t="s">
        <v>278</v>
      </c>
      <c r="B279" t="str">
        <f t="shared" si="4"/>
        <v>Least Privilege</v>
      </c>
      <c r="C279" s="6" t="str" cm="1">
        <f t="array" ref="C279">GetHyperlinkAddress(A279)</f>
        <v>https://open-measure.atlassian.net/wiki/spaces/DIC/pages/1006698533</v>
      </c>
    </row>
    <row r="280" spans="1:3" x14ac:dyDescent="0.35">
      <c r="A280" s="5" t="s">
        <v>279</v>
      </c>
      <c r="B280" t="str">
        <f t="shared" si="4"/>
        <v>Legal Entity Identifier</v>
      </c>
      <c r="C280" s="6" t="str" cm="1">
        <f t="array" ref="C280">GetHyperlinkAddress(A280)</f>
        <v>https://open-measure.atlassian.net/wiki/spaces/DIC/pages/442466361</v>
      </c>
    </row>
    <row r="281" spans="1:3" x14ac:dyDescent="0.35">
      <c r="A281" s="5" t="s">
        <v>280</v>
      </c>
      <c r="B281" t="str">
        <f t="shared" si="4"/>
        <v>Legitimate Privilege Abuse</v>
      </c>
      <c r="C281" s="6" t="str" cm="1">
        <f t="array" ref="C281">GetHyperlinkAddress(A281)</f>
        <v>https://open-measure.atlassian.net/wiki/spaces/DIC/pages/1104936974</v>
      </c>
    </row>
    <row r="282" spans="1:3" x14ac:dyDescent="0.35">
      <c r="A282" s="5" t="s">
        <v>281</v>
      </c>
      <c r="B282" t="str">
        <f t="shared" si="4"/>
        <v>LEI</v>
      </c>
      <c r="C282" s="6" t="str" cm="1">
        <f t="array" ref="C282">GetHyperlinkAddress(A282)</f>
        <v>https://open-measure.atlassian.net/wiki/spaces/DIC/pages/442368033</v>
      </c>
    </row>
    <row r="283" spans="1:3" x14ac:dyDescent="0.35">
      <c r="A283" s="5" t="s">
        <v>282</v>
      </c>
      <c r="B283" t="str">
        <f t="shared" si="4"/>
        <v>Levels of Assurance</v>
      </c>
      <c r="C283" s="6" t="str" cm="1">
        <f t="array" ref="C283">GetHyperlinkAddress(A283)</f>
        <v>https://open-measure.atlassian.net/wiki/spaces/DIC/pages/442466381</v>
      </c>
    </row>
    <row r="284" spans="1:3" x14ac:dyDescent="0.35">
      <c r="A284" s="5" t="s">
        <v>283</v>
      </c>
      <c r="B284" t="str">
        <f t="shared" si="4"/>
        <v>Liberal Discretionary Access Control</v>
      </c>
      <c r="C284" s="6" t="str" cm="1">
        <f t="array" ref="C284">GetHyperlinkAddress(A284)</f>
        <v>https://open-measure.atlassian.net/wiki/spaces/DIC/pages/1177845957</v>
      </c>
    </row>
    <row r="285" spans="1:3" x14ac:dyDescent="0.35">
      <c r="A285" s="5" t="s">
        <v>284</v>
      </c>
      <c r="B285" t="str">
        <f t="shared" si="4"/>
        <v>LOA</v>
      </c>
      <c r="C285" s="6" t="str" cm="1">
        <f t="array" ref="C285">GetHyperlinkAddress(A285)</f>
        <v>https://open-measure.atlassian.net/wiki/spaces/DIC/pages/442400912</v>
      </c>
    </row>
    <row r="286" spans="1:3" x14ac:dyDescent="0.35">
      <c r="A286" s="5" t="s">
        <v>285</v>
      </c>
      <c r="B286" t="str">
        <f t="shared" si="4"/>
        <v>Logic Bomb</v>
      </c>
      <c r="C286" s="6" t="str" cm="1">
        <f t="array" ref="C286">GetHyperlinkAddress(A286)</f>
        <v>https://open-measure.atlassian.net/wiki/spaces/DIC/pages/1452048577/Logic+Bomb</v>
      </c>
    </row>
    <row r="287" spans="1:3" x14ac:dyDescent="0.35">
      <c r="A287" s="5" t="s">
        <v>286</v>
      </c>
      <c r="B287" t="str">
        <f t="shared" si="4"/>
        <v>Login</v>
      </c>
      <c r="C287" s="6" t="str" cm="1">
        <f t="array" ref="C287">GetHyperlinkAddress(A287)</f>
        <v>https://open-measure.atlassian.net/wiki/spaces/DIC/pages/1440153606/Login</v>
      </c>
    </row>
    <row r="288" spans="1:3" x14ac:dyDescent="0.35">
      <c r="A288" s="5" t="s">
        <v>287</v>
      </c>
      <c r="B288" t="str">
        <f t="shared" si="4"/>
        <v>Login ID</v>
      </c>
      <c r="C288" s="6" t="str" cm="1">
        <f t="array" ref="C288">GetHyperlinkAddress(A288)</f>
        <v>https://open-measure.atlassian.net/wiki/spaces/DIC/pages/1428685307/Login+ID</v>
      </c>
    </row>
    <row r="289" spans="1:3" x14ac:dyDescent="0.35">
      <c r="A289" s="5" t="s">
        <v>288</v>
      </c>
      <c r="B289" t="str">
        <f t="shared" si="4"/>
        <v>Login Name</v>
      </c>
      <c r="C289" s="6" t="str" cm="1">
        <f t="array" ref="C289">GetHyperlinkAddress(A289)</f>
        <v>https://open-measure.atlassian.net/wiki/spaces/DIC/pages/1428685365/Login+Name</v>
      </c>
    </row>
    <row r="290" spans="1:3" x14ac:dyDescent="0.35">
      <c r="A290" s="5" t="s">
        <v>289</v>
      </c>
      <c r="B290" t="str">
        <f t="shared" si="4"/>
        <v>Meaningful Statement using Scales</v>
      </c>
      <c r="C290" s="6" t="str" cm="1">
        <f t="array" ref="C290">GetHyperlinkAddress(A290)</f>
        <v>https://open-measure.atlassian.net/wiki/spaces/DIC/pages/5900142</v>
      </c>
    </row>
    <row r="291" spans="1:3" x14ac:dyDescent="0.35">
      <c r="A291" s="5" t="s">
        <v>290</v>
      </c>
      <c r="B291" t="str">
        <f t="shared" si="4"/>
        <v>Measurable Quantity</v>
      </c>
      <c r="C291" s="6" t="str" cm="1">
        <f t="array" ref="C291">GetHyperlinkAddress(A291)</f>
        <v>https://open-measure.atlassian.net/wiki/spaces/DIC/pages/5899544</v>
      </c>
    </row>
    <row r="292" spans="1:3" x14ac:dyDescent="0.35">
      <c r="A292" s="5" t="s">
        <v>291</v>
      </c>
      <c r="B292" t="str">
        <f t="shared" si="4"/>
        <v>Measurement</v>
      </c>
      <c r="C292" s="6" t="str" cm="1">
        <f t="array" ref="C292">GetHyperlinkAddress(A292)</f>
        <v>https://open-measure.atlassian.net/wiki/spaces/DIC/pages/1310994</v>
      </c>
    </row>
    <row r="293" spans="1:3" x14ac:dyDescent="0.35">
      <c r="A293" s="5" t="s">
        <v>292</v>
      </c>
      <c r="B293" t="str">
        <f t="shared" si="4"/>
        <v>Measurement Indicator</v>
      </c>
      <c r="C293" s="6" t="str" cm="1">
        <f t="array" ref="C293">GetHyperlinkAddress(A293)</f>
        <v>https://open-measure.atlassian.net/wiki/spaces/DIC/pages/5933244</v>
      </c>
    </row>
    <row r="294" spans="1:3" x14ac:dyDescent="0.35">
      <c r="A294" s="5" t="s">
        <v>293</v>
      </c>
      <c r="B294" t="str">
        <f t="shared" si="4"/>
        <v>Measurement Scale</v>
      </c>
      <c r="C294" s="6" t="str" cm="1">
        <f t="array" ref="C294">GetHyperlinkAddress(A294)</f>
        <v>https://open-measure.atlassian.net/wiki/spaces/DIC/pages/11567150</v>
      </c>
    </row>
    <row r="295" spans="1:3" x14ac:dyDescent="0.35">
      <c r="A295" s="5" t="s">
        <v>294</v>
      </c>
      <c r="B295" t="str">
        <f t="shared" si="4"/>
        <v>Measurement Theory</v>
      </c>
      <c r="C295" s="6" t="str" cm="1">
        <f t="array" ref="C295">GetHyperlinkAddress(A295)</f>
        <v>https://open-measure.atlassian.net/wiki/spaces/DIC/pages/5899260</v>
      </c>
    </row>
    <row r="296" spans="1:3" x14ac:dyDescent="0.35">
      <c r="A296" s="5" t="s">
        <v>295</v>
      </c>
      <c r="B296" t="str">
        <f t="shared" si="4"/>
        <v>Measuring Instrument</v>
      </c>
      <c r="C296" s="6" t="str" cm="1">
        <f t="array" ref="C296">GetHyperlinkAddress(A296)</f>
        <v>https://open-measure.atlassian.net/wiki/spaces/DIC/pages/2588851</v>
      </c>
    </row>
    <row r="297" spans="1:3" x14ac:dyDescent="0.35">
      <c r="A297" s="5" t="s">
        <v>296</v>
      </c>
      <c r="B297" t="str">
        <f t="shared" si="4"/>
        <v>Mechanism</v>
      </c>
      <c r="C297" s="6" t="str" cm="1">
        <f t="array" ref="C297">GetHyperlinkAddress(A297)</f>
        <v>https://open-measure.atlassian.net/wiki/spaces/DIC/pages/67699227</v>
      </c>
    </row>
    <row r="298" spans="1:3" x14ac:dyDescent="0.35">
      <c r="A298" s="5" t="s">
        <v>297</v>
      </c>
      <c r="B298" t="str">
        <f t="shared" si="4"/>
        <v>Metadata (Dictionary Term)</v>
      </c>
      <c r="C298" s="6" t="str" cm="1">
        <f t="array" ref="C298">GetHyperlinkAddress(A298)</f>
        <v>https://open-measure.atlassian.net/wiki/spaces/DIC/pages/427163759</v>
      </c>
    </row>
    <row r="299" spans="1:3" x14ac:dyDescent="0.35">
      <c r="A299" s="5" t="s">
        <v>298</v>
      </c>
      <c r="B299" t="str">
        <f t="shared" si="4"/>
        <v>Metadirectory</v>
      </c>
      <c r="C299" s="6" t="str" cm="1">
        <f t="array" ref="C299">GetHyperlinkAddress(A299)</f>
        <v>https://open-measure.atlassian.net/wiki/spaces/DIC/pages/834044288</v>
      </c>
    </row>
    <row r="300" spans="1:3" x14ac:dyDescent="0.35">
      <c r="A300" s="5" t="s">
        <v>299</v>
      </c>
      <c r="B300" t="str">
        <f t="shared" si="4"/>
        <v>Metric</v>
      </c>
      <c r="C300" s="6" t="str" cm="1">
        <f t="array" ref="C300">GetHyperlinkAddress(A300)</f>
        <v>https://open-measure.atlassian.net/wiki/spaces/DIC/pages/1311226</v>
      </c>
    </row>
    <row r="301" spans="1:3" x14ac:dyDescent="0.35">
      <c r="A301" s="5" t="s">
        <v>300</v>
      </c>
      <c r="B301" t="str">
        <f t="shared" si="4"/>
        <v>Model</v>
      </c>
      <c r="C301" s="6" t="str" cm="1">
        <f t="array" ref="C301">GetHyperlinkAddress(A301)</f>
        <v>https://open-measure.atlassian.net/wiki/spaces/DIC/pages/67633632</v>
      </c>
    </row>
    <row r="302" spans="1:3" x14ac:dyDescent="0.35">
      <c r="A302" s="5" t="s">
        <v>301</v>
      </c>
      <c r="B302" t="str">
        <f t="shared" si="4"/>
        <v>Monothetic Class</v>
      </c>
      <c r="C302" s="6" t="str" cm="1">
        <f t="array" ref="C302">GetHyperlinkAddress(A302)</f>
        <v>https://open-measure.atlassian.net/wiki/spaces/DIC/pages/148439237</v>
      </c>
    </row>
    <row r="303" spans="1:3" x14ac:dyDescent="0.35">
      <c r="A303" s="5" t="s">
        <v>302</v>
      </c>
      <c r="B303" t="str">
        <f t="shared" si="4"/>
        <v>Monotony</v>
      </c>
      <c r="C303" s="6" t="str" cm="1">
        <f t="array" ref="C303">GetHyperlinkAddress(A303)</f>
        <v>https://open-measure.atlassian.net/wiki/spaces/DIC/pages/43581457</v>
      </c>
    </row>
    <row r="304" spans="1:3" x14ac:dyDescent="0.35">
      <c r="A304" s="5" t="s">
        <v>303</v>
      </c>
      <c r="B304" t="str">
        <f t="shared" si="4"/>
        <v>Multidomain Single Sign-On</v>
      </c>
      <c r="C304" s="6" t="str" cm="1">
        <f t="array" ref="C304">GetHyperlinkAddress(A304)</f>
        <v>https://open-measure.atlassian.net/wiki/spaces/DIC/pages/75890760</v>
      </c>
    </row>
    <row r="305" spans="1:3" x14ac:dyDescent="0.35">
      <c r="A305" s="5" t="s">
        <v>304</v>
      </c>
      <c r="B305" t="str">
        <f t="shared" si="4"/>
        <v>Multilevel Security</v>
      </c>
      <c r="C305" s="6" t="str" cm="1">
        <f t="array" ref="C305">GetHyperlinkAddress(A305)</f>
        <v>https://open-measure.atlassian.net/wiki/spaces/DIC/pages/1031241799</v>
      </c>
    </row>
    <row r="306" spans="1:3" x14ac:dyDescent="0.35">
      <c r="A306" s="5" t="s">
        <v>305</v>
      </c>
      <c r="B306" t="str">
        <f t="shared" si="4"/>
        <v>Multiple Accounts</v>
      </c>
      <c r="C306" s="6" t="str" cm="1">
        <f t="array" ref="C306">GetHyperlinkAddress(A306)</f>
        <v>https://open-measure.atlassian.net/wiki/spaces/DIC/pages/1600684160/Multiple+Accounts</v>
      </c>
    </row>
    <row r="307" spans="1:3" x14ac:dyDescent="0.35">
      <c r="A307" s="5" t="s">
        <v>306</v>
      </c>
      <c r="B307" t="str">
        <f t="shared" si="4"/>
        <v>Mutual Authentication</v>
      </c>
      <c r="C307" s="6" t="str" cm="1">
        <f t="array" ref="C307">GetHyperlinkAddress(A307)</f>
        <v>https://open-measure.atlassian.net/wiki/spaces/DIC/pages/998244664</v>
      </c>
    </row>
    <row r="308" spans="1:3" x14ac:dyDescent="0.35">
      <c r="A308" s="5" t="s">
        <v>307</v>
      </c>
      <c r="B308" t="str">
        <f t="shared" si="4"/>
        <v>Need-to-Know</v>
      </c>
      <c r="C308" s="6" t="str" cm="1">
        <f t="array" ref="C308">GetHyperlinkAddress(A308)</f>
        <v>https://open-measure.atlassian.net/wiki/spaces/DIC/pages/1474592794/Need-to-Know</v>
      </c>
    </row>
    <row r="309" spans="1:3" x14ac:dyDescent="0.35">
      <c r="A309" s="5" t="s">
        <v>308</v>
      </c>
      <c r="B309" t="str">
        <f t="shared" si="4"/>
        <v>New Joiner</v>
      </c>
      <c r="C309" s="6" t="str" cm="1">
        <f t="array" ref="C309">GetHyperlinkAddress(A309)</f>
        <v>https://open-measure.atlassian.net/wiki/spaces/DIC/pages/858456124</v>
      </c>
    </row>
    <row r="310" spans="1:3" x14ac:dyDescent="0.35">
      <c r="A310" s="5" t="s">
        <v>311</v>
      </c>
      <c r="B310" t="str">
        <f t="shared" si="4"/>
        <v>No Tranquility Property</v>
      </c>
      <c r="C310" s="6" t="str" cm="1">
        <f t="array" ref="C310">GetHyperlinkAddress(A310)</f>
        <v>https://open-measure.atlassian.net/wiki/spaces/DIC/pages/1237483723</v>
      </c>
    </row>
    <row r="311" spans="1:3" x14ac:dyDescent="0.35">
      <c r="A311" s="5" t="s">
        <v>309</v>
      </c>
      <c r="B311" t="str">
        <f t="shared" si="4"/>
        <v>Nominal Scale</v>
      </c>
      <c r="C311" s="6" t="str" cm="1">
        <f t="array" ref="C311">GetHyperlinkAddress(A311)</f>
        <v>https://open-measure.atlassian.net/wiki/spaces/DIC/pages/6030903</v>
      </c>
    </row>
    <row r="312" spans="1:3" x14ac:dyDescent="0.35">
      <c r="A312" s="5" t="s">
        <v>310</v>
      </c>
      <c r="B312" t="str">
        <f t="shared" si="4"/>
        <v>Nonworker</v>
      </c>
      <c r="C312" s="6" t="str" cm="1">
        <f t="array" ref="C312">GetHyperlinkAddress(A312)</f>
        <v>https://open-measure.atlassian.net/wiki/spaces/DIC/pages/858554692</v>
      </c>
    </row>
    <row r="313" spans="1:3" x14ac:dyDescent="0.35">
      <c r="A313" s="5" t="s">
        <v>312</v>
      </c>
      <c r="B313" t="str">
        <f t="shared" si="4"/>
        <v>Numerical Identity</v>
      </c>
      <c r="C313" s="6" t="str" cm="1">
        <f t="array" ref="C313">GetHyperlinkAddress(A313)</f>
        <v>https://open-measure.atlassian.net/wiki/spaces/DIC/pages/1323336029/Numerical+Identity</v>
      </c>
    </row>
    <row r="314" spans="1:3" x14ac:dyDescent="0.35">
      <c r="A314" s="5" t="s">
        <v>313</v>
      </c>
      <c r="B314" t="str">
        <f t="shared" si="4"/>
        <v>Numerical Taxonomy</v>
      </c>
      <c r="C314" s="6" t="str" cm="1">
        <f t="array" ref="C314">GetHyperlinkAddress(A314)</f>
        <v>https://open-measure.atlassian.net/wiki/spaces/DIC/pages/148308170</v>
      </c>
    </row>
    <row r="315" spans="1:3" x14ac:dyDescent="0.35">
      <c r="A315" s="5" t="s">
        <v>314</v>
      </c>
      <c r="B315" t="str">
        <f t="shared" si="4"/>
        <v>Numerical Value of Measurement</v>
      </c>
      <c r="C315" s="6" t="str" cm="1">
        <f t="array" ref="C315">GetHyperlinkAddress(A315)</f>
        <v>https://open-measure.atlassian.net/wiki/spaces/DIC/pages/5965213</v>
      </c>
    </row>
    <row r="316" spans="1:3" x14ac:dyDescent="0.35">
      <c r="A316" s="5" t="s">
        <v>315</v>
      </c>
      <c r="B316" t="str">
        <f t="shared" si="4"/>
        <v>OAuth</v>
      </c>
      <c r="C316" s="6" t="str" cm="1">
        <f t="array" ref="C316">GetHyperlinkAddress(A316)</f>
        <v>https://open-measure.atlassian.net/wiki/spaces/DIC/pages/446825168</v>
      </c>
    </row>
    <row r="317" spans="1:3" x14ac:dyDescent="0.35">
      <c r="A317" s="5" t="s">
        <v>316</v>
      </c>
      <c r="B317" t="str">
        <f t="shared" si="4"/>
        <v>Object</v>
      </c>
      <c r="C317" s="6" t="str" cm="1">
        <f t="array" ref="C317">GetHyperlinkAddress(A317)</f>
        <v>https://open-measure.atlassian.net/wiki/spaces/DIC/pages/67568133</v>
      </c>
    </row>
    <row r="318" spans="1:3" x14ac:dyDescent="0.35">
      <c r="A318" s="5" t="s">
        <v>317</v>
      </c>
      <c r="B318" t="str">
        <f t="shared" si="4"/>
        <v>Objective</v>
      </c>
      <c r="C318" s="6" t="str" cm="1">
        <f t="array" ref="C318">GetHyperlinkAddress(A318)</f>
        <v>https://open-measure.atlassian.net/wiki/spaces/DIC/pages/1376617</v>
      </c>
    </row>
    <row r="319" spans="1:3" x14ac:dyDescent="0.35">
      <c r="A319" s="5" t="s">
        <v>318</v>
      </c>
      <c r="B319" t="str">
        <f t="shared" si="4"/>
        <v>Objective Indicator</v>
      </c>
      <c r="C319" s="6" t="str" cm="1">
        <f t="array" ref="C319">GetHyperlinkAddress(A319)</f>
        <v>https://open-measure.atlassian.net/wiki/spaces/DIC/pages/2981904</v>
      </c>
    </row>
    <row r="320" spans="1:3" x14ac:dyDescent="0.35">
      <c r="A320" s="5" t="s">
        <v>319</v>
      </c>
      <c r="B320" t="str">
        <f t="shared" si="4"/>
        <v>Objectivity</v>
      </c>
      <c r="C320" s="6" t="str" cm="1">
        <f t="array" ref="C320">GetHyperlinkAddress(A320)</f>
        <v>https://open-measure.atlassian.net/wiki/spaces/DIC/pages/11141406</v>
      </c>
    </row>
    <row r="321" spans="1:3" x14ac:dyDescent="0.35">
      <c r="A321" s="5" t="s">
        <v>320</v>
      </c>
      <c r="B321" t="str">
        <f t="shared" si="4"/>
        <v>Omission Error</v>
      </c>
      <c r="C321" s="6" t="str" cm="1">
        <f t="array" ref="C321">GetHyperlinkAddress(A321)</f>
        <v>https://open-measure.atlassian.net/wiki/spaces/DIC/pages/998244357</v>
      </c>
    </row>
    <row r="322" spans="1:3" x14ac:dyDescent="0.35">
      <c r="A322" s="5" t="s">
        <v>321</v>
      </c>
      <c r="B322" t="str">
        <f t="shared" si="4"/>
        <v>OPA</v>
      </c>
      <c r="C322" s="6" t="str" cm="1">
        <f t="array" ref="C322">GetHyperlinkAddress(A322)</f>
        <v>https://open-measure.atlassian.net/wiki/spaces/DIC/pages/1142358051</v>
      </c>
    </row>
    <row r="323" spans="1:3" x14ac:dyDescent="0.35">
      <c r="A323" s="5" t="s">
        <v>322</v>
      </c>
      <c r="B323" t="str">
        <f t="shared" si="4"/>
        <v>Open Policy Agent</v>
      </c>
      <c r="C323" s="6" t="str" cm="1">
        <f t="array" ref="C323">GetHyperlinkAddress(A323)</f>
        <v>https://open-measure.atlassian.net/wiki/spaces/DIC/pages/1142259761</v>
      </c>
    </row>
    <row r="324" spans="1:3" x14ac:dyDescent="0.35">
      <c r="A324" s="5" t="s">
        <v>323</v>
      </c>
      <c r="B324" t="str">
        <f t="shared" si="4"/>
        <v>Operational Definition</v>
      </c>
      <c r="C324" s="6" t="str" cm="1">
        <f t="array" ref="C324">GetHyperlinkAddress(A324)</f>
        <v>https://open-measure.atlassian.net/wiki/spaces/DIC/pages/3211353</v>
      </c>
    </row>
    <row r="325" spans="1:3" x14ac:dyDescent="0.35">
      <c r="A325" s="5" t="s">
        <v>324</v>
      </c>
      <c r="B325" t="str">
        <f t="shared" si="4"/>
        <v>Operational Taxonomic Unit</v>
      </c>
      <c r="C325" s="6" t="str" cm="1">
        <f t="array" ref="C325">GetHyperlinkAddress(A325)</f>
        <v>https://open-measure.atlassian.net/wiki/spaces/DIC/pages/148439181</v>
      </c>
    </row>
    <row r="326" spans="1:3" x14ac:dyDescent="0.35">
      <c r="A326" s="5" t="s">
        <v>325</v>
      </c>
      <c r="B326" t="str">
        <f t="shared" ref="B326:B389" si="5">SUBSTITUTE(CLEAN(A326)," (Dictionary Entry)","")</f>
        <v>Ordinal Scale</v>
      </c>
      <c r="C326" s="6" t="str" cm="1">
        <f t="array" ref="C326">GetHyperlinkAddress(A326)</f>
        <v>https://open-measure.atlassian.net/wiki/spaces/DIC/pages/5932838</v>
      </c>
    </row>
    <row r="327" spans="1:3" x14ac:dyDescent="0.35">
      <c r="A327" s="5" t="s">
        <v>326</v>
      </c>
      <c r="B327" t="str">
        <f t="shared" si="5"/>
        <v>Organization Context (Definition)</v>
      </c>
      <c r="C327" s="6" t="str" cm="1">
        <f t="array" ref="C327">GetHyperlinkAddress(A327)</f>
        <v>https://open-measure.atlassian.net/wiki/spaces/DIC/pages/1311403</v>
      </c>
    </row>
    <row r="328" spans="1:3" x14ac:dyDescent="0.35">
      <c r="A328" s="5" t="s">
        <v>327</v>
      </c>
      <c r="B328" t="str">
        <f t="shared" si="5"/>
        <v>Organization Scope (Definition)</v>
      </c>
      <c r="C328" s="6" t="str" cm="1">
        <f t="array" ref="C328">GetHyperlinkAddress(A328)</f>
        <v>https://open-measure.atlassian.net/wiki/spaces/DIC/pages/557057</v>
      </c>
    </row>
    <row r="329" spans="1:3" x14ac:dyDescent="0.35">
      <c r="A329" s="5" t="s">
        <v>328</v>
      </c>
      <c r="B329" t="str">
        <f t="shared" si="5"/>
        <v>Orphan</v>
      </c>
      <c r="C329" s="6" t="str" cm="1">
        <f t="array" ref="C329">GetHyperlinkAddress(A329)</f>
        <v>https://open-measure.atlassian.net/wiki/spaces/DIC/pages/1061650550</v>
      </c>
    </row>
    <row r="330" spans="1:3" x14ac:dyDescent="0.35">
      <c r="A330" s="5" t="s">
        <v>329</v>
      </c>
      <c r="B330" t="str">
        <f t="shared" si="5"/>
        <v>Orphan Account</v>
      </c>
      <c r="C330" s="6" t="str" cm="1">
        <f t="array" ref="C330">GetHyperlinkAddress(A330)</f>
        <v>https://open-measure.atlassian.net/wiki/spaces/DIC/pages/1062207530/Orphan+Account</v>
      </c>
    </row>
    <row r="331" spans="1:3" x14ac:dyDescent="0.35">
      <c r="A331" s="5" t="s">
        <v>330</v>
      </c>
      <c r="B331" t="str">
        <f t="shared" si="5"/>
        <v>Orphan File</v>
      </c>
      <c r="C331" s="6" t="str" cm="1">
        <f t="array" ref="C331">GetHyperlinkAddress(A331)</f>
        <v>https://open-measure.atlassian.net/wiki/spaces/DIC/pages/1061748965</v>
      </c>
    </row>
    <row r="332" spans="1:3" x14ac:dyDescent="0.35">
      <c r="A332" s="5" t="s">
        <v>331</v>
      </c>
      <c r="B332" t="str">
        <f t="shared" si="5"/>
        <v>Orphan Object</v>
      </c>
      <c r="C332" s="6" t="str" cm="1">
        <f t="array" ref="C332">GetHyperlinkAddress(A332)</f>
        <v>https://open-measure.atlassian.net/wiki/spaces/DIC/pages/1061650653</v>
      </c>
    </row>
    <row r="333" spans="1:3" x14ac:dyDescent="0.35">
      <c r="A333" s="5" t="s">
        <v>332</v>
      </c>
      <c r="B333" t="str">
        <f t="shared" si="5"/>
        <v>Orphan Process</v>
      </c>
      <c r="C333" s="6" t="str" cm="1">
        <f t="array" ref="C333">GetHyperlinkAddress(A333)</f>
        <v>https://open-measure.atlassian.net/wiki/spaces/DIC/pages/1061748925</v>
      </c>
    </row>
    <row r="334" spans="1:3" x14ac:dyDescent="0.35">
      <c r="A334" s="5" t="s">
        <v>333</v>
      </c>
      <c r="B334" t="str">
        <f t="shared" si="5"/>
        <v>Orphan Product</v>
      </c>
      <c r="C334" s="6" t="str" cm="1">
        <f t="array" ref="C334">GetHyperlinkAddress(A334)</f>
        <v>https://open-measure.atlassian.net/wiki/spaces/DIC/pages/1061749016</v>
      </c>
    </row>
    <row r="335" spans="1:3" x14ac:dyDescent="0.35">
      <c r="A335" s="5" t="s">
        <v>334</v>
      </c>
      <c r="B335" t="str">
        <f t="shared" si="5"/>
        <v>Orphan Role</v>
      </c>
      <c r="C335" s="6" t="str" cm="1">
        <f t="array" ref="C335">GetHyperlinkAddress(A335)</f>
        <v>https://open-measure.atlassian.net/wiki/spaces/DIC/pages/1063845889</v>
      </c>
    </row>
    <row r="336" spans="1:3" x14ac:dyDescent="0.35">
      <c r="A336" s="5" t="s">
        <v>335</v>
      </c>
      <c r="B336" t="str">
        <f t="shared" si="5"/>
        <v>Orphan Routes / APIs</v>
      </c>
      <c r="C336" s="6" t="str" cm="1">
        <f t="array" ref="C336">GetHyperlinkAddress(A336)</f>
        <v>https://open-measure.atlassian.net/wiki/spaces/DIC/pages/1061650689</v>
      </c>
    </row>
    <row r="337" spans="1:3" x14ac:dyDescent="0.35">
      <c r="A337" s="5" t="s">
        <v>336</v>
      </c>
      <c r="B337" t="str">
        <f t="shared" si="5"/>
        <v>Orphan System</v>
      </c>
      <c r="C337" s="6" t="str" cm="1">
        <f t="array" ref="C337">GetHyperlinkAddress(A337)</f>
        <v>https://open-measure.atlassian.net/wiki/spaces/DIC/pages/1061748885</v>
      </c>
    </row>
    <row r="338" spans="1:3" x14ac:dyDescent="0.35">
      <c r="A338" s="5" t="s">
        <v>337</v>
      </c>
      <c r="B338" t="str">
        <f t="shared" si="5"/>
        <v>Outcome Indicator</v>
      </c>
      <c r="C338" s="6" t="str" cm="1">
        <f t="array" ref="C338">GetHyperlinkAddress(A338)</f>
        <v>https://open-measure.atlassian.net/wiki/spaces/DIC/pages/49283090</v>
      </c>
    </row>
    <row r="339" spans="1:3" x14ac:dyDescent="0.35">
      <c r="A339" s="5" t="s">
        <v>338</v>
      </c>
      <c r="B339" t="str">
        <f t="shared" si="5"/>
        <v>Output Indicator</v>
      </c>
      <c r="C339" s="6" t="str" cm="1">
        <f t="array" ref="C339">GetHyperlinkAddress(A339)</f>
        <v>https://open-measure.atlassian.net/wiki/spaces/DIC/pages/49315842</v>
      </c>
    </row>
    <row r="340" spans="1:3" x14ac:dyDescent="0.35">
      <c r="A340" s="5" t="s">
        <v>339</v>
      </c>
      <c r="B340" t="str">
        <f t="shared" si="5"/>
        <v>Outsider</v>
      </c>
      <c r="C340" s="6" t="str" cm="1">
        <f t="array" ref="C340">GetHyperlinkAddress(A340)</f>
        <v>https://open-measure.atlassian.net/wiki/spaces/DIC/pages/1472692289/Outsider</v>
      </c>
    </row>
    <row r="341" spans="1:3" x14ac:dyDescent="0.35">
      <c r="A341" s="5" t="s">
        <v>340</v>
      </c>
      <c r="B341" t="str">
        <f t="shared" si="5"/>
        <v>Parsimony</v>
      </c>
      <c r="C341" s="6" t="str" cm="1">
        <f t="array" ref="C341">GetHyperlinkAddress(A341)</f>
        <v>https://open-measure.atlassian.net/wiki/spaces/DIC/pages/438665302</v>
      </c>
    </row>
    <row r="342" spans="1:3" x14ac:dyDescent="0.35">
      <c r="A342" s="5" t="s">
        <v>341</v>
      </c>
      <c r="B342" t="str">
        <f t="shared" si="5"/>
        <v>Partial Typology</v>
      </c>
      <c r="C342" s="6" t="str" cm="1">
        <f t="array" ref="C342">GetHyperlinkAddress(A342)</f>
        <v>https://open-measure.atlassian.net/wiki/spaces/DIC/pages/140673286</v>
      </c>
    </row>
    <row r="343" spans="1:3" x14ac:dyDescent="0.35">
      <c r="A343" s="5" t="s">
        <v>342</v>
      </c>
      <c r="B343" t="str">
        <f t="shared" si="5"/>
        <v>Passive Impersonation Attack</v>
      </c>
      <c r="C343" s="6" t="str" cm="1">
        <f t="array" ref="C343">GetHyperlinkAddress(A343)</f>
        <v>https://open-measure.atlassian.net/wiki/spaces/DIC/pages/974323764</v>
      </c>
    </row>
    <row r="344" spans="1:3" x14ac:dyDescent="0.35">
      <c r="A344" s="5" t="s">
        <v>343</v>
      </c>
      <c r="B344" t="str">
        <f t="shared" si="5"/>
        <v>Password Guessing Attack</v>
      </c>
      <c r="C344" s="6" t="str" cm="1">
        <f t="array" ref="C344">GetHyperlinkAddress(A344)</f>
        <v>https://open-measure.atlassian.net/wiki/spaces/DIC/pages/1428652394/Password+Guessing+Attack</v>
      </c>
    </row>
    <row r="345" spans="1:3" x14ac:dyDescent="0.35">
      <c r="A345" s="5" t="s">
        <v>345</v>
      </c>
      <c r="B345" t="str">
        <f t="shared" si="5"/>
        <v>Password Rotation</v>
      </c>
      <c r="C345" s="6" t="str" cm="1">
        <f t="array" ref="C345">GetHyperlinkAddress(A345)</f>
        <v>https://open-measure.atlassian.net/wiki/spaces/DIC/pages/1027048058</v>
      </c>
    </row>
    <row r="346" spans="1:3" x14ac:dyDescent="0.35">
      <c r="A346" s="5" t="s">
        <v>3</v>
      </c>
      <c r="B346" t="str">
        <f t="shared" si="5"/>
        <v>Password Spraying Attack</v>
      </c>
      <c r="C346" s="6" t="str" cm="1">
        <f t="array" ref="C346">GetHyperlinkAddress(A346)</f>
        <v>https://open-measure.atlassian.net/wiki/spaces/DIC/pages/1348730921/Password+Spraying+Attack</v>
      </c>
    </row>
    <row r="347" spans="1:3" x14ac:dyDescent="0.35">
      <c r="A347" s="5" t="s">
        <v>344</v>
      </c>
      <c r="B347" t="str">
        <f t="shared" si="5"/>
        <v>Passwordless Authentication</v>
      </c>
      <c r="C347" s="6" t="str" cm="1">
        <f t="array" ref="C347">GetHyperlinkAddress(A347)</f>
        <v>https://open-measure.atlassian.net/wiki/spaces/DIC/pages/1677164566/Passwordless+Authentication</v>
      </c>
    </row>
    <row r="348" spans="1:3" x14ac:dyDescent="0.35">
      <c r="A348" s="5" t="s">
        <v>346</v>
      </c>
      <c r="B348" t="str">
        <f t="shared" si="5"/>
        <v>People (Definition)</v>
      </c>
      <c r="C348" s="6" t="str" cm="1">
        <f t="array" ref="C348">GetHyperlinkAddress(A348)</f>
        <v>https://open-measure.atlassian.net/wiki/spaces/DIC/pages/1409753</v>
      </c>
    </row>
    <row r="349" spans="1:3" x14ac:dyDescent="0.35">
      <c r="A349" s="5" t="s">
        <v>347</v>
      </c>
      <c r="B349" t="str">
        <f t="shared" si="5"/>
        <v>Performance (Definition)</v>
      </c>
      <c r="C349" s="6" t="str" cm="1">
        <f t="array" ref="C349">GetHyperlinkAddress(A349)</f>
        <v>https://open-measure.atlassian.net/wiki/spaces/DIC/pages/140707141</v>
      </c>
    </row>
    <row r="350" spans="1:3" x14ac:dyDescent="0.35">
      <c r="A350" s="5" t="s">
        <v>348</v>
      </c>
      <c r="B350" t="str">
        <f t="shared" si="5"/>
        <v>Performance Measurement System</v>
      </c>
      <c r="C350" s="6" t="str" cm="1">
        <f t="array" ref="C350">GetHyperlinkAddress(A350)</f>
        <v>https://open-measure.atlassian.net/wiki/spaces/DIC/pages/1572966</v>
      </c>
    </row>
    <row r="351" spans="1:3" x14ac:dyDescent="0.35">
      <c r="A351" s="5" t="s">
        <v>349</v>
      </c>
      <c r="B351" t="str">
        <f t="shared" si="5"/>
        <v>Permission</v>
      </c>
      <c r="C351" s="6" t="str" cm="1">
        <f t="array" ref="C351">GetHyperlinkAddress(A351)</f>
        <v>https://open-measure.atlassian.net/wiki/spaces/DIC/pages/67699129</v>
      </c>
    </row>
    <row r="352" spans="1:3" x14ac:dyDescent="0.35">
      <c r="A352" s="5" t="s">
        <v>350</v>
      </c>
      <c r="B352" t="str">
        <f t="shared" si="5"/>
        <v>Persona</v>
      </c>
      <c r="C352" s="6" t="str" cm="1">
        <f t="array" ref="C352">GetHyperlinkAddress(A352)</f>
        <v>https://open-measure.atlassian.net/wiki/spaces/DIC/pages/1323499709/Persona</v>
      </c>
    </row>
    <row r="353" spans="1:3" x14ac:dyDescent="0.35">
      <c r="A353" s="5" t="s">
        <v>351</v>
      </c>
      <c r="B353" t="str">
        <f t="shared" si="5"/>
        <v>PMS</v>
      </c>
      <c r="C353" s="6" t="str" cm="1">
        <f t="array" ref="C353">GetHyperlinkAddress(A353)</f>
        <v>https://open-measure.atlassian.net/wiki/spaces/DIC/pages/1572948</v>
      </c>
    </row>
    <row r="354" spans="1:3" x14ac:dyDescent="0.35">
      <c r="A354" s="5" t="s">
        <v>352</v>
      </c>
      <c r="B354" t="str">
        <f t="shared" si="5"/>
        <v>Polar Types</v>
      </c>
      <c r="C354" s="6" t="str" cm="1">
        <f t="array" ref="C354">GetHyperlinkAddress(A354)</f>
        <v>https://open-measure.atlassian.net/wiki/spaces/DIC/pages/140771596</v>
      </c>
    </row>
    <row r="355" spans="1:3" x14ac:dyDescent="0.35">
      <c r="A355" s="5" t="s">
        <v>353</v>
      </c>
      <c r="B355" t="str">
        <f t="shared" si="5"/>
        <v>Policy</v>
      </c>
      <c r="C355" s="6" t="str" cm="1">
        <f t="array" ref="C355">GetHyperlinkAddress(A355)</f>
        <v>https://open-measure.atlassian.net/wiki/spaces/DIC/pages/67568272</v>
      </c>
    </row>
    <row r="356" spans="1:3" x14ac:dyDescent="0.35">
      <c r="A356" s="5" t="s">
        <v>354</v>
      </c>
      <c r="B356" t="str">
        <f t="shared" si="5"/>
        <v>Policy Analysis</v>
      </c>
      <c r="C356" s="6" t="str" cm="1">
        <f t="array" ref="C356">GetHyperlinkAddress(A356)</f>
        <v>https://open-measure.atlassian.net/wiki/spaces/DIC/pages/1104904334</v>
      </c>
    </row>
    <row r="357" spans="1:3" x14ac:dyDescent="0.35">
      <c r="A357" s="5" t="s">
        <v>355</v>
      </c>
      <c r="B357" t="str">
        <f t="shared" si="5"/>
        <v>Policy Centralization</v>
      </c>
      <c r="C357" s="6" t="str" cm="1">
        <f t="array" ref="C357">GetHyperlinkAddress(A357)</f>
        <v>https://open-measure.atlassian.net/wiki/spaces/DIC/pages/1132331103</v>
      </c>
    </row>
    <row r="358" spans="1:3" x14ac:dyDescent="0.35">
      <c r="A358" s="5" t="s">
        <v>356</v>
      </c>
      <c r="B358" t="str">
        <f t="shared" si="5"/>
        <v>Policy Interoperability</v>
      </c>
      <c r="C358" s="6" t="str" cm="1">
        <f t="array" ref="C358">GetHyperlinkAddress(A358)</f>
        <v>https://open-measure.atlassian.net/wiki/spaces/DIC/pages/1132331086</v>
      </c>
    </row>
    <row r="359" spans="1:3" x14ac:dyDescent="0.35">
      <c r="A359" s="5" t="s">
        <v>357</v>
      </c>
      <c r="B359" t="str">
        <f t="shared" si="5"/>
        <v>Policy Manageability</v>
      </c>
      <c r="C359" s="6" t="str" cm="1">
        <f t="array" ref="C359">GetHyperlinkAddress(A359)</f>
        <v>https://open-measure.atlassian.net/wiki/spaces/DIC/pages/1122631903</v>
      </c>
    </row>
    <row r="360" spans="1:3" x14ac:dyDescent="0.35">
      <c r="A360" s="5" t="s">
        <v>358</v>
      </c>
      <c r="B360" t="str">
        <f t="shared" si="5"/>
        <v>Policy Mining</v>
      </c>
      <c r="C360" s="6" t="str" cm="1">
        <f t="array" ref="C360">GetHyperlinkAddress(A360)</f>
        <v>https://open-measure.atlassian.net/wiki/spaces/DIC/pages/1105068063</v>
      </c>
    </row>
    <row r="361" spans="1:3" x14ac:dyDescent="0.35">
      <c r="A361" s="5" t="s">
        <v>359</v>
      </c>
      <c r="B361" t="str">
        <f t="shared" si="5"/>
        <v>Policy Modeling</v>
      </c>
      <c r="C361" s="6" t="str" cm="1">
        <f t="array" ref="C361">GetHyperlinkAddress(A361)</f>
        <v>https://open-measure.atlassian.net/wiki/spaces/DIC/pages/1130987523</v>
      </c>
    </row>
    <row r="362" spans="1:3" x14ac:dyDescent="0.35">
      <c r="A362" s="5" t="s">
        <v>360</v>
      </c>
      <c r="B362" t="str">
        <f t="shared" si="5"/>
        <v>Polythetic Class</v>
      </c>
      <c r="C362" s="6" t="str" cm="1">
        <f t="array" ref="C362">GetHyperlinkAddress(A362)</f>
        <v>https://open-measure.atlassian.net/wiki/spaces/DIC/pages/148373776</v>
      </c>
    </row>
    <row r="363" spans="1:3" x14ac:dyDescent="0.35">
      <c r="A363" s="5" t="s">
        <v>361</v>
      </c>
      <c r="B363" t="str">
        <f t="shared" si="5"/>
        <v>Pre-approval</v>
      </c>
      <c r="C363" s="6" t="str" cm="1">
        <f t="array" ref="C363">GetHyperlinkAddress(A363)</f>
        <v>https://open-measure.atlassian.net/wiki/spaces/DIC/pages/1094549649</v>
      </c>
    </row>
    <row r="364" spans="1:3" x14ac:dyDescent="0.35">
      <c r="A364" s="5" t="s">
        <v>362</v>
      </c>
      <c r="B364" t="str">
        <f t="shared" si="5"/>
        <v>Preference Indicator</v>
      </c>
      <c r="C364" s="6" t="str" cm="1">
        <f t="array" ref="C364">GetHyperlinkAddress(A364)</f>
        <v>https://open-measure.atlassian.net/wiki/spaces/DIC/pages/5933189</v>
      </c>
    </row>
    <row r="365" spans="1:3" x14ac:dyDescent="0.35">
      <c r="A365" s="5" t="s">
        <v>363</v>
      </c>
      <c r="B365" t="str">
        <f t="shared" si="5"/>
        <v>Principal</v>
      </c>
      <c r="C365" s="6" t="str" cm="1">
        <f t="array" ref="C365">GetHyperlinkAddress(A365)</f>
        <v>https://open-measure.atlassian.net/wiki/spaces/DIC/pages/67699046</v>
      </c>
    </row>
    <row r="366" spans="1:3" x14ac:dyDescent="0.35">
      <c r="A366" s="5" t="s">
        <v>364</v>
      </c>
      <c r="B366" t="str">
        <f t="shared" si="5"/>
        <v>Private Key Loss</v>
      </c>
      <c r="C366" s="6" t="str" cm="1">
        <f t="array" ref="C366">GetHyperlinkAddress(A366)</f>
        <v>https://open-measure.atlassian.net/wiki/spaces/DIC/pages/1323434264/Private+Key+Loss</v>
      </c>
    </row>
    <row r="367" spans="1:3" x14ac:dyDescent="0.35">
      <c r="A367" s="5" t="s">
        <v>365</v>
      </c>
      <c r="B367" t="str">
        <f t="shared" si="5"/>
        <v>Privilege</v>
      </c>
      <c r="C367" s="6" t="str" cm="1">
        <f t="array" ref="C367">GetHyperlinkAddress(A367)</f>
        <v>https://open-measure.atlassian.net/wiki/spaces/DIC/pages/67568310</v>
      </c>
    </row>
    <row r="368" spans="1:3" x14ac:dyDescent="0.35">
      <c r="A368" s="5" t="s">
        <v>366</v>
      </c>
      <c r="B368" t="str">
        <f t="shared" si="5"/>
        <v>Privilege Abuse</v>
      </c>
      <c r="C368" s="6" t="str" cm="1">
        <f t="array" ref="C368">GetHyperlinkAddress(A368)</f>
        <v>https://open-measure.atlassian.net/wiki/spaces/DIC/pages/814449037/Privilege+Abuse</v>
      </c>
    </row>
    <row r="369" spans="1:3" x14ac:dyDescent="0.35">
      <c r="A369" s="5" t="s">
        <v>367</v>
      </c>
      <c r="B369" t="str">
        <f t="shared" si="5"/>
        <v>Privilege Chaining</v>
      </c>
      <c r="C369" s="6" t="str" cm="1">
        <f t="array" ref="C369">GetHyperlinkAddress(A369)</f>
        <v>https://open-measure.atlassian.net/wiki/spaces/DIC/pages/473890861</v>
      </c>
    </row>
    <row r="370" spans="1:3" x14ac:dyDescent="0.35">
      <c r="A370" s="5" t="s">
        <v>370</v>
      </c>
      <c r="B370" t="str">
        <f t="shared" si="5"/>
        <v>Privilege Escalation</v>
      </c>
      <c r="C370" s="6" t="str" cm="1">
        <f t="array" ref="C370">GetHyperlinkAddress(A370)</f>
        <v>https://open-measure.atlassian.net/wiki/spaces/DIC/pages/810320380</v>
      </c>
    </row>
    <row r="371" spans="1:3" x14ac:dyDescent="0.35">
      <c r="A371" s="5" t="s">
        <v>368</v>
      </c>
      <c r="B371" t="str">
        <f t="shared" si="5"/>
        <v>Privileged Identity</v>
      </c>
      <c r="C371" s="6" t="str" cm="1">
        <f t="array" ref="C371">GetHyperlinkAddress(A371)</f>
        <v>https://open-measure.atlassian.net/wiki/spaces/DIC/pages/138346661</v>
      </c>
    </row>
    <row r="372" spans="1:3" x14ac:dyDescent="0.35">
      <c r="A372" s="5" t="s">
        <v>369</v>
      </c>
      <c r="B372" t="str">
        <f t="shared" si="5"/>
        <v>Privileged Insider</v>
      </c>
      <c r="C372" s="6" t="str" cm="1">
        <f t="array" ref="C372">GetHyperlinkAddress(A372)</f>
        <v>https://open-measure.atlassian.net/wiki/spaces/DIC/pages/1477902403/Privileged+Insider</v>
      </c>
    </row>
    <row r="373" spans="1:3" x14ac:dyDescent="0.35">
      <c r="A373" s="5" t="s">
        <v>371</v>
      </c>
      <c r="B373" t="str">
        <f t="shared" si="5"/>
        <v>Process</v>
      </c>
      <c r="C373" s="6" t="str" cm="1">
        <f t="array" ref="C373">GetHyperlinkAddress(A373)</f>
        <v>https://open-measure.atlassian.net/wiki/spaces/DIC/pages/1377214</v>
      </c>
    </row>
    <row r="374" spans="1:3" x14ac:dyDescent="0.35">
      <c r="A374" s="5" t="s">
        <v>372</v>
      </c>
      <c r="B374" t="str">
        <f t="shared" si="5"/>
        <v>Process Indicator</v>
      </c>
      <c r="C374" s="6" t="str" cm="1">
        <f t="array" ref="C374">GetHyperlinkAddress(A374)</f>
        <v>https://open-measure.atlassian.net/wiki/spaces/DIC/pages/49250316</v>
      </c>
    </row>
    <row r="375" spans="1:3" x14ac:dyDescent="0.35">
      <c r="A375" s="5" t="s">
        <v>373</v>
      </c>
      <c r="B375" t="str">
        <f t="shared" si="5"/>
        <v>Production Lead Time</v>
      </c>
      <c r="C375" s="6" t="str" cm="1">
        <f t="array" ref="C375">GetHyperlinkAddress(A375)</f>
        <v>https://open-measure.atlassian.net/wiki/spaces/DIC/pages/858521752</v>
      </c>
    </row>
    <row r="376" spans="1:3" x14ac:dyDescent="0.35">
      <c r="A376" s="5" t="s">
        <v>374</v>
      </c>
      <c r="B376" t="str">
        <f t="shared" si="5"/>
        <v>Protocol</v>
      </c>
      <c r="C376" s="6" t="str" cm="1">
        <f t="array" ref="C376">GetHyperlinkAddress(A376)</f>
        <v>https://open-measure.atlassian.net/wiki/spaces/DIC/pages/446955521</v>
      </c>
    </row>
    <row r="377" spans="1:3" x14ac:dyDescent="0.35">
      <c r="A377" s="5" t="s">
        <v>375</v>
      </c>
      <c r="B377" t="str">
        <f t="shared" si="5"/>
        <v>Provisioning</v>
      </c>
      <c r="C377" s="6" t="str" cm="1">
        <f t="array" ref="C377">GetHyperlinkAddress(A377)</f>
        <v>https://open-measure.atlassian.net/wiki/spaces/DIC/pages/61964289</v>
      </c>
    </row>
    <row r="378" spans="1:3" x14ac:dyDescent="0.35">
      <c r="A378" s="5" t="s">
        <v>376</v>
      </c>
      <c r="B378" t="str">
        <f t="shared" si="5"/>
        <v>QR Code Authentication</v>
      </c>
      <c r="C378" s="6" t="str" cm="1">
        <f t="array" ref="C378">GetHyperlinkAddress(A378)</f>
        <v>https://open-measure.atlassian.net/wiki/spaces/DIC/pages/1677164768/QR+Code+Authentication</v>
      </c>
    </row>
    <row r="379" spans="1:3" x14ac:dyDescent="0.35">
      <c r="A379" s="5" t="s">
        <v>377</v>
      </c>
      <c r="B379" t="str">
        <f t="shared" si="5"/>
        <v>Qualitative Classification</v>
      </c>
      <c r="C379" s="6" t="str" cm="1">
        <f t="array" ref="C379">GetHyperlinkAddress(A379)</f>
        <v>https://open-measure.atlassian.net/wiki/spaces/DIC/pages/140706128</v>
      </c>
    </row>
    <row r="380" spans="1:3" x14ac:dyDescent="0.35">
      <c r="A380" s="5" t="s">
        <v>378</v>
      </c>
      <c r="B380" t="str">
        <f t="shared" si="5"/>
        <v>Qualitative Identity</v>
      </c>
      <c r="C380" s="6" t="str" cm="1">
        <f t="array" ref="C380">GetHyperlinkAddress(A380)</f>
        <v>https://open-measure.atlassian.net/wiki/spaces/DIC/pages/1323598109/Qualitative+Identity</v>
      </c>
    </row>
    <row r="381" spans="1:3" x14ac:dyDescent="0.35">
      <c r="A381" s="5" t="s">
        <v>379</v>
      </c>
      <c r="B381" t="str">
        <f t="shared" si="5"/>
        <v>Quality (Definition)</v>
      </c>
      <c r="C381" s="6" t="str" cm="1">
        <f t="array" ref="C381">GetHyperlinkAddress(A381)</f>
        <v>https://open-measure.atlassian.net/wiki/spaces/DIC/pages/1442240</v>
      </c>
    </row>
    <row r="382" spans="1:3" x14ac:dyDescent="0.35">
      <c r="A382" s="5" t="s">
        <v>380</v>
      </c>
      <c r="B382" t="str">
        <f t="shared" si="5"/>
        <v>Quantitative Classification</v>
      </c>
      <c r="C382" s="6" t="str" cm="1">
        <f t="array" ref="C382">GetHyperlinkAddress(A382)</f>
        <v>https://open-measure.atlassian.net/wiki/spaces/DIC/pages/148308223</v>
      </c>
    </row>
    <row r="383" spans="1:3" x14ac:dyDescent="0.35">
      <c r="A383" s="5" t="s">
        <v>381</v>
      </c>
      <c r="B383" t="str">
        <f t="shared" si="5"/>
        <v>Quantity</v>
      </c>
      <c r="C383" s="6" t="str" cm="1">
        <f t="array" ref="C383">GetHyperlinkAddress(A383)</f>
        <v>https://open-measure.atlassian.net/wiki/spaces/DIC/pages/6030426</v>
      </c>
    </row>
    <row r="384" spans="1:3" x14ac:dyDescent="0.35">
      <c r="A384" s="5" t="s">
        <v>382</v>
      </c>
      <c r="B384" t="str">
        <f t="shared" si="5"/>
        <v>RA</v>
      </c>
      <c r="C384" s="6" t="str" cm="1">
        <f t="array" ref="C384">GetHyperlinkAddress(A384)</f>
        <v>https://open-measure.atlassian.net/wiki/spaces/DIC/pages/82903928</v>
      </c>
    </row>
    <row r="385" spans="1:3" x14ac:dyDescent="0.35">
      <c r="A385" s="5" t="s">
        <v>383</v>
      </c>
      <c r="B385" t="str">
        <f t="shared" si="5"/>
        <v>Ratio Scale</v>
      </c>
      <c r="C385" s="6" t="str" cm="1">
        <f t="array" ref="C385">GetHyperlinkAddress(A385)</f>
        <v>https://open-measure.atlassian.net/wiki/spaces/DIC/pages/11567198</v>
      </c>
    </row>
    <row r="386" spans="1:3" x14ac:dyDescent="0.35">
      <c r="A386" s="5" t="s">
        <v>384</v>
      </c>
      <c r="B386" t="str">
        <f t="shared" si="5"/>
        <v>RBA</v>
      </c>
      <c r="C386" s="6" t="str" cm="1">
        <f t="array" ref="C386">GetHyperlinkAddress(A386)</f>
        <v>https://open-measure.atlassian.net/wiki/spaces/DIC/pages/408944908</v>
      </c>
    </row>
    <row r="387" spans="1:3" x14ac:dyDescent="0.35">
      <c r="A387" s="5" t="s">
        <v>385</v>
      </c>
      <c r="B387" t="str">
        <f t="shared" si="5"/>
        <v>Re-authentication</v>
      </c>
      <c r="C387" s="6" t="str" cm="1">
        <f t="array" ref="C387">GetHyperlinkAddress(A387)</f>
        <v>https://open-measure.atlassian.net/wiki/spaces/DIC/pages/873201665</v>
      </c>
    </row>
    <row r="388" spans="1:3" x14ac:dyDescent="0.35">
      <c r="A388" s="5" t="s">
        <v>386</v>
      </c>
      <c r="B388" t="str">
        <f t="shared" si="5"/>
        <v>Recertification</v>
      </c>
      <c r="C388" s="6" t="str" cm="1">
        <f t="array" ref="C388">GetHyperlinkAddress(A388)</f>
        <v>https://open-measure.atlassian.net/wiki/spaces/DIC/pages/107840129</v>
      </c>
    </row>
    <row r="389" spans="1:3" x14ac:dyDescent="0.35">
      <c r="A389" s="5" t="s">
        <v>387</v>
      </c>
      <c r="B389" t="str">
        <f t="shared" si="5"/>
        <v>Reference Monitor</v>
      </c>
      <c r="C389" s="6" t="str" cm="1">
        <f t="array" ref="C389">GetHyperlinkAddress(A389)</f>
        <v>https://open-measure.atlassian.net/wiki/spaces/DIC/pages/123962234</v>
      </c>
    </row>
    <row r="390" spans="1:3" x14ac:dyDescent="0.35">
      <c r="A390" s="5" t="s">
        <v>388</v>
      </c>
      <c r="B390" t="str">
        <f t="shared" ref="B390:B453" si="6">SUBSTITUTE(CLEAN(A390)," (Dictionary Entry)","")</f>
        <v>Registration Authority</v>
      </c>
      <c r="C390" s="6" t="str" cm="1">
        <f t="array" ref="C390">GetHyperlinkAddress(A390)</f>
        <v>https://open-measure.atlassian.net/wiki/spaces/DIC/pages/82870985</v>
      </c>
    </row>
    <row r="391" spans="1:3" x14ac:dyDescent="0.35">
      <c r="A391" s="5" t="s">
        <v>389</v>
      </c>
      <c r="B391" t="str">
        <f t="shared" si="6"/>
        <v>Rejoiner</v>
      </c>
      <c r="C391" s="6" t="str" cm="1">
        <f t="array" ref="C391">GetHyperlinkAddress(A391)</f>
        <v>https://open-measure.atlassian.net/wiki/spaces/DIC/pages/858521682</v>
      </c>
    </row>
    <row r="392" spans="1:3" x14ac:dyDescent="0.35">
      <c r="A392" s="5" t="s">
        <v>390</v>
      </c>
      <c r="B392" t="str">
        <f t="shared" si="6"/>
        <v>Relying Party</v>
      </c>
      <c r="C392" s="6" t="str" cm="1">
        <f t="array" ref="C392">GetHyperlinkAddress(A392)</f>
        <v>https://open-measure.atlassian.net/wiki/spaces/DIC/pages/67699423</v>
      </c>
    </row>
    <row r="393" spans="1:3" x14ac:dyDescent="0.35">
      <c r="A393" s="5" t="s">
        <v>391</v>
      </c>
      <c r="B393" t="str">
        <f t="shared" si="6"/>
        <v>Remote Identity Proofing</v>
      </c>
      <c r="C393" s="6" t="str" cm="1">
        <f t="array" ref="C393">GetHyperlinkAddress(A393)</f>
        <v>https://open-measure.atlassian.net/wiki/spaces/DIC/pages/427130881</v>
      </c>
    </row>
    <row r="394" spans="1:3" x14ac:dyDescent="0.35">
      <c r="A394" s="5" t="s">
        <v>392</v>
      </c>
      <c r="B394" t="str">
        <f t="shared" si="6"/>
        <v>Repeatability</v>
      </c>
      <c r="C394" s="6" t="str" cm="1">
        <f t="array" ref="C394">GetHyperlinkAddress(A394)</f>
        <v>https://open-measure.atlassian.net/wiki/spaces/DIC/pages/2589003</v>
      </c>
    </row>
    <row r="395" spans="1:3" x14ac:dyDescent="0.35">
      <c r="A395" s="5" t="s">
        <v>393</v>
      </c>
      <c r="B395" t="str">
        <f t="shared" si="6"/>
        <v>Representation Target</v>
      </c>
      <c r="C395" s="6" t="str" cm="1">
        <f t="array" ref="C395">GetHyperlinkAddress(A395)</f>
        <v>https://open-measure.atlassian.net/wiki/spaces/DIC/pages/11141464</v>
      </c>
    </row>
    <row r="396" spans="1:3" x14ac:dyDescent="0.35">
      <c r="A396" s="5" t="s">
        <v>394</v>
      </c>
      <c r="B396" t="str">
        <f t="shared" si="6"/>
        <v>Reproducibility</v>
      </c>
      <c r="C396" s="6" t="str" cm="1">
        <f t="array" ref="C396">GetHyperlinkAddress(A396)</f>
        <v>https://open-measure.atlassian.net/wiki/spaces/DIC/pages/2588994</v>
      </c>
    </row>
    <row r="397" spans="1:3" x14ac:dyDescent="0.35">
      <c r="A397" s="5" t="s">
        <v>395</v>
      </c>
      <c r="B397" t="str">
        <f t="shared" si="6"/>
        <v>Revocation</v>
      </c>
      <c r="C397" s="6" t="str" cm="1">
        <f t="array" ref="C397">GetHyperlinkAddress(A397)</f>
        <v>https://open-measure.atlassian.net/wiki/spaces/DIC/pages/67698769</v>
      </c>
    </row>
    <row r="398" spans="1:3" x14ac:dyDescent="0.35">
      <c r="A398" s="5" t="s">
        <v>396</v>
      </c>
      <c r="B398" t="str">
        <f t="shared" si="6"/>
        <v>RIDP</v>
      </c>
      <c r="C398" s="6" t="str" cm="1">
        <f t="array" ref="C398">GetHyperlinkAddress(A398)</f>
        <v>https://open-measure.atlassian.net/wiki/spaces/DIC/pages/425623561</v>
      </c>
    </row>
    <row r="399" spans="1:3" x14ac:dyDescent="0.35">
      <c r="A399" s="5" t="s">
        <v>397</v>
      </c>
      <c r="B399" t="str">
        <f t="shared" si="6"/>
        <v>Risk-Based Authentication</v>
      </c>
      <c r="C399" s="6" t="str" cm="1">
        <f t="array" ref="C399">GetHyperlinkAddress(A399)</f>
        <v>https://open-measure.atlassian.net/wiki/spaces/DIC/pages/795836567</v>
      </c>
    </row>
    <row r="400" spans="1:3" x14ac:dyDescent="0.35">
      <c r="A400" s="5" t="s">
        <v>398</v>
      </c>
      <c r="B400" t="str">
        <f t="shared" si="6"/>
        <v>Role</v>
      </c>
      <c r="C400" s="6" t="str" cm="1">
        <f t="array" ref="C400">GetHyperlinkAddress(A400)</f>
        <v>https://open-measure.atlassian.net/wiki/spaces/DIC/pages/86442069</v>
      </c>
    </row>
    <row r="401" spans="1:3" x14ac:dyDescent="0.35">
      <c r="A401" s="5" t="s">
        <v>400</v>
      </c>
      <c r="B401" t="str">
        <f t="shared" si="6"/>
        <v>Role Bloating</v>
      </c>
      <c r="C401" s="6" t="str" cm="1">
        <f t="array" ref="C401">GetHyperlinkAddress(A401)</f>
        <v>https://open-measure.atlassian.net/wiki/spaces/DIC/pages/814514401</v>
      </c>
    </row>
    <row r="402" spans="1:3" x14ac:dyDescent="0.35">
      <c r="A402" s="5" t="s">
        <v>401</v>
      </c>
      <c r="B402" t="str">
        <f t="shared" si="6"/>
        <v>Role Capacity</v>
      </c>
      <c r="C402" s="6" t="str" cm="1">
        <f t="array" ref="C402">GetHyperlinkAddress(A402)</f>
        <v>https://open-measure.atlassian.net/wiki/spaces/DIC/pages/1164902443</v>
      </c>
    </row>
    <row r="403" spans="1:3" x14ac:dyDescent="0.35">
      <c r="A403" s="5" t="s">
        <v>402</v>
      </c>
      <c r="B403" t="str">
        <f t="shared" si="6"/>
        <v>Role Cardinality</v>
      </c>
      <c r="C403" s="6" t="str" cm="1">
        <f t="array" ref="C403">GetHyperlinkAddress(A403)</f>
        <v>https://open-measure.atlassian.net/wiki/spaces/DIC/pages/1164869655</v>
      </c>
    </row>
    <row r="404" spans="1:3" x14ac:dyDescent="0.35">
      <c r="A404" s="5" t="s">
        <v>403</v>
      </c>
      <c r="B404" t="str">
        <f t="shared" si="6"/>
        <v>Role Cardinality Activation Control</v>
      </c>
      <c r="C404" s="6" t="str" cm="1">
        <f t="array" ref="C404">GetHyperlinkAddress(A404)</f>
        <v>https://open-measure.atlassian.net/wiki/spaces/DIC/pages/1164902498</v>
      </c>
    </row>
    <row r="405" spans="1:3" x14ac:dyDescent="0.35">
      <c r="A405" s="5" t="s">
        <v>404</v>
      </c>
      <c r="B405" t="str">
        <f t="shared" si="6"/>
        <v>Role Explosion</v>
      </c>
      <c r="C405" s="6" t="str" cm="1">
        <f t="array" ref="C405">GetHyperlinkAddress(A405)</f>
        <v>https://open-measure.atlassian.net/wiki/spaces/DIC/pages/1152483772</v>
      </c>
    </row>
    <row r="406" spans="1:3" x14ac:dyDescent="0.35">
      <c r="A406" s="5" t="s">
        <v>405</v>
      </c>
      <c r="B406" t="str">
        <f t="shared" si="6"/>
        <v>Role Management</v>
      </c>
      <c r="C406" s="6" t="str" cm="1">
        <f t="array" ref="C406">GetHyperlinkAddress(A406)</f>
        <v>https://open-measure.atlassian.net/wiki/spaces/DIC/pages/1130921985</v>
      </c>
    </row>
    <row r="407" spans="1:3" x14ac:dyDescent="0.35">
      <c r="A407" s="5" t="s">
        <v>399</v>
      </c>
      <c r="B407" t="str">
        <f t="shared" si="6"/>
        <v>Role-Based Access Control</v>
      </c>
      <c r="C407" s="6" t="str" cm="1">
        <f t="array" ref="C407">GetHyperlinkAddress(A407)</f>
        <v>https://open-measure.atlassian.net/wiki/spaces/DIC/pages/1122566198</v>
      </c>
    </row>
    <row r="408" spans="1:3" x14ac:dyDescent="0.35">
      <c r="A408" s="5" t="s">
        <v>406</v>
      </c>
      <c r="B408" t="str">
        <f t="shared" si="6"/>
        <v>RP</v>
      </c>
      <c r="C408" s="6" t="str" cm="1">
        <f t="array" ref="C408">GetHyperlinkAddress(A408)</f>
        <v>https://open-measure.atlassian.net/wiki/spaces/DIC/pages/82903488</v>
      </c>
    </row>
    <row r="409" spans="1:3" x14ac:dyDescent="0.35">
      <c r="A409" s="5" t="s">
        <v>407</v>
      </c>
      <c r="B409" t="str">
        <f t="shared" si="6"/>
        <v>SAM Database</v>
      </c>
      <c r="C409" s="6" t="str" cm="1">
        <f t="array" ref="C409">GetHyperlinkAddress(A409)</f>
        <v>https://open-measure.atlassian.net/wiki/spaces/DIC/pages/140739068/SAM+Database</v>
      </c>
    </row>
    <row r="410" spans="1:3" x14ac:dyDescent="0.35">
      <c r="A410" s="5" t="s">
        <v>408</v>
      </c>
      <c r="B410" t="str">
        <f t="shared" si="6"/>
        <v>SAML</v>
      </c>
      <c r="C410" s="6" t="str" cm="1">
        <f t="array" ref="C410">GetHyperlinkAddress(A410)</f>
        <v>https://open-measure.atlassian.net/wiki/spaces/DIC/pages/1428586729/SAML</v>
      </c>
    </row>
    <row r="411" spans="1:3" x14ac:dyDescent="0.35">
      <c r="A411" s="5" t="s">
        <v>409</v>
      </c>
      <c r="B411" t="str">
        <f t="shared" si="6"/>
        <v>Scale</v>
      </c>
      <c r="C411" s="6" t="str" cm="1">
        <f t="array" ref="C411">GetHyperlinkAddress(A411)</f>
        <v>https://open-measure.atlassian.net/wiki/spaces/DIC/pages/5899940</v>
      </c>
    </row>
    <row r="412" spans="1:3" x14ac:dyDescent="0.35">
      <c r="A412" s="5" t="s">
        <v>410</v>
      </c>
      <c r="B412" t="str">
        <f t="shared" si="6"/>
        <v>SCIM</v>
      </c>
      <c r="C412" s="6" t="str" cm="1">
        <f t="array" ref="C412">GetHyperlinkAddress(A412)</f>
        <v>https://open-measure.atlassian.net/wiki/spaces/DIC/pages/206307343</v>
      </c>
    </row>
    <row r="413" spans="1:3" x14ac:dyDescent="0.35">
      <c r="A413" s="5" t="s">
        <v>411</v>
      </c>
      <c r="B413" t="str">
        <f t="shared" si="6"/>
        <v>SCIM 1.0</v>
      </c>
      <c r="C413" s="6" t="str" cm="1">
        <f t="array" ref="C413">GetHyperlinkAddress(A413)</f>
        <v>https://open-measure.atlassian.net/wiki/spaces/DIC/pages/206372879</v>
      </c>
    </row>
    <row r="414" spans="1:3" x14ac:dyDescent="0.35">
      <c r="A414" s="5" t="s">
        <v>412</v>
      </c>
      <c r="B414" t="str">
        <f t="shared" si="6"/>
        <v>SCIM 1.1</v>
      </c>
      <c r="C414" s="6" t="str" cm="1">
        <f t="array" ref="C414">GetHyperlinkAddress(A414)</f>
        <v>https://open-measure.atlassian.net/wiki/spaces/DIC/pages/206307350</v>
      </c>
    </row>
    <row r="415" spans="1:3" x14ac:dyDescent="0.35">
      <c r="A415" s="5" t="s">
        <v>413</v>
      </c>
      <c r="B415" t="str">
        <f t="shared" si="6"/>
        <v>SCIM 2.0</v>
      </c>
      <c r="C415" s="6" t="str" cm="1">
        <f t="array" ref="C415">GetHyperlinkAddress(A415)</f>
        <v>https://open-measure.atlassian.net/wiki/spaces/DIC/pages/206307373</v>
      </c>
    </row>
    <row r="416" spans="1:3" x14ac:dyDescent="0.35">
      <c r="A416" s="5" t="s">
        <v>414</v>
      </c>
      <c r="B416" t="str">
        <f t="shared" si="6"/>
        <v>Scoping</v>
      </c>
      <c r="C416" s="6" t="str" cm="1">
        <f t="array" ref="C416">GetHyperlinkAddress(A416)</f>
        <v>https://open-measure.atlassian.net/wiki/spaces/DIC/pages/1376383</v>
      </c>
    </row>
    <row r="417" spans="1:3" x14ac:dyDescent="0.35">
      <c r="A417" s="5" t="s">
        <v>415</v>
      </c>
      <c r="B417" t="str">
        <f t="shared" si="6"/>
        <v>SD</v>
      </c>
      <c r="C417" s="6" t="str" cm="1">
        <f t="array" ref="C417">GetHyperlinkAddress(A417)</f>
        <v>https://open-measure.atlassian.net/wiki/spaces/DIC/pages/5931115</v>
      </c>
    </row>
    <row r="418" spans="1:3" x14ac:dyDescent="0.35">
      <c r="A418" s="5" t="s">
        <v>416</v>
      </c>
      <c r="B418" t="str">
        <f t="shared" si="6"/>
        <v>SDP</v>
      </c>
      <c r="C418" s="6" t="str" cm="1">
        <f t="array" ref="C418">GetHyperlinkAddress(A418)</f>
        <v>https://open-measure.atlassian.net/wiki/spaces/DIC/pages/234356901</v>
      </c>
    </row>
    <row r="419" spans="1:3" x14ac:dyDescent="0.35">
      <c r="A419" s="5" t="s">
        <v>417</v>
      </c>
      <c r="B419" t="str">
        <f t="shared" si="6"/>
        <v>Secure Production Identity Framework for Everyone</v>
      </c>
      <c r="C419" s="6" t="str" cm="1">
        <f t="array" ref="C419">GetHyperlinkAddress(A419)</f>
        <v>https://open-measure.atlassian.net/wiki/spaces/DIC/pages/1142390785</v>
      </c>
    </row>
    <row r="420" spans="1:3" x14ac:dyDescent="0.35">
      <c r="A420" s="5" t="s">
        <v>418</v>
      </c>
      <c r="B420" t="str">
        <f t="shared" si="6"/>
        <v>Secure System</v>
      </c>
      <c r="C420" s="6" t="str" cm="1">
        <f t="array" ref="C420">GetHyperlinkAddress(A420)</f>
        <v>https://open-measure.atlassian.net/wiki/spaces/DIC/pages/1230831633</v>
      </c>
    </row>
    <row r="421" spans="1:3" x14ac:dyDescent="0.35">
      <c r="A421" s="5" t="s">
        <v>419</v>
      </c>
      <c r="B421" t="str">
        <f t="shared" si="6"/>
        <v>Security</v>
      </c>
      <c r="C421" s="6" t="str" cm="1">
        <f t="array" ref="C421">GetHyperlinkAddress(A421)</f>
        <v>https://open-measure.atlassian.net/wiki/spaces/DIC/pages/1231159321</v>
      </c>
    </row>
    <row r="422" spans="1:3" x14ac:dyDescent="0.35">
      <c r="A422" s="5" t="s">
        <v>420</v>
      </c>
      <c r="B422" t="str">
        <f t="shared" si="6"/>
        <v>Security Accounts Manager</v>
      </c>
      <c r="C422" s="6" t="str" cm="1">
        <f t="array" ref="C422">GetHyperlinkAddress(A422)</f>
        <v>https://open-measure.atlassian.net/wiki/spaces/DIC/pages/140673497</v>
      </c>
    </row>
    <row r="423" spans="1:3" x14ac:dyDescent="0.35">
      <c r="A423" s="5" t="s">
        <v>421</v>
      </c>
      <c r="B423" t="str">
        <f t="shared" si="6"/>
        <v>Security Assertion Markup Language</v>
      </c>
      <c r="C423" s="6" t="str" cm="1">
        <f t="array" ref="C423">GetHyperlinkAddress(A423)</f>
        <v>https://open-measure.atlassian.net/wiki/spaces/DIC/pages/1428619445/Security+Assertion+Markup+Language</v>
      </c>
    </row>
    <row r="424" spans="1:3" x14ac:dyDescent="0.35">
      <c r="A424" s="5" t="s">
        <v>422</v>
      </c>
      <c r="B424" t="str">
        <f t="shared" si="6"/>
        <v>Security Clearance Level</v>
      </c>
      <c r="C424" s="6" t="str" cm="1">
        <f t="array" ref="C424">GetHyperlinkAddress(A424)</f>
        <v>https://open-measure.atlassian.net/wiki/spaces/DIC/pages/1177747653</v>
      </c>
    </row>
    <row r="425" spans="1:3" x14ac:dyDescent="0.35">
      <c r="A425" s="5" t="s">
        <v>423</v>
      </c>
      <c r="B425" t="str">
        <f t="shared" si="6"/>
        <v>Security Compartment</v>
      </c>
      <c r="C425" s="6" t="str" cm="1">
        <f t="array" ref="C425">GetHyperlinkAddress(A425)</f>
        <v>https://open-measure.atlassian.net/wiki/spaces/DIC/pages/1181843719</v>
      </c>
    </row>
    <row r="426" spans="1:3" x14ac:dyDescent="0.35">
      <c r="A426" s="5" t="s">
        <v>424</v>
      </c>
      <c r="B426" t="str">
        <f t="shared" si="6"/>
        <v>Security Label</v>
      </c>
      <c r="C426" s="6" t="str" cm="1">
        <f t="array" ref="C426">GetHyperlinkAddress(A426)</f>
        <v>https://open-measure.atlassian.net/wiki/spaces/DIC/pages/1177747630</v>
      </c>
    </row>
    <row r="427" spans="1:3" x14ac:dyDescent="0.35">
      <c r="A427" s="5" t="s">
        <v>425</v>
      </c>
      <c r="B427" t="str">
        <f t="shared" si="6"/>
        <v>Segregation of Duties</v>
      </c>
      <c r="C427" s="6" t="str" cm="1">
        <f t="array" ref="C427">GetHyperlinkAddress(A427)</f>
        <v>https://open-measure.atlassian.net/wiki/spaces/DIC/pages/1071185955</v>
      </c>
    </row>
    <row r="428" spans="1:3" x14ac:dyDescent="0.35">
      <c r="A428" s="5" t="s">
        <v>426</v>
      </c>
      <c r="B428" t="str">
        <f t="shared" si="6"/>
        <v>Self-Sovereign Identity</v>
      </c>
      <c r="C428" s="6" t="str" cm="1">
        <f t="array" ref="C428">GetHyperlinkAddress(A428)</f>
        <v>https://open-measure.atlassian.net/wiki/spaces/DIC/pages/446955653/Self-Sovereign+Identity</v>
      </c>
    </row>
    <row r="429" spans="1:3" x14ac:dyDescent="0.35">
      <c r="A429" s="5" t="s">
        <v>427</v>
      </c>
      <c r="B429" t="str">
        <f t="shared" si="6"/>
        <v>Semantic Differential</v>
      </c>
      <c r="C429" s="6" t="str" cm="1">
        <f t="array" ref="C429">GetHyperlinkAddress(A429)</f>
        <v>https://open-measure.atlassian.net/wiki/spaces/DIC/pages/6029526</v>
      </c>
    </row>
    <row r="430" spans="1:3" x14ac:dyDescent="0.35">
      <c r="A430" s="5" t="s">
        <v>428</v>
      </c>
      <c r="B430" t="str">
        <f t="shared" si="6"/>
        <v>Service Account</v>
      </c>
      <c r="C430" s="6" t="str" cm="1">
        <f t="array" ref="C430">GetHyperlinkAddress(A430)</f>
        <v>https://open-measure.atlassian.net/wiki/spaces/DIC/pages/805142555</v>
      </c>
    </row>
    <row r="431" spans="1:3" x14ac:dyDescent="0.35">
      <c r="A431" s="5" t="s">
        <v>429</v>
      </c>
      <c r="B431" t="str">
        <f t="shared" si="6"/>
        <v>Service-Centric Identity Management System</v>
      </c>
      <c r="C431" s="6" t="str" cm="1">
        <f t="array" ref="C431">GetHyperlinkAddress(A431)</f>
        <v>https://open-measure.atlassian.net/wiki/spaces/DIC/pages/1313538143/Service-Centric+Identity+Management+System</v>
      </c>
    </row>
    <row r="432" spans="1:3" x14ac:dyDescent="0.35">
      <c r="A432" s="5" t="s">
        <v>430</v>
      </c>
      <c r="B432" t="str">
        <f t="shared" si="6"/>
        <v>Session</v>
      </c>
      <c r="C432" s="6" t="str" cm="1">
        <f t="array" ref="C432">GetHyperlinkAddress(A432)</f>
        <v>https://open-measure.atlassian.net/wiki/spaces/DIC/pages/881197061</v>
      </c>
    </row>
    <row r="433" spans="1:3" x14ac:dyDescent="0.35">
      <c r="A433" s="5" t="s">
        <v>431</v>
      </c>
      <c r="B433" t="str">
        <f t="shared" si="6"/>
        <v>Single Login</v>
      </c>
      <c r="C433" s="6" t="str" cm="1">
        <f t="array" ref="C433">GetHyperlinkAddress(A433)</f>
        <v>https://open-measure.atlassian.net/wiki/spaces/DIC/pages/78741548</v>
      </c>
    </row>
    <row r="434" spans="1:3" x14ac:dyDescent="0.35">
      <c r="A434" s="5" t="s">
        <v>432</v>
      </c>
      <c r="B434" t="str">
        <f t="shared" si="6"/>
        <v>Single Sign-On</v>
      </c>
      <c r="C434" s="6" t="str" cm="1">
        <f t="array" ref="C434">GetHyperlinkAddress(A434)</f>
        <v>https://open-measure.atlassian.net/wiki/spaces/DIC/pages/75956255</v>
      </c>
    </row>
    <row r="435" spans="1:3" x14ac:dyDescent="0.35">
      <c r="A435" s="5" t="s">
        <v>433</v>
      </c>
      <c r="B435" t="str">
        <f t="shared" si="6"/>
        <v>Social Authentication</v>
      </c>
      <c r="C435" s="6" t="str" cm="1">
        <f t="array" ref="C435">GetHyperlinkAddress(A435)</f>
        <v>https://open-measure.atlassian.net/wiki/spaces/DIC/pages/1600684200/Social+Authentication</v>
      </c>
    </row>
    <row r="436" spans="1:3" x14ac:dyDescent="0.35">
      <c r="A436" s="5" t="s">
        <v>434</v>
      </c>
      <c r="B436" t="str">
        <f t="shared" si="6"/>
        <v>Social Honeypot</v>
      </c>
      <c r="C436" s="6" t="str" cm="1">
        <f t="array" ref="C436">GetHyperlinkAddress(A436)</f>
        <v>https://open-measure.atlassian.net/wiki/spaces/DIC/pages/1270055026/Social+Honeypot</v>
      </c>
    </row>
    <row r="437" spans="1:3" x14ac:dyDescent="0.35">
      <c r="A437" s="5" t="s">
        <v>435</v>
      </c>
      <c r="B437" t="str">
        <f t="shared" si="6"/>
        <v>SoD</v>
      </c>
      <c r="C437" s="6" t="str" cm="1">
        <f t="array" ref="C437">GetHyperlinkAddress(A437)</f>
        <v>https://open-measure.atlassian.net/wiki/spaces/DIC/pages/1071317018</v>
      </c>
    </row>
    <row r="438" spans="1:3" x14ac:dyDescent="0.35">
      <c r="A438" s="5" t="s">
        <v>436</v>
      </c>
      <c r="B438" t="str">
        <f t="shared" si="6"/>
        <v>Software-Defined Perimeter</v>
      </c>
      <c r="C438" s="6" t="str" cm="1">
        <f t="array" ref="C438">GetHyperlinkAddress(A438)</f>
        <v>https://open-measure.atlassian.net/wiki/spaces/DIC/pages/234487981</v>
      </c>
    </row>
    <row r="439" spans="1:3" x14ac:dyDescent="0.35">
      <c r="A439" s="5" t="s">
        <v>437</v>
      </c>
      <c r="B439" t="str">
        <f t="shared" si="6"/>
        <v>SPIFFE</v>
      </c>
      <c r="C439" s="6" t="str" cm="1">
        <f t="array" ref="C439">GetHyperlinkAddress(A439)</f>
        <v>https://open-measure.atlassian.net/wiki/spaces/DIC/pages/1142292486</v>
      </c>
    </row>
    <row r="440" spans="1:3" x14ac:dyDescent="0.35">
      <c r="A440" s="5" t="s">
        <v>438</v>
      </c>
      <c r="B440" t="str">
        <f t="shared" si="6"/>
        <v>SPMS</v>
      </c>
      <c r="C440" s="6" t="str" cm="1">
        <f t="array" ref="C440">GetHyperlinkAddress(A440)</f>
        <v>https://open-measure.atlassian.net/wiki/spaces/DIC/pages/1605648</v>
      </c>
    </row>
    <row r="441" spans="1:3" x14ac:dyDescent="0.35">
      <c r="A441" s="5" t="s">
        <v>439</v>
      </c>
      <c r="B441" t="str">
        <f t="shared" si="6"/>
        <v>SSH Key</v>
      </c>
      <c r="C441" s="6" t="str" cm="1">
        <f t="array" ref="C441">GetHyperlinkAddress(A441)</f>
        <v>https://open-measure.atlassian.net/wiki/spaces/DIC/pages/1027342899</v>
      </c>
    </row>
    <row r="442" spans="1:3" x14ac:dyDescent="0.35">
      <c r="A442" s="5" t="s">
        <v>440</v>
      </c>
      <c r="B442" t="str">
        <f t="shared" si="6"/>
        <v>SSI</v>
      </c>
      <c r="C442" s="6" t="str" cm="1">
        <f t="array" ref="C442">GetHyperlinkAddress(A442)</f>
        <v>https://open-measure.atlassian.net/wiki/spaces/DIC/pages/1311113221/SSI</v>
      </c>
    </row>
    <row r="443" spans="1:3" x14ac:dyDescent="0.35">
      <c r="A443" s="5" t="s">
        <v>441</v>
      </c>
      <c r="B443" t="str">
        <f t="shared" si="6"/>
        <v>SSO</v>
      </c>
      <c r="C443" s="6" t="str" cm="1">
        <f t="array" ref="C443">GetHyperlinkAddress(A443)</f>
        <v>https://open-measure.atlassian.net/wiki/spaces/DIC/pages/75956237</v>
      </c>
    </row>
    <row r="444" spans="1:3" x14ac:dyDescent="0.35">
      <c r="A444" s="5" t="s">
        <v>442</v>
      </c>
      <c r="B444" t="str">
        <f t="shared" si="6"/>
        <v>Stability of Access Decision Factors</v>
      </c>
      <c r="C444" s="6" t="str" cm="1">
        <f t="array" ref="C444">GetHyperlinkAddress(A444)</f>
        <v>https://open-measure.atlassian.net/wiki/spaces/DIC/pages/998244645</v>
      </c>
    </row>
    <row r="445" spans="1:3" x14ac:dyDescent="0.35">
      <c r="A445" s="5" t="s">
        <v>443</v>
      </c>
      <c r="B445" t="str">
        <f t="shared" si="6"/>
        <v>Stakeholder</v>
      </c>
      <c r="C445" s="6" t="str" cm="1">
        <f t="array" ref="C445">GetHyperlinkAddress(A445)</f>
        <v>https://open-measure.atlassian.net/wiki/spaces/DIC/pages/1311763</v>
      </c>
    </row>
    <row r="446" spans="1:3" x14ac:dyDescent="0.35">
      <c r="A446" s="5" t="s">
        <v>444</v>
      </c>
      <c r="B446" t="str">
        <f t="shared" si="6"/>
        <v>Step-Up Authentication</v>
      </c>
      <c r="C446" s="6" t="str" cm="1">
        <f t="array" ref="C446">GetHyperlinkAddress(A446)</f>
        <v>https://open-measure.atlassian.net/wiki/spaces/DIC/pages/663257097/Step-Up+Authentication</v>
      </c>
    </row>
    <row r="447" spans="1:3" x14ac:dyDescent="0.35">
      <c r="A447" s="5" t="s">
        <v>445</v>
      </c>
      <c r="B447" t="str">
        <f t="shared" si="6"/>
        <v>Strategic Performance Measurement System</v>
      </c>
      <c r="C447" s="6" t="str" cm="1">
        <f t="array" ref="C447">GetHyperlinkAddress(A447)</f>
        <v>https://open-measure.atlassian.net/wiki/spaces/DIC/pages/1540175</v>
      </c>
    </row>
    <row r="448" spans="1:3" x14ac:dyDescent="0.35">
      <c r="A448" s="5" t="s">
        <v>446</v>
      </c>
      <c r="B448" t="str">
        <f t="shared" si="6"/>
        <v>Strict Discretionary Access Control</v>
      </c>
      <c r="C448" s="6" t="str" cm="1">
        <f t="array" ref="C448">GetHyperlinkAddress(A448)</f>
        <v>https://open-measure.atlassian.net/wiki/spaces/DIC/pages/1181909085</v>
      </c>
    </row>
    <row r="449" spans="1:3" x14ac:dyDescent="0.35">
      <c r="A449" s="5" t="s">
        <v>447</v>
      </c>
      <c r="B449" t="str">
        <f t="shared" si="6"/>
        <v>Strong Authentication</v>
      </c>
      <c r="C449" s="6" t="str" cm="1">
        <f t="array" ref="C449">GetHyperlinkAddress(A449)</f>
        <v>https://open-measure.atlassian.net/wiki/spaces/DIC/pages/81199126</v>
      </c>
    </row>
    <row r="450" spans="1:3" x14ac:dyDescent="0.35">
      <c r="A450" s="5" t="s">
        <v>448</v>
      </c>
      <c r="B450" t="str">
        <f t="shared" si="6"/>
        <v>Strong Tranquility Property</v>
      </c>
      <c r="C450" s="6" t="str" cm="1">
        <f t="array" ref="C450">GetHyperlinkAddress(A450)</f>
        <v>https://open-measure.atlassian.net/wiki/spaces/DIC/pages/1177747756</v>
      </c>
    </row>
    <row r="451" spans="1:3" x14ac:dyDescent="0.35">
      <c r="A451" s="5" t="s">
        <v>449</v>
      </c>
      <c r="B451" t="str">
        <f t="shared" si="6"/>
        <v>Subject</v>
      </c>
      <c r="C451" s="6" t="str" cm="1">
        <f t="array" ref="C451">GetHyperlinkAddress(A451)</f>
        <v>https://open-measure.atlassian.net/wiki/spaces/DIC/pages/67600697</v>
      </c>
    </row>
    <row r="452" spans="1:3" x14ac:dyDescent="0.35">
      <c r="A452" s="5" t="s">
        <v>450</v>
      </c>
      <c r="B452" t="str">
        <f t="shared" si="6"/>
        <v>Subjective Indicator</v>
      </c>
      <c r="C452" s="6" t="str" cm="1">
        <f t="array" ref="C452">GetHyperlinkAddress(A452)</f>
        <v>https://open-measure.atlassian.net/wiki/spaces/DIC/pages/2981920</v>
      </c>
    </row>
    <row r="453" spans="1:3" x14ac:dyDescent="0.35">
      <c r="A453" s="5" t="s">
        <v>451</v>
      </c>
      <c r="B453" t="str">
        <f t="shared" si="6"/>
        <v>Supply Chain Attack</v>
      </c>
      <c r="C453" s="6" t="str" cm="1">
        <f t="array" ref="C453">GetHyperlinkAddress(A453)</f>
        <v>https://open-measure.atlassian.net/wiki/spaces/DIC/pages/1477869640/Supply+Chain+Attack</v>
      </c>
    </row>
    <row r="454" spans="1:3" x14ac:dyDescent="0.35">
      <c r="A454" s="5" t="s">
        <v>452</v>
      </c>
      <c r="B454" t="str">
        <f t="shared" ref="B454:B517" si="7">SUBSTITUTE(CLEAN(A454)," (Dictionary Entry)","")</f>
        <v>Sybil Attack</v>
      </c>
      <c r="C454" s="6" t="str" cm="1">
        <f t="array" ref="C454">GetHyperlinkAddress(A454)</f>
        <v>https://open-measure.atlassian.net/wiki/spaces/DIC/pages/1254588545/Sybil+Attack</v>
      </c>
    </row>
    <row r="455" spans="1:3" x14ac:dyDescent="0.35">
      <c r="A455" s="5" t="s">
        <v>453</v>
      </c>
      <c r="B455" t="str">
        <f t="shared" si="7"/>
        <v>Synthetic Identity Fraud</v>
      </c>
      <c r="C455" s="6" t="str" cm="1">
        <f t="array" ref="C455">GetHyperlinkAddress(A455)</f>
        <v>https://open-measure.atlassian.net/wiki/spaces/DIC/pages/794296433</v>
      </c>
    </row>
    <row r="456" spans="1:3" x14ac:dyDescent="0.35">
      <c r="A456" s="5" t="s">
        <v>454</v>
      </c>
      <c r="B456" t="str">
        <f t="shared" si="7"/>
        <v>System</v>
      </c>
      <c r="C456" s="6" t="str" cm="1">
        <f t="array" ref="C456">GetHyperlinkAddress(A456)</f>
        <v>https://open-measure.atlassian.net/wiki/spaces/DIC/pages/5965562/System</v>
      </c>
    </row>
    <row r="457" spans="1:3" x14ac:dyDescent="0.35">
      <c r="A457" s="5" t="s">
        <v>455</v>
      </c>
      <c r="B457" t="str">
        <f t="shared" si="7"/>
        <v>System Boundaries</v>
      </c>
      <c r="C457" s="6" t="str" cm="1">
        <f t="array" ref="C457">GetHyperlinkAddress(A457)</f>
        <v>https://open-measure.atlassian.net/wiki/spaces/DIC/pages/446824644/System+Boundaries</v>
      </c>
    </row>
    <row r="458" spans="1:3" x14ac:dyDescent="0.35">
      <c r="A458" s="5" t="s">
        <v>456</v>
      </c>
      <c r="B458" t="str">
        <f t="shared" si="7"/>
        <v>System for Cross-domain Identity Management</v>
      </c>
      <c r="C458" s="6" t="str" cm="1">
        <f t="array" ref="C458">GetHyperlinkAddress(A458)</f>
        <v>https://open-measure.atlassian.net/wiki/spaces/DIC/pages/206372869</v>
      </c>
    </row>
    <row r="459" spans="1:3" x14ac:dyDescent="0.35">
      <c r="A459" s="5" t="s">
        <v>457</v>
      </c>
      <c r="B459" t="str">
        <f t="shared" si="7"/>
        <v>System Owner</v>
      </c>
      <c r="C459" s="6" t="str" cm="1">
        <f t="array" ref="C459">GetHyperlinkAddress(A459)</f>
        <v>https://open-measure.atlassian.net/wiki/spaces/DIC/pages/1004961963</v>
      </c>
    </row>
    <row r="460" spans="1:3" x14ac:dyDescent="0.35">
      <c r="A460" s="5" t="s">
        <v>458</v>
      </c>
      <c r="B460" t="str">
        <f t="shared" si="7"/>
        <v>System Z</v>
      </c>
      <c r="C460" s="6" t="str" cm="1">
        <f t="array" ref="C460">GetHyperlinkAddress(A460)</f>
        <v>https://open-measure.atlassian.net/wiki/spaces/DIC/pages/1226571890</v>
      </c>
    </row>
    <row r="461" spans="1:3" x14ac:dyDescent="0.35">
      <c r="A461" s="5" t="s">
        <v>459</v>
      </c>
      <c r="B461" t="str">
        <f t="shared" si="7"/>
        <v>Task-Based Access Control</v>
      </c>
      <c r="C461" s="6" t="str" cm="1">
        <f t="array" ref="C461">GetHyperlinkAddress(A461)</f>
        <v>https://open-measure.atlassian.net/wiki/spaces/DIC/pages/1122631693</v>
      </c>
    </row>
    <row r="462" spans="1:3" x14ac:dyDescent="0.35">
      <c r="A462" s="5" t="s">
        <v>460</v>
      </c>
      <c r="B462" t="str">
        <f t="shared" si="7"/>
        <v>Taxa</v>
      </c>
      <c r="C462" s="6" t="str" cm="1">
        <f t="array" ref="C462">GetHyperlinkAddress(A462)</f>
        <v>https://open-measure.atlassian.net/wiki/spaces/DIC/pages/148373634</v>
      </c>
    </row>
    <row r="463" spans="1:3" x14ac:dyDescent="0.35">
      <c r="A463" s="5" t="s">
        <v>461</v>
      </c>
      <c r="B463" t="str">
        <f t="shared" si="7"/>
        <v>Taxon</v>
      </c>
      <c r="C463" s="6" t="str" cm="1">
        <f t="array" ref="C463">GetHyperlinkAddress(A463)</f>
        <v>https://open-measure.atlassian.net/wiki/spaces/DIC/pages/148340845</v>
      </c>
    </row>
    <row r="464" spans="1:3" x14ac:dyDescent="0.35">
      <c r="A464" s="5" t="s">
        <v>462</v>
      </c>
      <c r="B464" t="str">
        <f t="shared" si="7"/>
        <v>Taxonomy</v>
      </c>
      <c r="C464" s="6" t="str" cm="1">
        <f t="array" ref="C464">GetHyperlinkAddress(A464)</f>
        <v>https://open-measure.atlassian.net/wiki/spaces/DIC/pages/140706175</v>
      </c>
    </row>
    <row r="465" spans="1:3" x14ac:dyDescent="0.35">
      <c r="A465" s="5" t="s">
        <v>463</v>
      </c>
      <c r="B465" t="str">
        <f t="shared" si="7"/>
        <v>TCO</v>
      </c>
      <c r="C465" s="6" t="str" cm="1">
        <f t="array" ref="C465">GetHyperlinkAddress(A465)</f>
        <v>https://open-measure.atlassian.net/wiki/spaces/DIC/pages/158794291</v>
      </c>
    </row>
    <row r="466" spans="1:3" x14ac:dyDescent="0.35">
      <c r="A466" s="5" t="s">
        <v>464</v>
      </c>
      <c r="B466" t="str">
        <f t="shared" si="7"/>
        <v>Term</v>
      </c>
      <c r="C466" s="6" t="str" cm="1">
        <f t="array" ref="C466">GetHyperlinkAddress(A466)</f>
        <v>https://open-measure.atlassian.net/wiki/spaces/DIC/pages/1061617735</v>
      </c>
    </row>
    <row r="467" spans="1:3" x14ac:dyDescent="0.35">
      <c r="A467" s="5" t="s">
        <v>465</v>
      </c>
      <c r="B467" t="str">
        <f t="shared" si="7"/>
        <v>Total Cost of Ownership</v>
      </c>
      <c r="C467" s="6" t="str" cm="1">
        <f t="array" ref="C467">GetHyperlinkAddress(A467)</f>
        <v>https://open-measure.atlassian.net/wiki/spaces/DIC/pages/158728598</v>
      </c>
    </row>
    <row r="468" spans="1:3" x14ac:dyDescent="0.35">
      <c r="A468" s="5" t="s">
        <v>466</v>
      </c>
      <c r="B468" t="str">
        <f t="shared" si="7"/>
        <v>Toxic Combinations</v>
      </c>
      <c r="C468" s="6" t="str" cm="1">
        <f t="array" ref="C468">GetHyperlinkAddress(A468)</f>
        <v>https://open-measure.atlassian.net/wiki/spaces/DIC/pages/1130954862</v>
      </c>
    </row>
    <row r="469" spans="1:3" x14ac:dyDescent="0.35">
      <c r="A469" s="5" t="s">
        <v>467</v>
      </c>
      <c r="B469" t="str">
        <f t="shared" si="7"/>
        <v>Toxic Right Rule (Definition)</v>
      </c>
      <c r="C469" s="6" t="str" cm="1">
        <f t="array" ref="C469">GetHyperlinkAddress(A469)</f>
        <v>https://open-measure.atlassian.net/wiki/spaces/DIC/pages/360467</v>
      </c>
    </row>
    <row r="470" spans="1:3" x14ac:dyDescent="0.35">
      <c r="A470" s="5" t="s">
        <v>468</v>
      </c>
      <c r="B470" t="str">
        <f t="shared" si="7"/>
        <v>Tranquil</v>
      </c>
      <c r="C470" s="6" t="str" cm="1">
        <f t="array" ref="C470">GetHyperlinkAddress(A470)</f>
        <v>https://open-measure.atlassian.net/wiki/spaces/DIC/pages/1237582070/Tranquil</v>
      </c>
    </row>
    <row r="471" spans="1:3" x14ac:dyDescent="0.35">
      <c r="A471" s="5" t="s">
        <v>469</v>
      </c>
      <c r="B471" t="str">
        <f t="shared" si="7"/>
        <v>Tranquility Principle</v>
      </c>
      <c r="C471" s="6" t="str" cm="1">
        <f t="array" ref="C471">GetHyperlinkAddress(A471)</f>
        <v>https://open-measure.atlassian.net/wiki/spaces/DIC/pages/1237483759</v>
      </c>
    </row>
    <row r="472" spans="1:3" x14ac:dyDescent="0.35">
      <c r="A472" s="5" t="s">
        <v>470</v>
      </c>
      <c r="B472" t="str">
        <f t="shared" si="7"/>
        <v>Tranquility Property</v>
      </c>
      <c r="C472" s="6" t="str" cm="1">
        <f t="array" ref="C472">GetHyperlinkAddress(A472)</f>
        <v>https://open-measure.atlassian.net/wiki/spaces/DIC/pages/1181876587</v>
      </c>
    </row>
    <row r="473" spans="1:3" x14ac:dyDescent="0.35">
      <c r="A473" s="5" t="s">
        <v>471</v>
      </c>
      <c r="B473" t="str">
        <f t="shared" si="7"/>
        <v>Trust</v>
      </c>
      <c r="C473" s="6" t="str" cm="1">
        <f t="array" ref="C473">GetHyperlinkAddress(A473)</f>
        <v>https://open-measure.atlassian.net/wiki/spaces/DIC/pages/1037926452/Trust</v>
      </c>
    </row>
    <row r="474" spans="1:3" x14ac:dyDescent="0.35">
      <c r="A474" s="5" t="s">
        <v>472</v>
      </c>
      <c r="B474" t="str">
        <f t="shared" si="7"/>
        <v>Trust Asymmetry</v>
      </c>
      <c r="C474" s="6" t="str" cm="1">
        <f t="array" ref="C474">GetHyperlinkAddress(A474)</f>
        <v>https://open-measure.atlassian.net/wiki/spaces/DIC/pages/1027048185</v>
      </c>
    </row>
    <row r="475" spans="1:3" x14ac:dyDescent="0.35">
      <c r="A475" s="5" t="s">
        <v>473</v>
      </c>
      <c r="B475" t="str">
        <f t="shared" si="7"/>
        <v>Trust Composability</v>
      </c>
      <c r="C475" s="6" t="str" cm="1">
        <f t="array" ref="C475">GetHyperlinkAddress(A475)</f>
        <v>https://open-measure.atlassian.net/wiki/spaces/DIC/pages/1027048128</v>
      </c>
    </row>
    <row r="476" spans="1:3" x14ac:dyDescent="0.35">
      <c r="A476" s="5" t="s">
        <v>474</v>
      </c>
      <c r="B476" t="str">
        <f t="shared" si="7"/>
        <v>Trust Personalization</v>
      </c>
      <c r="C476" s="6" t="str" cm="1">
        <f t="array" ref="C476">GetHyperlinkAddress(A476)</f>
        <v>https://open-measure.atlassian.net/wiki/spaces/DIC/pages/1027048209</v>
      </c>
    </row>
    <row r="477" spans="1:3" x14ac:dyDescent="0.35">
      <c r="A477" s="5" t="s">
        <v>475</v>
      </c>
      <c r="B477" t="str">
        <f t="shared" si="7"/>
        <v>Trust Transitivity</v>
      </c>
      <c r="C477" s="6" t="str" cm="1">
        <f t="array" ref="C477">GetHyperlinkAddress(A477)</f>
        <v>https://open-measure.atlassian.net/wiki/spaces/DIC/pages/1031242345</v>
      </c>
    </row>
    <row r="478" spans="1:3" x14ac:dyDescent="0.35">
      <c r="A478" s="5" t="s">
        <v>476</v>
      </c>
      <c r="B478" t="str">
        <f t="shared" si="7"/>
        <v>Type</v>
      </c>
      <c r="C478" s="6" t="str" cm="1">
        <f t="array" ref="C478">GetHyperlinkAddress(A478)</f>
        <v>https://open-measure.atlassian.net/wiki/spaces/DIC/pages/140705998</v>
      </c>
    </row>
    <row r="479" spans="1:3" x14ac:dyDescent="0.35">
      <c r="A479" s="5" t="s">
        <v>477</v>
      </c>
      <c r="B479" t="str">
        <f t="shared" si="7"/>
        <v>Typing Biometrics</v>
      </c>
      <c r="C479" s="6" t="str" cm="1">
        <f t="array" ref="C479">GetHyperlinkAddress(A479)</f>
        <v>https://open-measure.atlassian.net/wiki/spaces/DIC/pages/1417084929/Typing+Biometrics</v>
      </c>
    </row>
    <row r="480" spans="1:3" x14ac:dyDescent="0.35">
      <c r="A480" s="5" t="s">
        <v>478</v>
      </c>
      <c r="B480" t="str">
        <f t="shared" si="7"/>
        <v>Typology</v>
      </c>
      <c r="C480" s="6" t="str" cm="1">
        <f t="array" ref="C480">GetHyperlinkAddress(A480)</f>
        <v>https://open-measure.atlassian.net/wiki/spaces/DIC/pages/140673267</v>
      </c>
    </row>
    <row r="481" spans="1:3" x14ac:dyDescent="0.35">
      <c r="A481" s="5" t="s">
        <v>479</v>
      </c>
      <c r="B481" t="str">
        <f t="shared" si="7"/>
        <v>Unanticipated User</v>
      </c>
      <c r="C481" s="6" t="str" cm="1">
        <f t="array" ref="C481">GetHyperlinkAddress(A481)</f>
        <v>https://open-measure.atlassian.net/wiki/spaces/DIC/pages/1027080193/Unanticipated+User</v>
      </c>
    </row>
    <row r="482" spans="1:3" x14ac:dyDescent="0.35">
      <c r="A482" s="5" t="s">
        <v>480</v>
      </c>
      <c r="B482" t="str">
        <f t="shared" si="7"/>
        <v>Unauthorized Access</v>
      </c>
      <c r="C482" s="6" t="str" cm="1">
        <f t="array" ref="C482">GetHyperlinkAddress(A482)</f>
        <v>https://open-measure.atlassian.net/wiki/spaces/DIC/pages/1231126540/Unauthorized+Access</v>
      </c>
    </row>
    <row r="483" spans="1:3" x14ac:dyDescent="0.35">
      <c r="A483" s="5" t="s">
        <v>481</v>
      </c>
      <c r="B483" t="str">
        <f t="shared" si="7"/>
        <v>Unique ID Number</v>
      </c>
      <c r="C483" s="6" t="str" cm="1">
        <f t="array" ref="C483">GetHyperlinkAddress(A483)</f>
        <v>https://open-measure.atlassian.net/wiki/spaces/DIC/pages/446955662/Unique+ID+Number</v>
      </c>
    </row>
    <row r="484" spans="1:3" x14ac:dyDescent="0.35">
      <c r="A484" s="5" t="s">
        <v>482</v>
      </c>
      <c r="B484" t="str">
        <f t="shared" si="7"/>
        <v>Unit of measurement</v>
      </c>
      <c r="C484" s="6" t="str" cm="1">
        <f t="array" ref="C484">GetHyperlinkAddress(A484)</f>
        <v>https://open-measure.atlassian.net/wiki/spaces/DIC/pages/2523320/Unit+of+measurement</v>
      </c>
    </row>
    <row r="485" spans="1:3" x14ac:dyDescent="0.35">
      <c r="A485" s="5" t="s">
        <v>483</v>
      </c>
      <c r="B485" t="str">
        <f t="shared" si="7"/>
        <v>Unprivileged Insider</v>
      </c>
      <c r="C485" s="6" t="str" cm="1">
        <f t="array" ref="C485">GetHyperlinkAddress(A485)</f>
        <v>https://open-measure.atlassian.net/wiki/spaces/DIC/pages/1477902414/Unprivileged+Insider</v>
      </c>
    </row>
    <row r="486" spans="1:3" x14ac:dyDescent="0.35">
      <c r="A486" s="5" t="s">
        <v>484</v>
      </c>
      <c r="B486" t="str">
        <f t="shared" si="7"/>
        <v>User</v>
      </c>
      <c r="C486" s="6" t="str" cm="1">
        <f t="array" ref="C486">GetHyperlinkAddress(A486)</f>
        <v>https://open-measure.atlassian.net/wiki/spaces/DIC/pages/82839586/User</v>
      </c>
    </row>
    <row r="487" spans="1:3" x14ac:dyDescent="0.35">
      <c r="A487" s="5" t="s">
        <v>485</v>
      </c>
      <c r="B487" t="str">
        <f t="shared" si="7"/>
        <v>User Account</v>
      </c>
      <c r="C487" s="6" t="str" cm="1">
        <f t="array" ref="C487">GetHyperlinkAddress(A487)</f>
        <v>https://open-measure.atlassian.net/wiki/spaces/DIC/pages/1428587273/User+Account</v>
      </c>
    </row>
    <row r="488" spans="1:3" x14ac:dyDescent="0.35">
      <c r="A488" s="5" t="s">
        <v>487</v>
      </c>
      <c r="B488" t="str">
        <f t="shared" si="7"/>
        <v>User De-Provisioning</v>
      </c>
      <c r="C488" s="6" t="str" cm="1">
        <f t="array" ref="C488">GetHyperlinkAddress(A488)</f>
        <v>https://open-measure.atlassian.net/wiki/spaces/DIC/pages/1146847344/User+De-Provisioning</v>
      </c>
    </row>
    <row r="489" spans="1:3" x14ac:dyDescent="0.35">
      <c r="A489" s="5" t="s">
        <v>488</v>
      </c>
      <c r="B489" t="str">
        <f t="shared" si="7"/>
        <v>User Entitlement Reviews</v>
      </c>
      <c r="C489" s="6" t="str" cm="1">
        <f t="array" ref="C489">GetHyperlinkAddress(A489)</f>
        <v>https://open-measure.atlassian.net/wiki/spaces/DIC/pages/1121878257</v>
      </c>
    </row>
    <row r="490" spans="1:3" x14ac:dyDescent="0.35">
      <c r="A490" s="5" t="s">
        <v>489</v>
      </c>
      <c r="B490" t="str">
        <f t="shared" si="7"/>
        <v>User ID</v>
      </c>
      <c r="C490" s="6" t="str" cm="1">
        <f t="array" ref="C490">GetHyperlinkAddress(A490)</f>
        <v>https://open-measure.atlassian.net/wiki/spaces/DIC/pages/1428652448/User+ID</v>
      </c>
    </row>
    <row r="491" spans="1:3" x14ac:dyDescent="0.35">
      <c r="A491" s="5" t="s">
        <v>491</v>
      </c>
      <c r="B491" t="str">
        <f t="shared" si="7"/>
        <v>User Provisioning</v>
      </c>
      <c r="C491" s="6" t="str" cm="1">
        <f t="array" ref="C491">GetHyperlinkAddress(A491)</f>
        <v>https://open-measure.atlassian.net/wiki/spaces/DIC/pages/1147043973/User+Provisioning</v>
      </c>
    </row>
    <row r="492" spans="1:3" x14ac:dyDescent="0.35">
      <c r="A492" s="5" t="s">
        <v>486</v>
      </c>
      <c r="B492" t="str">
        <f t="shared" si="7"/>
        <v>User-Centric Identity Management System</v>
      </c>
      <c r="C492" s="6" t="str" cm="1">
        <f t="array" ref="C492">GetHyperlinkAddress(A492)</f>
        <v>https://open-measure.atlassian.net/wiki/spaces/DIC/pages/1323597878/User-Centric+Identity+Management+System</v>
      </c>
    </row>
    <row r="493" spans="1:3" x14ac:dyDescent="0.35">
      <c r="A493" s="5" t="s">
        <v>490</v>
      </c>
      <c r="B493" t="str">
        <f t="shared" si="7"/>
        <v>Username</v>
      </c>
      <c r="C493" s="6" t="str" cm="1">
        <f t="array" ref="C493">GetHyperlinkAddress(A493)</f>
        <v>https://open-measure.atlassian.net/wiki/spaces/DIC/pages/1428652183/Username</v>
      </c>
    </row>
    <row r="494" spans="1:3" x14ac:dyDescent="0.35">
      <c r="A494" s="5" t="s">
        <v>492</v>
      </c>
      <c r="B494" t="str">
        <f t="shared" si="7"/>
        <v>Verifiable Claim</v>
      </c>
      <c r="C494" s="6" t="str" cm="1">
        <f t="array" ref="C494">GetHyperlinkAddress(A494)</f>
        <v>https://open-measure.atlassian.net/wiki/spaces/DIC/pages/1311146179/Verifiable+Claim</v>
      </c>
    </row>
    <row r="495" spans="1:3" x14ac:dyDescent="0.35">
      <c r="A495" s="5" t="s">
        <v>493</v>
      </c>
      <c r="B495" t="str">
        <f t="shared" si="7"/>
        <v>Verification</v>
      </c>
      <c r="C495" s="6" t="str" cm="1">
        <f t="array" ref="C495">GetHyperlinkAddress(A495)</f>
        <v>https://open-measure.atlassian.net/wiki/spaces/DIC/pages/446988510/Verification</v>
      </c>
    </row>
    <row r="496" spans="1:3" x14ac:dyDescent="0.35">
      <c r="A496" s="5" t="s">
        <v>494</v>
      </c>
      <c r="B496" t="str">
        <f t="shared" si="7"/>
        <v>Virtual Directory</v>
      </c>
      <c r="C496" s="6" t="str" cm="1">
        <f t="array" ref="C496">GetHyperlinkAddress(A496)</f>
        <v>https://open-measure.atlassian.net/wiki/spaces/DIC/pages/834044330</v>
      </c>
    </row>
    <row r="497" spans="1:3" x14ac:dyDescent="0.35">
      <c r="A497" s="5" t="s">
        <v>495</v>
      </c>
      <c r="B497" t="str">
        <f t="shared" si="7"/>
        <v>Virtual Private Network</v>
      </c>
      <c r="C497" s="6" t="str" cm="1">
        <f t="array" ref="C497">GetHyperlinkAddress(A497)</f>
        <v>https://open-measure.atlassian.net/wiki/spaces/DIC/pages/236748839</v>
      </c>
    </row>
    <row r="498" spans="1:3" x14ac:dyDescent="0.35">
      <c r="A498" s="5" t="s">
        <v>496</v>
      </c>
      <c r="B498" t="str">
        <f t="shared" si="7"/>
        <v>Virtual Risk and Security Site Review</v>
      </c>
      <c r="C498" s="6" t="str" cm="1">
        <f t="array" ref="C498">GetHyperlinkAddress(A498)</f>
        <v>https://open-measure.atlassian.net/wiki/spaces/DIC/pages/542146561</v>
      </c>
    </row>
    <row r="499" spans="1:3" x14ac:dyDescent="0.35">
      <c r="A499" s="5" t="s">
        <v>497</v>
      </c>
      <c r="B499" t="str">
        <f t="shared" si="7"/>
        <v>VPN</v>
      </c>
      <c r="C499" s="6" t="str" cm="1">
        <f t="array" ref="C499">GetHyperlinkAddress(A499)</f>
        <v>https://open-measure.atlassian.net/wiki/spaces/DIC/pages/234389605</v>
      </c>
    </row>
    <row r="500" spans="1:3" x14ac:dyDescent="0.35">
      <c r="A500" s="5" t="s">
        <v>498</v>
      </c>
      <c r="B500" t="str">
        <f t="shared" si="7"/>
        <v>Weak Authentication</v>
      </c>
      <c r="C500" s="6" t="str" cm="1">
        <f t="array" ref="C500">GetHyperlinkAddress(A500)</f>
        <v>https://open-measure.atlassian.net/wiki/spaces/DIC/pages/81068120</v>
      </c>
    </row>
    <row r="501" spans="1:3" x14ac:dyDescent="0.35">
      <c r="A501" s="5" t="s">
        <v>499</v>
      </c>
      <c r="B501" t="str">
        <f t="shared" si="7"/>
        <v>Weak Tranquility Property</v>
      </c>
      <c r="C501" s="6" t="str" cm="1">
        <f t="array" ref="C501">GetHyperlinkAddress(A501)</f>
        <v>https://open-measure.atlassian.net/wiki/spaces/DIC/pages/1177845999</v>
      </c>
    </row>
    <row r="502" spans="1:3" x14ac:dyDescent="0.35">
      <c r="A502" s="5" t="s">
        <v>500</v>
      </c>
      <c r="B502" t="str">
        <f t="shared" si="7"/>
        <v>Web-based Single Sign-On</v>
      </c>
      <c r="C502" s="6" t="str" cm="1">
        <f t="array" ref="C502">GetHyperlinkAddress(A502)</f>
        <v>https://open-measure.atlassian.net/wiki/spaces/DIC/pages/75923587</v>
      </c>
    </row>
    <row r="503" spans="1:3" x14ac:dyDescent="0.35">
      <c r="A503" s="5" t="s">
        <v>501</v>
      </c>
      <c r="B503" t="str">
        <f t="shared" si="7"/>
        <v>Windows (Non-Default) Local User Account</v>
      </c>
      <c r="C503" s="6" t="str" cm="1">
        <f t="array" ref="C503">GetHyperlinkAddress(A503)</f>
        <v>https://open-measure.atlassian.net/wiki/spaces/DIC/pages/140673566</v>
      </c>
    </row>
    <row r="504" spans="1:3" x14ac:dyDescent="0.35">
      <c r="A504" s="5" t="s">
        <v>503</v>
      </c>
      <c r="B504" t="str">
        <f t="shared" si="7"/>
        <v>Windows Default Local System Account</v>
      </c>
      <c r="C504" s="6" t="str" cm="1">
        <f t="array" ref="C504">GetHyperlinkAddress(A504)</f>
        <v>https://open-measure.atlassian.net/wiki/spaces/DIC/pages/140739507</v>
      </c>
    </row>
    <row r="505" spans="1:3" x14ac:dyDescent="0.35">
      <c r="A505" s="5" t="s">
        <v>504</v>
      </c>
      <c r="B505" t="str">
        <f t="shared" si="7"/>
        <v>Windows Default Local User Account</v>
      </c>
      <c r="C505" s="6" t="str" cm="1">
        <f t="array" ref="C505">GetHyperlinkAddress(A505)</f>
        <v>https://open-measure.atlassian.net/wiki/spaces/DIC/pages/140673594</v>
      </c>
    </row>
    <row r="506" spans="1:3" x14ac:dyDescent="0.35">
      <c r="A506" s="5" t="s">
        <v>502</v>
      </c>
      <c r="B506" t="str">
        <f t="shared" si="7"/>
        <v>Windows DefaultAccount Account</v>
      </c>
      <c r="C506" s="6" t="str" cm="1">
        <f t="array" ref="C506">GetHyperlinkAddress(A506)</f>
        <v>https://open-measure.atlassian.net/wiki/spaces/DIC/pages/140739482</v>
      </c>
    </row>
    <row r="507" spans="1:3" x14ac:dyDescent="0.35">
      <c r="A507" s="5" t="s">
        <v>505</v>
      </c>
      <c r="B507" t="str">
        <f t="shared" si="7"/>
        <v>Windows Guest Account</v>
      </c>
      <c r="C507" s="6" t="str" cm="1">
        <f t="array" ref="C507">GetHyperlinkAddress(A507)</f>
        <v>https://open-measure.atlassian.net/wiki/spaces/DIC/pages/140673653</v>
      </c>
    </row>
    <row r="508" spans="1:3" x14ac:dyDescent="0.35">
      <c r="A508" s="5" t="s">
        <v>506</v>
      </c>
      <c r="B508" t="str">
        <f t="shared" si="7"/>
        <v>Windows HelpAssistant Account</v>
      </c>
      <c r="C508" s="6" t="str" cm="1">
        <f t="array" ref="C508">GetHyperlinkAddress(A508)</f>
        <v>https://open-measure.atlassian.net/wiki/spaces/DIC/pages/140771901</v>
      </c>
    </row>
    <row r="509" spans="1:3" x14ac:dyDescent="0.35">
      <c r="A509" s="5" t="s">
        <v>507</v>
      </c>
      <c r="B509" t="str">
        <f t="shared" si="7"/>
        <v>Windows Local Account</v>
      </c>
      <c r="C509" s="6" t="str" cm="1">
        <f t="array" ref="C509">GetHyperlinkAddress(A509)</f>
        <v>https://open-measure.atlassian.net/wiki/spaces/DIC/pages/140772047</v>
      </c>
    </row>
    <row r="510" spans="1:3" x14ac:dyDescent="0.35">
      <c r="A510" s="5" t="s">
        <v>508</v>
      </c>
      <c r="B510" t="str">
        <f t="shared" si="7"/>
        <v>Windows Local Administrator Account</v>
      </c>
      <c r="C510" s="6" t="str" cm="1">
        <f t="array" ref="C510">GetHyperlinkAddress(A510)</f>
        <v>https://open-measure.atlassian.net/wiki/spaces/DIC/pages/140739277</v>
      </c>
    </row>
    <row r="511" spans="1:3" x14ac:dyDescent="0.35">
      <c r="A511" s="5" t="s">
        <v>509</v>
      </c>
      <c r="B511" t="str">
        <f t="shared" si="7"/>
        <v>Windows LOCAL SERVICE Account</v>
      </c>
      <c r="C511" s="6" t="str" cm="1">
        <f t="array" ref="C511">GetHyperlinkAddress(A511)</f>
        <v>https://open-measure.atlassian.net/wiki/spaces/DIC/pages/140673818</v>
      </c>
    </row>
    <row r="512" spans="1:3" x14ac:dyDescent="0.35">
      <c r="A512" s="5" t="s">
        <v>510</v>
      </c>
      <c r="B512" t="str">
        <f t="shared" si="7"/>
        <v>Windows NETWORK SERVICE Account</v>
      </c>
      <c r="C512" s="6" t="str" cm="1">
        <f t="array" ref="C512">GetHyperlinkAddress(A512)</f>
        <v>https://open-measure.atlassian.net/wiki/spaces/DIC/pages/140772011</v>
      </c>
    </row>
    <row r="513" spans="1:3" x14ac:dyDescent="0.35">
      <c r="A513" s="5" t="s">
        <v>511</v>
      </c>
      <c r="B513" t="str">
        <f t="shared" si="7"/>
        <v>Windows Security Identifier</v>
      </c>
      <c r="C513" s="6" t="str" cm="1">
        <f t="array" ref="C513">GetHyperlinkAddress(A513)</f>
        <v>https://open-measure.atlassian.net/wiki/spaces/DIC/pages/140706624</v>
      </c>
    </row>
    <row r="514" spans="1:3" x14ac:dyDescent="0.35">
      <c r="A514" s="5" t="s">
        <v>512</v>
      </c>
      <c r="B514" t="str">
        <f t="shared" si="7"/>
        <v>Windows SYSTEM Account</v>
      </c>
      <c r="C514" s="6" t="str" cm="1">
        <f t="array" ref="C514">GetHyperlinkAddress(A514)</f>
        <v>https://open-measure.atlassian.net/wiki/spaces/DIC/pages/140706700</v>
      </c>
    </row>
    <row r="515" spans="1:3" x14ac:dyDescent="0.35">
      <c r="A515" s="5" t="s">
        <v>513</v>
      </c>
      <c r="B515" t="str">
        <f t="shared" si="7"/>
        <v>Worker</v>
      </c>
      <c r="C515" s="6" t="str" cm="1">
        <f t="array" ref="C515">GetHyperlinkAddress(A515)</f>
        <v>https://open-measure.atlassian.net/wiki/spaces/DIC/pages/855638141</v>
      </c>
    </row>
    <row r="516" spans="1:3" x14ac:dyDescent="0.35">
      <c r="A516" s="5" t="s">
        <v>514</v>
      </c>
      <c r="B516" t="str">
        <f t="shared" si="7"/>
        <v>Workflow-Sensitive Access Control</v>
      </c>
      <c r="C516" s="6" t="str" cm="1">
        <f t="array" ref="C516">GetHyperlinkAddress(A516)</f>
        <v>https://open-measure.atlassian.net/wiki/spaces/DIC/pages/814448722</v>
      </c>
    </row>
    <row r="517" spans="1:3" x14ac:dyDescent="0.35">
      <c r="A517" s="5" t="s">
        <v>515</v>
      </c>
      <c r="B517" t="str">
        <f t="shared" si="7"/>
        <v>Workforce</v>
      </c>
      <c r="C517" s="6" t="str" cm="1">
        <f t="array" ref="C517">GetHyperlinkAddress(A517)</f>
        <v>https://open-measure.atlassian.net/wiki/spaces/DIC/pages/852492409</v>
      </c>
    </row>
    <row r="518" spans="1:3" x14ac:dyDescent="0.35">
      <c r="A518" s="5" t="s">
        <v>516</v>
      </c>
      <c r="B518" t="str">
        <f t="shared" ref="B518:B521" si="8">SUBSTITUTE(CLEAN(A518)," (Dictionary Entry)","")</f>
        <v>XACML</v>
      </c>
      <c r="C518" s="6" t="str" cm="1">
        <f t="array" ref="C518">GetHyperlinkAddress(A518)</f>
        <v>https://open-measure.atlassian.net/wiki/spaces/DIC/pages/1122631791</v>
      </c>
    </row>
    <row r="519" spans="1:3" x14ac:dyDescent="0.35">
      <c r="A519" s="5" t="s">
        <v>517</v>
      </c>
      <c r="B519" t="str">
        <f t="shared" si="8"/>
        <v>Zero-Trust Access</v>
      </c>
      <c r="C519" s="6" t="str" cm="1">
        <f t="array" ref="C519">GetHyperlinkAddress(A519)</f>
        <v>https://open-measure.atlassian.net/wiki/spaces/DIC/pages/234356891/Zero-Trust+Access</v>
      </c>
    </row>
    <row r="520" spans="1:3" x14ac:dyDescent="0.35">
      <c r="A520" s="5" t="s">
        <v>518</v>
      </c>
      <c r="B520" t="str">
        <f t="shared" si="8"/>
        <v>Zombie Account</v>
      </c>
      <c r="C520" s="6" t="str" cm="1">
        <f t="array" ref="C520">GetHyperlinkAddress(A520)</f>
        <v>https://open-measure.atlassian.net/wiki/spaces/DIC/pages/782893195/Zombie+Account</v>
      </c>
    </row>
    <row r="521" spans="1:3" x14ac:dyDescent="0.35">
      <c r="A521" s="5" t="s">
        <v>519</v>
      </c>
      <c r="B521" t="str">
        <f t="shared" si="8"/>
        <v>ZTA</v>
      </c>
      <c r="C521" s="6" t="str" cm="1">
        <f t="array" ref="C521">GetHyperlinkAddress(A521)</f>
        <v>https://open-measure.atlassian.net/wiki/spaces/DIC/pages/234389671/ZTA</v>
      </c>
    </row>
  </sheetData>
  <hyperlinks>
    <hyperlink ref="A5" r:id="rId1" display="https://open-measure.atlassian.net/wiki/spaces/DIC/pages/805175450/4-Eyes+Principle" xr:uid="{9C70F0F7-468B-447B-B554-0DCA38D6D95C}"/>
    <hyperlink ref="A6" r:id="rId2" display="https://open-measure.atlassian.net/wiki/spaces/DIC/pages/5932924/Absolute+Scale" xr:uid="{557F4E27-108E-4DA5-83D1-D29517723873}"/>
    <hyperlink ref="A7" r:id="rId3" display="https://open-measure.atlassian.net/wiki/spaces/DIC/pages/123962347/Access" xr:uid="{85B349E7-332E-45DB-BE26-CF2F7866C6A9}"/>
    <hyperlink ref="A8" r:id="rId4" display="https://open-measure.atlassian.net/wiki/spaces/DIC/pages/1121878227" xr:uid="{947FF521-7883-4830-A510-99C273768115}"/>
    <hyperlink ref="A9" r:id="rId5" display="https://open-measure.atlassian.net/wiki/spaces/DIC/pages/1034223816/Access+Continuum" xr:uid="{E981323F-1281-4E14-8AB8-CA51827186A3}"/>
    <hyperlink ref="A10" r:id="rId6" display="https://open-measure.atlassian.net/wiki/spaces/DIC/pages/427163781" xr:uid="{33FB87B0-A799-43F8-9471-CBF8F94B41E8}"/>
    <hyperlink ref="A11" r:id="rId7" display="https://open-measure.atlassian.net/wiki/spaces/DIC/pages/822345754" xr:uid="{58953EAF-DD43-4E8A-91B9-C7941711FA00}"/>
    <hyperlink ref="A12" r:id="rId8" display="https://open-measure.atlassian.net/wiki/spaces/DIC/pages/67633606" xr:uid="{170BBD75-86F1-40B1-A4FD-0426DB2E7381}"/>
    <hyperlink ref="A13" r:id="rId9" display="https://open-measure.atlassian.net/wiki/spaces/DIC/pages/67699193" xr:uid="{C21B33B9-CD7E-4547-99ED-FCC05D865F3D}"/>
    <hyperlink ref="A14" r:id="rId10" display="https://open-measure.atlassian.net/wiki/spaces/DIC/pages/67633597" xr:uid="{043DDE5E-2CF4-4ED2-B1C4-780A2477F1B2}"/>
    <hyperlink ref="A15" r:id="rId11" display="https://open-measure.atlassian.net/wiki/spaces/DIC/pages/1006632974" xr:uid="{9E0A152E-A9F6-4F54-A171-E058D4CFC36E}"/>
    <hyperlink ref="A16" r:id="rId12" display="https://open-measure.atlassian.net/wiki/spaces/DIC/pages/1122631723" xr:uid="{5035A790-7E41-4C1E-B245-4D9F086FD683}"/>
    <hyperlink ref="A17" r:id="rId13" display="https://open-measure.atlassian.net/wiki/spaces/DIC/pages/1122599013" xr:uid="{B0F44AD9-22D2-432F-852E-516E31DD38AB}"/>
    <hyperlink ref="A18" r:id="rId14" display="https://open-measure.atlassian.net/wiki/spaces/DIC/pages/1704003" xr:uid="{2A6AD7E0-7CB7-414A-B806-1DE357148314}"/>
    <hyperlink ref="A19" r:id="rId15" display="https://open-measure.atlassian.net/wiki/spaces/DIC/pages/1600684040/Access+Token" xr:uid="{3DB13B5A-FDEA-448D-8A03-0DD92C99766C}"/>
    <hyperlink ref="A20" r:id="rId16" display="https://open-measure.atlassian.net/wiki/spaces/DIC/pages/461308120/Account" xr:uid="{4C3D6A48-B811-4CB7-8B75-CBB805DDDE31}"/>
    <hyperlink ref="A24" r:id="rId17" display="https://open-measure.atlassian.net/wiki/spaces/DIC/pages/425623718" xr:uid="{F9C5B719-2881-4A87-A0B2-CE4A9440765F}"/>
    <hyperlink ref="A21" r:id="rId18" display="https://open-measure.atlassian.net/wiki/spaces/DIC/pages/67699360" xr:uid="{05461E2A-5D54-45F9-A7EE-680DB94FC322}"/>
    <hyperlink ref="A22" r:id="rId19" display="https://open-measure.atlassian.net/wiki/spaces/DIC/pages/1146847331" xr:uid="{C80C1815-C9B1-4E7E-93B8-F82EAF70BDF3}"/>
    <hyperlink ref="A23" r:id="rId20" display="https://open-measure.atlassian.net/wiki/spaces/DIC/pages/1079050286/Account+Takeover" xr:uid="{B5AD39D1-2C3E-4409-ABC3-4D7766D3972A}"/>
    <hyperlink ref="A25" r:id="rId21" display="https://open-measure.atlassian.net/wiki/spaces/DIC/pages/446955580" xr:uid="{05B80C80-2904-4A77-A4DE-F069F5227753}"/>
    <hyperlink ref="A26" r:id="rId22" display="https://open-measure.atlassian.net/wiki/spaces/DIC/pages/73892144/Action+Research" xr:uid="{65A38D16-B537-4640-9104-5B8770C53C69}"/>
    <hyperlink ref="A27" r:id="rId23" display="https://open-measure.atlassian.net/wiki/spaces/DIC/pages/974454812" xr:uid="{D6BAB336-0921-4D8D-85C1-9AA624D80353}"/>
    <hyperlink ref="A28" r:id="rId24" display="https://open-measure.atlassian.net/wiki/spaces/DIC/pages/11141273" xr:uid="{B84C4872-B916-415F-BB7C-7161E0895C74}"/>
    <hyperlink ref="A29" r:id="rId25" display="https://open-measure.atlassian.net/wiki/spaces/DIC/pages/6030518" xr:uid="{9764428F-2698-42D5-B5AA-3ED6DB5CB678}"/>
    <hyperlink ref="A30" r:id="rId26" display="https://open-measure.atlassian.net/wiki/spaces/DIC/pages/81101665/AP" xr:uid="{20C0FA6D-CF43-495C-9B90-6D97ACA45DDD}"/>
    <hyperlink ref="A31" r:id="rId27" display="https://open-measure.atlassian.net/wiki/spaces/DIC/pages/848625750" xr:uid="{68E5CBF0-F915-45FC-849C-D5801C2AA415}"/>
    <hyperlink ref="A32" r:id="rId28" display="https://open-measure.atlassian.net/wiki/spaces/DIC/pages/5965602/Application" xr:uid="{215A4170-1F3D-40DD-9C5F-145D104203EC}"/>
    <hyperlink ref="A33" r:id="rId29" display="https://open-measure.atlassian.net/wiki/spaces/DIC/pages/274236090" xr:uid="{9CE0A592-8123-4414-AFD0-03F6FE0D4310}"/>
    <hyperlink ref="A34" r:id="rId30" display="https://open-measure.atlassian.net/wiki/spaces/DIC/pages/834044036" xr:uid="{AC192DFC-56FD-4A2F-A514-AB7173BEE194}"/>
    <hyperlink ref="A38" r:id="rId31" display="https://open-measure.atlassian.net/wiki/spaces/DIC/pages/1122631854" xr:uid="{8CB3CA76-5A98-46AF-89EF-4A418895ECDA}"/>
    <hyperlink ref="A35" r:id="rId32" display="https://open-measure.atlassian.net/wiki/spaces/DIC/pages/1658355721/Application+Multiplexing" xr:uid="{3BB00D9F-E249-4B82-9508-C3AE8DF23C6A}"/>
    <hyperlink ref="A36" r:id="rId33" display="https://open-measure.atlassian.net/wiki/spaces/DIC/pages/5932704" xr:uid="{0DBE2DD5-6ACA-4B66-99B6-4EFAE97C119E}"/>
    <hyperlink ref="A37" r:id="rId34" display="https://open-measure.atlassian.net/wiki/spaces/DIC/pages/6030793/Application+Program" xr:uid="{11AB7D73-576F-47B6-8271-92BC5A96C8BA}"/>
    <hyperlink ref="A39" r:id="rId35" display="https://open-measure.atlassian.net/wiki/spaces/DIC/pages/425197720" xr:uid="{74838A52-BD8C-476E-B11F-F6CF88DC433D}"/>
    <hyperlink ref="A40" r:id="rId36" display="https://open-measure.atlassian.net/wiki/spaces/DIC/pages/1703994/ARM" xr:uid="{C4F52A8F-7904-4FA7-896A-EDEF37AA87B5}"/>
    <hyperlink ref="A41" r:id="rId37" display="https://open-measure.atlassian.net/wiki/spaces/DIC/pages/1094516867" xr:uid="{DE27E0AB-93EA-43FD-A9DD-1D4F1FC4E0A4}"/>
    <hyperlink ref="A42" r:id="rId38" display="https://open-measure.atlassian.net/wiki/spaces/DIC/pages/1323368851/Attestation" xr:uid="{DBB66D18-C22A-40B5-8D02-69E513805D62}"/>
    <hyperlink ref="A43" r:id="rId39" display="https://open-measure.atlassian.net/wiki/spaces/DIC/pages/409174161" xr:uid="{F162C1F0-852B-4EE5-A372-65F227502805}"/>
    <hyperlink ref="A44" r:id="rId40" display="https://open-measure.atlassian.net/wiki/spaces/DIC/pages/81101655" xr:uid="{3204F43A-2EF1-4C9B-834A-A99777C2AA2A}"/>
    <hyperlink ref="A45" r:id="rId41" display="https://open-measure.atlassian.net/wiki/spaces/DIC/pages/966492169" xr:uid="{929D0E67-2084-448D-9154-0BF7B50B76A8}"/>
    <hyperlink ref="A46" r:id="rId42" display="https://open-measure.atlassian.net/wiki/spaces/DIC/pages/61177884" xr:uid="{A97981E2-27D2-423B-A668-52C40212CAA8}"/>
    <hyperlink ref="A47" r:id="rId43" display="https://open-measure.atlassian.net/wiki/spaces/DIC/pages/81199158" xr:uid="{4C31CA25-C91F-44CC-A02A-8D7EE2901859}"/>
    <hyperlink ref="A48" r:id="rId44" display="https://open-measure.atlassian.net/wiki/spaces/DIC/pages/848724060" xr:uid="{66902EA3-1CAC-4D70-AF46-6684C0D7C6D0}"/>
    <hyperlink ref="A49" r:id="rId45" display="https://open-measure.atlassian.net/wiki/spaces/DIC/pages/998178905" xr:uid="{DA5AABF0-6EB8-4A05-A08B-09C9CA204410}"/>
    <hyperlink ref="A50" r:id="rId46" display="https://open-measure.atlassian.net/wiki/spaces/DIC/pages/60882993" xr:uid="{E80488AC-762D-4A63-980F-1FC48204EDFD}"/>
    <hyperlink ref="A51" r:id="rId47" display="https://open-measure.atlassian.net/wiki/spaces/DIC/pages/1137573936/Authorization+Externalization" xr:uid="{F3B66CF2-3A5D-45A2-927F-89552736AEF0}"/>
    <hyperlink ref="A52" r:id="rId48" display="https://open-measure.atlassian.net/wiki/spaces/DIC/pages/1311472" xr:uid="{8C3716AA-245E-40BE-98E2-929F11499EF2}"/>
    <hyperlink ref="A53" r:id="rId49" display="https://open-measure.atlassian.net/wiki/spaces/DIC/pages/998277774" xr:uid="{5D2838A9-1BE2-4516-A19E-B223BDA4517F}"/>
    <hyperlink ref="A54" r:id="rId50" display="https://open-measure.atlassian.net/wiki/spaces/DIC/pages/998245198" xr:uid="{7FD6BC28-9E24-49B8-B13A-6E89AB3C6D1C}"/>
    <hyperlink ref="A55" r:id="rId51" display="https://open-measure.atlassian.net/wiki/spaces/DIC/pages/998277876" xr:uid="{EC7AD8E8-0380-4B80-84F5-906397E62EB1}"/>
    <hyperlink ref="A56" r:id="rId52" display="https://open-measure.atlassian.net/wiki/spaces/DIC/pages/998277805" xr:uid="{D495234C-F484-4124-9A71-C22E257D281B}"/>
    <hyperlink ref="A57" r:id="rId53" display="https://open-measure.atlassian.net/wiki/spaces/DIC/pages/998277852" xr:uid="{5E4091CD-362A-449B-BDCA-D7E6D54236C8}"/>
    <hyperlink ref="A58" r:id="rId54" display="https://open-measure.atlassian.net/wiki/spaces/DIC/pages/1071251573" xr:uid="{BD042FD7-73C7-48D4-A4CA-510FBC63B48E}"/>
    <hyperlink ref="A59" r:id="rId55" display="https://open-measure.atlassian.net/wiki/spaces/DIC/pages/998245151" xr:uid="{58685EDE-56CC-4037-82A2-61CB02977672}"/>
    <hyperlink ref="A60" r:id="rId56" display="https://open-measure.atlassian.net/wiki/spaces/DIC/pages/998277835" xr:uid="{CB901E7B-544B-4146-8800-AB212129ED84}"/>
    <hyperlink ref="A61" r:id="rId57" display="https://open-measure.atlassian.net/wiki/spaces/DIC/pages/998245125" xr:uid="{7DA674D2-D70E-4F06-AA3F-3B51B6707791}"/>
    <hyperlink ref="A62" r:id="rId58" display="https://open-measure.atlassian.net/wiki/spaces/DIC/pages/5899336" xr:uid="{1D782D6F-F34C-462C-96E9-2E02E9A4010F}"/>
    <hyperlink ref="A63" r:id="rId59" display="https://open-measure.atlassian.net/wiki/spaces/DIC/pages/5899322" xr:uid="{42F9EA48-9D4C-42B1-974B-DEB795A9A825}"/>
    <hyperlink ref="A64" r:id="rId60" display="https://open-measure.atlassian.net/wiki/spaces/DIC/pages/5932067" xr:uid="{B962997E-A47B-4BCB-8BB7-58BFAA946E5A}"/>
    <hyperlink ref="A65" r:id="rId61" display="https://open-measure.atlassian.net/wiki/spaces/DIC/pages/5899351" xr:uid="{6E00C597-CAF1-4F69-9DC9-ADD885238DC7}"/>
    <hyperlink ref="A66" r:id="rId62" display="https://open-measure.atlassian.net/wiki/spaces/DIC/pages/5965008" xr:uid="{B57BD90D-2E22-4559-AB91-BF4E0B789824}"/>
    <hyperlink ref="A67" r:id="rId63" display="https://open-measure.atlassian.net/wiki/spaces/DIC/pages/59441158" xr:uid="{756EDEF5-41E9-4315-AAEE-7F241814E9EB}"/>
    <hyperlink ref="A68" r:id="rId64" display="https://open-measure.atlassian.net/wiki/spaces/DIC/pages/797933843" xr:uid="{F2123008-1D3D-43D1-86B7-5A5797989D70}"/>
    <hyperlink ref="A69" r:id="rId65" display="https://open-measure.atlassian.net/wiki/spaces/DIC/pages/43581631" xr:uid="{50DCC22C-6861-42D0-BB41-F8D7A0950D85}"/>
    <hyperlink ref="A70" r:id="rId66" display="https://open-measure.atlassian.net/wiki/spaces/DIC/pages/1228079157" xr:uid="{BD6C6DEF-5C0A-45FC-8F83-ABD5F5D38B52}"/>
    <hyperlink ref="A71" r:id="rId67" display="https://open-measure.atlassian.net/wiki/spaces/DIC/pages/1673527501/Behavioral+Authentication" xr:uid="{FF96EB44-E6BB-487C-A21B-431E7EA3F600}"/>
    <hyperlink ref="A72" r:id="rId68" display="https://open-measure.atlassian.net/wiki/spaces/DIC/pages/49250383" xr:uid="{C01B648F-3621-4F57-A262-AA2F487FA163}"/>
    <hyperlink ref="A73" r:id="rId69" display="https://open-measure.atlassian.net/wiki/spaces/DIC/pages/1237549087/Bell-LaPadula+Model" xr:uid="{D1C4086E-3270-44EE-B08C-7F8CAC51EB5D}"/>
    <hyperlink ref="A74" r:id="rId70" display="https://open-measure.atlassian.net/wiki/spaces/DIC/pages/1015823" xr:uid="{2655C653-8A21-435F-9AB0-5B53EA2FEF3B}"/>
    <hyperlink ref="A75" r:id="rId71" display="https://open-measure.atlassian.net/wiki/spaces/DIC/pages/409174210" xr:uid="{D65E3949-0AAF-4DAA-9D55-0FC13A6A8DE6}"/>
    <hyperlink ref="A76" r:id="rId72" display="https://open-measure.atlassian.net/wiki/spaces/DIC/pages/409010581" xr:uid="{B128A26B-55DF-416E-A4A2-D54C372ADE50}"/>
    <hyperlink ref="A77" r:id="rId73" display="https://open-measure.atlassian.net/wiki/spaces/DIC/pages/1031209441" xr:uid="{202D7F8E-0309-4A72-8C6D-46AA17B9BD0E}"/>
    <hyperlink ref="A78" r:id="rId74" display="https://open-measure.atlassian.net/wiki/spaces/DIC/pages/794492970" xr:uid="{8E40E231-1F20-46B9-93A5-0071B69DADA9}"/>
    <hyperlink ref="A79" r:id="rId75" display="https://open-measure.atlassian.net/wiki/spaces/DIC/pages/408944842" xr:uid="{2D9689E3-8004-4212-A3F6-B48352B86206}"/>
    <hyperlink ref="A80" r:id="rId76" display="https://open-measure.atlassian.net/wiki/spaces/DIC/pages/1571389777/Boundary+Control" xr:uid="{E52BD063-476D-4992-A34A-1F101465FDC0}"/>
    <hyperlink ref="A81" r:id="rId77" display="https://open-measure.atlassian.net/wiki/spaces/DIC/pages/81101750" xr:uid="{398D07F7-3E8E-4B99-80FB-8D0ADA6F9900}"/>
    <hyperlink ref="A82" r:id="rId78" display="https://open-measure.atlassian.net/wiki/spaces/DIC/pages/1348763687/Brute+Force+Attack" xr:uid="{A0BBC66F-BB68-49FD-A889-D45B62E40B88}"/>
    <hyperlink ref="A83" r:id="rId79" display="https://open-measure.atlassian.net/wiki/spaces/DIC/pages/140772106" xr:uid="{9164F157-33C2-4B87-9DF2-D916926A9752}"/>
    <hyperlink ref="A84" r:id="rId80" display="https://open-measure.atlassian.net/wiki/spaces/DIC/pages/1228079170/BZR" xr:uid="{19F3ABC3-A02E-4638-A3F1-0DDBF56D0740}"/>
    <hyperlink ref="A85" r:id="rId81" display="https://open-measure.atlassian.net/wiki/spaces/DIC/pages/1254588417/Cached+Credential" xr:uid="{57087A4D-D38D-4CE9-8F56-9107253854EE}"/>
    <hyperlink ref="A86" r:id="rId82" display="https://open-measure.atlassian.net/wiki/spaces/DIC/pages/823394314" xr:uid="{712B59E7-2DBC-4E4E-B186-CC3C34AD8D68}"/>
    <hyperlink ref="A87" r:id="rId83" display="https://open-measure.atlassian.net/wiki/spaces/DIC/pages/11567293" xr:uid="{966DB3EA-5470-410B-A60F-2F23259361FA}"/>
    <hyperlink ref="A88" r:id="rId84" display="https://open-measure.atlassian.net/wiki/spaces/DIC/pages/5900130" xr:uid="{E2C3BFD5-871B-4CBA-A746-F28BEF5AB315}"/>
    <hyperlink ref="A89" r:id="rId85" display="https://open-measure.atlassian.net/wiki/spaces/DIC/pages/442466346/CDD" xr:uid="{C0755AEE-5ED8-4E0F-8D48-BD76726F298F}"/>
    <hyperlink ref="A90" r:id="rId86" display="https://open-measure.atlassian.net/wiki/spaces/DIC/pages/1152483641" xr:uid="{55960D96-4EBF-4839-BA31-6BED17BBFD0E}"/>
    <hyperlink ref="A91" r:id="rId87" display="https://open-measure.atlassian.net/wiki/spaces/DIC/pages/823459864" xr:uid="{9A813190-BD24-41E3-A07E-B197C43537DE}"/>
    <hyperlink ref="A92" r:id="rId88" display="https://open-measure.atlassian.net/wiki/spaces/DIC/pages/1290076214/CIBA" xr:uid="{2C225ED2-AB39-40C2-B780-994E65ACFC8D}"/>
    <hyperlink ref="A93" r:id="rId89" display="https://open-measure.atlassian.net/wiki/spaces/DIC/pages/1323499650/Claim" xr:uid="{84CCC30B-E5BA-4C6E-85CE-DD5C683FE0CA}"/>
    <hyperlink ref="A95" r:id="rId90" display="https://open-measure.atlassian.net/wiki/spaces/DIC/pages/848363630" xr:uid="{A551DCBE-94E0-4555-89AF-CAF8B1049148}"/>
    <hyperlink ref="A94" r:id="rId91" display="https://open-measure.atlassian.net/wiki/spaces/DIC/pages/1309605928/Claim+Registry+Model" xr:uid="{C38D11B4-7DE3-4EA0-ADFC-FD27EA8B5435}"/>
    <hyperlink ref="A96" r:id="rId92" display="https://open-measure.atlassian.net/wiki/spaces/DIC/pages/140771387" xr:uid="{AF05775F-BEF4-42DB-BFE6-1D70D76A2BBA}"/>
    <hyperlink ref="A97" r:id="rId93" display="https://open-measure.atlassian.net/wiki/spaces/DIC/pages/1290076229/Client+Initiated+Backchannel+Authentication" xr:uid="{6416E2FC-F837-49E1-8C3D-14D23D4791F5}"/>
    <hyperlink ref="A98" r:id="rId94" display="https://open-measure.atlassian.net/wiki/spaces/DIC/pages/1152516136" xr:uid="{4500D03C-AE78-449E-B348-6C5BC4131742}"/>
    <hyperlink ref="A99" r:id="rId95" display="https://open-measure.atlassian.net/wiki/spaces/DIC/pages/1152516118" xr:uid="{773E4C3F-6D58-4019-8C25-DFBE0488AD3C}"/>
    <hyperlink ref="A100" r:id="rId96" display="https://open-measure.atlassian.net/wiki/spaces/DIC/pages/1147043959" xr:uid="{6AA1EF15-6A4F-45D7-ABAD-0EF84FF3F0E7}"/>
    <hyperlink ref="A101" r:id="rId97" display="https://open-measure.atlassian.net/wiki/spaces/DIC/pages/206307528" xr:uid="{3FA886EE-31C7-4D44-BC29-15782361A4A9}"/>
    <hyperlink ref="A102" r:id="rId98" display="https://open-measure.atlassian.net/wiki/spaces/DIC/pages/206766142/Cloud+Service+User" xr:uid="{CC541152-0C61-4606-B97C-CE25B6D86D6B}"/>
    <hyperlink ref="A103" r:id="rId99" display="https://open-measure.atlassian.net/wiki/spaces/DIC/pages/148308199" xr:uid="{BE648E90-87C3-4820-B563-53BCCD4F76CB}"/>
    <hyperlink ref="A104" r:id="rId100" display="https://open-measure.atlassian.net/wiki/spaces/DIC/pages/1311881" xr:uid="{9C03C60D-BBC2-4807-B99C-583FE4D7F8D0}"/>
    <hyperlink ref="A105" r:id="rId101" display="https://open-measure.atlassian.net/wiki/spaces/DIC/pages/998277125" xr:uid="{494231A8-3A8C-4C50-A401-0E9CEC3F80FE}"/>
    <hyperlink ref="A106" r:id="rId102" display="https://open-measure.atlassian.net/wiki/spaces/DIC/pages/43516102" xr:uid="{D2750981-EF32-44FC-8417-263FFEBEA9E4}"/>
    <hyperlink ref="A107" r:id="rId103" display="https://open-measure.atlassian.net/wiki/spaces/DIC/pages/1442363" xr:uid="{D43EB1AA-1076-49DD-95A1-FE546DDE7854}"/>
    <hyperlink ref="A108" r:id="rId104" display="https://open-measure.atlassian.net/wiki/spaces/DIC/pages/461307985" xr:uid="{AD30CAEC-030C-44DA-8FB6-238174530BD1}"/>
    <hyperlink ref="A109" r:id="rId105" display="https://open-measure.atlassian.net/wiki/spaces/DIC/pages/3244066" xr:uid="{3ABB1AAF-D75C-46CA-814C-50F53D9FFE4B}"/>
    <hyperlink ref="A110" r:id="rId106" display="https://open-measure.atlassian.net/wiki/spaces/DIC/pages/140738810" xr:uid="{ADD8957A-B9B7-4A6C-B966-D22953E52FDC}"/>
    <hyperlink ref="A111" r:id="rId107" display="https://open-measure.atlassian.net/wiki/spaces/DIC/pages/974454827" xr:uid="{5C38458E-7490-44D0-8089-362CE26E79A2}"/>
    <hyperlink ref="A112" r:id="rId108" display="https://open-measure.atlassian.net/wiki/spaces/DIC/pages/43581505" xr:uid="{394E76DB-47EE-46B1-B899-D38FB219467C}"/>
    <hyperlink ref="A113" r:id="rId109" display="https://open-measure.atlassian.net/wiki/spaces/DIC/pages/3178516" xr:uid="{98FFD3E1-DE49-4253-8120-D6A27FFB8608}"/>
    <hyperlink ref="A114" r:id="rId110" display="https://open-measure.atlassian.net/wiki/spaces/DIC/pages/148308282" xr:uid="{652CEC76-3717-4B77-9456-BE911D17DE50}"/>
    <hyperlink ref="A115" r:id="rId111" display="https://open-measure.atlassian.net/wiki/spaces/DIC/pages/877297665" xr:uid="{CB7E7395-0348-4205-BD70-A90467F2E7FE}"/>
    <hyperlink ref="A116" r:id="rId112" display="https://open-measure.atlassian.net/wiki/spaces/DIC/pages/82838169" xr:uid="{5DFADE73-5EB9-42DC-921F-00DCEB00E600}"/>
    <hyperlink ref="A117" r:id="rId113" display="https://open-measure.atlassian.net/wiki/spaces/DIC/pages/138346642" xr:uid="{C99223B1-99D0-4C40-9722-CFA78CDD8AA3}"/>
    <hyperlink ref="A118" r:id="rId114" display="https://open-measure.atlassian.net/wiki/spaces/DIC/pages/67633343/Credential" xr:uid="{8E2AE1A6-F39B-437B-9921-4C5E5819B608}"/>
    <hyperlink ref="A119" r:id="rId115" display="https://open-measure.atlassian.net/wiki/spaces/DIC/pages/1254719498/Credential+Harvesting" xr:uid="{AF01457D-FEF6-4768-86BB-266FD7FA8613}"/>
    <hyperlink ref="A120" r:id="rId116" display="https://open-measure.atlassian.net/wiki/spaces/DIC/pages/82870977" xr:uid="{345DA9AB-5515-4D4D-A616-B300E44E6BA2}"/>
    <hyperlink ref="A121" r:id="rId117" display="https://open-measure.atlassian.net/wiki/spaces/DIC/pages/1348862053/Credential+Stuffing" xr:uid="{EBC2A151-3ED2-49BD-9D78-98186D4EEECE}"/>
    <hyperlink ref="A122" r:id="rId118" display="https://open-measure.atlassian.net/wiki/spaces/DIC/pages/461340725" xr:uid="{ECFB7D02-5727-4F1D-A96F-C9EF65095862}"/>
    <hyperlink ref="A123" r:id="rId119" display="https://open-measure.atlassian.net/wiki/spaces/DIC/pages/427130918" xr:uid="{5D64124D-F4C1-48C7-BD48-811E1A9159E5}"/>
    <hyperlink ref="A124" r:id="rId120" display="https://open-measure.atlassian.net/wiki/spaces/DIC/pages/1152516162/CSC" xr:uid="{5F167142-6B2D-4443-9E34-C19C6D27DBF2}"/>
    <hyperlink ref="A125" r:id="rId121" display="https://open-measure.atlassian.net/wiki/spaces/DIC/pages/82903984/CSP" xr:uid="{141863F1-9622-4461-B20A-134781F66490}"/>
    <hyperlink ref="A126" r:id="rId122" display="https://open-measure.atlassian.net/wiki/spaces/DIC/pages/206667867/CSU" xr:uid="{E741E095-626F-42E2-88B3-E602FCDE6F4D}"/>
    <hyperlink ref="A127" r:id="rId123" display="https://open-measure.atlassian.net/wiki/spaces/DIC/pages/414482448" xr:uid="{9F320206-A127-4B45-A90A-0A1B3CF0D977}"/>
    <hyperlink ref="A128" r:id="rId124" display="https://open-measure.atlassian.net/wiki/spaces/DIC/pages/414548006" xr:uid="{47564E7B-7173-48FC-A3AD-70ABA8F8966A}"/>
    <hyperlink ref="A129" r:id="rId125" display="https://open-measure.atlassian.net/wiki/spaces/DIC/pages/138444875" xr:uid="{2C938BF3-8FB0-467B-8BC6-6228A43A815D}"/>
    <hyperlink ref="A130" r:id="rId126" display="https://open-measure.atlassian.net/wiki/spaces/DIC/pages/409010717" xr:uid="{F17D452A-02FC-499B-B311-AA312E7169CA}"/>
    <hyperlink ref="A131" r:id="rId127" display="https://open-measure.atlassian.net/wiki/spaces/DIC/pages/408944928" xr:uid="{0FBE9C43-71B6-4E41-83E9-6D2ECE0A75DF}"/>
    <hyperlink ref="A132" r:id="rId128" display="https://open-measure.atlassian.net/wiki/spaces/DIC/pages/797900801" xr:uid="{DAE05A98-BCFD-439F-B7E3-2D74F564CCCB}"/>
    <hyperlink ref="A133" r:id="rId129" display="https://open-measure.atlassian.net/wiki/spaces/DIC/pages/1451982933/Cyber-sabotage" xr:uid="{DBBB1917-F0DF-4328-B18A-8389919AFB96}"/>
    <hyperlink ref="A134" r:id="rId130" display="https://open-measure.atlassian.net/wiki/spaces/DIC/pages/1177845938/DAC" xr:uid="{9F0E5164-630B-46B0-8CC1-CF0A3E0B16FC}"/>
    <hyperlink ref="A135" r:id="rId131" display="https://open-measure.atlassian.net/wiki/spaces/DIC/pages/1267400850/Data+Anonymization" xr:uid="{E9E6C115-2EB1-457F-B194-6F2268794A19}"/>
    <hyperlink ref="A136" r:id="rId132" display="https://open-measure.atlassian.net/wiki/spaces/DIC/pages/998244454" xr:uid="{EC2F2786-18F6-4886-949F-179B177320AC}"/>
    <hyperlink ref="A140" r:id="rId133" display="https://open-measure.atlassian.net/wiki/spaces/DIC/pages/1132331029" xr:uid="{66CB2F0B-4C4D-45D6-9036-1B12C3807BD1}"/>
    <hyperlink ref="A137" r:id="rId134" display="https://open-measure.atlassian.net/wiki/spaces/DIC/pages/508330028" xr:uid="{43A93B14-05F0-4225-854D-C5B30FD0DF43}"/>
    <hyperlink ref="A138" r:id="rId135" display="https://open-measure.atlassian.net/wiki/spaces/DIC/pages/1027048097" xr:uid="{BB717A17-C092-4A27-865F-BB98CD98142D}"/>
    <hyperlink ref="A139" r:id="rId136" display="https://open-measure.atlassian.net/wiki/spaces/DIC/pages/998179040" xr:uid="{AD482BFD-5676-44A4-99EA-8DE1539F17AE}"/>
    <hyperlink ref="A141" r:id="rId137" display="https://open-measure.atlassian.net/wiki/spaces/DIC/pages/1031242134" xr:uid="{57A9C48C-91BE-4668-BCB3-A89B46CC7C4E}"/>
    <hyperlink ref="A142" r:id="rId138" display="https://open-measure.atlassian.net/wiki/spaces/DIC/pages/782893122" xr:uid="{E55F34A9-9EC1-4620-965D-20B43D6A9FFE}"/>
    <hyperlink ref="A143" r:id="rId139" display="https://open-measure.atlassian.net/wiki/spaces/DIC/pages/408977837" xr:uid="{ADFACB9E-CFF5-4740-A11F-1D4EDF720B89}"/>
    <hyperlink ref="A144" r:id="rId140" display="https://open-measure.atlassian.net/wiki/spaces/DIC/pages/62193665" xr:uid="{0DB495C5-771F-4CE4-9483-62FDB9FA4EB0}"/>
    <hyperlink ref="A145" r:id="rId141" display="https://open-measure.atlassian.net/wiki/spaces/DIC/pages/43548767" xr:uid="{6D5C9ED4-CD34-4053-AC00-25BEC0A441FC}"/>
    <hyperlink ref="A146" r:id="rId142" display="https://open-measure.atlassian.net/wiki/spaces/DIC/pages/782925889/DID" xr:uid="{D136445A-C11B-4615-81FF-03BA980EA42A}"/>
    <hyperlink ref="A147" r:id="rId143" display="https://open-measure.atlassian.net/wiki/spaces/DIC/pages/458326308" xr:uid="{59B898BB-01EC-41B3-BCD2-E24D13DF211E}"/>
    <hyperlink ref="A148" r:id="rId144" display="https://open-measure.atlassian.net/wiki/spaces/DIC/pages/419561482/Digital+Identification+System" xr:uid="{E22730B9-09AC-405D-93C9-5B770150FF5E}"/>
    <hyperlink ref="A149" r:id="rId145" display="https://open-measure.atlassian.net/wiki/spaces/DIC/pages/419528705/Digital+Identity" xr:uid="{FDF0D467-18EF-4338-B5D8-36B0060C2D01}"/>
    <hyperlink ref="A150" r:id="rId146" display="https://open-measure.atlassian.net/wiki/spaces/DIC/pages/1270153304/Digital+Identity+Authenticity" xr:uid="{6C85FD53-FE0A-4A91-9161-3910ACB445D6}"/>
    <hyperlink ref="A151" r:id="rId147" display="https://open-measure.atlassian.net/wiki/spaces/DIC/pages/796983391" xr:uid="{F250224D-C120-4540-B1AB-A07B7F843522}"/>
    <hyperlink ref="A152" r:id="rId148" display="https://open-measure.atlassian.net/wiki/spaces/DIC/pages/1181876315" xr:uid="{9C8A8DBF-2518-4C2B-8205-4AF706464BB5}"/>
    <hyperlink ref="A153" r:id="rId149" display="https://open-measure.atlassian.net/wiki/spaces/DIC/pages/810287202" xr:uid="{0E7AD4AB-AC83-4DAD-A4C3-33DA7BD11106}"/>
    <hyperlink ref="A154" r:id="rId150" display="https://open-measure.atlassian.net/wiki/spaces/DIC/pages/419594251" xr:uid="{EC633C37-ACC9-4992-8DFF-15A7CF386035}"/>
    <hyperlink ref="A155" r:id="rId151" display="https://open-measure.atlassian.net/wiki/spaces/DIC/pages/806584322" xr:uid="{ABA2ED7F-29D4-41BA-BD2B-CA470F791056}"/>
    <hyperlink ref="A156" r:id="rId152" display="https://open-measure.atlassian.net/wiki/spaces/DIC/pages/206766113" xr:uid="{5F3425C8-A87D-4BE0-AE99-963BF22CDAAF}"/>
    <hyperlink ref="A157" r:id="rId153" display="https://open-measure.atlassian.net/wiki/spaces/DIC/pages/82903896" xr:uid="{E4F47599-14FE-40C9-AA1D-5C873FC430B4}"/>
    <hyperlink ref="A158" r:id="rId154" display="https://open-measure.atlassian.net/wiki/spaces/DIC/pages/61964467" xr:uid="{EA23555D-5A4C-4648-8100-62D44430292E}"/>
    <hyperlink ref="A159" r:id="rId155" display="https://open-measure.atlassian.net/wiki/spaces/DIC/pages/148340918" xr:uid="{EA97A2BA-79B9-45D6-BD12-5D4998C7EBC5}"/>
    <hyperlink ref="A160" r:id="rId156" display="https://open-measure.atlassian.net/wiki/spaces/DIC/pages/5965976" xr:uid="{4C9ECC83-ED3C-4ED6-9696-9CE213FFB8AC}"/>
    <hyperlink ref="A161" r:id="rId157" display="https://open-measure.atlassian.net/wiki/spaces/DIC/pages/1031209232" xr:uid="{B7C42E0D-FF58-4591-9263-85C91D141C49}"/>
    <hyperlink ref="A162" r:id="rId158" display="https://open-measure.atlassian.net/wiki/spaces/DIC/pages/206766092" xr:uid="{108F24AD-F975-423E-AFDD-89B528725B8F}"/>
    <hyperlink ref="A163" r:id="rId159" display="https://open-measure.atlassian.net/wiki/spaces/DIC/pages/62455952" xr:uid="{3681923F-87B1-4DA3-A191-A12D06888D5F}"/>
    <hyperlink ref="A164" r:id="rId160" display="https://open-measure.atlassian.net/wiki/spaces/DIC/pages/76021801" xr:uid="{057BFDD7-46F1-44BA-AA40-83619D5A0092}"/>
    <hyperlink ref="A165" r:id="rId161" display="https://open-measure.atlassian.net/wiki/spaces/DIC/pages/1121878049" xr:uid="{663FBC8E-8DFF-425E-ABE7-C1E90235C0B0}"/>
    <hyperlink ref="A169" r:id="rId162" display="https://open-measure.atlassian.net/wiki/spaces/DIC/pages/1122566173" xr:uid="{88B5862C-478C-4B4B-A06F-08889FBEABC0}"/>
    <hyperlink ref="A166" r:id="rId163" display="https://open-measure.atlassian.net/wiki/spaces/DIC/pages/1122566465" xr:uid="{D973A201-B17F-4B02-A2D2-3AAD55D944F6}"/>
    <hyperlink ref="A167" r:id="rId164" display="https://open-measure.atlassian.net/wiki/spaces/DIC/pages/1121910973" xr:uid="{B6BA1A5E-FFC2-401E-955A-E386610E4984}"/>
    <hyperlink ref="A168" r:id="rId165" display="https://open-measure.atlassian.net/wiki/spaces/DIC/pages/1122631800" xr:uid="{D59F9F65-690D-44DE-949A-58B6C380B349}"/>
    <hyperlink ref="A170" r:id="rId166" display="https://open-measure.atlassian.net/wiki/spaces/DIC/pages/123830932" xr:uid="{646FCFDB-6206-487B-B959-07ACE132C674}"/>
    <hyperlink ref="A171" r:id="rId167" display="https://open-measure.atlassian.net/wiki/spaces/DIC/pages/75956266" xr:uid="{6A59BF5B-9BCD-4810-9CF4-FA76289D4596}"/>
    <hyperlink ref="A172" r:id="rId168" display="https://open-measure.atlassian.net/wiki/spaces/DIC/pages/17301568" xr:uid="{288AFB31-7CB2-4AE6-82AC-29BC8C9D54F9}"/>
    <hyperlink ref="A173" r:id="rId169" display="https://open-measure.atlassian.net/wiki/spaces/DIC/pages/1104904275" xr:uid="{BB04188B-0994-475A-A5B9-136E58E5EDC2}"/>
    <hyperlink ref="A174" r:id="rId170" display="https://open-measure.atlassian.net/wiki/spaces/DIC/pages/49316293" xr:uid="{FC6A912E-46B9-412E-B69B-37FBE8A6EF48}"/>
    <hyperlink ref="A175" r:id="rId171" display="https://open-measure.atlassian.net/wiki/spaces/DIC/pages/446824885" xr:uid="{D1015890-F4D0-4E75-B9E8-E16F9EF215CF}"/>
    <hyperlink ref="A176" r:id="rId172" display="https://open-measure.atlassian.net/wiki/spaces/DIC/pages/461275380" xr:uid="{559CB1C1-32CC-422D-BDC1-551733955948}"/>
    <hyperlink ref="A177" r:id="rId173" display="https://open-measure.atlassian.net/wiki/spaces/DIC/pages/82870848" xr:uid="{0ADC1EC2-5EDB-428B-A104-74A4BF432438}"/>
    <hyperlink ref="A178" r:id="rId174" display="https://open-measure.atlassian.net/wiki/spaces/DIC/pages/1121878505" xr:uid="{E01D79C9-77C6-4916-9C12-AC6CB7D4E19A}"/>
    <hyperlink ref="A179" r:id="rId175" display="https://open-measure.atlassian.net/wiki/spaces/DIC/pages/1267433567/Fake+Digital+Identity" xr:uid="{C0F3CA95-E8F1-4549-9DF9-371345314007}"/>
    <hyperlink ref="A180" r:id="rId176" display="https://open-measure.atlassian.net/wiki/spaces/DIC/pages/1290141697/FAPI" xr:uid="{4707EFFF-8B56-4923-91CF-3212CB960F6D}"/>
    <hyperlink ref="A181" r:id="rId177" display="https://open-measure.atlassian.net/wiki/spaces/DIC/pages/331579598" xr:uid="{31B109C7-1578-4905-B753-5D28DE6771CF}"/>
    <hyperlink ref="A182" r:id="rId178" display="https://open-measure.atlassian.net/wiki/spaces/DIC/pages/1152483703" xr:uid="{A55E0703-C04E-4469-9957-83F1C7F3C521}"/>
    <hyperlink ref="A183" r:id="rId179" display="https://open-measure.atlassian.net/wiki/spaces/DIC/pages/75890786" xr:uid="{1A8413BD-090E-47CA-AAEA-7BCBE7B7CFD8}"/>
    <hyperlink ref="A184" r:id="rId180" display="https://open-measure.atlassian.net/wiki/spaces/DIC/pages/763035693" xr:uid="{E8CAAE3E-A356-4ED9-8E59-F129A8874542}"/>
    <hyperlink ref="A185" r:id="rId181" display="https://open-measure.atlassian.net/wiki/spaces/DIC/pages/331579618" xr:uid="{AAA590B9-29E9-46D9-AC37-14589C7AEB8D}"/>
    <hyperlink ref="A186" r:id="rId182" display="https://open-measure.atlassian.net/wiki/spaces/DIC/pages/1290207237/Financial-grade+API" xr:uid="{155BA60C-F8AB-4C59-84EF-983F2F1C3AC9}"/>
    <hyperlink ref="A187" r:id="rId183" display="https://open-measure.atlassian.net/wiki/spaces/DIC/pages/1378091043/FinTech" xr:uid="{19E358AF-6811-4FD4-BE74-A38121E5F459}"/>
    <hyperlink ref="A188" r:id="rId184" display="https://open-measure.atlassian.net/wiki/spaces/DIC/pages/438698048" xr:uid="{580DFE43-4DCB-464D-BE40-4C65716C8CFD}"/>
    <hyperlink ref="A189" r:id="rId185" display="https://open-measure.atlassian.net/wiki/spaces/DIC/pages/1223884872" xr:uid="{79AF07AA-F7F2-41E0-941F-30795D60A323}"/>
    <hyperlink ref="A190" r:id="rId186" display="https://open-measure.atlassian.net/wiki/spaces/DIC/pages/1173585921" xr:uid="{8BE268DA-C0BE-4AA3-9078-27BC9DBB485C}"/>
    <hyperlink ref="A191" r:id="rId187" display="https://open-measure.atlassian.net/wiki/spaces/DIC/pages/158794590" xr:uid="{2C106480-FD78-4C35-AE22-81EA93EC4F1F}"/>
    <hyperlink ref="A192" r:id="rId188" display="https://open-measure.atlassian.net/wiki/spaces/DIC/pages/1226833964" xr:uid="{8A84A18F-5DC7-48E3-9DC9-F4761A292FC7}"/>
    <hyperlink ref="A193" r:id="rId189" display="https://open-measure.atlassian.net/wiki/spaces/DIC/pages/419561522/Foundational+Identification+System" xr:uid="{951B7761-1C82-4720-8E6E-8B9D7BEDC6E4}"/>
    <hyperlink ref="A194" r:id="rId190" display="https://open-measure.atlassian.net/wiki/spaces/DIC/pages/148340978" xr:uid="{5079B621-FBEC-4A75-9A4C-1B31F37007AB}"/>
    <hyperlink ref="A195" r:id="rId191" display="https://open-measure.atlassian.net/wiki/spaces/DIC/pages/419528747" xr:uid="{CA902C6A-F49F-46EF-A684-1E714573EEAA}"/>
    <hyperlink ref="A196" r:id="rId192" display="https://open-measure.atlassian.net/wiki/spaces/DIC/pages/1229619254" xr:uid="{5A1000E2-3DCB-4DA7-BB42-BB6134AE70AE}"/>
    <hyperlink ref="A197" r:id="rId193" display="https://open-measure.atlassian.net/wiki/spaces/DIC/pages/1409494" xr:uid="{750B43D1-B42C-4280-AAA9-CD06E3AD9FBC}"/>
    <hyperlink ref="A198" r:id="rId194" display="https://open-measure.atlassian.net/wiki/spaces/DIC/pages/966557699" xr:uid="{1B830C34-9ABA-496B-B89B-9AAF5208E76E}"/>
    <hyperlink ref="A199" r:id="rId195" display="https://open-measure.atlassian.net/wiki/spaces/DIC/pages/1177846011" xr:uid="{A8369E87-58DC-42D8-9B8F-331720C76AC4}"/>
    <hyperlink ref="A200" r:id="rId196" display="https://open-measure.atlassian.net/wiki/spaces/DIC/pages/998047786" xr:uid="{2D7E398D-2615-46BE-BE50-B7DFC5C3FB24}"/>
    <hyperlink ref="A201" r:id="rId197" display="https://open-measure.atlassian.net/wiki/spaces/DIC/pages/998277156" xr:uid="{68D1D357-4FE9-4F1A-9520-90D6A5BD3820}"/>
    <hyperlink ref="A202" r:id="rId198" display="https://open-measure.atlassian.net/wiki/spaces/DIC/pages/1572865/IAG" xr:uid="{BF7A7A47-1703-46FA-BB5A-41C09B91026E}"/>
    <hyperlink ref="A203" r:id="rId199" display="https://open-measure.atlassian.net/wiki/spaces/DIC/pages/1081356/IAM" xr:uid="{00AE5B5C-52DD-4E72-AB00-461D3C0B72A3}"/>
    <hyperlink ref="A204" r:id="rId200" display="https://open-measure.atlassian.net/wiki/spaces/DIC/pages/1037926677" xr:uid="{383800AC-0BB7-4A12-A112-ED807469F762}"/>
    <hyperlink ref="A205" r:id="rId201" display="https://open-measure.atlassian.net/wiki/spaces/DIC/pages/82838735" xr:uid="{7BB90A22-5D39-4113-9979-E556533E602D}"/>
    <hyperlink ref="A206" r:id="rId202" display="https://open-measure.atlassian.net/wiki/spaces/DIC/pages/234487971" xr:uid="{E0D2125A-D878-4BF7-B6A1-B58E7C66904D}"/>
    <hyperlink ref="A207" r:id="rId203" display="https://open-measure.atlassian.net/wiki/spaces/DIC/pages/1149468857" xr:uid="{5F2AAF6B-3795-4C8D-AF69-166225240E25}"/>
    <hyperlink ref="A208" r:id="rId204" display="https://open-measure.atlassian.net/wiki/spaces/DIC/pages/149356545" xr:uid="{54F7F2A4-5BA0-4294-9698-C638F9546B3E}"/>
    <hyperlink ref="A209" r:id="rId205" display="https://open-measure.atlassian.net/wiki/spaces/DIC/pages/419659837" xr:uid="{3F5C3EE1-32BC-4FA4-929E-5C53754A86CA}"/>
    <hyperlink ref="A210" r:id="rId206" display="https://open-measure.atlassian.net/wiki/spaces/DIC/pages/419758113" xr:uid="{DCB2558E-B2B4-4EDD-8EE6-25DB821CBBDD}"/>
    <hyperlink ref="A211" r:id="rId207" display="https://open-measure.atlassian.net/wiki/spaces/DIC/pages/435322922" xr:uid="{C5623FE3-1D78-484F-A311-A6538D32103B}"/>
    <hyperlink ref="A212" r:id="rId208" display="https://open-measure.atlassian.net/wiki/spaces/DIC/pages/1311113273/Identifier+Registry+Model" xr:uid="{2D17B488-76CD-4A1E-80F3-F15A9FF875EE}"/>
    <hyperlink ref="A213" r:id="rId209" display="https://open-measure.atlassian.net/wiki/spaces/DIC/pages/67600948" xr:uid="{D9C010FD-EB18-422D-B504-6D7880409136}"/>
    <hyperlink ref="A214" r:id="rId210" display="https://open-measure.atlassian.net/wiki/spaces/DIC/pages/1600618542/Identity+Aggregation" xr:uid="{CE75296C-22FB-4A91-AA16-7D1316E32BDC}"/>
    <hyperlink ref="A215" r:id="rId211" display="https://open-measure.atlassian.net/wiki/spaces/DIC/pages/1458176007/Identity+and+Access+Governance" xr:uid="{AD06886A-A773-49EE-8758-D616379557C4}"/>
    <hyperlink ref="A216" r:id="rId212" display="https://open-measure.atlassian.net/wiki/spaces/DIC/pages/1409143/Identity+and+Access+Management" xr:uid="{EB1A0D05-082F-46EE-A13E-CB8FD97FA2C5}"/>
    <hyperlink ref="A230" r:id="rId213" display="https://open-measure.atlassian.net/wiki/spaces/DIC/pages/1152516217" xr:uid="{4B8CE23F-999A-4C60-9DA9-F841857ED307}"/>
    <hyperlink ref="A217" r:id="rId214" display="https://open-measure.atlassian.net/wiki/spaces/DIC/pages/1600749655/Identity+Assurance" xr:uid="{95338B3A-22FD-4985-A83E-717DB712141C}"/>
    <hyperlink ref="A218" r:id="rId215" display="https://open-measure.atlassian.net/wiki/spaces/DIC/pages/82903275" xr:uid="{5322EE65-A102-42E8-8022-60C1B6467D88}"/>
    <hyperlink ref="A231" r:id="rId216" display="https://open-measure.atlassian.net/wiki/spaces/DIC/pages/236748873" xr:uid="{D4E753C6-C30E-464C-8031-223A4B2B99F6}"/>
    <hyperlink ref="A219" r:id="rId217" display="https://open-measure.atlassian.net/wiki/spaces/DIC/pages/123896632/Identity+Establishment" xr:uid="{7E0F8A49-16E1-4605-B166-662A05CA188D}"/>
    <hyperlink ref="A220" r:id="rId218" display="https://open-measure.atlassian.net/wiki/spaces/DIC/pages/336035929/Identity+Federation" xr:uid="{AA5235C8-B8F9-4C2A-8F82-0B4BFF557C9C}"/>
    <hyperlink ref="A221" r:id="rId219" display="https://open-measure.atlassian.net/wiki/spaces/DIC/pages/1323597918/Identity+Guardian" xr:uid="{B15A5890-C446-464C-9970-86F7EDCD15E8}"/>
    <hyperlink ref="A222" r:id="rId220" display="https://open-measure.atlassian.net/wiki/spaces/DIC/pages/67600436" xr:uid="{3DFF24A5-5349-4B6D-90C7-D019DAC31525}"/>
    <hyperlink ref="A223" r:id="rId221" display="https://open-measure.atlassian.net/wiki/spaces/DIC/pages/1122533530" xr:uid="{47595697-55DD-4FF4-8333-8A126FC62FB5}"/>
    <hyperlink ref="A224" r:id="rId222" display="https://open-measure.atlassian.net/wiki/spaces/DIC/pages/1146847286" xr:uid="{D24AEEFB-0F0C-4C1B-AD23-2FDDCAFD12BB}"/>
    <hyperlink ref="A225" r:id="rId223" display="https://open-measure.atlassian.net/wiki/spaces/DIC/pages/1323434004/Identity+Portability" xr:uid="{45046EC6-8D35-40A7-962C-9BDA48203909}"/>
    <hyperlink ref="A226" r:id="rId224" display="https://open-measure.atlassian.net/wiki/spaces/DIC/pages/858522094" xr:uid="{69FED61B-D0F8-4044-9E27-86630803695F}"/>
    <hyperlink ref="A227" r:id="rId225" display="https://open-measure.atlassian.net/wiki/spaces/DIC/pages/810254353" xr:uid="{70BAC3B4-5B65-4423-91D7-B69623BD541D}"/>
    <hyperlink ref="A228" r:id="rId226" display="https://open-measure.atlassian.net/wiki/spaces/DIC/pages/82838020" xr:uid="{82925526-52B2-4288-9BBC-5ECE80B35BBE}"/>
    <hyperlink ref="A229" r:id="rId227" display="https://open-measure.atlassian.net/wiki/spaces/DIC/pages/1117913089" xr:uid="{B4DF13A9-AB43-4ADD-BD9F-434170403630}"/>
    <hyperlink ref="A232" r:id="rId228" display="https://open-measure.atlassian.net/wiki/spaces/DIC/pages/1147043904" xr:uid="{7D146273-9C1D-414C-93D9-CF9B58636EA0}"/>
    <hyperlink ref="A233" r:id="rId229" display="https://open-measure.atlassian.net/wiki/spaces/DIC/pages/81101362" xr:uid="{7F1EBC50-7A00-473F-8C2D-264BE7D95D0C}"/>
    <hyperlink ref="A234" r:id="rId230" display="https://open-measure.atlassian.net/wiki/spaces/DIC/pages/107708597" xr:uid="{09C7B23B-26CC-4AE7-A5C0-2167C0089183}"/>
    <hyperlink ref="A235" r:id="rId231" display="https://open-measure.atlassian.net/wiki/spaces/DIC/pages/46104660" xr:uid="{97802FAA-AD2F-47E9-BD01-58D7F579813F}"/>
    <hyperlink ref="A236" r:id="rId232" display="https://open-measure.atlassian.net/wiki/spaces/DIC/pages/974323719" xr:uid="{33671248-F599-478E-85E6-2EF1116FB95A}"/>
    <hyperlink ref="A237" r:id="rId233" display="https://open-measure.atlassian.net/wiki/spaces/DIC/pages/1311218" xr:uid="{BA8EC689-58FA-4A80-848A-1B966FE9BB78}"/>
    <hyperlink ref="A238" r:id="rId234" display="https://open-measure.atlassian.net/wiki/spaces/DIC/pages/49250393" xr:uid="{6EF3020A-42CE-4884-A38E-DB3D24410944}"/>
    <hyperlink ref="A239" r:id="rId235" display="https://open-measure.atlassian.net/wiki/spaces/DIC/pages/43515956" xr:uid="{4AD5CE99-B23A-4265-AEA0-5A822C289B73}"/>
    <hyperlink ref="A240" r:id="rId236" display="https://open-measure.atlassian.net/wiki/spaces/DIC/pages/11141519" xr:uid="{36FEEFAA-E69E-41EF-A22D-286BEA505294}"/>
    <hyperlink ref="A241" r:id="rId237" display="https://open-measure.atlassian.net/wiki/spaces/DIC/pages/59473923" xr:uid="{D26722C0-13FB-48D4-B525-7DB6CBFAD503}"/>
    <hyperlink ref="A242" r:id="rId238" display="https://open-measure.atlassian.net/wiki/spaces/DIC/pages/158827185" xr:uid="{85BD78DB-043E-4BD0-963F-5F3BCB027597}"/>
    <hyperlink ref="A243" r:id="rId239" display="https://open-measure.atlassian.net/wiki/spaces/DIC/pages/1027342618" xr:uid="{645D6875-7D34-4088-BEA6-562A52934780}"/>
    <hyperlink ref="A244" r:id="rId240" display="https://open-measure.atlassian.net/wiki/spaces/DIC/pages/455508212" xr:uid="{EEF928D4-6509-4733-B7E9-88E34A03316C}"/>
    <hyperlink ref="A245" r:id="rId241" display="https://open-measure.atlassian.net/wiki/spaces/DIC/pages/1004896257" xr:uid="{3FD353E1-937A-451C-8CDF-21C5EA011E5B}"/>
    <hyperlink ref="A246" r:id="rId242" display="https://open-measure.atlassian.net/wiki/spaces/DIC/pages/1177714758" xr:uid="{C277DDB4-CD7C-474A-AA9A-FF8DB643FC83}"/>
    <hyperlink ref="A247" r:id="rId243" display="https://open-measure.atlassian.net/wiki/spaces/DIC/pages/998113409" xr:uid="{312B3DC5-DCBF-4CCB-95C3-EB0B95844C5C}"/>
    <hyperlink ref="A248" r:id="rId244" display="https://open-measure.atlassian.net/wiki/spaces/DIC/pages/438698009/Information+Security+Domain" xr:uid="{F45D52A7-7D88-46D7-ACA0-FBF3714256F4}"/>
    <hyperlink ref="A249" r:id="rId245" display="https://open-measure.atlassian.net/wiki/spaces/DIC/pages/1031241830/Information+System" xr:uid="{7EE44D9C-AC8C-4984-8B28-DAFAD214FEEF}"/>
    <hyperlink ref="A250" r:id="rId246" display="https://open-measure.atlassian.net/wiki/spaces/DIC/pages/49250305" xr:uid="{51F0C9EA-AA9C-4A36-865E-F0FBD98D0E21}"/>
    <hyperlink ref="A251" r:id="rId247" display="https://open-measure.atlassian.net/wiki/spaces/DIC/pages/1477869651/Inside+Attacker" xr:uid="{B02B6B1B-D244-40EC-B322-5CE1EE8FABAC}"/>
    <hyperlink ref="A252" r:id="rId248" display="https://open-measure.atlassian.net/wiki/spaces/DIC/pages/1451884782/Insider" xr:uid="{DDC04867-8E16-4165-A22A-14ED6C0C8D69}"/>
    <hyperlink ref="A253" r:id="rId249" display="https://open-measure.atlassian.net/wiki/spaces/DIC/pages/1478459402/Insider+Attack" xr:uid="{7F8ACD00-DE98-4AD2-9869-6E9F7EB106F0}"/>
    <hyperlink ref="A254" r:id="rId250" display="https://open-measure.atlassian.net/wiki/spaces/DIC/pages/1451098397/Insider+Threat" xr:uid="{AAE175B8-A9CB-4103-819B-E6ECF844772B}"/>
    <hyperlink ref="A255" r:id="rId251" display="https://open-measure.atlassian.net/wiki/spaces/DIC/pages/822476843" xr:uid="{4CE9D2D5-3B8D-4D3B-945E-132EAD5DC6B9}"/>
    <hyperlink ref="A256" r:id="rId252" display="https://open-measure.atlassian.net/wiki/spaces/DIC/pages/998277141" xr:uid="{869E8636-3E02-4A6A-8B9C-16BEC1846C36}"/>
    <hyperlink ref="A257" r:id="rId253" display="https://open-measure.atlassian.net/wiki/spaces/DIC/pages/1311417" xr:uid="{E6F278CB-8C9B-4692-927B-F5DE4EE5E9E9}"/>
    <hyperlink ref="A258" r:id="rId254" display="https://open-measure.atlassian.net/wiki/spaces/DIC/pages/442466314" xr:uid="{0A0CA25F-123F-49EE-A04C-AEE763691FD5}"/>
    <hyperlink ref="A259" r:id="rId255" display="https://open-measure.atlassian.net/wiki/spaces/DIC/pages/11567191" xr:uid="{5EDC0D20-6C38-4520-9417-C7D39E15A820}"/>
    <hyperlink ref="A260" r:id="rId256" display="https://open-measure.atlassian.net/wiki/spaces/DIC/pages/1152483625" xr:uid="{8CEF2694-22F3-4712-816C-501BA71C422C}"/>
    <hyperlink ref="A261" r:id="rId257" display="https://open-measure.atlassian.net/wiki/spaces/DIC/pages/720902" xr:uid="{0D09E6DA-7415-4695-A0C9-25F4470E86C3}"/>
    <hyperlink ref="A262" r:id="rId258" display="https://open-measure.atlassian.net/wiki/spaces/DIC/pages/1569095803/IT+System" xr:uid="{13FE2030-C065-492D-89E0-177653F22B68}"/>
    <hyperlink ref="A263" r:id="rId259" display="https://open-measure.atlassian.net/wiki/spaces/DIC/pages/858488984" xr:uid="{1916C5FE-992C-434B-BF7E-0340D6690BE9}"/>
    <hyperlink ref="A264" r:id="rId260" display="https://open-measure.atlassian.net/wiki/spaces/DIC/pages/855506953" xr:uid="{02C1184B-157A-4AE0-95B5-2ACF0B1688B3}"/>
    <hyperlink ref="A265" r:id="rId261" display="https://open-measure.atlassian.net/wiki/spaces/DIC/pages/858456203" xr:uid="{80D2979F-E4A1-4347-9F76-CA821C4C8EDA}"/>
    <hyperlink ref="A266" r:id="rId262" display="https://open-measure.atlassian.net/wiki/spaces/DIC/pages/852492379" xr:uid="{18BF145B-3EBE-41C5-8FD0-42D0985097F1}"/>
    <hyperlink ref="A267" r:id="rId263" display="https://open-measure.atlassian.net/wiki/spaces/DIC/pages/858521641" xr:uid="{53E25D8E-1594-4607-A478-CB7C58320F94}"/>
    <hyperlink ref="A268" r:id="rId264" display="https://open-measure.atlassian.net/wiki/spaces/DIC/pages/852492338" xr:uid="{276DEA0D-841B-4F08-9887-147B9134FE86}"/>
    <hyperlink ref="A269" r:id="rId265" display="https://open-measure.atlassian.net/wiki/spaces/DIC/pages/140706011" xr:uid="{4A1FFF93-96A6-4674-99B0-B9765382B782}"/>
    <hyperlink ref="A270" r:id="rId266" display="https://open-measure.atlassian.net/wiki/spaces/DIC/pages/425623701" xr:uid="{BEAEFB7A-014C-471E-9799-305A859D8659}"/>
    <hyperlink ref="A271" r:id="rId267" display="https://open-measure.atlassian.net/wiki/spaces/DIC/pages/427163745" xr:uid="{696FCFD3-9F26-44C5-B90D-02F01809A977}"/>
    <hyperlink ref="A272" r:id="rId268" display="https://open-measure.atlassian.net/wiki/spaces/DIC/pages/442499114" xr:uid="{5E4755BC-9252-4938-87B6-60E6BEB60884}"/>
    <hyperlink ref="A273" r:id="rId269" display="https://open-measure.atlassian.net/wiki/spaces/DIC/pages/442400811" xr:uid="{27C35968-DA12-415B-86B4-C8105FF632C1}"/>
    <hyperlink ref="A274" r:id="rId270" display="https://open-measure.atlassian.net/wiki/spaces/DIC/pages/49250357" xr:uid="{9174AB2A-7FCB-4171-88FB-18D4500973F5}"/>
    <hyperlink ref="A275" r:id="rId271" display="https://open-measure.atlassian.net/wiki/spaces/DIC/pages/1177681925" xr:uid="{4775CA2E-9FD2-468B-976C-8AA37451B029}"/>
    <hyperlink ref="A276" r:id="rId272" display="https://open-measure.atlassian.net/wiki/spaces/DIC/pages/1181843548" xr:uid="{7D326EDA-3430-42F6-976E-80EC94DBA924}"/>
    <hyperlink ref="A277" r:id="rId273" display="https://open-measure.atlassian.net/wiki/spaces/DIC/pages/1177780225" xr:uid="{7FC07AAC-791E-4ADF-90FC-6276C5A93D4C}"/>
    <hyperlink ref="A278" r:id="rId274" display="https://open-measure.atlassian.net/wiki/spaces/DIC/pages/49250375" xr:uid="{E5985597-9E87-49A8-AEAF-CE6F049C64F0}"/>
    <hyperlink ref="A279" r:id="rId275" display="https://open-measure.atlassian.net/wiki/spaces/DIC/pages/1006698533" xr:uid="{620A7078-0B66-4A40-8431-09019A90E1B5}"/>
    <hyperlink ref="A280" r:id="rId276" display="https://open-measure.atlassian.net/wiki/spaces/DIC/pages/442466361" xr:uid="{16127A03-1219-4D82-A6AC-2F058DFC7AFD}"/>
    <hyperlink ref="A281" r:id="rId277" display="https://open-measure.atlassian.net/wiki/spaces/DIC/pages/1104936974" xr:uid="{5F3AB30C-01AB-42FE-9456-5196999F4B7D}"/>
    <hyperlink ref="A282" r:id="rId278" display="https://open-measure.atlassian.net/wiki/spaces/DIC/pages/442368033" xr:uid="{28075153-5D70-4C0B-85AC-1B60EF6F2F3A}"/>
    <hyperlink ref="A283" r:id="rId279" display="https://open-measure.atlassian.net/wiki/spaces/DIC/pages/442466381" xr:uid="{6FDA5766-4776-4B70-A719-4F649E5A29DA}"/>
    <hyperlink ref="A284" r:id="rId280" display="https://open-measure.atlassian.net/wiki/spaces/DIC/pages/1177845957" xr:uid="{707F0722-744F-471D-9A87-1EB45CAE7800}"/>
    <hyperlink ref="A285" r:id="rId281" display="https://open-measure.atlassian.net/wiki/spaces/DIC/pages/442400912" xr:uid="{CD272B06-0824-4CFB-98A4-122DB19BC8B1}"/>
    <hyperlink ref="A286" r:id="rId282" display="https://open-measure.atlassian.net/wiki/spaces/DIC/pages/1452048577/Logic+Bomb" xr:uid="{F9F15BCA-5E93-40E7-84E3-6C94BCFFE4FA}"/>
    <hyperlink ref="A287" r:id="rId283" display="https://open-measure.atlassian.net/wiki/spaces/DIC/pages/1440153606/Login" xr:uid="{FFD16050-292D-4624-AE95-92718FA4D0FC}"/>
    <hyperlink ref="A288" r:id="rId284" display="https://open-measure.atlassian.net/wiki/spaces/DIC/pages/1428685307/Login+ID" xr:uid="{A68C41A2-16D9-4439-AD27-9BEF79098B05}"/>
    <hyperlink ref="A289" r:id="rId285" display="https://open-measure.atlassian.net/wiki/spaces/DIC/pages/1428685365/Login+Name" xr:uid="{C3E289DA-8E2C-4933-BE20-591D4CEF1150}"/>
    <hyperlink ref="A290" r:id="rId286" display="https://open-measure.atlassian.net/wiki/spaces/DIC/pages/5900142" xr:uid="{47D05D83-6781-4260-A496-CAD4D34BBD71}"/>
    <hyperlink ref="A291" r:id="rId287" display="https://open-measure.atlassian.net/wiki/spaces/DIC/pages/5899544" xr:uid="{381D4224-ABA5-4900-8A3F-DC82FD33C0CA}"/>
    <hyperlink ref="A292" r:id="rId288" display="https://open-measure.atlassian.net/wiki/spaces/DIC/pages/1310994" xr:uid="{2D3E1EBE-8FFE-42D0-A158-981BB9EDD222}"/>
    <hyperlink ref="A293" r:id="rId289" display="https://open-measure.atlassian.net/wiki/spaces/DIC/pages/5933244" xr:uid="{165A2A92-46CF-4208-B5BC-D83C3FBB6150}"/>
    <hyperlink ref="A294" r:id="rId290" display="https://open-measure.atlassian.net/wiki/spaces/DIC/pages/11567150" xr:uid="{72D7FB1D-9734-4206-891F-81A4DE62D80D}"/>
    <hyperlink ref="A295" r:id="rId291" display="https://open-measure.atlassian.net/wiki/spaces/DIC/pages/5899260" xr:uid="{2F38F1C8-1BC9-48B6-BB51-85BDC1B7FC30}"/>
    <hyperlink ref="A296" r:id="rId292" display="https://open-measure.atlassian.net/wiki/spaces/DIC/pages/2588851" xr:uid="{84B9BBA5-E2F9-475C-934B-35F6C399B50E}"/>
    <hyperlink ref="A297" r:id="rId293" display="https://open-measure.atlassian.net/wiki/spaces/DIC/pages/67699227" xr:uid="{029166DB-3D33-468E-AC9E-2B9E584237BC}"/>
    <hyperlink ref="A298" r:id="rId294" display="https://open-measure.atlassian.net/wiki/spaces/DIC/pages/427163759" xr:uid="{94BCBE14-E1F6-4B08-A397-B3093E1A43BE}"/>
    <hyperlink ref="A299" r:id="rId295" display="https://open-measure.atlassian.net/wiki/spaces/DIC/pages/834044288" xr:uid="{DBF5ECD7-5791-4F79-A775-25C7EAAE9ACB}"/>
    <hyperlink ref="A300" r:id="rId296" display="https://open-measure.atlassian.net/wiki/spaces/DIC/pages/1311226" xr:uid="{A0BE4241-0865-4775-B5EE-819022745DA6}"/>
    <hyperlink ref="A301" r:id="rId297" display="https://open-measure.atlassian.net/wiki/spaces/DIC/pages/67633632" xr:uid="{D7F8762E-4BF6-4DC9-8125-CA7DAA8EB5F0}"/>
    <hyperlink ref="A302" r:id="rId298" display="https://open-measure.atlassian.net/wiki/spaces/DIC/pages/148439237" xr:uid="{7DCC5ACD-3AD6-45F9-8667-C166A144C4AB}"/>
    <hyperlink ref="A303" r:id="rId299" display="https://open-measure.atlassian.net/wiki/spaces/DIC/pages/43581457" xr:uid="{F8D7B830-62A5-4947-8113-29CD9D252599}"/>
    <hyperlink ref="A304" r:id="rId300" display="https://open-measure.atlassian.net/wiki/spaces/DIC/pages/75890760" xr:uid="{FD23E629-5720-47D3-B8A0-66D422E16887}"/>
    <hyperlink ref="A305" r:id="rId301" display="https://open-measure.atlassian.net/wiki/spaces/DIC/pages/1031241799" xr:uid="{3EDE7895-3BB9-4620-B74A-A68DB6CE8065}"/>
    <hyperlink ref="A306" r:id="rId302" display="https://open-measure.atlassian.net/wiki/spaces/DIC/pages/1600684160/Multiple+Accounts" xr:uid="{CDD3C104-4CD3-48F0-ADD8-D3F44C6CB5C1}"/>
    <hyperlink ref="A307" r:id="rId303" display="https://open-measure.atlassian.net/wiki/spaces/DIC/pages/998244664" xr:uid="{5FADFA90-3B65-479E-8C60-23F398107724}"/>
    <hyperlink ref="A308" r:id="rId304" display="https://open-measure.atlassian.net/wiki/spaces/DIC/pages/1474592794/Need-to-Know" xr:uid="{A89AB19F-0FD9-4A17-80CE-6CCF8E002B39}"/>
    <hyperlink ref="A309" r:id="rId305" display="https://open-measure.atlassian.net/wiki/spaces/DIC/pages/858456124" xr:uid="{18DF0580-5C3A-44A3-B8C9-BA6F77685233}"/>
    <hyperlink ref="A311" r:id="rId306" display="https://open-measure.atlassian.net/wiki/spaces/DIC/pages/6030903" xr:uid="{F084C560-3D68-4A2D-A35F-6903AB82EEC6}"/>
    <hyperlink ref="A312" r:id="rId307" display="https://open-measure.atlassian.net/wiki/spaces/DIC/pages/858554692" xr:uid="{8C926C8C-FB00-4726-AA8B-E4051112F2EF}"/>
    <hyperlink ref="A310" r:id="rId308" display="https://open-measure.atlassian.net/wiki/spaces/DIC/pages/1237483723" xr:uid="{91E41868-B5FE-4BA7-A2D6-9D3F8BD390F2}"/>
    <hyperlink ref="A313" r:id="rId309" display="https://open-measure.atlassian.net/wiki/spaces/DIC/pages/1323336029/Numerical+Identity" xr:uid="{6F6ABA4B-61AC-4FB7-9936-82308F2D4058}"/>
    <hyperlink ref="A314" r:id="rId310" display="https://open-measure.atlassian.net/wiki/spaces/DIC/pages/148308170" xr:uid="{05A950E3-68D5-4775-A3B7-0C73D70766B1}"/>
    <hyperlink ref="A315" r:id="rId311" display="https://open-measure.atlassian.net/wiki/spaces/DIC/pages/5965213" xr:uid="{5B428BCF-AB5B-40AC-B9F5-CD91E2605D5C}"/>
    <hyperlink ref="A316" r:id="rId312" display="https://open-measure.atlassian.net/wiki/spaces/DIC/pages/446825168" xr:uid="{84018CAE-173C-40B3-995A-57247FA04018}"/>
    <hyperlink ref="A317" r:id="rId313" display="https://open-measure.atlassian.net/wiki/spaces/DIC/pages/67568133" xr:uid="{30E19D2C-1EF5-4861-99A6-17FE2069960D}"/>
    <hyperlink ref="A318" r:id="rId314" display="https://open-measure.atlassian.net/wiki/spaces/DIC/pages/1376617" xr:uid="{04430D17-A3EF-44B4-9C3E-A02360C5E952}"/>
    <hyperlink ref="A319" r:id="rId315" display="https://open-measure.atlassian.net/wiki/spaces/DIC/pages/2981904" xr:uid="{0C86508E-03A4-46CE-9F2D-276895808905}"/>
    <hyperlink ref="A320" r:id="rId316" display="https://open-measure.atlassian.net/wiki/spaces/DIC/pages/11141406" xr:uid="{FDA8C8A6-70EC-46F8-83DC-10BE5343E117}"/>
    <hyperlink ref="A321" r:id="rId317" display="https://open-measure.atlassian.net/wiki/spaces/DIC/pages/998244357" xr:uid="{2099C55E-6D4A-45CC-80B9-EE8FE01B2649}"/>
    <hyperlink ref="A322" r:id="rId318" display="https://open-measure.atlassian.net/wiki/spaces/DIC/pages/1142358051" xr:uid="{BDD8D0D5-694D-4E03-B08F-FF2E4E0189F3}"/>
    <hyperlink ref="A323" r:id="rId319" display="https://open-measure.atlassian.net/wiki/spaces/DIC/pages/1142259761" xr:uid="{EDB79FCF-76AF-4EB3-A8EB-8FAEB213F982}"/>
    <hyperlink ref="A324" r:id="rId320" display="https://open-measure.atlassian.net/wiki/spaces/DIC/pages/3211353" xr:uid="{A15041D4-8F14-485F-8A22-05738BCA0A19}"/>
    <hyperlink ref="A325" r:id="rId321" display="https://open-measure.atlassian.net/wiki/spaces/DIC/pages/148439181" xr:uid="{F77BF5CE-1F32-4E27-95A5-7647FC78344A}"/>
    <hyperlink ref="A326" r:id="rId322" display="https://open-measure.atlassian.net/wiki/spaces/DIC/pages/5932838" xr:uid="{C3949D56-E7E5-48A1-AED6-E438B0B368F4}"/>
    <hyperlink ref="A327" r:id="rId323" display="https://open-measure.atlassian.net/wiki/spaces/DIC/pages/1311403" xr:uid="{F22CE9F9-F741-4B36-903A-0ED8C50C2AD4}"/>
    <hyperlink ref="A328" r:id="rId324" display="https://open-measure.atlassian.net/wiki/spaces/DIC/pages/557057" xr:uid="{C7A5D591-F12A-4A86-AFBC-0B6BEF53AF59}"/>
    <hyperlink ref="A329" r:id="rId325" display="https://open-measure.atlassian.net/wiki/spaces/DIC/pages/1061650550" xr:uid="{B26AC1DD-746D-40C7-B3DC-BACEA995A71E}"/>
    <hyperlink ref="A330" r:id="rId326" display="https://open-measure.atlassian.net/wiki/spaces/DIC/pages/1062207530/Orphan+Account" xr:uid="{9C44342A-6606-4A44-A039-9FCE16AFC750}"/>
    <hyperlink ref="A331" r:id="rId327" display="https://open-measure.atlassian.net/wiki/spaces/DIC/pages/1061748965" xr:uid="{7FEB3204-CDFC-4AF3-ADF2-9E6CD519B270}"/>
    <hyperlink ref="A332" r:id="rId328" display="https://open-measure.atlassian.net/wiki/spaces/DIC/pages/1061650653" xr:uid="{F34F5C2D-9435-4AF7-8A64-49A351E5168C}"/>
    <hyperlink ref="A333" r:id="rId329" display="https://open-measure.atlassian.net/wiki/spaces/DIC/pages/1061748925" xr:uid="{DFB67E4D-9CAB-4BF9-941B-20F0CC5367F8}"/>
    <hyperlink ref="A334" r:id="rId330" display="https://open-measure.atlassian.net/wiki/spaces/DIC/pages/1061749016" xr:uid="{CFEE446A-EC89-415C-A3F6-4BACC3F5A95C}"/>
    <hyperlink ref="A335" r:id="rId331" display="https://open-measure.atlassian.net/wiki/spaces/DIC/pages/1063845889" xr:uid="{5FEA2AD3-52F2-4741-B256-D5F70FBB9B55}"/>
    <hyperlink ref="A336" r:id="rId332" display="https://open-measure.atlassian.net/wiki/spaces/DIC/pages/1061650689" xr:uid="{C39A6F94-354B-4AA9-938F-B61D833E7788}"/>
    <hyperlink ref="A337" r:id="rId333" display="https://open-measure.atlassian.net/wiki/spaces/DIC/pages/1061748885" xr:uid="{EC25B12F-FC45-4FD2-8ACB-0D13801F6F79}"/>
    <hyperlink ref="A338" r:id="rId334" display="https://open-measure.atlassian.net/wiki/spaces/DIC/pages/49283090" xr:uid="{788D54F9-CB62-4DFC-B585-C40BEDC101F3}"/>
    <hyperlink ref="A339" r:id="rId335" display="https://open-measure.atlassian.net/wiki/spaces/DIC/pages/49315842" xr:uid="{5ED311CD-9AE4-464F-BDB2-BCD04C7F5851}"/>
    <hyperlink ref="A340" r:id="rId336" display="https://open-measure.atlassian.net/wiki/spaces/DIC/pages/1472692289/Outsider" xr:uid="{85FF8F45-D87E-429B-836E-3796526312CB}"/>
    <hyperlink ref="A341" r:id="rId337" display="https://open-measure.atlassian.net/wiki/spaces/DIC/pages/438665302" xr:uid="{3B180B46-4223-4534-8C89-EE80BFF43BA9}"/>
    <hyperlink ref="A342" r:id="rId338" display="https://open-measure.atlassian.net/wiki/spaces/DIC/pages/140673286" xr:uid="{BB18FEFE-C8EC-4383-ADC3-BBF7AC5F5282}"/>
    <hyperlink ref="A343" r:id="rId339" display="https://open-measure.atlassian.net/wiki/spaces/DIC/pages/974323764" xr:uid="{E57C1F34-881D-434D-8979-B9E5015B4BB4}"/>
    <hyperlink ref="A344" r:id="rId340" display="https://open-measure.atlassian.net/wiki/spaces/DIC/pages/1428652394/Password+Guessing+Attack" xr:uid="{23B21BB8-2C4B-4892-9B6B-BA716DDEB436}"/>
    <hyperlink ref="A347" r:id="rId341" display="https://open-measure.atlassian.net/wiki/spaces/DIC/pages/1677164566/Passwordless+Authentication" xr:uid="{90A5C3AC-AD1B-4626-89DB-392845AD0862}"/>
    <hyperlink ref="A345" r:id="rId342" display="https://open-measure.atlassian.net/wiki/spaces/DIC/pages/1027048058" xr:uid="{9EA5B3E9-BCFF-44F4-B11D-61EE8469B285}"/>
    <hyperlink ref="A346" r:id="rId343" display="https://open-measure.atlassian.net/wiki/spaces/DIC/pages/1348730921/Password+Spraying+Attack" xr:uid="{60AEBF8A-6C9F-4A77-9B9B-A71F6103A591}"/>
    <hyperlink ref="A348" r:id="rId344" display="https://open-measure.atlassian.net/wiki/spaces/DIC/pages/1409753" xr:uid="{711C898D-32D7-433B-993D-8D8564E76C3E}"/>
    <hyperlink ref="A349" r:id="rId345" display="https://open-measure.atlassian.net/wiki/spaces/DIC/pages/140707141" xr:uid="{7EC48DF6-6E4A-45BE-A91F-D4A9645D0E78}"/>
    <hyperlink ref="A350" r:id="rId346" display="https://open-measure.atlassian.net/wiki/spaces/DIC/pages/1572966" xr:uid="{F55648D4-36CD-4206-9B5D-3390F9934C75}"/>
    <hyperlink ref="A351" r:id="rId347" display="https://open-measure.atlassian.net/wiki/spaces/DIC/pages/67699129" xr:uid="{A8CDFBFC-0007-44B6-9AD5-DB393339335B}"/>
    <hyperlink ref="A352" r:id="rId348" display="https://open-measure.atlassian.net/wiki/spaces/DIC/pages/1323499709/Persona" xr:uid="{39FFB335-60DE-43D5-B8E6-AF54837C3B71}"/>
    <hyperlink ref="A353" r:id="rId349" display="https://open-measure.atlassian.net/wiki/spaces/DIC/pages/1572948" xr:uid="{484260FC-7ADF-4E6C-B54D-FA40F766AB4B}"/>
    <hyperlink ref="A354" r:id="rId350" display="https://open-measure.atlassian.net/wiki/spaces/DIC/pages/140771596" xr:uid="{ACC553BD-A995-4788-A365-3D153F6A84A6}"/>
    <hyperlink ref="A355" r:id="rId351" display="https://open-measure.atlassian.net/wiki/spaces/DIC/pages/67568272" xr:uid="{13E5DD01-D41B-45E4-8FC9-3E1AE465BDA0}"/>
    <hyperlink ref="A356" r:id="rId352" display="https://open-measure.atlassian.net/wiki/spaces/DIC/pages/1104904334" xr:uid="{37A3BA95-2378-4AED-A4AB-507A7EF7F299}"/>
    <hyperlink ref="A357" r:id="rId353" display="https://open-measure.atlassian.net/wiki/spaces/DIC/pages/1132331103" xr:uid="{B08F4A78-B4E2-46EE-8982-690FC3AC44DB}"/>
    <hyperlink ref="A358" r:id="rId354" display="https://open-measure.atlassian.net/wiki/spaces/DIC/pages/1132331086" xr:uid="{5B6B3EFF-98A7-423E-804C-451648C15282}"/>
    <hyperlink ref="A359" r:id="rId355" display="https://open-measure.atlassian.net/wiki/spaces/DIC/pages/1122631903" xr:uid="{2A65BA0F-C79E-4DBE-8BE7-8F828C620567}"/>
    <hyperlink ref="A360" r:id="rId356" display="https://open-measure.atlassian.net/wiki/spaces/DIC/pages/1105068063" xr:uid="{A44BD66F-C430-495E-99AC-B679778C5411}"/>
    <hyperlink ref="A361" r:id="rId357" display="https://open-measure.atlassian.net/wiki/spaces/DIC/pages/1130987523" xr:uid="{381FBFBA-8B04-4898-BBC8-56A8D822A508}"/>
    <hyperlink ref="A362" r:id="rId358" display="https://open-measure.atlassian.net/wiki/spaces/DIC/pages/148373776" xr:uid="{08BD45AD-C366-49CC-9A86-0A33CB55ACCF}"/>
    <hyperlink ref="A363" r:id="rId359" display="https://open-measure.atlassian.net/wiki/spaces/DIC/pages/1094549649" xr:uid="{68C4CFC9-C11E-4C43-86AB-973788D7E42C}"/>
    <hyperlink ref="A364" r:id="rId360" display="https://open-measure.atlassian.net/wiki/spaces/DIC/pages/5933189" xr:uid="{F4DD5565-8C97-4767-9CDA-F86B8E8A2149}"/>
    <hyperlink ref="A365" r:id="rId361" display="https://open-measure.atlassian.net/wiki/spaces/DIC/pages/67699046" xr:uid="{F6D4724F-928E-4173-BC52-2A9EA6589730}"/>
    <hyperlink ref="A366" r:id="rId362" display="https://open-measure.atlassian.net/wiki/spaces/DIC/pages/1323434264/Private+Key+Loss" xr:uid="{D814844B-14C4-4EF5-8541-B757FB68E58B}"/>
    <hyperlink ref="A367" r:id="rId363" display="https://open-measure.atlassian.net/wiki/spaces/DIC/pages/67568310" xr:uid="{05D07FE9-9A44-402B-94C4-1842CD06E1F1}"/>
    <hyperlink ref="A368" r:id="rId364" display="https://open-measure.atlassian.net/wiki/spaces/DIC/pages/814449037/Privilege+Abuse" xr:uid="{F5BFE2BF-4992-4E5C-9D44-EE0C110C8A75}"/>
    <hyperlink ref="A369" r:id="rId365" display="https://open-measure.atlassian.net/wiki/spaces/DIC/pages/473890861" xr:uid="{B89ED037-D969-4B1B-95D6-08EBF9BC3BEC}"/>
    <hyperlink ref="A371" r:id="rId366" display="https://open-measure.atlassian.net/wiki/spaces/DIC/pages/138346661" xr:uid="{B42D0B48-0D5D-4EDB-9F1D-3E7DE8EA591C}"/>
    <hyperlink ref="A372" r:id="rId367" display="https://open-measure.atlassian.net/wiki/spaces/DIC/pages/1477902403/Privileged+Insider" xr:uid="{145CD1D6-6EAC-4E2A-A145-611BE7630E1D}"/>
    <hyperlink ref="A370" r:id="rId368" display="https://open-measure.atlassian.net/wiki/spaces/DIC/pages/810320380" xr:uid="{0FFE7CB4-125B-44ED-B688-F16C68C14B8E}"/>
    <hyperlink ref="A373" r:id="rId369" display="https://open-measure.atlassian.net/wiki/spaces/DIC/pages/1377214" xr:uid="{2FCA87E0-78A4-47A3-946C-2958A87282D8}"/>
    <hyperlink ref="A374" r:id="rId370" display="https://open-measure.atlassian.net/wiki/spaces/DIC/pages/49250316" xr:uid="{65378E36-F0E3-4989-9168-A65AAE8B5895}"/>
    <hyperlink ref="A375" r:id="rId371" display="https://open-measure.atlassian.net/wiki/spaces/DIC/pages/858521752" xr:uid="{5F9DFDFE-FE95-4834-806A-589C9A94CA75}"/>
    <hyperlink ref="A376" r:id="rId372" display="https://open-measure.atlassian.net/wiki/spaces/DIC/pages/446955521" xr:uid="{8D253F6B-74B1-45C1-A433-FB86F1292D61}"/>
    <hyperlink ref="A377" r:id="rId373" display="https://open-measure.atlassian.net/wiki/spaces/DIC/pages/61964289" xr:uid="{697A3322-8B22-41D2-89EE-051B64D7EDC9}"/>
    <hyperlink ref="A378" r:id="rId374" display="https://open-measure.atlassian.net/wiki/spaces/DIC/pages/1677164768/QR+Code+Authentication" xr:uid="{811D24BE-0560-4AB3-9326-020AF7BB65DB}"/>
    <hyperlink ref="A379" r:id="rId375" display="https://open-measure.atlassian.net/wiki/spaces/DIC/pages/140706128" xr:uid="{8E99369D-E1DD-4D49-9084-4C0746CF0585}"/>
    <hyperlink ref="A380" r:id="rId376" display="https://open-measure.atlassian.net/wiki/spaces/DIC/pages/1323598109/Qualitative+Identity" xr:uid="{ABB6A794-BD74-4F39-86CA-F20E2B024641}"/>
    <hyperlink ref="A381" r:id="rId377" display="https://open-measure.atlassian.net/wiki/spaces/DIC/pages/1442240" xr:uid="{C397D27C-0DA1-4CB7-AF4C-EA6CB37A8861}"/>
    <hyperlink ref="A382" r:id="rId378" display="https://open-measure.atlassian.net/wiki/spaces/DIC/pages/148308223" xr:uid="{9EC351CC-E49A-4B8B-A9C9-2F860084A52D}"/>
    <hyperlink ref="A383" r:id="rId379" display="https://open-measure.atlassian.net/wiki/spaces/DIC/pages/6030426" xr:uid="{8ADAD9CA-8A5E-45DA-94E9-B439A6DFA647}"/>
    <hyperlink ref="A384" r:id="rId380" display="https://open-measure.atlassian.net/wiki/spaces/DIC/pages/82903928" xr:uid="{3EFD975F-9E88-4577-A719-50B2E4384AD0}"/>
    <hyperlink ref="A385" r:id="rId381" display="https://open-measure.atlassian.net/wiki/spaces/DIC/pages/11567198" xr:uid="{CB649CB2-2875-4093-988F-0D89E3B31CDA}"/>
    <hyperlink ref="A386" r:id="rId382" display="https://open-measure.atlassian.net/wiki/spaces/DIC/pages/408944908" xr:uid="{24BB6390-5420-47F9-A375-B616C2B5F7F9}"/>
    <hyperlink ref="A387" r:id="rId383" display="https://open-measure.atlassian.net/wiki/spaces/DIC/pages/873201665" xr:uid="{889A867E-5035-4AE4-9C84-4B585D36A4BD}"/>
    <hyperlink ref="A388" r:id="rId384" display="https://open-measure.atlassian.net/wiki/spaces/DIC/pages/107840129" xr:uid="{F0FCCA9E-40C0-4A51-A3B6-F47AC7C2D5D2}"/>
    <hyperlink ref="A389" r:id="rId385" display="https://open-measure.atlassian.net/wiki/spaces/DIC/pages/123962234" xr:uid="{36CAF03D-26F5-4CB9-B552-DA00F4073961}"/>
    <hyperlink ref="A390" r:id="rId386" display="https://open-measure.atlassian.net/wiki/spaces/DIC/pages/82870985" xr:uid="{254DA5AA-EA7F-4E37-8B47-DF39FE06C1F5}"/>
    <hyperlink ref="A391" r:id="rId387" display="https://open-measure.atlassian.net/wiki/spaces/DIC/pages/858521682" xr:uid="{B3D1BFFD-AC49-4E43-BB24-E1E980AC2F9F}"/>
    <hyperlink ref="A392" r:id="rId388" display="https://open-measure.atlassian.net/wiki/spaces/DIC/pages/67699423" xr:uid="{C7859313-6F3F-4AAD-B404-2B98AAA6939A}"/>
    <hyperlink ref="A393" r:id="rId389" display="https://open-measure.atlassian.net/wiki/spaces/DIC/pages/427130881" xr:uid="{C225AFCF-D455-4B1B-B6C6-26A0C5461B8B}"/>
    <hyperlink ref="A394" r:id="rId390" display="https://open-measure.atlassian.net/wiki/spaces/DIC/pages/2589003" xr:uid="{20F8D8AC-FA3B-4BDA-93A7-1012BB0AAA6D}"/>
    <hyperlink ref="A395" r:id="rId391" display="https://open-measure.atlassian.net/wiki/spaces/DIC/pages/11141464" xr:uid="{24D55E3E-98E6-45EC-BEFC-CE69913A8294}"/>
    <hyperlink ref="A396" r:id="rId392" display="https://open-measure.atlassian.net/wiki/spaces/DIC/pages/2588994" xr:uid="{EB98DF86-D87D-4B80-A725-20FD3276BCDA}"/>
    <hyperlink ref="A397" r:id="rId393" display="https://open-measure.atlassian.net/wiki/spaces/DIC/pages/67698769" xr:uid="{80F4D4E7-CACC-471E-9B49-4629F6FF282B}"/>
    <hyperlink ref="A398" r:id="rId394" display="https://open-measure.atlassian.net/wiki/spaces/DIC/pages/425623561" xr:uid="{3BA10F2D-3FA5-4017-AEAD-681BA81E06A6}"/>
    <hyperlink ref="A399" r:id="rId395" display="https://open-measure.atlassian.net/wiki/spaces/DIC/pages/795836567" xr:uid="{9F3C97A2-31A2-4005-B306-5437E803140C}"/>
    <hyperlink ref="A400" r:id="rId396" display="https://open-measure.atlassian.net/wiki/spaces/DIC/pages/86442069" xr:uid="{D7B09F9C-7E41-467C-A7A3-603E8D2B3C09}"/>
    <hyperlink ref="A407" r:id="rId397" display="https://open-measure.atlassian.net/wiki/spaces/DIC/pages/1122566198" xr:uid="{8C14A87D-4569-4334-ADB7-21A9E3D0F8D6}"/>
    <hyperlink ref="A401" r:id="rId398" display="https://open-measure.atlassian.net/wiki/spaces/DIC/pages/814514401" xr:uid="{1086474B-132E-470B-8B87-0AD75F2C8824}"/>
    <hyperlink ref="A402" r:id="rId399" display="https://open-measure.atlassian.net/wiki/spaces/DIC/pages/1164902443" xr:uid="{38410CB8-E138-42F8-825C-1CF2BE11B76D}"/>
    <hyperlink ref="A403" r:id="rId400" display="https://open-measure.atlassian.net/wiki/spaces/DIC/pages/1164869655" xr:uid="{041B848A-FDDE-4E9F-B71A-7C91A08DD464}"/>
    <hyperlink ref="A404" r:id="rId401" display="https://open-measure.atlassian.net/wiki/spaces/DIC/pages/1164902498" xr:uid="{608A9AD7-FFEA-40D3-BCE2-555CF35666B0}"/>
    <hyperlink ref="A405" r:id="rId402" display="https://open-measure.atlassian.net/wiki/spaces/DIC/pages/1152483772" xr:uid="{0879C09A-295B-4C6A-B531-B0A3BF800BD9}"/>
    <hyperlink ref="A406" r:id="rId403" display="https://open-measure.atlassian.net/wiki/spaces/DIC/pages/1130921985" xr:uid="{8F339E77-1A36-496D-8E02-2211B5DFBFE0}"/>
    <hyperlink ref="A408" r:id="rId404" display="https://open-measure.atlassian.net/wiki/spaces/DIC/pages/82903488" xr:uid="{4B851582-8196-4F9D-846D-9FB049444600}"/>
    <hyperlink ref="A409" r:id="rId405" display="https://open-measure.atlassian.net/wiki/spaces/DIC/pages/140739068/SAM+Database" xr:uid="{C33AFB60-2587-4603-B871-DBF475F5410F}"/>
    <hyperlink ref="A410" r:id="rId406" display="https://open-measure.atlassian.net/wiki/spaces/DIC/pages/1428586729/SAML" xr:uid="{DFE71794-833B-4B0E-BBE0-FDA2B41B95A4}"/>
    <hyperlink ref="A411" r:id="rId407" display="https://open-measure.atlassian.net/wiki/spaces/DIC/pages/5899940" xr:uid="{B625881F-1ACD-47E5-BABF-A00A87D097D9}"/>
    <hyperlink ref="A412" r:id="rId408" display="https://open-measure.atlassian.net/wiki/spaces/DIC/pages/206307343" xr:uid="{10AEDE90-85A3-48EB-95FB-A5043DDEAD7F}"/>
    <hyperlink ref="A413" r:id="rId409" display="https://open-measure.atlassian.net/wiki/spaces/DIC/pages/206372879" xr:uid="{266C8C51-CA63-4D0E-97C1-5FF4CAA71E5C}"/>
    <hyperlink ref="A414" r:id="rId410" display="https://open-measure.atlassian.net/wiki/spaces/DIC/pages/206307350" xr:uid="{41039313-F409-478B-B3C3-1838575B5131}"/>
    <hyperlink ref="A415" r:id="rId411" display="https://open-measure.atlassian.net/wiki/spaces/DIC/pages/206307373" xr:uid="{DD438944-098C-4E05-8827-1FF4E1AA1F4D}"/>
    <hyperlink ref="A416" r:id="rId412" display="https://open-measure.atlassian.net/wiki/spaces/DIC/pages/1376383" xr:uid="{227350AC-81C0-4EB4-B45F-564D9FEF945F}"/>
    <hyperlink ref="A417" r:id="rId413" display="https://open-measure.atlassian.net/wiki/spaces/DIC/pages/5931115" xr:uid="{1497873A-81C0-40EF-89DD-323C0CEDF90B}"/>
    <hyperlink ref="A418" r:id="rId414" display="https://open-measure.atlassian.net/wiki/spaces/DIC/pages/234356901" xr:uid="{9FA605F5-AA78-464E-B8DD-CDD22F64111C}"/>
    <hyperlink ref="A419" r:id="rId415" display="https://open-measure.atlassian.net/wiki/spaces/DIC/pages/1142390785" xr:uid="{B3BF5220-E4E3-4946-AE70-F4A3AD494321}"/>
    <hyperlink ref="A420" r:id="rId416" display="https://open-measure.atlassian.net/wiki/spaces/DIC/pages/1230831633" xr:uid="{B98349DB-380D-453B-9DAD-65B2ACC8269A}"/>
    <hyperlink ref="A421" r:id="rId417" display="https://open-measure.atlassian.net/wiki/spaces/DIC/pages/1231159321" xr:uid="{E01E9C0A-3EA6-4B26-A358-D8A6DB037856}"/>
    <hyperlink ref="A422" r:id="rId418" display="https://open-measure.atlassian.net/wiki/spaces/DIC/pages/140673497" xr:uid="{046A385A-5D40-4069-BC03-7CF6EA01A90D}"/>
    <hyperlink ref="A423" r:id="rId419" display="https://open-measure.atlassian.net/wiki/spaces/DIC/pages/1428619445/Security+Assertion+Markup+Language" xr:uid="{3C725A2C-38BE-4BBC-ABFA-E80AA1923095}"/>
    <hyperlink ref="A424" r:id="rId420" display="https://open-measure.atlassian.net/wiki/spaces/DIC/pages/1177747653" xr:uid="{DAC2F39F-AF97-43E6-BF8F-389EF5336BF8}"/>
    <hyperlink ref="A425" r:id="rId421" display="https://open-measure.atlassian.net/wiki/spaces/DIC/pages/1181843719" xr:uid="{AA5D232A-08BD-4ECE-815C-B2846E59D2CB}"/>
    <hyperlink ref="A426" r:id="rId422" display="https://open-measure.atlassian.net/wiki/spaces/DIC/pages/1177747630" xr:uid="{AE30C4E3-866B-406B-92E2-405A99924941}"/>
    <hyperlink ref="A427" r:id="rId423" display="https://open-measure.atlassian.net/wiki/spaces/DIC/pages/1071185955" xr:uid="{45BDE673-30B0-4293-9A81-896A8C01A984}"/>
    <hyperlink ref="A428" r:id="rId424" display="https://open-measure.atlassian.net/wiki/spaces/DIC/pages/446955653/Self-Sovereign+Identity" xr:uid="{D9DA8477-8083-4639-BA11-8B1AEBFED67B}"/>
    <hyperlink ref="A429" r:id="rId425" display="https://open-measure.atlassian.net/wiki/spaces/DIC/pages/6029526" xr:uid="{FB806C1E-FDB0-48D6-B5EE-BA44B81C4C1D}"/>
    <hyperlink ref="A430" r:id="rId426" display="https://open-measure.atlassian.net/wiki/spaces/DIC/pages/805142555" xr:uid="{770A04BB-651B-4C17-B08D-5D3DF3723E7B}"/>
    <hyperlink ref="A431" r:id="rId427" display="https://open-measure.atlassian.net/wiki/spaces/DIC/pages/1313538143/Service-Centric+Identity+Management+System" xr:uid="{AD292EB2-BDF7-49F9-BBD8-DE2E1689C336}"/>
    <hyperlink ref="A432" r:id="rId428" display="https://open-measure.atlassian.net/wiki/spaces/DIC/pages/881197061" xr:uid="{DCD54FBC-42B5-4CA3-92B4-4232575A84BA}"/>
    <hyperlink ref="A433" r:id="rId429" display="https://open-measure.atlassian.net/wiki/spaces/DIC/pages/78741548" xr:uid="{F4DDE8A0-07B9-42DE-9A2B-CA33B7F1B938}"/>
    <hyperlink ref="A434" r:id="rId430" display="https://open-measure.atlassian.net/wiki/spaces/DIC/pages/75956255" xr:uid="{0B361F61-E617-47FB-92A2-430250335B76}"/>
    <hyperlink ref="A435" r:id="rId431" display="https://open-measure.atlassian.net/wiki/spaces/DIC/pages/1600684200/Social+Authentication" xr:uid="{B5758B8A-2127-4956-B4DB-564BF45F405C}"/>
    <hyperlink ref="A436" r:id="rId432" display="https://open-measure.atlassian.net/wiki/spaces/DIC/pages/1270055026/Social+Honeypot" xr:uid="{B39C6A59-6BEC-47FE-B742-1C007D87874B}"/>
    <hyperlink ref="A437" r:id="rId433" display="https://open-measure.atlassian.net/wiki/spaces/DIC/pages/1071317018" xr:uid="{81417142-EA32-4351-A624-D141CD76C262}"/>
    <hyperlink ref="A438" r:id="rId434" display="https://open-measure.atlassian.net/wiki/spaces/DIC/pages/234487981" xr:uid="{91F3C353-B40A-4005-9DE6-07093B58585A}"/>
    <hyperlink ref="A439" r:id="rId435" display="https://open-measure.atlassian.net/wiki/spaces/DIC/pages/1142292486" xr:uid="{06BEE1B5-E3E1-470A-83E3-FDDB129C43D1}"/>
    <hyperlink ref="A440" r:id="rId436" display="https://open-measure.atlassian.net/wiki/spaces/DIC/pages/1605648" xr:uid="{E4340CF7-E1AD-41FD-BBE8-5001A3A25702}"/>
    <hyperlink ref="A441" r:id="rId437" display="https://open-measure.atlassian.net/wiki/spaces/DIC/pages/1027342899" xr:uid="{873ED58E-8C1D-4D5E-8D5C-8F16D90D42D5}"/>
    <hyperlink ref="A442" r:id="rId438" display="https://open-measure.atlassian.net/wiki/spaces/DIC/pages/1311113221/SSI" xr:uid="{D2F1770A-A68C-4FCF-A5C8-58A240B67930}"/>
    <hyperlink ref="A443" r:id="rId439" display="https://open-measure.atlassian.net/wiki/spaces/DIC/pages/75956237" xr:uid="{0514E924-FD4B-426B-9DF4-76FA6D709358}"/>
    <hyperlink ref="A444" r:id="rId440" display="https://open-measure.atlassian.net/wiki/spaces/DIC/pages/998244645" xr:uid="{BEFFBD1C-CB53-406E-957D-A1A0E7AFBE43}"/>
    <hyperlink ref="A445" r:id="rId441" display="https://open-measure.atlassian.net/wiki/spaces/DIC/pages/1311763" xr:uid="{E35AF49D-1FCB-4030-85F9-D1DD73C654B2}"/>
    <hyperlink ref="A446" r:id="rId442" display="https://open-measure.atlassian.net/wiki/spaces/DIC/pages/663257097/Step-Up+Authentication" xr:uid="{580613C9-E5B4-4A8C-9F74-A6F1AC8C4D9D}"/>
    <hyperlink ref="A447" r:id="rId443" display="https://open-measure.atlassian.net/wiki/spaces/DIC/pages/1540175" xr:uid="{B586439A-064B-41D7-AB14-230B9475DBCE}"/>
    <hyperlink ref="A448" r:id="rId444" display="https://open-measure.atlassian.net/wiki/spaces/DIC/pages/1181909085" xr:uid="{6A2368DF-1584-4F11-89BA-292F838CACC1}"/>
    <hyperlink ref="A449" r:id="rId445" display="https://open-measure.atlassian.net/wiki/spaces/DIC/pages/81199126" xr:uid="{1655B890-2AFC-40AC-98D7-03D359A53F08}"/>
    <hyperlink ref="A450" r:id="rId446" display="https://open-measure.atlassian.net/wiki/spaces/DIC/pages/1177747756" xr:uid="{0C835897-C506-4C8B-91F7-39BF1516DD63}"/>
    <hyperlink ref="A451" r:id="rId447" display="https://open-measure.atlassian.net/wiki/spaces/DIC/pages/67600697" xr:uid="{27A20032-A591-475E-A4DA-C5996C3C1E60}"/>
    <hyperlink ref="A452" r:id="rId448" display="https://open-measure.atlassian.net/wiki/spaces/DIC/pages/2981920" xr:uid="{99B9DD78-46BF-49B2-B10C-0FD1591088CE}"/>
    <hyperlink ref="A453" r:id="rId449" display="https://open-measure.atlassian.net/wiki/spaces/DIC/pages/1477869640/Supply+Chain+Attack" xr:uid="{2DCD952F-5425-476E-964E-E44DB15B99A1}"/>
    <hyperlink ref="A454" r:id="rId450" display="https://open-measure.atlassian.net/wiki/spaces/DIC/pages/1254588545/Sybil+Attack" xr:uid="{EB7A6339-AC13-411C-BBAC-DA85B6138474}"/>
    <hyperlink ref="A455" r:id="rId451" display="https://open-measure.atlassian.net/wiki/spaces/DIC/pages/794296433" xr:uid="{8F7AED10-7A13-41C1-A662-3AE062019396}"/>
    <hyperlink ref="A456" r:id="rId452" display="https://open-measure.atlassian.net/wiki/spaces/DIC/pages/5965562/System" xr:uid="{AAFF46D7-9563-48C1-8FD2-E6CED43669F4}"/>
    <hyperlink ref="A457" r:id="rId453" display="https://open-measure.atlassian.net/wiki/spaces/DIC/pages/446824644/System+Boundaries" xr:uid="{96C38054-2CCC-4AF1-AE5C-A393AC0C2BF2}"/>
    <hyperlink ref="A458" r:id="rId454" display="https://open-measure.atlassian.net/wiki/spaces/DIC/pages/206372869" xr:uid="{61CEA5D2-860F-4554-A5E7-389A2FA9F53C}"/>
    <hyperlink ref="A459" r:id="rId455" display="https://open-measure.atlassian.net/wiki/spaces/DIC/pages/1004961963" xr:uid="{06ADDF04-77CF-47DF-A409-F58D6A44E8B5}"/>
    <hyperlink ref="A460" r:id="rId456" display="https://open-measure.atlassian.net/wiki/spaces/DIC/pages/1226571890" xr:uid="{9ECC02C8-397B-4C6F-AA96-8210DB14473D}"/>
    <hyperlink ref="A461" r:id="rId457" display="https://open-measure.atlassian.net/wiki/spaces/DIC/pages/1122631693" xr:uid="{AC6F8BE1-45A4-45C8-A1A4-0FC605E55553}"/>
    <hyperlink ref="A462" r:id="rId458" display="https://open-measure.atlassian.net/wiki/spaces/DIC/pages/148373634" xr:uid="{CA09C3FD-F199-498B-BE19-BD7105600B52}"/>
    <hyperlink ref="A463" r:id="rId459" display="https://open-measure.atlassian.net/wiki/spaces/DIC/pages/148340845" xr:uid="{0270C6DA-FA1A-422E-BAD1-C4A356F223B4}"/>
    <hyperlink ref="A464" r:id="rId460" display="https://open-measure.atlassian.net/wiki/spaces/DIC/pages/140706175" xr:uid="{6BA26816-ABDE-4405-B13B-BE6548625546}"/>
    <hyperlink ref="A465" r:id="rId461" display="https://open-measure.atlassian.net/wiki/spaces/DIC/pages/158794291" xr:uid="{91117087-F452-41BD-86F2-EAC0A96B1789}"/>
    <hyperlink ref="A466" r:id="rId462" display="https://open-measure.atlassian.net/wiki/spaces/DIC/pages/1061617735" xr:uid="{560CF353-0228-47F9-8311-40482B27A08F}"/>
    <hyperlink ref="A467" r:id="rId463" display="https://open-measure.atlassian.net/wiki/spaces/DIC/pages/158728598" xr:uid="{99C7DA67-B9BD-49A0-AE7E-4291EAFB648A}"/>
    <hyperlink ref="A468" r:id="rId464" display="https://open-measure.atlassian.net/wiki/spaces/DIC/pages/1130954862" xr:uid="{7D5CC357-1306-4EB8-8062-4BD42D5F609A}"/>
    <hyperlink ref="A469" r:id="rId465" display="https://open-measure.atlassian.net/wiki/spaces/DIC/pages/360467" xr:uid="{CADD35D1-BEE9-45B6-8737-6A97875B3346}"/>
    <hyperlink ref="A470" r:id="rId466" display="https://open-measure.atlassian.net/wiki/spaces/DIC/pages/1237582070/Tranquil" xr:uid="{3503C23E-4ED1-4262-9967-771900113D94}"/>
    <hyperlink ref="A471" r:id="rId467" display="https://open-measure.atlassian.net/wiki/spaces/DIC/pages/1237483759" xr:uid="{27449584-2D47-490B-8B45-A1CAD7C0CEB7}"/>
    <hyperlink ref="A472" r:id="rId468" display="https://open-measure.atlassian.net/wiki/spaces/DIC/pages/1181876587" xr:uid="{9ADBDDF0-A6ED-4342-A28B-99070689DAB7}"/>
    <hyperlink ref="A473" r:id="rId469" display="https://open-measure.atlassian.net/wiki/spaces/DIC/pages/1037926452/Trust" xr:uid="{ACF19BA2-1D66-4894-BB8B-EDE4FE740956}"/>
    <hyperlink ref="A474" r:id="rId470" display="https://open-measure.atlassian.net/wiki/spaces/DIC/pages/1027048185" xr:uid="{F7C4B9AE-4607-467C-8731-057F4D52BCB8}"/>
    <hyperlink ref="A475" r:id="rId471" display="https://open-measure.atlassian.net/wiki/spaces/DIC/pages/1027048128" xr:uid="{0318D4BC-883F-4D82-826E-86B017CC9129}"/>
    <hyperlink ref="A476" r:id="rId472" display="https://open-measure.atlassian.net/wiki/spaces/DIC/pages/1027048209" xr:uid="{297B2888-C8C5-48F4-9715-8D8B87196DD0}"/>
    <hyperlink ref="A477" r:id="rId473" display="https://open-measure.atlassian.net/wiki/spaces/DIC/pages/1031242345" xr:uid="{6CCD6A33-0C4C-4FCA-9B85-E9D8D50FA3D4}"/>
    <hyperlink ref="A478" r:id="rId474" display="https://open-measure.atlassian.net/wiki/spaces/DIC/pages/140705998" xr:uid="{C54F5C35-F0A2-42CD-8FA8-3A3E24FBAD6E}"/>
    <hyperlink ref="A479" r:id="rId475" display="https://open-measure.atlassian.net/wiki/spaces/DIC/pages/1417084929/Typing+Biometrics" xr:uid="{ECBEAED1-0160-4EE7-9676-1CA5DAA6C192}"/>
    <hyperlink ref="A480" r:id="rId476" display="https://open-measure.atlassian.net/wiki/spaces/DIC/pages/140673267" xr:uid="{C9B12D0D-FEA7-49EC-AC83-4B138B25E07D}"/>
    <hyperlink ref="A481" r:id="rId477" display="https://open-measure.atlassian.net/wiki/spaces/DIC/pages/1027080193/Unanticipated+User" xr:uid="{0133F962-9C12-4E65-906D-2EBD52FDCD52}"/>
    <hyperlink ref="A482" r:id="rId478" display="https://open-measure.atlassian.net/wiki/spaces/DIC/pages/1231126540/Unauthorized+Access" xr:uid="{DF00A998-72E3-4933-98E7-B5CB1CA598A0}"/>
    <hyperlink ref="A483" r:id="rId479" display="https://open-measure.atlassian.net/wiki/spaces/DIC/pages/446955662/Unique+ID+Number" xr:uid="{B20B35F3-7027-44D0-B9D2-5C285DE49887}"/>
    <hyperlink ref="A484" r:id="rId480" display="https://open-measure.atlassian.net/wiki/spaces/DIC/pages/2523320/Unit+of+measurement" xr:uid="{B914DE1A-41B3-4D07-A610-FAC5E20E9760}"/>
    <hyperlink ref="A485" r:id="rId481" display="https://open-measure.atlassian.net/wiki/spaces/DIC/pages/1477902414/Unprivileged+Insider" xr:uid="{1BB055FC-8451-43E9-B2B9-09635A28EFBC}"/>
    <hyperlink ref="A486" r:id="rId482" display="https://open-measure.atlassian.net/wiki/spaces/DIC/pages/82839586/User" xr:uid="{ED332AA7-0DC7-4D2A-84D6-6A8CC90FE60B}"/>
    <hyperlink ref="A487" r:id="rId483" display="https://open-measure.atlassian.net/wiki/spaces/DIC/pages/1428587273/User+Account" xr:uid="{6F3615BC-F6C2-47FB-87D7-9BFF1CACFD46}"/>
    <hyperlink ref="A492" r:id="rId484" display="https://open-measure.atlassian.net/wiki/spaces/DIC/pages/1323597878/User-Centric+Identity+Management+System" xr:uid="{422D91DB-E242-4ED3-B7A8-B41D3A0D83A4}"/>
    <hyperlink ref="A488" r:id="rId485" display="https://open-measure.atlassian.net/wiki/spaces/DIC/pages/1146847344/User+De-Provisioning" xr:uid="{E6286229-8F9A-483F-BBE3-599DF5153E28}"/>
    <hyperlink ref="A489" r:id="rId486" display="https://open-measure.atlassian.net/wiki/spaces/DIC/pages/1121878257" xr:uid="{D9A5380D-45C6-4BF5-8867-736559897551}"/>
    <hyperlink ref="A490" r:id="rId487" display="https://open-measure.atlassian.net/wiki/spaces/DIC/pages/1428652448/User+ID" xr:uid="{98FC0A9E-2C04-443D-B84B-8C85F3F884B2}"/>
    <hyperlink ref="A493" r:id="rId488" display="https://open-measure.atlassian.net/wiki/spaces/DIC/pages/1428652183/Username" xr:uid="{00A6E27A-CACB-4234-B791-76BF9A7ECBCF}"/>
    <hyperlink ref="A491" r:id="rId489" display="https://open-measure.atlassian.net/wiki/spaces/DIC/pages/1147043973/User+Provisioning" xr:uid="{E45EB57A-AB06-4C44-AE36-148BF8AA746F}"/>
    <hyperlink ref="A494" r:id="rId490" display="https://open-measure.atlassian.net/wiki/spaces/DIC/pages/1311146179/Verifiable+Claim" xr:uid="{501CCD0A-4857-4D48-A1D0-6AAE2AEFE263}"/>
    <hyperlink ref="A495" r:id="rId491" display="https://open-measure.atlassian.net/wiki/spaces/DIC/pages/446988510/Verification" xr:uid="{B99E9B2A-22A2-4D5A-A1D1-9477D3847A94}"/>
    <hyperlink ref="A496" r:id="rId492" display="https://open-measure.atlassian.net/wiki/spaces/DIC/pages/834044330" xr:uid="{E69944FD-387E-4AD5-80B3-8E58971FE040}"/>
    <hyperlink ref="A497" r:id="rId493" display="https://open-measure.atlassian.net/wiki/spaces/DIC/pages/236748839" xr:uid="{3A856D0A-6B80-452C-8845-78F5C560AD4B}"/>
    <hyperlink ref="A498" r:id="rId494" display="https://open-measure.atlassian.net/wiki/spaces/DIC/pages/542146561" xr:uid="{988A2A61-C08A-4C4C-93AD-808163B21E51}"/>
    <hyperlink ref="A499" r:id="rId495" display="https://open-measure.atlassian.net/wiki/spaces/DIC/pages/234389605" xr:uid="{4E5A6FDC-C7EC-4BD2-A227-149BDF634F35}"/>
    <hyperlink ref="A500" r:id="rId496" display="https://open-measure.atlassian.net/wiki/spaces/DIC/pages/81068120" xr:uid="{4F7597AC-EDDB-46B8-B437-5761A2C2B941}"/>
    <hyperlink ref="A501" r:id="rId497" display="https://open-measure.atlassian.net/wiki/spaces/DIC/pages/1177845999" xr:uid="{C27272D8-025B-4EFF-AA66-C51895B51D62}"/>
    <hyperlink ref="A502" r:id="rId498" display="https://open-measure.atlassian.net/wiki/spaces/DIC/pages/75923587" xr:uid="{A19F6CB7-7E52-48E0-AB97-13B312352642}"/>
    <hyperlink ref="A503" r:id="rId499" display="https://open-measure.atlassian.net/wiki/spaces/DIC/pages/140673566" xr:uid="{FD3CDE6F-5A89-49E7-A8F2-7D915C5BD4E5}"/>
    <hyperlink ref="A506" r:id="rId500" display="https://open-measure.atlassian.net/wiki/spaces/DIC/pages/140739482" xr:uid="{753E6FCB-7F40-4633-80D4-18B25325C013}"/>
    <hyperlink ref="A504" r:id="rId501" display="https://open-measure.atlassian.net/wiki/spaces/DIC/pages/140739507" xr:uid="{3103A70A-4A7D-4F2A-9F83-73E1DB7F2F48}"/>
    <hyperlink ref="A505" r:id="rId502" display="https://open-measure.atlassian.net/wiki/spaces/DIC/pages/140673594" xr:uid="{19041BAB-B0B2-441C-B3EB-B643B92A1F0B}"/>
    <hyperlink ref="A507" r:id="rId503" display="https://open-measure.atlassian.net/wiki/spaces/DIC/pages/140673653" xr:uid="{40C4695F-44A0-4571-B0C2-D17BA2844A59}"/>
    <hyperlink ref="A508" r:id="rId504" display="https://open-measure.atlassian.net/wiki/spaces/DIC/pages/140771901" xr:uid="{2F615481-E44B-49E4-A309-9909D5B08271}"/>
    <hyperlink ref="A509" r:id="rId505" display="https://open-measure.atlassian.net/wiki/spaces/DIC/pages/140772047" xr:uid="{ACBBE00B-5035-4574-82CC-E530438D6BC9}"/>
    <hyperlink ref="A510" r:id="rId506" display="https://open-measure.atlassian.net/wiki/spaces/DIC/pages/140739277" xr:uid="{EF9D286C-C587-4622-BB33-E68E6758E240}"/>
    <hyperlink ref="A511" r:id="rId507" display="https://open-measure.atlassian.net/wiki/spaces/DIC/pages/140673818" xr:uid="{678413DF-B9C6-40EB-8188-5FD891F43EF4}"/>
    <hyperlink ref="A512" r:id="rId508" display="https://open-measure.atlassian.net/wiki/spaces/DIC/pages/140772011" xr:uid="{B25736E1-F23F-474F-994E-60EF1AFEC578}"/>
    <hyperlink ref="A513" r:id="rId509" display="https://open-measure.atlassian.net/wiki/spaces/DIC/pages/140706624" xr:uid="{D5555026-D748-4073-A0C7-8520B55CA7C3}"/>
    <hyperlink ref="A514" r:id="rId510" display="https://open-measure.atlassian.net/wiki/spaces/DIC/pages/140706700" xr:uid="{64C1D62E-E979-4A98-87AB-27B84823A8A9}"/>
    <hyperlink ref="A515" r:id="rId511" display="https://open-measure.atlassian.net/wiki/spaces/DIC/pages/855638141" xr:uid="{8259BE83-49F3-4AF9-BBA1-1908FEB09AF4}"/>
    <hyperlink ref="A516" r:id="rId512" display="https://open-measure.atlassian.net/wiki/spaces/DIC/pages/814448722" xr:uid="{B232E99D-80C0-4CCA-94CE-4083E5AAE8D2}"/>
    <hyperlink ref="A517" r:id="rId513" display="https://open-measure.atlassian.net/wiki/spaces/DIC/pages/852492409" xr:uid="{2EA435CF-270C-40AB-BA59-418C041FA25C}"/>
    <hyperlink ref="A518" r:id="rId514" display="https://open-measure.atlassian.net/wiki/spaces/DIC/pages/1122631791" xr:uid="{0172DA44-7596-436F-AC67-88A77CB900D3}"/>
    <hyperlink ref="A519" r:id="rId515" display="https://open-measure.atlassian.net/wiki/spaces/DIC/pages/234356891/Zero-Trust+Access" xr:uid="{ED50D094-8300-47AA-B789-85E142FF8262}"/>
    <hyperlink ref="A520" r:id="rId516" display="https://open-measure.atlassian.net/wiki/spaces/DIC/pages/782893195/Zombie+Account" xr:uid="{A9BC4AB3-C087-4F3B-A0DA-56822005B6F4}"/>
    <hyperlink ref="A521" r:id="rId517" display="https://open-measure.atlassian.net/wiki/spaces/DIC/pages/234389671/ZTA" xr:uid="{1FEBEF58-7467-45A6-9594-9018EB5B8E47}"/>
  </hyperlinks>
  <pageMargins left="0.7" right="0.7" top="0.75" bottom="0.75" header="0.3" footer="0.3"/>
  <pageSetup paperSize="9" orientation="portrait" r:id="rId518"/>
  <tableParts count="1">
    <tablePart r:id="rId519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DEE4B2-B843-4AE1-B95A-71D674D61B5B}">
  <sheetPr codeName="Sheet4"/>
  <dimension ref="A4:F9"/>
  <sheetViews>
    <sheetView topLeftCell="A4" workbookViewId="0">
      <selection activeCell="D16" sqref="D16"/>
    </sheetView>
  </sheetViews>
  <sheetFormatPr defaultRowHeight="12.75" x14ac:dyDescent="0.35"/>
  <cols>
    <col min="1" max="2" width="20.59765625" customWidth="1"/>
    <col min="3" max="3" width="20.73046875" customWidth="1"/>
    <col min="4" max="4" width="22.06640625" customWidth="1"/>
    <col min="5" max="5" width="21.46484375" customWidth="1"/>
    <col min="6" max="6" width="29" customWidth="1"/>
  </cols>
  <sheetData>
    <row r="4" spans="1:6" x14ac:dyDescent="0.35">
      <c r="A4" t="s">
        <v>1271</v>
      </c>
      <c r="B4" t="s">
        <v>1293</v>
      </c>
      <c r="C4" t="s">
        <v>1276</v>
      </c>
      <c r="D4" t="s">
        <v>1277</v>
      </c>
      <c r="E4" t="s">
        <v>1278</v>
      </c>
      <c r="F4" t="s">
        <v>1279</v>
      </c>
    </row>
    <row r="5" spans="1:6" x14ac:dyDescent="0.35">
      <c r="A5" t="s">
        <v>1280</v>
      </c>
      <c r="B5" t="s">
        <v>1274</v>
      </c>
      <c r="C5" t="s">
        <v>1281</v>
      </c>
      <c r="D5" t="s">
        <v>1282</v>
      </c>
      <c r="E5" t="s">
        <v>1283</v>
      </c>
      <c r="F5" t="s">
        <v>1284</v>
      </c>
    </row>
    <row r="6" spans="1:6" x14ac:dyDescent="0.35">
      <c r="A6" t="s">
        <v>1285</v>
      </c>
      <c r="B6" t="s">
        <v>1274</v>
      </c>
    </row>
    <row r="7" spans="1:6" x14ac:dyDescent="0.35">
      <c r="A7" t="s">
        <v>1286</v>
      </c>
      <c r="B7" t="s">
        <v>1274</v>
      </c>
      <c r="C7" t="s">
        <v>1289</v>
      </c>
      <c r="D7" t="s">
        <v>1290</v>
      </c>
      <c r="E7" t="s">
        <v>1287</v>
      </c>
      <c r="F7" t="s">
        <v>1288</v>
      </c>
    </row>
    <row r="8" spans="1:6" x14ac:dyDescent="0.35">
      <c r="A8" t="s">
        <v>1291</v>
      </c>
      <c r="B8" t="s">
        <v>1275</v>
      </c>
    </row>
    <row r="9" spans="1:6" x14ac:dyDescent="0.35">
      <c r="A9" t="s">
        <v>1292</v>
      </c>
      <c r="B9" t="s">
        <v>1275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2D460B-0C7D-47E9-9637-9AA627802F3C}">
  <sheetPr codeName="Sheet9"/>
  <dimension ref="A1:A5"/>
  <sheetViews>
    <sheetView zoomScale="85" zoomScaleNormal="85" workbookViewId="0">
      <selection activeCell="H25" sqref="H25"/>
    </sheetView>
  </sheetViews>
  <sheetFormatPr defaultRowHeight="12.75" x14ac:dyDescent="0.35"/>
  <cols>
    <col min="1" max="1" width="21" customWidth="1"/>
  </cols>
  <sheetData>
    <row r="1" spans="1:1" x14ac:dyDescent="0.35">
      <c r="A1" t="s">
        <v>1273</v>
      </c>
    </row>
    <row r="3" spans="1:1" x14ac:dyDescent="0.35">
      <c r="A3" t="s">
        <v>1272</v>
      </c>
    </row>
    <row r="4" spans="1:1" x14ac:dyDescent="0.35">
      <c r="A4" t="s">
        <v>1274</v>
      </c>
    </row>
    <row r="5" spans="1:1" x14ac:dyDescent="0.35">
      <c r="A5" t="s">
        <v>1275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Export</vt:lpstr>
      <vt:lpstr>nodes_data</vt:lpstr>
      <vt:lpstr>edges_data</vt:lpstr>
      <vt:lpstr>nodes_json</vt:lpstr>
      <vt:lpstr>edges_json</vt:lpstr>
      <vt:lpstr>DIC Pages</vt:lpstr>
      <vt:lpstr>relation_types</vt:lpstr>
      <vt:lpstr>direction_types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David Doret</cp:lastModifiedBy>
  <dcterms:created xsi:type="dcterms:W3CDTF">2021-06-28T18:02:32Z</dcterms:created>
  <dcterms:modified xsi:type="dcterms:W3CDTF">2021-07-11T15:57:38Z</dcterms:modified>
</cp:coreProperties>
</file>