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495522F0-AFB0-424B-B263-D5587E40DD73}" xr6:coauthVersionLast="47" xr6:coauthVersionMax="47" xr10:uidLastSave="{00000000-0000-0000-0000-000000000000}"/>
  <bookViews>
    <workbookView xWindow="-98" yWindow="-98" windowWidth="20715" windowHeight="13276" activeTab="4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0" i="3" l="1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G38" i="13" s="1"/>
  <c r="A3" i="3"/>
  <c r="A2" i="3"/>
  <c r="A40" i="3"/>
  <c r="A65" i="14"/>
  <c r="D65" i="14"/>
  <c r="A64" i="14"/>
  <c r="D64" i="14"/>
  <c r="A500" i="12"/>
  <c r="B500" i="12"/>
  <c r="C500" i="12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E23" i="3"/>
  <c r="A490" i="12"/>
  <c r="B490" i="12"/>
  <c r="C490" i="12"/>
  <c r="E141" i="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E24" i="3"/>
  <c r="E26" i="3"/>
  <c r="E42" i="3"/>
  <c r="E85" i="3"/>
  <c r="E177" i="3"/>
  <c r="E215" i="3"/>
  <c r="E227" i="3"/>
  <c r="E21" i="3"/>
  <c r="E232" i="3"/>
  <c r="E25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E101" i="3"/>
  <c r="E84" i="3"/>
  <c r="E83" i="3"/>
  <c r="E82" i="3"/>
  <c r="E81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E106" i="3"/>
  <c r="E443" i="3"/>
  <c r="E131" i="3"/>
  <c r="E257" i="3"/>
  <c r="E258" i="3"/>
  <c r="E168" i="3"/>
  <c r="E126" i="3"/>
  <c r="E256" i="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E2" i="3"/>
  <c r="E479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7" i="3"/>
  <c r="E478" i="3"/>
  <c r="E460" i="3"/>
  <c r="E476" i="3"/>
  <c r="E475" i="3"/>
  <c r="E474" i="3"/>
  <c r="E473" i="3"/>
  <c r="E472" i="3"/>
  <c r="E471" i="3"/>
  <c r="E470" i="3"/>
  <c r="E468" i="3"/>
  <c r="E467" i="3"/>
  <c r="E466" i="3"/>
  <c r="E465" i="3"/>
  <c r="E469" i="3"/>
  <c r="E464" i="3"/>
  <c r="E463" i="3"/>
  <c r="E462" i="3"/>
  <c r="E461" i="3"/>
  <c r="E446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5" i="3"/>
  <c r="E442" i="3"/>
  <c r="E444" i="3"/>
  <c r="E428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5" i="3"/>
  <c r="E427" i="3"/>
  <c r="E426" i="3"/>
  <c r="E412" i="3"/>
  <c r="E424" i="3"/>
  <c r="E423" i="3"/>
  <c r="E421" i="3"/>
  <c r="E422" i="3"/>
  <c r="E420" i="3"/>
  <c r="E419" i="3"/>
  <c r="E418" i="3"/>
  <c r="E417" i="3"/>
  <c r="E416" i="3"/>
  <c r="E415" i="3"/>
  <c r="E414" i="3"/>
  <c r="E413" i="3"/>
  <c r="E407" i="3"/>
  <c r="E411" i="3"/>
  <c r="E410" i="3"/>
  <c r="E409" i="3"/>
  <c r="E408" i="3"/>
  <c r="E400" i="3"/>
  <c r="E406" i="3"/>
  <c r="E405" i="3"/>
  <c r="E404" i="3"/>
  <c r="E403" i="3"/>
  <c r="E402" i="3"/>
  <c r="E401" i="3"/>
  <c r="E373" i="3"/>
  <c r="E399" i="3"/>
  <c r="E398" i="3"/>
  <c r="E397" i="3"/>
  <c r="E396" i="3"/>
  <c r="E395" i="3"/>
  <c r="E394" i="3"/>
  <c r="E393" i="3"/>
  <c r="E392" i="3"/>
  <c r="E391" i="3"/>
  <c r="E390" i="3"/>
  <c r="E389" i="3"/>
  <c r="E387" i="3"/>
  <c r="E386" i="3"/>
  <c r="E385" i="3"/>
  <c r="E388" i="3"/>
  <c r="E384" i="3"/>
  <c r="E383" i="3"/>
  <c r="E382" i="3"/>
  <c r="E380" i="3"/>
  <c r="E379" i="3"/>
  <c r="E378" i="3"/>
  <c r="E377" i="3"/>
  <c r="E376" i="3"/>
  <c r="E375" i="3"/>
  <c r="E381" i="3"/>
  <c r="E374" i="3"/>
  <c r="E364" i="3"/>
  <c r="E372" i="3"/>
  <c r="E371" i="3"/>
  <c r="E370" i="3"/>
  <c r="E369" i="3"/>
  <c r="E368" i="3"/>
  <c r="E367" i="3"/>
  <c r="E366" i="3"/>
  <c r="E365" i="3"/>
  <c r="E361" i="3"/>
  <c r="E363" i="3"/>
  <c r="E362" i="3"/>
  <c r="E356" i="3"/>
  <c r="E360" i="3"/>
  <c r="E359" i="3"/>
  <c r="E358" i="3"/>
  <c r="E357" i="3"/>
  <c r="E335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1" i="3"/>
  <c r="E334" i="3"/>
  <c r="E333" i="3"/>
  <c r="E332" i="3"/>
  <c r="E330" i="3"/>
  <c r="E329" i="3"/>
  <c r="E328" i="3"/>
  <c r="E327" i="3"/>
  <c r="E326" i="3"/>
  <c r="E324" i="3"/>
  <c r="E325" i="3"/>
  <c r="E322" i="3"/>
  <c r="E323" i="3"/>
  <c r="E305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2" i="3"/>
  <c r="E304" i="3"/>
  <c r="E303" i="3"/>
  <c r="E296" i="3"/>
  <c r="E301" i="3"/>
  <c r="E300" i="3"/>
  <c r="E299" i="3"/>
  <c r="E298" i="3"/>
  <c r="E297" i="3"/>
  <c r="E294" i="3"/>
  <c r="E295" i="3"/>
  <c r="E293" i="3"/>
  <c r="E292" i="3"/>
  <c r="E271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2" i="3"/>
  <c r="E273" i="3"/>
  <c r="E269" i="3"/>
  <c r="E270" i="3"/>
  <c r="E253" i="3"/>
  <c r="E268" i="3"/>
  <c r="E267" i="3"/>
  <c r="E266" i="3"/>
  <c r="E265" i="3"/>
  <c r="E264" i="3"/>
  <c r="E263" i="3"/>
  <c r="E262" i="3"/>
  <c r="E261" i="3"/>
  <c r="E260" i="3"/>
  <c r="E259" i="3"/>
  <c r="E255" i="3"/>
  <c r="E254" i="3"/>
  <c r="E235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194" i="3"/>
  <c r="E234" i="3"/>
  <c r="E233" i="3"/>
  <c r="E231" i="3"/>
  <c r="E230" i="3"/>
  <c r="E226" i="3"/>
  <c r="E225" i="3"/>
  <c r="E224" i="3"/>
  <c r="E223" i="3"/>
  <c r="E222" i="3"/>
  <c r="E221" i="3"/>
  <c r="E220" i="3"/>
  <c r="E219" i="3"/>
  <c r="E218" i="3"/>
  <c r="E217" i="3"/>
  <c r="E216" i="3"/>
  <c r="E229" i="3"/>
  <c r="E214" i="3"/>
  <c r="E213" i="3"/>
  <c r="E228" i="3"/>
  <c r="E212" i="3"/>
  <c r="E211" i="3"/>
  <c r="E210" i="3"/>
  <c r="E209" i="3"/>
  <c r="E208" i="3"/>
  <c r="E207" i="3"/>
  <c r="E206" i="3"/>
  <c r="E205" i="3"/>
  <c r="E204" i="3"/>
  <c r="E203" i="3"/>
  <c r="E202" i="3"/>
  <c r="E200" i="3"/>
  <c r="E199" i="3"/>
  <c r="E201" i="3"/>
  <c r="E198" i="3"/>
  <c r="E197" i="3"/>
  <c r="E196" i="3"/>
  <c r="E195" i="3"/>
  <c r="E193" i="3"/>
  <c r="E191" i="3"/>
  <c r="E192" i="3"/>
  <c r="E190" i="3"/>
  <c r="E189" i="3"/>
  <c r="E186" i="3"/>
  <c r="E188" i="3"/>
  <c r="E187" i="3"/>
  <c r="E179" i="3"/>
  <c r="E185" i="3"/>
  <c r="E184" i="3"/>
  <c r="E183" i="3"/>
  <c r="E182" i="3"/>
  <c r="E181" i="3"/>
  <c r="E180" i="3"/>
  <c r="E169" i="3"/>
  <c r="E178" i="3"/>
  <c r="E176" i="3"/>
  <c r="E175" i="3"/>
  <c r="E174" i="3"/>
  <c r="E173" i="3"/>
  <c r="E172" i="3"/>
  <c r="E171" i="3"/>
  <c r="E170" i="3"/>
  <c r="E147" i="3"/>
  <c r="E167" i="3"/>
  <c r="E166" i="3"/>
  <c r="E165" i="3"/>
  <c r="E164" i="3"/>
  <c r="E163" i="3"/>
  <c r="E162" i="3"/>
  <c r="E161" i="3"/>
  <c r="E159" i="3"/>
  <c r="E158" i="3"/>
  <c r="E157" i="3"/>
  <c r="E160" i="3"/>
  <c r="E156" i="3"/>
  <c r="E155" i="3"/>
  <c r="E154" i="3"/>
  <c r="E153" i="3"/>
  <c r="E152" i="3"/>
  <c r="E151" i="3"/>
  <c r="E150" i="3"/>
  <c r="E148" i="3"/>
  <c r="E149" i="3"/>
  <c r="E142" i="3"/>
  <c r="E146" i="3"/>
  <c r="E145" i="3"/>
  <c r="E144" i="3"/>
  <c r="E143" i="3"/>
  <c r="E105" i="3"/>
  <c r="E22" i="3"/>
  <c r="E140" i="3"/>
  <c r="E139" i="3"/>
  <c r="E138" i="3"/>
  <c r="E137" i="3"/>
  <c r="E135" i="3"/>
  <c r="E134" i="3"/>
  <c r="E136" i="3"/>
  <c r="E132" i="3"/>
  <c r="E130" i="3"/>
  <c r="E129" i="3"/>
  <c r="E133" i="3"/>
  <c r="E128" i="3"/>
  <c r="E127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95" i="3"/>
  <c r="E104" i="3"/>
  <c r="E103" i="3"/>
  <c r="E102" i="3"/>
  <c r="E100" i="3"/>
  <c r="E99" i="3"/>
  <c r="E98" i="3"/>
  <c r="E97" i="3"/>
  <c r="E96" i="3"/>
  <c r="E88" i="3"/>
  <c r="E94" i="3"/>
  <c r="E93" i="3"/>
  <c r="E92" i="3"/>
  <c r="E91" i="3"/>
  <c r="E90" i="3"/>
  <c r="E89" i="3"/>
  <c r="E75" i="3"/>
  <c r="E87" i="3"/>
  <c r="E86" i="3"/>
  <c r="E80" i="3"/>
  <c r="E79" i="3"/>
  <c r="E78" i="3"/>
  <c r="E77" i="3"/>
  <c r="E76" i="3"/>
  <c r="E69" i="3"/>
  <c r="E74" i="3"/>
  <c r="E73" i="3"/>
  <c r="E72" i="3"/>
  <c r="E71" i="3"/>
  <c r="E70" i="3"/>
  <c r="E67" i="3"/>
  <c r="E68" i="3"/>
  <c r="E64" i="3"/>
  <c r="E66" i="3"/>
  <c r="E65" i="3"/>
  <c r="E53" i="3"/>
  <c r="E62" i="3"/>
  <c r="E61" i="3"/>
  <c r="E60" i="3"/>
  <c r="E59" i="3"/>
  <c r="E58" i="3"/>
  <c r="E57" i="3"/>
  <c r="E63" i="3"/>
  <c r="E56" i="3"/>
  <c r="E55" i="3"/>
  <c r="E54" i="3"/>
  <c r="E52" i="3"/>
  <c r="E51" i="3"/>
  <c r="E50" i="3"/>
  <c r="E49" i="3"/>
  <c r="E48" i="3"/>
  <c r="E47" i="3"/>
  <c r="E46" i="3"/>
  <c r="E45" i="3"/>
  <c r="E44" i="3"/>
  <c r="E43" i="3"/>
  <c r="E41" i="3"/>
  <c r="E40" i="3"/>
  <c r="E39" i="3"/>
  <c r="E37" i="3"/>
  <c r="E36" i="3"/>
  <c r="E35" i="3"/>
  <c r="E38" i="3"/>
  <c r="E34" i="3"/>
  <c r="E33" i="3"/>
  <c r="E32" i="3"/>
  <c r="E31" i="3"/>
  <c r="E30" i="3"/>
  <c r="E29" i="3"/>
  <c r="E28" i="3"/>
  <c r="E27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498" i="12" a="1"/>
  <c r="E499" i="12" a="1"/>
  <c r="E500" i="12" a="1"/>
  <c r="E496" i="12" a="1"/>
  <c r="E492" i="12" a="1"/>
  <c r="E493" i="12" a="1"/>
  <c r="E495" i="12" a="1"/>
  <c r="E491" i="12" a="1"/>
  <c r="E494" i="12" a="1"/>
  <c r="E497" i="12" a="1"/>
  <c r="H23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H141" i="3" a="1"/>
  <c r="H81" i="3" a="1"/>
  <c r="H40" i="3" a="1"/>
  <c r="H113" i="3" a="1"/>
  <c r="H181" i="3" a="1"/>
  <c r="H217" i="3" a="1"/>
  <c r="H235" i="3" a="1"/>
  <c r="H288" i="3" a="1"/>
  <c r="H320" i="3" a="1"/>
  <c r="H352" i="3" a="1"/>
  <c r="H46" i="3" a="1"/>
  <c r="H118" i="3" a="1"/>
  <c r="H179" i="3" a="1"/>
  <c r="H68" i="3" a="1"/>
  <c r="H22" i="3" a="1"/>
  <c r="H201" i="3" a="1"/>
  <c r="H234" i="3" a="1"/>
  <c r="H253" i="3" a="1"/>
  <c r="H301" i="3" a="1"/>
  <c r="H333" i="3" a="1"/>
  <c r="H365" i="3" a="1"/>
  <c r="H86" i="3" a="1"/>
  <c r="H384" i="3" a="1"/>
  <c r="H416" i="3" a="1"/>
  <c r="H371" i="3" a="1"/>
  <c r="H461" i="3" a="1"/>
  <c r="H380" i="3" a="1"/>
  <c r="H465" i="3" a="1"/>
  <c r="H399" i="3" a="1"/>
  <c r="H475" i="3" a="1"/>
  <c r="H423" i="3" a="1"/>
  <c r="H489" i="3" a="1"/>
  <c r="H101" i="3" a="1"/>
  <c r="H258" i="3" a="1"/>
  <c r="H61" i="3" a="1"/>
  <c r="H134" i="3" a="1"/>
  <c r="H196" i="3" a="1"/>
  <c r="H230" i="3" a="1"/>
  <c r="H266" i="3" a="1"/>
  <c r="H298" i="3" a="1"/>
  <c r="H329" i="3" a="1"/>
  <c r="H362" i="3" a="1"/>
  <c r="H64" i="3" a="1"/>
  <c r="H140" i="3" a="1"/>
  <c r="H16" i="3" a="1"/>
  <c r="H93" i="3" a="1"/>
  <c r="H161" i="3" a="1"/>
  <c r="H209" i="3" a="1"/>
  <c r="H244" i="3" a="1"/>
  <c r="H279" i="3" a="1"/>
  <c r="H311" i="3" a="1"/>
  <c r="H343" i="3" a="1"/>
  <c r="H77" i="3" a="1"/>
  <c r="H171" i="3" a="1"/>
  <c r="H394" i="3" a="1"/>
  <c r="H52" i="3" a="1"/>
  <c r="H411" i="3" a="1"/>
  <c r="H477" i="3" a="1"/>
  <c r="H422" i="3" a="1"/>
  <c r="H485" i="3" a="1"/>
  <c r="H430" i="3" a="1"/>
  <c r="H496" i="3" a="1"/>
  <c r="H444" i="3" a="1"/>
  <c r="H85" i="3" a="1"/>
  <c r="H257" i="3" a="1"/>
  <c r="H125" i="3" a="1"/>
  <c r="H223" i="3" a="1"/>
  <c r="H293" i="3" a="1"/>
  <c r="H358" i="3" a="1"/>
  <c r="H130" i="3" a="1"/>
  <c r="H80" i="3" a="1"/>
  <c r="H205" i="3" a="1"/>
  <c r="H275" i="3" a="1"/>
  <c r="H339" i="3" a="1"/>
  <c r="H138" i="3" a="1"/>
  <c r="H13" i="3" a="1"/>
  <c r="H473" i="3" a="1"/>
  <c r="H460" i="3" a="1"/>
  <c r="H488" i="3" a="1"/>
  <c r="H256" i="3" a="1"/>
  <c r="H221" i="3" a="1"/>
  <c r="H92" i="3" a="1"/>
  <c r="H289" i="3" a="1"/>
  <c r="H500" i="3" a="1"/>
  <c r="H177" i="3" a="1"/>
  <c r="H104" i="3" a="1"/>
  <c r="H213" i="3" a="1"/>
  <c r="H284" i="3" a="1"/>
  <c r="H348" i="3" a="1"/>
  <c r="H110" i="3" a="1"/>
  <c r="H59" i="3" a="1"/>
  <c r="H195" i="3" a="1"/>
  <c r="H265" i="3" a="1"/>
  <c r="H328" i="3" a="1"/>
  <c r="H48" i="3" a="1"/>
  <c r="H407" i="3" a="1"/>
  <c r="H453" i="3" a="1"/>
  <c r="H458" i="3" a="1"/>
  <c r="H466" i="3" a="1"/>
  <c r="H481" i="3" a="1"/>
  <c r="H260" i="3" a="1"/>
  <c r="H43" i="3" a="1"/>
  <c r="H302" i="3" a="1"/>
  <c r="H436" i="3" a="1"/>
  <c r="H431" i="3" a="1"/>
  <c r="H109" i="3" a="1"/>
  <c r="H229" i="3" a="1"/>
  <c r="H286" i="3" a="1"/>
  <c r="H350" i="3" a="1"/>
  <c r="H114" i="3" a="1"/>
  <c r="H53" i="3" a="1"/>
  <c r="H197" i="3" a="1"/>
  <c r="H267" i="3" a="1"/>
  <c r="H330" i="3" a="1"/>
  <c r="H65" i="3" a="1"/>
  <c r="H414" i="3" a="1"/>
  <c r="H457" i="3" a="1"/>
  <c r="H462" i="3" a="1"/>
  <c r="H471" i="3" a="1"/>
  <c r="H486" i="3" a="1"/>
  <c r="H206" i="3" a="1"/>
  <c r="H55" i="3" a="1"/>
  <c r="H238" i="3" a="1"/>
  <c r="H166" i="3" a="1"/>
  <c r="H468" i="3" a="1"/>
  <c r="H464" i="3" a="1"/>
  <c r="H131" i="3" a="1"/>
  <c r="H57" i="3" a="1"/>
  <c r="H18" i="3" a="1"/>
  <c r="H142" i="3" a="1"/>
  <c r="H210" i="3" a="1"/>
  <c r="H264" i="3" a="1"/>
  <c r="H304" i="3" a="1"/>
  <c r="H344" i="3" a="1"/>
  <c r="H62" i="3" a="1"/>
  <c r="H152" i="3" a="1"/>
  <c r="H51" i="3" a="1"/>
  <c r="H160" i="3" a="1"/>
  <c r="H214" i="3" a="1"/>
  <c r="H261" i="3" a="1"/>
  <c r="H309" i="3" a="1"/>
  <c r="H349" i="3" a="1"/>
  <c r="H9" i="3" a="1"/>
  <c r="H392" i="3" a="1"/>
  <c r="H108" i="3" a="1"/>
  <c r="H442" i="3" a="1"/>
  <c r="H413" i="3" a="1"/>
  <c r="H498" i="3" a="1"/>
  <c r="H459" i="3" a="1"/>
  <c r="H439" i="3" a="1"/>
  <c r="H82" i="3" a="1"/>
  <c r="H78" i="3" a="1"/>
  <c r="H167" i="3" a="1"/>
  <c r="H219" i="3" a="1"/>
  <c r="H274" i="3" a="1"/>
  <c r="H314" i="3" a="1"/>
  <c r="H354" i="3" a="1"/>
  <c r="H75" i="3" a="1"/>
  <c r="H173" i="3" a="1"/>
  <c r="H72" i="3" a="1"/>
  <c r="H169" i="3" a="1"/>
  <c r="H224" i="3" a="1"/>
  <c r="H269" i="3" a="1"/>
  <c r="H319" i="3" a="1"/>
  <c r="H359" i="3" a="1"/>
  <c r="H103" i="3" a="1"/>
  <c r="H402" i="3" a="1"/>
  <c r="H17" i="3" a="1"/>
  <c r="H469" i="3" a="1"/>
  <c r="H437" i="3" a="1"/>
  <c r="H381" i="3" a="1"/>
  <c r="H480" i="3" a="1"/>
  <c r="H446" i="3" a="1"/>
  <c r="H25" i="3" a="1"/>
  <c r="H91" i="3" a="1"/>
  <c r="H243" i="3" a="1"/>
  <c r="H324" i="3" a="1"/>
  <c r="H96" i="3" a="1"/>
  <c r="H119" i="3" a="1"/>
  <c r="H240" i="3" a="1"/>
  <c r="H323" i="3" a="1"/>
  <c r="H374" i="3" a="1"/>
  <c r="H395" i="3" a="1"/>
  <c r="H445" i="3" a="1"/>
  <c r="H388" i="3" a="1"/>
  <c r="H87" i="3" a="1"/>
  <c r="H335" i="3" a="1"/>
  <c r="H27" i="3" a="1"/>
  <c r="H483" i="3" a="1"/>
  <c r="H66" i="3" a="1"/>
  <c r="H233" i="3" a="1"/>
  <c r="H316" i="3" a="1"/>
  <c r="H71" i="3" a="1"/>
  <c r="H97" i="3" a="1"/>
  <c r="H226" i="3" a="1"/>
  <c r="H313" i="3" a="1"/>
  <c r="H188" i="3" a="1"/>
  <c r="H94" i="3" a="1"/>
  <c r="H412" i="3" a="1"/>
  <c r="H499" i="3" a="1"/>
  <c r="H168" i="3" a="1"/>
  <c r="H127" i="3" a="1"/>
  <c r="H353" i="3" a="1"/>
  <c r="H474" i="3" a="1"/>
  <c r="H70" i="3" a="1"/>
  <c r="H194" i="3" a="1"/>
  <c r="H318" i="3" a="1"/>
  <c r="H69" i="3" a="1"/>
  <c r="H102" i="3" a="1"/>
  <c r="H231" i="3" a="1"/>
  <c r="H315" i="3" a="1"/>
  <c r="H366" i="3" a="1"/>
  <c r="H162" i="3" a="1"/>
  <c r="H429" i="3" a="1"/>
  <c r="H73" i="3" a="1"/>
  <c r="H49" i="3" a="1"/>
  <c r="H340" i="3" a="1"/>
  <c r="H272" i="3" a="1"/>
  <c r="H404" i="3" a="1"/>
  <c r="H376" i="3" a="1"/>
  <c r="H74" i="3" a="1"/>
  <c r="H163" i="3" a="1"/>
  <c r="H225" i="3" a="1"/>
  <c r="H273" i="3" a="1"/>
  <c r="H312" i="3" a="1"/>
  <c r="H360" i="3" a="1"/>
  <c r="H79" i="3" a="1"/>
  <c r="H147" i="3" a="1"/>
  <c r="H89" i="3" a="1"/>
  <c r="H174" i="3" a="1"/>
  <c r="H222" i="3" a="1"/>
  <c r="H277" i="3" a="1"/>
  <c r="H317" i="3" a="1"/>
  <c r="H357" i="3" a="1"/>
  <c r="H154" i="3" a="1"/>
  <c r="H373" i="3" a="1"/>
  <c r="H175" i="3" a="1"/>
  <c r="H476" i="3" a="1"/>
  <c r="H433" i="3" a="1"/>
  <c r="H367" i="3" a="1"/>
  <c r="H491" i="3" a="1"/>
  <c r="H456" i="3" a="1"/>
  <c r="H232" i="3" a="1"/>
  <c r="H6" i="3" a="1"/>
  <c r="H99" i="3" a="1"/>
  <c r="H185" i="3" a="1"/>
  <c r="H239" i="3" a="1"/>
  <c r="H282" i="3" a="1"/>
  <c r="H305" i="3" a="1"/>
  <c r="H11" i="3" a="1"/>
  <c r="H95" i="3" a="1"/>
  <c r="H189" i="3" a="1"/>
  <c r="H111" i="3" a="1"/>
  <c r="H191" i="3" a="1"/>
  <c r="H2" i="3" a="1"/>
  <c r="H202" i="3" a="1"/>
  <c r="H294" i="3" a="1"/>
  <c r="H29" i="3" a="1"/>
  <c r="H34" i="3" a="1"/>
  <c r="H207" i="3" a="1"/>
  <c r="H292" i="3" a="1"/>
  <c r="H136" i="3" a="1"/>
  <c r="H38" i="3" a="1"/>
  <c r="H39" i="3" a="1"/>
  <c r="H428" i="3" a="1"/>
  <c r="H26" i="3" a="1"/>
  <c r="H45" i="3" a="1"/>
  <c r="H212" i="3" a="1"/>
  <c r="H306" i="3" a="1"/>
  <c r="H50" i="3" a="1"/>
  <c r="H56" i="3" a="1"/>
  <c r="H216" i="3" a="1"/>
  <c r="H287" i="3" a="1"/>
  <c r="H331" i="3" a="1"/>
  <c r="H31" i="3" a="1"/>
  <c r="H410" i="3" a="1"/>
  <c r="H432" i="3" a="1"/>
  <c r="H389" i="3" a="1"/>
  <c r="H400" i="3" a="1"/>
  <c r="H401" i="3" a="1"/>
  <c r="H42" i="3" a="1"/>
  <c r="H158" i="3" a="1"/>
  <c r="H278" i="3" a="1"/>
  <c r="H58" i="3" a="1"/>
  <c r="H153" i="3" a="1"/>
  <c r="H291" i="3" a="1"/>
  <c r="H184" i="3" a="1"/>
  <c r="H440" i="3" a="1"/>
  <c r="H421" i="3" a="1"/>
  <c r="H227" i="3" a="1"/>
  <c r="H4" i="3" a="1"/>
  <c r="H105" i="3" a="1"/>
  <c r="H32" i="3" a="1"/>
  <c r="H249" i="3" a="1"/>
  <c r="H361" i="3" a="1"/>
  <c r="H20" i="3" a="1"/>
  <c r="H246" i="3" a="1"/>
  <c r="H356" i="3" a="1"/>
  <c r="H67" i="3" a="1"/>
  <c r="H490" i="3" a="1"/>
  <c r="H448" i="3" a="1"/>
  <c r="H15" i="3" a="1"/>
  <c r="H120" i="3" a="1"/>
  <c r="H106" i="3" a="1"/>
  <c r="H199" i="3" a="1"/>
  <c r="H334" i="3" a="1"/>
  <c r="H182" i="3" a="1"/>
  <c r="H228" i="3" a="1"/>
  <c r="H347" i="3" a="1"/>
  <c r="H398" i="3" a="1"/>
  <c r="H364" i="3" a="1"/>
  <c r="H417" i="3" a="1"/>
  <c r="H241" i="3" a="1"/>
  <c r="H183" i="3" a="1"/>
  <c r="H386" i="3" a="1"/>
  <c r="H63" i="3" a="1"/>
  <c r="H139" i="3" a="1"/>
  <c r="H268" i="3" a="1"/>
  <c r="H36" i="3" a="1"/>
  <c r="H132" i="3" a="1"/>
  <c r="H281" i="3" a="1"/>
  <c r="H98" i="3" a="1"/>
  <c r="H419" i="3" a="1"/>
  <c r="H383" i="3" a="1"/>
  <c r="H215" i="3" a="1"/>
  <c r="H148" i="3" a="1"/>
  <c r="H420" i="3" a="1"/>
  <c r="H35" i="3" a="1"/>
  <c r="H251" i="3" a="1"/>
  <c r="H3" i="3" a="1"/>
  <c r="H30" i="3" a="1"/>
  <c r="H248" i="3" a="1"/>
  <c r="H363" i="3" a="1"/>
  <c r="H493" i="3" a="1"/>
  <c r="H452" i="3" a="1"/>
  <c r="H271" i="3" a="1"/>
  <c r="H321" i="3" a="1"/>
  <c r="H441" i="3" a="1"/>
  <c r="H245" i="3" a="1"/>
  <c r="H336" i="3" a="1"/>
  <c r="H135" i="3" a="1"/>
  <c r="H123" i="3" a="1"/>
  <c r="H250" i="3" a="1"/>
  <c r="H375" i="3" a="1"/>
  <c r="H425" i="3" a="1"/>
  <c r="H393" i="3" a="1"/>
  <c r="H151" i="3" a="1"/>
  <c r="H346" i="3" a="1"/>
  <c r="H145" i="3" a="1"/>
  <c r="H303" i="3" a="1"/>
  <c r="H377" i="3" a="1"/>
  <c r="H495" i="3" a="1"/>
  <c r="H463" i="3" a="1"/>
  <c r="H14" i="3" a="1"/>
  <c r="H342" i="3" a="1"/>
  <c r="H220" i="3" a="1"/>
  <c r="H406" i="3" a="1"/>
  <c r="H435" i="3" a="1"/>
  <c r="H203" i="3" a="1"/>
  <c r="H172" i="3" a="1"/>
  <c r="H144" i="3" a="1"/>
  <c r="H297" i="3" a="1"/>
  <c r="H484" i="3" a="1"/>
  <c r="H186" i="3" a="1"/>
  <c r="H397" i="3" a="1"/>
  <c r="H270" i="3" a="1"/>
  <c r="H137" i="3" a="1"/>
  <c r="H116" i="3" a="1"/>
  <c r="H391" i="3" a="1"/>
  <c r="H159" i="3" a="1"/>
  <c r="H415" i="3" a="1"/>
  <c r="H24" i="3" a="1"/>
  <c r="H7" i="3" a="1"/>
  <c r="H190" i="3" a="1"/>
  <c r="H60" i="3" a="1"/>
  <c r="H492" i="3" a="1"/>
  <c r="H472" i="3" a="1"/>
  <c r="H204" i="3" a="1"/>
  <c r="H33" i="3" a="1"/>
  <c r="H200" i="3" a="1"/>
  <c r="H326" i="3" a="1"/>
  <c r="H385" i="3" a="1"/>
  <c r="H112" i="3" a="1"/>
  <c r="H369" i="3" a="1"/>
  <c r="H54" i="3" a="1"/>
  <c r="H19" i="3" a="1"/>
  <c r="H259" i="3" a="1"/>
  <c r="H157" i="3" a="1"/>
  <c r="H467" i="3" a="1"/>
  <c r="H387" i="3" a="1"/>
  <c r="H198" i="3" a="1"/>
  <c r="H178" i="3" a="1"/>
  <c r="H345" i="3" a="1"/>
  <c r="H180" i="3" a="1"/>
  <c r="H322" i="3" a="1"/>
  <c r="H451" i="3" a="1"/>
  <c r="H296" i="3" a="1"/>
  <c r="H170" i="3" a="1"/>
  <c r="H382" i="3" a="1"/>
  <c r="H438" i="3" a="1"/>
  <c r="H76" i="3" a="1"/>
  <c r="H88" i="3" a="1"/>
  <c r="H237" i="3" a="1"/>
  <c r="H327" i="3" a="1"/>
  <c r="H100" i="3" a="1"/>
  <c r="H107" i="3" a="1"/>
  <c r="H242" i="3" a="1"/>
  <c r="H325" i="3" a="1"/>
  <c r="H368" i="3" a="1"/>
  <c r="H403" i="3" a="1"/>
  <c r="H450" i="3" a="1"/>
  <c r="H146" i="3" a="1"/>
  <c r="H10" i="3" a="1"/>
  <c r="H117" i="3" a="1"/>
  <c r="H247" i="3" a="1"/>
  <c r="H338" i="3" a="1"/>
  <c r="H122" i="3" a="1"/>
  <c r="H128" i="3" a="1"/>
  <c r="H236" i="3" a="1"/>
  <c r="H295" i="3" a="1"/>
  <c r="H351" i="3" a="1"/>
  <c r="H370" i="3" a="1"/>
  <c r="H418" i="3" a="1"/>
  <c r="H449" i="3" a="1"/>
  <c r="H454" i="3" a="1"/>
  <c r="H447" i="3" a="1"/>
  <c r="H427" i="3" a="1"/>
  <c r="H443" i="3" a="1"/>
  <c r="H192" i="3" a="1"/>
  <c r="H310" i="3" a="1"/>
  <c r="H164" i="3" a="1"/>
  <c r="H187" i="3" a="1"/>
  <c r="H307" i="3" a="1"/>
  <c r="H390" i="3" a="1"/>
  <c r="H126" i="3" a="1"/>
  <c r="H455" i="3" a="1"/>
  <c r="H155" i="3" a="1"/>
  <c r="H115" i="3" a="1"/>
  <c r="H90" i="3" a="1"/>
  <c r="H129" i="3" a="1"/>
  <c r="H341" i="3" a="1"/>
  <c r="H482" i="3" a="1"/>
  <c r="H84" i="3" a="1"/>
  <c r="H255" i="3" a="1"/>
  <c r="H156" i="3" a="1"/>
  <c r="H252" i="3" a="1"/>
  <c r="H5" i="3" a="1"/>
  <c r="H124" i="3" a="1"/>
  <c r="H470" i="3" a="1"/>
  <c r="H478" i="3" a="1"/>
  <c r="H208" i="3" a="1"/>
  <c r="H8" i="3" a="1"/>
  <c r="H355" i="3" a="1"/>
  <c r="H405" i="3" a="1"/>
  <c r="H276" i="3" a="1"/>
  <c r="H497" i="3" a="1"/>
  <c r="H300" i="3" a="1"/>
  <c r="H165" i="3" a="1"/>
  <c r="H379" i="3" a="1"/>
  <c r="H434" i="3" a="1"/>
  <c r="H218" i="3" a="1"/>
  <c r="H143" i="3" a="1"/>
  <c r="H41" i="3" a="1"/>
  <c r="H283" i="3" a="1"/>
  <c r="H424" i="3" a="1"/>
  <c r="H21" i="3" a="1"/>
  <c r="H337" i="3" a="1"/>
  <c r="H193" i="3" a="1"/>
  <c r="H280" i="3" a="1"/>
  <c r="H12" i="3" a="1"/>
  <c r="H285" i="3" a="1"/>
  <c r="H408" i="3" a="1"/>
  <c r="H426" i="3" a="1"/>
  <c r="H28" i="3" a="1"/>
  <c r="H290" i="3" a="1"/>
  <c r="H37" i="3" a="1"/>
  <c r="H263" i="3" a="1"/>
  <c r="H150" i="3" a="1"/>
  <c r="H378" i="3" a="1"/>
  <c r="H479" i="3" a="1"/>
  <c r="H494" i="3" a="1"/>
  <c r="H262" i="3" a="1"/>
  <c r="H47" i="3" a="1"/>
  <c r="H44" i="3" a="1"/>
  <c r="H133" i="3" a="1"/>
  <c r="H308" i="3" a="1"/>
  <c r="H83" i="3" a="1"/>
  <c r="H332" i="3" a="1"/>
  <c r="H211" i="3" a="1"/>
  <c r="H396" i="3" a="1"/>
  <c r="H409" i="3" a="1"/>
  <c r="H254" i="3" a="1"/>
  <c r="H176" i="3" a="1"/>
  <c r="H149" i="3" a="1"/>
  <c r="H299" i="3" a="1"/>
  <c r="H487" i="3" a="1"/>
  <c r="H121" i="3" a="1"/>
  <c r="H372" i="3" a="1"/>
  <c r="G55" i="13" l="1"/>
  <c r="E500" i="12"/>
  <c r="E499" i="12"/>
  <c r="E498" i="12"/>
  <c r="E497" i="12"/>
  <c r="E494" i="12"/>
  <c r="E491" i="12"/>
  <c r="E495" i="12"/>
  <c r="E493" i="12"/>
  <c r="E492" i="12"/>
  <c r="E496" i="12"/>
  <c r="B63" i="13"/>
  <c r="B31" i="13"/>
  <c r="G13" i="13"/>
  <c r="B20" i="13"/>
  <c r="B45" i="13"/>
  <c r="B32" i="13"/>
  <c r="B24" i="13"/>
  <c r="B49" i="13"/>
  <c r="G34" i="13"/>
  <c r="G3" i="13"/>
  <c r="G57" i="13"/>
  <c r="G65" i="13"/>
  <c r="C65" i="14" s="1"/>
  <c r="B5" i="13"/>
  <c r="B12" i="13"/>
  <c r="B37" i="13"/>
  <c r="G46" i="13"/>
  <c r="G21" i="13"/>
  <c r="G28" i="13"/>
  <c r="G51" i="13"/>
  <c r="G59" i="13"/>
  <c r="G64" i="13"/>
  <c r="C64" i="14" s="1"/>
  <c r="B25" i="13"/>
  <c r="B16" i="13"/>
  <c r="B41" i="13"/>
  <c r="G42" i="13"/>
  <c r="G17" i="13"/>
  <c r="G5" i="13"/>
  <c r="G53" i="13"/>
  <c r="G61" i="13"/>
  <c r="H23" i="3"/>
  <c r="B65" i="13"/>
  <c r="B65" i="14" s="1"/>
  <c r="B61" i="13"/>
  <c r="G63" i="13"/>
  <c r="B64" i="13"/>
  <c r="B64" i="14" s="1"/>
  <c r="E490" i="12"/>
  <c r="H65" i="13"/>
  <c r="H64" i="13"/>
  <c r="B6" i="13"/>
  <c r="B3" i="13"/>
  <c r="B17" i="13"/>
  <c r="B34" i="13"/>
  <c r="B42" i="13"/>
  <c r="G49" i="13"/>
  <c r="G41" i="13"/>
  <c r="G24" i="13"/>
  <c r="G16" i="13"/>
  <c r="C17" i="14" s="1"/>
  <c r="G32" i="13"/>
  <c r="G31" i="13"/>
  <c r="B51" i="13"/>
  <c r="B55" i="13"/>
  <c r="B59" i="13"/>
  <c r="B33" i="13"/>
  <c r="B11" i="13"/>
  <c r="B9" i="13"/>
  <c r="B29" i="13"/>
  <c r="B7" i="13"/>
  <c r="B14" i="13"/>
  <c r="B18" i="13"/>
  <c r="B22" i="13"/>
  <c r="B35" i="13"/>
  <c r="B39" i="13"/>
  <c r="B43" i="13"/>
  <c r="B47" i="13"/>
  <c r="G48" i="13"/>
  <c r="G44" i="13"/>
  <c r="G40" i="13"/>
  <c r="G36" i="13"/>
  <c r="G23" i="13"/>
  <c r="G19" i="13"/>
  <c r="G15" i="13"/>
  <c r="C16" i="14" s="1"/>
  <c r="G8" i="13"/>
  <c r="G30" i="13"/>
  <c r="C31" i="14" s="1"/>
  <c r="G11" i="13"/>
  <c r="G33" i="13"/>
  <c r="G50" i="13"/>
  <c r="C51" i="14" s="1"/>
  <c r="G52" i="13"/>
  <c r="C53" i="14" s="1"/>
  <c r="G54" i="13"/>
  <c r="C55" i="14" s="1"/>
  <c r="G56" i="13"/>
  <c r="C57" i="14" s="1"/>
  <c r="G58" i="13"/>
  <c r="G60" i="13"/>
  <c r="G62" i="13"/>
  <c r="C63" i="14" s="1"/>
  <c r="B2" i="13"/>
  <c r="B3" i="14" s="1"/>
  <c r="B26" i="13"/>
  <c r="B28" i="13"/>
  <c r="B13" i="13"/>
  <c r="B14" i="14" s="1"/>
  <c r="B21" i="13"/>
  <c r="B22" i="14" s="1"/>
  <c r="B38" i="13"/>
  <c r="B46" i="13"/>
  <c r="G45" i="13"/>
  <c r="G37" i="13"/>
  <c r="C38" i="14" s="1"/>
  <c r="G20" i="13"/>
  <c r="G12" i="13"/>
  <c r="C13" i="14" s="1"/>
  <c r="G4" i="13"/>
  <c r="C5" i="14" s="1"/>
  <c r="B53" i="13"/>
  <c r="B57" i="13"/>
  <c r="B4" i="13"/>
  <c r="B27" i="13"/>
  <c r="B10" i="13"/>
  <c r="B30" i="13"/>
  <c r="B31" i="14" s="1"/>
  <c r="B8" i="13"/>
  <c r="B15" i="13"/>
  <c r="B16" i="14" s="1"/>
  <c r="B19" i="13"/>
  <c r="B23" i="13"/>
  <c r="B24" i="14" s="1"/>
  <c r="B36" i="13"/>
  <c r="B37" i="14" s="1"/>
  <c r="B40" i="13"/>
  <c r="B44" i="13"/>
  <c r="B48" i="13"/>
  <c r="G47" i="13"/>
  <c r="C48" i="14" s="1"/>
  <c r="G43" i="13"/>
  <c r="C44" i="14" s="1"/>
  <c r="G39" i="13"/>
  <c r="C40" i="14" s="1"/>
  <c r="G35" i="13"/>
  <c r="C36" i="14" s="1"/>
  <c r="G22" i="13"/>
  <c r="C23" i="14" s="1"/>
  <c r="G18" i="13"/>
  <c r="C19" i="14" s="1"/>
  <c r="G14" i="13"/>
  <c r="C15" i="14" s="1"/>
  <c r="G7" i="13"/>
  <c r="C8" i="14" s="1"/>
  <c r="G29" i="13"/>
  <c r="C30" i="14" s="1"/>
  <c r="G6" i="13"/>
  <c r="G2" i="13"/>
  <c r="B50" i="13"/>
  <c r="B52" i="13"/>
  <c r="B54" i="13"/>
  <c r="B56" i="13"/>
  <c r="B58" i="13"/>
  <c r="B59" i="14" s="1"/>
  <c r="B60" i="13"/>
  <c r="B61" i="14" s="1"/>
  <c r="B62" i="13"/>
  <c r="B63" i="14" s="1"/>
  <c r="H141" i="3"/>
  <c r="H24" i="3"/>
  <c r="H63" i="13"/>
  <c r="H232" i="3"/>
  <c r="H227" i="3"/>
  <c r="H177" i="3"/>
  <c r="H42" i="3"/>
  <c r="H21" i="3"/>
  <c r="H215" i="3"/>
  <c r="H85" i="3"/>
  <c r="H26" i="3"/>
  <c r="H25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H83" i="3"/>
  <c r="H101" i="3"/>
  <c r="H84" i="3"/>
  <c r="H82" i="3"/>
  <c r="H81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H106" i="3"/>
  <c r="H443" i="3"/>
  <c r="H168" i="3"/>
  <c r="H257" i="3"/>
  <c r="H258" i="3"/>
  <c r="H131" i="3"/>
  <c r="H256" i="3"/>
  <c r="H497" i="3"/>
  <c r="H494" i="3"/>
  <c r="H489" i="3"/>
  <c r="H486" i="3"/>
  <c r="H481" i="3"/>
  <c r="H478" i="3"/>
  <c r="H472" i="3"/>
  <c r="H467" i="3"/>
  <c r="H464" i="3"/>
  <c r="H446" i="3"/>
  <c r="H456" i="3"/>
  <c r="H452" i="3"/>
  <c r="H448" i="3"/>
  <c r="H444" i="3"/>
  <c r="H439" i="3"/>
  <c r="H435" i="3"/>
  <c r="H431" i="3"/>
  <c r="H427" i="3"/>
  <c r="H423" i="3"/>
  <c r="H417" i="3"/>
  <c r="H409" i="3"/>
  <c r="H401" i="3"/>
  <c r="H393" i="3"/>
  <c r="H388" i="3"/>
  <c r="H376" i="3"/>
  <c r="H369" i="3"/>
  <c r="H146" i="3"/>
  <c r="H73" i="3"/>
  <c r="H499" i="3"/>
  <c r="H496" i="3"/>
  <c r="H491" i="3"/>
  <c r="H488" i="3"/>
  <c r="H483" i="3"/>
  <c r="H480" i="3"/>
  <c r="H475" i="3"/>
  <c r="H471" i="3"/>
  <c r="H466" i="3"/>
  <c r="H463" i="3"/>
  <c r="H459" i="3"/>
  <c r="H455" i="3"/>
  <c r="H451" i="3"/>
  <c r="H447" i="3"/>
  <c r="H428" i="3"/>
  <c r="H438" i="3"/>
  <c r="H434" i="3"/>
  <c r="H430" i="3"/>
  <c r="H426" i="3"/>
  <c r="H421" i="3"/>
  <c r="H415" i="3"/>
  <c r="H400" i="3"/>
  <c r="H399" i="3"/>
  <c r="H391" i="3"/>
  <c r="H383" i="3"/>
  <c r="H381" i="3"/>
  <c r="H367" i="3"/>
  <c r="H133" i="3"/>
  <c r="H63" i="3"/>
  <c r="H479" i="3"/>
  <c r="H498" i="3"/>
  <c r="H493" i="3"/>
  <c r="H490" i="3"/>
  <c r="H485" i="3"/>
  <c r="H482" i="3"/>
  <c r="H460" i="3"/>
  <c r="H474" i="3"/>
  <c r="H470" i="3"/>
  <c r="H465" i="3"/>
  <c r="H462" i="3"/>
  <c r="H458" i="3"/>
  <c r="H454" i="3"/>
  <c r="H450" i="3"/>
  <c r="H445" i="3"/>
  <c r="H441" i="3"/>
  <c r="H437" i="3"/>
  <c r="H433" i="3"/>
  <c r="H429" i="3"/>
  <c r="H412" i="3"/>
  <c r="H422" i="3"/>
  <c r="H413" i="3"/>
  <c r="H405" i="3"/>
  <c r="H397" i="3"/>
  <c r="H389" i="3"/>
  <c r="H380" i="3"/>
  <c r="H364" i="3"/>
  <c r="H180" i="3"/>
  <c r="H112" i="3"/>
  <c r="H39" i="3"/>
  <c r="H126" i="3"/>
  <c r="H500" i="3"/>
  <c r="H495" i="3"/>
  <c r="H492" i="3"/>
  <c r="H487" i="3"/>
  <c r="H484" i="3"/>
  <c r="H477" i="3"/>
  <c r="H476" i="3"/>
  <c r="H473" i="3"/>
  <c r="H468" i="3"/>
  <c r="H469" i="3"/>
  <c r="H461" i="3"/>
  <c r="H457" i="3"/>
  <c r="H453" i="3"/>
  <c r="H449" i="3"/>
  <c r="H442" i="3"/>
  <c r="H440" i="3"/>
  <c r="H436" i="3"/>
  <c r="H432" i="3"/>
  <c r="H425" i="3"/>
  <c r="H424" i="3"/>
  <c r="H419" i="3"/>
  <c r="H411" i="3"/>
  <c r="H403" i="3"/>
  <c r="H395" i="3"/>
  <c r="H386" i="3"/>
  <c r="H378" i="3"/>
  <c r="H371" i="3"/>
  <c r="H162" i="3"/>
  <c r="H94" i="3"/>
  <c r="H17" i="3"/>
  <c r="H175" i="3"/>
  <c r="H157" i="3"/>
  <c r="H105" i="3"/>
  <c r="H124" i="3"/>
  <c r="H108" i="3"/>
  <c r="H90" i="3"/>
  <c r="H67" i="3"/>
  <c r="H52" i="3"/>
  <c r="H38" i="3"/>
  <c r="H13" i="3"/>
  <c r="H420" i="3"/>
  <c r="H418" i="3"/>
  <c r="H416" i="3"/>
  <c r="H414" i="3"/>
  <c r="H407" i="3"/>
  <c r="H410" i="3"/>
  <c r="H408" i="3"/>
  <c r="H406" i="3"/>
  <c r="H404" i="3"/>
  <c r="H402" i="3"/>
  <c r="H373" i="3"/>
  <c r="H398" i="3"/>
  <c r="H396" i="3"/>
  <c r="H394" i="3"/>
  <c r="H392" i="3"/>
  <c r="H390" i="3"/>
  <c r="H387" i="3"/>
  <c r="H385" i="3"/>
  <c r="H384" i="3"/>
  <c r="H382" i="3"/>
  <c r="H379" i="3"/>
  <c r="H377" i="3"/>
  <c r="H375" i="3"/>
  <c r="H374" i="3"/>
  <c r="H372" i="3"/>
  <c r="H370" i="3"/>
  <c r="H368" i="3"/>
  <c r="H366" i="3"/>
  <c r="H188" i="3"/>
  <c r="H171" i="3"/>
  <c r="H154" i="3"/>
  <c r="H138" i="3"/>
  <c r="H120" i="3"/>
  <c r="H103" i="3"/>
  <c r="H86" i="3"/>
  <c r="H65" i="3"/>
  <c r="H48" i="3"/>
  <c r="H31" i="3"/>
  <c r="H9" i="3"/>
  <c r="H184" i="3"/>
  <c r="H166" i="3"/>
  <c r="H150" i="3"/>
  <c r="H136" i="3"/>
  <c r="H116" i="3"/>
  <c r="H98" i="3"/>
  <c r="H77" i="3"/>
  <c r="H60" i="3"/>
  <c r="H44" i="3"/>
  <c r="H27" i="3"/>
  <c r="H5" i="3"/>
  <c r="H365" i="3"/>
  <c r="H363" i="3"/>
  <c r="H356" i="3"/>
  <c r="H359" i="3"/>
  <c r="H357" i="3"/>
  <c r="H355" i="3"/>
  <c r="H353" i="3"/>
  <c r="H351" i="3"/>
  <c r="H349" i="3"/>
  <c r="H347" i="3"/>
  <c r="H345" i="3"/>
  <c r="H343" i="3"/>
  <c r="H341" i="3"/>
  <c r="H339" i="3"/>
  <c r="H337" i="3"/>
  <c r="H331" i="3"/>
  <c r="H333" i="3"/>
  <c r="H330" i="3"/>
  <c r="H328" i="3"/>
  <c r="H326" i="3"/>
  <c r="H325" i="3"/>
  <c r="H323" i="3"/>
  <c r="H321" i="3"/>
  <c r="H319" i="3"/>
  <c r="H317" i="3"/>
  <c r="H315" i="3"/>
  <c r="H313" i="3"/>
  <c r="H311" i="3"/>
  <c r="H309" i="3"/>
  <c r="H307" i="3"/>
  <c r="H302" i="3"/>
  <c r="H303" i="3"/>
  <c r="H301" i="3"/>
  <c r="H299" i="3"/>
  <c r="H297" i="3"/>
  <c r="H295" i="3"/>
  <c r="H292" i="3"/>
  <c r="H291" i="3"/>
  <c r="H289" i="3"/>
  <c r="H287" i="3"/>
  <c r="H285" i="3"/>
  <c r="H283" i="3"/>
  <c r="H281" i="3"/>
  <c r="H279" i="3"/>
  <c r="H277" i="3"/>
  <c r="H275" i="3"/>
  <c r="H272" i="3"/>
  <c r="H269" i="3"/>
  <c r="H253" i="3"/>
  <c r="H267" i="3"/>
  <c r="H265" i="3"/>
  <c r="H263" i="3"/>
  <c r="H261" i="3"/>
  <c r="H259" i="3"/>
  <c r="H254" i="3"/>
  <c r="H252" i="3"/>
  <c r="H250" i="3"/>
  <c r="H248" i="3"/>
  <c r="H246" i="3"/>
  <c r="H244" i="3"/>
  <c r="H242" i="3"/>
  <c r="H240" i="3"/>
  <c r="H238" i="3"/>
  <c r="H236" i="3"/>
  <c r="H234" i="3"/>
  <c r="H231" i="3"/>
  <c r="H226" i="3"/>
  <c r="H224" i="3"/>
  <c r="H222" i="3"/>
  <c r="H220" i="3"/>
  <c r="H218" i="3"/>
  <c r="H216" i="3"/>
  <c r="H214" i="3"/>
  <c r="H228" i="3"/>
  <c r="H211" i="3"/>
  <c r="H209" i="3"/>
  <c r="H207" i="3"/>
  <c r="H205" i="3"/>
  <c r="H203" i="3"/>
  <c r="H200" i="3"/>
  <c r="H201" i="3"/>
  <c r="H197" i="3"/>
  <c r="H195" i="3"/>
  <c r="H191" i="3"/>
  <c r="H190" i="3"/>
  <c r="H187" i="3"/>
  <c r="H183" i="3"/>
  <c r="H169" i="3"/>
  <c r="H174" i="3"/>
  <c r="H170" i="3"/>
  <c r="H165" i="3"/>
  <c r="H161" i="3"/>
  <c r="H160" i="3"/>
  <c r="H153" i="3"/>
  <c r="H148" i="3"/>
  <c r="H145" i="3"/>
  <c r="H22" i="3"/>
  <c r="H137" i="3"/>
  <c r="H132" i="3"/>
  <c r="H128" i="3"/>
  <c r="H123" i="3"/>
  <c r="H119" i="3"/>
  <c r="H115" i="3"/>
  <c r="H111" i="3"/>
  <c r="H107" i="3"/>
  <c r="H102" i="3"/>
  <c r="H97" i="3"/>
  <c r="H93" i="3"/>
  <c r="H89" i="3"/>
  <c r="H80" i="3"/>
  <c r="H76" i="3"/>
  <c r="H72" i="3"/>
  <c r="H68" i="3"/>
  <c r="H53" i="3"/>
  <c r="H59" i="3"/>
  <c r="H56" i="3"/>
  <c r="H51" i="3"/>
  <c r="H47" i="3"/>
  <c r="H43" i="3"/>
  <c r="H37" i="3"/>
  <c r="H34" i="3"/>
  <c r="H30" i="3"/>
  <c r="H20" i="3"/>
  <c r="H16" i="3"/>
  <c r="H12" i="3"/>
  <c r="H8" i="3"/>
  <c r="H4" i="3"/>
  <c r="H189" i="3"/>
  <c r="H179" i="3"/>
  <c r="H182" i="3"/>
  <c r="H178" i="3"/>
  <c r="H173" i="3"/>
  <c r="H147" i="3"/>
  <c r="H164" i="3"/>
  <c r="H159" i="3"/>
  <c r="H156" i="3"/>
  <c r="H152" i="3"/>
  <c r="H149" i="3"/>
  <c r="H144" i="3"/>
  <c r="H140" i="3"/>
  <c r="H135" i="3"/>
  <c r="H130" i="3"/>
  <c r="H127" i="3"/>
  <c r="H122" i="3"/>
  <c r="H118" i="3"/>
  <c r="H114" i="3"/>
  <c r="H110" i="3"/>
  <c r="H95" i="3"/>
  <c r="H100" i="3"/>
  <c r="H96" i="3"/>
  <c r="H92" i="3"/>
  <c r="H75" i="3"/>
  <c r="H79" i="3"/>
  <c r="H69" i="3"/>
  <c r="H71" i="3"/>
  <c r="H64" i="3"/>
  <c r="H62" i="3"/>
  <c r="H58" i="3"/>
  <c r="H55" i="3"/>
  <c r="H50" i="3"/>
  <c r="H46" i="3"/>
  <c r="H41" i="3"/>
  <c r="H36" i="3"/>
  <c r="H33" i="3"/>
  <c r="H29" i="3"/>
  <c r="H19" i="3"/>
  <c r="H15" i="3"/>
  <c r="H11" i="3"/>
  <c r="H7" i="3"/>
  <c r="H3" i="3"/>
  <c r="H361" i="3"/>
  <c r="H362" i="3"/>
  <c r="H360" i="3"/>
  <c r="H358" i="3"/>
  <c r="H335" i="3"/>
  <c r="H354" i="3"/>
  <c r="H352" i="3"/>
  <c r="H350" i="3"/>
  <c r="H348" i="3"/>
  <c r="H346" i="3"/>
  <c r="H344" i="3"/>
  <c r="H342" i="3"/>
  <c r="H340" i="3"/>
  <c r="H338" i="3"/>
  <c r="H336" i="3"/>
  <c r="H334" i="3"/>
  <c r="H332" i="3"/>
  <c r="H329" i="3"/>
  <c r="H327" i="3"/>
  <c r="H324" i="3"/>
  <c r="H322" i="3"/>
  <c r="H305" i="3"/>
  <c r="H320" i="3"/>
  <c r="H318" i="3"/>
  <c r="H316" i="3"/>
  <c r="H314" i="3"/>
  <c r="H312" i="3"/>
  <c r="H310" i="3"/>
  <c r="H308" i="3"/>
  <c r="H306" i="3"/>
  <c r="H304" i="3"/>
  <c r="H296" i="3"/>
  <c r="H300" i="3"/>
  <c r="H298" i="3"/>
  <c r="H294" i="3"/>
  <c r="H293" i="3"/>
  <c r="H271" i="3"/>
  <c r="H290" i="3"/>
  <c r="H288" i="3"/>
  <c r="H286" i="3"/>
  <c r="H284" i="3"/>
  <c r="H282" i="3"/>
  <c r="H280" i="3"/>
  <c r="H278" i="3"/>
  <c r="H276" i="3"/>
  <c r="H274" i="3"/>
  <c r="H273" i="3"/>
  <c r="H270" i="3"/>
  <c r="H268" i="3"/>
  <c r="H266" i="3"/>
  <c r="H264" i="3"/>
  <c r="H262" i="3"/>
  <c r="H260" i="3"/>
  <c r="H255" i="3"/>
  <c r="H235" i="3"/>
  <c r="H251" i="3"/>
  <c r="H249" i="3"/>
  <c r="H247" i="3"/>
  <c r="H245" i="3"/>
  <c r="H243" i="3"/>
  <c r="H241" i="3"/>
  <c r="H239" i="3"/>
  <c r="H237" i="3"/>
  <c r="H194" i="3"/>
  <c r="H233" i="3"/>
  <c r="H230" i="3"/>
  <c r="H225" i="3"/>
  <c r="H223" i="3"/>
  <c r="H221" i="3"/>
  <c r="H219" i="3"/>
  <c r="H217" i="3"/>
  <c r="H229" i="3"/>
  <c r="H213" i="3"/>
  <c r="H212" i="3"/>
  <c r="H210" i="3"/>
  <c r="H208" i="3"/>
  <c r="H206" i="3"/>
  <c r="H204" i="3"/>
  <c r="H202" i="3"/>
  <c r="H199" i="3"/>
  <c r="H198" i="3"/>
  <c r="H196" i="3"/>
  <c r="H193" i="3"/>
  <c r="H192" i="3"/>
  <c r="H186" i="3"/>
  <c r="H185" i="3"/>
  <c r="H181" i="3"/>
  <c r="H176" i="3"/>
  <c r="H172" i="3"/>
  <c r="H167" i="3"/>
  <c r="H163" i="3"/>
  <c r="H158" i="3"/>
  <c r="H155" i="3"/>
  <c r="H151" i="3"/>
  <c r="H142" i="3"/>
  <c r="H143" i="3"/>
  <c r="H139" i="3"/>
  <c r="H134" i="3"/>
  <c r="H129" i="3"/>
  <c r="H125" i="3"/>
  <c r="H121" i="3"/>
  <c r="H117" i="3"/>
  <c r="H113" i="3"/>
  <c r="H109" i="3"/>
  <c r="H104" i="3"/>
  <c r="H99" i="3"/>
  <c r="H88" i="3"/>
  <c r="H91" i="3"/>
  <c r="H87" i="3"/>
  <c r="H78" i="3"/>
  <c r="H74" i="3"/>
  <c r="H70" i="3"/>
  <c r="H66" i="3"/>
  <c r="H61" i="3"/>
  <c r="H57" i="3"/>
  <c r="H54" i="3"/>
  <c r="H49" i="3"/>
  <c r="H45" i="3"/>
  <c r="H40" i="3"/>
  <c r="H35" i="3"/>
  <c r="H32" i="3"/>
  <c r="H28" i="3"/>
  <c r="H18" i="3"/>
  <c r="H14" i="3"/>
  <c r="H10" i="3"/>
  <c r="H6" i="3"/>
  <c r="H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B5" i="14" l="1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G26" i="13"/>
  <c r="G9" i="13"/>
  <c r="G27" i="13"/>
  <c r="C28" i="14" s="1"/>
  <c r="G10" i="13"/>
  <c r="C11" i="14" s="1"/>
  <c r="G25" i="13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<sst xmlns="http://schemas.openxmlformats.org/spreadsheetml/2006/main" count="2729" uniqueCount="1971">
  <si>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</si>
  <si>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</si>
  <si>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</si>
  <si>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</si>
  <si>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</si>
  <si>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</si>
  <si>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</si>
  <si>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</si>
  <si>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</si>
  <si>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</si>
  <si>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</si>
  <si>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</si>
  <si>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</si>
  <si>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</si>
  <si>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</si>
  <si>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</si>
  <si>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</si>
  <si>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</si>
  <si>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</si>
  <si>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</si>
  <si>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</si>
  <si>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</si>
  <si>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</si>
  <si>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</si>
  <si>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</si>
  <si>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</si>
  <si>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</si>
  <si>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</si>
  <si>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</si>
  <si>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</si>
  <si>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</si>
  <si>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</si>
  <si>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</si>
  <si>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</si>
  <si>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</si>
  <si>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</si>
  <si>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</si>
  <si>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</si>
  <si>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</si>
  <si>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</si>
  <si>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</si>
  <si>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</si>
  <si>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</si>
  <si>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</si>
  <si>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</si>
  <si>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</si>
  <si>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</si>
  <si>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</si>
  <si>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</si>
  <si>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</si>
  <si>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</si>
  <si>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</si>
  <si>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</si>
  <si>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</si>
  <si>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</si>
  <si>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</si>
  <si>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</si>
  <si>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</si>
  <si>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</si>
  <si>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</si>
  <si>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</si>
  <si>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</si>
  <si>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</si>
  <si>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</si>
  <si>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</si>
  <si>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</si>
  <si>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</si>
  <si>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</si>
  <si>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</si>
  <si>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</si>
  <si>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</si>
  <si>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</si>
  <si>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</si>
  <si>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</si>
  <si>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</si>
  <si>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</si>
  <si>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</si>
  <si>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</si>
  <si>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</si>
  <si>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</si>
  <si>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</si>
  <si>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</si>
  <si>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</si>
  <si>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</si>
  <si>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</si>
  <si>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</si>
  <si>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</si>
  <si>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</si>
  <si>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</si>
  <si>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</si>
  <si>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</si>
  <si>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</si>
  <si>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</si>
  <si>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</si>
  <si>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</si>
  <si>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</si>
  <si>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</si>
  <si>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</si>
  <si>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</si>
  <si>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</si>
  <si>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</si>
  <si>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</si>
  <si>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</si>
  <si>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</si>
  <si>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</si>
  <si>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</si>
  <si>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</si>
  <si>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</si>
  <si>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</si>
  <si>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</si>
  <si>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</si>
  <si>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</si>
  <si>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</si>
  <si>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</si>
  <si>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</si>
  <si>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</si>
  <si>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</si>
  <si>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</si>
  <si>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</si>
  <si>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</si>
  <si>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</si>
  <si>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</si>
  <si>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</si>
  <si>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</si>
  <si>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</si>
  <si>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</si>
  <si>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</si>
  <si>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</si>
  <si>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</si>
  <si>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</si>
  <si>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</si>
  <si>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</si>
  <si>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</si>
  <si>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</si>
  <si>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</si>
  <si>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</si>
  <si>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</si>
  <si>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</si>
  <si>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</si>
  <si>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</si>
  <si>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</si>
  <si>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</si>
  <si>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</si>
  <si>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</si>
  <si>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</si>
  <si>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</si>
  <si>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</si>
  <si>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</si>
  <si>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</si>
  <si>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</si>
  <si>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</si>
  <si>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</si>
  <si>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</si>
  <si>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</si>
  <si>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</si>
  <si>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</si>
  <si>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</si>
  <si>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</si>
  <si>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</si>
  <si>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</si>
  <si>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</si>
  <si>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</si>
  <si>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</si>
  <si>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</si>
  <si>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</si>
  <si>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</si>
  <si>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</si>
  <si>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</si>
  <si>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</si>
  <si>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</si>
  <si>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</si>
  <si>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</si>
  <si>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</si>
  <si>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</si>
  <si>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</si>
  <si>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</si>
  <si>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</si>
  <si>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</si>
  <si>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</si>
  <si>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</si>
  <si>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</si>
  <si>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</si>
  <si>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</si>
  <si>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</si>
  <si>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</si>
  <si>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</si>
  <si>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</si>
  <si>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</si>
  <si>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</si>
  <si>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</si>
  <si>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</si>
  <si>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</si>
  <si>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</si>
  <si>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</si>
  <si>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</si>
  <si>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</si>
  <si>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</si>
  <si>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</si>
  <si>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</si>
  <si>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</si>
  <si>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</si>
  <si>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</si>
  <si>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</si>
  <si>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</si>
  <si>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</si>
  <si>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</si>
  <si>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</si>
  <si>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</si>
  <si>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</si>
  <si>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</si>
  <si>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</si>
  <si>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</si>
  <si>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</si>
  <si>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</si>
  <si>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</si>
  <si>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</si>
  <si>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</si>
  <si>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</si>
  <si>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</si>
  <si>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</si>
  <si>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</si>
  <si>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</si>
  <si>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</si>
  <si>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</si>
  <si>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</si>
  <si>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</si>
  <si>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</si>
  <si>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</si>
  <si>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</si>
  <si>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</si>
  <si>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</si>
  <si>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</si>
  <si>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</si>
  <si>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</si>
  <si>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</si>
  <si>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</si>
  <si>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</si>
  <si>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</si>
  <si>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</si>
  <si>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</si>
  <si>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</si>
  <si>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</si>
  <si>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</si>
  <si>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</si>
  <si>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</si>
  <si>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</si>
  <si>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</si>
  <si>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</si>
  <si>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</si>
  <si>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</si>
  <si>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</si>
  <si>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</si>
  <si>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</si>
  <si>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</si>
  <si>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</si>
  <si>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</si>
  <si>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</si>
  <si>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</si>
  <si>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</si>
  <si>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</si>
  <si>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</si>
  <si>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</si>
  <si>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</si>
  <si>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</si>
  <si>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</si>
  <si>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</si>
  <si>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</si>
  <si>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</si>
  <si>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</si>
  <si>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</si>
  <si>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</si>
  <si>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</si>
  <si>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</si>
  <si>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</si>
  <si>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</si>
  <si>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</si>
  <si>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</si>
  <si>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</si>
  <si>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</si>
  <si>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</si>
  <si>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</si>
  <si>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</si>
  <si>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</si>
  <si>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</si>
  <si>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</si>
  <si>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</si>
  <si>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</si>
  <si>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</si>
  <si>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</si>
  <si>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</si>
  <si>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</si>
  <si>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</si>
  <si>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</si>
  <si>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</si>
  <si>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</si>
  <si>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</si>
  <si>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</si>
  <si>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</si>
  <si>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</si>
  <si>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</si>
  <si>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</si>
  <si>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</si>
  <si>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</si>
  <si>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</si>
  <si>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</si>
  <si>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</si>
  <si>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</si>
  <si>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</si>
  <si>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</si>
  <si>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</si>
  <si>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</si>
  <si>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</si>
  <si>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</si>
  <si>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</si>
  <si>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</si>
  <si>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</si>
  <si>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</si>
  <si>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</si>
  <si>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</si>
  <si>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</si>
  <si>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</si>
  <si>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</si>
  <si>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</si>
  <si>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</si>
  <si>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</si>
  <si>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</si>
  <si>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</si>
  <si>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</si>
  <si>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</si>
  <si>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</si>
  <si>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</si>
  <si>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</si>
  <si>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</si>
  <si>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</si>
  <si>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</si>
  <si>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</si>
  <si>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</si>
  <si>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</si>
  <si>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</si>
  <si>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</si>
  <si>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</si>
  <si>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</si>
  <si>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</si>
  <si>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</si>
  <si>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</si>
  <si>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</si>
  <si>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</si>
  <si>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</si>
  <si>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</si>
  <si>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</si>
  <si>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</si>
  <si>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</si>
  <si>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</si>
  <si>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</si>
  <si>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</si>
  <si>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</si>
  <si>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</si>
  <si>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</si>
  <si>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</si>
  <si>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</si>
  <si>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</si>
  <si>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</si>
  <si>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</si>
  <si>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</si>
  <si>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</si>
  <si>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</si>
  <si>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</si>
  <si>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</si>
  <si>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</si>
  <si>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</si>
  <si>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</si>
  <si>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</si>
  <si>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</si>
  <si>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</si>
  <si>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</si>
  <si>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</si>
  <si>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</si>
  <si>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</si>
  <si>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</si>
  <si>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</si>
  <si>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</si>
  <si>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</si>
  <si>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</si>
  <si>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</si>
  <si>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</si>
  <si>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</si>
  <si>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</si>
  <si>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</si>
  <si>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</si>
  <si>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</si>
  <si>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</si>
  <si>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</si>
  <si>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</si>
  <si>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</si>
  <si>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</si>
  <si>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</si>
  <si>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</si>
  <si>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</si>
  <si>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</si>
  <si>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</si>
  <si>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</si>
  <si>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</si>
  <si>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</si>
  <si>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</si>
  <si>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</si>
  <si>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</si>
  <si>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</si>
  <si>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</si>
  <si>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</si>
  <si>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</si>
  <si>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</si>
  <si>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</si>
  <si>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</si>
  <si>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</si>
  <si>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</si>
  <si>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</si>
  <si>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</si>
  <si>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</si>
  <si>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</si>
  <si>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</si>
  <si>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</si>
  <si>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</si>
  <si>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</si>
  <si>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</si>
  <si>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</si>
  <si>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</si>
  <si>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</si>
  <si>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</si>
  <si>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</si>
  <si>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</si>
  <si>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</si>
  <si>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</si>
  <si>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</si>
  <si>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</si>
  <si>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</si>
  <si>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</si>
  <si>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</si>
  <si>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</si>
  <si>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</si>
  <si>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</si>
  <si>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</si>
  <si>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</si>
  <si>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</si>
  <si>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</si>
  <si>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</si>
  <si>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</si>
  <si>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</si>
  <si>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</si>
  <si>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</si>
  <si>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</si>
  <si>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</si>
  <si>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</si>
  <si>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</si>
  <si>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</si>
  <si>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</si>
  <si>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</si>
  <si>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</si>
  <si>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</si>
  <si>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</si>
  <si>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</si>
  <si>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</si>
  <si>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</si>
  <si>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</si>
  <si>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</si>
  <si>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</si>
  <si>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</si>
  <si>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</si>
  <si>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</si>
  <si>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</si>
  <si>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</si>
  <si>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</si>
  <si>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</si>
  <si>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</si>
  <si>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</si>
  <si>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</si>
  <si>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</si>
  <si>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</si>
  <si>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</si>
  <si>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</si>
  <si>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</si>
  <si>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</si>
  <si>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</si>
  <si>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</si>
  <si>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</si>
  <si>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</si>
  <si>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</si>
  <si>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</si>
  <si>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</si>
  <si>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</si>
  <si>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</si>
  <si>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</si>
  <si>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</si>
  <si>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</si>
  <si>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</si>
  <si>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</si>
  <si>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</si>
  <si>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</si>
  <si>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</si>
  <si>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</si>
  <si>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</si>
  <si>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</si>
  <si>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</si>
  <si>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</si>
  <si>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</si>
  <si>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</si>
  <si>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</si>
  <si>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</si>
  <si>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</si>
  <si>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</si>
  <si>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</si>
  <si>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</si>
  <si>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</si>
  <si>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</si>
  <si>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</si>
  <si>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</si>
  <si>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</si>
  <si>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</si>
  <si>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</si>
  <si>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</si>
  <si>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</si>
  <si>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</si>
  <si>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</si>
  <si>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</si>
  <si>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</si>
  <si>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</si>
  <si>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</si>
  <si>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</si>
  <si>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</si>
  <si>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</si>
  <si>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</si>
  <si>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</si>
  <si>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</si>
  <si>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</si>
  <si>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</si>
  <si>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</si>
  <si>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</si>
  <si>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</si>
  <si>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</si>
  <si>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</si>
  <si>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</si>
  <si>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</si>
  <si>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</si>
  <si>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</si>
  <si>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</si>
  <si>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</si>
  <si>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</si>
  <si>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</si>
  <si>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</si>
  <si>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</si>
  <si>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</si>
  <si>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</si>
  <si>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</si>
  <si>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</si>
  <si>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</si>
  <si>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</si>
  <si>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</si>
  <si>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</si>
  <si>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</si>
  <si>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</si>
  <si>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</si>
  <si>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</si>
  <si>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</si>
  <si>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</si>
  <si>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</si>
  <si>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</si>
  <si>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</si>
  <si>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</si>
  <si>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</si>
  <si>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</si>
  <si>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</si>
  <si>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</si>
  <si>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</si>
  <si>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</si>
  <si>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</si>
  <si>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</si>
  <si>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</si>
  <si>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</si>
  <si>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</si>
  <si>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</si>
  <si>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</si>
  <si>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</si>
  <si>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</si>
  <si>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</si>
  <si>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</si>
  <si>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</si>
  <si>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</si>
  <si>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</si>
  <si>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</si>
  <si>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</si>
  <si>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</si>
  <si>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</si>
  <si>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</si>
  <si>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</si>
  <si>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</si>
  <si>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</si>
  <si>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</si>
  <si>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</si>
  <si>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</si>
  <si>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</si>
  <si>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</si>
  <si>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</si>
  <si>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</si>
  <si>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</si>
  <si>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</si>
  <si>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</si>
  <si>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</si>
  <si>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</si>
  <si>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</si>
  <si>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</si>
  <si>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</si>
  <si>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</si>
  <si>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</si>
  <si>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</si>
  <si>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</si>
  <si>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</si>
  <si>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</si>
  <si>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</si>
  <si>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</si>
  <si>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</si>
  <si>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</si>
  <si>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</si>
  <si>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</si>
  <si>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</si>
  <si>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</si>
  <si>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</si>
  <si>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</si>
  <si>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</si>
  <si>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</si>
  <si>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</si>
  <si>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</si>
  <si>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</si>
  <si>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</si>
  <si>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</si>
  <si>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</si>
  <si>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</si>
  <si>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</si>
  <si>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</si>
  <si>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</si>
  <si>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</si>
  <si>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</si>
  <si>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</si>
  <si>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</si>
  <si>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</si>
  <si>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</si>
  <si>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</si>
  <si>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</si>
  <si>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</si>
  <si>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</si>
  <si>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</si>
  <si>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</si>
  <si>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</si>
  <si>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</si>
  <si>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</si>
  <si>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</si>
  <si>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</si>
  <si>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</si>
  <si>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</si>
  <si>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</si>
  <si>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</si>
  <si>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</si>
  <si>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</si>
  <si>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</si>
  <si>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</si>
  <si>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</si>
  <si>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</si>
  <si>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</si>
  <si>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</si>
  <si>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</si>
  <si>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</si>
  <si>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</si>
  <si>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</si>
  <si>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</si>
  <si>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</si>
  <si>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</si>
  <si>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</si>
  <si>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</si>
  <si>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</si>
  <si>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</si>
  <si>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</si>
  <si>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</si>
  <si>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</si>
  <si>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</si>
  <si>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</si>
  <si>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</si>
  <si>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</si>
  <si>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</si>
  <si>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</si>
  <si>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</si>
  <si>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</si>
  <si>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</si>
  <si>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</si>
  <si>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</si>
  <si>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</si>
  <si>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</si>
  <si>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</si>
  <si>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</si>
  <si>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</si>
  <si>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</si>
  <si>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</si>
  <si>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</si>
  <si>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</si>
  <si>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</si>
  <si>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</si>
  <si>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</si>
  <si>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</si>
  <si>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</si>
  <si>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</si>
  <si>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</si>
  <si>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</si>
  <si>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</si>
  <si>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</si>
  <si>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</si>
  <si>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</si>
  <si>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</si>
  <si>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</si>
  <si>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</si>
  <si>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</si>
  <si>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</si>
  <si>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</si>
  <si>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</si>
  <si>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</si>
  <si>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</si>
  <si>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</si>
  <si>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</si>
  <si>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</si>
  <si>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</si>
  <si>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</si>
  <si>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</si>
  <si>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</si>
  <si>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</si>
  <si>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</si>
  <si>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</si>
  <si>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</si>
  <si>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</si>
  <si>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</si>
  <si>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</si>
  <si>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</si>
  <si>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</si>
  <si>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</si>
  <si>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</si>
  <si>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</si>
  <si>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</si>
  <si>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</si>
  <si>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</si>
  <si>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</si>
  <si>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</si>
  <si>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</si>
  <si>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</si>
  <si>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</si>
  <si>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</si>
  <si>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</si>
  <si>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</si>
  <si>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</si>
  <si>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</si>
  <si>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</si>
  <si>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</si>
  <si>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</si>
  <si>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</si>
  <si>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</si>
  <si>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</si>
  <si>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</si>
  <si>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</si>
  <si>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</si>
  <si>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</si>
  <si>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</si>
  <si>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</si>
  <si>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</si>
  <si>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</si>
  <si>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</si>
  <si>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</si>
  <si>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</si>
  <si>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</si>
  <si>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</si>
  <si>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</si>
  <si>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</si>
  <si>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</si>
  <si>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</si>
  <si>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</si>
  <si>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</si>
  <si>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</si>
  <si>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</si>
  <si>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</si>
  <si>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</si>
  <si>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</si>
  <si>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</si>
  <si>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</si>
  <si>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</si>
  <si>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</si>
  <si>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</si>
  <si>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</si>
  <si>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</si>
  <si>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</si>
  <si>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</si>
  <si>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</si>
  <si>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</si>
  <si>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</si>
  <si>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</si>
  <si>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</si>
  <si>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</si>
  <si>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</si>
  <si>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</si>
  <si>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</si>
  <si>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</si>
  <si>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</si>
  <si>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</si>
  <si>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</si>
  <si>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</si>
  <si>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</si>
  <si>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</si>
  <si>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</si>
  <si>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</si>
  <si>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</si>
  <si>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</si>
  <si>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</si>
  <si>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</si>
  <si>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</si>
  <si>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</si>
  <si>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</si>
  <si>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</si>
  <si>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</si>
  <si>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</si>
  <si>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</si>
  <si>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</si>
  <si>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</si>
  <si>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</si>
  <si>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</si>
  <si>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</si>
  <si>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</si>
  <si>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</si>
  <si>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</si>
  <si>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</si>
  <si>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</si>
  <si>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</si>
  <si>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</si>
  <si>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</si>
  <si>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</si>
  <si>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</si>
  <si>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</si>
  <si>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</si>
  <si>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</si>
  <si>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</si>
  <si>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</si>
  <si>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</si>
  <si>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</si>
  <si>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</si>
  <si>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</si>
  <si>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</si>
  <si>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</si>
  <si>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</si>
  <si>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</si>
  <si>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</si>
  <si>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</si>
  <si>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</si>
  <si>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</si>
  <si>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</si>
  <si>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</si>
  <si>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</si>
  <si>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</si>
  <si>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</si>
  <si>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</si>
  <si>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</si>
  <si>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</si>
  <si>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</si>
  <si>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</si>
  <si>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</si>
  <si>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</si>
  <si>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</si>
  <si>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</si>
  <si>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</si>
  <si>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</si>
  <si>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</si>
  <si>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</si>
  <si>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</si>
  <si>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</si>
  <si>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</si>
  <si>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</si>
  <si>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</si>
  <si>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</si>
  <si>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</si>
  <si>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</si>
  <si>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</si>
  <si>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</si>
  <si>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</si>
  <si>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</si>
  <si>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</si>
  <si>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</si>
  <si>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</si>
  <si>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</si>
  <si>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</si>
  <si>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</si>
  <si>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</si>
  <si>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</si>
  <si>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</si>
  <si>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</si>
  <si>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</si>
  <si>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</si>
  <si>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</si>
  <si>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</si>
  <si>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</si>
  <si>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</si>
  <si>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</si>
  <si>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</si>
  <si>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</si>
  <si>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</si>
  <si>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</si>
  <si>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</si>
  <si>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</si>
  <si>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</si>
  <si>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</si>
  <si>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</si>
  <si>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</si>
  <si>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</si>
  <si>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</si>
  <si>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</si>
  <si>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</si>
  <si>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</si>
  <si>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</si>
  <si>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</si>
  <si>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</si>
  <si>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</si>
  <si>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</si>
  <si>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</si>
  <si>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</si>
  <si>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</si>
  <si>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</si>
  <si>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</si>
  <si>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</si>
  <si>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</si>
  <si>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</si>
  <si>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</si>
  <si>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</si>
  <si>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</si>
  <si>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</si>
  <si>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</si>
  <si>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</si>
  <si>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</si>
  <si>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</si>
  <si>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</si>
  <si>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</si>
  <si>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</si>
  <si>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</si>
  <si>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</si>
  <si>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</si>
  <si>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</si>
  <si>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</si>
  <si>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</si>
  <si>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</si>
  <si>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</si>
  <si>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</si>
  <si>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</si>
  <si>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</si>
  <si>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</si>
  <si>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</si>
  <si>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</si>
  <si>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</si>
  <si>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</si>
  <si>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</si>
  <si>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</si>
  <si>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</si>
  <si>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</si>
  <si>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</si>
  <si>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</si>
  <si>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</si>
  <si>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</si>
  <si>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</si>
  <si>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</si>
  <si>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</si>
  <si>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</si>
  <si>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</si>
  <si>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</si>
  <si>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</si>
  <si>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</si>
  <si>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</si>
  <si>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</si>
  <si>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</si>
  <si>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</si>
  <si>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</si>
  <si>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</si>
  <si>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</si>
  <si>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</si>
  <si>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</si>
  <si>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</si>
  <si>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</si>
  <si>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</si>
  <si>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</si>
  <si>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</si>
  <si>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</si>
  <si>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</si>
  <si>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</si>
  <si>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</si>
  <si>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</si>
  <si>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</si>
  <si>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</si>
  <si>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</si>
  <si>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</si>
  <si>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</si>
  <si>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</si>
  <si>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</si>
  <si>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</si>
  <si>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</si>
  <si>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</si>
  <si>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</si>
  <si>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</si>
  <si>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</si>
  <si>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</si>
  <si>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</si>
  <si>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</si>
  <si>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</si>
  <si>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</si>
  <si>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</si>
  <si>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</si>
  <si>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</si>
  <si>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</si>
  <si>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</si>
  <si>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</si>
  <si>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</si>
  <si>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</si>
  <si>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</si>
  <si>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</si>
  <si>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</si>
  <si>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</si>
  <si>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</si>
  <si>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</si>
  <si>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</si>
  <si>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</si>
  <si>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</si>
  <si>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</si>
  <si>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</si>
  <si>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</si>
  <si>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</si>
  <si>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</si>
  <si>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</si>
  <si>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</si>
  <si>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</si>
  <si>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</si>
  <si>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</si>
  <si>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</si>
  <si>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</si>
  <si>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</si>
  <si>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</si>
  <si>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</si>
  <si>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</si>
  <si>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</si>
  <si>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</si>
  <si>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</si>
  <si>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</si>
  <si>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</si>
  <si>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</si>
  <si>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</si>
  <si>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</si>
  <si>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</si>
  <si>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</si>
  <si>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</si>
  <si>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</si>
  <si>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</si>
  <si>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</si>
  <si>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</si>
  <si>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</si>
  <si>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</si>
  <si>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</si>
  <si>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</si>
  <si>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</si>
  <si>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</si>
  <si>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</si>
  <si>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</si>
  <si>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</si>
  <si>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</si>
  <si>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</si>
  <si>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</si>
  <si>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</si>
  <si>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</si>
  <si>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</si>
  <si>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</si>
  <si>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</si>
  <si>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</si>
  <si>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</si>
  <si>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</si>
  <si>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</si>
  <si>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</si>
  <si>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</si>
  <si>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</si>
  <si>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</si>
  <si>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</si>
  <si>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</si>
  <si>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</si>
  <si>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</si>
  <si>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</si>
  <si>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</si>
  <si>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</si>
  <si>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</si>
  <si>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</si>
  <si>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</si>
  <si>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</si>
  <si>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</si>
  <si>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</si>
  <si>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</si>
  <si>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</si>
  <si>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</si>
  <si>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</si>
  <si>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</si>
  <si>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</si>
  <si>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</si>
  <si>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</si>
  <si>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</si>
  <si>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</si>
  <si>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</si>
  <si>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</si>
  <si>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</si>
  <si>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</si>
  <si>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</si>
  <si>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</si>
  <si>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</si>
  <si>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</si>
  <si>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</si>
  <si>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</si>
  <si>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</si>
  <si>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</si>
  <si>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</si>
  <si>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</si>
  <si>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</si>
  <si>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</si>
  <si>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</si>
  <si>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</si>
  <si>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</si>
  <si>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</si>
  <si>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</si>
  <si>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</si>
  <si>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</si>
  <si>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</si>
  <si>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</si>
  <si>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</si>
  <si>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</si>
  <si>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</si>
  <si>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</si>
  <si>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</si>
  <si>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</si>
  <si>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</si>
  <si>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</si>
  <si>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</si>
  <si>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</si>
  <si>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</si>
  <si>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</si>
  <si>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</si>
  <si>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</si>
  <si>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</si>
  <si>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</si>
  <si>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</si>
  <si>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</si>
  <si>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</si>
  <si>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</si>
  <si>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</si>
  <si>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</si>
  <si>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</si>
  <si>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</si>
  <si>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</si>
  <si>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</si>
  <si>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</si>
  <si>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</si>
  <si>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</si>
  <si>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</si>
  <si>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</si>
  <si>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</si>
  <si>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</si>
  <si>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</si>
  <si>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</si>
  <si>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</si>
  <si>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</si>
  <si>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</si>
  <si>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</si>
  <si>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</si>
  <si>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</si>
  <si>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</si>
  <si>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</si>
  <si>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</si>
  <si>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</si>
  <si>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</si>
  <si>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</si>
  <si>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</si>
  <si>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</si>
  <si>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</si>
  <si>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</si>
  <si>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</si>
  <si>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</si>
  <si>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</si>
  <si>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</si>
  <si>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</si>
  <si>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</si>
  <si>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</si>
  <si>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</si>
  <si>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</si>
  <si>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</si>
  <si>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</si>
  <si>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</si>
  <si>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</si>
  <si>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</si>
  <si>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</si>
  <si>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</si>
  <si>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</si>
  <si>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</si>
  <si>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</si>
  <si>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</si>
  <si>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</si>
  <si>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</si>
  <si>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</si>
  <si>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</si>
  <si>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</si>
  <si>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</si>
  <si>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</si>
  <si>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</si>
  <si>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</si>
  <si>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</si>
  <si>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</si>
  <si>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</si>
  <si>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</si>
  <si>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</si>
  <si>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</si>
  <si>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</si>
  <si>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</si>
  <si>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</si>
  <si>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</si>
  <si>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</si>
  <si>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</si>
  <si>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</si>
  <si>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</si>
  <si>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</si>
  <si>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</si>
  <si>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</si>
  <si>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</si>
  <si>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</si>
  <si>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</si>
  <si>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</si>
  <si>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</si>
  <si>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</si>
  <si>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</si>
  <si>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</si>
  <si>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</si>
  <si>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</si>
  <si>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</si>
  <si>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</si>
  <si>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</si>
  <si>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</si>
  <si>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</si>
  <si>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</si>
  <si>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</si>
  <si>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</si>
  <si>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</si>
  <si>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</si>
  <si>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</si>
  <si>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</si>
  <si>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</si>
  <si>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</si>
  <si>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</si>
  <si>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</si>
  <si>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</si>
  <si>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</si>
  <si>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</si>
  <si>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</si>
  <si>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</si>
  <si>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</si>
  <si>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</si>
  <si>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</si>
  <si>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</si>
  <si>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</si>
  <si>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</si>
  <si>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</si>
  <si>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</si>
  <si>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</si>
  <si>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</si>
  <si>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</si>
  <si>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</si>
  <si>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</si>
  <si>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</si>
  <si>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</si>
  <si>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</si>
  <si>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</si>
  <si>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</si>
  <si>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</si>
  <si>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</si>
  <si>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</si>
  <si>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</si>
  <si>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</si>
  <si>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</si>
  <si>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</si>
  <si>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</si>
  <si>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</si>
  <si>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</si>
  <si>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</si>
  <si>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</si>
  <si>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</si>
  <si>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</si>
  <si>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</si>
  <si>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</si>
  <si>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</si>
  <si>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</si>
  <si>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</si>
  <si>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</si>
  <si>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</si>
  <si>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</si>
  <si>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</si>
  <si>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</si>
  <si>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</si>
  <si>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</si>
  <si>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</si>
  <si>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</si>
  <si>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</si>
  <si>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</si>
  <si>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</si>
  <si>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</si>
  <si>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</si>
  <si>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</si>
  <si>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</si>
  <si>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</si>
  <si>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</si>
  <si>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</si>
  <si>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</si>
  <si>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</si>
  <si>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</si>
  <si>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</si>
  <si>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</si>
  <si>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</si>
  <si>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</si>
  <si>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</si>
  <si>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</si>
  <si>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</si>
  <si>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</si>
  <si>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</si>
  <si>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</si>
  <si>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</si>
  <si>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</si>
  <si>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</si>
  <si>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</si>
  <si>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</si>
  <si>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</si>
  <si>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</si>
  <si>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</si>
  <si>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</si>
  <si>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</si>
  <si>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</si>
  <si>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</si>
  <si>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</si>
  <si>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</si>
  <si>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</si>
  <si>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</si>
  <si>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</si>
  <si>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</si>
  <si>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</si>
  <si>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</si>
  <si>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</si>
  <si>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</si>
  <si>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</si>
  <si>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</si>
  <si>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</si>
  <si>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</si>
  <si>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</si>
  <si>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</si>
  <si>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</si>
  <si>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</si>
  <si>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</si>
  <si>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</si>
  <si>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</si>
  <si>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</si>
  <si>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</si>
  <si>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</si>
  <si>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</si>
  <si>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</si>
  <si>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</si>
  <si>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</si>
  <si>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</si>
  <si>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</si>
  <si>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</si>
  <si>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</si>
  <si>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</si>
  <si>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</si>
  <si>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</si>
  <si>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</si>
  <si>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</si>
  <si>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</si>
  <si>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</si>
  <si>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</si>
  <si>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</si>
  <si>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</si>
  <si>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</si>
  <si>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</si>
  <si>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</si>
  <si>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</si>
  <si>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</si>
  <si>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</si>
  <si>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</si>
  <si>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</si>
  <si>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</si>
  <si>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</si>
  <si>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</si>
  <si>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</si>
  <si>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</si>
  <si>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</si>
  <si>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</si>
  <si>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</si>
  <si>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</si>
  <si>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</si>
  <si>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</si>
  <si>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</si>
  <si>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</si>
  <si>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</si>
  <si>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</si>
  <si>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</si>
  <si>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</si>
  <si>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</si>
  <si>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</si>
  <si>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</si>
  <si>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</si>
  <si>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</si>
  <si>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</si>
  <si>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</si>
  <si>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</si>
  <si>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</si>
  <si>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</si>
  <si>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</si>
  <si>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</si>
  <si>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</si>
  <si>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</si>
  <si>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</si>
  <si>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</si>
  <si>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</si>
  <si>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</si>
  <si>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</si>
  <si>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</si>
  <si>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</si>
  <si>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</si>
  <si>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</si>
  <si>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</si>
  <si>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</si>
  <si>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</si>
  <si>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</si>
  <si>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</si>
  <si>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</si>
  <si>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</si>
  <si>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</si>
  <si>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</si>
  <si>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</si>
  <si>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</si>
  <si>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</si>
  <si>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</si>
  <si>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</si>
  <si>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</si>
  <si>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</si>
  <si>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</si>
  <si>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</si>
  <si>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</si>
  <si>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</si>
  <si>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</si>
  <si>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</si>
  <si>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</si>
  <si>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</si>
  <si>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</si>
  <si>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</si>
  <si>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</si>
  <si>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</si>
  <si>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</si>
  <si>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</si>
  <si>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</si>
  <si>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</si>
  <si>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</si>
  <si>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</si>
  <si>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</si>
  <si>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</si>
  <si>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</si>
  <si>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</si>
  <si>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</si>
  <si>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</si>
  <si>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</si>
  <si>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</si>
  <si>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</si>
  <si>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</si>
  <si>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</si>
  <si>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</si>
  <si>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</si>
  <si>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</si>
  <si>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</si>
  <si>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</si>
  <si>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</si>
  <si>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</si>
  <si>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</si>
  <si>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</si>
  <si>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</si>
  <si>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</si>
  <si>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</si>
  <si>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</si>
  <si>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</si>
  <si>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</si>
  <si>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</si>
  <si>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</si>
  <si>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</si>
  <si>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</si>
  <si>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</si>
  <si>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</si>
  <si>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</si>
  <si>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</si>
  <si>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</si>
  <si>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</si>
  <si>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</si>
  <si>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</si>
  <si>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</si>
  <si>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</si>
  <si>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</si>
  <si>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</si>
  <si>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</si>
  <si>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</si>
  <si>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</si>
  <si>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</si>
  <si>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</si>
  <si>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</si>
  <si>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</si>
  <si>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</si>
  <si>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</si>
  <si>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</si>
  <si>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</si>
  <si>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</si>
  <si>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</si>
  <si>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</si>
  <si>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</si>
  <si>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</si>
  <si>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</si>
  <si>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</si>
  <si>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</si>
  <si>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</si>
  <si>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</si>
  <si>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</si>
  <si>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</si>
  <si>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</si>
  <si>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</si>
  <si>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</si>
  <si>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</si>
  <si>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</si>
  <si>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</si>
  <si>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</si>
  <si>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</si>
  <si>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</si>
  <si>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</si>
  <si>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</si>
  <si>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</si>
  <si>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</si>
  <si>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</si>
  <si>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</si>
  <si>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</si>
  <si>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</si>
  <si>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</si>
  <si>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</si>
  <si>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</si>
  <si>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</si>
  <si>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</si>
  <si>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</si>
  <si>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</si>
  <si>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</si>
  <si>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</si>
  <si>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</si>
  <si>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</si>
  <si>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</si>
  <si>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</si>
  <si>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</si>
  <si>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</si>
  <si>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</si>
  <si>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</si>
  <si>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</si>
  <si>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</si>
  <si>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</si>
  <si>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</si>
  <si>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</si>
  <si>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</si>
  <si>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</si>
  <si>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</si>
  <si>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</si>
  <si>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</si>
  <si>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</si>
  <si>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</si>
  <si>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</si>
  <si>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</si>
  <si>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</si>
  <si>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</si>
  <si>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</si>
  <si>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</si>
  <si>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</si>
  <si>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</si>
  <si>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</si>
  <si>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</si>
  <si>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</si>
  <si>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</si>
  <si>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</si>
  <si>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</si>
  <si>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</si>
  <si>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</si>
  <si>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</si>
  <si>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</si>
  <si>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</si>
  <si>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</si>
  <si>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</si>
  <si>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</si>
  <si>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</si>
  <si>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</si>
  <si>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</si>
  <si>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</si>
  <si>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</si>
  <si>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</si>
  <si>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</si>
  <si>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</si>
  <si>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</si>
  <si>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</si>
  <si>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</si>
  <si>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</si>
  <si>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</si>
  <si>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</si>
  <si>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</si>
  <si>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</si>
  <si>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</si>
  <si>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</si>
  <si>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</si>
  <si>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</si>
  <si>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</si>
  <si>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</si>
  <si>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</si>
  <si>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</si>
  <si>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</si>
  <si>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</si>
  <si>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</si>
  <si>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</si>
  <si>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</si>
  <si>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</si>
  <si>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</si>
  <si>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</si>
  <si>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</si>
  <si>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</si>
  <si>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</si>
  <si>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</si>
  <si>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</si>
  <si>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</si>
  <si>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</si>
  <si>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</si>
  <si>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</si>
  <si>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</si>
  <si>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</si>
  <si>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</si>
  <si>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</si>
  <si>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</si>
  <si>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</si>
  <si>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</si>
  <si>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</si>
  <si>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</si>
  <si>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</si>
  <si>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</si>
  <si>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</si>
  <si>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</si>
  <si>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</si>
  <si>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</si>
  <si>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</si>
  <si>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</si>
  <si>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</si>
  <si>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</si>
  <si>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</si>
  <si>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</si>
  <si>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</si>
  <si>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</si>
  <si>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</si>
  <si>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</si>
  <si>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</si>
  <si>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</si>
  <si>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</si>
  <si>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</si>
  <si>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</si>
  <si>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</si>
  <si>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</si>
  <si>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</si>
  <si>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</si>
  <si>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</si>
  <si>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</si>
  <si>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</si>
  <si>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</si>
  <si>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</si>
  <si>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</si>
  <si>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</si>
  <si>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</si>
  <si>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</si>
  <si>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</si>
  <si>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</si>
  <si>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</si>
  <si>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</si>
  <si>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</si>
  <si>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</si>
  <si>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</si>
  <si>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</si>
  <si>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</si>
  <si>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</si>
  <si>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</si>
  <si>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</si>
  <si>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</si>
  <si>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</si>
  <si>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</si>
  <si>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</si>
  <si>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</si>
  <si>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</si>
  <si>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</si>
  <si>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</si>
  <si>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</si>
  <si>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</si>
  <si>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</si>
  <si>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</si>
  <si>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</si>
  <si>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</si>
  <si>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</si>
  <si>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</si>
  <si>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</si>
  <si>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</si>
  <si>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</si>
  <si>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</si>
  <si>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</si>
  <si>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</si>
  <si>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</si>
  <si>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</si>
  <si>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</si>
  <si>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</si>
  <si>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</si>
  <si>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</si>
  <si>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</si>
  <si>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</si>
  <si>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</si>
  <si>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</si>
  <si>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</si>
  <si>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</si>
  <si>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</si>
  <si>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</si>
  <si>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</si>
  <si>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</si>
  <si>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</si>
  <si>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</si>
  <si>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</si>
  <si>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</si>
  <si>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</si>
  <si>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</si>
  <si>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</si>
  <si>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</si>
  <si>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</si>
  <si>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</si>
  <si>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</si>
  <si>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</si>
  <si>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</si>
  <si>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</si>
  <si>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</si>
  <si>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</si>
  <si>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</si>
  <si>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</si>
  <si>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</si>
  <si>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</si>
  <si>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</si>
  <si>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</si>
  <si>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</si>
  <si>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</si>
  <si>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</si>
  <si>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</si>
  <si>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</si>
  <si>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</si>
  <si>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</si>
  <si>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</si>
  <si>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</si>
  <si>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</si>
  <si>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</si>
  <si>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</si>
  <si>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</si>
  <si>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</si>
  <si>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</si>
  <si>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</si>
  <si>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</si>
  <si>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</si>
  <si>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</si>
  <si>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</si>
  <si>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</si>
  <si>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</si>
  <si>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</si>
  <si>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</si>
  <si>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</si>
  <si>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</si>
  <si>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</si>
  <si>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</si>
  <si>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</si>
  <si>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</si>
  <si>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</si>
  <si>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</si>
  <si>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</si>
  <si>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</si>
  <si>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</si>
  <si>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</si>
  <si>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</si>
  <si>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</si>
  <si>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</si>
  <si>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</si>
  <si>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</si>
  <si>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</si>
  <si>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</si>
  <si>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</si>
  <si>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</si>
  <si>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</si>
  <si>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</si>
  <si>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</si>
  <si>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</si>
  <si>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</si>
  <si>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</si>
  <si>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</si>
  <si>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</si>
  <si>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</si>
  <si>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</si>
  <si>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</si>
  <si>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</si>
  <si>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</si>
  <si>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</si>
  <si>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</si>
  <si>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</si>
  <si>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</si>
  <si>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</si>
  <si>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</si>
  <si>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</si>
  <si>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</si>
  <si>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</si>
  <si>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</si>
  <si>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</si>
  <si>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</si>
  <si>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</si>
  <si>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</si>
  <si>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</si>
  <si>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</si>
  <si>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</si>
  <si>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</si>
  <si>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</si>
  <si>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</si>
  <si>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</si>
  <si>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</si>
  <si>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</si>
  <si>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</si>
  <si>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</si>
  <si>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</si>
  <si>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</si>
  <si>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</si>
  <si>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</si>
  <si>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</si>
  <si>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</si>
  <si>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</si>
  <si>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</si>
  <si>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</si>
  <si>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</si>
  <si>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</si>
  <si>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</si>
  <si>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</si>
  <si>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</si>
  <si>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</si>
  <si>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</si>
  <si>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</si>
  <si>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</si>
  <si>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</si>
  <si>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</si>
  <si>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</si>
  <si>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</si>
  <si>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</si>
  <si>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</si>
  <si>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</si>
  <si>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</si>
  <si>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</si>
  <si>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</si>
  <si>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</si>
  <si>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</si>
  <si>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</si>
  <si>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</si>
  <si>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</si>
  <si>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</si>
  <si>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</si>
  <si>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</si>
  <si>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</si>
  <si>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</si>
  <si>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</si>
  <si>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</si>
  <si>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</si>
  <si>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</si>
  <si>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</si>
  <si>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</si>
  <si>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</si>
  <si>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</si>
  <si>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</si>
  <si>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</si>
  <si>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</si>
  <si>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</si>
  <si>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</si>
  <si>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</si>
  <si>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</si>
  <si>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</si>
  <si>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</si>
  <si>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</si>
  <si>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</si>
  <si>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</si>
  <si>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</si>
  <si>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</si>
  <si>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</si>
  <si>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</si>
  <si>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</si>
  <si>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</si>
  <si>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</si>
  <si>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</si>
  <si>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</si>
  <si>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</si>
  <si>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</si>
  <si>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</si>
  <si>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</si>
  <si>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</si>
  <si>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</si>
  <si>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</si>
  <si>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</si>
  <si>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</si>
  <si>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</si>
  <si>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</si>
  <si>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</si>
  <si>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</si>
  <si>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</si>
  <si>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</si>
  <si>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</si>
  <si>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</si>
  <si>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control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</si>
  <si>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</si>
  <si>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</si>
  <si>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</si>
  <si>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</si>
  <si>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</si>
  <si>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</si>
  <si>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</si>
  <si>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</si>
  <si>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</si>
  <si>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</si>
  <si>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</si>
  <si>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</si>
  <si>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</si>
  <si>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</si>
  <si>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</si>
  <si>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</si>
  <si>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</si>
  <si>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</si>
  <si>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</si>
  <si>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</si>
  <si>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</si>
  <si>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</si>
  <si>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</si>
  <si>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</si>
  <si>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</si>
  <si>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</si>
  <si>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</si>
  <si>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</si>
  <si>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</si>
  <si>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n92868AF7_93B9_4EAD_AD7C_0A5965022A7E</t>
  </si>
  <si>
    <t>Motivations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</si>
  <si>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</si>
  <si>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</si>
  <si>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</si>
  <si>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</si>
  <si>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</si>
  <si>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</si>
  <si>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</si>
  <si>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</si>
  <si>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</si>
  <si>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</si>
  <si>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</si>
  <si>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</si>
  <si>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n228330D7_7E4B_46EA_A89C_F44DF98A27FA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</si>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</sst>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5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0" fillId="2" borderId="4" xfId="1" applyNumberFormat="1" applyFont="1" applyBorder="1" applyAlignment="1">
      <alignment vertical="top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7"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H500" totalsRowShown="0" headerRowDxfId="36" dataDxfId="35">
  <autoFilter ref="A1:H500" xr:uid="{5C9712D2-CCDA-4E9C-B304-04B7352F99F1}"/>
  <sortState xmlns:xlrd2="http://schemas.microsoft.com/office/spreadsheetml/2017/richdata2" ref="A2:H500">
    <sortCondition ref="A1:A500"/>
  </sortState>
  <tableColumns count="8">
    <tableColumn id="7" xr3:uid="{5088D59A-45C2-4E1D-97DB-D92C10772FC3}" name="Unambiguous Name" dataDxfId="0">
      <calculatedColumnFormula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4"/>
    <tableColumn id="2" xr3:uid="{90333BBB-2EEB-4564-A4DE-2C01EFC61D47}" name="Node ID" dataDxfId="33"/>
    <tableColumn id="4" xr3:uid="{6146B9E7-30B6-4E1C-8AE1-B6449F0E0DE8}" name="Class Disambiguation" dataDxfId="32"/>
    <tableColumn id="6" xr3:uid="{FD2E50A7-4489-4F3D-B755-6C2DCB54CAEE}" name="Unambiguous Name2" dataDxfId="31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0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65" totalsRowShown="0" headerRowDxfId="27" dataDxfId="26">
  <autoFilter ref="A1:H65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5"/>
    <tableColumn id="1" xr3:uid="{9CA13924-CA4A-44D4-8A07-E52B10C55BA7}" name="Node A ID" dataDxfId="24">
      <calculatedColumnFormula>VLOOKUP(EdgesData[[#This Row],[Node A]],NodesData[],2,FALSE)</calculatedColumnFormula>
    </tableColumn>
    <tableColumn id="3" xr3:uid="{BAA89F4B-F6C5-4ABD-86BE-5A8853F41E60}" name="Node A" dataDxfId="23"/>
    <tableColumn id="4" xr3:uid="{D3335F2C-7AD5-4D66-8BC3-253890C0E8B7}" name="Rel" dataDxfId="22"/>
    <tableColumn id="2" xr3:uid="{8D04C2D1-8FFA-4141-8A59-A1BFEFFAB089}" name="Dir" dataDxfId="21"/>
    <tableColumn id="6" xr3:uid="{C46C88E3-4516-403D-9A39-7617A8F5E08F}" name="Node B" dataDxfId="20"/>
    <tableColumn id="8" xr3:uid="{018119E0-D793-4DE2-91A3-9B20775CD938}" name="Node B ID" dataDxfId="19">
      <calculatedColumnFormula>VLOOKUP(EdgesData[[#This Row],[Node B]],NodesData[],2,FALSE)</calculatedColumnFormula>
    </tableColumn>
    <tableColumn id="7" xr3:uid="{648409CB-F2FA-4FEE-88C7-554D58380F3E}" name="GUID Generator" dataDxfId="1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500" totalsRowShown="0" headerRowDxfId="17" dataDxfId="16">
  <autoFilter ref="A2:E500" xr:uid="{5C9712D2-CCDA-4E9C-B304-04B7352F99F1}"/>
  <tableColumns count="5">
    <tableColumn id="2" xr3:uid="{7A433402-2F5D-4FF4-8541-52C3CCA58CBF}" name="label" dataDxfId="15">
      <calculatedColumnFormula>NodesData[[#This Row],[Common Name]]</calculatedColumnFormula>
    </tableColumn>
    <tableColumn id="1" xr3:uid="{9480A146-5094-4585-8E34-79B118723205}" name="group" dataDxfId="14">
      <calculatedColumnFormula>IF(NodesData[[#This Row],[Context Instanciation]]="","",NodesData[[#This Row],[Context Instanciation]])</calculatedColumnFormula>
    </tableColumn>
    <tableColumn id="5" xr3:uid="{DE7D344F-F0A4-42CA-BECA-DEC46A3C6044}" name="id" dataDxfId="13">
      <calculatedColumnFormula>NodesData[[#This Row],[Node ID]]</calculatedColumnFormula>
    </tableColumn>
    <tableColumn id="8" xr3:uid="{D32881FA-1331-4995-98E1-08014CC00B3B}" name="url" dataDxfId="12"/>
    <tableColumn id="4" xr3:uid="{C237D77B-2B8C-448A-9D3F-782001125820}" name="JSON" dataDxfId="11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5" totalsRowShown="0" headerRowDxfId="10" dataDxfId="9">
  <autoFilter ref="A2:E65" xr:uid="{2DC44691-7CC8-490A-BFD1-C0BACEDD8C5B}"/>
  <tableColumns count="5">
    <tableColumn id="6" xr3:uid="{7B6A1A21-3B7A-41BC-953A-E7E41C3DF49A}" name="id" dataDxfId="8">
      <calculatedColumnFormula>EdgesData[[#This Row],[Edge ID]]</calculatedColumnFormula>
    </tableColumn>
    <tableColumn id="2" xr3:uid="{3D9DE3B5-4740-491A-AF2C-F3365D8C031F}" name="from" dataDxfId="7">
      <calculatedColumnFormula>EdgesData[[#This Row],[Node A ID]]</calculatedColumnFormula>
    </tableColumn>
    <tableColumn id="5" xr3:uid="{17306F30-E2AC-4FAA-A3C9-6B06FA97B7CD}" name="to" dataDxfId="6">
      <calculatedColumnFormula>EdgesData[[#This Row],[Node B ID]]</calculatedColumnFormula>
    </tableColumn>
    <tableColumn id="8" xr3:uid="{B166B7F9-2FC2-4259-83C8-E55C58025CC9}" name="label" dataDxfId="5">
      <calculatedColumnFormula>EdgesData[[#This Row],[Rel]]</calculatedColumnFormula>
    </tableColumn>
    <tableColumn id="4" xr3:uid="{BC79FDF8-B819-4DED-9F3A-54E94785DD2A}" name="JSON" dataDxfId="4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3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2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1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8" sqref="B8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H500"/>
  <sheetViews>
    <sheetView zoomScale="120" zoomScaleNormal="120" workbookViewId="0">
      <selection activeCell="A26" sqref="A26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34.06640625" style="12" bestFit="1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8" x14ac:dyDescent="0.35">
      <c r="A1" s="11" t="s">
        <v>1907</v>
      </c>
      <c r="B1" s="11" t="s">
        <v>1904</v>
      </c>
      <c r="C1" s="11" t="s">
        <v>1905</v>
      </c>
      <c r="D1" s="11" t="s">
        <v>1906</v>
      </c>
      <c r="E1" s="11" t="s">
        <v>1956</v>
      </c>
      <c r="F1" s="11" t="s">
        <v>1955</v>
      </c>
      <c r="G1" s="11" t="s">
        <v>520</v>
      </c>
      <c r="H1" s="11" t="s">
        <v>1908</v>
      </c>
    </row>
    <row r="2" spans="1:8" x14ac:dyDescent="0.35">
      <c r="A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12" t="s">
        <v>1337</v>
      </c>
      <c r="E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2" s="18"/>
      <c r="H2" s="19" t="str" cm="1">
        <f t="array" ref="H2">"n"&amp;SUBSTITUTE(CreateGuidString(),"-","_")</f>
        <v>n9C94FC14_3EAE_4B4D_BFAF_54505BCBFDFC</v>
      </c>
    </row>
    <row r="3" spans="1:8" x14ac:dyDescent="0.35">
      <c r="A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11" t="s">
        <v>1829</v>
      </c>
      <c r="E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G3" s="12" t="s">
        <v>523</v>
      </c>
      <c r="H3" s="19" t="str" cm="1">
        <f t="array" ref="H3">"n"&amp;SUBSTITUTE(CreateGuidString(),"-","_")</f>
        <v>n5ABF3B49_606A_43EE_A287_0EE66A1268B3</v>
      </c>
    </row>
    <row r="4" spans="1:8" x14ac:dyDescent="0.35">
      <c r="A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E4" s="12" t="str">
        <f>IF(NodesData[[#This Row],[Class Disambiguation]]="",NodesData[[#This Row],[Common Name]],NodesData[[#This Row],[Common Name]]&amp;" ("&amp;NodesData[[#This Row],[Class Disambiguation]]&amp;")")</f>
        <v>Access</v>
      </c>
      <c r="G4" s="12" t="s">
        <v>524</v>
      </c>
      <c r="H4" s="19" t="str" cm="1">
        <f t="array" ref="H4">"n"&amp;SUBSTITUTE(CreateGuidString(),"-","_")</f>
        <v>n08ED9CC5_0EF0_4F53_B6CF_E6F297F7D66F</v>
      </c>
    </row>
    <row r="5" spans="1:8" x14ac:dyDescent="0.35">
      <c r="A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E5" s="12" t="str">
        <f>IF(NodesData[[#This Row],[Class Disambiguation]]="",NodesData[[#This Row],[Common Name]],NodesData[[#This Row],[Common Name]]&amp;" ("&amp;NodesData[[#This Row],[Class Disambiguation]]&amp;")")</f>
        <v>Access Audit</v>
      </c>
      <c r="G5" s="12" t="s">
        <v>526</v>
      </c>
      <c r="H5" s="19" t="str" cm="1">
        <f t="array" ref="H5">"n"&amp;SUBSTITUTE(CreateGuidString(),"-","_")</f>
        <v>nB6FF6A4C_8CEE_48A6_9B33_9725F2DC6C61</v>
      </c>
    </row>
    <row r="6" spans="1:8" x14ac:dyDescent="0.35">
      <c r="A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E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G6" s="12" t="s">
        <v>527</v>
      </c>
      <c r="H6" s="19" t="str" cm="1">
        <f t="array" ref="H6">"n"&amp;SUBSTITUTE(CreateGuidString(),"-","_")</f>
        <v>n9FAF42C2_0326_49AD_AF79_89137B940269</v>
      </c>
    </row>
    <row r="7" spans="1:8" x14ac:dyDescent="0.35">
      <c r="A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E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G7" s="12" t="s">
        <v>529</v>
      </c>
      <c r="H7" s="19" t="str" cm="1">
        <f t="array" ref="H7">"n"&amp;SUBSTITUTE(CreateGuidString(),"-","_")</f>
        <v>nF8FC3DFB_FAD5_4223_A669_9F165DA7B8B0</v>
      </c>
    </row>
    <row r="8" spans="1:8" x14ac:dyDescent="0.35">
      <c r="A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E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G8" s="12" t="s">
        <v>531</v>
      </c>
      <c r="H8" s="19" t="str" cm="1">
        <f t="array" ref="H8">"n"&amp;SUBSTITUTE(CreateGuidString(),"-","_")</f>
        <v>nBE0B2D79_6CCF_4D59_9820_521965DD984F</v>
      </c>
    </row>
    <row r="9" spans="1:8" x14ac:dyDescent="0.35">
      <c r="A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E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G9" s="12" t="s">
        <v>533</v>
      </c>
      <c r="H9" s="19" t="str" cm="1">
        <f t="array" ref="H9">"n"&amp;SUBSTITUTE(CreateGuidString(),"-","_")</f>
        <v>n459343B2_C9B8_4298_AD29_2753EC5315D3</v>
      </c>
    </row>
    <row r="10" spans="1:8" x14ac:dyDescent="0.35">
      <c r="A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E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G10" s="12" t="s">
        <v>535</v>
      </c>
      <c r="H10" s="19" t="str" cm="1">
        <f t="array" ref="H10">"n"&amp;SUBSTITUTE(CreateGuidString(),"-","_")</f>
        <v>n4C16A7B2_91D2_4B98_BBE2_935DC40FA47A</v>
      </c>
    </row>
    <row r="11" spans="1:8" x14ac:dyDescent="0.35">
      <c r="A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E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G11" s="12" t="s">
        <v>537</v>
      </c>
      <c r="H11" s="19" t="str" cm="1">
        <f t="array" ref="H11">"n"&amp;SUBSTITUTE(CreateGuidString(),"-","_")</f>
        <v>n75208106_EAA9_4FB2_AE79_DA027D193267</v>
      </c>
    </row>
    <row r="12" spans="1:8" x14ac:dyDescent="0.35">
      <c r="A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11" t="s">
        <v>1831</v>
      </c>
      <c r="E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G12" s="12" t="s">
        <v>538</v>
      </c>
      <c r="H12" s="19" t="str" cm="1">
        <f t="array" ref="H12">"n"&amp;SUBSTITUTE(CreateGuidString(),"-","_")</f>
        <v>n7BC8ED26_556A_4412_9FC3_C5D2E8462A03</v>
      </c>
    </row>
    <row r="13" spans="1:8" x14ac:dyDescent="0.35">
      <c r="A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E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G13" s="12" t="s">
        <v>540</v>
      </c>
      <c r="H13" s="19" t="str" cm="1">
        <f t="array" ref="H13">"n"&amp;SUBSTITUTE(CreateGuidString(),"-","_")</f>
        <v>n50E3A4DD_2211_48E0_9D1F_CCAC06E3010B</v>
      </c>
    </row>
    <row r="14" spans="1:8" x14ac:dyDescent="0.35">
      <c r="A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E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G14" s="12" t="s">
        <v>542</v>
      </c>
      <c r="H14" s="19" t="str" cm="1">
        <f t="array" ref="H14">"n"&amp;SUBSTITUTE(CreateGuidString(),"-","_")</f>
        <v>n278B98AF_541E_4A61_A52A_1809CE19373A</v>
      </c>
    </row>
    <row r="15" spans="1:8" x14ac:dyDescent="0.35">
      <c r="A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E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G15" s="12" t="s">
        <v>544</v>
      </c>
      <c r="H15" s="19" t="str" cm="1">
        <f t="array" ref="H15">"n"&amp;SUBSTITUTE(CreateGuidString(),"-","_")</f>
        <v>n00F6A719_52C0_4E70_A97E_902AA85D8FC0</v>
      </c>
    </row>
    <row r="16" spans="1:8" x14ac:dyDescent="0.35">
      <c r="A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E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G16" s="12" t="s">
        <v>545</v>
      </c>
      <c r="H16" s="19" t="str" cm="1">
        <f t="array" ref="H16">"n"&amp;SUBSTITUTE(CreateGuidString(),"-","_")</f>
        <v>n3DDE0247_88D7_489A_8DBC_B2EDA7DFC93C</v>
      </c>
    </row>
    <row r="17" spans="1:8" x14ac:dyDescent="0.35">
      <c r="A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E17" s="12" t="str">
        <f>IF(NodesData[[#This Row],[Class Disambiguation]]="",NodesData[[#This Row],[Common Name]],NodesData[[#This Row],[Common Name]]&amp;" ("&amp;NodesData[[#This Row],[Class Disambiguation]]&amp;")")</f>
        <v>Account</v>
      </c>
      <c r="G17" s="12" t="s">
        <v>546</v>
      </c>
      <c r="H17" s="19" t="str" cm="1">
        <f t="array" ref="H17">"n"&amp;SUBSTITUTE(CreateGuidString(),"-","_")</f>
        <v>n4CABFB45_031B_49BA_8D9B_B8A9533EFA25</v>
      </c>
    </row>
    <row r="18" spans="1:8" x14ac:dyDescent="0.35">
      <c r="A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E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G18" s="12" t="s">
        <v>548</v>
      </c>
      <c r="H18" s="19" t="str" cm="1">
        <f t="array" ref="H18">"n"&amp;SUBSTITUTE(CreateGuidString(),"-","_")</f>
        <v>nF5440F15_7973_4B84_B14F_400D65B3D52E</v>
      </c>
    </row>
    <row r="19" spans="1:8" x14ac:dyDescent="0.35">
      <c r="A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E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G19" s="12" t="s">
        <v>550</v>
      </c>
      <c r="H19" s="19" t="str" cm="1">
        <f t="array" ref="H19">"n"&amp;SUBSTITUTE(CreateGuidString(),"-","_")</f>
        <v>n21B9A151_2AC9_4107_93E7_41993E7164A0</v>
      </c>
    </row>
    <row r="20" spans="1:8" x14ac:dyDescent="0.35">
      <c r="A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E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F20" s="18"/>
      <c r="G20" s="12" t="s">
        <v>551</v>
      </c>
      <c r="H20" s="19" t="str" cm="1">
        <f t="array" ref="H20">"n"&amp;SUBSTITUTE(CreateGuidString(),"-","_")</f>
        <v>n56BB5133_79BD_4B58_BE87_B1E02AA791CB</v>
      </c>
    </row>
    <row r="21" spans="1:8" x14ac:dyDescent="0.35">
      <c r="A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1934</v>
      </c>
      <c r="E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F21" s="18" t="s">
        <v>4</v>
      </c>
      <c r="H21" s="20" t="str" cm="1">
        <f t="array" ref="H21">"n"&amp;SUBSTITUTE(CreateGuidString(),"-","_")</f>
        <v>n983B5DE3_C10E_4D9C_8A17_A075D57C8158</v>
      </c>
    </row>
    <row r="22" spans="1:8" x14ac:dyDescent="0.35">
      <c r="A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E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F22" s="18" t="s">
        <v>4</v>
      </c>
      <c r="G22" s="12" t="s">
        <v>717</v>
      </c>
      <c r="H22" s="19" t="str" cm="1">
        <f t="array" ref="H22">"n"&amp;SUBSTITUTE(CreateGuidString(),"-","_")</f>
        <v>n8CFA1F86_0794_4BE1_97FD_84EB8D4DE8EE</v>
      </c>
    </row>
    <row r="23" spans="1:8" x14ac:dyDescent="0.35">
      <c r="A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3" s="12" t="s">
        <v>1967</v>
      </c>
      <c r="C23" s="13" t="s">
        <v>1966</v>
      </c>
      <c r="E23" s="18" t="str">
        <f>IF(NodesData[[#This Row],[Class Disambiguation]]="",NodesData[[#This Row],[Common Name]],NodesData[[#This Row],[Common Name]]&amp;" ("&amp;NodesData[[#This Row],[Class Disambiguation]]&amp;")")</f>
        <v>Motivation</v>
      </c>
      <c r="F23" s="12" t="s">
        <v>4</v>
      </c>
      <c r="H23" s="20" t="str" cm="1">
        <f t="array" ref="H23">"n"&amp;SUBSTITUTE(CreateGuidString(),"-","_")</f>
        <v>n3A287175_91FA_4103_92D6_8FF8624A4098</v>
      </c>
    </row>
    <row r="24" spans="1:8" x14ac:dyDescent="0.35">
      <c r="A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Motivations</v>
      </c>
      <c r="B24" s="31" t="s">
        <v>1950</v>
      </c>
      <c r="C24" s="13" t="s">
        <v>1949</v>
      </c>
      <c r="E24" s="18" t="str">
        <f>IF(NodesData[[#This Row],[Class Disambiguation]]="",NodesData[[#This Row],[Common Name]],NodesData[[#This Row],[Common Name]]&amp;" ("&amp;NodesData[[#This Row],[Class Disambiguation]]&amp;")")</f>
        <v>Motivations</v>
      </c>
      <c r="F24" s="18" t="s">
        <v>4</v>
      </c>
      <c r="H24" s="20" t="str" cm="1">
        <f t="array" ref="H24">"n"&amp;SUBSTITUTE(CreateGuidString(),"-","_")</f>
        <v>n491BB4C3_667B_475E_9F60_CF8DE5B76FEE</v>
      </c>
    </row>
    <row r="25" spans="1:8" x14ac:dyDescent="0.35">
      <c r="A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5" s="31" t="s">
        <v>1952</v>
      </c>
      <c r="C25" s="13" t="s">
        <v>1927</v>
      </c>
      <c r="E25" s="18" t="str">
        <f>IF(NodesData[[#This Row],[Class Disambiguation]]="",NodesData[[#This Row],[Common Name]],NodesData[[#This Row],[Common Name]]&amp;" ("&amp;NodesData[[#This Row],[Class Disambiguation]]&amp;")")</f>
        <v>Perpetrator</v>
      </c>
      <c r="F25" s="18" t="s">
        <v>4</v>
      </c>
      <c r="H25" s="20" t="str" cm="1">
        <f t="array" ref="H25">"n"&amp;SUBSTITUTE(CreateGuidString(),"-","_")</f>
        <v>nE8437671_8E3D_4E56_8B40_0F783248FFDE</v>
      </c>
    </row>
    <row r="26" spans="1:8" x14ac:dyDescent="0.35">
      <c r="A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6" s="32" t="s">
        <v>1951</v>
      </c>
      <c r="C26" s="13" t="s">
        <v>1928</v>
      </c>
      <c r="E26" s="18" t="str">
        <f>IF(NodesData[[#This Row],[Class Disambiguation]]="",NodesData[[#This Row],[Common Name]],NodesData[[#This Row],[Common Name]]&amp;" ("&amp;NodesData[[#This Row],[Class Disambiguation]]&amp;")")</f>
        <v>Victim</v>
      </c>
      <c r="F26" s="18" t="s">
        <v>4</v>
      </c>
      <c r="H26" s="20" t="str" cm="1">
        <f t="array" ref="H26">"n"&amp;SUBSTITUTE(CreateGuidString(),"-","_")</f>
        <v>n27ACEE2F_C622_4FA5_A7E2_76CC008B516D</v>
      </c>
    </row>
    <row r="27" spans="1:8" x14ac:dyDescent="0.35">
      <c r="A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7" s="12" t="s">
        <v>1264</v>
      </c>
      <c r="C27" s="13" t="s">
        <v>1374</v>
      </c>
      <c r="E27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G27" s="12" t="s">
        <v>552</v>
      </c>
      <c r="H27" s="19" t="str" cm="1">
        <f t="array" ref="H27">"n"&amp;SUBSTITUTE(CreateGuidString(),"-","_")</f>
        <v>n51BDBE0E_0D63_4D0D_8F6E_6C9DA791B6E6</v>
      </c>
    </row>
    <row r="28" spans="1:8" x14ac:dyDescent="0.35">
      <c r="A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8" s="12" t="s">
        <v>553</v>
      </c>
      <c r="C28" s="13" t="s">
        <v>1375</v>
      </c>
      <c r="E28" s="12" t="str">
        <f>IF(NodesData[[#This Row],[Class Disambiguation]]="",NodesData[[#This Row],[Common Name]],NodesData[[#This Row],[Common Name]]&amp;" ("&amp;NodesData[[#This Row],[Class Disambiguation]]&amp;")")</f>
        <v>Accreditation</v>
      </c>
      <c r="G28" s="12" t="s">
        <v>554</v>
      </c>
      <c r="H28" s="19" t="str" cm="1">
        <f t="array" ref="H28">"n"&amp;SUBSTITUTE(CreateGuidString(),"-","_")</f>
        <v>n32A0427C_F820_4717_90DF_BA2E80FD7D56</v>
      </c>
    </row>
    <row r="29" spans="1:8" x14ac:dyDescent="0.35">
      <c r="A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9" s="12" t="s">
        <v>555</v>
      </c>
      <c r="C29" s="13" t="s">
        <v>1376</v>
      </c>
      <c r="E29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G29" s="12" t="s">
        <v>556</v>
      </c>
      <c r="H29" s="19" t="str" cm="1">
        <f t="array" ref="H29">"n"&amp;SUBSTITUTE(CreateGuidString(),"-","_")</f>
        <v>n854596A6_0089_4FB0_8F02_0A47442D7800</v>
      </c>
    </row>
    <row r="30" spans="1:8" x14ac:dyDescent="0.35">
      <c r="A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30" s="12" t="s">
        <v>29</v>
      </c>
      <c r="C30" s="13" t="s">
        <v>1377</v>
      </c>
      <c r="D30" s="12" t="s">
        <v>1270</v>
      </c>
      <c r="E30" s="12" t="str">
        <f>IF(NodesData[[#This Row],[Class Disambiguation]]="",NodesData[[#This Row],[Common Name]],NodesData[[#This Row],[Common Name]]&amp;" ("&amp;NodesData[[#This Row],[Class Disambiguation]]&amp;")")</f>
        <v>AP (Acronym)</v>
      </c>
      <c r="G30" s="12" t="s">
        <v>557</v>
      </c>
      <c r="H30" s="19" t="str" cm="1">
        <f t="array" ref="H30">"n"&amp;SUBSTITUTE(CreateGuidString(),"-","_")</f>
        <v>nC3A86605_6361_4064_9F1C_9C6677F2311A</v>
      </c>
    </row>
    <row r="31" spans="1:8" x14ac:dyDescent="0.35">
      <c r="A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1" s="12" t="s">
        <v>558</v>
      </c>
      <c r="C31" s="13" t="s">
        <v>1378</v>
      </c>
      <c r="E31" s="12" t="str">
        <f>IF(NodesData[[#This Row],[Class Disambiguation]]="",NodesData[[#This Row],[Common Name]],NodesData[[#This Row],[Common Name]]&amp;" ("&amp;NodesData[[#This Row],[Class Disambiguation]]&amp;")")</f>
        <v>Applicant</v>
      </c>
      <c r="G31" s="12" t="s">
        <v>559</v>
      </c>
      <c r="H31" s="19" t="str" cm="1">
        <f t="array" ref="H31">"n"&amp;SUBSTITUTE(CreateGuidString(),"-","_")</f>
        <v>n10705704_D2A6_4BFA_9024_A1959449397D</v>
      </c>
    </row>
    <row r="32" spans="1:8" x14ac:dyDescent="0.35">
      <c r="A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2" s="12" t="s">
        <v>31</v>
      </c>
      <c r="C32" s="13" t="s">
        <v>1379</v>
      </c>
      <c r="E32" s="12" t="str">
        <f>IF(NodesData[[#This Row],[Class Disambiguation]]="",NodesData[[#This Row],[Common Name]],NodesData[[#This Row],[Common Name]]&amp;" ("&amp;NodesData[[#This Row],[Class Disambiguation]]&amp;")")</f>
        <v>Application</v>
      </c>
      <c r="G32" s="12" t="s">
        <v>560</v>
      </c>
      <c r="H32" s="19" t="str" cm="1">
        <f t="array" ref="H32">"n"&amp;SUBSTITUTE(CreateGuidString(),"-","_")</f>
        <v>n11C8FB9B_C914_42B7_AC8C_DE19D7915142</v>
      </c>
    </row>
    <row r="33" spans="1:8" x14ac:dyDescent="0.35">
      <c r="A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3" s="12" t="s">
        <v>561</v>
      </c>
      <c r="C33" s="13" t="s">
        <v>1380</v>
      </c>
      <c r="E33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G33" s="12" t="s">
        <v>562</v>
      </c>
      <c r="H33" s="19" t="str" cm="1">
        <f t="array" ref="H33">"n"&amp;SUBSTITUTE(CreateGuidString(),"-","_")</f>
        <v>nA210E5E7_D9A1_470A_A37D_A84A8BB6E1E5</v>
      </c>
    </row>
    <row r="34" spans="1:8" x14ac:dyDescent="0.35">
      <c r="A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4" s="12" t="s">
        <v>563</v>
      </c>
      <c r="C34" s="13" t="s">
        <v>1381</v>
      </c>
      <c r="E34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G34" s="12" t="s">
        <v>564</v>
      </c>
      <c r="H34" s="19" t="str" cm="1">
        <f t="array" ref="H34">"n"&amp;SUBSTITUTE(CreateGuidString(),"-","_")</f>
        <v>n3DB048D1_A1B6_4CBA_AA5F_BBC50F146EA9</v>
      </c>
    </row>
    <row r="35" spans="1:8" x14ac:dyDescent="0.35">
      <c r="A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5" s="12" t="s">
        <v>35</v>
      </c>
      <c r="C35" s="13" t="s">
        <v>1383</v>
      </c>
      <c r="E35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G35" s="12" t="s">
        <v>565</v>
      </c>
      <c r="H35" s="19" t="str" cm="1">
        <f t="array" ref="H35">"n"&amp;SUBSTITUTE(CreateGuidString(),"-","_")</f>
        <v>n77ADEC28_08C1_4D21_BBB8_2B51D2FF42B4</v>
      </c>
    </row>
    <row r="36" spans="1:8" x14ac:dyDescent="0.35">
      <c r="A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6" s="12" t="s">
        <v>566</v>
      </c>
      <c r="C36" s="13" t="s">
        <v>1384</v>
      </c>
      <c r="E36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G36" s="12" t="s">
        <v>567</v>
      </c>
      <c r="H36" s="19" t="str" cm="1">
        <f t="array" ref="H36">"n"&amp;SUBSTITUTE(CreateGuidString(),"-","_")</f>
        <v>n09A4DCEE_06C1_498C_987A_38733D741229</v>
      </c>
    </row>
    <row r="37" spans="1:8" x14ac:dyDescent="0.35">
      <c r="A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7" s="12" t="s">
        <v>37</v>
      </c>
      <c r="C37" s="13" t="s">
        <v>1385</v>
      </c>
      <c r="E37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G37" s="12" t="s">
        <v>568</v>
      </c>
      <c r="H37" s="19" t="str" cm="1">
        <f t="array" ref="H37">"n"&amp;SUBSTITUTE(CreateGuidString(),"-","_")</f>
        <v>n3A96D5FE_C6D1_4441_A6D5_84862748D9D2</v>
      </c>
    </row>
    <row r="38" spans="1:8" x14ac:dyDescent="0.35">
      <c r="A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8" s="12" t="s">
        <v>569</v>
      </c>
      <c r="C38" s="13" t="s">
        <v>1382</v>
      </c>
      <c r="E38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G38" s="12" t="s">
        <v>570</v>
      </c>
      <c r="H38" s="19" t="str" cm="1">
        <f t="array" ref="H38">"n"&amp;SUBSTITUTE(CreateGuidString(),"-","_")</f>
        <v>nAC0EB3EC_C633_44E2_899B_FF90C6837A20</v>
      </c>
    </row>
    <row r="39" spans="1:8" x14ac:dyDescent="0.35">
      <c r="A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Archive</v>
      </c>
      <c r="B39" s="12" t="s">
        <v>571</v>
      </c>
      <c r="C39" s="13" t="s">
        <v>1386</v>
      </c>
      <c r="E39" s="12" t="str">
        <f>IF(NodesData[[#This Row],[Class Disambiguation]]="",NodesData[[#This Row],[Common Name]],NodesData[[#This Row],[Common Name]]&amp;" ("&amp;NodesData[[#This Row],[Class Disambiguation]]&amp;")")</f>
        <v>Archive</v>
      </c>
      <c r="G39" s="12" t="s">
        <v>572</v>
      </c>
      <c r="H39" s="19" t="str" cm="1">
        <f t="array" ref="H39">"n"&amp;SUBSTITUTE(CreateGuidString(),"-","_")</f>
        <v>n96BA06CA_4894_4187_B65D_461048744CD7</v>
      </c>
    </row>
    <row r="40" spans="1:8" x14ac:dyDescent="0.35">
      <c r="A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40" s="12" t="s">
        <v>39</v>
      </c>
      <c r="C40" s="13" t="s">
        <v>1387</v>
      </c>
      <c r="D40" s="12" t="s">
        <v>1270</v>
      </c>
      <c r="E40" s="12" t="str">
        <f>IF(NodesData[[#This Row],[Class Disambiguation]]="",NodesData[[#This Row],[Common Name]],NodesData[[#This Row],[Common Name]]&amp;" ("&amp;NodesData[[#This Row],[Class Disambiguation]]&amp;")")</f>
        <v>ARM (Acronym)</v>
      </c>
      <c r="G40" s="12" t="s">
        <v>573</v>
      </c>
      <c r="H40" s="19" t="str" cm="1">
        <f t="array" ref="H40">"n"&amp;SUBSTITUTE(CreateGuidString(),"-","_")</f>
        <v>nD484BD87_D3AD_4115_8B7B_970111D9F380</v>
      </c>
    </row>
    <row r="41" spans="1:8" x14ac:dyDescent="0.35">
      <c r="A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1" s="12" t="s">
        <v>574</v>
      </c>
      <c r="C41" s="13" t="s">
        <v>1388</v>
      </c>
      <c r="E41" s="12" t="str">
        <f>IF(NodesData[[#This Row],[Class Disambiguation]]="",NodesData[[#This Row],[Common Name]],NodesData[[#This Row],[Common Name]]&amp;" ("&amp;NodesData[[#This Row],[Class Disambiguation]]&amp;")")</f>
        <v>Asset Custody</v>
      </c>
      <c r="G41" s="12" t="s">
        <v>575</v>
      </c>
      <c r="H41" s="19" t="str" cm="1">
        <f t="array" ref="H41">"n"&amp;SUBSTITUTE(CreateGuidString(),"-","_")</f>
        <v>n245C477D_DA49_440A_9FFD_8405344EE6AF</v>
      </c>
    </row>
    <row r="42" spans="1:8" x14ac:dyDescent="0.35">
      <c r="A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2" s="32" t="s">
        <v>1916</v>
      </c>
      <c r="C42" s="13" t="s">
        <v>1929</v>
      </c>
      <c r="E42" s="18" t="str">
        <f>IF(NodesData[[#This Row],[Class Disambiguation]]="",NodesData[[#This Row],[Common Name]],NodesData[[#This Row],[Common Name]]&amp;" ("&amp;NodesData[[#This Row],[Class Disambiguation]]&amp;")")</f>
        <v>Attack Class</v>
      </c>
      <c r="F42" s="18"/>
      <c r="H42" s="20" t="str" cm="1">
        <f t="array" ref="H42">"n"&amp;SUBSTITUTE(CreateGuidString(),"-","_")</f>
        <v>n6D5E598F_64D2_47BC_9349_8E9731D98242</v>
      </c>
    </row>
    <row r="43" spans="1:8" x14ac:dyDescent="0.35">
      <c r="A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3" s="12" t="s">
        <v>41</v>
      </c>
      <c r="C43" s="13" t="s">
        <v>1389</v>
      </c>
      <c r="E43" s="12" t="str">
        <f>IF(NodesData[[#This Row],[Class Disambiguation]]="",NodesData[[#This Row],[Common Name]],NodesData[[#This Row],[Common Name]]&amp;" ("&amp;NodesData[[#This Row],[Class Disambiguation]]&amp;")")</f>
        <v>Attestation</v>
      </c>
      <c r="G43" s="12" t="s">
        <v>576</v>
      </c>
      <c r="H43" s="19" t="str" cm="1">
        <f t="array" ref="H43">"n"&amp;SUBSTITUTE(CreateGuidString(),"-","_")</f>
        <v>n8947099F_AEEB_45A5_BCBB_F4793DCE10EF</v>
      </c>
    </row>
    <row r="44" spans="1:8" x14ac:dyDescent="0.35">
      <c r="A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4" s="12" t="s">
        <v>1265</v>
      </c>
      <c r="C44" s="13" t="s">
        <v>1390</v>
      </c>
      <c r="E44" s="12" t="str">
        <f>IF(NodesData[[#This Row],[Class Disambiguation]]="",NodesData[[#This Row],[Common Name]],NodesData[[#This Row],[Common Name]]&amp;" ("&amp;NodesData[[#This Row],[Class Disambiguation]]&amp;")")</f>
        <v>Attribute</v>
      </c>
      <c r="G44" s="12" t="s">
        <v>577</v>
      </c>
      <c r="H44" s="19" t="str" cm="1">
        <f t="array" ref="H44">"n"&amp;SUBSTITUTE(CreateGuidString(),"-","_")</f>
        <v>n87981E30_B0B7_4BE2_8E32_6228E1239008</v>
      </c>
    </row>
    <row r="45" spans="1:8" x14ac:dyDescent="0.35">
      <c r="A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5" s="12" t="s">
        <v>578</v>
      </c>
      <c r="C45" s="13" t="s">
        <v>1391</v>
      </c>
      <c r="E45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G45" s="12" t="s">
        <v>579</v>
      </c>
      <c r="H45" s="19" t="str" cm="1">
        <f t="array" ref="H45">"n"&amp;SUBSTITUTE(CreateGuidString(),"-","_")</f>
        <v>n04B59F4A_FDFC_45C5_8B81_6EBCF828F4C1</v>
      </c>
    </row>
    <row r="46" spans="1:8" x14ac:dyDescent="0.35">
      <c r="A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6" s="12" t="s">
        <v>580</v>
      </c>
      <c r="C46" s="13" t="s">
        <v>1392</v>
      </c>
      <c r="E46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G46" s="12" t="s">
        <v>581</v>
      </c>
      <c r="H46" s="19" t="str" cm="1">
        <f t="array" ref="H46">"n"&amp;SUBSTITUTE(CreateGuidString(),"-","_")</f>
        <v>nD7D61D70_6A37_473A_9D6A_15E02566C32C</v>
      </c>
    </row>
    <row r="47" spans="1:8" x14ac:dyDescent="0.35">
      <c r="A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7" s="12" t="s">
        <v>582</v>
      </c>
      <c r="C47" s="13" t="s">
        <v>1393</v>
      </c>
      <c r="E47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G47" s="12" t="s">
        <v>583</v>
      </c>
      <c r="H47" s="19" t="str" cm="1">
        <f t="array" ref="H47">"n"&amp;SUBSTITUTE(CreateGuidString(),"-","_")</f>
        <v>n17D53F46_EF56_4CBE_A46C_35CFE7F84EB0</v>
      </c>
    </row>
    <row r="48" spans="1:8" x14ac:dyDescent="0.35">
      <c r="A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8" s="12" t="s">
        <v>0</v>
      </c>
      <c r="C48" s="13" t="s">
        <v>1394</v>
      </c>
      <c r="E48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G48" s="12" t="s">
        <v>584</v>
      </c>
      <c r="H48" s="19" t="str" cm="1">
        <f t="array" ref="H48">"n"&amp;SUBSTITUTE(CreateGuidString(),"-","_")</f>
        <v>nAE96CB2C_DFB5_43A0_9021_F78BCAA00605</v>
      </c>
    </row>
    <row r="49" spans="1:8" x14ac:dyDescent="0.35">
      <c r="A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9" s="12" t="s">
        <v>1332</v>
      </c>
      <c r="C49" s="13" t="s">
        <v>1395</v>
      </c>
      <c r="E49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H49" s="19" t="str" cm="1">
        <f t="array" ref="H49">"n"&amp;SUBSTITUTE(CreateGuidString(),"-","_")</f>
        <v>nADAE93CC_1AE5_4C1F_80DB_31C4FB285E33</v>
      </c>
    </row>
    <row r="50" spans="1:8" x14ac:dyDescent="0.35">
      <c r="A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50" s="12" t="s">
        <v>585</v>
      </c>
      <c r="C50" s="13" t="s">
        <v>1396</v>
      </c>
      <c r="E50" s="12" t="str">
        <f>IF(NodesData[[#This Row],[Class Disambiguation]]="",NodesData[[#This Row],[Common Name]],NodesData[[#This Row],[Common Name]]&amp;" ("&amp;NodesData[[#This Row],[Class Disambiguation]]&amp;")")</f>
        <v>Authenticator</v>
      </c>
      <c r="G50" s="12" t="s">
        <v>586</v>
      </c>
      <c r="H50" s="19" t="str" cm="1">
        <f t="array" ref="H50">"n"&amp;SUBSTITUTE(CreateGuidString(),"-","_")</f>
        <v>n976BD022_BBD5_4195_80ED_E8636BD0FE2E</v>
      </c>
    </row>
    <row r="51" spans="1:8" x14ac:dyDescent="0.35">
      <c r="A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1" s="12" t="s">
        <v>587</v>
      </c>
      <c r="C51" s="13" t="s">
        <v>1397</v>
      </c>
      <c r="E51" s="12" t="str">
        <f>IF(NodesData[[#This Row],[Class Disambiguation]]="",NodesData[[#This Row],[Common Name]],NodesData[[#This Row],[Common Name]]&amp;" ("&amp;NodesData[[#This Row],[Class Disambiguation]]&amp;")")</f>
        <v>Authority</v>
      </c>
      <c r="G51" s="12" t="s">
        <v>588</v>
      </c>
      <c r="H51" s="19" t="str" cm="1">
        <f t="array" ref="H51">"n"&amp;SUBSTITUTE(CreateGuidString(),"-","_")</f>
        <v>nCF06F3D4_EFB3_4259_874F_6FAA544ACBBD</v>
      </c>
    </row>
    <row r="52" spans="1:8" x14ac:dyDescent="0.35">
      <c r="A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2" s="12" t="s">
        <v>589</v>
      </c>
      <c r="C52" s="13" t="s">
        <v>1398</v>
      </c>
      <c r="E52" s="12" t="str">
        <f>IF(NodesData[[#This Row],[Class Disambiguation]]="",NodesData[[#This Row],[Common Name]],NodesData[[#This Row],[Common Name]]&amp;" ("&amp;NodesData[[#This Row],[Class Disambiguation]]&amp;")")</f>
        <v>Authorization</v>
      </c>
      <c r="G52" s="12" t="s">
        <v>590</v>
      </c>
      <c r="H52" s="19" t="str" cm="1">
        <f t="array" ref="H52">"n"&amp;SUBSTITUTE(CreateGuidString(),"-","_")</f>
        <v>nE08F48EF_DF93_450B_A267_9802D7CA8311</v>
      </c>
    </row>
    <row r="53" spans="1:8" x14ac:dyDescent="0.35">
      <c r="A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3" s="12" t="s">
        <v>50</v>
      </c>
      <c r="C53" s="13" t="s">
        <v>1409</v>
      </c>
      <c r="E53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G53" s="12" t="s">
        <v>591</v>
      </c>
      <c r="H53" s="19" t="str" cm="1">
        <f t="array" ref="H53">"n"&amp;SUBSTITUTE(CreateGuidString(),"-","_")</f>
        <v>n10FE40FC_C8A5_437E_8261_E290DF6711D5</v>
      </c>
    </row>
    <row r="54" spans="1:8" x14ac:dyDescent="0.35">
      <c r="A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4" s="12" t="s">
        <v>592</v>
      </c>
      <c r="C54" s="13" t="s">
        <v>1399</v>
      </c>
      <c r="E54" s="12" t="str">
        <f>IF(NodesData[[#This Row],[Class Disambiguation]]="",NodesData[[#This Row],[Common Name]],NodesData[[#This Row],[Common Name]]&amp;" ("&amp;NodesData[[#This Row],[Class Disambiguation]]&amp;")")</f>
        <v>Awareness</v>
      </c>
      <c r="G54" s="12" t="s">
        <v>593</v>
      </c>
      <c r="H54" s="19" t="str" cm="1">
        <f t="array" ref="H54">"n"&amp;SUBSTITUTE(CreateGuidString(),"-","_")</f>
        <v>n7E9CB8CD_1431_4F1A_9B4F_A8AAADC68EF9</v>
      </c>
    </row>
    <row r="55" spans="1:8" x14ac:dyDescent="0.35">
      <c r="A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5" s="12" t="s">
        <v>594</v>
      </c>
      <c r="C55" s="13" t="s">
        <v>1400</v>
      </c>
      <c r="E55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G55" s="12" t="s">
        <v>595</v>
      </c>
      <c r="H55" s="19" t="str" cm="1">
        <f t="array" ref="H55">"n"&amp;SUBSTITUTE(CreateGuidString(),"-","_")</f>
        <v>n224CD8E2_F265_4FBC_9FF8_B7DD335CEEE9</v>
      </c>
    </row>
    <row r="56" spans="1:8" x14ac:dyDescent="0.35">
      <c r="A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6" s="12" t="s">
        <v>596</v>
      </c>
      <c r="C56" s="13" t="s">
        <v>1401</v>
      </c>
      <c r="D56" s="12" t="s">
        <v>1270</v>
      </c>
      <c r="E56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G56" s="12" t="s">
        <v>597</v>
      </c>
      <c r="H56" s="19" t="str" cm="1">
        <f t="array" ref="H56">"n"&amp;SUBSTITUTE(CreateGuidString(),"-","_")</f>
        <v>n1699A0CE_7013_4FBA_89A9_2DD5E8E8DE64</v>
      </c>
    </row>
    <row r="57" spans="1:8" x14ac:dyDescent="0.35">
      <c r="A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7" s="12" t="s">
        <v>600</v>
      </c>
      <c r="C57" s="13" t="s">
        <v>1403</v>
      </c>
      <c r="D57" s="12" t="s">
        <v>1270</v>
      </c>
      <c r="E57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G57" s="12" t="s">
        <v>601</v>
      </c>
      <c r="H57" s="19" t="str" cm="1">
        <f t="array" ref="H57">"n"&amp;SUBSTITUTE(CreateGuidString(),"-","_")</f>
        <v>nA6A6C93D_37C7_4424_816D_21C6D3666AC5</v>
      </c>
    </row>
    <row r="58" spans="1:8" x14ac:dyDescent="0.35">
      <c r="A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8" s="12" t="s">
        <v>602</v>
      </c>
      <c r="C58" s="13" t="s">
        <v>1404</v>
      </c>
      <c r="D58" s="12" t="s">
        <v>1270</v>
      </c>
      <c r="E58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G58" s="12" t="s">
        <v>603</v>
      </c>
      <c r="H58" s="19" t="str" cm="1">
        <f t="array" ref="H58">"n"&amp;SUBSTITUTE(CreateGuidString(),"-","_")</f>
        <v>n5F3A4963_AB1F_406A_974D_3DCB29C644BA</v>
      </c>
    </row>
    <row r="59" spans="1:8" x14ac:dyDescent="0.35">
      <c r="A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9" s="12" t="s">
        <v>604</v>
      </c>
      <c r="C59" s="13" t="s">
        <v>1405</v>
      </c>
      <c r="D59" s="12" t="s">
        <v>1270</v>
      </c>
      <c r="E59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G59" s="12" t="s">
        <v>605</v>
      </c>
      <c r="H59" s="19" t="str" cm="1">
        <f t="array" ref="H59">"n"&amp;SUBSTITUTE(CreateGuidString(),"-","_")</f>
        <v>n2593BA64_D592_413E_9A83_725834D381BC</v>
      </c>
    </row>
    <row r="60" spans="1:8" x14ac:dyDescent="0.35">
      <c r="A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60" s="12" t="s">
        <v>606</v>
      </c>
      <c r="C60" s="13" t="s">
        <v>1406</v>
      </c>
      <c r="D60" s="12" t="s">
        <v>1270</v>
      </c>
      <c r="E60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G60" s="12" t="s">
        <v>607</v>
      </c>
      <c r="H60" s="19" t="str" cm="1">
        <f t="array" ref="H60">"n"&amp;SUBSTITUTE(CreateGuidString(),"-","_")</f>
        <v>nFC17CC04_D31A_401A_938F_E43566507CF6</v>
      </c>
    </row>
    <row r="61" spans="1:8" x14ac:dyDescent="0.35">
      <c r="A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1" s="12" t="s">
        <v>608</v>
      </c>
      <c r="C61" s="13" t="s">
        <v>1407</v>
      </c>
      <c r="D61" s="12" t="s">
        <v>1270</v>
      </c>
      <c r="E61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G61" s="12" t="s">
        <v>609</v>
      </c>
      <c r="H61" s="19" t="str" cm="1">
        <f t="array" ref="H61">"n"&amp;SUBSTITUTE(CreateGuidString(),"-","_")</f>
        <v>nAB5A2AEA_48C3_40B9_8078_EFDA5FDA45BC</v>
      </c>
    </row>
    <row r="62" spans="1:8" x14ac:dyDescent="0.35">
      <c r="A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2" s="12" t="s">
        <v>610</v>
      </c>
      <c r="C62" s="13" t="s">
        <v>1408</v>
      </c>
      <c r="D62" s="12" t="s">
        <v>1270</v>
      </c>
      <c r="E62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G62" s="12" t="s">
        <v>611</v>
      </c>
      <c r="H62" s="19" t="str" cm="1">
        <f t="array" ref="H62">"n"&amp;SUBSTITUTE(CreateGuidString(),"-","_")</f>
        <v>n8E1DA99B_FD62_4717_93B3_2F5493DC567C</v>
      </c>
    </row>
    <row r="63" spans="1:8" x14ac:dyDescent="0.35">
      <c r="A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63" s="12" t="s">
        <v>598</v>
      </c>
      <c r="C63" s="13" t="s">
        <v>1402</v>
      </c>
      <c r="D63" s="12" t="s">
        <v>1270</v>
      </c>
      <c r="E63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G63" s="12" t="s">
        <v>599</v>
      </c>
      <c r="H63" s="19" t="str" cm="1">
        <f t="array" ref="H63">"n"&amp;SUBSTITUTE(CreateGuidString(),"-","_")</f>
        <v>n657EEF26_D3D8_4FD0_A690_A94F74F15363</v>
      </c>
    </row>
    <row r="64" spans="1:8" x14ac:dyDescent="0.35">
      <c r="A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4" s="12" t="s">
        <v>1301</v>
      </c>
      <c r="C64" s="13" t="s">
        <v>1412</v>
      </c>
      <c r="E64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H64" s="19" t="str" cm="1">
        <f t="array" ref="H64">"n"&amp;SUBSTITUTE(CreateGuidString(),"-","_")</f>
        <v>n561F724A_C6A5_4ABF_B6F6_FCD31726C99C</v>
      </c>
    </row>
    <row r="65" spans="1:8" x14ac:dyDescent="0.35">
      <c r="A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5" s="12" t="s">
        <v>612</v>
      </c>
      <c r="C65" s="13" t="s">
        <v>1410</v>
      </c>
      <c r="D65" s="12" t="s">
        <v>1270</v>
      </c>
      <c r="E65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G65" s="12" t="s">
        <v>613</v>
      </c>
      <c r="H65" s="19" t="str" cm="1">
        <f t="array" ref="H65">"n"&amp;SUBSTITUTE(CreateGuidString(),"-","_")</f>
        <v>n9A482E52_13D8_4DAE_AEB5_8C3922413D4C</v>
      </c>
    </row>
    <row r="66" spans="1:8" x14ac:dyDescent="0.35">
      <c r="A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6" s="12" t="s">
        <v>614</v>
      </c>
      <c r="C66" s="13" t="s">
        <v>1411</v>
      </c>
      <c r="E66" s="12" t="str">
        <f>IF(NodesData[[#This Row],[Class Disambiguation]]="",NodesData[[#This Row],[Common Name]],NodesData[[#This Row],[Common Name]]&amp;" ("&amp;NodesData[[#This Row],[Class Disambiguation]]&amp;")")</f>
        <v>Basic Z Rule</v>
      </c>
      <c r="G66" s="12" t="s">
        <v>615</v>
      </c>
      <c r="H66" s="19" t="str" cm="1">
        <f t="array" ref="H66">"n"&amp;SUBSTITUTE(CreateGuidString(),"-","_")</f>
        <v>nE3334F02_EB69_4BA1_AD60_240FBE4A14DF</v>
      </c>
    </row>
    <row r="67" spans="1:8" x14ac:dyDescent="0.35">
      <c r="A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7" s="12" t="s">
        <v>70</v>
      </c>
      <c r="C67" s="13" t="s">
        <v>1414</v>
      </c>
      <c r="E67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G67" s="12" t="s">
        <v>616</v>
      </c>
      <c r="H67" s="19" t="str" cm="1">
        <f t="array" ref="H67">"n"&amp;SUBSTITUTE(CreateGuidString(),"-","_")</f>
        <v>nE29247C3_D7A7_4101_A0C2_B005E07A14CF</v>
      </c>
    </row>
    <row r="68" spans="1:8" x14ac:dyDescent="0.35">
      <c r="A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8" s="12" t="s">
        <v>72</v>
      </c>
      <c r="C68" s="13" t="s">
        <v>1413</v>
      </c>
      <c r="E68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G68" s="12" t="s">
        <v>617</v>
      </c>
      <c r="H68" s="19" t="str" cm="1">
        <f t="array" ref="H68">"n"&amp;SUBSTITUTE(CreateGuidString(),"-","_")</f>
        <v>n8EDC055F_1647_4723_823E_50A76ECCEC68</v>
      </c>
    </row>
    <row r="69" spans="1:8" x14ac:dyDescent="0.35">
      <c r="A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9" s="12" t="s">
        <v>1302</v>
      </c>
      <c r="C69" s="13" t="s">
        <v>1420</v>
      </c>
      <c r="E69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H69" s="19" t="str" cm="1">
        <f t="array" ref="H69">"n"&amp;SUBSTITUTE(CreateGuidString(),"-","_")</f>
        <v>n736CC53A_63FA_4D25_A7BA_FFF8A68ABE1F</v>
      </c>
    </row>
    <row r="70" spans="1:8" x14ac:dyDescent="0.35">
      <c r="A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70" s="12" t="s">
        <v>618</v>
      </c>
      <c r="C70" s="13" t="s">
        <v>1415</v>
      </c>
      <c r="E70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G70" s="12" t="s">
        <v>619</v>
      </c>
      <c r="H70" s="19" t="str" cm="1">
        <f t="array" ref="H70">"n"&amp;SUBSTITUTE(CreateGuidString(),"-","_")</f>
        <v>n77D8E685_A3A7_41EA_8556_14931BED3C75</v>
      </c>
    </row>
    <row r="71" spans="1:8" x14ac:dyDescent="0.35">
      <c r="A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1" s="12" t="s">
        <v>620</v>
      </c>
      <c r="C71" s="13" t="s">
        <v>1416</v>
      </c>
      <c r="E71" s="12" t="str">
        <f>IF(NodesData[[#This Row],[Class Disambiguation]]="",NodesData[[#This Row],[Common Name]],NodesData[[#This Row],[Common Name]]&amp;" ("&amp;NodesData[[#This Row],[Class Disambiguation]]&amp;")")</f>
        <v>Biometrics</v>
      </c>
      <c r="G71" s="12" t="s">
        <v>621</v>
      </c>
      <c r="H71" s="19" t="str" cm="1">
        <f t="array" ref="H71">"n"&amp;SUBSTITUTE(CreateGuidString(),"-","_")</f>
        <v>n49ECB0B2_ABD1_483D_A791_321BE33C773F</v>
      </c>
    </row>
    <row r="72" spans="1:8" x14ac:dyDescent="0.35">
      <c r="A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2" s="12" t="s">
        <v>622</v>
      </c>
      <c r="C72" s="13" t="s">
        <v>1417</v>
      </c>
      <c r="E72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G72" s="12" t="s">
        <v>623</v>
      </c>
      <c r="H72" s="19" t="str" cm="1">
        <f t="array" ref="H72">"n"&amp;SUBSTITUTE(CreateGuidString(),"-","_")</f>
        <v>nA780E2C8_048C_4D16_AC67_5773077C043A</v>
      </c>
    </row>
    <row r="73" spans="1:8" x14ac:dyDescent="0.35">
      <c r="A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3" s="12" t="s">
        <v>624</v>
      </c>
      <c r="C73" s="13" t="s">
        <v>1418</v>
      </c>
      <c r="E73" s="12" t="str">
        <f>IF(NodesData[[#This Row],[Class Disambiguation]]="",NodesData[[#This Row],[Common Name]],NodesData[[#This Row],[Common Name]]&amp;" ("&amp;NodesData[[#This Row],[Class Disambiguation]]&amp;")")</f>
        <v>Blast Radius</v>
      </c>
      <c r="G73" s="12" t="s">
        <v>625</v>
      </c>
      <c r="H73" s="19" t="str" cm="1">
        <f t="array" ref="H73">"n"&amp;SUBSTITUTE(CreateGuidString(),"-","_")</f>
        <v>n64F7AEE0_72D3_4AFF_8DD9_C81C8264BBB5</v>
      </c>
    </row>
    <row r="74" spans="1:8" x14ac:dyDescent="0.35">
      <c r="A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4" s="12" t="s">
        <v>79</v>
      </c>
      <c r="C74" s="13" t="s">
        <v>1419</v>
      </c>
      <c r="E74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G74" s="12" t="s">
        <v>626</v>
      </c>
      <c r="H74" s="19" t="str" cm="1">
        <f t="array" ref="H74">"n"&amp;SUBSTITUTE(CreateGuidString(),"-","_")</f>
        <v>n5BB478AF_4124_4DB6_AB4A_B445215692AE</v>
      </c>
    </row>
    <row r="75" spans="1:8" x14ac:dyDescent="0.35">
      <c r="A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5" s="12" t="s">
        <v>1303</v>
      </c>
      <c r="C75" s="13" t="s">
        <v>1428</v>
      </c>
      <c r="E75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H75" s="19" t="str" cm="1">
        <f t="array" ref="H75">"n"&amp;SUBSTITUTE(CreateGuidString(),"-","_")</f>
        <v>n510B3B50_4320_4789_AA55_176B568FDAB7</v>
      </c>
    </row>
    <row r="76" spans="1:8" x14ac:dyDescent="0.35">
      <c r="A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Broker</v>
      </c>
      <c r="B76" s="12" t="s">
        <v>627</v>
      </c>
      <c r="C76" s="13" t="s">
        <v>1421</v>
      </c>
      <c r="E76" s="12" t="str">
        <f>IF(NodesData[[#This Row],[Class Disambiguation]]="",NodesData[[#This Row],[Common Name]],NodesData[[#This Row],[Common Name]]&amp;" ("&amp;NodesData[[#This Row],[Class Disambiguation]]&amp;")")</f>
        <v>Broker</v>
      </c>
      <c r="G76" s="12" t="s">
        <v>628</v>
      </c>
      <c r="H76" s="19" t="str" cm="1">
        <f t="array" ref="H76">"n"&amp;SUBSTITUTE(CreateGuidString(),"-","_")</f>
        <v>nB08E02F6_7124_44D5_9196_493A6EA45169</v>
      </c>
    </row>
    <row r="77" spans="1:8" x14ac:dyDescent="0.35">
      <c r="A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7" s="12" t="s">
        <v>81</v>
      </c>
      <c r="C77" s="13" t="s">
        <v>1422</v>
      </c>
      <c r="E77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G77" s="12" t="s">
        <v>629</v>
      </c>
      <c r="H77" s="19" t="str" cm="1">
        <f t="array" ref="H77">"n"&amp;SUBSTITUTE(CreateGuidString(),"-","_")</f>
        <v>n70320774_E261_427E_8DC9_1527B52B0A1D</v>
      </c>
    </row>
    <row r="78" spans="1:8" x14ac:dyDescent="0.35">
      <c r="A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Built-in</v>
      </c>
      <c r="B78" s="12" t="s">
        <v>630</v>
      </c>
      <c r="C78" s="13" t="s">
        <v>1423</v>
      </c>
      <c r="E78" s="12" t="str">
        <f>IF(NodesData[[#This Row],[Class Disambiguation]]="",NodesData[[#This Row],[Common Name]],NodesData[[#This Row],[Common Name]]&amp;" ("&amp;NodesData[[#This Row],[Class Disambiguation]]&amp;")")</f>
        <v>Built-in</v>
      </c>
      <c r="G78" s="12" t="s">
        <v>631</v>
      </c>
      <c r="H78" s="19" t="str" cm="1">
        <f t="array" ref="H78">"n"&amp;SUBSTITUTE(CreateGuidString(),"-","_")</f>
        <v>nD012C68A_5836_497D_B65B_2713FCBABEFC</v>
      </c>
    </row>
    <row r="79" spans="1:8" x14ac:dyDescent="0.35">
      <c r="A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9" s="12" t="s">
        <v>83</v>
      </c>
      <c r="C79" s="13" t="s">
        <v>1424</v>
      </c>
      <c r="D79" s="12" t="s">
        <v>1270</v>
      </c>
      <c r="E79" s="12" t="str">
        <f>IF(NodesData[[#This Row],[Class Disambiguation]]="",NodesData[[#This Row],[Common Name]],NodesData[[#This Row],[Common Name]]&amp;" ("&amp;NodesData[[#This Row],[Class Disambiguation]]&amp;")")</f>
        <v>BZR (Acronym)</v>
      </c>
      <c r="G79" s="12" t="s">
        <v>632</v>
      </c>
      <c r="H79" s="19" t="str" cm="1">
        <f t="array" ref="H79">"n"&amp;SUBSTITUTE(CreateGuidString(),"-","_")</f>
        <v>n598F41C7_BEEE_42FD_9148_322A01096EBC</v>
      </c>
    </row>
    <row r="80" spans="1:8" x14ac:dyDescent="0.35">
      <c r="A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80" s="12" t="s">
        <v>84</v>
      </c>
      <c r="C80" s="13" t="s">
        <v>1425</v>
      </c>
      <c r="E80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G80" s="12" t="s">
        <v>633</v>
      </c>
      <c r="H80" s="19" t="str" cm="1">
        <f t="array" ref="H80">"n"&amp;SUBSTITUTE(CreateGuidString(),"-","_")</f>
        <v>nEA996C62_9DD3_4B99_96BD_1C554C5746E4</v>
      </c>
    </row>
    <row r="81" spans="1:8" x14ac:dyDescent="0.35">
      <c r="A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1" s="12" t="s">
        <v>1348</v>
      </c>
      <c r="C81" s="13" t="s">
        <v>1910</v>
      </c>
      <c r="E81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81" s="18"/>
      <c r="H81" s="20" t="str" cm="1">
        <f t="array" ref="H81">"n"&amp;SUBSTITUTE(CreateGuidString(),"-","_")</f>
        <v>nD8B3D0BF_0C25_48E6_8F59_CA31311137F6</v>
      </c>
    </row>
    <row r="82" spans="1:8" x14ac:dyDescent="0.35">
      <c r="A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2" s="12" t="s">
        <v>1349</v>
      </c>
      <c r="C82" s="13" t="s">
        <v>1911</v>
      </c>
      <c r="E82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82" s="18"/>
      <c r="H82" s="20" t="str" cm="1">
        <f t="array" ref="H82">"n"&amp;SUBSTITUTE(CreateGuidString(),"-","_")</f>
        <v>n1387CAEB_99C2_4EF8_8453_05558A3767D7</v>
      </c>
    </row>
    <row r="83" spans="1:8" x14ac:dyDescent="0.35">
      <c r="A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3" s="12" t="s">
        <v>1350</v>
      </c>
      <c r="C83" s="13" t="s">
        <v>1912</v>
      </c>
      <c r="E83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3" s="18"/>
      <c r="H83" s="20" t="str" cm="1">
        <f t="array" ref="H83">"n"&amp;SUBSTITUTE(CreateGuidString(),"-","_")</f>
        <v>n7CD75E90_601A_4DD7_A640_5FF511D8A861</v>
      </c>
    </row>
    <row r="84" spans="1:8" x14ac:dyDescent="0.35">
      <c r="A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4" s="12" t="s">
        <v>1347</v>
      </c>
      <c r="C84" s="13" t="s">
        <v>1913</v>
      </c>
      <c r="E84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4" s="18"/>
      <c r="H84" s="20" t="str" cm="1">
        <f t="array" ref="H84">"n"&amp;SUBSTITUTE(CreateGuidString(),"-","_")</f>
        <v>n29C63507_32AD_460F_8DAF_A6E525F912A8</v>
      </c>
    </row>
    <row r="85" spans="1:8" x14ac:dyDescent="0.35">
      <c r="A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5" s="31" t="s">
        <v>1923</v>
      </c>
      <c r="C85" s="13" t="s">
        <v>1930</v>
      </c>
      <c r="E85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5" s="18"/>
      <c r="H85" s="20" t="str" cm="1">
        <f t="array" ref="H85">"n"&amp;SUBSTITUTE(CreateGuidString(),"-","_")</f>
        <v>n1DB7AD9B_CB35_4DAB_B409_69A597CC0F8E</v>
      </c>
    </row>
    <row r="86" spans="1:8" x14ac:dyDescent="0.35">
      <c r="A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6" s="12" t="s">
        <v>88</v>
      </c>
      <c r="C86" s="13" t="s">
        <v>1426</v>
      </c>
      <c r="D86" s="12" t="s">
        <v>1270</v>
      </c>
      <c r="E86" s="12" t="str">
        <f>IF(NodesData[[#This Row],[Class Disambiguation]]="",NodesData[[#This Row],[Common Name]],NodesData[[#This Row],[Common Name]]&amp;" ("&amp;NodesData[[#This Row],[Class Disambiguation]]&amp;")")</f>
        <v>CDD (Acronym)</v>
      </c>
      <c r="G86" s="12" t="s">
        <v>634</v>
      </c>
      <c r="H86" s="19" t="str" cm="1">
        <f t="array" ref="H86">"n"&amp;SUBSTITUTE(CreateGuidString(),"-","_")</f>
        <v>n111049CE_D500_45CE_B225_37DA89CD23C0</v>
      </c>
    </row>
    <row r="87" spans="1:8" x14ac:dyDescent="0.35">
      <c r="A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7" s="12" t="s">
        <v>635</v>
      </c>
      <c r="C87" s="13" t="s">
        <v>1427</v>
      </c>
      <c r="E87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G87" s="12" t="s">
        <v>636</v>
      </c>
      <c r="H87" s="19" t="str" cm="1">
        <f t="array" ref="H87">"n"&amp;SUBSTITUTE(CreateGuidString(),"-","_")</f>
        <v>n563C3360_C9DE_484D_844A_70EBC21AAF69</v>
      </c>
    </row>
    <row r="88" spans="1:8" x14ac:dyDescent="0.35">
      <c r="A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8" s="12" t="s">
        <v>1316</v>
      </c>
      <c r="C88" s="13" t="s">
        <v>1435</v>
      </c>
      <c r="E88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H88" s="19" t="str" cm="1">
        <f t="array" ref="H88">"n"&amp;SUBSTITUTE(CreateGuidString(),"-","_")</f>
        <v>nA5D7C972_0FFB_44FA_BBD9_1D39A7836A15</v>
      </c>
    </row>
    <row r="89" spans="1:8" x14ac:dyDescent="0.35">
      <c r="A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9" s="12" t="s">
        <v>637</v>
      </c>
      <c r="C89" s="13" t="s">
        <v>1429</v>
      </c>
      <c r="E89" s="12" t="str">
        <f>IF(NodesData[[#This Row],[Class Disambiguation]]="",NodesData[[#This Row],[Common Name]],NodesData[[#This Row],[Common Name]]&amp;" ("&amp;NodesData[[#This Row],[Class Disambiguation]]&amp;")")</f>
        <v>Certification</v>
      </c>
      <c r="G89" s="12" t="s">
        <v>638</v>
      </c>
      <c r="H89" s="19" t="str" cm="1">
        <f t="array" ref="H89">"n"&amp;SUBSTITUTE(CreateGuidString(),"-","_")</f>
        <v>n313F0A45_FEDC_42E6_9C7F_CCDB2A490C66</v>
      </c>
    </row>
    <row r="90" spans="1:8" x14ac:dyDescent="0.35">
      <c r="A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90" s="12" t="s">
        <v>91</v>
      </c>
      <c r="C90" s="13" t="s">
        <v>1430</v>
      </c>
      <c r="D90" s="12" t="s">
        <v>1270</v>
      </c>
      <c r="E90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G90" s="12" t="s">
        <v>639</v>
      </c>
      <c r="H90" s="19" t="str" cm="1">
        <f t="array" ref="H90">"n"&amp;SUBSTITUTE(CreateGuidString(),"-","_")</f>
        <v>n796E8AC4_4609_476F_82E7_B0599F65919F</v>
      </c>
    </row>
    <row r="91" spans="1:8" x14ac:dyDescent="0.35">
      <c r="A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</v>
      </c>
      <c r="B91" s="12" t="s">
        <v>92</v>
      </c>
      <c r="C91" s="13" t="s">
        <v>1431</v>
      </c>
      <c r="E91" s="12" t="str">
        <f>IF(NodesData[[#This Row],[Class Disambiguation]]="",NodesData[[#This Row],[Common Name]],NodesData[[#This Row],[Common Name]]&amp;" ("&amp;NodesData[[#This Row],[Class Disambiguation]]&amp;")")</f>
        <v>Claim</v>
      </c>
      <c r="G91" s="12" t="s">
        <v>640</v>
      </c>
      <c r="H91" s="19" t="str" cm="1">
        <f t="array" ref="H91">"n"&amp;SUBSTITUTE(CreateGuidString(),"-","_")</f>
        <v>n19404BC0_2278_48EA_90FE_3485C20B1063</v>
      </c>
    </row>
    <row r="92" spans="1:8" x14ac:dyDescent="0.35">
      <c r="A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2" s="12" t="s">
        <v>94</v>
      </c>
      <c r="C92" s="13" t="s">
        <v>1432</v>
      </c>
      <c r="E92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G92" s="12" t="s">
        <v>641</v>
      </c>
      <c r="H92" s="19" t="str" cm="1">
        <f t="array" ref="H92">"n"&amp;SUBSTITUTE(CreateGuidString(),"-","_")</f>
        <v>n4AF54F08_D8BF_4E2B_A5E0_9CC252E6D0AA</v>
      </c>
    </row>
    <row r="93" spans="1:8" x14ac:dyDescent="0.35">
      <c r="A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Claimant</v>
      </c>
      <c r="B93" s="12" t="s">
        <v>642</v>
      </c>
      <c r="C93" s="13" t="s">
        <v>1433</v>
      </c>
      <c r="E93" s="12" t="str">
        <f>IF(NodesData[[#This Row],[Class Disambiguation]]="",NodesData[[#This Row],[Common Name]],NodesData[[#This Row],[Common Name]]&amp;" ("&amp;NodesData[[#This Row],[Class Disambiguation]]&amp;")")</f>
        <v>Claimant</v>
      </c>
      <c r="G93" s="12" t="s">
        <v>643</v>
      </c>
      <c r="H93" s="19" t="str" cm="1">
        <f t="array" ref="H93">"n"&amp;SUBSTITUTE(CreateGuidString(),"-","_")</f>
        <v>nFAB46E72_6136_4E63_99C6_7C0988A91A36</v>
      </c>
    </row>
    <row r="94" spans="1:8" x14ac:dyDescent="0.35">
      <c r="A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4" s="12" t="s">
        <v>644</v>
      </c>
      <c r="C94" s="13" t="s">
        <v>1434</v>
      </c>
      <c r="E94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G94" s="12" t="s">
        <v>645</v>
      </c>
      <c r="H94" s="19" t="str" cm="1">
        <f t="array" ref="H94">"n"&amp;SUBSTITUTE(CreateGuidString(),"-","_")</f>
        <v>nBFFA2BE7_9E83_4EC0_9106_E4C98BD6734D</v>
      </c>
    </row>
    <row r="95" spans="1:8" x14ac:dyDescent="0.35">
      <c r="A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5" s="12" t="s">
        <v>96</v>
      </c>
      <c r="C95" s="13" t="s">
        <v>1444</v>
      </c>
      <c r="E95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G95" s="12" t="s">
        <v>646</v>
      </c>
      <c r="H95" s="19" t="str" cm="1">
        <f t="array" ref="H95">"n"&amp;SUBSTITUTE(CreateGuidString(),"-","_")</f>
        <v>n2917B221_D0FB_4E97_9E32_A8C236F744F6</v>
      </c>
    </row>
    <row r="96" spans="1:8" x14ac:dyDescent="0.35">
      <c r="A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6" s="12" t="s">
        <v>647</v>
      </c>
      <c r="C96" s="13" t="s">
        <v>1436</v>
      </c>
      <c r="E96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G96" s="12" t="s">
        <v>648</v>
      </c>
      <c r="H96" s="19" t="str" cm="1">
        <f t="array" ref="H96">"n"&amp;SUBSTITUTE(CreateGuidString(),"-","_")</f>
        <v>nE98371AF_70C5_4017_AD4D_D0D62C1E48CB</v>
      </c>
    </row>
    <row r="97" spans="1:8" x14ac:dyDescent="0.35">
      <c r="A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7" s="12" t="s">
        <v>649</v>
      </c>
      <c r="C97" s="13" t="s">
        <v>1437</v>
      </c>
      <c r="D97" s="12" t="s">
        <v>1270</v>
      </c>
      <c r="E97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G97" s="12" t="s">
        <v>650</v>
      </c>
      <c r="H97" s="19" t="str" cm="1">
        <f t="array" ref="H97">"n"&amp;SUBSTITUTE(CreateGuidString(),"-","_")</f>
        <v>nDC7F3EAD_742B_41C1_A689_9E244E784655</v>
      </c>
    </row>
    <row r="98" spans="1:8" x14ac:dyDescent="0.35">
      <c r="A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8" s="12" t="s">
        <v>651</v>
      </c>
      <c r="C98" s="13" t="s">
        <v>1438</v>
      </c>
      <c r="E98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G98" s="12" t="s">
        <v>652</v>
      </c>
      <c r="H98" s="19" t="str" cm="1">
        <f t="array" ref="H98">"n"&amp;SUBSTITUTE(CreateGuidString(),"-","_")</f>
        <v>n4A54F7AC_D28B_49DE_BFBB_BDBBFE125E20</v>
      </c>
    </row>
    <row r="99" spans="1:8" x14ac:dyDescent="0.35">
      <c r="A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9" s="12" t="s">
        <v>653</v>
      </c>
      <c r="C99" s="13" t="s">
        <v>1439</v>
      </c>
      <c r="E99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G99" s="12" t="s">
        <v>654</v>
      </c>
      <c r="H99" s="19" t="str" cm="1">
        <f t="array" ref="H99">"n"&amp;SUBSTITUTE(CreateGuidString(),"-","_")</f>
        <v>n3D04B18B_5EC5_4C7A_9018_43EF4045E859</v>
      </c>
    </row>
    <row r="100" spans="1:8" x14ac:dyDescent="0.35">
      <c r="A1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100" s="12" t="s">
        <v>101</v>
      </c>
      <c r="C100" s="13" t="s">
        <v>1440</v>
      </c>
      <c r="E100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G100" s="12" t="s">
        <v>655</v>
      </c>
      <c r="H100" s="19" t="str" cm="1">
        <f t="array" ref="H100">"n"&amp;SUBSTITUTE(CreateGuidString(),"-","_")</f>
        <v>nC5D0BE6D_2BBC_4040_B33C_A59A3CCFC2FE</v>
      </c>
    </row>
    <row r="101" spans="1:8" x14ac:dyDescent="0.35">
      <c r="A1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1" s="11" t="s">
        <v>1352</v>
      </c>
      <c r="C101" s="13" t="s">
        <v>1914</v>
      </c>
      <c r="E101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F101" s="18"/>
      <c r="H101" s="20" t="str" cm="1">
        <f t="array" ref="H101">"n"&amp;SUBSTITUTE(CreateGuidString(),"-","_")</f>
        <v>nBD875201_E3B3_42C1_9B3A_F43D49F447D7</v>
      </c>
    </row>
    <row r="102" spans="1:8" x14ac:dyDescent="0.35">
      <c r="A1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2" s="12" t="s">
        <v>656</v>
      </c>
      <c r="C102" s="13" t="s">
        <v>1441</v>
      </c>
      <c r="E102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G102" s="12" t="s">
        <v>657</v>
      </c>
      <c r="H102" s="19" t="str" cm="1">
        <f t="array" ref="H102">"n"&amp;SUBSTITUTE(CreateGuidString(),"-","_")</f>
        <v>nA1E25805_E2CA_482B_9147_40CA1E1F09DB</v>
      </c>
    </row>
    <row r="103" spans="1:8" x14ac:dyDescent="0.35">
      <c r="A1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3" s="12" t="s">
        <v>658</v>
      </c>
      <c r="C103" s="13" t="s">
        <v>1442</v>
      </c>
      <c r="E103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G103" s="12" t="s">
        <v>659</v>
      </c>
      <c r="H103" s="19" t="str" cm="1">
        <f t="array" ref="H103">"n"&amp;SUBSTITUTE(CreateGuidString(),"-","_")</f>
        <v>n55BC87CB_DCCF_4687_9062_EE55EA4D3B53</v>
      </c>
    </row>
    <row r="104" spans="1:8" x14ac:dyDescent="0.35">
      <c r="A1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4" s="12" t="s">
        <v>660</v>
      </c>
      <c r="C104" s="13" t="s">
        <v>1443</v>
      </c>
      <c r="E104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G104" s="12" t="s">
        <v>661</v>
      </c>
      <c r="H104" s="19" t="str" cm="1">
        <f t="array" ref="H104">"n"&amp;SUBSTITUTE(CreateGuidString(),"-","_")</f>
        <v>n2A6121B8_D5C5_46C1_AA76_9892BB0BE3CC</v>
      </c>
    </row>
    <row r="105" spans="1:8" x14ac:dyDescent="0.35">
      <c r="A1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5" s="12" t="s">
        <v>662</v>
      </c>
      <c r="C105" s="13" t="s">
        <v>1478</v>
      </c>
      <c r="E105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G105" s="12" t="s">
        <v>663</v>
      </c>
      <c r="H105" s="19" t="str" cm="1">
        <f t="array" ref="H105">"n"&amp;SUBSTITUTE(CreateGuidString(),"-","_")</f>
        <v>n948C7BB3_67FD_4E06_97A0_6F569FF61284</v>
      </c>
    </row>
    <row r="106" spans="1:8" x14ac:dyDescent="0.35">
      <c r="A1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6" s="11" t="s">
        <v>1337</v>
      </c>
      <c r="C106" s="13" t="s">
        <v>1848</v>
      </c>
      <c r="E106" s="18" t="str">
        <f>IF(NodesData[[#This Row],[Class Disambiguation]]="",NodesData[[#This Row],[Common Name]],NodesData[[#This Row],[Common Name]]&amp;" ("&amp;NodesData[[#This Row],[Class Disambiguation]]&amp;")")</f>
        <v>Control Class</v>
      </c>
      <c r="F106" s="18"/>
      <c r="H106" s="20" t="str" cm="1">
        <f t="array" ref="H106">"n"&amp;SUBSTITUTE(CreateGuidString(),"-","_")</f>
        <v>n4F427BA9_8199_4289_BBBB_27EDEC93DF6E</v>
      </c>
    </row>
    <row r="107" spans="1:8" x14ac:dyDescent="0.35">
      <c r="A1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7" s="12" t="s">
        <v>664</v>
      </c>
      <c r="C107" s="13" t="s">
        <v>1445</v>
      </c>
      <c r="E107" s="12" t="str">
        <f>IF(NodesData[[#This Row],[Class Disambiguation]]="",NodesData[[#This Row],[Common Name]],NodesData[[#This Row],[Common Name]]&amp;" ("&amp;NodesData[[#This Row],[Class Disambiguation]]&amp;")")</f>
        <v>Control Party</v>
      </c>
      <c r="G107" s="12" t="s">
        <v>665</v>
      </c>
      <c r="H107" s="19" t="str" cm="1">
        <f t="array" ref="H107">"n"&amp;SUBSTITUTE(CreateGuidString(),"-","_")</f>
        <v>n371E1A38_D842_46E5_8E68_6D731D8928BD</v>
      </c>
    </row>
    <row r="108" spans="1:8" x14ac:dyDescent="0.35">
      <c r="A1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8" s="12" t="s">
        <v>666</v>
      </c>
      <c r="C108" s="13" t="s">
        <v>1446</v>
      </c>
      <c r="E108" s="12" t="str">
        <f>IF(NodesData[[#This Row],[Class Disambiguation]]="",NodesData[[#This Row],[Common Name]],NodesData[[#This Row],[Common Name]]&amp;" ("&amp;NodesData[[#This Row],[Class Disambiguation]]&amp;")")</f>
        <v>Core Identity</v>
      </c>
      <c r="G108" s="12" t="s">
        <v>667</v>
      </c>
      <c r="H108" s="19" t="str" cm="1">
        <f t="array" ref="H108">"n"&amp;SUBSTITUTE(CreateGuidString(),"-","_")</f>
        <v>n0224587E_16DB_4639_AFDE_1AC08B8F4FA1</v>
      </c>
    </row>
    <row r="109" spans="1:8" x14ac:dyDescent="0.35">
      <c r="A1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9" s="12" t="s">
        <v>117</v>
      </c>
      <c r="C109" s="13" t="s">
        <v>1447</v>
      </c>
      <c r="E109" s="12" t="str">
        <f>IF(NodesData[[#This Row],[Class Disambiguation]]="",NodesData[[#This Row],[Common Name]],NodesData[[#This Row],[Common Name]]&amp;" ("&amp;NodesData[[#This Row],[Class Disambiguation]]&amp;")")</f>
        <v>Credential</v>
      </c>
      <c r="G109" s="12" t="s">
        <v>668</v>
      </c>
      <c r="H109" s="19" t="str" cm="1">
        <f t="array" ref="H109">"n"&amp;SUBSTITUTE(CreateGuidString(),"-","_")</f>
        <v>n70E70BC6_27A8_47FD_905F_C8B68939E9F3</v>
      </c>
    </row>
    <row r="110" spans="1:8" x14ac:dyDescent="0.35">
      <c r="A1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10" s="12" t="s">
        <v>118</v>
      </c>
      <c r="C110" s="13" t="s">
        <v>1448</v>
      </c>
      <c r="E110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G110" s="12" t="s">
        <v>669</v>
      </c>
      <c r="H110" s="19" t="str" cm="1">
        <f t="array" ref="H110">"n"&amp;SUBSTITUTE(CreateGuidString(),"-","_")</f>
        <v>nE6075592_CA0D_4D10_946F_AF06665CF181</v>
      </c>
    </row>
    <row r="111" spans="1:8" x14ac:dyDescent="0.35">
      <c r="A1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1" s="12" t="s">
        <v>670</v>
      </c>
      <c r="C111" s="13" t="s">
        <v>1449</v>
      </c>
      <c r="E111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G111" s="12" t="s">
        <v>671</v>
      </c>
      <c r="H111" s="19" t="str" cm="1">
        <f t="array" ref="H111">"n"&amp;SUBSTITUTE(CreateGuidString(),"-","_")</f>
        <v>nEA82FB16_3066_41C9_863B_8237D1AD3BCD</v>
      </c>
    </row>
    <row r="112" spans="1:8" x14ac:dyDescent="0.35">
      <c r="A1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2" s="12" t="s">
        <v>120</v>
      </c>
      <c r="C112" s="13" t="s">
        <v>1450</v>
      </c>
      <c r="E112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G112" s="12" t="s">
        <v>672</v>
      </c>
      <c r="H112" s="19" t="str" cm="1">
        <f t="array" ref="H112">"n"&amp;SUBSTITUTE(CreateGuidString(),"-","_")</f>
        <v>n89DBF487_4BE6_49DD_B0AF_DBBE1E37149E</v>
      </c>
    </row>
    <row r="113" spans="1:8" x14ac:dyDescent="0.35">
      <c r="A1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3" s="12" t="s">
        <v>673</v>
      </c>
      <c r="C113" s="13" t="s">
        <v>1451</v>
      </c>
      <c r="E113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G113" s="12" t="s">
        <v>674</v>
      </c>
      <c r="H113" s="19" t="str" cm="1">
        <f t="array" ref="H113">"n"&amp;SUBSTITUTE(CreateGuidString(),"-","_")</f>
        <v>nBE85E2CA_B8EC_4EE5_B39B_0B0043675C78</v>
      </c>
    </row>
    <row r="114" spans="1:8" x14ac:dyDescent="0.35">
      <c r="A1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4" s="12" t="s">
        <v>675</v>
      </c>
      <c r="C114" s="13" t="s">
        <v>1452</v>
      </c>
      <c r="E114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G114" s="12" t="s">
        <v>676</v>
      </c>
      <c r="H114" s="19" t="str" cm="1">
        <f t="array" ref="H114">"n"&amp;SUBSTITUTE(CreateGuidString(),"-","_")</f>
        <v>nF9FFFC5F_43CF_41E8_91E6_2E52E6948DD2</v>
      </c>
    </row>
    <row r="115" spans="1:8" x14ac:dyDescent="0.35">
      <c r="A1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5" s="12" t="s">
        <v>123</v>
      </c>
      <c r="C115" s="13" t="s">
        <v>1453</v>
      </c>
      <c r="D115" s="12" t="s">
        <v>1270</v>
      </c>
      <c r="E115" s="12" t="str">
        <f>IF(NodesData[[#This Row],[Class Disambiguation]]="",NodesData[[#This Row],[Common Name]],NodesData[[#This Row],[Common Name]]&amp;" ("&amp;NodesData[[#This Row],[Class Disambiguation]]&amp;")")</f>
        <v>CSC (Acronym)</v>
      </c>
      <c r="G115" s="12" t="s">
        <v>677</v>
      </c>
      <c r="H115" s="19" t="str" cm="1">
        <f t="array" ref="H115">"n"&amp;SUBSTITUTE(CreateGuidString(),"-","_")</f>
        <v>nACB0B86F_C664_42C0_9520_904F3999AC21</v>
      </c>
    </row>
    <row r="116" spans="1:8" x14ac:dyDescent="0.35">
      <c r="A1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6" s="12" t="s">
        <v>124</v>
      </c>
      <c r="C116" s="13" t="s">
        <v>1454</v>
      </c>
      <c r="D116" s="12" t="s">
        <v>1270</v>
      </c>
      <c r="E116" s="12" t="str">
        <f>IF(NodesData[[#This Row],[Class Disambiguation]]="",NodesData[[#This Row],[Common Name]],NodesData[[#This Row],[Common Name]]&amp;" ("&amp;NodesData[[#This Row],[Class Disambiguation]]&amp;")")</f>
        <v>CSP (Acronym)</v>
      </c>
      <c r="G116" s="12" t="s">
        <v>678</v>
      </c>
      <c r="H116" s="19" t="str" cm="1">
        <f t="array" ref="H116">"n"&amp;SUBSTITUTE(CreateGuidString(),"-","_")</f>
        <v>n73960E35_470B_4CA7_BB88_96A2ADDA5CB6</v>
      </c>
    </row>
    <row r="117" spans="1:8" x14ac:dyDescent="0.35">
      <c r="A1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7" s="12" t="s">
        <v>125</v>
      </c>
      <c r="C117" s="13" t="s">
        <v>1455</v>
      </c>
      <c r="D117" s="12" t="s">
        <v>1270</v>
      </c>
      <c r="E117" s="12" t="str">
        <f>IF(NodesData[[#This Row],[Class Disambiguation]]="",NodesData[[#This Row],[Common Name]],NodesData[[#This Row],[Common Name]]&amp;" ("&amp;NodesData[[#This Row],[Class Disambiguation]]&amp;")")</f>
        <v>CSU (Acronym)</v>
      </c>
      <c r="G117" s="12" t="s">
        <v>679</v>
      </c>
      <c r="H117" s="19" t="str" cm="1">
        <f t="array" ref="H117">"n"&amp;SUBSTITUTE(CreateGuidString(),"-","_")</f>
        <v>nE4AC6D80_9E7E_4EDC_8359_FD71A7752B40</v>
      </c>
    </row>
    <row r="118" spans="1:8" x14ac:dyDescent="0.35">
      <c r="A1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8" s="12" t="s">
        <v>680</v>
      </c>
      <c r="C118" s="13" t="s">
        <v>1456</v>
      </c>
      <c r="E118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G118" s="12" t="s">
        <v>681</v>
      </c>
      <c r="H118" s="19" t="str" cm="1">
        <f t="array" ref="H118">"n"&amp;SUBSTITUTE(CreateGuidString(),"-","_")</f>
        <v>nC8DDE92A_9950_46C8_A23F_927F5F6D34A9</v>
      </c>
    </row>
    <row r="119" spans="1:8" x14ac:dyDescent="0.35">
      <c r="A1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9" s="12" t="s">
        <v>682</v>
      </c>
      <c r="C119" s="13" t="s">
        <v>1457</v>
      </c>
      <c r="E119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G119" s="12" t="s">
        <v>683</v>
      </c>
      <c r="H119" s="19" t="str" cm="1">
        <f t="array" ref="H119">"n"&amp;SUBSTITUTE(CreateGuidString(),"-","_")</f>
        <v>n7B974907_AAA2_47C3_8D61_AB04CCE013F0</v>
      </c>
    </row>
    <row r="120" spans="1:8" x14ac:dyDescent="0.35">
      <c r="A1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20" s="12" t="s">
        <v>684</v>
      </c>
      <c r="C120" s="13" t="s">
        <v>1458</v>
      </c>
      <c r="E120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G120" s="12" t="s">
        <v>685</v>
      </c>
      <c r="H120" s="19" t="str" cm="1">
        <f t="array" ref="H120">"n"&amp;SUBSTITUTE(CreateGuidString(),"-","_")</f>
        <v>nD2DF8A57_DAB3_4DBD_B24E_5EE29FBFF153</v>
      </c>
    </row>
    <row r="121" spans="1:8" x14ac:dyDescent="0.35">
      <c r="A1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1" s="12" t="s">
        <v>686</v>
      </c>
      <c r="C121" s="13" t="s">
        <v>1459</v>
      </c>
      <c r="E121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G121" s="12" t="s">
        <v>687</v>
      </c>
      <c r="H121" s="19" t="str" cm="1">
        <f t="array" ref="H121">"n"&amp;SUBSTITUTE(CreateGuidString(),"-","_")</f>
        <v>n3AE92E1E_5BB8_458A_B1E1_126EC00E2BCE</v>
      </c>
    </row>
    <row r="122" spans="1:8" x14ac:dyDescent="0.35">
      <c r="A1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2" s="12" t="s">
        <v>688</v>
      </c>
      <c r="C122" s="13" t="s">
        <v>1460</v>
      </c>
      <c r="E122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G122" s="12" t="s">
        <v>689</v>
      </c>
      <c r="H122" s="19" t="str" cm="1">
        <f t="array" ref="H122">"n"&amp;SUBSTITUTE(CreateGuidString(),"-","_")</f>
        <v>n02F47EE7_527A_45AF_8DF8_5DE44C4A5308</v>
      </c>
    </row>
    <row r="123" spans="1:8" x14ac:dyDescent="0.35">
      <c r="A1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3" s="12" t="s">
        <v>690</v>
      </c>
      <c r="C123" s="13" t="s">
        <v>1461</v>
      </c>
      <c r="E123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G123" s="12" t="s">
        <v>691</v>
      </c>
      <c r="H123" s="19" t="str" cm="1">
        <f t="array" ref="H123">"n"&amp;SUBSTITUTE(CreateGuidString(),"-","_")</f>
        <v>nE8909F74_9EB7_4CB6_A612_5F0A345EEBFC</v>
      </c>
    </row>
    <row r="124" spans="1:8" x14ac:dyDescent="0.35">
      <c r="A1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4" s="12" t="s">
        <v>132</v>
      </c>
      <c r="C124" s="13" t="s">
        <v>1462</v>
      </c>
      <c r="E124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G124" s="12" t="s">
        <v>692</v>
      </c>
      <c r="H124" s="19" t="str" cm="1">
        <f t="array" ref="H124">"n"&amp;SUBSTITUTE(CreateGuidString(),"-","_")</f>
        <v>n7F4FEFB4_D9A0_4DF0_9B6F_E6F4D74F41C1</v>
      </c>
    </row>
    <row r="125" spans="1:8" x14ac:dyDescent="0.35">
      <c r="A1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5" s="12" t="s">
        <v>133</v>
      </c>
      <c r="C125" s="13" t="s">
        <v>1463</v>
      </c>
      <c r="D125" s="12" t="s">
        <v>1270</v>
      </c>
      <c r="E125" s="12" t="str">
        <f>IF(NodesData[[#This Row],[Class Disambiguation]]="",NodesData[[#This Row],[Common Name]],NodesData[[#This Row],[Common Name]]&amp;" ("&amp;NodesData[[#This Row],[Class Disambiguation]]&amp;")")</f>
        <v>DAC (Acronym)</v>
      </c>
      <c r="G125" s="12" t="s">
        <v>693</v>
      </c>
      <c r="H125" s="19" t="str" cm="1">
        <f t="array" ref="H125">"n"&amp;SUBSTITUTE(CreateGuidString(),"-","_")</f>
        <v>n3E6CBE2C_6A31_4A8E_BC5A_294E311E79A8</v>
      </c>
    </row>
    <row r="126" spans="1:8" x14ac:dyDescent="0.35">
      <c r="A1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</v>
      </c>
      <c r="B126" s="12" t="s">
        <v>1345</v>
      </c>
      <c r="C126" s="13" t="s">
        <v>1841</v>
      </c>
      <c r="E126" s="18" t="str">
        <f>IF(NodesData[[#This Row],[Class Disambiguation]]="",NodesData[[#This Row],[Common Name]],NodesData[[#This Row],[Common Name]]&amp;" ("&amp;NodesData[[#This Row],[Class Disambiguation]]&amp;")")</f>
        <v>Data</v>
      </c>
      <c r="F126" s="18"/>
      <c r="H126" s="19" t="str" cm="1">
        <f t="array" ref="H126">"n"&amp;SUBSTITUTE(CreateGuidString(),"-","_")</f>
        <v>n0E1B0CDD_AD64_4B33_9CCA_84CC0197BDC6</v>
      </c>
    </row>
    <row r="127" spans="1:8" x14ac:dyDescent="0.35">
      <c r="A1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7" s="12" t="s">
        <v>134</v>
      </c>
      <c r="C127" s="13" t="s">
        <v>1464</v>
      </c>
      <c r="E127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G127" s="12" t="s">
        <v>694</v>
      </c>
      <c r="H127" s="19" t="str" cm="1">
        <f t="array" ref="H127">"n"&amp;SUBSTITUTE(CreateGuidString(),"-","_")</f>
        <v>n80C631A3_88BB_49B1_8D4C_2BB887CF9F78</v>
      </c>
    </row>
    <row r="128" spans="1:8" x14ac:dyDescent="0.35">
      <c r="A1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8" s="12" t="s">
        <v>695</v>
      </c>
      <c r="C128" s="13" t="s">
        <v>1465</v>
      </c>
      <c r="E128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G128" s="12" t="s">
        <v>696</v>
      </c>
      <c r="H128" s="19" t="str" cm="1">
        <f t="array" ref="H128">"n"&amp;SUBSTITUTE(CreateGuidString(),"-","_")</f>
        <v>n5AFD73C0_2B27_452F_8332_9995DF29D1A0</v>
      </c>
    </row>
    <row r="129" spans="1:8" x14ac:dyDescent="0.35">
      <c r="A1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9" s="12" t="s">
        <v>697</v>
      </c>
      <c r="C129" s="13" t="s">
        <v>1467</v>
      </c>
      <c r="E129" s="12" t="str">
        <f>IF(NodesData[[#This Row],[Class Disambiguation]]="",NodesData[[#This Row],[Common Name]],NodesData[[#This Row],[Common Name]]&amp;" ("&amp;NodesData[[#This Row],[Class Disambiguation]]&amp;")")</f>
        <v>Data Lineage</v>
      </c>
      <c r="G129" s="12" t="s">
        <v>698</v>
      </c>
      <c r="H129" s="19" t="str" cm="1">
        <f t="array" ref="H129">"n"&amp;SUBSTITUTE(CreateGuidString(),"-","_")</f>
        <v>nFA5EA1D8_05D1_49C6_AAC4_DB7BBFA034CF</v>
      </c>
    </row>
    <row r="130" spans="1:8" x14ac:dyDescent="0.35">
      <c r="A1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30" s="12" t="s">
        <v>699</v>
      </c>
      <c r="C130" s="13" t="s">
        <v>1468</v>
      </c>
      <c r="E130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G130" s="12" t="s">
        <v>700</v>
      </c>
      <c r="H130" s="19" t="str" cm="1">
        <f t="array" ref="H130">"n"&amp;SUBSTITUTE(CreateGuidString(),"-","_")</f>
        <v>n4032BF9E_0BC0_455D_9CC5_07ED57A0A777</v>
      </c>
    </row>
    <row r="131" spans="1:8" x14ac:dyDescent="0.35">
      <c r="A1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1" s="12" t="s">
        <v>1346</v>
      </c>
      <c r="C131" s="13" t="s">
        <v>1843</v>
      </c>
      <c r="E131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F131" s="18"/>
      <c r="H131" s="20" t="str" cm="1">
        <f t="array" ref="H131">"n"&amp;SUBSTITUTE(CreateGuidString(),"-","_")</f>
        <v>n3247E42F_1B19_44F4_A295_F0EA4B9C6100</v>
      </c>
    </row>
    <row r="132" spans="1:8" x14ac:dyDescent="0.35">
      <c r="A1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2" s="12" t="s">
        <v>701</v>
      </c>
      <c r="C132" s="13" t="s">
        <v>1469</v>
      </c>
      <c r="E132" s="12" t="str">
        <f>IF(NodesData[[#This Row],[Class Disambiguation]]="",NodesData[[#This Row],[Common Name]],NodesData[[#This Row],[Common Name]]&amp;" ("&amp;NodesData[[#This Row],[Class Disambiguation]]&amp;")")</f>
        <v>Data Owner</v>
      </c>
      <c r="G132" s="12" t="s">
        <v>702</v>
      </c>
      <c r="H132" s="19" t="str" cm="1">
        <f t="array" ref="H132">"n"&amp;SUBSTITUTE(CreateGuidString(),"-","_")</f>
        <v>nA72100FD_6034_44D1_97CF_29122F18C9F6</v>
      </c>
    </row>
    <row r="133" spans="1:8" x14ac:dyDescent="0.35">
      <c r="A1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3" s="12" t="s">
        <v>703</v>
      </c>
      <c r="C133" s="13" t="s">
        <v>1466</v>
      </c>
      <c r="E133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G133" s="12" t="s">
        <v>704</v>
      </c>
      <c r="H133" s="19" t="str" cm="1">
        <f t="array" ref="H133">"n"&amp;SUBSTITUTE(CreateGuidString(),"-","_")</f>
        <v>n1C71646A_9F92_4EB5_9080_E2377989CB5E</v>
      </c>
    </row>
    <row r="134" spans="1:8" x14ac:dyDescent="0.35">
      <c r="A1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4" s="12" t="s">
        <v>705</v>
      </c>
      <c r="C134" s="13" t="s">
        <v>1471</v>
      </c>
      <c r="E134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G134" s="12" t="s">
        <v>706</v>
      </c>
      <c r="H134" s="19" t="str" cm="1">
        <f t="array" ref="H134">"n"&amp;SUBSTITUTE(CreateGuidString(),"-","_")</f>
        <v>nF585062B_8ABC_405D_8208_6934084BE12D</v>
      </c>
    </row>
    <row r="135" spans="1:8" x14ac:dyDescent="0.35">
      <c r="A1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5" s="12" t="s">
        <v>707</v>
      </c>
      <c r="C135" s="13" t="s">
        <v>1472</v>
      </c>
      <c r="E135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G135" s="12" t="s">
        <v>708</v>
      </c>
      <c r="H135" s="19" t="str" cm="1">
        <f t="array" ref="H135">"n"&amp;SUBSTITUTE(CreateGuidString(),"-","_")</f>
        <v>n5C6E3E57_902A_4981_86DD_86B953BBCF3A</v>
      </c>
    </row>
    <row r="136" spans="1:8" x14ac:dyDescent="0.35">
      <c r="A1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6" s="12" t="s">
        <v>709</v>
      </c>
      <c r="C136" s="13" t="s">
        <v>1470</v>
      </c>
      <c r="E136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G136" s="12" t="s">
        <v>710</v>
      </c>
      <c r="H136" s="19" t="str" cm="1">
        <f t="array" ref="H136">"n"&amp;SUBSTITUTE(CreateGuidString(),"-","_")</f>
        <v>nBDD3F3E3_D0FB_4D9D_95C6_27B713E238E8</v>
      </c>
    </row>
    <row r="137" spans="1:8" x14ac:dyDescent="0.35">
      <c r="A1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7" s="12" t="s">
        <v>711</v>
      </c>
      <c r="C137" s="13" t="s">
        <v>1473</v>
      </c>
      <c r="E137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G137" s="12" t="s">
        <v>712</v>
      </c>
      <c r="H137" s="19" t="str" cm="1">
        <f t="array" ref="H137">"n"&amp;SUBSTITUTE(CreateGuidString(),"-","_")</f>
        <v>n925F505C_ABBB_4AB0_8B40_914550C70925</v>
      </c>
    </row>
    <row r="138" spans="1:8" x14ac:dyDescent="0.35">
      <c r="A1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8" s="12" t="s">
        <v>145</v>
      </c>
      <c r="C138" s="13" t="s">
        <v>1474</v>
      </c>
      <c r="D138" s="12" t="s">
        <v>1270</v>
      </c>
      <c r="E138" s="12" t="str">
        <f>IF(NodesData[[#This Row],[Class Disambiguation]]="",NodesData[[#This Row],[Common Name]],NodesData[[#This Row],[Common Name]]&amp;" ("&amp;NodesData[[#This Row],[Class Disambiguation]]&amp;")")</f>
        <v>DID (Acronym)</v>
      </c>
      <c r="G138" s="12" t="s">
        <v>713</v>
      </c>
      <c r="H138" s="19" t="str" cm="1">
        <f t="array" ref="H138">"n"&amp;SUBSTITUTE(CreateGuidString(),"-","_")</f>
        <v>n523E545E_72E4_4BD8_BE0C_33A92AD341E8</v>
      </c>
    </row>
    <row r="139" spans="1:8" x14ac:dyDescent="0.35">
      <c r="A1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9" s="12" t="s">
        <v>714</v>
      </c>
      <c r="C139" s="13" t="s">
        <v>1475</v>
      </c>
      <c r="E139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G139" s="12" t="s">
        <v>715</v>
      </c>
      <c r="H139" s="19" t="str" cm="1">
        <f t="array" ref="H139">"n"&amp;SUBSTITUTE(CreateGuidString(),"-","_")</f>
        <v>nBF66E05E_25B1_4654_93FB_27674DD94650</v>
      </c>
    </row>
    <row r="140" spans="1:8" x14ac:dyDescent="0.35">
      <c r="A1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40" s="12" t="s">
        <v>147</v>
      </c>
      <c r="C140" s="13" t="s">
        <v>1476</v>
      </c>
      <c r="E140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G140" s="12" t="s">
        <v>716</v>
      </c>
      <c r="H140" s="19" t="str" cm="1">
        <f t="array" ref="H140">"n"&amp;SUBSTITUTE(CreateGuidString(),"-","_")</f>
        <v>n93C151A3_5FEC_4F5F_8236_A0ECB5C911CE</v>
      </c>
    </row>
    <row r="141" spans="1:8" x14ac:dyDescent="0.35">
      <c r="A1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1" s="12" t="s">
        <v>148</v>
      </c>
      <c r="C141" s="13" t="s">
        <v>1954</v>
      </c>
      <c r="E141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F141" s="18"/>
      <c r="G141" s="12" t="s">
        <v>717</v>
      </c>
      <c r="H141" s="20" t="str" cm="1">
        <f t="array" ref="H141">"n"&amp;SUBSTITUTE(CreateGuidString(),"-","_")</f>
        <v>nF8FD06DA_0353_4748_9FEE_3D4394E5F5CF</v>
      </c>
    </row>
    <row r="142" spans="1:8" x14ac:dyDescent="0.35">
      <c r="A1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2" s="12" t="s">
        <v>149</v>
      </c>
      <c r="C142" s="13" t="s">
        <v>1483</v>
      </c>
      <c r="E142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G142" s="12" t="s">
        <v>718</v>
      </c>
      <c r="H142" s="19" t="str" cm="1">
        <f t="array" ref="H142">"n"&amp;SUBSTITUTE(CreateGuidString(),"-","_")</f>
        <v>n1552ED44_25C9_42A6_80FA_4AB82B284FD2</v>
      </c>
    </row>
    <row r="143" spans="1:8" x14ac:dyDescent="0.35">
      <c r="A1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3" s="12" t="s">
        <v>719</v>
      </c>
      <c r="C143" s="13" t="s">
        <v>1479</v>
      </c>
      <c r="E143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G143" s="12" t="s">
        <v>720</v>
      </c>
      <c r="H143" s="19" t="str" cm="1">
        <f t="array" ref="H143">"n"&amp;SUBSTITUTE(CreateGuidString(),"-","_")</f>
        <v>n71BF8316_B471_44E2_AB7F_4C0FA147C40A</v>
      </c>
    </row>
    <row r="144" spans="1:8" x14ac:dyDescent="0.35">
      <c r="A1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4" s="12" t="s">
        <v>721</v>
      </c>
      <c r="C144" s="13" t="s">
        <v>1480</v>
      </c>
      <c r="E144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G144" s="12" t="s">
        <v>722</v>
      </c>
      <c r="H144" s="19" t="str" cm="1">
        <f t="array" ref="H144">"n"&amp;SUBSTITUTE(CreateGuidString(),"-","_")</f>
        <v>n27D578B9_AC38_4ECC_88C2_8553BBA4AA42</v>
      </c>
    </row>
    <row r="145" spans="1:8" x14ac:dyDescent="0.35">
      <c r="A1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5" s="12" t="s">
        <v>723</v>
      </c>
      <c r="C145" s="13" t="s">
        <v>1481</v>
      </c>
      <c r="E145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G145" s="12" t="s">
        <v>724</v>
      </c>
      <c r="H145" s="19" t="str" cm="1">
        <f t="array" ref="H145">"n"&amp;SUBSTITUTE(CreateGuidString(),"-","_")</f>
        <v>n6971BD3F_2F16_4BB0_A668_7DE614100F96</v>
      </c>
    </row>
    <row r="146" spans="1:8" x14ac:dyDescent="0.35">
      <c r="A1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6" s="12" t="s">
        <v>725</v>
      </c>
      <c r="C146" s="13" t="s">
        <v>1482</v>
      </c>
      <c r="E146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G146" s="12" t="s">
        <v>726</v>
      </c>
      <c r="H146" s="19" t="str" cm="1">
        <f t="array" ref="H146">"n"&amp;SUBSTITUTE(CreateGuidString(),"-","_")</f>
        <v>nE24C8020_1052_45A2_A899_422E3430D783</v>
      </c>
    </row>
    <row r="147" spans="1:8" x14ac:dyDescent="0.35">
      <c r="A1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7" s="12" t="s">
        <v>727</v>
      </c>
      <c r="C147" s="13" t="s">
        <v>1504</v>
      </c>
      <c r="E147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G147" s="12" t="s">
        <v>728</v>
      </c>
      <c r="H147" s="19" t="str" cm="1">
        <f t="array" ref="H147">"n"&amp;SUBSTITUTE(CreateGuidString(),"-","_")</f>
        <v>n3FCD42E0_FB78_43B1_84B2_2E4731C67F75</v>
      </c>
    </row>
    <row r="148" spans="1:8" x14ac:dyDescent="0.35">
      <c r="A1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8" s="12" t="s">
        <v>729</v>
      </c>
      <c r="C148" s="13" t="s">
        <v>1485</v>
      </c>
      <c r="D148" s="12" t="s">
        <v>1270</v>
      </c>
      <c r="E148" s="12" t="str">
        <f>IF(NodesData[[#This Row],[Class Disambiguation]]="",NodesData[[#This Row],[Common Name]],NodesData[[#This Row],[Common Name]]&amp;" ("&amp;NodesData[[#This Row],[Class Disambiguation]]&amp;")")</f>
        <v>ECS (Acronym)</v>
      </c>
      <c r="G148" s="12" t="s">
        <v>730</v>
      </c>
      <c r="H148" s="19" t="str" cm="1">
        <f t="array" ref="H148">"n"&amp;SUBSTITUTE(CreateGuidString(),"-","_")</f>
        <v>n627530AA_CD82_44F1_9C45_EF4AF254F223</v>
      </c>
    </row>
    <row r="149" spans="1:8" x14ac:dyDescent="0.35">
      <c r="A1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9" s="12" t="s">
        <v>731</v>
      </c>
      <c r="C149" s="13" t="s">
        <v>1484</v>
      </c>
      <c r="D149" s="12" t="s">
        <v>1270</v>
      </c>
      <c r="E149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G149" s="12" t="s">
        <v>732</v>
      </c>
      <c r="H149" s="19" t="str" cm="1">
        <f t="array" ref="H149">"n"&amp;SUBSTITUTE(CreateGuidString(),"-","_")</f>
        <v>n5D765F05_BCE4_4E74_BF4C_490645E5A7B6</v>
      </c>
    </row>
    <row r="150" spans="1:8" x14ac:dyDescent="0.35">
      <c r="A1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50" s="12" t="s">
        <v>733</v>
      </c>
      <c r="C150" s="13" t="s">
        <v>1486</v>
      </c>
      <c r="D150" s="12" t="s">
        <v>1270</v>
      </c>
      <c r="E150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G150" s="12" t="s">
        <v>734</v>
      </c>
      <c r="H150" s="19" t="str" cm="1">
        <f t="array" ref="H150">"n"&amp;SUBSTITUTE(CreateGuidString(),"-","_")</f>
        <v>n68B567AB_DFAE_48D8_9331_023A10242639</v>
      </c>
    </row>
    <row r="151" spans="1:8" x14ac:dyDescent="0.35">
      <c r="A1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1" s="12" t="s">
        <v>1317</v>
      </c>
      <c r="C151" s="13" t="s">
        <v>1487</v>
      </c>
      <c r="E151" s="12" t="str">
        <f>IF(NodesData[[#This Row],[Class Disambiguation]]="",NodesData[[#This Row],[Common Name]],NodesData[[#This Row],[Common Name]]&amp;" ("&amp;NodesData[[#This Row],[Class Disambiguation]]&amp;")")</f>
        <v>Email OTP</v>
      </c>
      <c r="H151" s="19" t="str" cm="1">
        <f t="array" ref="H151">"n"&amp;SUBSTITUTE(CreateGuidString(),"-","_")</f>
        <v>n85CE7334_FD8B_417E_9F93_078D4CD79BF2</v>
      </c>
    </row>
    <row r="152" spans="1:8" x14ac:dyDescent="0.35">
      <c r="A1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2" s="12" t="s">
        <v>735</v>
      </c>
      <c r="C152" s="13" t="s">
        <v>1488</v>
      </c>
      <c r="E152" s="12" t="str">
        <f>IF(NodesData[[#This Row],[Class Disambiguation]]="",NodesData[[#This Row],[Common Name]],NodesData[[#This Row],[Common Name]]&amp;" ("&amp;NodesData[[#This Row],[Class Disambiguation]]&amp;")")</f>
        <v>Employee</v>
      </c>
      <c r="G152" s="12" t="s">
        <v>736</v>
      </c>
      <c r="H152" s="19" t="str" cm="1">
        <f t="array" ref="H152">"n"&amp;SUBSTITUTE(CreateGuidString(),"-","_")</f>
        <v>nC22BA634_39D5_41BA_9324_01318A08A3F4</v>
      </c>
    </row>
    <row r="153" spans="1:8" x14ac:dyDescent="0.35">
      <c r="A1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3" s="12" t="s">
        <v>737</v>
      </c>
      <c r="C153" s="13" t="s">
        <v>1489</v>
      </c>
      <c r="E153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G153" s="12" t="s">
        <v>738</v>
      </c>
      <c r="H153" s="19" t="str" cm="1">
        <f t="array" ref="H153">"n"&amp;SUBSTITUTE(CreateGuidString(),"-","_")</f>
        <v>n546FE6E9_5D76_4C14_9AFF_70D2594201EA</v>
      </c>
    </row>
    <row r="154" spans="1:8" x14ac:dyDescent="0.35">
      <c r="A1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4" s="12" t="s">
        <v>739</v>
      </c>
      <c r="C154" s="13" t="s">
        <v>1490</v>
      </c>
      <c r="E154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G154" s="12" t="s">
        <v>740</v>
      </c>
      <c r="H154" s="19" t="str" cm="1">
        <f t="array" ref="H154">"n"&amp;SUBSTITUTE(CreateGuidString(),"-","_")</f>
        <v>n51C9CEA8_8C94_4D2B_B77B_7D2E88A4DDD7</v>
      </c>
    </row>
    <row r="155" spans="1:8" x14ac:dyDescent="0.35">
      <c r="A1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5" s="12" t="s">
        <v>741</v>
      </c>
      <c r="C155" s="13" t="s">
        <v>1491</v>
      </c>
      <c r="E155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G155" s="12" t="s">
        <v>742</v>
      </c>
      <c r="H155" s="19" t="str" cm="1">
        <f t="array" ref="H155">"n"&amp;SUBSTITUTE(CreateGuidString(),"-","_")</f>
        <v>n2014653C_AF1A_49A4_9B91_8F6948F04E54</v>
      </c>
    </row>
    <row r="156" spans="1:8" x14ac:dyDescent="0.35">
      <c r="A1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6" s="12" t="s">
        <v>743</v>
      </c>
      <c r="C156" s="13" t="s">
        <v>1492</v>
      </c>
      <c r="E156" s="12" t="str">
        <f>IF(NodesData[[#This Row],[Class Disambiguation]]="",NodesData[[#This Row],[Common Name]],NodesData[[#This Row],[Common Name]]&amp;" ("&amp;NodesData[[#This Row],[Class Disambiguation]]&amp;")")</f>
        <v>Entitlement</v>
      </c>
      <c r="G156" s="12" t="s">
        <v>744</v>
      </c>
      <c r="H156" s="19" t="str" cm="1">
        <f t="array" ref="H156">"n"&amp;SUBSTITUTE(CreateGuidString(),"-","_")</f>
        <v>nA499CB92_C254_4E5C_B027_DF1C6935E637</v>
      </c>
    </row>
    <row r="157" spans="1:8" x14ac:dyDescent="0.35">
      <c r="A1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7" s="12" t="s">
        <v>745</v>
      </c>
      <c r="C157" s="13" t="s">
        <v>1494</v>
      </c>
      <c r="E157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G157" s="12" t="s">
        <v>746</v>
      </c>
      <c r="H157" s="19" t="str" cm="1">
        <f t="array" ref="H157">"n"&amp;SUBSTITUTE(CreateGuidString(),"-","_")</f>
        <v>nC509D249_CD11_4E56_A347_6A0AF3AF3F41</v>
      </c>
    </row>
    <row r="158" spans="1:8" x14ac:dyDescent="0.35">
      <c r="A1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8" s="12" t="s">
        <v>747</v>
      </c>
      <c r="C158" s="13" t="s">
        <v>1495</v>
      </c>
      <c r="E158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G158" s="12" t="s">
        <v>748</v>
      </c>
      <c r="H158" s="19" t="str" cm="1">
        <f t="array" ref="H158">"n"&amp;SUBSTITUTE(CreateGuidString(),"-","_")</f>
        <v>n8A9D1A5A_B9BB_4EB7_B521_3A593627B09F</v>
      </c>
    </row>
    <row r="159" spans="1:8" x14ac:dyDescent="0.35">
      <c r="A1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9" s="12" t="s">
        <v>749</v>
      </c>
      <c r="C159" s="13" t="s">
        <v>1496</v>
      </c>
      <c r="E159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G159" s="12" t="s">
        <v>750</v>
      </c>
      <c r="H159" s="19" t="str" cm="1">
        <f t="array" ref="H159">"n"&amp;SUBSTITUTE(CreateGuidString(),"-","_")</f>
        <v>n2CB2B29D_5478_42EB_9484_79E545FA3FC4</v>
      </c>
    </row>
    <row r="160" spans="1:8" x14ac:dyDescent="0.35">
      <c r="A1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60" s="12" t="s">
        <v>751</v>
      </c>
      <c r="C160" s="13" t="s">
        <v>1493</v>
      </c>
      <c r="E160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G160" s="12" t="s">
        <v>752</v>
      </c>
      <c r="H160" s="19" t="str" cm="1">
        <f t="array" ref="H160">"n"&amp;SUBSTITUTE(CreateGuidString(),"-","_")</f>
        <v>nCE04F2D1_4880_46CF_845D_7A0C7413243B</v>
      </c>
    </row>
    <row r="161" spans="1:8" x14ac:dyDescent="0.35">
      <c r="A1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Entity</v>
      </c>
      <c r="B161" s="12" t="s">
        <v>753</v>
      </c>
      <c r="C161" s="13" t="s">
        <v>1497</v>
      </c>
      <c r="E161" s="12" t="str">
        <f>IF(NodesData[[#This Row],[Class Disambiguation]]="",NodesData[[#This Row],[Common Name]],NodesData[[#This Row],[Common Name]]&amp;" ("&amp;NodesData[[#This Row],[Class Disambiguation]]&amp;")")</f>
        <v>Entity</v>
      </c>
      <c r="G161" s="12" t="s">
        <v>754</v>
      </c>
      <c r="H161" s="19" t="str" cm="1">
        <f t="array" ref="H161">"n"&amp;SUBSTITUTE(CreateGuidString(),"-","_")</f>
        <v>nB004314D_7E86_4D5F_81ED_7A4BCDBC214C</v>
      </c>
    </row>
    <row r="162" spans="1:8" x14ac:dyDescent="0.35">
      <c r="A1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2" s="12" t="s">
        <v>755</v>
      </c>
      <c r="C162" s="13" t="s">
        <v>1498</v>
      </c>
      <c r="D162" s="12" t="s">
        <v>1270</v>
      </c>
      <c r="E162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G162" s="12" t="s">
        <v>756</v>
      </c>
      <c r="H162" s="19" t="str" cm="1">
        <f t="array" ref="H162">"n"&amp;SUBSTITUTE(CreateGuidString(),"-","_")</f>
        <v>n894FCB34_75F7_4171_8EFA_0557ACC71E83</v>
      </c>
    </row>
    <row r="163" spans="1:8" x14ac:dyDescent="0.35">
      <c r="A1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3" s="12" t="s">
        <v>757</v>
      </c>
      <c r="C163" s="13" t="s">
        <v>1499</v>
      </c>
      <c r="E163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G163" s="12" t="s">
        <v>758</v>
      </c>
      <c r="H163" s="19" t="str" cm="1">
        <f t="array" ref="H163">"n"&amp;SUBSTITUTE(CreateGuidString(),"-","_")</f>
        <v>n739B3428_2A2D_4903_AD7F_76F23F7BD2A8</v>
      </c>
    </row>
    <row r="164" spans="1:8" x14ac:dyDescent="0.35">
      <c r="A1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4" s="12" t="s">
        <v>759</v>
      </c>
      <c r="C164" s="13" t="s">
        <v>1500</v>
      </c>
      <c r="E164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G164" s="12" t="s">
        <v>760</v>
      </c>
      <c r="H164" s="19" t="str" cm="1">
        <f t="array" ref="H164">"n"&amp;SUBSTITUTE(CreateGuidString(),"-","_")</f>
        <v>n6A33D9EA_8800_4055_9DF1_CE9387CBF706</v>
      </c>
    </row>
    <row r="165" spans="1:8" x14ac:dyDescent="0.35">
      <c r="A1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5" s="12" t="s">
        <v>761</v>
      </c>
      <c r="C165" s="13" t="s">
        <v>1501</v>
      </c>
      <c r="E165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G165" s="12" t="s">
        <v>762</v>
      </c>
      <c r="H165" s="19" t="str" cm="1">
        <f t="array" ref="H165">"n"&amp;SUBSTITUTE(CreateGuidString(),"-","_")</f>
        <v>n86EC4F68_1250_4FAD_B868_738DB7DDBD03</v>
      </c>
    </row>
    <row r="166" spans="1:8" x14ac:dyDescent="0.35">
      <c r="A1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6" s="12" t="s">
        <v>763</v>
      </c>
      <c r="C166" s="13" t="s">
        <v>1502</v>
      </c>
      <c r="E166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G166" s="12" t="s">
        <v>764</v>
      </c>
      <c r="H166" s="19" t="str" cm="1">
        <f t="array" ref="H166">"n"&amp;SUBSTITUTE(CreateGuidString(),"-","_")</f>
        <v>n3C957156_7162_43BE_9481_7E345EB136F4</v>
      </c>
    </row>
    <row r="167" spans="1:8" x14ac:dyDescent="0.35">
      <c r="A1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7" s="12" t="s">
        <v>765</v>
      </c>
      <c r="C167" s="13" t="s">
        <v>1503</v>
      </c>
      <c r="E167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G167" s="12" t="s">
        <v>766</v>
      </c>
      <c r="H167" s="19" t="str" cm="1">
        <f t="array" ref="H167">"n"&amp;SUBSTITUTE(CreateGuidString(),"-","_")</f>
        <v>n5700E7FA_60C1_4335_8702_87A55A84514F</v>
      </c>
    </row>
    <row r="168" spans="1:8" x14ac:dyDescent="0.35">
      <c r="A1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8" s="12" t="s">
        <v>1842</v>
      </c>
      <c r="C168" s="13" t="s">
        <v>1846</v>
      </c>
      <c r="E168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8" s="18"/>
      <c r="H168" s="20" t="str" cm="1">
        <f t="array" ref="H168">"n"&amp;SUBSTITUTE(CreateGuidString(),"-","_")</f>
        <v>n0DCAB355_E152_41A7_8FEA_F9B3AAB1208B</v>
      </c>
    </row>
    <row r="169" spans="1:8" x14ac:dyDescent="0.35">
      <c r="A1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9" s="12" t="s">
        <v>1304</v>
      </c>
      <c r="C169" s="13" t="s">
        <v>1513</v>
      </c>
      <c r="E169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H169" s="19" t="str" cm="1">
        <f t="array" ref="H169">"n"&amp;SUBSTITUTE(CreateGuidString(),"-","_")</f>
        <v>nA2D88C24_8CFA_469F_952E_7F86026E518F</v>
      </c>
    </row>
    <row r="170" spans="1:8" x14ac:dyDescent="0.35">
      <c r="A1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70" s="12" t="s">
        <v>178</v>
      </c>
      <c r="C170" s="13" t="s">
        <v>1505</v>
      </c>
      <c r="E170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G170" s="12" t="s">
        <v>767</v>
      </c>
      <c r="H170" s="19" t="str" cm="1">
        <f t="array" ref="H170">"n"&amp;SUBSTITUTE(CreateGuidString(),"-","_")</f>
        <v>n35064ED2_A4BB_4B6E_AC7B_9AC1AB760070</v>
      </c>
    </row>
    <row r="171" spans="1:8" x14ac:dyDescent="0.35">
      <c r="A1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1" s="12" t="s">
        <v>179</v>
      </c>
      <c r="C171" s="13" t="s">
        <v>1506</v>
      </c>
      <c r="D171" s="12" t="s">
        <v>1270</v>
      </c>
      <c r="E171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G171" s="12" t="s">
        <v>768</v>
      </c>
      <c r="H171" s="19" t="str" cm="1">
        <f t="array" ref="H171">"n"&amp;SUBSTITUTE(CreateGuidString(),"-","_")</f>
        <v>nF8D67D34_44AC_4B3E_ADA3_3593B8EDCCA4</v>
      </c>
    </row>
    <row r="172" spans="1:8" x14ac:dyDescent="0.35">
      <c r="A1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2" s="12" t="s">
        <v>769</v>
      </c>
      <c r="C172" s="13" t="s">
        <v>1507</v>
      </c>
      <c r="E172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G172" s="12" t="s">
        <v>770</v>
      </c>
      <c r="H172" s="19" t="str" cm="1">
        <f t="array" ref="H172">"n"&amp;SUBSTITUTE(CreateGuidString(),"-","_")</f>
        <v>n9C8FD672_8D44_44BE_B19E_65CAD8D1D2FA</v>
      </c>
    </row>
    <row r="173" spans="1:8" x14ac:dyDescent="0.35">
      <c r="A1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3" s="12" t="s">
        <v>771</v>
      </c>
      <c r="C173" s="13" t="s">
        <v>1508</v>
      </c>
      <c r="E173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G173" s="12" t="s">
        <v>772</v>
      </c>
      <c r="H173" s="19" t="str" cm="1">
        <f t="array" ref="H173">"n"&amp;SUBSTITUTE(CreateGuidString(),"-","_")</f>
        <v>n095B72B0_416E_4EE6_810E_2659A2FA1139</v>
      </c>
    </row>
    <row r="174" spans="1:8" x14ac:dyDescent="0.35">
      <c r="A1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4" s="12" t="s">
        <v>773</v>
      </c>
      <c r="C174" s="13" t="s">
        <v>1509</v>
      </c>
      <c r="E174" s="12" t="str">
        <f>IF(NodesData[[#This Row],[Class Disambiguation]]="",NodesData[[#This Row],[Common Name]],NodesData[[#This Row],[Common Name]]&amp;" ("&amp;NodesData[[#This Row],[Class Disambiguation]]&amp;")")</f>
        <v>Federated SSO</v>
      </c>
      <c r="G174" s="12" t="s">
        <v>774</v>
      </c>
      <c r="H174" s="19" t="str" cm="1">
        <f t="array" ref="H174">"n"&amp;SUBSTITUTE(CreateGuidString(),"-","_")</f>
        <v>nFDD5104B_6F39_4AEE_8547_8F3E53E7D89C</v>
      </c>
    </row>
    <row r="175" spans="1:8" x14ac:dyDescent="0.35">
      <c r="A1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5" s="12" t="s">
        <v>775</v>
      </c>
      <c r="C175" s="13" t="s">
        <v>1510</v>
      </c>
      <c r="E175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G175" s="12" t="s">
        <v>776</v>
      </c>
      <c r="H175" s="19" t="str" cm="1">
        <f t="array" ref="H175">"n"&amp;SUBSTITUTE(CreateGuidString(),"-","_")</f>
        <v>n8AFAA198_371D_4C1D_8EBD_32A29892A172</v>
      </c>
    </row>
    <row r="176" spans="1:8" x14ac:dyDescent="0.35">
      <c r="A1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6" s="12" t="s">
        <v>777</v>
      </c>
      <c r="C176" s="13" t="s">
        <v>1511</v>
      </c>
      <c r="D176" s="12" t="s">
        <v>1270</v>
      </c>
      <c r="E176" s="12" t="str">
        <f>IF(NodesData[[#This Row],[Class Disambiguation]]="",NodesData[[#This Row],[Common Name]],NodesData[[#This Row],[Common Name]]&amp;" ("&amp;NodesData[[#This Row],[Class Disambiguation]]&amp;")")</f>
        <v>FIM (Acronym)</v>
      </c>
      <c r="G176" s="12" t="s">
        <v>778</v>
      </c>
      <c r="H176" s="19" t="str" cm="1">
        <f t="array" ref="H176">"n"&amp;SUBSTITUTE(CreateGuidString(),"-","_")</f>
        <v>n2A26BD6D_CC40_48EB_80B3_EE84FD53B31D</v>
      </c>
    </row>
    <row r="177" spans="1:8" x14ac:dyDescent="0.35">
      <c r="A1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7" s="32" t="s">
        <v>1922</v>
      </c>
      <c r="C177" s="13" t="s">
        <v>1931</v>
      </c>
      <c r="E177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F177" s="18"/>
      <c r="H177" s="20" t="str" cm="1">
        <f t="array" ref="H177">"n"&amp;SUBSTITUTE(CreateGuidString(),"-","_")</f>
        <v>nBFAF2164_809B_475D_896D_9FFD8B30B39A</v>
      </c>
    </row>
    <row r="178" spans="1:8" x14ac:dyDescent="0.35">
      <c r="A1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8" s="12" t="s">
        <v>185</v>
      </c>
      <c r="C178" s="13" t="s">
        <v>1512</v>
      </c>
      <c r="E178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G178" s="12" t="s">
        <v>779</v>
      </c>
      <c r="H178" s="19" t="str" cm="1">
        <f t="array" ref="H178">"n"&amp;SUBSTITUTE(CreateGuidString(),"-","_")</f>
        <v>nF4C844A6_1C9D_4FF5_B8CE_F10543C04851</v>
      </c>
    </row>
    <row r="179" spans="1:8" x14ac:dyDescent="0.35">
      <c r="A1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9" s="12" t="s">
        <v>1306</v>
      </c>
      <c r="C179" s="13" t="s">
        <v>1520</v>
      </c>
      <c r="E179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H179" s="19" t="str" cm="1">
        <f t="array" ref="H179">"n"&amp;SUBSTITUTE(CreateGuidString(),"-","_")</f>
        <v>n768FC6DE_8DA5_44CC_BF3B_F93F6B1B3C94</v>
      </c>
    </row>
    <row r="180" spans="1:8" x14ac:dyDescent="0.35">
      <c r="A1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80" s="12" t="s">
        <v>186</v>
      </c>
      <c r="C180" s="13" t="s">
        <v>1514</v>
      </c>
      <c r="D180" s="12" t="s">
        <v>1270</v>
      </c>
      <c r="E180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G180" s="12" t="s">
        <v>780</v>
      </c>
      <c r="H180" s="19" t="str" cm="1">
        <f t="array" ref="H180">"n"&amp;SUBSTITUTE(CreateGuidString(),"-","_")</f>
        <v>n1A632D5A_1367_41FC_81DD_2E16163F3071</v>
      </c>
    </row>
    <row r="181" spans="1:8" x14ac:dyDescent="0.35">
      <c r="A1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1" s="12" t="s">
        <v>781</v>
      </c>
      <c r="C181" s="13" t="s">
        <v>1515</v>
      </c>
      <c r="E181" s="12" t="str">
        <f>IF(NodesData[[#This Row],[Class Disambiguation]]="",NodesData[[#This Row],[Common Name]],NodesData[[#This Row],[Common Name]]&amp;" ("&amp;NodesData[[#This Row],[Class Disambiguation]]&amp;")")</f>
        <v>Flexibility</v>
      </c>
      <c r="G181" s="12" t="s">
        <v>782</v>
      </c>
      <c r="H181" s="19" t="str" cm="1">
        <f t="array" ref="H181">"n"&amp;SUBSTITUTE(CreateGuidString(),"-","_")</f>
        <v>n6DDD570B_B87D_4968_A667_0E6474AEF77F</v>
      </c>
    </row>
    <row r="182" spans="1:8" x14ac:dyDescent="0.35">
      <c r="A1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2" s="12" t="s">
        <v>783</v>
      </c>
      <c r="C182" s="13" t="s">
        <v>1516</v>
      </c>
      <c r="E182" s="12" t="str">
        <f>IF(NodesData[[#This Row],[Class Disambiguation]]="",NodesData[[#This Row],[Common Name]],NodesData[[#This Row],[Common Name]]&amp;" ("&amp;NodesData[[#This Row],[Class Disambiguation]]&amp;")")</f>
        <v>Flow Analysis</v>
      </c>
      <c r="G182" s="12" t="s">
        <v>784</v>
      </c>
      <c r="H182" s="19" t="str" cm="1">
        <f t="array" ref="H182">"n"&amp;SUBSTITUTE(CreateGuidString(),"-","_")</f>
        <v>n9DE916FD_2E81_4CD7_B81C_D90128727F6C</v>
      </c>
    </row>
    <row r="183" spans="1:8" x14ac:dyDescent="0.35">
      <c r="A1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3" s="12" t="s">
        <v>785</v>
      </c>
      <c r="C183" s="13" t="s">
        <v>1517</v>
      </c>
      <c r="E183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G183" s="12" t="s">
        <v>786</v>
      </c>
      <c r="H183" s="19" t="str" cm="1">
        <f t="array" ref="H183">"n"&amp;SUBSTITUTE(CreateGuidString(),"-","_")</f>
        <v>nCD2943A0_11D4_4B9A_80FC_776AE8971706</v>
      </c>
    </row>
    <row r="184" spans="1:8" x14ac:dyDescent="0.35">
      <c r="A1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4" s="12" t="s">
        <v>787</v>
      </c>
      <c r="C184" s="13" t="s">
        <v>1518</v>
      </c>
      <c r="E184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G184" s="12" t="s">
        <v>788</v>
      </c>
      <c r="H184" s="19" t="str" cm="1">
        <f t="array" ref="H184">"n"&amp;SUBSTITUTE(CreateGuidString(),"-","_")</f>
        <v>n6C759BC9_BD98_42CF_B22D_9DC61AF682AA</v>
      </c>
    </row>
    <row r="185" spans="1:8" x14ac:dyDescent="0.35">
      <c r="A1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5" s="12" t="s">
        <v>192</v>
      </c>
      <c r="C185" s="13" t="s">
        <v>1519</v>
      </c>
      <c r="E185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G185" s="12" t="s">
        <v>789</v>
      </c>
      <c r="H185" s="19" t="str" cm="1">
        <f t="array" ref="H185">"n"&amp;SUBSTITUTE(CreateGuidString(),"-","_")</f>
        <v>n4AD90954_7BF1_499E_9B9F_25BBA17AEB21</v>
      </c>
    </row>
    <row r="186" spans="1:8" x14ac:dyDescent="0.35">
      <c r="A1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6" s="12" t="s">
        <v>1300</v>
      </c>
      <c r="C186" s="13" t="s">
        <v>1523</v>
      </c>
      <c r="E186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H186" s="19" t="str" cm="1">
        <f t="array" ref="H186">"n"&amp;SUBSTITUTE(CreateGuidString(),"-","_")</f>
        <v>n0A42FB92_FE2D_4699_B734_7270F2B3C83F</v>
      </c>
    </row>
    <row r="187" spans="1:8" x14ac:dyDescent="0.35">
      <c r="A1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7" s="12" t="s">
        <v>790</v>
      </c>
      <c r="C187" s="13" t="s">
        <v>1521</v>
      </c>
      <c r="E187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G187" s="12" t="s">
        <v>791</v>
      </c>
      <c r="H187" s="19" t="str" cm="1">
        <f t="array" ref="H187">"n"&amp;SUBSTITUTE(CreateGuidString(),"-","_")</f>
        <v>nD5FA9AF2_2313_4406_9799_695512C16361</v>
      </c>
    </row>
    <row r="188" spans="1:8" x14ac:dyDescent="0.35">
      <c r="A1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8" s="12" t="s">
        <v>792</v>
      </c>
      <c r="C188" s="13" t="s">
        <v>1522</v>
      </c>
      <c r="E188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G188" s="12" t="s">
        <v>793</v>
      </c>
      <c r="H188" s="19" t="str" cm="1">
        <f t="array" ref="H188">"n"&amp;SUBSTITUTE(CreateGuidString(),"-","_")</f>
        <v>nE7EF976F_0142_4255_AFD1_EC76B923FBE1</v>
      </c>
    </row>
    <row r="189" spans="1:8" x14ac:dyDescent="0.35">
      <c r="A1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9" s="12" t="s">
        <v>1307</v>
      </c>
      <c r="C189" s="13" t="s">
        <v>1524</v>
      </c>
      <c r="E189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H189" s="19" t="str" cm="1">
        <f t="array" ref="H189">"n"&amp;SUBSTITUTE(CreateGuidString(),"-","_")</f>
        <v>n55A32DF5_9D57_4337_AC1C_E3B9ACB9C5F9</v>
      </c>
    </row>
    <row r="190" spans="1:8" x14ac:dyDescent="0.35">
      <c r="A1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90" s="12" t="s">
        <v>1305</v>
      </c>
      <c r="C190" s="13" t="s">
        <v>1525</v>
      </c>
      <c r="E190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H190" s="19" t="str" cm="1">
        <f t="array" ref="H190">"n"&amp;SUBSTITUTE(CreateGuidString(),"-","_")</f>
        <v>nB6967266_C261_4C7C_BF49_CE0DBC9D282A</v>
      </c>
    </row>
    <row r="191" spans="1:8" x14ac:dyDescent="0.35">
      <c r="A1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1" s="12" t="s">
        <v>1325</v>
      </c>
      <c r="C191" s="13" t="s">
        <v>1527</v>
      </c>
      <c r="E191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H191" s="19" t="str" cm="1">
        <f t="array" ref="H191">"n"&amp;SUBSTITUTE(CreateGuidString(),"-","_")</f>
        <v>nEE39C07D_A29C_4C1A_AB20_16CB32CE27DF</v>
      </c>
    </row>
    <row r="192" spans="1:8" x14ac:dyDescent="0.35">
      <c r="A1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2" s="12" t="s">
        <v>794</v>
      </c>
      <c r="C192" s="13" t="s">
        <v>1526</v>
      </c>
      <c r="E192" s="12" t="str">
        <f>IF(NodesData[[#This Row],[Class Disambiguation]]="",NodesData[[#This Row],[Common Name]],NodesData[[#This Row],[Common Name]]&amp;" ("&amp;NodesData[[#This Row],[Class Disambiguation]]&amp;")")</f>
        <v>Guest Account</v>
      </c>
      <c r="G192" s="12" t="s">
        <v>795</v>
      </c>
      <c r="H192" s="19" t="str" cm="1">
        <f t="array" ref="H192">"n"&amp;SUBSTITUTE(CreateGuidString(),"-","_")</f>
        <v>n557B0D6B_BFED_443B_865D_F6FB78C6D762</v>
      </c>
    </row>
    <row r="193" spans="1:8" x14ac:dyDescent="0.35">
      <c r="A1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3" s="12" t="s">
        <v>1308</v>
      </c>
      <c r="C193" s="13" t="s">
        <v>1528</v>
      </c>
      <c r="E193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H193" s="19" t="str" cm="1">
        <f t="array" ref="H193">"n"&amp;SUBSTITUTE(CreateGuidString(),"-","_")</f>
        <v>n2DD7F416_55BB_4D6B_AC69_A51C36D31EAB</v>
      </c>
    </row>
    <row r="194" spans="1:8" x14ac:dyDescent="0.35">
      <c r="A1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4" s="12" t="s">
        <v>1309</v>
      </c>
      <c r="C194" s="13" t="s">
        <v>1566</v>
      </c>
      <c r="E194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H194" s="19" t="str" cm="1">
        <f t="array" ref="H194">"n"&amp;SUBSTITUTE(CreateGuidString(),"-","_")</f>
        <v>nC4A7A225_E449_455F_B2EF_3E814EC2693B</v>
      </c>
    </row>
    <row r="195" spans="1:8" x14ac:dyDescent="0.35">
      <c r="A1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5" s="12" t="s">
        <v>796</v>
      </c>
      <c r="C195" s="13" t="s">
        <v>1529</v>
      </c>
      <c r="E195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G195" s="12" t="s">
        <v>797</v>
      </c>
      <c r="H195" s="19" t="str" cm="1">
        <f t="array" ref="H195">"n"&amp;SUBSTITUTE(CreateGuidString(),"-","_")</f>
        <v>nBF7CE89B_2375_487D_B4B3_06109902E7D8</v>
      </c>
    </row>
    <row r="196" spans="1:8" x14ac:dyDescent="0.35">
      <c r="A1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6" s="12" t="s">
        <v>798</v>
      </c>
      <c r="C196" s="13" t="s">
        <v>1530</v>
      </c>
      <c r="E196" s="12" t="str">
        <f>IF(NodesData[[#This Row],[Class Disambiguation]]="",NodesData[[#This Row],[Common Name]],NodesData[[#This Row],[Common Name]]&amp;" ("&amp;NodesData[[#This Row],[Class Disambiguation]]&amp;")")</f>
        <v>Human Error</v>
      </c>
      <c r="G196" s="12" t="s">
        <v>799</v>
      </c>
      <c r="H196" s="19" t="str" cm="1">
        <f t="array" ref="H196">"n"&amp;SUBSTITUTE(CreateGuidString(),"-","_")</f>
        <v>n06BADAB5_C139_4DDF_BEE0_622BFD639964</v>
      </c>
    </row>
    <row r="197" spans="1:8" x14ac:dyDescent="0.35">
      <c r="A1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7" s="12" t="s">
        <v>800</v>
      </c>
      <c r="C197" s="13" t="s">
        <v>1531</v>
      </c>
      <c r="E197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G197" s="12" t="s">
        <v>801</v>
      </c>
      <c r="H197" s="19" t="str" cm="1">
        <f t="array" ref="H197">"n"&amp;SUBSTITUTE(CreateGuidString(),"-","_")</f>
        <v>n1B1178E6_DF9B_4BF4_B532_7ED17C4F3A97</v>
      </c>
    </row>
    <row r="198" spans="1:8" x14ac:dyDescent="0.35">
      <c r="A1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8" s="12" t="s">
        <v>201</v>
      </c>
      <c r="C198" s="13" t="s">
        <v>1532</v>
      </c>
      <c r="D198" s="12" t="s">
        <v>1270</v>
      </c>
      <c r="E198" s="12" t="str">
        <f>IF(NodesData[[#This Row],[Class Disambiguation]]="",NodesData[[#This Row],[Common Name]],NodesData[[#This Row],[Common Name]]&amp;" ("&amp;NodesData[[#This Row],[Class Disambiguation]]&amp;")")</f>
        <v>IAG (Acronym)</v>
      </c>
      <c r="G198" s="12" t="s">
        <v>802</v>
      </c>
      <c r="H198" s="19" t="str" cm="1">
        <f t="array" ref="H198">"n"&amp;SUBSTITUTE(CreateGuidString(),"-","_")</f>
        <v>nBA0097BF_0195_4D9C_A4B9_C08EFB649957</v>
      </c>
    </row>
    <row r="199" spans="1:8" x14ac:dyDescent="0.35">
      <c r="A1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9" s="12" t="s">
        <v>804</v>
      </c>
      <c r="C199" s="13" t="s">
        <v>1534</v>
      </c>
      <c r="D199" s="12" t="s">
        <v>1270</v>
      </c>
      <c r="E199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G199" s="12" t="s">
        <v>805</v>
      </c>
      <c r="H199" s="19" t="str" cm="1">
        <f t="array" ref="H199">"n"&amp;SUBSTITUTE(CreateGuidString(),"-","_")</f>
        <v>n5D7C9689_2D66_47CF_86BB_FE2965E38F7E</v>
      </c>
    </row>
    <row r="200" spans="1:8" x14ac:dyDescent="0.35">
      <c r="A2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200" s="12" t="s">
        <v>806</v>
      </c>
      <c r="C200" s="13" t="s">
        <v>1535</v>
      </c>
      <c r="E200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G200" s="12" t="s">
        <v>807</v>
      </c>
      <c r="H200" s="19" t="str" cm="1">
        <f t="array" ref="H200">"n"&amp;SUBSTITUTE(CreateGuidString(),"-","_")</f>
        <v>n54E710A2_BA34_405E_AB7B_CAF8A320784C</v>
      </c>
    </row>
    <row r="201" spans="1:8" x14ac:dyDescent="0.35">
      <c r="A2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1" s="12" t="s">
        <v>202</v>
      </c>
      <c r="C201" s="13" t="s">
        <v>1533</v>
      </c>
      <c r="D201" s="12" t="s">
        <v>1270</v>
      </c>
      <c r="E201" s="12" t="str">
        <f>IF(NodesData[[#This Row],[Class Disambiguation]]="",NodesData[[#This Row],[Common Name]],NodesData[[#This Row],[Common Name]]&amp;" ("&amp;NodesData[[#This Row],[Class Disambiguation]]&amp;")")</f>
        <v>IAM (Acronym)</v>
      </c>
      <c r="G201" s="12" t="s">
        <v>803</v>
      </c>
      <c r="H201" s="19" t="str" cm="1">
        <f t="array" ref="H201">"n"&amp;SUBSTITUTE(CreateGuidString(),"-","_")</f>
        <v>n03522CE6_AA82_4006_86FD_B3A269601703</v>
      </c>
    </row>
    <row r="202" spans="1:8" x14ac:dyDescent="0.35">
      <c r="A2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2" s="12" t="s">
        <v>808</v>
      </c>
      <c r="C202" s="13" t="s">
        <v>1536</v>
      </c>
      <c r="D202" s="12" t="s">
        <v>1270</v>
      </c>
      <c r="E202" s="12" t="str">
        <f>IF(NodesData[[#This Row],[Class Disambiguation]]="",NodesData[[#This Row],[Common Name]],NodesData[[#This Row],[Common Name]]&amp;" ("&amp;NodesData[[#This Row],[Class Disambiguation]]&amp;")")</f>
        <v>IAP (Acronym)</v>
      </c>
      <c r="G202" s="12" t="s">
        <v>809</v>
      </c>
      <c r="H202" s="19" t="str" cm="1">
        <f t="array" ref="H202">"n"&amp;SUBSTITUTE(CreateGuidString(),"-","_")</f>
        <v>n3C27E1DD_C49D_484B_830E_7921CB4AD313</v>
      </c>
    </row>
    <row r="203" spans="1:8" x14ac:dyDescent="0.35">
      <c r="A2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3" s="12" t="s">
        <v>810</v>
      </c>
      <c r="C203" s="13" t="s">
        <v>1537</v>
      </c>
      <c r="D203" s="12" t="s">
        <v>1270</v>
      </c>
      <c r="E203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G203" s="12" t="s">
        <v>811</v>
      </c>
      <c r="H203" s="19" t="str" cm="1">
        <f t="array" ref="H203">"n"&amp;SUBSTITUTE(CreateGuidString(),"-","_")</f>
        <v>n9FA5CFE0_1C9A_4E43_897F_82773F61677F</v>
      </c>
    </row>
    <row r="204" spans="1:8" x14ac:dyDescent="0.35">
      <c r="A2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4" s="12" t="s">
        <v>812</v>
      </c>
      <c r="C204" s="13" t="s">
        <v>1538</v>
      </c>
      <c r="E204" s="12" t="str">
        <f>IF(NodesData[[#This Row],[Class Disambiguation]]="",NodesData[[#This Row],[Common Name]],NodesData[[#This Row],[Common Name]]&amp;" ("&amp;NodesData[[#This Row],[Class Disambiguation]]&amp;")")</f>
        <v>Ideal Type</v>
      </c>
      <c r="G204" s="12" t="s">
        <v>813</v>
      </c>
      <c r="H204" s="19" t="str" cm="1">
        <f t="array" ref="H204">"n"&amp;SUBSTITUTE(CreateGuidString(),"-","_")</f>
        <v>n60B145A0_2123_4633_8320_D9E2BB71F56E</v>
      </c>
    </row>
    <row r="205" spans="1:8" x14ac:dyDescent="0.35">
      <c r="A2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5" s="12" t="s">
        <v>814</v>
      </c>
      <c r="C205" s="13" t="s">
        <v>1539</v>
      </c>
      <c r="E205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G205" s="12" t="s">
        <v>815</v>
      </c>
      <c r="H205" s="19" t="str" cm="1">
        <f t="array" ref="H205">"n"&amp;SUBSTITUTE(CreateGuidString(),"-","_")</f>
        <v>n6FDAF128_295E_4D87_9B3C_9C75491479BA</v>
      </c>
    </row>
    <row r="206" spans="1:8" x14ac:dyDescent="0.35">
      <c r="A2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6" s="12" t="s">
        <v>816</v>
      </c>
      <c r="C206" s="13" t="s">
        <v>1540</v>
      </c>
      <c r="E206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G206" s="12" t="s">
        <v>817</v>
      </c>
      <c r="H206" s="19" t="str" cm="1">
        <f t="array" ref="H206">"n"&amp;SUBSTITUTE(CreateGuidString(),"-","_")</f>
        <v>n75CF0CF8_6B48_495E_9C1C_D0AA29A0FF37</v>
      </c>
    </row>
    <row r="207" spans="1:8" x14ac:dyDescent="0.35">
      <c r="A2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7" s="12" t="s">
        <v>818</v>
      </c>
      <c r="C207" s="13" t="s">
        <v>1541</v>
      </c>
      <c r="E207" s="12" t="str">
        <f>IF(NodesData[[#This Row],[Class Disambiguation]]="",NodesData[[#This Row],[Common Name]],NodesData[[#This Row],[Common Name]]&amp;" ("&amp;NodesData[[#This Row],[Class Disambiguation]]&amp;")")</f>
        <v>Identifier</v>
      </c>
      <c r="G207" s="12" t="s">
        <v>819</v>
      </c>
      <c r="H207" s="19" t="str" cm="1">
        <f t="array" ref="H207">"n"&amp;SUBSTITUTE(CreateGuidString(),"-","_")</f>
        <v>nD429F16B_5095_4030_AA0B_F482BDA61887</v>
      </c>
    </row>
    <row r="208" spans="1:8" x14ac:dyDescent="0.35">
      <c r="A2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8" s="12" t="s">
        <v>211</v>
      </c>
      <c r="C208" s="13" t="s">
        <v>1542</v>
      </c>
      <c r="E208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G208" s="12" t="s">
        <v>820</v>
      </c>
      <c r="H208" s="19" t="str" cm="1">
        <f t="array" ref="H208">"n"&amp;SUBSTITUTE(CreateGuidString(),"-","_")</f>
        <v>n0D673683_31A7_4D56_8D8C_A7989F828034</v>
      </c>
    </row>
    <row r="209" spans="1:8" x14ac:dyDescent="0.35">
      <c r="A2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9" s="12" t="s">
        <v>821</v>
      </c>
      <c r="C209" s="13" t="s">
        <v>1543</v>
      </c>
      <c r="E209" s="12" t="str">
        <f>IF(NodesData[[#This Row],[Class Disambiguation]]="",NodesData[[#This Row],[Common Name]],NodesData[[#This Row],[Common Name]]&amp;" ("&amp;NodesData[[#This Row],[Class Disambiguation]]&amp;")")</f>
        <v>Identity</v>
      </c>
      <c r="G209" s="12" t="s">
        <v>822</v>
      </c>
      <c r="H209" s="19" t="str" cm="1">
        <f t="array" ref="H209">"n"&amp;SUBSTITUTE(CreateGuidString(),"-","_")</f>
        <v>n99A43DE6_754D_4DE6_91EB_5C2210CA331B</v>
      </c>
    </row>
    <row r="210" spans="1:8" x14ac:dyDescent="0.35">
      <c r="A2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10" s="12" t="s">
        <v>213</v>
      </c>
      <c r="C210" s="13" t="s">
        <v>1544</v>
      </c>
      <c r="E210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G210" s="12" t="s">
        <v>823</v>
      </c>
      <c r="H210" s="19" t="str" cm="1">
        <f t="array" ref="H210">"n"&amp;SUBSTITUTE(CreateGuidString(),"-","_")</f>
        <v>n4D5EB9CE_FEE2_4DEE_B9A0_A102FC14DE38</v>
      </c>
    </row>
    <row r="211" spans="1:8" x14ac:dyDescent="0.35">
      <c r="A2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1" s="12" t="s">
        <v>214</v>
      </c>
      <c r="C211" s="13" t="s">
        <v>1545</v>
      </c>
      <c r="E211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G211" s="12" t="s">
        <v>824</v>
      </c>
      <c r="H211" s="19" t="str" cm="1">
        <f t="array" ref="H211">"n"&amp;SUBSTITUTE(CreateGuidString(),"-","_")</f>
        <v>n1B7F2BC9_27AC_4552_BE3F_4473EC9088F9</v>
      </c>
    </row>
    <row r="212" spans="1:8" x14ac:dyDescent="0.35">
      <c r="A2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2" s="12" t="s">
        <v>215</v>
      </c>
      <c r="C212" s="13" t="s">
        <v>1546</v>
      </c>
      <c r="E212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G212" s="12" t="s">
        <v>825</v>
      </c>
      <c r="H212" s="19" t="str" cm="1">
        <f t="array" ref="H212">"n"&amp;SUBSTITUTE(CreateGuidString(),"-","_")</f>
        <v>n1EF3929E_3B2E_4818_9456_D7D96D93C99B</v>
      </c>
    </row>
    <row r="213" spans="1:8" x14ac:dyDescent="0.35">
      <c r="A2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3" s="12" t="s">
        <v>217</v>
      </c>
      <c r="C213" s="13" t="s">
        <v>1548</v>
      </c>
      <c r="E213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G213" s="12" t="s">
        <v>826</v>
      </c>
      <c r="H213" s="19" t="str" cm="1">
        <f t="array" ref="H213">"n"&amp;SUBSTITUTE(CreateGuidString(),"-","_")</f>
        <v>nF8D35618_F304_498C_86C1_8134D0A53369</v>
      </c>
    </row>
    <row r="214" spans="1:8" x14ac:dyDescent="0.35">
      <c r="A2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4" s="12" t="s">
        <v>827</v>
      </c>
      <c r="C214" s="13" t="s">
        <v>1549</v>
      </c>
      <c r="E214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G214" s="12" t="s">
        <v>828</v>
      </c>
      <c r="H214" s="19" t="str" cm="1">
        <f t="array" ref="H214">"n"&amp;SUBSTITUTE(CreateGuidString(),"-","_")</f>
        <v>nE8AEC309_701B_447D_9658_CB9E6958EB9B</v>
      </c>
    </row>
    <row r="215" spans="1:8" x14ac:dyDescent="0.35">
      <c r="A2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5" s="32" t="s">
        <v>1924</v>
      </c>
      <c r="C215" s="13" t="s">
        <v>1932</v>
      </c>
      <c r="E215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5" s="18"/>
      <c r="H215" s="20" t="str" cm="1">
        <f t="array" ref="H215">"n"&amp;SUBSTITUTE(CreateGuidString(),"-","_")</f>
        <v>n50BBE19E_7BAF_4DA5_8CBD_1EB6D2C7B527</v>
      </c>
    </row>
    <row r="216" spans="1:8" x14ac:dyDescent="0.35">
      <c r="A2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6" s="12" t="s">
        <v>220</v>
      </c>
      <c r="C216" s="13" t="s">
        <v>1551</v>
      </c>
      <c r="E216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G216" s="12" t="s">
        <v>829</v>
      </c>
      <c r="H216" s="19" t="str" cm="1">
        <f t="array" ref="H216">"n"&amp;SUBSTITUTE(CreateGuidString(),"-","_")</f>
        <v>n25DDC65D_099F_47AC_B391_589267AF0E95</v>
      </c>
    </row>
    <row r="217" spans="1:8" x14ac:dyDescent="0.35">
      <c r="A2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7" s="12" t="s">
        <v>221</v>
      </c>
      <c r="C217" s="13" t="s">
        <v>1552</v>
      </c>
      <c r="E217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G217" s="12" t="s">
        <v>830</v>
      </c>
      <c r="H217" s="19" t="str" cm="1">
        <f t="array" ref="H217">"n"&amp;SUBSTITUTE(CreateGuidString(),"-","_")</f>
        <v>nE6CBD700_3448_4544_BBAB_68942F039EEF</v>
      </c>
    </row>
    <row r="218" spans="1:8" x14ac:dyDescent="0.35">
      <c r="A2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8" s="12" t="s">
        <v>222</v>
      </c>
      <c r="C218" s="13" t="s">
        <v>1553</v>
      </c>
      <c r="E218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G218" s="12" t="s">
        <v>831</v>
      </c>
      <c r="H218" s="19" t="str" cm="1">
        <f t="array" ref="H218">"n"&amp;SUBSTITUTE(CreateGuidString(),"-","_")</f>
        <v>n30EEEBC7_63CB_4FEC_AC35_3AF6C5E7DC18</v>
      </c>
    </row>
    <row r="219" spans="1:8" x14ac:dyDescent="0.35">
      <c r="A2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9" s="12" t="s">
        <v>832</v>
      </c>
      <c r="C219" s="13" t="s">
        <v>1554</v>
      </c>
      <c r="E219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G219" s="12" t="s">
        <v>833</v>
      </c>
      <c r="H219" s="19" t="str" cm="1">
        <f t="array" ref="H219">"n"&amp;SUBSTITUTE(CreateGuidString(),"-","_")</f>
        <v>n23D2FC0F_C513_4FED_9BB8_A3DA32655FCE</v>
      </c>
    </row>
    <row r="220" spans="1:8" x14ac:dyDescent="0.35">
      <c r="A2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20" s="12" t="s">
        <v>834</v>
      </c>
      <c r="C220" s="13" t="s">
        <v>1555</v>
      </c>
      <c r="E220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G220" s="12" t="s">
        <v>835</v>
      </c>
      <c r="H220" s="19" t="str" cm="1">
        <f t="array" ref="H220">"n"&amp;SUBSTITUTE(CreateGuidString(),"-","_")</f>
        <v>nE66E70EF_56DD_4990_926B_11E58D1D224B</v>
      </c>
    </row>
    <row r="221" spans="1:8" x14ac:dyDescent="0.35">
      <c r="A2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1" s="12" t="s">
        <v>836</v>
      </c>
      <c r="C221" s="13" t="s">
        <v>1556</v>
      </c>
      <c r="E221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G221" s="12" t="s">
        <v>837</v>
      </c>
      <c r="H221" s="19" t="str" cm="1">
        <f t="array" ref="H221">"n"&amp;SUBSTITUTE(CreateGuidString(),"-","_")</f>
        <v>n3F00B442_9D76_4E58_8DEE_3246478A7065</v>
      </c>
    </row>
    <row r="222" spans="1:8" x14ac:dyDescent="0.35">
      <c r="A2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2" s="12" t="s">
        <v>226</v>
      </c>
      <c r="C222" s="13" t="s">
        <v>1557</v>
      </c>
      <c r="E222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G222" s="12" t="s">
        <v>838</v>
      </c>
      <c r="H222" s="19" t="str" cm="1">
        <f t="array" ref="H222">"n"&amp;SUBSTITUTE(CreateGuidString(),"-","_")</f>
        <v>nBA007F5A_8A55_4E1F_99D8_B48F3054F53C</v>
      </c>
    </row>
    <row r="223" spans="1:8" x14ac:dyDescent="0.35">
      <c r="A2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3" s="12" t="s">
        <v>839</v>
      </c>
      <c r="C223" s="13" t="s">
        <v>1558</v>
      </c>
      <c r="E223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G223" s="12" t="s">
        <v>840</v>
      </c>
      <c r="H223" s="19" t="str" cm="1">
        <f t="array" ref="H223">"n"&amp;SUBSTITUTE(CreateGuidString(),"-","_")</f>
        <v>nF84687D5_7AF5_4A23_B093_7879F4D323C1</v>
      </c>
    </row>
    <row r="224" spans="1:8" x14ac:dyDescent="0.35">
      <c r="A2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4" s="12" t="s">
        <v>841</v>
      </c>
      <c r="C224" s="13" t="s">
        <v>1559</v>
      </c>
      <c r="E224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G224" s="12" t="s">
        <v>842</v>
      </c>
      <c r="H224" s="19" t="str" cm="1">
        <f t="array" ref="H224">"n"&amp;SUBSTITUTE(CreateGuidString(),"-","_")</f>
        <v>n9D79BA4C_9463_4A6F_B115_E0479AB2B2DF</v>
      </c>
    </row>
    <row r="225" spans="1:8" x14ac:dyDescent="0.35">
      <c r="A2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5" s="12" t="s">
        <v>843</v>
      </c>
      <c r="C225" s="13" t="s">
        <v>1560</v>
      </c>
      <c r="E225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G225" s="12" t="s">
        <v>844</v>
      </c>
      <c r="H225" s="19" t="str" cm="1">
        <f t="array" ref="H225">"n"&amp;SUBSTITUTE(CreateGuidString(),"-","_")</f>
        <v>nF1CA9452_51AB_469F_AC93_C8B13FB3615F</v>
      </c>
    </row>
    <row r="226" spans="1:8" x14ac:dyDescent="0.35">
      <c r="A2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6" s="12" t="s">
        <v>845</v>
      </c>
      <c r="C226" s="13" t="s">
        <v>1561</v>
      </c>
      <c r="E226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G226" s="12" t="s">
        <v>846</v>
      </c>
      <c r="H226" s="19" t="str" cm="1">
        <f t="array" ref="H226">"n"&amp;SUBSTITUTE(CreateGuidString(),"-","_")</f>
        <v>n4CD622C9_F815_4F34_AC89_545B94A54A85</v>
      </c>
    </row>
    <row r="227" spans="1:8" x14ac:dyDescent="0.35">
      <c r="A2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7" s="30" t="s">
        <v>1915</v>
      </c>
      <c r="C227" s="13" t="s">
        <v>1933</v>
      </c>
      <c r="E227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F227" s="18"/>
      <c r="H227" s="20" t="str" cm="1">
        <f t="array" ref="H227">"n"&amp;SUBSTITUTE(CreateGuidString(),"-","_")</f>
        <v>n5CA7A4CB_83BD_4231_A041_91DAACC2F600</v>
      </c>
    </row>
    <row r="228" spans="1:8" x14ac:dyDescent="0.35">
      <c r="A2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8" s="12" t="s">
        <v>847</v>
      </c>
      <c r="C228" s="13" t="s">
        <v>1547</v>
      </c>
      <c r="E228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G228" s="12" t="s">
        <v>848</v>
      </c>
      <c r="H228" s="19" t="str" cm="1">
        <f t="array" ref="H228">"n"&amp;SUBSTITUTE(CreateGuidString(),"-","_")</f>
        <v>nF24F64B8_78AE_4C0B_991B_B4F42A182F52</v>
      </c>
    </row>
    <row r="229" spans="1:8" x14ac:dyDescent="0.35">
      <c r="A2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9" s="12" t="s">
        <v>849</v>
      </c>
      <c r="C229" s="13" t="s">
        <v>1550</v>
      </c>
      <c r="E229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G229" s="12" t="s">
        <v>850</v>
      </c>
      <c r="H229" s="19" t="str" cm="1">
        <f t="array" ref="H229">"n"&amp;SUBSTITUTE(CreateGuidString(),"-","_")</f>
        <v>nC467AF09_483E_485E_AAE3_03FE8FABDBC8</v>
      </c>
    </row>
    <row r="230" spans="1:8" x14ac:dyDescent="0.35">
      <c r="A2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30" s="12" t="s">
        <v>851</v>
      </c>
      <c r="C230" s="13" t="s">
        <v>1562</v>
      </c>
      <c r="D230" s="12" t="s">
        <v>1270</v>
      </c>
      <c r="E230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G230" s="12" t="s">
        <v>852</v>
      </c>
      <c r="H230" s="19" t="str" cm="1">
        <f t="array" ref="H230">"n"&amp;SUBSTITUTE(CreateGuidString(),"-","_")</f>
        <v>n88AB358C_E85D_4CD7_986A_A4FA2727164D</v>
      </c>
    </row>
    <row r="231" spans="1:8" x14ac:dyDescent="0.35">
      <c r="A2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1" s="12" t="s">
        <v>853</v>
      </c>
      <c r="C231" s="13" t="s">
        <v>1563</v>
      </c>
      <c r="D231" s="12" t="s">
        <v>1270</v>
      </c>
      <c r="E231" s="12" t="str">
        <f>IF(NodesData[[#This Row],[Class Disambiguation]]="",NodesData[[#This Row],[Common Name]],NodesData[[#This Row],[Common Name]]&amp;" ("&amp;NodesData[[#This Row],[Class Disambiguation]]&amp;")")</f>
        <v>IdP (Acronym)</v>
      </c>
      <c r="G231" s="12" t="s">
        <v>854</v>
      </c>
      <c r="H231" s="19" t="str" cm="1">
        <f t="array" ref="H231">"n"&amp;SUBSTITUTE(CreateGuidString(),"-","_")</f>
        <v>nC9CCA3A4_6F36_4B48_80A5_0EB009EA5788</v>
      </c>
    </row>
    <row r="232" spans="1:8" x14ac:dyDescent="0.35">
      <c r="A2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2" s="33" t="s">
        <v>1926</v>
      </c>
      <c r="C232" s="13" t="s">
        <v>1935</v>
      </c>
      <c r="E232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F232" s="18"/>
      <c r="H232" s="20" t="str" cm="1">
        <f t="array" ref="H232">"n"&amp;SUBSTITUTE(CreateGuidString(),"-","_")</f>
        <v>nDD09F4F9_EC77_46D6_AC85_F679F3D74F66</v>
      </c>
    </row>
    <row r="233" spans="1:8" x14ac:dyDescent="0.35">
      <c r="A2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3" s="12" t="s">
        <v>855</v>
      </c>
      <c r="C233" s="13" t="s">
        <v>1564</v>
      </c>
      <c r="D233" s="12" t="s">
        <v>1270</v>
      </c>
      <c r="E233" s="12" t="str">
        <f>IF(NodesData[[#This Row],[Class Disambiguation]]="",NodesData[[#This Row],[Common Name]],NodesData[[#This Row],[Common Name]]&amp;" ("&amp;NodesData[[#This Row],[Class Disambiguation]]&amp;")")</f>
        <v>IMG (Acronym)</v>
      </c>
      <c r="G233" s="12" t="s">
        <v>856</v>
      </c>
      <c r="H233" s="19" t="str" cm="1">
        <f t="array" ref="H233">"n"&amp;SUBSTITUTE(CreateGuidString(),"-","_")</f>
        <v>n7D9DB28F_8B05_4AA8_B2EA_57393BE19687</v>
      </c>
    </row>
    <row r="234" spans="1:8" x14ac:dyDescent="0.35">
      <c r="A2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4" s="12" t="s">
        <v>857</v>
      </c>
      <c r="C234" s="13" t="s">
        <v>1565</v>
      </c>
      <c r="E234" s="12" t="str">
        <f>IF(NodesData[[#This Row],[Class Disambiguation]]="",NodesData[[#This Row],[Common Name]],NodesData[[#This Row],[Common Name]]&amp;" ("&amp;NodesData[[#This Row],[Class Disambiguation]]&amp;")")</f>
        <v>Impersonation</v>
      </c>
      <c r="G234" s="12" t="s">
        <v>858</v>
      </c>
      <c r="H234" s="19" t="str" cm="1">
        <f t="array" ref="H234">"n"&amp;SUBSTITUTE(CreateGuidString(),"-","_")</f>
        <v>n32A3D38F_A2D0_4422_A592_4E87D8179F6F</v>
      </c>
    </row>
    <row r="235" spans="1:8" x14ac:dyDescent="0.35">
      <c r="A2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5" s="12" t="s">
        <v>1298</v>
      </c>
      <c r="C235" s="13" t="s">
        <v>1584</v>
      </c>
      <c r="E235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H235" s="19" t="str" cm="1">
        <f t="array" ref="H235">"n"&amp;SUBSTITUTE(CreateGuidString(),"-","_")</f>
        <v>n01BB2FF8_F035_4B00_A751_151357FB5412</v>
      </c>
    </row>
    <row r="236" spans="1:8" x14ac:dyDescent="0.35">
      <c r="A2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6" s="12" t="s">
        <v>859</v>
      </c>
      <c r="C236" s="13" t="s">
        <v>1567</v>
      </c>
      <c r="E236" s="12" t="str">
        <f>IF(NodesData[[#This Row],[Class Disambiguation]]="",NodesData[[#This Row],[Common Name]],NodesData[[#This Row],[Common Name]]&amp;" ("&amp;NodesData[[#This Row],[Class Disambiguation]]&amp;")")</f>
        <v>Information</v>
      </c>
      <c r="G236" s="12" t="s">
        <v>860</v>
      </c>
      <c r="H236" s="19" t="str" cm="1">
        <f t="array" ref="H236">"n"&amp;SUBSTITUTE(CreateGuidString(),"-","_")</f>
        <v>n3FE91090_488D_4DF2_BC67_EE7F95A69661</v>
      </c>
    </row>
    <row r="237" spans="1:8" x14ac:dyDescent="0.35">
      <c r="A2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7" s="12" t="s">
        <v>861</v>
      </c>
      <c r="C237" s="13" t="s">
        <v>1568</v>
      </c>
      <c r="E237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G237" s="12" t="s">
        <v>862</v>
      </c>
      <c r="H237" s="19" t="str" cm="1">
        <f t="array" ref="H237">"n"&amp;SUBSTITUTE(CreateGuidString(),"-","_")</f>
        <v>nB51E665C_AA19_4D03_B4D1_CA1DF691B9F3</v>
      </c>
    </row>
    <row r="238" spans="1:8" x14ac:dyDescent="0.35">
      <c r="A2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8" s="12" t="s">
        <v>863</v>
      </c>
      <c r="C238" s="13" t="s">
        <v>1569</v>
      </c>
      <c r="E238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G238" s="12" t="s">
        <v>864</v>
      </c>
      <c r="H238" s="19" t="str" cm="1">
        <f t="array" ref="H238">"n"&amp;SUBSTITUTE(CreateGuidString(),"-","_")</f>
        <v>n047F80E7_0479_4B1D_9858_6EC7BBDAA836</v>
      </c>
    </row>
    <row r="239" spans="1:8" x14ac:dyDescent="0.35">
      <c r="A2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9" s="12" t="s">
        <v>865</v>
      </c>
      <c r="C239" s="13" t="s">
        <v>1570</v>
      </c>
      <c r="E239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G239" s="12" t="s">
        <v>866</v>
      </c>
      <c r="H239" s="19" t="str" cm="1">
        <f t="array" ref="H239">"n"&amp;SUBSTITUTE(CreateGuidString(),"-","_")</f>
        <v>n54993BDC_EB14_43A3_8C8C_02482D6518AA</v>
      </c>
    </row>
    <row r="240" spans="1:8" x14ac:dyDescent="0.35">
      <c r="A2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40" s="12" t="s">
        <v>867</v>
      </c>
      <c r="C240" s="13" t="s">
        <v>1571</v>
      </c>
      <c r="E240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G240" s="12" t="s">
        <v>868</v>
      </c>
      <c r="H240" s="19" t="str" cm="1">
        <f t="array" ref="H240">"n"&amp;SUBSTITUTE(CreateGuidString(),"-","_")</f>
        <v>nC927E2E5_48E4_4801_AEE7_CF5161B2D46C</v>
      </c>
    </row>
    <row r="241" spans="1:8" x14ac:dyDescent="0.35">
      <c r="A2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1" s="12" t="s">
        <v>247</v>
      </c>
      <c r="C241" s="13" t="s">
        <v>1572</v>
      </c>
      <c r="E241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G241" s="12" t="s">
        <v>869</v>
      </c>
      <c r="H241" s="19" t="str" cm="1">
        <f t="array" ref="H241">"n"&amp;SUBSTITUTE(CreateGuidString(),"-","_")</f>
        <v>n066B1E95_4E9B_4132_99A0_393A065271BF</v>
      </c>
    </row>
    <row r="242" spans="1:8" x14ac:dyDescent="0.35">
      <c r="A2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2" s="12" t="s">
        <v>248</v>
      </c>
      <c r="C242" s="13" t="s">
        <v>1573</v>
      </c>
      <c r="E242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G242" s="12" t="s">
        <v>870</v>
      </c>
      <c r="H242" s="19" t="str" cm="1">
        <f t="array" ref="H242">"n"&amp;SUBSTITUTE(CreateGuidString(),"-","_")</f>
        <v>n8D786029_59EA_41EC_AE30_F0A4AD32475A</v>
      </c>
    </row>
    <row r="243" spans="1:8" x14ac:dyDescent="0.35">
      <c r="A2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3" s="12" t="s">
        <v>1294</v>
      </c>
      <c r="C243" s="13" t="s">
        <v>1574</v>
      </c>
      <c r="E243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H243" s="19" t="str" cm="1">
        <f t="array" ref="H243">"n"&amp;SUBSTITUTE(CreateGuidString(),"-","_")</f>
        <v>nE216D5BD_E34A_44F1_AD35_1134C84E7A6F</v>
      </c>
    </row>
    <row r="244" spans="1:8" x14ac:dyDescent="0.35">
      <c r="A2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4" s="12" t="s">
        <v>250</v>
      </c>
      <c r="C244" s="13" t="s">
        <v>1575</v>
      </c>
      <c r="E244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G244" s="12" t="s">
        <v>871</v>
      </c>
      <c r="H244" s="19" t="str" cm="1">
        <f t="array" ref="H244">"n"&amp;SUBSTITUTE(CreateGuidString(),"-","_")</f>
        <v>n2E311A0C_450A_448B_A522_86A3FFDD4FAB</v>
      </c>
    </row>
    <row r="245" spans="1:8" x14ac:dyDescent="0.35">
      <c r="A2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</v>
      </c>
      <c r="B245" s="12" t="s">
        <v>251</v>
      </c>
      <c r="C245" s="13" t="s">
        <v>1576</v>
      </c>
      <c r="E245" s="12" t="str">
        <f>IF(NodesData[[#This Row],[Class Disambiguation]]="",NodesData[[#This Row],[Common Name]],NodesData[[#This Row],[Common Name]]&amp;" ("&amp;NodesData[[#This Row],[Class Disambiguation]]&amp;")")</f>
        <v>Insider</v>
      </c>
      <c r="G245" s="12" t="s">
        <v>872</v>
      </c>
      <c r="H245" s="19" t="str" cm="1">
        <f t="array" ref="H245">"n"&amp;SUBSTITUTE(CreateGuidString(),"-","_")</f>
        <v>nBF6B93FD_5971_46C6_8106_6D9AF48CEB1D</v>
      </c>
    </row>
    <row r="246" spans="1:8" x14ac:dyDescent="0.35">
      <c r="A2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6" s="12" t="s">
        <v>252</v>
      </c>
      <c r="C246" s="13" t="s">
        <v>1577</v>
      </c>
      <c r="E246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G246" s="12" t="s">
        <v>873</v>
      </c>
      <c r="H246" s="19" t="str" cm="1">
        <f t="array" ref="H246">"n"&amp;SUBSTITUTE(CreateGuidString(),"-","_")</f>
        <v>n7E5D9BCE_8A4E_48F2_BB1B_3191984E0AF1</v>
      </c>
    </row>
    <row r="247" spans="1:8" x14ac:dyDescent="0.35">
      <c r="A2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7" s="12" t="s">
        <v>253</v>
      </c>
      <c r="C247" s="13" t="s">
        <v>1578</v>
      </c>
      <c r="E247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G247" s="12" t="s">
        <v>874</v>
      </c>
      <c r="H247" s="19" t="str" cm="1">
        <f t="array" ref="H247">"n"&amp;SUBSTITUTE(CreateGuidString(),"-","_")</f>
        <v>nFB27EDAA_0F43_44F2_A167_5F42699F371D</v>
      </c>
    </row>
    <row r="248" spans="1:8" x14ac:dyDescent="0.35">
      <c r="A2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8" s="12" t="s">
        <v>875</v>
      </c>
      <c r="C248" s="13" t="s">
        <v>1579</v>
      </c>
      <c r="E248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G248" s="12" t="s">
        <v>876</v>
      </c>
      <c r="H248" s="19" t="str" cm="1">
        <f t="array" ref="H248">"n"&amp;SUBSTITUTE(CreateGuidString(),"-","_")</f>
        <v>nFA0E3443_E069_4BC3_B34D_9A7C053C8FDE</v>
      </c>
    </row>
    <row r="249" spans="1:8" x14ac:dyDescent="0.35">
      <c r="A2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9" s="12" t="s">
        <v>877</v>
      </c>
      <c r="C249" s="13" t="s">
        <v>1580</v>
      </c>
      <c r="E249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G249" s="12" t="s">
        <v>878</v>
      </c>
      <c r="H249" s="19" t="str" cm="1">
        <f t="array" ref="H249">"n"&amp;SUBSTITUTE(CreateGuidString(),"-","_")</f>
        <v>nE7CFE9CF_E747_4FD7_AAB4_3548F68EDAAD</v>
      </c>
    </row>
    <row r="250" spans="1:8" x14ac:dyDescent="0.35">
      <c r="A2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50" s="12" t="s">
        <v>879</v>
      </c>
      <c r="C250" s="13" t="s">
        <v>1581</v>
      </c>
      <c r="E250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G250" s="12" t="s">
        <v>880</v>
      </c>
      <c r="H250" s="19" t="str" cm="1">
        <f t="array" ref="H250">"n"&amp;SUBSTITUTE(CreateGuidString(),"-","_")</f>
        <v>n21822726_C481_4209_A8F9_D49041004543</v>
      </c>
    </row>
    <row r="251" spans="1:8" x14ac:dyDescent="0.35">
      <c r="A2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1" s="12" t="s">
        <v>881</v>
      </c>
      <c r="C251" s="13" t="s">
        <v>1582</v>
      </c>
      <c r="E251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G251" s="12" t="s">
        <v>882</v>
      </c>
      <c r="H251" s="19" t="str" cm="1">
        <f t="array" ref="H251">"n"&amp;SUBSTITUTE(CreateGuidString(),"-","_")</f>
        <v>nE6FFB387_8B1C_4D7B_BB4F_C24EC2BCF0A1</v>
      </c>
    </row>
    <row r="252" spans="1:8" x14ac:dyDescent="0.35">
      <c r="A2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2" s="12" t="s">
        <v>883</v>
      </c>
      <c r="C252" s="13" t="s">
        <v>1583</v>
      </c>
      <c r="E252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G252" s="12" t="s">
        <v>884</v>
      </c>
      <c r="H252" s="19" t="str" cm="1">
        <f t="array" ref="H252">"n"&amp;SUBSTITUTE(CreateGuidString(),"-","_")</f>
        <v>n29E7AD5A_A1B9_4A19_9F10_17211AADE560</v>
      </c>
    </row>
    <row r="253" spans="1:8" x14ac:dyDescent="0.35">
      <c r="A2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3" s="12" t="s">
        <v>1310</v>
      </c>
      <c r="C253" s="13" t="s">
        <v>1597</v>
      </c>
      <c r="E253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H253" s="19" t="str" cm="1">
        <f t="array" ref="H253">"n"&amp;SUBSTITUTE(CreateGuidString(),"-","_")</f>
        <v>n13AA80EE_A2F3_4A12_9AF0_F0B35DDC7547</v>
      </c>
    </row>
    <row r="254" spans="1:8" x14ac:dyDescent="0.35">
      <c r="A2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4" s="12" t="s">
        <v>885</v>
      </c>
      <c r="C254" s="13" t="s">
        <v>1585</v>
      </c>
      <c r="E254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G254" s="12" t="s">
        <v>886</v>
      </c>
      <c r="H254" s="19" t="str" cm="1">
        <f t="array" ref="H254">"n"&amp;SUBSTITUTE(CreateGuidString(),"-","_")</f>
        <v>nF55ED915_F7E9_481D_843B_3918632C9504</v>
      </c>
    </row>
    <row r="255" spans="1:8" x14ac:dyDescent="0.35">
      <c r="A2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5" s="12" t="s">
        <v>887</v>
      </c>
      <c r="C255" s="13" t="s">
        <v>1586</v>
      </c>
      <c r="E255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G255" s="12" t="s">
        <v>888</v>
      </c>
      <c r="H255" s="19" t="str" cm="1">
        <f t="array" ref="H255">"n"&amp;SUBSTITUTE(CreateGuidString(),"-","_")</f>
        <v>nA6B7E077_AD2D_4233_B0C6_797CCD59CCB9</v>
      </c>
    </row>
    <row r="256" spans="1:8" x14ac:dyDescent="0.35">
      <c r="A2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6" s="12" t="s">
        <v>1341</v>
      </c>
      <c r="C256" s="13" t="s">
        <v>1840</v>
      </c>
      <c r="E256" s="18" t="str">
        <f>IF(NodesData[[#This Row],[Class Disambiguation]]="",NodesData[[#This Row],[Common Name]],NodesData[[#This Row],[Common Name]]&amp;" ("&amp;NodesData[[#This Row],[Class Disambiguation]]&amp;")")</f>
        <v>IT Component</v>
      </c>
      <c r="F256" s="18"/>
      <c r="H256" s="19" t="str" cm="1">
        <f t="array" ref="H256">"n"&amp;SUBSTITUTE(CreateGuidString(),"-","_")</f>
        <v>n164C31E6_26C8_4AC4_8A24_BE206D966089</v>
      </c>
    </row>
    <row r="257" spans="1:8" x14ac:dyDescent="0.35">
      <c r="A2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7" s="12" t="s">
        <v>1342</v>
      </c>
      <c r="C257" s="13" t="s">
        <v>1844</v>
      </c>
      <c r="E257" s="18" t="str">
        <f>IF(NodesData[[#This Row],[Class Disambiguation]]="",NodesData[[#This Row],[Common Name]],NodesData[[#This Row],[Common Name]]&amp;" ("&amp;NodesData[[#This Row],[Class Disambiguation]]&amp;")")</f>
        <v>IT Hardware</v>
      </c>
      <c r="F257" s="18"/>
      <c r="H257" s="20" t="str" cm="1">
        <f t="array" ref="H257">"n"&amp;SUBSTITUTE(CreateGuidString(),"-","_")</f>
        <v>n31E2211A_5393_48D7_A868_282AAF5B7ED1</v>
      </c>
    </row>
    <row r="258" spans="1:8" x14ac:dyDescent="0.35">
      <c r="A2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8" s="12" t="s">
        <v>1344</v>
      </c>
      <c r="C258" s="13" t="s">
        <v>1845</v>
      </c>
      <c r="E258" s="18" t="str">
        <f>IF(NodesData[[#This Row],[Class Disambiguation]]="",NodesData[[#This Row],[Common Name]],NodesData[[#This Row],[Common Name]]&amp;" ("&amp;NodesData[[#This Row],[Class Disambiguation]]&amp;")")</f>
        <v>IT Software</v>
      </c>
      <c r="F258" s="18"/>
      <c r="H258" s="20" t="str" cm="1">
        <f t="array" ref="H258">"n"&amp;SUBSTITUTE(CreateGuidString(),"-","_")</f>
        <v>n4DE77977_B834_4C9C_B341_D874CF6FAA2A</v>
      </c>
    </row>
    <row r="259" spans="1:8" x14ac:dyDescent="0.35">
      <c r="A2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9" s="12" t="s">
        <v>261</v>
      </c>
      <c r="C259" s="13" t="s">
        <v>1587</v>
      </c>
      <c r="E259" s="12" t="str">
        <f>IF(NodesData[[#This Row],[Class Disambiguation]]="",NodesData[[#This Row],[Common Name]],NodesData[[#This Row],[Common Name]]&amp;" ("&amp;NodesData[[#This Row],[Class Disambiguation]]&amp;")")</f>
        <v>IT System</v>
      </c>
      <c r="G259" s="12" t="s">
        <v>889</v>
      </c>
      <c r="H259" s="19" t="str" cm="1">
        <f t="array" ref="H259">"n"&amp;SUBSTITUTE(CreateGuidString(),"-","_")</f>
        <v>n65DC1CF9_F146_43E7_BC67_D2EAF9D94DD5</v>
      </c>
    </row>
    <row r="260" spans="1:8" x14ac:dyDescent="0.35">
      <c r="A2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60" s="12" t="s">
        <v>890</v>
      </c>
      <c r="C260" s="13" t="s">
        <v>1588</v>
      </c>
      <c r="D260" s="12" t="s">
        <v>1270</v>
      </c>
      <c r="E260" s="12" t="str">
        <f>IF(NodesData[[#This Row],[Class Disambiguation]]="",NodesData[[#This Row],[Common Name]],NodesData[[#This Row],[Common Name]]&amp;" ("&amp;NodesData[[#This Row],[Class Disambiguation]]&amp;")")</f>
        <v>JML (Acronym)</v>
      </c>
      <c r="G260" s="12" t="s">
        <v>891</v>
      </c>
      <c r="H260" s="19" t="str" cm="1">
        <f t="array" ref="H260">"n"&amp;SUBSTITUTE(CreateGuidString(),"-","_")</f>
        <v>nCB5DA4E8_A9DD_45CC_9520_4F5B7A4517A7</v>
      </c>
    </row>
    <row r="261" spans="1:8" x14ac:dyDescent="0.35">
      <c r="A2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</v>
      </c>
      <c r="B261" s="12" t="s">
        <v>892</v>
      </c>
      <c r="C261" s="13" t="s">
        <v>1589</v>
      </c>
      <c r="E261" s="12" t="str">
        <f>IF(NodesData[[#This Row],[Class Disambiguation]]="",NodesData[[#This Row],[Common Name]],NodesData[[#This Row],[Common Name]]&amp;" ("&amp;NodesData[[#This Row],[Class Disambiguation]]&amp;")")</f>
        <v>Joiner</v>
      </c>
      <c r="G261" s="12" t="s">
        <v>893</v>
      </c>
      <c r="H261" s="19" t="str" cm="1">
        <f t="array" ref="H261">"n"&amp;SUBSTITUTE(CreateGuidString(),"-","_")</f>
        <v>n2F3D23D6_A0EE_494A_BE93_D9FC89560256</v>
      </c>
    </row>
    <row r="262" spans="1:8" x14ac:dyDescent="0.35">
      <c r="A2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2" s="12" t="s">
        <v>894</v>
      </c>
      <c r="C262" s="13" t="s">
        <v>1590</v>
      </c>
      <c r="E262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G262" s="12" t="s">
        <v>895</v>
      </c>
      <c r="H262" s="19" t="str" cm="1">
        <f t="array" ref="H262">"n"&amp;SUBSTITUTE(CreateGuidString(),"-","_")</f>
        <v>nF5D94BC6_4FF4_48D8_9BBD_F02F04E97E50</v>
      </c>
    </row>
    <row r="263" spans="1:8" x14ac:dyDescent="0.35">
      <c r="A2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3" s="12" t="s">
        <v>896</v>
      </c>
      <c r="C263" s="13" t="s">
        <v>1591</v>
      </c>
      <c r="E263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G263" s="12" t="s">
        <v>897</v>
      </c>
      <c r="H263" s="19" t="str" cm="1">
        <f t="array" ref="H263">"n"&amp;SUBSTITUTE(CreateGuidString(),"-","_")</f>
        <v>nA3A68BDA_D525_4967_8BBD_0BCE13ADF820</v>
      </c>
    </row>
    <row r="264" spans="1:8" x14ac:dyDescent="0.35">
      <c r="A2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4" s="12" t="s">
        <v>898</v>
      </c>
      <c r="C264" s="13" t="s">
        <v>1592</v>
      </c>
      <c r="E264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G264" s="12" t="s">
        <v>899</v>
      </c>
      <c r="H264" s="19" t="str" cm="1">
        <f t="array" ref="H264">"n"&amp;SUBSTITUTE(CreateGuidString(),"-","_")</f>
        <v>n7293ACD1_2536_4B1C_91BB_FE1846FE1D74</v>
      </c>
    </row>
    <row r="265" spans="1:8" x14ac:dyDescent="0.35">
      <c r="A2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5" s="12" t="s">
        <v>900</v>
      </c>
      <c r="C265" s="13" t="s">
        <v>1593</v>
      </c>
      <c r="E265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G265" s="12" t="s">
        <v>901</v>
      </c>
      <c r="H265" s="19" t="str" cm="1">
        <f t="array" ref="H265">"n"&amp;SUBSTITUTE(CreateGuidString(),"-","_")</f>
        <v>n94B96BA4_B9D8_4470_B730_36706249C1C2</v>
      </c>
    </row>
    <row r="266" spans="1:8" x14ac:dyDescent="0.35">
      <c r="A2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6" s="12" t="s">
        <v>902</v>
      </c>
      <c r="C266" s="13" t="s">
        <v>1594</v>
      </c>
      <c r="E266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G266" s="12" t="s">
        <v>903</v>
      </c>
      <c r="H266" s="19" t="str" cm="1">
        <f t="array" ref="H266">"n"&amp;SUBSTITUTE(CreateGuidString(),"-","_")</f>
        <v>nF1351E7E_8741_442D_A82E_52FC07F95BDC</v>
      </c>
    </row>
    <row r="267" spans="1:8" x14ac:dyDescent="0.35">
      <c r="A2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7" s="12" t="s">
        <v>904</v>
      </c>
      <c r="C267" s="13" t="s">
        <v>1595</v>
      </c>
      <c r="E267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G267" s="12" t="s">
        <v>905</v>
      </c>
      <c r="H267" s="19" t="str" cm="1">
        <f t="array" ref="H267">"n"&amp;SUBSTITUTE(CreateGuidString(),"-","_")</f>
        <v>n7516AA34_6FA8_4C2D_9105_DBCCB695DFCE</v>
      </c>
    </row>
    <row r="268" spans="1:8" x14ac:dyDescent="0.35">
      <c r="A2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8" s="12" t="s">
        <v>906</v>
      </c>
      <c r="C268" s="13" t="s">
        <v>1596</v>
      </c>
      <c r="E268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G268" s="12" t="s">
        <v>907</v>
      </c>
      <c r="H268" s="19" t="str" cm="1">
        <f t="array" ref="H268">"n"&amp;SUBSTITUTE(CreateGuidString(),"-","_")</f>
        <v>nB79CCF5D_8526_4058_98F1_FE0A4E769F86</v>
      </c>
    </row>
    <row r="269" spans="1:8" x14ac:dyDescent="0.35">
      <c r="A2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9" s="12" t="s">
        <v>1311</v>
      </c>
      <c r="C269" s="13" t="s">
        <v>1599</v>
      </c>
      <c r="E269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H269" s="19" t="str" cm="1">
        <f t="array" ref="H269">"n"&amp;SUBSTITUTE(CreateGuidString(),"-","_")</f>
        <v>nDA262F25_108B_4F70_B0CE_C16B38CD7C39</v>
      </c>
    </row>
    <row r="270" spans="1:8" x14ac:dyDescent="0.35">
      <c r="A2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70" s="12" t="s">
        <v>2</v>
      </c>
      <c r="C270" s="13" t="s">
        <v>1598</v>
      </c>
      <c r="E270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H270" s="19" t="str" cm="1">
        <f t="array" ref="H270">"n"&amp;SUBSTITUTE(CreateGuidString(),"-","_")</f>
        <v>n4B15B06A_84E4_4DF1_96B1_ACDB727CA6FF</v>
      </c>
    </row>
    <row r="271" spans="1:8" x14ac:dyDescent="0.35">
      <c r="A2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1" s="12" t="s">
        <v>1313</v>
      </c>
      <c r="C271" s="13" t="s">
        <v>1620</v>
      </c>
      <c r="E271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H271" s="19" t="str" cm="1">
        <f t="array" ref="H271">"n"&amp;SUBSTITUTE(CreateGuidString(),"-","_")</f>
        <v>nA2903851_0386_4013_8FFE_C49654167206</v>
      </c>
    </row>
    <row r="272" spans="1:8" x14ac:dyDescent="0.35">
      <c r="A2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2" s="12" t="s">
        <v>910</v>
      </c>
      <c r="C272" s="13" t="s">
        <v>1601</v>
      </c>
      <c r="E272" s="12" t="str">
        <f>IF(NodesData[[#This Row],[Class Disambiguation]]="",NodesData[[#This Row],[Common Name]],NodesData[[#This Row],[Common Name]]&amp;" ("&amp;NodesData[[#This Row],[Class Disambiguation]]&amp;")")</f>
        <v>KYC Registry</v>
      </c>
      <c r="G272" s="12" t="s">
        <v>911</v>
      </c>
      <c r="H272" s="19" t="str" cm="1">
        <f t="array" ref="H272">"n"&amp;SUBSTITUTE(CreateGuidString(),"-","_")</f>
        <v>n29C799B3_1B9F_4454_98EB_43E4A22A1688</v>
      </c>
    </row>
    <row r="273" spans="1:8" x14ac:dyDescent="0.35">
      <c r="A2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3" s="12" t="s">
        <v>908</v>
      </c>
      <c r="C273" s="13" t="s">
        <v>1600</v>
      </c>
      <c r="D273" s="12" t="s">
        <v>1270</v>
      </c>
      <c r="E273" s="12" t="str">
        <f>IF(NodesData[[#This Row],[Class Disambiguation]]="",NodesData[[#This Row],[Common Name]],NodesData[[#This Row],[Common Name]]&amp;" ("&amp;NodesData[[#This Row],[Class Disambiguation]]&amp;")")</f>
        <v>KYC (Acronym)</v>
      </c>
      <c r="G273" s="12" t="s">
        <v>909</v>
      </c>
      <c r="H273" s="19" t="str" cm="1">
        <f t="array" ref="H273">"n"&amp;SUBSTITUTE(CreateGuidString(),"-","_")</f>
        <v>n19E54A67_DBB1_426A_8329_8F5E8F8476D2</v>
      </c>
    </row>
    <row r="274" spans="1:8" x14ac:dyDescent="0.35">
      <c r="A2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4" s="12" t="s">
        <v>912</v>
      </c>
      <c r="C274" s="13" t="s">
        <v>1602</v>
      </c>
      <c r="E274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G274" s="12" t="s">
        <v>913</v>
      </c>
      <c r="H274" s="19" t="str" cm="1">
        <f t="array" ref="H274">"n"&amp;SUBSTITUTE(CreateGuidString(),"-","_")</f>
        <v>n57FED68B_A1F0_4C85_8282_27B1A2EC804D</v>
      </c>
    </row>
    <row r="275" spans="1:8" x14ac:dyDescent="0.35">
      <c r="A2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5" s="12" t="s">
        <v>914</v>
      </c>
      <c r="C275" s="13" t="s">
        <v>1603</v>
      </c>
      <c r="E275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G275" s="12" t="s">
        <v>915</v>
      </c>
      <c r="H275" s="19" t="str" cm="1">
        <f t="array" ref="H275">"n"&amp;SUBSTITUTE(CreateGuidString(),"-","_")</f>
        <v>n5869998D_50F4_4935_86F8_F0B5E51061FB</v>
      </c>
    </row>
    <row r="276" spans="1:8" x14ac:dyDescent="0.35">
      <c r="A2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6" s="12" t="s">
        <v>916</v>
      </c>
      <c r="C276" s="13" t="s">
        <v>1604</v>
      </c>
      <c r="D276" s="12" t="s">
        <v>1270</v>
      </c>
      <c r="E276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G276" s="12" t="s">
        <v>917</v>
      </c>
      <c r="H276" s="19" t="str" cm="1">
        <f t="array" ref="H276">"n"&amp;SUBSTITUTE(CreateGuidString(),"-","_")</f>
        <v>nDE0711B6_B488_4D05_B6F7_1EF64A15F3BF</v>
      </c>
    </row>
    <row r="277" spans="1:8" x14ac:dyDescent="0.35">
      <c r="A2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7" s="12" t="s">
        <v>918</v>
      </c>
      <c r="C277" s="13" t="s">
        <v>1605</v>
      </c>
      <c r="E277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G277" s="12" t="s">
        <v>919</v>
      </c>
      <c r="H277" s="19" t="str" cm="1">
        <f t="array" ref="H277">"n"&amp;SUBSTITUTE(CreateGuidString(),"-","_")</f>
        <v>n6161056B_7DFB_4845_994E_24CBB10B986E</v>
      </c>
    </row>
    <row r="278" spans="1:8" x14ac:dyDescent="0.35">
      <c r="A2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8" s="12" t="s">
        <v>920</v>
      </c>
      <c r="C278" s="13" t="s">
        <v>1606</v>
      </c>
      <c r="E278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G278" s="12" t="s">
        <v>921</v>
      </c>
      <c r="H278" s="19" t="str" cm="1">
        <f t="array" ref="H278">"n"&amp;SUBSTITUTE(CreateGuidString(),"-","_")</f>
        <v>n5BAC0D65_40F9_4BA0_B363_7F336156F0EB</v>
      </c>
    </row>
    <row r="279" spans="1:8" x14ac:dyDescent="0.35">
      <c r="A2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9" s="12" t="s">
        <v>922</v>
      </c>
      <c r="C279" s="13" t="s">
        <v>1607</v>
      </c>
      <c r="E279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G279" s="12" t="s">
        <v>923</v>
      </c>
      <c r="H279" s="19" t="str" cm="1">
        <f t="array" ref="H279">"n"&amp;SUBSTITUTE(CreateGuidString(),"-","_")</f>
        <v>n2778BDA6_5969_499B_81F4_8E0D82E86445</v>
      </c>
    </row>
    <row r="280" spans="1:8" x14ac:dyDescent="0.35">
      <c r="A2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80" s="12" t="s">
        <v>924</v>
      </c>
      <c r="C280" s="13" t="s">
        <v>1608</v>
      </c>
      <c r="E280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G280" s="12" t="s">
        <v>925</v>
      </c>
      <c r="H280" s="19" t="str" cm="1">
        <f t="array" ref="H280">"n"&amp;SUBSTITUTE(CreateGuidString(),"-","_")</f>
        <v>nFA68766A_CD19_46D8_9B03_CE3F313B8D4B</v>
      </c>
    </row>
    <row r="281" spans="1:8" x14ac:dyDescent="0.35">
      <c r="A2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1" s="12" t="s">
        <v>926</v>
      </c>
      <c r="C281" s="13" t="s">
        <v>1609</v>
      </c>
      <c r="D281" s="12" t="s">
        <v>1270</v>
      </c>
      <c r="E281" s="12" t="str">
        <f>IF(NodesData[[#This Row],[Class Disambiguation]]="",NodesData[[#This Row],[Common Name]],NodesData[[#This Row],[Common Name]]&amp;" ("&amp;NodesData[[#This Row],[Class Disambiguation]]&amp;")")</f>
        <v>LEI (Acronym)</v>
      </c>
      <c r="G281" s="12" t="s">
        <v>927</v>
      </c>
      <c r="H281" s="19" t="str" cm="1">
        <f t="array" ref="H281">"n"&amp;SUBSTITUTE(CreateGuidString(),"-","_")</f>
        <v>n5FE0DFDD_C924_4FEC_85BA_C04A6199BDA6</v>
      </c>
    </row>
    <row r="282" spans="1:8" x14ac:dyDescent="0.35">
      <c r="A2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2" s="12" t="s">
        <v>928</v>
      </c>
      <c r="C282" s="13" t="s">
        <v>1610</v>
      </c>
      <c r="E282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G282" s="12" t="s">
        <v>929</v>
      </c>
      <c r="H282" s="19" t="str" cm="1">
        <f t="array" ref="H282">"n"&amp;SUBSTITUTE(CreateGuidString(),"-","_")</f>
        <v>nEAD952D5_79A9_4F92_8E5E_F1006D75CE01</v>
      </c>
    </row>
    <row r="283" spans="1:8" x14ac:dyDescent="0.35">
      <c r="A2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3" s="12" t="s">
        <v>930</v>
      </c>
      <c r="C283" s="13" t="s">
        <v>1611</v>
      </c>
      <c r="E283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G283" s="12" t="s">
        <v>931</v>
      </c>
      <c r="H283" s="19" t="str" cm="1">
        <f t="array" ref="H283">"n"&amp;SUBSTITUTE(CreateGuidString(),"-","_")</f>
        <v>n2D93EBAC_E768_4E9A_98E3_4F732BA5B3B5</v>
      </c>
    </row>
    <row r="284" spans="1:8" x14ac:dyDescent="0.35">
      <c r="A2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4" s="12" t="s">
        <v>932</v>
      </c>
      <c r="C284" s="13" t="s">
        <v>1612</v>
      </c>
      <c r="D284" s="12" t="s">
        <v>1270</v>
      </c>
      <c r="E284" s="12" t="str">
        <f>IF(NodesData[[#This Row],[Class Disambiguation]]="",NodesData[[#This Row],[Common Name]],NodesData[[#This Row],[Common Name]]&amp;" ("&amp;NodesData[[#This Row],[Class Disambiguation]]&amp;")")</f>
        <v>LOA (Acronym)</v>
      </c>
      <c r="G284" s="12" t="s">
        <v>933</v>
      </c>
      <c r="H284" s="19" t="str" cm="1">
        <f t="array" ref="H284">"n"&amp;SUBSTITUTE(CreateGuidString(),"-","_")</f>
        <v>n39601EF9_3BDC_4F86_80BB_1F9C0BA8697A</v>
      </c>
    </row>
    <row r="285" spans="1:8" x14ac:dyDescent="0.35">
      <c r="A2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5" s="12" t="s">
        <v>1296</v>
      </c>
      <c r="C285" s="13" t="s">
        <v>1613</v>
      </c>
      <c r="E285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H285" s="19" t="str" cm="1">
        <f t="array" ref="H285">"n"&amp;SUBSTITUTE(CreateGuidString(),"-","_")</f>
        <v>nAD6CFD29_5157_4376_8CAC_A7A4EE15540E</v>
      </c>
    </row>
    <row r="286" spans="1:8" x14ac:dyDescent="0.35">
      <c r="A2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6" s="12" t="s">
        <v>285</v>
      </c>
      <c r="C286" s="13" t="s">
        <v>1614</v>
      </c>
      <c r="E286" s="12" t="str">
        <f>IF(NodesData[[#This Row],[Class Disambiguation]]="",NodesData[[#This Row],[Common Name]],NodesData[[#This Row],[Common Name]]&amp;" ("&amp;NodesData[[#This Row],[Class Disambiguation]]&amp;")")</f>
        <v>Logic Bomb</v>
      </c>
      <c r="G286" s="12" t="s">
        <v>934</v>
      </c>
      <c r="H286" s="19" t="str" cm="1">
        <f t="array" ref="H286">"n"&amp;SUBSTITUTE(CreateGuidString(),"-","_")</f>
        <v>nF4F7AC14_E089_46B8_B8C6_4DFB368C316B</v>
      </c>
    </row>
    <row r="287" spans="1:8" x14ac:dyDescent="0.35">
      <c r="A2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</v>
      </c>
      <c r="B287" s="12" t="s">
        <v>286</v>
      </c>
      <c r="C287" s="13" t="s">
        <v>1615</v>
      </c>
      <c r="E287" s="12" t="str">
        <f>IF(NodesData[[#This Row],[Class Disambiguation]]="",NodesData[[#This Row],[Common Name]],NodesData[[#This Row],[Common Name]]&amp;" ("&amp;NodesData[[#This Row],[Class Disambiguation]]&amp;")")</f>
        <v>Login</v>
      </c>
      <c r="G287" s="12" t="s">
        <v>935</v>
      </c>
      <c r="H287" s="19" t="str" cm="1">
        <f t="array" ref="H287">"n"&amp;SUBSTITUTE(CreateGuidString(),"-","_")</f>
        <v>n3C004864_FD02_4042_866F_656908792D2A</v>
      </c>
    </row>
    <row r="288" spans="1:8" x14ac:dyDescent="0.35">
      <c r="A2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8" s="12" t="s">
        <v>287</v>
      </c>
      <c r="C288" s="13" t="s">
        <v>1616</v>
      </c>
      <c r="D288" s="12" t="s">
        <v>1270</v>
      </c>
      <c r="E288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G288" s="12" t="s">
        <v>936</v>
      </c>
      <c r="H288" s="19" t="str" cm="1">
        <f t="array" ref="H288">"n"&amp;SUBSTITUTE(CreateGuidString(),"-","_")</f>
        <v>n4A12784C_A6AE_4D04_981B_78A66A213171</v>
      </c>
    </row>
    <row r="289" spans="1:8" x14ac:dyDescent="0.35">
      <c r="A2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9" s="12" t="s">
        <v>288</v>
      </c>
      <c r="C289" s="13" t="s">
        <v>1617</v>
      </c>
      <c r="E289" s="12" t="str">
        <f>IF(NodesData[[#This Row],[Class Disambiguation]]="",NodesData[[#This Row],[Common Name]],NodesData[[#This Row],[Common Name]]&amp;" ("&amp;NodesData[[#This Row],[Class Disambiguation]]&amp;")")</f>
        <v>Login Name</v>
      </c>
      <c r="G289" s="12" t="s">
        <v>937</v>
      </c>
      <c r="H289" s="19" t="str" cm="1">
        <f t="array" ref="H289">"n"&amp;SUBSTITUTE(CreateGuidString(),"-","_")</f>
        <v>n8D43ACAD_688D_45E8_8F0C_AC35E450284F</v>
      </c>
    </row>
    <row r="290" spans="1:8" x14ac:dyDescent="0.35">
      <c r="A2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90" s="12" t="s">
        <v>938</v>
      </c>
      <c r="C290" s="13" t="s">
        <v>1618</v>
      </c>
      <c r="E290" s="12" t="str">
        <f>IF(NodesData[[#This Row],[Class Disambiguation]]="",NodesData[[#This Row],[Common Name]],NodesData[[#This Row],[Common Name]]&amp;" ("&amp;NodesData[[#This Row],[Class Disambiguation]]&amp;")")</f>
        <v>Mechanism</v>
      </c>
      <c r="G290" s="12" t="s">
        <v>939</v>
      </c>
      <c r="H290" s="19" t="str" cm="1">
        <f t="array" ref="H290">"n"&amp;SUBSTITUTE(CreateGuidString(),"-","_")</f>
        <v>n09E04FF5_EADE_4933_8C69_FE3DFE18F03B</v>
      </c>
    </row>
    <row r="291" spans="1:8" x14ac:dyDescent="0.35">
      <c r="A2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1" s="12" t="s">
        <v>940</v>
      </c>
      <c r="C291" s="13" t="s">
        <v>1619</v>
      </c>
      <c r="E291" s="12" t="str">
        <f>IF(NodesData[[#This Row],[Class Disambiguation]]="",NodesData[[#This Row],[Common Name]],NodesData[[#This Row],[Common Name]]&amp;" ("&amp;NodesData[[#This Row],[Class Disambiguation]]&amp;")")</f>
        <v>Metadirectory</v>
      </c>
      <c r="G291" s="12" t="s">
        <v>941</v>
      </c>
      <c r="H291" s="19" t="str" cm="1">
        <f t="array" ref="H291">"n"&amp;SUBSTITUTE(CreateGuidString(),"-","_")</f>
        <v>nAF7AB177_50F9_48E1_A1E0_B35E33089B73</v>
      </c>
    </row>
    <row r="292" spans="1:8" x14ac:dyDescent="0.35">
      <c r="A2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2" s="12" t="s">
        <v>942</v>
      </c>
      <c r="C292" s="13" t="s">
        <v>1621</v>
      </c>
      <c r="E292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G292" s="12" t="s">
        <v>943</v>
      </c>
      <c r="H292" s="19" t="str" cm="1">
        <f t="array" ref="H292">"n"&amp;SUBSTITUTE(CreateGuidString(),"-","_")</f>
        <v>nB72133B2_2E03_4A6F_BBF9_6776591A1FD3</v>
      </c>
    </row>
    <row r="293" spans="1:8" x14ac:dyDescent="0.35">
      <c r="A2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3" s="12" t="s">
        <v>944</v>
      </c>
      <c r="C293" s="13" t="s">
        <v>1622</v>
      </c>
      <c r="E293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G293" s="12" t="s">
        <v>945</v>
      </c>
      <c r="H293" s="19" t="str" cm="1">
        <f t="array" ref="H293">"n"&amp;SUBSTITUTE(CreateGuidString(),"-","_")</f>
        <v>nDB832FEE_CFAA_4952_BD20_A758C6536C60</v>
      </c>
    </row>
    <row r="294" spans="1:8" x14ac:dyDescent="0.35">
      <c r="A2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4" s="11" t="s">
        <v>1839</v>
      </c>
      <c r="C294" s="13" t="s">
        <v>1624</v>
      </c>
      <c r="E294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H294" s="19" t="str" cm="1">
        <f t="array" ref="H294">"n"&amp;SUBSTITUTE(CreateGuidString(),"-","_")</f>
        <v>n0D565271_182A_42D3_ADA5_ACF0CC7B5AF2</v>
      </c>
    </row>
    <row r="295" spans="1:8" x14ac:dyDescent="0.35">
      <c r="A2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5" s="12" t="s">
        <v>305</v>
      </c>
      <c r="C295" s="13" t="s">
        <v>1623</v>
      </c>
      <c r="E295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G295" s="12" t="s">
        <v>946</v>
      </c>
      <c r="H295" s="19" t="str" cm="1">
        <f t="array" ref="H295">"n"&amp;SUBSTITUTE(CreateGuidString(),"-","_")</f>
        <v>n4C4C6D45_2963_4387_B0F6_71A12693F078</v>
      </c>
    </row>
    <row r="296" spans="1:8" x14ac:dyDescent="0.35">
      <c r="A2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6" s="12" t="s">
        <v>947</v>
      </c>
      <c r="C296" s="13" t="s">
        <v>1630</v>
      </c>
      <c r="E296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G296" s="12" t="s">
        <v>948</v>
      </c>
      <c r="H296" s="19" t="str" cm="1">
        <f t="array" ref="H296">"n"&amp;SUBSTITUTE(CreateGuidString(),"-","_")</f>
        <v>nEA512D8B_1ABE_42CF_AF7E_A5BADDBDBBCA</v>
      </c>
    </row>
    <row r="297" spans="1:8" x14ac:dyDescent="0.35">
      <c r="A2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7" s="12" t="s">
        <v>307</v>
      </c>
      <c r="C297" s="13" t="s">
        <v>1625</v>
      </c>
      <c r="E297" s="12" t="str">
        <f>IF(NodesData[[#This Row],[Class Disambiguation]]="",NodesData[[#This Row],[Common Name]],NodesData[[#This Row],[Common Name]]&amp;" ("&amp;NodesData[[#This Row],[Class Disambiguation]]&amp;")")</f>
        <v>Need-to-Know</v>
      </c>
      <c r="G297" s="12" t="s">
        <v>949</v>
      </c>
      <c r="H297" s="19" t="str" cm="1">
        <f t="array" ref="H297">"n"&amp;SUBSTITUTE(CreateGuidString(),"-","_")</f>
        <v>n5B589D92_A163_46EC_9E95_7FEF7BEDC75F</v>
      </c>
    </row>
    <row r="298" spans="1:8" x14ac:dyDescent="0.35">
      <c r="A2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298" s="12" t="s">
        <v>950</v>
      </c>
      <c r="C298" s="13" t="s">
        <v>1626</v>
      </c>
      <c r="E298" s="12" t="str">
        <f>IF(NodesData[[#This Row],[Class Disambiguation]]="",NodesData[[#This Row],[Common Name]],NodesData[[#This Row],[Common Name]]&amp;" ("&amp;NodesData[[#This Row],[Class Disambiguation]]&amp;")")</f>
        <v>New Joiner</v>
      </c>
      <c r="G298" s="12" t="s">
        <v>951</v>
      </c>
      <c r="H298" s="19" t="str" cm="1">
        <f t="array" ref="H298">"n"&amp;SUBSTITUTE(CreateGuidString(),"-","_")</f>
        <v>n885D0E7C_E108_4AE9_9785_239D0EAC403E</v>
      </c>
    </row>
    <row r="299" spans="1:8" x14ac:dyDescent="0.35">
      <c r="A2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299" s="12" t="s">
        <v>952</v>
      </c>
      <c r="C299" s="13" t="s">
        <v>1627</v>
      </c>
      <c r="E299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G299" s="12" t="s">
        <v>953</v>
      </c>
      <c r="H299" s="19" t="str" cm="1">
        <f t="array" ref="H299">"n"&amp;SUBSTITUTE(CreateGuidString(),"-","_")</f>
        <v>n316E8640_B927_4983_BC75_97C145DFD9F6</v>
      </c>
    </row>
    <row r="300" spans="1:8" x14ac:dyDescent="0.35">
      <c r="A3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Nonworker</v>
      </c>
      <c r="B300" s="12" t="s">
        <v>954</v>
      </c>
      <c r="C300" s="13" t="s">
        <v>1628</v>
      </c>
      <c r="E300" s="12" t="str">
        <f>IF(NodesData[[#This Row],[Class Disambiguation]]="",NodesData[[#This Row],[Common Name]],NodesData[[#This Row],[Common Name]]&amp;" ("&amp;NodesData[[#This Row],[Class Disambiguation]]&amp;")")</f>
        <v>Nonworker</v>
      </c>
      <c r="G300" s="12" t="s">
        <v>955</v>
      </c>
      <c r="H300" s="19" t="str" cm="1">
        <f t="array" ref="H300">"n"&amp;SUBSTITUTE(CreateGuidString(),"-","_")</f>
        <v>nAC4ACECF_EF48_4655_9B80_CFBBD4C817C2</v>
      </c>
    </row>
    <row r="301" spans="1:8" x14ac:dyDescent="0.35">
      <c r="A3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1" s="12" t="s">
        <v>312</v>
      </c>
      <c r="C301" s="13" t="s">
        <v>1629</v>
      </c>
      <c r="E301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G301" s="12" t="s">
        <v>956</v>
      </c>
      <c r="H301" s="19" t="str" cm="1">
        <f t="array" ref="H301">"n"&amp;SUBSTITUTE(CreateGuidString(),"-","_")</f>
        <v>n3D3379E7_94C0_4F57_BD6C_F9952EDCB523</v>
      </c>
    </row>
    <row r="302" spans="1:8" x14ac:dyDescent="0.35">
      <c r="A3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2" s="12" t="s">
        <v>957</v>
      </c>
      <c r="C302" s="13" t="s">
        <v>1633</v>
      </c>
      <c r="D302" s="12" t="s">
        <v>1270</v>
      </c>
      <c r="E302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G302" s="12" t="s">
        <v>958</v>
      </c>
      <c r="H302" s="19" t="str" cm="1">
        <f t="array" ref="H302">"n"&amp;SUBSTITUTE(CreateGuidString(),"-","_")</f>
        <v>n1A8C1D41_431D_43CF_8970_83CA8D4A4CD6</v>
      </c>
    </row>
    <row r="303" spans="1:8" x14ac:dyDescent="0.35">
      <c r="A3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Object</v>
      </c>
      <c r="B303" s="12" t="s">
        <v>959</v>
      </c>
      <c r="C303" s="13" t="s">
        <v>1631</v>
      </c>
      <c r="E303" s="12" t="str">
        <f>IF(NodesData[[#This Row],[Class Disambiguation]]="",NodesData[[#This Row],[Common Name]],NodesData[[#This Row],[Common Name]]&amp;" ("&amp;NodesData[[#This Row],[Class Disambiguation]]&amp;")")</f>
        <v>Object</v>
      </c>
      <c r="G303" s="12" t="s">
        <v>960</v>
      </c>
      <c r="H303" s="19" t="str" cm="1">
        <f t="array" ref="H303">"n"&amp;SUBSTITUTE(CreateGuidString(),"-","_")</f>
        <v>nFD102186_3E96_4C0B_9CF6_C3E45E53CE4F</v>
      </c>
    </row>
    <row r="304" spans="1:8" x14ac:dyDescent="0.35">
      <c r="A3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4" s="12" t="s">
        <v>961</v>
      </c>
      <c r="C304" s="13" t="s">
        <v>1632</v>
      </c>
      <c r="E304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G304" s="12" t="s">
        <v>962</v>
      </c>
      <c r="H304" s="19" t="str" cm="1">
        <f t="array" ref="H304">"n"&amp;SUBSTITUTE(CreateGuidString(),"-","_")</f>
        <v>n2DD009CA_3D60_4B25_BA2D_4609AA1B76C7</v>
      </c>
    </row>
    <row r="305" spans="1:8" x14ac:dyDescent="0.35">
      <c r="A3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5" s="12" t="s">
        <v>1318</v>
      </c>
      <c r="C305" s="13" t="s">
        <v>1650</v>
      </c>
      <c r="E305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H305" s="19" t="str" cm="1">
        <f t="array" ref="H305">"n"&amp;SUBSTITUTE(CreateGuidString(),"-","_")</f>
        <v>n7A485531_D5F0_4BAA_942F_05A66C20B44C</v>
      </c>
    </row>
    <row r="306" spans="1:8" x14ac:dyDescent="0.35">
      <c r="A3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6" s="12" t="s">
        <v>963</v>
      </c>
      <c r="C306" s="13" t="s">
        <v>1634</v>
      </c>
      <c r="D306" s="12" t="s">
        <v>1270</v>
      </c>
      <c r="E306" s="12" t="str">
        <f>IF(NodesData[[#This Row],[Class Disambiguation]]="",NodesData[[#This Row],[Common Name]],NodesData[[#This Row],[Common Name]]&amp;" ("&amp;NodesData[[#This Row],[Class Disambiguation]]&amp;")")</f>
        <v>OPA (Acronym)</v>
      </c>
      <c r="G306" s="12" t="s">
        <v>964</v>
      </c>
      <c r="H306" s="19" t="str" cm="1">
        <f t="array" ref="H306">"n"&amp;SUBSTITUTE(CreateGuidString(),"-","_")</f>
        <v>n3495A63B_FF6F_449F_BCBA_E9A5E517EFE2</v>
      </c>
    </row>
    <row r="307" spans="1:8" x14ac:dyDescent="0.35">
      <c r="A3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07" s="12" t="s">
        <v>965</v>
      </c>
      <c r="C307" s="13" t="s">
        <v>1635</v>
      </c>
      <c r="E307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G307" s="12" t="s">
        <v>966</v>
      </c>
      <c r="H307" s="19" t="str" cm="1">
        <f t="array" ref="H307">"n"&amp;SUBSTITUTE(CreateGuidString(),"-","_")</f>
        <v>n67324505_4B4E_437F_BF88_79749B89EE37</v>
      </c>
    </row>
    <row r="308" spans="1:8" x14ac:dyDescent="0.35">
      <c r="A3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08" s="12" t="s">
        <v>967</v>
      </c>
      <c r="C308" s="13" t="s">
        <v>1636</v>
      </c>
      <c r="E308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G308" s="12" t="s">
        <v>968</v>
      </c>
      <c r="H308" s="19" t="str" cm="1">
        <f t="array" ref="H308">"n"&amp;SUBSTITUTE(CreateGuidString(),"-","_")</f>
        <v>nFBBEAF8C_A3A9_4980_AD4E_13DF0355D59C</v>
      </c>
    </row>
    <row r="309" spans="1:8" x14ac:dyDescent="0.35">
      <c r="A3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09" s="12" t="s">
        <v>969</v>
      </c>
      <c r="C309" s="13" t="s">
        <v>1637</v>
      </c>
      <c r="E309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G309" s="12" t="s">
        <v>970</v>
      </c>
      <c r="H309" s="19" t="str" cm="1">
        <f t="array" ref="H309">"n"&amp;SUBSTITUTE(CreateGuidString(),"-","_")</f>
        <v>n2AA1D4DD_07BB_46E4_A8A9_F0F997A08350</v>
      </c>
    </row>
    <row r="310" spans="1:8" x14ac:dyDescent="0.35">
      <c r="A3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10" s="12" t="s">
        <v>971</v>
      </c>
      <c r="C310" s="13" t="s">
        <v>1638</v>
      </c>
      <c r="E310" s="12" t="str">
        <f>IF(NodesData[[#This Row],[Class Disambiguation]]="",NodesData[[#This Row],[Common Name]],NodesData[[#This Row],[Common Name]]&amp;" ("&amp;NodesData[[#This Row],[Class Disambiguation]]&amp;")")</f>
        <v>Ordinal Scale</v>
      </c>
      <c r="G310" s="12" t="s">
        <v>972</v>
      </c>
      <c r="H310" s="19" t="str" cm="1">
        <f t="array" ref="H310">"n"&amp;SUBSTITUTE(CreateGuidString(),"-","_")</f>
        <v>nB5A97D2F_5149_410E_AF90_AA86B927B51F</v>
      </c>
    </row>
    <row r="311" spans="1:8" x14ac:dyDescent="0.35">
      <c r="A3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1" s="12" t="s">
        <v>1266</v>
      </c>
      <c r="C311" s="13" t="s">
        <v>1639</v>
      </c>
      <c r="E311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G311" s="12" t="s">
        <v>973</v>
      </c>
      <c r="H311" s="19" t="str" cm="1">
        <f t="array" ref="H311">"n"&amp;SUBSTITUTE(CreateGuidString(),"-","_")</f>
        <v>n7A7FD4E4_D404_4796_BD46_538F6EC6A537</v>
      </c>
    </row>
    <row r="312" spans="1:8" x14ac:dyDescent="0.35">
      <c r="A3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2" s="12" t="s">
        <v>1267</v>
      </c>
      <c r="C312" s="13" t="s">
        <v>1640</v>
      </c>
      <c r="E312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G312" s="12" t="s">
        <v>974</v>
      </c>
      <c r="H312" s="19" t="str" cm="1">
        <f t="array" ref="H312">"n"&amp;SUBSTITUTE(CreateGuidString(),"-","_")</f>
        <v>n78A59951_9A80_440C_B9E6_4A7ED511DE62</v>
      </c>
    </row>
    <row r="313" spans="1:8" x14ac:dyDescent="0.35">
      <c r="A3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</v>
      </c>
      <c r="B313" s="12" t="s">
        <v>975</v>
      </c>
      <c r="C313" s="13" t="s">
        <v>1641</v>
      </c>
      <c r="E313" s="12" t="str">
        <f>IF(NodesData[[#This Row],[Class Disambiguation]]="",NodesData[[#This Row],[Common Name]],NodesData[[#This Row],[Common Name]]&amp;" ("&amp;NodesData[[#This Row],[Class Disambiguation]]&amp;")")</f>
        <v>Orphan</v>
      </c>
      <c r="G313" s="12" t="s">
        <v>976</v>
      </c>
      <c r="H313" s="19" t="str" cm="1">
        <f t="array" ref="H313">"n"&amp;SUBSTITUTE(CreateGuidString(),"-","_")</f>
        <v>n49393EF0_E03C_4193_9676_ACAC3AE95E3D</v>
      </c>
    </row>
    <row r="314" spans="1:8" x14ac:dyDescent="0.35">
      <c r="A3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4" s="12" t="s">
        <v>329</v>
      </c>
      <c r="C314" s="13" t="s">
        <v>1642</v>
      </c>
      <c r="E314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G314" s="12" t="s">
        <v>977</v>
      </c>
      <c r="H314" s="19" t="str" cm="1">
        <f t="array" ref="H314">"n"&amp;SUBSTITUTE(CreateGuidString(),"-","_")</f>
        <v>nA2B53D78_FB63_483A_A883_F001888DCE2A</v>
      </c>
    </row>
    <row r="315" spans="1:8" x14ac:dyDescent="0.35">
      <c r="A3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5" s="12" t="s">
        <v>978</v>
      </c>
      <c r="C315" s="13" t="s">
        <v>1643</v>
      </c>
      <c r="E315" s="12" t="str">
        <f>IF(NodesData[[#This Row],[Class Disambiguation]]="",NodesData[[#This Row],[Common Name]],NodesData[[#This Row],[Common Name]]&amp;" ("&amp;NodesData[[#This Row],[Class Disambiguation]]&amp;")")</f>
        <v>Orphan File</v>
      </c>
      <c r="G315" s="12" t="s">
        <v>979</v>
      </c>
      <c r="H315" s="19" t="str" cm="1">
        <f t="array" ref="H315">"n"&amp;SUBSTITUTE(CreateGuidString(),"-","_")</f>
        <v>nDF617885_C558_42E9_95C4_FC07AC4EA48D</v>
      </c>
    </row>
    <row r="316" spans="1:8" x14ac:dyDescent="0.35">
      <c r="A3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6" s="12" t="s">
        <v>980</v>
      </c>
      <c r="C316" s="13" t="s">
        <v>1644</v>
      </c>
      <c r="E316" s="12" t="str">
        <f>IF(NodesData[[#This Row],[Class Disambiguation]]="",NodesData[[#This Row],[Common Name]],NodesData[[#This Row],[Common Name]]&amp;" ("&amp;NodesData[[#This Row],[Class Disambiguation]]&amp;")")</f>
        <v>Orphan Object</v>
      </c>
      <c r="G316" s="12" t="s">
        <v>981</v>
      </c>
      <c r="H316" s="19" t="str" cm="1">
        <f t="array" ref="H316">"n"&amp;SUBSTITUTE(CreateGuidString(),"-","_")</f>
        <v>nDBB0C281_BCAF_46A9_875B_7F046426BD68</v>
      </c>
    </row>
    <row r="317" spans="1:8" x14ac:dyDescent="0.35">
      <c r="A3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17" s="12" t="s">
        <v>982</v>
      </c>
      <c r="C317" s="13" t="s">
        <v>1645</v>
      </c>
      <c r="E317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G317" s="12" t="s">
        <v>983</v>
      </c>
      <c r="H317" s="19" t="str" cm="1">
        <f t="array" ref="H317">"n"&amp;SUBSTITUTE(CreateGuidString(),"-","_")</f>
        <v>n41EB7CBB_C6BB_49F7_B747_EDC660F46308</v>
      </c>
    </row>
    <row r="318" spans="1:8" x14ac:dyDescent="0.35">
      <c r="A3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18" s="12" t="s">
        <v>984</v>
      </c>
      <c r="C318" s="13" t="s">
        <v>1646</v>
      </c>
      <c r="E318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G318" s="12" t="s">
        <v>985</v>
      </c>
      <c r="H318" s="19" t="str" cm="1">
        <f t="array" ref="H318">"n"&amp;SUBSTITUTE(CreateGuidString(),"-","_")</f>
        <v>n0108694C_D9BC_4941_ABCC_E03638E7E88F</v>
      </c>
    </row>
    <row r="319" spans="1:8" x14ac:dyDescent="0.35">
      <c r="A3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19" s="12" t="s">
        <v>986</v>
      </c>
      <c r="C319" s="13" t="s">
        <v>1647</v>
      </c>
      <c r="E319" s="12" t="str">
        <f>IF(NodesData[[#This Row],[Class Disambiguation]]="",NodesData[[#This Row],[Common Name]],NodesData[[#This Row],[Common Name]]&amp;" ("&amp;NodesData[[#This Row],[Class Disambiguation]]&amp;")")</f>
        <v>Orphan Role</v>
      </c>
      <c r="G319" s="12" t="s">
        <v>987</v>
      </c>
      <c r="H319" s="19" t="str" cm="1">
        <f t="array" ref="H319">"n"&amp;SUBSTITUTE(CreateGuidString(),"-","_")</f>
        <v>n22D1E267_9C6A_4D42_BCD6_17E4CF058449</v>
      </c>
    </row>
    <row r="320" spans="1:8" x14ac:dyDescent="0.35">
      <c r="A3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20" s="12" t="s">
        <v>988</v>
      </c>
      <c r="C320" s="13" t="s">
        <v>1648</v>
      </c>
      <c r="E320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G320" s="12" t="s">
        <v>989</v>
      </c>
      <c r="H320" s="19" t="str" cm="1">
        <f t="array" ref="H320">"n"&amp;SUBSTITUTE(CreateGuidString(),"-","_")</f>
        <v>nDFE7EF09_14CE_478B_AF51_991114B09026</v>
      </c>
    </row>
    <row r="321" spans="1:8" x14ac:dyDescent="0.35">
      <c r="A3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1" s="12" t="s">
        <v>990</v>
      </c>
      <c r="C321" s="13" t="s">
        <v>1649</v>
      </c>
      <c r="E321" s="12" t="str">
        <f>IF(NodesData[[#This Row],[Class Disambiguation]]="",NodesData[[#This Row],[Common Name]],NodesData[[#This Row],[Common Name]]&amp;" ("&amp;NodesData[[#This Row],[Class Disambiguation]]&amp;")")</f>
        <v>Orphan System</v>
      </c>
      <c r="G321" s="12" t="s">
        <v>991</v>
      </c>
      <c r="H321" s="19" t="str" cm="1">
        <f t="array" ref="H321">"n"&amp;SUBSTITUTE(CreateGuidString(),"-","_")</f>
        <v>n6CC239ED_709F_40F3_94B8_F130F7D64429</v>
      </c>
    </row>
    <row r="322" spans="1:8" x14ac:dyDescent="0.35">
      <c r="A3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2" s="12" t="s">
        <v>1299</v>
      </c>
      <c r="C322" s="13" t="s">
        <v>1652</v>
      </c>
      <c r="E322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H322" s="19" t="str" cm="1">
        <f t="array" ref="H322">"n"&amp;SUBSTITUTE(CreateGuidString(),"-","_")</f>
        <v>n2EF18AAC_1F47_46D0_AA02_6420BE6C14BA</v>
      </c>
    </row>
    <row r="323" spans="1:8" x14ac:dyDescent="0.35">
      <c r="A3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3" s="12" t="s">
        <v>339</v>
      </c>
      <c r="C323" s="13" t="s">
        <v>1651</v>
      </c>
      <c r="E323" s="12" t="str">
        <f>IF(NodesData[[#This Row],[Class Disambiguation]]="",NodesData[[#This Row],[Common Name]],NodesData[[#This Row],[Common Name]]&amp;" ("&amp;NodesData[[#This Row],[Class Disambiguation]]&amp;")")</f>
        <v>Outsider</v>
      </c>
      <c r="G323" s="12" t="s">
        <v>992</v>
      </c>
      <c r="H323" s="19" t="str" cm="1">
        <f t="array" ref="H323">"n"&amp;SUBSTITUTE(CreateGuidString(),"-","_")</f>
        <v>nA5F03962_40F0_4483_9A09_462BD7BBC788</v>
      </c>
    </row>
    <row r="324" spans="1:8" x14ac:dyDescent="0.35">
      <c r="A3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4" s="12" t="s">
        <v>1314</v>
      </c>
      <c r="C324" s="13" t="s">
        <v>1654</v>
      </c>
      <c r="E324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H324" s="19" t="str" cm="1">
        <f t="array" ref="H324">"n"&amp;SUBSTITUTE(CreateGuidString(),"-","_")</f>
        <v>nE03C58D9_2218_4821_8DE8_FC3F13BBA14F</v>
      </c>
    </row>
    <row r="325" spans="1:8" x14ac:dyDescent="0.35">
      <c r="A3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5" s="12" t="s">
        <v>993</v>
      </c>
      <c r="C325" s="13" t="s">
        <v>1653</v>
      </c>
      <c r="E325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G325" s="12" t="s">
        <v>994</v>
      </c>
      <c r="H325" s="19" t="str" cm="1">
        <f t="array" ref="H325">"n"&amp;SUBSTITUTE(CreateGuidString(),"-","_")</f>
        <v>n1173E69E_40C8_429D_B5ED_10D187DD96CC</v>
      </c>
    </row>
    <row r="326" spans="1:8" x14ac:dyDescent="0.35">
      <c r="A3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6" s="12" t="s">
        <v>1328</v>
      </c>
      <c r="C326" s="13" t="s">
        <v>1655</v>
      </c>
      <c r="E326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H326" s="19" t="str" cm="1">
        <f t="array" ref="H326">"n"&amp;SUBSTITUTE(CreateGuidString(),"-","_")</f>
        <v>n32F958ED_6DF7_4D6C_AA7C_A24CF617B803</v>
      </c>
    </row>
    <row r="327" spans="1:8" x14ac:dyDescent="0.35">
      <c r="A3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27" s="12" t="s">
        <v>343</v>
      </c>
      <c r="C327" s="13" t="s">
        <v>1656</v>
      </c>
      <c r="E327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G327" s="12" t="s">
        <v>995</v>
      </c>
      <c r="H327" s="19" t="str" cm="1">
        <f t="array" ref="H327">"n"&amp;SUBSTITUTE(CreateGuidString(),"-","_")</f>
        <v>n9FAD89EB_72FA_40F4_8B4D_1E80DE3CD9F0</v>
      </c>
    </row>
    <row r="328" spans="1:8" x14ac:dyDescent="0.35">
      <c r="A3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28" s="12" t="s">
        <v>996</v>
      </c>
      <c r="C328" s="13" t="s">
        <v>1657</v>
      </c>
      <c r="E328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G328" s="12" t="s">
        <v>997</v>
      </c>
      <c r="H328" s="19" t="str" cm="1">
        <f t="array" ref="H328">"n"&amp;SUBSTITUTE(CreateGuidString(),"-","_")</f>
        <v>nA6B58D93_4624_42A1_BCD9_CC2AE758E7F2</v>
      </c>
    </row>
    <row r="329" spans="1:8" x14ac:dyDescent="0.35">
      <c r="A3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29" s="12" t="s">
        <v>3</v>
      </c>
      <c r="C329" s="13" t="s">
        <v>1658</v>
      </c>
      <c r="E329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G329" s="12" t="s">
        <v>998</v>
      </c>
      <c r="H329" s="19" t="str" cm="1">
        <f t="array" ref="H329">"n"&amp;SUBSTITUTE(CreateGuidString(),"-","_")</f>
        <v>nC926B00F_970C_4B52_8CD7_2A4A14805BC7</v>
      </c>
    </row>
    <row r="330" spans="1:8" x14ac:dyDescent="0.35">
      <c r="A3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30" s="12" t="s">
        <v>1324</v>
      </c>
      <c r="C330" s="13" t="s">
        <v>1659</v>
      </c>
      <c r="E330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H330" s="19" t="str" cm="1">
        <f t="array" ref="H330">"n"&amp;SUBSTITUTE(CreateGuidString(),"-","_")</f>
        <v>n18BF9AC6_F3C5_4D55_A223_B17E6B3440DE</v>
      </c>
    </row>
    <row r="331" spans="1:8" x14ac:dyDescent="0.35">
      <c r="A3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1" s="12" t="s">
        <v>344</v>
      </c>
      <c r="C331" s="13" t="s">
        <v>1663</v>
      </c>
      <c r="E331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G331" s="12" t="s">
        <v>999</v>
      </c>
      <c r="H331" s="19" t="str" cm="1">
        <f t="array" ref="H331">"n"&amp;SUBSTITUTE(CreateGuidString(),"-","_")</f>
        <v>n1DB4A241_0F48_4A48_9BC8_0D1D520E3E66</v>
      </c>
    </row>
    <row r="332" spans="1:8" x14ac:dyDescent="0.35">
      <c r="A3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People</v>
      </c>
      <c r="B332" s="12" t="s">
        <v>1268</v>
      </c>
      <c r="C332" s="13" t="s">
        <v>1660</v>
      </c>
      <c r="E332" s="12" t="str">
        <f>IF(NodesData[[#This Row],[Class Disambiguation]]="",NodesData[[#This Row],[Common Name]],NodesData[[#This Row],[Common Name]]&amp;" ("&amp;NodesData[[#This Row],[Class Disambiguation]]&amp;")")</f>
        <v>People</v>
      </c>
      <c r="G332" s="12" t="s">
        <v>1000</v>
      </c>
      <c r="H332" s="19" t="str" cm="1">
        <f t="array" ref="H332">"n"&amp;SUBSTITUTE(CreateGuidString(),"-","_")</f>
        <v>n1ACF047B_DFC5_4C7A_8271_59E12409A776</v>
      </c>
    </row>
    <row r="333" spans="1:8" x14ac:dyDescent="0.35">
      <c r="A3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3" s="12" t="s">
        <v>1001</v>
      </c>
      <c r="C333" s="13" t="s">
        <v>1661</v>
      </c>
      <c r="E333" s="12" t="str">
        <f>IF(NodesData[[#This Row],[Class Disambiguation]]="",NodesData[[#This Row],[Common Name]],NodesData[[#This Row],[Common Name]]&amp;" ("&amp;NodesData[[#This Row],[Class Disambiguation]]&amp;")")</f>
        <v>Permission</v>
      </c>
      <c r="G333" s="12" t="s">
        <v>1002</v>
      </c>
      <c r="H333" s="19" t="str" cm="1">
        <f t="array" ref="H333">"n"&amp;SUBSTITUTE(CreateGuidString(),"-","_")</f>
        <v>n61537015_424D_47FB_86EB_7C74816447BF</v>
      </c>
    </row>
    <row r="334" spans="1:8" x14ac:dyDescent="0.35">
      <c r="A3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</v>
      </c>
      <c r="B334" s="12" t="s">
        <v>350</v>
      </c>
      <c r="C334" s="13" t="s">
        <v>1662</v>
      </c>
      <c r="E334" s="12" t="str">
        <f>IF(NodesData[[#This Row],[Class Disambiguation]]="",NodesData[[#This Row],[Common Name]],NodesData[[#This Row],[Common Name]]&amp;" ("&amp;NodesData[[#This Row],[Class Disambiguation]]&amp;")")</f>
        <v>Persona</v>
      </c>
      <c r="G334" s="12" t="s">
        <v>1003</v>
      </c>
      <c r="H334" s="19" t="str" cm="1">
        <f t="array" ref="H334">"n"&amp;SUBSTITUTE(CreateGuidString(),"-","_")</f>
        <v>nCC76F784_094A_4DD1_87A1_9B8D8C6119A1</v>
      </c>
    </row>
    <row r="335" spans="1:8" x14ac:dyDescent="0.35">
      <c r="A3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5" s="12" t="s">
        <v>1327</v>
      </c>
      <c r="C335" s="13" t="s">
        <v>1684</v>
      </c>
      <c r="E335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H335" s="19" t="str" cm="1">
        <f t="array" ref="H335">"n"&amp;SUBSTITUTE(CreateGuidString(),"-","_")</f>
        <v>n4748F09C_E8F6_4F60_8A56_45839AD0EB29</v>
      </c>
    </row>
    <row r="336" spans="1:8" x14ac:dyDescent="0.35">
      <c r="A3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6" s="12" t="s">
        <v>1319</v>
      </c>
      <c r="C336" s="13" t="s">
        <v>1664</v>
      </c>
      <c r="E336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H336" s="19" t="str" cm="1">
        <f t="array" ref="H336">"n"&amp;SUBSTITUTE(CreateGuidString(),"-","_")</f>
        <v>n56044F99_4B4D_40F3_A97A_26BA5662BC30</v>
      </c>
    </row>
    <row r="337" spans="1:8" x14ac:dyDescent="0.35">
      <c r="A3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37" s="12" t="s">
        <v>1004</v>
      </c>
      <c r="C337" s="13" t="s">
        <v>1665</v>
      </c>
      <c r="D337" s="12" t="s">
        <v>1270</v>
      </c>
      <c r="E337" s="12" t="str">
        <f>IF(NodesData[[#This Row],[Class Disambiguation]]="",NodesData[[#This Row],[Common Name]],NodesData[[#This Row],[Common Name]]&amp;" ("&amp;NodesData[[#This Row],[Class Disambiguation]]&amp;")")</f>
        <v>PMS (Acronym)</v>
      </c>
      <c r="G337" s="12" t="s">
        <v>1005</v>
      </c>
      <c r="H337" s="19" t="str" cm="1">
        <f t="array" ref="H337">"n"&amp;SUBSTITUTE(CreateGuidString(),"-","_")</f>
        <v>nF3131DFF_181D_423B_9268_D95F8E0E1C91</v>
      </c>
    </row>
    <row r="338" spans="1:8" x14ac:dyDescent="0.35">
      <c r="A3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</v>
      </c>
      <c r="B338" s="12" t="s">
        <v>1006</v>
      </c>
      <c r="C338" s="13" t="s">
        <v>1666</v>
      </c>
      <c r="E338" s="12" t="str">
        <f>IF(NodesData[[#This Row],[Class Disambiguation]]="",NodesData[[#This Row],[Common Name]],NodesData[[#This Row],[Common Name]]&amp;" ("&amp;NodesData[[#This Row],[Class Disambiguation]]&amp;")")</f>
        <v>Policy</v>
      </c>
      <c r="G338" s="12" t="s">
        <v>1007</v>
      </c>
      <c r="H338" s="19" t="str" cm="1">
        <f t="array" ref="H338">"n"&amp;SUBSTITUTE(CreateGuidString(),"-","_")</f>
        <v>nE1D5C342_DD8B_4B35_8B06_053325C3FBC8</v>
      </c>
    </row>
    <row r="339" spans="1:8" x14ac:dyDescent="0.35">
      <c r="A3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39" s="12" t="s">
        <v>1008</v>
      </c>
      <c r="C339" s="13" t="s">
        <v>1667</v>
      </c>
      <c r="E339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G339" s="12" t="s">
        <v>1009</v>
      </c>
      <c r="H339" s="19" t="str" cm="1">
        <f t="array" ref="H339">"n"&amp;SUBSTITUTE(CreateGuidString(),"-","_")</f>
        <v>n02AFB65C_67F1_4F20_B280_38156521B2B1</v>
      </c>
    </row>
    <row r="340" spans="1:8" x14ac:dyDescent="0.35">
      <c r="A3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40" s="12" t="s">
        <v>1010</v>
      </c>
      <c r="C340" s="13" t="s">
        <v>1668</v>
      </c>
      <c r="E340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G340" s="12" t="s">
        <v>1011</v>
      </c>
      <c r="H340" s="19" t="str" cm="1">
        <f t="array" ref="H340">"n"&amp;SUBSTITUTE(CreateGuidString(),"-","_")</f>
        <v>n4E1D5779_5435_4D2F_B9D0_35C311FB7664</v>
      </c>
    </row>
    <row r="341" spans="1:8" x14ac:dyDescent="0.35">
      <c r="A3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1" s="12" t="s">
        <v>1012</v>
      </c>
      <c r="C341" s="13" t="s">
        <v>1669</v>
      </c>
      <c r="E341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G341" s="12" t="s">
        <v>1013</v>
      </c>
      <c r="H341" s="19" t="str" cm="1">
        <f t="array" ref="H341">"n"&amp;SUBSTITUTE(CreateGuidString(),"-","_")</f>
        <v>n3EBA349B_0AA8_48D3_B236_B1A87FAFD57E</v>
      </c>
    </row>
    <row r="342" spans="1:8" x14ac:dyDescent="0.35">
      <c r="A3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2" s="12" t="s">
        <v>1014</v>
      </c>
      <c r="C342" s="13" t="s">
        <v>1670</v>
      </c>
      <c r="E342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G342" s="12" t="s">
        <v>1015</v>
      </c>
      <c r="H342" s="19" t="str" cm="1">
        <f t="array" ref="H342">"n"&amp;SUBSTITUTE(CreateGuidString(),"-","_")</f>
        <v>nCE881487_4AB6_4BF0_A4DD_E1821DDFFBC9</v>
      </c>
    </row>
    <row r="343" spans="1:8" x14ac:dyDescent="0.35">
      <c r="A3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3" s="12" t="s">
        <v>1016</v>
      </c>
      <c r="C343" s="13" t="s">
        <v>1671</v>
      </c>
      <c r="E343" s="12" t="str">
        <f>IF(NodesData[[#This Row],[Class Disambiguation]]="",NodesData[[#This Row],[Common Name]],NodesData[[#This Row],[Common Name]]&amp;" ("&amp;NodesData[[#This Row],[Class Disambiguation]]&amp;")")</f>
        <v>Policy Mining</v>
      </c>
      <c r="G343" s="12" t="s">
        <v>1017</v>
      </c>
      <c r="H343" s="19" t="str" cm="1">
        <f t="array" ref="H343">"n"&amp;SUBSTITUTE(CreateGuidString(),"-","_")</f>
        <v>nB77A155F_2A58_44DA_ADC3_0468BF84006D</v>
      </c>
    </row>
    <row r="344" spans="1:8" x14ac:dyDescent="0.35">
      <c r="A3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4" s="12" t="s">
        <v>1018</v>
      </c>
      <c r="C344" s="13" t="s">
        <v>1672</v>
      </c>
      <c r="E344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G344" s="12" t="s">
        <v>1019</v>
      </c>
      <c r="H344" s="19" t="str" cm="1">
        <f t="array" ref="H344">"n"&amp;SUBSTITUTE(CreateGuidString(),"-","_")</f>
        <v>nAFFB9A3B_AA18_45D6_8B91_9D65DE9B60C1</v>
      </c>
    </row>
    <row r="345" spans="1:8" x14ac:dyDescent="0.35">
      <c r="A3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5" s="12" t="s">
        <v>1295</v>
      </c>
      <c r="C345" s="13" t="s">
        <v>1673</v>
      </c>
      <c r="E345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H345" s="19" t="str" cm="1">
        <f t="array" ref="H345">"n"&amp;SUBSTITUTE(CreateGuidString(),"-","_")</f>
        <v>n31465588_5626_4244_8F15_83EDC3585841</v>
      </c>
    </row>
    <row r="346" spans="1:8" x14ac:dyDescent="0.35">
      <c r="A3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6" s="12" t="s">
        <v>1020</v>
      </c>
      <c r="C346" s="13" t="s">
        <v>1674</v>
      </c>
      <c r="E346" s="12" t="str">
        <f>IF(NodesData[[#This Row],[Class Disambiguation]]="",NodesData[[#This Row],[Common Name]],NodesData[[#This Row],[Common Name]]&amp;" ("&amp;NodesData[[#This Row],[Class Disambiguation]]&amp;")")</f>
        <v>Pre-approval</v>
      </c>
      <c r="G346" s="12" t="s">
        <v>1021</v>
      </c>
      <c r="H346" s="19" t="str" cm="1">
        <f t="array" ref="H346">"n"&amp;SUBSTITUTE(CreateGuidString(),"-","_")</f>
        <v>n3515B9E7_C94D_4C7B_84C7_B1AC9849DE54</v>
      </c>
    </row>
    <row r="347" spans="1:8" x14ac:dyDescent="0.35">
      <c r="A3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47" s="12" t="s">
        <v>1022</v>
      </c>
      <c r="C347" s="13" t="s">
        <v>1675</v>
      </c>
      <c r="E347" s="12" t="str">
        <f>IF(NodesData[[#This Row],[Class Disambiguation]]="",NodesData[[#This Row],[Common Name]],NodesData[[#This Row],[Common Name]]&amp;" ("&amp;NodesData[[#This Row],[Class Disambiguation]]&amp;")")</f>
        <v>Principal</v>
      </c>
      <c r="G347" s="12" t="s">
        <v>1023</v>
      </c>
      <c r="H347" s="19" t="str" cm="1">
        <f t="array" ref="H347">"n"&amp;SUBSTITUTE(CreateGuidString(),"-","_")</f>
        <v>n55DB24E6_6B46_45CE_BE20_3FA39B1C426C</v>
      </c>
    </row>
    <row r="348" spans="1:8" x14ac:dyDescent="0.35">
      <c r="A3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48" s="12" t="s">
        <v>364</v>
      </c>
      <c r="C348" s="13" t="s">
        <v>1676</v>
      </c>
      <c r="E348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G348" s="12" t="s">
        <v>1024</v>
      </c>
      <c r="H348" s="19" t="str" cm="1">
        <f t="array" ref="H348">"n"&amp;SUBSTITUTE(CreateGuidString(),"-","_")</f>
        <v>nCBA3FBE4_57F9_47F8_ADC2_AA7EDAE20BFB</v>
      </c>
    </row>
    <row r="349" spans="1:8" x14ac:dyDescent="0.35">
      <c r="A3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49" s="12" t="s">
        <v>1025</v>
      </c>
      <c r="C349" s="13" t="s">
        <v>1677</v>
      </c>
      <c r="E349" s="12" t="str">
        <f>IF(NodesData[[#This Row],[Class Disambiguation]]="",NodesData[[#This Row],[Common Name]],NodesData[[#This Row],[Common Name]]&amp;" ("&amp;NodesData[[#This Row],[Class Disambiguation]]&amp;")")</f>
        <v>Privilege</v>
      </c>
      <c r="G349" s="12" t="s">
        <v>1026</v>
      </c>
      <c r="H349" s="19" t="str" cm="1">
        <f t="array" ref="H349">"n"&amp;SUBSTITUTE(CreateGuidString(),"-","_")</f>
        <v>n5A13F51B_9D0B_47C0_AC09_6F1C8A222D10</v>
      </c>
    </row>
    <row r="350" spans="1:8" x14ac:dyDescent="0.35">
      <c r="A3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50" s="12" t="s">
        <v>366</v>
      </c>
      <c r="C350" s="13" t="s">
        <v>1678</v>
      </c>
      <c r="E350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G350" s="12" t="s">
        <v>1027</v>
      </c>
      <c r="H350" s="19" t="str" cm="1">
        <f t="array" ref="H350">"n"&amp;SUBSTITUTE(CreateGuidString(),"-","_")</f>
        <v>n5390D82E_A745_4B6D_B0D1_99B60E1C2E4B</v>
      </c>
    </row>
    <row r="351" spans="1:8" x14ac:dyDescent="0.35">
      <c r="A3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1" s="12" t="s">
        <v>1028</v>
      </c>
      <c r="C351" s="13" t="s">
        <v>1679</v>
      </c>
      <c r="E351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G351" s="12" t="s">
        <v>1029</v>
      </c>
      <c r="H351" s="19" t="str" cm="1">
        <f t="array" ref="H351">"n"&amp;SUBSTITUTE(CreateGuidString(),"-","_")</f>
        <v>n0D60AE90_1D77_4536_9128_B26A87222598</v>
      </c>
    </row>
    <row r="352" spans="1:8" x14ac:dyDescent="0.35">
      <c r="A3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2" s="12" t="s">
        <v>1030</v>
      </c>
      <c r="C352" s="13" t="s">
        <v>1680</v>
      </c>
      <c r="E352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G352" s="12" t="s">
        <v>1031</v>
      </c>
      <c r="H352" s="19" t="str" cm="1">
        <f t="array" ref="H352">"n"&amp;SUBSTITUTE(CreateGuidString(),"-","_")</f>
        <v>n3F1D3EEB_E7E9_45C5_A35D_C0E875C5C2EF</v>
      </c>
    </row>
    <row r="353" spans="1:8" x14ac:dyDescent="0.35">
      <c r="A3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3" s="12" t="s">
        <v>1032</v>
      </c>
      <c r="C353" s="13" t="s">
        <v>1681</v>
      </c>
      <c r="E353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G353" s="12" t="s">
        <v>1033</v>
      </c>
      <c r="H353" s="19" t="str" cm="1">
        <f t="array" ref="H353">"n"&amp;SUBSTITUTE(CreateGuidString(),"-","_")</f>
        <v>n681B922E_DBC4_48D2_A1B9_0B1ABBF1ED4B</v>
      </c>
    </row>
    <row r="354" spans="1:8" x14ac:dyDescent="0.35">
      <c r="A3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4" s="12" t="s">
        <v>369</v>
      </c>
      <c r="C354" s="13" t="s">
        <v>1682</v>
      </c>
      <c r="E354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G354" s="12" t="s">
        <v>1034</v>
      </c>
      <c r="H354" s="19" t="str" cm="1">
        <f t="array" ref="H354">"n"&amp;SUBSTITUTE(CreateGuidString(),"-","_")</f>
        <v>n415E562C_C486_4AFB_ADFB_01F0002D8C95</v>
      </c>
    </row>
    <row r="355" spans="1:8" x14ac:dyDescent="0.35">
      <c r="A3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5" s="12" t="s">
        <v>1035</v>
      </c>
      <c r="C355" s="13" t="s">
        <v>1683</v>
      </c>
      <c r="E355" s="12" t="str">
        <f>IF(NodesData[[#This Row],[Class Disambiguation]]="",NodesData[[#This Row],[Common Name]],NodesData[[#This Row],[Common Name]]&amp;" ("&amp;NodesData[[#This Row],[Class Disambiguation]]&amp;")")</f>
        <v>Provisioning</v>
      </c>
      <c r="G355" s="12" t="s">
        <v>1036</v>
      </c>
      <c r="H355" s="19" t="str" cm="1">
        <f t="array" ref="H355">"n"&amp;SUBSTITUTE(CreateGuidString(),"-","_")</f>
        <v>n95F41233_AFDA_47A9_A977_8848736EEBDA</v>
      </c>
    </row>
    <row r="356" spans="1:8" x14ac:dyDescent="0.35">
      <c r="A3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6" s="12" t="s">
        <v>376</v>
      </c>
      <c r="C356" s="13" t="s">
        <v>1689</v>
      </c>
      <c r="E356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G356" s="12" t="s">
        <v>1037</v>
      </c>
      <c r="H356" s="19" t="str" cm="1">
        <f t="array" ref="H356">"n"&amp;SUBSTITUTE(CreateGuidString(),"-","_")</f>
        <v>nDEA455E5_A45F_474B_9E75_6F606372EBEE</v>
      </c>
    </row>
    <row r="357" spans="1:8" x14ac:dyDescent="0.35">
      <c r="A3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57" s="12" t="s">
        <v>378</v>
      </c>
      <c r="C357" s="13" t="s">
        <v>1685</v>
      </c>
      <c r="E357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G357" s="12" t="s">
        <v>1038</v>
      </c>
      <c r="H357" s="19" t="str" cm="1">
        <f t="array" ref="H357">"n"&amp;SUBSTITUTE(CreateGuidString(),"-","_")</f>
        <v>nDD16C6B8_8BE2_4CBC_A4EC_299B7A45A285</v>
      </c>
    </row>
    <row r="358" spans="1:8" x14ac:dyDescent="0.35">
      <c r="A3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58" s="12" t="s">
        <v>1039</v>
      </c>
      <c r="C358" s="13" t="s">
        <v>1686</v>
      </c>
      <c r="D358" s="12" t="s">
        <v>1270</v>
      </c>
      <c r="E358" s="12" t="str">
        <f>IF(NodesData[[#This Row],[Class Disambiguation]]="",NodesData[[#This Row],[Common Name]],NodesData[[#This Row],[Common Name]]&amp;" ("&amp;NodesData[[#This Row],[Class Disambiguation]]&amp;")")</f>
        <v>RA (Acronym)</v>
      </c>
      <c r="G358" s="12" t="s">
        <v>1040</v>
      </c>
      <c r="H358" s="19" t="str" cm="1">
        <f t="array" ref="H358">"n"&amp;SUBSTITUTE(CreateGuidString(),"-","_")</f>
        <v>n58DE9141_1378_499E_8620_9F9E83C49000</v>
      </c>
    </row>
    <row r="359" spans="1:8" x14ac:dyDescent="0.35">
      <c r="A3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59" s="12" t="s">
        <v>1041</v>
      </c>
      <c r="C359" s="13" t="s">
        <v>1687</v>
      </c>
      <c r="E359" s="12" t="str">
        <f>IF(NodesData[[#This Row],[Class Disambiguation]]="",NodesData[[#This Row],[Common Name]],NodesData[[#This Row],[Common Name]]&amp;" ("&amp;NodesData[[#This Row],[Class Disambiguation]]&amp;")")</f>
        <v>Ratio Scale</v>
      </c>
      <c r="G359" s="12" t="s">
        <v>1042</v>
      </c>
      <c r="H359" s="19" t="str" cm="1">
        <f t="array" ref="H359">"n"&amp;SUBSTITUTE(CreateGuidString(),"-","_")</f>
        <v>n10CF2358_8C54_46F2_A7D9_0A461D56CD09</v>
      </c>
    </row>
    <row r="360" spans="1:8" x14ac:dyDescent="0.35">
      <c r="A3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60" s="12" t="s">
        <v>1043</v>
      </c>
      <c r="C360" s="13" t="s">
        <v>1688</v>
      </c>
      <c r="D360" s="12" t="s">
        <v>1270</v>
      </c>
      <c r="E360" s="12" t="str">
        <f>IF(NodesData[[#This Row],[Class Disambiguation]]="",NodesData[[#This Row],[Common Name]],NodesData[[#This Row],[Common Name]]&amp;" ("&amp;NodesData[[#This Row],[Class Disambiguation]]&amp;")")</f>
        <v>RBA (Acronym)</v>
      </c>
      <c r="G360" s="12" t="s">
        <v>1044</v>
      </c>
      <c r="H360" s="19" t="str" cm="1">
        <f t="array" ref="H360">"n"&amp;SUBSTITUTE(CreateGuidString(),"-","_")</f>
        <v>n970EFB44_3E09_4F0B_B36F_E4047990632A</v>
      </c>
    </row>
    <row r="361" spans="1:8" x14ac:dyDescent="0.35">
      <c r="A3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1" s="12" t="s">
        <v>1045</v>
      </c>
      <c r="C361" s="13" t="s">
        <v>1692</v>
      </c>
      <c r="E361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G361" s="12" t="s">
        <v>1046</v>
      </c>
      <c r="H361" s="19" t="str" cm="1">
        <f t="array" ref="H361">"n"&amp;SUBSTITUTE(CreateGuidString(),"-","_")</f>
        <v>n91C7A202_FBB5_40F7_A370_0FF7DE3A4F81</v>
      </c>
    </row>
    <row r="362" spans="1:8" x14ac:dyDescent="0.35">
      <c r="A3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2" s="12" t="s">
        <v>1047</v>
      </c>
      <c r="C362" s="13" t="s">
        <v>1690</v>
      </c>
      <c r="E362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G362" s="12" t="s">
        <v>1048</v>
      </c>
      <c r="H362" s="19" t="str" cm="1">
        <f t="array" ref="H362">"n"&amp;SUBSTITUTE(CreateGuidString(),"-","_")</f>
        <v>n8C44E589_6DB2_421C_8B2D_9EAF8796B250</v>
      </c>
    </row>
    <row r="363" spans="1:8" x14ac:dyDescent="0.35">
      <c r="A3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3" s="12" t="s">
        <v>1049</v>
      </c>
      <c r="C363" s="13" t="s">
        <v>1691</v>
      </c>
      <c r="E363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G363" s="12" t="s">
        <v>1050</v>
      </c>
      <c r="H363" s="19" t="str" cm="1">
        <f t="array" ref="H363">"n"&amp;SUBSTITUTE(CreateGuidString(),"-","_")</f>
        <v>n130B6008_ACAC_4E57_8F36_4B1C5D763716</v>
      </c>
    </row>
    <row r="364" spans="1:8" x14ac:dyDescent="0.35">
      <c r="A3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4" s="12" t="s">
        <v>1051</v>
      </c>
      <c r="C364" s="13" t="s">
        <v>1701</v>
      </c>
      <c r="E364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G364" s="12" t="s">
        <v>1052</v>
      </c>
      <c r="H364" s="19" t="str" cm="1">
        <f t="array" ref="H364">"n"&amp;SUBSTITUTE(CreateGuidString(),"-","_")</f>
        <v>nA9BE2A7B_1A93_428C_8D63_8379ED615188</v>
      </c>
    </row>
    <row r="365" spans="1:8" x14ac:dyDescent="0.35">
      <c r="A3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5" s="12" t="s">
        <v>1053</v>
      </c>
      <c r="C365" s="13" t="s">
        <v>1693</v>
      </c>
      <c r="E365" s="12" t="str">
        <f>IF(NodesData[[#This Row],[Class Disambiguation]]="",NodesData[[#This Row],[Common Name]],NodesData[[#This Row],[Common Name]]&amp;" ("&amp;NodesData[[#This Row],[Class Disambiguation]]&amp;")")</f>
        <v>Rejoiner</v>
      </c>
      <c r="G365" s="12" t="s">
        <v>1054</v>
      </c>
      <c r="H365" s="19" t="str" cm="1">
        <f t="array" ref="H365">"n"&amp;SUBSTITUTE(CreateGuidString(),"-","_")</f>
        <v>n75844D36_1CBA_44B4_B03C_B579777CA36D</v>
      </c>
    </row>
    <row r="366" spans="1:8" x14ac:dyDescent="0.35">
      <c r="A3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6" s="12" t="s">
        <v>1055</v>
      </c>
      <c r="C366" s="13" t="s">
        <v>1694</v>
      </c>
      <c r="E366" s="12" t="str">
        <f>IF(NodesData[[#This Row],[Class Disambiguation]]="",NodesData[[#This Row],[Common Name]],NodesData[[#This Row],[Common Name]]&amp;" ("&amp;NodesData[[#This Row],[Class Disambiguation]]&amp;")")</f>
        <v>Relying Party</v>
      </c>
      <c r="G366" s="12" t="s">
        <v>1056</v>
      </c>
      <c r="H366" s="19" t="str" cm="1">
        <f t="array" ref="H366">"n"&amp;SUBSTITUTE(CreateGuidString(),"-","_")</f>
        <v>n4A9AFA60_A470_4F26_9878_E565E594F2B4</v>
      </c>
    </row>
    <row r="367" spans="1:8" x14ac:dyDescent="0.35">
      <c r="A3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67" s="12" t="s">
        <v>1057</v>
      </c>
      <c r="C367" s="13" t="s">
        <v>1695</v>
      </c>
      <c r="E367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G367" s="12" t="s">
        <v>1058</v>
      </c>
      <c r="H367" s="19" t="str" cm="1">
        <f t="array" ref="H367">"n"&amp;SUBSTITUTE(CreateGuidString(),"-","_")</f>
        <v>nBD2EDE43_77AC_4CEB_8BF2_407B15A12D34</v>
      </c>
    </row>
    <row r="368" spans="1:8" x14ac:dyDescent="0.35">
      <c r="A3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68" s="12" t="s">
        <v>1059</v>
      </c>
      <c r="C368" s="13" t="s">
        <v>1696</v>
      </c>
      <c r="E368" s="12" t="str">
        <f>IF(NodesData[[#This Row],[Class Disambiguation]]="",NodesData[[#This Row],[Common Name]],NodesData[[#This Row],[Common Name]]&amp;" ("&amp;NodesData[[#This Row],[Class Disambiguation]]&amp;")")</f>
        <v>Repeatability</v>
      </c>
      <c r="G368" s="12" t="s">
        <v>1060</v>
      </c>
      <c r="H368" s="19" t="str" cm="1">
        <f t="array" ref="H368">"n"&amp;SUBSTITUTE(CreateGuidString(),"-","_")</f>
        <v>n54F6CE8A_93E4_406E_8BEA_AB0D0FBB379B</v>
      </c>
    </row>
    <row r="369" spans="1:8" x14ac:dyDescent="0.35">
      <c r="A3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69" s="12" t="s">
        <v>1061</v>
      </c>
      <c r="C369" s="13" t="s">
        <v>1697</v>
      </c>
      <c r="E369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G369" s="12" t="s">
        <v>1062</v>
      </c>
      <c r="H369" s="19" t="str" cm="1">
        <f t="array" ref="H369">"n"&amp;SUBSTITUTE(CreateGuidString(),"-","_")</f>
        <v>n2427141C_D32C_48C7_A90A_46EBE39FA8C5</v>
      </c>
    </row>
    <row r="370" spans="1:8" x14ac:dyDescent="0.35">
      <c r="A3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70" s="12" t="s">
        <v>1063</v>
      </c>
      <c r="C370" s="13" t="s">
        <v>1698</v>
      </c>
      <c r="E370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G370" s="12" t="s">
        <v>1064</v>
      </c>
      <c r="H370" s="19" t="str" cm="1">
        <f t="array" ref="H370">"n"&amp;SUBSTITUTE(CreateGuidString(),"-","_")</f>
        <v>n9C18333F_7A44_4E13_9CEE_76DCD02BCC95</v>
      </c>
    </row>
    <row r="371" spans="1:8" x14ac:dyDescent="0.35">
      <c r="A3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1" s="12" t="s">
        <v>1065</v>
      </c>
      <c r="C371" s="13" t="s">
        <v>1699</v>
      </c>
      <c r="E371" s="12" t="str">
        <f>IF(NodesData[[#This Row],[Class Disambiguation]]="",NodesData[[#This Row],[Common Name]],NodesData[[#This Row],[Common Name]]&amp;" ("&amp;NodesData[[#This Row],[Class Disambiguation]]&amp;")")</f>
        <v>Revocation</v>
      </c>
      <c r="G371" s="12" t="s">
        <v>1066</v>
      </c>
      <c r="H371" s="19" t="str" cm="1">
        <f t="array" ref="H371">"n"&amp;SUBSTITUTE(CreateGuidString(),"-","_")</f>
        <v>n319F118D_34E8_4857_BE57_7E0D1FFCC9C8</v>
      </c>
    </row>
    <row r="372" spans="1:8" x14ac:dyDescent="0.35">
      <c r="A3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2" s="12" t="s">
        <v>1067</v>
      </c>
      <c r="C372" s="13" t="s">
        <v>1700</v>
      </c>
      <c r="D372" s="12" t="s">
        <v>1270</v>
      </c>
      <c r="E372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G372" s="12" t="s">
        <v>1068</v>
      </c>
      <c r="H372" s="19" t="str" cm="1">
        <f t="array" ref="H372">"n"&amp;SUBSTITUTE(CreateGuidString(),"-","_")</f>
        <v>n0DF57213_55D1_49ED_9A97_80FE2B315760</v>
      </c>
    </row>
    <row r="373" spans="1:8" x14ac:dyDescent="0.35">
      <c r="A3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3" s="12" t="s">
        <v>1069</v>
      </c>
      <c r="C373" s="13" t="s">
        <v>1728</v>
      </c>
      <c r="E373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G373" s="12" t="s">
        <v>1070</v>
      </c>
      <c r="H373" s="19" t="str" cm="1">
        <f t="array" ref="H373">"n"&amp;SUBSTITUTE(CreateGuidString(),"-","_")</f>
        <v>nAFE1EC8F_B2E3_4380_945B_BA30EA404672</v>
      </c>
    </row>
    <row r="374" spans="1:8" x14ac:dyDescent="0.35">
      <c r="A3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</v>
      </c>
      <c r="B374" s="12" t="s">
        <v>1071</v>
      </c>
      <c r="C374" s="13" t="s">
        <v>1702</v>
      </c>
      <c r="E374" s="12" t="str">
        <f>IF(NodesData[[#This Row],[Class Disambiguation]]="",NodesData[[#This Row],[Common Name]],NodesData[[#This Row],[Common Name]]&amp;" ("&amp;NodesData[[#This Row],[Class Disambiguation]]&amp;")")</f>
        <v>Role</v>
      </c>
      <c r="G374" s="12" t="s">
        <v>1072</v>
      </c>
      <c r="H374" s="19" t="str" cm="1">
        <f t="array" ref="H374">"n"&amp;SUBSTITUTE(CreateGuidString(),"-","_")</f>
        <v>nD2DF8254_C477_46CA_9F18_113C12B72401</v>
      </c>
    </row>
    <row r="375" spans="1:8" x14ac:dyDescent="0.35">
      <c r="A3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5" s="12" t="s">
        <v>1073</v>
      </c>
      <c r="C375" s="13" t="s">
        <v>1704</v>
      </c>
      <c r="E375" s="12" t="str">
        <f>IF(NodesData[[#This Row],[Class Disambiguation]]="",NodesData[[#This Row],[Common Name]],NodesData[[#This Row],[Common Name]]&amp;" ("&amp;NodesData[[#This Row],[Class Disambiguation]]&amp;")")</f>
        <v>Role Bloating</v>
      </c>
      <c r="G375" s="12" t="s">
        <v>1074</v>
      </c>
      <c r="H375" s="19" t="str" cm="1">
        <f t="array" ref="H375">"n"&amp;SUBSTITUTE(CreateGuidString(),"-","_")</f>
        <v>n1F58E348_F01A_48AD_95F8_D6B21231CEE1</v>
      </c>
    </row>
    <row r="376" spans="1:8" x14ac:dyDescent="0.35">
      <c r="A3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6" s="12" t="s">
        <v>1075</v>
      </c>
      <c r="C376" s="13" t="s">
        <v>1705</v>
      </c>
      <c r="E376" s="12" t="str">
        <f>IF(NodesData[[#This Row],[Class Disambiguation]]="",NodesData[[#This Row],[Common Name]],NodesData[[#This Row],[Common Name]]&amp;" ("&amp;NodesData[[#This Row],[Class Disambiguation]]&amp;")")</f>
        <v>Role Capacity</v>
      </c>
      <c r="G376" s="12" t="s">
        <v>1076</v>
      </c>
      <c r="H376" s="19" t="str" cm="1">
        <f t="array" ref="H376">"n"&amp;SUBSTITUTE(CreateGuidString(),"-","_")</f>
        <v>nF38895BB_D1EB_4BC2_8ABA_84427D6FCD7B</v>
      </c>
    </row>
    <row r="377" spans="1:8" x14ac:dyDescent="0.35">
      <c r="A3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77" s="12" t="s">
        <v>1077</v>
      </c>
      <c r="C377" s="13" t="s">
        <v>1706</v>
      </c>
      <c r="E377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G377" s="12" t="s">
        <v>1078</v>
      </c>
      <c r="H377" s="19" t="str" cm="1">
        <f t="array" ref="H377">"n"&amp;SUBSTITUTE(CreateGuidString(),"-","_")</f>
        <v>n358EA37C_93BE_4F6C_BF85_3CEACC0EC172</v>
      </c>
    </row>
    <row r="378" spans="1:8" x14ac:dyDescent="0.35">
      <c r="A3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78" s="12" t="s">
        <v>1079</v>
      </c>
      <c r="C378" s="13" t="s">
        <v>1707</v>
      </c>
      <c r="E378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G378" s="12" t="s">
        <v>1080</v>
      </c>
      <c r="H378" s="19" t="str" cm="1">
        <f t="array" ref="H378">"n"&amp;SUBSTITUTE(CreateGuidString(),"-","_")</f>
        <v>nD4967311_7B2E_450D_ABD1_36F5899BFBDB</v>
      </c>
    </row>
    <row r="379" spans="1:8" x14ac:dyDescent="0.35">
      <c r="A3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79" s="12" t="s">
        <v>1081</v>
      </c>
      <c r="C379" s="13" t="s">
        <v>1708</v>
      </c>
      <c r="E379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G379" s="12" t="s">
        <v>1082</v>
      </c>
      <c r="H379" s="19" t="str" cm="1">
        <f t="array" ref="H379">"n"&amp;SUBSTITUTE(CreateGuidString(),"-","_")</f>
        <v>nF181A5B9_9C62_4358_9FEC_772894D9E4F9</v>
      </c>
    </row>
    <row r="380" spans="1:8" x14ac:dyDescent="0.35">
      <c r="A3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80" s="12" t="s">
        <v>1083</v>
      </c>
      <c r="C380" s="13" t="s">
        <v>1709</v>
      </c>
      <c r="E380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G380" s="12" t="s">
        <v>1084</v>
      </c>
      <c r="H380" s="19" t="str" cm="1">
        <f t="array" ref="H380">"n"&amp;SUBSTITUTE(CreateGuidString(),"-","_")</f>
        <v>n64C4BB58_4CEB_4F52_9479_5F93A5171E4B</v>
      </c>
    </row>
    <row r="381" spans="1:8" x14ac:dyDescent="0.35">
      <c r="A3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1" s="12" t="s">
        <v>1085</v>
      </c>
      <c r="C381" s="13" t="s">
        <v>1703</v>
      </c>
      <c r="E381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G381" s="12" t="s">
        <v>1086</v>
      </c>
      <c r="H381" s="19" t="str" cm="1">
        <f t="array" ref="H381">"n"&amp;SUBSTITUTE(CreateGuidString(),"-","_")</f>
        <v>nFB24D40A_A484_40BC_A675_7444368AD0E3</v>
      </c>
    </row>
    <row r="382" spans="1:8" x14ac:dyDescent="0.35">
      <c r="A3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2" s="12" t="s">
        <v>1087</v>
      </c>
      <c r="C382" s="13" t="s">
        <v>1710</v>
      </c>
      <c r="D382" s="12" t="s">
        <v>1270</v>
      </c>
      <c r="E382" s="12" t="str">
        <f>IF(NodesData[[#This Row],[Class Disambiguation]]="",NodesData[[#This Row],[Common Name]],NodesData[[#This Row],[Common Name]]&amp;" ("&amp;NodesData[[#This Row],[Class Disambiguation]]&amp;")")</f>
        <v>RP (Acronym)</v>
      </c>
      <c r="G382" s="12" t="s">
        <v>1088</v>
      </c>
      <c r="H382" s="19" t="str" cm="1">
        <f t="array" ref="H382">"n"&amp;SUBSTITUTE(CreateGuidString(),"-","_")</f>
        <v>n80641CDF_55B4_4157_B7DE_BEF78CBAA1A2</v>
      </c>
    </row>
    <row r="383" spans="1:8" x14ac:dyDescent="0.35">
      <c r="A3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3" s="12" t="s">
        <v>407</v>
      </c>
      <c r="C383" s="13" t="s">
        <v>1711</v>
      </c>
      <c r="E383" s="12" t="str">
        <f>IF(NodesData[[#This Row],[Class Disambiguation]]="",NodesData[[#This Row],[Common Name]],NodesData[[#This Row],[Common Name]]&amp;" ("&amp;NodesData[[#This Row],[Class Disambiguation]]&amp;")")</f>
        <v>SAM Database</v>
      </c>
      <c r="G383" s="12" t="s">
        <v>1089</v>
      </c>
      <c r="H383" s="19" t="str" cm="1">
        <f t="array" ref="H383">"n"&amp;SUBSTITUTE(CreateGuidString(),"-","_")</f>
        <v>nA037046C_6D09_47BD_99B8_C49D45504D17</v>
      </c>
    </row>
    <row r="384" spans="1:8" x14ac:dyDescent="0.35">
      <c r="A3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4" s="12" t="s">
        <v>408</v>
      </c>
      <c r="C384" s="13" t="s">
        <v>1712</v>
      </c>
      <c r="D384" s="12" t="s">
        <v>1270</v>
      </c>
      <c r="E384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G384" s="12" t="s">
        <v>1090</v>
      </c>
      <c r="H384" s="19" t="str" cm="1">
        <f t="array" ref="H384">"n"&amp;SUBSTITUTE(CreateGuidString(),"-","_")</f>
        <v>n468AA6CC_6D66_4AFB_8BEA_D5A57BFB2A9C</v>
      </c>
    </row>
    <row r="385" spans="1:8" x14ac:dyDescent="0.35">
      <c r="A3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5" s="12" t="s">
        <v>1093</v>
      </c>
      <c r="C385" s="13" t="s">
        <v>1714</v>
      </c>
      <c r="D385" s="12" t="s">
        <v>1270</v>
      </c>
      <c r="E385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G385" s="12" t="s">
        <v>1094</v>
      </c>
      <c r="H385" s="19" t="str" cm="1">
        <f t="array" ref="H385">"n"&amp;SUBSTITUTE(CreateGuidString(),"-","_")</f>
        <v>n91976E72_2AB9_440B_AE95_5020BB587F6C</v>
      </c>
    </row>
    <row r="386" spans="1:8" x14ac:dyDescent="0.35">
      <c r="A3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86" s="12" t="s">
        <v>1095</v>
      </c>
      <c r="C386" s="13" t="s">
        <v>1715</v>
      </c>
      <c r="D386" s="12" t="s">
        <v>1270</v>
      </c>
      <c r="E386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G386" s="12" t="s">
        <v>1096</v>
      </c>
      <c r="H386" s="19" t="str" cm="1">
        <f t="array" ref="H386">"n"&amp;SUBSTITUTE(CreateGuidString(),"-","_")</f>
        <v>n9C130763_8938_44A9_ADF6_266F4A8F639E</v>
      </c>
    </row>
    <row r="387" spans="1:8" x14ac:dyDescent="0.35">
      <c r="A3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87" s="12" t="s">
        <v>1097</v>
      </c>
      <c r="C387" s="13" t="s">
        <v>1716</v>
      </c>
      <c r="D387" s="12" t="s">
        <v>1270</v>
      </c>
      <c r="E387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G387" s="12" t="s">
        <v>1098</v>
      </c>
      <c r="H387" s="19" t="str" cm="1">
        <f t="array" ref="H387">"n"&amp;SUBSTITUTE(CreateGuidString(),"-","_")</f>
        <v>n3EFD032C_0716_4309_81A8_708ABBF2F2CB</v>
      </c>
    </row>
    <row r="388" spans="1:8" x14ac:dyDescent="0.35">
      <c r="A3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8" s="12" t="s">
        <v>1091</v>
      </c>
      <c r="C388" s="13" t="s">
        <v>1713</v>
      </c>
      <c r="D388" s="12" t="s">
        <v>1270</v>
      </c>
      <c r="E388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G388" s="12" t="s">
        <v>1092</v>
      </c>
      <c r="H388" s="19" t="str" cm="1">
        <f t="array" ref="H388">"n"&amp;SUBSTITUTE(CreateGuidString(),"-","_")</f>
        <v>n9956A7F4_2D57_4AC6_BF7E_65832A47241B</v>
      </c>
    </row>
    <row r="389" spans="1:8" x14ac:dyDescent="0.35">
      <c r="A3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Scoping</v>
      </c>
      <c r="B389" s="12" t="s">
        <v>1099</v>
      </c>
      <c r="C389" s="13" t="s">
        <v>1717</v>
      </c>
      <c r="E389" s="12" t="str">
        <f>IF(NodesData[[#This Row],[Class Disambiguation]]="",NodesData[[#This Row],[Common Name]],NodesData[[#This Row],[Common Name]]&amp;" ("&amp;NodesData[[#This Row],[Class Disambiguation]]&amp;")")</f>
        <v>Scoping</v>
      </c>
      <c r="G389" s="12" t="s">
        <v>1100</v>
      </c>
      <c r="H389" s="19" t="str" cm="1">
        <f t="array" ref="H389">"n"&amp;SUBSTITUTE(CreateGuidString(),"-","_")</f>
        <v>n154161F5_7E0E_4E3D_80CC_6612F7AF2D89</v>
      </c>
    </row>
    <row r="390" spans="1:8" x14ac:dyDescent="0.35">
      <c r="A3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90" s="12" t="s">
        <v>1101</v>
      </c>
      <c r="C390" s="13" t="s">
        <v>1718</v>
      </c>
      <c r="D390" s="12" t="s">
        <v>1270</v>
      </c>
      <c r="E390" s="12" t="str">
        <f>IF(NodesData[[#This Row],[Class Disambiguation]]="",NodesData[[#This Row],[Common Name]],NodesData[[#This Row],[Common Name]]&amp;" ("&amp;NodesData[[#This Row],[Class Disambiguation]]&amp;")")</f>
        <v>SD (Acronym)</v>
      </c>
      <c r="G390" s="12" t="s">
        <v>1102</v>
      </c>
      <c r="H390" s="19" t="str" cm="1">
        <f t="array" ref="H390">"n"&amp;SUBSTITUTE(CreateGuidString(),"-","_")</f>
        <v>n351C1201_EAAE_4A19_84F7_90489837EFB5</v>
      </c>
    </row>
    <row r="391" spans="1:8" x14ac:dyDescent="0.35">
      <c r="A3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1" s="12" t="s">
        <v>1103</v>
      </c>
      <c r="C391" s="13" t="s">
        <v>1719</v>
      </c>
      <c r="D391" s="12" t="s">
        <v>1270</v>
      </c>
      <c r="E391" s="12" t="str">
        <f>IF(NodesData[[#This Row],[Class Disambiguation]]="",NodesData[[#This Row],[Common Name]],NodesData[[#This Row],[Common Name]]&amp;" ("&amp;NodesData[[#This Row],[Class Disambiguation]]&amp;")")</f>
        <v>SDP (Acronym)</v>
      </c>
      <c r="G391" s="12" t="s">
        <v>1104</v>
      </c>
      <c r="H391" s="19" t="str" cm="1">
        <f t="array" ref="H391">"n"&amp;SUBSTITUTE(CreateGuidString(),"-","_")</f>
        <v>nF0E3D1A6_BE17_4B1D_BC64_60E75E326288</v>
      </c>
    </row>
    <row r="392" spans="1:8" x14ac:dyDescent="0.35">
      <c r="A3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2" s="12" t="s">
        <v>1105</v>
      </c>
      <c r="C392" s="13" t="s">
        <v>1720</v>
      </c>
      <c r="E392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G392" s="12" t="s">
        <v>1106</v>
      </c>
      <c r="H392" s="19" t="str" cm="1">
        <f t="array" ref="H392">"n"&amp;SUBSTITUTE(CreateGuidString(),"-","_")</f>
        <v>n7756053D_C70A_4EDD_BC9E_D5236530E908</v>
      </c>
    </row>
    <row r="393" spans="1:8" x14ac:dyDescent="0.35">
      <c r="A3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3" s="12" t="s">
        <v>1107</v>
      </c>
      <c r="C393" s="13" t="s">
        <v>1721</v>
      </c>
      <c r="E393" s="12" t="str">
        <f>IF(NodesData[[#This Row],[Class Disambiguation]]="",NodesData[[#This Row],[Common Name]],NodesData[[#This Row],[Common Name]]&amp;" ("&amp;NodesData[[#This Row],[Class Disambiguation]]&amp;")")</f>
        <v>Secure System</v>
      </c>
      <c r="G393" s="12" t="s">
        <v>1108</v>
      </c>
      <c r="H393" s="19" t="str" cm="1">
        <f t="array" ref="H393">"n"&amp;SUBSTITUTE(CreateGuidString(),"-","_")</f>
        <v>nA4424E59_EEAC_473C_AA4F_9B982076A107</v>
      </c>
    </row>
    <row r="394" spans="1:8" x14ac:dyDescent="0.35">
      <c r="A3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4" s="12" t="s">
        <v>1109</v>
      </c>
      <c r="C394" s="13" t="s">
        <v>1722</v>
      </c>
      <c r="E394" s="12" t="str">
        <f>IF(NodesData[[#This Row],[Class Disambiguation]]="",NodesData[[#This Row],[Common Name]],NodesData[[#This Row],[Common Name]]&amp;" ("&amp;NodesData[[#This Row],[Class Disambiguation]]&amp;")")</f>
        <v>Security</v>
      </c>
      <c r="G394" s="12" t="s">
        <v>1110</v>
      </c>
      <c r="H394" s="19" t="str" cm="1">
        <f t="array" ref="H394">"n"&amp;SUBSTITUTE(CreateGuidString(),"-","_")</f>
        <v>n56A1B128_92A0_49DF_B06F_5AC955BFA843</v>
      </c>
    </row>
    <row r="395" spans="1:8" x14ac:dyDescent="0.35">
      <c r="A3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5" s="12" t="s">
        <v>1111</v>
      </c>
      <c r="C395" s="13" t="s">
        <v>1723</v>
      </c>
      <c r="E395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G395" s="12" t="s">
        <v>1112</v>
      </c>
      <c r="H395" s="19" t="str" cm="1">
        <f t="array" ref="H395">"n"&amp;SUBSTITUTE(CreateGuidString(),"-","_")</f>
        <v>n90609230_53CE_4251_ABEB_31D5FFCFF0E5</v>
      </c>
    </row>
    <row r="396" spans="1:8" x14ac:dyDescent="0.35">
      <c r="A3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6" s="12" t="s">
        <v>421</v>
      </c>
      <c r="C396" s="13" t="s">
        <v>1724</v>
      </c>
      <c r="E396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G396" s="12" t="s">
        <v>1113</v>
      </c>
      <c r="H396" s="19" t="str" cm="1">
        <f t="array" ref="H396">"n"&amp;SUBSTITUTE(CreateGuidString(),"-","_")</f>
        <v>nF2CDA7AD_ED7C_420D_9015_8F63A02B3868</v>
      </c>
    </row>
    <row r="397" spans="1:8" x14ac:dyDescent="0.35">
      <c r="A3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397" s="12" t="s">
        <v>1114</v>
      </c>
      <c r="C397" s="13" t="s">
        <v>1725</v>
      </c>
      <c r="E397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G397" s="12" t="s">
        <v>1115</v>
      </c>
      <c r="H397" s="19" t="str" cm="1">
        <f t="array" ref="H397">"n"&amp;SUBSTITUTE(CreateGuidString(),"-","_")</f>
        <v>nC5CC0AC5_B0F6_482E_8F32_4125382AC20C</v>
      </c>
    </row>
    <row r="398" spans="1:8" x14ac:dyDescent="0.35">
      <c r="A3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398" s="12" t="s">
        <v>1116</v>
      </c>
      <c r="C398" s="13" t="s">
        <v>1726</v>
      </c>
      <c r="E398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G398" s="12" t="s">
        <v>1117</v>
      </c>
      <c r="H398" s="19" t="str" cm="1">
        <f t="array" ref="H398">"n"&amp;SUBSTITUTE(CreateGuidString(),"-","_")</f>
        <v>n0DB390D8_2885_485B_AFBE_D8B55FBCCE4A</v>
      </c>
    </row>
    <row r="399" spans="1:8" x14ac:dyDescent="0.35">
      <c r="A3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399" s="12" t="s">
        <v>1118</v>
      </c>
      <c r="C399" s="13" t="s">
        <v>1727</v>
      </c>
      <c r="E399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G399" s="12" t="s">
        <v>1119</v>
      </c>
      <c r="H399" s="19" t="str" cm="1">
        <f t="array" ref="H399">"n"&amp;SUBSTITUTE(CreateGuidString(),"-","_")</f>
        <v>n421BC136_19F0_45C2_AB9B_23ED967331CB</v>
      </c>
    </row>
    <row r="400" spans="1:8" x14ac:dyDescent="0.35">
      <c r="A4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400" s="12" t="s">
        <v>1329</v>
      </c>
      <c r="C400" s="13" t="s">
        <v>1735</v>
      </c>
      <c r="E400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H400" s="19" t="str" cm="1">
        <f t="array" ref="H400">"n"&amp;SUBSTITUTE(CreateGuidString(),"-","_")</f>
        <v>n93B2FAD3_1393_4FC7_9537_FEC8C1116C8C</v>
      </c>
    </row>
    <row r="401" spans="1:8" x14ac:dyDescent="0.35">
      <c r="A4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1" s="12" t="s">
        <v>1120</v>
      </c>
      <c r="C401" s="13" t="s">
        <v>1729</v>
      </c>
      <c r="E401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G401" s="12" t="s">
        <v>1121</v>
      </c>
      <c r="H401" s="19" t="str" cm="1">
        <f t="array" ref="H401">"n"&amp;SUBSTITUTE(CreateGuidString(),"-","_")</f>
        <v>n90B762BC_0768_4F4E_8332_937C6A404A7B</v>
      </c>
    </row>
    <row r="402" spans="1:8" x14ac:dyDescent="0.35">
      <c r="A4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2" s="12" t="s">
        <v>426</v>
      </c>
      <c r="C402" s="13" t="s">
        <v>1730</v>
      </c>
      <c r="E402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G402" s="12" t="s">
        <v>1122</v>
      </c>
      <c r="H402" s="19" t="str" cm="1">
        <f t="array" ref="H402">"n"&amp;SUBSTITUTE(CreateGuidString(),"-","_")</f>
        <v>nA5D06401_FD5B_470F_B58A_3B435E994315</v>
      </c>
    </row>
    <row r="403" spans="1:8" x14ac:dyDescent="0.35">
      <c r="A4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3" s="12" t="s">
        <v>1123</v>
      </c>
      <c r="C403" s="13" t="s">
        <v>1731</v>
      </c>
      <c r="E403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G403" s="12" t="s">
        <v>1124</v>
      </c>
      <c r="H403" s="19" t="str" cm="1">
        <f t="array" ref="H403">"n"&amp;SUBSTITUTE(CreateGuidString(),"-","_")</f>
        <v>n63DF15E8_3752_4A25_B74B_9C0A649051C3</v>
      </c>
    </row>
    <row r="404" spans="1:8" x14ac:dyDescent="0.35">
      <c r="A4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4" s="12" t="s">
        <v>1125</v>
      </c>
      <c r="C404" s="13" t="s">
        <v>1732</v>
      </c>
      <c r="E404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G404" s="12" t="s">
        <v>1126</v>
      </c>
      <c r="H404" s="19" t="str" cm="1">
        <f t="array" ref="H404">"n"&amp;SUBSTITUTE(CreateGuidString(),"-","_")</f>
        <v>n393BC110_7CC1_4646_A50A_BA72745816B2</v>
      </c>
    </row>
    <row r="405" spans="1:8" x14ac:dyDescent="0.35">
      <c r="A4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5" s="12" t="s">
        <v>429</v>
      </c>
      <c r="C405" s="13" t="s">
        <v>1733</v>
      </c>
      <c r="E405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G405" s="12" t="s">
        <v>1127</v>
      </c>
      <c r="H405" s="19" t="str" cm="1">
        <f t="array" ref="H405">"n"&amp;SUBSTITUTE(CreateGuidString(),"-","_")</f>
        <v>nD6C6DDBE_7F27_4518_8A38_64888CAAC3E7</v>
      </c>
    </row>
    <row r="406" spans="1:8" x14ac:dyDescent="0.35">
      <c r="A4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</v>
      </c>
      <c r="B406" s="12" t="s">
        <v>1128</v>
      </c>
      <c r="C406" s="13" t="s">
        <v>1734</v>
      </c>
      <c r="E406" s="12" t="str">
        <f>IF(NodesData[[#This Row],[Class Disambiguation]]="",NodesData[[#This Row],[Common Name]],NodesData[[#This Row],[Common Name]]&amp;" ("&amp;NodesData[[#This Row],[Class Disambiguation]]&amp;")")</f>
        <v>Session</v>
      </c>
      <c r="G406" s="12" t="s">
        <v>1129</v>
      </c>
      <c r="H406" s="19" t="str" cm="1">
        <f t="array" ref="H406">"n"&amp;SUBSTITUTE(CreateGuidString(),"-","_")</f>
        <v>n0097D136_8433_492B_A160_7E10A5DD573C</v>
      </c>
    </row>
    <row r="407" spans="1:8" x14ac:dyDescent="0.35">
      <c r="A4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07" s="12" t="s">
        <v>1331</v>
      </c>
      <c r="C407" s="13" t="s">
        <v>1740</v>
      </c>
      <c r="E407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H407" s="19" t="str" cm="1">
        <f t="array" ref="H407">"n"&amp;SUBSTITUTE(CreateGuidString(),"-","_")</f>
        <v>nC2B60B53_8F53_41D9_8975_07A81CAB5B24</v>
      </c>
    </row>
    <row r="408" spans="1:8" x14ac:dyDescent="0.35">
      <c r="A4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08" s="12" t="s">
        <v>1130</v>
      </c>
      <c r="C408" s="13" t="s">
        <v>1736</v>
      </c>
      <c r="E408" s="12" t="str">
        <f>IF(NodesData[[#This Row],[Class Disambiguation]]="",NodesData[[#This Row],[Common Name]],NodesData[[#This Row],[Common Name]]&amp;" ("&amp;NodesData[[#This Row],[Class Disambiguation]]&amp;")")</f>
        <v>Single Login</v>
      </c>
      <c r="G408" s="12" t="s">
        <v>1131</v>
      </c>
      <c r="H408" s="19" t="str" cm="1">
        <f t="array" ref="H408">"n"&amp;SUBSTITUTE(CreateGuidString(),"-","_")</f>
        <v>n9C322389_38A9_4A7A_9FCA_796736521BD0</v>
      </c>
    </row>
    <row r="409" spans="1:8" x14ac:dyDescent="0.35">
      <c r="A4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9" s="12" t="s">
        <v>1132</v>
      </c>
      <c r="C409" s="13" t="s">
        <v>1737</v>
      </c>
      <c r="E409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G409" s="12" t="s">
        <v>1133</v>
      </c>
      <c r="H409" s="19" t="str" cm="1">
        <f t="array" ref="H409">"n"&amp;SUBSTITUTE(CreateGuidString(),"-","_")</f>
        <v>n7267B9DE_95D3_46E0_9454_9E007B2C8329</v>
      </c>
    </row>
    <row r="410" spans="1:8" x14ac:dyDescent="0.35">
      <c r="A4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0" s="12" t="s">
        <v>1132</v>
      </c>
      <c r="C410" s="13" t="s">
        <v>1738</v>
      </c>
      <c r="E410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10" s="19" t="str" cm="1">
        <f t="array" ref="H410">"n"&amp;SUBSTITUTE(CreateGuidString(),"-","_")</f>
        <v>n6CF18888_E69E_4129_8A1D_22F1D2E7E402</v>
      </c>
    </row>
    <row r="411" spans="1:8" x14ac:dyDescent="0.35">
      <c r="A4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SMS OTP</v>
      </c>
      <c r="B411" s="12" t="s">
        <v>1321</v>
      </c>
      <c r="C411" s="13" t="s">
        <v>1739</v>
      </c>
      <c r="E411" s="12" t="str">
        <f>IF(NodesData[[#This Row],[Class Disambiguation]]="",NodesData[[#This Row],[Common Name]],NodesData[[#This Row],[Common Name]]&amp;" ("&amp;NodesData[[#This Row],[Class Disambiguation]]&amp;")")</f>
        <v>SMS OTP</v>
      </c>
      <c r="H411" s="19" t="str" cm="1">
        <f t="array" ref="H411">"n"&amp;SUBSTITUTE(CreateGuidString(),"-","_")</f>
        <v>n4F05F495_8F88_4ACD_8244_EE736F53F29B</v>
      </c>
    </row>
    <row r="412" spans="1:8" x14ac:dyDescent="0.35">
      <c r="A4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2" s="12" t="s">
        <v>433</v>
      </c>
      <c r="C412" s="13" t="s">
        <v>1753</v>
      </c>
      <c r="E412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G412" s="12" t="s">
        <v>1134</v>
      </c>
      <c r="H412" s="19" t="str" cm="1">
        <f t="array" ref="H412">"n"&amp;SUBSTITUTE(CreateGuidString(),"-","_")</f>
        <v>n62855586_FA24_4384_8B22_209294976DB8</v>
      </c>
    </row>
    <row r="413" spans="1:8" x14ac:dyDescent="0.35">
      <c r="A4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3" s="12" t="s">
        <v>434</v>
      </c>
      <c r="C413" s="13" t="s">
        <v>1741</v>
      </c>
      <c r="E413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G413" s="12" t="s">
        <v>1135</v>
      </c>
      <c r="H413" s="19" t="str" cm="1">
        <f t="array" ref="H413">"n"&amp;SUBSTITUTE(CreateGuidString(),"-","_")</f>
        <v>nDEB3E9DC_782E_4B61_ACE8_A8BFD73A1115</v>
      </c>
    </row>
    <row r="414" spans="1:8" x14ac:dyDescent="0.35">
      <c r="A4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4" s="12" t="s">
        <v>1136</v>
      </c>
      <c r="C414" s="13" t="s">
        <v>1742</v>
      </c>
      <c r="D414" s="12" t="s">
        <v>1270</v>
      </c>
      <c r="E414" s="12" t="str">
        <f>IF(NodesData[[#This Row],[Class Disambiguation]]="",NodesData[[#This Row],[Common Name]],NodesData[[#This Row],[Common Name]]&amp;" ("&amp;NodesData[[#This Row],[Class Disambiguation]]&amp;")")</f>
        <v>SoD (Acronym)</v>
      </c>
      <c r="G414" s="12" t="s">
        <v>1137</v>
      </c>
      <c r="H414" s="19" t="str" cm="1">
        <f t="array" ref="H414">"n"&amp;SUBSTITUTE(CreateGuidString(),"-","_")</f>
        <v>nF69FB469_7647_40D8_BF7C_DAA144D22F3D</v>
      </c>
    </row>
    <row r="415" spans="1:8" x14ac:dyDescent="0.35">
      <c r="A4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5" s="12" t="s">
        <v>1320</v>
      </c>
      <c r="C415" s="13" t="s">
        <v>1743</v>
      </c>
      <c r="E415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H415" s="19" t="str" cm="1">
        <f t="array" ref="H415">"n"&amp;SUBSTITUTE(CreateGuidString(),"-","_")</f>
        <v>n288D8AA6_F1B7_417C_8F68_DB39C2011640</v>
      </c>
    </row>
    <row r="416" spans="1:8" x14ac:dyDescent="0.35">
      <c r="A4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6" s="12" t="s">
        <v>1138</v>
      </c>
      <c r="C416" s="13" t="s">
        <v>1744</v>
      </c>
      <c r="E416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G416" s="12" t="s">
        <v>1139</v>
      </c>
      <c r="H416" s="19" t="str" cm="1">
        <f t="array" ref="H416">"n"&amp;SUBSTITUTE(CreateGuidString(),"-","_")</f>
        <v>nF7D1E379_0EA7_42CE_B156_8510C64F2386</v>
      </c>
    </row>
    <row r="417" spans="1:8" x14ac:dyDescent="0.35">
      <c r="A4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17" s="12" t="s">
        <v>1140</v>
      </c>
      <c r="C417" s="13" t="s">
        <v>1745</v>
      </c>
      <c r="D417" s="12" t="s">
        <v>1270</v>
      </c>
      <c r="E417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G417" s="12" t="s">
        <v>1141</v>
      </c>
      <c r="H417" s="19" t="str" cm="1">
        <f t="array" ref="H417">"n"&amp;SUBSTITUTE(CreateGuidString(),"-","_")</f>
        <v>nF3453168_E772_468D_BC19_D1672E9602C2</v>
      </c>
    </row>
    <row r="418" spans="1:8" x14ac:dyDescent="0.35">
      <c r="A4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18" s="12" t="s">
        <v>1142</v>
      </c>
      <c r="C418" s="13" t="s">
        <v>1746</v>
      </c>
      <c r="D418" s="12" t="s">
        <v>1270</v>
      </c>
      <c r="E418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G418" s="12" t="s">
        <v>1143</v>
      </c>
      <c r="H418" s="19" t="str" cm="1">
        <f t="array" ref="H418">"n"&amp;SUBSTITUTE(CreateGuidString(),"-","_")</f>
        <v>n66E7B73F_6A22_4524_93E8_3E0A57375D4B</v>
      </c>
    </row>
    <row r="419" spans="1:8" x14ac:dyDescent="0.35">
      <c r="A4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19" s="12" t="s">
        <v>1144</v>
      </c>
      <c r="C419" s="13" t="s">
        <v>1747</v>
      </c>
      <c r="D419" s="12" t="s">
        <v>1270</v>
      </c>
      <c r="E419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G419" s="12" t="s">
        <v>1145</v>
      </c>
      <c r="H419" s="19" t="str" cm="1">
        <f t="array" ref="H419">"n"&amp;SUBSTITUTE(CreateGuidString(),"-","_")</f>
        <v>nF5145B55_1AEE_40E1_83E1_9AA0D7ED1F5A</v>
      </c>
    </row>
    <row r="420" spans="1:8" x14ac:dyDescent="0.35">
      <c r="A4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20" s="12" t="s">
        <v>440</v>
      </c>
      <c r="C420" s="13" t="s">
        <v>1748</v>
      </c>
      <c r="D420" s="12" t="s">
        <v>1270</v>
      </c>
      <c r="E420" s="12" t="str">
        <f>IF(NodesData[[#This Row],[Class Disambiguation]]="",NodesData[[#This Row],[Common Name]],NodesData[[#This Row],[Common Name]]&amp;" ("&amp;NodesData[[#This Row],[Class Disambiguation]]&amp;")")</f>
        <v>SSI (Acronym)</v>
      </c>
      <c r="G420" s="12" t="s">
        <v>1146</v>
      </c>
      <c r="H420" s="19" t="str" cm="1">
        <f t="array" ref="H420">"n"&amp;SUBSTITUTE(CreateGuidString(),"-","_")</f>
        <v>n3A9BC013_9E6D_467B_A6C7_7D83D7F55C95</v>
      </c>
    </row>
    <row r="421" spans="1:8" x14ac:dyDescent="0.35">
      <c r="A4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</v>
      </c>
      <c r="B421" s="12" t="s">
        <v>1147</v>
      </c>
      <c r="C421" s="13" t="s">
        <v>1750</v>
      </c>
      <c r="E421" s="12" t="str">
        <f>IF(NodesData[[#This Row],[Class Disambiguation]]="",NodesData[[#This Row],[Common Name]],NodesData[[#This Row],[Common Name]]&amp;" ("&amp;NodesData[[#This Row],[Class Disambiguation]]&amp;")")</f>
        <v>SSO</v>
      </c>
      <c r="H421" s="19" t="str" cm="1">
        <f t="array" ref="H421">"n"&amp;SUBSTITUTE(CreateGuidString(),"-","_")</f>
        <v>n8A71074B_EDBF_465F_A3D2_E6281860D626</v>
      </c>
    </row>
    <row r="422" spans="1:8" x14ac:dyDescent="0.35">
      <c r="A4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2" s="12" t="s">
        <v>1147</v>
      </c>
      <c r="C422" s="13" t="s">
        <v>1749</v>
      </c>
      <c r="D422" s="12" t="s">
        <v>1270</v>
      </c>
      <c r="E422" s="12" t="str">
        <f>IF(NodesData[[#This Row],[Class Disambiguation]]="",NodesData[[#This Row],[Common Name]],NodesData[[#This Row],[Common Name]]&amp;" ("&amp;NodesData[[#This Row],[Class Disambiguation]]&amp;")")</f>
        <v>SSO (Acronym)</v>
      </c>
      <c r="G422" s="12" t="s">
        <v>1148</v>
      </c>
      <c r="H422" s="19" t="str" cm="1">
        <f t="array" ref="H422">"n"&amp;SUBSTITUTE(CreateGuidString(),"-","_")</f>
        <v>nC8095CFC_760E_4AED_93AC_2F9217CAC456</v>
      </c>
    </row>
    <row r="423" spans="1:8" x14ac:dyDescent="0.35">
      <c r="A4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3" s="12" t="s">
        <v>1149</v>
      </c>
      <c r="C423" s="13" t="s">
        <v>1751</v>
      </c>
      <c r="E423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G423" s="12" t="s">
        <v>1150</v>
      </c>
      <c r="H423" s="19" t="str" cm="1">
        <f t="array" ref="H423">"n"&amp;SUBSTITUTE(CreateGuidString(),"-","_")</f>
        <v>nC7767F01_1E8C_4F02_AEEA_BCB1884296F8</v>
      </c>
    </row>
    <row r="424" spans="1:8" x14ac:dyDescent="0.35">
      <c r="A4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4" s="12" t="s">
        <v>1151</v>
      </c>
      <c r="C424" s="13" t="s">
        <v>1752</v>
      </c>
      <c r="E424" s="12" t="str">
        <f>IF(NodesData[[#This Row],[Class Disambiguation]]="",NodesData[[#This Row],[Common Name]],NodesData[[#This Row],[Common Name]]&amp;" ("&amp;NodesData[[#This Row],[Class Disambiguation]]&amp;")")</f>
        <v>Stakeholder</v>
      </c>
      <c r="G424" s="12" t="s">
        <v>1152</v>
      </c>
      <c r="H424" s="19" t="str" cm="1">
        <f t="array" ref="H424">"n"&amp;SUBSTITUTE(CreateGuidString(),"-","_")</f>
        <v>nA54B668C_1DB9_461F_8212_EB471A18DA99</v>
      </c>
    </row>
    <row r="425" spans="1:8" x14ac:dyDescent="0.35">
      <c r="A4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5" s="12" t="s">
        <v>444</v>
      </c>
      <c r="C425" s="13" t="s">
        <v>1756</v>
      </c>
      <c r="E425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G425" s="12" t="s">
        <v>1153</v>
      </c>
      <c r="H425" s="19" t="str" cm="1">
        <f t="array" ref="H425">"n"&amp;SUBSTITUTE(CreateGuidString(),"-","_")</f>
        <v>n776BD31B_FCB3_466C_B240_EACAA4A4191E</v>
      </c>
    </row>
    <row r="426" spans="1:8" x14ac:dyDescent="0.35">
      <c r="A4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6" s="12" t="s">
        <v>1154</v>
      </c>
      <c r="C426" s="13" t="s">
        <v>1754</v>
      </c>
      <c r="E426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G426" s="12" t="s">
        <v>1155</v>
      </c>
      <c r="H426" s="19" t="str" cm="1">
        <f t="array" ref="H426">"n"&amp;SUBSTITUTE(CreateGuidString(),"-","_")</f>
        <v>nFC310884_375F_4AE8_956C_818CCB77DA06</v>
      </c>
    </row>
    <row r="427" spans="1:8" x14ac:dyDescent="0.35">
      <c r="A4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27" s="12" t="s">
        <v>1156</v>
      </c>
      <c r="C427" s="13" t="s">
        <v>1755</v>
      </c>
      <c r="E427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G427" s="12" t="s">
        <v>1157</v>
      </c>
      <c r="H427" s="19" t="str" cm="1">
        <f t="array" ref="H427">"n"&amp;SUBSTITUTE(CreateGuidString(),"-","_")</f>
        <v>n53CB3D88_EB13_481B_B1F4_D5D80BCD3ACA</v>
      </c>
    </row>
    <row r="428" spans="1:8" x14ac:dyDescent="0.35">
      <c r="A4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28" s="12" t="s">
        <v>1158</v>
      </c>
      <c r="C428" s="13" t="s">
        <v>1770</v>
      </c>
      <c r="E428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G428" s="12" t="s">
        <v>1159</v>
      </c>
      <c r="H428" s="19" t="str" cm="1">
        <f t="array" ref="H428">"n"&amp;SUBSTITUTE(CreateGuidString(),"-","_")</f>
        <v>nE8776110_77E8_4765_916D_4AA09816E7D9</v>
      </c>
    </row>
    <row r="429" spans="1:8" x14ac:dyDescent="0.35">
      <c r="A4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29" s="12" t="s">
        <v>1160</v>
      </c>
      <c r="C429" s="13" t="s">
        <v>1757</v>
      </c>
      <c r="E429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G429" s="12" t="s">
        <v>1161</v>
      </c>
      <c r="H429" s="19" t="str" cm="1">
        <f t="array" ref="H429">"n"&amp;SUBSTITUTE(CreateGuidString(),"-","_")</f>
        <v>n54C528E7_2E5D_4C22_AEA7_296B1E72BD8A</v>
      </c>
    </row>
    <row r="430" spans="1:8" x14ac:dyDescent="0.35">
      <c r="A4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</v>
      </c>
      <c r="B430" s="12" t="s">
        <v>1162</v>
      </c>
      <c r="C430" s="13" t="s">
        <v>1758</v>
      </c>
      <c r="E430" s="12" t="str">
        <f>IF(NodesData[[#This Row],[Class Disambiguation]]="",NodesData[[#This Row],[Common Name]],NodesData[[#This Row],[Common Name]]&amp;" ("&amp;NodesData[[#This Row],[Class Disambiguation]]&amp;")")</f>
        <v>Subject</v>
      </c>
      <c r="G430" s="12" t="s">
        <v>1163</v>
      </c>
      <c r="H430" s="19" t="str" cm="1">
        <f t="array" ref="H430">"n"&amp;SUBSTITUTE(CreateGuidString(),"-","_")</f>
        <v>n90D8FFD1_033C_4702_83FE_D1210A74A22C</v>
      </c>
    </row>
    <row r="431" spans="1:8" x14ac:dyDescent="0.35">
      <c r="A4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1" s="12" t="s">
        <v>1164</v>
      </c>
      <c r="C431" s="13" t="s">
        <v>1759</v>
      </c>
      <c r="E431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G431" s="12" t="s">
        <v>1165</v>
      </c>
      <c r="H431" s="19" t="str" cm="1">
        <f t="array" ref="H431">"n"&amp;SUBSTITUTE(CreateGuidString(),"-","_")</f>
        <v>n8ADF95D0_8C18_41F1_875A_F064758477F0</v>
      </c>
    </row>
    <row r="432" spans="1:8" x14ac:dyDescent="0.35">
      <c r="A4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2" s="12" t="s">
        <v>451</v>
      </c>
      <c r="C432" s="13" t="s">
        <v>1760</v>
      </c>
      <c r="E432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G432" s="12" t="s">
        <v>1166</v>
      </c>
      <c r="H432" s="19" t="str" cm="1">
        <f t="array" ref="H432">"n"&amp;SUBSTITUTE(CreateGuidString(),"-","_")</f>
        <v>n47ED0531_78B1_41ED_AEF5_897ABE91EBD8</v>
      </c>
    </row>
    <row r="433" spans="1:8" x14ac:dyDescent="0.35">
      <c r="A4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3" s="12" t="s">
        <v>452</v>
      </c>
      <c r="C433" s="13" t="s">
        <v>1761</v>
      </c>
      <c r="E433" s="12" t="str">
        <f>IF(NodesData[[#This Row],[Class Disambiguation]]="",NodesData[[#This Row],[Common Name]],NodesData[[#This Row],[Common Name]]&amp;" ("&amp;NodesData[[#This Row],[Class Disambiguation]]&amp;")")</f>
        <v>Sybil Attack</v>
      </c>
      <c r="G433" s="12" t="s">
        <v>1167</v>
      </c>
      <c r="H433" s="19" t="str" cm="1">
        <f t="array" ref="H433">"n"&amp;SUBSTITUTE(CreateGuidString(),"-","_")</f>
        <v>n246277B0_F7A3_4A87_AF2E_CC2F7E8834EF</v>
      </c>
    </row>
    <row r="434" spans="1:8" x14ac:dyDescent="0.35">
      <c r="A4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4" s="12" t="s">
        <v>1168</v>
      </c>
      <c r="C434" s="13" t="s">
        <v>1762</v>
      </c>
      <c r="E434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G434" s="12" t="s">
        <v>1169</v>
      </c>
      <c r="H434" s="19" t="str" cm="1">
        <f t="array" ref="H434">"n"&amp;SUBSTITUTE(CreateGuidString(),"-","_")</f>
        <v>n0F1613E5_3235_4DA8_8587_EAC6F8BED03F</v>
      </c>
    </row>
    <row r="435" spans="1:8" x14ac:dyDescent="0.35">
      <c r="A4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</v>
      </c>
      <c r="B435" s="12" t="s">
        <v>454</v>
      </c>
      <c r="C435" s="13" t="s">
        <v>1763</v>
      </c>
      <c r="E435" s="12" t="str">
        <f>IF(NodesData[[#This Row],[Class Disambiguation]]="",NodesData[[#This Row],[Common Name]],NodesData[[#This Row],[Common Name]]&amp;" ("&amp;NodesData[[#This Row],[Class Disambiguation]]&amp;")")</f>
        <v>System</v>
      </c>
      <c r="G435" s="12" t="s">
        <v>1170</v>
      </c>
      <c r="H435" s="19" t="str" cm="1">
        <f t="array" ref="H435">"n"&amp;SUBSTITUTE(CreateGuidString(),"-","_")</f>
        <v>nB0965D97_8F34_4C56_8864_69C717269131</v>
      </c>
    </row>
    <row r="436" spans="1:8" x14ac:dyDescent="0.35">
      <c r="A4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6" s="12" t="s">
        <v>455</v>
      </c>
      <c r="C436" s="13" t="s">
        <v>1764</v>
      </c>
      <c r="E436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G436" s="12" t="s">
        <v>1171</v>
      </c>
      <c r="H436" s="19" t="str" cm="1">
        <f t="array" ref="H436">"n"&amp;SUBSTITUTE(CreateGuidString(),"-","_")</f>
        <v>n34422FE8_B146_40E1_A3A8_B15F9541904F</v>
      </c>
    </row>
    <row r="437" spans="1:8" x14ac:dyDescent="0.35">
      <c r="A4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37" s="12" t="s">
        <v>1172</v>
      </c>
      <c r="C437" s="13" t="s">
        <v>1765</v>
      </c>
      <c r="E437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G437" s="12" t="s">
        <v>1173</v>
      </c>
      <c r="H437" s="19" t="str" cm="1">
        <f t="array" ref="H437">"n"&amp;SUBSTITUTE(CreateGuidString(),"-","_")</f>
        <v>n7B130958_CA3D_461E_8EC8_01CF42A173CB</v>
      </c>
    </row>
    <row r="438" spans="1:8" x14ac:dyDescent="0.35">
      <c r="A4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38" s="12" t="s">
        <v>1174</v>
      </c>
      <c r="C438" s="13" t="s">
        <v>1766</v>
      </c>
      <c r="E438" s="12" t="str">
        <f>IF(NodesData[[#This Row],[Class Disambiguation]]="",NodesData[[#This Row],[Common Name]],NodesData[[#This Row],[Common Name]]&amp;" ("&amp;NodesData[[#This Row],[Class Disambiguation]]&amp;")")</f>
        <v>System Owner</v>
      </c>
      <c r="G438" s="12" t="s">
        <v>1175</v>
      </c>
      <c r="H438" s="19" t="str" cm="1">
        <f t="array" ref="H438">"n"&amp;SUBSTITUTE(CreateGuidString(),"-","_")</f>
        <v>n8DD68851_2F33_45B9_9F4A_127591657A34</v>
      </c>
    </row>
    <row r="439" spans="1:8" x14ac:dyDescent="0.35">
      <c r="A4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Z</v>
      </c>
      <c r="B439" s="12" t="s">
        <v>1176</v>
      </c>
      <c r="C439" s="13" t="s">
        <v>1767</v>
      </c>
      <c r="E439" s="12" t="str">
        <f>IF(NodesData[[#This Row],[Class Disambiguation]]="",NodesData[[#This Row],[Common Name]],NodesData[[#This Row],[Common Name]]&amp;" ("&amp;NodesData[[#This Row],[Class Disambiguation]]&amp;")")</f>
        <v>System Z</v>
      </c>
      <c r="G439" s="12" t="s">
        <v>1177</v>
      </c>
      <c r="H439" s="19" t="str" cm="1">
        <f t="array" ref="H439">"n"&amp;SUBSTITUTE(CreateGuidString(),"-","_")</f>
        <v>n46B833D6_22FD_407E_9AEC_38E6A31A392F</v>
      </c>
    </row>
    <row r="440" spans="1:8" x14ac:dyDescent="0.35">
      <c r="A4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40" s="12" t="s">
        <v>1322</v>
      </c>
      <c r="C440" s="13" t="s">
        <v>1768</v>
      </c>
      <c r="E440" s="12" t="str">
        <f>IF(NodesData[[#This Row],[Class Disambiguation]]="",NodesData[[#This Row],[Common Name]],NodesData[[#This Row],[Common Name]]&amp;" ("&amp;NodesData[[#This Row],[Class Disambiguation]]&amp;")")</f>
        <v>TAN List OTP</v>
      </c>
      <c r="H440" s="19" t="str" cm="1">
        <f t="array" ref="H440">"n"&amp;SUBSTITUTE(CreateGuidString(),"-","_")</f>
        <v>nB8C1ADC2_12D2_4023_AEEF_91436720CCC7</v>
      </c>
    </row>
    <row r="441" spans="1:8" x14ac:dyDescent="0.35">
      <c r="A4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1" s="12" t="s">
        <v>1178</v>
      </c>
      <c r="C441" s="13" t="s">
        <v>1769</v>
      </c>
      <c r="E441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G441" s="12" t="s">
        <v>1179</v>
      </c>
      <c r="H441" s="19" t="str" cm="1">
        <f t="array" ref="H441">"n"&amp;SUBSTITUTE(CreateGuidString(),"-","_")</f>
        <v>n4AFC3F89_7E92_49B4_9F01_A71CE118DDA8</v>
      </c>
    </row>
    <row r="442" spans="1:8" x14ac:dyDescent="0.35">
      <c r="A4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2" s="12" t="s">
        <v>1326</v>
      </c>
      <c r="C442" s="13" t="s">
        <v>1772</v>
      </c>
      <c r="E442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H442" s="19" t="str" cm="1">
        <f t="array" ref="H442">"n"&amp;SUBSTITUTE(CreateGuidString(),"-","_")</f>
        <v>nB6BA39F0_54CF_4712_B890_EBFE6B1CBB64</v>
      </c>
    </row>
    <row r="443" spans="1:8" x14ac:dyDescent="0.35">
      <c r="A4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3" s="11" t="s">
        <v>1340</v>
      </c>
      <c r="C443" s="13" t="s">
        <v>1847</v>
      </c>
      <c r="E443" s="18" t="str">
        <f>IF(NodesData[[#This Row],[Class Disambiguation]]="",NodesData[[#This Row],[Common Name]],NodesData[[#This Row],[Common Name]]&amp;" ("&amp;NodesData[[#This Row],[Class Disambiguation]]&amp;")")</f>
        <v>Threat Agent</v>
      </c>
      <c r="F443" s="18"/>
      <c r="H443" s="20" t="str" cm="1">
        <f t="array" ref="H443">"n"&amp;SUBSTITUTE(CreateGuidString(),"-","_")</f>
        <v>n12050BCB_DFAF_4D0C_9CCB_C85D62B9270B</v>
      </c>
    </row>
    <row r="444" spans="1:8" x14ac:dyDescent="0.35">
      <c r="A4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4" s="12" t="s">
        <v>1297</v>
      </c>
      <c r="C444" s="13" t="s">
        <v>1771</v>
      </c>
      <c r="E444" s="12" t="str">
        <f>IF(NodesData[[#This Row],[Class Disambiguation]]="",NodesData[[#This Row],[Common Name]],NodesData[[#This Row],[Common Name]]&amp;" ("&amp;NodesData[[#This Row],[Class Disambiguation]]&amp;")")</f>
        <v>Time Factor</v>
      </c>
      <c r="H444" s="19" t="str" cm="1">
        <f t="array" ref="H444">"n"&amp;SUBSTITUTE(CreateGuidString(),"-","_")</f>
        <v>n6467BCA5_64A3_4550_A658_559D6CA73381</v>
      </c>
    </row>
    <row r="445" spans="1:8" x14ac:dyDescent="0.35">
      <c r="A4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5" s="12" t="s">
        <v>1330</v>
      </c>
      <c r="C445" s="13" t="s">
        <v>1773</v>
      </c>
      <c r="E445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H445" s="19" t="str" cm="1">
        <f t="array" ref="H445">"n"&amp;SUBSTITUTE(CreateGuidString(),"-","_")</f>
        <v>nFFB2F630_7897_4979_B141_AB9CD7B44C53</v>
      </c>
    </row>
    <row r="446" spans="1:8" x14ac:dyDescent="0.35">
      <c r="A4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6" s="12" t="s">
        <v>1312</v>
      </c>
      <c r="C446" s="13" t="s">
        <v>1787</v>
      </c>
      <c r="E446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H446" s="19" t="str" cm="1">
        <f t="array" ref="H446">"n"&amp;SUBSTITUTE(CreateGuidString(),"-","_")</f>
        <v>nF2D32704_1627_47B6_AFE0_0AA64C26E49F</v>
      </c>
    </row>
    <row r="447" spans="1:8" x14ac:dyDescent="0.35">
      <c r="A4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47" s="12" t="s">
        <v>1180</v>
      </c>
      <c r="C447" s="13" t="s">
        <v>1774</v>
      </c>
      <c r="E447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G447" s="12" t="s">
        <v>1181</v>
      </c>
      <c r="H447" s="19" t="str" cm="1">
        <f t="array" ref="H447">"n"&amp;SUBSTITUTE(CreateGuidString(),"-","_")</f>
        <v>n7D60EA0D_961F_46B4_AE6B_CB85DD379EDB</v>
      </c>
    </row>
    <row r="448" spans="1:8" x14ac:dyDescent="0.35">
      <c r="A4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48" s="12" t="s">
        <v>467</v>
      </c>
      <c r="C448" s="13" t="s">
        <v>1775</v>
      </c>
      <c r="E448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G448" s="12" t="s">
        <v>1182</v>
      </c>
      <c r="H448" s="19" t="str" cm="1">
        <f t="array" ref="H448">"n"&amp;SUBSTITUTE(CreateGuidString(),"-","_")</f>
        <v>n73A2EE00_EA69_4776_85F1_9A5FDE0C99A4</v>
      </c>
    </row>
    <row r="449" spans="1:8" x14ac:dyDescent="0.35">
      <c r="A4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</v>
      </c>
      <c r="B449" s="12" t="s">
        <v>468</v>
      </c>
      <c r="C449" s="13" t="s">
        <v>1776</v>
      </c>
      <c r="E449" s="12" t="str">
        <f>IF(NodesData[[#This Row],[Class Disambiguation]]="",NodesData[[#This Row],[Common Name]],NodesData[[#This Row],[Common Name]]&amp;" ("&amp;NodesData[[#This Row],[Class Disambiguation]]&amp;")")</f>
        <v>Tranquil</v>
      </c>
      <c r="G449" s="12" t="s">
        <v>1183</v>
      </c>
      <c r="H449" s="19" t="str" cm="1">
        <f t="array" ref="H449">"n"&amp;SUBSTITUTE(CreateGuidString(),"-","_")</f>
        <v>n6A92CF17_C1F2_46CB_84CF_66F7A5C0422A</v>
      </c>
    </row>
    <row r="450" spans="1:8" x14ac:dyDescent="0.35">
      <c r="A4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50" s="12" t="s">
        <v>1184</v>
      </c>
      <c r="C450" s="13" t="s">
        <v>1777</v>
      </c>
      <c r="E450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G450" s="12" t="s">
        <v>1185</v>
      </c>
      <c r="H450" s="19" t="str" cm="1">
        <f t="array" ref="H450">"n"&amp;SUBSTITUTE(CreateGuidString(),"-","_")</f>
        <v>n38153B96_4FE4_4BB6_82C3_DF90DA091B3D</v>
      </c>
    </row>
    <row r="451" spans="1:8" x14ac:dyDescent="0.35">
      <c r="A4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1" s="12" t="s">
        <v>1186</v>
      </c>
      <c r="C451" s="13" t="s">
        <v>1778</v>
      </c>
      <c r="E451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G451" s="12" t="s">
        <v>1187</v>
      </c>
      <c r="H451" s="19" t="str" cm="1">
        <f t="array" ref="H451">"n"&amp;SUBSTITUTE(CreateGuidString(),"-","_")</f>
        <v>n936330CF_E2D7_4A0A_99B7_3ED631F26377</v>
      </c>
    </row>
    <row r="452" spans="1:8" x14ac:dyDescent="0.35">
      <c r="A4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</v>
      </c>
      <c r="B452" s="12" t="s">
        <v>471</v>
      </c>
      <c r="C452" s="13" t="s">
        <v>1779</v>
      </c>
      <c r="E452" s="12" t="str">
        <f>IF(NodesData[[#This Row],[Class Disambiguation]]="",NodesData[[#This Row],[Common Name]],NodesData[[#This Row],[Common Name]]&amp;" ("&amp;NodesData[[#This Row],[Class Disambiguation]]&amp;")")</f>
        <v>Trust</v>
      </c>
      <c r="G452" s="12" t="s">
        <v>1188</v>
      </c>
      <c r="H452" s="19" t="str" cm="1">
        <f t="array" ref="H452">"n"&amp;SUBSTITUTE(CreateGuidString(),"-","_")</f>
        <v>nD6498AC4_CD27_4C7B_B8EC_2DAF7B462A47</v>
      </c>
    </row>
    <row r="453" spans="1:8" x14ac:dyDescent="0.35">
      <c r="A4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3" s="12" t="s">
        <v>1189</v>
      </c>
      <c r="C453" s="13" t="s">
        <v>1780</v>
      </c>
      <c r="E453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G453" s="12" t="s">
        <v>1190</v>
      </c>
      <c r="H453" s="19" t="str" cm="1">
        <f t="array" ref="H453">"n"&amp;SUBSTITUTE(CreateGuidString(),"-","_")</f>
        <v>n18C5D8E2_4EB6_47CB_8DF6_2AA1C91D24A7</v>
      </c>
    </row>
    <row r="454" spans="1:8" x14ac:dyDescent="0.35">
      <c r="A4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4" s="12" t="s">
        <v>1191</v>
      </c>
      <c r="C454" s="13" t="s">
        <v>1781</v>
      </c>
      <c r="E454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G454" s="12" t="s">
        <v>1192</v>
      </c>
      <c r="H454" s="19" t="str" cm="1">
        <f t="array" ref="H454">"n"&amp;SUBSTITUTE(CreateGuidString(),"-","_")</f>
        <v>nDD49FBFF_5E1B_40AB_8F9B_1A3A0ADBC5D5</v>
      </c>
    </row>
    <row r="455" spans="1:8" x14ac:dyDescent="0.35">
      <c r="A4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5" s="12" t="s">
        <v>1193</v>
      </c>
      <c r="C455" s="13" t="s">
        <v>1782</v>
      </c>
      <c r="E455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G455" s="12" t="s">
        <v>1194</v>
      </c>
      <c r="H455" s="19" t="str" cm="1">
        <f t="array" ref="H455">"n"&amp;SUBSTITUTE(CreateGuidString(),"-","_")</f>
        <v>n5A0AE1B7_9B8E_4256_BB17_B2EC9C2F9531</v>
      </c>
    </row>
    <row r="456" spans="1:8" x14ac:dyDescent="0.35">
      <c r="A4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6" s="12" t="s">
        <v>1195</v>
      </c>
      <c r="C456" s="13" t="s">
        <v>1783</v>
      </c>
      <c r="E456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G456" s="12" t="s">
        <v>1196</v>
      </c>
      <c r="H456" s="19" t="str" cm="1">
        <f t="array" ref="H456">"n"&amp;SUBSTITUTE(CreateGuidString(),"-","_")</f>
        <v>n2CA0D715_AE64_4B4E_99DD_733FC0ED9EE4</v>
      </c>
    </row>
    <row r="457" spans="1:8" x14ac:dyDescent="0.35">
      <c r="A4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57" s="12" t="s">
        <v>477</v>
      </c>
      <c r="C457" s="13" t="s">
        <v>1784</v>
      </c>
      <c r="E457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G457" s="12" t="s">
        <v>1197</v>
      </c>
      <c r="H457" s="19" t="str" cm="1">
        <f t="array" ref="H457">"n"&amp;SUBSTITUTE(CreateGuidString(),"-","_")</f>
        <v>n8A532917_1175_4BB2_87ED_24D5D849CC88</v>
      </c>
    </row>
    <row r="458" spans="1:8" x14ac:dyDescent="0.35">
      <c r="A4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Typology</v>
      </c>
      <c r="B458" s="12" t="s">
        <v>1198</v>
      </c>
      <c r="C458" s="13" t="s">
        <v>1785</v>
      </c>
      <c r="E458" s="12" t="str">
        <f>IF(NodesData[[#This Row],[Class Disambiguation]]="",NodesData[[#This Row],[Common Name]],NodesData[[#This Row],[Common Name]]&amp;" ("&amp;NodesData[[#This Row],[Class Disambiguation]]&amp;")")</f>
        <v>Typology</v>
      </c>
      <c r="G458" s="12" t="s">
        <v>1199</v>
      </c>
      <c r="H458" s="19" t="str" cm="1">
        <f t="array" ref="H458">"n"&amp;SUBSTITUTE(CreateGuidString(),"-","_")</f>
        <v>nAFB5883A_5EBD_48CA_9821_8254849EAEE6</v>
      </c>
    </row>
    <row r="459" spans="1:8" x14ac:dyDescent="0.35">
      <c r="A4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59" s="12" t="s">
        <v>479</v>
      </c>
      <c r="C459" s="13" t="s">
        <v>1786</v>
      </c>
      <c r="E459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G459" s="12" t="s">
        <v>1200</v>
      </c>
      <c r="H459" s="19" t="str" cm="1">
        <f t="array" ref="H459">"n"&amp;SUBSTITUTE(CreateGuidString(),"-","_")</f>
        <v>n944B680D_B1D0_46AD_A1F5_26EC67CAA22A</v>
      </c>
    </row>
    <row r="460" spans="1:8" x14ac:dyDescent="0.35">
      <c r="A4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60" s="12" t="s">
        <v>480</v>
      </c>
      <c r="C460" s="13" t="s">
        <v>1804</v>
      </c>
      <c r="E460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G460" s="12" t="s">
        <v>1201</v>
      </c>
      <c r="H460" s="19" t="str" cm="1">
        <f t="array" ref="H460">"n"&amp;SUBSTITUTE(CreateGuidString(),"-","_")</f>
        <v>nEA6BD8A3_BD7E_42E0_A337_46A2ECD171B3</v>
      </c>
    </row>
    <row r="461" spans="1:8" x14ac:dyDescent="0.35">
      <c r="A4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1" s="12" t="s">
        <v>481</v>
      </c>
      <c r="C461" s="13" t="s">
        <v>1788</v>
      </c>
      <c r="E461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G461" s="12" t="s">
        <v>1202</v>
      </c>
      <c r="H461" s="19" t="str" cm="1">
        <f t="array" ref="H461">"n"&amp;SUBSTITUTE(CreateGuidString(),"-","_")</f>
        <v>n38BA09A7_A36E_45C6_9F48_7BB3D404E2EC</v>
      </c>
    </row>
    <row r="462" spans="1:8" x14ac:dyDescent="0.35">
      <c r="A4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2" s="12" t="s">
        <v>483</v>
      </c>
      <c r="C462" s="13" t="s">
        <v>1789</v>
      </c>
      <c r="E462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G462" s="12" t="s">
        <v>1203</v>
      </c>
      <c r="H462" s="19" t="str" cm="1">
        <f t="array" ref="H462">"n"&amp;SUBSTITUTE(CreateGuidString(),"-","_")</f>
        <v>n33A9F7DF_7359_40F5_A145_E2C10F44537C</v>
      </c>
    </row>
    <row r="463" spans="1:8" x14ac:dyDescent="0.35">
      <c r="A4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</v>
      </c>
      <c r="B463" s="12" t="s">
        <v>484</v>
      </c>
      <c r="C463" s="13" t="s">
        <v>1790</v>
      </c>
      <c r="E463" s="12" t="str">
        <f>IF(NodesData[[#This Row],[Class Disambiguation]]="",NodesData[[#This Row],[Common Name]],NodesData[[#This Row],[Common Name]]&amp;" ("&amp;NodesData[[#This Row],[Class Disambiguation]]&amp;")")</f>
        <v>User</v>
      </c>
      <c r="G463" s="12" t="s">
        <v>1204</v>
      </c>
      <c r="H463" s="19" t="str" cm="1">
        <f t="array" ref="H463">"n"&amp;SUBSTITUTE(CreateGuidString(),"-","_")</f>
        <v>n68E18E5D_62E3_462C_86BE_F7A789728481</v>
      </c>
    </row>
    <row r="464" spans="1:8" x14ac:dyDescent="0.35">
      <c r="A4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4" s="12" t="s">
        <v>485</v>
      </c>
      <c r="C464" s="13" t="s">
        <v>1791</v>
      </c>
      <c r="E464" s="12" t="str">
        <f>IF(NodesData[[#This Row],[Class Disambiguation]]="",NodesData[[#This Row],[Common Name]],NodesData[[#This Row],[Common Name]]&amp;" ("&amp;NodesData[[#This Row],[Class Disambiguation]]&amp;")")</f>
        <v>User Account</v>
      </c>
      <c r="G464" s="12" t="s">
        <v>1205</v>
      </c>
      <c r="H464" s="19" t="str" cm="1">
        <f t="array" ref="H464">"n"&amp;SUBSTITUTE(CreateGuidString(),"-","_")</f>
        <v>n35AC3EB8_620E_45A1_9365_20E3952D0F4D</v>
      </c>
    </row>
    <row r="465" spans="1:8" x14ac:dyDescent="0.35">
      <c r="A4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5" s="12" t="s">
        <v>487</v>
      </c>
      <c r="C465" s="13" t="s">
        <v>1793</v>
      </c>
      <c r="E465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G465" s="12" t="s">
        <v>1206</v>
      </c>
      <c r="H465" s="19" t="str" cm="1">
        <f t="array" ref="H465">"n"&amp;SUBSTITUTE(CreateGuidString(),"-","_")</f>
        <v>n9A4BFF09_0E44_4BC1_95A9_7D003D099514</v>
      </c>
    </row>
    <row r="466" spans="1:8" x14ac:dyDescent="0.35">
      <c r="A4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6" s="12" t="s">
        <v>1207</v>
      </c>
      <c r="C466" s="13" t="s">
        <v>1794</v>
      </c>
      <c r="E466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G466" s="12" t="s">
        <v>1208</v>
      </c>
      <c r="H466" s="19" t="str" cm="1">
        <f t="array" ref="H466">"n"&amp;SUBSTITUTE(CreateGuidString(),"-","_")</f>
        <v>n720658B1_50AF_4A4F_B7F6_5D5570FEF3AA</v>
      </c>
    </row>
    <row r="467" spans="1:8" x14ac:dyDescent="0.35">
      <c r="A4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67" s="12" t="s">
        <v>489</v>
      </c>
      <c r="C467" s="13" t="s">
        <v>1795</v>
      </c>
      <c r="D467" s="12" t="s">
        <v>1270</v>
      </c>
      <c r="E467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G467" s="12" t="s">
        <v>1209</v>
      </c>
      <c r="H467" s="19" t="str" cm="1">
        <f t="array" ref="H467">"n"&amp;SUBSTITUTE(CreateGuidString(),"-","_")</f>
        <v>n9DB6C1B1_3E61_442F_903F_0849C68C6BC2</v>
      </c>
    </row>
    <row r="468" spans="1:8" x14ac:dyDescent="0.35">
      <c r="A4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68" s="12" t="s">
        <v>491</v>
      </c>
      <c r="C468" s="13" t="s">
        <v>1796</v>
      </c>
      <c r="E468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G468" s="12" t="s">
        <v>1210</v>
      </c>
      <c r="H468" s="19" t="str" cm="1">
        <f t="array" ref="H468">"n"&amp;SUBSTITUTE(CreateGuidString(),"-","_")</f>
        <v>nD1ED30E9_1143_4444_A062_93FCD229BFC8</v>
      </c>
    </row>
    <row r="469" spans="1:8" x14ac:dyDescent="0.35">
      <c r="A4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69" s="12" t="s">
        <v>486</v>
      </c>
      <c r="C469" s="13" t="s">
        <v>1792</v>
      </c>
      <c r="E469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G469" s="12" t="s">
        <v>1211</v>
      </c>
      <c r="H469" s="19" t="str" cm="1">
        <f t="array" ref="H469">"n"&amp;SUBSTITUTE(CreateGuidString(),"-","_")</f>
        <v>nFDB6AFB7_8FE7_406F_B4DC_490B40594865</v>
      </c>
    </row>
    <row r="470" spans="1:8" x14ac:dyDescent="0.35">
      <c r="A4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Username</v>
      </c>
      <c r="B470" s="12" t="s">
        <v>490</v>
      </c>
      <c r="C470" s="13" t="s">
        <v>1797</v>
      </c>
      <c r="E470" s="12" t="str">
        <f>IF(NodesData[[#This Row],[Class Disambiguation]]="",NodesData[[#This Row],[Common Name]],NodesData[[#This Row],[Common Name]]&amp;" ("&amp;NodesData[[#This Row],[Class Disambiguation]]&amp;")")</f>
        <v>Username</v>
      </c>
      <c r="G470" s="12" t="s">
        <v>1212</v>
      </c>
      <c r="H470" s="19" t="str" cm="1">
        <f t="array" ref="H470">"n"&amp;SUBSTITUTE(CreateGuidString(),"-","_")</f>
        <v>nDB2515BB_2E6C_49F4_88A1_66B2EAF57CF9</v>
      </c>
    </row>
    <row r="471" spans="1:8" x14ac:dyDescent="0.35">
      <c r="A4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1" s="12" t="s">
        <v>492</v>
      </c>
      <c r="C471" s="13" t="s">
        <v>1798</v>
      </c>
      <c r="E471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G471" s="12" t="s">
        <v>1213</v>
      </c>
      <c r="H471" s="19" t="str" cm="1">
        <f t="array" ref="H471">"n"&amp;SUBSTITUTE(CreateGuidString(),"-","_")</f>
        <v>nB8229DB5_755E_44D6_AD7B_7698C132DB72</v>
      </c>
    </row>
    <row r="472" spans="1:8" x14ac:dyDescent="0.35">
      <c r="A4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2" s="12" t="s">
        <v>493</v>
      </c>
      <c r="C472" s="13" t="s">
        <v>1799</v>
      </c>
      <c r="E472" s="12" t="str">
        <f>IF(NodesData[[#This Row],[Class Disambiguation]]="",NodesData[[#This Row],[Common Name]],NodesData[[#This Row],[Common Name]]&amp;" ("&amp;NodesData[[#This Row],[Class Disambiguation]]&amp;")")</f>
        <v>Verification</v>
      </c>
      <c r="G472" s="12" t="s">
        <v>1214</v>
      </c>
      <c r="H472" s="19" t="str" cm="1">
        <f t="array" ref="H472">"n"&amp;SUBSTITUTE(CreateGuidString(),"-","_")</f>
        <v>nE5B23FCA_0798_45E2_8755_5612A5ABB26B</v>
      </c>
    </row>
    <row r="473" spans="1:8" x14ac:dyDescent="0.35">
      <c r="A4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3" s="12" t="s">
        <v>1215</v>
      </c>
      <c r="C473" s="13" t="s">
        <v>1800</v>
      </c>
      <c r="E473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G473" s="12" t="s">
        <v>1216</v>
      </c>
      <c r="H473" s="19" t="str" cm="1">
        <f t="array" ref="H473">"n"&amp;SUBSTITUTE(CreateGuidString(),"-","_")</f>
        <v>n51AD081E_C888_4EB8_959D_1F219B79B081</v>
      </c>
    </row>
    <row r="474" spans="1:8" x14ac:dyDescent="0.35">
      <c r="A4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4" s="12" t="s">
        <v>1217</v>
      </c>
      <c r="C474" s="13" t="s">
        <v>1801</v>
      </c>
      <c r="E474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G474" s="12" t="s">
        <v>1218</v>
      </c>
      <c r="H474" s="19" t="str" cm="1">
        <f t="array" ref="H474">"n"&amp;SUBSTITUTE(CreateGuidString(),"-","_")</f>
        <v>n5A6A86CB_2EE8_446B_8DF8_E1835405ACEC</v>
      </c>
    </row>
    <row r="475" spans="1:8" x14ac:dyDescent="0.35">
      <c r="A4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5" s="12" t="s">
        <v>1219</v>
      </c>
      <c r="C475" s="13" t="s">
        <v>1802</v>
      </c>
      <c r="E475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G475" s="12" t="s">
        <v>1220</v>
      </c>
      <c r="H475" s="19" t="str" cm="1">
        <f t="array" ref="H475">"n"&amp;SUBSTITUTE(CreateGuidString(),"-","_")</f>
        <v>n3F74DDAF_962A_460E_A04F_0E1CC3183AA3</v>
      </c>
    </row>
    <row r="476" spans="1:8" x14ac:dyDescent="0.35">
      <c r="A4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6" s="12" t="s">
        <v>1323</v>
      </c>
      <c r="C476" s="13" t="s">
        <v>1803</v>
      </c>
      <c r="E476" s="12" t="str">
        <f>IF(NodesData[[#This Row],[Class Disambiguation]]="",NodesData[[#This Row],[Common Name]],NodesData[[#This Row],[Common Name]]&amp;" ("&amp;NodesData[[#This Row],[Class Disambiguation]]&amp;")")</f>
        <v>Voice OTP</v>
      </c>
      <c r="H476" s="19" t="str" cm="1">
        <f t="array" ref="H476">"n"&amp;SUBSTITUTE(CreateGuidString(),"-","_")</f>
        <v>n7BCC7B87_E931_4E9D_A78C_0B2479C55F35</v>
      </c>
    </row>
    <row r="477" spans="1:8" x14ac:dyDescent="0.35">
      <c r="A4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77" s="12" t="s">
        <v>1315</v>
      </c>
      <c r="C477" s="13" t="s">
        <v>1806</v>
      </c>
      <c r="E477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H477" s="19" t="str" cm="1">
        <f t="array" ref="H477">"n"&amp;SUBSTITUTE(CreateGuidString(),"-","_")</f>
        <v>n5773EE7C_5DE4_4728_9DD0_2C6629330AB8</v>
      </c>
    </row>
    <row r="478" spans="1:8" x14ac:dyDescent="0.35">
      <c r="A4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78" s="12" t="s">
        <v>1221</v>
      </c>
      <c r="C478" s="13" t="s">
        <v>1805</v>
      </c>
      <c r="D478" s="12" t="s">
        <v>1270</v>
      </c>
      <c r="E478" s="12" t="str">
        <f>IF(NodesData[[#This Row],[Class Disambiguation]]="",NodesData[[#This Row],[Common Name]],NodesData[[#This Row],[Common Name]]&amp;" ("&amp;NodesData[[#This Row],[Class Disambiguation]]&amp;")")</f>
        <v>VPN (Acronym)</v>
      </c>
      <c r="G478" s="12" t="s">
        <v>1222</v>
      </c>
      <c r="H478" s="19" t="str" cm="1">
        <f t="array" ref="H478">"n"&amp;SUBSTITUTE(CreateGuidString(),"-","_")</f>
        <v>nB0C1F91E_68F1_44C5_9E69_A8E20C4DB7DC</v>
      </c>
    </row>
    <row r="479" spans="1:8" x14ac:dyDescent="0.35">
      <c r="A4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79" s="12" t="s">
        <v>1223</v>
      </c>
      <c r="C479" s="13" t="s">
        <v>1828</v>
      </c>
      <c r="E479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G479" s="12" t="s">
        <v>1224</v>
      </c>
      <c r="H479" s="19" t="str" cm="1">
        <f t="array" ref="H479">"n"&amp;SUBSTITUTE(CreateGuidString(),"-","_")</f>
        <v>nC6743386_422C_422F_A088_627A6E503EA0</v>
      </c>
    </row>
    <row r="480" spans="1:8" x14ac:dyDescent="0.35">
      <c r="A4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80" s="12" t="s">
        <v>1225</v>
      </c>
      <c r="C480" s="13" t="s">
        <v>1807</v>
      </c>
      <c r="E480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G480" s="12" t="s">
        <v>1226</v>
      </c>
      <c r="H480" s="19" t="str" cm="1">
        <f t="array" ref="H480">"n"&amp;SUBSTITUTE(CreateGuidString(),"-","_")</f>
        <v>n2CF49D07_EF7A_4787_ADA3_81341F2B0DD3</v>
      </c>
    </row>
    <row r="481" spans="1:8" x14ac:dyDescent="0.35">
      <c r="A4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1" s="12" t="s">
        <v>1227</v>
      </c>
      <c r="C481" s="13" t="s">
        <v>1808</v>
      </c>
      <c r="E481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G481" s="12" t="s">
        <v>1228</v>
      </c>
      <c r="H481" s="19" t="str" cm="1">
        <f t="array" ref="H481">"n"&amp;SUBSTITUTE(CreateGuidString(),"-","_")</f>
        <v>n7C5B7481_2109_4850_8272_75A2B7685170</v>
      </c>
    </row>
    <row r="482" spans="1:8" x14ac:dyDescent="0.35">
      <c r="A4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2" s="12" t="s">
        <v>1229</v>
      </c>
      <c r="C482" s="13" t="s">
        <v>1809</v>
      </c>
      <c r="E482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G482" s="12" t="s">
        <v>1230</v>
      </c>
      <c r="H482" s="19" t="str" cm="1">
        <f t="array" ref="H482">"n"&amp;SUBSTITUTE(CreateGuidString(),"-","_")</f>
        <v>n0C266119_A016_44A7_BF40_2090E86BE770</v>
      </c>
    </row>
    <row r="483" spans="1:8" x14ac:dyDescent="0.35">
      <c r="A4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3" s="12" t="s">
        <v>1231</v>
      </c>
      <c r="C483" s="13" t="s">
        <v>1810</v>
      </c>
      <c r="E483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G483" s="12" t="s">
        <v>1232</v>
      </c>
      <c r="H483" s="19" t="str" cm="1">
        <f t="array" ref="H483">"n"&amp;SUBSTITUTE(CreateGuidString(),"-","_")</f>
        <v>n963287AE_CBBF_4F94_9C70_E074058821A3</v>
      </c>
    </row>
    <row r="484" spans="1:8" x14ac:dyDescent="0.35">
      <c r="A4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4" s="12" t="s">
        <v>1233</v>
      </c>
      <c r="C484" s="13" t="s">
        <v>1811</v>
      </c>
      <c r="E484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G484" s="12" t="s">
        <v>1234</v>
      </c>
      <c r="H484" s="19" t="str" cm="1">
        <f t="array" ref="H484">"n"&amp;SUBSTITUTE(CreateGuidString(),"-","_")</f>
        <v>n547F2B56_4669_40F3_BEA1_A566305BBAA2</v>
      </c>
    </row>
    <row r="485" spans="1:8" x14ac:dyDescent="0.35">
      <c r="A4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5" s="12" t="s">
        <v>1235</v>
      </c>
      <c r="C485" s="13" t="s">
        <v>1812</v>
      </c>
      <c r="E485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G485" s="12" t="s">
        <v>1236</v>
      </c>
      <c r="H485" s="19" t="str" cm="1">
        <f t="array" ref="H485">"n"&amp;SUBSTITUTE(CreateGuidString(),"-","_")</f>
        <v>n9E573540_D3BE_4770_B1C9_575C3EB29CB6</v>
      </c>
    </row>
    <row r="486" spans="1:8" x14ac:dyDescent="0.35">
      <c r="A4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6" s="12" t="s">
        <v>1237</v>
      </c>
      <c r="C486" s="13" t="s">
        <v>1813</v>
      </c>
      <c r="E486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G486" s="12" t="s">
        <v>1238</v>
      </c>
      <c r="H486" s="19" t="str" cm="1">
        <f t="array" ref="H486">"n"&amp;SUBSTITUTE(CreateGuidString(),"-","_")</f>
        <v>n0B7D4A21_9627_49CA_9E66_F70C0963E2A7</v>
      </c>
    </row>
    <row r="487" spans="1:8" x14ac:dyDescent="0.35">
      <c r="A4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87" s="12" t="s">
        <v>1239</v>
      </c>
      <c r="C487" s="13" t="s">
        <v>1814</v>
      </c>
      <c r="E487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G487" s="12" t="s">
        <v>1240</v>
      </c>
      <c r="H487" s="19" t="str" cm="1">
        <f t="array" ref="H487">"n"&amp;SUBSTITUTE(CreateGuidString(),"-","_")</f>
        <v>n03ABE53C_2F0A_476C_ADDC_1DE5FD5768C4</v>
      </c>
    </row>
    <row r="488" spans="1:8" x14ac:dyDescent="0.35">
      <c r="A4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88" s="12" t="s">
        <v>1241</v>
      </c>
      <c r="C488" s="13" t="s">
        <v>1815</v>
      </c>
      <c r="E488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G488" s="12" t="s">
        <v>1242</v>
      </c>
      <c r="H488" s="19" t="str" cm="1">
        <f t="array" ref="H488">"n"&amp;SUBSTITUTE(CreateGuidString(),"-","_")</f>
        <v>nD1F92BDF_1AED_4A2E_94D1_BE1A55CB1599</v>
      </c>
    </row>
    <row r="489" spans="1:8" x14ac:dyDescent="0.35">
      <c r="A4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89" s="12" t="s">
        <v>1243</v>
      </c>
      <c r="C489" s="13" t="s">
        <v>1816</v>
      </c>
      <c r="E489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G489" s="12" t="s">
        <v>1244</v>
      </c>
      <c r="H489" s="19" t="str" cm="1">
        <f t="array" ref="H489">"n"&amp;SUBSTITUTE(CreateGuidString(),"-","_")</f>
        <v>n1CC9FD9B_EAF9_4108_B9CB_D37FE86200D7</v>
      </c>
    </row>
    <row r="490" spans="1:8" x14ac:dyDescent="0.35">
      <c r="A4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90" s="12" t="s">
        <v>1245</v>
      </c>
      <c r="C490" s="13" t="s">
        <v>1817</v>
      </c>
      <c r="E490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G490" s="12" t="s">
        <v>1246</v>
      </c>
      <c r="H490" s="19" t="str" cm="1">
        <f t="array" ref="H490">"n"&amp;SUBSTITUTE(CreateGuidString(),"-","_")</f>
        <v>nFBDAACC8_8D8B_4EA7_A466_819201EF5FD5</v>
      </c>
    </row>
    <row r="491" spans="1:8" x14ac:dyDescent="0.35">
      <c r="A4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1" s="12" t="s">
        <v>1247</v>
      </c>
      <c r="C491" s="13" t="s">
        <v>1818</v>
      </c>
      <c r="E491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G491" s="12" t="s">
        <v>1248</v>
      </c>
      <c r="H491" s="19" t="str" cm="1">
        <f t="array" ref="H491">"n"&amp;SUBSTITUTE(CreateGuidString(),"-","_")</f>
        <v>nF0DD9B3D_11A1_49B4_BF5D_B1D284C2DD9A</v>
      </c>
    </row>
    <row r="492" spans="1:8" x14ac:dyDescent="0.35">
      <c r="A4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2" s="12" t="s">
        <v>1249</v>
      </c>
      <c r="C492" s="13" t="s">
        <v>1819</v>
      </c>
      <c r="E492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G492" s="12" t="s">
        <v>1250</v>
      </c>
      <c r="H492" s="19" t="str" cm="1">
        <f t="array" ref="H492">"n"&amp;SUBSTITUTE(CreateGuidString(),"-","_")</f>
        <v>nB415ABB7_8B47_46CA_9D4C_9104052BDCEB</v>
      </c>
    </row>
    <row r="493" spans="1:8" x14ac:dyDescent="0.35">
      <c r="A4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3" s="12" t="s">
        <v>1251</v>
      </c>
      <c r="C493" s="13" t="s">
        <v>1820</v>
      </c>
      <c r="E493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G493" s="12" t="s">
        <v>1252</v>
      </c>
      <c r="H493" s="19" t="str" cm="1">
        <f t="array" ref="H493">"n"&amp;SUBSTITUTE(CreateGuidString(),"-","_")</f>
        <v>nCAD03DA9_12BF_46B8_975E_8466389CD7F6</v>
      </c>
    </row>
    <row r="494" spans="1:8" x14ac:dyDescent="0.35">
      <c r="A4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Worker</v>
      </c>
      <c r="B494" s="12" t="s">
        <v>1253</v>
      </c>
      <c r="C494" s="13" t="s">
        <v>1821</v>
      </c>
      <c r="E494" s="12" t="str">
        <f>IF(NodesData[[#This Row],[Class Disambiguation]]="",NodesData[[#This Row],[Common Name]],NodesData[[#This Row],[Common Name]]&amp;" ("&amp;NodesData[[#This Row],[Class Disambiguation]]&amp;")")</f>
        <v>Worker</v>
      </c>
      <c r="G494" s="12" t="s">
        <v>1254</v>
      </c>
      <c r="H494" s="19" t="str" cm="1">
        <f t="array" ref="H494">"n"&amp;SUBSTITUTE(CreateGuidString(),"-","_")</f>
        <v>nD7936DC7_CA93_44AB_834D_7CA2D5850F2D</v>
      </c>
    </row>
    <row r="495" spans="1:8" x14ac:dyDescent="0.35">
      <c r="A4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5" s="12" t="s">
        <v>1255</v>
      </c>
      <c r="C495" s="13" t="s">
        <v>1822</v>
      </c>
      <c r="E495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G495" s="12" t="s">
        <v>1256</v>
      </c>
      <c r="H495" s="19" t="str" cm="1">
        <f t="array" ref="H495">"n"&amp;SUBSTITUTE(CreateGuidString(),"-","_")</f>
        <v>n38683EF0_A642_415D_9690_1C0FBB6DDFBD</v>
      </c>
    </row>
    <row r="496" spans="1:8" x14ac:dyDescent="0.35">
      <c r="A4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6" s="12" t="s">
        <v>1257</v>
      </c>
      <c r="C496" s="13" t="s">
        <v>1823</v>
      </c>
      <c r="E496" s="12" t="str">
        <f>IF(NodesData[[#This Row],[Class Disambiguation]]="",NodesData[[#This Row],[Common Name]],NodesData[[#This Row],[Common Name]]&amp;" ("&amp;NodesData[[#This Row],[Class Disambiguation]]&amp;")")</f>
        <v>Workforce</v>
      </c>
      <c r="G496" s="12" t="s">
        <v>1258</v>
      </c>
      <c r="H496" s="19" t="str" cm="1">
        <f t="array" ref="H496">"n"&amp;SUBSTITUTE(CreateGuidString(),"-","_")</f>
        <v>n4E060905_2AA5_4537_8B71_004404BC8151</v>
      </c>
    </row>
    <row r="497" spans="1:8" x14ac:dyDescent="0.35">
      <c r="A4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497" s="12" t="s">
        <v>1259</v>
      </c>
      <c r="C497" s="13" t="s">
        <v>1824</v>
      </c>
      <c r="D497" s="12" t="s">
        <v>1270</v>
      </c>
      <c r="E497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G497" s="12" t="s">
        <v>1260</v>
      </c>
      <c r="H497" s="19" t="str" cm="1">
        <f t="array" ref="H497">"n"&amp;SUBSTITUTE(CreateGuidString(),"-","_")</f>
        <v>nD43B5AD8_7EAB_4675_B2F8_6482CFAC380B</v>
      </c>
    </row>
    <row r="498" spans="1:8" x14ac:dyDescent="0.35">
      <c r="A4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498" s="12" t="s">
        <v>517</v>
      </c>
      <c r="C498" s="13" t="s">
        <v>1825</v>
      </c>
      <c r="E498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G498" s="12" t="s">
        <v>1261</v>
      </c>
      <c r="H498" s="19" t="str" cm="1">
        <f t="array" ref="H498">"n"&amp;SUBSTITUTE(CreateGuidString(),"-","_")</f>
        <v>nC730D9EA_AC91_4594_ADB1_DB4CA19A7306</v>
      </c>
    </row>
    <row r="499" spans="1:8" x14ac:dyDescent="0.35">
      <c r="A4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499" s="12" t="s">
        <v>518</v>
      </c>
      <c r="C499" s="13" t="s">
        <v>1826</v>
      </c>
      <c r="E499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G499" s="12" t="s">
        <v>1262</v>
      </c>
      <c r="H499" s="19" t="str" cm="1">
        <f t="array" ref="H499">"n"&amp;SUBSTITUTE(CreateGuidString(),"-","_")</f>
        <v>nE1A75351_E9DA_4F00_A67D_77BD2804B13F</v>
      </c>
    </row>
    <row r="500" spans="1:8" x14ac:dyDescent="0.35">
      <c r="A5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500" s="12" t="s">
        <v>519</v>
      </c>
      <c r="C500" s="13" t="s">
        <v>1827</v>
      </c>
      <c r="D500" s="12" t="s">
        <v>1270</v>
      </c>
      <c r="E500" s="12" t="str">
        <f>IF(NodesData[[#This Row],[Class Disambiguation]]="",NodesData[[#This Row],[Common Name]],NodesData[[#This Row],[Common Name]]&amp;" ("&amp;NodesData[[#This Row],[Class Disambiguation]]&amp;")")</f>
        <v>ZTA (Acronym)</v>
      </c>
      <c r="G500" s="12" t="s">
        <v>1263</v>
      </c>
      <c r="H500" s="19" t="str" cm="1">
        <f t="array" ref="H500">"n"&amp;SUBSTITUTE(CreateGuidString(),"-","_")</f>
        <v>n2439823E_71D7_48CB_B1F3_F3527F55800D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opLeftCell="A46" zoomScale="120" zoomScaleNormal="120" workbookViewId="0">
      <selection activeCell="A64" sqref="A64:A65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1908</v>
      </c>
    </row>
    <row r="2" spans="1:8" x14ac:dyDescent="0.35">
      <c r="A2" s="13" t="s">
        <v>1863</v>
      </c>
      <c r="B2" s="13" t="str">
        <f>VLOOKUP(EdgesData[[#This Row],[Node A]],NodesData[],2,FALSE)</f>
        <v>ARM</v>
      </c>
      <c r="C2" s="11" t="s">
        <v>1968</v>
      </c>
      <c r="D2" s="11" t="s">
        <v>1838</v>
      </c>
      <c r="E2" s="11"/>
      <c r="F2" s="15" t="s">
        <v>543</v>
      </c>
      <c r="G2" s="13" t="str">
        <f>VLOOKUP(EdgesData[[#This Row],[Node B]],NodesData[],2,FALSE)</f>
        <v>Access Rights Management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1872</v>
      </c>
      <c r="B3" s="13" t="str">
        <f>VLOOKUP(EdgesData[[#This Row],[Node A]],NodesData[],2,FALSE)</f>
        <v>Biometric Identification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B]],NodesData[],2,FALSE)</f>
        <v>Authentication Method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1857</v>
      </c>
      <c r="B4" s="13" t="str">
        <f>VLOOKUP(EdgesData[[#This Row],[Node A]],NodesData[],2,FALSE)</f>
        <v>Boundary Control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B]],NodesData[],2,FALSE)</f>
        <v>Control Class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1868</v>
      </c>
      <c r="B5" s="13" t="str">
        <f>VLOOKUP(EdgesData[[#This Row],[Node A]],NodesData[],2,FALSE)</f>
        <v>Boundary Control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B]],NodesData[],2,FALSE)</f>
        <v>System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1869</v>
      </c>
      <c r="B6" s="13" t="str">
        <f>VLOOKUP(EdgesData[[#This Row],[Node A]],NodesData[],2,FALSE)</f>
        <v>Boundary Control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B]],NodesData[],2,FALSE)</f>
        <v>External Threat Agent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1873</v>
      </c>
      <c r="B7" s="13" t="str">
        <f>VLOOKUP(EdgesData[[#This Row],[Node A]],NodesData[],2,FALSE)</f>
        <v>Brainwaves Authentication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B]],NodesData[],2,FALSE)</f>
        <v>Authentication Method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1874</v>
      </c>
      <c r="B8" s="13" t="str">
        <f>VLOOKUP(EdgesData[[#This Row],[Node A]],NodesData[],2,FALSE)</f>
        <v>Brainwaves Authentication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B]],NodesData[],2,FALSE)</f>
        <v>Biometric Identification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1858</v>
      </c>
      <c r="B9" s="13" t="str">
        <f>VLOOKUP(EdgesData[[#This Row],[Node A]],NodesData[],2,FALSE)</f>
        <v>Data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B]],NodesData[],2,FALSE)</f>
        <v>IT Component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1859</v>
      </c>
      <c r="B10" s="13" t="str">
        <f>VLOOKUP(EdgesData[[#This Row],[Node A]],NodesData[],2,FALSE)</f>
        <v>Data Operation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B]],NodesData[],2,FALSE)</f>
        <v>IT Component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1862</v>
      </c>
      <c r="B11" s="13" t="str">
        <f>VLOOKUP(EdgesData[[#This Row],[Node A]],NodesData[],2,FALSE)</f>
        <v>External Threat Agent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B]],NodesData[],2,FALSE)</f>
        <v>Threat Agent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1875</v>
      </c>
      <c r="B12" s="13" t="str">
        <f>VLOOKUP(EdgesData[[#This Row],[Node A]],NodesData[],2,FALSE)</f>
        <v>Facial Recognition Authentication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B]],NodesData[],2,FALSE)</f>
        <v>Authentication Method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1876</v>
      </c>
      <c r="B13" s="13" t="str">
        <f>VLOOKUP(EdgesData[[#This Row],[Node A]],NodesData[],2,FALSE)</f>
        <v>Facial Recognition Authentication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B]],NodesData[],2,FALSE)</f>
        <v>Biometric Identification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1877</v>
      </c>
      <c r="B14" s="13" t="str">
        <f>VLOOKUP(EdgesData[[#This Row],[Node A]],NodesData[],2,FALSE)</f>
        <v>Fingerprint Recognition Authentication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B]],NodesData[],2,FALSE)</f>
        <v>Authentication Method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1878</v>
      </c>
      <c r="B15" s="13" t="str">
        <f>VLOOKUP(EdgesData[[#This Row],[Node A]],NodesData[],2,FALSE)</f>
        <v>Fingerprint Recognition Authentication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B]],NodesData[],2,FALSE)</f>
        <v>Biometric Identification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1879</v>
      </c>
      <c r="B16" s="13" t="str">
        <f>VLOOKUP(EdgesData[[#This Row],[Node A]],NodesData[],2,FALSE)</f>
        <v>Gait Recognition Authentication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B]],NodesData[],2,FALSE)</f>
        <v>Authentication Method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1880</v>
      </c>
      <c r="B17" s="13" t="str">
        <f>VLOOKUP(EdgesData[[#This Row],[Node A]],NodesData[],2,FALSE)</f>
        <v>Gait Recognition Authentication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B]],NodesData[],2,FALSE)</f>
        <v>Biometric Identification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1881</v>
      </c>
      <c r="B18" s="13" t="str">
        <f>VLOOKUP(EdgesData[[#This Row],[Node A]],NodesData[],2,FALSE)</f>
        <v>Hand Gestures Recognition Authentication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B]],NodesData[],2,FALSE)</f>
        <v>Authentication Method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1882</v>
      </c>
      <c r="B19" s="13" t="str">
        <f>VLOOKUP(EdgesData[[#This Row],[Node A]],NodesData[],2,FALSE)</f>
        <v>Hand Gestures Recognition Authentication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B]],NodesData[],2,FALSE)</f>
        <v>Biometric Identification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1883</v>
      </c>
      <c r="B20" s="13" t="str">
        <f>VLOOKUP(EdgesData[[#This Row],[Node A]],NodesData[],2,FALSE)</f>
        <v>Heartbeats Recognition Authentication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B]],NodesData[],2,FALSE)</f>
        <v>Authentication Method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1884</v>
      </c>
      <c r="B21" s="13" t="str">
        <f>VLOOKUP(EdgesData[[#This Row],[Node A]],NodesData[],2,FALSE)</f>
        <v>Heartbeats Recognition Authentication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B]],NodesData[],2,FALSE)</f>
        <v>Biometric Identification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1885</v>
      </c>
      <c r="B22" s="13" t="str">
        <f>VLOOKUP(EdgesData[[#This Row],[Node A]],NodesData[],2,FALSE)</f>
        <v>Inherence Factor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B]],NodesData[],2,FALSE)</f>
        <v>Authentication Factor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1886</v>
      </c>
      <c r="B23" s="13" t="str">
        <f>VLOOKUP(EdgesData[[#This Row],[Node A]],NodesData[],2,FALSE)</f>
        <v>Iris Recognition Authentication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B]],NodesData[],2,FALSE)</f>
        <v>Authentication Method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1887</v>
      </c>
      <c r="B24" s="13" t="str">
        <f>VLOOKUP(EdgesData[[#This Row],[Node A]],NodesData[],2,FALSE)</f>
        <v>Iris Recognition Authentication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B]],NodesData[],2,FALSE)</f>
        <v>Biometric Identification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1860</v>
      </c>
      <c r="B25" s="13" t="str">
        <f>VLOOKUP(EdgesData[[#This Row],[Node A]],NodesData[],2,FALSE)</f>
        <v>IT Hardware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B]],NodesData[],2,FALSE)</f>
        <v>IT Component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1861</v>
      </c>
      <c r="B26" s="13" t="str">
        <f>VLOOKUP(EdgesData[[#This Row],[Node A]],NodesData[],2,FALSE)</f>
        <v>IT Software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B]],NodesData[],2,FALSE)</f>
        <v>IT Component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1856</v>
      </c>
      <c r="B27" s="13" t="str">
        <f>VLOOKUP(EdgesData[[#This Row],[Node A]],NodesData[],2,FALSE)</f>
        <v>IT System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B]],NodesData[],2,FALSE)</f>
        <v>IT Component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1864</v>
      </c>
      <c r="B28" s="13" t="str">
        <f>VLOOKUP(EdgesData[[#This Row],[Node A]],NodesData[],2,FALSE)</f>
        <v>IT System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B]],NodesData[],2,FALSE)</f>
        <v>Capability to store information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1865</v>
      </c>
      <c r="B29" s="13" t="str">
        <f>VLOOKUP(EdgesData[[#This Row],[Node A]],NodesData[],2,FALSE)</f>
        <v>IT System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B]],NodesData[],2,FALSE)</f>
        <v>Capability to transform information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1866</v>
      </c>
      <c r="B30" s="13" t="str">
        <f>VLOOKUP(EdgesData[[#This Row],[Node A]],NodesData[],2,FALSE)</f>
        <v>IT System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B]],NodesData[],2,FALSE)</f>
        <v>Capability to transmit information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1867</v>
      </c>
      <c r="B31" s="13" t="str">
        <f>VLOOKUP(EdgesData[[#This Row],[Node A]],NodesData[],2,FALSE)</f>
        <v>IT System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B]],NodesData[],2,FALSE)</f>
        <v>Capabilty to collect information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1870</v>
      </c>
      <c r="B32" s="13" t="str">
        <f>VLOOKUP(EdgesData[[#This Row],[Node A]],NodesData[],2,FALSE)</f>
        <v>IT System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B]],NodesData[],2,FALSE)</f>
        <v>Coherent Whole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1871</v>
      </c>
      <c r="B33" s="13" t="str">
        <f>VLOOKUP(EdgesData[[#This Row],[Node A]],NodesData[],2,FALSE)</f>
        <v>Keystroke Recognition Authentication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B]],NodesData[],2,FALSE)</f>
        <v>Touchstroke Recognition Authentication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1888</v>
      </c>
      <c r="B34" s="13" t="str">
        <f>VLOOKUP(EdgesData[[#This Row],[Node A]],NodesData[],2,FALSE)</f>
        <v>Keystroke Recognition Authentication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B]],NodesData[],2,FALSE)</f>
        <v>Authentication Method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1889</v>
      </c>
      <c r="B35" s="13" t="str">
        <f>VLOOKUP(EdgesData[[#This Row],[Node A]],NodesData[],2,FALSE)</f>
        <v>Keystroke Recognition Authentication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B]],NodesData[],2,FALSE)</f>
        <v>Biometric Identification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1890</v>
      </c>
      <c r="B36" s="13" t="str">
        <f>VLOOKUP(EdgesData[[#This Row],[Node A]],NodesData[],2,FALSE)</f>
        <v>Knowledge Factor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B]],NodesData[],2,FALSE)</f>
        <v>Authentication Factor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1891</v>
      </c>
      <c r="B37" s="13" t="str">
        <f>VLOOKUP(EdgesData[[#This Row],[Node A]],NodesData[],2,FALSE)</f>
        <v>Knuckleprint Recognition Authentication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B]],NodesData[],2,FALSE)</f>
        <v>Authentication Method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1892</v>
      </c>
      <c r="B38" s="13" t="str">
        <f>VLOOKUP(EdgesData[[#This Row],[Node A]],NodesData[],2,FALSE)</f>
        <v>Knuckleprint Recognition Authentication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B]],NodesData[],2,FALSE)</f>
        <v>Biometric Identification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1893</v>
      </c>
      <c r="B39" s="13" t="str">
        <f>VLOOKUP(EdgesData[[#This Row],[Node A]],NodesData[],2,FALSE)</f>
        <v>Location Factor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B]],NodesData[],2,FALSE)</f>
        <v>Authentication Factor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1894</v>
      </c>
      <c r="B40" s="13" t="str">
        <f>VLOOKUP(EdgesData[[#This Row],[Node A]],NodesData[],2,FALSE)</f>
        <v>Multi-Modal Biometric Authentication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B]],NodesData[],2,FALSE)</f>
        <v>Authentication Method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1895</v>
      </c>
      <c r="B41" s="13" t="str">
        <f>VLOOKUP(EdgesData[[#This Row],[Node A]],NodesData[],2,FALSE)</f>
        <v>Multi-Modal Biometric Authentication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B]],NodesData[],2,FALSE)</f>
        <v>Biometric Identification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1896</v>
      </c>
      <c r="B42" s="13" t="str">
        <f>VLOOKUP(EdgesData[[#This Row],[Node A]],NodesData[],2,FALSE)</f>
        <v>Palmprint Recognition Authentication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B]],NodesData[],2,FALSE)</f>
        <v>Authentication Method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1897</v>
      </c>
      <c r="B43" s="13" t="str">
        <f>VLOOKUP(EdgesData[[#This Row],[Node A]],NodesData[],2,FALSE)</f>
        <v>Palmprint Recognition Authentication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B]],NodesData[],2,FALSE)</f>
        <v>Biometric Identification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1898</v>
      </c>
      <c r="B44" s="13" t="str">
        <f>VLOOKUP(EdgesData[[#This Row],[Node A]],NodesData[],2,FALSE)</f>
        <v>Possession Factor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B]],NodesData[],2,FALSE)</f>
        <v>Authentication Factor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1899</v>
      </c>
      <c r="B45" s="13" t="str">
        <f>VLOOKUP(EdgesData[[#This Row],[Node A]],NodesData[],2,FALSE)</f>
        <v>Time Factor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B]],NodesData[],2,FALSE)</f>
        <v>Authentication Factor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1900</v>
      </c>
      <c r="B46" s="13" t="str">
        <f>VLOOKUP(EdgesData[[#This Row],[Node A]],NodesData[],2,FALSE)</f>
        <v>Touchstroke Recognition Authentication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B]],NodesData[],2,FALSE)</f>
        <v>Authentication Method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1901</v>
      </c>
      <c r="B47" s="13" t="str">
        <f>VLOOKUP(EdgesData[[#This Row],[Node A]],NodesData[],2,FALSE)</f>
        <v>Touchstroke Recognition Authentication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B]],NodesData[],2,FALSE)</f>
        <v>Biometric Identification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1902</v>
      </c>
      <c r="B48" s="13" t="str">
        <f>VLOOKUP(EdgesData[[#This Row],[Node A]],NodesData[],2,FALSE)</f>
        <v>Voice Recognition Authentication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B]],NodesData[],2,FALSE)</f>
        <v>Authentication Method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1903</v>
      </c>
      <c r="B49" s="13" t="str">
        <f>VLOOKUP(EdgesData[[#This Row],[Node A]],NodesData[],2,FALSE)</f>
        <v>Voice Recognition Authentication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B]],NodesData[],2,FALSE)</f>
        <v>Biometric Identification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1936</v>
      </c>
      <c r="B50" s="13" t="str">
        <f>VLOOKUP(EdgesData[[#This Row],[Node A]],NodesData[],2,FALSE)</f>
        <v>Account Takeover</v>
      </c>
      <c r="C50" s="12" t="s">
        <v>4</v>
      </c>
      <c r="D50" s="12" t="s">
        <v>1343</v>
      </c>
      <c r="F50" s="18" t="s">
        <v>1915</v>
      </c>
      <c r="G50" s="28" t="str">
        <f>VLOOKUP(EdgesData[[#This Row],[Node B]],NodesData[],2,FALSE)</f>
        <v>Identity Theft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1937</v>
      </c>
      <c r="B51" s="13" t="str">
        <f>VLOOKUP(EdgesData[[#This Row],[Node A]],NodesData[],2,FALSE)</f>
        <v>Identity Theft</v>
      </c>
      <c r="C51" s="12" t="s">
        <v>1915</v>
      </c>
      <c r="D51" s="12" t="s">
        <v>1343</v>
      </c>
      <c r="F51" s="18" t="s">
        <v>1916</v>
      </c>
      <c r="G51" s="28" t="str">
        <f>VLOOKUP(EdgesData[[#This Row],[Node B]],NodesData[],2,FALSE)</f>
        <v>Attack Class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1938</v>
      </c>
      <c r="B52" s="13" t="str">
        <f>VLOOKUP(EdgesData[[#This Row],[Node A]],NodesData[],2,FALSE)</f>
        <v>Account Takeover</v>
      </c>
      <c r="C52" s="12" t="s">
        <v>4</v>
      </c>
      <c r="D52" s="12" t="s">
        <v>1917</v>
      </c>
      <c r="F52" s="18" t="s">
        <v>1957</v>
      </c>
      <c r="G52" s="28" t="str">
        <f>VLOOKUP(EdgesData[[#This Row],[Node B]],NodesData[],2,FALSE)</f>
        <v>Perpetrator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1939</v>
      </c>
      <c r="B53" s="13" t="str">
        <f>VLOOKUP(EdgesData[[#This Row],[Node A]],NodesData[],2,FALSE)</f>
        <v>Account Takeover</v>
      </c>
      <c r="C53" s="12" t="s">
        <v>4</v>
      </c>
      <c r="D53" s="12" t="s">
        <v>1918</v>
      </c>
      <c r="F53" s="18" t="s">
        <v>1958</v>
      </c>
      <c r="G53" s="28" t="str">
        <f>VLOOKUP(EdgesData[[#This Row],[Node B]],NodesData[],2,FALSE)</f>
        <v>Victim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1940</v>
      </c>
      <c r="B54" s="13" t="str">
        <f>VLOOKUP(EdgesData[[#This Row],[Node A]],NodesData[],2,FALSE)</f>
        <v>Perpetrator</v>
      </c>
      <c r="C54" s="18" t="s">
        <v>1957</v>
      </c>
      <c r="D54" s="12" t="s">
        <v>1919</v>
      </c>
      <c r="F54" s="18" t="s">
        <v>1959</v>
      </c>
      <c r="G54" s="28" t="str">
        <f>VLOOKUP(EdgesData[[#This Row],[Node B]],NodesData[],2,FALSE)</f>
        <v>Digital Identity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1941</v>
      </c>
      <c r="B55" s="13" t="str">
        <f>VLOOKUP(EdgesData[[#This Row],[Node A]],NodesData[],2,FALSE)</f>
        <v>Victim</v>
      </c>
      <c r="C55" s="18" t="s">
        <v>1958</v>
      </c>
      <c r="D55" s="12" t="s">
        <v>1920</v>
      </c>
      <c r="F55" s="18" t="s">
        <v>1959</v>
      </c>
      <c r="G55" s="28" t="str">
        <f>VLOOKUP(EdgesData[[#This Row],[Node B]],NodesData[],2,FALSE)</f>
        <v>Digital Identity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1942</v>
      </c>
      <c r="B56" s="13" t="str">
        <f>VLOOKUP(EdgesData[[#This Row],[Node A]],NodesData[],2,FALSE)</f>
        <v>Perpetrator</v>
      </c>
      <c r="C56" s="18" t="s">
        <v>1957</v>
      </c>
      <c r="D56" s="12" t="s">
        <v>1921</v>
      </c>
      <c r="E56" s="12" t="s">
        <v>1836</v>
      </c>
      <c r="F56" s="18" t="s">
        <v>1958</v>
      </c>
      <c r="G56" s="28" t="str">
        <f>VLOOKUP(EdgesData[[#This Row],[Node B]],NodesData[],2,FALSE)</f>
        <v>Victim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1943</v>
      </c>
      <c r="B57" s="13" t="str">
        <f>VLOOKUP(EdgesData[[#This Row],[Node A]],NodesData[],2,FALSE)</f>
        <v>Motivation</v>
      </c>
      <c r="C57" s="18" t="s">
        <v>1964</v>
      </c>
      <c r="D57" s="12" t="s">
        <v>1965</v>
      </c>
      <c r="F57" s="18" t="s">
        <v>1922</v>
      </c>
      <c r="G57" s="28" t="str">
        <f>VLOOKUP(EdgesData[[#This Row],[Node B]],NodesData[],2,FALSE)</f>
        <v>Financial Gain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1944</v>
      </c>
      <c r="B58" s="13" t="str">
        <f>VLOOKUP(EdgesData[[#This Row],[Node A]],NodesData[],2,FALSE)</f>
        <v>Motivation</v>
      </c>
      <c r="C58" s="18" t="s">
        <v>1964</v>
      </c>
      <c r="D58" s="12" t="s">
        <v>1965</v>
      </c>
      <c r="F58" s="18" t="s">
        <v>1923</v>
      </c>
      <c r="G58" s="28" t="str">
        <f>VLOOKUP(EdgesData[[#This Row],[Node B]],NodesData[],2,FALSE)</f>
        <v>Causing Reputation Harm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1945</v>
      </c>
      <c r="B59" s="13" t="str">
        <f>VLOOKUP(EdgesData[[#This Row],[Node A]],NodesData[],2,FALSE)</f>
        <v>Motivation</v>
      </c>
      <c r="C59" s="18" t="s">
        <v>1964</v>
      </c>
      <c r="D59" s="12" t="s">
        <v>1965</v>
      </c>
      <c r="F59" s="18" t="s">
        <v>1924</v>
      </c>
      <c r="G59" s="28" t="str">
        <f>VLOOKUP(EdgesData[[#This Row],[Node B]],NodesData[],2,FALSE)</f>
        <v>Identity Deception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1946</v>
      </c>
      <c r="B60" s="13" t="str">
        <f>VLOOKUP(EdgesData[[#This Row],[Node A]],NodesData[],2,FALSE)</f>
        <v>Perpetrator</v>
      </c>
      <c r="C60" s="18" t="s">
        <v>1957</v>
      </c>
      <c r="D60" s="12" t="s">
        <v>1925</v>
      </c>
      <c r="F60" s="18" t="s">
        <v>1960</v>
      </c>
      <c r="G60" s="28" t="str">
        <f>VLOOKUP(EdgesData[[#This Row],[Node B]],NodesData[],2,FALSE)</f>
        <v>Authorization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1947</v>
      </c>
      <c r="B61" s="13" t="str">
        <f>VLOOKUP(EdgesData[[#This Row],[Node A]],NodesData[],2,FALSE)</f>
        <v>Victim</v>
      </c>
      <c r="C61" s="18" t="s">
        <v>1958</v>
      </c>
      <c r="D61" s="12" t="s">
        <v>1961</v>
      </c>
      <c r="F61" s="18" t="s">
        <v>1960</v>
      </c>
      <c r="G61" s="28" t="str">
        <f>VLOOKUP(EdgesData[[#This Row],[Node B]],NodesData[],2,FALSE)</f>
        <v>Authorization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1948</v>
      </c>
      <c r="B62" s="13" t="str">
        <f>VLOOKUP(EdgesData[[#This Row],[Node A]],NodesData[],2,FALSE)</f>
        <v>Account Takeover</v>
      </c>
      <c r="C62" s="12" t="s">
        <v>4</v>
      </c>
      <c r="D62" s="12" t="s">
        <v>1343</v>
      </c>
      <c r="F62" s="18" t="s">
        <v>1926</v>
      </c>
      <c r="G62" s="28" t="str">
        <f>VLOOKUP(EdgesData[[#This Row],[Node B]],NodesData[],2,FALSE)</f>
        <v>Illegal Action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1963</v>
      </c>
      <c r="B63" s="13" t="str">
        <f>VLOOKUP(EdgesData[[#This Row],[Node A]],NodesData[],2,FALSE)</f>
        <v>Authorization</v>
      </c>
      <c r="C63" s="18" t="s">
        <v>1960</v>
      </c>
      <c r="D63" s="12" t="s">
        <v>1962</v>
      </c>
      <c r="F63" s="12" t="s">
        <v>148</v>
      </c>
      <c r="G63" s="28" t="str">
        <f>VLOOKUP(EdgesData[[#This Row],[Node B]],NodesData[],2,FALSE)</f>
        <v>Digital Identity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1969</v>
      </c>
      <c r="B64" s="13" t="str">
        <f>VLOOKUP(EdgesData[[#This Row],[Node A]],NodesData[],2,FALSE)</f>
        <v>Perpetrator</v>
      </c>
      <c r="C64" s="18" t="s">
        <v>1957</v>
      </c>
      <c r="D64" s="12" t="s">
        <v>1961</v>
      </c>
      <c r="F64" s="18" t="s">
        <v>1964</v>
      </c>
      <c r="G64" s="28" t="str">
        <f>VLOOKUP(EdgesData[[#This Row],[Node B]],NodesData[],2,FALSE)</f>
        <v>Motivation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1970</v>
      </c>
      <c r="B65" s="13" t="str">
        <f>VLOOKUP(EdgesData[[#This Row],[Node A]],NodesData[],2,FALSE)</f>
        <v>Causing Reputation Harm</v>
      </c>
      <c r="C65" s="18" t="s">
        <v>1923</v>
      </c>
      <c r="D65" s="12" t="s">
        <v>1354</v>
      </c>
      <c r="F65" s="18" t="s">
        <v>1958</v>
      </c>
      <c r="G65" s="28" t="str">
        <f>VLOOKUP(EdgesData[[#This Row],[Node B]],NodesData[],2,FALSE)</f>
        <v>Victim</v>
      </c>
      <c r="H65" s="29" t="str" cm="1">
        <f t="array" ref="H65">"n"&amp;SUBSTITUTE(CreateGuidString(),"-","_")</f>
        <v>n0028F731_EC86_4C20_B77F_946A63CC2AC9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0"/>
  <sheetViews>
    <sheetView zoomScale="120" zoomScaleNormal="120" workbookViewId="0">
      <selection activeCell="B12" sqref="B12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45.9296875" style="3" customWidth="1"/>
    <col min="4" max="4" width="215.06640625" style="18" bestFit="1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1953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/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Motivation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n4FA68550_C829_46CD_ADC2_9BE67FA41543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4" spans="1:5" ht="13.9" thickTop="1" thickBot="1" x14ac:dyDescent="0.4">
      <c r="A24" s="3" t="str">
        <f>NodesData[[#This Row],[Common Name]]</f>
        <v>Motivations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n92868AF7_93B9_4EAD_AD7C_0A5965022A7E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,{"label":"Motivations","group":"Account Takeover","id":"n92868AF7_93B9_4EAD_AD7C_0A5965022A7E","url":""}</v>
      </c>
    </row>
    <row r="25" spans="1:5" ht="13.9" thickTop="1" thickBot="1" x14ac:dyDescent="0.4">
      <c r="A25" s="3" t="str">
        <f>NodesData[[#This Row],[Common Name]]</f>
        <v>Perpetrator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n02B81E29_1266_4611_897E_FD90C5DD5788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6" spans="1:5" ht="13.9" thickTop="1" thickBot="1" x14ac:dyDescent="0.4">
      <c r="A26" s="3" t="str">
        <f>NodesData[[#This Row],[Common Name]]</f>
        <v>Victim</v>
      </c>
      <c r="B26" s="3" t="str">
        <f>IF(NodesData[[#This Row],[Context Instanciation]]="","",NodesData[[#This Row],[Context Instanciation]])</f>
        <v>Account Takeover</v>
      </c>
      <c r="C26" s="22" t="str">
        <f>NodesData[[#This Row],[Node ID]]</f>
        <v>n89FBB4A6_DF18_465F_9DA3_BD367759F09E</v>
      </c>
      <c r="D26" s="3" t="str">
        <f>IF(NodesData[[#This Row],[URL]]="","",NodesData[[#This Row],[URL]])</f>
        <v/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7" spans="1:5" ht="13.9" thickTop="1" thickBot="1" x14ac:dyDescent="0.4">
      <c r="A27" s="3" t="str">
        <f>NodesData[[#This Row],[Common Name]]</f>
        <v>Accountability</v>
      </c>
      <c r="B27" s="3" t="str">
        <f>IF(NodesData[[#This Row],[Context Instanciation]]="","",NodesData[[#This Row],[Context Instanciation]])</f>
        <v/>
      </c>
      <c r="C27" s="22" t="str">
        <f>NodesData[[#This Row],[Node ID]]</f>
        <v>nE5052478_9D1A_4E9E_BA4E_FF57B8D216EC</v>
      </c>
      <c r="D27" s="3" t="str">
        <f>IF(NodesData[[#This Row],[URL]]="","",NodesData[[#This Row],[URL]])</f>
        <v>https://open-measure.atlassian.net/wiki/spaces/DIC/pages/425623718</v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8" spans="1:5" ht="13.9" thickTop="1" thickBot="1" x14ac:dyDescent="0.4">
      <c r="A28" s="3" t="str">
        <f>NodesData[[#This Row],[Common Name]]</f>
        <v>Accreditation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nFF744E9A_218E_4CDD_98E9_D977BAE7E561</v>
      </c>
      <c r="D28" s="3" t="str">
        <f>IF(NodesData[[#This Row],[URL]]="","",NodesData[[#This Row],[URL]])</f>
        <v>https://open-measure.atlassian.net/wiki/spaces/DIC/pages/446955580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9" spans="1:5" ht="13.9" thickTop="1" thickBot="1" x14ac:dyDescent="0.4">
      <c r="A29" s="3" t="str">
        <f>NodesData[[#This Row],[Common Name]]</f>
        <v>Active Impersonation Attack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nCCFA1605_394C_4A41_9411_016EBBD1F932</v>
      </c>
      <c r="D29" s="3" t="str">
        <f>IF(NodesData[[#This Row],[URL]]="","",NodesData[[#This Row],[URL]])</f>
        <v>https://open-measure.atlassian.net/wiki/spaces/DIC/pages/974454812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30" spans="1:5" ht="13.9" thickTop="1" thickBot="1" x14ac:dyDescent="0.4">
      <c r="A30" s="3" t="str">
        <f>NodesData[[#This Row],[Common Name]]</f>
        <v>AP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nE25E9786_BF32_4FF9_AD96_CA6093825D81</v>
      </c>
      <c r="D30" s="3" t="str">
        <f>IF(NodesData[[#This Row],[URL]]="","",NodesData[[#This Row],[URL]])</f>
        <v>https://open-measure.atlassian.net/wiki/spaces/DIC/pages/81101665/AP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1" spans="1:5" ht="13.9" thickTop="1" thickBot="1" x14ac:dyDescent="0.4">
      <c r="A31" s="3" t="str">
        <f>NodesData[[#This Row],[Common Name]]</f>
        <v>Applicant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n84B52A55_528C_4D8E_AC41_6975F8BB6772</v>
      </c>
      <c r="D31" s="3" t="str">
        <f>IF(NodesData[[#This Row],[URL]]="","",NodesData[[#This Row],[URL]])</f>
        <v>https://open-measure.atlassian.net/wiki/spaces/DIC/pages/848625750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2" spans="1:5" ht="13.9" thickTop="1" thickBot="1" x14ac:dyDescent="0.4">
      <c r="A32" s="3" t="str">
        <f>NodesData[[#This Row],[Common Name]]</f>
        <v>Application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n72B6719C_C19A_4205_B703_0239826216C6</v>
      </c>
      <c r="D32" s="3" t="str">
        <f>IF(NodesData[[#This Row],[URL]]="","",NodesData[[#This Row],[URL]])</f>
        <v>https://open-measure.atlassian.net/wiki/spaces/DIC/pages/5965602/Application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3" spans="1:5" ht="13.9" thickTop="1" thickBot="1" x14ac:dyDescent="0.4">
      <c r="A33" s="3" t="str">
        <f>NodesData[[#This Row],[Common Name]]</f>
        <v>Application Administrator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nC98FF4A8_B8CF_4F33_A0F7_9002E0B55993</v>
      </c>
      <c r="D33" s="3" t="str">
        <f>IF(NodesData[[#This Row],[URL]]="","",NodesData[[#This Row],[URL]])</f>
        <v>https://open-measure.atlassian.net/wiki/spaces/DIC/pages/274236090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4" spans="1:5" ht="13.9" thickTop="1" thickBot="1" x14ac:dyDescent="0.4">
      <c r="A34" s="3" t="str">
        <f>NodesData[[#This Row],[Common Name]]</f>
        <v>Application Instance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n330A99D3_39A5_4757_967F_1E72BB400D93</v>
      </c>
      <c r="D34" s="3" t="str">
        <f>IF(NodesData[[#This Row],[URL]]="","",NodesData[[#This Row],[URL]])</f>
        <v>https://open-measure.atlassian.net/wiki/spaces/DIC/pages/834044036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5" spans="1:5" ht="13.9" thickTop="1" thickBot="1" x14ac:dyDescent="0.4">
      <c r="A35" s="3" t="str">
        <f>NodesData[[#This Row],[Common Name]]</f>
        <v>Application Multiplexing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nD6A8B379_9D4E_4112_B9E5_B4588BCB49D9</v>
      </c>
      <c r="D35" s="3" t="str">
        <f>IF(NodesData[[#This Row],[URL]]="","",NodesData[[#This Row],[URL]])</f>
        <v>https://open-measure.atlassian.net/wiki/spaces/DIC/pages/1658355721/Application+Multiplexing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6" spans="1:5" ht="13.9" thickTop="1" thickBot="1" x14ac:dyDescent="0.4">
      <c r="A36" s="3" t="str">
        <f>NodesData[[#This Row],[Common Name]]</f>
        <v>Application Package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nBF754068_D51A_4AC8_A362_C61F502C1D0B</v>
      </c>
      <c r="D36" s="3" t="str">
        <f>IF(NodesData[[#This Row],[URL]]="","",NodesData[[#This Row],[URL]])</f>
        <v>https://open-measure.atlassian.net/wiki/spaces/DIC/pages/5932704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7" spans="1:5" ht="13.9" thickTop="1" thickBot="1" x14ac:dyDescent="0.4">
      <c r="A37" s="3" t="str">
        <f>NodesData[[#This Row],[Common Name]]</f>
        <v>Application Program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n53981EC2_9DED_4349_BC86_E5D6093333ED</v>
      </c>
      <c r="D37" s="3" t="str">
        <f>IF(NodesData[[#This Row],[URL]]="","",NodesData[[#This Row],[URL]])</f>
        <v>https://open-measure.atlassian.net/wiki/spaces/DIC/pages/6030793/Application+Program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8" spans="1:5" ht="13.9" thickTop="1" thickBot="1" x14ac:dyDescent="0.4">
      <c r="A38" s="3" t="str">
        <f>NodesData[[#This Row],[Common Name]]</f>
        <v>Application-Level Policy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n8511EC23_ED3A_42D2_86FC_40B1D3E32F2D</v>
      </c>
      <c r="D38" s="3" t="str">
        <f>IF(NodesData[[#This Row],[URL]]="","",NodesData[[#This Row],[URL]])</f>
        <v>https://open-measure.atlassian.net/wiki/spaces/DIC/pages/1122631854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9" spans="1:5" ht="13.9" thickTop="1" thickBot="1" x14ac:dyDescent="0.4">
      <c r="A39" s="3" t="str">
        <f>NodesData[[#This Row],[Common Name]]</f>
        <v>Archive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n1FB40DB9_D8D0_4978_BD01_879C77DE04A8</v>
      </c>
      <c r="D39" s="3" t="str">
        <f>IF(NodesData[[#This Row],[URL]]="","",NodesData[[#This Row],[URL]])</f>
        <v>https://open-measure.atlassian.net/wiki/spaces/DIC/pages/425197720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40" spans="1:5" ht="13.9" thickTop="1" thickBot="1" x14ac:dyDescent="0.4">
      <c r="A40" s="3" t="str">
        <f>NodesData[[#This Row],[Common Name]]</f>
        <v>ARM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nB3F90AFA_FC46_4122_9901_4FF284E9E7EC</v>
      </c>
      <c r="D40" s="3" t="str">
        <f>IF(NodesData[[#This Row],[URL]]="","",NodesData[[#This Row],[URL]])</f>
        <v>https://open-measure.atlassian.net/wiki/spaces/DIC/pages/1703994/ARM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1" spans="1:5" ht="13.9" thickTop="1" thickBot="1" x14ac:dyDescent="0.4">
      <c r="A41" s="3" t="str">
        <f>NodesData[[#This Row],[Common Name]]</f>
        <v>Asset Custody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n941163ED_640B_408A_8AEE_A41839EAB169</v>
      </c>
      <c r="D41" s="3" t="str">
        <f>IF(NodesData[[#This Row],[URL]]="","",NodesData[[#This Row],[URL]])</f>
        <v>https://open-measure.atlassian.net/wiki/spaces/DIC/pages/1094516867</v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2" spans="1:5" ht="13.9" thickTop="1" thickBot="1" x14ac:dyDescent="0.4">
      <c r="A42" s="3" t="str">
        <f>NodesData[[#This Row],[Common Name]]</f>
        <v>Attack Class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nBC613B66_5F94_4F48_91BD_5F6BBA766E79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3" spans="1:5" ht="13.9" thickTop="1" thickBot="1" x14ac:dyDescent="0.4">
      <c r="A43" s="3" t="str">
        <f>NodesData[[#This Row],[Common Name]]</f>
        <v>Attestation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n0CDD8E1B_608D_404D_AC1A_27954DBC282F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Attribute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nD0FF0291_03AE_4248_8CFC_F92543A2535F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Attribute Provider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n818AA88B_F47E_48A3_896A_B86B61970370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Authenticated Users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nF97A2FB7_CEBC_41A2_93A3_8B494BBD7EDE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n5498F625_6E3B_46CB_976C_85F3529AECDF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 Factor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n67C132A3_290E_4750_90DE_11E7C1778537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Authentication Method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n53877DB9_77FA_44E9_974A_BE3344133398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Authenticator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n7A4D7599_F86F_4594_8B18_58AA2548C0B4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Authority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nC7C1A468_0E1F_46E1_B73A_731992ABA6D5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Authorization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n88704212_4558_4B65_9E18_ACA6FB85434F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Authorization Externalization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nEFD1A6B4_F1EC_40F7_985E_A79FDAFA5290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Awareness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nED52833B_3CB7_4602_8F07_AAFFA537007A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Account Root User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n4D85EB1C_A961_426D_AEF6_EEE56E460849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ACL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nD9B0296D_0D3A_447A_941D_9C10A546E6EA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Group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nCCBCF09B_7033_4E6D_9851_D29BB7B648A6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Policy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n1875AE23_28E6_45EE_840E_8F1F9D6DA18E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Principal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nF9259DCB_1490_4C14_A807_E2EB6BAEBCD6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Principal","group":"","id":"nF9259DCB_1490_4C14_A807_E2EB6BAEBCD6","url":""}</v>
      </c>
    </row>
    <row r="60" spans="1:5" ht="13.9" thickTop="1" thickBot="1" x14ac:dyDescent="0.4">
      <c r="A60" s="3" t="str">
        <f>NodesData[[#This Row],[Common Name]]</f>
        <v>AWS IAM Role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n1523F730_02BA_4AF6_B7DC_8FA728AB8AEA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Temporary Security Credentials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nB8600109_406A_41D5_A938_F40D2ABD263D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 User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n4E8EECAB_7960_4F74_8E07_F9D79BBA6BFD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AWS IAM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n1482D4D7_7EEE_42C9_A18A_162895B6DAD6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Back-end Authentication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nDED8E2C9_B484_47BD_8A0C_4FC25D9ABA2F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BankID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nBB7D7752_E1E7_4228_B216_44BF27C469CE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Basic Z Rule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nBC4E0E05_749F_4BAA_8247_C9B39135AB8E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Behavioral Authentication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n3DDE93A9_BFEF_41F6_B831_7BC6CEAF25CD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Authentication","group":"","id":"n3DDE93A9_BFEF_41F6_B831_7BC6CEAF25CD","url":""}</v>
      </c>
    </row>
    <row r="68" spans="1:5" ht="13.9" thickTop="1" thickBot="1" x14ac:dyDescent="0.4">
      <c r="A68" s="3" t="str">
        <f>NodesData[[#This Row],[Common Name]]</f>
        <v>Bell-LaPadula Model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n72711DB2_F0B3_4F52_A4E4_A4A5446CD2A8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 Authentication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n4781A6BD_729E_4392_B73C_0DA1C77F45BA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Biometric Identification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nAC688165_B606_4D82_A016_0263D701EDF2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Biometrics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n58FC3163_C98D_45E6_8BD3_405AF26CA056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Birth Certificate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n5E88C9AF_9919_47E5_AC97_3C0F882D8992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Blast Radius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n242739C9_E8F8_40EF_98D0_C57F8BD3A408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Boundary Control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n8B61F4C7_8FA2_43DC_B58C_AB2C5C0A8877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Brainwaves Authentication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n45A95ED6_6BE9_42DC_8F8E_4940542AA763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Authentication","group":"","id":"n45A95ED6_6BE9_42DC_8F8E_4940542AA763","url":""}</v>
      </c>
    </row>
    <row r="76" spans="1:5" ht="13.9" thickTop="1" thickBot="1" x14ac:dyDescent="0.4">
      <c r="A76" s="3" t="str">
        <f>NodesData[[#This Row],[Common Name]]</f>
        <v>Broker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nFEE07D8B_E1AA_4F0C_A615_463A81456806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Brute Force Attack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n24D85D8A_2BBF_487D_999E_F0E1E9711A44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Built-in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n99E2345A_FF0B_4044_A4E5_0D26498BF352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BZR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nB340D7B3_A560_4CAB_8C9A_4A7ECB00C604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Cached Credential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n2A6F0314_872D_4E0E_A944_F17EF346E29C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store information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nFB32F479_4EF7_409C_900B_EE48AA0DE846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Capability to transform information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nFA6C8A63_7071_4E20_BB02_F78403869E0B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information","group":"","id":"nFA6C8A63_7071_4E20_BB02_F78403869E0B","url":""}</v>
      </c>
    </row>
    <row r="83" spans="1:5" ht="13.9" thickTop="1" thickBot="1" x14ac:dyDescent="0.4">
      <c r="A83" s="3" t="str">
        <f>NodesData[[#This Row],[Common Name]]</f>
        <v>Capability to transmit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nAC062A15_C72B_42D8_BBDF_C7EB64B35F26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Capabilty to collect information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nF3A221C8_C126_458E_818C_DAE6B57CD442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Causing Reputation Harm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nA59D49F8_3819_4341_A310_19C77AB08AAB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CDD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n8A9F74A8_A65F_42A3_9DB0_D40AD68EC967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Centralized Identity Management System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nD371E402_1DDA_467A_9EFD_7333BAD6987B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Certificate-based Authentication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n736BFE87_02BE_46E7_8DB0_A2B034ECD6BC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Certification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nBF62899B_4BED_47AF_AF3B_1E10D830EA41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CIBA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n7393F50C_2074_415B_8362_C7F0AD5AD8C9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nBCD1222E_E013_4743_9588_168A8E8A4CCC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Claim Registry Model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n09BFADD4_A980_40F3_A98A_B65C0F02447F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Claimant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n67C38909_17F6_4502_B532_983E8C4AB8F8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Classification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n3AF44A35_CD82_4A03_B96B_2C8E7E9F40FE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Client Initiated Backchannel Authentication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n6362F1FB_53FB_45C5_A797_A947C7ECB972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Identity Management System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n80E713F8_140B_4FA1_AD0A_95353ACF23CE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IdMS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nC7A5534A_F936_4092_AF5A_4868FEC6CF24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Consumers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n4180E5F4_C1E3_4F95_9CBB_CD85E0BCC655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Service Provider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nC844F971_544C_4338_94D2_6A965B7BCF89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Cloud Service User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nE857DAE9_4FEB_442D_A1CF_D7B687ABF6B7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Coherent Whole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n2E4A35A7_53BB_4F4B_8554_B6584F77D71D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Commission Error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n4D29847A_7439_438F_9BF4_1A9AC6B66382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Compromised Identity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n5AE73A5D_7DC4_4E67_BA86_77F767004525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Concurrent Impersonation Attack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n7613977B_913F_4201_81B8_F2639D95D430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Continuous Authentication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n80A2BE7C_191D_425D_A7B8_93B0ACBEE01B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Control Class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nCEEB6DF9_D56B_4A1B_9B36_35674D25F038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Control Party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n2036668D_41FC_42AC_A26E_DCB28C92BB42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Core Identity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n3B5C4453_42D1_4B17_BE96_3CB27267BE34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n71B0143B_00D4_447A_802A_D03702D2600F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Harvesting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n835E7716_4234_4D63_9E3D_53FD75BD48A0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Service Provider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nC28A38BD_F29A_4E07_BDC5_A430C7F08178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Stuffing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nE507E167_D5A0_4734_A76D_1E688002EDB6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Credential Theft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nC30B0213_3434_4800_8A7F_F5D9753E7F4F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Cryptographic Key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nD6E2EFC3_D781_401F_AE1A_9DC8865CF67B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CSC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n3CF9484A_E6FA_4D95_9D47_B5595CE2AD13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CSP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n602C3EC3_8435_47BF_A604_7D75066CC857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CSU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nFF6942C5_7966_4E4A_8491_8D4F0333B971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Due Diligence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nAF7F194C_57F9_469D_96EF_9261A46CC7FC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Identification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nC4DE4DA0_78E1_4926_AF0C_F091AF13103D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Identity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nE1CBAB67_758C_4F2C_BA6A_799375745B56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Identity Verification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nCD6230CD_7164_4B21_8324_961CA3471D9D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On-Boarding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n5A0D36D7_5907_497B_BDD0_B9F7946871C7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Customer Privacy and Consent Management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n4729C2B4_13E7_433F_8412_F95545EA75F7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Cyber-sabotage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n359C7AF8_8BAE_4BC7_B009_BE445CDBFC35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DAC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n5E2EE771_5FE7_4EBD_B53E_DD8D31F6490E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n09E1C4DC_8D91_4A66_9C50_11DCDC2042FD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Anonymization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nDD3247E1_B272_4575_8CB0_C2E44239A9A8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Custodian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nD28793FC_291F_4F11_A09A_228AE8B3A9FC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Lineage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nE47A44FF_22A6_469C_82AD_696C71FBDD88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Obfuscation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nF346FF0E_9E36_4061_B728_2051ECF4FE8F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Operation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nEE342468_B7F3_4FB0_BA73_C88BBEA8F59E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 Owner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n6E2830C5_7B71_4569_B55F_4C2062560D57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Data-Level Policy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nF3A98388_9120_4053_8EBD_936BE8BBDA6F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Death Certificate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n18684693_B96F_41F5_87E5_A8C82C5854F2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Certificate","group":"","id":"n18684693_B96F_41F5_87E5_A8C82C5854F2","url":""}</v>
      </c>
    </row>
    <row r="135" spans="1:5" ht="13.9" thickTop="1" thickBot="1" x14ac:dyDescent="0.4">
      <c r="A135" s="3" t="str">
        <f>NodesData[[#This Row],[Common Name]]</f>
        <v>Decentralized Identifier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nF0624D2B_D1C4_476E_A9EA_53DD33D3EFFE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De-duplication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nBFB13F76_57DB_46B7_8AE9_952A367FBA93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Deprovisioning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nB332A030_899A_4CDC_ABF6_7AB4C2B3D1C2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DID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n40BF751E_86C5_46B2_8F12_8406249504A5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Continuity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n9E54AC40_1534_4653_A579_A86A08A8489A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Identification System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n0FBA5367_FBC8_4C86_A3A0_47FFA8B35813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Identity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n2D85F484_089E_4E23_B816_91EC7B0A8538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Identity Authenticity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n0EA691C3_41F3_4D4D_9025_8F36DE6AEDC2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Digital Triangulation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nE39BABFB_8F63_4F42_89E2_F06B01A51C5F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Discretionary Access Control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n561A2BF6_5A06_42D6_B158_5683F90E84BE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Distributed Identity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nFE60A787_3D7D_423A_ACA8_7A815881DE4A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Distributed Ledger Technology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nF24089B1_8B95_4756_903D_A8DFDC0769E3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Dual Authorization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n178DB8CF_C79B_49A8_900D_2EB5BD057DC7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ECS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n746496EE_FC8C_4C19_AF3E_D8D3140567A6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e-Identity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n29F8F3C1_3B5C_404B_985E_677B3F2469CE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EIdM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n6DA75F23_C59A_4F3D_8369_62DF2833985B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Email OTP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n2EA08174_481E_44C6_A012_159A6C58ECD7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Employee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n422D81D3_0EAB_4F1E_9F34_BA01B0B35CC0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Cloud Subscriber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nDC7DA1B5_7FB1_493B_B76C_2A89395AAC8B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Enterprise Identity Management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nB5BB1D89_74C2_455D_B36D_E690E04C732E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Enterprise Single Sign-On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n4F60AFDF_063A_4037_B18B_E4FDC3B1F048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n6B1C5DA7_6A6A_4239_8359_406101FDA296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n8CCC3658_FD2A_4108_B8F8_F090D2FDA25F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 Management Process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n6F5621C1_CD35_410A_A944_409F79163AD4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 Management Solution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n1C189EA0_AB0A_4D8B_AC8A_A6B086B9D1C8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Entitlement-Based Access Control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n9A7FB9C7_BA60_455F_AF09_E8FB3AD8331D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Control","group":"","id":"n9A7FB9C7_BA60_455F_AF09_E8FB3AD8331D","url":""}</v>
      </c>
    </row>
    <row r="161" spans="1:5" ht="13.9" thickTop="1" thickBot="1" x14ac:dyDescent="0.4">
      <c r="A161" s="3" t="str">
        <f>NodesData[[#This Row],[Common Name]]</f>
        <v>Entity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nD14A84EB_07B3_4B5F_BFAB_30031258CD6F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ESSO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nB81C8B35_F18D_45DB_BF0B_52A7F64CFDB9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Excessive Privilege Abuse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n606F27DD_7057_4C49_BC05_BD18E6E8BCAE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Expanded Password System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nF9F63BDF_0C15_417E_9C40_9CFAF09A44FE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Exploited Identity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n84A25376_673B_437D_A0B8_E206A3A557A1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Extended Enterprise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n59206519_5BB4_4BDF_BF6E_C333745B95BB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Extensible Access Control Markup Language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n9D4266BF_D624_4D96_974A_C169D11071F2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Language","group":"","id":"n9D4266BF_D624_4D96_974A_C169D11071F2","url":""}</v>
      </c>
    </row>
    <row r="168" spans="1:5" ht="13.9" thickTop="1" thickBot="1" x14ac:dyDescent="0.4">
      <c r="A168" s="3" t="str">
        <f>NodesData[[#This Row],[Common Name]]</f>
        <v>External Threat Agent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n1546AAB1_79BC_427B_AC2C_31B1E8FA4616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Facial Recognition Authentication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nA4759A9D_95C0_47CA_B519_8CEF217B2F74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Fake Digital Identity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n553E3D82_733E_45F2_B9EC_3768F51696D9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Identity","group":"","id":"n553E3D82_733E_45F2_B9EC_3768F51696D9","url":""}</v>
      </c>
    </row>
    <row r="171" spans="1:5" ht="13.9" thickTop="1" thickBot="1" x14ac:dyDescent="0.4">
      <c r="A171" s="3" t="str">
        <f>NodesData[[#This Row],[Common Name]]</f>
        <v>FAPI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nFB67A715_39E8_48D0_B1F1_AE50FDB72B9F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,{"label":"FAPI","group":"","id":"nFB67A715_39E8_48D0_B1F1_AE50FDB72B9F","url":""}</v>
      </c>
    </row>
    <row r="172" spans="1:5" ht="13.9" thickTop="1" thickBot="1" x14ac:dyDescent="0.4">
      <c r="A172" s="3" t="str">
        <f>NodesData[[#This Row],[Common Name]]</f>
        <v>Federated Identity Management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n8300F70D_DC84_420B_90D6_F00C4D874F30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3" spans="1:5" ht="13.9" thickTop="1" thickBot="1" x14ac:dyDescent="0.4">
      <c r="A173" s="3" t="str">
        <f>NodesData[[#This Row],[Common Name]]</f>
        <v>Federated Identity Management System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nB2F055B2_845D_45D7_A034_0DE4107D299F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Federated SSO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n74954D1A_7A80_4122_B782_01D5A8EB539E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SSO","group":"","id":"n74954D1A_7A80_4122_B782_01D5A8EB539E","url":""}</v>
      </c>
    </row>
    <row r="175" spans="1:5" ht="13.9" thickTop="1" thickBot="1" x14ac:dyDescent="0.4">
      <c r="A175" s="3" t="str">
        <f>NodesData[[#This Row],[Common Name]]</f>
        <v>Federation Bridge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nDD4D0EA3_423E_4998_B182_34DD6C3BE9A8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Bridge","group":"","id":"nDD4D0EA3_423E_4998_B182_34DD6C3BE9A8","url":""}</v>
      </c>
    </row>
    <row r="176" spans="1:5" ht="13.9" thickTop="1" thickBot="1" x14ac:dyDescent="0.4">
      <c r="A176" s="3" t="str">
        <f>NodesData[[#This Row],[Common Name]]</f>
        <v>FIM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nC7FE17A9_7896_460F_B18F_651313DE938B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Financial Gain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n52564682_5FAD_48CB_A320_6CFE17950D03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Financial-grade API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n7ED0A0F0_C8C5_4D50_B320_7841B6D641DC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Fingerprint Recognition Authentication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nAACCE65E_6554_4FBD_B4D7_A3BA8E3BDB92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FinTech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n24C70F4C_4BF0_490D_B57B_FE1D78BCC3DF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Flexibility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nC4DC482E_7938_4C4B_B8F7_24B6E883D324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Flow Analysis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n37CDF385_8395_4EBE_AD68_6B887D23D64B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Forged Identity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n958F4918_D853_4DF1_A3CD_255CE2FA5AD2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Formal Verification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nFEC9BD6E_999E_4253_A00A_CDCD708BCD59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Foundational Identification System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n57922764_7F8B_43B4_9441_59AC52F06D1B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Front-end Authentication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nA316CFA4_7E99_428D_92EE_4261D71E8D69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Functional Identification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n38A1520C_9EE3_4410_BDCE_EF269F09EC11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Functional System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n053A92F1_5083_4E3C_8C99_65FB345EE29F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Gait Recognition Authentication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nF5B3A52F_6645_4E18_BE53_3CA330AAEC4A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Geo-localization Authentication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nFA8764B3_A099_4BC5_A496_69DDA8F0CAC5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Graphical Password-Based Authentication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nBEC4F328_7640_4005_B2B5_DE2C74B06CE0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Guest Account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nE943B166_DDA1_4E51_8018_B658EF2F6050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Hand Gestures Recognition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nE75296C8_9CA1_417E_B05B_CC1BDF26F9C3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Heartbeats Recognition Authentication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n3E35442D_91A0_4B21_B0FC_31EF1D8BC55F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High Water Mark Principle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n7457AC3C_F0BA_459B_9A5D_91BA732BAF2F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Human Error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nDB531138_5CD4_4604_965F_9676F4CF6D57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Human Reliability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n2C274975_7B46_4E24_8A70_7B0858D9811F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IAG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nE137080A_673D_49B5_B79E_E40DCA00457A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ARN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nD20859BA_5BFA_4068_B1B8_4E74C6744811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IAM Management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n4D07384C_221F_41CD_941F_F0FD865EE0EB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IAM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n9E70E20F_8AC9_4A48_83FE_BA2E942E7C88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IAP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nA093745B_C215_44C5_9618_075099F0D7DA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IDaaS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nDCAD400F_962A_4D5B_A523_07C3D5D11C2F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Ideal Type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n36ADA97B_45B1_4B3E_9BB8_5ED9EE8FFF07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Identification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nDE675697_10CB_42A7_971F_C62CCDC742AB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Identification System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n07633555_1CF5_4F31_8EB2_BF5AE15BFE5B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Identifier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n12D825BF_1AD6_45DA_A3EE_F24F0C494771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Identifier Registry Model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n1A14A6FB_7322_4971_AD06_EE6FE1DBEF85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n5D6597B4_7390_4065_87F6_BFCDCE5625EB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Aggregation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n5FE194E6_55B4_4F11_8A29_041408582E45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and Access Governance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nAC531F4A_1CDD_4F70_94C5_8473E1965EEA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and Access Management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n95B65CD1_4E0F_4180_9C1E_3B497411E687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Assurance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n63259FD4_267B_439E_81C4_0877FBB2B1F4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Assurance","group":"","id":"n63259FD4_267B_439E_81C4_0877FBB2B1F4","url":""}</v>
      </c>
    </row>
    <row r="214" spans="1:5" ht="13.9" thickTop="1" thickBot="1" x14ac:dyDescent="0.4">
      <c r="A214" s="3" t="str">
        <f>NodesData[[#This Row],[Common Name]]</f>
        <v>Identity Attribute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n2D781A60_CB81_46E7_B4BE_BFEC7B061FE5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Deception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nC0AF8721_A868_4A4D_9F85_3A6D9B88B489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Establishment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nDE7DDB58_F055_42EF_B2D7_1F23FA251512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Federation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nA28C3DFF_EE9A_433F_8E87_6F1C3611654C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Guardian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n57BE0CB5_BAC2_4A6C_BB09_BA0710799A01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Lifecycle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n18B21D41_7371_42BA_AD55_EBF42E646C44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Management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nE76134B5_D4DF_454A_B8A9_6698D084CDB1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Management System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n3F575B2E_542A_4EE1_86A9_93DA3991C61D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System","group":"","id":"n3F575B2E_542A_4EE1_86A9_93DA3991C61D","url":""}</v>
      </c>
    </row>
    <row r="222" spans="1:5" ht="13.9" thickTop="1" thickBot="1" x14ac:dyDescent="0.4">
      <c r="A222" s="3" t="str">
        <f>NodesData[[#This Row],[Common Name]]</f>
        <v>Identity Portability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nB826581E_8230_4CC8_9A14_B1F944C22935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Proofing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nA168EF24_837F_4964_BE44_E7CADDEC08AE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Propagation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n34461AB4_2CB5_4D9C_ACD7_11E6DB87C391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Provider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n5F66D728_84BD_4BB4_98BF_785C5DAD60D5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Repository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n168F06B1_8C97_4DA7_90D4_CC52279D2500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 Theft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n23656C0A_A156_405F_9FF8_7AE62FD6FB07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Identity-as-a-Service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nE705445E_1259_48CD_9B7E_9243AD8DAA5B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Identity-Aware Proxy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n9AB3CC59_5E4C_4E34_BC2C_1596F01FC5F3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IdMS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n0625B885_15FF_4EC6_89B2_0542A53D54F0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IdP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n6C8D27BA_3A49_456D_9605_33E2EBC545E0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,{"label":"IdP","group":"","id":"n6C8D27BA_3A49_456D_9605_33E2EBC545E0","url":""}</v>
      </c>
    </row>
    <row r="232" spans="1:5" ht="13.9" thickTop="1" thickBot="1" x14ac:dyDescent="0.4">
      <c r="A232" s="3" t="str">
        <f>NodesData[[#This Row],[Common Name]]</f>
        <v>Illegal Action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nE0352234_7814_467F_8B8B_EF900BACC357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IMG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nC513AF63_36CC_4FB7_911F_7E98C3C107B2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Impersonation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nBE119251_3169_4F9E_A3A9_744A248EAAA6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In-band Authentication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n4DC17AF9_0DFB_478B_B5A5_3463E37CAB92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n21D68DDF_6871_4E72_BC2D_303C40ED5E42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Asset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n28E78E51_49BC_40D3_A073_5C152D095C48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Custodian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n7FA93F24_5E66_4779_BA3D_3A073C96F04F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Flow Policy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n88A9AD71_624D_49D1_933C_A9F4498456BE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Owner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nAF966081_CDB0_45B3_BB9A_12F39BA05533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Security Domain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n9A6A0946_FAF0_4301_9CFA_1EAAAF6EFADF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Information System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nB0B5F503_B8FC_4496_972E_66927B58AF67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Inherence Factor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n99E2EC41_CA7B_41FD_8304_3926884533F9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 Attacker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nE918EA94_ED3D_49AA_8C98_9382D56885C2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Attacker","group":"","id":"nE918EA94_ED3D_49AA_8C98_9382D56885C2","url":""}</v>
      </c>
    </row>
    <row r="245" spans="1:5" ht="13.9" thickTop="1" thickBot="1" x14ac:dyDescent="0.4">
      <c r="A245" s="3" t="str">
        <f>NodesData[[#This Row],[Common Name]]</f>
        <v>Insider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n4FB0018B_54D8_4931_8F94_16C63A3F8C83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6" spans="1:5" ht="13.9" thickTop="1" thickBot="1" x14ac:dyDescent="0.4">
      <c r="A246" s="3" t="str">
        <f>NodesData[[#This Row],[Common Name]]</f>
        <v>Insider Attack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n429FED9F_D609_402A_A4D4_27BF7F04F154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7" spans="1:5" ht="13.9" thickTop="1" thickBot="1" x14ac:dyDescent="0.4">
      <c r="A247" s="3" t="str">
        <f>NodesData[[#This Row],[Common Name]]</f>
        <v>Insider Threat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n4BBD1B98_1E78_4A7C_AFAA_86753DB40829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Insufficient Granularity of Access Control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n5C69F995_02F9_4641_8DDC_1DEAB80E3377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Intentional Error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nA9BAB0B4_F590_4EA4_BCC5_9C8C3863E83A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Interested Party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n0C1E6A85_DF85_4330_881B_C5F42F671FD5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Interoperability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nE94C80F1_064A_44B2_BDBC_0056E1019A9F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Interval Scale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n3EBA3C47_F9ED_429B_BC3D_679D12721192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Iris Recognition Authentication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nFF2EA87E_84ED_44A7_83DE_4A3C4C0F01DF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Isolated Identity Management System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n06B404BB_42D7_49A0_87EF_0BD1066C228B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Asset Scope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n29ED772E_0526_4755_B8BE_2218FA7602F9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Component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n80310A12_2F48_48B9_A9C3_E6FADD4B55C9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Hardware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n940256DD_635E_4F4B_91EA_B3366D40E947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Software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nBB725018_7327_49FB_A48A_74839D0C04F9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IT System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nC607594D_D597_4C8E_9605_EED87566C2FD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JML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n4BA874E7_FD38_4B95_9C12_7EC786240F23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,{"label":"JML","group":"","id":"n4BA874E7_FD38_4B95_9C12_7EC786240F23","url":""}</v>
      </c>
    </row>
    <row r="261" spans="1:5" ht="13.9" thickTop="1" thickBot="1" x14ac:dyDescent="0.4">
      <c r="A261" s="3" t="str">
        <f>NodesData[[#This Row],[Common Name]]</f>
        <v>Joiner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n919E37D7_0E0D_437A_A4B9_F0C63FC91592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Hire Date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nF036ACA7_5DED_4C47_BEC4_43A7941A1A11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Lead Time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n85D3D9C0_BF0A_457D_9E9E_918869EE6A60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Process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n2156A14C_9F0A_4133_9B6B_E2F493C2DDE5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Joiner Start Date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n9DBB71BC_1401_49CF_8C61_CD7DE85382A7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Criteria Type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n8B8EDDAB_CC41_45B7_8B8A_AC9D282F1C05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 Information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n3073C6C9_12F8_44C9_8D1B_2F7187AD9F60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Information","group":"","id":"n3073C6C9_12F8_44C9_8D1B_2F7187AD9F60","url":""}</v>
      </c>
    </row>
    <row r="268" spans="1:5" ht="13.9" thickTop="1" thickBot="1" x14ac:dyDescent="0.4">
      <c r="A268" s="3" t="str">
        <f>NodesData[[#This Row],[Common Name]]</f>
        <v>Keying Material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n6AE1B549_6E17_4533_A2B8_5AFB4B73B654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Keystroke Recognition Authentication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n35F5759D_AAFF_439C_A04E_623AA07EE4D9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Knowledge Factor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n63EDDBAD_A168_4974_B9D5_9B90FB3F688E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Knuckleprint Recognition Authentication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nC63D5B91_5DF9_4B35_856B_670E59CF1CA0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Authentication","group":"","id":"nC63D5B91_5DF9_4B35_856B_670E59CF1CA0","url":""}</v>
      </c>
    </row>
    <row r="272" spans="1:5" ht="13.9" thickTop="1" thickBot="1" x14ac:dyDescent="0.4">
      <c r="A272" s="3" t="str">
        <f>NodesData[[#This Row],[Common Name]]</f>
        <v>KYC Registry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n118336A6_0C60_4B0E_8F22_B48CA99CA2F4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KYC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nD722A063_3ADB_4367_9941_1F20AAC0CAEC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Lattice-Based Access Control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nA1358380_830F_4EEB_80CE_CC83C065B2E4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Layers Architectural Pattern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n3EAC848A_1433_441F_9E9A_7FE06432D202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LBAC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n7F5407C3_E9C5_4FD3_A4BC_1BF68CE94502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Leading Indicator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nCDB2CA01_F37D_45DF_8EBF_86192F36727D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Least Privilege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n55E83346_C5D9_4522_AAFE_41AFD850D242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Legal Entity Identifier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n532F9243_3E60_4095_B0E5_8AEED1D0ED9A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Legitimate Privilege Abuse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n9DB8F87B_0E27_4ADC_A89D_30DC429109ED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LEI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nE1D131E1_6E4B_4128_ACFC_B11E0284331D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Levels of Assurance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n42CABDEA_283C_4884_BBFF_7B24A5E715E6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Liberal Discretionary Access Control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n6803C365_1074_4F24_A95A_585E021E5FF0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LOA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n0CFBF92C_8241_4364_871A_4D3705CF95A0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Location Factor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nE61E61F3_D210_49D4_9FB5_8E7744490C9D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Logic Bomb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n0824A767_06E0_42E4_86AA_C7ECB7A1A81E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n46EF9D9A_E262_42CE_84DD_31B44FFFC872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ID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nE45E61D9_9369_4987_B110_303B87C7DD18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Login Name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n7CFF42F4_F82C_4184_81FE_6459832E495C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Mechanism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n5093C332_EBE3_4146_9E6E_13A644D6709F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Metadirectory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nFADAB6B8_8A3D_435C_9AD9_15538E50E471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Multidomain Single Sign-On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nE2E1BE6A_43E8_4B96_8DF5_2E30C8EF3BDF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Multilevel Security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nF7063463_177E_42A8_8F09_57EF6B9D00BD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Multi-Modal Biometric Authentication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nF4329B4E_89AE_4B13_8BA2_B6BEFB931A12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Multiple Accounts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n526624DF_C2E0_4B21_9A61_CEED4CD47F26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Mutual Authentication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n64D10171_0B22_4711_A563_45B7D52F62A1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Need-to-Know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n5E26B41D_6E03_4C12_AACA_F0C33BED131F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,{"label":"Need-to-Know","group":"","id":"n5E26B41D_6E03_4C12_AACA_F0C33BED131F","url":""}</v>
      </c>
    </row>
    <row r="298" spans="1:5" ht="13.9" thickTop="1" thickBot="1" x14ac:dyDescent="0.4">
      <c r="A298" s="3" t="str">
        <f>NodesData[[#This Row],[Common Name]]</f>
        <v>New Joiner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n42AE1DFB_EDB7_42D2_89EE_3945EA0F348C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 Tranquility Property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n4ED00BBB_87C8_4B44_B7F1_FEDB8DD6A7D4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Property","group":"","id":"n4ED00BBB_87C8_4B44_B7F1_FEDB8DD6A7D4","url":""}</v>
      </c>
    </row>
    <row r="300" spans="1:5" ht="13.9" thickTop="1" thickBot="1" x14ac:dyDescent="0.4">
      <c r="A300" s="3" t="str">
        <f>NodesData[[#This Row],[Common Name]]</f>
        <v>Nonworker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n2B01D047_3E55_4928_89FF_89BF0E4C9A55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Numerical Identity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n5FC0E690_BD8A_4D6A_8185_1DC8FF5EE7BE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Identity","group":"","id":"n5FC0E690_BD8A_4D6A_8185_1DC8FF5EE7BE","url":""}</v>
      </c>
    </row>
    <row r="302" spans="1:5" ht="13.9" thickTop="1" thickBot="1" x14ac:dyDescent="0.4">
      <c r="A302" s="3" t="str">
        <f>NodesData[[#This Row],[Common Name]]</f>
        <v>OAuth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n59BB7020_7AB1_4728_86F2_1E393E0E8707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3" spans="1:5" ht="13.9" thickTop="1" thickBot="1" x14ac:dyDescent="0.4">
      <c r="A303" s="3" t="str">
        <f>NodesData[[#This Row],[Common Name]]</f>
        <v>Object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nBB8CA37A_77F7_45A6_8D48_E3EAE7C070CC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Omission Error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nE5FB6AFC_FC63_4B56_A4C6_E23F16E9BC61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One-Time Passcode Authentication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n476800A3_2E26_4AE7_BDA9_7E883266BCE1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OPA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n6C614E81_1E4F_490D_BA0A_44FBC9CBCFE0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,{"label":"OPA","group":"","id":"n6C614E81_1E4F_490D_BA0A_44FBC9CBCFE0","url":""}</v>
      </c>
    </row>
    <row r="307" spans="1:5" ht="13.9" thickTop="1" thickBot="1" x14ac:dyDescent="0.4">
      <c r="A307" s="3" t="str">
        <f>NodesData[[#This Row],[Common Name]]</f>
        <v>Open Policy Agent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nD995A6A9_C3A9_4283_82AA_4AB97DA2B578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Definition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n9C348411_DBC2_4D83_98F6_DA323939AD65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Operational Taxonomic Unit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nE33FC009_B7E4_40FD_9745_D826E24B6E94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Ordinal Scale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nF7D4524F_C6C0_4EC5_9552_75B99B9D5A42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Context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n33A86B12_0EA4_4F3E_BC6D_E3702F9EAE81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Context","group":"","id":"n33A86B12_0EA4_4F3E_BC6D_E3702F9EAE81","url":""}</v>
      </c>
    </row>
    <row r="312" spans="1:5" ht="13.9" thickTop="1" thickBot="1" x14ac:dyDescent="0.4">
      <c r="A312" s="3" t="str">
        <f>NodesData[[#This Row],[Common Name]]</f>
        <v>Organization Scope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nA41D81DD_A231_43DB_A8BF_E136E86BDC97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n4AE20DB0_76C4_4F45_8465_74F243AABAEF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Account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n9BFEB967_7B86_4B3D_9C7E_0511B974AE4D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File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n5AE1D03E_6BE9_4D64_877A_463F2CD1823C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Object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nBF0C1B68_F08A_4202_9757_9E8291426C10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Process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nAEC674BE_91C6_4A77_962B_1FC629184791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Product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n6F060A06_4EC7_40D0_BE25_18BB706EAC33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Role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n0D10D535_12CA_43D7_8C25_D56FF795B5EB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Routes / APIs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nFB81B88B_935E_4937_8C9D_107D390BB8B5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APIs","group":"","id":"nFB81B88B_935E_4937_8C9D_107D390BB8B5","url":""}</v>
      </c>
    </row>
    <row r="321" spans="1:5" ht="13.9" thickTop="1" thickBot="1" x14ac:dyDescent="0.4">
      <c r="A321" s="3" t="str">
        <f>NodesData[[#This Row],[Common Name]]</f>
        <v>Orphan System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nEF01C104_C9F5_4399_B8A7_5AEEE0AEED69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Out-of-band Authentication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n7044B2C5_B689_4BDB_A361_6960562C0FC0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Outsider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n04522218_BC1E_4939_A068_7AA0277A1265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Palmprint Recognition Authentication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nD67337C3_82D6_4A00_9312_77ECF955E4EE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Passive Impersonation Attack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n4734DAE8_90B6_45CA_8550_5A34B658FAEC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Passphrase Authentication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n3CB32145_0EE1_4C68_8C6C_279904089B9A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Guessing Attack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n8F169889_C3EB_49DF_A679_4F5F53173B73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Rotation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n6265AECA_324C_41E3_B3D3_84135CF3C7BD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 Spraying Attack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nD75B5C62_D379_4138_8BEA_4403C4F682CA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Password-Based Authentication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nC40BED13_84D6_4487_B1D8_408847C59080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Passwordless Authentication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n78F6BABC_A65F_473D_BCDE_FEE7D54A424A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Authentication","group":"","id":"n78F6BABC_A65F_473D_BCDE_FEE7D54A424A","url":""}</v>
      </c>
    </row>
    <row r="332" spans="1:5" ht="13.9" thickTop="1" thickBot="1" x14ac:dyDescent="0.4">
      <c r="A332" s="3" t="str">
        <f>NodesData[[#This Row],[Common Name]]</f>
        <v>People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n4CF1B3F5_CACC_4AD2_BDA1_4AF301F4C65D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Permission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n01EF8E33_9CCC_40C8_9331_68F0F5358EC1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n36E8FD72_C9A2_4D50_986E_5DC62C773748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Personal Identification Number Authentication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n7A6515A7_E313_45AC_A024_B7321A51BBF0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Physical Token OTP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n464C132D_5900_4F55_8F96_F62557EA18BE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PMS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nEBC962F0_3340_49DC_9E34_B2B7557F9372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nAA77CC85_5C4B_467C_8062_029385C2AF09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Analysis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n5873E20E_7DC8_43B0_B048_106A80E87640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Centralization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n10B244A8_21C9_4D9D_9E27_FE5ABBED56A5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Interoperability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n76740F74_7039_4200_B48A_59A8A4A3D1A0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Manageability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nD3DD18B2_66DE_48D3_962B_511205F74E07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Mining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nB5D0C15D_30A8_4D8C_9DF1_B0D78AC0EB44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Policy Modeling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n455C0775_9E71_475A_9F9D_FE0281B80BC0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Possession Factor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n8B4BB7FC_2E2A_4C1A_8657_58EEC2DF8A9A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Pre-approval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n709A4E65_BD24_4FB3_AF6D_E95E57F0157C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Principal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nE2F3A772_EEDF_4F78_9194_533B50B4644F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Private Key Loss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n3805BE20_DE10_4929_A9F5_5042661EDA36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n3A9A58DA_FA73_4A42_AD4D_20181F1594F1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Abuse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nC8E821DA_5F6B_4960_9FEF_DC5199DC42F0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Chaining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n6AAB869E_8FFB_43B2_BCDE_C4BB8F0E0948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 Escalation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n640E2EBF_F163_41EF_A5E7_E328911BBC8E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Identity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n38442FF1_AFF1_4481_B414_D70DEE27F0EC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Privileged Insider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nB8B1D9E3_CCB1_4B48_8962_EA0A592DA1E6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Provisioning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nD0A7D3C9_1A0B_49DC_A3E2_41483CB017E4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QR Code Authentication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n797F89B7_EBFE_4624_B7EE_5952C851879E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Qualitative Identity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n2D4F2CD5_91A2_4116_8CF5_9FA6ED9E736D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n9F7D871B_3DEB_4A88_B41B_59E3F5381286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Ratio Scale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n9EABB6A3_3B7A_42A6_A127_9CD98E43B6C0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RBA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nA3D07637_D18C_4A84_B9BE_EC33462CCE27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Re-authentication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n7F9AFAF9_8A03_4A7B_B9E6_BFE1D2A9302D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Recertification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nD44F34C0_2002_47C7_8592_BF38B5BF83F8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Reference Monitor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n000D1617_D659_4780_A829_736ADFBC46B9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Registration Authority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nA28366D4_CC5A_467A_B4DC_EB619866BB17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Rejoiner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nFFC60251_1B95_42A0_9516_E5AC18B9BF28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Relying Party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n85520257_66D0_4CD1_A52A_85A6885DB4CE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Remote Identity Proofing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nCF5B4529_F5E4_4C1C_9CD1_0E67643481B4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Repeatability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n27D0EABD_A0B3_47A6_A86A_8C13F8721BE1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Representation Target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nE99045EA_CC68_44E2_A22A_2917BDB8276C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Reproducibility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n92552E85_6D6E_4D55_B4F1_C478A4FB8BC6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Revocation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n019EE7D0_AFF3_44D6_B229_9F7E8C9D4151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RIDP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n2B1493D9_E52C_47E8_875B_74265080C8CB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Risk-Based Authentication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n963C5840_F55F_44D3_ABCE_9B86FAE16FEF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nE1050999_27A0_46D4_AFD8_BAFC2970E276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Bloating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n5B801607_99C5_4D93_91CB_94A21227408C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Capacity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n4129C99E_02BA_4B11_AED3_6029D49927EE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nD9EF9B83_2494_406B_95F4_C53820EE35CA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Cardinality Activation Control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nC1D0A8DC_6691_4020_A24F_A3218608CDB9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Explosion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nF3022911_57AF_4961_BB85_E6B8E9F54AEF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 Management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n5A5CD70F_DB4D_4769_97A2_CE29EAE58971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Role-Based Access Control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nC663B247_7314_44F0_87C7_6C58BAD193CB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RP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nD0324B54_4F7D_4DD3_BBD1_3E5B237DE6B4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,{"label":"RP","group":"","id":"nD0324B54_4F7D_4DD3_BBD1_3E5B237DE6B4","url":""}</v>
      </c>
    </row>
    <row r="383" spans="1:5" ht="13.9" thickTop="1" thickBot="1" x14ac:dyDescent="0.4">
      <c r="A383" s="3" t="str">
        <f>NodesData[[#This Row],[Common Name]]</f>
        <v>SAM Database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nD9C66A40_325F_45DA_A6E3_E4C20F9377A4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SAML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nDCCE280E_D684_42A8_B37B_5711CE76BC43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1.0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n0FF516F1_21CA_4A0C_8AC4_4487F5E1E2CB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1.0","group":"","id":"n0FF516F1_21CA_4A0C_8AC4_4487F5E1E2CB","url":""}</v>
      </c>
    </row>
    <row r="386" spans="1:5" ht="13.9" thickTop="1" thickBot="1" x14ac:dyDescent="0.4">
      <c r="A386" s="3" t="str">
        <f>NodesData[[#This Row],[Common Name]]</f>
        <v>SCIM 1.1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n205B8D02_E855_4B2F_91EF_26C1B23CFC50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7" spans="1:5" ht="13.9" thickTop="1" thickBot="1" x14ac:dyDescent="0.4">
      <c r="A387" s="3" t="str">
        <f>NodesData[[#This Row],[Common Name]]</f>
        <v>SCIM 2.0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n1A99C52D_471D_462A_87B9_5E8D4560D58F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8" spans="1:5" ht="13.9" thickTop="1" thickBot="1" x14ac:dyDescent="0.4">
      <c r="A388" s="3" t="str">
        <f>NodesData[[#This Row],[Common Name]]</f>
        <v>SCIM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n149B4F80_9A70_4D1D_8260_94C137DBFBBE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Scoping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n6E3234B2_E757_4333_BA58_DAFF5B1D943A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nD3FFB967_77A4_45B9_A5A4_A9FBB2367C89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,{"label":"SD","group":"","id":"nD3FFB967_77A4_45B9_A5A4_A9FBB2367C89","url":""}</v>
      </c>
    </row>
    <row r="391" spans="1:5" ht="13.9" thickTop="1" thickBot="1" x14ac:dyDescent="0.4">
      <c r="A391" s="3" t="str">
        <f>NodesData[[#This Row],[Common Name]]</f>
        <v>SDP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n1CD1BA03_756A_4932_9441_C0DBAE224934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Production Identity Framework for Everyone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nDFF0F332_91D0_4DCD_9272_B0AC7CB47061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Secure System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n684E2CA8_D61D_459D_846A_4F41E87E62C9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nCC901E67_11E1_4971_ACD2_99886D05F2BB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Accounts Manager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nF2255395_848A_427B_89E9_3BB7DD7580BB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Assertion Markup Language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nE58B987B_C4CB_4FB3_9868_F8040123B702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Clearance Level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n9AE9641B_8E15_44BE_BE39_5928AF98C403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Level","group":"","id":"n9AE9641B_8E15_44BE_BE39_5928AF98C403","url":""}</v>
      </c>
    </row>
    <row r="398" spans="1:5" ht="13.9" thickTop="1" thickBot="1" x14ac:dyDescent="0.4">
      <c r="A398" s="3" t="str">
        <f>NodesData[[#This Row],[Common Name]]</f>
        <v>Security Compartment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n4AB9C40A_FFE6_4F52_BBD5_1C60BD60C22D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Label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nB97D2A38_A342_46DA_ABE9_AE6CB1417AAE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Security Question Authentication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n3C201BF8_F9EA_4428_B9FA_FC0267427653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Segregation of Duties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nD567DDAF_88E4_460A_8360_AB49285CB8DD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Self-Sovereign Identity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nB870A42F_E8DF_49EE_839E_8237D0D08E6C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Semantic Differential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n05769AFC_D0B1_4FEC_A0E1_842407E11B7A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 Account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n901E5DAB_D27E_4BEE_8BBB_AC47FA69CFBA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Service-Centric Identity Management System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n491440D0_18B1_419D_82A7_5E14101A7E9B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n279CC740_4E96_4D2A_923D_3603EA0FD247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Session Authentication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nDF95A25A_2B47_4C54_8D11_CCEA52064067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Login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n95300591_0D21_454A_83B8_F3C9C74C21E3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nCDC41020_7C5B_4C7F_9A4D_8C0F159CD585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Single Sign-On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nF3399109_259D_4ABC_BC52_EDB47E2CAF1A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SMS OTP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nC659F8FA_B1EB_46E9_B13C_FE5C1B62DEA3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Authentication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n60A42831_8FFC_43B5_9189_8FC2450794A3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Social Honeypot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n56573FF9_22B4_4629_B28C_392B006A4AA8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SoD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nA9A30C47_5F47_4988_8FC5_F4CF9EB080CC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 / App OTP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n53FEC273_D9E0_42F6_BEB3_18333BB567ED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OTP","group":"","id":"n53FEC273_D9E0_42F6_BEB3_18333BB567ED","url":""}</v>
      </c>
    </row>
    <row r="416" spans="1:5" ht="13.9" thickTop="1" thickBot="1" x14ac:dyDescent="0.4">
      <c r="A416" s="3" t="str">
        <f>NodesData[[#This Row],[Common Name]]</f>
        <v>Software-Defined Perimeter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n5E41A9D4_819D_4864_B6AE_33A53A7DDD7C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SPIFFE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n00E1D349_3D00_4487_9F58_1785F1B304DB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SPMS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n5CF2F923_671C_4D8A_ADA8_855ACC57144A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,{"label":"SPMS","group":"","id":"n5CF2F923_671C_4D8A_ADA8_855ACC57144A","url":""}</v>
      </c>
    </row>
    <row r="419" spans="1:5" ht="13.9" thickTop="1" thickBot="1" x14ac:dyDescent="0.4">
      <c r="A419" s="3" t="str">
        <f>NodesData[[#This Row],[Common Name]]</f>
        <v>SSH Key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nFC3909FF_29C6_47F9_B90A_122BDED44AF9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20" spans="1:5" ht="13.9" thickTop="1" thickBot="1" x14ac:dyDescent="0.4">
      <c r="A420" s="3" t="str">
        <f>NodesData[[#This Row],[Common Name]]</f>
        <v>SSI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n71631819_91CD_4603_8446_336EBC6B18B2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n5453D8E7_0829_46D3_846B_6D89F4AE4CFF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SSO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n36B26A4D_4DE5_4EE8_8425_C5A7DB251D84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Stability of Access Decision Factors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n0219DCF8_A0BC_4743_BBAA_4F0ADEC98D8A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Stakeholder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n545A7A4F_E40A_4229_9889_14B9524363FA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Step-Up Authentication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n57ECA222_A996_4EAF_82B4_F90085182E5A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Strategic Performance Measurement System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nD412B947_EA40_439A_B717_8C39D2BC4CB9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Strict Discretionary Access Control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n1678B11E_DE4E_4E9D_959E_B70C80A07265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Authentication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n7A087586_32C2_44CA_B3C5_9B643CFB3E63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Strong Tranquility Property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n54565563_BC74_470C_A56B_A1B9C7F1324E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nB7ADCBF6_0721_463C_82E5_DBB277A6AEE9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Subjective Indicator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nE6B7AC16_FE87_47A2_899A_64FC08C8DD98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Supply Chain Attack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n3A185D2E_8467_4AA3_9CDB_FB22389BF715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Sybil Attack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n0FECC4A6_A665_444E_BE48_8AA390BB1974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Synthetic Identity Fraud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nD9FD15A1_6465_481B_B71D_ADCD17B9954F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Fraud","group":"","id":"nD9FD15A1_6465_481B_B71D_ADCD17B9954F","url":""}</v>
      </c>
    </row>
    <row r="435" spans="1:5" ht="13.9" thickTop="1" thickBot="1" x14ac:dyDescent="0.4">
      <c r="A435" s="3" t="str">
        <f>NodesData[[#This Row],[Common Name]]</f>
        <v>System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nFC4AFBE3_7D71_456A_AFC1_16F1F34558F5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Boundaries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n31C5E305_499C_46E4_98C8_6261960997B6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for Cross-domain Identity Management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nFA34207B_F87E_487A_A8A3_4664359FB1CD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Owner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nC9A420A4_4B49_4499_BCB2_7C9AD66395E7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System Z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n6935A8E7_1B1E_43B2_B342_5B9C31895DD1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TAN List OTP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nACEE5BE1_AEF4_45DF_A913_1C3530C50C54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Task-Based Access Control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n351C03A9_7E95_4292_8F00_0D294823C744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Text Password Authentication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nB34CDBC0_988E_401A_93CC_C6103DC30B68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Threat Agent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n385B2A02_580E_49B6_8C97_A00DC541C516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Time Factor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nF44C30A8_A797_4F0C_9C18_D87E7D5A8B88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Token-Based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n1A55C21B_DE0A_4FE1_A1DF_11745E5BD4FF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Touchstroke Recognition Authentication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n2F27DDAD_459D_4B06_9152_168BDF5063F5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Combinations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n88E112AD_03BC_452F_B011_4262CD8C0BF3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Toxic Right Rule (Definition)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n0A784E7B_0620_41F8_886C_EE73E3D5B725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nEA19C95D_BE71_4511_BD9B_2BAB20932E47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Principle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nF8EFEF04_B182_49B6_873F_E26615F57EC1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Principle","group":"","id":"nF8EFEF04_B182_49B6_873F_E26615F57EC1","url":""}</v>
      </c>
    </row>
    <row r="451" spans="1:5" ht="13.9" thickTop="1" thickBot="1" x14ac:dyDescent="0.4">
      <c r="A451" s="3" t="str">
        <f>NodesData[[#This Row],[Common Name]]</f>
        <v>Tranquility Property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nC855E8C7_E00C_40A0_87CC_0A3D02D20B4E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nB2793506_A460_4407_B469_4566BAD26901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Asymmetry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nC47D35F2_7A1A_41A1_8195_7670F9EF176A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Asymmetry","group":"","id":"nC47D35F2_7A1A_41A1_8195_7670F9EF176A","url":""}</v>
      </c>
    </row>
    <row r="454" spans="1:5" ht="13.9" thickTop="1" thickBot="1" x14ac:dyDescent="0.4">
      <c r="A454" s="3" t="str">
        <f>NodesData[[#This Row],[Common Name]]</f>
        <v>Trust Composability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n8641763B_1732_427E_AF37_EF5DD6632158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Personalization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n18083FD1_D5F0_4E0D_A480_197792E123C8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Trust Transitivity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nCD00A5EF_798C_4F7D_9B92_119FBE900ECA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Typing Biometrics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n09F029F1_A06C_4F7F_8CAF_95CAC4F6F97C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Typology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n2E25798C_AEE6_442B_83C3_21A39D1F4E2E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Unanticipated User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n049772BC_8F65_4681_926F_AB741F518CEF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Unauthorized Access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n79D52FB7_6D56_40B0_A404_F332AF6DE5A6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Unique ID Number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nEE2DD2E7_A2A2_44AC_9F06_D2358264FA2D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Unprivileged Insider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n3D40EC0D_C7CE_4C19_B8E2_09518A62B569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nA5E34595_12DD_4352_8631_FB7FFCBB533D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Account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n6B5455A2_414F_4D8D_A36C_895CC996359A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De-Provisioning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n5BB42061_7CD1_4689_84B8_77016A34CE94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Entitlement Reviews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n50576DCB_DC90_4189_AEDA_22168AAD0DC2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ID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n1148493D_DE5A_4FAF_941A_234122DBF560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 Provisioning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n67A7DB08_4CCF_4966_AEF4_89B2AC2A297A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User-Centric Identity Management System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nC19BDC8E_5AE1_49EE_B831_B43B924ECC1B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Username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nF75517D5_69C2_4310_B3EF_77311A1A8188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Verifiable Claim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nBAB37068_1EF4_414F_B40B_EB8997E19974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Verification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nB3A3E0DE_D501_4C64_92EE_6EED35F0E8F7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Directory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n1AA5AE61_B346_43B1_87DF_35A927EA0AED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Private Network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nF173E0D3_8348_4DCB_B1D7_16C85C1013B0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Virtual Risk and Security Site Review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n5EF5EB18_F868_43E0_BC5D_FB928B82CC59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OTP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nC0D8C0B5_1A70_4CB1_9F83_D00B0375C928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OTP","group":"","id":"nC0D8C0B5_1A70_4CB1_9F83_D00B0375C928","url":""}</v>
      </c>
      <c r="F476" s="26"/>
    </row>
    <row r="477" spans="1:6" ht="13.9" thickTop="1" thickBot="1" x14ac:dyDescent="0.4">
      <c r="A477" s="8" t="str">
        <f>NodesData[[#This Row],[Common Name]]</f>
        <v>Voice Recognition Authentication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nC196E133_4263_4398_B44A_B3053AC5D0E8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7" s="26"/>
    </row>
    <row r="478" spans="1:6" ht="13.9" thickTop="1" thickBot="1" x14ac:dyDescent="0.4">
      <c r="A478" s="8" t="str">
        <f>NodesData[[#This Row],[Common Name]]</f>
        <v>VPN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n792AF52F_202C_4B84_9837_C86A7BE5C6D4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8" s="26"/>
    </row>
    <row r="479" spans="1:6" ht="13.9" thickTop="1" thickBot="1" x14ac:dyDescent="0.4">
      <c r="A479" s="8" t="str">
        <f>NodesData[[#This Row],[Common Name]]</f>
        <v>Weak Authentication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n20C6E76A_E99F_4AC3_B579_997897697AA6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9" s="26"/>
    </row>
    <row r="480" spans="1:6" ht="13.9" thickTop="1" thickBot="1" x14ac:dyDescent="0.4">
      <c r="A480" s="8" t="str">
        <f>NodesData[[#This Row],[Common Name]]</f>
        <v>Weak Tranquility Property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nE5CAB332_46E5_4872_9347_07D71C60B1DD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80" s="26"/>
    </row>
    <row r="481" spans="1:6" ht="13.9" thickTop="1" thickBot="1" x14ac:dyDescent="0.4">
      <c r="A481" s="8" t="str">
        <f>NodesData[[#This Row],[Common Name]]</f>
        <v>Web-based Single Sign-On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nA714C34F_E109_4195_A309_62764B001097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1" s="26"/>
    </row>
    <row r="482" spans="1:6" ht="13.9" thickTop="1" thickBot="1" x14ac:dyDescent="0.4">
      <c r="A482" s="8" t="str">
        <f>NodesData[[#This Row],[Common Name]]</f>
        <v>Windows (Non-Default) Local User Account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nAF6BA4B5_C4EC_4B28_8369_799EADD91BB8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2" s="26"/>
    </row>
    <row r="483" spans="1:6" ht="13.9" thickTop="1" thickBot="1" x14ac:dyDescent="0.4">
      <c r="A483" s="8" t="str">
        <f>NodesData[[#This Row],[Common Name]]</f>
        <v>Windows Default Local System Account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n30C769A5_3901_4FE2_A484_26752443F078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3" s="26"/>
    </row>
    <row r="484" spans="1:6" ht="13.9" thickTop="1" thickBot="1" x14ac:dyDescent="0.4">
      <c r="A484" s="8" t="str">
        <f>NodesData[[#This Row],[Common Name]]</f>
        <v>Windows Default Local User Account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n57652DD2_8622_4048_95C6_3D1CA71B338F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4" s="26"/>
    </row>
    <row r="485" spans="1:6" ht="13.9" thickTop="1" thickBot="1" x14ac:dyDescent="0.4">
      <c r="A485" s="8" t="str">
        <f>NodesData[[#This Row],[Common Name]]</f>
        <v>Windows DefaultAccount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nDB980524_D5B2_4D4E_A6E4_3725625E9ED0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5" s="26"/>
    </row>
    <row r="486" spans="1:6" ht="13.9" thickTop="1" thickBot="1" x14ac:dyDescent="0.4">
      <c r="A486" s="8" t="str">
        <f>NodesData[[#This Row],[Common Name]]</f>
        <v>Windows Guest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n7B6F5266_C940_417B_9FB2_8373338B3D43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6" s="26"/>
    </row>
    <row r="487" spans="1:6" ht="13.9" thickTop="1" thickBot="1" x14ac:dyDescent="0.4">
      <c r="A487" s="8" t="str">
        <f>NodesData[[#This Row],[Common Name]]</f>
        <v>Windows HelpAssistant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n6E36BCF4_0D2E_423E_A7F2_1859C5F43F22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7" s="26"/>
    </row>
    <row r="488" spans="1:6" ht="13.9" thickTop="1" thickBot="1" x14ac:dyDescent="0.4">
      <c r="A488" s="8" t="str">
        <f>NodesData[[#This Row],[Common Name]]</f>
        <v>Windows Local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n3B7CBF53_A57C_44ED_AD36_C72517D3DEF6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8" s="26"/>
    </row>
    <row r="489" spans="1:6" ht="13.9" thickTop="1" thickBot="1" x14ac:dyDescent="0.4">
      <c r="A489" s="8" t="str">
        <f>NodesData[[#This Row],[Common Name]]</f>
        <v>Windows Local Administrator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nCDE26EDC_0440_4B98_9517_E35E3F6BE7DF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9" s="26"/>
    </row>
    <row r="490" spans="1:6" ht="13.5" thickTop="1" thickBot="1" x14ac:dyDescent="0.4">
      <c r="A490" s="4" t="str">
        <f>NodesData[[#This Row],[Common Name]]</f>
        <v>Windows LOCAL SERVICE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nBFD644BE_EADE_44D5_BDAE_64B1E095A11B</v>
      </c>
      <c r="D490" s="4"/>
      <c r="E490" s="34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</row>
    <row r="491" spans="1:6" ht="13.5" thickTop="1" thickBot="1" x14ac:dyDescent="0.4">
      <c r="A491" s="4" t="str">
        <f>NodesData[[#This Row],[Common Name]]</f>
        <v>Windows NETWORK SERVICE Account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n24EDEEBB_184D_4CD9_AF97_8ED49C048AC4</v>
      </c>
      <c r="D491" s="4"/>
      <c r="E491" s="34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2" spans="1:6" ht="13.5" thickTop="1" thickBot="1" x14ac:dyDescent="0.4">
      <c r="A492" s="4" t="str">
        <f>NodesData[[#This Row],[Common Name]]</f>
        <v>Windows Security Identifier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n4442B948_CB96_4FB1_B197_0CB8512232F5</v>
      </c>
      <c r="D492" s="4"/>
      <c r="E492" s="34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3" spans="1:6" ht="13.5" thickTop="1" thickBot="1" x14ac:dyDescent="0.4">
      <c r="A493" s="4" t="str">
        <f>NodesData[[#This Row],[Common Name]]</f>
        <v>Windows SYSTEM Account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n3B05549C_D612_4F93_B225_856E09571963</v>
      </c>
      <c r="D493" s="4"/>
      <c r="E493" s="34" t="str" cm="1">
        <f t="array" ref="E493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4" spans="1:6" ht="13.5" thickTop="1" thickBot="1" x14ac:dyDescent="0.4">
      <c r="A494" s="4" t="str">
        <f>NodesData[[#This Row],[Common Name]]</f>
        <v>Worker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nA88BF1ED_4AE8_4B89_B290_4D73E6D0E99B</v>
      </c>
      <c r="D494" s="4"/>
      <c r="E494" s="34" t="str" cm="1">
        <f t="array" ref="E494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5" spans="1:6" ht="13.5" thickTop="1" thickBot="1" x14ac:dyDescent="0.4">
      <c r="A495" s="4" t="str">
        <f>NodesData[[#This Row],[Common Name]]</f>
        <v>Workflow-Sensitive Access Control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nFAD010FC_681A_4C15_94C3_71AEB684C44D</v>
      </c>
      <c r="D495" s="4"/>
      <c r="E495" s="34" t="str" cm="1">
        <f t="array" ref="E495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6" spans="1:6" ht="13.5" thickTop="1" thickBot="1" x14ac:dyDescent="0.4">
      <c r="A496" s="4" t="str">
        <f>NodesData[[#This Row],[Common Name]]</f>
        <v>Workforce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nCC381DA1_CA00_4281_80DE_4480AA826170</v>
      </c>
      <c r="D496" s="4"/>
      <c r="E496" s="34" t="str" cm="1">
        <f t="array" ref="E496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497" spans="1:5" ht="13.5" thickTop="1" thickBot="1" x14ac:dyDescent="0.4">
      <c r="A497" s="4" t="str">
        <f>NodesData[[#This Row],[Common Name]]</f>
        <v>XACML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n3EE5AC73_62B3_4719_B4EA_AF76F43BF4D4</v>
      </c>
      <c r="D497" s="4"/>
      <c r="E497" s="34" t="str" cm="1">
        <f t="array" ref="E497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498" spans="1:5" ht="13.5" thickTop="1" thickBot="1" x14ac:dyDescent="0.4">
      <c r="A498" s="4" t="str">
        <f>NodesData[[#This Row],[Common Name]]</f>
        <v>Zero-Trust Access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nA083172A_2D30_45C1_A7AA_C0950BF75AF5</v>
      </c>
      <c r="D498" s="4"/>
      <c r="E498" s="34" t="str" cm="1">
        <f t="array" ref="E498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499" spans="1:5" ht="13.5" thickTop="1" thickBot="1" x14ac:dyDescent="0.4">
      <c r="A499" s="4" t="str">
        <f>NodesData[[#This Row],[Common Name]]</f>
        <v>Zombie Account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n32F8B5A2_2FF3_46A6_92A0_A0A74C77207C</v>
      </c>
      <c r="D499" s="4"/>
      <c r="E499" s="34" t="str" cm="1">
        <f t="array" ref="E499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500" spans="1:5" ht="13.15" thickTop="1" x14ac:dyDescent="0.35">
      <c r="A500" s="4" t="str">
        <f>NodesData[[#This Row],[Common Name]]</f>
        <v>ZTA</v>
      </c>
      <c r="B500" s="8" t="str">
        <f>IF(NodesData[[#This Row],[Context Instanciation]]="","",NodesData[[#This Row],[Context Instanciation]])</f>
        <v/>
      </c>
      <c r="C500" s="27" t="str">
        <f>NodesData[[#This Row],[Node ID]]</f>
        <v>n0BF6DF94_3689_4DC6_A2E2_4E916F963D9A</v>
      </c>
      <c r="D500" s="4"/>
      <c r="E500" s="34" t="str" cm="1">
        <f t="array" ref="E500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6"/>
  <sheetViews>
    <sheetView tabSelected="1" topLeftCell="D49" zoomScale="120" zoomScaleNormal="120" workbookViewId="0">
      <selection activeCell="D56" sqref="D56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1909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n96BD0C0B_9A7F_45ED_9519_30416CA253CB</v>
      </c>
      <c r="B3" s="21" t="str">
        <f>EdgesData[[#This Row],[Node A ID]]</f>
        <v>Biometric Identification</v>
      </c>
      <c r="C3" s="21" t="str">
        <f>EdgesData[[#This Row],[Node B ID]]</f>
        <v>Authentication Method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{"id":"n96BD0C0B_9A7F_45ED_9519_30416CA253CB","from":"Biometric Identification","to":"Authentication Method","label":"is"}</v>
      </c>
    </row>
    <row r="4" spans="1:5" ht="13.9" thickTop="1" thickBot="1" x14ac:dyDescent="0.4">
      <c r="A4" s="21" t="str">
        <f>EdgesData[[#This Row],[Edge ID]]</f>
        <v>nCFA197D3_9344_415D_9209_905E09487E5F</v>
      </c>
      <c r="B4" s="21" t="str">
        <f>EdgesData[[#This Row],[Node A ID]]</f>
        <v>Boundary Control</v>
      </c>
      <c r="C4" s="21" t="str">
        <f>EdgesData[[#This Row],[Node B ID]]</f>
        <v>Control Class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,{"id":"nCFA197D3_9344_415D_9209_905E09487E5F","from":"Boundary Control","to":"Control Class","label":"is"}</v>
      </c>
    </row>
    <row r="5" spans="1:5" ht="13.9" thickTop="1" thickBot="1" x14ac:dyDescent="0.4">
      <c r="A5" s="21" t="str">
        <f>EdgesData[[#This Row],[Edge ID]]</f>
        <v>n185B7D84_8C31_44D8_907D_0EEC1E5DC38A</v>
      </c>
      <c r="B5" s="21" t="str">
        <f>EdgesData[[#This Row],[Node A ID]]</f>
        <v>Boundary Control</v>
      </c>
      <c r="C5" s="21" t="str">
        <f>EdgesData[[#This Row],[Node B ID]]</f>
        <v>System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,{"id":"n185B7D84_8C31_44D8_907D_0EEC1E5DC38A","from":"Boundary Control","to":"System","label":"protects"}</v>
      </c>
    </row>
    <row r="6" spans="1:5" ht="13.9" thickTop="1" thickBot="1" x14ac:dyDescent="0.4">
      <c r="A6" s="21" t="str">
        <f>EdgesData[[#This Row],[Edge ID]]</f>
        <v>n6EA23684_7375_433D_8170_212A6AB58564</v>
      </c>
      <c r="B6" s="21" t="str">
        <f>EdgesData[[#This Row],[Node A ID]]</f>
        <v>Boundary Control</v>
      </c>
      <c r="C6" s="21" t="str">
        <f>EdgesData[[#This Row],[Node B ID]]</f>
        <v>External Threat Agent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,{"id":"n6EA23684_7375_433D_8170_212A6AB58564","from":"Boundary Control","to":"External Threat Agent","label":"protects from"}</v>
      </c>
    </row>
    <row r="7" spans="1:5" ht="13.9" thickTop="1" thickBot="1" x14ac:dyDescent="0.4">
      <c r="A7" s="21" t="str">
        <f>EdgesData[[#This Row],[Edge ID]]</f>
        <v>n7CFCDE36_D268_40C8_9818_5F762B04D5C3</v>
      </c>
      <c r="B7" s="21" t="str">
        <f>EdgesData[[#This Row],[Node A ID]]</f>
        <v>Brainwaves Authentication</v>
      </c>
      <c r="C7" s="21" t="str">
        <f>EdgesData[[#This Row],[Node B ID]]</f>
        <v>Authentication Method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,{"id":"n7CFCDE36_D268_40C8_9818_5F762B04D5C3","from":"Brainwaves Authentication","to":"Authentication Method","label":"is"}</v>
      </c>
    </row>
    <row r="8" spans="1:5" ht="13.9" thickTop="1" thickBot="1" x14ac:dyDescent="0.4">
      <c r="A8" s="21" t="str">
        <f>EdgesData[[#This Row],[Edge ID]]</f>
        <v>n9E30E2ED_A60B_4197_A894_F66D9251EA8D</v>
      </c>
      <c r="B8" s="21" t="str">
        <f>EdgesData[[#This Row],[Node A ID]]</f>
        <v>Brainwaves Authentication</v>
      </c>
      <c r="C8" s="21" t="str">
        <f>EdgesData[[#This Row],[Node B ID]]</f>
        <v>Biometric Identification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,{"id":"n9E30E2ED_A60B_4197_A894_F66D9251EA8D","from":"Brainwaves Authentication","to":"Biometric Identification","label":"is"}</v>
      </c>
    </row>
    <row r="9" spans="1:5" ht="13.9" thickTop="1" thickBot="1" x14ac:dyDescent="0.4">
      <c r="A9" s="21" t="str">
        <f>EdgesData[[#This Row],[Edge ID]]</f>
        <v>n0FA15067_803F_459E_A370_46E2E4164F90</v>
      </c>
      <c r="B9" s="21" t="str">
        <f>EdgesData[[#This Row],[Node A ID]]</f>
        <v>Data</v>
      </c>
      <c r="C9" s="21" t="str">
        <f>EdgesData[[#This Row],[Node B ID]]</f>
        <v>IT Component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,{"id":"n0FA15067_803F_459E_A370_46E2E4164F90","from":"Data","to":"IT Component","label":"is"}</v>
      </c>
    </row>
    <row r="10" spans="1:5" ht="13.9" thickTop="1" thickBot="1" x14ac:dyDescent="0.4">
      <c r="A10" s="21" t="str">
        <f>EdgesData[[#This Row],[Edge ID]]</f>
        <v>n16067629_26D5_42A1_BDB2_97473A56EAB7</v>
      </c>
      <c r="B10" s="21" t="str">
        <f>EdgesData[[#This Row],[Node A ID]]</f>
        <v>Data Operation</v>
      </c>
      <c r="C10" s="21" t="str">
        <f>EdgesData[[#This Row],[Node B ID]]</f>
        <v>IT Component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,{"id":"n16067629_26D5_42A1_BDB2_97473A56EAB7","from":"Data Operation","to":"IT Component","label":"is"}</v>
      </c>
    </row>
    <row r="11" spans="1:5" ht="13.9" thickTop="1" thickBot="1" x14ac:dyDescent="0.4">
      <c r="A11" s="21" t="str">
        <f>EdgesData[[#This Row],[Edge ID]]</f>
        <v>n79C52E10_73FE_4CAF_A156_854467FC67DC</v>
      </c>
      <c r="B11" s="21" t="str">
        <f>EdgesData[[#This Row],[Node A ID]]</f>
        <v>External Threat Agent</v>
      </c>
      <c r="C11" s="21" t="str">
        <f>EdgesData[[#This Row],[Node B ID]]</f>
        <v>Threat Agent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,{"id":"n79C52E10_73FE_4CAF_A156_854467FC67DC","from":"External Threat Agent","to":"Threat Agent","label":"is"}</v>
      </c>
    </row>
    <row r="12" spans="1:5" ht="13.9" thickTop="1" thickBot="1" x14ac:dyDescent="0.4">
      <c r="A12" s="21" t="str">
        <f>EdgesData[[#This Row],[Edge ID]]</f>
        <v>n74EDF48C_1856_4E54_BBD1_44DC4A97ABCE</v>
      </c>
      <c r="B12" s="21" t="str">
        <f>EdgesData[[#This Row],[Node A ID]]</f>
        <v>Facial Recognition Authentication</v>
      </c>
      <c r="C12" s="21" t="str">
        <f>EdgesData[[#This Row],[Node B ID]]</f>
        <v>Authentication Method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,{"id":"n74EDF48C_1856_4E54_BBD1_44DC4A97ABCE","from":"Facial Recognition Authentication","to":"Authentication Method","label":"is"}</v>
      </c>
    </row>
    <row r="13" spans="1:5" ht="13.9" thickTop="1" thickBot="1" x14ac:dyDescent="0.4">
      <c r="A13" s="21" t="str">
        <f>EdgesData[[#This Row],[Edge ID]]</f>
        <v>n433C0CE8_199B_41A4_BBC0_39E1F2549476</v>
      </c>
      <c r="B13" s="21" t="str">
        <f>EdgesData[[#This Row],[Node A ID]]</f>
        <v>Facial Recognition Authentication</v>
      </c>
      <c r="C13" s="21" t="str">
        <f>EdgesData[[#This Row],[Node B ID]]</f>
        <v>Biometric Identification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,{"id":"n433C0CE8_199B_41A4_BBC0_39E1F2549476","from":"Facial Recognition Authentication","to":"Biometric Identification","label":"is"}</v>
      </c>
    </row>
    <row r="14" spans="1:5" ht="13.9" thickTop="1" thickBot="1" x14ac:dyDescent="0.4">
      <c r="A14" s="21" t="str">
        <f>EdgesData[[#This Row],[Edge ID]]</f>
        <v>n0C9CFDC8_E9C2_4E79_8947_C460FAB26FA9</v>
      </c>
      <c r="B14" s="21" t="str">
        <f>EdgesData[[#This Row],[Node A ID]]</f>
        <v>Fingerprint Recognition Authentication</v>
      </c>
      <c r="C14" s="21" t="str">
        <f>EdgesData[[#This Row],[Node B ID]]</f>
        <v>Authentication Method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,{"id":"n0C9CFDC8_E9C2_4E79_8947_C460FAB26FA9","from":"Fingerprint Recognition Authentication","to":"Authentication Method","label":"is"}</v>
      </c>
    </row>
    <row r="15" spans="1:5" ht="13.9" thickTop="1" thickBot="1" x14ac:dyDescent="0.4">
      <c r="A15" s="21" t="str">
        <f>EdgesData[[#This Row],[Edge ID]]</f>
        <v>n4AB9C546_49D0_4EA2_8498_0D2C04578B1D</v>
      </c>
      <c r="B15" s="21" t="str">
        <f>EdgesData[[#This Row],[Node A ID]]</f>
        <v>Fingerprint Recognition Authentication</v>
      </c>
      <c r="C15" s="21" t="str">
        <f>EdgesData[[#This Row],[Node B ID]]</f>
        <v>Biometric Identification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,{"id":"n4AB9C546_49D0_4EA2_8498_0D2C04578B1D","from":"Fingerprint Recognition Authentication","to":"Biometric Identification","label":"is"}</v>
      </c>
    </row>
    <row r="16" spans="1:5" ht="13.9" thickTop="1" thickBot="1" x14ac:dyDescent="0.4">
      <c r="A16" s="21" t="str">
        <f>EdgesData[[#This Row],[Edge ID]]</f>
        <v>n1774DB80_05C1_4022_AD00_69849ED81D66</v>
      </c>
      <c r="B16" s="21" t="str">
        <f>EdgesData[[#This Row],[Node A ID]]</f>
        <v>Gait Recognition Authentication</v>
      </c>
      <c r="C16" s="21" t="str">
        <f>EdgesData[[#This Row],[Node B ID]]</f>
        <v>Authentication Method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,{"id":"n1774DB80_05C1_4022_AD00_69849ED81D66","from":"Gait Recognition Authentication","to":"Authentication Method","label":"is"}</v>
      </c>
    </row>
    <row r="17" spans="1:5" ht="13.9" thickTop="1" thickBot="1" x14ac:dyDescent="0.4">
      <c r="A17" s="21" t="str">
        <f>EdgesData[[#This Row],[Edge ID]]</f>
        <v>n5FE7C068_1E39_497D_A95C_9B7E7A82CB68</v>
      </c>
      <c r="B17" s="21" t="str">
        <f>EdgesData[[#This Row],[Node A ID]]</f>
        <v>Gait Recognition Authentication</v>
      </c>
      <c r="C17" s="21" t="str">
        <f>EdgesData[[#This Row],[Node B ID]]</f>
        <v>Biometric Identification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,{"id":"n5FE7C068_1E39_497D_A95C_9B7E7A82CB68","from":"Gait Recognition Authentication","to":"Biometric Identification","label":"is"}</v>
      </c>
    </row>
    <row r="18" spans="1:5" ht="13.9" thickTop="1" thickBot="1" x14ac:dyDescent="0.4">
      <c r="A18" s="21" t="str">
        <f>EdgesData[[#This Row],[Edge ID]]</f>
        <v>n1590C804_C1D3_45D7_9BD1_A699E03C4480</v>
      </c>
      <c r="B18" s="21" t="str">
        <f>EdgesData[[#This Row],[Node A ID]]</f>
        <v>Hand Gestures Recognition Authentication</v>
      </c>
      <c r="C18" s="21" t="str">
        <f>EdgesData[[#This Row],[Node B ID]]</f>
        <v>Authentication Method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,{"id":"n1590C804_C1D3_45D7_9BD1_A699E03C4480","from":"Hand Gestures Recognition Authentication","to":"Authentication Method","label":"is"}</v>
      </c>
    </row>
    <row r="19" spans="1:5" ht="13.9" thickTop="1" thickBot="1" x14ac:dyDescent="0.4">
      <c r="A19" s="21" t="str">
        <f>EdgesData[[#This Row],[Edge ID]]</f>
        <v>n1C84502F_9CE4_45AD_8152_4C28CF43CC7A</v>
      </c>
      <c r="B19" s="21" t="str">
        <f>EdgesData[[#This Row],[Node A ID]]</f>
        <v>Hand Gestures Recognition Authentication</v>
      </c>
      <c r="C19" s="21" t="str">
        <f>EdgesData[[#This Row],[Node B ID]]</f>
        <v>Biometric Identification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,{"id":"n1C84502F_9CE4_45AD_8152_4C28CF43CC7A","from":"Hand Gestures Recognition Authentication","to":"Biometric Identification","label":"is"}</v>
      </c>
    </row>
    <row r="20" spans="1:5" ht="13.9" thickTop="1" thickBot="1" x14ac:dyDescent="0.4">
      <c r="A20" s="21" t="str">
        <f>EdgesData[[#This Row],[Edge ID]]</f>
        <v>n58FF34AB_C0AD_4329_B54F_8DA88A1CEA2B</v>
      </c>
      <c r="B20" s="21" t="str">
        <f>EdgesData[[#This Row],[Node A ID]]</f>
        <v>Heartbeats Recognition Authentication</v>
      </c>
      <c r="C20" s="21" t="str">
        <f>EdgesData[[#This Row],[Node B ID]]</f>
        <v>Authentication Method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,{"id":"n58FF34AB_C0AD_4329_B54F_8DA88A1CEA2B","from":"Heartbeats Recognition Authentication","to":"Authentication Method","label":"is"}</v>
      </c>
    </row>
    <row r="21" spans="1:5" ht="13.9" thickTop="1" thickBot="1" x14ac:dyDescent="0.4">
      <c r="A21" s="21" t="str">
        <f>EdgesData[[#This Row],[Edge ID]]</f>
        <v>nC04D4E4C_23D6_4E6A_B5A4_713BF692C4A9</v>
      </c>
      <c r="B21" s="21" t="str">
        <f>EdgesData[[#This Row],[Node A ID]]</f>
        <v>Heartbeats Recognition Authentication</v>
      </c>
      <c r="C21" s="21" t="str">
        <f>EdgesData[[#This Row],[Node B ID]]</f>
        <v>Biometric Identification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,{"id":"nC04D4E4C_23D6_4E6A_B5A4_713BF692C4A9","from":"Heartbeats Recognition Authentication","to":"Biometric Identification","label":"is"}</v>
      </c>
    </row>
    <row r="22" spans="1:5" ht="13.9" thickTop="1" thickBot="1" x14ac:dyDescent="0.4">
      <c r="A22" s="21" t="str">
        <f>EdgesData[[#This Row],[Edge ID]]</f>
        <v>nA91494B0_E4BA_4773_AE36_FBC723F16E58</v>
      </c>
      <c r="B22" s="21" t="str">
        <f>EdgesData[[#This Row],[Node A ID]]</f>
        <v>Inherence Factor</v>
      </c>
      <c r="C22" s="21" t="str">
        <f>EdgesData[[#This Row],[Node B ID]]</f>
        <v>Authentication Factor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,{"id":"nA91494B0_E4BA_4773_AE36_FBC723F16E58","from":"Inherence Factor","to":"Authentication Factor","label":"is"}</v>
      </c>
    </row>
    <row r="23" spans="1:5" ht="13.9" thickTop="1" thickBot="1" x14ac:dyDescent="0.4">
      <c r="A23" s="21" t="str">
        <f>EdgesData[[#This Row],[Edge ID]]</f>
        <v>n2A19C71F_AFEB_4CB7_ABBC_B7834D29F28C</v>
      </c>
      <c r="B23" s="21" t="str">
        <f>EdgesData[[#This Row],[Node A ID]]</f>
        <v>Iris Recognition Authentication</v>
      </c>
      <c r="C23" s="21" t="str">
        <f>EdgesData[[#This Row],[Node B ID]]</f>
        <v>Authentication Method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,{"id":"n2A19C71F_AFEB_4CB7_ABBC_B7834D29F28C","from":"Iris Recognition Authentication","to":"Authentication Method","label":"is"}</v>
      </c>
    </row>
    <row r="24" spans="1:5" ht="13.9" thickTop="1" thickBot="1" x14ac:dyDescent="0.4">
      <c r="A24" s="21" t="str">
        <f>EdgesData[[#This Row],[Edge ID]]</f>
        <v>nD0C6BF06_6975_4E42_948E_4BA9B597C722</v>
      </c>
      <c r="B24" s="21" t="str">
        <f>EdgesData[[#This Row],[Node A ID]]</f>
        <v>Iris Recognition Authentication</v>
      </c>
      <c r="C24" s="21" t="str">
        <f>EdgesData[[#This Row],[Node B ID]]</f>
        <v>Biometric Identification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,{"id":"nD0C6BF06_6975_4E42_948E_4BA9B597C722","from":"Iris Recognition Authentication","to":"Biometric Identification","label":"is"}</v>
      </c>
    </row>
    <row r="25" spans="1:5" ht="13.9" thickTop="1" thickBot="1" x14ac:dyDescent="0.4">
      <c r="A25" s="21" t="str">
        <f>EdgesData[[#This Row],[Edge ID]]</f>
        <v>n65CE68B0_0066_483B_B881_3572D2E95D0A</v>
      </c>
      <c r="B25" s="21" t="str">
        <f>EdgesData[[#This Row],[Node A ID]]</f>
        <v>IT Hardware</v>
      </c>
      <c r="C25" s="21" t="str">
        <f>EdgesData[[#This Row],[Node B ID]]</f>
        <v>IT Component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,{"id":"n65CE68B0_0066_483B_B881_3572D2E95D0A","from":"IT Hardware","to":"IT Component","label":"is"}</v>
      </c>
    </row>
    <row r="26" spans="1:5" ht="13.9" thickTop="1" thickBot="1" x14ac:dyDescent="0.4">
      <c r="A26" s="21" t="str">
        <f>EdgesData[[#This Row],[Edge ID]]</f>
        <v>nF451769F_A5E2_475A_89F0_5DCF08D27D4F</v>
      </c>
      <c r="B26" s="21" t="str">
        <f>EdgesData[[#This Row],[Node A ID]]</f>
        <v>IT Software</v>
      </c>
      <c r="C26" s="21" t="str">
        <f>EdgesData[[#This Row],[Node B ID]]</f>
        <v>IT Component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,{"id":"nF451769F_A5E2_475A_89F0_5DCF08D27D4F","from":"IT Software","to":"IT Component","label":"is"}</v>
      </c>
    </row>
    <row r="27" spans="1:5" ht="13.9" thickTop="1" thickBot="1" x14ac:dyDescent="0.4">
      <c r="A27" s="21" t="str">
        <f>EdgesData[[#This Row],[Edge ID]]</f>
        <v>n73EBE6B5_2ED2_404F_A9CE_C06A461A9CF9</v>
      </c>
      <c r="B27" s="21" t="str">
        <f>EdgesData[[#This Row],[Node A ID]]</f>
        <v>IT System</v>
      </c>
      <c r="C27" s="21" t="str">
        <f>EdgesData[[#This Row],[Node B ID]]</f>
        <v>IT Component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,{"id":"n73EBE6B5_2ED2_404F_A9CE_C06A461A9CF9","from":"IT System","to":"IT Component","label":"composed of"}</v>
      </c>
    </row>
    <row r="28" spans="1:5" ht="13.9" thickTop="1" thickBot="1" x14ac:dyDescent="0.4">
      <c r="A28" s="21" t="str">
        <f>EdgesData[[#This Row],[Edge ID]]</f>
        <v>n9CA40070_6FEB_4067_8535_532D52F5CC18</v>
      </c>
      <c r="B28" s="21" t="str">
        <f>EdgesData[[#This Row],[Node A ID]]</f>
        <v>IT System</v>
      </c>
      <c r="C28" s="21" t="str">
        <f>EdgesData[[#This Row],[Node B ID]]</f>
        <v>Capability to store information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,{"id":"n9CA40070_6FEB_4067_8535_532D52F5CC18","from":"IT System","to":"Capability to store information","label":"may have"}</v>
      </c>
    </row>
    <row r="29" spans="1:5" ht="13.9" thickTop="1" thickBot="1" x14ac:dyDescent="0.4">
      <c r="A29" s="21" t="str">
        <f>EdgesData[[#This Row],[Edge ID]]</f>
        <v>n87E71156_879E_4B20_B1C3_DA6DCBD5E697</v>
      </c>
      <c r="B29" s="21" t="str">
        <f>EdgesData[[#This Row],[Node A ID]]</f>
        <v>IT System</v>
      </c>
      <c r="C29" s="21" t="str">
        <f>EdgesData[[#This Row],[Node B ID]]</f>
        <v>Capability to transform information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,{"id":"n87E71156_879E_4B20_B1C3_DA6DCBD5E697","from":"IT System","to":"Capability to transform information","label":"may have"}</v>
      </c>
    </row>
    <row r="30" spans="1:5" ht="13.9" thickTop="1" thickBot="1" x14ac:dyDescent="0.4">
      <c r="A30" s="21" t="str">
        <f>EdgesData[[#This Row],[Edge ID]]</f>
        <v>n27C3DAA7_18CE_4679_BFDF_AE332BA90AF5</v>
      </c>
      <c r="B30" s="21" t="str">
        <f>EdgesData[[#This Row],[Node A ID]]</f>
        <v>IT System</v>
      </c>
      <c r="C30" s="21" t="str">
        <f>EdgesData[[#This Row],[Node B ID]]</f>
        <v>Capability to transmit information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,{"id":"n27C3DAA7_18CE_4679_BFDF_AE332BA90AF5","from":"IT System","to":"Capability to transmit information","label":"may have"}</v>
      </c>
    </row>
    <row r="31" spans="1:5" ht="13.9" thickTop="1" thickBot="1" x14ac:dyDescent="0.4">
      <c r="A31" s="21" t="str">
        <f>EdgesData[[#This Row],[Edge ID]]</f>
        <v>n0CBC93F4_6EAE_4195_8F35_23C763EA6BED</v>
      </c>
      <c r="B31" s="21" t="str">
        <f>EdgesData[[#This Row],[Node A ID]]</f>
        <v>IT System</v>
      </c>
      <c r="C31" s="21" t="str">
        <f>EdgesData[[#This Row],[Node B ID]]</f>
        <v>Capabilty to collect information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,{"id":"n0CBC93F4_6EAE_4195_8F35_23C763EA6BED","from":"IT System","to":"Capabilty to collect information","label":"may have"}</v>
      </c>
    </row>
    <row r="32" spans="1:5" ht="13.9" thickTop="1" thickBot="1" x14ac:dyDescent="0.4">
      <c r="A32" s="21" t="str">
        <f>EdgesData[[#This Row],[Edge ID]]</f>
        <v>nD167F915_A861_4436_9497_FFE4AB13F611</v>
      </c>
      <c r="B32" s="21" t="str">
        <f>EdgesData[[#This Row],[Node A ID]]</f>
        <v>IT System</v>
      </c>
      <c r="C32" s="21" t="str">
        <f>EdgesData[[#This Row],[Node B ID]]</f>
        <v>Coherent Whole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,{"id":"nD167F915_A861_4436_9497_FFE4AB13F611","from":"IT System","to":"Coherent Whole","label":"regarded as"}</v>
      </c>
    </row>
    <row r="33" spans="1:5" ht="13.9" thickTop="1" thickBot="1" x14ac:dyDescent="0.4">
      <c r="A33" s="21" t="str">
        <f>EdgesData[[#This Row],[Edge ID]]</f>
        <v>nD1A0D0FD_3118_45AC_BAD3_26E89DBD57DC</v>
      </c>
      <c r="B33" s="21" t="str">
        <f>EdgesData[[#This Row],[Node A ID]]</f>
        <v>Keystroke Recognition Authentication</v>
      </c>
      <c r="C33" s="21" t="str">
        <f>EdgesData[[#This Row],[Node B ID]]</f>
        <v>Touchstroke Recognition Authentication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,{"id":"nD1A0D0FD_3118_45AC_BAD3_26E89DBD57DC","from":"Keystroke Recognition Authentication","to":"Touchstroke Recognition Authentication","label":"synonym for"}</v>
      </c>
    </row>
    <row r="34" spans="1:5" ht="13.9" thickTop="1" thickBot="1" x14ac:dyDescent="0.4">
      <c r="A34" s="21" t="str">
        <f>EdgesData[[#This Row],[Edge ID]]</f>
        <v>n2B5ADEF6_C211_4176_ACE9_EC6BB881B4B9</v>
      </c>
      <c r="B34" s="21" t="str">
        <f>EdgesData[[#This Row],[Node A ID]]</f>
        <v>Keystroke Recognition Authentication</v>
      </c>
      <c r="C34" s="21" t="str">
        <f>EdgesData[[#This Row],[Node B ID]]</f>
        <v>Authentication Method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,{"id":"n2B5ADEF6_C211_4176_ACE9_EC6BB881B4B9","from":"Keystroke Recognition Authentication","to":"Authentication Method","label":"is"}</v>
      </c>
    </row>
    <row r="35" spans="1:5" ht="13.9" thickTop="1" thickBot="1" x14ac:dyDescent="0.4">
      <c r="A35" s="21" t="str">
        <f>EdgesData[[#This Row],[Edge ID]]</f>
        <v>n11F85AC2_D11B_452F_BF41_FAA417F534DE</v>
      </c>
      <c r="B35" s="21" t="str">
        <f>EdgesData[[#This Row],[Node A ID]]</f>
        <v>Keystroke Recognition Authentication</v>
      </c>
      <c r="C35" s="21" t="str">
        <f>EdgesData[[#This Row],[Node B ID]]</f>
        <v>Biometric Identification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,{"id":"n11F85AC2_D11B_452F_BF41_FAA417F534DE","from":"Keystroke Recognition Authentication","to":"Biometric Identification","label":"is"}</v>
      </c>
    </row>
    <row r="36" spans="1:5" ht="13.9" thickTop="1" thickBot="1" x14ac:dyDescent="0.4">
      <c r="A36" s="21" t="str">
        <f>EdgesData[[#This Row],[Edge ID]]</f>
        <v>n001F8278_2466_4E46_AF78_4E1474840B61</v>
      </c>
      <c r="B36" s="21" t="str">
        <f>EdgesData[[#This Row],[Node A ID]]</f>
        <v>Knowledge Factor</v>
      </c>
      <c r="C36" s="21" t="str">
        <f>EdgesData[[#This Row],[Node B ID]]</f>
        <v>Authentication Factor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,{"id":"n001F8278_2466_4E46_AF78_4E1474840B61","from":"Knowledge Factor","to":"Authentication Factor","label":"is"}</v>
      </c>
    </row>
    <row r="37" spans="1:5" ht="13.9" thickTop="1" thickBot="1" x14ac:dyDescent="0.4">
      <c r="A37" s="21" t="str">
        <f>EdgesData[[#This Row],[Edge ID]]</f>
        <v>nEDB85302_2B45_41AE_A687_7FC6755CC78A</v>
      </c>
      <c r="B37" s="21" t="str">
        <f>EdgesData[[#This Row],[Node A ID]]</f>
        <v>Knuckleprint Recognition Authentication</v>
      </c>
      <c r="C37" s="21" t="str">
        <f>EdgesData[[#This Row],[Node B ID]]</f>
        <v>Authentication Method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,{"id":"nEDB85302_2B45_41AE_A687_7FC6755CC78A","from":"Knuckleprint Recognition Authentication","to":"Authentication Method","label":"is"}</v>
      </c>
    </row>
    <row r="38" spans="1:5" ht="13.9" thickTop="1" thickBot="1" x14ac:dyDescent="0.4">
      <c r="A38" s="21" t="str">
        <f>EdgesData[[#This Row],[Edge ID]]</f>
        <v>n70FF5999_70A6_4341_A798_FF05730D05E4</v>
      </c>
      <c r="B38" s="21" t="str">
        <f>EdgesData[[#This Row],[Node A ID]]</f>
        <v>Knuckleprint Recognition Authentication</v>
      </c>
      <c r="C38" s="21" t="str">
        <f>EdgesData[[#This Row],[Node B ID]]</f>
        <v>Biometric Identification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,{"id":"n70FF5999_70A6_4341_A798_FF05730D05E4","from":"Knuckleprint Recognition Authentication","to":"Biometric Identification","label":"is"}</v>
      </c>
    </row>
    <row r="39" spans="1:5" ht="13.9" thickTop="1" thickBot="1" x14ac:dyDescent="0.4">
      <c r="A39" s="21" t="str">
        <f>EdgesData[[#This Row],[Edge ID]]</f>
        <v>n15F3F73F_656D_4BBB_9AC3_F84EFC304F9B</v>
      </c>
      <c r="B39" s="21" t="str">
        <f>EdgesData[[#This Row],[Node A ID]]</f>
        <v>Location Factor</v>
      </c>
      <c r="C39" s="21" t="str">
        <f>EdgesData[[#This Row],[Node B ID]]</f>
        <v>Authentication Factor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,{"id":"n15F3F73F_656D_4BBB_9AC3_F84EFC304F9B","from":"Location Factor","to":"Authentication Factor","label":"is"}</v>
      </c>
    </row>
    <row r="40" spans="1:5" ht="13.9" thickTop="1" thickBot="1" x14ac:dyDescent="0.4">
      <c r="A40" s="21" t="str">
        <f>EdgesData[[#This Row],[Edge ID]]</f>
        <v>nFD6CE81D_6B06_469F_A64B_3ECF2578FB31</v>
      </c>
      <c r="B40" s="21" t="str">
        <f>EdgesData[[#This Row],[Node A ID]]</f>
        <v>Multi-Modal Biometric Authentication</v>
      </c>
      <c r="C40" s="21" t="str">
        <f>EdgesData[[#This Row],[Node B ID]]</f>
        <v>Authentication Method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,{"id":"nFD6CE81D_6B06_469F_A64B_3ECF2578FB31","from":"Multi-Modal Biometric Authentication","to":"Authentication Method","label":"is"}</v>
      </c>
    </row>
    <row r="41" spans="1:5" ht="13.9" thickTop="1" thickBot="1" x14ac:dyDescent="0.4">
      <c r="A41" s="21" t="str">
        <f>EdgesData[[#This Row],[Edge ID]]</f>
        <v>n6D604365_C71A_4947_B0C6_C3C723101DA5</v>
      </c>
      <c r="B41" s="21" t="str">
        <f>EdgesData[[#This Row],[Node A ID]]</f>
        <v>Multi-Modal Biometric Authentication</v>
      </c>
      <c r="C41" s="21" t="str">
        <f>EdgesData[[#This Row],[Node B ID]]</f>
        <v>Biometric Identification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,{"id":"n6D604365_C71A_4947_B0C6_C3C723101DA5","from":"Multi-Modal Biometric Authentication","to":"Biometric Identification","label":"is"}</v>
      </c>
    </row>
    <row r="42" spans="1:5" ht="13.9" thickTop="1" thickBot="1" x14ac:dyDescent="0.4">
      <c r="A42" s="21" t="str">
        <f>EdgesData[[#This Row],[Edge ID]]</f>
        <v>n4884F8ED_EB06_4C77_8CB8_03E3BD0B0DF6</v>
      </c>
      <c r="B42" s="21" t="str">
        <f>EdgesData[[#This Row],[Node A ID]]</f>
        <v>Palmprint Recognition Authentication</v>
      </c>
      <c r="C42" s="21" t="str">
        <f>EdgesData[[#This Row],[Node B ID]]</f>
        <v>Authentication Method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,{"id":"n4884F8ED_EB06_4C77_8CB8_03E3BD0B0DF6","from":"Palmprint Recognition Authentication","to":"Authentication Method","label":"is"}</v>
      </c>
    </row>
    <row r="43" spans="1:5" ht="13.9" thickTop="1" thickBot="1" x14ac:dyDescent="0.4">
      <c r="A43" s="21" t="str">
        <f>EdgesData[[#This Row],[Edge ID]]</f>
        <v>n59BAA06D_2BF6_4A51_B53B_A8361236B480</v>
      </c>
      <c r="B43" s="21" t="str">
        <f>EdgesData[[#This Row],[Node A ID]]</f>
        <v>Palmprint Recognition Authentication</v>
      </c>
      <c r="C43" s="21" t="str">
        <f>EdgesData[[#This Row],[Node B ID]]</f>
        <v>Biometric Identification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,{"id":"n59BAA06D_2BF6_4A51_B53B_A8361236B480","from":"Palmprint Recognition Authentication","to":"Biometric Identification","label":"is"}</v>
      </c>
    </row>
    <row r="44" spans="1:5" ht="13.9" thickTop="1" thickBot="1" x14ac:dyDescent="0.4">
      <c r="A44" s="21" t="str">
        <f>EdgesData[[#This Row],[Edge ID]]</f>
        <v>n1077CFA1_7D9B_4396_844D_B149B6ABF35D</v>
      </c>
      <c r="B44" s="21" t="str">
        <f>EdgesData[[#This Row],[Node A ID]]</f>
        <v>Possession Factor</v>
      </c>
      <c r="C44" s="21" t="str">
        <f>EdgesData[[#This Row],[Node B ID]]</f>
        <v>Authentication Factor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,{"id":"n1077CFA1_7D9B_4396_844D_B149B6ABF35D","from":"Possession Factor","to":"Authentication Factor","label":"is"}</v>
      </c>
    </row>
    <row r="45" spans="1:5" ht="13.9" thickTop="1" thickBot="1" x14ac:dyDescent="0.4">
      <c r="A45" s="21" t="str">
        <f>EdgesData[[#This Row],[Edge ID]]</f>
        <v>nE94E97D6_EDA3_48F8_B3A2_FF2D38612803</v>
      </c>
      <c r="B45" s="21" t="str">
        <f>EdgesData[[#This Row],[Node A ID]]</f>
        <v>Time Factor</v>
      </c>
      <c r="C45" s="21" t="str">
        <f>EdgesData[[#This Row],[Node B ID]]</f>
        <v>Authentication Factor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,{"id":"nE94E97D6_EDA3_48F8_B3A2_FF2D38612803","from":"Time Factor","to":"Authentication Factor","label":"is"}</v>
      </c>
    </row>
    <row r="46" spans="1:5" ht="13.9" thickTop="1" thickBot="1" x14ac:dyDescent="0.4">
      <c r="A46" s="21" t="str">
        <f>EdgesData[[#This Row],[Edge ID]]</f>
        <v>n54777CBB_23A1_4D88_9399_8132024209B6</v>
      </c>
      <c r="B46" s="21" t="str">
        <f>EdgesData[[#This Row],[Node A ID]]</f>
        <v>Touchstroke Recognition Authentication</v>
      </c>
      <c r="C46" s="21" t="str">
        <f>EdgesData[[#This Row],[Node B ID]]</f>
        <v>Authentication Method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,{"id":"n54777CBB_23A1_4D88_9399_8132024209B6","from":"Touchstroke Recognition Authentication","to":"Authentication Method","label":"is"}</v>
      </c>
    </row>
    <row r="47" spans="1:5" ht="13.9" thickTop="1" thickBot="1" x14ac:dyDescent="0.4">
      <c r="A47" s="21" t="str">
        <f>EdgesData[[#This Row],[Edge ID]]</f>
        <v>n08F36C07_95CB_4A9F_8AF7_DA92D0D85FAD</v>
      </c>
      <c r="B47" s="21" t="str">
        <f>EdgesData[[#This Row],[Node A ID]]</f>
        <v>Touchstroke Recognition Authentication</v>
      </c>
      <c r="C47" s="21" t="str">
        <f>EdgesData[[#This Row],[Node B ID]]</f>
        <v>Biometric Identification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,{"id":"n08F36C07_95CB_4A9F_8AF7_DA92D0D85FAD","from":"Touchstroke Recognition Authentication","to":"Biometric Identification","label":"is"}</v>
      </c>
    </row>
    <row r="48" spans="1:5" ht="13.9" thickTop="1" thickBot="1" x14ac:dyDescent="0.4">
      <c r="A48" s="21" t="str">
        <f>EdgesData[[#This Row],[Edge ID]]</f>
        <v>nA8B2A66F_C080_41DF_B473_E0485D490580</v>
      </c>
      <c r="B48" s="21" t="str">
        <f>EdgesData[[#This Row],[Node A ID]]</f>
        <v>Voice Recognition Authentication</v>
      </c>
      <c r="C48" s="21" t="str">
        <f>EdgesData[[#This Row],[Node B ID]]</f>
        <v>Authentication Method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,{"id":"nA8B2A66F_C080_41DF_B473_E0485D490580","from":"Voice Recognition Authentication","to":"Authentication Method","label":"is"}</v>
      </c>
    </row>
    <row r="49" spans="1:5" ht="13.9" thickTop="1" thickBot="1" x14ac:dyDescent="0.4">
      <c r="A49" s="21" t="str">
        <f>EdgesData[[#This Row],[Edge ID]]</f>
        <v>nE1568646_8A29_4498_8C6C_7219DE88E7DA</v>
      </c>
      <c r="B49" s="21" t="str">
        <f>EdgesData[[#This Row],[Node A ID]]</f>
        <v>Voice Recognition Authentication</v>
      </c>
      <c r="C49" s="21" t="str">
        <f>EdgesData[[#This Row],[Node B ID]]</f>
        <v>Biometric Identification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,{"id":"nE1568646_8A29_4498_8C6C_7219DE88E7DA","from":"Voice Recognition Authentication","to":"Biometric Identification","label":"is"}</v>
      </c>
    </row>
    <row r="50" spans="1:5" ht="13.9" thickTop="1" thickBot="1" x14ac:dyDescent="0.4">
      <c r="A50" s="21" t="str">
        <f>EdgesData[[#This Row],[Edge ID]]</f>
        <v>n0A451CF0_22E0_44D3_AB03_3E608F7531FA</v>
      </c>
      <c r="B50" s="21" t="str">
        <f>EdgesData[[#This Row],[Node A ID]]</f>
        <v>Account Takeover</v>
      </c>
      <c r="C50" s="21" t="str">
        <f>EdgesData[[#This Row],[Node B ID]]</f>
        <v>Identity Theft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,{"id":"n0A451CF0_22E0_44D3_AB03_3E608F7531FA","from":"Account Takeover","to":"Identity Theft","label":"is"}</v>
      </c>
    </row>
    <row r="51" spans="1:5" ht="13.9" thickTop="1" thickBot="1" x14ac:dyDescent="0.4">
      <c r="A51" s="27" t="str">
        <f>EdgesData[[#This Row],[Edge ID]]</f>
        <v>nE8DE4BFE_8184_4CDB_AB2B_F5BBB01DDEC9</v>
      </c>
      <c r="B51" s="27" t="str">
        <f>EdgesData[[#This Row],[Node A ID]]</f>
        <v>Identity Theft</v>
      </c>
      <c r="C51" s="27" t="str">
        <f>EdgesData[[#This Row],[Node B ID]]</f>
        <v>Attack Class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,{"id":"nE8DE4BFE_8184_4CDB_AB2B_F5BBB01DDEC9","from":"Identity Theft","to":"Attack Class","label":"is"}</v>
      </c>
    </row>
    <row r="52" spans="1:5" ht="13.9" thickTop="1" thickBot="1" x14ac:dyDescent="0.4">
      <c r="A52" s="27" t="str">
        <f>EdgesData[[#This Row],[Edge ID]]</f>
        <v>n4DCA1FCE_1B55_469F_A7BE_191D25CCF3FD</v>
      </c>
      <c r="B52" s="27" t="str">
        <f>EdgesData[[#This Row],[Node A ID]]</f>
        <v>Account Takeover</v>
      </c>
      <c r="C52" s="27" t="str">
        <f>EdgesData[[#This Row],[Node B ID]]</f>
        <v>Perpetrator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,{"id":"n4DCA1FCE_1B55_469F_A7BE_191D25CCF3FD","from":"Account Takeover","to":"Perpetrator","label":"committed by"}</v>
      </c>
    </row>
    <row r="53" spans="1:5" ht="13.9" thickTop="1" thickBot="1" x14ac:dyDescent="0.4">
      <c r="A53" s="27" t="str">
        <f>EdgesData[[#This Row],[Edge ID]]</f>
        <v>n13EF72AA_08CA_410B_B24C_89AAA3D27701</v>
      </c>
      <c r="B53" s="27" t="str">
        <f>EdgesData[[#This Row],[Node A ID]]</f>
        <v>Account Takeover</v>
      </c>
      <c r="C53" s="27" t="str">
        <f>EdgesData[[#This Row],[Node B ID]]</f>
        <v>Victim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,{"id":"n13EF72AA_08CA_410B_B24C_89AAA3D27701","from":"Account Takeover","to":"Victim","label":"victimize"}</v>
      </c>
    </row>
    <row r="54" spans="1:5" ht="13.9" thickTop="1" thickBot="1" x14ac:dyDescent="0.4">
      <c r="A54" s="27" t="str">
        <f>EdgesData[[#This Row],[Edge ID]]</f>
        <v>nB26195B6_F9CB_4615_844F_03A801F54319</v>
      </c>
      <c r="B54" s="27" t="str">
        <f>EdgesData[[#This Row],[Node A ID]]</f>
        <v>Perpetrator</v>
      </c>
      <c r="C54" s="27" t="str">
        <f>EdgesData[[#This Row],[Node B ID]]</f>
        <v>Digital Identity</v>
      </c>
      <c r="D54" s="4" t="str">
        <f>EdgesData[[#This Row],[Rel]]</f>
        <v>control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,{"id":"nB26195B6_F9CB_4615_844F_03A801F54319","from":"Perpetrator","to":"Digital Identity","label":"control"}</v>
      </c>
    </row>
    <row r="55" spans="1:5" ht="13.9" thickTop="1" thickBot="1" x14ac:dyDescent="0.4">
      <c r="A55" s="27" t="str">
        <f>EdgesData[[#This Row],[Edge ID]]</f>
        <v>n7E6F3531_1C90_4207_87E3_03DC75297CD1</v>
      </c>
      <c r="B55" s="27" t="str">
        <f>EdgesData[[#This Row],[Node A ID]]</f>
        <v>Victim</v>
      </c>
      <c r="C55" s="27" t="str">
        <f>EdgesData[[#This Row],[Node B ID]]</f>
        <v>Digital Identity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,{"id":"n7E6F3531_1C90_4207_87E3_03DC75297CD1","from":"Victim","to":"Digital Identity","label":"owns"}</v>
      </c>
    </row>
    <row r="56" spans="1:5" ht="13.9" thickTop="1" thickBot="1" x14ac:dyDescent="0.4">
      <c r="A56" s="27" t="str">
        <f>EdgesData[[#This Row],[Edge ID]]</f>
        <v>n486B9FB2_ED32_4106_B93F_8269064F6641</v>
      </c>
      <c r="B56" s="27" t="str">
        <f>EdgesData[[#This Row],[Node A ID]]</f>
        <v>Perpetrator</v>
      </c>
      <c r="C56" s="27" t="str">
        <f>EdgesData[[#This Row],[Node B ID]]</f>
        <v>Victim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,{"id":"n486B9FB2_ED32_4106_B93F_8269064F6641","from":"Perpetrator","to":"Victim","label":"distinct from"}</v>
      </c>
    </row>
    <row r="57" spans="1:5" ht="13.9" thickTop="1" thickBot="1" x14ac:dyDescent="0.4">
      <c r="A57" s="27" t="str">
        <f>EdgesData[[#This Row],[Edge ID]]</f>
        <v>nB02D7F5B_26E1_4631_97FB_9B92CB3DD9A1</v>
      </c>
      <c r="B57" s="27" t="str">
        <f>EdgesData[[#This Row],[Node A ID]]</f>
        <v>Motivation</v>
      </c>
      <c r="C57" s="27" t="str">
        <f>EdgesData[[#This Row],[Node B ID]]</f>
        <v>Financial Gain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,{"id":"nB02D7F5B_26E1_4631_97FB_9B92CB3DD9A1","from":"Motivation","to":"Financial Gain","label":"may be"}</v>
      </c>
    </row>
    <row r="58" spans="1:5" ht="13.9" thickTop="1" thickBot="1" x14ac:dyDescent="0.4">
      <c r="A58" s="27" t="str">
        <f>EdgesData[[#This Row],[Edge ID]]</f>
        <v>nD595CAD7_ED6F_44F0_86BB_0C88B965A46D</v>
      </c>
      <c r="B58" s="27" t="str">
        <f>EdgesData[[#This Row],[Node A ID]]</f>
        <v>Motivation</v>
      </c>
      <c r="C58" s="27" t="str">
        <f>EdgesData[[#This Row],[Node B ID]]</f>
        <v>Causing Reputation Harm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,{"id":"nD595CAD7_ED6F_44F0_86BB_0C88B965A46D","from":"Motivation","to":"Causing Reputation Harm","label":"may be"}</v>
      </c>
    </row>
    <row r="59" spans="1:5" ht="13.9" thickTop="1" thickBot="1" x14ac:dyDescent="0.4">
      <c r="A59" s="27" t="str">
        <f>EdgesData[[#This Row],[Edge ID]]</f>
        <v>n0D36835E_CF22_467A_933C_A4A55A23D57C</v>
      </c>
      <c r="B59" s="27" t="str">
        <f>EdgesData[[#This Row],[Node A ID]]</f>
        <v>Motivation</v>
      </c>
      <c r="C59" s="27" t="str">
        <f>EdgesData[[#This Row],[Node B ID]]</f>
        <v>Identity Deception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,{"id":"n0D36835E_CF22_467A_933C_A4A55A23D57C","from":"Motivation","to":"Identity Deception","label":"may be"}</v>
      </c>
    </row>
    <row r="60" spans="1:5" ht="13.9" thickTop="1" thickBot="1" x14ac:dyDescent="0.4">
      <c r="A60" s="27" t="str">
        <f>EdgesData[[#This Row],[Edge ID]]</f>
        <v>nCB175E38_E6C9_499C_9540_9A5CB69E8E36</v>
      </c>
      <c r="B60" s="27" t="str">
        <f>EdgesData[[#This Row],[Node A ID]]</f>
        <v>Perpetrator</v>
      </c>
      <c r="C60" s="27" t="str">
        <f>EdgesData[[#This Row],[Node B ID]]</f>
        <v>Authorization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,{"id":"nCB175E38_E6C9_499C_9540_9A5CB69E8E36","from":"Perpetrator","to":"Authorization","label":"has not"}</v>
      </c>
    </row>
    <row r="61" spans="1:5" ht="13.9" thickTop="1" thickBot="1" x14ac:dyDescent="0.4">
      <c r="A61" s="27" t="str">
        <f>EdgesData[[#This Row],[Edge ID]]</f>
        <v>n17260B5F_F54A_4609_A340_8AF19FDCD912</v>
      </c>
      <c r="B61" s="27" t="str">
        <f>EdgesData[[#This Row],[Node A ID]]</f>
        <v>Victim</v>
      </c>
      <c r="C61" s="27" t="str">
        <f>EdgesData[[#This Row],[Node B ID]]</f>
        <v>Authorization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,{"id":"n17260B5F_F54A_4609_A340_8AF19FDCD912","from":"Victim","to":"Authorization","label":"has"}</v>
      </c>
    </row>
    <row r="62" spans="1:5" ht="13.9" thickTop="1" thickBot="1" x14ac:dyDescent="0.4">
      <c r="A62" s="27" t="str">
        <f>EdgesData[[#This Row],[Edge ID]]</f>
        <v>n0C8BC5FF_37C2_4FD1_990A_A9B822774FB2</v>
      </c>
      <c r="B62" s="27" t="str">
        <f>EdgesData[[#This Row],[Node A ID]]</f>
        <v>Account Takeover</v>
      </c>
      <c r="C62" s="27" t="str">
        <f>EdgesData[[#This Row],[Node B ID]]</f>
        <v>Illegal Action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,{"id":"n0C8BC5FF_37C2_4FD1_990A_A9B822774FB2","from":"Account Takeover","to":"Illegal Action","label":"is"}</v>
      </c>
    </row>
    <row r="63" spans="1:5" ht="13.9" thickTop="1" thickBot="1" x14ac:dyDescent="0.4">
      <c r="A63" s="27" t="str">
        <f>EdgesData[[#This Row],[Edge ID]]</f>
        <v>n228330D7_7E4B_46EA_A89C_F44DF98A27FA</v>
      </c>
      <c r="B63" s="27" t="str">
        <f>EdgesData[[#This Row],[Node A ID]]</f>
        <v>Authorization</v>
      </c>
      <c r="C63" s="27" t="str">
        <f>EdgesData[[#This Row],[Node B ID]]</f>
        <v>Digital Identity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,{"id":"n228330D7_7E4B_46EA_A89C_F44DF98A27FA","from":"Authorization","to":"Digital Identity","label":"to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Perpetrator</v>
      </c>
      <c r="C64" s="27" t="str">
        <f>EdgesData[[#This Row],[Node B ID]]</f>
        <v>Motivation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,{"id":"n7E99EFA2_7827_4773_91E4_D9B34E3CAA5A","from":"Perpetrator","to":"Motivation","label":"has"}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Causing Reputation Harm</v>
      </c>
      <c r="C65" s="27" t="str">
        <f>EdgesData[[#This Row],[Node B ID]]</f>
        <v>Victim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,{"id":"n0028F731_EC86_4C20_B77F_946A63CC2AC9","from":"Causing Reputation Harm","to":"Victim","label":"to"}</v>
      </c>
    </row>
    <row r="66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2021-07-11T06:23:49Z</dcterms:modified>
</cp:coreProperties>
</file>