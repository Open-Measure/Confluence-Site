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79C8C57E-11BB-4F42-9E11-E18375D42E92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1" i="13" l="1"/>
  <c r="C101" i="13"/>
  <c r="H101" i="13"/>
  <c r="B100" i="13"/>
  <c r="C100" i="13"/>
  <c r="H100" i="13"/>
  <c r="B99" i="13"/>
  <c r="C99" i="13"/>
  <c r="H99" i="13"/>
  <c r="B98" i="13"/>
  <c r="C98" i="13"/>
  <c r="H98" i="13"/>
  <c r="B97" i="13"/>
  <c r="C97" i="13"/>
  <c r="H97" i="13"/>
  <c r="B96" i="13"/>
  <c r="C96" i="13"/>
  <c r="H96" i="13"/>
  <c r="B95" i="13"/>
  <c r="C95" i="13"/>
  <c r="H95" i="13"/>
  <c r="B94" i="13"/>
  <c r="C94" i="13"/>
  <c r="H94" i="13"/>
  <c r="B93" i="13"/>
  <c r="C93" i="13"/>
  <c r="H93" i="13"/>
  <c r="B92" i="13"/>
  <c r="C92" i="13"/>
  <c r="H92" i="13"/>
  <c r="B91" i="13"/>
  <c r="C91" i="13"/>
  <c r="H91" i="13"/>
  <c r="B90" i="13"/>
  <c r="C90" i="13"/>
  <c r="H90" i="13"/>
  <c r="B89" i="13"/>
  <c r="C89" i="13"/>
  <c r="H89" i="13"/>
  <c r="B88" i="13"/>
  <c r="C88" i="13"/>
  <c r="H88" i="13"/>
  <c r="B87" i="13"/>
  <c r="C87" i="13"/>
  <c r="C87" i="14" s="1"/>
  <c r="H87" i="13"/>
  <c r="D87" i="14" s="1"/>
  <c r="B86" i="13"/>
  <c r="C86" i="13"/>
  <c r="H86" i="13"/>
  <c r="D86" i="14" s="1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F519" i="12" a="1"/>
  <c r="F519" i="12" s="1"/>
  <c r="F518" i="12" a="1"/>
  <c r="F518" i="12" s="1"/>
  <c r="F517" i="12" a="1"/>
  <c r="F517" i="12" s="1"/>
  <c r="F516" i="12" a="1"/>
  <c r="F516" i="12" s="1"/>
  <c r="F515" i="12" a="1"/>
  <c r="F515" i="12" s="1"/>
  <c r="F514" i="12" a="1"/>
  <c r="F514" i="12" s="1"/>
  <c r="F513" i="12" a="1"/>
  <c r="F513" i="12" s="1"/>
  <c r="F512" i="12" a="1"/>
  <c r="F512" i="12" s="1"/>
  <c r="F511" i="12" a="1"/>
  <c r="F511" i="12" s="1"/>
  <c r="F510" i="12" a="1"/>
  <c r="F510" i="12" s="1"/>
  <c r="F509" i="12" a="1"/>
  <c r="F509" i="12" s="1"/>
  <c r="A519" i="12"/>
  <c r="B519" i="12"/>
  <c r="C519" i="12"/>
  <c r="D519" i="12"/>
  <c r="A518" i="12"/>
  <c r="B518" i="12"/>
  <c r="C518" i="12"/>
  <c r="D518" i="12"/>
  <c r="A517" i="12"/>
  <c r="B517" i="12"/>
  <c r="C517" i="12"/>
  <c r="D517" i="12"/>
  <c r="A516" i="12"/>
  <c r="B516" i="12"/>
  <c r="C516" i="12"/>
  <c r="D516" i="12"/>
  <c r="A515" i="12"/>
  <c r="B515" i="12"/>
  <c r="C515" i="12"/>
  <c r="D515" i="12"/>
  <c r="A514" i="12"/>
  <c r="B514" i="12"/>
  <c r="C514" i="12"/>
  <c r="D514" i="12"/>
  <c r="A513" i="12"/>
  <c r="B513" i="12"/>
  <c r="C513" i="12"/>
  <c r="D513" i="12"/>
  <c r="A512" i="12"/>
  <c r="B512" i="12"/>
  <c r="C512" i="12"/>
  <c r="D512" i="12"/>
  <c r="A511" i="12"/>
  <c r="B511" i="12"/>
  <c r="C511" i="12"/>
  <c r="D511" i="12"/>
  <c r="A510" i="12"/>
  <c r="B510" i="12"/>
  <c r="C510" i="12"/>
  <c r="D510" i="12"/>
  <c r="A509" i="12"/>
  <c r="B509" i="12"/>
  <c r="C509" i="12"/>
  <c r="D509" i="12"/>
  <c r="A508" i="12"/>
  <c r="B508" i="12"/>
  <c r="C508" i="12"/>
  <c r="D508" i="12"/>
  <c r="E302" i="3"/>
  <c r="E169" i="3"/>
  <c r="G302" i="3"/>
  <c r="A302" i="3" s="1"/>
  <c r="G169" i="3"/>
  <c r="A169" i="3" s="1"/>
  <c r="E448" i="3"/>
  <c r="E375" i="3"/>
  <c r="G448" i="3"/>
  <c r="A448" i="3" s="1"/>
  <c r="G375" i="3"/>
  <c r="A375" i="3" s="1"/>
  <c r="B85" i="13"/>
  <c r="B84" i="13"/>
  <c r="B83" i="13"/>
  <c r="B82" i="13"/>
  <c r="B81" i="13"/>
  <c r="B80" i="13"/>
  <c r="E40" i="3"/>
  <c r="G40" i="3"/>
  <c r="A40" i="3" s="1"/>
  <c r="E431" i="3"/>
  <c r="G431" i="3"/>
  <c r="A431" i="3" s="1"/>
  <c r="B79" i="13"/>
  <c r="B78" i="13"/>
  <c r="B77" i="13"/>
  <c r="B76" i="13"/>
  <c r="B75" i="13"/>
  <c r="B74" i="13"/>
  <c r="B73" i="13"/>
  <c r="B72" i="13"/>
  <c r="B71" i="13"/>
  <c r="B507" i="12"/>
  <c r="A507" i="12" s="1"/>
  <c r="C507" i="12"/>
  <c r="D507" i="12"/>
  <c r="B506" i="12"/>
  <c r="A506" i="12" s="1"/>
  <c r="C506" i="12"/>
  <c r="D506" i="12"/>
  <c r="B505" i="12"/>
  <c r="A505" i="12" s="1"/>
  <c r="C505" i="12"/>
  <c r="D505" i="12"/>
  <c r="B504" i="12"/>
  <c r="A504" i="12" s="1"/>
  <c r="C504" i="12"/>
  <c r="D504" i="12"/>
  <c r="B87" i="14"/>
  <c r="A87" i="14" s="1"/>
  <c r="E87" i="14"/>
  <c r="B86" i="14"/>
  <c r="A86" i="14" s="1"/>
  <c r="C86" i="14"/>
  <c r="E86" i="14"/>
  <c r="B85" i="14"/>
  <c r="A85" i="14" s="1"/>
  <c r="E85" i="14"/>
  <c r="B84" i="14"/>
  <c r="A84" i="14" s="1"/>
  <c r="E84" i="14"/>
  <c r="A83" i="14"/>
  <c r="B83" i="14"/>
  <c r="E83" i="14"/>
  <c r="B82" i="14"/>
  <c r="A82" i="14" s="1"/>
  <c r="E82" i="14"/>
  <c r="B81" i="14"/>
  <c r="A81" i="14" s="1"/>
  <c r="E81" i="14"/>
  <c r="B80" i="14"/>
  <c r="A80" i="14" s="1"/>
  <c r="E80" i="14"/>
  <c r="B79" i="14"/>
  <c r="A79" i="14" s="1"/>
  <c r="E79" i="14"/>
  <c r="B78" i="14"/>
  <c r="A78" i="14" s="1"/>
  <c r="E78" i="14"/>
  <c r="B77" i="14"/>
  <c r="A77" i="14" s="1"/>
  <c r="E77" i="14"/>
  <c r="B76" i="14"/>
  <c r="A76" i="14" s="1"/>
  <c r="E76" i="14"/>
  <c r="B75" i="14"/>
  <c r="A75" i="14" s="1"/>
  <c r="E75" i="14"/>
  <c r="B74" i="14"/>
  <c r="A74" i="14" s="1"/>
  <c r="E74" i="14"/>
  <c r="B73" i="14"/>
  <c r="A73" i="14" s="1"/>
  <c r="E73" i="14"/>
  <c r="B72" i="14"/>
  <c r="A72" i="14" s="1"/>
  <c r="E72" i="14"/>
  <c r="B71" i="14"/>
  <c r="A71" i="14" s="1"/>
  <c r="E71" i="14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47" i="3"/>
  <c r="E138" i="3"/>
  <c r="E293" i="3"/>
  <c r="E337" i="3"/>
  <c r="E48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8" i="3"/>
  <c r="E49" i="3"/>
  <c r="E50" i="3"/>
  <c r="E51" i="3"/>
  <c r="E52" i="3"/>
  <c r="E54" i="3"/>
  <c r="E55" i="3"/>
  <c r="E56" i="3"/>
  <c r="E57" i="3"/>
  <c r="E58" i="3"/>
  <c r="E59" i="3"/>
  <c r="E53" i="3"/>
  <c r="E60" i="3"/>
  <c r="E61" i="3"/>
  <c r="E62" i="3"/>
  <c r="E63" i="3"/>
  <c r="E64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9" i="3"/>
  <c r="E200" i="3"/>
  <c r="E198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2" i="3"/>
  <c r="E271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90" i="3"/>
  <c r="E291" i="3"/>
  <c r="E294" i="3"/>
  <c r="E295" i="3"/>
  <c r="E296" i="3"/>
  <c r="E297" i="3"/>
  <c r="E298" i="3"/>
  <c r="E299" i="3"/>
  <c r="E300" i="3"/>
  <c r="E301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6" i="3"/>
  <c r="E377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2" i="3"/>
  <c r="E393" i="3"/>
  <c r="E394" i="3"/>
  <c r="E391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289" i="3"/>
  <c r="E65" i="3"/>
  <c r="E378" i="3"/>
  <c r="E292" i="3"/>
  <c r="B503" i="12"/>
  <c r="A503" i="12" s="1"/>
  <c r="C503" i="12"/>
  <c r="D503" i="12"/>
  <c r="B502" i="12"/>
  <c r="A502" i="12" s="1"/>
  <c r="C502" i="12"/>
  <c r="D502" i="12"/>
  <c r="B501" i="12"/>
  <c r="A501" i="12" s="1"/>
  <c r="C501" i="12"/>
  <c r="D501" i="12"/>
  <c r="B500" i="12"/>
  <c r="A500" i="12" s="1"/>
  <c r="C500" i="12"/>
  <c r="D500" i="12"/>
  <c r="B70" i="14"/>
  <c r="A70" i="14" s="1"/>
  <c r="E70" i="14"/>
  <c r="B69" i="14"/>
  <c r="A69" i="14" s="1"/>
  <c r="E69" i="14"/>
  <c r="B68" i="14"/>
  <c r="A68" i="14" s="1"/>
  <c r="E68" i="14"/>
  <c r="G292" i="3"/>
  <c r="A292" i="3" s="1"/>
  <c r="G378" i="3"/>
  <c r="A378" i="3" s="1"/>
  <c r="G65" i="3"/>
  <c r="A65" i="3" s="1"/>
  <c r="G289" i="3"/>
  <c r="A289" i="3" s="1"/>
  <c r="B67" i="14"/>
  <c r="A67" i="14" s="1"/>
  <c r="E67" i="14"/>
  <c r="B66" i="14"/>
  <c r="A66" i="14" s="1"/>
  <c r="E66" i="14"/>
  <c r="B65" i="14"/>
  <c r="A65" i="14" s="1"/>
  <c r="E65" i="14"/>
  <c r="B64" i="14"/>
  <c r="A64" i="14" s="1"/>
  <c r="E64" i="14"/>
  <c r="B499" i="12"/>
  <c r="A499" i="12" s="1"/>
  <c r="C499" i="12"/>
  <c r="D499" i="12"/>
  <c r="B498" i="12"/>
  <c r="A498" i="12" s="1"/>
  <c r="C498" i="12"/>
  <c r="D498" i="12"/>
  <c r="B497" i="12"/>
  <c r="A497" i="12" s="1"/>
  <c r="C497" i="12"/>
  <c r="D497" i="12"/>
  <c r="B496" i="12"/>
  <c r="A496" i="12" s="1"/>
  <c r="C496" i="12"/>
  <c r="D496" i="12"/>
  <c r="B495" i="12"/>
  <c r="A495" i="12" s="1"/>
  <c r="C495" i="12"/>
  <c r="D495" i="12"/>
  <c r="B494" i="12"/>
  <c r="A494" i="12" s="1"/>
  <c r="C494" i="12"/>
  <c r="D494" i="12"/>
  <c r="B493" i="12"/>
  <c r="A493" i="12" s="1"/>
  <c r="C493" i="12"/>
  <c r="D493" i="12"/>
  <c r="B492" i="12"/>
  <c r="A492" i="12" s="1"/>
  <c r="C492" i="12"/>
  <c r="D492" i="12"/>
  <c r="B491" i="12"/>
  <c r="A491" i="12" s="1"/>
  <c r="C491" i="12"/>
  <c r="D491" i="12"/>
  <c r="G293" i="3"/>
  <c r="A293" i="3" s="1"/>
  <c r="B490" i="12"/>
  <c r="A490" i="12" s="1"/>
  <c r="C490" i="12"/>
  <c r="D490" i="12"/>
  <c r="G139" i="3"/>
  <c r="A139" i="3" s="1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G480" i="3"/>
  <c r="A480" i="3" s="1"/>
  <c r="G36" i="3"/>
  <c r="A36" i="3" s="1"/>
  <c r="G82" i="3"/>
  <c r="A82" i="3" s="1"/>
  <c r="G176" i="3"/>
  <c r="A176" i="3" s="1"/>
  <c r="G214" i="3"/>
  <c r="A214" i="3" s="1"/>
  <c r="G226" i="3"/>
  <c r="A226" i="3" s="1"/>
  <c r="G47" i="3"/>
  <c r="A47" i="3" s="1"/>
  <c r="G231" i="3"/>
  <c r="A231" i="3" s="1"/>
  <c r="G337" i="3"/>
  <c r="A337" i="3" s="1"/>
  <c r="B63" i="14"/>
  <c r="A63" i="14" s="1"/>
  <c r="E63" i="14"/>
  <c r="B62" i="14"/>
  <c r="A62" i="14" s="1"/>
  <c r="E62" i="14"/>
  <c r="B61" i="14"/>
  <c r="A61" i="14" s="1"/>
  <c r="E61" i="14"/>
  <c r="B60" i="14"/>
  <c r="A60" i="14" s="1"/>
  <c r="E60" i="14"/>
  <c r="B59" i="14"/>
  <c r="A59" i="14" s="1"/>
  <c r="E59" i="14"/>
  <c r="B58" i="14"/>
  <c r="A58" i="14" s="1"/>
  <c r="E58" i="14"/>
  <c r="B57" i="14"/>
  <c r="A57" i="14" s="1"/>
  <c r="E57" i="14"/>
  <c r="B56" i="14"/>
  <c r="A56" i="14" s="1"/>
  <c r="E56" i="14"/>
  <c r="B55" i="14"/>
  <c r="A55" i="14" s="1"/>
  <c r="E55" i="14"/>
  <c r="B54" i="14"/>
  <c r="A54" i="14" s="1"/>
  <c r="E54" i="14"/>
  <c r="B53" i="14"/>
  <c r="A53" i="14" s="1"/>
  <c r="E53" i="14"/>
  <c r="B52" i="14"/>
  <c r="A52" i="14" s="1"/>
  <c r="E52" i="14"/>
  <c r="B51" i="14"/>
  <c r="A51" i="14" s="1"/>
  <c r="E51" i="14"/>
  <c r="E50" i="14"/>
  <c r="B50" i="14"/>
  <c r="A50" i="14" s="1"/>
  <c r="E49" i="14"/>
  <c r="B49" i="14"/>
  <c r="A49" i="14" s="1"/>
  <c r="E48" i="14"/>
  <c r="B48" i="14"/>
  <c r="A48" i="14" s="1"/>
  <c r="E47" i="14"/>
  <c r="B47" i="14"/>
  <c r="A47" i="14" s="1"/>
  <c r="E46" i="14"/>
  <c r="B46" i="14"/>
  <c r="A46" i="14" s="1"/>
  <c r="E45" i="14"/>
  <c r="B45" i="14"/>
  <c r="A45" i="14" s="1"/>
  <c r="E44" i="14"/>
  <c r="B44" i="14"/>
  <c r="A44" i="14" s="1"/>
  <c r="E43" i="14"/>
  <c r="B43" i="14"/>
  <c r="A43" i="14" s="1"/>
  <c r="E42" i="14"/>
  <c r="B42" i="14"/>
  <c r="A42" i="14" s="1"/>
  <c r="E41" i="14"/>
  <c r="B41" i="14"/>
  <c r="A41" i="14" s="1"/>
  <c r="E40" i="14"/>
  <c r="B40" i="14"/>
  <c r="A40" i="14" s="1"/>
  <c r="E39" i="14"/>
  <c r="B39" i="14"/>
  <c r="A39" i="14" s="1"/>
  <c r="E38" i="14"/>
  <c r="B38" i="14"/>
  <c r="A38" i="14" s="1"/>
  <c r="E37" i="14"/>
  <c r="B37" i="14"/>
  <c r="A37" i="14" s="1"/>
  <c r="E36" i="14"/>
  <c r="B36" i="14"/>
  <c r="A36" i="14" s="1"/>
  <c r="E35" i="14"/>
  <c r="B35" i="14"/>
  <c r="A35" i="14" s="1"/>
  <c r="E34" i="14"/>
  <c r="B34" i="14"/>
  <c r="A34" i="14" s="1"/>
  <c r="E33" i="14"/>
  <c r="B33" i="14"/>
  <c r="A33" i="14" s="1"/>
  <c r="E32" i="14"/>
  <c r="B32" i="14"/>
  <c r="A32" i="14" s="1"/>
  <c r="E31" i="14"/>
  <c r="B31" i="14"/>
  <c r="A31" i="14" s="1"/>
  <c r="E30" i="14"/>
  <c r="B30" i="14"/>
  <c r="A30" i="14" s="1"/>
  <c r="E29" i="14"/>
  <c r="B29" i="14"/>
  <c r="A29" i="14" s="1"/>
  <c r="E28" i="14"/>
  <c r="B28" i="14"/>
  <c r="A28" i="14" s="1"/>
  <c r="E27" i="14"/>
  <c r="B27" i="14"/>
  <c r="A27" i="14" s="1"/>
  <c r="E26" i="14"/>
  <c r="B26" i="14"/>
  <c r="A26" i="14" s="1"/>
  <c r="E25" i="14"/>
  <c r="B25" i="14"/>
  <c r="A25" i="14" s="1"/>
  <c r="E24" i="14"/>
  <c r="B24" i="14"/>
  <c r="A24" i="14" s="1"/>
  <c r="E23" i="14"/>
  <c r="B23" i="14"/>
  <c r="A23" i="14" s="1"/>
  <c r="E22" i="14"/>
  <c r="B22" i="14"/>
  <c r="A22" i="14" s="1"/>
  <c r="E21" i="14"/>
  <c r="B21" i="14"/>
  <c r="A21" i="14" s="1"/>
  <c r="E20" i="14"/>
  <c r="B20" i="14"/>
  <c r="A20" i="14" s="1"/>
  <c r="E19" i="14"/>
  <c r="B19" i="14"/>
  <c r="A19" i="14" s="1"/>
  <c r="E18" i="14"/>
  <c r="B18" i="14"/>
  <c r="A18" i="14" s="1"/>
  <c r="E17" i="14"/>
  <c r="B17" i="14"/>
  <c r="A17" i="14" s="1"/>
  <c r="E16" i="14"/>
  <c r="B16" i="14"/>
  <c r="A16" i="14" s="1"/>
  <c r="E15" i="14"/>
  <c r="B15" i="14"/>
  <c r="A15" i="14" s="1"/>
  <c r="E14" i="14"/>
  <c r="B14" i="14"/>
  <c r="A14" i="14" s="1"/>
  <c r="E13" i="14"/>
  <c r="B13" i="14"/>
  <c r="A13" i="14" s="1"/>
  <c r="E12" i="14"/>
  <c r="B12" i="14"/>
  <c r="A12" i="14" s="1"/>
  <c r="E11" i="14"/>
  <c r="B11" i="14"/>
  <c r="A11" i="14" s="1"/>
  <c r="E10" i="14"/>
  <c r="B10" i="14"/>
  <c r="A10" i="14" s="1"/>
  <c r="E9" i="14"/>
  <c r="B9" i="14"/>
  <c r="A9" i="14" s="1"/>
  <c r="E8" i="14"/>
  <c r="B8" i="14"/>
  <c r="A8" i="14" s="1"/>
  <c r="E7" i="14"/>
  <c r="B7" i="14"/>
  <c r="A7" i="14" s="1"/>
  <c r="E6" i="14"/>
  <c r="B6" i="14"/>
  <c r="A6" i="14" s="1"/>
  <c r="E5" i="14"/>
  <c r="B5" i="14"/>
  <c r="A5" i="14" s="1"/>
  <c r="E4" i="14"/>
  <c r="B4" i="14"/>
  <c r="A4" i="14" s="1"/>
  <c r="B489" i="12"/>
  <c r="A489" i="12" s="1"/>
  <c r="D489" i="12"/>
  <c r="B488" i="12"/>
  <c r="A488" i="12" s="1"/>
  <c r="D488" i="12"/>
  <c r="B487" i="12"/>
  <c r="A487" i="12" s="1"/>
  <c r="D487" i="12"/>
  <c r="B486" i="12"/>
  <c r="A486" i="12" s="1"/>
  <c r="D486" i="12"/>
  <c r="B485" i="12"/>
  <c r="A485" i="12" s="1"/>
  <c r="D485" i="12"/>
  <c r="G98" i="3"/>
  <c r="A98" i="3" s="1"/>
  <c r="G81" i="3"/>
  <c r="A81" i="3" s="1"/>
  <c r="G80" i="3"/>
  <c r="A80" i="3" s="1"/>
  <c r="G79" i="3"/>
  <c r="A79" i="3" s="1"/>
  <c r="G78" i="3"/>
  <c r="A78" i="3" s="1"/>
  <c r="B484" i="12"/>
  <c r="A484" i="12" s="1"/>
  <c r="D484" i="12"/>
  <c r="B483" i="12"/>
  <c r="A483" i="12" s="1"/>
  <c r="D483" i="12"/>
  <c r="B482" i="12"/>
  <c r="A482" i="12" s="1"/>
  <c r="D482" i="12"/>
  <c r="B481" i="12"/>
  <c r="A481" i="12" s="1"/>
  <c r="D481" i="12"/>
  <c r="B480" i="12"/>
  <c r="A480" i="12" s="1"/>
  <c r="D480" i="12"/>
  <c r="B479" i="12"/>
  <c r="A479" i="12" s="1"/>
  <c r="D479" i="12"/>
  <c r="B478" i="12"/>
  <c r="A478" i="12" s="1"/>
  <c r="D478" i="12"/>
  <c r="B477" i="12"/>
  <c r="A477" i="12" s="1"/>
  <c r="D477" i="12"/>
  <c r="B476" i="12"/>
  <c r="A476" i="12" s="1"/>
  <c r="D476" i="12"/>
  <c r="E3" i="14"/>
  <c r="B3" i="14"/>
  <c r="A3" i="14" s="1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G103" i="3"/>
  <c r="A103" i="3" s="1"/>
  <c r="G450" i="3"/>
  <c r="A450" i="3" s="1"/>
  <c r="G128" i="3"/>
  <c r="A128" i="3" s="1"/>
  <c r="G256" i="3"/>
  <c r="A256" i="3" s="1"/>
  <c r="G257" i="3"/>
  <c r="A257" i="3" s="1"/>
  <c r="G166" i="3"/>
  <c r="A166" i="3" s="1"/>
  <c r="G123" i="3"/>
  <c r="A123" i="3" s="1"/>
  <c r="G255" i="3"/>
  <c r="A255" i="3" s="1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B3" i="12"/>
  <c r="A3" i="12" s="1"/>
  <c r="B4" i="12"/>
  <c r="A4" i="12" s="1"/>
  <c r="B5" i="12"/>
  <c r="A5" i="12" s="1"/>
  <c r="B6" i="12"/>
  <c r="A6" i="12" s="1"/>
  <c r="B7" i="12"/>
  <c r="A7" i="12" s="1"/>
  <c r="B8" i="12"/>
  <c r="A8" i="12" s="1"/>
  <c r="B9" i="12"/>
  <c r="A9" i="12" s="1"/>
  <c r="B10" i="12"/>
  <c r="A10" i="12" s="1"/>
  <c r="B11" i="12"/>
  <c r="A11" i="12" s="1"/>
  <c r="B12" i="12"/>
  <c r="A12" i="12" s="1"/>
  <c r="B13" i="12"/>
  <c r="A13" i="12" s="1"/>
  <c r="B14" i="12"/>
  <c r="A14" i="12" s="1"/>
  <c r="B15" i="12"/>
  <c r="A15" i="12" s="1"/>
  <c r="B16" i="12"/>
  <c r="A16" i="12" s="1"/>
  <c r="B17" i="12"/>
  <c r="A17" i="12" s="1"/>
  <c r="B18" i="12"/>
  <c r="A18" i="12" s="1"/>
  <c r="B19" i="12"/>
  <c r="A19" i="12" s="1"/>
  <c r="B20" i="12"/>
  <c r="A20" i="12" s="1"/>
  <c r="B21" i="12"/>
  <c r="A21" i="12" s="1"/>
  <c r="B22" i="12"/>
  <c r="A22" i="12" s="1"/>
  <c r="B23" i="12"/>
  <c r="A23" i="12" s="1"/>
  <c r="B24" i="12"/>
  <c r="A24" i="12" s="1"/>
  <c r="B25" i="12"/>
  <c r="A25" i="12" s="1"/>
  <c r="B26" i="12"/>
  <c r="A26" i="12" s="1"/>
  <c r="B27" i="12"/>
  <c r="A27" i="12" s="1"/>
  <c r="B28" i="12"/>
  <c r="A28" i="12" s="1"/>
  <c r="B29" i="12"/>
  <c r="A29" i="12" s="1"/>
  <c r="B30" i="12"/>
  <c r="A30" i="12" s="1"/>
  <c r="B31" i="12"/>
  <c r="A31" i="12" s="1"/>
  <c r="B32" i="12"/>
  <c r="A32" i="12" s="1"/>
  <c r="B33" i="12"/>
  <c r="A33" i="12" s="1"/>
  <c r="B34" i="12"/>
  <c r="A34" i="12" s="1"/>
  <c r="B35" i="12"/>
  <c r="A35" i="12" s="1"/>
  <c r="B36" i="12"/>
  <c r="A36" i="12" s="1"/>
  <c r="B37" i="12"/>
  <c r="A37" i="12" s="1"/>
  <c r="B38" i="12"/>
  <c r="A38" i="12" s="1"/>
  <c r="B39" i="12"/>
  <c r="A39" i="12" s="1"/>
  <c r="B40" i="12"/>
  <c r="A40" i="12" s="1"/>
  <c r="B41" i="12"/>
  <c r="A41" i="12" s="1"/>
  <c r="B42" i="12"/>
  <c r="A42" i="12" s="1"/>
  <c r="B43" i="12"/>
  <c r="A43" i="12" s="1"/>
  <c r="B44" i="12"/>
  <c r="A44" i="12" s="1"/>
  <c r="B45" i="12"/>
  <c r="A45" i="12" s="1"/>
  <c r="B46" i="12"/>
  <c r="A46" i="12" s="1"/>
  <c r="B47" i="12"/>
  <c r="A47" i="12" s="1"/>
  <c r="B48" i="12"/>
  <c r="A48" i="12" s="1"/>
  <c r="B49" i="12"/>
  <c r="A49" i="12" s="1"/>
  <c r="B50" i="12"/>
  <c r="A50" i="12" s="1"/>
  <c r="B51" i="12"/>
  <c r="A51" i="12" s="1"/>
  <c r="B52" i="12"/>
  <c r="A52" i="12" s="1"/>
  <c r="B53" i="12"/>
  <c r="A53" i="12" s="1"/>
  <c r="B54" i="12"/>
  <c r="A54" i="12" s="1"/>
  <c r="B55" i="12"/>
  <c r="A55" i="12" s="1"/>
  <c r="B56" i="12"/>
  <c r="A56" i="12" s="1"/>
  <c r="B57" i="12"/>
  <c r="A57" i="12" s="1"/>
  <c r="B58" i="12"/>
  <c r="A58" i="12" s="1"/>
  <c r="B59" i="12"/>
  <c r="A59" i="12" s="1"/>
  <c r="B60" i="12"/>
  <c r="A60" i="12" s="1"/>
  <c r="B61" i="12"/>
  <c r="A61" i="12" s="1"/>
  <c r="B62" i="12"/>
  <c r="A62" i="12" s="1"/>
  <c r="B63" i="12"/>
  <c r="A63" i="12" s="1"/>
  <c r="B64" i="12"/>
  <c r="A64" i="12" s="1"/>
  <c r="B65" i="12"/>
  <c r="A65" i="12" s="1"/>
  <c r="B66" i="12"/>
  <c r="A66" i="12" s="1"/>
  <c r="B67" i="12"/>
  <c r="A67" i="12" s="1"/>
  <c r="B68" i="12"/>
  <c r="A68" i="12" s="1"/>
  <c r="B69" i="12"/>
  <c r="A69" i="12" s="1"/>
  <c r="B70" i="12"/>
  <c r="A70" i="12" s="1"/>
  <c r="B71" i="12"/>
  <c r="A71" i="12" s="1"/>
  <c r="B72" i="12"/>
  <c r="A72" i="12" s="1"/>
  <c r="B73" i="12"/>
  <c r="A73" i="12" s="1"/>
  <c r="B74" i="12"/>
  <c r="A74" i="12" s="1"/>
  <c r="B75" i="12"/>
  <c r="A75" i="12" s="1"/>
  <c r="B76" i="12"/>
  <c r="A76" i="12" s="1"/>
  <c r="B77" i="12"/>
  <c r="A77" i="12" s="1"/>
  <c r="B78" i="12"/>
  <c r="A78" i="12" s="1"/>
  <c r="B79" i="12"/>
  <c r="A79" i="12" s="1"/>
  <c r="B80" i="12"/>
  <c r="A80" i="12" s="1"/>
  <c r="B81" i="12"/>
  <c r="A81" i="12" s="1"/>
  <c r="B82" i="12"/>
  <c r="A82" i="12" s="1"/>
  <c r="B83" i="12"/>
  <c r="A83" i="12" s="1"/>
  <c r="B84" i="12"/>
  <c r="A84" i="12" s="1"/>
  <c r="B85" i="12"/>
  <c r="A85" i="12" s="1"/>
  <c r="B86" i="12"/>
  <c r="A86" i="12" s="1"/>
  <c r="B87" i="12"/>
  <c r="A87" i="12" s="1"/>
  <c r="B88" i="12"/>
  <c r="A88" i="12" s="1"/>
  <c r="B89" i="12"/>
  <c r="A89" i="12" s="1"/>
  <c r="B90" i="12"/>
  <c r="A90" i="12" s="1"/>
  <c r="B91" i="12"/>
  <c r="A91" i="12" s="1"/>
  <c r="B92" i="12"/>
  <c r="A92" i="12" s="1"/>
  <c r="B93" i="12"/>
  <c r="A93" i="12" s="1"/>
  <c r="B94" i="12"/>
  <c r="A94" i="12" s="1"/>
  <c r="B95" i="12"/>
  <c r="A95" i="12" s="1"/>
  <c r="B96" i="12"/>
  <c r="A96" i="12" s="1"/>
  <c r="B97" i="12"/>
  <c r="A97" i="12" s="1"/>
  <c r="B98" i="12"/>
  <c r="A98" i="12" s="1"/>
  <c r="B99" i="12"/>
  <c r="A99" i="12" s="1"/>
  <c r="B100" i="12"/>
  <c r="A100" i="12" s="1"/>
  <c r="B101" i="12"/>
  <c r="A101" i="12" s="1"/>
  <c r="B102" i="12"/>
  <c r="A102" i="12" s="1"/>
  <c r="B103" i="12"/>
  <c r="A103" i="12" s="1"/>
  <c r="B104" i="12"/>
  <c r="A104" i="12" s="1"/>
  <c r="B105" i="12"/>
  <c r="A105" i="12" s="1"/>
  <c r="B106" i="12"/>
  <c r="A106" i="12" s="1"/>
  <c r="B107" i="12"/>
  <c r="A107" i="12" s="1"/>
  <c r="B108" i="12"/>
  <c r="A108" i="12" s="1"/>
  <c r="B109" i="12"/>
  <c r="A109" i="12" s="1"/>
  <c r="B110" i="12"/>
  <c r="A110" i="12" s="1"/>
  <c r="B111" i="12"/>
  <c r="A111" i="12" s="1"/>
  <c r="B112" i="12"/>
  <c r="A112" i="12" s="1"/>
  <c r="B113" i="12"/>
  <c r="A113" i="12" s="1"/>
  <c r="B114" i="12"/>
  <c r="A114" i="12" s="1"/>
  <c r="B115" i="12"/>
  <c r="A115" i="12" s="1"/>
  <c r="B116" i="12"/>
  <c r="A116" i="12" s="1"/>
  <c r="B117" i="12"/>
  <c r="A117" i="12" s="1"/>
  <c r="B118" i="12"/>
  <c r="A118" i="12" s="1"/>
  <c r="B119" i="12"/>
  <c r="A119" i="12" s="1"/>
  <c r="B120" i="12"/>
  <c r="A120" i="12" s="1"/>
  <c r="B121" i="12"/>
  <c r="A121" i="12" s="1"/>
  <c r="B122" i="12"/>
  <c r="A122" i="12" s="1"/>
  <c r="B123" i="12"/>
  <c r="A123" i="12" s="1"/>
  <c r="B124" i="12"/>
  <c r="A124" i="12" s="1"/>
  <c r="B125" i="12"/>
  <c r="A125" i="12" s="1"/>
  <c r="B126" i="12"/>
  <c r="A126" i="12" s="1"/>
  <c r="B127" i="12"/>
  <c r="A127" i="12" s="1"/>
  <c r="B128" i="12"/>
  <c r="A128" i="12" s="1"/>
  <c r="B129" i="12"/>
  <c r="A129" i="12" s="1"/>
  <c r="B130" i="12"/>
  <c r="A130" i="12" s="1"/>
  <c r="B131" i="12"/>
  <c r="A131" i="12" s="1"/>
  <c r="B132" i="12"/>
  <c r="A132" i="12" s="1"/>
  <c r="B133" i="12"/>
  <c r="A133" i="12" s="1"/>
  <c r="B134" i="12"/>
  <c r="A134" i="12" s="1"/>
  <c r="B135" i="12"/>
  <c r="A135" i="12" s="1"/>
  <c r="B136" i="12"/>
  <c r="A136" i="12" s="1"/>
  <c r="B137" i="12"/>
  <c r="A137" i="12" s="1"/>
  <c r="B138" i="12"/>
  <c r="A138" i="12" s="1"/>
  <c r="B139" i="12"/>
  <c r="A139" i="12" s="1"/>
  <c r="B140" i="12"/>
  <c r="A140" i="12" s="1"/>
  <c r="B141" i="12"/>
  <c r="A141" i="12" s="1"/>
  <c r="B142" i="12"/>
  <c r="A142" i="12" s="1"/>
  <c r="B143" i="12"/>
  <c r="A143" i="12" s="1"/>
  <c r="B144" i="12"/>
  <c r="A144" i="12" s="1"/>
  <c r="B145" i="12"/>
  <c r="A145" i="12" s="1"/>
  <c r="B146" i="12"/>
  <c r="A146" i="12" s="1"/>
  <c r="B147" i="12"/>
  <c r="A147" i="12" s="1"/>
  <c r="B148" i="12"/>
  <c r="A148" i="12" s="1"/>
  <c r="B149" i="12"/>
  <c r="A149" i="12" s="1"/>
  <c r="B150" i="12"/>
  <c r="A150" i="12" s="1"/>
  <c r="B151" i="12"/>
  <c r="A151" i="12" s="1"/>
  <c r="B152" i="12"/>
  <c r="A152" i="12" s="1"/>
  <c r="B153" i="12"/>
  <c r="A153" i="12" s="1"/>
  <c r="B154" i="12"/>
  <c r="A154" i="12" s="1"/>
  <c r="B155" i="12"/>
  <c r="A155" i="12" s="1"/>
  <c r="B156" i="12"/>
  <c r="A156" i="12" s="1"/>
  <c r="B157" i="12"/>
  <c r="A157" i="12" s="1"/>
  <c r="B158" i="12"/>
  <c r="A158" i="12" s="1"/>
  <c r="B159" i="12"/>
  <c r="A159" i="12" s="1"/>
  <c r="B160" i="12"/>
  <c r="A160" i="12" s="1"/>
  <c r="B161" i="12"/>
  <c r="A161" i="12" s="1"/>
  <c r="B162" i="12"/>
  <c r="A162" i="12" s="1"/>
  <c r="B163" i="12"/>
  <c r="A163" i="12" s="1"/>
  <c r="B164" i="12"/>
  <c r="A164" i="12" s="1"/>
  <c r="B165" i="12"/>
  <c r="A165" i="12" s="1"/>
  <c r="B166" i="12"/>
  <c r="A166" i="12" s="1"/>
  <c r="B167" i="12"/>
  <c r="A167" i="12" s="1"/>
  <c r="B168" i="12"/>
  <c r="A168" i="12" s="1"/>
  <c r="B169" i="12"/>
  <c r="A169" i="12" s="1"/>
  <c r="B170" i="12"/>
  <c r="A170" i="12" s="1"/>
  <c r="B171" i="12"/>
  <c r="A171" i="12" s="1"/>
  <c r="B172" i="12"/>
  <c r="A172" i="12" s="1"/>
  <c r="B173" i="12"/>
  <c r="A173" i="12" s="1"/>
  <c r="B174" i="12"/>
  <c r="A174" i="12" s="1"/>
  <c r="B175" i="12"/>
  <c r="A175" i="12" s="1"/>
  <c r="B176" i="12"/>
  <c r="A176" i="12" s="1"/>
  <c r="B177" i="12"/>
  <c r="A177" i="12" s="1"/>
  <c r="B178" i="12"/>
  <c r="A178" i="12" s="1"/>
  <c r="B179" i="12"/>
  <c r="A179" i="12" s="1"/>
  <c r="B180" i="12"/>
  <c r="A180" i="12" s="1"/>
  <c r="B181" i="12"/>
  <c r="A181" i="12" s="1"/>
  <c r="B182" i="12"/>
  <c r="A182" i="12" s="1"/>
  <c r="B183" i="12"/>
  <c r="A183" i="12" s="1"/>
  <c r="B184" i="12"/>
  <c r="A184" i="12" s="1"/>
  <c r="B185" i="12"/>
  <c r="A185" i="12" s="1"/>
  <c r="B186" i="12"/>
  <c r="A186" i="12" s="1"/>
  <c r="B187" i="12"/>
  <c r="A187" i="12" s="1"/>
  <c r="B188" i="12"/>
  <c r="A188" i="12" s="1"/>
  <c r="B189" i="12"/>
  <c r="A189" i="12" s="1"/>
  <c r="B190" i="12"/>
  <c r="A190" i="12" s="1"/>
  <c r="B191" i="12"/>
  <c r="A191" i="12" s="1"/>
  <c r="B192" i="12"/>
  <c r="A192" i="12" s="1"/>
  <c r="B193" i="12"/>
  <c r="A193" i="12" s="1"/>
  <c r="B194" i="12"/>
  <c r="A194" i="12" s="1"/>
  <c r="B195" i="12"/>
  <c r="A195" i="12" s="1"/>
  <c r="B196" i="12"/>
  <c r="A196" i="12" s="1"/>
  <c r="B197" i="12"/>
  <c r="A197" i="12" s="1"/>
  <c r="B198" i="12"/>
  <c r="A198" i="12" s="1"/>
  <c r="B199" i="12"/>
  <c r="A199" i="12" s="1"/>
  <c r="B200" i="12"/>
  <c r="A200" i="12" s="1"/>
  <c r="B201" i="12"/>
  <c r="A201" i="12" s="1"/>
  <c r="B202" i="12"/>
  <c r="A202" i="12" s="1"/>
  <c r="B203" i="12"/>
  <c r="A203" i="12" s="1"/>
  <c r="B204" i="12"/>
  <c r="A204" i="12" s="1"/>
  <c r="B205" i="12"/>
  <c r="A205" i="12" s="1"/>
  <c r="B206" i="12"/>
  <c r="A206" i="12" s="1"/>
  <c r="B207" i="12"/>
  <c r="A207" i="12" s="1"/>
  <c r="B208" i="12"/>
  <c r="A208" i="12" s="1"/>
  <c r="B209" i="12"/>
  <c r="A209" i="12" s="1"/>
  <c r="B210" i="12"/>
  <c r="A210" i="12" s="1"/>
  <c r="B211" i="12"/>
  <c r="A211" i="12" s="1"/>
  <c r="B212" i="12"/>
  <c r="A212" i="12" s="1"/>
  <c r="B213" i="12"/>
  <c r="A213" i="12" s="1"/>
  <c r="B214" i="12"/>
  <c r="A214" i="12" s="1"/>
  <c r="B215" i="12"/>
  <c r="A215" i="12" s="1"/>
  <c r="B216" i="12"/>
  <c r="A216" i="12" s="1"/>
  <c r="B217" i="12"/>
  <c r="A217" i="12" s="1"/>
  <c r="B218" i="12"/>
  <c r="A218" i="12" s="1"/>
  <c r="B219" i="12"/>
  <c r="A219" i="12" s="1"/>
  <c r="B220" i="12"/>
  <c r="A220" i="12" s="1"/>
  <c r="B221" i="12"/>
  <c r="A221" i="12" s="1"/>
  <c r="B222" i="12"/>
  <c r="A222" i="12" s="1"/>
  <c r="B223" i="12"/>
  <c r="A223" i="12" s="1"/>
  <c r="B224" i="12"/>
  <c r="A224" i="12" s="1"/>
  <c r="B225" i="12"/>
  <c r="A225" i="12" s="1"/>
  <c r="B226" i="12"/>
  <c r="A226" i="12" s="1"/>
  <c r="B227" i="12"/>
  <c r="A227" i="12" s="1"/>
  <c r="B228" i="12"/>
  <c r="A228" i="12" s="1"/>
  <c r="B229" i="12"/>
  <c r="A229" i="12" s="1"/>
  <c r="B230" i="12"/>
  <c r="A230" i="12" s="1"/>
  <c r="B231" i="12"/>
  <c r="A231" i="12" s="1"/>
  <c r="B232" i="12"/>
  <c r="A232" i="12" s="1"/>
  <c r="B233" i="12"/>
  <c r="A233" i="12" s="1"/>
  <c r="B234" i="12"/>
  <c r="A234" i="12" s="1"/>
  <c r="B235" i="12"/>
  <c r="A235" i="12" s="1"/>
  <c r="B236" i="12"/>
  <c r="A236" i="12" s="1"/>
  <c r="B237" i="12"/>
  <c r="A237" i="12" s="1"/>
  <c r="B238" i="12"/>
  <c r="A238" i="12" s="1"/>
  <c r="B239" i="12"/>
  <c r="A239" i="12" s="1"/>
  <c r="B240" i="12"/>
  <c r="A240" i="12" s="1"/>
  <c r="B241" i="12"/>
  <c r="A241" i="12" s="1"/>
  <c r="B242" i="12"/>
  <c r="A242" i="12" s="1"/>
  <c r="B243" i="12"/>
  <c r="A243" i="12" s="1"/>
  <c r="B244" i="12"/>
  <c r="A244" i="12" s="1"/>
  <c r="B245" i="12"/>
  <c r="A245" i="12" s="1"/>
  <c r="B246" i="12"/>
  <c r="A246" i="12" s="1"/>
  <c r="B247" i="12"/>
  <c r="A247" i="12" s="1"/>
  <c r="B248" i="12"/>
  <c r="A248" i="12" s="1"/>
  <c r="B249" i="12"/>
  <c r="A249" i="12" s="1"/>
  <c r="B250" i="12"/>
  <c r="A250" i="12" s="1"/>
  <c r="B251" i="12"/>
  <c r="A251" i="12" s="1"/>
  <c r="B252" i="12"/>
  <c r="A252" i="12" s="1"/>
  <c r="B253" i="12"/>
  <c r="A253" i="12" s="1"/>
  <c r="B254" i="12"/>
  <c r="A254" i="12" s="1"/>
  <c r="B255" i="12"/>
  <c r="A255" i="12" s="1"/>
  <c r="B256" i="12"/>
  <c r="A256" i="12" s="1"/>
  <c r="B257" i="12"/>
  <c r="A257" i="12" s="1"/>
  <c r="B258" i="12"/>
  <c r="A258" i="12" s="1"/>
  <c r="B259" i="12"/>
  <c r="A259" i="12" s="1"/>
  <c r="B260" i="12"/>
  <c r="A260" i="12" s="1"/>
  <c r="B261" i="12"/>
  <c r="A261" i="12" s="1"/>
  <c r="B262" i="12"/>
  <c r="A262" i="12" s="1"/>
  <c r="B263" i="12"/>
  <c r="A263" i="12" s="1"/>
  <c r="B264" i="12"/>
  <c r="A264" i="12" s="1"/>
  <c r="B265" i="12"/>
  <c r="A265" i="12" s="1"/>
  <c r="B266" i="12"/>
  <c r="A266" i="12" s="1"/>
  <c r="B267" i="12"/>
  <c r="A267" i="12" s="1"/>
  <c r="B268" i="12"/>
  <c r="A268" i="12" s="1"/>
  <c r="B269" i="12"/>
  <c r="A269" i="12" s="1"/>
  <c r="B270" i="12"/>
  <c r="A270" i="12" s="1"/>
  <c r="B271" i="12"/>
  <c r="A271" i="12" s="1"/>
  <c r="B272" i="12"/>
  <c r="A272" i="12" s="1"/>
  <c r="B273" i="12"/>
  <c r="A273" i="12" s="1"/>
  <c r="B274" i="12"/>
  <c r="A274" i="12" s="1"/>
  <c r="B275" i="12"/>
  <c r="A275" i="12" s="1"/>
  <c r="B276" i="12"/>
  <c r="A276" i="12" s="1"/>
  <c r="B277" i="12"/>
  <c r="A277" i="12" s="1"/>
  <c r="B278" i="12"/>
  <c r="A278" i="12" s="1"/>
  <c r="B279" i="12"/>
  <c r="A279" i="12" s="1"/>
  <c r="B280" i="12"/>
  <c r="A280" i="12" s="1"/>
  <c r="B281" i="12"/>
  <c r="A281" i="12" s="1"/>
  <c r="B282" i="12"/>
  <c r="A282" i="12" s="1"/>
  <c r="B283" i="12"/>
  <c r="A283" i="12" s="1"/>
  <c r="B284" i="12"/>
  <c r="A284" i="12" s="1"/>
  <c r="B285" i="12"/>
  <c r="A285" i="12" s="1"/>
  <c r="B286" i="12"/>
  <c r="A286" i="12" s="1"/>
  <c r="B287" i="12"/>
  <c r="A287" i="12" s="1"/>
  <c r="B288" i="12"/>
  <c r="A288" i="12" s="1"/>
  <c r="B289" i="12"/>
  <c r="A289" i="12" s="1"/>
  <c r="B290" i="12"/>
  <c r="A290" i="12" s="1"/>
  <c r="B291" i="12"/>
  <c r="A291" i="12" s="1"/>
  <c r="B292" i="12"/>
  <c r="A292" i="12" s="1"/>
  <c r="B293" i="12"/>
  <c r="A293" i="12" s="1"/>
  <c r="B294" i="12"/>
  <c r="A294" i="12" s="1"/>
  <c r="B295" i="12"/>
  <c r="A295" i="12" s="1"/>
  <c r="B296" i="12"/>
  <c r="A296" i="12" s="1"/>
  <c r="B297" i="12"/>
  <c r="A297" i="12" s="1"/>
  <c r="B298" i="12"/>
  <c r="A298" i="12" s="1"/>
  <c r="B299" i="12"/>
  <c r="A299" i="12" s="1"/>
  <c r="B300" i="12"/>
  <c r="A300" i="12" s="1"/>
  <c r="B301" i="12"/>
  <c r="A301" i="12" s="1"/>
  <c r="B302" i="12"/>
  <c r="A302" i="12" s="1"/>
  <c r="B303" i="12"/>
  <c r="A303" i="12" s="1"/>
  <c r="B304" i="12"/>
  <c r="A304" i="12" s="1"/>
  <c r="B305" i="12"/>
  <c r="A305" i="12" s="1"/>
  <c r="B306" i="12"/>
  <c r="A306" i="12" s="1"/>
  <c r="B307" i="12"/>
  <c r="A307" i="12" s="1"/>
  <c r="B308" i="12"/>
  <c r="A308" i="12" s="1"/>
  <c r="B309" i="12"/>
  <c r="A309" i="12" s="1"/>
  <c r="B310" i="12"/>
  <c r="A310" i="12" s="1"/>
  <c r="B311" i="12"/>
  <c r="A311" i="12" s="1"/>
  <c r="B312" i="12"/>
  <c r="A312" i="12" s="1"/>
  <c r="B313" i="12"/>
  <c r="A313" i="12" s="1"/>
  <c r="B314" i="12"/>
  <c r="A314" i="12" s="1"/>
  <c r="B315" i="12"/>
  <c r="A315" i="12" s="1"/>
  <c r="B316" i="12"/>
  <c r="A316" i="12" s="1"/>
  <c r="B317" i="12"/>
  <c r="A317" i="12" s="1"/>
  <c r="B318" i="12"/>
  <c r="A318" i="12" s="1"/>
  <c r="B319" i="12"/>
  <c r="A319" i="12" s="1"/>
  <c r="B320" i="12"/>
  <c r="A320" i="12" s="1"/>
  <c r="B321" i="12"/>
  <c r="A321" i="12" s="1"/>
  <c r="B322" i="12"/>
  <c r="A322" i="12" s="1"/>
  <c r="B323" i="12"/>
  <c r="A323" i="12" s="1"/>
  <c r="B324" i="12"/>
  <c r="A324" i="12" s="1"/>
  <c r="B325" i="12"/>
  <c r="A325" i="12" s="1"/>
  <c r="B326" i="12"/>
  <c r="A326" i="12" s="1"/>
  <c r="B327" i="12"/>
  <c r="A327" i="12" s="1"/>
  <c r="B328" i="12"/>
  <c r="A328" i="12" s="1"/>
  <c r="B329" i="12"/>
  <c r="A329" i="12" s="1"/>
  <c r="B330" i="12"/>
  <c r="A330" i="12" s="1"/>
  <c r="B331" i="12"/>
  <c r="A331" i="12" s="1"/>
  <c r="B332" i="12"/>
  <c r="A332" i="12" s="1"/>
  <c r="B333" i="12"/>
  <c r="A333" i="12" s="1"/>
  <c r="B334" i="12"/>
  <c r="A334" i="12" s="1"/>
  <c r="B335" i="12"/>
  <c r="A335" i="12" s="1"/>
  <c r="B336" i="12"/>
  <c r="A336" i="12" s="1"/>
  <c r="B337" i="12"/>
  <c r="A337" i="12" s="1"/>
  <c r="B338" i="12"/>
  <c r="A338" i="12" s="1"/>
  <c r="B339" i="12"/>
  <c r="A339" i="12" s="1"/>
  <c r="B340" i="12"/>
  <c r="A340" i="12" s="1"/>
  <c r="B341" i="12"/>
  <c r="A341" i="12" s="1"/>
  <c r="B342" i="12"/>
  <c r="A342" i="12" s="1"/>
  <c r="B343" i="12"/>
  <c r="A343" i="12" s="1"/>
  <c r="B344" i="12"/>
  <c r="A344" i="12" s="1"/>
  <c r="B345" i="12"/>
  <c r="A345" i="12" s="1"/>
  <c r="B346" i="12"/>
  <c r="A346" i="12" s="1"/>
  <c r="B347" i="12"/>
  <c r="A347" i="12" s="1"/>
  <c r="B348" i="12"/>
  <c r="A348" i="12" s="1"/>
  <c r="B349" i="12"/>
  <c r="A349" i="12" s="1"/>
  <c r="B350" i="12"/>
  <c r="A350" i="12" s="1"/>
  <c r="B351" i="12"/>
  <c r="A351" i="12" s="1"/>
  <c r="B352" i="12"/>
  <c r="A352" i="12" s="1"/>
  <c r="B353" i="12"/>
  <c r="A353" i="12" s="1"/>
  <c r="B354" i="12"/>
  <c r="A354" i="12" s="1"/>
  <c r="B355" i="12"/>
  <c r="A355" i="12" s="1"/>
  <c r="B356" i="12"/>
  <c r="A356" i="12" s="1"/>
  <c r="B357" i="12"/>
  <c r="A357" i="12" s="1"/>
  <c r="B358" i="12"/>
  <c r="A358" i="12" s="1"/>
  <c r="B359" i="12"/>
  <c r="A359" i="12" s="1"/>
  <c r="B360" i="12"/>
  <c r="A360" i="12" s="1"/>
  <c r="B361" i="12"/>
  <c r="A361" i="12" s="1"/>
  <c r="B362" i="12"/>
  <c r="A362" i="12" s="1"/>
  <c r="B363" i="12"/>
  <c r="A363" i="12" s="1"/>
  <c r="B364" i="12"/>
  <c r="A364" i="12" s="1"/>
  <c r="B365" i="12"/>
  <c r="A365" i="12" s="1"/>
  <c r="B366" i="12"/>
  <c r="A366" i="12" s="1"/>
  <c r="B367" i="12"/>
  <c r="A367" i="12" s="1"/>
  <c r="B368" i="12"/>
  <c r="A368" i="12" s="1"/>
  <c r="B369" i="12"/>
  <c r="A369" i="12" s="1"/>
  <c r="B370" i="12"/>
  <c r="A370" i="12" s="1"/>
  <c r="B371" i="12"/>
  <c r="A371" i="12" s="1"/>
  <c r="B372" i="12"/>
  <c r="A372" i="12" s="1"/>
  <c r="B373" i="12"/>
  <c r="A373" i="12" s="1"/>
  <c r="B374" i="12"/>
  <c r="A374" i="12" s="1"/>
  <c r="B375" i="12"/>
  <c r="A375" i="12" s="1"/>
  <c r="B376" i="12"/>
  <c r="A376" i="12" s="1"/>
  <c r="B377" i="12"/>
  <c r="A377" i="12" s="1"/>
  <c r="B378" i="12"/>
  <c r="A378" i="12" s="1"/>
  <c r="B379" i="12"/>
  <c r="A379" i="12" s="1"/>
  <c r="B380" i="12"/>
  <c r="A380" i="12" s="1"/>
  <c r="B381" i="12"/>
  <c r="A381" i="12" s="1"/>
  <c r="B382" i="12"/>
  <c r="A382" i="12" s="1"/>
  <c r="B383" i="12"/>
  <c r="A383" i="12" s="1"/>
  <c r="B384" i="12"/>
  <c r="A384" i="12" s="1"/>
  <c r="B385" i="12"/>
  <c r="A385" i="12" s="1"/>
  <c r="B386" i="12"/>
  <c r="A386" i="12" s="1"/>
  <c r="B387" i="12"/>
  <c r="A387" i="12" s="1"/>
  <c r="B388" i="12"/>
  <c r="A388" i="12" s="1"/>
  <c r="B389" i="12"/>
  <c r="A389" i="12" s="1"/>
  <c r="B390" i="12"/>
  <c r="A390" i="12" s="1"/>
  <c r="B391" i="12"/>
  <c r="A391" i="12" s="1"/>
  <c r="B392" i="12"/>
  <c r="A392" i="12" s="1"/>
  <c r="B393" i="12"/>
  <c r="A393" i="12" s="1"/>
  <c r="B394" i="12"/>
  <c r="A394" i="12" s="1"/>
  <c r="B395" i="12"/>
  <c r="A395" i="12" s="1"/>
  <c r="B396" i="12"/>
  <c r="A396" i="12" s="1"/>
  <c r="B397" i="12"/>
  <c r="A397" i="12" s="1"/>
  <c r="B398" i="12"/>
  <c r="A398" i="12" s="1"/>
  <c r="B399" i="12"/>
  <c r="A399" i="12" s="1"/>
  <c r="B400" i="12"/>
  <c r="A400" i="12" s="1"/>
  <c r="B401" i="12"/>
  <c r="A401" i="12" s="1"/>
  <c r="B402" i="12"/>
  <c r="A402" i="12" s="1"/>
  <c r="B403" i="12"/>
  <c r="A403" i="12" s="1"/>
  <c r="B404" i="12"/>
  <c r="A404" i="12" s="1"/>
  <c r="B405" i="12"/>
  <c r="A405" i="12" s="1"/>
  <c r="B406" i="12"/>
  <c r="A406" i="12" s="1"/>
  <c r="B407" i="12"/>
  <c r="A407" i="12" s="1"/>
  <c r="B408" i="12"/>
  <c r="A408" i="12" s="1"/>
  <c r="B409" i="12"/>
  <c r="A409" i="12" s="1"/>
  <c r="B410" i="12"/>
  <c r="A410" i="12" s="1"/>
  <c r="B411" i="12"/>
  <c r="A411" i="12" s="1"/>
  <c r="B412" i="12"/>
  <c r="A412" i="12" s="1"/>
  <c r="B413" i="12"/>
  <c r="A413" i="12" s="1"/>
  <c r="B414" i="12"/>
  <c r="A414" i="12" s="1"/>
  <c r="B415" i="12"/>
  <c r="A415" i="12" s="1"/>
  <c r="B416" i="12"/>
  <c r="A416" i="12" s="1"/>
  <c r="B417" i="12"/>
  <c r="A417" i="12" s="1"/>
  <c r="B418" i="12"/>
  <c r="A418" i="12" s="1"/>
  <c r="B419" i="12"/>
  <c r="A419" i="12" s="1"/>
  <c r="B420" i="12"/>
  <c r="A420" i="12" s="1"/>
  <c r="B421" i="12"/>
  <c r="A421" i="12" s="1"/>
  <c r="B422" i="12"/>
  <c r="A422" i="12" s="1"/>
  <c r="B423" i="12"/>
  <c r="A423" i="12" s="1"/>
  <c r="B424" i="12"/>
  <c r="A424" i="12" s="1"/>
  <c r="B425" i="12"/>
  <c r="A425" i="12" s="1"/>
  <c r="B426" i="12"/>
  <c r="A426" i="12" s="1"/>
  <c r="B427" i="12"/>
  <c r="A427" i="12" s="1"/>
  <c r="B428" i="12"/>
  <c r="A428" i="12" s="1"/>
  <c r="B429" i="12"/>
  <c r="A429" i="12" s="1"/>
  <c r="B430" i="12"/>
  <c r="A430" i="12" s="1"/>
  <c r="B431" i="12"/>
  <c r="A431" i="12" s="1"/>
  <c r="B432" i="12"/>
  <c r="A432" i="12" s="1"/>
  <c r="B433" i="12"/>
  <c r="A433" i="12" s="1"/>
  <c r="B434" i="12"/>
  <c r="A434" i="12" s="1"/>
  <c r="B435" i="12"/>
  <c r="A435" i="12" s="1"/>
  <c r="B436" i="12"/>
  <c r="A436" i="12" s="1"/>
  <c r="B437" i="12"/>
  <c r="A437" i="12" s="1"/>
  <c r="B438" i="12"/>
  <c r="A438" i="12" s="1"/>
  <c r="B439" i="12"/>
  <c r="A439" i="12" s="1"/>
  <c r="B440" i="12"/>
  <c r="A440" i="12" s="1"/>
  <c r="B441" i="12"/>
  <c r="A441" i="12" s="1"/>
  <c r="B442" i="12"/>
  <c r="A442" i="12" s="1"/>
  <c r="B443" i="12"/>
  <c r="A443" i="12" s="1"/>
  <c r="B444" i="12"/>
  <c r="A444" i="12" s="1"/>
  <c r="B445" i="12"/>
  <c r="A445" i="12" s="1"/>
  <c r="B446" i="12"/>
  <c r="A446" i="12" s="1"/>
  <c r="B447" i="12"/>
  <c r="A447" i="12" s="1"/>
  <c r="B448" i="12"/>
  <c r="A448" i="12" s="1"/>
  <c r="B449" i="12"/>
  <c r="A449" i="12" s="1"/>
  <c r="B450" i="12"/>
  <c r="A450" i="12" s="1"/>
  <c r="B451" i="12"/>
  <c r="A451" i="12" s="1"/>
  <c r="B452" i="12"/>
  <c r="A452" i="12" s="1"/>
  <c r="B453" i="12"/>
  <c r="A453" i="12" s="1"/>
  <c r="B454" i="12"/>
  <c r="A454" i="12" s="1"/>
  <c r="B455" i="12"/>
  <c r="A455" i="12" s="1"/>
  <c r="B456" i="12"/>
  <c r="A456" i="12" s="1"/>
  <c r="B457" i="12"/>
  <c r="A457" i="12" s="1"/>
  <c r="B458" i="12"/>
  <c r="A458" i="12" s="1"/>
  <c r="B459" i="12"/>
  <c r="A459" i="12" s="1"/>
  <c r="B460" i="12"/>
  <c r="A460" i="12" s="1"/>
  <c r="B461" i="12"/>
  <c r="A461" i="12" s="1"/>
  <c r="B462" i="12"/>
  <c r="A462" i="12" s="1"/>
  <c r="B463" i="12"/>
  <c r="A463" i="12" s="1"/>
  <c r="B464" i="12"/>
  <c r="A464" i="12" s="1"/>
  <c r="B465" i="12"/>
  <c r="A465" i="12" s="1"/>
  <c r="B466" i="12"/>
  <c r="A466" i="12" s="1"/>
  <c r="B467" i="12"/>
  <c r="A467" i="12" s="1"/>
  <c r="B468" i="12"/>
  <c r="A468" i="12" s="1"/>
  <c r="B469" i="12"/>
  <c r="A469" i="12" s="1"/>
  <c r="B470" i="12"/>
  <c r="A470" i="12" s="1"/>
  <c r="B471" i="12"/>
  <c r="A471" i="12" s="1"/>
  <c r="B472" i="12"/>
  <c r="A472" i="12" s="1"/>
  <c r="B473" i="12"/>
  <c r="A473" i="12" s="1"/>
  <c r="B474" i="12"/>
  <c r="A474" i="12" s="1"/>
  <c r="B475" i="12"/>
  <c r="A475" i="12" s="1"/>
  <c r="G2" i="3"/>
  <c r="A2" i="3" s="1"/>
  <c r="G487" i="3"/>
  <c r="A487" i="3" s="1"/>
  <c r="G508" i="3"/>
  <c r="A508" i="3" s="1"/>
  <c r="G507" i="3"/>
  <c r="A507" i="3" s="1"/>
  <c r="G506" i="3"/>
  <c r="A506" i="3" s="1"/>
  <c r="G505" i="3"/>
  <c r="A505" i="3" s="1"/>
  <c r="G504" i="3"/>
  <c r="A504" i="3" s="1"/>
  <c r="G503" i="3"/>
  <c r="A503" i="3" s="1"/>
  <c r="G502" i="3"/>
  <c r="A502" i="3" s="1"/>
  <c r="G501" i="3"/>
  <c r="A501" i="3" s="1"/>
  <c r="G500" i="3"/>
  <c r="A500" i="3" s="1"/>
  <c r="G499" i="3"/>
  <c r="A499" i="3" s="1"/>
  <c r="G498" i="3"/>
  <c r="A498" i="3" s="1"/>
  <c r="G497" i="3"/>
  <c r="A497" i="3" s="1"/>
  <c r="G496" i="3"/>
  <c r="A496" i="3" s="1"/>
  <c r="G495" i="3"/>
  <c r="A495" i="3" s="1"/>
  <c r="G494" i="3"/>
  <c r="A494" i="3" s="1"/>
  <c r="G493" i="3"/>
  <c r="A493" i="3" s="1"/>
  <c r="G492" i="3"/>
  <c r="A492" i="3" s="1"/>
  <c r="G491" i="3"/>
  <c r="A491" i="3" s="1"/>
  <c r="G490" i="3"/>
  <c r="A490" i="3" s="1"/>
  <c r="G489" i="3"/>
  <c r="A489" i="3" s="1"/>
  <c r="G488" i="3"/>
  <c r="A488" i="3" s="1"/>
  <c r="G485" i="3"/>
  <c r="A485" i="3" s="1"/>
  <c r="G486" i="3"/>
  <c r="A486" i="3" s="1"/>
  <c r="G467" i="3"/>
  <c r="A467" i="3" s="1"/>
  <c r="G484" i="3"/>
  <c r="A484" i="3" s="1"/>
  <c r="G483" i="3"/>
  <c r="A483" i="3" s="1"/>
  <c r="G482" i="3"/>
  <c r="A482" i="3" s="1"/>
  <c r="G481" i="3"/>
  <c r="A481" i="3" s="1"/>
  <c r="G479" i="3"/>
  <c r="A479" i="3" s="1"/>
  <c r="G478" i="3"/>
  <c r="A478" i="3" s="1"/>
  <c r="G477" i="3"/>
  <c r="A477" i="3" s="1"/>
  <c r="G475" i="3"/>
  <c r="A475" i="3" s="1"/>
  <c r="G474" i="3"/>
  <c r="A474" i="3" s="1"/>
  <c r="G473" i="3"/>
  <c r="A473" i="3" s="1"/>
  <c r="G472" i="3"/>
  <c r="A472" i="3" s="1"/>
  <c r="G476" i="3"/>
  <c r="A476" i="3" s="1"/>
  <c r="G471" i="3"/>
  <c r="A471" i="3" s="1"/>
  <c r="G470" i="3"/>
  <c r="A470" i="3" s="1"/>
  <c r="G469" i="3"/>
  <c r="A469" i="3" s="1"/>
  <c r="G468" i="3"/>
  <c r="A468" i="3" s="1"/>
  <c r="G453" i="3"/>
  <c r="A453" i="3" s="1"/>
  <c r="G466" i="3"/>
  <c r="A466" i="3" s="1"/>
  <c r="G465" i="3"/>
  <c r="A465" i="3" s="1"/>
  <c r="G464" i="3"/>
  <c r="A464" i="3" s="1"/>
  <c r="G463" i="3"/>
  <c r="A463" i="3" s="1"/>
  <c r="G462" i="3"/>
  <c r="A462" i="3" s="1"/>
  <c r="G461" i="3"/>
  <c r="A461" i="3" s="1"/>
  <c r="G460" i="3"/>
  <c r="A460" i="3" s="1"/>
  <c r="G459" i="3"/>
  <c r="A459" i="3" s="1"/>
  <c r="G458" i="3"/>
  <c r="A458" i="3" s="1"/>
  <c r="G457" i="3"/>
  <c r="A457" i="3" s="1"/>
  <c r="G456" i="3"/>
  <c r="A456" i="3" s="1"/>
  <c r="G455" i="3"/>
  <c r="A455" i="3" s="1"/>
  <c r="G454" i="3"/>
  <c r="A454" i="3" s="1"/>
  <c r="G452" i="3"/>
  <c r="A452" i="3" s="1"/>
  <c r="G449" i="3"/>
  <c r="A449" i="3" s="1"/>
  <c r="G451" i="3"/>
  <c r="A451" i="3" s="1"/>
  <c r="G434" i="3"/>
  <c r="A434" i="3" s="1"/>
  <c r="G447" i="3"/>
  <c r="A447" i="3" s="1"/>
  <c r="G446" i="3"/>
  <c r="A446" i="3" s="1"/>
  <c r="G445" i="3"/>
  <c r="A445" i="3" s="1"/>
  <c r="G444" i="3"/>
  <c r="A444" i="3" s="1"/>
  <c r="G443" i="3"/>
  <c r="A443" i="3" s="1"/>
  <c r="G442" i="3"/>
  <c r="A442" i="3" s="1"/>
  <c r="G441" i="3"/>
  <c r="A441" i="3" s="1"/>
  <c r="G440" i="3"/>
  <c r="A440" i="3" s="1"/>
  <c r="G439" i="3"/>
  <c r="A439" i="3" s="1"/>
  <c r="G438" i="3"/>
  <c r="A438" i="3" s="1"/>
  <c r="G437" i="3"/>
  <c r="A437" i="3" s="1"/>
  <c r="G436" i="3"/>
  <c r="A436" i="3" s="1"/>
  <c r="G435" i="3"/>
  <c r="A435" i="3" s="1"/>
  <c r="G430" i="3"/>
  <c r="A430" i="3" s="1"/>
  <c r="G433" i="3"/>
  <c r="A433" i="3" s="1"/>
  <c r="G432" i="3"/>
  <c r="A432" i="3" s="1"/>
  <c r="G417" i="3"/>
  <c r="A417" i="3" s="1"/>
  <c r="G429" i="3"/>
  <c r="A429" i="3" s="1"/>
  <c r="G428" i="3"/>
  <c r="A428" i="3" s="1"/>
  <c r="G426" i="3"/>
  <c r="A426" i="3" s="1"/>
  <c r="G427" i="3"/>
  <c r="A427" i="3" s="1"/>
  <c r="G425" i="3"/>
  <c r="A425" i="3" s="1"/>
  <c r="G424" i="3"/>
  <c r="A424" i="3" s="1"/>
  <c r="G423" i="3"/>
  <c r="A423" i="3" s="1"/>
  <c r="G422" i="3"/>
  <c r="A422" i="3" s="1"/>
  <c r="G421" i="3"/>
  <c r="A421" i="3" s="1"/>
  <c r="G420" i="3"/>
  <c r="A420" i="3" s="1"/>
  <c r="G419" i="3"/>
  <c r="A419" i="3" s="1"/>
  <c r="G418" i="3"/>
  <c r="A418" i="3" s="1"/>
  <c r="G413" i="3"/>
  <c r="A413" i="3" s="1"/>
  <c r="G416" i="3"/>
  <c r="A416" i="3" s="1"/>
  <c r="G415" i="3"/>
  <c r="A415" i="3" s="1"/>
  <c r="G414" i="3"/>
  <c r="A414" i="3" s="1"/>
  <c r="G406" i="3"/>
  <c r="A406" i="3" s="1"/>
  <c r="G412" i="3"/>
  <c r="A412" i="3" s="1"/>
  <c r="G411" i="3"/>
  <c r="A411" i="3" s="1"/>
  <c r="G410" i="3"/>
  <c r="A410" i="3" s="1"/>
  <c r="G409" i="3"/>
  <c r="A409" i="3" s="1"/>
  <c r="G408" i="3"/>
  <c r="A408" i="3" s="1"/>
  <c r="G407" i="3"/>
  <c r="A407" i="3" s="1"/>
  <c r="G379" i="3"/>
  <c r="A379" i="3" s="1"/>
  <c r="G405" i="3"/>
  <c r="A405" i="3" s="1"/>
  <c r="G404" i="3"/>
  <c r="A404" i="3" s="1"/>
  <c r="G403" i="3"/>
  <c r="A403" i="3" s="1"/>
  <c r="G402" i="3"/>
  <c r="A402" i="3" s="1"/>
  <c r="G401" i="3"/>
  <c r="A401" i="3" s="1"/>
  <c r="G400" i="3"/>
  <c r="A400" i="3" s="1"/>
  <c r="G399" i="3"/>
  <c r="A399" i="3" s="1"/>
  <c r="G398" i="3"/>
  <c r="A398" i="3" s="1"/>
  <c r="G397" i="3"/>
  <c r="A397" i="3" s="1"/>
  <c r="G396" i="3"/>
  <c r="A396" i="3" s="1"/>
  <c r="G395" i="3"/>
  <c r="A395" i="3" s="1"/>
  <c r="G394" i="3"/>
  <c r="A394" i="3" s="1"/>
  <c r="G393" i="3"/>
  <c r="A393" i="3" s="1"/>
  <c r="G392" i="3"/>
  <c r="A392" i="3" s="1"/>
  <c r="G391" i="3"/>
  <c r="A391" i="3" s="1"/>
  <c r="G390" i="3"/>
  <c r="A390" i="3" s="1"/>
  <c r="G389" i="3"/>
  <c r="A389" i="3" s="1"/>
  <c r="G388" i="3"/>
  <c r="A388" i="3" s="1"/>
  <c r="G386" i="3"/>
  <c r="A386" i="3" s="1"/>
  <c r="G385" i="3"/>
  <c r="A385" i="3" s="1"/>
  <c r="G384" i="3"/>
  <c r="A384" i="3" s="1"/>
  <c r="G383" i="3"/>
  <c r="A383" i="3" s="1"/>
  <c r="G382" i="3"/>
  <c r="A382" i="3" s="1"/>
  <c r="G381" i="3"/>
  <c r="A381" i="3" s="1"/>
  <c r="G387" i="3"/>
  <c r="A387" i="3" s="1"/>
  <c r="G380" i="3"/>
  <c r="A380" i="3" s="1"/>
  <c r="G368" i="3"/>
  <c r="A368" i="3" s="1"/>
  <c r="G377" i="3"/>
  <c r="A377" i="3" s="1"/>
  <c r="G376" i="3"/>
  <c r="A376" i="3" s="1"/>
  <c r="G374" i="3"/>
  <c r="A374" i="3" s="1"/>
  <c r="G373" i="3"/>
  <c r="A373" i="3" s="1"/>
  <c r="G372" i="3"/>
  <c r="A372" i="3" s="1"/>
  <c r="G371" i="3"/>
  <c r="A371" i="3" s="1"/>
  <c r="G370" i="3"/>
  <c r="A370" i="3" s="1"/>
  <c r="G369" i="3"/>
  <c r="A369" i="3" s="1"/>
  <c r="G365" i="3"/>
  <c r="A365" i="3" s="1"/>
  <c r="G367" i="3"/>
  <c r="A367" i="3" s="1"/>
  <c r="G366" i="3"/>
  <c r="A366" i="3" s="1"/>
  <c r="G360" i="3"/>
  <c r="A360" i="3" s="1"/>
  <c r="G364" i="3"/>
  <c r="A364" i="3" s="1"/>
  <c r="G363" i="3"/>
  <c r="A363" i="3" s="1"/>
  <c r="G362" i="3"/>
  <c r="A362" i="3" s="1"/>
  <c r="G361" i="3"/>
  <c r="A361" i="3" s="1"/>
  <c r="G339" i="3"/>
  <c r="A339" i="3" s="1"/>
  <c r="G359" i="3"/>
  <c r="A359" i="3" s="1"/>
  <c r="G358" i="3"/>
  <c r="A358" i="3" s="1"/>
  <c r="G357" i="3"/>
  <c r="A357" i="3" s="1"/>
  <c r="G356" i="3"/>
  <c r="A356" i="3" s="1"/>
  <c r="G355" i="3"/>
  <c r="A355" i="3" s="1"/>
  <c r="G354" i="3"/>
  <c r="A354" i="3" s="1"/>
  <c r="G353" i="3"/>
  <c r="A353" i="3" s="1"/>
  <c r="G352" i="3"/>
  <c r="A352" i="3" s="1"/>
  <c r="G351" i="3"/>
  <c r="A351" i="3" s="1"/>
  <c r="G350" i="3"/>
  <c r="A350" i="3" s="1"/>
  <c r="G349" i="3"/>
  <c r="A349" i="3" s="1"/>
  <c r="G348" i="3"/>
  <c r="A348" i="3" s="1"/>
  <c r="G347" i="3"/>
  <c r="A347" i="3" s="1"/>
  <c r="G346" i="3"/>
  <c r="A346" i="3" s="1"/>
  <c r="G345" i="3"/>
  <c r="A345" i="3" s="1"/>
  <c r="G344" i="3"/>
  <c r="A344" i="3" s="1"/>
  <c r="G343" i="3"/>
  <c r="A343" i="3" s="1"/>
  <c r="G342" i="3"/>
  <c r="A342" i="3" s="1"/>
  <c r="G341" i="3"/>
  <c r="A341" i="3" s="1"/>
  <c r="G340" i="3"/>
  <c r="A340" i="3" s="1"/>
  <c r="G334" i="3"/>
  <c r="A334" i="3" s="1"/>
  <c r="G338" i="3"/>
  <c r="A338" i="3" s="1"/>
  <c r="G336" i="3"/>
  <c r="A336" i="3" s="1"/>
  <c r="G335" i="3"/>
  <c r="A335" i="3" s="1"/>
  <c r="G333" i="3"/>
  <c r="A333" i="3" s="1"/>
  <c r="G332" i="3"/>
  <c r="A332" i="3" s="1"/>
  <c r="G331" i="3"/>
  <c r="A331" i="3" s="1"/>
  <c r="G330" i="3"/>
  <c r="A330" i="3" s="1"/>
  <c r="G329" i="3"/>
  <c r="A329" i="3" s="1"/>
  <c r="G327" i="3"/>
  <c r="A327" i="3" s="1"/>
  <c r="G328" i="3"/>
  <c r="A328" i="3" s="1"/>
  <c r="G325" i="3"/>
  <c r="A325" i="3" s="1"/>
  <c r="G326" i="3"/>
  <c r="A326" i="3" s="1"/>
  <c r="G308" i="3"/>
  <c r="A308" i="3" s="1"/>
  <c r="G324" i="3"/>
  <c r="A324" i="3" s="1"/>
  <c r="G323" i="3"/>
  <c r="A323" i="3" s="1"/>
  <c r="G322" i="3"/>
  <c r="A322" i="3" s="1"/>
  <c r="G321" i="3"/>
  <c r="A321" i="3" s="1"/>
  <c r="G320" i="3"/>
  <c r="A320" i="3" s="1"/>
  <c r="G319" i="3"/>
  <c r="A319" i="3" s="1"/>
  <c r="G318" i="3"/>
  <c r="A318" i="3" s="1"/>
  <c r="G317" i="3"/>
  <c r="A317" i="3" s="1"/>
  <c r="G316" i="3"/>
  <c r="A316" i="3" s="1"/>
  <c r="G315" i="3"/>
  <c r="A315" i="3" s="1"/>
  <c r="G314" i="3"/>
  <c r="A314" i="3" s="1"/>
  <c r="G313" i="3"/>
  <c r="A313" i="3" s="1"/>
  <c r="G312" i="3"/>
  <c r="A312" i="3" s="1"/>
  <c r="G311" i="3"/>
  <c r="A311" i="3" s="1"/>
  <c r="G310" i="3"/>
  <c r="A310" i="3" s="1"/>
  <c r="G309" i="3"/>
  <c r="A309" i="3" s="1"/>
  <c r="G305" i="3"/>
  <c r="A305" i="3" s="1"/>
  <c r="G307" i="3"/>
  <c r="A307" i="3" s="1"/>
  <c r="G306" i="3"/>
  <c r="A306" i="3" s="1"/>
  <c r="G298" i="3"/>
  <c r="A298" i="3" s="1"/>
  <c r="G304" i="3"/>
  <c r="A304" i="3" s="1"/>
  <c r="G303" i="3"/>
  <c r="A303" i="3" s="1"/>
  <c r="G301" i="3"/>
  <c r="A301" i="3" s="1"/>
  <c r="G300" i="3"/>
  <c r="A300" i="3" s="1"/>
  <c r="G299" i="3"/>
  <c r="A299" i="3" s="1"/>
  <c r="G296" i="3"/>
  <c r="A296" i="3" s="1"/>
  <c r="G297" i="3"/>
  <c r="A297" i="3" s="1"/>
  <c r="G295" i="3"/>
  <c r="A295" i="3" s="1"/>
  <c r="G294" i="3"/>
  <c r="A294" i="3" s="1"/>
  <c r="G270" i="3"/>
  <c r="A270" i="3" s="1"/>
  <c r="G291" i="3"/>
  <c r="A291" i="3" s="1"/>
  <c r="G290" i="3"/>
  <c r="A290" i="3" s="1"/>
  <c r="G288" i="3"/>
  <c r="A288" i="3" s="1"/>
  <c r="G287" i="3"/>
  <c r="A287" i="3" s="1"/>
  <c r="G286" i="3"/>
  <c r="A286" i="3" s="1"/>
  <c r="G285" i="3"/>
  <c r="A285" i="3" s="1"/>
  <c r="G284" i="3"/>
  <c r="A284" i="3" s="1"/>
  <c r="G283" i="3"/>
  <c r="A283" i="3" s="1"/>
  <c r="G282" i="3"/>
  <c r="A282" i="3" s="1"/>
  <c r="G281" i="3"/>
  <c r="A281" i="3" s="1"/>
  <c r="G280" i="3"/>
  <c r="A280" i="3" s="1"/>
  <c r="G279" i="3"/>
  <c r="A279" i="3" s="1"/>
  <c r="G278" i="3"/>
  <c r="A278" i="3" s="1"/>
  <c r="G277" i="3"/>
  <c r="A277" i="3" s="1"/>
  <c r="G276" i="3"/>
  <c r="A276" i="3" s="1"/>
  <c r="G275" i="3"/>
  <c r="A275" i="3" s="1"/>
  <c r="G274" i="3"/>
  <c r="A274" i="3" s="1"/>
  <c r="G273" i="3"/>
  <c r="A273" i="3" s="1"/>
  <c r="G272" i="3"/>
  <c r="A272" i="3" s="1"/>
  <c r="G271" i="3"/>
  <c r="A271" i="3" s="1"/>
  <c r="G268" i="3"/>
  <c r="A268" i="3" s="1"/>
  <c r="G269" i="3"/>
  <c r="A269" i="3" s="1"/>
  <c r="G252" i="3"/>
  <c r="A252" i="3" s="1"/>
  <c r="G267" i="3"/>
  <c r="A267" i="3" s="1"/>
  <c r="G266" i="3"/>
  <c r="A266" i="3" s="1"/>
  <c r="G265" i="3"/>
  <c r="A265" i="3" s="1"/>
  <c r="G264" i="3"/>
  <c r="A264" i="3" s="1"/>
  <c r="G263" i="3"/>
  <c r="A263" i="3" s="1"/>
  <c r="G262" i="3"/>
  <c r="A262" i="3" s="1"/>
  <c r="G261" i="3"/>
  <c r="A261" i="3" s="1"/>
  <c r="G260" i="3"/>
  <c r="A260" i="3" s="1"/>
  <c r="G259" i="3"/>
  <c r="A259" i="3" s="1"/>
  <c r="G258" i="3"/>
  <c r="A258" i="3" s="1"/>
  <c r="G254" i="3"/>
  <c r="A254" i="3" s="1"/>
  <c r="G253" i="3"/>
  <c r="A253" i="3" s="1"/>
  <c r="G234" i="3"/>
  <c r="A234" i="3" s="1"/>
  <c r="G251" i="3"/>
  <c r="A251" i="3" s="1"/>
  <c r="G250" i="3"/>
  <c r="A250" i="3" s="1"/>
  <c r="G249" i="3"/>
  <c r="A249" i="3" s="1"/>
  <c r="G248" i="3"/>
  <c r="A248" i="3" s="1"/>
  <c r="G247" i="3"/>
  <c r="A247" i="3" s="1"/>
  <c r="G246" i="3"/>
  <c r="A246" i="3" s="1"/>
  <c r="G245" i="3"/>
  <c r="A245" i="3" s="1"/>
  <c r="G244" i="3"/>
  <c r="A244" i="3" s="1"/>
  <c r="G243" i="3"/>
  <c r="A243" i="3" s="1"/>
  <c r="G242" i="3"/>
  <c r="A242" i="3" s="1"/>
  <c r="G241" i="3"/>
  <c r="A241" i="3" s="1"/>
  <c r="G240" i="3"/>
  <c r="A240" i="3" s="1"/>
  <c r="G239" i="3"/>
  <c r="A239" i="3" s="1"/>
  <c r="G238" i="3"/>
  <c r="A238" i="3" s="1"/>
  <c r="G237" i="3"/>
  <c r="A237" i="3" s="1"/>
  <c r="G236" i="3"/>
  <c r="A236" i="3" s="1"/>
  <c r="G235" i="3"/>
  <c r="A235" i="3" s="1"/>
  <c r="G193" i="3"/>
  <c r="A193" i="3" s="1"/>
  <c r="G233" i="3"/>
  <c r="A233" i="3" s="1"/>
  <c r="G232" i="3"/>
  <c r="A232" i="3" s="1"/>
  <c r="G230" i="3"/>
  <c r="A230" i="3" s="1"/>
  <c r="G229" i="3"/>
  <c r="A229" i="3" s="1"/>
  <c r="G225" i="3"/>
  <c r="A225" i="3" s="1"/>
  <c r="G224" i="3"/>
  <c r="A224" i="3" s="1"/>
  <c r="G223" i="3"/>
  <c r="A223" i="3" s="1"/>
  <c r="G222" i="3"/>
  <c r="A222" i="3" s="1"/>
  <c r="G221" i="3"/>
  <c r="A221" i="3" s="1"/>
  <c r="G220" i="3"/>
  <c r="A220" i="3" s="1"/>
  <c r="G219" i="3"/>
  <c r="A219" i="3" s="1"/>
  <c r="G218" i="3"/>
  <c r="A218" i="3" s="1"/>
  <c r="G217" i="3"/>
  <c r="A217" i="3" s="1"/>
  <c r="G216" i="3"/>
  <c r="A216" i="3" s="1"/>
  <c r="G215" i="3"/>
  <c r="A215" i="3" s="1"/>
  <c r="G228" i="3"/>
  <c r="A228" i="3" s="1"/>
  <c r="G213" i="3"/>
  <c r="A213" i="3" s="1"/>
  <c r="G212" i="3"/>
  <c r="A212" i="3" s="1"/>
  <c r="G227" i="3"/>
  <c r="A227" i="3" s="1"/>
  <c r="G211" i="3"/>
  <c r="A211" i="3" s="1"/>
  <c r="G210" i="3"/>
  <c r="A210" i="3" s="1"/>
  <c r="G209" i="3"/>
  <c r="A209" i="3" s="1"/>
  <c r="G208" i="3"/>
  <c r="A208" i="3" s="1"/>
  <c r="G207" i="3"/>
  <c r="A207" i="3" s="1"/>
  <c r="G206" i="3"/>
  <c r="A206" i="3" s="1"/>
  <c r="G205" i="3"/>
  <c r="A205" i="3" s="1"/>
  <c r="G204" i="3"/>
  <c r="A204" i="3" s="1"/>
  <c r="G203" i="3"/>
  <c r="A203" i="3" s="1"/>
  <c r="G202" i="3"/>
  <c r="A202" i="3" s="1"/>
  <c r="G201" i="3"/>
  <c r="A201" i="3" s="1"/>
  <c r="G200" i="3"/>
  <c r="A200" i="3" s="1"/>
  <c r="G199" i="3"/>
  <c r="A199" i="3" s="1"/>
  <c r="G198" i="3"/>
  <c r="A198" i="3" s="1"/>
  <c r="G197" i="3"/>
  <c r="A197" i="3" s="1"/>
  <c r="G196" i="3"/>
  <c r="A196" i="3" s="1"/>
  <c r="G195" i="3"/>
  <c r="A195" i="3" s="1"/>
  <c r="G194" i="3"/>
  <c r="A194" i="3" s="1"/>
  <c r="G192" i="3"/>
  <c r="A192" i="3" s="1"/>
  <c r="G190" i="3"/>
  <c r="A190" i="3" s="1"/>
  <c r="G191" i="3"/>
  <c r="A191" i="3" s="1"/>
  <c r="G189" i="3"/>
  <c r="A189" i="3" s="1"/>
  <c r="G188" i="3"/>
  <c r="A188" i="3" s="1"/>
  <c r="G185" i="3"/>
  <c r="A185" i="3" s="1"/>
  <c r="G187" i="3"/>
  <c r="A187" i="3" s="1"/>
  <c r="G186" i="3"/>
  <c r="A186" i="3" s="1"/>
  <c r="G178" i="3"/>
  <c r="A178" i="3" s="1"/>
  <c r="G184" i="3"/>
  <c r="A184" i="3" s="1"/>
  <c r="G183" i="3"/>
  <c r="A183" i="3" s="1"/>
  <c r="G182" i="3"/>
  <c r="A182" i="3" s="1"/>
  <c r="G181" i="3"/>
  <c r="A181" i="3" s="1"/>
  <c r="G180" i="3"/>
  <c r="A180" i="3" s="1"/>
  <c r="G179" i="3"/>
  <c r="A179" i="3" s="1"/>
  <c r="G167" i="3"/>
  <c r="A167" i="3" s="1"/>
  <c r="G177" i="3"/>
  <c r="A177" i="3" s="1"/>
  <c r="G175" i="3"/>
  <c r="A175" i="3" s="1"/>
  <c r="G174" i="3"/>
  <c r="A174" i="3" s="1"/>
  <c r="G173" i="3"/>
  <c r="A173" i="3" s="1"/>
  <c r="G172" i="3"/>
  <c r="A172" i="3" s="1"/>
  <c r="G171" i="3"/>
  <c r="A171" i="3" s="1"/>
  <c r="G170" i="3"/>
  <c r="A170" i="3" s="1"/>
  <c r="G168" i="3"/>
  <c r="A168" i="3" s="1"/>
  <c r="G145" i="3"/>
  <c r="A145" i="3" s="1"/>
  <c r="G165" i="3"/>
  <c r="A165" i="3" s="1"/>
  <c r="G164" i="3"/>
  <c r="A164" i="3" s="1"/>
  <c r="G163" i="3"/>
  <c r="A163" i="3" s="1"/>
  <c r="G162" i="3"/>
  <c r="A162" i="3" s="1"/>
  <c r="G161" i="3"/>
  <c r="A161" i="3" s="1"/>
  <c r="G160" i="3"/>
  <c r="A160" i="3" s="1"/>
  <c r="G159" i="3"/>
  <c r="A159" i="3" s="1"/>
  <c r="G157" i="3"/>
  <c r="A157" i="3" s="1"/>
  <c r="G156" i="3"/>
  <c r="A156" i="3" s="1"/>
  <c r="G155" i="3"/>
  <c r="A155" i="3" s="1"/>
  <c r="G158" i="3"/>
  <c r="A158" i="3" s="1"/>
  <c r="G154" i="3"/>
  <c r="A154" i="3" s="1"/>
  <c r="G153" i="3"/>
  <c r="A153" i="3" s="1"/>
  <c r="G152" i="3"/>
  <c r="A152" i="3" s="1"/>
  <c r="G151" i="3"/>
  <c r="A151" i="3" s="1"/>
  <c r="G150" i="3"/>
  <c r="A150" i="3" s="1"/>
  <c r="G149" i="3"/>
  <c r="A149" i="3" s="1"/>
  <c r="G148" i="3"/>
  <c r="A148" i="3" s="1"/>
  <c r="G146" i="3"/>
  <c r="A146" i="3" s="1"/>
  <c r="G147" i="3"/>
  <c r="A147" i="3" s="1"/>
  <c r="G140" i="3"/>
  <c r="A140" i="3" s="1"/>
  <c r="G144" i="3"/>
  <c r="A144" i="3" s="1"/>
  <c r="G143" i="3"/>
  <c r="A143" i="3" s="1"/>
  <c r="G142" i="3"/>
  <c r="A142" i="3" s="1"/>
  <c r="G141" i="3"/>
  <c r="A141" i="3" s="1"/>
  <c r="G102" i="3"/>
  <c r="A102" i="3" s="1"/>
  <c r="G138" i="3"/>
  <c r="A138" i="3" s="1"/>
  <c r="G137" i="3"/>
  <c r="A137" i="3" s="1"/>
  <c r="G136" i="3"/>
  <c r="A136" i="3" s="1"/>
  <c r="G135" i="3"/>
  <c r="A135" i="3" s="1"/>
  <c r="G134" i="3"/>
  <c r="A134" i="3" s="1"/>
  <c r="G132" i="3"/>
  <c r="A132" i="3" s="1"/>
  <c r="G131" i="3"/>
  <c r="A131" i="3" s="1"/>
  <c r="G133" i="3"/>
  <c r="A133" i="3" s="1"/>
  <c r="G129" i="3"/>
  <c r="A129" i="3" s="1"/>
  <c r="G127" i="3"/>
  <c r="A127" i="3" s="1"/>
  <c r="G126" i="3"/>
  <c r="A126" i="3" s="1"/>
  <c r="G130" i="3"/>
  <c r="A130" i="3" s="1"/>
  <c r="G125" i="3"/>
  <c r="A125" i="3" s="1"/>
  <c r="G124" i="3"/>
  <c r="A124" i="3" s="1"/>
  <c r="G122" i="3"/>
  <c r="A122" i="3" s="1"/>
  <c r="G121" i="3"/>
  <c r="A121" i="3" s="1"/>
  <c r="G120" i="3"/>
  <c r="A120" i="3" s="1"/>
  <c r="G119" i="3"/>
  <c r="A119" i="3" s="1"/>
  <c r="G118" i="3"/>
  <c r="A118" i="3" s="1"/>
  <c r="G117" i="3"/>
  <c r="A117" i="3" s="1"/>
  <c r="G116" i="3"/>
  <c r="A116" i="3" s="1"/>
  <c r="G115" i="3"/>
  <c r="A115" i="3" s="1"/>
  <c r="G114" i="3"/>
  <c r="A114" i="3" s="1"/>
  <c r="G113" i="3"/>
  <c r="A113" i="3" s="1"/>
  <c r="G112" i="3"/>
  <c r="A112" i="3" s="1"/>
  <c r="G111" i="3"/>
  <c r="A111" i="3" s="1"/>
  <c r="G110" i="3"/>
  <c r="A110" i="3" s="1"/>
  <c r="G109" i="3"/>
  <c r="A109" i="3" s="1"/>
  <c r="G108" i="3"/>
  <c r="A108" i="3" s="1"/>
  <c r="G107" i="3"/>
  <c r="A107" i="3" s="1"/>
  <c r="G106" i="3"/>
  <c r="A106" i="3" s="1"/>
  <c r="G105" i="3"/>
  <c r="A105" i="3" s="1"/>
  <c r="G104" i="3"/>
  <c r="A104" i="3" s="1"/>
  <c r="G92" i="3"/>
  <c r="A92" i="3" s="1"/>
  <c r="G101" i="3"/>
  <c r="A101" i="3" s="1"/>
  <c r="G100" i="3"/>
  <c r="A100" i="3" s="1"/>
  <c r="G99" i="3"/>
  <c r="A99" i="3" s="1"/>
  <c r="G97" i="3"/>
  <c r="A97" i="3" s="1"/>
  <c r="G96" i="3"/>
  <c r="A96" i="3" s="1"/>
  <c r="G95" i="3"/>
  <c r="A95" i="3" s="1"/>
  <c r="G94" i="3"/>
  <c r="A94" i="3" s="1"/>
  <c r="G93" i="3"/>
  <c r="A93" i="3" s="1"/>
  <c r="G85" i="3"/>
  <c r="A85" i="3" s="1"/>
  <c r="G91" i="3"/>
  <c r="A91" i="3" s="1"/>
  <c r="G90" i="3"/>
  <c r="A90" i="3" s="1"/>
  <c r="G89" i="3"/>
  <c r="A89" i="3" s="1"/>
  <c r="G88" i="3"/>
  <c r="A88" i="3" s="1"/>
  <c r="G87" i="3"/>
  <c r="A87" i="3" s="1"/>
  <c r="G86" i="3"/>
  <c r="A86" i="3" s="1"/>
  <c r="G72" i="3"/>
  <c r="A72" i="3" s="1"/>
  <c r="G84" i="3"/>
  <c r="A84" i="3" s="1"/>
  <c r="G83" i="3"/>
  <c r="A83" i="3" s="1"/>
  <c r="G77" i="3"/>
  <c r="A77" i="3" s="1"/>
  <c r="G76" i="3"/>
  <c r="A76" i="3" s="1"/>
  <c r="G75" i="3"/>
  <c r="A75" i="3" s="1"/>
  <c r="G74" i="3"/>
  <c r="A74" i="3" s="1"/>
  <c r="G73" i="3"/>
  <c r="A73" i="3" s="1"/>
  <c r="G66" i="3"/>
  <c r="A66" i="3" s="1"/>
  <c r="G71" i="3"/>
  <c r="A71" i="3" s="1"/>
  <c r="G70" i="3"/>
  <c r="A70" i="3" s="1"/>
  <c r="G69" i="3"/>
  <c r="A69" i="3" s="1"/>
  <c r="G68" i="3"/>
  <c r="A68" i="3" s="1"/>
  <c r="G67" i="3"/>
  <c r="A67" i="3" s="1"/>
  <c r="G63" i="3"/>
  <c r="A63" i="3" s="1"/>
  <c r="G64" i="3"/>
  <c r="A64" i="3" s="1"/>
  <c r="G60" i="3"/>
  <c r="A60" i="3" s="1"/>
  <c r="G62" i="3"/>
  <c r="A62" i="3" s="1"/>
  <c r="G61" i="3"/>
  <c r="A61" i="3" s="1"/>
  <c r="G49" i="3"/>
  <c r="A49" i="3" s="1"/>
  <c r="G59" i="3"/>
  <c r="A59" i="3" s="1"/>
  <c r="G58" i="3"/>
  <c r="A58" i="3" s="1"/>
  <c r="G57" i="3"/>
  <c r="A57" i="3" s="1"/>
  <c r="G56" i="3"/>
  <c r="A56" i="3" s="1"/>
  <c r="G55" i="3"/>
  <c r="A55" i="3" s="1"/>
  <c r="G54" i="3"/>
  <c r="A54" i="3" s="1"/>
  <c r="G53" i="3"/>
  <c r="A53" i="3" s="1"/>
  <c r="G52" i="3"/>
  <c r="A52" i="3" s="1"/>
  <c r="G51" i="3"/>
  <c r="A51" i="3" s="1"/>
  <c r="G50" i="3"/>
  <c r="A50" i="3" s="1"/>
  <c r="G48" i="3"/>
  <c r="A48" i="3" s="1"/>
  <c r="G46" i="3"/>
  <c r="A46" i="3" s="1"/>
  <c r="G45" i="3"/>
  <c r="A45" i="3" s="1"/>
  <c r="G44" i="3"/>
  <c r="A44" i="3" s="1"/>
  <c r="G43" i="3"/>
  <c r="A43" i="3" s="1"/>
  <c r="G42" i="3"/>
  <c r="A42" i="3" s="1"/>
  <c r="G41" i="3"/>
  <c r="A41" i="3" s="1"/>
  <c r="G39" i="3"/>
  <c r="A39" i="3" s="1"/>
  <c r="G38" i="3"/>
  <c r="A38" i="3" s="1"/>
  <c r="G37" i="3"/>
  <c r="A37" i="3" s="1"/>
  <c r="G35" i="3"/>
  <c r="A35" i="3" s="1"/>
  <c r="G34" i="3"/>
  <c r="A34" i="3" s="1"/>
  <c r="G33" i="3"/>
  <c r="A33" i="3" s="1"/>
  <c r="G31" i="3"/>
  <c r="A31" i="3" s="1"/>
  <c r="G30" i="3"/>
  <c r="A30" i="3" s="1"/>
  <c r="G29" i="3"/>
  <c r="A29" i="3" s="1"/>
  <c r="G32" i="3"/>
  <c r="A32" i="3" s="1"/>
  <c r="G28" i="3"/>
  <c r="A28" i="3" s="1"/>
  <c r="G27" i="3"/>
  <c r="A27" i="3" s="1"/>
  <c r="G26" i="3"/>
  <c r="A26" i="3" s="1"/>
  <c r="G25" i="3"/>
  <c r="A25" i="3" s="1"/>
  <c r="G24" i="3"/>
  <c r="A24" i="3" s="1"/>
  <c r="G23" i="3"/>
  <c r="A23" i="3" s="1"/>
  <c r="G22" i="3"/>
  <c r="A22" i="3" s="1"/>
  <c r="G21" i="3"/>
  <c r="A21" i="3" s="1"/>
  <c r="G20" i="3"/>
  <c r="A20" i="3" s="1"/>
  <c r="G19" i="3"/>
  <c r="A19" i="3" s="1"/>
  <c r="G18" i="3"/>
  <c r="A18" i="3" s="1"/>
  <c r="G17" i="3"/>
  <c r="A17" i="3" s="1"/>
  <c r="G16" i="3"/>
  <c r="A16" i="3" s="1"/>
  <c r="G15" i="3"/>
  <c r="A15" i="3" s="1"/>
  <c r="G14" i="3"/>
  <c r="A14" i="3" s="1"/>
  <c r="G13" i="3"/>
  <c r="A13" i="3" s="1"/>
  <c r="G12" i="3"/>
  <c r="A12" i="3" s="1"/>
  <c r="G11" i="3"/>
  <c r="A11" i="3" s="1"/>
  <c r="G10" i="3"/>
  <c r="A10" i="3" s="1"/>
  <c r="G9" i="3"/>
  <c r="A9" i="3" s="1"/>
  <c r="G8" i="3"/>
  <c r="A8" i="3" s="1"/>
  <c r="G7" i="3"/>
  <c r="A7" i="3" s="1"/>
  <c r="G6" i="3"/>
  <c r="A6" i="3" s="1"/>
  <c r="G5" i="3"/>
  <c r="A5" i="3" s="1"/>
  <c r="G4" i="3"/>
  <c r="A4" i="3" s="1"/>
  <c r="G3" i="3"/>
  <c r="A3" i="3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I101" i="13" a="1"/>
  <c r="I100" i="13" a="1"/>
  <c r="I99" i="13" a="1"/>
  <c r="I98" i="13" a="1"/>
  <c r="I97" i="13" a="1"/>
  <c r="I96" i="13" a="1"/>
  <c r="I95" i="13" a="1"/>
  <c r="I94" i="13" a="1"/>
  <c r="I93" i="13" a="1"/>
  <c r="I92" i="13" a="1"/>
  <c r="I91" i="13" a="1"/>
  <c r="I90" i="13" a="1"/>
  <c r="I89" i="13" a="1"/>
  <c r="F87" i="14" a="1"/>
  <c r="I88" i="13" a="1"/>
  <c r="I87" i="13" a="1"/>
  <c r="I86" i="13" a="1"/>
  <c r="F86" i="14" a="1"/>
  <c r="F508" i="12" a="1"/>
  <c r="J302" i="3" a="1"/>
  <c r="J169" i="3" a="1"/>
  <c r="J448" i="3" a="1"/>
  <c r="J375" i="3" a="1"/>
  <c r="I85" i="13" a="1"/>
  <c r="I84" i="13" a="1"/>
  <c r="I83" i="13" a="1"/>
  <c r="I82" i="13" a="1"/>
  <c r="I81" i="13" a="1"/>
  <c r="I80" i="13" a="1"/>
  <c r="J40" i="3" a="1"/>
  <c r="F507" i="12" a="1"/>
  <c r="F505" i="12" a="1"/>
  <c r="F506" i="12" a="1"/>
  <c r="F504" i="12" a="1"/>
  <c r="J431" i="3" a="1"/>
  <c r="I79" i="13" a="1"/>
  <c r="I77" i="13" a="1"/>
  <c r="I73" i="13" a="1"/>
  <c r="I74" i="13" a="1"/>
  <c r="I76" i="13" a="1"/>
  <c r="I72" i="13" a="1"/>
  <c r="I75" i="13" a="1"/>
  <c r="I71" i="13" a="1"/>
  <c r="I78" i="13" a="1"/>
  <c r="I2" i="13" a="1"/>
  <c r="I4" i="13" a="1"/>
  <c r="I6" i="13" a="1"/>
  <c r="I8" i="13" a="1"/>
  <c r="I10" i="13" a="1"/>
  <c r="I12" i="13" a="1"/>
  <c r="I14" i="13" a="1"/>
  <c r="I16" i="13" a="1"/>
  <c r="I18" i="13" a="1"/>
  <c r="I20" i="13" a="1"/>
  <c r="I22" i="13" a="1"/>
  <c r="I24" i="13" a="1"/>
  <c r="I26" i="13" a="1"/>
  <c r="I28" i="13" a="1"/>
  <c r="I30" i="13" a="1"/>
  <c r="I32" i="13" a="1"/>
  <c r="I34" i="13" a="1"/>
  <c r="I36" i="13" a="1"/>
  <c r="I38" i="13" a="1"/>
  <c r="I40" i="13" a="1"/>
  <c r="I42" i="13" a="1"/>
  <c r="I44" i="13" a="1"/>
  <c r="I46" i="13" a="1"/>
  <c r="I48" i="13" a="1"/>
  <c r="I50" i="13" a="1"/>
  <c r="I52" i="13" a="1"/>
  <c r="I54" i="13" a="1"/>
  <c r="I56" i="13" a="1"/>
  <c r="I58" i="13" a="1"/>
  <c r="I60" i="13" a="1"/>
  <c r="I62" i="13" a="1"/>
  <c r="I64" i="13" a="1"/>
  <c r="I66" i="13" a="1"/>
  <c r="I68" i="13" a="1"/>
  <c r="I70" i="13" a="1"/>
  <c r="I3" i="13" a="1"/>
  <c r="I5" i="13" a="1"/>
  <c r="I7" i="13" a="1"/>
  <c r="I9" i="13" a="1"/>
  <c r="I11" i="13" a="1"/>
  <c r="I13" i="13" a="1"/>
  <c r="I15" i="13" a="1"/>
  <c r="I17" i="13" a="1"/>
  <c r="I19" i="13" a="1"/>
  <c r="I21" i="13" a="1"/>
  <c r="I23" i="13" a="1"/>
  <c r="I25" i="13" a="1"/>
  <c r="I27" i="13" a="1"/>
  <c r="I29" i="13" a="1"/>
  <c r="I31" i="13" a="1"/>
  <c r="I33" i="13" a="1"/>
  <c r="I35" i="13" a="1"/>
  <c r="I37" i="13" a="1"/>
  <c r="I39" i="13" a="1"/>
  <c r="I41" i="13" a="1"/>
  <c r="I43" i="13" a="1"/>
  <c r="I45" i="13" a="1"/>
  <c r="I47" i="13" a="1"/>
  <c r="I49" i="13" a="1"/>
  <c r="I51" i="13" a="1"/>
  <c r="I53" i="13" a="1"/>
  <c r="I55" i="13" a="1"/>
  <c r="I57" i="13" a="1"/>
  <c r="I59" i="13" a="1"/>
  <c r="I61" i="13" a="1"/>
  <c r="I63" i="13" a="1"/>
  <c r="I65" i="13" a="1"/>
  <c r="I67" i="13" a="1"/>
  <c r="I69" i="13" a="1"/>
  <c r="J2" i="3" a="1"/>
  <c r="J4" i="3" a="1"/>
  <c r="J6" i="3" a="1"/>
  <c r="J8" i="3" a="1"/>
  <c r="J10" i="3" a="1"/>
  <c r="J12" i="3" a="1"/>
  <c r="J14" i="3" a="1"/>
  <c r="J16" i="3" a="1"/>
  <c r="J18" i="3" a="1"/>
  <c r="J3" i="3" a="1"/>
  <c r="J5" i="3" a="1"/>
  <c r="J7" i="3" a="1"/>
  <c r="J9" i="3" a="1"/>
  <c r="J11" i="3" a="1"/>
  <c r="J13" i="3" a="1"/>
  <c r="J15" i="3" a="1"/>
  <c r="J17" i="3" a="1"/>
  <c r="J19" i="3" a="1"/>
  <c r="J20" i="3" a="1"/>
  <c r="J293" i="3" a="1"/>
  <c r="J21" i="3" a="1"/>
  <c r="J25" i="3" a="1"/>
  <c r="J29" i="3" a="1"/>
  <c r="J33" i="3" a="1"/>
  <c r="J37" i="3" a="1"/>
  <c r="J42" i="3" a="1"/>
  <c r="J46" i="3" a="1"/>
  <c r="J51" i="3" a="1"/>
  <c r="J55" i="3" a="1"/>
  <c r="J59" i="3" a="1"/>
  <c r="J63" i="3" a="1"/>
  <c r="J67" i="3" a="1"/>
  <c r="J71" i="3" a="1"/>
  <c r="J75" i="3" a="1"/>
  <c r="J79" i="3" a="1"/>
  <c r="J83" i="3" a="1"/>
  <c r="J87" i="3" a="1"/>
  <c r="J91" i="3" a="1"/>
  <c r="J95" i="3" a="1"/>
  <c r="J99" i="3" a="1"/>
  <c r="J103" i="3" a="1"/>
  <c r="J107" i="3" a="1"/>
  <c r="J111" i="3" a="1"/>
  <c r="J115" i="3" a="1"/>
  <c r="J119" i="3" a="1"/>
  <c r="J123" i="3" a="1"/>
  <c r="J127" i="3" a="1"/>
  <c r="J131" i="3" a="1"/>
  <c r="J135" i="3" a="1"/>
  <c r="J140" i="3" a="1"/>
  <c r="J144" i="3" a="1"/>
  <c r="J148" i="3" a="1"/>
  <c r="J152" i="3" a="1"/>
  <c r="J156" i="3" a="1"/>
  <c r="J160" i="3" a="1"/>
  <c r="J164" i="3" a="1"/>
  <c r="J168" i="3" a="1"/>
  <c r="J171" i="3" a="1"/>
  <c r="J173" i="3" a="1"/>
  <c r="J175" i="3" a="1"/>
  <c r="J177" i="3" a="1"/>
  <c r="J179" i="3" a="1"/>
  <c r="J181" i="3" a="1"/>
  <c r="J183" i="3" a="1"/>
  <c r="J185" i="3" a="1"/>
  <c r="J187" i="3" a="1"/>
  <c r="J189" i="3" a="1"/>
  <c r="J191" i="3" a="1"/>
  <c r="J193" i="3" a="1"/>
  <c r="J195" i="3" a="1"/>
  <c r="J197" i="3" a="1"/>
  <c r="J199" i="3" a="1"/>
  <c r="J201" i="3" a="1"/>
  <c r="J203" i="3" a="1"/>
  <c r="J205" i="3" a="1"/>
  <c r="J207" i="3" a="1"/>
  <c r="J209" i="3" a="1"/>
  <c r="J211" i="3" a="1"/>
  <c r="J213" i="3" a="1"/>
  <c r="J215" i="3" a="1"/>
  <c r="J217" i="3" a="1"/>
  <c r="J219" i="3" a="1"/>
  <c r="J221" i="3" a="1"/>
  <c r="J223" i="3" a="1"/>
  <c r="J225" i="3" a="1"/>
  <c r="J47" i="3" a="1"/>
  <c r="J337" i="3" a="1"/>
  <c r="J22" i="3" a="1"/>
  <c r="J26" i="3" a="1"/>
  <c r="J30" i="3" a="1"/>
  <c r="J34" i="3" a="1"/>
  <c r="J38" i="3" a="1"/>
  <c r="J43" i="3" a="1"/>
  <c r="J48" i="3" a="1"/>
  <c r="J52" i="3" a="1"/>
  <c r="J56" i="3" a="1"/>
  <c r="J60" i="3" a="1"/>
  <c r="J64" i="3" a="1"/>
  <c r="J68" i="3" a="1"/>
  <c r="J72" i="3" a="1"/>
  <c r="J76" i="3" a="1"/>
  <c r="J80" i="3" a="1"/>
  <c r="J84" i="3" a="1"/>
  <c r="J88" i="3" a="1"/>
  <c r="J92" i="3" a="1"/>
  <c r="J96" i="3" a="1"/>
  <c r="J100" i="3" a="1"/>
  <c r="J104" i="3" a="1"/>
  <c r="J108" i="3" a="1"/>
  <c r="J112" i="3" a="1"/>
  <c r="J116" i="3" a="1"/>
  <c r="J120" i="3" a="1"/>
  <c r="J124" i="3" a="1"/>
  <c r="J128" i="3" a="1"/>
  <c r="J132" i="3" a="1"/>
  <c r="J136" i="3" a="1"/>
  <c r="J141" i="3" a="1"/>
  <c r="J145" i="3" a="1"/>
  <c r="J149" i="3" a="1"/>
  <c r="J153" i="3" a="1"/>
  <c r="J157" i="3" a="1"/>
  <c r="J161" i="3" a="1"/>
  <c r="J165" i="3" a="1"/>
  <c r="J138" i="3" a="1"/>
  <c r="J378" i="3" a="1"/>
  <c r="J23" i="3" a="1"/>
  <c r="J27" i="3" a="1"/>
  <c r="J31" i="3" a="1"/>
  <c r="J35" i="3" a="1"/>
  <c r="J39" i="3" a="1"/>
  <c r="J44" i="3" a="1"/>
  <c r="J49" i="3" a="1"/>
  <c r="J53" i="3" a="1"/>
  <c r="J57" i="3" a="1"/>
  <c r="J61" i="3" a="1"/>
  <c r="J65" i="3" a="1"/>
  <c r="J69" i="3" a="1"/>
  <c r="J73" i="3" a="1"/>
  <c r="J77" i="3" a="1"/>
  <c r="J81" i="3" a="1"/>
  <c r="J85" i="3" a="1"/>
  <c r="J89" i="3" a="1"/>
  <c r="J93" i="3" a="1"/>
  <c r="J97" i="3" a="1"/>
  <c r="J101" i="3" a="1"/>
  <c r="J105" i="3" a="1"/>
  <c r="J109" i="3" a="1"/>
  <c r="J113" i="3" a="1"/>
  <c r="J117" i="3" a="1"/>
  <c r="J121" i="3" a="1"/>
  <c r="J125" i="3" a="1"/>
  <c r="J129" i="3" a="1"/>
  <c r="J133" i="3" a="1"/>
  <c r="J137" i="3" a="1"/>
  <c r="J142" i="3" a="1"/>
  <c r="J146" i="3" a="1"/>
  <c r="J150" i="3" a="1"/>
  <c r="J154" i="3" a="1"/>
  <c r="J158" i="3" a="1"/>
  <c r="J162" i="3" a="1"/>
  <c r="J166" i="3" a="1"/>
  <c r="J170" i="3" a="1"/>
  <c r="J172" i="3" a="1"/>
  <c r="J174" i="3" a="1"/>
  <c r="J176" i="3" a="1"/>
  <c r="J178" i="3" a="1"/>
  <c r="J180" i="3" a="1"/>
  <c r="J182" i="3" a="1"/>
  <c r="J184" i="3" a="1"/>
  <c r="J186" i="3" a="1"/>
  <c r="J188" i="3" a="1"/>
  <c r="J190" i="3" a="1"/>
  <c r="J192" i="3" a="1"/>
  <c r="J194" i="3" a="1"/>
  <c r="J196" i="3" a="1"/>
  <c r="J198" i="3" a="1"/>
  <c r="J200" i="3" a="1"/>
  <c r="J202" i="3" a="1"/>
  <c r="J204" i="3" a="1"/>
  <c r="J206" i="3" a="1"/>
  <c r="J208" i="3" a="1"/>
  <c r="J210" i="3" a="1"/>
  <c r="J212" i="3" a="1"/>
  <c r="J214" i="3" a="1"/>
  <c r="J216" i="3" a="1"/>
  <c r="J218" i="3" a="1"/>
  <c r="J220" i="3" a="1"/>
  <c r="J222" i="3" a="1"/>
  <c r="J224" i="3" a="1"/>
  <c r="J226" i="3" a="1"/>
  <c r="J228" i="3" a="1"/>
  <c r="J230" i="3" a="1"/>
  <c r="J232" i="3" a="1"/>
  <c r="J234" i="3" a="1"/>
  <c r="J292" i="3" a="1"/>
  <c r="J32" i="3" a="1"/>
  <c r="J50" i="3" a="1"/>
  <c r="J66" i="3" a="1"/>
  <c r="J82" i="3" a="1"/>
  <c r="J98" i="3" a="1"/>
  <c r="J114" i="3" a="1"/>
  <c r="J130" i="3" a="1"/>
  <c r="J147" i="3" a="1"/>
  <c r="J163" i="3" a="1"/>
  <c r="J236" i="3" a="1"/>
  <c r="J241" i="3" a="1"/>
  <c r="J244" i="3" a="1"/>
  <c r="J249" i="3" a="1"/>
  <c r="J252" i="3" a="1"/>
  <c r="J257" i="3" a="1"/>
  <c r="J260" i="3" a="1"/>
  <c r="J265" i="3" a="1"/>
  <c r="J268" i="3" a="1"/>
  <c r="J273" i="3" a="1"/>
  <c r="J276" i="3" a="1"/>
  <c r="J281" i="3" a="1"/>
  <c r="J284" i="3" a="1"/>
  <c r="J289" i="3" a="1"/>
  <c r="J294" i="3" a="1"/>
  <c r="J299" i="3" a="1"/>
  <c r="J303" i="3" a="1"/>
  <c r="J308" i="3" a="1"/>
  <c r="J311" i="3" a="1"/>
  <c r="J316" i="3" a="1"/>
  <c r="J319" i="3" a="1"/>
  <c r="J324" i="3" a="1"/>
  <c r="J327" i="3" a="1"/>
  <c r="J332" i="3" a="1"/>
  <c r="J335" i="3" a="1"/>
  <c r="J341" i="3" a="1"/>
  <c r="J344" i="3" a="1"/>
  <c r="J349" i="3" a="1"/>
  <c r="J352" i="3" a="1"/>
  <c r="J357" i="3" a="1"/>
  <c r="J360" i="3" a="1"/>
  <c r="J365" i="3" a="1"/>
  <c r="J368" i="3" a="1"/>
  <c r="J373" i="3" a="1"/>
  <c r="J377" i="3" a="1"/>
  <c r="J383" i="3" a="1"/>
  <c r="J386" i="3" a="1"/>
  <c r="J391" i="3" a="1"/>
  <c r="J394" i="3" a="1"/>
  <c r="J399" i="3" a="1"/>
  <c r="J402" i="3" a="1"/>
  <c r="J407" i="3" a="1"/>
  <c r="J410" i="3" a="1"/>
  <c r="J415" i="3" a="1"/>
  <c r="J417" i="3" a="1"/>
  <c r="J422" i="3" a="1"/>
  <c r="J425" i="3" a="1"/>
  <c r="J430" i="3" a="1"/>
  <c r="J434" i="3" a="1"/>
  <c r="J439" i="3" a="1"/>
  <c r="J442" i="3" a="1"/>
  <c r="J447" i="3" a="1"/>
  <c r="J451" i="3" a="1"/>
  <c r="J456" i="3" a="1"/>
  <c r="J459" i="3" a="1"/>
  <c r="J464" i="3" a="1"/>
  <c r="J480" i="3" a="1"/>
  <c r="J36" i="3" a="1"/>
  <c r="J54" i="3" a="1"/>
  <c r="J70" i="3" a="1"/>
  <c r="J86" i="3" a="1"/>
  <c r="J102" i="3" a="1"/>
  <c r="J118" i="3" a="1"/>
  <c r="J134" i="3" a="1"/>
  <c r="J151" i="3" a="1"/>
  <c r="J167" i="3" a="1"/>
  <c r="J229" i="3" a="1"/>
  <c r="J233" i="3" a="1"/>
  <c r="J239" i="3" a="1"/>
  <c r="J242" i="3" a="1"/>
  <c r="J247" i="3" a="1"/>
  <c r="J250" i="3" a="1"/>
  <c r="J255" i="3" a="1"/>
  <c r="J258" i="3" a="1"/>
  <c r="J263" i="3" a="1"/>
  <c r="J266" i="3" a="1"/>
  <c r="J271" i="3" a="1"/>
  <c r="J274" i="3" a="1"/>
  <c r="J279" i="3" a="1"/>
  <c r="J282" i="3" a="1"/>
  <c r="J287" i="3" a="1"/>
  <c r="J290" i="3" a="1"/>
  <c r="J297" i="3" a="1"/>
  <c r="J300" i="3" a="1"/>
  <c r="J306" i="3" a="1"/>
  <c r="J309" i="3" a="1"/>
  <c r="J314" i="3" a="1"/>
  <c r="J317" i="3" a="1"/>
  <c r="J322" i="3" a="1"/>
  <c r="J325" i="3" a="1"/>
  <c r="J330" i="3" a="1"/>
  <c r="J333" i="3" a="1"/>
  <c r="J339" i="3" a="1"/>
  <c r="J342" i="3" a="1"/>
  <c r="J347" i="3" a="1"/>
  <c r="J350" i="3" a="1"/>
  <c r="J355" i="3" a="1"/>
  <c r="J358" i="3" a="1"/>
  <c r="J363" i="3" a="1"/>
  <c r="J366" i="3" a="1"/>
  <c r="J24" i="3" a="1"/>
  <c r="J41" i="3" a="1"/>
  <c r="J58" i="3" a="1"/>
  <c r="J74" i="3" a="1"/>
  <c r="J90" i="3" a="1"/>
  <c r="J106" i="3" a="1"/>
  <c r="J122" i="3" a="1"/>
  <c r="J139" i="3" a="1"/>
  <c r="J155" i="3" a="1"/>
  <c r="J237" i="3" a="1"/>
  <c r="J240" i="3" a="1"/>
  <c r="J28" i="3" a="1"/>
  <c r="J94" i="3" a="1"/>
  <c r="J159" i="3" a="1"/>
  <c r="J227" i="3" a="1"/>
  <c r="J246" i="3" a="1"/>
  <c r="J251" i="3" a="1"/>
  <c r="J262" i="3" a="1"/>
  <c r="J267" i="3" a="1"/>
  <c r="J278" i="3" a="1"/>
  <c r="J283" i="3" a="1"/>
  <c r="J296" i="3" a="1"/>
  <c r="J301" i="3" a="1"/>
  <c r="J313" i="3" a="1"/>
  <c r="J318" i="3" a="1"/>
  <c r="J329" i="3" a="1"/>
  <c r="J334" i="3" a="1"/>
  <c r="J346" i="3" a="1"/>
  <c r="J351" i="3" a="1"/>
  <c r="J362" i="3" a="1"/>
  <c r="J367" i="3" a="1"/>
  <c r="J372" i="3" a="1"/>
  <c r="J376" i="3" a="1"/>
  <c r="J381" i="3" a="1"/>
  <c r="J388" i="3" a="1"/>
  <c r="J392" i="3" a="1"/>
  <c r="J395" i="3" a="1"/>
  <c r="J406" i="3" a="1"/>
  <c r="J409" i="3" a="1"/>
  <c r="J413" i="3" a="1"/>
  <c r="J419" i="3" a="1"/>
  <c r="J423" i="3" a="1"/>
  <c r="J426" i="3" a="1"/>
  <c r="J438" i="3" a="1"/>
  <c r="J441" i="3" a="1"/>
  <c r="J445" i="3" a="1"/>
  <c r="J453" i="3" a="1"/>
  <c r="J457" i="3" a="1"/>
  <c r="J460" i="3" a="1"/>
  <c r="J467" i="3" a="1"/>
  <c r="J472" i="3" a="1"/>
  <c r="J45" i="3" a="1"/>
  <c r="J110" i="3" a="1"/>
  <c r="J231" i="3" a="1"/>
  <c r="J248" i="3" a="1"/>
  <c r="J253" i="3" a="1"/>
  <c r="J264" i="3" a="1"/>
  <c r="J269" i="3" a="1"/>
  <c r="J280" i="3" a="1"/>
  <c r="J285" i="3" a="1"/>
  <c r="J298" i="3" a="1"/>
  <c r="J304" i="3" a="1"/>
  <c r="J315" i="3" a="1"/>
  <c r="J320" i="3" a="1"/>
  <c r="J331" i="3" a="1"/>
  <c r="J336" i="3" a="1"/>
  <c r="J348" i="3" a="1"/>
  <c r="J353" i="3" a="1"/>
  <c r="J364" i="3" a="1"/>
  <c r="J369" i="3" a="1"/>
  <c r="J382" i="3" a="1"/>
  <c r="J385" i="3" a="1"/>
  <c r="J389" i="3" a="1"/>
  <c r="J396" i="3" a="1"/>
  <c r="J400" i="3" a="1"/>
  <c r="J403" i="3" a="1"/>
  <c r="J414" i="3" a="1"/>
  <c r="J416" i="3" a="1"/>
  <c r="J420" i="3" a="1"/>
  <c r="J427" i="3" a="1"/>
  <c r="J432" i="3" a="1"/>
  <c r="J435" i="3" a="1"/>
  <c r="J446" i="3" a="1"/>
  <c r="J450" i="3" a="1"/>
  <c r="J454" i="3" a="1"/>
  <c r="J461" i="3" a="1"/>
  <c r="J465" i="3" a="1"/>
  <c r="J470" i="3" a="1"/>
  <c r="J473" i="3" a="1"/>
  <c r="J475" i="3" a="1"/>
  <c r="J477" i="3" a="1"/>
  <c r="J479" i="3" a="1"/>
  <c r="J482" i="3" a="1"/>
  <c r="J484" i="3" a="1"/>
  <c r="J486" i="3" a="1"/>
  <c r="J488" i="3" a="1"/>
  <c r="J490" i="3" a="1"/>
  <c r="J492" i="3" a="1"/>
  <c r="J494" i="3" a="1"/>
  <c r="J496" i="3" a="1"/>
  <c r="J498" i="3" a="1"/>
  <c r="J500" i="3" a="1"/>
  <c r="J502" i="3" a="1"/>
  <c r="J504" i="3" a="1"/>
  <c r="J506" i="3" a="1"/>
  <c r="J508" i="3" a="1"/>
  <c r="J143" i="3" a="1"/>
  <c r="J238" i="3" a="1"/>
  <c r="J245" i="3" a="1"/>
  <c r="J256" i="3" a="1"/>
  <c r="J261" i="3" a="1"/>
  <c r="J272" i="3" a="1"/>
  <c r="J277" i="3" a="1"/>
  <c r="J288" i="3" a="1"/>
  <c r="J307" i="3" a="1"/>
  <c r="J323" i="3" a="1"/>
  <c r="J340" i="3" a="1"/>
  <c r="J356" i="3" a="1"/>
  <c r="J371" i="3" a="1"/>
  <c r="J384" i="3" a="1"/>
  <c r="J401" i="3" a="1"/>
  <c r="J412" i="3" a="1"/>
  <c r="J418" i="3" a="1"/>
  <c r="J429" i="3" a="1"/>
  <c r="J437" i="3" a="1"/>
  <c r="J449" i="3" a="1"/>
  <c r="J463" i="3" a="1"/>
  <c r="J469" i="3" a="1"/>
  <c r="J476" i="3" a="1"/>
  <c r="J481" i="3" a="1"/>
  <c r="J485" i="3" a="1"/>
  <c r="J489" i="3" a="1"/>
  <c r="J493" i="3" a="1"/>
  <c r="J497" i="3" a="1"/>
  <c r="J501" i="3" a="1"/>
  <c r="J505" i="3" a="1"/>
  <c r="J62" i="3" a="1"/>
  <c r="J126" i="3" a="1"/>
  <c r="J235" i="3" a="1"/>
  <c r="J243" i="3" a="1"/>
  <c r="J254" i="3" a="1"/>
  <c r="J259" i="3" a="1"/>
  <c r="J270" i="3" a="1"/>
  <c r="J275" i="3" a="1"/>
  <c r="J286" i="3" a="1"/>
  <c r="J291" i="3" a="1"/>
  <c r="J305" i="3" a="1"/>
  <c r="J310" i="3" a="1"/>
  <c r="J321" i="3" a="1"/>
  <c r="J326" i="3" a="1"/>
  <c r="J338" i="3" a="1"/>
  <c r="J343" i="3" a="1"/>
  <c r="J354" i="3" a="1"/>
  <c r="J359" i="3" a="1"/>
  <c r="J370" i="3" a="1"/>
  <c r="J374" i="3" a="1"/>
  <c r="J379" i="3" a="1"/>
  <c r="J390" i="3" a="1"/>
  <c r="J393" i="3" a="1"/>
  <c r="J397" i="3" a="1"/>
  <c r="J404" i="3" a="1"/>
  <c r="J408" i="3" a="1"/>
  <c r="J411" i="3" a="1"/>
  <c r="J421" i="3" a="1"/>
  <c r="J424" i="3" a="1"/>
  <c r="J428" i="3" a="1"/>
  <c r="J436" i="3" a="1"/>
  <c r="J440" i="3" a="1"/>
  <c r="J443" i="3" a="1"/>
  <c r="J455" i="3" a="1"/>
  <c r="J458" i="3" a="1"/>
  <c r="J462" i="3" a="1"/>
  <c r="J468" i="3" a="1"/>
  <c r="J471" i="3" a="1"/>
  <c r="J78" i="3" a="1"/>
  <c r="J295" i="3" a="1"/>
  <c r="J312" i="3" a="1"/>
  <c r="J328" i="3" a="1"/>
  <c r="J345" i="3" a="1"/>
  <c r="J361" i="3" a="1"/>
  <c r="J380" i="3" a="1"/>
  <c r="J387" i="3" a="1"/>
  <c r="J398" i="3" a="1"/>
  <c r="J405" i="3" a="1"/>
  <c r="J433" i="3" a="1"/>
  <c r="J444" i="3" a="1"/>
  <c r="J452" i="3" a="1"/>
  <c r="J466" i="3" a="1"/>
  <c r="J474" i="3" a="1"/>
  <c r="J478" i="3" a="1"/>
  <c r="J483" i="3" a="1"/>
  <c r="J487" i="3" a="1"/>
  <c r="J491" i="3" a="1"/>
  <c r="J495" i="3" a="1"/>
  <c r="J499" i="3" a="1"/>
  <c r="J503" i="3" a="1"/>
  <c r="J507" i="3" a="1"/>
  <c r="F4" i="12" a="1"/>
  <c r="F3" i="12" a="1"/>
  <c r="F6" i="12" a="1"/>
  <c r="F9" i="12" a="1"/>
  <c r="F14" i="12" a="1"/>
  <c r="F17" i="12" a="1"/>
  <c r="F22" i="12" a="1"/>
  <c r="F25" i="12" a="1"/>
  <c r="F30" i="12" a="1"/>
  <c r="F33" i="12" a="1"/>
  <c r="F38" i="12" a="1"/>
  <c r="F41" i="12" a="1"/>
  <c r="F46" i="12" a="1"/>
  <c r="F49" i="12" a="1"/>
  <c r="F54" i="12" a="1"/>
  <c r="F57" i="12" a="1"/>
  <c r="F62" i="12" a="1"/>
  <c r="F65" i="12" a="1"/>
  <c r="F70" i="12" a="1"/>
  <c r="F73" i="12" a="1"/>
  <c r="F78" i="12" a="1"/>
  <c r="F81" i="12" a="1"/>
  <c r="F86" i="12" a="1"/>
  <c r="F89" i="12" a="1"/>
  <c r="F94" i="12" a="1"/>
  <c r="F97" i="12" a="1"/>
  <c r="F102" i="12" a="1"/>
  <c r="F105" i="12" a="1"/>
  <c r="F110" i="12" a="1"/>
  <c r="F113" i="12" a="1"/>
  <c r="F118" i="12" a="1"/>
  <c r="F121" i="12" a="1"/>
  <c r="F126" i="12" a="1"/>
  <c r="F129" i="12" a="1"/>
  <c r="F134" i="12" a="1"/>
  <c r="F137" i="12" a="1"/>
  <c r="F142" i="12" a="1"/>
  <c r="F145" i="12" a="1"/>
  <c r="F150" i="12" a="1"/>
  <c r="F153" i="12" a="1"/>
  <c r="F158" i="12" a="1"/>
  <c r="F161" i="12" a="1"/>
  <c r="F166" i="12" a="1"/>
  <c r="F169" i="12" a="1"/>
  <c r="F174" i="12" a="1"/>
  <c r="F176" i="12" a="1"/>
  <c r="F178" i="12" a="1"/>
  <c r="F180" i="12" a="1"/>
  <c r="F182" i="12" a="1"/>
  <c r="F184" i="12" a="1"/>
  <c r="F186" i="12" a="1"/>
  <c r="F188" i="12" a="1"/>
  <c r="F190" i="12" a="1"/>
  <c r="F192" i="12" a="1"/>
  <c r="F7" i="12" a="1"/>
  <c r="F12" i="12" a="1"/>
  <c r="F15" i="12" a="1"/>
  <c r="F20" i="12" a="1"/>
  <c r="F23" i="12" a="1"/>
  <c r="F28" i="12" a="1"/>
  <c r="F31" i="12" a="1"/>
  <c r="F36" i="12" a="1"/>
  <c r="F39" i="12" a="1"/>
  <c r="F44" i="12" a="1"/>
  <c r="F47" i="12" a="1"/>
  <c r="F52" i="12" a="1"/>
  <c r="F55" i="12" a="1"/>
  <c r="F60" i="12" a="1"/>
  <c r="F63" i="12" a="1"/>
  <c r="F68" i="12" a="1"/>
  <c r="F71" i="12" a="1"/>
  <c r="F76" i="12" a="1"/>
  <c r="F79" i="12" a="1"/>
  <c r="F84" i="12" a="1"/>
  <c r="F87" i="12" a="1"/>
  <c r="F92" i="12" a="1"/>
  <c r="F95" i="12" a="1"/>
  <c r="F100" i="12" a="1"/>
  <c r="F103" i="12" a="1"/>
  <c r="F108" i="12" a="1"/>
  <c r="F111" i="12" a="1"/>
  <c r="F116" i="12" a="1"/>
  <c r="F119" i="12" a="1"/>
  <c r="F124" i="12" a="1"/>
  <c r="F127" i="12" a="1"/>
  <c r="F132" i="12" a="1"/>
  <c r="F135" i="12" a="1"/>
  <c r="F140" i="12" a="1"/>
  <c r="F143" i="12" a="1"/>
  <c r="F148" i="12" a="1"/>
  <c r="F151" i="12" a="1"/>
  <c r="F156" i="12" a="1"/>
  <c r="F159" i="12" a="1"/>
  <c r="F164" i="12" a="1"/>
  <c r="F167" i="12" a="1"/>
  <c r="F172" i="12" a="1"/>
  <c r="F5" i="12" a="1"/>
  <c r="F10" i="12" a="1"/>
  <c r="F13" i="12" a="1"/>
  <c r="F18" i="12" a="1"/>
  <c r="F21" i="12" a="1"/>
  <c r="F26" i="12" a="1"/>
  <c r="F29" i="12" a="1"/>
  <c r="F34" i="12" a="1"/>
  <c r="F37" i="12" a="1"/>
  <c r="F42" i="12" a="1"/>
  <c r="F45" i="12" a="1"/>
  <c r="F50" i="12" a="1"/>
  <c r="F53" i="12" a="1"/>
  <c r="F58" i="12" a="1"/>
  <c r="F61" i="12" a="1"/>
  <c r="F66" i="12" a="1"/>
  <c r="F69" i="12" a="1"/>
  <c r="F74" i="12" a="1"/>
  <c r="F77" i="12" a="1"/>
  <c r="F82" i="12" a="1"/>
  <c r="F85" i="12" a="1"/>
  <c r="F90" i="12" a="1"/>
  <c r="F93" i="12" a="1"/>
  <c r="F98" i="12" a="1"/>
  <c r="F101" i="12" a="1"/>
  <c r="F106" i="12" a="1"/>
  <c r="F109" i="12" a="1"/>
  <c r="F114" i="12" a="1"/>
  <c r="F117" i="12" a="1"/>
  <c r="F122" i="12" a="1"/>
  <c r="F125" i="12" a="1"/>
  <c r="F130" i="12" a="1"/>
  <c r="F133" i="12" a="1"/>
  <c r="F138" i="12" a="1"/>
  <c r="F141" i="12" a="1"/>
  <c r="F146" i="12" a="1"/>
  <c r="F149" i="12" a="1"/>
  <c r="F154" i="12" a="1"/>
  <c r="F157" i="12" a="1"/>
  <c r="F162" i="12" a="1"/>
  <c r="F165" i="12" a="1"/>
  <c r="F170" i="12" a="1"/>
  <c r="F173" i="12" a="1"/>
  <c r="F175" i="12" a="1"/>
  <c r="F177" i="12" a="1"/>
  <c r="F179" i="12" a="1"/>
  <c r="F181" i="12" a="1"/>
  <c r="F183" i="12" a="1"/>
  <c r="F185" i="12" a="1"/>
  <c r="F187" i="12" a="1"/>
  <c r="F189" i="12" a="1"/>
  <c r="F16" i="12" a="1"/>
  <c r="F27" i="12" a="1"/>
  <c r="F48" i="12" a="1"/>
  <c r="F59" i="12" a="1"/>
  <c r="F80" i="12" a="1"/>
  <c r="F91" i="12" a="1"/>
  <c r="F112" i="12" a="1"/>
  <c r="F123" i="12" a="1"/>
  <c r="F144" i="12" a="1"/>
  <c r="F155" i="12" a="1"/>
  <c r="F191" i="12" a="1"/>
  <c r="F194" i="12" a="1"/>
  <c r="F197" i="12" a="1"/>
  <c r="F202" i="12" a="1"/>
  <c r="F205" i="12" a="1"/>
  <c r="F210" i="12" a="1"/>
  <c r="F213" i="12" a="1"/>
  <c r="F218" i="12" a="1"/>
  <c r="F221" i="12" a="1"/>
  <c r="F226" i="12" a="1"/>
  <c r="F229" i="12" a="1"/>
  <c r="F234" i="12" a="1"/>
  <c r="F237" i="12" a="1"/>
  <c r="F242" i="12" a="1"/>
  <c r="F8" i="12" a="1"/>
  <c r="F19" i="12" a="1"/>
  <c r="F40" i="12" a="1"/>
  <c r="F51" i="12" a="1"/>
  <c r="F72" i="12" a="1"/>
  <c r="F83" i="12" a="1"/>
  <c r="F104" i="12" a="1"/>
  <c r="F115" i="12" a="1"/>
  <c r="F136" i="12" a="1"/>
  <c r="F147" i="12" a="1"/>
  <c r="F168" i="12" a="1"/>
  <c r="F195" i="12" a="1"/>
  <c r="F200" i="12" a="1"/>
  <c r="F203" i="12" a="1"/>
  <c r="F208" i="12" a="1"/>
  <c r="F211" i="12" a="1"/>
  <c r="F216" i="12" a="1"/>
  <c r="F219" i="12" a="1"/>
  <c r="F224" i="12" a="1"/>
  <c r="F227" i="12" a="1"/>
  <c r="F232" i="12" a="1"/>
  <c r="F235" i="12" a="1"/>
  <c r="F240" i="12" a="1"/>
  <c r="F243" i="12" a="1"/>
  <c r="F245" i="12" a="1"/>
  <c r="F247" i="12" a="1"/>
  <c r="F249" i="12" a="1"/>
  <c r="F251" i="12" a="1"/>
  <c r="F253" i="12" a="1"/>
  <c r="F255" i="12" a="1"/>
  <c r="F257" i="12" a="1"/>
  <c r="F259" i="12" a="1"/>
  <c r="F261" i="12" a="1"/>
  <c r="F263" i="12" a="1"/>
  <c r="F265" i="12" a="1"/>
  <c r="F267" i="12" a="1"/>
  <c r="F269" i="12" a="1"/>
  <c r="F271" i="12" a="1"/>
  <c r="F273" i="12" a="1"/>
  <c r="F11" i="12" a="1"/>
  <c r="F32" i="12" a="1"/>
  <c r="F43" i="12" a="1"/>
  <c r="F64" i="12" a="1"/>
  <c r="F75" i="12" a="1"/>
  <c r="F96" i="12" a="1"/>
  <c r="F107" i="12" a="1"/>
  <c r="F128" i="12" a="1"/>
  <c r="F139" i="12" a="1"/>
  <c r="F160" i="12" a="1"/>
  <c r="F171" i="12" a="1"/>
  <c r="F193" i="12" a="1"/>
  <c r="F198" i="12" a="1"/>
  <c r="F201" i="12" a="1"/>
  <c r="F206" i="12" a="1"/>
  <c r="F209" i="12" a="1"/>
  <c r="F214" i="12" a="1"/>
  <c r="F217" i="12" a="1"/>
  <c r="F222" i="12" a="1"/>
  <c r="F225" i="12" a="1"/>
  <c r="F230" i="12" a="1"/>
  <c r="F233" i="12" a="1"/>
  <c r="F238" i="12" a="1"/>
  <c r="F241" i="12" a="1"/>
  <c r="F56" i="12" a="1"/>
  <c r="F99" i="12" a="1"/>
  <c r="F199" i="12" a="1"/>
  <c r="F220" i="12" a="1"/>
  <c r="F231" i="12" a="1"/>
  <c r="F250" i="12" a="1"/>
  <c r="F258" i="12" a="1"/>
  <c r="F276" i="12" a="1"/>
  <c r="F279" i="12" a="1"/>
  <c r="F284" i="12" a="1"/>
  <c r="F287" i="12" a="1"/>
  <c r="F292" i="12" a="1"/>
  <c r="F295" i="12" a="1"/>
  <c r="F300" i="12" a="1"/>
  <c r="F303" i="12" a="1"/>
  <c r="F308" i="12" a="1"/>
  <c r="F311" i="12" a="1"/>
  <c r="F24" i="12" a="1"/>
  <c r="F67" i="12" a="1"/>
  <c r="F152" i="12" a="1"/>
  <c r="F212" i="12" a="1"/>
  <c r="F223" i="12" a="1"/>
  <c r="F244" i="12" a="1"/>
  <c r="F252" i="12" a="1"/>
  <c r="F260" i="12" a="1"/>
  <c r="F266" i="12" a="1"/>
  <c r="F270" i="12" a="1"/>
  <c r="F274" i="12" a="1"/>
  <c r="F277" i="12" a="1"/>
  <c r="F282" i="12" a="1"/>
  <c r="F285" i="12" a="1"/>
  <c r="F290" i="12" a="1"/>
  <c r="F293" i="12" a="1"/>
  <c r="F298" i="12" a="1"/>
  <c r="F301" i="12" a="1"/>
  <c r="F35" i="12" a="1"/>
  <c r="F120" i="12" a="1"/>
  <c r="F163" i="12" a="1"/>
  <c r="F204" i="12" a="1"/>
  <c r="F215" i="12" a="1"/>
  <c r="F236" i="12" a="1"/>
  <c r="F246" i="12" a="1"/>
  <c r="F254" i="12" a="1"/>
  <c r="F262" i="12" a="1"/>
  <c r="F275" i="12" a="1"/>
  <c r="F280" i="12" a="1"/>
  <c r="F283" i="12" a="1"/>
  <c r="F288" i="12" a="1"/>
  <c r="F291" i="12" a="1"/>
  <c r="F296" i="12" a="1"/>
  <c r="F299" i="12" a="1"/>
  <c r="F304" i="12" a="1"/>
  <c r="F307" i="12" a="1"/>
  <c r="F312" i="12" a="1"/>
  <c r="F315" i="12" a="1"/>
  <c r="F320" i="12" a="1"/>
  <c r="F323" i="12" a="1"/>
  <c r="F328" i="12" a="1"/>
  <c r="F331" i="12" a="1"/>
  <c r="F336" i="12" a="1"/>
  <c r="F339" i="12" a="1"/>
  <c r="F344" i="12" a="1"/>
  <c r="F347" i="12" a="1"/>
  <c r="F352" i="12" a="1"/>
  <c r="F196" i="12" a="1"/>
  <c r="F239" i="12" a="1"/>
  <c r="F268" i="12" a="1"/>
  <c r="F281" i="12" a="1"/>
  <c r="F302" i="12" a="1"/>
  <c r="F313" i="12" a="1"/>
  <c r="F316" i="12" a="1"/>
  <c r="F327" i="12" a="1"/>
  <c r="F330" i="12" a="1"/>
  <c r="F334" i="12" a="1"/>
  <c r="F341" i="12" a="1"/>
  <c r="F345" i="12" a="1"/>
  <c r="F348" i="12" a="1"/>
  <c r="F355" i="12" a="1"/>
  <c r="F360" i="12" a="1"/>
  <c r="F363" i="12" a="1"/>
  <c r="F368" i="12" a="1"/>
  <c r="F371" i="12" a="1"/>
  <c r="F376" i="12" a="1"/>
  <c r="F379" i="12" a="1"/>
  <c r="F384" i="12" a="1"/>
  <c r="F387" i="12" a="1"/>
  <c r="F392" i="12" a="1"/>
  <c r="F395" i="12" a="1"/>
  <c r="F400" i="12" a="1"/>
  <c r="F403" i="12" a="1"/>
  <c r="F408" i="12" a="1"/>
  <c r="F411" i="12" a="1"/>
  <c r="F416" i="12" a="1"/>
  <c r="F419" i="12" a="1"/>
  <c r="F424" i="12" a="1"/>
  <c r="F427" i="12" a="1"/>
  <c r="F432" i="12" a="1"/>
  <c r="F435" i="12" a="1"/>
  <c r="F440" i="12" a="1"/>
  <c r="F443" i="12" a="1"/>
  <c r="F448" i="12" a="1"/>
  <c r="F451" i="12" a="1"/>
  <c r="F456" i="12" a="1"/>
  <c r="F458" i="12" a="1"/>
  <c r="F460" i="12" a="1"/>
  <c r="F462" i="12" a="1"/>
  <c r="F464" i="12" a="1"/>
  <c r="F466" i="12" a="1"/>
  <c r="F468" i="12" a="1"/>
  <c r="F470" i="12" a="1"/>
  <c r="F472" i="12" a="1"/>
  <c r="F474" i="12" a="1"/>
  <c r="F476" i="12" a="1"/>
  <c r="F478" i="12" a="1"/>
  <c r="F480" i="12" a="1"/>
  <c r="F482" i="12" a="1"/>
  <c r="F484" i="12" a="1"/>
  <c r="F486" i="12" a="1"/>
  <c r="F488" i="12" a="1"/>
  <c r="F490" i="12" a="1"/>
  <c r="F492" i="12" a="1"/>
  <c r="F494" i="12" a="1"/>
  <c r="F496" i="12" a="1"/>
  <c r="F498" i="12" a="1"/>
  <c r="F500" i="12" a="1"/>
  <c r="F502" i="12" a="1"/>
  <c r="F278" i="12" a="1"/>
  <c r="F397" i="12" a="1"/>
  <c r="F413" i="12" a="1"/>
  <c r="F421" i="12" a="1"/>
  <c r="F429" i="12" a="1"/>
  <c r="F437" i="12" a="1"/>
  <c r="F445" i="12" a="1"/>
  <c r="F450" i="12" a="1"/>
  <c r="F88" i="12" a="1"/>
  <c r="F207" i="12" a="1"/>
  <c r="F248" i="12" a="1"/>
  <c r="F272" i="12" a="1"/>
  <c r="F294" i="12" a="1"/>
  <c r="F309" i="12" a="1"/>
  <c r="F317" i="12" a="1"/>
  <c r="F321" i="12" a="1"/>
  <c r="F324" i="12" a="1"/>
  <c r="F335" i="12" a="1"/>
  <c r="F338" i="12" a="1"/>
  <c r="F342" i="12" a="1"/>
  <c r="F349" i="12" a="1"/>
  <c r="F353" i="12" a="1"/>
  <c r="F358" i="12" a="1"/>
  <c r="F361" i="12" a="1"/>
  <c r="F366" i="12" a="1"/>
  <c r="F369" i="12" a="1"/>
  <c r="F374" i="12" a="1"/>
  <c r="F377" i="12" a="1"/>
  <c r="F382" i="12" a="1"/>
  <c r="F385" i="12" a="1"/>
  <c r="F390" i="12" a="1"/>
  <c r="F393" i="12" a="1"/>
  <c r="F398" i="12" a="1"/>
  <c r="F401" i="12" a="1"/>
  <c r="F406" i="12" a="1"/>
  <c r="F409" i="12" a="1"/>
  <c r="F414" i="12" a="1"/>
  <c r="F417" i="12" a="1"/>
  <c r="F422" i="12" a="1"/>
  <c r="F425" i="12" a="1"/>
  <c r="F430" i="12" a="1"/>
  <c r="F433" i="12" a="1"/>
  <c r="F438" i="12" a="1"/>
  <c r="F441" i="12" a="1"/>
  <c r="F446" i="12" a="1"/>
  <c r="F449" i="12" a="1"/>
  <c r="F454" i="12" a="1"/>
  <c r="F228" i="12" a="1"/>
  <c r="F306" i="12" a="1"/>
  <c r="F319" i="12" a="1"/>
  <c r="F326" i="12" a="1"/>
  <c r="F337" i="12" a="1"/>
  <c r="F354" i="12" a="1"/>
  <c r="F362" i="12" a="1"/>
  <c r="F370" i="12" a="1"/>
  <c r="F378" i="12" a="1"/>
  <c r="F386" i="12" a="1"/>
  <c r="F394" i="12" a="1"/>
  <c r="F405" i="12" a="1"/>
  <c r="F410" i="12" a="1"/>
  <c r="F418" i="12" a="1"/>
  <c r="F426" i="12" a="1"/>
  <c r="F434" i="12" a="1"/>
  <c r="F442" i="12" a="1"/>
  <c r="F453" i="12" a="1"/>
  <c r="F131" i="12" a="1"/>
  <c r="F256" i="12" a="1"/>
  <c r="F286" i="12" a="1"/>
  <c r="F297" i="12" a="1"/>
  <c r="F305" i="12" a="1"/>
  <c r="F310" i="12" a="1"/>
  <c r="F314" i="12" a="1"/>
  <c r="F318" i="12" a="1"/>
  <c r="F325" i="12" a="1"/>
  <c r="F329" i="12" a="1"/>
  <c r="F332" i="12" a="1"/>
  <c r="F343" i="12" a="1"/>
  <c r="F346" i="12" a="1"/>
  <c r="F350" i="12" a="1"/>
  <c r="F356" i="12" a="1"/>
  <c r="F359" i="12" a="1"/>
  <c r="F364" i="12" a="1"/>
  <c r="F367" i="12" a="1"/>
  <c r="F372" i="12" a="1"/>
  <c r="F375" i="12" a="1"/>
  <c r="F380" i="12" a="1"/>
  <c r="F383" i="12" a="1"/>
  <c r="F388" i="12" a="1"/>
  <c r="F391" i="12" a="1"/>
  <c r="F396" i="12" a="1"/>
  <c r="F399" i="12" a="1"/>
  <c r="F404" i="12" a="1"/>
  <c r="F407" i="12" a="1"/>
  <c r="F412" i="12" a="1"/>
  <c r="F415" i="12" a="1"/>
  <c r="F420" i="12" a="1"/>
  <c r="F423" i="12" a="1"/>
  <c r="F428" i="12" a="1"/>
  <c r="F431" i="12" a="1"/>
  <c r="F436" i="12" a="1"/>
  <c r="F439" i="12" a="1"/>
  <c r="F444" i="12" a="1"/>
  <c r="F447" i="12" a="1"/>
  <c r="F452" i="12" a="1"/>
  <c r="F455" i="12" a="1"/>
  <c r="F457" i="12" a="1"/>
  <c r="F459" i="12" a="1"/>
  <c r="F461" i="12" a="1"/>
  <c r="F463" i="12" a="1"/>
  <c r="F465" i="12" a="1"/>
  <c r="F467" i="12" a="1"/>
  <c r="F469" i="12" a="1"/>
  <c r="F471" i="12" a="1"/>
  <c r="F473" i="12" a="1"/>
  <c r="F475" i="12" a="1"/>
  <c r="F477" i="12" a="1"/>
  <c r="F479" i="12" a="1"/>
  <c r="F481" i="12" a="1"/>
  <c r="F483" i="12" a="1"/>
  <c r="F485" i="12" a="1"/>
  <c r="F487" i="12" a="1"/>
  <c r="F489" i="12" a="1"/>
  <c r="F491" i="12" a="1"/>
  <c r="F493" i="12" a="1"/>
  <c r="F495" i="12" a="1"/>
  <c r="F497" i="12" a="1"/>
  <c r="F499" i="12" a="1"/>
  <c r="F501" i="12" a="1"/>
  <c r="F503" i="12" a="1"/>
  <c r="F264" i="12" a="1"/>
  <c r="F289" i="12" a="1"/>
  <c r="F322" i="12" a="1"/>
  <c r="F333" i="12" a="1"/>
  <c r="F340" i="12" a="1"/>
  <c r="F351" i="12" a="1"/>
  <c r="F357" i="12" a="1"/>
  <c r="F365" i="12" a="1"/>
  <c r="F373" i="12" a="1"/>
  <c r="F381" i="12" a="1"/>
  <c r="F389" i="12" a="1"/>
  <c r="F402" i="12" a="1"/>
  <c r="I101" i="13" l="1"/>
  <c r="I100" i="13"/>
  <c r="I99" i="13"/>
  <c r="I98" i="13"/>
  <c r="I97" i="13"/>
  <c r="I96" i="13"/>
  <c r="I95" i="13"/>
  <c r="I94" i="13"/>
  <c r="I93" i="13"/>
  <c r="I92" i="13"/>
  <c r="I91" i="13"/>
  <c r="I90" i="13"/>
  <c r="I89" i="13"/>
  <c r="I88" i="13"/>
  <c r="F87" i="14"/>
  <c r="I87" i="13"/>
  <c r="F86" i="14"/>
  <c r="I86" i="13"/>
  <c r="F508" i="12"/>
  <c r="B252" i="3"/>
  <c r="B8" i="3"/>
  <c r="B4" i="3"/>
  <c r="B12" i="3"/>
  <c r="B280" i="3"/>
  <c r="B294" i="3"/>
  <c r="B305" i="3"/>
  <c r="B320" i="3"/>
  <c r="B331" i="3"/>
  <c r="B345" i="3"/>
  <c r="B357" i="3"/>
  <c r="B369" i="3"/>
  <c r="B382" i="3"/>
  <c r="B395" i="3"/>
  <c r="B407" i="3"/>
  <c r="B419" i="3"/>
  <c r="B432" i="3"/>
  <c r="B444" i="3"/>
  <c r="B434" i="3"/>
  <c r="B462" i="3"/>
  <c r="B473" i="3"/>
  <c r="B485" i="3"/>
  <c r="B499" i="3"/>
  <c r="B255" i="3"/>
  <c r="B81" i="3"/>
  <c r="B337" i="3"/>
  <c r="B214" i="3"/>
  <c r="B5" i="3"/>
  <c r="B9" i="3"/>
  <c r="B13" i="3"/>
  <c r="B17" i="3"/>
  <c r="B21" i="3"/>
  <c r="B25" i="3"/>
  <c r="B32" i="3"/>
  <c r="B33" i="3"/>
  <c r="B38" i="3"/>
  <c r="B43" i="3"/>
  <c r="B48" i="3"/>
  <c r="B53" i="3"/>
  <c r="B57" i="3"/>
  <c r="B61" i="3"/>
  <c r="B63" i="3"/>
  <c r="B70" i="3"/>
  <c r="B74" i="3"/>
  <c r="B83" i="3"/>
  <c r="B87" i="3"/>
  <c r="B91" i="3"/>
  <c r="B95" i="3"/>
  <c r="B100" i="3"/>
  <c r="B105" i="3"/>
  <c r="B16" i="3"/>
  <c r="B28" i="3"/>
  <c r="B42" i="3"/>
  <c r="B52" i="3"/>
  <c r="B64" i="3"/>
  <c r="B77" i="3"/>
  <c r="B90" i="3"/>
  <c r="B104" i="3"/>
  <c r="B112" i="3"/>
  <c r="B120" i="3"/>
  <c r="B129" i="3"/>
  <c r="B138" i="3"/>
  <c r="B146" i="3"/>
  <c r="B159" i="3"/>
  <c r="B163" i="3"/>
  <c r="B167" i="3"/>
  <c r="B182" i="3"/>
  <c r="B189" i="3"/>
  <c r="B202" i="3"/>
  <c r="B206" i="3"/>
  <c r="B213" i="3"/>
  <c r="B225" i="3"/>
  <c r="B233" i="3"/>
  <c r="B245" i="3"/>
  <c r="B249" i="3"/>
  <c r="B260" i="3"/>
  <c r="B276" i="3"/>
  <c r="B284" i="3"/>
  <c r="B304" i="3"/>
  <c r="B312" i="3"/>
  <c r="B324" i="3"/>
  <c r="B341" i="3"/>
  <c r="B349" i="3"/>
  <c r="B361" i="3"/>
  <c r="B373" i="3"/>
  <c r="B391" i="3"/>
  <c r="B399" i="3"/>
  <c r="B411" i="3"/>
  <c r="B423" i="3"/>
  <c r="B440" i="3"/>
  <c r="B454" i="3"/>
  <c r="B466" i="3"/>
  <c r="B483" i="3"/>
  <c r="B495" i="3"/>
  <c r="B507" i="3"/>
  <c r="B6" i="3"/>
  <c r="B10" i="3"/>
  <c r="B14" i="3"/>
  <c r="B18" i="3"/>
  <c r="B22" i="3"/>
  <c r="B26" i="3"/>
  <c r="B29" i="3"/>
  <c r="B34" i="3"/>
  <c r="B39" i="3"/>
  <c r="B44" i="3"/>
  <c r="B50" i="3"/>
  <c r="B54" i="3"/>
  <c r="B58" i="3"/>
  <c r="B62" i="3"/>
  <c r="B67" i="3"/>
  <c r="B71" i="3"/>
  <c r="B75" i="3"/>
  <c r="B84" i="3"/>
  <c r="B88" i="3"/>
  <c r="B85" i="3"/>
  <c r="B96" i="3"/>
  <c r="B101" i="3"/>
  <c r="B106" i="3"/>
  <c r="B110" i="3"/>
  <c r="B114" i="3"/>
  <c r="B118" i="3"/>
  <c r="B122" i="3"/>
  <c r="B126" i="3"/>
  <c r="B131" i="3"/>
  <c r="B136" i="3"/>
  <c r="B141" i="3"/>
  <c r="B140" i="3"/>
  <c r="B149" i="3"/>
  <c r="B153" i="3"/>
  <c r="B156" i="3"/>
  <c r="B161" i="3"/>
  <c r="B165" i="3"/>
  <c r="B171" i="3"/>
  <c r="B175" i="3"/>
  <c r="B180" i="3"/>
  <c r="B184" i="3"/>
  <c r="B185" i="3"/>
  <c r="B190" i="3"/>
  <c r="B196" i="3"/>
  <c r="B200" i="3"/>
  <c r="B204" i="3"/>
  <c r="B208" i="3"/>
  <c r="B227" i="3"/>
  <c r="B215" i="3"/>
  <c r="B219" i="3"/>
  <c r="B223" i="3"/>
  <c r="B230" i="3"/>
  <c r="B235" i="3"/>
  <c r="B239" i="3"/>
  <c r="B243" i="3"/>
  <c r="B247" i="3"/>
  <c r="B251" i="3"/>
  <c r="B258" i="3"/>
  <c r="B262" i="3"/>
  <c r="B266" i="3"/>
  <c r="B268" i="3"/>
  <c r="B274" i="3"/>
  <c r="B278" i="3"/>
  <c r="B282" i="3"/>
  <c r="B286" i="3"/>
  <c r="B291" i="3"/>
  <c r="B297" i="3"/>
  <c r="B301" i="3"/>
  <c r="B306" i="3"/>
  <c r="B310" i="3"/>
  <c r="B314" i="3"/>
  <c r="B318" i="3"/>
  <c r="B322" i="3"/>
  <c r="B326" i="3"/>
  <c r="B329" i="3"/>
  <c r="B333" i="3"/>
  <c r="B334" i="3"/>
  <c r="B343" i="3"/>
  <c r="B347" i="3"/>
  <c r="B351" i="3"/>
  <c r="B355" i="3"/>
  <c r="B359" i="3"/>
  <c r="B363" i="3"/>
  <c r="B367" i="3"/>
  <c r="B371" i="3"/>
  <c r="B376" i="3"/>
  <c r="B387" i="3"/>
  <c r="B384" i="3"/>
  <c r="B389" i="3"/>
  <c r="B393" i="3"/>
  <c r="B397" i="3"/>
  <c r="B401" i="3"/>
  <c r="B405" i="3"/>
  <c r="B409" i="3"/>
  <c r="B406" i="3"/>
  <c r="B413" i="3"/>
  <c r="B421" i="3"/>
  <c r="B425" i="3"/>
  <c r="B429" i="3"/>
  <c r="B430" i="3"/>
  <c r="B438" i="3"/>
  <c r="B442" i="3"/>
  <c r="B446" i="3"/>
  <c r="B449" i="3"/>
  <c r="B456" i="3"/>
  <c r="B460" i="3"/>
  <c r="B464" i="3"/>
  <c r="B468" i="3"/>
  <c r="B476" i="3"/>
  <c r="B475" i="3"/>
  <c r="B481" i="3"/>
  <c r="B467" i="3"/>
  <c r="B489" i="3"/>
  <c r="B493" i="3"/>
  <c r="B497" i="3"/>
  <c r="B501" i="3"/>
  <c r="B505" i="3"/>
  <c r="B487" i="3"/>
  <c r="B166" i="3"/>
  <c r="B450" i="3"/>
  <c r="B24" i="3"/>
  <c r="B37" i="3"/>
  <c r="B56" i="3"/>
  <c r="B69" i="3"/>
  <c r="B94" i="3"/>
  <c r="B3" i="3"/>
  <c r="B7" i="3"/>
  <c r="B11" i="3"/>
  <c r="B15" i="3"/>
  <c r="B19" i="3"/>
  <c r="B23" i="3"/>
  <c r="B27" i="3"/>
  <c r="B30" i="3"/>
  <c r="B35" i="3"/>
  <c r="B41" i="3"/>
  <c r="B45" i="3"/>
  <c r="B51" i="3"/>
  <c r="B55" i="3"/>
  <c r="B59" i="3"/>
  <c r="B60" i="3"/>
  <c r="B68" i="3"/>
  <c r="B66" i="3"/>
  <c r="B76" i="3"/>
  <c r="B72" i="3"/>
  <c r="B89" i="3"/>
  <c r="B93" i="3"/>
  <c r="B97" i="3"/>
  <c r="B92" i="3"/>
  <c r="B107" i="3"/>
  <c r="B111" i="3"/>
  <c r="B115" i="3"/>
  <c r="B119" i="3"/>
  <c r="B124" i="3"/>
  <c r="B127" i="3"/>
  <c r="B132" i="3"/>
  <c r="B137" i="3"/>
  <c r="B142" i="3"/>
  <c r="B147" i="3"/>
  <c r="B150" i="3"/>
  <c r="B154" i="3"/>
  <c r="B157" i="3"/>
  <c r="B162" i="3"/>
  <c r="B145" i="3"/>
  <c r="B172" i="3"/>
  <c r="B177" i="3"/>
  <c r="B181" i="3"/>
  <c r="B178" i="3"/>
  <c r="B188" i="3"/>
  <c r="B192" i="3"/>
  <c r="B197" i="3"/>
  <c r="B201" i="3"/>
  <c r="B205" i="3"/>
  <c r="B209" i="3"/>
  <c r="B212" i="3"/>
  <c r="B216" i="3"/>
  <c r="B220" i="3"/>
  <c r="B224" i="3"/>
  <c r="B232" i="3"/>
  <c r="B236" i="3"/>
  <c r="B240" i="3"/>
  <c r="B244" i="3"/>
  <c r="B248" i="3"/>
  <c r="B234" i="3"/>
  <c r="B259" i="3"/>
  <c r="B263" i="3"/>
  <c r="B267" i="3"/>
  <c r="B271" i="3"/>
  <c r="B275" i="3"/>
  <c r="B279" i="3"/>
  <c r="B283" i="3"/>
  <c r="B287" i="3"/>
  <c r="B270" i="3"/>
  <c r="B296" i="3"/>
  <c r="B303" i="3"/>
  <c r="B307" i="3"/>
  <c r="B311" i="3"/>
  <c r="B315" i="3"/>
  <c r="B319" i="3"/>
  <c r="B323" i="3"/>
  <c r="B325" i="3"/>
  <c r="B330" i="3"/>
  <c r="B335" i="3"/>
  <c r="B340" i="3"/>
  <c r="B344" i="3"/>
  <c r="B348" i="3"/>
  <c r="B352" i="3"/>
  <c r="B356" i="3"/>
  <c r="B339" i="3"/>
  <c r="B364" i="3"/>
  <c r="B365" i="3"/>
  <c r="B372" i="3"/>
  <c r="B377" i="3"/>
  <c r="B381" i="3"/>
  <c r="B385" i="3"/>
  <c r="B390" i="3"/>
  <c r="B394" i="3"/>
  <c r="B398" i="3"/>
  <c r="B402" i="3"/>
  <c r="B379" i="3"/>
  <c r="B410" i="3"/>
  <c r="B414" i="3"/>
  <c r="B418" i="3"/>
  <c r="B422" i="3"/>
  <c r="B427" i="3"/>
  <c r="B417" i="3"/>
  <c r="B435" i="3"/>
  <c r="B439" i="3"/>
  <c r="B443" i="3"/>
  <c r="B447" i="3"/>
  <c r="B452" i="3"/>
  <c r="B457" i="3"/>
  <c r="B461" i="3"/>
  <c r="B465" i="3"/>
  <c r="B469" i="3"/>
  <c r="B472" i="3"/>
  <c r="B477" i="3"/>
  <c r="B482" i="3"/>
  <c r="B486" i="3"/>
  <c r="B490" i="3"/>
  <c r="B494" i="3"/>
  <c r="B498" i="3"/>
  <c r="B502" i="3"/>
  <c r="B506" i="3"/>
  <c r="B2" i="3"/>
  <c r="B448" i="3"/>
  <c r="B257" i="3"/>
  <c r="B103" i="3"/>
  <c r="B80" i="3"/>
  <c r="B226" i="3"/>
  <c r="B36" i="3"/>
  <c r="B292" i="3"/>
  <c r="B20" i="3"/>
  <c r="B31" i="3"/>
  <c r="B46" i="3"/>
  <c r="B49" i="3"/>
  <c r="B73" i="3"/>
  <c r="B86" i="3"/>
  <c r="B99" i="3"/>
  <c r="B108" i="3"/>
  <c r="B116" i="3"/>
  <c r="B125" i="3"/>
  <c r="B134" i="3"/>
  <c r="B143" i="3"/>
  <c r="B151" i="3"/>
  <c r="B158" i="3"/>
  <c r="B168" i="3"/>
  <c r="B173" i="3"/>
  <c r="B186" i="3"/>
  <c r="B194" i="3"/>
  <c r="B198" i="3"/>
  <c r="B210" i="3"/>
  <c r="B217" i="3"/>
  <c r="B221" i="3"/>
  <c r="B237" i="3"/>
  <c r="B241" i="3"/>
  <c r="B253" i="3"/>
  <c r="B264" i="3"/>
  <c r="B272" i="3"/>
  <c r="B288" i="3"/>
  <c r="B299" i="3"/>
  <c r="B316" i="3"/>
  <c r="B328" i="3"/>
  <c r="B336" i="3"/>
  <c r="B353" i="3"/>
  <c r="B360" i="3"/>
  <c r="B368" i="3"/>
  <c r="B386" i="3"/>
  <c r="B403" i="3"/>
  <c r="B415" i="3"/>
  <c r="B426" i="3"/>
  <c r="B436" i="3"/>
  <c r="B458" i="3"/>
  <c r="B470" i="3"/>
  <c r="B478" i="3"/>
  <c r="B491" i="3"/>
  <c r="B503" i="3"/>
  <c r="B256" i="3"/>
  <c r="B480" i="3"/>
  <c r="B139" i="3"/>
  <c r="B293" i="3"/>
  <c r="B289" i="3"/>
  <c r="B109" i="3"/>
  <c r="B113" i="3"/>
  <c r="B117" i="3"/>
  <c r="B121" i="3"/>
  <c r="B130" i="3"/>
  <c r="B133" i="3"/>
  <c r="B135" i="3"/>
  <c r="B102" i="3"/>
  <c r="B144" i="3"/>
  <c r="B148" i="3"/>
  <c r="B152" i="3"/>
  <c r="B155" i="3"/>
  <c r="B160" i="3"/>
  <c r="B164" i="3"/>
  <c r="B170" i="3"/>
  <c r="B174" i="3"/>
  <c r="B179" i="3"/>
  <c r="B183" i="3"/>
  <c r="B187" i="3"/>
  <c r="B191" i="3"/>
  <c r="B195" i="3"/>
  <c r="B199" i="3"/>
  <c r="B203" i="3"/>
  <c r="B207" i="3"/>
  <c r="B211" i="3"/>
  <c r="B228" i="3"/>
  <c r="B218" i="3"/>
  <c r="B229" i="3"/>
  <c r="B193" i="3"/>
  <c r="B261" i="3"/>
  <c r="B265" i="3"/>
  <c r="B269" i="3"/>
  <c r="B273" i="3"/>
  <c r="B277" i="3"/>
  <c r="B281" i="3"/>
  <c r="B285" i="3"/>
  <c r="B309" i="3"/>
  <c r="B313" i="3"/>
  <c r="B317" i="3"/>
  <c r="B321" i="3"/>
  <c r="B338" i="3"/>
  <c r="B342" i="3"/>
  <c r="B346" i="3"/>
  <c r="B350" i="3"/>
  <c r="B354" i="3"/>
  <c r="B358" i="3"/>
  <c r="B362" i="3"/>
  <c r="B366" i="3"/>
  <c r="B370" i="3"/>
  <c r="B374" i="3"/>
  <c r="B380" i="3"/>
  <c r="B383" i="3"/>
  <c r="B388" i="3"/>
  <c r="B392" i="3"/>
  <c r="B396" i="3"/>
  <c r="B400" i="3"/>
  <c r="B404" i="3"/>
  <c r="B408" i="3"/>
  <c r="B412" i="3"/>
  <c r="B416" i="3"/>
  <c r="B420" i="3"/>
  <c r="B424" i="3"/>
  <c r="B428" i="3"/>
  <c r="B433" i="3"/>
  <c r="B437" i="3"/>
  <c r="B441" i="3"/>
  <c r="B445" i="3"/>
  <c r="B451" i="3"/>
  <c r="B455" i="3"/>
  <c r="B459" i="3"/>
  <c r="B463" i="3"/>
  <c r="B453" i="3"/>
  <c r="B471" i="3"/>
  <c r="B474" i="3"/>
  <c r="B479" i="3"/>
  <c r="B484" i="3"/>
  <c r="B488" i="3"/>
  <c r="B492" i="3"/>
  <c r="B496" i="3"/>
  <c r="B500" i="3"/>
  <c r="B504" i="3"/>
  <c r="B508" i="3"/>
  <c r="B65" i="3"/>
  <c r="B375" i="3"/>
  <c r="B169" i="3"/>
  <c r="B79" i="3"/>
  <c r="B47" i="3"/>
  <c r="B82" i="3"/>
  <c r="B378" i="3"/>
  <c r="B431" i="3"/>
  <c r="B222" i="3"/>
  <c r="B238" i="3"/>
  <c r="B242" i="3"/>
  <c r="B246" i="3"/>
  <c r="B250" i="3"/>
  <c r="B254" i="3"/>
  <c r="B290" i="3"/>
  <c r="B295" i="3"/>
  <c r="B300" i="3"/>
  <c r="B298" i="3"/>
  <c r="B308" i="3"/>
  <c r="B327" i="3"/>
  <c r="B332" i="3"/>
  <c r="B123" i="3"/>
  <c r="B128" i="3"/>
  <c r="B78" i="3"/>
  <c r="B98" i="3"/>
  <c r="B231" i="3"/>
  <c r="B176" i="3"/>
  <c r="B40" i="3"/>
  <c r="B302" i="3"/>
  <c r="J169" i="3"/>
  <c r="J302" i="3"/>
  <c r="J375" i="3"/>
  <c r="J448" i="3"/>
  <c r="C80" i="14"/>
  <c r="C83" i="14"/>
  <c r="D80" i="14"/>
  <c r="D82" i="14"/>
  <c r="C84" i="14"/>
  <c r="D81" i="14"/>
  <c r="C82" i="14"/>
  <c r="D85" i="14"/>
  <c r="C81" i="14"/>
  <c r="D84" i="14"/>
  <c r="C85" i="14"/>
  <c r="D83" i="14"/>
  <c r="I85" i="13"/>
  <c r="I84" i="13"/>
  <c r="I83" i="13"/>
  <c r="I82" i="13"/>
  <c r="I81" i="13"/>
  <c r="I80" i="13"/>
  <c r="F506" i="12"/>
  <c r="F505" i="12"/>
  <c r="F507" i="12"/>
  <c r="J40" i="3"/>
  <c r="F504" i="12"/>
  <c r="D69" i="14"/>
  <c r="C77" i="14"/>
  <c r="J431" i="3"/>
  <c r="D71" i="14"/>
  <c r="C72" i="14"/>
  <c r="D75" i="14"/>
  <c r="C76" i="14"/>
  <c r="D79" i="14"/>
  <c r="C71" i="14"/>
  <c r="D74" i="14"/>
  <c r="C75" i="14"/>
  <c r="D78" i="14"/>
  <c r="C79" i="14"/>
  <c r="D70" i="14"/>
  <c r="D73" i="14"/>
  <c r="C74" i="14"/>
  <c r="D77" i="14"/>
  <c r="C78" i="14"/>
  <c r="C70" i="14"/>
  <c r="D72" i="14"/>
  <c r="C73" i="14"/>
  <c r="D76" i="14"/>
  <c r="I79" i="13"/>
  <c r="I78" i="13"/>
  <c r="I71" i="13"/>
  <c r="I75" i="13"/>
  <c r="I72" i="13"/>
  <c r="I76" i="13"/>
  <c r="I74" i="13"/>
  <c r="I73" i="13"/>
  <c r="I77" i="13"/>
  <c r="I69" i="13"/>
  <c r="I67" i="13"/>
  <c r="I65" i="13"/>
  <c r="I63" i="13"/>
  <c r="I61" i="13"/>
  <c r="I59" i="13"/>
  <c r="I57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7" i="13"/>
  <c r="I15" i="13"/>
  <c r="I13" i="13"/>
  <c r="I11" i="13"/>
  <c r="I9" i="13"/>
  <c r="I7" i="13"/>
  <c r="I5" i="13"/>
  <c r="I3" i="13"/>
  <c r="I70" i="13"/>
  <c r="I68" i="13"/>
  <c r="I66" i="13"/>
  <c r="I64" i="13"/>
  <c r="I62" i="13"/>
  <c r="I60" i="13"/>
  <c r="I58" i="13"/>
  <c r="I56" i="13"/>
  <c r="I54" i="13"/>
  <c r="I52" i="13"/>
  <c r="I50" i="13"/>
  <c r="I48" i="13"/>
  <c r="I46" i="13"/>
  <c r="I44" i="13"/>
  <c r="I42" i="13"/>
  <c r="I40" i="13"/>
  <c r="I38" i="13"/>
  <c r="I36" i="13"/>
  <c r="I34" i="13"/>
  <c r="I32" i="13"/>
  <c r="I30" i="13"/>
  <c r="I28" i="13"/>
  <c r="I26" i="13"/>
  <c r="I24" i="13"/>
  <c r="I22" i="13"/>
  <c r="I20" i="13"/>
  <c r="I18" i="13"/>
  <c r="I16" i="13"/>
  <c r="I14" i="13"/>
  <c r="I12" i="13"/>
  <c r="I10" i="13"/>
  <c r="I8" i="13"/>
  <c r="I6" i="13"/>
  <c r="I4" i="13"/>
  <c r="I2" i="13"/>
  <c r="J507" i="3"/>
  <c r="J503" i="3"/>
  <c r="J499" i="3"/>
  <c r="J495" i="3"/>
  <c r="J491" i="3"/>
  <c r="J487" i="3"/>
  <c r="J483" i="3"/>
  <c r="J478" i="3"/>
  <c r="J474" i="3"/>
  <c r="J466" i="3"/>
  <c r="J452" i="3"/>
  <c r="J444" i="3"/>
  <c r="J433" i="3"/>
  <c r="J405" i="3"/>
  <c r="J398" i="3"/>
  <c r="J387" i="3"/>
  <c r="J380" i="3"/>
  <c r="J361" i="3"/>
  <c r="J345" i="3"/>
  <c r="J328" i="3"/>
  <c r="J312" i="3"/>
  <c r="J295" i="3"/>
  <c r="J78" i="3"/>
  <c r="J471" i="3"/>
  <c r="J468" i="3"/>
  <c r="J462" i="3"/>
  <c r="J458" i="3"/>
  <c r="J455" i="3"/>
  <c r="J443" i="3"/>
  <c r="J440" i="3"/>
  <c r="J436" i="3"/>
  <c r="J428" i="3"/>
  <c r="J424" i="3"/>
  <c r="J421" i="3"/>
  <c r="J411" i="3"/>
  <c r="J408" i="3"/>
  <c r="J404" i="3"/>
  <c r="J397" i="3"/>
  <c r="J393" i="3"/>
  <c r="J390" i="3"/>
  <c r="J379" i="3"/>
  <c r="J374" i="3"/>
  <c r="J370" i="3"/>
  <c r="J359" i="3"/>
  <c r="J354" i="3"/>
  <c r="J343" i="3"/>
  <c r="J338" i="3"/>
  <c r="J326" i="3"/>
  <c r="J321" i="3"/>
  <c r="J310" i="3"/>
  <c r="J305" i="3"/>
  <c r="J291" i="3"/>
  <c r="J286" i="3"/>
  <c r="J275" i="3"/>
  <c r="J270" i="3"/>
  <c r="J259" i="3"/>
  <c r="J254" i="3"/>
  <c r="J243" i="3"/>
  <c r="J235" i="3"/>
  <c r="J126" i="3"/>
  <c r="J62" i="3"/>
  <c r="J505" i="3"/>
  <c r="J501" i="3"/>
  <c r="J497" i="3"/>
  <c r="J493" i="3"/>
  <c r="J489" i="3"/>
  <c r="J485" i="3"/>
  <c r="J481" i="3"/>
  <c r="J476" i="3"/>
  <c r="J469" i="3"/>
  <c r="J463" i="3"/>
  <c r="J449" i="3"/>
  <c r="J437" i="3"/>
  <c r="J429" i="3"/>
  <c r="J418" i="3"/>
  <c r="J412" i="3"/>
  <c r="J401" i="3"/>
  <c r="J384" i="3"/>
  <c r="J371" i="3"/>
  <c r="J356" i="3"/>
  <c r="J340" i="3"/>
  <c r="J323" i="3"/>
  <c r="J307" i="3"/>
  <c r="J288" i="3"/>
  <c r="J277" i="3"/>
  <c r="J272" i="3"/>
  <c r="J261" i="3"/>
  <c r="J256" i="3"/>
  <c r="J245" i="3"/>
  <c r="J238" i="3"/>
  <c r="J143" i="3"/>
  <c r="J508" i="3"/>
  <c r="J506" i="3"/>
  <c r="J504" i="3"/>
  <c r="J502" i="3"/>
  <c r="J500" i="3"/>
  <c r="J498" i="3"/>
  <c r="J496" i="3"/>
  <c r="J494" i="3"/>
  <c r="J492" i="3"/>
  <c r="J490" i="3"/>
  <c r="J488" i="3"/>
  <c r="J486" i="3"/>
  <c r="J484" i="3"/>
  <c r="J482" i="3"/>
  <c r="J479" i="3"/>
  <c r="J477" i="3"/>
  <c r="J475" i="3"/>
  <c r="J473" i="3"/>
  <c r="J470" i="3"/>
  <c r="J465" i="3"/>
  <c r="J461" i="3"/>
  <c r="J454" i="3"/>
  <c r="J450" i="3"/>
  <c r="J446" i="3"/>
  <c r="J435" i="3"/>
  <c r="J432" i="3"/>
  <c r="J427" i="3"/>
  <c r="J420" i="3"/>
  <c r="J416" i="3"/>
  <c r="J414" i="3"/>
  <c r="J403" i="3"/>
  <c r="J400" i="3"/>
  <c r="J396" i="3"/>
  <c r="J389" i="3"/>
  <c r="J385" i="3"/>
  <c r="J382" i="3"/>
  <c r="J369" i="3"/>
  <c r="J364" i="3"/>
  <c r="J353" i="3"/>
  <c r="J348" i="3"/>
  <c r="J336" i="3"/>
  <c r="J331" i="3"/>
  <c r="J320" i="3"/>
  <c r="J315" i="3"/>
  <c r="J304" i="3"/>
  <c r="J298" i="3"/>
  <c r="J285" i="3"/>
  <c r="J280" i="3"/>
  <c r="J269" i="3"/>
  <c r="J264" i="3"/>
  <c r="J253" i="3"/>
  <c r="J248" i="3"/>
  <c r="J231" i="3"/>
  <c r="J110" i="3"/>
  <c r="J45" i="3"/>
  <c r="J472" i="3"/>
  <c r="J467" i="3"/>
  <c r="J460" i="3"/>
  <c r="J457" i="3"/>
  <c r="J453" i="3"/>
  <c r="J445" i="3"/>
  <c r="J441" i="3"/>
  <c r="J438" i="3"/>
  <c r="J426" i="3"/>
  <c r="J423" i="3"/>
  <c r="J419" i="3"/>
  <c r="J413" i="3"/>
  <c r="J409" i="3"/>
  <c r="J406" i="3"/>
  <c r="J395" i="3"/>
  <c r="J392" i="3"/>
  <c r="J388" i="3"/>
  <c r="J381" i="3"/>
  <c r="J376" i="3"/>
  <c r="J372" i="3"/>
  <c r="J367" i="3"/>
  <c r="J362" i="3"/>
  <c r="J351" i="3"/>
  <c r="J346" i="3"/>
  <c r="J334" i="3"/>
  <c r="J329" i="3"/>
  <c r="J318" i="3"/>
  <c r="J313" i="3"/>
  <c r="J301" i="3"/>
  <c r="J296" i="3"/>
  <c r="J283" i="3"/>
  <c r="J278" i="3"/>
  <c r="J267" i="3"/>
  <c r="J262" i="3"/>
  <c r="J251" i="3"/>
  <c r="J246" i="3"/>
  <c r="J227" i="3"/>
  <c r="J159" i="3"/>
  <c r="J94" i="3"/>
  <c r="J28" i="3"/>
  <c r="J240" i="3"/>
  <c r="J237" i="3"/>
  <c r="J155" i="3"/>
  <c r="J139" i="3"/>
  <c r="J122" i="3"/>
  <c r="J106" i="3"/>
  <c r="J90" i="3"/>
  <c r="J74" i="3"/>
  <c r="J58" i="3"/>
  <c r="J41" i="3"/>
  <c r="J24" i="3"/>
  <c r="J366" i="3"/>
  <c r="J363" i="3"/>
  <c r="J358" i="3"/>
  <c r="J355" i="3"/>
  <c r="J350" i="3"/>
  <c r="J347" i="3"/>
  <c r="J342" i="3"/>
  <c r="J339" i="3"/>
  <c r="J333" i="3"/>
  <c r="J330" i="3"/>
  <c r="J325" i="3"/>
  <c r="J322" i="3"/>
  <c r="J317" i="3"/>
  <c r="J314" i="3"/>
  <c r="J309" i="3"/>
  <c r="J306" i="3"/>
  <c r="J300" i="3"/>
  <c r="J297" i="3"/>
  <c r="J290" i="3"/>
  <c r="J287" i="3"/>
  <c r="J282" i="3"/>
  <c r="J279" i="3"/>
  <c r="J274" i="3"/>
  <c r="J271" i="3"/>
  <c r="J266" i="3"/>
  <c r="J263" i="3"/>
  <c r="J258" i="3"/>
  <c r="J255" i="3"/>
  <c r="J250" i="3"/>
  <c r="J247" i="3"/>
  <c r="J242" i="3"/>
  <c r="J239" i="3"/>
  <c r="J233" i="3"/>
  <c r="J229" i="3"/>
  <c r="J167" i="3"/>
  <c r="J151" i="3"/>
  <c r="J134" i="3"/>
  <c r="J118" i="3"/>
  <c r="J102" i="3"/>
  <c r="J86" i="3"/>
  <c r="J70" i="3"/>
  <c r="J54" i="3"/>
  <c r="J36" i="3"/>
  <c r="J480" i="3"/>
  <c r="J464" i="3"/>
  <c r="J459" i="3"/>
  <c r="J456" i="3"/>
  <c r="J451" i="3"/>
  <c r="J447" i="3"/>
  <c r="J442" i="3"/>
  <c r="J439" i="3"/>
  <c r="J434" i="3"/>
  <c r="J430" i="3"/>
  <c r="J425" i="3"/>
  <c r="J422" i="3"/>
  <c r="J417" i="3"/>
  <c r="J415" i="3"/>
  <c r="J410" i="3"/>
  <c r="J407" i="3"/>
  <c r="J402" i="3"/>
  <c r="J399" i="3"/>
  <c r="J394" i="3"/>
  <c r="J391" i="3"/>
  <c r="J386" i="3"/>
  <c r="J383" i="3"/>
  <c r="J377" i="3"/>
  <c r="J373" i="3"/>
  <c r="J368" i="3"/>
  <c r="J365" i="3"/>
  <c r="J360" i="3"/>
  <c r="J357" i="3"/>
  <c r="J352" i="3"/>
  <c r="J349" i="3"/>
  <c r="J344" i="3"/>
  <c r="J341" i="3"/>
  <c r="J335" i="3"/>
  <c r="J332" i="3"/>
  <c r="J327" i="3"/>
  <c r="J324" i="3"/>
  <c r="J319" i="3"/>
  <c r="J316" i="3"/>
  <c r="J311" i="3"/>
  <c r="J308" i="3"/>
  <c r="J303" i="3"/>
  <c r="J299" i="3"/>
  <c r="J294" i="3"/>
  <c r="J289" i="3"/>
  <c r="J284" i="3"/>
  <c r="J281" i="3"/>
  <c r="J276" i="3"/>
  <c r="J273" i="3"/>
  <c r="J268" i="3"/>
  <c r="J265" i="3"/>
  <c r="J260" i="3"/>
  <c r="J257" i="3"/>
  <c r="J252" i="3"/>
  <c r="J249" i="3"/>
  <c r="J244" i="3"/>
  <c r="J241" i="3"/>
  <c r="J236" i="3"/>
  <c r="J163" i="3"/>
  <c r="J147" i="3"/>
  <c r="J130" i="3"/>
  <c r="J114" i="3"/>
  <c r="J98" i="3"/>
  <c r="J82" i="3"/>
  <c r="J66" i="3"/>
  <c r="J50" i="3"/>
  <c r="J32" i="3"/>
  <c r="J292" i="3"/>
  <c r="J234" i="3"/>
  <c r="J232" i="3"/>
  <c r="J230" i="3"/>
  <c r="J228" i="3"/>
  <c r="J226" i="3"/>
  <c r="J224" i="3"/>
  <c r="J222" i="3"/>
  <c r="J220" i="3"/>
  <c r="J218" i="3"/>
  <c r="J216" i="3"/>
  <c r="J214" i="3"/>
  <c r="J212" i="3"/>
  <c r="J210" i="3"/>
  <c r="J208" i="3"/>
  <c r="J206" i="3"/>
  <c r="J204" i="3"/>
  <c r="J202" i="3"/>
  <c r="J200" i="3"/>
  <c r="J198" i="3"/>
  <c r="J196" i="3"/>
  <c r="J194" i="3"/>
  <c r="J192" i="3"/>
  <c r="J190" i="3"/>
  <c r="J188" i="3"/>
  <c r="J186" i="3"/>
  <c r="J184" i="3"/>
  <c r="J182" i="3"/>
  <c r="J180" i="3"/>
  <c r="J178" i="3"/>
  <c r="J176" i="3"/>
  <c r="J174" i="3"/>
  <c r="J172" i="3"/>
  <c r="J170" i="3"/>
  <c r="J166" i="3"/>
  <c r="J162" i="3"/>
  <c r="J158" i="3"/>
  <c r="J154" i="3"/>
  <c r="J150" i="3"/>
  <c r="J146" i="3"/>
  <c r="J142" i="3"/>
  <c r="J137" i="3"/>
  <c r="J133" i="3"/>
  <c r="J129" i="3"/>
  <c r="J125" i="3"/>
  <c r="J121" i="3"/>
  <c r="J117" i="3"/>
  <c r="J113" i="3"/>
  <c r="J109" i="3"/>
  <c r="J105" i="3"/>
  <c r="J101" i="3"/>
  <c r="J97" i="3"/>
  <c r="J93" i="3"/>
  <c r="J89" i="3"/>
  <c r="J85" i="3"/>
  <c r="J81" i="3"/>
  <c r="J77" i="3"/>
  <c r="J73" i="3"/>
  <c r="J69" i="3"/>
  <c r="J65" i="3"/>
  <c r="J61" i="3"/>
  <c r="J57" i="3"/>
  <c r="J53" i="3"/>
  <c r="J49" i="3"/>
  <c r="J44" i="3"/>
  <c r="J39" i="3"/>
  <c r="J35" i="3"/>
  <c r="J31" i="3"/>
  <c r="J27" i="3"/>
  <c r="J23" i="3"/>
  <c r="J378" i="3"/>
  <c r="J138" i="3"/>
  <c r="J165" i="3"/>
  <c r="J161" i="3"/>
  <c r="J157" i="3"/>
  <c r="J153" i="3"/>
  <c r="J149" i="3"/>
  <c r="J145" i="3"/>
  <c r="J141" i="3"/>
  <c r="J136" i="3"/>
  <c r="J132" i="3"/>
  <c r="J128" i="3"/>
  <c r="J124" i="3"/>
  <c r="J120" i="3"/>
  <c r="J116" i="3"/>
  <c r="J112" i="3"/>
  <c r="J108" i="3"/>
  <c r="J104" i="3"/>
  <c r="J100" i="3"/>
  <c r="J96" i="3"/>
  <c r="J92" i="3"/>
  <c r="J88" i="3"/>
  <c r="J84" i="3"/>
  <c r="J80" i="3"/>
  <c r="J76" i="3"/>
  <c r="J72" i="3"/>
  <c r="J68" i="3"/>
  <c r="J64" i="3"/>
  <c r="J60" i="3"/>
  <c r="J56" i="3"/>
  <c r="J52" i="3"/>
  <c r="J48" i="3"/>
  <c r="J43" i="3"/>
  <c r="J38" i="3"/>
  <c r="J34" i="3"/>
  <c r="J30" i="3"/>
  <c r="J26" i="3"/>
  <c r="J22" i="3"/>
  <c r="J337" i="3"/>
  <c r="J47" i="3"/>
  <c r="J225" i="3"/>
  <c r="J223" i="3"/>
  <c r="J221" i="3"/>
  <c r="J219" i="3"/>
  <c r="J217" i="3"/>
  <c r="J215" i="3"/>
  <c r="J213" i="3"/>
  <c r="J211" i="3"/>
  <c r="J209" i="3"/>
  <c r="J207" i="3"/>
  <c r="J205" i="3"/>
  <c r="J203" i="3"/>
  <c r="J201" i="3"/>
  <c r="J199" i="3"/>
  <c r="J197" i="3"/>
  <c r="J195" i="3"/>
  <c r="J193" i="3"/>
  <c r="J191" i="3"/>
  <c r="J189" i="3"/>
  <c r="J187" i="3"/>
  <c r="J185" i="3"/>
  <c r="J183" i="3"/>
  <c r="J181" i="3"/>
  <c r="J179" i="3"/>
  <c r="J177" i="3"/>
  <c r="J175" i="3"/>
  <c r="J173" i="3"/>
  <c r="J171" i="3"/>
  <c r="J168" i="3"/>
  <c r="J164" i="3"/>
  <c r="J160" i="3"/>
  <c r="J156" i="3"/>
  <c r="J152" i="3"/>
  <c r="J148" i="3"/>
  <c r="J144" i="3"/>
  <c r="J140" i="3"/>
  <c r="J135" i="3"/>
  <c r="J131" i="3"/>
  <c r="J127" i="3"/>
  <c r="J123" i="3"/>
  <c r="J119" i="3"/>
  <c r="J115" i="3"/>
  <c r="J111" i="3"/>
  <c r="J107" i="3"/>
  <c r="J103" i="3"/>
  <c r="J99" i="3"/>
  <c r="J95" i="3"/>
  <c r="J91" i="3"/>
  <c r="J87" i="3"/>
  <c r="J83" i="3"/>
  <c r="J79" i="3"/>
  <c r="J75" i="3"/>
  <c r="J71" i="3"/>
  <c r="J67" i="3"/>
  <c r="J63" i="3"/>
  <c r="J59" i="3"/>
  <c r="J55" i="3"/>
  <c r="J51" i="3"/>
  <c r="J46" i="3"/>
  <c r="J42" i="3"/>
  <c r="J37" i="3"/>
  <c r="J33" i="3"/>
  <c r="J29" i="3"/>
  <c r="J25" i="3"/>
  <c r="J21" i="3"/>
  <c r="J293" i="3"/>
  <c r="J20" i="3"/>
  <c r="J19" i="3"/>
  <c r="J17" i="3"/>
  <c r="J15" i="3"/>
  <c r="J13" i="3"/>
  <c r="J11" i="3"/>
  <c r="J9" i="3"/>
  <c r="J7" i="3"/>
  <c r="J5" i="3"/>
  <c r="J3" i="3"/>
  <c r="J18" i="3"/>
  <c r="J16" i="3"/>
  <c r="J14" i="3"/>
  <c r="J12" i="3"/>
  <c r="J10" i="3"/>
  <c r="J8" i="3"/>
  <c r="J6" i="3"/>
  <c r="J4" i="3"/>
  <c r="J2" i="3"/>
  <c r="F402" i="12"/>
  <c r="F389" i="12"/>
  <c r="F381" i="12"/>
  <c r="F373" i="12"/>
  <c r="F365" i="12"/>
  <c r="F357" i="12"/>
  <c r="F351" i="12"/>
  <c r="F340" i="12"/>
  <c r="F333" i="12"/>
  <c r="F322" i="12"/>
  <c r="F289" i="12"/>
  <c r="F264" i="12"/>
  <c r="F503" i="12"/>
  <c r="F501" i="12"/>
  <c r="F499" i="12"/>
  <c r="F497" i="12"/>
  <c r="F495" i="12"/>
  <c r="F493" i="12"/>
  <c r="F491" i="12"/>
  <c r="F489" i="12"/>
  <c r="F487" i="12"/>
  <c r="F485" i="12"/>
  <c r="F483" i="12"/>
  <c r="F481" i="12"/>
  <c r="F479" i="12"/>
  <c r="F477" i="12"/>
  <c r="F475" i="12"/>
  <c r="F473" i="12"/>
  <c r="F471" i="12"/>
  <c r="F469" i="12"/>
  <c r="F467" i="12"/>
  <c r="F465" i="12"/>
  <c r="F463" i="12"/>
  <c r="F461" i="12"/>
  <c r="F459" i="12"/>
  <c r="F457" i="12"/>
  <c r="F455" i="12"/>
  <c r="F452" i="12"/>
  <c r="F447" i="12"/>
  <c r="F444" i="12"/>
  <c r="F439" i="12"/>
  <c r="F436" i="12"/>
  <c r="F431" i="12"/>
  <c r="F428" i="12"/>
  <c r="F423" i="12"/>
  <c r="F420" i="12"/>
  <c r="F415" i="12"/>
  <c r="F412" i="12"/>
  <c r="F407" i="12"/>
  <c r="F404" i="12"/>
  <c r="F399" i="12"/>
  <c r="F396" i="12"/>
  <c r="F391" i="12"/>
  <c r="F388" i="12"/>
  <c r="F383" i="12"/>
  <c r="F380" i="12"/>
  <c r="F375" i="12"/>
  <c r="F372" i="12"/>
  <c r="F367" i="12"/>
  <c r="F364" i="12"/>
  <c r="F359" i="12"/>
  <c r="F356" i="12"/>
  <c r="F350" i="12"/>
  <c r="F346" i="12"/>
  <c r="F343" i="12"/>
  <c r="F332" i="12"/>
  <c r="F329" i="12"/>
  <c r="F325" i="12"/>
  <c r="F318" i="12"/>
  <c r="F314" i="12"/>
  <c r="F310" i="12"/>
  <c r="F305" i="12"/>
  <c r="F297" i="12"/>
  <c r="F286" i="12"/>
  <c r="F256" i="12"/>
  <c r="F131" i="12"/>
  <c r="F453" i="12"/>
  <c r="F442" i="12"/>
  <c r="F434" i="12"/>
  <c r="F426" i="12"/>
  <c r="F418" i="12"/>
  <c r="F410" i="12"/>
  <c r="F405" i="12"/>
  <c r="F394" i="12"/>
  <c r="F386" i="12"/>
  <c r="F378" i="12"/>
  <c r="F370" i="12"/>
  <c r="F362" i="12"/>
  <c r="F354" i="12"/>
  <c r="F337" i="12"/>
  <c r="F326" i="12"/>
  <c r="F319" i="12"/>
  <c r="F306" i="12"/>
  <c r="F228" i="12"/>
  <c r="F454" i="12"/>
  <c r="F449" i="12"/>
  <c r="F446" i="12"/>
  <c r="F441" i="12"/>
  <c r="F438" i="12"/>
  <c r="F433" i="12"/>
  <c r="F430" i="12"/>
  <c r="F425" i="12"/>
  <c r="F422" i="12"/>
  <c r="F417" i="12"/>
  <c r="F414" i="12"/>
  <c r="F409" i="12"/>
  <c r="F406" i="12"/>
  <c r="F401" i="12"/>
  <c r="F398" i="12"/>
  <c r="F393" i="12"/>
  <c r="F390" i="12"/>
  <c r="F385" i="12"/>
  <c r="F382" i="12"/>
  <c r="F377" i="12"/>
  <c r="F374" i="12"/>
  <c r="F369" i="12"/>
  <c r="F366" i="12"/>
  <c r="F361" i="12"/>
  <c r="F358" i="12"/>
  <c r="F353" i="12"/>
  <c r="F349" i="12"/>
  <c r="F342" i="12"/>
  <c r="F338" i="12"/>
  <c r="F335" i="12"/>
  <c r="F324" i="12"/>
  <c r="F321" i="12"/>
  <c r="F317" i="12"/>
  <c r="F309" i="12"/>
  <c r="F294" i="12"/>
  <c r="F272" i="12"/>
  <c r="F248" i="12"/>
  <c r="F207" i="12"/>
  <c r="F88" i="12"/>
  <c r="F450" i="12"/>
  <c r="F445" i="12"/>
  <c r="F437" i="12"/>
  <c r="F429" i="12"/>
  <c r="F421" i="12"/>
  <c r="F413" i="12"/>
  <c r="F397" i="12"/>
  <c r="F278" i="12"/>
  <c r="F502" i="12"/>
  <c r="F500" i="12"/>
  <c r="F498" i="12"/>
  <c r="F496" i="12"/>
  <c r="F494" i="12"/>
  <c r="F492" i="12"/>
  <c r="F490" i="12"/>
  <c r="F488" i="12"/>
  <c r="F486" i="12"/>
  <c r="F484" i="12"/>
  <c r="F482" i="12"/>
  <c r="F480" i="12"/>
  <c r="F478" i="12"/>
  <c r="F476" i="12"/>
  <c r="F474" i="12"/>
  <c r="F472" i="12"/>
  <c r="F470" i="12"/>
  <c r="F468" i="12"/>
  <c r="F466" i="12"/>
  <c r="F464" i="12"/>
  <c r="F462" i="12"/>
  <c r="F460" i="12"/>
  <c r="F458" i="12"/>
  <c r="F456" i="12"/>
  <c r="F451" i="12"/>
  <c r="F448" i="12"/>
  <c r="F443" i="12"/>
  <c r="F440" i="12"/>
  <c r="F435" i="12"/>
  <c r="F432" i="12"/>
  <c r="F427" i="12"/>
  <c r="F424" i="12"/>
  <c r="F419" i="12"/>
  <c r="F416" i="12"/>
  <c r="F411" i="12"/>
  <c r="F408" i="12"/>
  <c r="F403" i="12"/>
  <c r="F400" i="12"/>
  <c r="F395" i="12"/>
  <c r="F392" i="12"/>
  <c r="F387" i="12"/>
  <c r="F384" i="12"/>
  <c r="F379" i="12"/>
  <c r="F376" i="12"/>
  <c r="F371" i="12"/>
  <c r="F368" i="12"/>
  <c r="F363" i="12"/>
  <c r="F360" i="12"/>
  <c r="F355" i="12"/>
  <c r="F348" i="12"/>
  <c r="F345" i="12"/>
  <c r="F341" i="12"/>
  <c r="F334" i="12"/>
  <c r="F330" i="12"/>
  <c r="F327" i="12"/>
  <c r="F316" i="12"/>
  <c r="F313" i="12"/>
  <c r="F302" i="12"/>
  <c r="F281" i="12"/>
  <c r="F268" i="12"/>
  <c r="F239" i="12"/>
  <c r="F196" i="12"/>
  <c r="F352" i="12"/>
  <c r="F347" i="12"/>
  <c r="F344" i="12"/>
  <c r="F339" i="12"/>
  <c r="F336" i="12"/>
  <c r="F331" i="12"/>
  <c r="F328" i="12"/>
  <c r="F323" i="12"/>
  <c r="F320" i="12"/>
  <c r="F315" i="12"/>
  <c r="F312" i="12"/>
  <c r="F307" i="12"/>
  <c r="F304" i="12"/>
  <c r="F299" i="12"/>
  <c r="F296" i="12"/>
  <c r="F291" i="12"/>
  <c r="F288" i="12"/>
  <c r="F283" i="12"/>
  <c r="F280" i="12"/>
  <c r="F275" i="12"/>
  <c r="F262" i="12"/>
  <c r="F254" i="12"/>
  <c r="F246" i="12"/>
  <c r="F236" i="12"/>
  <c r="F215" i="12"/>
  <c r="F204" i="12"/>
  <c r="F163" i="12"/>
  <c r="F120" i="12"/>
  <c r="F35" i="12"/>
  <c r="F301" i="12"/>
  <c r="F298" i="12"/>
  <c r="F293" i="12"/>
  <c r="F290" i="12"/>
  <c r="F285" i="12"/>
  <c r="F282" i="12"/>
  <c r="F277" i="12"/>
  <c r="F274" i="12"/>
  <c r="F270" i="12"/>
  <c r="F266" i="12"/>
  <c r="F260" i="12"/>
  <c r="F252" i="12"/>
  <c r="F244" i="12"/>
  <c r="F223" i="12"/>
  <c r="F212" i="12"/>
  <c r="F152" i="12"/>
  <c r="F67" i="12"/>
  <c r="F24" i="12"/>
  <c r="F311" i="12"/>
  <c r="F308" i="12"/>
  <c r="F303" i="12"/>
  <c r="F300" i="12"/>
  <c r="F295" i="12"/>
  <c r="F292" i="12"/>
  <c r="F287" i="12"/>
  <c r="F284" i="12"/>
  <c r="F279" i="12"/>
  <c r="F276" i="12"/>
  <c r="F258" i="12"/>
  <c r="F250" i="12"/>
  <c r="F231" i="12"/>
  <c r="F220" i="12"/>
  <c r="F199" i="12"/>
  <c r="F99" i="12"/>
  <c r="F56" i="12"/>
  <c r="F241" i="12"/>
  <c r="F238" i="12"/>
  <c r="F233" i="12"/>
  <c r="F230" i="12"/>
  <c r="F225" i="12"/>
  <c r="F222" i="12"/>
  <c r="F217" i="12"/>
  <c r="F214" i="12"/>
  <c r="F209" i="12"/>
  <c r="F206" i="12"/>
  <c r="F201" i="12"/>
  <c r="F198" i="12"/>
  <c r="F193" i="12"/>
  <c r="F171" i="12"/>
  <c r="F160" i="12"/>
  <c r="F139" i="12"/>
  <c r="F128" i="12"/>
  <c r="F107" i="12"/>
  <c r="F96" i="12"/>
  <c r="F75" i="12"/>
  <c r="F64" i="12"/>
  <c r="F43" i="12"/>
  <c r="F32" i="12"/>
  <c r="F11" i="12"/>
  <c r="F273" i="12"/>
  <c r="F271" i="12"/>
  <c r="F269" i="12"/>
  <c r="F267" i="12"/>
  <c r="F265" i="12"/>
  <c r="F263" i="12"/>
  <c r="F261" i="12"/>
  <c r="F259" i="12"/>
  <c r="F257" i="12"/>
  <c r="F255" i="12"/>
  <c r="F253" i="12"/>
  <c r="F251" i="12"/>
  <c r="F249" i="12"/>
  <c r="F247" i="12"/>
  <c r="F245" i="12"/>
  <c r="F243" i="12"/>
  <c r="F240" i="12"/>
  <c r="F235" i="12"/>
  <c r="F232" i="12"/>
  <c r="F227" i="12"/>
  <c r="F224" i="12"/>
  <c r="F219" i="12"/>
  <c r="F216" i="12"/>
  <c r="F211" i="12"/>
  <c r="F208" i="12"/>
  <c r="F203" i="12"/>
  <c r="F200" i="12"/>
  <c r="F195" i="12"/>
  <c r="F168" i="12"/>
  <c r="F147" i="12"/>
  <c r="F136" i="12"/>
  <c r="F115" i="12"/>
  <c r="F104" i="12"/>
  <c r="F83" i="12"/>
  <c r="F72" i="12"/>
  <c r="F51" i="12"/>
  <c r="F40" i="12"/>
  <c r="F19" i="12"/>
  <c r="F8" i="12"/>
  <c r="F242" i="12"/>
  <c r="F237" i="12"/>
  <c r="F234" i="12"/>
  <c r="F229" i="12"/>
  <c r="F226" i="12"/>
  <c r="F221" i="12"/>
  <c r="F218" i="12"/>
  <c r="F213" i="12"/>
  <c r="F210" i="12"/>
  <c r="F205" i="12"/>
  <c r="F202" i="12"/>
  <c r="F197" i="12"/>
  <c r="F194" i="12"/>
  <c r="F191" i="12"/>
  <c r="F155" i="12"/>
  <c r="F144" i="12"/>
  <c r="F123" i="12"/>
  <c r="F112" i="12"/>
  <c r="F91" i="12"/>
  <c r="F80" i="12"/>
  <c r="F59" i="12"/>
  <c r="F48" i="12"/>
  <c r="F27" i="12"/>
  <c r="F16" i="12"/>
  <c r="F189" i="12"/>
  <c r="F187" i="12"/>
  <c r="F185" i="12"/>
  <c r="F183" i="12"/>
  <c r="F181" i="12"/>
  <c r="F179" i="12"/>
  <c r="F177" i="12"/>
  <c r="F175" i="12"/>
  <c r="F173" i="12"/>
  <c r="F170" i="12"/>
  <c r="F165" i="12"/>
  <c r="F162" i="12"/>
  <c r="F157" i="12"/>
  <c r="F154" i="12"/>
  <c r="F149" i="12"/>
  <c r="F146" i="12"/>
  <c r="F141" i="12"/>
  <c r="F138" i="12"/>
  <c r="F133" i="12"/>
  <c r="F130" i="12"/>
  <c r="F125" i="12"/>
  <c r="F122" i="12"/>
  <c r="F117" i="12"/>
  <c r="F114" i="12"/>
  <c r="F109" i="12"/>
  <c r="F106" i="12"/>
  <c r="F101" i="12"/>
  <c r="F98" i="12"/>
  <c r="F93" i="12"/>
  <c r="F90" i="12"/>
  <c r="F85" i="12"/>
  <c r="F82" i="12"/>
  <c r="F77" i="12"/>
  <c r="F74" i="12"/>
  <c r="F69" i="12"/>
  <c r="F66" i="12"/>
  <c r="F61" i="12"/>
  <c r="F58" i="12"/>
  <c r="F53" i="12"/>
  <c r="F50" i="12"/>
  <c r="F45" i="12"/>
  <c r="F42" i="12"/>
  <c r="F37" i="12"/>
  <c r="F34" i="12"/>
  <c r="F29" i="12"/>
  <c r="F26" i="12"/>
  <c r="F21" i="12"/>
  <c r="F18" i="12"/>
  <c r="F13" i="12"/>
  <c r="F10" i="12"/>
  <c r="F5" i="12"/>
  <c r="F172" i="12"/>
  <c r="F167" i="12"/>
  <c r="F164" i="12"/>
  <c r="F159" i="12"/>
  <c r="F156" i="12"/>
  <c r="F151" i="12"/>
  <c r="F148" i="12"/>
  <c r="F143" i="12"/>
  <c r="F140" i="12"/>
  <c r="F135" i="12"/>
  <c r="F132" i="12"/>
  <c r="F127" i="12"/>
  <c r="F124" i="12"/>
  <c r="F119" i="12"/>
  <c r="F116" i="12"/>
  <c r="F111" i="12"/>
  <c r="F108" i="12"/>
  <c r="F103" i="12"/>
  <c r="F100" i="12"/>
  <c r="F95" i="12"/>
  <c r="F92" i="12"/>
  <c r="F87" i="12"/>
  <c r="F84" i="12"/>
  <c r="F79" i="12"/>
  <c r="F76" i="12"/>
  <c r="F71" i="12"/>
  <c r="F68" i="12"/>
  <c r="F63" i="12"/>
  <c r="F60" i="12"/>
  <c r="F55" i="12"/>
  <c r="F52" i="12"/>
  <c r="F47" i="12"/>
  <c r="F44" i="12"/>
  <c r="F39" i="12"/>
  <c r="F36" i="12"/>
  <c r="F31" i="12"/>
  <c r="F28" i="12"/>
  <c r="F23" i="12"/>
  <c r="F20" i="12"/>
  <c r="F15" i="12"/>
  <c r="F12" i="12"/>
  <c r="F7" i="12"/>
  <c r="F192" i="12"/>
  <c r="F190" i="12"/>
  <c r="F188" i="12"/>
  <c r="F186" i="12"/>
  <c r="F184" i="12"/>
  <c r="F182" i="12"/>
  <c r="F180" i="12"/>
  <c r="F178" i="12"/>
  <c r="F176" i="12"/>
  <c r="F174" i="12"/>
  <c r="F169" i="12"/>
  <c r="F166" i="12"/>
  <c r="F161" i="12"/>
  <c r="F158" i="12"/>
  <c r="F153" i="12"/>
  <c r="F150" i="12"/>
  <c r="F145" i="12"/>
  <c r="F142" i="12"/>
  <c r="F137" i="12"/>
  <c r="F134" i="12"/>
  <c r="F129" i="12"/>
  <c r="F126" i="12"/>
  <c r="F121" i="12"/>
  <c r="F118" i="12"/>
  <c r="F113" i="12"/>
  <c r="F110" i="12"/>
  <c r="F105" i="12"/>
  <c r="F102" i="12"/>
  <c r="F97" i="12"/>
  <c r="F94" i="12"/>
  <c r="F89" i="12"/>
  <c r="F86" i="12"/>
  <c r="F81" i="12"/>
  <c r="F78" i="12"/>
  <c r="F73" i="12"/>
  <c r="F70" i="12"/>
  <c r="F65" i="12"/>
  <c r="F62" i="12"/>
  <c r="F57" i="12"/>
  <c r="F54" i="12"/>
  <c r="F49" i="12"/>
  <c r="F46" i="12"/>
  <c r="F41" i="12"/>
  <c r="F38" i="12"/>
  <c r="F33" i="12"/>
  <c r="F30" i="12"/>
  <c r="F25" i="12"/>
  <c r="F22" i="12"/>
  <c r="F17" i="12"/>
  <c r="F14" i="12"/>
  <c r="F9" i="12"/>
  <c r="F6" i="12"/>
  <c r="F3" i="12"/>
  <c r="F4" i="12"/>
  <c r="C68" i="14"/>
  <c r="C69" i="14"/>
  <c r="D68" i="14"/>
  <c r="D66" i="14"/>
  <c r="C67" i="14"/>
  <c r="D67" i="14"/>
  <c r="C16" i="14"/>
  <c r="D64" i="14"/>
  <c r="D48" i="14"/>
  <c r="D40" i="14"/>
  <c r="D36" i="14"/>
  <c r="D16" i="14"/>
  <c r="D8" i="14"/>
  <c r="C63" i="14"/>
  <c r="C59" i="14"/>
  <c r="C31" i="14"/>
  <c r="C3" i="14"/>
  <c r="D63" i="14"/>
  <c r="D55" i="14"/>
  <c r="D51" i="14"/>
  <c r="D31" i="14"/>
  <c r="D23" i="14"/>
  <c r="D19" i="14"/>
  <c r="D15" i="14"/>
  <c r="D44" i="14"/>
  <c r="C66" i="14"/>
  <c r="C22" i="14"/>
  <c r="C14" i="14"/>
  <c r="D38" i="14"/>
  <c r="D30" i="14"/>
  <c r="C65" i="14"/>
  <c r="C61" i="14"/>
  <c r="C37" i="14"/>
  <c r="D65" i="14"/>
  <c r="D57" i="14"/>
  <c r="D53" i="14"/>
  <c r="D17" i="14"/>
  <c r="D13" i="14"/>
  <c r="D5" i="14"/>
  <c r="C64" i="14"/>
  <c r="C24" i="14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F83" i="14" a="1"/>
  <c r="F76" i="14" a="1"/>
  <c r="F75" i="14" a="1"/>
  <c r="F82" i="14" a="1"/>
  <c r="F85" i="14" a="1"/>
  <c r="F74" i="14" a="1"/>
  <c r="F80" i="14" a="1"/>
  <c r="F77" i="14" a="1"/>
  <c r="F72" i="14" a="1"/>
  <c r="F71" i="14" a="1"/>
  <c r="F79" i="14" a="1"/>
  <c r="F73" i="14" a="1"/>
  <c r="F84" i="14" a="1"/>
  <c r="F81" i="14" a="1"/>
  <c r="F78" i="14" a="1"/>
  <c r="F16" i="14" a="1"/>
  <c r="F70" i="14" a="1"/>
  <c r="F67" i="14" a="1"/>
  <c r="F31" i="14" a="1"/>
  <c r="F69" i="14" a="1"/>
  <c r="F66" i="14" a="1"/>
  <c r="F65" i="14" a="1"/>
  <c r="F63" i="14" a="1"/>
  <c r="F68" i="14" a="1"/>
  <c r="F64" i="14" a="1"/>
  <c r="F78" i="14" l="1"/>
  <c r="F81" i="14"/>
  <c r="F84" i="14"/>
  <c r="F73" i="14"/>
  <c r="F79" i="14"/>
  <c r="F71" i="14"/>
  <c r="F72" i="14"/>
  <c r="F77" i="14"/>
  <c r="F80" i="14"/>
  <c r="F74" i="14"/>
  <c r="F85" i="14"/>
  <c r="F82" i="14"/>
  <c r="F75" i="14"/>
  <c r="F76" i="14"/>
  <c r="F83" i="14"/>
  <c r="F64" i="14"/>
  <c r="F68" i="14"/>
  <c r="F63" i="14"/>
  <c r="F65" i="14"/>
  <c r="F66" i="14"/>
  <c r="F69" i="14"/>
  <c r="F31" i="14"/>
  <c r="F67" i="14"/>
  <c r="F70" i="14"/>
  <c r="F16" i="14"/>
  <c r="C5" i="14"/>
  <c r="D61" i="14"/>
  <c r="D21" i="14"/>
  <c r="C39" i="14"/>
  <c r="C51" i="14"/>
  <c r="C45" i="14"/>
  <c r="C11" i="14"/>
  <c r="D34" i="14"/>
  <c r="C12" i="14"/>
  <c r="C55" i="14"/>
  <c r="C9" i="14"/>
  <c r="D24" i="14"/>
  <c r="D42" i="14"/>
  <c r="D59" i="14"/>
  <c r="C57" i="14"/>
  <c r="C20" i="14"/>
  <c r="D41" i="14"/>
  <c r="C7" i="14"/>
  <c r="C49" i="14"/>
  <c r="C41" i="14"/>
  <c r="C28" i="14"/>
  <c r="D46" i="14"/>
  <c r="D12" i="14"/>
  <c r="C54" i="14"/>
  <c r="C44" i="14"/>
  <c r="C19" i="14"/>
  <c r="C10" i="14"/>
  <c r="C56" i="14"/>
  <c r="C43" i="14"/>
  <c r="D18" i="14"/>
  <c r="C26" i="14"/>
  <c r="D29" i="14"/>
  <c r="C13" i="14"/>
  <c r="D4" i="14"/>
  <c r="C33" i="14"/>
  <c r="C32" i="14"/>
  <c r="D7" i="14"/>
  <c r="D20" i="14"/>
  <c r="D45" i="14"/>
  <c r="C40" i="14"/>
  <c r="C15" i="14"/>
  <c r="C52" i="14"/>
  <c r="C35" i="14"/>
  <c r="D62" i="14"/>
  <c r="D43" i="14"/>
  <c r="D22" i="14"/>
  <c r="C6" i="14"/>
  <c r="D35" i="14"/>
  <c r="C46" i="14"/>
  <c r="C53" i="14"/>
  <c r="C47" i="14"/>
  <c r="C29" i="14"/>
  <c r="D49" i="14"/>
  <c r="C36" i="14"/>
  <c r="C8" i="14"/>
  <c r="C34" i="14"/>
  <c r="D32" i="14"/>
  <c r="C18" i="14"/>
  <c r="C62" i="14"/>
  <c r="D54" i="14"/>
  <c r="C42" i="14"/>
  <c r="D60" i="14"/>
  <c r="D47" i="14"/>
  <c r="C50" i="14"/>
  <c r="C21" i="14"/>
  <c r="D56" i="14"/>
  <c r="C58" i="14"/>
  <c r="C27" i="14"/>
  <c r="D37" i="14"/>
  <c r="C48" i="14"/>
  <c r="C23" i="14"/>
  <c r="C30" i="14"/>
  <c r="C60" i="14"/>
  <c r="D33" i="14"/>
  <c r="D50" i="14"/>
  <c r="C4" i="14"/>
  <c r="D6" i="14"/>
  <c r="C17" i="14"/>
  <c r="D52" i="14"/>
  <c r="C38" i="14"/>
  <c r="D58" i="14"/>
  <c r="C25" i="14"/>
  <c r="D14" i="14"/>
  <c r="D39" i="14"/>
  <c r="D28" i="14"/>
  <c r="D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F21" i="14" a="1"/>
  <c r="F57" i="14" a="1"/>
  <c r="F12" i="14" a="1"/>
  <c r="F45" i="14" a="1"/>
  <c r="F8" i="14" a="1"/>
  <c r="F47" i="14" a="1"/>
  <c r="F23" i="14" a="1"/>
  <c r="F50" i="14" a="1"/>
  <c r="F52" i="14" a="1"/>
  <c r="F14" i="14" a="1"/>
  <c r="F34" i="14" a="1"/>
  <c r="F24" i="14" a="1"/>
  <c r="F29" i="14" a="1"/>
  <c r="F40" i="14" a="1"/>
  <c r="F62" i="14" a="1"/>
  <c r="F35" i="14" a="1"/>
  <c r="F54" i="14" a="1"/>
  <c r="F30" i="14" a="1"/>
  <c r="F38" i="14" a="1"/>
  <c r="F39" i="14" a="1"/>
  <c r="F5" i="14" a="1"/>
  <c r="F51" i="14" a="1"/>
  <c r="F42" i="14" a="1"/>
  <c r="F41" i="14" a="1"/>
  <c r="F44" i="14" a="1"/>
  <c r="F13" i="14" a="1"/>
  <c r="F7" i="14" a="1"/>
  <c r="F15" i="14" a="1"/>
  <c r="F43" i="14" a="1"/>
  <c r="F49" i="14" a="1"/>
  <c r="F32" i="14" a="1"/>
  <c r="F37" i="14" a="1"/>
  <c r="F6" i="14" a="1"/>
  <c r="F58" i="14" a="1"/>
  <c r="F28" i="14" a="1"/>
  <c r="F61" i="14" a="1"/>
  <c r="F55" i="14" a="1"/>
  <c r="F59" i="14" a="1"/>
  <c r="F46" i="14" a="1"/>
  <c r="F19" i="14" a="1"/>
  <c r="F18" i="14" a="1"/>
  <c r="F4" i="14" a="1"/>
  <c r="F20" i="14" a="1"/>
  <c r="F22" i="14" a="1"/>
  <c r="F53" i="14" a="1"/>
  <c r="F36" i="14" a="1"/>
  <c r="F60" i="14" a="1"/>
  <c r="F56" i="14" a="1"/>
  <c r="F48" i="14" a="1"/>
  <c r="F33" i="14" a="1"/>
  <c r="F17" i="14" a="1"/>
  <c r="F11" i="14" a="1"/>
  <c r="F11" i="14" l="1"/>
  <c r="F17" i="14"/>
  <c r="F33" i="14"/>
  <c r="F48" i="14"/>
  <c r="F56" i="14"/>
  <c r="F60" i="14"/>
  <c r="F36" i="14"/>
  <c r="F53" i="14"/>
  <c r="F22" i="14"/>
  <c r="F20" i="14"/>
  <c r="F4" i="14"/>
  <c r="F18" i="14"/>
  <c r="F19" i="14"/>
  <c r="F46" i="14"/>
  <c r="F59" i="14"/>
  <c r="F55" i="14"/>
  <c r="F61" i="14"/>
  <c r="F28" i="14"/>
  <c r="F58" i="14"/>
  <c r="F6" i="14"/>
  <c r="F37" i="14"/>
  <c r="F32" i="14"/>
  <c r="F49" i="14"/>
  <c r="F43" i="14"/>
  <c r="F15" i="14"/>
  <c r="F7" i="14"/>
  <c r="F13" i="14"/>
  <c r="F44" i="14"/>
  <c r="F41" i="14"/>
  <c r="F42" i="14"/>
  <c r="F51" i="14"/>
  <c r="F5" i="14"/>
  <c r="F39" i="14"/>
  <c r="F38" i="14"/>
  <c r="F30" i="14"/>
  <c r="F54" i="14"/>
  <c r="F35" i="14"/>
  <c r="F62" i="14"/>
  <c r="F40" i="14"/>
  <c r="F29" i="14"/>
  <c r="F24" i="14"/>
  <c r="F34" i="14"/>
  <c r="F14" i="14"/>
  <c r="F52" i="14"/>
  <c r="F50" i="14"/>
  <c r="F23" i="14"/>
  <c r="F47" i="14"/>
  <c r="F8" i="14"/>
  <c r="F45" i="14"/>
  <c r="F12" i="14"/>
  <c r="F57" i="14"/>
  <c r="F21" i="14"/>
  <c r="D26" i="14"/>
  <c r="D10" i="14"/>
  <c r="D27" i="14"/>
  <c r="D25" i="14"/>
  <c r="D9" i="14"/>
  <c r="D3" i="14"/>
  <c r="F26" i="14" a="1"/>
  <c r="F9" i="14" a="1"/>
  <c r="F3" i="14" a="1"/>
  <c r="F27" i="14" a="1"/>
  <c r="F10" i="14" a="1"/>
  <c r="F25" i="14" a="1"/>
  <c r="F25" i="14" l="1"/>
  <c r="F10" i="14"/>
  <c r="F27" i="14"/>
  <c r="F3" i="14"/>
  <c r="F9" i="14"/>
  <c r="F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<sst xmlns="http://schemas.openxmlformats.org/spreadsheetml/2006/main" count="2882" uniqueCount="2038">
  <si>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</si>
  <si>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</si>
  <si>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</si>
  <si>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</si>
  <si>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</si>
  <si>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</si>
  <si>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</si>
  <si>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</si>
  <si>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</si>
  <si>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</si>
  <si>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</si>
  <si>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</si>
  <si>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</si>
  <si>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</si>
  <si>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</si>
  <si>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</si>
  <si>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</si>
  <si>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</si>
  <si>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</si>
  <si>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</si>
  <si>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</si>
  <si>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</si>
  <si>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</si>
  <si>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</si>
  <si>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</si>
  <si>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</si>
  <si>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</si>
  <si>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</si>
  <si>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</si>
  <si>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</si>
  <si>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</si>
  <si>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</si>
  <si>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</si>
  <si>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</si>
  <si>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</si>
  <si>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</si>
  <si>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</si>
  <si>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</si>
  <si>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</si>
  <si>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</si>
  <si>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</si>
  <si>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</si>
  <si>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</si>
  <si>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</si>
  <si>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</si>
  <si>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</si>
  <si>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</si>
  <si>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</si>
  <si>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</si>
  <si>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</si>
  <si>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</si>
  <si>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</si>
  <si>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</si>
  <si>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</si>
  <si>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</si>
  <si>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</si>
  <si>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</si>
  <si>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</si>
  <si>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</si>
  <si>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</si>
  <si>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</si>
  <si>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</si>
  <si>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</si>
  <si>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</si>
  <si>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</si>
  <si>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</si>
  <si>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</si>
  <si>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</si>
  <si>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</si>
  <si>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</si>
  <si>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</si>
  <si>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</si>
  <si>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</si>
  <si>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</si>
  <si>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</si>
  <si>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</si>
  <si>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</si>
  <si>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</si>
  <si>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</si>
  <si>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</si>
  <si>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</si>
  <si>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</si>
  <si>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</si>
  <si>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</si>
  <si>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</si>
  <si>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</si>
  <si>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</si>
  <si>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</si>
  <si>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</si>
  <si>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</si>
  <si>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</si>
  <si>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</si>
  <si>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</si>
  <si>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</si>
  <si>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</si>
  <si>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</si>
  <si>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</si>
  <si>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</si>
  <si>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</si>
  <si>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</si>
  <si>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</si>
  <si>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</si>
  <si>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</si>
  <si>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</si>
  <si>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</si>
  <si>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</si>
  <si>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</si>
  <si>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</si>
  <si>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</si>
  <si>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</si>
  <si>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</si>
  <si>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</si>
  <si>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</si>
  <si>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</si>
  <si>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</si>
  <si>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</si>
  <si>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</si>
  <si>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</si>
  <si>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</si>
  <si>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</si>
  <si>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</si>
  <si>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</si>
  <si>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</si>
  <si>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</si>
  <si>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</si>
  <si>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</si>
  <si>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</si>
  <si>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</si>
  <si>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</si>
  <si>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</si>
  <si>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</si>
  <si>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</si>
  <si>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</si>
  <si>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</si>
  <si>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</si>
  <si>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</si>
  <si>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</si>
  <si>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</si>
  <si>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</si>
  <si>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</si>
  <si>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</si>
  <si>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</si>
  <si>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</si>
  <si>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</si>
  <si>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</si>
  <si>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</si>
  <si>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</si>
  <si>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</si>
  <si>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</si>
  <si>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</si>
  <si>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</si>
  <si>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</si>
  <si>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</si>
  <si>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</si>
  <si>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</si>
  <si>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</si>
  <si>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</si>
  <si>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</si>
  <si>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</si>
  <si>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</si>
  <si>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</si>
  <si>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</si>
  <si>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</si>
  <si>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</si>
  <si>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</si>
  <si>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</si>
  <si>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</si>
  <si>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</si>
  <si>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</si>
  <si>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</si>
  <si>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</si>
  <si>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</si>
  <si>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</si>
  <si>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</si>
  <si>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</si>
  <si>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</si>
  <si>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</si>
  <si>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</si>
  <si>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</si>
  <si>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</si>
  <si>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</si>
  <si>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</si>
  <si>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</si>
  <si>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</si>
  <si>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</si>
  <si>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</si>
  <si>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</si>
  <si>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</si>
  <si>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</si>
  <si>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</si>
  <si>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</si>
  <si>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</si>
  <si>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</si>
  <si>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</si>
  <si>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</si>
  <si>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</si>
  <si>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</si>
  <si>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</si>
  <si>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</si>
  <si>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</si>
  <si>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</si>
  <si>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</si>
  <si>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</si>
  <si>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</si>
  <si>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</si>
  <si>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</si>
  <si>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</si>
  <si>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</si>
  <si>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</si>
  <si>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</si>
  <si>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</si>
  <si>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</si>
  <si>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</si>
  <si>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</si>
  <si>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</si>
  <si>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</si>
  <si>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</si>
  <si>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</si>
  <si>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</si>
  <si>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</si>
  <si>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</si>
  <si>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</si>
  <si>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</si>
  <si>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</si>
  <si>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</si>
  <si>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</si>
  <si>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</si>
  <si>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</si>
  <si>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</si>
  <si>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</si>
  <si>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</si>
  <si>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</si>
  <si>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</si>
  <si>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</si>
  <si>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</si>
  <si>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</si>
  <si>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</si>
  <si>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</si>
  <si>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</si>
  <si>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</si>
  <si>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</si>
  <si>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</si>
  <si>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</si>
  <si>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</si>
  <si>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</si>
  <si>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</si>
  <si>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</si>
  <si>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</si>
  <si>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</si>
  <si>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</si>
  <si>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</si>
  <si>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</si>
  <si>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</si>
  <si>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</si>
  <si>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</si>
  <si>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</si>
  <si>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</si>
  <si>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</si>
  <si>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</si>
  <si>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</si>
  <si>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</si>
  <si>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</si>
  <si>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</si>
  <si>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</si>
  <si>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</si>
  <si>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</si>
  <si>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</si>
  <si>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</si>
  <si>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</si>
  <si>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</si>
  <si>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</si>
  <si>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</si>
  <si>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</si>
  <si>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</si>
  <si>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</si>
  <si>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</si>
  <si>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</si>
  <si>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</si>
  <si>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</si>
  <si>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</si>
  <si>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</si>
  <si>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</si>
  <si>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</si>
  <si>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</si>
  <si>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</si>
  <si>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</si>
  <si>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</si>
  <si>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</si>
  <si>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</si>
  <si>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</si>
  <si>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</si>
  <si>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</si>
  <si>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</si>
  <si>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</si>
  <si>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</si>
  <si>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</si>
  <si>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</si>
  <si>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</si>
  <si>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</si>
  <si>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</si>
  <si>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</si>
  <si>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</si>
  <si>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</si>
  <si>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</si>
  <si>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</si>
  <si>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</si>
  <si>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</si>
  <si>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</si>
  <si>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</si>
  <si>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</si>
  <si>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</si>
  <si>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</si>
  <si>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</si>
  <si>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</si>
  <si>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</si>
  <si>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</si>
  <si>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</si>
  <si>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</si>
  <si>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</si>
  <si>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</si>
  <si>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</si>
  <si>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</si>
  <si>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</si>
  <si>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</si>
  <si>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</si>
  <si>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</si>
  <si>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</si>
  <si>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</si>
  <si>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</si>
  <si>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</si>
  <si>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</si>
  <si>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</si>
  <si>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</si>
  <si>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</si>
  <si>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</si>
  <si>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</si>
  <si>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</si>
  <si>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</si>
  <si>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</si>
  <si>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</si>
  <si>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</si>
  <si>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</si>
  <si>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</si>
  <si>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</si>
  <si>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</si>
  <si>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</si>
  <si>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</si>
  <si>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</si>
  <si>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</si>
  <si>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</si>
  <si>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</si>
  <si>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</si>
  <si>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</si>
  <si>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</si>
  <si>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</si>
  <si>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</si>
  <si>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</si>
  <si>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</si>
  <si>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</si>
  <si>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</si>
  <si>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</si>
  <si>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</si>
  <si>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</si>
  <si>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</si>
  <si>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</si>
  <si>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</si>
  <si>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</si>
  <si>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</si>
  <si>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</si>
  <si>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</si>
  <si>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</si>
  <si>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</si>
  <si>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</si>
  <si>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</si>
  <si>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</si>
  <si>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</si>
  <si>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</si>
  <si>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</si>
  <si>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</si>
  <si>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</si>
  <si>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</si>
  <si>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</si>
  <si>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</si>
  <si>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</si>
  <si>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</si>
  <si>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</si>
  <si>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</si>
  <si>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</si>
  <si>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</si>
  <si>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</si>
  <si>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</si>
  <si>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</si>
  <si>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</si>
  <si>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</si>
  <si>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</si>
  <si>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</si>
  <si>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</si>
  <si>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</si>
  <si>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</si>
  <si>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</si>
  <si>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</si>
  <si>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</si>
  <si>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</si>
  <si>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</si>
  <si>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</si>
  <si>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</si>
  <si>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</si>
  <si>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</si>
  <si>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</si>
  <si>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</si>
  <si>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</si>
  <si>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</si>
  <si>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</si>
  <si>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</si>
  <si>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</si>
  <si>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</si>
  <si>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</si>
  <si>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</si>
  <si>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</si>
  <si>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</si>
  <si>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</si>
  <si>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</si>
  <si>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</si>
  <si>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</si>
  <si>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</si>
  <si>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</si>
  <si>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</si>
  <si>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</si>
  <si>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</si>
  <si>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</si>
  <si>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</si>
  <si>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</si>
  <si>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</si>
  <si>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</si>
  <si>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</si>
  <si>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</si>
  <si>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</si>
  <si>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</si>
  <si>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</si>
  <si>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</si>
  <si>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</si>
  <si>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</si>
  <si>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</si>
  <si>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</si>
  <si>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</si>
  <si>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</si>
  <si>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</si>
  <si>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</si>
  <si>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</si>
  <si>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</si>
  <si>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</si>
  <si>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</si>
  <si>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</si>
  <si>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</si>
  <si>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</si>
  <si>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</si>
  <si>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</si>
  <si>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</si>
  <si>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</si>
  <si>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</si>
  <si>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</si>
  <si>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</si>
  <si>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</si>
  <si>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</si>
  <si>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</si>
  <si>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</si>
  <si>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</si>
  <si>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</si>
  <si>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</si>
  <si>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</si>
  <si>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</si>
  <si>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</si>
  <si>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</si>
  <si>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</si>
  <si>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</si>
  <si>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</si>
  <si>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</si>
  <si>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</si>
  <si>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</si>
  <si>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</si>
  <si>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</si>
  <si>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</si>
  <si>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</si>
  <si>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</si>
  <si>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</si>
  <si>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</si>
  <si>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</si>
  <si>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</si>
  <si>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</si>
  <si>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</si>
  <si>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</si>
  <si>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</si>
  <si>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</si>
  <si>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</si>
  <si>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</si>
  <si>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</si>
  <si>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</si>
  <si>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</si>
  <si>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</si>
  <si>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</si>
  <si>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</si>
  <si>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</si>
  <si>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</si>
  <si>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</si>
  <si>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</si>
  <si>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</si>
  <si>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</si>
  <si>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</si>
  <si>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</si>
  <si>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</si>
  <si>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</si>
  <si>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</si>
  <si>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</si>
  <si>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</si>
  <si>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</si>
  <si>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</si>
  <si>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</si>
  <si>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</si>
  <si>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</si>
  <si>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</si>
  <si>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</si>
  <si>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</si>
  <si>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</si>
  <si>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</si>
  <si>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</si>
  <si>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</si>
  <si>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</si>
  <si>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</si>
  <si>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</si>
  <si>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</si>
  <si>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</si>
  <si>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</si>
  <si>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</si>
  <si>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</si>
  <si>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</si>
  <si>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</si>
  <si>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</si>
  <si>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</si>
  <si>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</si>
  <si>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</si>
  <si>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</si>
  <si>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</si>
  <si>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</si>
  <si>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</si>
  <si>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</si>
  <si>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</si>
  <si>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</si>
  <si>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</si>
  <si>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</si>
  <si>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</si>
  <si>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</si>
  <si>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</si>
  <si>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</si>
  <si>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</si>
  <si>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</si>
  <si>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</si>
  <si>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</si>
  <si>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</si>
  <si>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</si>
  <si>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</si>
  <si>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</si>
  <si>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</si>
  <si>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</si>
  <si>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</si>
  <si>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</si>
  <si>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</si>
  <si>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</si>
  <si>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</si>
  <si>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</si>
  <si>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</si>
  <si>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</si>
  <si>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</si>
  <si>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</si>
  <si>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</si>
  <si>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</si>
  <si>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</si>
  <si>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</si>
  <si>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</si>
  <si>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</si>
  <si>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</si>
  <si>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</si>
  <si>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</si>
  <si>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</si>
  <si>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</si>
  <si>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</si>
  <si>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</si>
  <si>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</si>
  <si>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</si>
  <si>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</si>
  <si>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</si>
  <si>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</si>
  <si>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</si>
  <si>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</si>
  <si>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</si>
  <si>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</si>
  <si>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</si>
  <si>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</si>
  <si>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</si>
  <si>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</si>
  <si>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</si>
  <si>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</si>
  <si>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</si>
  <si>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</si>
  <si>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</si>
  <si>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</si>
  <si>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</si>
  <si>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</si>
  <si>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</si>
  <si>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</si>
  <si>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</si>
  <si>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</si>
  <si>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</si>
  <si>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</si>
  <si>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</si>
  <si>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</si>
  <si>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</si>
  <si>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</si>
  <si>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</si>
  <si>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</si>
  <si>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</si>
  <si>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</si>
  <si>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</si>
  <si>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</si>
  <si>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</si>
  <si>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</si>
  <si>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</si>
  <si>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</si>
  <si>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</si>
  <si>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</si>
  <si>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</si>
  <si>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</si>
  <si>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</si>
  <si>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</si>
  <si>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</si>
  <si>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</si>
  <si>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</si>
  <si>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</si>
  <si>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</si>
  <si>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</si>
  <si>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</si>
  <si>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</si>
  <si>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</si>
  <si>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</si>
  <si>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</si>
  <si>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</si>
  <si>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</si>
  <si>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</si>
  <si>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</si>
  <si>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</si>
  <si>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</si>
  <si>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</si>
  <si>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</si>
  <si>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</si>
  <si>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</si>
  <si>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</si>
  <si>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</si>
  <si>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</si>
  <si>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</si>
  <si>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</si>
  <si>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</si>
  <si>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</si>
  <si>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</si>
  <si>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</si>
  <si>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</si>
  <si>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</si>
  <si>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</si>
  <si>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</si>
  <si>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</si>
  <si>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</si>
  <si>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</si>
  <si>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</si>
  <si>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</si>
  <si>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</si>
  <si>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</si>
  <si>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</si>
  <si>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</si>
  <si>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</si>
  <si>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</si>
  <si>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</si>
  <si>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</si>
  <si>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</si>
  <si>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</si>
  <si>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</si>
  <si>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</si>
  <si>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</si>
  <si>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</si>
  <si>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</si>
  <si>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</si>
  <si>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</si>
  <si>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</si>
  <si>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</si>
  <si>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</si>
  <si>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</si>
  <si>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</si>
  <si>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</si>
  <si>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</si>
  <si>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</si>
  <si>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</si>
  <si>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</si>
  <si>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</si>
  <si>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</si>
  <si>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</si>
  <si>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</si>
  <si>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</si>
  <si>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</si>
  <si>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</si>
  <si>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</si>
  <si>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</si>
  <si>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</si>
  <si>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</si>
  <si>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</si>
  <si>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</si>
  <si>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</si>
  <si>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</si>
  <si>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</si>
  <si>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</si>
  <si>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</si>
  <si>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</si>
  <si>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</si>
  <si>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</si>
  <si>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</si>
  <si>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</si>
  <si>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</si>
  <si>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</si>
  <si>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</si>
  <si>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</si>
  <si>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</si>
  <si>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</si>
  <si>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</si>
  <si>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</si>
  <si>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</si>
  <si>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</si>
  <si>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</si>
  <si>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</si>
  <si>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</si>
  <si>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</si>
  <si>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</si>
  <si>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</si>
  <si>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</si>
  <si>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</si>
  <si>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</si>
  <si>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</si>
  <si>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</si>
  <si>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</si>
  <si>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</si>
  <si>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</si>
  <si>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</si>
  <si>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</si>
  <si>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</si>
  <si>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</si>
  <si>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</si>
  <si>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</si>
  <si>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</si>
  <si>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</si>
  <si>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</si>
  <si>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</si>
  <si>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</si>
  <si>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</si>
  <si>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</si>
  <si>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</si>
  <si>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</si>
  <si>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</si>
  <si>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</si>
  <si>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</si>
  <si>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</si>
  <si>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</si>
  <si>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</si>
  <si>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</si>
  <si>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</si>
  <si>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</si>
  <si>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</si>
  <si>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</si>
  <si>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</si>
  <si>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</si>
  <si>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</si>
  <si>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</si>
  <si>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</si>
  <si>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</si>
  <si>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</si>
  <si>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</si>
  <si>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</si>
  <si>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</si>
  <si>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</si>
  <si>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</si>
  <si>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</si>
  <si>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</si>
  <si>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</si>
  <si>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</si>
  <si>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</si>
  <si>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</si>
  <si>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</si>
  <si>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</si>
  <si>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</si>
  <si>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</si>
  <si>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</si>
  <si>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</si>
  <si>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</si>
  <si>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</si>
  <si>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</si>
  <si>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</si>
  <si>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</si>
  <si>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</si>
  <si>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</si>
  <si>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</si>
  <si>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</si>
  <si>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</si>
  <si>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</si>
  <si>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</si>
  <si>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</si>
  <si>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</si>
  <si>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</si>
  <si>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</si>
  <si>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</si>
  <si>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</si>
  <si>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</si>
  <si>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</si>
  <si>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</si>
  <si>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</si>
  <si>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</si>
  <si>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</si>
  <si>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</si>
  <si>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</si>
  <si>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</si>
  <si>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</si>
  <si>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</si>
  <si>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</si>
  <si>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</si>
  <si>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</si>
  <si>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</si>
  <si>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</si>
  <si>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</si>
  <si>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</si>
  <si>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</si>
  <si>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</si>
  <si>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</si>
  <si>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</si>
  <si>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</si>
  <si>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</si>
  <si>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</si>
  <si>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</si>
  <si>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</si>
  <si>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</si>
  <si>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</si>
  <si>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</si>
  <si>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</si>
  <si>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</si>
  <si>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</si>
  <si>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</si>
  <si>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</si>
  <si>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</si>
  <si>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</si>
  <si>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</si>
  <si>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</si>
  <si>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</si>
  <si>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</si>
  <si>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</si>
  <si>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</si>
  <si>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</si>
  <si>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</si>
  <si>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</si>
  <si>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</si>
  <si>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</si>
  <si>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</si>
  <si>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</si>
  <si>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</si>
  <si>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</si>
  <si>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</si>
  <si>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</si>
  <si>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</si>
  <si>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</si>
  <si>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</si>
  <si>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</si>
  <si>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</si>
  <si>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</si>
  <si>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</si>
  <si>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</si>
  <si>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</si>
  <si>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</si>
  <si>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</si>
  <si>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</si>
  <si>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</si>
  <si>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</si>
  <si>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</si>
  <si>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</si>
  <si>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</si>
  <si>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</si>
  <si>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</si>
  <si>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</si>
  <si>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</si>
  <si>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</si>
  <si>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</si>
  <si>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</si>
  <si>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</si>
  <si>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</si>
  <si>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</si>
  <si>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</si>
  <si>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</si>
  <si>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</si>
  <si>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</si>
  <si>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</si>
  <si>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</si>
  <si>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</si>
  <si>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</si>
  <si>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</si>
  <si>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</si>
  <si>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</si>
  <si>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</si>
  <si>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</si>
  <si>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</si>
  <si>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</si>
  <si>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</si>
  <si>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</si>
  <si>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</si>
  <si>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</si>
  <si>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</si>
  <si>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</si>
  <si>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</si>
  <si>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</si>
  <si>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</si>
  <si>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</si>
  <si>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</si>
  <si>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</si>
  <si>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</si>
  <si>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</si>
  <si>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</si>
  <si>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</si>
  <si>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</si>
  <si>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</si>
  <si>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</si>
  <si>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</si>
  <si>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</si>
  <si>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</si>
  <si>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</si>
  <si>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</si>
  <si>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</si>
  <si>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</si>
  <si>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</si>
  <si>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</si>
  <si>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</si>
  <si>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</si>
  <si>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</si>
  <si>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</si>
  <si>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</si>
  <si>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</si>
  <si>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</si>
  <si>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</si>
  <si>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</si>
  <si>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</si>
  <si>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</si>
  <si>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</si>
  <si>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</si>
  <si>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</si>
  <si>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</si>
  <si>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</si>
  <si>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</si>
  <si>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</si>
  <si>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</si>
  <si>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</si>
  <si>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</si>
  <si>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</si>
  <si>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</si>
  <si>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</si>
  <si>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</si>
  <si>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</si>
  <si>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</si>
  <si>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</si>
  <si>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</si>
  <si>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</si>
  <si>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</si>
  <si>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</si>
  <si>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</si>
  <si>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</si>
  <si>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</si>
  <si>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</si>
  <si>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</si>
  <si>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</si>
  <si>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</si>
  <si>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</si>
  <si>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</si>
  <si>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</si>
  <si>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</si>
  <si>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</si>
  <si>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</si>
  <si>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</si>
  <si>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</si>
  <si>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</si>
  <si>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</si>
  <si>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</si>
  <si>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</si>
  <si>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</si>
  <si>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</si>
  <si>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</si>
  <si>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</si>
  <si>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</si>
  <si>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</si>
  <si>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</si>
  <si>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</si>
  <si>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</si>
  <si>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</si>
  <si>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</si>
  <si>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</si>
  <si>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</si>
  <si>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</si>
  <si>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</si>
  <si>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</si>
  <si>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</si>
  <si>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</si>
  <si>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</si>
  <si>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</si>
  <si>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</si>
  <si>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</si>
  <si>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</si>
  <si>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</si>
  <si>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</si>
  <si>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</si>
  <si>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</si>
  <si>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</si>
  <si>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</si>
  <si>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</si>
  <si>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</si>
  <si>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</si>
  <si>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</si>
  <si>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</si>
  <si>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</si>
  <si>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</si>
  <si>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</si>
  <si>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</si>
  <si>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</si>
  <si>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</si>
  <si>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</si>
  <si>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</si>
  <si>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</si>
  <si>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</si>
  <si>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</si>
  <si>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</si>
  <si>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</si>
  <si>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</si>
  <si>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</si>
  <si>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</si>
  <si>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</si>
  <si>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</si>
  <si>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</si>
  <si>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</si>
  <si>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</si>
  <si>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</si>
  <si>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</si>
  <si>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</si>
  <si>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</si>
  <si>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</si>
  <si>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</si>
  <si>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</si>
  <si>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</si>
  <si>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</si>
  <si>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</si>
  <si>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</si>
  <si>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</si>
  <si>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</si>
  <si>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</si>
  <si>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</si>
  <si>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</si>
  <si>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</si>
  <si>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</si>
  <si>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</si>
  <si>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</si>
  <si>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</si>
  <si>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</si>
  <si>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</si>
  <si>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</si>
  <si>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</si>
  <si>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</si>
  <si>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</si>
  <si>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</si>
  <si>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</si>
  <si>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</si>
  <si>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</si>
  <si>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</si>
  <si>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</si>
  <si>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</si>
  <si>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</si>
  <si>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</si>
  <si>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</si>
  <si>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</si>
  <si>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</si>
  <si>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</si>
  <si>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</si>
  <si>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</si>
  <si>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</si>
  <si>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</si>
  <si>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</si>
  <si>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</si>
  <si>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</si>
  <si>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</si>
  <si>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</si>
  <si>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</si>
  <si>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</si>
  <si>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</si>
  <si>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</si>
  <si>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</si>
  <si>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</si>
  <si>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</si>
  <si>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</si>
  <si>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</si>
  <si>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</si>
  <si>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</si>
  <si>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</si>
  <si>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</si>
  <si>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</si>
  <si>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</si>
  <si>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</si>
  <si>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</si>
  <si>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</si>
  <si>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</si>
  <si>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</si>
  <si>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</si>
  <si>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</si>
  <si>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</si>
  <si>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</si>
  <si>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</si>
  <si>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</si>
  <si>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</si>
  <si>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</si>
  <si>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</si>
  <si>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</si>
  <si>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</si>
  <si>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</si>
  <si>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</si>
  <si>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</si>
  <si>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</si>
  <si>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</si>
  <si>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</si>
  <si>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</si>
  <si>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</si>
  <si>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</si>
  <si>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</si>
  <si>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</si>
  <si>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</si>
  <si>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</si>
  <si>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</si>
  <si>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</si>
  <si>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</si>
  <si>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</si>
  <si>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</si>
  <si>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</si>
  <si>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</si>
  <si>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</si>
  <si>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</si>
  <si>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</si>
  <si>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</si>
  <si>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</si>
  <si>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</si>
  <si>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</si>
  <si>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</si>
  <si>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</si>
  <si>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</si>
  <si>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</si>
  <si>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</si>
  <si>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</si>
  <si>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</si>
  <si>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</si>
  <si>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</si>
  <si>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</si>
  <si>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</si>
  <si>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</si>
  <si>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</si>
  <si>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</si>
  <si>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</si>
  <si>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</si>
  <si>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</si>
  <si>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</si>
  <si>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</si>
  <si>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</si>
  <si>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</si>
  <si>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</si>
  <si>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</si>
  <si>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</si>
  <si>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</si>
  <si>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</si>
  <si>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</si>
  <si>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</si>
  <si>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</si>
  <si>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</si>
  <si>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</si>
  <si>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</si>
  <si>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</si>
  <si>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</si>
  <si>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</si>
  <si>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</si>
  <si>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</si>
  <si>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</si>
  <si>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</si>
  <si>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</si>
  <si>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</si>
  <si>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</si>
  <si>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</si>
  <si>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</si>
  <si>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</si>
  <si>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</si>
  <si>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</si>
  <si>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</si>
  <si>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</si>
  <si>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</si>
  <si>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</si>
  <si>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</si>
  <si>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</si>
  <si>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</si>
  <si>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</si>
  <si>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</si>
  <si>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</si>
  <si>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</si>
  <si>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</si>
  <si>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</si>
  <si>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</si>
  <si>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</si>
  <si>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</si>
  <si>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</si>
  <si>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</si>
  <si>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</si>
  <si>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</si>
  <si>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</si>
  <si>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</si>
  <si>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</si>
  <si>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</si>
  <si>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</si>
  <si>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</si>
  <si>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</si>
  <si>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</si>
  <si>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</si>
  <si>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</si>
  <si>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</si>
  <si>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</si>
  <si>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</si>
  <si>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</si>
  <si>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</si>
  <si>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</si>
  <si>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</si>
  <si>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</si>
  <si>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</si>
  <si>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</si>
  <si>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</si>
  <si>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</si>
  <si>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</si>
  <si>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</si>
  <si>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</si>
  <si>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</si>
  <si>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</si>
  <si>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</si>
  <si>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</si>
  <si>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</si>
  <si>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</si>
  <si>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</si>
  <si>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</si>
  <si>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</si>
  <si>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</si>
  <si>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</si>
  <si>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</si>
  <si>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</si>
  <si>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</si>
  <si>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</si>
  <si>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</si>
  <si>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</si>
  <si>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</si>
  <si>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</si>
  <si>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</si>
  <si>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</si>
  <si>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</si>
  <si>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</si>
  <si>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</si>
  <si>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</si>
  <si>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</si>
  <si>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</si>
  <si>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</si>
  <si>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</si>
  <si>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</si>
  <si>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</si>
  <si>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</si>
  <si>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</si>
  <si>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</si>
  <si>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</si>
  <si>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</si>
  <si>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</si>
  <si>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</si>
  <si>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</si>
  <si>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</si>
  <si>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</si>
  <si>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</si>
  <si>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</si>
  <si>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</si>
  <si>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</si>
  <si>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</si>
  <si>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</si>
  <si>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</si>
  <si>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</si>
  <si>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</si>
  <si>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</si>
  <si>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</si>
  <si>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</si>
  <si>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</si>
  <si>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</si>
  <si>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</si>
  <si>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</si>
  <si>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</si>
  <si>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</si>
  <si>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</si>
  <si>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</si>
  <si>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</si>
  <si>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</si>
  <si>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</si>
  <si>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</si>
  <si>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</si>
  <si>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</si>
  <si>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</si>
  <si>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</si>
  <si>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</si>
  <si>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</si>
  <si>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</si>
  <si>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</si>
  <si>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</si>
  <si>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</si>
  <si>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</si>
  <si>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</si>
  <si>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</si>
  <si>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</si>
  <si>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</si>
  <si>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</si>
  <si>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</si>
  <si>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</si>
  <si>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</si>
  <si>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</si>
  <si>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</si>
  <si>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</si>
  <si>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</si>
  <si>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</si>
  <si>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</si>
  <si>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</si>
  <si>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</si>
  <si>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</si>
  <si>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</si>
  <si>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</si>
  <si>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</si>
  <si>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</si>
  <si>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</si>
  <si>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</si>
  <si>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</si>
  <si>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</si>
  <si>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</si>
  <si>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</si>
  <si>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</si>
  <si>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</si>
  <si>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</si>
  <si>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</si>
  <si>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</si>
  <si>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</si>
  <si>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</si>
  <si>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</si>
  <si>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</si>
  <si>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</si>
  <si>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</si>
  <si>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</si>
  <si>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</si>
  <si>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</si>
  <si>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</si>
  <si>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</si>
  <si>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</si>
  <si>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</si>
  <si>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</si>
  <si>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</si>
  <si>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External Threat Agent</t>
  </si>
  <si>
    <t>Node A ID</t>
  </si>
  <si>
    <t>Edge ID</t>
  </si>
  <si>
    <t>Node A</t>
  </si>
  <si>
    <t>Rel</t>
  </si>
  <si>
    <t>Dir</t>
  </si>
  <si>
    <t>Node B</t>
  </si>
  <si>
    <t>Node B ID</t>
  </si>
  <si>
    <t>Common Name</t>
  </si>
  <si>
    <t>Node ID</t>
  </si>
  <si>
    <t>Class Disambiguation</t>
  </si>
  <si>
    <t>Unambiguous Name</t>
  </si>
  <si>
    <t>GUID Generator</t>
  </si>
  <si>
    <t>Edges JSON</t>
  </si>
  <si>
    <t>Identity Theft</t>
  </si>
  <si>
    <t>Attack Class</t>
  </si>
  <si>
    <t>committed by</t>
  </si>
  <si>
    <t>victimize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</si>
  <si>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</si>
  <si>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</si>
  <si>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</si>
  <si>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</si>
  <si>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</si>
  <si>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</si>
  <si>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</si>
  <si>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Victim</t>
  </si>
  <si>
    <t>Perpetrator</t>
  </si>
  <si>
    <t>group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</si>
  <si>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</si>
  <si>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</si>
  <si>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</si>
  <si>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</si>
  <si>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</si>
  <si>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</si>
  <si>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</si>
  <si>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</si>
  <si>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Account Takeover: Motivation</t>
  </si>
  <si>
    <t>may be</t>
  </si>
  <si>
    <t>Motivation</t>
  </si>
  <si>
    <t>ARM (Acronym)</t>
  </si>
  <si>
    <t>target</t>
  </si>
  <si>
    <t>take control of</t>
  </si>
  <si>
    <t>lose control of</t>
  </si>
  <si>
    <t>Make MFA Mandatory</t>
  </si>
  <si>
    <t>Risk</t>
  </si>
  <si>
    <t>Mitigation</t>
  </si>
  <si>
    <t>https://open-measure.atlassian.net/wiki/spaces/BP/pages/653525030/OM-BP-0004+Make+MFA+Mandatory+Best+Practice</t>
  </si>
  <si>
    <t>constitute a</t>
  </si>
  <si>
    <t>Account Takeover: Risk</t>
  </si>
  <si>
    <t>Account Takeover: Mitigation</t>
  </si>
  <si>
    <t>Make MFA Mandatory (Best Practice)</t>
  </si>
  <si>
    <t>Unicirty</t>
  </si>
  <si>
    <t>Export?</t>
  </si>
  <si>
    <t>EF3AF817-BA84-47CF-AE65-2E47578D7EFE</t>
  </si>
  <si>
    <t>DE5E95BA-1587-412E-A276-E34663BF4FFD</t>
  </si>
  <si>
    <t>CA1EA624-5E56-4BE1-B607-12E9CFEB0B98</t>
  </si>
  <si>
    <t>6C9E18A9-1C42-41AA-8AB3-4ABBAC053B7C</t>
  </si>
  <si>
    <t>9A5EC26A-0E5F-4F13-8ECE-970F73F9DFC5</t>
  </si>
  <si>
    <t>C6B1DEE7-AC34-406A-81B6-73C469FFFEBA</t>
  </si>
  <si>
    <t>52A33AA3-B245-4A1A-80E3-D2325B649AD1</t>
  </si>
  <si>
    <t>A5BF9E4A-B1F5-4483-8491-1CF17B076816</t>
  </si>
  <si>
    <t>ADF08795-EF9D-40CC-84C7-CF8858D77C3B</t>
  </si>
  <si>
    <t>BA2815C6-9016-47D5-81B0-640EF4494D76</t>
  </si>
  <si>
    <t>1766D719-D68F-467A-9991-4E72DD710D50</t>
  </si>
  <si>
    <t>6E925565-007A-4536-A65D-F894A31E5A77</t>
  </si>
  <si>
    <t>DF71DC82-5B06-4703-B5DD-3A78DB22E10D</t>
  </si>
  <si>
    <t>9501EBB2-B301-4820-B446-2CB0E2724926</t>
  </si>
  <si>
    <t>44E8EA0A-D8E5-4567-A78E-4B8D6F325D8C</t>
  </si>
  <si>
    <t>F83938BD-3842-448E-8398-B880417DDCD1</t>
  </si>
  <si>
    <t>75809B3D-4AFA-478D-B776-071487E4ACA6</t>
  </si>
  <si>
    <t>6F91E244-CF4B-4C2A-9D23-0EA4F55DCF3F</t>
  </si>
  <si>
    <t>3707A70E-88B7-4B6D-A934-0BC5EE398FF6</t>
  </si>
  <si>
    <t>5F148AC3-F899-4AC2-AEB2-C6CA6005999B</t>
  </si>
  <si>
    <t>2BE2F561-5FF3-4301-82B7-39FF29CD650A</t>
  </si>
  <si>
    <t>515EECD7-8927-46CD-B811-39535FB71778</t>
  </si>
  <si>
    <t>DB35E690-DA61-4DD6-8BFE-3D6A2BCFD097</t>
  </si>
  <si>
    <t>5405E693-EB16-42E8-98EA-4E4BF4569BD9</t>
  </si>
  <si>
    <t>3F14E556-DBD3-4DBF-AC75-33A3EE0A9EE2</t>
  </si>
  <si>
    <t>0356B816-5188-4965-B4D7-28144AB3745F</t>
  </si>
  <si>
    <t>1E6B6BDD-5D3C-4D14-873F-3018C1627B69</t>
  </si>
  <si>
    <t>496EA7AA-3A24-4B06-96FF-26EB9E368ECD</t>
  </si>
  <si>
    <t>4546EECC-4DB1-4E7D-B250-7C4FA9CBFD76</t>
  </si>
  <si>
    <t>23ECD50A-6EF0-45EB-80EE-FE8690C3B930</t>
  </si>
  <si>
    <t>C5E6BCD4-7E45-4F9C-82F2-0DB57EB14EEE</t>
  </si>
  <si>
    <t>3CBF7393-334C-4B5E-9319-9B289635563A</t>
  </si>
  <si>
    <t>FBC09AB6-9BA6-42D4-985B-347BCF552947</t>
  </si>
  <si>
    <t>8387CEDB-388E-4D9B-8EF5-4C0296067EFD</t>
  </si>
  <si>
    <t>3385B652-58CB-46D7-8D4B-04F594802921</t>
  </si>
  <si>
    <t>0E0EF207-A74F-41C7-8C6C-FEFABBC8533E</t>
  </si>
  <si>
    <t>189B785C-38F7-48DF-8611-D21A00C71F6A</t>
  </si>
  <si>
    <t>021F487D-5E5C-434B-B771-893DB72C04E0</t>
  </si>
  <si>
    <t>CDB3F96B-4E2C-4F45-A2C3-EEE0171479BB</t>
  </si>
  <si>
    <t>30D21895-D4A5-4F2A-A2B4-76E8AD149662</t>
  </si>
  <si>
    <t>2090D58D-5C7A-44E1-B0DD-B4C12F0CBF2B</t>
  </si>
  <si>
    <t>F6D05109-A8EB-4630-8070-A3DC00484ED2</t>
  </si>
  <si>
    <t>C667981B-B081-4789-9993-2BC97D95D5F6</t>
  </si>
  <si>
    <t>AEFD6523-59E0-47E0-921F-B5A26C6FC118</t>
  </si>
  <si>
    <t>5FDF9F3F-FD1C-4DD0-A1D2-D943DB3091B5</t>
  </si>
  <si>
    <t>F58510E3-3CCC-4A1E-9BEF-76DE48432FE1</t>
  </si>
  <si>
    <t>38617C53-5441-41E7-9C6D-C693D9A050AE</t>
  </si>
  <si>
    <t>A42E7343-FA4C-490A-A0A3-7F65FB188771</t>
  </si>
  <si>
    <t>4C6DA97E-8091-41CA-B99C-4250D2678005</t>
  </si>
  <si>
    <t>EDEC0D80-0928-4226-B6D0-E8C67746479D</t>
  </si>
  <si>
    <t>795BF7BB-BED4-45ED-A0FB-5CAE400F9B36</t>
  </si>
  <si>
    <t>4CCAC3A5-F0D1-4BDF-8B19-D0D38CCBDE4B</t>
  </si>
  <si>
    <t>3F93E417-521F-4E37-9FEB-2580B5B04AA6</t>
  </si>
  <si>
    <t>405A68C8-B875-4F50-9E41-6D62C952D939</t>
  </si>
  <si>
    <t>F6EB1544-9C33-48D4-AF92-B45BB09FED03</t>
  </si>
  <si>
    <t>C62C1C42-39F4-4AA1-9B87-83E2BEE4B626</t>
  </si>
  <si>
    <t>E61AF7B2-B5C6-449C-B896-7F48FC11826B</t>
  </si>
  <si>
    <t>8497A2DF-286C-438A-8FCC-A436A1AC5C23</t>
  </si>
  <si>
    <t>3451032E-0047-4623-A0EF-A9EE08C2868A</t>
  </si>
  <si>
    <t>E78EE0FA-A3E6-4C7E-A1FA-5D32463B089A</t>
  </si>
  <si>
    <t>201C69AD-FFEB-4BB5-9C8F-8A8A013D0F1C</t>
  </si>
  <si>
    <t>FD548709-6B42-4503-8C15-643DF8C8EA67</t>
  </si>
  <si>
    <t>8CFCEA6A-7EB1-4D9F-B537-1678723F481F</t>
  </si>
  <si>
    <t>21A4D9DF-238C-4BA7-8825-24EF16F72425</t>
  </si>
  <si>
    <t>BCDD30C8-A3BF-4F54-AD8E-3430A62E3017</t>
  </si>
  <si>
    <t>2141A15F-A0C4-4D3E-91D1-644A5680A521</t>
  </si>
  <si>
    <t>C5D41CF2-6C5F-4065-8F8F-4D6BEF8D734B</t>
  </si>
  <si>
    <t>447FA52C-F0D2-449B-9CB8-8F0DCC4160EF</t>
  </si>
  <si>
    <t>F8CB91F8-4AE7-48BD-A9ED-93259ECE5511</t>
  </si>
  <si>
    <t>772179F1-5C79-4F83-BBC9-B0D9B62A2C38</t>
  </si>
  <si>
    <t>A2967417-72BE-4537-BE1E-39E6298F5851</t>
  </si>
  <si>
    <t>1708714B-D591-4C49-BC64-A40E2EC56A62</t>
  </si>
  <si>
    <t>5C136530-C216-448D-BD43-D3CDEE503802</t>
  </si>
  <si>
    <t>13D6FA84-5FE3-442D-B9DF-224BD3E365DA</t>
  </si>
  <si>
    <t>47316C02-A4EB-4832-B925-1D094DE618CA</t>
  </si>
  <si>
    <t>566E708D-FD51-436E-9E4D-051F1F485979</t>
  </si>
  <si>
    <t>01D4A4E5-1A5A-44FF-932C-3A234AD19355</t>
  </si>
  <si>
    <t>6408D202-5D49-43C4-8791-73A68286CDC9</t>
  </si>
  <si>
    <t>12F7D586-DF55-411A-A2D1-3FF419D7892E</t>
  </si>
  <si>
    <t>2E29B474-6EA5-4C50-B128-59B4A0262EA2</t>
  </si>
  <si>
    <t>74413B1E-5653-42E3-8B45-6C7C60323C71</t>
  </si>
  <si>
    <t>F6A0BA1D-4EAD-44AE-BB90-AAFC98899178</t>
  </si>
  <si>
    <t>AFFF4DF7-5DE7-4EC2-B059-59963A26A6BD</t>
  </si>
  <si>
    <t>4414B2C4-B1F0-4BE8-A1D2-264AE3500755</t>
  </si>
  <si>
    <t>CBC6B9A3-AA38-40D4-865C-53E8DB7037F3</t>
  </si>
  <si>
    <t>972F900D-A7B8-411F-BF29-19B9F2169285</t>
  </si>
  <si>
    <t>60D564E5-DB50-4AE3-8752-13879D65CBF3</t>
  </si>
  <si>
    <t>F516AA46-E0EB-45B4-A104-A3976665B25E</t>
  </si>
  <si>
    <t>3B65B580-6075-433D-8561-B387A409BD56</t>
  </si>
  <si>
    <t>CE9CD80B-6E8D-43D3-A3D3-95067D578415</t>
  </si>
  <si>
    <t>5CBC2CC4-509C-48D2-B770-68230D252ACC</t>
  </si>
  <si>
    <t>19FCF28F-8FBB-4982-B245-3560F769CB31</t>
  </si>
  <si>
    <t>80DE07EC-7DCC-43D9-BCCD-B4EDBC295A74</t>
  </si>
  <si>
    <t>AC35FF28-B8CA-48F9-9504-5FC6F3FE32BF</t>
  </si>
  <si>
    <t>BDAFF511-D4B1-45B0-8ADC-25E77A34A642</t>
  </si>
  <si>
    <t>3F1E1BBA-CDE0-4D62-AF71-532300B38F13</t>
  </si>
  <si>
    <t>3C64CE03-CDC0-4385-9B0D-43B480F4FF2B</t>
  </si>
  <si>
    <t>6D6F4591-F482-4404-8ABF-A00BF28FA1F4</t>
  </si>
  <si>
    <t>01CEAE9D-600C-4A4D-B0EE-E301530C8C55</t>
  </si>
  <si>
    <t>70AE9E57-05FE-4B1C-8D03-E1194F9EEA8C</t>
  </si>
  <si>
    <t>F2DD1D05-0F5E-43BF-A828-718DA9EEB690</t>
  </si>
  <si>
    <t>8A66FDF6-25FA-4400-8F76-04907B9F7088</t>
  </si>
  <si>
    <t>6CD30943-D4D3-438F-9C01-C248A91BDE9C</t>
  </si>
  <si>
    <t>D89DE997-64BE-4F19-B014-7995AF4D2FDF</t>
  </si>
  <si>
    <t>AA62C302-F15B-4768-8C56-E59E07C97B03</t>
  </si>
  <si>
    <t>E8038D29-14AE-41B6-AC04-25F2B42A97CD</t>
  </si>
  <si>
    <t>5CB6C907-0D88-4068-B90F-90D2B4E5C9CF</t>
  </si>
  <si>
    <t>99F7B2C7-39DB-4A58-9132-0E2236C5812C</t>
  </si>
  <si>
    <t>9F814534-7123-4E77-8D90-93B56FA09724</t>
  </si>
  <si>
    <t>B5610ED8-EE1E-4F18-9D6C-BFF3E8CFFA86</t>
  </si>
  <si>
    <t>E7398742-2D81-43A1-9286-43105111058A</t>
  </si>
  <si>
    <t>E9E2053A-B9CA-466E-9D58-C408FC470495</t>
  </si>
  <si>
    <t>EED3245C-33E6-4527-BF19-4ED36B78325E</t>
  </si>
  <si>
    <t>80E78BDF-4943-440D-90B8-2D317C69DE7A</t>
  </si>
  <si>
    <t>ECCF1EB1-F977-411B-A39A-11DDDD6C555A</t>
  </si>
  <si>
    <t>744BFD3E-5211-4AC9-B18A-1ABC862485A0</t>
  </si>
  <si>
    <t>1C19CD0D-B98F-4548-BE0E-7301626285E6</t>
  </si>
  <si>
    <t>B7CD7B1D-8440-4BFC-80CC-94B662E0B3E6</t>
  </si>
  <si>
    <t>DD17059A-FF58-425E-AD7B-173E4AD31ED5</t>
  </si>
  <si>
    <t>9EB6B213-B16A-4255-B33F-8F129B358217</t>
  </si>
  <si>
    <t>3B8B4A9C-B755-417B-AB49-014BC1B23ABE</t>
  </si>
  <si>
    <t>7EFBF862-540D-41C7-89ED-6E714AD96CF3</t>
  </si>
  <si>
    <t>D72C1520-ABB1-40BF-B431-862B2B2025A4</t>
  </si>
  <si>
    <t>03A534B5-791B-444F-8E13-0428ABCAD180</t>
  </si>
  <si>
    <t>5B448AD7-2794-4051-AF23-EA23A4382F91</t>
  </si>
  <si>
    <t>7EE8572E-06B5-4649-9806-824BE1B5D604</t>
  </si>
  <si>
    <t>BC9316FB-BCA1-4D66-9CD7-3112BEF13D86</t>
  </si>
  <si>
    <t>848B10A2-B83E-4B4E-A37E-6B40F0BADB6A</t>
  </si>
  <si>
    <t>79C77EFB-D2E1-4437-AAC5-FE3ACD4613D0</t>
  </si>
  <si>
    <t>10537240-044E-49DF-984C-67CB23D33A0D</t>
  </si>
  <si>
    <t>90DF205E-DE37-4519-9847-FF954082EEBB</t>
  </si>
  <si>
    <t>E1132C17-7D2B-4F86-A9F2-BAAA52027A5B</t>
  </si>
  <si>
    <t>9B83B78F-F3DF-4D5A-BCA8-2329A9A280F2</t>
  </si>
  <si>
    <t>4B3210C8-39F7-4985-AC37-C8EF09EA3061</t>
  </si>
  <si>
    <t>80F6B463-F9ED-44FB-A88C-1CE92651755E</t>
  </si>
  <si>
    <t>8BEC95C0-8E9D-4DC5-8EF8-6551A505294C</t>
  </si>
  <si>
    <t>8D7EB565-4332-4814-B30E-6ED4B2DC527E</t>
  </si>
  <si>
    <t>9E2C6B4A-CFB9-46E8-876E-DFB73424448C</t>
  </si>
  <si>
    <t>BA9DA232-9DC6-4ACE-9735-B054E611BA2A</t>
  </si>
  <si>
    <t>3DC5ABFD-85BA-4B82-B09D-45770980DE95</t>
  </si>
  <si>
    <t>A237587B-270A-46F9-8435-C66292433607</t>
  </si>
  <si>
    <t>E1435B14-CC90-490D-B94E-09B54D033ED7</t>
  </si>
  <si>
    <t>FA054117-A262-4F6D-93D6-2DE0BF7AA009</t>
  </si>
  <si>
    <t>645E681F-6A1D-4BD3-9423-0A9461A10004</t>
  </si>
  <si>
    <t>4D9631E2-5D37-4E84-B756-23F708539197</t>
  </si>
  <si>
    <t>C97DE42F-B869-4048-81B0-C866B88B527A</t>
  </si>
  <si>
    <t>582B8EAF-A56F-4766-9F77-5F58C0B8D0EE</t>
  </si>
  <si>
    <t>13B1AA7C-B79A-425E-B700-05712F16DD6A</t>
  </si>
  <si>
    <t>C550F7EE-7B41-4DE1-B13F-507E85CA9D43</t>
  </si>
  <si>
    <t>8B85D281-00AE-41BB-87F1-57ABD43B93E5</t>
  </si>
  <si>
    <t>8B556C0C-5217-424F-BC90-23413E7B6587</t>
  </si>
  <si>
    <t>EEDDA991-575E-4867-BB6C-1D20D6C45BEB</t>
  </si>
  <si>
    <t>457ACBEA-70CB-43A0-AC18-D56FE9FA60A5</t>
  </si>
  <si>
    <t>46108898-4BC3-458E-8D58-039A1C42C7CB</t>
  </si>
  <si>
    <t>28947511-B080-4A93-A7B0-33218B1A2C92</t>
  </si>
  <si>
    <t>3EAA791E-3B70-449F-B568-9F5324F2D2D6</t>
  </si>
  <si>
    <t>10741EE3-59A0-4E11-9900-13A8D78F55AF</t>
  </si>
  <si>
    <t>F601F079-54E4-4305-A4BC-B76D58770A80</t>
  </si>
  <si>
    <t>FDE38578-7AC3-4972-A3E1-6A210CF1A58D</t>
  </si>
  <si>
    <t>60094F30-C554-43E2-91D3-B87498F81E1B</t>
  </si>
  <si>
    <t>AC8DD14B-B291-4F55-9CB1-ED5C8627F5C7</t>
  </si>
  <si>
    <t>04460B33-F5FE-486A-8ACF-F7C6EF519ECA</t>
  </si>
  <si>
    <t>3BE8F8F2-63B2-44EF-AC53-8A1F4490F783</t>
  </si>
  <si>
    <t>1630C7DD-5632-4037-ABFC-6895CAA636FA</t>
  </si>
  <si>
    <t>CE0DCBE2-3C5F-4C03-BB7A-B086BEAC3336</t>
  </si>
  <si>
    <t>31C91EDA-0806-410F-81D5-93FBD35200CB</t>
  </si>
  <si>
    <t>2F11B389-703D-451F-A299-CB8279214953</t>
  </si>
  <si>
    <t>C26C332D-5A94-4AC5-8F24-320F52866DDB</t>
  </si>
  <si>
    <t>8A84FB45-D721-4F51-92D2-6F252494072A</t>
  </si>
  <si>
    <t>EE59DD52-46E3-4C5E-B862-8914485F238F</t>
  </si>
  <si>
    <t>8C66A928-36FA-48EA-9F3D-2C1EF09EF236</t>
  </si>
  <si>
    <t>BF511D2A-ABDC-42A8-863D-B6DB7720C2CA</t>
  </si>
  <si>
    <t>AA96B139-EA71-4982-B3C2-CEF2CD60C0ED</t>
  </si>
  <si>
    <t>2D187D28-E0FF-4E61-B301-9004010FE0CB</t>
  </si>
  <si>
    <t>67968985-EC72-4204-8663-F69E48506540</t>
  </si>
  <si>
    <t>943003BA-F5C4-48F2-8E39-5ACB651E5CFB</t>
  </si>
  <si>
    <t>BB202734-3B2A-45BC-AA97-3942123B816B</t>
  </si>
  <si>
    <t>422E3DA9-1F9C-44DA-8A28-BF3685F5E402</t>
  </si>
  <si>
    <t>870968E0-B14B-436B-86C6-01DDFB6690F8</t>
  </si>
  <si>
    <t>8A54CA58-95DE-462C-85F0-63881C492A91</t>
  </si>
  <si>
    <t>330623DE-99EE-4CA8-B00D-114EE18DAC41</t>
  </si>
  <si>
    <t>DC655505-E767-43B6-B4E2-F76985C1DDF2</t>
  </si>
  <si>
    <t>13C6C5FD-41EF-4804-BFD7-225AD27E5D38</t>
  </si>
  <si>
    <t>685B2849-5AE1-499B-BC28-C34AC51D7CDC</t>
  </si>
  <si>
    <t>BA6CE51E-FE3C-45DC-BF7B-3D55FD86E2C8</t>
  </si>
  <si>
    <t>55389033-E3DF-46EA-A00A-0DF5AD9AEE9C</t>
  </si>
  <si>
    <t>25C98848-F1A2-47F9-A610-0905735431C6</t>
  </si>
  <si>
    <t>3209EB97-002A-444B-8EA8-FC58D3168085</t>
  </si>
  <si>
    <t>81968038-A760-40E8-88B9-48BDAF03E082</t>
  </si>
  <si>
    <t>A4ADA3D7-3568-4A97-A8E3-4E47A1368F3D</t>
  </si>
  <si>
    <t>2DD29178-312A-43CE-BDC1-683D6D41409B</t>
  </si>
  <si>
    <t>3C40F0A7-7034-4A74-B397-97E035D694CF</t>
  </si>
  <si>
    <t>5D4E535A-4BDB-43E4-8E4A-67DCD94E5851</t>
  </si>
  <si>
    <t>46401F0E-29CA-47A3-A39A-0230CB771074</t>
  </si>
  <si>
    <t>C92DDCBA-ED8B-4196-A9FF-C96029349FAC</t>
  </si>
  <si>
    <t>8F306956-00CB-4F68-965E-0326ED2BC64F</t>
  </si>
  <si>
    <t>11AAEA4F-4AD7-48B6-8503-D40BA5A579BE</t>
  </si>
  <si>
    <t>7A092CEE-E4F8-4281-BD68-F18A87121871</t>
  </si>
  <si>
    <t>38B37D63-FDC7-475E-9988-E94A8F7BEC94</t>
  </si>
  <si>
    <t>36B68626-2296-453F-BCA0-1240466A0E44</t>
  </si>
  <si>
    <t>CD9B9D1C-3229-4EB5-8852-EC243D4710C4</t>
  </si>
  <si>
    <t>93FB5035-1C15-41AE-86FB-713DF99159A2</t>
  </si>
  <si>
    <t>5B61B2A5-BF69-465F-B7C6-3B0617A2F86F</t>
  </si>
  <si>
    <t>CDC7A351-B99F-43C4-BF6C-D38446310EC5</t>
  </si>
  <si>
    <t>04FCC654-7A38-423D-9654-4BB281273FA2</t>
  </si>
  <si>
    <t>DBA49D0C-1156-48CB-9C7A-B4088A1EB0FC</t>
  </si>
  <si>
    <t>93DC22E7-F62B-4894-9016-734E87D969DC</t>
  </si>
  <si>
    <t>DA4116EE-07AC-40A4-9E22-4894AFACAF98</t>
  </si>
  <si>
    <t>7182B918-101D-409C-B591-A6DF9854D46B</t>
  </si>
  <si>
    <t>ECE5E949-7963-43BA-85FC-D7B165E74200</t>
  </si>
  <si>
    <t>AD502B6D-0586-456A-B841-C584063FFF6F</t>
  </si>
  <si>
    <t>F49E932D-1DC4-443E-879B-95852251E1F4</t>
  </si>
  <si>
    <t>C064B8CC-D2B3-4608-8ECA-84C284889DED</t>
  </si>
  <si>
    <t>2BF9EC24-DB77-42D2-A63C-BB528873268F</t>
  </si>
  <si>
    <t>3262567A-1B72-4C2F-9802-81AA2F63B13A</t>
  </si>
  <si>
    <t>8AB3C29B-04F9-4068-85E6-82031382CE74</t>
  </si>
  <si>
    <t>ADC16E09-247E-4E67-B563-C7F962784D09</t>
  </si>
  <si>
    <t>1097BABD-237E-4C31-B091-DA27B377143A</t>
  </si>
  <si>
    <t>DD91104E-A753-4608-91C4-78A10E41CA1A</t>
  </si>
  <si>
    <t>D2F0CD41-D496-44FC-B1FF-DE2DB4F6E1F1</t>
  </si>
  <si>
    <t>A236A003-6F40-4107-9F00-034B4CA62DA0</t>
  </si>
  <si>
    <t>9CD1916E-F309-41D5-AC6A-713B70461AAA</t>
  </si>
  <si>
    <t>1D0B9B27-BA0A-42A0-BA95-DA8B51BE6921</t>
  </si>
  <si>
    <t>23033304-A691-4F86-A7D2-512923E7EBB7</t>
  </si>
  <si>
    <t>8FE8C150-C077-40A5-85ED-7EB71C6537CA</t>
  </si>
  <si>
    <t>1C0D1083-FCAB-41BB-AB87-4829FB11D792</t>
  </si>
  <si>
    <t>8F8C4201-E338-4774-98F7-CDDDC3BE6782</t>
  </si>
  <si>
    <t>AB661E2B-F23C-4C53-A2BC-043F66BD26F6</t>
  </si>
  <si>
    <t>D6D32383-9B09-4C55-8468-237F6F03DB11</t>
  </si>
  <si>
    <t>430357E7-C88F-4355-9B71-CFE34E711314</t>
  </si>
  <si>
    <t>B063F9D8-C92C-4198-B23E-78506859E0C1</t>
  </si>
  <si>
    <t>949E1644-7F28-4920-A069-D27F3A050A01</t>
  </si>
  <si>
    <t>6989A549-F547-413E-9EFA-E4EFEF40B824</t>
  </si>
  <si>
    <t>16880A8C-D41A-4AC3-A936-8E73B369092B</t>
  </si>
  <si>
    <t>7650DE30-1250-4B04-841B-B56DFC24A1E3</t>
  </si>
  <si>
    <t>224CFF6B-5563-4531-A760-B85F8E142F63</t>
  </si>
  <si>
    <t>F34EDEC8-93E8-4A6B-969B-4E7B7D1F225E</t>
  </si>
  <si>
    <t>F7AADE0A-877C-4258-9BCC-813E822029EA</t>
  </si>
  <si>
    <t>50AF471B-64DE-444F-A7DD-A82966C67457</t>
  </si>
  <si>
    <t>3143C5C2-BF70-4330-AE7D-3F39E66C97EB</t>
  </si>
  <si>
    <t>320E3BFD-9B92-4683-8370-4BFE767BB9B4</t>
  </si>
  <si>
    <t>C8D1FD6C-534C-477A-BAF8-5F722BD18ECC</t>
  </si>
  <si>
    <t>0AAC5032-53F8-4789-8F0C-D073C4CCC1AF</t>
  </si>
  <si>
    <t>257D3082-7AF3-4464-9C5B-77B2D083B427</t>
  </si>
  <si>
    <t>38BE3CB8-3BB4-40EF-807C-5D8D73ED15F7</t>
  </si>
  <si>
    <t>28358D25-ECBB-4BA2-8551-6C861E153F9E</t>
  </si>
  <si>
    <t>932F2E2B-D61A-48B8-83C4-267217ACC1A4</t>
  </si>
  <si>
    <t>61B67231-2D6A-41D5-B8E4-20E97C581446</t>
  </si>
  <si>
    <t>A8C57C79-B830-4ECF-A0C9-FB4CAFE2F1E1</t>
  </si>
  <si>
    <t>AA6A4DAC-9681-4AF8-A7FB-D9326801AE4C</t>
  </si>
  <si>
    <t>D3D4C603-2CA2-4D42-B2E0-7B3B0C743DD8</t>
  </si>
  <si>
    <t>A6834E50-EC5C-4FAC-91B5-7D3C84844ABE</t>
  </si>
  <si>
    <t>398E3452-5369-450C-88AD-DB588A51D0C0</t>
  </si>
  <si>
    <t>BDF3CB39-431D-478C-A651-EBA1666F91C1</t>
  </si>
  <si>
    <t>FCBF11EB-7260-4BE4-85EF-F3883F1FC49B</t>
  </si>
  <si>
    <t>96AA1963-0BCF-447E-BC77-9FA9CD06A54A</t>
  </si>
  <si>
    <t>DB652713-5948-4322-8567-E5F6CB0440E8</t>
  </si>
  <si>
    <t>37CD23D4-9BFD-4A88-8D2B-CA84CE4FB78F</t>
  </si>
  <si>
    <t>5660B6DD-121E-4173-A110-7A4D00B3AB6A</t>
  </si>
  <si>
    <t>A4106055-17BD-4640-8746-5471A26FF444</t>
  </si>
  <si>
    <t>DDCF5707-6980-4EE7-A89F-488C260AC013</t>
  </si>
  <si>
    <t>33E5066F-5AD2-44CF-BA6A-6DDD49876562</t>
  </si>
  <si>
    <t>9F30EE8C-2188-4E04-88AF-AEB23842FABB</t>
  </si>
  <si>
    <t>5F379BAF-A7E3-454A-9383-430758055F96</t>
  </si>
  <si>
    <t>C4B32381-FE90-443B-8248-77C1FEEE79F9</t>
  </si>
  <si>
    <t>52F88A4C-3E93-4AF2-8DBF-CB8B8C2AD615</t>
  </si>
  <si>
    <t>406CC236-DFF2-405A-B465-64F605223042</t>
  </si>
  <si>
    <t>98FC67D9-C9D3-4BC6-B927-8AB8F3894DB7</t>
  </si>
  <si>
    <t>E5DF77A4-C200-40CE-9133-29FE8F45F83C</t>
  </si>
  <si>
    <t>824C4DE1-CB45-4357-8D71-3D7A9B20A1FE</t>
  </si>
  <si>
    <t>8F045301-B949-47A7-B850-24BF7725F524</t>
  </si>
  <si>
    <t>935B2B66-22E7-4674-9564-5B7FE10D4526</t>
  </si>
  <si>
    <t>1CE21E67-6A6D-4A6D-8F23-E3B426079C35</t>
  </si>
  <si>
    <t>166B5A26-5DAC-4BF8-AD48-69627F7B841D</t>
  </si>
  <si>
    <t>86E48B84-25B8-4795-9A93-5217ED1B20EE</t>
  </si>
  <si>
    <t>47F51922-5209-4A6F-A67B-D153C7E5BAD5</t>
  </si>
  <si>
    <t>EFAC5827-378C-4102-AFE2-CE07747FFDDE</t>
  </si>
  <si>
    <t>A4CDF615-A105-417E-B48D-64356629F331</t>
  </si>
  <si>
    <t>4E64ED8C-4B10-47C9-A311-D1727129E3B4</t>
  </si>
  <si>
    <t>94BD538B-2803-4922-B9FC-708C5A78D007</t>
  </si>
  <si>
    <t>AD51CEE3-FB4A-407D-BCA6-FCB60D74C6CF</t>
  </si>
  <si>
    <t>8E33930E-44DE-40EC-95F1-CFEFF12B8C1E</t>
  </si>
  <si>
    <t>C4757629-C6BF-455D-85BA-12928C66187A</t>
  </si>
  <si>
    <t>6A3A70EE-334E-421F-B119-F98B151630FB</t>
  </si>
  <si>
    <t>01E66989-6C9A-46DB-B262-E13459790817</t>
  </si>
  <si>
    <t>1D786316-F897-4DFF-8B41-5E1E1572959A</t>
  </si>
  <si>
    <t>3DC55223-7AFD-4287-8C27-5DBDFDDDED39</t>
  </si>
  <si>
    <t>2D3B2D2A-2926-478A-9DCB-A0FD0B959752</t>
  </si>
  <si>
    <t>70225704-C2BB-46FD-8E8E-C885AAE374B7</t>
  </si>
  <si>
    <t>3B358333-68D9-409A-AD5E-3E16459F4D9A</t>
  </si>
  <si>
    <t>A1D6E2B6-1A6F-40D5-BEF5-85AFDA4C4E86</t>
  </si>
  <si>
    <t>02D5061A-3036-4CEC-B1B6-546A93BD011D</t>
  </si>
  <si>
    <t>4336BC2B-6BE9-4CCB-8214-8C41DA73E58F</t>
  </si>
  <si>
    <t>847852F8-F191-4109-94AD-7E3D596BB4FB</t>
  </si>
  <si>
    <t>4E3A619E-0A05-401C-B96B-2D454AA9CF59</t>
  </si>
  <si>
    <t>BFC2B385-EAA5-409A-8F21-E3B07033449A</t>
  </si>
  <si>
    <t>41D94E9C-7647-429F-B245-C99C40319265</t>
  </si>
  <si>
    <t>358EBE6C-C333-442F-A1BB-F0003161CA3A</t>
  </si>
  <si>
    <t>4A8EA0A2-70F9-438B-A69A-82B8D0AB35C9</t>
  </si>
  <si>
    <t>F87F41D3-60DC-4E25-A0BC-1BD70749FD0C</t>
  </si>
  <si>
    <t>F2A88B98-C993-4961-8AC6-ADDD67C1A890</t>
  </si>
  <si>
    <t>6F790090-3F49-4955-A3DE-5B137E7D0EB9</t>
  </si>
  <si>
    <t>1B1C3D4E-6852-434D-A4FE-33E5D423954F</t>
  </si>
  <si>
    <t>5268CAAB-394F-4700-A5A8-A136BDF0E7C6</t>
  </si>
  <si>
    <t>B4EDB0C3-CA47-4FC6-BAC6-9B9312EDC0DF</t>
  </si>
  <si>
    <t>62158F3D-8235-421D-BD76-A242F4CA02C2</t>
  </si>
  <si>
    <t>1C4057F2-218F-46AE-B5C1-5E54DE1E25C0</t>
  </si>
  <si>
    <t>403F1915-A4D2-429F-9596-0BA64CA64705</t>
  </si>
  <si>
    <t>8E4835F5-6F16-4B18-9DDE-7D2E7FE50B12</t>
  </si>
  <si>
    <t>E7C4C96E-4B64-408D-A05F-20B342D16C2E</t>
  </si>
  <si>
    <t>2897550E-19BA-401E-AEE8-0D0F7B9CC212</t>
  </si>
  <si>
    <t>B6235869-D5C5-4C27-B038-71D84D19AFB4</t>
  </si>
  <si>
    <t>B5A5A9F7-A99F-4824-99FF-2BEA4703FE24</t>
  </si>
  <si>
    <t>F9F2E002-6268-40D6-8101-C7234A2A8324</t>
  </si>
  <si>
    <t>3BED8E0E-E548-4E83-97D0-2F9E1E8AF3C1</t>
  </si>
  <si>
    <t>B8086E89-8894-4907-BFB9-A9DCC510BAA8</t>
  </si>
  <si>
    <t>2F16F928-E5E1-4BBF-B2CC-71A7DA1006B6</t>
  </si>
  <si>
    <t>0C04B4B0-31DA-44BB-8F72-C7518001EE00</t>
  </si>
  <si>
    <t>085791C8-3974-4698-AE16-A89BA64A34F6</t>
  </si>
  <si>
    <t>900A9669-84E5-4C9A-9B4F-1CC07BFBFA11</t>
  </si>
  <si>
    <t>EBAFD0CE-623B-471B-A1BF-8E732527DD93</t>
  </si>
  <si>
    <t>99B1210B-7776-4DC5-AD0F-66FE4968BBB8</t>
  </si>
  <si>
    <t>B784914E-6379-427A-A517-3F3D25E3217D</t>
  </si>
  <si>
    <t>AD292F94-2C30-492B-87DA-45DC9CBB6D4B</t>
  </si>
  <si>
    <t>8D164FDA-D3D7-422B-81BC-9C6C41153EA2</t>
  </si>
  <si>
    <t>087C6620-F50C-4D7E-B3DF-516DA675DD50</t>
  </si>
  <si>
    <t>99618AC3-BAFD-44B7-B7D0-3E3B46896582</t>
  </si>
  <si>
    <t>7D3AEDB7-109E-4336-B9B9-6BB8C2A5CD2D</t>
  </si>
  <si>
    <t>3E674484-AD81-4D30-BBC4-A53F972BA028</t>
  </si>
  <si>
    <t>7E50447D-4D1E-46ED-A84D-7E90C85A3FC4</t>
  </si>
  <si>
    <t>37BB5E8F-E67D-4129-B2A4-C27E7BE27F78</t>
  </si>
  <si>
    <t>350D3679-E553-41BF-9B1F-4B592D10F81A</t>
  </si>
  <si>
    <t>6ECC2714-A684-4EB0-93B2-4E775A819929</t>
  </si>
  <si>
    <t>C446B750-1D60-4D40-8394-9E434437F653</t>
  </si>
  <si>
    <t>87FD8999-3B1A-4961-9E69-7A1CF4F30D47</t>
  </si>
  <si>
    <t>99021A76-61CA-44AE-BE37-E6296084E479</t>
  </si>
  <si>
    <t>886A0D30-70BF-42CF-9450-BEAE5ED1F53D</t>
  </si>
  <si>
    <t>7885B708-90A5-42B1-A82F-C33A40875DB1</t>
  </si>
  <si>
    <t>CDD4B8ED-FC21-4CBE-84D1-1D00BC936D99</t>
  </si>
  <si>
    <t>337ACFF8-BD95-4DDE-8603-B421B82F4F7B</t>
  </si>
  <si>
    <t>EE1D7A13-FB03-479F-AAD4-471F1F3574F0</t>
  </si>
  <si>
    <t>92C3BEA6-5B48-473C-AA56-0FDB337AF4FC</t>
  </si>
  <si>
    <t>790EFA1C-87AA-457B-8F45-36CD85344B1E</t>
  </si>
  <si>
    <t>4D1F76E9-CDB9-40F6-ACB5-A913F09D855F</t>
  </si>
  <si>
    <t>BD42690B-5A27-4360-BB85-BBA341F80F90</t>
  </si>
  <si>
    <t>26E164FB-0387-4F37-B760-4F0273BCC3AE</t>
  </si>
  <si>
    <t>4DAEE886-62B6-4A11-91E2-6CCC52E8C726</t>
  </si>
  <si>
    <t>C6F673E3-9A9B-468C-8A0A-59AA0393DFDC</t>
  </si>
  <si>
    <t>2D48A747-188A-4B7C-879B-A60AF15CACA5</t>
  </si>
  <si>
    <t>E9A7D411-061E-405C-9B92-1C34659C174D</t>
  </si>
  <si>
    <t>F37272F3-1097-44F4-84DC-2E9728009380</t>
  </si>
  <si>
    <t>6E3A9921-A43E-4432-A7DD-AFCB062D3882</t>
  </si>
  <si>
    <t>D4580406-13FA-46D3-A4B1-88E271E00836</t>
  </si>
  <si>
    <t>D9117FCF-D4B2-4319-B3F1-8B6281A9A4EB</t>
  </si>
  <si>
    <t>55D24624-81CD-4311-872C-ACE6508C4954</t>
  </si>
  <si>
    <t>DD56D5A2-3737-41A8-BFC6-C724FAC82A27</t>
  </si>
  <si>
    <t>898672E0-DC3F-4C74-A8FD-75D84D37F4C6</t>
  </si>
  <si>
    <t>4002F83D-1FA4-4A51-9069-862DA33587FC</t>
  </si>
  <si>
    <t>0CCE7D8E-36A2-4D6D-A989-9E5AF5BADD5F</t>
  </si>
  <si>
    <t>F5C6FED5-BE9F-47F6-AC34-4DB56021BBBB</t>
  </si>
  <si>
    <t>E75230A4-B6CE-49FE-B659-5503945A8D53</t>
  </si>
  <si>
    <t>EA8C2A7C-C847-423D-8650-3FDC4EB22C64</t>
  </si>
  <si>
    <t>7527938D-FC2F-45AD-8F13-11F85060A353</t>
  </si>
  <si>
    <t>F67B01C6-0B9E-4928-9911-4A352B25765A</t>
  </si>
  <si>
    <t>0EB5069D-E5A5-402C-8C00-DAF559131A2B</t>
  </si>
  <si>
    <t>58700DBB-B8EB-4C2F-AA3A-AC085083A3C5</t>
  </si>
  <si>
    <t>98129EFA-C4C8-41C3-8313-39ACE625CA78</t>
  </si>
  <si>
    <t>A3547087-B09A-4E9D-A244-127D48E979E2</t>
  </si>
  <si>
    <t>E8D0CCFA-DFD5-4797-BEF0-F02047B26EC1</t>
  </si>
  <si>
    <t>A853D6FF-E595-40FC-AE44-73E1EAE8E588</t>
  </si>
  <si>
    <t>F6760AC7-5706-4E92-96BC-0BD04BAADA92</t>
  </si>
  <si>
    <t>8A8B1DA2-731C-4D3E-81A5-75304481E79E</t>
  </si>
  <si>
    <t>005E7CA1-C7A4-4E9B-905F-F4E507649B81</t>
  </si>
  <si>
    <t>BF54C035-AEA4-4B89-8D09-2697ACBCA058</t>
  </si>
  <si>
    <t>75112034-1A11-4B4D-9E73-87435E2DD783</t>
  </si>
  <si>
    <t>E2F064FB-1C4A-4BAB-B863-626CFBBCDC18</t>
  </si>
  <si>
    <t>265234BD-E2FE-43F4-8AD4-0BD0F6C80093</t>
  </si>
  <si>
    <t>77A5549B-ADB4-4985-AA98-588593A5BAAC</t>
  </si>
  <si>
    <t>7C3A0667-DF23-4810-9BEE-59D939EF88A0</t>
  </si>
  <si>
    <t>DCADE1C3-9D23-48D0-99A5-D07D7EE414A0</t>
  </si>
  <si>
    <t>BC3FACA4-0E97-4210-B64C-2ABEEB957725</t>
  </si>
  <si>
    <t>4EF4C70A-5545-4CC8-91D4-926D1DBEBFD3</t>
  </si>
  <si>
    <t>099CE096-FB19-46B5-B267-49F027CAE57E</t>
  </si>
  <si>
    <t>DBA5D7A7-4AEC-4D4C-B4DF-D241E110D70B</t>
  </si>
  <si>
    <t>E2E7B142-C29A-4741-B84C-5250026C48FB</t>
  </si>
  <si>
    <t>90CB2E29-E738-4CF6-94F1-57D1D56A7DE2</t>
  </si>
  <si>
    <t>7382999F-2952-47EA-B504-605581DF965D</t>
  </si>
  <si>
    <t>9B03D500-207D-4BB2-802C-6F943AC2D63B</t>
  </si>
  <si>
    <t>068C287A-2C5D-4786-BCBD-0480BF6454FC</t>
  </si>
  <si>
    <t>2B4F240D-0052-45E8-9E88-D64C6CE7E498</t>
  </si>
  <si>
    <t>9A0E73FF-74F8-416B-9C01-C74D1A9F62AA</t>
  </si>
  <si>
    <t>F3DBFDA7-7228-4271-8DFE-C4B3274FC824</t>
  </si>
  <si>
    <t>870FB524-FE12-4832-B874-1EDAC17758D5</t>
  </si>
  <si>
    <t>EBE8666B-589D-4A28-A63A-EAF39B999CEE</t>
  </si>
  <si>
    <t>F28930DB-08DB-4FDE-BD0C-8BF3A4F7F48F</t>
  </si>
  <si>
    <t>5F072FEA-2F7C-4A5F-96C3-CCB07DB37FA7</t>
  </si>
  <si>
    <t>BCAB190F-35D0-4C68-879E-9C761061AF4C</t>
  </si>
  <si>
    <t>044E1028-928F-4A2E-BEFF-BA6CA0550388</t>
  </si>
  <si>
    <t>671AAD33-6134-431E-835D-B5AF1E68D11E</t>
  </si>
  <si>
    <t>94503EA9-AD38-4C11-9DE6-444F395D8365</t>
  </si>
  <si>
    <t>101FEA1C-4D3E-4582-81FA-C05674414CAE</t>
  </si>
  <si>
    <t>70454EDE-B6AA-47CB-9D8D-75E86F2B4D43</t>
  </si>
  <si>
    <t>48BA8CF1-C437-4C55-A6D7-66A9DCEEACBF</t>
  </si>
  <si>
    <t>E3BCF096-5AFF-4C75-9900-F8ED3FA2B44C</t>
  </si>
  <si>
    <t>3E6ECBFC-E5E3-4C64-A06B-DCC89DC4CBDD</t>
  </si>
  <si>
    <t>838B156E-51C7-49AD-86E5-021CE1C76CEF</t>
  </si>
  <si>
    <t>E291FC5B-160B-4794-A024-5F76EC077C72</t>
  </si>
  <si>
    <t>B2C6C1CF-A55F-46DF-B4F4-5EA1CE8E7DE2</t>
  </si>
  <si>
    <t>51BB27DC-A631-4ECF-A85A-AE6DB1ADB8CB</t>
  </si>
  <si>
    <t>3F0327EF-55D4-4729-8C46-C2BCCAB37CBE</t>
  </si>
  <si>
    <t>BB5A4945-7680-42C0-9AE5-C6DC4F302773</t>
  </si>
  <si>
    <t>6389E521-8890-4428-BC27-16436CA97E0E</t>
  </si>
  <si>
    <t>D2250C06-07E5-483C-90C7-54D103513A9E</t>
  </si>
  <si>
    <t>0D3BEAC3-BF18-4F5C-8CAC-2F389DE47B6A</t>
  </si>
  <si>
    <t>D7E94DEF-7DD1-42A8-81B8-9232F54C9E5E</t>
  </si>
  <si>
    <t>7BC6DF8D-2864-4107-9B24-5A62FE4DF44D</t>
  </si>
  <si>
    <t>0B583F79-2565-428E-970F-92F46196FE8E</t>
  </si>
  <si>
    <t>370838FB-B9DF-45E1-B6B7-BA831894BBC6</t>
  </si>
  <si>
    <t>CC97123E-E172-4C11-BD8C-915A1733C7CB</t>
  </si>
  <si>
    <t>1A14EF9A-0173-4449-9CE9-02DF9CA7E55D</t>
  </si>
  <si>
    <t>0F07D97A-4A97-4CBB-B3B6-1376383802B5</t>
  </si>
  <si>
    <t>C1C5A5DE-0719-4029-91FB-BA270420DAAE</t>
  </si>
  <si>
    <t>AF5F7710-3E4A-4FE7-B587-D506648F1AD6</t>
  </si>
  <si>
    <t>5EB8E1BB-048F-48F9-9C15-A607EB6CE1D7</t>
  </si>
  <si>
    <t>1CD5E796-9541-4E10-B155-5CFFB089C745</t>
  </si>
  <si>
    <t>80B586F1-8F81-45BB-A723-63E0C8D071BE</t>
  </si>
  <si>
    <t>1DBA9C53-C5E0-43EF-9435-A1EBBD55EBA5</t>
  </si>
  <si>
    <t>DAF6C5BF-9FE6-47FD-A91F-C9262E4BC678</t>
  </si>
  <si>
    <t>37D903A7-19DA-409D-B894-0E24792752A0</t>
  </si>
  <si>
    <t>E4118F66-497F-47CF-95B5-FDAE112F40D2</t>
  </si>
  <si>
    <t>3A8CFE3B-4E00-45F4-896B-2AE136802599</t>
  </si>
  <si>
    <t>423F3767-6032-47A8-9358-8200FEF6FC44</t>
  </si>
  <si>
    <t>6F38FD61-A99B-462F-B1D6-F0B58A8AF7B1</t>
  </si>
  <si>
    <t>76C9697B-0C4E-4D81-8131-2D47E500D64E</t>
  </si>
  <si>
    <t>43ED5B5E-F12A-4C25-91D6-B8C7A48F69DE</t>
  </si>
  <si>
    <t>B92DFC96-CD21-42CC-B21F-7D5820C1DCC7</t>
  </si>
  <si>
    <t>B8070D41-760A-4A0C-8C9B-DAF481931D80</t>
  </si>
  <si>
    <t>96D5B885-035E-4160-BD34-8372037552E5</t>
  </si>
  <si>
    <t>214BBC4F-915B-4EBE-90D4-A7E8FC779451</t>
  </si>
  <si>
    <t>67FF4999-75C9-47BD-8A13-29EBC3373BF8</t>
  </si>
  <si>
    <t>F71AD266-B5F6-4514-88E6-F25BCE3D8F4C</t>
  </si>
  <si>
    <t>8B5EA442-514F-4D05-89D6-33F5CE7456C2</t>
  </si>
  <si>
    <t>0AF1286B-2D4B-4F5F-981B-1B36B2526DC2</t>
  </si>
  <si>
    <t>1CA22954-068F-4603-9932-7CAFD3C4E2A6</t>
  </si>
  <si>
    <t>DF8479E4-7ED0-4699-B624-53A022550DA0</t>
  </si>
  <si>
    <t>E6AFFC0B-70FD-4FF0-B810-88AF9D1F52C5</t>
  </si>
  <si>
    <t>B5825B69-4900-43C0-A761-B839CC2A150A</t>
  </si>
  <si>
    <t>317A06D1-6B71-47B7-8DA3-E30729547A3D</t>
  </si>
  <si>
    <t>634EC852-0B85-47F5-A9CB-39119FCA597A</t>
  </si>
  <si>
    <t>CD4395C6-4D11-44F0-9379-3C7BAEDE14F2</t>
  </si>
  <si>
    <t>3476F350-3230-422E-ACA7-DB215DBE8F83</t>
  </si>
  <si>
    <t>9D1B24A0-56AF-4617-ADB3-C71C13B7ECF1</t>
  </si>
  <si>
    <t>A1678A0D-5911-4EEF-9E11-60BF598EC965</t>
  </si>
  <si>
    <t>02C83109-714D-445E-BEE7-BD8C5DF01F88</t>
  </si>
  <si>
    <t>25644D60-00E5-472D-BE6D-971FB814715F</t>
  </si>
  <si>
    <t>972542DD-F88B-4F6B-A455-6E376E45AD99</t>
  </si>
  <si>
    <t>B7CE828C-5FD8-48C8-9404-F733747924F0</t>
  </si>
  <si>
    <t>D70A7F63-0F25-47AE-8AE4-C137A5FBFDC4</t>
  </si>
  <si>
    <t>4F608F4E-4015-49D4-AC9A-086CAF01EC18</t>
  </si>
  <si>
    <t>BFDF9B3C-2AFB-413C-A8ED-285523AC2B1F</t>
  </si>
  <si>
    <t>5F07E772-71B1-4356-BFEF-4C9C6B3E0236</t>
  </si>
  <si>
    <t>32B4EC23-AF1A-4610-A639-00BBEA4C8CCA</t>
  </si>
  <si>
    <t>2169AA61-B763-4A78-84B6-AD1A906A5E71</t>
  </si>
  <si>
    <t>14F55B57-7DA0-449A-AFEC-28F642F73AC8</t>
  </si>
  <si>
    <t>069DED9F-281C-4491-A517-716E324BA3B2</t>
  </si>
  <si>
    <t>AE1792C6-7918-47DF-AAF4-019C8334670F</t>
  </si>
  <si>
    <t>218DF218-D5B3-4BFF-B0DB-794CBCCDEC98</t>
  </si>
  <si>
    <t>99A24377-B914-4F1A-A6B3-D4FF757FBC77</t>
  </si>
  <si>
    <t>5C9A52EB-A26B-4561-BD31-59AF5569B1F6</t>
  </si>
  <si>
    <t>216B8B65-351B-4014-AC11-77C5B0F7E653</t>
  </si>
  <si>
    <t>7B78C61F-6A15-4434-B851-3C9932D3B430</t>
  </si>
  <si>
    <t>54FF7375-CD37-4E95-ABFC-4397B126B84B</t>
  </si>
  <si>
    <t>1F6337C5-076B-4741-818A-798E01267BDB</t>
  </si>
  <si>
    <t>CD8C43C0-976C-4405-BAA4-A6B2B9A2D916</t>
  </si>
  <si>
    <t>0D37256E-D2AB-4231-9F6A-7B41A6762475</t>
  </si>
  <si>
    <t>D7E3E163-D6A6-42EE-BCDB-C350AEC368E2</t>
  </si>
  <si>
    <t>82E99C95-DD05-4BDF-A6AC-D511A34E4472</t>
  </si>
  <si>
    <t>F308D789-DA7D-4E47-A5C3-2B03D6929447</t>
  </si>
  <si>
    <t>E270DC66-6FD9-4503-9585-121117F6498C</t>
  </si>
  <si>
    <t>6A8F3996-9A52-4FD0-95C9-FEFDEBD8FCE3</t>
  </si>
  <si>
    <t>D0BF2D28-1BEF-43CF-860C-4D8768786898</t>
  </si>
  <si>
    <t>B5653AD0-12F8-440A-981C-AEC60F33828C</t>
  </si>
  <si>
    <t>CEA15A1E-BFFC-40BD-8BE9-22DC140E6A74</t>
  </si>
  <si>
    <t>35951275-0B52-4412-B02D-3EB5B16BFC2E</t>
  </si>
  <si>
    <t>82F7E720-E906-471F-9AB5-740B2D84D691</t>
  </si>
  <si>
    <t>BE551C08-22EA-408F-B122-B8A8E2C855C3</t>
  </si>
  <si>
    <t>F9528751-D19E-40DD-ADD9-FF376E9C549D</t>
  </si>
  <si>
    <t>60B86960-D816-4735-8E8C-565CB851E59E</t>
  </si>
  <si>
    <t>DA85A24B-8DD8-4CCE-AD5F-DFBB58FE873B</t>
  </si>
  <si>
    <t>2400C2FC-E915-49A4-AFAC-085535611F4C</t>
  </si>
  <si>
    <t>1D1BC9B6-DC7F-49C1-B6B0-D00F5669266E</t>
  </si>
  <si>
    <t>627FEBFF-57D7-4DE4-BA88-45163EB55C29</t>
  </si>
  <si>
    <t>39C7269C-EDCA-417C-AF3D-E5203F651899</t>
  </si>
  <si>
    <t>D7C6584E-303C-482C-B519-D488BE3F2067</t>
  </si>
  <si>
    <t>CA8B3C72-640E-4001-B8A9-8269C046818C</t>
  </si>
  <si>
    <t>333866DF-AFEB-4685-B074-CD68B125EE27</t>
  </si>
  <si>
    <t>78A9CFD9-8DBE-454F-A560-66A11F4EF45F</t>
  </si>
  <si>
    <t>419F868F-EF92-4928-B237-5EAFEBEE9E07</t>
  </si>
  <si>
    <t>F43A0609-0129-43ED-9F94-AF4A3D2CC422</t>
  </si>
  <si>
    <t>21BF3343-85D6-4B23-ACBA-331CF49F8E96</t>
  </si>
  <si>
    <t>3BF3D163-D486-4052-B96A-86B15857E3E5</t>
  </si>
  <si>
    <t>54417919-8533-40AC-8AE8-4433253CA245</t>
  </si>
  <si>
    <t>A17E472C-A172-448D-8213-07C1399DEEFA</t>
  </si>
  <si>
    <t>8BDEB3AE-BCDB-42D9-AA7F-516CC0127EC0</t>
  </si>
  <si>
    <t>A6E9BB21-DA1C-4399-8FC4-0166CA3A459C</t>
  </si>
  <si>
    <t>2451BBD8-749D-46FA-BD78-F55BF4C71428</t>
  </si>
  <si>
    <t>3BCFFB5B-0A18-4B2A-914D-E47714BA8556</t>
  </si>
  <si>
    <t>0123F3C2-3082-4585-8B6E-9A952C4BEBA5</t>
  </si>
  <si>
    <t>56C85E0C-EF4C-483B-862A-301E4306F3BB</t>
  </si>
  <si>
    <t>B202CE57-28CF-4BD4-BB59-7FE7F177CC48</t>
  </si>
  <si>
    <t>EEBA770F-5EF8-4495-87DF-C601E4D85E74</t>
  </si>
  <si>
    <t>037045CE-CAFF-4FC4-8629-0F8986EC231F</t>
  </si>
  <si>
    <t>066380CA-56C5-4AA4-AA77-8503109741DC</t>
  </si>
  <si>
    <t>96BB6D66-BC08-4132-B285-605F17A1FB04</t>
  </si>
  <si>
    <t>C29FCE9E-21E1-42D7-87DB-8731D7FEDF7F</t>
  </si>
  <si>
    <t>F6463590-0601-4EB7-A393-604B13E5AFB5</t>
  </si>
  <si>
    <t>41793FBD-53F6-403D-A68C-97E809C8F7BF</t>
  </si>
  <si>
    <t>ACF425C2-222C-4ACB-BEC5-7121E2BB20A3</t>
  </si>
  <si>
    <t>1E4DE7F7-3410-4064-8D62-8AC2E7F5BDCB</t>
  </si>
  <si>
    <t>462DDE67-7793-438D-A9E1-E040880F0CBB</t>
  </si>
  <si>
    <t>9147DA1B-716C-4370-8349-27B0C4D8E137</t>
  </si>
  <si>
    <t>07EB776F-7AFB-4196-BAAD-1955983C37AE</t>
  </si>
  <si>
    <t>9182F971-C8EF-4CE0-9C9B-2CA31842BEE1</t>
  </si>
  <si>
    <t>911F0665-DDA1-4886-817D-F259148022CA</t>
  </si>
  <si>
    <t>C7F4F378-9012-44FD-9610-142E7055C553</t>
  </si>
  <si>
    <t>379247CB-D303-4299-B095-6BA06E3655B7</t>
  </si>
  <si>
    <t>58516742-BDFB-4911-B546-C69551E8F832</t>
  </si>
  <si>
    <t>3F35EE72-EF26-40E6-AD83-E3EFFFBE8004</t>
  </si>
  <si>
    <t>EFC19BFA-E154-4290-BE90-38868BCFF62F</t>
  </si>
  <si>
    <t>C131A76E-DF02-4483-9E69-C20F8B04EC83</t>
  </si>
  <si>
    <t>286BD24E-847D-46DE-921B-06993F9B7479</t>
  </si>
  <si>
    <t>F4D85694-D77C-4730-8767-17ABDC889E3A</t>
  </si>
  <si>
    <t>183E600D-FA04-4EAB-BE8D-963FFB82D6B7</t>
  </si>
  <si>
    <t>48FA3CD3-D310-4F93-865D-83C3BCA9AC85</t>
  </si>
  <si>
    <t>BCCC560D-DE6C-4081-BD37-3A1F300DF47D</t>
  </si>
  <si>
    <t>232EBB4F-218B-4CF6-AE54-1EEC03F10FA7</t>
  </si>
  <si>
    <t>5C72756F-3320-43EA-88E5-138048851A00</t>
  </si>
  <si>
    <t>8FA8BA60-4F2A-4BFD-A297-E4053CB17D73</t>
  </si>
  <si>
    <t>43895014-FE0C-4117-87D5-FBF8AAF56D63</t>
  </si>
  <si>
    <t>8A776D00-32D8-4078-8B34-F55068F0FD47</t>
  </si>
  <si>
    <t>B292E7B1-1707-4B0B-BBE7-605D19444883</t>
  </si>
  <si>
    <t>33065C30-A3B9-4D0D-B5CC-ED8D767FBEC1</t>
  </si>
  <si>
    <t>C6BBD49A-A858-43A9-9337-8EB58F0C51B2</t>
  </si>
  <si>
    <t>FABAAE46-324C-4399-87DA-0B0EE767B29A</t>
  </si>
  <si>
    <t>28500740-6EE6-4335-8EF3-39D42CD9EB16</t>
  </si>
  <si>
    <t>B0C857BE-9AD0-4BB2-BEF3-0102CD2627FD</t>
  </si>
  <si>
    <t>1A7AC49D-0F1C-47EE-BC58-AC3EAE721F57</t>
  </si>
  <si>
    <t>FCE6A6BB-8894-457D-8ABB-A0A449520297</t>
  </si>
  <si>
    <t>361CF5E5-A4E7-41F1-B5E0-BE5AA8CBC1AB</t>
  </si>
  <si>
    <t>26E77BE3-5EC8-4DB4-98EF-7A96B2955DEF</t>
  </si>
  <si>
    <t>40665882-7B0C-4C43-80B9-296692AF819C</t>
  </si>
  <si>
    <t>E6BF5314-2600-4444-8CED-A384480EC12C</t>
  </si>
  <si>
    <t>DBEF589E-61B7-48CA-BF62-BE1EFE5B5B5F</t>
  </si>
  <si>
    <t>D9F6340D-C755-478B-A8BA-B75B075E3FC8</t>
  </si>
  <si>
    <t>624D8A78-15B2-4960-86BC-B962167A2B50</t>
  </si>
  <si>
    <t>AC3D99D3-A737-46B2-8B00-7D9A3ABC113C</t>
  </si>
  <si>
    <t>B8D2A8FF-158D-431C-B23D-8ABC12909059</t>
  </si>
  <si>
    <t>FF977DA1-3B9C-47F7-BE05-A16485CB0D72</t>
  </si>
  <si>
    <t>0000618D-67F2-4990-801A-1E881520AF74</t>
  </si>
  <si>
    <t>9B287D99-25E1-4DA4-B3CF-D4B1DCB74C64</t>
  </si>
  <si>
    <t>C03B5509-A5F0-4A30-AE2C-799A6A30E031</t>
  </si>
  <si>
    <t>C1A0FF6A-51A9-49F1-993D-6D626514246A</t>
  </si>
  <si>
    <t>355A97DF-7524-4AAD-9971-402E919670C5</t>
  </si>
  <si>
    <t>03C65088-C04C-48F0-BCF8-7C56E778D79A</t>
  </si>
  <si>
    <t>16C846ED-2379-48BF-B8E8-CA51AF983FE7</t>
  </si>
  <si>
    <t>1C87EBE0-AB78-4669-86B6-15191BA0722D</t>
  </si>
  <si>
    <t>99073CC5-247E-40C9-83CE-5529D6C81921</t>
  </si>
  <si>
    <t>49121DE6-F842-494C-BE1B-909B0E2D43B7</t>
  </si>
  <si>
    <t>4FA39A2E-11DF-4646-9432-46173027F558</t>
  </si>
  <si>
    <t>816A61AA-E15A-457E-A2A2-884BEDEC2928</t>
  </si>
  <si>
    <t>Authentic Identity</t>
  </si>
  <si>
    <t>Fake Identity</t>
  </si>
  <si>
    <t>Stolen Identity</t>
  </si>
  <si>
    <t>Test Account</t>
  </si>
  <si>
    <t>Research Account</t>
  </si>
  <si>
    <t>Non-compromised Identity</t>
  </si>
  <si>
    <t>U1</t>
  </si>
  <si>
    <t>U2</t>
  </si>
  <si>
    <t>B9BC6707-084C-4264-ABDB-9F04C39AC188</t>
  </si>
  <si>
    <t>FFAF2EE1-D9DE-4B8B-8A9C-EA4BB61848BD</t>
  </si>
  <si>
    <t>8933951D-59FE-48AC-8006-052B2292DA85</t>
  </si>
  <si>
    <t>01F6A80A-3190-462D-BEEB-328CC562A345</t>
  </si>
  <si>
    <t>7256DFFB-F727-40B1-B8CB-3E8ED7B93E61</t>
  </si>
  <si>
    <t>25323A0E-B290-48AC-A147-597F1DF61288</t>
  </si>
  <si>
    <t>5F168986-E77E-4F33-91B1-EA2A80D27A62</t>
  </si>
  <si>
    <t>DD3E4086-9258-4CEC-AA71-60BBCA780A26</t>
  </si>
  <si>
    <t>DE5D9227-B769-4D5A-8500-889A611D98E8</t>
  </si>
  <si>
    <t>5BF4A680-E4D0-43AF-B39E-023C875B56AE</t>
  </si>
  <si>
    <t>5C157834-A0AC-4B72-874D-381E356D1427</t>
  </si>
  <si>
    <t>B169787F-142F-4F48-91D5-4E1631A209C3</t>
  </si>
  <si>
    <t>172317F5-7551-4A51-B85B-0DAFEE004E16</t>
  </si>
  <si>
    <t>DB7BF994-4210-4C32-9CBA-583C39FE5614</t>
  </si>
  <si>
    <t>C09521E2-4E29-448A-9B5E-BAD855A6FC9D</t>
  </si>
  <si>
    <t>142CE4C1-7773-4488-BB24-CA0345911809</t>
  </si>
  <si>
    <t>64363645-20C2-4118-8A43-16197D0B273F</t>
  </si>
  <si>
    <t>C7F33B3E-E8A0-4C36-AEB3-0F4AAF16D526</t>
  </si>
  <si>
    <t>A961B21D-25E5-4F52-83DC-48A0A527EE3C</t>
  </si>
  <si>
    <t>A3A83BDB-BBEE-4294-AE65-C57A875F7714</t>
  </si>
  <si>
    <t>11D55571-665E-4CCA-B449-C292219C2AAD</t>
  </si>
  <si>
    <t>BBCA</t>
  </si>
  <si>
    <t>Behavior Based Continuous Authentication</t>
  </si>
  <si>
    <t>Logon</t>
  </si>
  <si>
    <t>after</t>
  </si>
  <si>
    <t>during</t>
  </si>
  <si>
    <t>before</t>
  </si>
  <si>
    <t>Logoff</t>
  </si>
  <si>
    <t>Behavior Based Continuous Authentication: Subject</t>
  </si>
  <si>
    <t>Behavior Based Continuous Authentication: Signal</t>
  </si>
  <si>
    <t>emit</t>
  </si>
  <si>
    <t>Behavior Based Continuous Authentication: Baseline</t>
  </si>
  <si>
    <t>establish</t>
  </si>
  <si>
    <t>Behavior Based Continuous Authentication: Comparison</t>
  </si>
  <si>
    <t>of</t>
  </si>
  <si>
    <t>make</t>
  </si>
  <si>
    <t>Behavior Based Continuous Authentication: Expected Behavior</t>
  </si>
  <si>
    <t>increase</t>
  </si>
  <si>
    <t>Behavior Based Continuous Authentication: Assurance</t>
  </si>
  <si>
    <t>Behavior Based Continuous Authentication: Authenticity</t>
  </si>
  <si>
    <t>Behavior Based Continuous Authentication: Identity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</si>
</sst>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44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  <xf numFmtId="0" fontId="4" fillId="0" borderId="0" xfId="3" applyAlignment="1"/>
    <xf numFmtId="0" fontId="1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NumberFormat="1" applyFont="1" applyAlignment="1">
      <alignment horizontal="center" vertical="top"/>
    </xf>
    <xf numFmtId="0" fontId="2" fillId="0" borderId="0" xfId="0" applyNumberFormat="1" applyFont="1" applyBorder="1" applyAlignment="1">
      <alignment horizontal="center" vertical="top"/>
    </xf>
    <xf numFmtId="0" fontId="3" fillId="0" borderId="2" xfId="2" applyAlignment="1">
      <alignment horizontal="center" vertical="top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top"/>
    </xf>
    <xf numFmtId="0" fontId="10" fillId="0" borderId="0" xfId="0" applyNumberFormat="1" applyFont="1" applyAlignment="1">
      <alignment horizontal="center"/>
    </xf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43">
    <dxf>
      <font>
        <b/>
        <i val="0"/>
        <color theme="7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1</xdr:col>
          <xdr:colOff>784225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J508" totalsRowShown="0" headerRowDxfId="42" dataDxfId="41">
  <autoFilter ref="A1:J508" xr:uid="{5C9712D2-CCDA-4E9C-B304-04B7352F99F1}"/>
  <sortState xmlns:xlrd2="http://schemas.microsoft.com/office/spreadsheetml/2017/richdata2" ref="A2:J508">
    <sortCondition ref="C1:C508"/>
  </sortState>
  <tableColumns count="10">
    <tableColumn id="7" xr3:uid="{5088D59A-45C2-4E1D-97DB-D92C10772FC3}" name="Unambiguous Name" dataDxfId="17">
      <calculatedColumnFormula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12" xr3:uid="{F7460AC7-9720-408C-B21B-B14EAB730702}" name="U1" dataDxfId="3">
      <calculatedColumnFormula>COUNTIF(NodesData[Unambiguous Name],NodesData[[#This Row],[Unambiguous Name]])</calculatedColumnFormula>
    </tableColumn>
    <tableColumn id="3" xr3:uid="{1AC5B17D-613C-4D59-9B76-2B23701909EB}" name="Common Name" dataDxfId="40"/>
    <tableColumn id="2" xr3:uid="{90333BBB-2EEB-4564-A4DE-2C01EFC61D47}" name="Node ID" dataDxfId="16"/>
    <tableColumn id="9" xr3:uid="{64EBF582-70D0-427F-B4C9-E0E1AB19752D}" name="U2" dataDxfId="14">
      <calculatedColumnFormula>COUNTIF(NodesData[Node ID],NodesData[[#This Row],[Node ID]])</calculatedColumnFormula>
    </tableColumn>
    <tableColumn id="4" xr3:uid="{6146B9E7-30B6-4E1C-8AE1-B6449F0E0DE8}" name="Class Disambiguation" dataDxfId="15"/>
    <tableColumn id="6" xr3:uid="{FD2E50A7-4489-4F3D-B755-6C2DCB54CAEE}" name="Unambiguous Name2" dataDxfId="39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8"/>
    <tableColumn id="8" xr3:uid="{334909EF-6768-4210-A03B-B3B2782F8DF1}" name="URL" dataDxfId="37"/>
    <tableColumn id="5" xr3:uid="{C893231A-2AE1-4035-A471-BB69C36E6D4F}" name="GUID Generator" dataDxfId="5">
      <calculatedColumnFormula array="1">CreateGuidString()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I101" totalsRowShown="0" headerRowDxfId="36" dataDxfId="35">
  <autoFilter ref="A1:I101" xr:uid="{5C9712D2-CCDA-4E9C-B304-04B7352F99F1}"/>
  <sortState xmlns:xlrd2="http://schemas.microsoft.com/office/spreadsheetml/2017/richdata2" ref="A2:I49">
    <sortCondition ref="D1:D49"/>
  </sortState>
  <tableColumns count="9">
    <tableColumn id="5" xr3:uid="{CE3327DB-D425-4D19-AFBC-04AB47355E47}" name="Edge ID" dataDxfId="13"/>
    <tableColumn id="9" xr3:uid="{F696736C-4E13-460F-BF11-C92DB7BC03A8}" name="Unicirty" dataDxfId="12">
      <calculatedColumnFormula>COUNTIF(EdgesData[Edge ID],EdgesData[[#This Row],[Edge ID]])</calculatedColumnFormula>
    </tableColumn>
    <tableColumn id="1" xr3:uid="{9CA13924-CA4A-44D4-8A07-E52B10C55BA7}" name="Node A ID" dataDxfId="2">
      <calculatedColumnFormula>VLOOKUP(EdgesData[[#This Row],[Node A]],NodesData[],4,FALSE)</calculatedColumnFormula>
    </tableColumn>
    <tableColumn id="3" xr3:uid="{BAA89F4B-F6C5-4ABD-86BE-5A8853F41E60}" name="Node A" dataDxfId="34"/>
    <tableColumn id="4" xr3:uid="{D3335F2C-7AD5-4D66-8BC3-253890C0E8B7}" name="Rel" dataDxfId="33"/>
    <tableColumn id="2" xr3:uid="{8D04C2D1-8FFA-4141-8A59-A1BFEFFAB089}" name="Dir" dataDxfId="32"/>
    <tableColumn id="6" xr3:uid="{C46C88E3-4516-403D-9A39-7617A8F5E08F}" name="Node B" dataDxfId="31"/>
    <tableColumn id="8" xr3:uid="{018119E0-D793-4DE2-91A3-9B20775CD938}" name="Node B ID" dataDxfId="1">
      <calculatedColumnFormula>VLOOKUP(EdgesData[[#This Row],[Node B]],NodesData[],4,FALSE)</calculatedColumnFormula>
    </tableColumn>
    <tableColumn id="7" xr3:uid="{648409CB-F2FA-4FEE-88C7-554D58380F3E}" name="GUID Generator" dataDxfId="4">
      <calculatedColumnFormula array="1">CreateGuidString()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F519" totalsRowShown="0" headerRowDxfId="30" dataDxfId="29">
  <autoFilter ref="A2:F519" xr:uid="{5C9712D2-CCDA-4E9C-B304-04B7352F99F1}"/>
  <tableColumns count="6">
    <tableColumn id="3" xr3:uid="{82A8C566-EE4C-44EE-B0F5-47C24EB1BA08}" name="Export?" dataDxfId="7">
      <calculatedColumnFormula>IF(ISERR(NodesJSON[[#This Row],[label]]),0,1)</calculatedColumnFormula>
    </tableColumn>
    <tableColumn id="2" xr3:uid="{7A433402-2F5D-4FF4-8541-52C3CCA58CBF}" name="label" dataDxfId="8">
      <calculatedColumnFormula>NodesData[[#This Row],[Common Name]]</calculatedColumnFormula>
    </tableColumn>
    <tableColumn id="1" xr3:uid="{9480A146-5094-4585-8E34-79B118723205}" name="group" dataDxfId="28">
      <calculatedColumnFormula>IF(NodesData[[#This Row],[Context Instanciation]]="","",NodesData[[#This Row],[Context Instanciation]])</calculatedColumnFormula>
    </tableColumn>
    <tableColumn id="5" xr3:uid="{DE7D344F-F0A4-42CA-BECA-DEC46A3C6044}" name="id" dataDxfId="27">
      <calculatedColumnFormula>NodesData[[#This Row],[Node ID]]</calculatedColumnFormula>
    </tableColumn>
    <tableColumn id="8" xr3:uid="{D32881FA-1331-4995-98E1-08014CC00B3B}" name="url" dataDxfId="26"/>
    <tableColumn id="4" xr3:uid="{C237D77B-2B8C-448A-9D3F-782001125820}" name="JSON" dataDxfId="6" dataCellStyle="Code">
      <calculatedColumnFormula array="1">IF(NodesJSON[[#This Row],[Export?]]=0,"",IF(ROW(NodesJSON[[#This Row],[label]])&gt;ROW(NodesJSON[[#Headers],[JSON]])+1,",","") &amp;"{"&amp;twoRangesToJSON(NodesJSON[[#Headers],[label]:[url]],NodesJSON[[#This Row],[label]:[url]])&amp;"}")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F87" totalsRowShown="0" headerRowDxfId="25" dataDxfId="24">
  <autoFilter ref="A2:F87" xr:uid="{2DC44691-7CC8-490A-BFD1-C0BACEDD8C5B}"/>
  <tableColumns count="6">
    <tableColumn id="1" xr3:uid="{EAA854D8-FC3C-4095-A454-B74145F31F60}" name="Export?" dataDxfId="10">
      <calculatedColumnFormula>IF(ISERR(EdgesJSON[[#This Row],[id]]),0,1)</calculatedColumnFormula>
    </tableColumn>
    <tableColumn id="6" xr3:uid="{7B6A1A21-3B7A-41BC-953A-E7E41C3DF49A}" name="id" dataDxfId="11">
      <calculatedColumnFormula>EdgesData[[#This Row],[Edge ID]]</calculatedColumnFormula>
    </tableColumn>
    <tableColumn id="2" xr3:uid="{3D9DE3B5-4740-491A-AF2C-F3365D8C031F}" name="from" dataDxfId="23">
      <calculatedColumnFormula>EdgesData[[#This Row],[Node A ID]]</calculatedColumnFormula>
    </tableColumn>
    <tableColumn id="5" xr3:uid="{17306F30-E2AC-4FAA-A3C9-6B06FA97B7CD}" name="to" dataDxfId="22">
      <calculatedColumnFormula>EdgesData[[#This Row],[Node B ID]]</calculatedColumnFormula>
    </tableColumn>
    <tableColumn id="8" xr3:uid="{B166B7F9-2FC2-4259-83C8-E55C58025CC9}" name="label" dataDxfId="21">
      <calculatedColumnFormula>EdgesData[[#This Row],[Rel]]</calculatedColumnFormula>
    </tableColumn>
    <tableColumn id="4" xr3:uid="{BC79FDF8-B819-4DED-9F3A-54E94785DD2A}" name="JSON" dataDxfId="9" dataCellStyle="Code">
      <calculatedColumnFormula array="1">IF(EdgesJSON[[#This Row],[Export?]]=0,"",IF(ROW(EdgesJSON[[#This Row],[id]])&gt;ROW(EdgesJSON[[#Headers],[JSON]])+1,",","") &amp;"{"&amp;twoRangesToJSON(EdgesJSON[[#Headers],[id]:[label]],EdgesJSON[[#This Row],[id]:[label]])&amp;"}")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20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9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18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pen-measure.atlassian.net/wiki/spaces/BP/pages/653525030/OM-BP-0004+Make+MFA+Mandatory+Best+Practic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15" sqref="B15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J508"/>
  <sheetViews>
    <sheetView topLeftCell="A484" zoomScale="120" zoomScaleNormal="120" workbookViewId="0">
      <selection activeCell="C508" sqref="C508"/>
    </sheetView>
  </sheetViews>
  <sheetFormatPr defaultRowHeight="12.75" x14ac:dyDescent="0.35"/>
  <cols>
    <col min="1" max="1" width="34.06640625" style="12" bestFit="1" customWidth="1"/>
    <col min="2" max="2" width="3.06640625" style="12" customWidth="1"/>
    <col min="3" max="3" width="16.796875" style="12" customWidth="1"/>
    <col min="4" max="4" width="13.86328125" style="12" customWidth="1"/>
    <col min="5" max="5" width="3.06640625" style="12" customWidth="1"/>
    <col min="6" max="6" width="29.53125" style="12" customWidth="1"/>
    <col min="7" max="7" width="2.3984375" style="12" customWidth="1"/>
    <col min="8" max="16384" width="9.06640625" style="12"/>
  </cols>
  <sheetData>
    <row r="1" spans="1:10" x14ac:dyDescent="0.35">
      <c r="A1" s="11" t="s">
        <v>1377</v>
      </c>
      <c r="B1" s="11" t="s">
        <v>1995</v>
      </c>
      <c r="C1" s="11" t="s">
        <v>1374</v>
      </c>
      <c r="D1" s="11" t="s">
        <v>1375</v>
      </c>
      <c r="E1" s="11" t="s">
        <v>1996</v>
      </c>
      <c r="F1" s="11" t="s">
        <v>1376</v>
      </c>
      <c r="G1" s="11" t="s">
        <v>1395</v>
      </c>
      <c r="H1" s="11" t="s">
        <v>1394</v>
      </c>
      <c r="I1" s="11" t="s">
        <v>520</v>
      </c>
      <c r="J1" s="11" t="s">
        <v>1378</v>
      </c>
    </row>
    <row r="2" spans="1:10" x14ac:dyDescent="0.35">
      <c r="A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35">
        <f>COUNTIF(NodesData[Unambiguous Name],NodesData[[#This Row],[Unambiguous Name]])</f>
        <v>1</v>
      </c>
      <c r="C2" s="11" t="s">
        <v>1356</v>
      </c>
      <c r="D2" s="13" t="s">
        <v>1419</v>
      </c>
      <c r="E2" s="35">
        <f>COUNTIF(NodesData[Node ID],NodesData[[#This Row],[Node ID]])</f>
        <v>1</v>
      </c>
      <c r="F2" s="12" t="s">
        <v>1337</v>
      </c>
      <c r="G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H2" s="18"/>
      <c r="J2" s="19" t="str" cm="1">
        <f t="array" ref="J2">CreateGuidString()</f>
        <v>45FCF144-C8DB-43C2-BC0B-C4BC84B2133D</v>
      </c>
    </row>
    <row r="3" spans="1:10" x14ac:dyDescent="0.35">
      <c r="A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35">
        <f>COUNTIF(NodesData[Unambiguous Name],NodesData[[#This Row],[Unambiguous Name]])</f>
        <v>1</v>
      </c>
      <c r="C3" s="12" t="s">
        <v>5</v>
      </c>
      <c r="D3" s="13" t="s">
        <v>1420</v>
      </c>
      <c r="E3" s="35">
        <f>COUNTIF(NodesData[Node ID],NodesData[[#This Row],[Node ID]])</f>
        <v>1</v>
      </c>
      <c r="F3" s="11" t="s">
        <v>1355</v>
      </c>
      <c r="G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I3" s="12" t="s">
        <v>523</v>
      </c>
      <c r="J3" s="19" t="str" cm="1">
        <f t="array" ref="J3">CreateGuidString()</f>
        <v>BD3A744A-568E-4664-88A1-7801DBA43FEC</v>
      </c>
    </row>
    <row r="4" spans="1:10" x14ac:dyDescent="0.35">
      <c r="A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35">
        <f>COUNTIF(NodesData[Unambiguous Name],NodesData[[#This Row],[Unambiguous Name]])</f>
        <v>1</v>
      </c>
      <c r="C4" s="12" t="s">
        <v>7</v>
      </c>
      <c r="D4" s="13" t="s">
        <v>1421</v>
      </c>
      <c r="E4" s="35">
        <f>COUNTIF(NodesData[Node ID],NodesData[[#This Row],[Node ID]])</f>
        <v>1</v>
      </c>
      <c r="G4" s="12" t="str">
        <f>IF(NodesData[[#This Row],[Class Disambiguation]]="",NodesData[[#This Row],[Common Name]],NodesData[[#This Row],[Common Name]]&amp;" ("&amp;NodesData[[#This Row],[Class Disambiguation]]&amp;")")</f>
        <v>Access</v>
      </c>
      <c r="I4" s="12" t="s">
        <v>524</v>
      </c>
      <c r="J4" s="19" t="str" cm="1">
        <f t="array" ref="J4">CreateGuidString()</f>
        <v>5115FE2B-1B7D-4F4D-B403-17A66A4F653A</v>
      </c>
    </row>
    <row r="5" spans="1:10" x14ac:dyDescent="0.35">
      <c r="A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35">
        <f>COUNTIF(NodesData[Unambiguous Name],NodesData[[#This Row],[Unambiguous Name]])</f>
        <v>1</v>
      </c>
      <c r="C5" s="12" t="s">
        <v>525</v>
      </c>
      <c r="D5" s="13" t="s">
        <v>1422</v>
      </c>
      <c r="E5" s="35">
        <f>COUNTIF(NodesData[Node ID],NodesData[[#This Row],[Node ID]])</f>
        <v>1</v>
      </c>
      <c r="G5" s="12" t="str">
        <f>IF(NodesData[[#This Row],[Class Disambiguation]]="",NodesData[[#This Row],[Common Name]],NodesData[[#This Row],[Common Name]]&amp;" ("&amp;NodesData[[#This Row],[Class Disambiguation]]&amp;")")</f>
        <v>Access Audit</v>
      </c>
      <c r="I5" s="12" t="s">
        <v>526</v>
      </c>
      <c r="J5" s="19" t="str" cm="1">
        <f t="array" ref="J5">CreateGuidString()</f>
        <v>6731633E-6E7B-497E-BE31-3E56DBF2DC4E</v>
      </c>
    </row>
    <row r="6" spans="1:10" x14ac:dyDescent="0.35">
      <c r="A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35">
        <f>COUNTIF(NodesData[Unambiguous Name],NodesData[[#This Row],[Unambiguous Name]])</f>
        <v>1</v>
      </c>
      <c r="C6" s="12" t="s">
        <v>9</v>
      </c>
      <c r="D6" s="13" t="s">
        <v>1423</v>
      </c>
      <c r="E6" s="35">
        <f>COUNTIF(NodesData[Node ID],NodesData[[#This Row],[Node ID]])</f>
        <v>1</v>
      </c>
      <c r="G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I6" s="12" t="s">
        <v>527</v>
      </c>
      <c r="J6" s="19" t="str" cm="1">
        <f t="array" ref="J6">CreateGuidString()</f>
        <v>5D85B385-7CE0-4294-94FD-9BA8BB07B653</v>
      </c>
    </row>
    <row r="7" spans="1:10" x14ac:dyDescent="0.35">
      <c r="A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35">
        <f>COUNTIF(NodesData[Unambiguous Name],NodesData[[#This Row],[Unambiguous Name]])</f>
        <v>1</v>
      </c>
      <c r="C7" s="12" t="s">
        <v>528</v>
      </c>
      <c r="D7" s="13" t="s">
        <v>1424</v>
      </c>
      <c r="E7" s="35">
        <f>COUNTIF(NodesData[Node ID],NodesData[[#This Row],[Node ID]])</f>
        <v>1</v>
      </c>
      <c r="G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I7" s="12" t="s">
        <v>529</v>
      </c>
      <c r="J7" s="19" t="str" cm="1">
        <f t="array" ref="J7">CreateGuidString()</f>
        <v>B6CDD9FA-2273-49D9-BA43-5453485A0C37</v>
      </c>
    </row>
    <row r="8" spans="1:10" x14ac:dyDescent="0.35">
      <c r="A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35">
        <f>COUNTIF(NodesData[Unambiguous Name],NodesData[[#This Row],[Unambiguous Name]])</f>
        <v>1</v>
      </c>
      <c r="C8" s="12" t="s">
        <v>530</v>
      </c>
      <c r="D8" s="13" t="s">
        <v>1425</v>
      </c>
      <c r="E8" s="35">
        <f>COUNTIF(NodesData[Node ID],NodesData[[#This Row],[Node ID]])</f>
        <v>1</v>
      </c>
      <c r="G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I8" s="12" t="s">
        <v>531</v>
      </c>
      <c r="J8" s="19" t="str" cm="1">
        <f t="array" ref="J8">CreateGuidString()</f>
        <v>243A6272-AA40-4A97-B58C-3C2743C4D290</v>
      </c>
    </row>
    <row r="9" spans="1:10" x14ac:dyDescent="0.35">
      <c r="A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35">
        <f>COUNTIF(NodesData[Unambiguous Name],NodesData[[#This Row],[Unambiguous Name]])</f>
        <v>1</v>
      </c>
      <c r="C9" s="12" t="s">
        <v>532</v>
      </c>
      <c r="D9" s="13" t="s">
        <v>1426</v>
      </c>
      <c r="E9" s="35">
        <f>COUNTIF(NodesData[Node ID],NodesData[[#This Row],[Node ID]])</f>
        <v>1</v>
      </c>
      <c r="G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I9" s="12" t="s">
        <v>533</v>
      </c>
      <c r="J9" s="19" t="str" cm="1">
        <f t="array" ref="J9">CreateGuidString()</f>
        <v>DCFAC7BB-466C-4260-BE71-C2F93BEC7333</v>
      </c>
    </row>
    <row r="10" spans="1:10" x14ac:dyDescent="0.35">
      <c r="A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35">
        <f>COUNTIF(NodesData[Unambiguous Name],NodesData[[#This Row],[Unambiguous Name]])</f>
        <v>1</v>
      </c>
      <c r="C10" s="12" t="s">
        <v>534</v>
      </c>
      <c r="D10" s="13" t="s">
        <v>1427</v>
      </c>
      <c r="E10" s="35">
        <f>COUNTIF(NodesData[Node ID],NodesData[[#This Row],[Node ID]])</f>
        <v>1</v>
      </c>
      <c r="G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I10" s="12" t="s">
        <v>535</v>
      </c>
      <c r="J10" s="19" t="str" cm="1">
        <f t="array" ref="J10">CreateGuidString()</f>
        <v>4EFF3663-8CE8-49E7-ADD7-EC02647A9F72</v>
      </c>
    </row>
    <row r="11" spans="1:10" x14ac:dyDescent="0.35">
      <c r="A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35">
        <f>COUNTIF(NodesData[Unambiguous Name],NodesData[[#This Row],[Unambiguous Name]])</f>
        <v>1</v>
      </c>
      <c r="C11" s="12" t="s">
        <v>536</v>
      </c>
      <c r="D11" s="13" t="s">
        <v>1428</v>
      </c>
      <c r="E11" s="35">
        <f>COUNTIF(NodesData[Node ID],NodesData[[#This Row],[Node ID]])</f>
        <v>1</v>
      </c>
      <c r="G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I11" s="12" t="s">
        <v>537</v>
      </c>
      <c r="J11" s="19" t="str" cm="1">
        <f t="array" ref="J11">CreateGuidString()</f>
        <v>966A14C0-0D90-465F-83ED-CC9DFF84EE7E</v>
      </c>
    </row>
    <row r="12" spans="1:10" x14ac:dyDescent="0.35">
      <c r="A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35">
        <f>COUNTIF(NodesData[Unambiguous Name],NodesData[[#This Row],[Unambiguous Name]])</f>
        <v>1</v>
      </c>
      <c r="C12" s="12" t="s">
        <v>1</v>
      </c>
      <c r="D12" s="13" t="s">
        <v>1429</v>
      </c>
      <c r="E12" s="35">
        <f>COUNTIF(NodesData[Node ID],NodesData[[#This Row],[Node ID]])</f>
        <v>1</v>
      </c>
      <c r="F12" s="11" t="s">
        <v>1357</v>
      </c>
      <c r="G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I12" s="12" t="s">
        <v>538</v>
      </c>
      <c r="J12" s="19" t="str" cm="1">
        <f t="array" ref="J12">CreateGuidString()</f>
        <v>CBC629B7-16CB-440E-AE7F-B4388F018022</v>
      </c>
    </row>
    <row r="13" spans="1:10" x14ac:dyDescent="0.35">
      <c r="A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35">
        <f>COUNTIF(NodesData[Unambiguous Name],NodesData[[#This Row],[Unambiguous Name]])</f>
        <v>1</v>
      </c>
      <c r="C13" s="12" t="s">
        <v>539</v>
      </c>
      <c r="D13" s="13" t="s">
        <v>1430</v>
      </c>
      <c r="E13" s="35">
        <f>COUNTIF(NodesData[Node ID],NodesData[[#This Row],[Node ID]])</f>
        <v>1</v>
      </c>
      <c r="G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I13" s="12" t="s">
        <v>540</v>
      </c>
      <c r="J13" s="19" t="str" cm="1">
        <f t="array" ref="J13">CreateGuidString()</f>
        <v>7A0ED9F4-DB39-4947-B02C-295BA09F013C</v>
      </c>
    </row>
    <row r="14" spans="1:10" x14ac:dyDescent="0.35">
      <c r="A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35">
        <f>COUNTIF(NodesData[Unambiguous Name],NodesData[[#This Row],[Unambiguous Name]])</f>
        <v>1</v>
      </c>
      <c r="C14" s="12" t="s">
        <v>541</v>
      </c>
      <c r="D14" s="13" t="s">
        <v>1431</v>
      </c>
      <c r="E14" s="35">
        <f>COUNTIF(NodesData[Node ID],NodesData[[#This Row],[Node ID]])</f>
        <v>1</v>
      </c>
      <c r="G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I14" s="12" t="s">
        <v>542</v>
      </c>
      <c r="J14" s="19" t="str" cm="1">
        <f t="array" ref="J14">CreateGuidString()</f>
        <v>7AA65FD4-5E0E-442A-820E-D44A7B18C77A</v>
      </c>
    </row>
    <row r="15" spans="1:10" x14ac:dyDescent="0.35">
      <c r="A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35">
        <f>COUNTIF(NodesData[Unambiguous Name],NodesData[[#This Row],[Unambiguous Name]])</f>
        <v>1</v>
      </c>
      <c r="C15" s="12" t="s">
        <v>543</v>
      </c>
      <c r="D15" s="13" t="s">
        <v>1432</v>
      </c>
      <c r="E15" s="35">
        <f>COUNTIF(NodesData[Node ID],NodesData[[#This Row],[Node ID]])</f>
        <v>1</v>
      </c>
      <c r="G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I15" s="12" t="s">
        <v>544</v>
      </c>
      <c r="J15" s="19" t="str" cm="1">
        <f t="array" ref="J15">CreateGuidString()</f>
        <v>CFC9E6E9-2E7D-4E1D-81FC-4E15D8D445BB</v>
      </c>
    </row>
    <row r="16" spans="1:10" x14ac:dyDescent="0.35">
      <c r="A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35">
        <f>COUNTIF(NodesData[Unambiguous Name],NodesData[[#This Row],[Unambiguous Name]])</f>
        <v>1</v>
      </c>
      <c r="C16" s="12" t="s">
        <v>19</v>
      </c>
      <c r="D16" s="13" t="s">
        <v>1433</v>
      </c>
      <c r="E16" s="35">
        <f>COUNTIF(NodesData[Node ID],NodesData[[#This Row],[Node ID]])</f>
        <v>1</v>
      </c>
      <c r="G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I16" s="12" t="s">
        <v>545</v>
      </c>
      <c r="J16" s="19" t="str" cm="1">
        <f t="array" ref="J16">CreateGuidString()</f>
        <v>5DF962AF-E9FB-4715-A17F-7C2FA68D4704</v>
      </c>
    </row>
    <row r="17" spans="1:10" x14ac:dyDescent="0.35">
      <c r="A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35">
        <f>COUNTIF(NodesData[Unambiguous Name],NodesData[[#This Row],[Unambiguous Name]])</f>
        <v>1</v>
      </c>
      <c r="C17" s="12" t="s">
        <v>20</v>
      </c>
      <c r="D17" s="13" t="s">
        <v>1434</v>
      </c>
      <c r="E17" s="35">
        <f>COUNTIF(NodesData[Node ID],NodesData[[#This Row],[Node ID]])</f>
        <v>1</v>
      </c>
      <c r="G17" s="12" t="str">
        <f>IF(NodesData[[#This Row],[Class Disambiguation]]="",NodesData[[#This Row],[Common Name]],NodesData[[#This Row],[Common Name]]&amp;" ("&amp;NodesData[[#This Row],[Class Disambiguation]]&amp;")")</f>
        <v>Account</v>
      </c>
      <c r="I17" s="12" t="s">
        <v>546</v>
      </c>
      <c r="J17" s="19" t="str" cm="1">
        <f t="array" ref="J17">CreateGuidString()</f>
        <v>DE35998A-F2EA-42DA-AE88-867A637AA580</v>
      </c>
    </row>
    <row r="18" spans="1:10" x14ac:dyDescent="0.35">
      <c r="A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35">
        <f>COUNTIF(NodesData[Unambiguous Name],NodesData[[#This Row],[Unambiguous Name]])</f>
        <v>1</v>
      </c>
      <c r="C18" s="12" t="s">
        <v>547</v>
      </c>
      <c r="D18" s="13" t="s">
        <v>1435</v>
      </c>
      <c r="E18" s="35">
        <f>COUNTIF(NodesData[Node ID],NodesData[[#This Row],[Node ID]])</f>
        <v>1</v>
      </c>
      <c r="G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I18" s="12" t="s">
        <v>548</v>
      </c>
      <c r="J18" s="19" t="str" cm="1">
        <f t="array" ref="J18">CreateGuidString()</f>
        <v>4F70C3DF-B7CA-4241-B432-5287E7FAC3B9</v>
      </c>
    </row>
    <row r="19" spans="1:10" x14ac:dyDescent="0.35">
      <c r="A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35">
        <f>COUNTIF(NodesData[Unambiguous Name],NodesData[[#This Row],[Unambiguous Name]])</f>
        <v>1</v>
      </c>
      <c r="C19" s="12" t="s">
        <v>549</v>
      </c>
      <c r="D19" s="13" t="s">
        <v>1436</v>
      </c>
      <c r="E19" s="35">
        <f>COUNTIF(NodesData[Node ID],NodesData[[#This Row],[Node ID]])</f>
        <v>1</v>
      </c>
      <c r="G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I19" s="12" t="s">
        <v>550</v>
      </c>
      <c r="J19" s="19" t="str" cm="1">
        <f t="array" ref="J19">CreateGuidString()</f>
        <v>7CF41909-59ED-45B7-9594-C554F91A0E02</v>
      </c>
    </row>
    <row r="20" spans="1:10" x14ac:dyDescent="0.35">
      <c r="A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35">
        <f>COUNTIF(NodesData[Unambiguous Name],NodesData[[#This Row],[Unambiguous Name]])</f>
        <v>1</v>
      </c>
      <c r="C20" s="12" t="s">
        <v>4</v>
      </c>
      <c r="D20" s="13" t="s">
        <v>1437</v>
      </c>
      <c r="E20" s="35">
        <f>COUNTIF(NodesData[Node ID],NodesData[[#This Row],[Node ID]])</f>
        <v>1</v>
      </c>
      <c r="G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H20" s="18" t="s">
        <v>4</v>
      </c>
      <c r="I20" s="12" t="s">
        <v>551</v>
      </c>
      <c r="J20" s="19" t="str" cm="1">
        <f t="array" ref="J20">CreateGuidString()</f>
        <v>8204A3FA-8CEC-4AD2-89D4-3B02F948319D</v>
      </c>
    </row>
    <row r="21" spans="1:10" x14ac:dyDescent="0.35">
      <c r="A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1" s="35">
        <f>COUNTIF(NodesData[Unambiguous Name],NodesData[[#This Row],[Unambiguous Name]])</f>
        <v>1</v>
      </c>
      <c r="C21" s="12" t="s">
        <v>1264</v>
      </c>
      <c r="D21" s="13" t="s">
        <v>1445</v>
      </c>
      <c r="E21" s="35">
        <f>COUNTIF(NodesData[Node ID],NodesData[[#This Row],[Node ID]])</f>
        <v>1</v>
      </c>
      <c r="G21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I21" s="12" t="s">
        <v>552</v>
      </c>
      <c r="J21" s="19" t="str" cm="1">
        <f t="array" ref="J21">CreateGuidString()</f>
        <v>6F9A999C-3D5B-4B57-A6F7-734DE588F7EA</v>
      </c>
    </row>
    <row r="22" spans="1:10" x14ac:dyDescent="0.35">
      <c r="A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2" s="35">
        <f>COUNTIF(NodesData[Unambiguous Name],NodesData[[#This Row],[Unambiguous Name]])</f>
        <v>1</v>
      </c>
      <c r="C22" s="12" t="s">
        <v>553</v>
      </c>
      <c r="D22" s="13" t="s">
        <v>1446</v>
      </c>
      <c r="E22" s="35">
        <f>COUNTIF(NodesData[Node ID],NodesData[[#This Row],[Node ID]])</f>
        <v>1</v>
      </c>
      <c r="G22" s="12" t="str">
        <f>IF(NodesData[[#This Row],[Class Disambiguation]]="",NodesData[[#This Row],[Common Name]],NodesData[[#This Row],[Common Name]]&amp;" ("&amp;NodesData[[#This Row],[Class Disambiguation]]&amp;")")</f>
        <v>Accreditation</v>
      </c>
      <c r="I22" s="12" t="s">
        <v>554</v>
      </c>
      <c r="J22" s="19" t="str" cm="1">
        <f t="array" ref="J22">CreateGuidString()</f>
        <v>EA05F268-9B64-49AE-8196-19D21288C37D</v>
      </c>
    </row>
    <row r="23" spans="1:10" x14ac:dyDescent="0.35">
      <c r="A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23" s="35">
        <f>COUNTIF(NodesData[Unambiguous Name],NodesData[[#This Row],[Unambiguous Name]])</f>
        <v>1</v>
      </c>
      <c r="C23" s="12" t="s">
        <v>555</v>
      </c>
      <c r="D23" s="13" t="s">
        <v>1447</v>
      </c>
      <c r="E23" s="35">
        <f>COUNTIF(NodesData[Node ID],NodesData[[#This Row],[Node ID]])</f>
        <v>1</v>
      </c>
      <c r="G23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I23" s="12" t="s">
        <v>556</v>
      </c>
      <c r="J23" s="19" t="str" cm="1">
        <f t="array" ref="J23">CreateGuidString()</f>
        <v>91706B31-71A2-48F4-A308-AEBEE0F90DF0</v>
      </c>
    </row>
    <row r="24" spans="1:10" x14ac:dyDescent="0.35">
      <c r="A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24" s="35">
        <f>COUNTIF(NodesData[Unambiguous Name],NodesData[[#This Row],[Unambiguous Name]])</f>
        <v>1</v>
      </c>
      <c r="C24" s="12" t="s">
        <v>29</v>
      </c>
      <c r="D24" s="13" t="s">
        <v>1448</v>
      </c>
      <c r="E24" s="35">
        <f>COUNTIF(NodesData[Node ID],NodesData[[#This Row],[Node ID]])</f>
        <v>1</v>
      </c>
      <c r="F24" s="12" t="s">
        <v>1270</v>
      </c>
      <c r="G24" s="12" t="str">
        <f>IF(NodesData[[#This Row],[Class Disambiguation]]="",NodesData[[#This Row],[Common Name]],NodesData[[#This Row],[Common Name]]&amp;" ("&amp;NodesData[[#This Row],[Class Disambiguation]]&amp;")")</f>
        <v>AP (Acronym)</v>
      </c>
      <c r="I24" s="12" t="s">
        <v>557</v>
      </c>
      <c r="J24" s="19" t="str" cm="1">
        <f t="array" ref="J24">CreateGuidString()</f>
        <v>47082A14-1333-4AF1-856D-6B8D71FF6738</v>
      </c>
    </row>
    <row r="25" spans="1:10" x14ac:dyDescent="0.35">
      <c r="A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Applicant</v>
      </c>
      <c r="B25" s="35">
        <f>COUNTIF(NodesData[Unambiguous Name],NodesData[[#This Row],[Unambiguous Name]])</f>
        <v>1</v>
      </c>
      <c r="C25" s="12" t="s">
        <v>558</v>
      </c>
      <c r="D25" s="13" t="s">
        <v>1449</v>
      </c>
      <c r="E25" s="35">
        <f>COUNTIF(NodesData[Node ID],NodesData[[#This Row],[Node ID]])</f>
        <v>1</v>
      </c>
      <c r="G25" s="12" t="str">
        <f>IF(NodesData[[#This Row],[Class Disambiguation]]="",NodesData[[#This Row],[Common Name]],NodesData[[#This Row],[Common Name]]&amp;" ("&amp;NodesData[[#This Row],[Class Disambiguation]]&amp;")")</f>
        <v>Applicant</v>
      </c>
      <c r="I25" s="12" t="s">
        <v>559</v>
      </c>
      <c r="J25" s="19" t="str" cm="1">
        <f t="array" ref="J25">CreateGuidString()</f>
        <v>36A55BBC-FEB2-48F5-90C0-FFDD567B67B7</v>
      </c>
    </row>
    <row r="26" spans="1:10" x14ac:dyDescent="0.35">
      <c r="A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26" s="35">
        <f>COUNTIF(NodesData[Unambiguous Name],NodesData[[#This Row],[Unambiguous Name]])</f>
        <v>1</v>
      </c>
      <c r="C26" s="12" t="s">
        <v>31</v>
      </c>
      <c r="D26" s="13" t="s">
        <v>1450</v>
      </c>
      <c r="E26" s="35">
        <f>COUNTIF(NodesData[Node ID],NodesData[[#This Row],[Node ID]])</f>
        <v>1</v>
      </c>
      <c r="G26" s="12" t="str">
        <f>IF(NodesData[[#This Row],[Class Disambiguation]]="",NodesData[[#This Row],[Common Name]],NodesData[[#This Row],[Common Name]]&amp;" ("&amp;NodesData[[#This Row],[Class Disambiguation]]&amp;")")</f>
        <v>Application</v>
      </c>
      <c r="I26" s="12" t="s">
        <v>560</v>
      </c>
      <c r="J26" s="19" t="str" cm="1">
        <f t="array" ref="J26">CreateGuidString()</f>
        <v>5D0C3265-A2C1-4ECC-9B8E-FD4FD9407E09</v>
      </c>
    </row>
    <row r="27" spans="1:10" x14ac:dyDescent="0.35">
      <c r="A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27" s="35">
        <f>COUNTIF(NodesData[Unambiguous Name],NodesData[[#This Row],[Unambiguous Name]])</f>
        <v>1</v>
      </c>
      <c r="C27" s="12" t="s">
        <v>561</v>
      </c>
      <c r="D27" s="13" t="s">
        <v>1451</v>
      </c>
      <c r="E27" s="35">
        <f>COUNTIF(NodesData[Node ID],NodesData[[#This Row],[Node ID]])</f>
        <v>1</v>
      </c>
      <c r="G27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I27" s="12" t="s">
        <v>562</v>
      </c>
      <c r="J27" s="19" t="str" cm="1">
        <f t="array" ref="J27">CreateGuidString()</f>
        <v>580A2A74-EF18-4765-BDDB-562775CD700B</v>
      </c>
    </row>
    <row r="28" spans="1:10" x14ac:dyDescent="0.35">
      <c r="A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28" s="35">
        <f>COUNTIF(NodesData[Unambiguous Name],NodesData[[#This Row],[Unambiguous Name]])</f>
        <v>1</v>
      </c>
      <c r="C28" s="12" t="s">
        <v>563</v>
      </c>
      <c r="D28" s="13" t="s">
        <v>1452</v>
      </c>
      <c r="E28" s="35">
        <f>COUNTIF(NodesData[Node ID],NodesData[[#This Row],[Node ID]])</f>
        <v>1</v>
      </c>
      <c r="G28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I28" s="12" t="s">
        <v>564</v>
      </c>
      <c r="J28" s="19" t="str" cm="1">
        <f t="array" ref="J28">CreateGuidString()</f>
        <v>533810D6-6FE5-4595-9884-B43EA75453A1</v>
      </c>
    </row>
    <row r="29" spans="1:10" x14ac:dyDescent="0.35">
      <c r="A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29" s="35">
        <f>COUNTIF(NodesData[Unambiguous Name],NodesData[[#This Row],[Unambiguous Name]])</f>
        <v>1</v>
      </c>
      <c r="C29" s="12" t="s">
        <v>35</v>
      </c>
      <c r="D29" s="13" t="s">
        <v>1453</v>
      </c>
      <c r="E29" s="35">
        <f>COUNTIF(NodesData[Node ID],NodesData[[#This Row],[Node ID]])</f>
        <v>1</v>
      </c>
      <c r="G29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I29" s="12" t="s">
        <v>565</v>
      </c>
      <c r="J29" s="19" t="str" cm="1">
        <f t="array" ref="J29">CreateGuidString()</f>
        <v>DC96D770-5135-473C-B7D4-89195AEA2106</v>
      </c>
    </row>
    <row r="30" spans="1:10" x14ac:dyDescent="0.35">
      <c r="A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0" s="35">
        <f>COUNTIF(NodesData[Unambiguous Name],NodesData[[#This Row],[Unambiguous Name]])</f>
        <v>1</v>
      </c>
      <c r="C30" s="12" t="s">
        <v>566</v>
      </c>
      <c r="D30" s="13" t="s">
        <v>1454</v>
      </c>
      <c r="E30" s="35">
        <f>COUNTIF(NodesData[Node ID],NodesData[[#This Row],[Node ID]])</f>
        <v>1</v>
      </c>
      <c r="G30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I30" s="12" t="s">
        <v>567</v>
      </c>
      <c r="J30" s="19" t="str" cm="1">
        <f t="array" ref="J30">CreateGuidString()</f>
        <v>E9A518FF-E7FF-4B63-8C82-35A380AC425D</v>
      </c>
    </row>
    <row r="31" spans="1:10" x14ac:dyDescent="0.35">
      <c r="A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1" s="35">
        <f>COUNTIF(NodesData[Unambiguous Name],NodesData[[#This Row],[Unambiguous Name]])</f>
        <v>1</v>
      </c>
      <c r="C31" s="12" t="s">
        <v>37</v>
      </c>
      <c r="D31" s="13" t="s">
        <v>1455</v>
      </c>
      <c r="E31" s="35">
        <f>COUNTIF(NodesData[Node ID],NodesData[[#This Row],[Node ID]])</f>
        <v>1</v>
      </c>
      <c r="G31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I31" s="12" t="s">
        <v>568</v>
      </c>
      <c r="J31" s="19" t="str" cm="1">
        <f t="array" ref="J31">CreateGuidString()</f>
        <v>99A86CC0-57CD-45E3-81E6-218F7C12E37B</v>
      </c>
    </row>
    <row r="32" spans="1:10" x14ac:dyDescent="0.35">
      <c r="A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2" s="35">
        <f>COUNTIF(NodesData[Unambiguous Name],NodesData[[#This Row],[Unambiguous Name]])</f>
        <v>1</v>
      </c>
      <c r="C32" s="12" t="s">
        <v>569</v>
      </c>
      <c r="D32" s="13" t="s">
        <v>1456</v>
      </c>
      <c r="E32" s="35">
        <f>COUNTIF(NodesData[Node ID],NodesData[[#This Row],[Node ID]])</f>
        <v>1</v>
      </c>
      <c r="G32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I32" s="12" t="s">
        <v>570</v>
      </c>
      <c r="J32" s="19" t="str" cm="1">
        <f t="array" ref="J32">CreateGuidString()</f>
        <v>45F83812-7104-4A4B-ABF7-0191DD9FC306</v>
      </c>
    </row>
    <row r="33" spans="1:10" x14ac:dyDescent="0.35">
      <c r="A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Archive</v>
      </c>
      <c r="B33" s="35">
        <f>COUNTIF(NodesData[Unambiguous Name],NodesData[[#This Row],[Unambiguous Name]])</f>
        <v>1</v>
      </c>
      <c r="C33" s="12" t="s">
        <v>571</v>
      </c>
      <c r="D33" s="13" t="s">
        <v>1457</v>
      </c>
      <c r="E33" s="35">
        <f>COUNTIF(NodesData[Node ID],NodesData[[#This Row],[Node ID]])</f>
        <v>1</v>
      </c>
      <c r="G33" s="12" t="str">
        <f>IF(NodesData[[#This Row],[Class Disambiguation]]="",NodesData[[#This Row],[Common Name]],NodesData[[#This Row],[Common Name]]&amp;" ("&amp;NodesData[[#This Row],[Class Disambiguation]]&amp;")")</f>
        <v>Archive</v>
      </c>
      <c r="I33" s="12" t="s">
        <v>572</v>
      </c>
      <c r="J33" s="19" t="str" cm="1">
        <f t="array" ref="J33">CreateGuidString()</f>
        <v>61BAB91A-83FB-4C08-9EED-1A3982E3F714</v>
      </c>
    </row>
    <row r="34" spans="1:10" x14ac:dyDescent="0.35">
      <c r="A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34" s="35">
        <f>COUNTIF(NodesData[Unambiguous Name],NodesData[[#This Row],[Unambiguous Name]])</f>
        <v>1</v>
      </c>
      <c r="C34" s="12" t="s">
        <v>39</v>
      </c>
      <c r="D34" s="13" t="s">
        <v>1458</v>
      </c>
      <c r="E34" s="35">
        <f>COUNTIF(NodesData[Node ID],NodesData[[#This Row],[Node ID]])</f>
        <v>1</v>
      </c>
      <c r="F34" s="12" t="s">
        <v>1270</v>
      </c>
      <c r="G34" s="12" t="str">
        <f>IF(NodesData[[#This Row],[Class Disambiguation]]="",NodesData[[#This Row],[Common Name]],NodesData[[#This Row],[Common Name]]&amp;" ("&amp;NodesData[[#This Row],[Class Disambiguation]]&amp;")")</f>
        <v>ARM (Acronym)</v>
      </c>
      <c r="I34" s="12" t="s">
        <v>573</v>
      </c>
      <c r="J34" s="19" t="str" cm="1">
        <f t="array" ref="J34">CreateGuidString()</f>
        <v>22C8DA28-FDC5-4479-9292-FC417A912976</v>
      </c>
    </row>
    <row r="35" spans="1:10" x14ac:dyDescent="0.35">
      <c r="A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35" s="35">
        <f>COUNTIF(NodesData[Unambiguous Name],NodesData[[#This Row],[Unambiguous Name]])</f>
        <v>1</v>
      </c>
      <c r="C35" s="12" t="s">
        <v>574</v>
      </c>
      <c r="D35" s="13" t="s">
        <v>1459</v>
      </c>
      <c r="E35" s="35">
        <f>COUNTIF(NodesData[Node ID],NodesData[[#This Row],[Node ID]])</f>
        <v>1</v>
      </c>
      <c r="G35" s="12" t="str">
        <f>IF(NodesData[[#This Row],[Class Disambiguation]]="",NodesData[[#This Row],[Common Name]],NodesData[[#This Row],[Common Name]]&amp;" ("&amp;NodesData[[#This Row],[Class Disambiguation]]&amp;")")</f>
        <v>Asset Custody</v>
      </c>
      <c r="I35" s="12" t="s">
        <v>575</v>
      </c>
      <c r="J35" s="19" t="str" cm="1">
        <f t="array" ref="J35">CreateGuidString()</f>
        <v>5BD29964-2584-4B77-AAA1-06CF5F46A1C2</v>
      </c>
    </row>
    <row r="36" spans="1:10" x14ac:dyDescent="0.35">
      <c r="A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36" s="35">
        <f>COUNTIF(NodesData[Unambiguous Name],NodesData[[#This Row],[Unambiguous Name]])</f>
        <v>1</v>
      </c>
      <c r="C36" s="32" t="s">
        <v>1381</v>
      </c>
      <c r="D36" s="13" t="s">
        <v>1460</v>
      </c>
      <c r="E36" s="35">
        <f>COUNTIF(NodesData[Node ID],NodesData[[#This Row],[Node ID]])</f>
        <v>1</v>
      </c>
      <c r="G36" s="18" t="str">
        <f>IF(NodesData[[#This Row],[Class Disambiguation]]="",NodesData[[#This Row],[Common Name]],NodesData[[#This Row],[Common Name]]&amp;" ("&amp;NodesData[[#This Row],[Class Disambiguation]]&amp;")")</f>
        <v>Attack Class</v>
      </c>
      <c r="H36" s="18"/>
      <c r="J36" s="20" t="str" cm="1">
        <f t="array" ref="J36">CreateGuidString()</f>
        <v>7F918E89-3A82-4E97-8C3B-9FE53344DAEF</v>
      </c>
    </row>
    <row r="37" spans="1:10" x14ac:dyDescent="0.35">
      <c r="A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37" s="35">
        <f>COUNTIF(NodesData[Unambiguous Name],NodesData[[#This Row],[Unambiguous Name]])</f>
        <v>1</v>
      </c>
      <c r="C37" s="12" t="s">
        <v>41</v>
      </c>
      <c r="D37" s="13" t="s">
        <v>1461</v>
      </c>
      <c r="E37" s="35">
        <f>COUNTIF(NodesData[Node ID],NodesData[[#This Row],[Node ID]])</f>
        <v>1</v>
      </c>
      <c r="G37" s="12" t="str">
        <f>IF(NodesData[[#This Row],[Class Disambiguation]]="",NodesData[[#This Row],[Common Name]],NodesData[[#This Row],[Common Name]]&amp;" ("&amp;NodesData[[#This Row],[Class Disambiguation]]&amp;")")</f>
        <v>Attestation</v>
      </c>
      <c r="I37" s="12" t="s">
        <v>576</v>
      </c>
      <c r="J37" s="19" t="str" cm="1">
        <f t="array" ref="J37">CreateGuidString()</f>
        <v>84485551-2EC7-46B5-8C60-2E3EE14F4FD8</v>
      </c>
    </row>
    <row r="38" spans="1:10" x14ac:dyDescent="0.35">
      <c r="A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</v>
      </c>
      <c r="B38" s="35">
        <f>COUNTIF(NodesData[Unambiguous Name],NodesData[[#This Row],[Unambiguous Name]])</f>
        <v>1</v>
      </c>
      <c r="C38" s="12" t="s">
        <v>1265</v>
      </c>
      <c r="D38" s="13" t="s">
        <v>1462</v>
      </c>
      <c r="E38" s="35">
        <f>COUNTIF(NodesData[Node ID],NodesData[[#This Row],[Node ID]])</f>
        <v>1</v>
      </c>
      <c r="G38" s="12" t="str">
        <f>IF(NodesData[[#This Row],[Class Disambiguation]]="",NodesData[[#This Row],[Common Name]],NodesData[[#This Row],[Common Name]]&amp;" ("&amp;NodesData[[#This Row],[Class Disambiguation]]&amp;")")</f>
        <v>Attribute</v>
      </c>
      <c r="I38" s="12" t="s">
        <v>577</v>
      </c>
      <c r="J38" s="19" t="str" cm="1">
        <f t="array" ref="J38">CreateGuidString()</f>
        <v>81B4F33C-8196-4143-B1B1-BA88F50F59B4</v>
      </c>
    </row>
    <row r="39" spans="1:10" x14ac:dyDescent="0.35">
      <c r="A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39" s="35">
        <f>COUNTIF(NodesData[Unambiguous Name],NodesData[[#This Row],[Unambiguous Name]])</f>
        <v>1</v>
      </c>
      <c r="C39" s="12" t="s">
        <v>578</v>
      </c>
      <c r="D39" s="13" t="s">
        <v>1463</v>
      </c>
      <c r="E39" s="35">
        <f>COUNTIF(NodesData[Node ID],NodesData[[#This Row],[Node ID]])</f>
        <v>1</v>
      </c>
      <c r="G39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I39" s="12" t="s">
        <v>579</v>
      </c>
      <c r="J39" s="19" t="str" cm="1">
        <f t="array" ref="J39">CreateGuidString()</f>
        <v>B985D80F-5256-4D24-9EE9-A719F59E7E8C</v>
      </c>
    </row>
    <row r="40" spans="1:10" x14ac:dyDescent="0.35">
      <c r="A40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 Identity</v>
      </c>
      <c r="B40" s="43">
        <f>COUNTIF(NodesData[Unambiguous Name],NodesData[[#This Row],[Unambiguous Name]])</f>
        <v>1</v>
      </c>
      <c r="C40" s="12" t="s">
        <v>1989</v>
      </c>
      <c r="D40" s="13" t="s">
        <v>1997</v>
      </c>
      <c r="E40" s="43">
        <f>COUNTIF(NodesData[Node ID],NodesData[[#This Row],[Node ID]])</f>
        <v>1</v>
      </c>
      <c r="G40" s="18" t="str">
        <f>IF(NodesData[[#This Row],[Class Disambiguation]]="",NodesData[[#This Row],[Common Name]],NodesData[[#This Row],[Common Name]]&amp;" ("&amp;NodesData[[#This Row],[Class Disambiguation]]&amp;")")</f>
        <v>Authentic Identity</v>
      </c>
      <c r="J40" s="20" t="str" cm="1">
        <f t="array" ref="J40">CreateGuidString()</f>
        <v>B9BC6707-084C-4264-ABDB-9F04C39AC188</v>
      </c>
    </row>
    <row r="41" spans="1:10" x14ac:dyDescent="0.35">
      <c r="A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1" s="35">
        <f>COUNTIF(NodesData[Unambiguous Name],NodesData[[#This Row],[Unambiguous Name]])</f>
        <v>1</v>
      </c>
      <c r="C41" s="12" t="s">
        <v>580</v>
      </c>
      <c r="D41" s="13" t="s">
        <v>1464</v>
      </c>
      <c r="E41" s="35">
        <f>COUNTIF(NodesData[Node ID],NodesData[[#This Row],[Node ID]])</f>
        <v>1</v>
      </c>
      <c r="G41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I41" s="12" t="s">
        <v>581</v>
      </c>
      <c r="J41" s="19" t="str" cm="1">
        <f t="array" ref="J41">CreateGuidString()</f>
        <v>E04F4B3E-7B9B-40D5-915A-64B12A884230</v>
      </c>
    </row>
    <row r="42" spans="1:10" x14ac:dyDescent="0.35">
      <c r="A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2" s="35">
        <f>COUNTIF(NodesData[Unambiguous Name],NodesData[[#This Row],[Unambiguous Name]])</f>
        <v>1</v>
      </c>
      <c r="C42" s="12" t="s">
        <v>582</v>
      </c>
      <c r="D42" s="13" t="s">
        <v>1465</v>
      </c>
      <c r="E42" s="35">
        <f>COUNTIF(NodesData[Node ID],NodesData[[#This Row],[Node ID]])</f>
        <v>1</v>
      </c>
      <c r="G42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I42" s="12" t="s">
        <v>583</v>
      </c>
      <c r="J42" s="19" t="str" cm="1">
        <f t="array" ref="J42">CreateGuidString()</f>
        <v>D42E140B-1585-4FAC-A4F6-F3F5492F04C4</v>
      </c>
    </row>
    <row r="43" spans="1:10" x14ac:dyDescent="0.35">
      <c r="A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3" s="35">
        <f>COUNTIF(NodesData[Unambiguous Name],NodesData[[#This Row],[Unambiguous Name]])</f>
        <v>1</v>
      </c>
      <c r="C43" s="12" t="s">
        <v>0</v>
      </c>
      <c r="D43" s="13" t="s">
        <v>1466</v>
      </c>
      <c r="E43" s="35">
        <f>COUNTIF(NodesData[Node ID],NodesData[[#This Row],[Node ID]])</f>
        <v>1</v>
      </c>
      <c r="G43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I43" s="12" t="s">
        <v>584</v>
      </c>
      <c r="J43" s="19" t="str" cm="1">
        <f t="array" ref="J43">CreateGuidString()</f>
        <v>579371EE-D339-4588-8A56-24817465987F</v>
      </c>
    </row>
    <row r="44" spans="1:10" x14ac:dyDescent="0.35">
      <c r="A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44" s="35">
        <f>COUNTIF(NodesData[Unambiguous Name],NodesData[[#This Row],[Unambiguous Name]])</f>
        <v>1</v>
      </c>
      <c r="C44" s="12" t="s">
        <v>1332</v>
      </c>
      <c r="D44" s="13" t="s">
        <v>1467</v>
      </c>
      <c r="E44" s="35">
        <f>COUNTIF(NodesData[Node ID],NodesData[[#This Row],[Node ID]])</f>
        <v>1</v>
      </c>
      <c r="G44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J44" s="19" t="str" cm="1">
        <f t="array" ref="J44">CreateGuidString()</f>
        <v>8E78060E-82D7-4E00-A204-AD65F005276F</v>
      </c>
    </row>
    <row r="45" spans="1:10" x14ac:dyDescent="0.35">
      <c r="A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45" s="35">
        <f>COUNTIF(NodesData[Unambiguous Name],NodesData[[#This Row],[Unambiguous Name]])</f>
        <v>1</v>
      </c>
      <c r="C45" s="12" t="s">
        <v>585</v>
      </c>
      <c r="D45" s="13" t="s">
        <v>1468</v>
      </c>
      <c r="E45" s="35">
        <f>COUNTIF(NodesData[Node ID],NodesData[[#This Row],[Node ID]])</f>
        <v>1</v>
      </c>
      <c r="G45" s="12" t="str">
        <f>IF(NodesData[[#This Row],[Class Disambiguation]]="",NodesData[[#This Row],[Common Name]],NodesData[[#This Row],[Common Name]]&amp;" ("&amp;NodesData[[#This Row],[Class Disambiguation]]&amp;")")</f>
        <v>Authenticator</v>
      </c>
      <c r="I45" s="12" t="s">
        <v>586</v>
      </c>
      <c r="J45" s="19" t="str" cm="1">
        <f t="array" ref="J45">CreateGuidString()</f>
        <v>D759C1D2-DE4C-47EC-8BC0-40BA308DDDD7</v>
      </c>
    </row>
    <row r="46" spans="1:10" x14ac:dyDescent="0.35">
      <c r="A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Authority</v>
      </c>
      <c r="B46" s="35">
        <f>COUNTIF(NodesData[Unambiguous Name],NodesData[[#This Row],[Unambiguous Name]])</f>
        <v>1</v>
      </c>
      <c r="C46" s="12" t="s">
        <v>587</v>
      </c>
      <c r="D46" s="13" t="s">
        <v>1469</v>
      </c>
      <c r="E46" s="35">
        <f>COUNTIF(NodesData[Node ID],NodesData[[#This Row],[Node ID]])</f>
        <v>1</v>
      </c>
      <c r="G46" s="12" t="str">
        <f>IF(NodesData[[#This Row],[Class Disambiguation]]="",NodesData[[#This Row],[Common Name]],NodesData[[#This Row],[Common Name]]&amp;" ("&amp;NodesData[[#This Row],[Class Disambiguation]]&amp;")")</f>
        <v>Authority</v>
      </c>
      <c r="I46" s="12" t="s">
        <v>588</v>
      </c>
      <c r="J46" s="19" t="str" cm="1">
        <f t="array" ref="J46">CreateGuidString()</f>
        <v>7501523E-AA73-47B5-97EF-236AB4F86A21</v>
      </c>
    </row>
    <row r="47" spans="1:10" x14ac:dyDescent="0.35">
      <c r="A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47" s="35">
        <f>COUNTIF(NodesData[Unambiguous Name],NodesData[[#This Row],[Unambiguous Name]])</f>
        <v>1</v>
      </c>
      <c r="C47" s="31" t="s">
        <v>589</v>
      </c>
      <c r="D47" s="13" t="s">
        <v>1438</v>
      </c>
      <c r="E47" s="35">
        <f>COUNTIF(NodesData[Node ID],NodesData[[#This Row],[Node ID]])</f>
        <v>1</v>
      </c>
      <c r="G47" s="18" t="str">
        <f>IF(NodesData[[#This Row],[Class Disambiguation]]="",NodesData[[#This Row],[Common Name]],NodesData[[#This Row],[Common Name]]&amp;" ("&amp;NodesData[[#This Row],[Class Disambiguation]]&amp;")")</f>
        <v>Authorization</v>
      </c>
      <c r="H47" s="18" t="s">
        <v>4</v>
      </c>
      <c r="J47" s="20" t="str" cm="1">
        <f t="array" ref="J47">CreateGuidString()</f>
        <v>2D597488-7840-44AC-9A97-B45B254ED2E9</v>
      </c>
    </row>
    <row r="48" spans="1:10" x14ac:dyDescent="0.35">
      <c r="A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48" s="35">
        <f>COUNTIF(NodesData[Unambiguous Name],NodesData[[#This Row],[Unambiguous Name]])</f>
        <v>1</v>
      </c>
      <c r="C48" s="12" t="s">
        <v>589</v>
      </c>
      <c r="D48" s="13" t="s">
        <v>1470</v>
      </c>
      <c r="E48" s="35">
        <f>COUNTIF(NodesData[Node ID],NodesData[[#This Row],[Node ID]])</f>
        <v>1</v>
      </c>
      <c r="G48" s="12" t="str">
        <f>IF(NodesData[[#This Row],[Class Disambiguation]]="",NodesData[[#This Row],[Common Name]],NodesData[[#This Row],[Common Name]]&amp;" ("&amp;NodesData[[#This Row],[Class Disambiguation]]&amp;")")</f>
        <v>Authorization</v>
      </c>
      <c r="I48" s="12" t="s">
        <v>590</v>
      </c>
      <c r="J48" s="19" t="str" cm="1">
        <f t="array" ref="J48">CreateGuidString()</f>
        <v>3140383F-0EC0-4FFB-8B2D-EB83471EBE26</v>
      </c>
    </row>
    <row r="49" spans="1:10" x14ac:dyDescent="0.35">
      <c r="A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49" s="35">
        <f>COUNTIF(NodesData[Unambiguous Name],NodesData[[#This Row],[Unambiguous Name]])</f>
        <v>1</v>
      </c>
      <c r="C49" s="12" t="s">
        <v>50</v>
      </c>
      <c r="D49" s="13" t="s">
        <v>1471</v>
      </c>
      <c r="E49" s="35">
        <f>COUNTIF(NodesData[Node ID],NodesData[[#This Row],[Node ID]])</f>
        <v>1</v>
      </c>
      <c r="G49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I49" s="12" t="s">
        <v>591</v>
      </c>
      <c r="J49" s="19" t="str" cm="1">
        <f t="array" ref="J49">CreateGuidString()</f>
        <v>ACCC9B50-59C4-415B-91E4-74E63C419464</v>
      </c>
    </row>
    <row r="50" spans="1:10" x14ac:dyDescent="0.35">
      <c r="A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0" s="35">
        <f>COUNTIF(NodesData[Unambiguous Name],NodesData[[#This Row],[Unambiguous Name]])</f>
        <v>1</v>
      </c>
      <c r="C50" s="12" t="s">
        <v>592</v>
      </c>
      <c r="D50" s="13" t="s">
        <v>1472</v>
      </c>
      <c r="E50" s="35">
        <f>COUNTIF(NodesData[Node ID],NodesData[[#This Row],[Node ID]])</f>
        <v>1</v>
      </c>
      <c r="G50" s="12" t="str">
        <f>IF(NodesData[[#This Row],[Class Disambiguation]]="",NodesData[[#This Row],[Common Name]],NodesData[[#This Row],[Common Name]]&amp;" ("&amp;NodesData[[#This Row],[Class Disambiguation]]&amp;")")</f>
        <v>Awareness</v>
      </c>
      <c r="I50" s="12" t="s">
        <v>593</v>
      </c>
      <c r="J50" s="19" t="str" cm="1">
        <f t="array" ref="J50">CreateGuidString()</f>
        <v>DC788F4C-3E21-43A9-A0BC-2D8013DF7902</v>
      </c>
    </row>
    <row r="51" spans="1:10" x14ac:dyDescent="0.35">
      <c r="A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1" s="35">
        <f>COUNTIF(NodesData[Unambiguous Name],NodesData[[#This Row],[Unambiguous Name]])</f>
        <v>1</v>
      </c>
      <c r="C51" s="12" t="s">
        <v>594</v>
      </c>
      <c r="D51" s="13" t="s">
        <v>1473</v>
      </c>
      <c r="E51" s="35">
        <f>COUNTIF(NodesData[Node ID],NodesData[[#This Row],[Node ID]])</f>
        <v>1</v>
      </c>
      <c r="G51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I51" s="12" t="s">
        <v>595</v>
      </c>
      <c r="J51" s="19" t="str" cm="1">
        <f t="array" ref="J51">CreateGuidString()</f>
        <v>6765E37B-9E5C-41E4-830C-A486A1780FCC</v>
      </c>
    </row>
    <row r="52" spans="1:10" x14ac:dyDescent="0.35">
      <c r="A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2" s="35">
        <f>COUNTIF(NodesData[Unambiguous Name],NodesData[[#This Row],[Unambiguous Name]])</f>
        <v>1</v>
      </c>
      <c r="C52" s="12" t="s">
        <v>596</v>
      </c>
      <c r="D52" s="13" t="s">
        <v>1474</v>
      </c>
      <c r="E52" s="35">
        <f>COUNTIF(NodesData[Node ID],NodesData[[#This Row],[Node ID]])</f>
        <v>1</v>
      </c>
      <c r="F52" s="12" t="s">
        <v>1270</v>
      </c>
      <c r="G52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I52" s="12" t="s">
        <v>597</v>
      </c>
      <c r="J52" s="19" t="str" cm="1">
        <f t="array" ref="J52">CreateGuidString()</f>
        <v>D9B5D175-96F2-492B-8927-063D1DF7AF65</v>
      </c>
    </row>
    <row r="53" spans="1:10" x14ac:dyDescent="0.35">
      <c r="A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53" s="35">
        <f>COUNTIF(NodesData[Unambiguous Name],NodesData[[#This Row],[Unambiguous Name]])</f>
        <v>1</v>
      </c>
      <c r="C53" s="12" t="s">
        <v>598</v>
      </c>
      <c r="D53" s="13" t="s">
        <v>1475</v>
      </c>
      <c r="E53" s="35">
        <f>COUNTIF(NodesData[Node ID],NodesData[[#This Row],[Node ID]])</f>
        <v>1</v>
      </c>
      <c r="F53" s="12" t="s">
        <v>1270</v>
      </c>
      <c r="G53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I53" s="12" t="s">
        <v>599</v>
      </c>
      <c r="J53" s="19" t="str" cm="1">
        <f t="array" ref="J53">CreateGuidString()</f>
        <v>38D014EB-CA24-4332-861E-CF571A0BA424</v>
      </c>
    </row>
    <row r="54" spans="1:10" x14ac:dyDescent="0.35">
      <c r="A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4" s="35">
        <f>COUNTIF(NodesData[Unambiguous Name],NodesData[[#This Row],[Unambiguous Name]])</f>
        <v>1</v>
      </c>
      <c r="C54" s="12" t="s">
        <v>600</v>
      </c>
      <c r="D54" s="13" t="s">
        <v>1476</v>
      </c>
      <c r="E54" s="35">
        <f>COUNTIF(NodesData[Node ID],NodesData[[#This Row],[Node ID]])</f>
        <v>1</v>
      </c>
      <c r="F54" s="12" t="s">
        <v>1270</v>
      </c>
      <c r="G54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I54" s="12" t="s">
        <v>601</v>
      </c>
      <c r="J54" s="19" t="str" cm="1">
        <f t="array" ref="J54">CreateGuidString()</f>
        <v>4786CE59-EE67-4753-BE49-0FFDFC3EA29D</v>
      </c>
    </row>
    <row r="55" spans="1:10" x14ac:dyDescent="0.35">
      <c r="A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55" s="35">
        <f>COUNTIF(NodesData[Unambiguous Name],NodesData[[#This Row],[Unambiguous Name]])</f>
        <v>1</v>
      </c>
      <c r="C55" s="12" t="s">
        <v>602</v>
      </c>
      <c r="D55" s="13" t="s">
        <v>1477</v>
      </c>
      <c r="E55" s="35">
        <f>COUNTIF(NodesData[Node ID],NodesData[[#This Row],[Node ID]])</f>
        <v>1</v>
      </c>
      <c r="F55" s="12" t="s">
        <v>1270</v>
      </c>
      <c r="G55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I55" s="12" t="s">
        <v>603</v>
      </c>
      <c r="J55" s="19" t="str" cm="1">
        <f t="array" ref="J55">CreateGuidString()</f>
        <v>E5D21F1C-788B-4479-A565-FFE19A801C20</v>
      </c>
    </row>
    <row r="56" spans="1:10" x14ac:dyDescent="0.35">
      <c r="A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56" s="35">
        <f>COUNTIF(NodesData[Unambiguous Name],NodesData[[#This Row],[Unambiguous Name]])</f>
        <v>1</v>
      </c>
      <c r="C56" s="12" t="s">
        <v>604</v>
      </c>
      <c r="D56" s="13" t="s">
        <v>1478</v>
      </c>
      <c r="E56" s="35">
        <f>COUNTIF(NodesData[Node ID],NodesData[[#This Row],[Node ID]])</f>
        <v>1</v>
      </c>
      <c r="F56" s="12" t="s">
        <v>1270</v>
      </c>
      <c r="G56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I56" s="12" t="s">
        <v>605</v>
      </c>
      <c r="J56" s="19" t="str" cm="1">
        <f t="array" ref="J56">CreateGuidString()</f>
        <v>CEC6786B-6DA8-44D8-A05D-F764C7AFD733</v>
      </c>
    </row>
    <row r="57" spans="1:10" x14ac:dyDescent="0.35">
      <c r="A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57" s="35">
        <f>COUNTIF(NodesData[Unambiguous Name],NodesData[[#This Row],[Unambiguous Name]])</f>
        <v>1</v>
      </c>
      <c r="C57" s="12" t="s">
        <v>606</v>
      </c>
      <c r="D57" s="13" t="s">
        <v>1479</v>
      </c>
      <c r="E57" s="35">
        <f>COUNTIF(NodesData[Node ID],NodesData[[#This Row],[Node ID]])</f>
        <v>1</v>
      </c>
      <c r="F57" s="12" t="s">
        <v>1270</v>
      </c>
      <c r="G57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I57" s="12" t="s">
        <v>607</v>
      </c>
      <c r="J57" s="19" t="str" cm="1">
        <f t="array" ref="J57">CreateGuidString()</f>
        <v>73E06EDA-75BE-40A0-8189-78D13A0F7B97</v>
      </c>
    </row>
    <row r="58" spans="1:10" x14ac:dyDescent="0.35">
      <c r="A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58" s="35">
        <f>COUNTIF(NodesData[Unambiguous Name],NodesData[[#This Row],[Unambiguous Name]])</f>
        <v>1</v>
      </c>
      <c r="C58" s="12" t="s">
        <v>608</v>
      </c>
      <c r="D58" s="13" t="s">
        <v>1480</v>
      </c>
      <c r="E58" s="35">
        <f>COUNTIF(NodesData[Node ID],NodesData[[#This Row],[Node ID]])</f>
        <v>1</v>
      </c>
      <c r="F58" s="12" t="s">
        <v>1270</v>
      </c>
      <c r="G58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I58" s="12" t="s">
        <v>609</v>
      </c>
      <c r="J58" s="19" t="str" cm="1">
        <f t="array" ref="J58">CreateGuidString()</f>
        <v>071E601B-835C-4EED-B043-76F022777883</v>
      </c>
    </row>
    <row r="59" spans="1:10" x14ac:dyDescent="0.35">
      <c r="A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59" s="35">
        <f>COUNTIF(NodesData[Unambiguous Name],NodesData[[#This Row],[Unambiguous Name]])</f>
        <v>1</v>
      </c>
      <c r="C59" s="12" t="s">
        <v>610</v>
      </c>
      <c r="D59" s="13" t="s">
        <v>1481</v>
      </c>
      <c r="E59" s="35">
        <f>COUNTIF(NodesData[Node ID],NodesData[[#This Row],[Node ID]])</f>
        <v>1</v>
      </c>
      <c r="F59" s="12" t="s">
        <v>1270</v>
      </c>
      <c r="G59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I59" s="12" t="s">
        <v>611</v>
      </c>
      <c r="J59" s="19" t="str" cm="1">
        <f t="array" ref="J59">CreateGuidString()</f>
        <v>58A6B1E3-B337-4EA0-A649-5A96328D9C5E</v>
      </c>
    </row>
    <row r="60" spans="1:10" x14ac:dyDescent="0.35">
      <c r="A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0" s="35">
        <f>COUNTIF(NodesData[Unambiguous Name],NodesData[[#This Row],[Unambiguous Name]])</f>
        <v>1</v>
      </c>
      <c r="C60" s="12" t="s">
        <v>1301</v>
      </c>
      <c r="D60" s="13" t="s">
        <v>1482</v>
      </c>
      <c r="E60" s="35">
        <f>COUNTIF(NodesData[Node ID],NodesData[[#This Row],[Node ID]])</f>
        <v>1</v>
      </c>
      <c r="G60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J60" s="19" t="str" cm="1">
        <f t="array" ref="J60">CreateGuidString()</f>
        <v>6C722C85-01CD-4B65-8B41-247ED554794F</v>
      </c>
    </row>
    <row r="61" spans="1:10" x14ac:dyDescent="0.35">
      <c r="A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1" s="35">
        <f>COUNTIF(NodesData[Unambiguous Name],NodesData[[#This Row],[Unambiguous Name]])</f>
        <v>1</v>
      </c>
      <c r="C61" s="12" t="s">
        <v>612</v>
      </c>
      <c r="D61" s="13" t="s">
        <v>1483</v>
      </c>
      <c r="E61" s="35">
        <f>COUNTIF(NodesData[Node ID],NodesData[[#This Row],[Node ID]])</f>
        <v>1</v>
      </c>
      <c r="F61" s="12" t="s">
        <v>1270</v>
      </c>
      <c r="G61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I61" s="12" t="s">
        <v>613</v>
      </c>
      <c r="J61" s="19" t="str" cm="1">
        <f t="array" ref="J61">CreateGuidString()</f>
        <v>6E627261-7984-4D9A-9165-FDA253FEC3DD</v>
      </c>
    </row>
    <row r="62" spans="1:10" x14ac:dyDescent="0.35">
      <c r="A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2" s="35">
        <f>COUNTIF(NodesData[Unambiguous Name],NodesData[[#This Row],[Unambiguous Name]])</f>
        <v>1</v>
      </c>
      <c r="C62" s="12" t="s">
        <v>614</v>
      </c>
      <c r="D62" s="13" t="s">
        <v>1484</v>
      </c>
      <c r="E62" s="35">
        <f>COUNTIF(NodesData[Node ID],NodesData[[#This Row],[Node ID]])</f>
        <v>1</v>
      </c>
      <c r="G62" s="12" t="str">
        <f>IF(NodesData[[#This Row],[Class Disambiguation]]="",NodesData[[#This Row],[Common Name]],NodesData[[#This Row],[Common Name]]&amp;" ("&amp;NodesData[[#This Row],[Class Disambiguation]]&amp;")")</f>
        <v>Basic Z Rule</v>
      </c>
      <c r="I62" s="12" t="s">
        <v>615</v>
      </c>
      <c r="J62" s="19" t="str" cm="1">
        <f t="array" ref="J62">CreateGuidString()</f>
        <v>8519AA45-53E5-481F-B195-04C2B751E111</v>
      </c>
    </row>
    <row r="63" spans="1:10" x14ac:dyDescent="0.35">
      <c r="A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3" s="35">
        <f>COUNTIF(NodesData[Unambiguous Name],NodesData[[#This Row],[Unambiguous Name]])</f>
        <v>1</v>
      </c>
      <c r="C63" s="12" t="s">
        <v>70</v>
      </c>
      <c r="D63" s="13" t="s">
        <v>1485</v>
      </c>
      <c r="E63" s="35">
        <f>COUNTIF(NodesData[Node ID],NodesData[[#This Row],[Node ID]])</f>
        <v>1</v>
      </c>
      <c r="G63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I63" s="12" t="s">
        <v>616</v>
      </c>
      <c r="J63" s="19" t="str" cm="1">
        <f t="array" ref="J63">CreateGuidString()</f>
        <v>4E5CF217-49D7-4309-8E81-38AD8A932E64</v>
      </c>
    </row>
    <row r="64" spans="1:10" x14ac:dyDescent="0.35">
      <c r="A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4" s="35">
        <f>COUNTIF(NodesData[Unambiguous Name],NodesData[[#This Row],[Unambiguous Name]])</f>
        <v>1</v>
      </c>
      <c r="C64" s="12" t="s">
        <v>72</v>
      </c>
      <c r="D64" s="13" t="s">
        <v>1486</v>
      </c>
      <c r="E64" s="35">
        <f>COUNTIF(NodesData[Node ID],NodesData[[#This Row],[Node ID]])</f>
        <v>1</v>
      </c>
      <c r="G64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I64" s="12" t="s">
        <v>617</v>
      </c>
      <c r="J64" s="19" t="str" cm="1">
        <f t="array" ref="J64">CreateGuidString()</f>
        <v>22676DB2-FD79-4A14-83B7-5311C70A4B9B</v>
      </c>
    </row>
    <row r="65" spans="1:10" x14ac:dyDescent="0.35">
      <c r="A65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Best Practice</v>
      </c>
      <c r="B65" s="35">
        <f>COUNTIF(NodesData[Unambiguous Name],NodesData[[#This Row],[Unambiguous Name]])</f>
        <v>1</v>
      </c>
      <c r="C65" s="11" t="s">
        <v>1355</v>
      </c>
      <c r="D65" s="13" t="s">
        <v>1487</v>
      </c>
      <c r="E65" s="35">
        <f>COUNTIF(NodesData[Node ID],NodesData[[#This Row],[Node ID]])</f>
        <v>1</v>
      </c>
      <c r="G65" s="18" t="str">
        <f>IF(NodesData[[#This Row],[Class Disambiguation]]="",NodesData[[#This Row],[Common Name]],NodesData[[#This Row],[Common Name]]&amp;" ("&amp;NodesData[[#This Row],[Class Disambiguation]]&amp;")")</f>
        <v>Best Practice</v>
      </c>
      <c r="H65" s="11"/>
      <c r="J65" s="20" t="str" cm="1">
        <f t="array" ref="J65">CreateGuidString()</f>
        <v>4226452D-86DC-4FB4-8A02-EB163818BE85</v>
      </c>
    </row>
    <row r="66" spans="1:10" x14ac:dyDescent="0.35">
      <c r="A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66" s="35">
        <f>COUNTIF(NodesData[Unambiguous Name],NodesData[[#This Row],[Unambiguous Name]])</f>
        <v>1</v>
      </c>
      <c r="C66" s="12" t="s">
        <v>1302</v>
      </c>
      <c r="D66" s="13" t="s">
        <v>1488</v>
      </c>
      <c r="E66" s="35">
        <f>COUNTIF(NodesData[Node ID],NodesData[[#This Row],[Node ID]])</f>
        <v>1</v>
      </c>
      <c r="G66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J66" s="19" t="str" cm="1">
        <f t="array" ref="J66">CreateGuidString()</f>
        <v>6B7D89E2-D065-4638-BC2B-D011539F967E</v>
      </c>
    </row>
    <row r="67" spans="1:10" x14ac:dyDescent="0.35">
      <c r="A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67" s="35">
        <f>COUNTIF(NodesData[Unambiguous Name],NodesData[[#This Row],[Unambiguous Name]])</f>
        <v>1</v>
      </c>
      <c r="C67" s="12" t="s">
        <v>618</v>
      </c>
      <c r="D67" s="13" t="s">
        <v>1489</v>
      </c>
      <c r="E67" s="35">
        <f>COUNTIF(NodesData[Node ID],NodesData[[#This Row],[Node ID]])</f>
        <v>1</v>
      </c>
      <c r="G67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I67" s="12" t="s">
        <v>619</v>
      </c>
      <c r="J67" s="19" t="str" cm="1">
        <f t="array" ref="J67">CreateGuidString()</f>
        <v>4F9C8A4E-576B-43D5-B940-34B83A1C4B97</v>
      </c>
    </row>
    <row r="68" spans="1:10" x14ac:dyDescent="0.35">
      <c r="A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68" s="35">
        <f>COUNTIF(NodesData[Unambiguous Name],NodesData[[#This Row],[Unambiguous Name]])</f>
        <v>1</v>
      </c>
      <c r="C68" s="12" t="s">
        <v>620</v>
      </c>
      <c r="D68" s="13" t="s">
        <v>1490</v>
      </c>
      <c r="E68" s="35">
        <f>COUNTIF(NodesData[Node ID],NodesData[[#This Row],[Node ID]])</f>
        <v>1</v>
      </c>
      <c r="G68" s="12" t="str">
        <f>IF(NodesData[[#This Row],[Class Disambiguation]]="",NodesData[[#This Row],[Common Name]],NodesData[[#This Row],[Common Name]]&amp;" ("&amp;NodesData[[#This Row],[Class Disambiguation]]&amp;")")</f>
        <v>Biometrics</v>
      </c>
      <c r="I68" s="12" t="s">
        <v>621</v>
      </c>
      <c r="J68" s="19" t="str" cm="1">
        <f t="array" ref="J68">CreateGuidString()</f>
        <v>34541D1C-3E70-4342-9DD4-CDE4F0E46AED</v>
      </c>
    </row>
    <row r="69" spans="1:10" x14ac:dyDescent="0.35">
      <c r="A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69" s="35">
        <f>COUNTIF(NodesData[Unambiguous Name],NodesData[[#This Row],[Unambiguous Name]])</f>
        <v>1</v>
      </c>
      <c r="C69" s="12" t="s">
        <v>622</v>
      </c>
      <c r="D69" s="13" t="s">
        <v>1491</v>
      </c>
      <c r="E69" s="35">
        <f>COUNTIF(NodesData[Node ID],NodesData[[#This Row],[Node ID]])</f>
        <v>1</v>
      </c>
      <c r="G69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I69" s="12" t="s">
        <v>623</v>
      </c>
      <c r="J69" s="19" t="str" cm="1">
        <f t="array" ref="J69">CreateGuidString()</f>
        <v>DEC8B99E-7CF0-4F13-B6BA-3E90B316EE26</v>
      </c>
    </row>
    <row r="70" spans="1:10" x14ac:dyDescent="0.35">
      <c r="A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0" s="35">
        <f>COUNTIF(NodesData[Unambiguous Name],NodesData[[#This Row],[Unambiguous Name]])</f>
        <v>1</v>
      </c>
      <c r="C70" s="12" t="s">
        <v>624</v>
      </c>
      <c r="D70" s="13" t="s">
        <v>1492</v>
      </c>
      <c r="E70" s="35">
        <f>COUNTIF(NodesData[Node ID],NodesData[[#This Row],[Node ID]])</f>
        <v>1</v>
      </c>
      <c r="G70" s="12" t="str">
        <f>IF(NodesData[[#This Row],[Class Disambiguation]]="",NodesData[[#This Row],[Common Name]],NodesData[[#This Row],[Common Name]]&amp;" ("&amp;NodesData[[#This Row],[Class Disambiguation]]&amp;")")</f>
        <v>Blast Radius</v>
      </c>
      <c r="I70" s="12" t="s">
        <v>625</v>
      </c>
      <c r="J70" s="19" t="str" cm="1">
        <f t="array" ref="J70">CreateGuidString()</f>
        <v>191CE1BF-A5E8-47A4-9008-BABABB558F8C</v>
      </c>
    </row>
    <row r="71" spans="1:10" x14ac:dyDescent="0.35">
      <c r="A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1" s="35">
        <f>COUNTIF(NodesData[Unambiguous Name],NodesData[[#This Row],[Unambiguous Name]])</f>
        <v>1</v>
      </c>
      <c r="C71" s="12" t="s">
        <v>79</v>
      </c>
      <c r="D71" s="13" t="s">
        <v>1493</v>
      </c>
      <c r="E71" s="35">
        <f>COUNTIF(NodesData[Node ID],NodesData[[#This Row],[Node ID]])</f>
        <v>1</v>
      </c>
      <c r="G71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I71" s="12" t="s">
        <v>626</v>
      </c>
      <c r="J71" s="19" t="str" cm="1">
        <f t="array" ref="J71">CreateGuidString()</f>
        <v>5D57D6C3-8A70-4A90-89F7-0B29E2E2E55E</v>
      </c>
    </row>
    <row r="72" spans="1:10" x14ac:dyDescent="0.35">
      <c r="A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2" s="35">
        <f>COUNTIF(NodesData[Unambiguous Name],NodesData[[#This Row],[Unambiguous Name]])</f>
        <v>1</v>
      </c>
      <c r="C72" s="12" t="s">
        <v>1303</v>
      </c>
      <c r="D72" s="13" t="s">
        <v>1494</v>
      </c>
      <c r="E72" s="35">
        <f>COUNTIF(NodesData[Node ID],NodesData[[#This Row],[Node ID]])</f>
        <v>1</v>
      </c>
      <c r="G72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J72" s="19" t="str" cm="1">
        <f t="array" ref="J72">CreateGuidString()</f>
        <v>720540F9-7A0E-4E2D-A1E7-0249B1F04DF9</v>
      </c>
    </row>
    <row r="73" spans="1:10" x14ac:dyDescent="0.35">
      <c r="A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Broker</v>
      </c>
      <c r="B73" s="35">
        <f>COUNTIF(NodesData[Unambiguous Name],NodesData[[#This Row],[Unambiguous Name]])</f>
        <v>1</v>
      </c>
      <c r="C73" s="12" t="s">
        <v>627</v>
      </c>
      <c r="D73" s="13" t="s">
        <v>1495</v>
      </c>
      <c r="E73" s="35">
        <f>COUNTIF(NodesData[Node ID],NodesData[[#This Row],[Node ID]])</f>
        <v>1</v>
      </c>
      <c r="G73" s="12" t="str">
        <f>IF(NodesData[[#This Row],[Class Disambiguation]]="",NodesData[[#This Row],[Common Name]],NodesData[[#This Row],[Common Name]]&amp;" ("&amp;NodesData[[#This Row],[Class Disambiguation]]&amp;")")</f>
        <v>Broker</v>
      </c>
      <c r="I73" s="12" t="s">
        <v>628</v>
      </c>
      <c r="J73" s="19" t="str" cm="1">
        <f t="array" ref="J73">CreateGuidString()</f>
        <v>F7EA0FFF-3ED8-4ADF-B24D-D4649D88502B</v>
      </c>
    </row>
    <row r="74" spans="1:10" x14ac:dyDescent="0.35">
      <c r="A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4" s="35">
        <f>COUNTIF(NodesData[Unambiguous Name],NodesData[[#This Row],[Unambiguous Name]])</f>
        <v>1</v>
      </c>
      <c r="C74" s="12" t="s">
        <v>81</v>
      </c>
      <c r="D74" s="13" t="s">
        <v>1496</v>
      </c>
      <c r="E74" s="35">
        <f>COUNTIF(NodesData[Node ID],NodesData[[#This Row],[Node ID]])</f>
        <v>1</v>
      </c>
      <c r="G74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I74" s="12" t="s">
        <v>629</v>
      </c>
      <c r="J74" s="19" t="str" cm="1">
        <f t="array" ref="J74">CreateGuidString()</f>
        <v>050B758E-AACC-4D66-A907-A6D338D5C6A6</v>
      </c>
    </row>
    <row r="75" spans="1:10" x14ac:dyDescent="0.35">
      <c r="A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Built-in</v>
      </c>
      <c r="B75" s="35">
        <f>COUNTIF(NodesData[Unambiguous Name],NodesData[[#This Row],[Unambiguous Name]])</f>
        <v>1</v>
      </c>
      <c r="C75" s="12" t="s">
        <v>630</v>
      </c>
      <c r="D75" s="13" t="s">
        <v>1497</v>
      </c>
      <c r="E75" s="35">
        <f>COUNTIF(NodesData[Node ID],NodesData[[#This Row],[Node ID]])</f>
        <v>1</v>
      </c>
      <c r="G75" s="12" t="str">
        <f>IF(NodesData[[#This Row],[Class Disambiguation]]="",NodesData[[#This Row],[Common Name]],NodesData[[#This Row],[Common Name]]&amp;" ("&amp;NodesData[[#This Row],[Class Disambiguation]]&amp;")")</f>
        <v>Built-in</v>
      </c>
      <c r="I75" s="12" t="s">
        <v>631</v>
      </c>
      <c r="J75" s="19" t="str" cm="1">
        <f t="array" ref="J75">CreateGuidString()</f>
        <v>FECE2206-7532-48B4-A48C-E48E9643D770</v>
      </c>
    </row>
    <row r="76" spans="1:10" x14ac:dyDescent="0.35">
      <c r="A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76" s="35">
        <f>COUNTIF(NodesData[Unambiguous Name],NodesData[[#This Row],[Unambiguous Name]])</f>
        <v>1</v>
      </c>
      <c r="C76" s="12" t="s">
        <v>83</v>
      </c>
      <c r="D76" s="13" t="s">
        <v>1498</v>
      </c>
      <c r="E76" s="35">
        <f>COUNTIF(NodesData[Node ID],NodesData[[#This Row],[Node ID]])</f>
        <v>1</v>
      </c>
      <c r="F76" s="12" t="s">
        <v>1270</v>
      </c>
      <c r="G76" s="12" t="str">
        <f>IF(NodesData[[#This Row],[Class Disambiguation]]="",NodesData[[#This Row],[Common Name]],NodesData[[#This Row],[Common Name]]&amp;" ("&amp;NodesData[[#This Row],[Class Disambiguation]]&amp;")")</f>
        <v>BZR (Acronym)</v>
      </c>
      <c r="I76" s="12" t="s">
        <v>632</v>
      </c>
      <c r="J76" s="19" t="str" cm="1">
        <f t="array" ref="J76">CreateGuidString()</f>
        <v>7F4281EC-DEE9-43EA-AA65-C6165E9033BC</v>
      </c>
    </row>
    <row r="77" spans="1:10" x14ac:dyDescent="0.35">
      <c r="A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77" s="35">
        <f>COUNTIF(NodesData[Unambiguous Name],NodesData[[#This Row],[Unambiguous Name]])</f>
        <v>1</v>
      </c>
      <c r="C77" s="12" t="s">
        <v>84</v>
      </c>
      <c r="D77" s="13" t="s">
        <v>1499</v>
      </c>
      <c r="E77" s="35">
        <f>COUNTIF(NodesData[Node ID],NodesData[[#This Row],[Node ID]])</f>
        <v>1</v>
      </c>
      <c r="G77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I77" s="12" t="s">
        <v>633</v>
      </c>
      <c r="J77" s="19" t="str" cm="1">
        <f t="array" ref="J77">CreateGuidString()</f>
        <v>B2C1BDE7-6217-40CD-ACD3-B66AF2EFFCF9</v>
      </c>
    </row>
    <row r="78" spans="1:10" x14ac:dyDescent="0.35">
      <c r="A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78" s="35">
        <f>COUNTIF(NodesData[Unambiguous Name],NodesData[[#This Row],[Unambiguous Name]])</f>
        <v>1</v>
      </c>
      <c r="C78" s="12" t="s">
        <v>1348</v>
      </c>
      <c r="D78" s="13" t="s">
        <v>1500</v>
      </c>
      <c r="E78" s="35">
        <f>COUNTIF(NodesData[Node ID],NodesData[[#This Row],[Node ID]])</f>
        <v>1</v>
      </c>
      <c r="G78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H78" s="18"/>
      <c r="J78" s="20" t="str" cm="1">
        <f t="array" ref="J78">CreateGuidString()</f>
        <v>D380DCBA-FB6A-490D-BA21-011A2BA1FCBD</v>
      </c>
    </row>
    <row r="79" spans="1:10" x14ac:dyDescent="0.35">
      <c r="A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79" s="35">
        <f>COUNTIF(NodesData[Unambiguous Name],NodesData[[#This Row],[Unambiguous Name]])</f>
        <v>1</v>
      </c>
      <c r="C79" s="12" t="s">
        <v>1349</v>
      </c>
      <c r="D79" s="13" t="s">
        <v>1501</v>
      </c>
      <c r="E79" s="35">
        <f>COUNTIF(NodesData[Node ID],NodesData[[#This Row],[Node ID]])</f>
        <v>1</v>
      </c>
      <c r="G79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H79" s="18"/>
      <c r="J79" s="20" t="str" cm="1">
        <f t="array" ref="J79">CreateGuidString()</f>
        <v>3B4FE4AC-7245-4C2F-9FDC-B7A10F97DD7F</v>
      </c>
    </row>
    <row r="80" spans="1:10" x14ac:dyDescent="0.35">
      <c r="A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0" s="35">
        <f>COUNTIF(NodesData[Unambiguous Name],NodesData[[#This Row],[Unambiguous Name]])</f>
        <v>1</v>
      </c>
      <c r="C80" s="12" t="s">
        <v>1350</v>
      </c>
      <c r="D80" s="13" t="s">
        <v>1502</v>
      </c>
      <c r="E80" s="35">
        <f>COUNTIF(NodesData[Node ID],NodesData[[#This Row],[Node ID]])</f>
        <v>1</v>
      </c>
      <c r="G80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H80" s="18"/>
      <c r="J80" s="20" t="str" cm="1">
        <f t="array" ref="J80">CreateGuidString()</f>
        <v>FB64CA74-0395-4B63-B401-A38A69FEED0B</v>
      </c>
    </row>
    <row r="81" spans="1:10" x14ac:dyDescent="0.35">
      <c r="A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1" s="35">
        <f>COUNTIF(NodesData[Unambiguous Name],NodesData[[#This Row],[Unambiguous Name]])</f>
        <v>1</v>
      </c>
      <c r="C81" s="12" t="s">
        <v>1347</v>
      </c>
      <c r="D81" s="13" t="s">
        <v>1503</v>
      </c>
      <c r="E81" s="35">
        <f>COUNTIF(NodesData[Node ID],NodesData[[#This Row],[Node ID]])</f>
        <v>1</v>
      </c>
      <c r="G81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H81" s="18"/>
      <c r="J81" s="20" t="str" cm="1">
        <f t="array" ref="J81">CreateGuidString()</f>
        <v>E132FAF1-92DB-4E84-A74F-4D47C105A2DE</v>
      </c>
    </row>
    <row r="82" spans="1:10" x14ac:dyDescent="0.35">
      <c r="A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2" s="35">
        <f>COUNTIF(NodesData[Unambiguous Name],NodesData[[#This Row],[Unambiguous Name]])</f>
        <v>1</v>
      </c>
      <c r="C82" s="31" t="s">
        <v>1387</v>
      </c>
      <c r="D82" s="13" t="s">
        <v>1504</v>
      </c>
      <c r="E82" s="35">
        <f>COUNTIF(NodesData[Node ID],NodesData[[#This Row],[Node ID]])</f>
        <v>1</v>
      </c>
      <c r="G82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H82" s="18"/>
      <c r="J82" s="20" t="str" cm="1">
        <f t="array" ref="J82">CreateGuidString()</f>
        <v>991366B0-2BD3-4161-9A7D-19B0B1218DF4</v>
      </c>
    </row>
    <row r="83" spans="1:10" x14ac:dyDescent="0.35">
      <c r="A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3" s="35">
        <f>COUNTIF(NodesData[Unambiguous Name],NodesData[[#This Row],[Unambiguous Name]])</f>
        <v>1</v>
      </c>
      <c r="C83" s="12" t="s">
        <v>88</v>
      </c>
      <c r="D83" s="13" t="s">
        <v>1505</v>
      </c>
      <c r="E83" s="35">
        <f>COUNTIF(NodesData[Node ID],NodesData[[#This Row],[Node ID]])</f>
        <v>1</v>
      </c>
      <c r="F83" s="12" t="s">
        <v>1270</v>
      </c>
      <c r="G83" s="12" t="str">
        <f>IF(NodesData[[#This Row],[Class Disambiguation]]="",NodesData[[#This Row],[Common Name]],NodesData[[#This Row],[Common Name]]&amp;" ("&amp;NodesData[[#This Row],[Class Disambiguation]]&amp;")")</f>
        <v>CDD (Acronym)</v>
      </c>
      <c r="I83" s="12" t="s">
        <v>634</v>
      </c>
      <c r="J83" s="19" t="str" cm="1">
        <f t="array" ref="J83">CreateGuidString()</f>
        <v>BE6AA824-E094-4D4A-89A7-5093D9B934FC</v>
      </c>
    </row>
    <row r="84" spans="1:10" x14ac:dyDescent="0.35">
      <c r="A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4" s="35">
        <f>COUNTIF(NodesData[Unambiguous Name],NodesData[[#This Row],[Unambiguous Name]])</f>
        <v>1</v>
      </c>
      <c r="C84" s="12" t="s">
        <v>635</v>
      </c>
      <c r="D84" s="13" t="s">
        <v>1506</v>
      </c>
      <c r="E84" s="35">
        <f>COUNTIF(NodesData[Node ID],NodesData[[#This Row],[Node ID]])</f>
        <v>1</v>
      </c>
      <c r="G84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I84" s="12" t="s">
        <v>636</v>
      </c>
      <c r="J84" s="19" t="str" cm="1">
        <f t="array" ref="J84">CreateGuidString()</f>
        <v>7BA0D3A7-2865-4361-992D-5F45644D018B</v>
      </c>
    </row>
    <row r="85" spans="1:10" x14ac:dyDescent="0.35">
      <c r="A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85" s="35">
        <f>COUNTIF(NodesData[Unambiguous Name],NodesData[[#This Row],[Unambiguous Name]])</f>
        <v>1</v>
      </c>
      <c r="C85" s="12" t="s">
        <v>1316</v>
      </c>
      <c r="D85" s="13" t="s">
        <v>1507</v>
      </c>
      <c r="E85" s="35">
        <f>COUNTIF(NodesData[Node ID],NodesData[[#This Row],[Node ID]])</f>
        <v>1</v>
      </c>
      <c r="G85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J85" s="19" t="str" cm="1">
        <f t="array" ref="J85">CreateGuidString()</f>
        <v>EC2905C8-3C3F-4B9D-83C2-17A7079A781E</v>
      </c>
    </row>
    <row r="86" spans="1:10" x14ac:dyDescent="0.35">
      <c r="A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86" s="35">
        <f>COUNTIF(NodesData[Unambiguous Name],NodesData[[#This Row],[Unambiguous Name]])</f>
        <v>1</v>
      </c>
      <c r="C86" s="12" t="s">
        <v>637</v>
      </c>
      <c r="D86" s="13" t="s">
        <v>1508</v>
      </c>
      <c r="E86" s="35">
        <f>COUNTIF(NodesData[Node ID],NodesData[[#This Row],[Node ID]])</f>
        <v>1</v>
      </c>
      <c r="G86" s="12" t="str">
        <f>IF(NodesData[[#This Row],[Class Disambiguation]]="",NodesData[[#This Row],[Common Name]],NodesData[[#This Row],[Common Name]]&amp;" ("&amp;NodesData[[#This Row],[Class Disambiguation]]&amp;")")</f>
        <v>Certification</v>
      </c>
      <c r="I86" s="12" t="s">
        <v>638</v>
      </c>
      <c r="J86" s="19" t="str" cm="1">
        <f t="array" ref="J86">CreateGuidString()</f>
        <v>592E054E-C45E-4B26-B9D1-012AF5014B97</v>
      </c>
    </row>
    <row r="87" spans="1:10" x14ac:dyDescent="0.35">
      <c r="A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87" s="35">
        <f>COUNTIF(NodesData[Unambiguous Name],NodesData[[#This Row],[Unambiguous Name]])</f>
        <v>1</v>
      </c>
      <c r="C87" s="12" t="s">
        <v>91</v>
      </c>
      <c r="D87" s="13" t="s">
        <v>1509</v>
      </c>
      <c r="E87" s="35">
        <f>COUNTIF(NodesData[Node ID],NodesData[[#This Row],[Node ID]])</f>
        <v>1</v>
      </c>
      <c r="F87" s="12" t="s">
        <v>1270</v>
      </c>
      <c r="G87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I87" s="12" t="s">
        <v>639</v>
      </c>
      <c r="J87" s="19" t="str" cm="1">
        <f t="array" ref="J87">CreateGuidString()</f>
        <v>C03E1321-9B0A-41C7-B13C-A8D2B8051251</v>
      </c>
    </row>
    <row r="88" spans="1:10" x14ac:dyDescent="0.35">
      <c r="A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</v>
      </c>
      <c r="B88" s="35">
        <f>COUNTIF(NodesData[Unambiguous Name],NodesData[[#This Row],[Unambiguous Name]])</f>
        <v>1</v>
      </c>
      <c r="C88" s="12" t="s">
        <v>92</v>
      </c>
      <c r="D88" s="13" t="s">
        <v>1510</v>
      </c>
      <c r="E88" s="35">
        <f>COUNTIF(NodesData[Node ID],NodesData[[#This Row],[Node ID]])</f>
        <v>1</v>
      </c>
      <c r="G88" s="12" t="str">
        <f>IF(NodesData[[#This Row],[Class Disambiguation]]="",NodesData[[#This Row],[Common Name]],NodesData[[#This Row],[Common Name]]&amp;" ("&amp;NodesData[[#This Row],[Class Disambiguation]]&amp;")")</f>
        <v>Claim</v>
      </c>
      <c r="I88" s="12" t="s">
        <v>640</v>
      </c>
      <c r="J88" s="19" t="str" cm="1">
        <f t="array" ref="J88">CreateGuidString()</f>
        <v>E6F9113A-2956-4EF5-BBB9-AB009A20B8FC</v>
      </c>
    </row>
    <row r="89" spans="1:10" x14ac:dyDescent="0.35">
      <c r="A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89" s="35">
        <f>COUNTIF(NodesData[Unambiguous Name],NodesData[[#This Row],[Unambiguous Name]])</f>
        <v>1</v>
      </c>
      <c r="C89" s="12" t="s">
        <v>94</v>
      </c>
      <c r="D89" s="13" t="s">
        <v>1511</v>
      </c>
      <c r="E89" s="35">
        <f>COUNTIF(NodesData[Node ID],NodesData[[#This Row],[Node ID]])</f>
        <v>1</v>
      </c>
      <c r="G89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I89" s="12" t="s">
        <v>641</v>
      </c>
      <c r="J89" s="19" t="str" cm="1">
        <f t="array" ref="J89">CreateGuidString()</f>
        <v>04E3CC48-DEBD-4164-A295-4D747CFBBAD3</v>
      </c>
    </row>
    <row r="90" spans="1:10" x14ac:dyDescent="0.35">
      <c r="A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Claimant</v>
      </c>
      <c r="B90" s="35">
        <f>COUNTIF(NodesData[Unambiguous Name],NodesData[[#This Row],[Unambiguous Name]])</f>
        <v>1</v>
      </c>
      <c r="C90" s="12" t="s">
        <v>642</v>
      </c>
      <c r="D90" s="13" t="s">
        <v>1512</v>
      </c>
      <c r="E90" s="35">
        <f>COUNTIF(NodesData[Node ID],NodesData[[#This Row],[Node ID]])</f>
        <v>1</v>
      </c>
      <c r="G90" s="12" t="str">
        <f>IF(NodesData[[#This Row],[Class Disambiguation]]="",NodesData[[#This Row],[Common Name]],NodesData[[#This Row],[Common Name]]&amp;" ("&amp;NodesData[[#This Row],[Class Disambiguation]]&amp;")")</f>
        <v>Claimant</v>
      </c>
      <c r="I90" s="12" t="s">
        <v>643</v>
      </c>
      <c r="J90" s="19" t="str" cm="1">
        <f t="array" ref="J90">CreateGuidString()</f>
        <v>A22FE00C-AA0D-4C82-B196-1C7B3C21E7A5</v>
      </c>
    </row>
    <row r="91" spans="1:10" x14ac:dyDescent="0.35">
      <c r="A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1" s="35">
        <f>COUNTIF(NodesData[Unambiguous Name],NodesData[[#This Row],[Unambiguous Name]])</f>
        <v>1</v>
      </c>
      <c r="C91" s="12" t="s">
        <v>644</v>
      </c>
      <c r="D91" s="13" t="s">
        <v>1513</v>
      </c>
      <c r="E91" s="35">
        <f>COUNTIF(NodesData[Node ID],NodesData[[#This Row],[Node ID]])</f>
        <v>1</v>
      </c>
      <c r="G91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I91" s="12" t="s">
        <v>645</v>
      </c>
      <c r="J91" s="19" t="str" cm="1">
        <f t="array" ref="J91">CreateGuidString()</f>
        <v>A9D596C4-3427-408B-AE2D-E675E7A3CD4E</v>
      </c>
    </row>
    <row r="92" spans="1:10" x14ac:dyDescent="0.35">
      <c r="A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2" s="35">
        <f>COUNTIF(NodesData[Unambiguous Name],NodesData[[#This Row],[Unambiguous Name]])</f>
        <v>1</v>
      </c>
      <c r="C92" s="12" t="s">
        <v>96</v>
      </c>
      <c r="D92" s="13" t="s">
        <v>1514</v>
      </c>
      <c r="E92" s="35">
        <f>COUNTIF(NodesData[Node ID],NodesData[[#This Row],[Node ID]])</f>
        <v>1</v>
      </c>
      <c r="G92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I92" s="12" t="s">
        <v>646</v>
      </c>
      <c r="J92" s="19" t="str" cm="1">
        <f t="array" ref="J92">CreateGuidString()</f>
        <v>AF0F4613-0817-4A05-AA28-6CFC94C68DAC</v>
      </c>
    </row>
    <row r="93" spans="1:10" x14ac:dyDescent="0.35">
      <c r="A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3" s="35">
        <f>COUNTIF(NodesData[Unambiguous Name],NodesData[[#This Row],[Unambiguous Name]])</f>
        <v>1</v>
      </c>
      <c r="C93" s="12" t="s">
        <v>647</v>
      </c>
      <c r="D93" s="13" t="s">
        <v>1515</v>
      </c>
      <c r="E93" s="35">
        <f>COUNTIF(NodesData[Node ID],NodesData[[#This Row],[Node ID]])</f>
        <v>1</v>
      </c>
      <c r="G93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I93" s="12" t="s">
        <v>648</v>
      </c>
      <c r="J93" s="19" t="str" cm="1">
        <f t="array" ref="J93">CreateGuidString()</f>
        <v>0982630D-25C9-486E-B661-DAF817EDBBBA</v>
      </c>
    </row>
    <row r="94" spans="1:10" x14ac:dyDescent="0.35">
      <c r="A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4" s="35">
        <f>COUNTIF(NodesData[Unambiguous Name],NodesData[[#This Row],[Unambiguous Name]])</f>
        <v>1</v>
      </c>
      <c r="C94" s="12" t="s">
        <v>649</v>
      </c>
      <c r="D94" s="13" t="s">
        <v>1516</v>
      </c>
      <c r="E94" s="35">
        <f>COUNTIF(NodesData[Node ID],NodesData[[#This Row],[Node ID]])</f>
        <v>1</v>
      </c>
      <c r="F94" s="12" t="s">
        <v>1270</v>
      </c>
      <c r="G94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I94" s="12" t="s">
        <v>650</v>
      </c>
      <c r="J94" s="19" t="str" cm="1">
        <f t="array" ref="J94">CreateGuidString()</f>
        <v>A24C5947-D9CB-4546-A469-14DF8F0F7363</v>
      </c>
    </row>
    <row r="95" spans="1:10" x14ac:dyDescent="0.35">
      <c r="A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95" s="35">
        <f>COUNTIF(NodesData[Unambiguous Name],NodesData[[#This Row],[Unambiguous Name]])</f>
        <v>1</v>
      </c>
      <c r="C95" s="12" t="s">
        <v>651</v>
      </c>
      <c r="D95" s="13" t="s">
        <v>1517</v>
      </c>
      <c r="E95" s="35">
        <f>COUNTIF(NodesData[Node ID],NodesData[[#This Row],[Node ID]])</f>
        <v>1</v>
      </c>
      <c r="G95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I95" s="12" t="s">
        <v>652</v>
      </c>
      <c r="J95" s="19" t="str" cm="1">
        <f t="array" ref="J95">CreateGuidString()</f>
        <v>C13C4682-E070-4F63-9C62-21B73DB5FE56</v>
      </c>
    </row>
    <row r="96" spans="1:10" x14ac:dyDescent="0.35">
      <c r="A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96" s="35">
        <f>COUNTIF(NodesData[Unambiguous Name],NodesData[[#This Row],[Unambiguous Name]])</f>
        <v>1</v>
      </c>
      <c r="C96" s="12" t="s">
        <v>653</v>
      </c>
      <c r="D96" s="13" t="s">
        <v>1518</v>
      </c>
      <c r="E96" s="35">
        <f>COUNTIF(NodesData[Node ID],NodesData[[#This Row],[Node ID]])</f>
        <v>1</v>
      </c>
      <c r="G96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I96" s="12" t="s">
        <v>654</v>
      </c>
      <c r="J96" s="19" t="str" cm="1">
        <f t="array" ref="J96">CreateGuidString()</f>
        <v>810C9D78-02B9-411B-9BC5-BF703AB8EABF</v>
      </c>
    </row>
    <row r="97" spans="1:10" x14ac:dyDescent="0.35">
      <c r="A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97" s="35">
        <f>COUNTIF(NodesData[Unambiguous Name],NodesData[[#This Row],[Unambiguous Name]])</f>
        <v>1</v>
      </c>
      <c r="C97" s="12" t="s">
        <v>101</v>
      </c>
      <c r="D97" s="13" t="s">
        <v>1519</v>
      </c>
      <c r="E97" s="35">
        <f>COUNTIF(NodesData[Node ID],NodesData[[#This Row],[Node ID]])</f>
        <v>1</v>
      </c>
      <c r="G97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I97" s="12" t="s">
        <v>655</v>
      </c>
      <c r="J97" s="19" t="str" cm="1">
        <f t="array" ref="J97">CreateGuidString()</f>
        <v>C52748DB-D892-4562-9E72-D7CC17ADC6F9</v>
      </c>
    </row>
    <row r="98" spans="1:10" x14ac:dyDescent="0.35">
      <c r="A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98" s="35">
        <f>COUNTIF(NodesData[Unambiguous Name],NodesData[[#This Row],[Unambiguous Name]])</f>
        <v>1</v>
      </c>
      <c r="C98" s="11" t="s">
        <v>1352</v>
      </c>
      <c r="D98" s="13" t="s">
        <v>1520</v>
      </c>
      <c r="E98" s="35">
        <f>COUNTIF(NodesData[Node ID],NodesData[[#This Row],[Node ID]])</f>
        <v>1</v>
      </c>
      <c r="G98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H98" s="18"/>
      <c r="J98" s="20" t="str" cm="1">
        <f t="array" ref="J98">CreateGuidString()</f>
        <v>280AA28E-AB45-49C1-BFD5-1BC861E7F82B</v>
      </c>
    </row>
    <row r="99" spans="1:10" x14ac:dyDescent="0.35">
      <c r="A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99" s="35">
        <f>COUNTIF(NodesData[Unambiguous Name],NodesData[[#This Row],[Unambiguous Name]])</f>
        <v>1</v>
      </c>
      <c r="C99" s="12" t="s">
        <v>656</v>
      </c>
      <c r="D99" s="13" t="s">
        <v>1521</v>
      </c>
      <c r="E99" s="35">
        <f>COUNTIF(NodesData[Node ID],NodesData[[#This Row],[Node ID]])</f>
        <v>1</v>
      </c>
      <c r="G99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I99" s="12" t="s">
        <v>657</v>
      </c>
      <c r="J99" s="19" t="str" cm="1">
        <f t="array" ref="J99">CreateGuidString()</f>
        <v>C32C08C9-C21D-418D-B3BA-DAA098374096</v>
      </c>
    </row>
    <row r="100" spans="1:10" x14ac:dyDescent="0.35">
      <c r="A1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0" s="35">
        <f>COUNTIF(NodesData[Unambiguous Name],NodesData[[#This Row],[Unambiguous Name]])</f>
        <v>1</v>
      </c>
      <c r="C100" s="12" t="s">
        <v>658</v>
      </c>
      <c r="D100" s="13" t="s">
        <v>1522</v>
      </c>
      <c r="E100" s="35">
        <f>COUNTIF(NodesData[Node ID],NodesData[[#This Row],[Node ID]])</f>
        <v>1</v>
      </c>
      <c r="G100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I100" s="12" t="s">
        <v>659</v>
      </c>
      <c r="J100" s="19" t="str" cm="1">
        <f t="array" ref="J100">CreateGuidString()</f>
        <v>F75656A9-9363-4977-9EE3-E721319C09EA</v>
      </c>
    </row>
    <row r="101" spans="1:10" x14ac:dyDescent="0.35">
      <c r="A1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1" s="35">
        <f>COUNTIF(NodesData[Unambiguous Name],NodesData[[#This Row],[Unambiguous Name]])</f>
        <v>1</v>
      </c>
      <c r="C101" s="12" t="s">
        <v>660</v>
      </c>
      <c r="D101" s="13" t="s">
        <v>1523</v>
      </c>
      <c r="E101" s="35">
        <f>COUNTIF(NodesData[Node ID],NodesData[[#This Row],[Node ID]])</f>
        <v>1</v>
      </c>
      <c r="G101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I101" s="12" t="s">
        <v>661</v>
      </c>
      <c r="J101" s="19" t="str" cm="1">
        <f t="array" ref="J101">CreateGuidString()</f>
        <v>B8442D70-47D0-4E90-A4E8-ADF42F9AA1BC</v>
      </c>
    </row>
    <row r="102" spans="1:10" x14ac:dyDescent="0.35">
      <c r="A1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2" s="35">
        <f>COUNTIF(NodesData[Unambiguous Name],NodesData[[#This Row],[Unambiguous Name]])</f>
        <v>1</v>
      </c>
      <c r="C102" s="12" t="s">
        <v>662</v>
      </c>
      <c r="D102" s="13" t="s">
        <v>1524</v>
      </c>
      <c r="E102" s="35">
        <f>COUNTIF(NodesData[Node ID],NodesData[[#This Row],[Node ID]])</f>
        <v>1</v>
      </c>
      <c r="G102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I102" s="12" t="s">
        <v>663</v>
      </c>
      <c r="J102" s="19" t="str" cm="1">
        <f t="array" ref="J102">CreateGuidString()</f>
        <v>7E26068C-96D0-4268-94F8-D6C3FFC5F2B8</v>
      </c>
    </row>
    <row r="103" spans="1:10" x14ac:dyDescent="0.35">
      <c r="A1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3" s="35">
        <f>COUNTIF(NodesData[Unambiguous Name],NodesData[[#This Row],[Unambiguous Name]])</f>
        <v>1</v>
      </c>
      <c r="C103" s="11" t="s">
        <v>1337</v>
      </c>
      <c r="D103" s="13" t="s">
        <v>1525</v>
      </c>
      <c r="E103" s="35">
        <f>COUNTIF(NodesData[Node ID],NodesData[[#This Row],[Node ID]])</f>
        <v>1</v>
      </c>
      <c r="G103" s="18" t="str">
        <f>IF(NodesData[[#This Row],[Class Disambiguation]]="",NodesData[[#This Row],[Common Name]],NodesData[[#This Row],[Common Name]]&amp;" ("&amp;NodesData[[#This Row],[Class Disambiguation]]&amp;")")</f>
        <v>Control Class</v>
      </c>
      <c r="H103" s="18"/>
      <c r="J103" s="20" t="str" cm="1">
        <f t="array" ref="J103">CreateGuidString()</f>
        <v>5F791B44-8718-49F2-A2CC-FE0FB6639171</v>
      </c>
    </row>
    <row r="104" spans="1:10" x14ac:dyDescent="0.35">
      <c r="A1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4" s="35">
        <f>COUNTIF(NodesData[Unambiguous Name],NodesData[[#This Row],[Unambiguous Name]])</f>
        <v>1</v>
      </c>
      <c r="C104" s="12" t="s">
        <v>664</v>
      </c>
      <c r="D104" s="13" t="s">
        <v>1526</v>
      </c>
      <c r="E104" s="35">
        <f>COUNTIF(NodesData[Node ID],NodesData[[#This Row],[Node ID]])</f>
        <v>1</v>
      </c>
      <c r="G104" s="12" t="str">
        <f>IF(NodesData[[#This Row],[Class Disambiguation]]="",NodesData[[#This Row],[Common Name]],NodesData[[#This Row],[Common Name]]&amp;" ("&amp;NodesData[[#This Row],[Class Disambiguation]]&amp;")")</f>
        <v>Control Party</v>
      </c>
      <c r="I104" s="12" t="s">
        <v>665</v>
      </c>
      <c r="J104" s="19" t="str" cm="1">
        <f t="array" ref="J104">CreateGuidString()</f>
        <v>32A96E8F-00E0-4B00-9365-86AEB29BA499</v>
      </c>
    </row>
    <row r="105" spans="1:10" x14ac:dyDescent="0.35">
      <c r="A1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05" s="35">
        <f>COUNTIF(NodesData[Unambiguous Name],NodesData[[#This Row],[Unambiguous Name]])</f>
        <v>1</v>
      </c>
      <c r="C105" s="12" t="s">
        <v>666</v>
      </c>
      <c r="D105" s="13" t="s">
        <v>1527</v>
      </c>
      <c r="E105" s="35">
        <f>COUNTIF(NodesData[Node ID],NodesData[[#This Row],[Node ID]])</f>
        <v>1</v>
      </c>
      <c r="G105" s="12" t="str">
        <f>IF(NodesData[[#This Row],[Class Disambiguation]]="",NodesData[[#This Row],[Common Name]],NodesData[[#This Row],[Common Name]]&amp;" ("&amp;NodesData[[#This Row],[Class Disambiguation]]&amp;")")</f>
        <v>Core Identity</v>
      </c>
      <c r="I105" s="12" t="s">
        <v>667</v>
      </c>
      <c r="J105" s="19" t="str" cm="1">
        <f t="array" ref="J105">CreateGuidString()</f>
        <v>9E0717FA-4ABA-4597-8F4E-F85C27A2411F</v>
      </c>
    </row>
    <row r="106" spans="1:10" x14ac:dyDescent="0.35">
      <c r="A1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06" s="35">
        <f>COUNTIF(NodesData[Unambiguous Name],NodesData[[#This Row],[Unambiguous Name]])</f>
        <v>1</v>
      </c>
      <c r="C106" s="12" t="s">
        <v>117</v>
      </c>
      <c r="D106" s="13" t="s">
        <v>1528</v>
      </c>
      <c r="E106" s="35">
        <f>COUNTIF(NodesData[Node ID],NodesData[[#This Row],[Node ID]])</f>
        <v>1</v>
      </c>
      <c r="G106" s="12" t="str">
        <f>IF(NodesData[[#This Row],[Class Disambiguation]]="",NodesData[[#This Row],[Common Name]],NodesData[[#This Row],[Common Name]]&amp;" ("&amp;NodesData[[#This Row],[Class Disambiguation]]&amp;")")</f>
        <v>Credential</v>
      </c>
      <c r="I106" s="12" t="s">
        <v>668</v>
      </c>
      <c r="J106" s="19" t="str" cm="1">
        <f t="array" ref="J106">CreateGuidString()</f>
        <v>F776CDDB-EE5B-46A2-9193-A9494CC82F6D</v>
      </c>
    </row>
    <row r="107" spans="1:10" x14ac:dyDescent="0.35">
      <c r="A1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07" s="35">
        <f>COUNTIF(NodesData[Unambiguous Name],NodesData[[#This Row],[Unambiguous Name]])</f>
        <v>1</v>
      </c>
      <c r="C107" s="12" t="s">
        <v>118</v>
      </c>
      <c r="D107" s="13" t="s">
        <v>1529</v>
      </c>
      <c r="E107" s="35">
        <f>COUNTIF(NodesData[Node ID],NodesData[[#This Row],[Node ID]])</f>
        <v>1</v>
      </c>
      <c r="G107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I107" s="12" t="s">
        <v>669</v>
      </c>
      <c r="J107" s="19" t="str" cm="1">
        <f t="array" ref="J107">CreateGuidString()</f>
        <v>BB4FD4F3-0866-4D93-B2F5-3EA9128DE349</v>
      </c>
    </row>
    <row r="108" spans="1:10" x14ac:dyDescent="0.35">
      <c r="A1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08" s="35">
        <f>COUNTIF(NodesData[Unambiguous Name],NodesData[[#This Row],[Unambiguous Name]])</f>
        <v>1</v>
      </c>
      <c r="C108" s="12" t="s">
        <v>670</v>
      </c>
      <c r="D108" s="13" t="s">
        <v>1530</v>
      </c>
      <c r="E108" s="35">
        <f>COUNTIF(NodesData[Node ID],NodesData[[#This Row],[Node ID]])</f>
        <v>1</v>
      </c>
      <c r="G108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I108" s="12" t="s">
        <v>671</v>
      </c>
      <c r="J108" s="19" t="str" cm="1">
        <f t="array" ref="J108">CreateGuidString()</f>
        <v>15F0DEA4-C5DA-40AD-883B-B04783C934A6</v>
      </c>
    </row>
    <row r="109" spans="1:10" x14ac:dyDescent="0.35">
      <c r="A1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09" s="35">
        <f>COUNTIF(NodesData[Unambiguous Name],NodesData[[#This Row],[Unambiguous Name]])</f>
        <v>1</v>
      </c>
      <c r="C109" s="12" t="s">
        <v>120</v>
      </c>
      <c r="D109" s="13" t="s">
        <v>1531</v>
      </c>
      <c r="E109" s="35">
        <f>COUNTIF(NodesData[Node ID],NodesData[[#This Row],[Node ID]])</f>
        <v>1</v>
      </c>
      <c r="G109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I109" s="12" t="s">
        <v>672</v>
      </c>
      <c r="J109" s="19" t="str" cm="1">
        <f t="array" ref="J109">CreateGuidString()</f>
        <v>E2C30795-B320-47ED-83AB-1990E1539ABC</v>
      </c>
    </row>
    <row r="110" spans="1:10" x14ac:dyDescent="0.35">
      <c r="A1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0" s="35">
        <f>COUNTIF(NodesData[Unambiguous Name],NodesData[[#This Row],[Unambiguous Name]])</f>
        <v>1</v>
      </c>
      <c r="C110" s="12" t="s">
        <v>673</v>
      </c>
      <c r="D110" s="13" t="s">
        <v>1532</v>
      </c>
      <c r="E110" s="35">
        <f>COUNTIF(NodesData[Node ID],NodesData[[#This Row],[Node ID]])</f>
        <v>1</v>
      </c>
      <c r="G110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I110" s="12" t="s">
        <v>674</v>
      </c>
      <c r="J110" s="19" t="str" cm="1">
        <f t="array" ref="J110">CreateGuidString()</f>
        <v>57AD9529-690F-4805-B802-E1100D039FEA</v>
      </c>
    </row>
    <row r="111" spans="1:10" x14ac:dyDescent="0.35">
      <c r="A1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1" s="35">
        <f>COUNTIF(NodesData[Unambiguous Name],NodesData[[#This Row],[Unambiguous Name]])</f>
        <v>1</v>
      </c>
      <c r="C111" s="12" t="s">
        <v>675</v>
      </c>
      <c r="D111" s="13" t="s">
        <v>1533</v>
      </c>
      <c r="E111" s="35">
        <f>COUNTIF(NodesData[Node ID],NodesData[[#This Row],[Node ID]])</f>
        <v>1</v>
      </c>
      <c r="G111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I111" s="12" t="s">
        <v>676</v>
      </c>
      <c r="J111" s="19" t="str" cm="1">
        <f t="array" ref="J111">CreateGuidString()</f>
        <v>447217D7-2C03-4271-B327-CFD28C6DAC1F</v>
      </c>
    </row>
    <row r="112" spans="1:10" x14ac:dyDescent="0.35">
      <c r="A1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2" s="35">
        <f>COUNTIF(NodesData[Unambiguous Name],NodesData[[#This Row],[Unambiguous Name]])</f>
        <v>1</v>
      </c>
      <c r="C112" s="12" t="s">
        <v>123</v>
      </c>
      <c r="D112" s="13" t="s">
        <v>1534</v>
      </c>
      <c r="E112" s="35">
        <f>COUNTIF(NodesData[Node ID],NodesData[[#This Row],[Node ID]])</f>
        <v>1</v>
      </c>
      <c r="F112" s="12" t="s">
        <v>1270</v>
      </c>
      <c r="G112" s="12" t="str">
        <f>IF(NodesData[[#This Row],[Class Disambiguation]]="",NodesData[[#This Row],[Common Name]],NodesData[[#This Row],[Common Name]]&amp;" ("&amp;NodesData[[#This Row],[Class Disambiguation]]&amp;")")</f>
        <v>CSC (Acronym)</v>
      </c>
      <c r="I112" s="12" t="s">
        <v>677</v>
      </c>
      <c r="J112" s="19" t="str" cm="1">
        <f t="array" ref="J112">CreateGuidString()</f>
        <v>BE271CC7-BBE0-4DB2-9720-3B29FFBE36CC</v>
      </c>
    </row>
    <row r="113" spans="1:10" x14ac:dyDescent="0.35">
      <c r="A1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3" s="35">
        <f>COUNTIF(NodesData[Unambiguous Name],NodesData[[#This Row],[Unambiguous Name]])</f>
        <v>1</v>
      </c>
      <c r="C113" s="12" t="s">
        <v>124</v>
      </c>
      <c r="D113" s="13" t="s">
        <v>1535</v>
      </c>
      <c r="E113" s="35">
        <f>COUNTIF(NodesData[Node ID],NodesData[[#This Row],[Node ID]])</f>
        <v>1</v>
      </c>
      <c r="F113" s="12" t="s">
        <v>1270</v>
      </c>
      <c r="G113" s="12" t="str">
        <f>IF(NodesData[[#This Row],[Class Disambiguation]]="",NodesData[[#This Row],[Common Name]],NodesData[[#This Row],[Common Name]]&amp;" ("&amp;NodesData[[#This Row],[Class Disambiguation]]&amp;")")</f>
        <v>CSP (Acronym)</v>
      </c>
      <c r="I113" s="12" t="s">
        <v>678</v>
      </c>
      <c r="J113" s="19" t="str" cm="1">
        <f t="array" ref="J113">CreateGuidString()</f>
        <v>E0D78B03-C98D-4F60-A5FB-56E62E2986EF</v>
      </c>
    </row>
    <row r="114" spans="1:10" x14ac:dyDescent="0.35">
      <c r="A1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4" s="35">
        <f>COUNTIF(NodesData[Unambiguous Name],NodesData[[#This Row],[Unambiguous Name]])</f>
        <v>1</v>
      </c>
      <c r="C114" s="12" t="s">
        <v>125</v>
      </c>
      <c r="D114" s="13" t="s">
        <v>1536</v>
      </c>
      <c r="E114" s="35">
        <f>COUNTIF(NodesData[Node ID],NodesData[[#This Row],[Node ID]])</f>
        <v>1</v>
      </c>
      <c r="F114" s="12" t="s">
        <v>1270</v>
      </c>
      <c r="G114" s="12" t="str">
        <f>IF(NodesData[[#This Row],[Class Disambiguation]]="",NodesData[[#This Row],[Common Name]],NodesData[[#This Row],[Common Name]]&amp;" ("&amp;NodesData[[#This Row],[Class Disambiguation]]&amp;")")</f>
        <v>CSU (Acronym)</v>
      </c>
      <c r="I114" s="12" t="s">
        <v>679</v>
      </c>
      <c r="J114" s="19" t="str" cm="1">
        <f t="array" ref="J114">CreateGuidString()</f>
        <v>8F4F3268-AE0C-4A96-BB5B-CAA79C4CD021</v>
      </c>
    </row>
    <row r="115" spans="1:10" x14ac:dyDescent="0.35">
      <c r="A1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15" s="35">
        <f>COUNTIF(NodesData[Unambiguous Name],NodesData[[#This Row],[Unambiguous Name]])</f>
        <v>1</v>
      </c>
      <c r="C115" s="12" t="s">
        <v>680</v>
      </c>
      <c r="D115" s="13" t="s">
        <v>1537</v>
      </c>
      <c r="E115" s="35">
        <f>COUNTIF(NodesData[Node ID],NodesData[[#This Row],[Node ID]])</f>
        <v>1</v>
      </c>
      <c r="G115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I115" s="12" t="s">
        <v>681</v>
      </c>
      <c r="J115" s="19" t="str" cm="1">
        <f t="array" ref="J115">CreateGuidString()</f>
        <v>D51472FB-2640-49C8-9297-14A270710580</v>
      </c>
    </row>
    <row r="116" spans="1:10" x14ac:dyDescent="0.35">
      <c r="A1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16" s="35">
        <f>COUNTIF(NodesData[Unambiguous Name],NodesData[[#This Row],[Unambiguous Name]])</f>
        <v>1</v>
      </c>
      <c r="C116" s="12" t="s">
        <v>682</v>
      </c>
      <c r="D116" s="13" t="s">
        <v>1538</v>
      </c>
      <c r="E116" s="35">
        <f>COUNTIF(NodesData[Node ID],NodesData[[#This Row],[Node ID]])</f>
        <v>1</v>
      </c>
      <c r="G116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I116" s="12" t="s">
        <v>683</v>
      </c>
      <c r="J116" s="19" t="str" cm="1">
        <f t="array" ref="J116">CreateGuidString()</f>
        <v>3CB96DD8-62AD-4BB6-A264-0DD6DB47CABC</v>
      </c>
    </row>
    <row r="117" spans="1:10" x14ac:dyDescent="0.35">
      <c r="A1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17" s="35">
        <f>COUNTIF(NodesData[Unambiguous Name],NodesData[[#This Row],[Unambiguous Name]])</f>
        <v>1</v>
      </c>
      <c r="C117" s="12" t="s">
        <v>684</v>
      </c>
      <c r="D117" s="13" t="s">
        <v>1539</v>
      </c>
      <c r="E117" s="35">
        <f>COUNTIF(NodesData[Node ID],NodesData[[#This Row],[Node ID]])</f>
        <v>1</v>
      </c>
      <c r="G117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I117" s="12" t="s">
        <v>685</v>
      </c>
      <c r="J117" s="19" t="str" cm="1">
        <f t="array" ref="J117">CreateGuidString()</f>
        <v>ED45F113-B884-4A0C-AB3E-B58CB81531E5</v>
      </c>
    </row>
    <row r="118" spans="1:10" x14ac:dyDescent="0.35">
      <c r="A1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18" s="35">
        <f>COUNTIF(NodesData[Unambiguous Name],NodesData[[#This Row],[Unambiguous Name]])</f>
        <v>1</v>
      </c>
      <c r="C118" s="12" t="s">
        <v>686</v>
      </c>
      <c r="D118" s="13" t="s">
        <v>1540</v>
      </c>
      <c r="E118" s="35">
        <f>COUNTIF(NodesData[Node ID],NodesData[[#This Row],[Node ID]])</f>
        <v>1</v>
      </c>
      <c r="G118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I118" s="12" t="s">
        <v>687</v>
      </c>
      <c r="J118" s="19" t="str" cm="1">
        <f t="array" ref="J118">CreateGuidString()</f>
        <v>3062D8D4-9482-424C-AF34-9782778EEE31</v>
      </c>
    </row>
    <row r="119" spans="1:10" x14ac:dyDescent="0.35">
      <c r="A1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19" s="35">
        <f>COUNTIF(NodesData[Unambiguous Name],NodesData[[#This Row],[Unambiguous Name]])</f>
        <v>1</v>
      </c>
      <c r="C119" s="12" t="s">
        <v>688</v>
      </c>
      <c r="D119" s="13" t="s">
        <v>1541</v>
      </c>
      <c r="E119" s="35">
        <f>COUNTIF(NodesData[Node ID],NodesData[[#This Row],[Node ID]])</f>
        <v>1</v>
      </c>
      <c r="G119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I119" s="12" t="s">
        <v>689</v>
      </c>
      <c r="J119" s="19" t="str" cm="1">
        <f t="array" ref="J119">CreateGuidString()</f>
        <v>1B8205B0-5726-4081-9BAF-4E6B1B768993</v>
      </c>
    </row>
    <row r="120" spans="1:10" x14ac:dyDescent="0.35">
      <c r="A1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0" s="35">
        <f>COUNTIF(NodesData[Unambiguous Name],NodesData[[#This Row],[Unambiguous Name]])</f>
        <v>1</v>
      </c>
      <c r="C120" s="12" t="s">
        <v>690</v>
      </c>
      <c r="D120" s="13" t="s">
        <v>1542</v>
      </c>
      <c r="E120" s="35">
        <f>COUNTIF(NodesData[Node ID],NodesData[[#This Row],[Node ID]])</f>
        <v>1</v>
      </c>
      <c r="G120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I120" s="12" t="s">
        <v>691</v>
      </c>
      <c r="J120" s="19" t="str" cm="1">
        <f t="array" ref="J120">CreateGuidString()</f>
        <v>A59F20FC-88A8-45B7-8133-C17AF7CD91AD</v>
      </c>
    </row>
    <row r="121" spans="1:10" x14ac:dyDescent="0.35">
      <c r="A1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1" s="35">
        <f>COUNTIF(NodesData[Unambiguous Name],NodesData[[#This Row],[Unambiguous Name]])</f>
        <v>1</v>
      </c>
      <c r="C121" s="12" t="s">
        <v>132</v>
      </c>
      <c r="D121" s="13" t="s">
        <v>1543</v>
      </c>
      <c r="E121" s="35">
        <f>COUNTIF(NodesData[Node ID],NodesData[[#This Row],[Node ID]])</f>
        <v>1</v>
      </c>
      <c r="G121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I121" s="12" t="s">
        <v>692</v>
      </c>
      <c r="J121" s="19" t="str" cm="1">
        <f t="array" ref="J121">CreateGuidString()</f>
        <v>6B79E001-45A5-41F3-A1A6-E6587878B4D6</v>
      </c>
    </row>
    <row r="122" spans="1:10" x14ac:dyDescent="0.35">
      <c r="A1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2" s="35">
        <f>COUNTIF(NodesData[Unambiguous Name],NodesData[[#This Row],[Unambiguous Name]])</f>
        <v>1</v>
      </c>
      <c r="C122" s="12" t="s">
        <v>133</v>
      </c>
      <c r="D122" s="13" t="s">
        <v>1544</v>
      </c>
      <c r="E122" s="35">
        <f>COUNTIF(NodesData[Node ID],NodesData[[#This Row],[Node ID]])</f>
        <v>1</v>
      </c>
      <c r="F122" s="12" t="s">
        <v>1270</v>
      </c>
      <c r="G122" s="12" t="str">
        <f>IF(NodesData[[#This Row],[Class Disambiguation]]="",NodesData[[#This Row],[Common Name]],NodesData[[#This Row],[Common Name]]&amp;" ("&amp;NodesData[[#This Row],[Class Disambiguation]]&amp;")")</f>
        <v>DAC (Acronym)</v>
      </c>
      <c r="I122" s="12" t="s">
        <v>693</v>
      </c>
      <c r="J122" s="19" t="str" cm="1">
        <f t="array" ref="J122">CreateGuidString()</f>
        <v>4DB55C9C-8AA3-41F8-B945-EB1252E5EC96</v>
      </c>
    </row>
    <row r="123" spans="1:10" x14ac:dyDescent="0.35">
      <c r="A1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</v>
      </c>
      <c r="B123" s="35">
        <f>COUNTIF(NodesData[Unambiguous Name],NodesData[[#This Row],[Unambiguous Name]])</f>
        <v>1</v>
      </c>
      <c r="C123" s="12" t="s">
        <v>1345</v>
      </c>
      <c r="D123" s="13" t="s">
        <v>1545</v>
      </c>
      <c r="E123" s="35">
        <f>COUNTIF(NodesData[Node ID],NodesData[[#This Row],[Node ID]])</f>
        <v>1</v>
      </c>
      <c r="G123" s="18" t="str">
        <f>IF(NodesData[[#This Row],[Class Disambiguation]]="",NodesData[[#This Row],[Common Name]],NodesData[[#This Row],[Common Name]]&amp;" ("&amp;NodesData[[#This Row],[Class Disambiguation]]&amp;")")</f>
        <v>Data</v>
      </c>
      <c r="H123" s="18"/>
      <c r="J123" s="19" t="str" cm="1">
        <f t="array" ref="J123">CreateGuidString()</f>
        <v>B2E2636D-8393-4364-968A-BDD203C9C0AC</v>
      </c>
    </row>
    <row r="124" spans="1:10" x14ac:dyDescent="0.35">
      <c r="A1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4" s="35">
        <f>COUNTIF(NodesData[Unambiguous Name],NodesData[[#This Row],[Unambiguous Name]])</f>
        <v>1</v>
      </c>
      <c r="C124" s="12" t="s">
        <v>134</v>
      </c>
      <c r="D124" s="13" t="s">
        <v>1546</v>
      </c>
      <c r="E124" s="35">
        <f>COUNTIF(NodesData[Node ID],NodesData[[#This Row],[Node ID]])</f>
        <v>1</v>
      </c>
      <c r="G124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I124" s="12" t="s">
        <v>694</v>
      </c>
      <c r="J124" s="19" t="str" cm="1">
        <f t="array" ref="J124">CreateGuidString()</f>
        <v>D9C26054-9F8E-4D05-A071-5A06F06F1BD0</v>
      </c>
    </row>
    <row r="125" spans="1:10" x14ac:dyDescent="0.35">
      <c r="A1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25" s="35">
        <f>COUNTIF(NodesData[Unambiguous Name],NodesData[[#This Row],[Unambiguous Name]])</f>
        <v>1</v>
      </c>
      <c r="C125" s="12" t="s">
        <v>695</v>
      </c>
      <c r="D125" s="13" t="s">
        <v>1547</v>
      </c>
      <c r="E125" s="35">
        <f>COUNTIF(NodesData[Node ID],NodesData[[#This Row],[Node ID]])</f>
        <v>1</v>
      </c>
      <c r="G125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I125" s="12" t="s">
        <v>696</v>
      </c>
      <c r="J125" s="19" t="str" cm="1">
        <f t="array" ref="J125">CreateGuidString()</f>
        <v>DACEC4AF-D157-4FF3-9114-7402649BFADA</v>
      </c>
    </row>
    <row r="126" spans="1:10" x14ac:dyDescent="0.35">
      <c r="A1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26" s="35">
        <f>COUNTIF(NodesData[Unambiguous Name],NodesData[[#This Row],[Unambiguous Name]])</f>
        <v>1</v>
      </c>
      <c r="C126" s="12" t="s">
        <v>697</v>
      </c>
      <c r="D126" s="13" t="s">
        <v>1548</v>
      </c>
      <c r="E126" s="35">
        <f>COUNTIF(NodesData[Node ID],NodesData[[#This Row],[Node ID]])</f>
        <v>1</v>
      </c>
      <c r="G126" s="12" t="str">
        <f>IF(NodesData[[#This Row],[Class Disambiguation]]="",NodesData[[#This Row],[Common Name]],NodesData[[#This Row],[Common Name]]&amp;" ("&amp;NodesData[[#This Row],[Class Disambiguation]]&amp;")")</f>
        <v>Data Lineage</v>
      </c>
      <c r="I126" s="12" t="s">
        <v>698</v>
      </c>
      <c r="J126" s="19" t="str" cm="1">
        <f t="array" ref="J126">CreateGuidString()</f>
        <v>2B749E01-A2A6-41CA-B754-80ABB035800C</v>
      </c>
    </row>
    <row r="127" spans="1:10" x14ac:dyDescent="0.35">
      <c r="A1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27" s="35">
        <f>COUNTIF(NodesData[Unambiguous Name],NodesData[[#This Row],[Unambiguous Name]])</f>
        <v>1</v>
      </c>
      <c r="C127" s="12" t="s">
        <v>699</v>
      </c>
      <c r="D127" s="13" t="s">
        <v>1549</v>
      </c>
      <c r="E127" s="35">
        <f>COUNTIF(NodesData[Node ID],NodesData[[#This Row],[Node ID]])</f>
        <v>1</v>
      </c>
      <c r="G127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I127" s="12" t="s">
        <v>700</v>
      </c>
      <c r="J127" s="19" t="str" cm="1">
        <f t="array" ref="J127">CreateGuidString()</f>
        <v>A238E30D-3EC3-4D75-B12A-E579199659AC</v>
      </c>
    </row>
    <row r="128" spans="1:10" x14ac:dyDescent="0.35">
      <c r="A1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28" s="35">
        <f>COUNTIF(NodesData[Unambiguous Name],NodesData[[#This Row],[Unambiguous Name]])</f>
        <v>1</v>
      </c>
      <c r="C128" s="12" t="s">
        <v>1346</v>
      </c>
      <c r="D128" s="13" t="s">
        <v>1550</v>
      </c>
      <c r="E128" s="35">
        <f>COUNTIF(NodesData[Node ID],NodesData[[#This Row],[Node ID]])</f>
        <v>1</v>
      </c>
      <c r="G128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H128" s="18"/>
      <c r="J128" s="20" t="str" cm="1">
        <f t="array" ref="J128">CreateGuidString()</f>
        <v>3CBB156B-E08A-4BAE-877D-DA2993755475</v>
      </c>
    </row>
    <row r="129" spans="1:10" x14ac:dyDescent="0.35">
      <c r="A1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29" s="35">
        <f>COUNTIF(NodesData[Unambiguous Name],NodesData[[#This Row],[Unambiguous Name]])</f>
        <v>1</v>
      </c>
      <c r="C129" s="12" t="s">
        <v>701</v>
      </c>
      <c r="D129" s="13" t="s">
        <v>1551</v>
      </c>
      <c r="E129" s="35">
        <f>COUNTIF(NodesData[Node ID],NodesData[[#This Row],[Node ID]])</f>
        <v>1</v>
      </c>
      <c r="G129" s="12" t="str">
        <f>IF(NodesData[[#This Row],[Class Disambiguation]]="",NodesData[[#This Row],[Common Name]],NodesData[[#This Row],[Common Name]]&amp;" ("&amp;NodesData[[#This Row],[Class Disambiguation]]&amp;")")</f>
        <v>Data Owner</v>
      </c>
      <c r="I129" s="12" t="s">
        <v>702</v>
      </c>
      <c r="J129" s="19" t="str" cm="1">
        <f t="array" ref="J129">CreateGuidString()</f>
        <v>57D1CBB6-D37B-4178-A7A8-9E7BDD3448D4</v>
      </c>
    </row>
    <row r="130" spans="1:10" x14ac:dyDescent="0.35">
      <c r="A1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0" s="35">
        <f>COUNTIF(NodesData[Unambiguous Name],NodesData[[#This Row],[Unambiguous Name]])</f>
        <v>1</v>
      </c>
      <c r="C130" s="12" t="s">
        <v>703</v>
      </c>
      <c r="D130" s="13" t="s">
        <v>1552</v>
      </c>
      <c r="E130" s="35">
        <f>COUNTIF(NodesData[Node ID],NodesData[[#This Row],[Node ID]])</f>
        <v>1</v>
      </c>
      <c r="G130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I130" s="12" t="s">
        <v>704</v>
      </c>
      <c r="J130" s="19" t="str" cm="1">
        <f t="array" ref="J130">CreateGuidString()</f>
        <v>5D452057-1350-4CCC-91F0-AA12C565C1F0</v>
      </c>
    </row>
    <row r="131" spans="1:10" x14ac:dyDescent="0.35">
      <c r="A1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1" s="35">
        <f>COUNTIF(NodesData[Unambiguous Name],NodesData[[#This Row],[Unambiguous Name]])</f>
        <v>1</v>
      </c>
      <c r="C131" s="12" t="s">
        <v>705</v>
      </c>
      <c r="D131" s="13" t="s">
        <v>1553</v>
      </c>
      <c r="E131" s="35">
        <f>COUNTIF(NodesData[Node ID],NodesData[[#This Row],[Node ID]])</f>
        <v>1</v>
      </c>
      <c r="G131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I131" s="12" t="s">
        <v>706</v>
      </c>
      <c r="J131" s="19" t="str" cm="1">
        <f t="array" ref="J131">CreateGuidString()</f>
        <v>59FC40F9-DC67-4E69-9C02-9E9BDD8A3196</v>
      </c>
    </row>
    <row r="132" spans="1:10" x14ac:dyDescent="0.35">
      <c r="A1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2" s="35">
        <f>COUNTIF(NodesData[Unambiguous Name],NodesData[[#This Row],[Unambiguous Name]])</f>
        <v>1</v>
      </c>
      <c r="C132" s="12" t="s">
        <v>707</v>
      </c>
      <c r="D132" s="13" t="s">
        <v>1554</v>
      </c>
      <c r="E132" s="35">
        <f>COUNTIF(NodesData[Node ID],NodesData[[#This Row],[Node ID]])</f>
        <v>1</v>
      </c>
      <c r="G132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I132" s="12" t="s">
        <v>708</v>
      </c>
      <c r="J132" s="19" t="str" cm="1">
        <f t="array" ref="J132">CreateGuidString()</f>
        <v>EE45754D-0B39-4995-B813-C37ADCAF3EAE</v>
      </c>
    </row>
    <row r="133" spans="1:10" x14ac:dyDescent="0.35">
      <c r="A1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3" s="35">
        <f>COUNTIF(NodesData[Unambiguous Name],NodesData[[#This Row],[Unambiguous Name]])</f>
        <v>1</v>
      </c>
      <c r="C133" s="12" t="s">
        <v>709</v>
      </c>
      <c r="D133" s="13" t="s">
        <v>1555</v>
      </c>
      <c r="E133" s="35">
        <f>COUNTIF(NodesData[Node ID],NodesData[[#This Row],[Node ID]])</f>
        <v>1</v>
      </c>
      <c r="G133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I133" s="12" t="s">
        <v>710</v>
      </c>
      <c r="J133" s="19" t="str" cm="1">
        <f t="array" ref="J133">CreateGuidString()</f>
        <v>26ABDD18-A0CF-479A-AD40-BE0B6255A5F4</v>
      </c>
    </row>
    <row r="134" spans="1:10" x14ac:dyDescent="0.35">
      <c r="A1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4" s="35">
        <f>COUNTIF(NodesData[Unambiguous Name],NodesData[[#This Row],[Unambiguous Name]])</f>
        <v>1</v>
      </c>
      <c r="C134" s="12" t="s">
        <v>711</v>
      </c>
      <c r="D134" s="13" t="s">
        <v>1556</v>
      </c>
      <c r="E134" s="35">
        <f>COUNTIF(NodesData[Node ID],NodesData[[#This Row],[Node ID]])</f>
        <v>1</v>
      </c>
      <c r="G134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I134" s="12" t="s">
        <v>712</v>
      </c>
      <c r="J134" s="19" t="str" cm="1">
        <f t="array" ref="J134">CreateGuidString()</f>
        <v>8771BC7B-0FCE-4488-B767-CF21FF83D1DD</v>
      </c>
    </row>
    <row r="135" spans="1:10" x14ac:dyDescent="0.35">
      <c r="A1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35" s="35">
        <f>COUNTIF(NodesData[Unambiguous Name],NodesData[[#This Row],[Unambiguous Name]])</f>
        <v>1</v>
      </c>
      <c r="C135" s="12" t="s">
        <v>145</v>
      </c>
      <c r="D135" s="13" t="s">
        <v>1557</v>
      </c>
      <c r="E135" s="35">
        <f>COUNTIF(NodesData[Node ID],NodesData[[#This Row],[Node ID]])</f>
        <v>1</v>
      </c>
      <c r="F135" s="12" t="s">
        <v>1270</v>
      </c>
      <c r="G135" s="12" t="str">
        <f>IF(NodesData[[#This Row],[Class Disambiguation]]="",NodesData[[#This Row],[Common Name]],NodesData[[#This Row],[Common Name]]&amp;" ("&amp;NodesData[[#This Row],[Class Disambiguation]]&amp;")")</f>
        <v>DID (Acronym)</v>
      </c>
      <c r="I135" s="12" t="s">
        <v>713</v>
      </c>
      <c r="J135" s="19" t="str" cm="1">
        <f t="array" ref="J135">CreateGuidString()</f>
        <v>A4AC3170-A06F-4E63-8547-EA8FE96B1432</v>
      </c>
    </row>
    <row r="136" spans="1:10" x14ac:dyDescent="0.35">
      <c r="A1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36" s="35">
        <f>COUNTIF(NodesData[Unambiguous Name],NodesData[[#This Row],[Unambiguous Name]])</f>
        <v>1</v>
      </c>
      <c r="C136" s="12" t="s">
        <v>714</v>
      </c>
      <c r="D136" s="13" t="s">
        <v>1558</v>
      </c>
      <c r="E136" s="35">
        <f>COUNTIF(NodesData[Node ID],NodesData[[#This Row],[Node ID]])</f>
        <v>1</v>
      </c>
      <c r="G136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I136" s="12" t="s">
        <v>715</v>
      </c>
      <c r="J136" s="19" t="str" cm="1">
        <f t="array" ref="J136">CreateGuidString()</f>
        <v>233BD637-3E94-4B77-B9D4-21B5C482CA9C</v>
      </c>
    </row>
    <row r="137" spans="1:10" x14ac:dyDescent="0.35">
      <c r="A1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37" s="35">
        <f>COUNTIF(NodesData[Unambiguous Name],NodesData[[#This Row],[Unambiguous Name]])</f>
        <v>1</v>
      </c>
      <c r="C137" s="12" t="s">
        <v>147</v>
      </c>
      <c r="D137" s="13" t="s">
        <v>1559</v>
      </c>
      <c r="E137" s="35">
        <f>COUNTIF(NodesData[Node ID],NodesData[[#This Row],[Node ID]])</f>
        <v>1</v>
      </c>
      <c r="G137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I137" s="12" t="s">
        <v>716</v>
      </c>
      <c r="J137" s="19" t="str" cm="1">
        <f t="array" ref="J137">CreateGuidString()</f>
        <v>BC8DCD27-F2A3-4029-BF89-F1C4E38309F8</v>
      </c>
    </row>
    <row r="138" spans="1:10" x14ac:dyDescent="0.35">
      <c r="A1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138" s="35">
        <f>COUNTIF(NodesData[Unambiguous Name],NodesData[[#This Row],[Unambiguous Name]])</f>
        <v>1</v>
      </c>
      <c r="C138" s="12" t="s">
        <v>148</v>
      </c>
      <c r="D138" s="13" t="s">
        <v>1439</v>
      </c>
      <c r="E138" s="35">
        <f>COUNTIF(NodesData[Node ID],NodesData[[#This Row],[Node ID]])</f>
        <v>1</v>
      </c>
      <c r="G138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H138" s="18" t="s">
        <v>4</v>
      </c>
      <c r="I138" s="12" t="s">
        <v>717</v>
      </c>
      <c r="J138" s="19" t="str" cm="1">
        <f t="array" ref="J138">CreateGuidString()</f>
        <v>71BD6304-5D0F-447F-98D5-6D44C3612C50</v>
      </c>
    </row>
    <row r="139" spans="1:10" x14ac:dyDescent="0.35">
      <c r="A1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39" s="35">
        <f>COUNTIF(NodesData[Unambiguous Name],NodesData[[#This Row],[Unambiguous Name]])</f>
        <v>1</v>
      </c>
      <c r="C139" s="12" t="s">
        <v>148</v>
      </c>
      <c r="D139" s="13" t="s">
        <v>1560</v>
      </c>
      <c r="E139" s="35">
        <f>COUNTIF(NodesData[Node ID],NodesData[[#This Row],[Node ID]])</f>
        <v>1</v>
      </c>
      <c r="G139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H139" s="18"/>
      <c r="I139" s="12" t="s">
        <v>717</v>
      </c>
      <c r="J139" s="20" t="str" cm="1">
        <f t="array" ref="J139">CreateGuidString()</f>
        <v>376D6B4D-99E3-4192-861D-122C55BE5F78</v>
      </c>
    </row>
    <row r="140" spans="1:10" x14ac:dyDescent="0.35">
      <c r="A1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0" s="35">
        <f>COUNTIF(NodesData[Unambiguous Name],NodesData[[#This Row],[Unambiguous Name]])</f>
        <v>1</v>
      </c>
      <c r="C140" s="12" t="s">
        <v>149</v>
      </c>
      <c r="D140" s="13" t="s">
        <v>1561</v>
      </c>
      <c r="E140" s="35">
        <f>COUNTIF(NodesData[Node ID],NodesData[[#This Row],[Node ID]])</f>
        <v>1</v>
      </c>
      <c r="G140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I140" s="12" t="s">
        <v>718</v>
      </c>
      <c r="J140" s="19" t="str" cm="1">
        <f t="array" ref="J140">CreateGuidString()</f>
        <v>36DEE7F6-5A3C-43E1-B61B-8EC137B16E10</v>
      </c>
    </row>
    <row r="141" spans="1:10" x14ac:dyDescent="0.35">
      <c r="A1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1" s="35">
        <f>COUNTIF(NodesData[Unambiguous Name],NodesData[[#This Row],[Unambiguous Name]])</f>
        <v>1</v>
      </c>
      <c r="C141" s="12" t="s">
        <v>719</v>
      </c>
      <c r="D141" s="13" t="s">
        <v>1562</v>
      </c>
      <c r="E141" s="35">
        <f>COUNTIF(NodesData[Node ID],NodesData[[#This Row],[Node ID]])</f>
        <v>1</v>
      </c>
      <c r="G141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I141" s="12" t="s">
        <v>720</v>
      </c>
      <c r="J141" s="19" t="str" cm="1">
        <f t="array" ref="J141">CreateGuidString()</f>
        <v>111FECA6-EF3A-41C8-A745-811E8E2F4A5E</v>
      </c>
    </row>
    <row r="142" spans="1:10" x14ac:dyDescent="0.35">
      <c r="A1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2" s="35">
        <f>COUNTIF(NodesData[Unambiguous Name],NodesData[[#This Row],[Unambiguous Name]])</f>
        <v>1</v>
      </c>
      <c r="C142" s="12" t="s">
        <v>721</v>
      </c>
      <c r="D142" s="13" t="s">
        <v>1563</v>
      </c>
      <c r="E142" s="35">
        <f>COUNTIF(NodesData[Node ID],NodesData[[#This Row],[Node ID]])</f>
        <v>1</v>
      </c>
      <c r="G142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I142" s="12" t="s">
        <v>722</v>
      </c>
      <c r="J142" s="19" t="str" cm="1">
        <f t="array" ref="J142">CreateGuidString()</f>
        <v>C761D4EA-9AE8-411C-8268-BD9DFF1AB26E</v>
      </c>
    </row>
    <row r="143" spans="1:10" x14ac:dyDescent="0.35">
      <c r="A1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3" s="35">
        <f>COUNTIF(NodesData[Unambiguous Name],NodesData[[#This Row],[Unambiguous Name]])</f>
        <v>1</v>
      </c>
      <c r="C143" s="12" t="s">
        <v>723</v>
      </c>
      <c r="D143" s="13" t="s">
        <v>1564</v>
      </c>
      <c r="E143" s="35">
        <f>COUNTIF(NodesData[Node ID],NodesData[[#This Row],[Node ID]])</f>
        <v>1</v>
      </c>
      <c r="G143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I143" s="12" t="s">
        <v>724</v>
      </c>
      <c r="J143" s="19" t="str" cm="1">
        <f t="array" ref="J143">CreateGuidString()</f>
        <v>5B35543D-C84C-499E-8CE6-9A9DE85D0BE6</v>
      </c>
    </row>
    <row r="144" spans="1:10" x14ac:dyDescent="0.35">
      <c r="A1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4" s="35">
        <f>COUNTIF(NodesData[Unambiguous Name],NodesData[[#This Row],[Unambiguous Name]])</f>
        <v>1</v>
      </c>
      <c r="C144" s="12" t="s">
        <v>725</v>
      </c>
      <c r="D144" s="13" t="s">
        <v>1565</v>
      </c>
      <c r="E144" s="35">
        <f>COUNTIF(NodesData[Node ID],NodesData[[#This Row],[Node ID]])</f>
        <v>1</v>
      </c>
      <c r="G144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I144" s="12" t="s">
        <v>726</v>
      </c>
      <c r="J144" s="19" t="str" cm="1">
        <f t="array" ref="J144">CreateGuidString()</f>
        <v>1523E101-4F3B-413C-9CD4-F46603415263</v>
      </c>
    </row>
    <row r="145" spans="1:10" x14ac:dyDescent="0.35">
      <c r="A1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5" s="35">
        <f>COUNTIF(NodesData[Unambiguous Name],NodesData[[#This Row],[Unambiguous Name]])</f>
        <v>1</v>
      </c>
      <c r="C145" s="12" t="s">
        <v>727</v>
      </c>
      <c r="D145" s="13" t="s">
        <v>1566</v>
      </c>
      <c r="E145" s="35">
        <f>COUNTIF(NodesData[Node ID],NodesData[[#This Row],[Node ID]])</f>
        <v>1</v>
      </c>
      <c r="G145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I145" s="12" t="s">
        <v>728</v>
      </c>
      <c r="J145" s="19" t="str" cm="1">
        <f t="array" ref="J145">CreateGuidString()</f>
        <v>9CBF6C9C-4944-4D6E-9D4F-A8449D1F66F7</v>
      </c>
    </row>
    <row r="146" spans="1:10" x14ac:dyDescent="0.35">
      <c r="A1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46" s="35">
        <f>COUNTIF(NodesData[Unambiguous Name],NodesData[[#This Row],[Unambiguous Name]])</f>
        <v>1</v>
      </c>
      <c r="C146" s="12" t="s">
        <v>729</v>
      </c>
      <c r="D146" s="13" t="s">
        <v>1567</v>
      </c>
      <c r="E146" s="35">
        <f>COUNTIF(NodesData[Node ID],NodesData[[#This Row],[Node ID]])</f>
        <v>1</v>
      </c>
      <c r="F146" s="12" t="s">
        <v>1270</v>
      </c>
      <c r="G146" s="12" t="str">
        <f>IF(NodesData[[#This Row],[Class Disambiguation]]="",NodesData[[#This Row],[Common Name]],NodesData[[#This Row],[Common Name]]&amp;" ("&amp;NodesData[[#This Row],[Class Disambiguation]]&amp;")")</f>
        <v>ECS (Acronym)</v>
      </c>
      <c r="I146" s="12" t="s">
        <v>730</v>
      </c>
      <c r="J146" s="19" t="str" cm="1">
        <f t="array" ref="J146">CreateGuidString()</f>
        <v>1D2CC28F-1033-41BA-999F-6B05D558CDE3</v>
      </c>
    </row>
    <row r="147" spans="1:10" x14ac:dyDescent="0.35">
      <c r="A1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47" s="35">
        <f>COUNTIF(NodesData[Unambiguous Name],NodesData[[#This Row],[Unambiguous Name]])</f>
        <v>1</v>
      </c>
      <c r="C147" s="12" t="s">
        <v>731</v>
      </c>
      <c r="D147" s="13" t="s">
        <v>1568</v>
      </c>
      <c r="E147" s="35">
        <f>COUNTIF(NodesData[Node ID],NodesData[[#This Row],[Node ID]])</f>
        <v>1</v>
      </c>
      <c r="F147" s="12" t="s">
        <v>1270</v>
      </c>
      <c r="G147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I147" s="12" t="s">
        <v>732</v>
      </c>
      <c r="J147" s="19" t="str" cm="1">
        <f t="array" ref="J147">CreateGuidString()</f>
        <v>D6E5A5AE-D083-407C-9210-FA5F0C600BED</v>
      </c>
    </row>
    <row r="148" spans="1:10" x14ac:dyDescent="0.35">
      <c r="A1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48" s="35">
        <f>COUNTIF(NodesData[Unambiguous Name],NodesData[[#This Row],[Unambiguous Name]])</f>
        <v>1</v>
      </c>
      <c r="C148" s="12" t="s">
        <v>733</v>
      </c>
      <c r="D148" s="13" t="s">
        <v>1569</v>
      </c>
      <c r="E148" s="35">
        <f>COUNTIF(NodesData[Node ID],NodesData[[#This Row],[Node ID]])</f>
        <v>1</v>
      </c>
      <c r="F148" s="12" t="s">
        <v>1270</v>
      </c>
      <c r="G148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I148" s="12" t="s">
        <v>734</v>
      </c>
      <c r="J148" s="19" t="str" cm="1">
        <f t="array" ref="J148">CreateGuidString()</f>
        <v>621DA1C1-A1BA-44E9-AC7C-2EDA407689A7</v>
      </c>
    </row>
    <row r="149" spans="1:10" x14ac:dyDescent="0.35">
      <c r="A1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49" s="35">
        <f>COUNTIF(NodesData[Unambiguous Name],NodesData[[#This Row],[Unambiguous Name]])</f>
        <v>1</v>
      </c>
      <c r="C149" s="12" t="s">
        <v>1317</v>
      </c>
      <c r="D149" s="13" t="s">
        <v>1570</v>
      </c>
      <c r="E149" s="35">
        <f>COUNTIF(NodesData[Node ID],NodesData[[#This Row],[Node ID]])</f>
        <v>1</v>
      </c>
      <c r="G149" s="12" t="str">
        <f>IF(NodesData[[#This Row],[Class Disambiguation]]="",NodesData[[#This Row],[Common Name]],NodesData[[#This Row],[Common Name]]&amp;" ("&amp;NodesData[[#This Row],[Class Disambiguation]]&amp;")")</f>
        <v>Email OTP</v>
      </c>
      <c r="J149" s="19" t="str" cm="1">
        <f t="array" ref="J149">CreateGuidString()</f>
        <v>AF34841D-0717-4AAF-9965-FBF0CB4AFDB9</v>
      </c>
    </row>
    <row r="150" spans="1:10" x14ac:dyDescent="0.35">
      <c r="A1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0" s="35">
        <f>COUNTIF(NodesData[Unambiguous Name],NodesData[[#This Row],[Unambiguous Name]])</f>
        <v>1</v>
      </c>
      <c r="C150" s="12" t="s">
        <v>735</v>
      </c>
      <c r="D150" s="13" t="s">
        <v>1571</v>
      </c>
      <c r="E150" s="35">
        <f>COUNTIF(NodesData[Node ID],NodesData[[#This Row],[Node ID]])</f>
        <v>1</v>
      </c>
      <c r="G150" s="12" t="str">
        <f>IF(NodesData[[#This Row],[Class Disambiguation]]="",NodesData[[#This Row],[Common Name]],NodesData[[#This Row],[Common Name]]&amp;" ("&amp;NodesData[[#This Row],[Class Disambiguation]]&amp;")")</f>
        <v>Employee</v>
      </c>
      <c r="I150" s="12" t="s">
        <v>736</v>
      </c>
      <c r="J150" s="19" t="str" cm="1">
        <f t="array" ref="J150">CreateGuidString()</f>
        <v>A07D2912-D24C-4F62-A306-F7A5C9808566</v>
      </c>
    </row>
    <row r="151" spans="1:10" x14ac:dyDescent="0.35">
      <c r="A1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1" s="35">
        <f>COUNTIF(NodesData[Unambiguous Name],NodesData[[#This Row],[Unambiguous Name]])</f>
        <v>1</v>
      </c>
      <c r="C151" s="12" t="s">
        <v>737</v>
      </c>
      <c r="D151" s="13" t="s">
        <v>1572</v>
      </c>
      <c r="E151" s="35">
        <f>COUNTIF(NodesData[Node ID],NodesData[[#This Row],[Node ID]])</f>
        <v>1</v>
      </c>
      <c r="G151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I151" s="12" t="s">
        <v>738</v>
      </c>
      <c r="J151" s="19" t="str" cm="1">
        <f t="array" ref="J151">CreateGuidString()</f>
        <v>6A588370-86BD-486B-9E11-806B8B9E56AD</v>
      </c>
    </row>
    <row r="152" spans="1:10" x14ac:dyDescent="0.35">
      <c r="A1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2" s="35">
        <f>COUNTIF(NodesData[Unambiguous Name],NodesData[[#This Row],[Unambiguous Name]])</f>
        <v>1</v>
      </c>
      <c r="C152" s="12" t="s">
        <v>739</v>
      </c>
      <c r="D152" s="13" t="s">
        <v>1573</v>
      </c>
      <c r="E152" s="35">
        <f>COUNTIF(NodesData[Node ID],NodesData[[#This Row],[Node ID]])</f>
        <v>1</v>
      </c>
      <c r="G152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I152" s="12" t="s">
        <v>740</v>
      </c>
      <c r="J152" s="19" t="str" cm="1">
        <f t="array" ref="J152">CreateGuidString()</f>
        <v>1637D1DE-A8E5-4C87-ABBF-0611F4792D3A</v>
      </c>
    </row>
    <row r="153" spans="1:10" x14ac:dyDescent="0.35">
      <c r="A1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3" s="35">
        <f>COUNTIF(NodesData[Unambiguous Name],NodesData[[#This Row],[Unambiguous Name]])</f>
        <v>1</v>
      </c>
      <c r="C153" s="12" t="s">
        <v>741</v>
      </c>
      <c r="D153" s="13" t="s">
        <v>1574</v>
      </c>
      <c r="E153" s="35">
        <f>COUNTIF(NodesData[Node ID],NodesData[[#This Row],[Node ID]])</f>
        <v>1</v>
      </c>
      <c r="G153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I153" s="12" t="s">
        <v>742</v>
      </c>
      <c r="J153" s="19" t="str" cm="1">
        <f t="array" ref="J153">CreateGuidString()</f>
        <v>BED8C58B-B661-48DC-9626-204E4415AB39</v>
      </c>
    </row>
    <row r="154" spans="1:10" x14ac:dyDescent="0.35">
      <c r="A1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4" s="35">
        <f>COUNTIF(NodesData[Unambiguous Name],NodesData[[#This Row],[Unambiguous Name]])</f>
        <v>1</v>
      </c>
      <c r="C154" s="12" t="s">
        <v>743</v>
      </c>
      <c r="D154" s="13" t="s">
        <v>1575</v>
      </c>
      <c r="E154" s="35">
        <f>COUNTIF(NodesData[Node ID],NodesData[[#This Row],[Node ID]])</f>
        <v>1</v>
      </c>
      <c r="G154" s="12" t="str">
        <f>IF(NodesData[[#This Row],[Class Disambiguation]]="",NodesData[[#This Row],[Common Name]],NodesData[[#This Row],[Common Name]]&amp;" ("&amp;NodesData[[#This Row],[Class Disambiguation]]&amp;")")</f>
        <v>Entitlement</v>
      </c>
      <c r="I154" s="12" t="s">
        <v>744</v>
      </c>
      <c r="J154" s="19" t="str" cm="1">
        <f t="array" ref="J154">CreateGuidString()</f>
        <v>F649AB51-62FE-4C72-8D57-4D57926698FB</v>
      </c>
    </row>
    <row r="155" spans="1:10" x14ac:dyDescent="0.35">
      <c r="A1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5" s="35">
        <f>COUNTIF(NodesData[Unambiguous Name],NodesData[[#This Row],[Unambiguous Name]])</f>
        <v>1</v>
      </c>
      <c r="C155" s="12" t="s">
        <v>745</v>
      </c>
      <c r="D155" s="13" t="s">
        <v>1576</v>
      </c>
      <c r="E155" s="35">
        <f>COUNTIF(NodesData[Node ID],NodesData[[#This Row],[Node ID]])</f>
        <v>1</v>
      </c>
      <c r="G155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I155" s="12" t="s">
        <v>746</v>
      </c>
      <c r="J155" s="19" t="str" cm="1">
        <f t="array" ref="J155">CreateGuidString()</f>
        <v>A4EE63E4-6D36-480A-B11D-81D651D4FD2B</v>
      </c>
    </row>
    <row r="156" spans="1:10" x14ac:dyDescent="0.35">
      <c r="A1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56" s="35">
        <f>COUNTIF(NodesData[Unambiguous Name],NodesData[[#This Row],[Unambiguous Name]])</f>
        <v>1</v>
      </c>
      <c r="C156" s="12" t="s">
        <v>747</v>
      </c>
      <c r="D156" s="13" t="s">
        <v>1577</v>
      </c>
      <c r="E156" s="35">
        <f>COUNTIF(NodesData[Node ID],NodesData[[#This Row],[Node ID]])</f>
        <v>1</v>
      </c>
      <c r="G156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I156" s="12" t="s">
        <v>748</v>
      </c>
      <c r="J156" s="19" t="str" cm="1">
        <f t="array" ref="J156">CreateGuidString()</f>
        <v>BB12E862-5B55-4F40-952C-A2FCB4DAA52B</v>
      </c>
    </row>
    <row r="157" spans="1:10" x14ac:dyDescent="0.35">
      <c r="A1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57" s="35">
        <f>COUNTIF(NodesData[Unambiguous Name],NodesData[[#This Row],[Unambiguous Name]])</f>
        <v>1</v>
      </c>
      <c r="C157" s="12" t="s">
        <v>749</v>
      </c>
      <c r="D157" s="13" t="s">
        <v>1578</v>
      </c>
      <c r="E157" s="35">
        <f>COUNTIF(NodesData[Node ID],NodesData[[#This Row],[Node ID]])</f>
        <v>1</v>
      </c>
      <c r="G157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I157" s="12" t="s">
        <v>750</v>
      </c>
      <c r="J157" s="19" t="str" cm="1">
        <f t="array" ref="J157">CreateGuidString()</f>
        <v>7BFF0634-2EB3-435C-96FA-10CB7FB18DA6</v>
      </c>
    </row>
    <row r="158" spans="1:10" x14ac:dyDescent="0.35">
      <c r="A1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58" s="35">
        <f>COUNTIF(NodesData[Unambiguous Name],NodesData[[#This Row],[Unambiguous Name]])</f>
        <v>1</v>
      </c>
      <c r="C158" s="12" t="s">
        <v>751</v>
      </c>
      <c r="D158" s="13" t="s">
        <v>1579</v>
      </c>
      <c r="E158" s="35">
        <f>COUNTIF(NodesData[Node ID],NodesData[[#This Row],[Node ID]])</f>
        <v>1</v>
      </c>
      <c r="G158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I158" s="12" t="s">
        <v>752</v>
      </c>
      <c r="J158" s="19" t="str" cm="1">
        <f t="array" ref="J158">CreateGuidString()</f>
        <v>353AE8F5-14E9-48A3-91D3-7555A3843BD7</v>
      </c>
    </row>
    <row r="159" spans="1:10" x14ac:dyDescent="0.35">
      <c r="A1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Entity</v>
      </c>
      <c r="B159" s="35">
        <f>COUNTIF(NodesData[Unambiguous Name],NodesData[[#This Row],[Unambiguous Name]])</f>
        <v>1</v>
      </c>
      <c r="C159" s="12" t="s">
        <v>753</v>
      </c>
      <c r="D159" s="13" t="s">
        <v>1580</v>
      </c>
      <c r="E159" s="35">
        <f>COUNTIF(NodesData[Node ID],NodesData[[#This Row],[Node ID]])</f>
        <v>1</v>
      </c>
      <c r="G159" s="12" t="str">
        <f>IF(NodesData[[#This Row],[Class Disambiguation]]="",NodesData[[#This Row],[Common Name]],NodesData[[#This Row],[Common Name]]&amp;" ("&amp;NodesData[[#This Row],[Class Disambiguation]]&amp;")")</f>
        <v>Entity</v>
      </c>
      <c r="I159" s="12" t="s">
        <v>754</v>
      </c>
      <c r="J159" s="19" t="str" cm="1">
        <f t="array" ref="J159">CreateGuidString()</f>
        <v>6E865789-4BAE-459C-9638-26CB9BB70F91</v>
      </c>
    </row>
    <row r="160" spans="1:10" x14ac:dyDescent="0.35">
      <c r="A1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0" s="35">
        <f>COUNTIF(NodesData[Unambiguous Name],NodesData[[#This Row],[Unambiguous Name]])</f>
        <v>1</v>
      </c>
      <c r="C160" s="12" t="s">
        <v>755</v>
      </c>
      <c r="D160" s="13" t="s">
        <v>1581</v>
      </c>
      <c r="E160" s="35">
        <f>COUNTIF(NodesData[Node ID],NodesData[[#This Row],[Node ID]])</f>
        <v>1</v>
      </c>
      <c r="F160" s="12" t="s">
        <v>1270</v>
      </c>
      <c r="G160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I160" s="12" t="s">
        <v>756</v>
      </c>
      <c r="J160" s="19" t="str" cm="1">
        <f t="array" ref="J160">CreateGuidString()</f>
        <v>C4023703-F9E7-4C2C-AA1D-CB6AA6BD9CE1</v>
      </c>
    </row>
    <row r="161" spans="1:10" x14ac:dyDescent="0.35">
      <c r="A1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1" s="35">
        <f>COUNTIF(NodesData[Unambiguous Name],NodesData[[#This Row],[Unambiguous Name]])</f>
        <v>1</v>
      </c>
      <c r="C161" s="12" t="s">
        <v>757</v>
      </c>
      <c r="D161" s="13" t="s">
        <v>1582</v>
      </c>
      <c r="E161" s="35">
        <f>COUNTIF(NodesData[Node ID],NodesData[[#This Row],[Node ID]])</f>
        <v>1</v>
      </c>
      <c r="G161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I161" s="12" t="s">
        <v>758</v>
      </c>
      <c r="J161" s="19" t="str" cm="1">
        <f t="array" ref="J161">CreateGuidString()</f>
        <v>8113B897-FCA3-4D68-B632-6FE25CEB7EF2</v>
      </c>
    </row>
    <row r="162" spans="1:10" x14ac:dyDescent="0.35">
      <c r="A1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2" s="35">
        <f>COUNTIF(NodesData[Unambiguous Name],NodesData[[#This Row],[Unambiguous Name]])</f>
        <v>1</v>
      </c>
      <c r="C162" s="12" t="s">
        <v>759</v>
      </c>
      <c r="D162" s="13" t="s">
        <v>1583</v>
      </c>
      <c r="E162" s="35">
        <f>COUNTIF(NodesData[Node ID],NodesData[[#This Row],[Node ID]])</f>
        <v>1</v>
      </c>
      <c r="G162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I162" s="12" t="s">
        <v>760</v>
      </c>
      <c r="J162" s="19" t="str" cm="1">
        <f t="array" ref="J162">CreateGuidString()</f>
        <v>B1CE4509-8A1C-4E91-9BB5-ECB736EBB2A4</v>
      </c>
    </row>
    <row r="163" spans="1:10" x14ac:dyDescent="0.35">
      <c r="A1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3" s="35">
        <f>COUNTIF(NodesData[Unambiguous Name],NodesData[[#This Row],[Unambiguous Name]])</f>
        <v>1</v>
      </c>
      <c r="C163" s="12" t="s">
        <v>761</v>
      </c>
      <c r="D163" s="13" t="s">
        <v>1584</v>
      </c>
      <c r="E163" s="35">
        <f>COUNTIF(NodesData[Node ID],NodesData[[#This Row],[Node ID]])</f>
        <v>1</v>
      </c>
      <c r="G163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I163" s="12" t="s">
        <v>762</v>
      </c>
      <c r="J163" s="19" t="str" cm="1">
        <f t="array" ref="J163">CreateGuidString()</f>
        <v>395C9271-F9CD-4834-A622-04B12DF19BE6</v>
      </c>
    </row>
    <row r="164" spans="1:10" x14ac:dyDescent="0.35">
      <c r="A1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4" s="35">
        <f>COUNTIF(NodesData[Unambiguous Name],NodesData[[#This Row],[Unambiguous Name]])</f>
        <v>1</v>
      </c>
      <c r="C164" s="12" t="s">
        <v>763</v>
      </c>
      <c r="D164" s="13" t="s">
        <v>1585</v>
      </c>
      <c r="E164" s="35">
        <f>COUNTIF(NodesData[Node ID],NodesData[[#This Row],[Node ID]])</f>
        <v>1</v>
      </c>
      <c r="G164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I164" s="12" t="s">
        <v>764</v>
      </c>
      <c r="J164" s="19" t="str" cm="1">
        <f t="array" ref="J164">CreateGuidString()</f>
        <v>447D9743-BECE-415C-AC2E-97490016B2F8</v>
      </c>
    </row>
    <row r="165" spans="1:10" x14ac:dyDescent="0.35">
      <c r="A1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5" s="35">
        <f>COUNTIF(NodesData[Unambiguous Name],NodesData[[#This Row],[Unambiguous Name]])</f>
        <v>1</v>
      </c>
      <c r="C165" s="12" t="s">
        <v>765</v>
      </c>
      <c r="D165" s="13" t="s">
        <v>1586</v>
      </c>
      <c r="E165" s="35">
        <f>COUNTIF(NodesData[Node ID],NodesData[[#This Row],[Node ID]])</f>
        <v>1</v>
      </c>
      <c r="G165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I165" s="12" t="s">
        <v>766</v>
      </c>
      <c r="J165" s="19" t="str" cm="1">
        <f t="array" ref="J165">CreateGuidString()</f>
        <v>D40ECD64-24DA-4798-9251-45AF50D80B13</v>
      </c>
    </row>
    <row r="166" spans="1:10" x14ac:dyDescent="0.35">
      <c r="A1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66" s="35">
        <f>COUNTIF(NodesData[Unambiguous Name],NodesData[[#This Row],[Unambiguous Name]])</f>
        <v>1</v>
      </c>
      <c r="C166" s="12" t="s">
        <v>1366</v>
      </c>
      <c r="D166" s="13" t="s">
        <v>1587</v>
      </c>
      <c r="E166" s="35">
        <f>COUNTIF(NodesData[Node ID],NodesData[[#This Row],[Node ID]])</f>
        <v>1</v>
      </c>
      <c r="G166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H166" s="18"/>
      <c r="J166" s="20" t="str" cm="1">
        <f t="array" ref="J166">CreateGuidString()</f>
        <v>45CAC042-7CE0-4BA2-B7B7-37F7107770DE</v>
      </c>
    </row>
    <row r="167" spans="1:10" x14ac:dyDescent="0.35">
      <c r="A1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67" s="35">
        <f>COUNTIF(NodesData[Unambiguous Name],NodesData[[#This Row],[Unambiguous Name]])</f>
        <v>1</v>
      </c>
      <c r="C167" s="12" t="s">
        <v>1304</v>
      </c>
      <c r="D167" s="13" t="s">
        <v>1588</v>
      </c>
      <c r="E167" s="35">
        <f>COUNTIF(NodesData[Node ID],NodesData[[#This Row],[Node ID]])</f>
        <v>1</v>
      </c>
      <c r="G167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J167" s="19" t="str" cm="1">
        <f t="array" ref="J167">CreateGuidString()</f>
        <v>FD6ADE30-776D-405A-9D47-89C9864F2BFD</v>
      </c>
    </row>
    <row r="168" spans="1:10" x14ac:dyDescent="0.35">
      <c r="A1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68" s="35">
        <f>COUNTIF(NodesData[Unambiguous Name],NodesData[[#This Row],[Unambiguous Name]])</f>
        <v>1</v>
      </c>
      <c r="C168" s="12" t="s">
        <v>178</v>
      </c>
      <c r="D168" s="13" t="s">
        <v>1589</v>
      </c>
      <c r="E168" s="35">
        <f>COUNTIF(NodesData[Node ID],NodesData[[#This Row],[Node ID]])</f>
        <v>1</v>
      </c>
      <c r="G168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I168" s="12" t="s">
        <v>767</v>
      </c>
      <c r="J168" s="19" t="str" cm="1">
        <f t="array" ref="J168">CreateGuidString()</f>
        <v>944FFF25-3EB4-46B1-834F-C5D29EA4EAE7</v>
      </c>
    </row>
    <row r="169" spans="1:10" x14ac:dyDescent="0.35">
      <c r="A169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Fake Identity</v>
      </c>
      <c r="B169" s="43">
        <f>COUNTIF(NodesData[Unambiguous Name],NodesData[[#This Row],[Unambiguous Name]])</f>
        <v>1</v>
      </c>
      <c r="C169" s="12" t="s">
        <v>1990</v>
      </c>
      <c r="D169" s="13" t="s">
        <v>1998</v>
      </c>
      <c r="E169" s="43">
        <f>COUNTIF(NodesData[Node ID],NodesData[[#This Row],[Node ID]])</f>
        <v>1</v>
      </c>
      <c r="G169" s="18" t="str">
        <f>IF(NodesData[[#This Row],[Class Disambiguation]]="",NodesData[[#This Row],[Common Name]],NodesData[[#This Row],[Common Name]]&amp;" ("&amp;NodesData[[#This Row],[Class Disambiguation]]&amp;")")</f>
        <v>Fake Identity</v>
      </c>
      <c r="J169" s="20" t="str" cm="1">
        <f t="array" ref="J169">CreateGuidString()</f>
        <v>FFAF2EE1-D9DE-4B8B-8A9C-EA4BB61848BD</v>
      </c>
    </row>
    <row r="170" spans="1:10" x14ac:dyDescent="0.35">
      <c r="A1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0" s="35">
        <f>COUNTIF(NodesData[Unambiguous Name],NodesData[[#This Row],[Unambiguous Name]])</f>
        <v>1</v>
      </c>
      <c r="C170" s="12" t="s">
        <v>179</v>
      </c>
      <c r="D170" s="13" t="s">
        <v>1590</v>
      </c>
      <c r="E170" s="35">
        <f>COUNTIF(NodesData[Node ID],NodesData[[#This Row],[Node ID]])</f>
        <v>1</v>
      </c>
      <c r="F170" s="12" t="s">
        <v>1270</v>
      </c>
      <c r="G170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I170" s="12" t="s">
        <v>768</v>
      </c>
      <c r="J170" s="19" t="str" cm="1">
        <f t="array" ref="J170">CreateGuidString()</f>
        <v>17743529-100B-45EC-A272-5E3EE076EC8F</v>
      </c>
    </row>
    <row r="171" spans="1:10" x14ac:dyDescent="0.35">
      <c r="A1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1" s="35">
        <f>COUNTIF(NodesData[Unambiguous Name],NodesData[[#This Row],[Unambiguous Name]])</f>
        <v>1</v>
      </c>
      <c r="C171" s="12" t="s">
        <v>769</v>
      </c>
      <c r="D171" s="13" t="s">
        <v>1591</v>
      </c>
      <c r="E171" s="35">
        <f>COUNTIF(NodesData[Node ID],NodesData[[#This Row],[Node ID]])</f>
        <v>1</v>
      </c>
      <c r="G171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I171" s="12" t="s">
        <v>770</v>
      </c>
      <c r="J171" s="19" t="str" cm="1">
        <f t="array" ref="J171">CreateGuidString()</f>
        <v>1B930020-6309-403B-9F46-1A1464D5F2C1</v>
      </c>
    </row>
    <row r="172" spans="1:10" x14ac:dyDescent="0.35">
      <c r="A1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2" s="35">
        <f>COUNTIF(NodesData[Unambiguous Name],NodesData[[#This Row],[Unambiguous Name]])</f>
        <v>1</v>
      </c>
      <c r="C172" s="12" t="s">
        <v>771</v>
      </c>
      <c r="D172" s="13" t="s">
        <v>1592</v>
      </c>
      <c r="E172" s="35">
        <f>COUNTIF(NodesData[Node ID],NodesData[[#This Row],[Node ID]])</f>
        <v>1</v>
      </c>
      <c r="G172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I172" s="12" t="s">
        <v>772</v>
      </c>
      <c r="J172" s="19" t="str" cm="1">
        <f t="array" ref="J172">CreateGuidString()</f>
        <v>89354506-9A82-4DF6-A3A7-ACAA1F13A54B</v>
      </c>
    </row>
    <row r="173" spans="1:10" x14ac:dyDescent="0.35">
      <c r="A1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3" s="35">
        <f>COUNTIF(NodesData[Unambiguous Name],NodesData[[#This Row],[Unambiguous Name]])</f>
        <v>1</v>
      </c>
      <c r="C173" s="12" t="s">
        <v>773</v>
      </c>
      <c r="D173" s="13" t="s">
        <v>1593</v>
      </c>
      <c r="E173" s="35">
        <f>COUNTIF(NodesData[Node ID],NodesData[[#This Row],[Node ID]])</f>
        <v>1</v>
      </c>
      <c r="G173" s="12" t="str">
        <f>IF(NodesData[[#This Row],[Class Disambiguation]]="",NodesData[[#This Row],[Common Name]],NodesData[[#This Row],[Common Name]]&amp;" ("&amp;NodesData[[#This Row],[Class Disambiguation]]&amp;")")</f>
        <v>Federated SSO</v>
      </c>
      <c r="I173" s="12" t="s">
        <v>774</v>
      </c>
      <c r="J173" s="19" t="str" cm="1">
        <f t="array" ref="J173">CreateGuidString()</f>
        <v>4BBEA830-C696-4B30-8C3D-0CD923B409DB</v>
      </c>
    </row>
    <row r="174" spans="1:10" x14ac:dyDescent="0.35">
      <c r="A1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4" s="35">
        <f>COUNTIF(NodesData[Unambiguous Name],NodesData[[#This Row],[Unambiguous Name]])</f>
        <v>1</v>
      </c>
      <c r="C174" s="12" t="s">
        <v>775</v>
      </c>
      <c r="D174" s="13" t="s">
        <v>1594</v>
      </c>
      <c r="E174" s="35">
        <f>COUNTIF(NodesData[Node ID],NodesData[[#This Row],[Node ID]])</f>
        <v>1</v>
      </c>
      <c r="G174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I174" s="12" t="s">
        <v>776</v>
      </c>
      <c r="J174" s="19" t="str" cm="1">
        <f t="array" ref="J174">CreateGuidString()</f>
        <v>F898C458-F00E-44D4-AA42-379F506E499C</v>
      </c>
    </row>
    <row r="175" spans="1:10" x14ac:dyDescent="0.35">
      <c r="A1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5" s="35">
        <f>COUNTIF(NodesData[Unambiguous Name],NodesData[[#This Row],[Unambiguous Name]])</f>
        <v>1</v>
      </c>
      <c r="C175" s="12" t="s">
        <v>777</v>
      </c>
      <c r="D175" s="13" t="s">
        <v>1595</v>
      </c>
      <c r="E175" s="35">
        <f>COUNTIF(NodesData[Node ID],NodesData[[#This Row],[Node ID]])</f>
        <v>1</v>
      </c>
      <c r="F175" s="12" t="s">
        <v>1270</v>
      </c>
      <c r="G175" s="12" t="str">
        <f>IF(NodesData[[#This Row],[Class Disambiguation]]="",NodesData[[#This Row],[Common Name]],NodesData[[#This Row],[Common Name]]&amp;" ("&amp;NodesData[[#This Row],[Class Disambiguation]]&amp;")")</f>
        <v>FIM (Acronym)</v>
      </c>
      <c r="I175" s="12" t="s">
        <v>778</v>
      </c>
      <c r="J175" s="19" t="str" cm="1">
        <f t="array" ref="J175">CreateGuidString()</f>
        <v>46654E70-E929-4E4F-B2AC-6058C2CE625C</v>
      </c>
    </row>
    <row r="176" spans="1:10" x14ac:dyDescent="0.35">
      <c r="A1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6" s="35">
        <f>COUNTIF(NodesData[Unambiguous Name],NodesData[[#This Row],[Unambiguous Name]])</f>
        <v>1</v>
      </c>
      <c r="C176" s="32" t="s">
        <v>1386</v>
      </c>
      <c r="D176" s="13" t="s">
        <v>1596</v>
      </c>
      <c r="E176" s="35">
        <f>COUNTIF(NodesData[Node ID],NodesData[[#This Row],[Node ID]])</f>
        <v>1</v>
      </c>
      <c r="G176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H176" s="18"/>
      <c r="J176" s="20" t="str" cm="1">
        <f t="array" ref="J176">CreateGuidString()</f>
        <v>747B6942-4093-4729-884D-BE655B9595B9</v>
      </c>
    </row>
    <row r="177" spans="1:10" x14ac:dyDescent="0.35">
      <c r="A1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77" s="35">
        <f>COUNTIF(NodesData[Unambiguous Name],NodesData[[#This Row],[Unambiguous Name]])</f>
        <v>1</v>
      </c>
      <c r="C177" s="12" t="s">
        <v>185</v>
      </c>
      <c r="D177" s="13" t="s">
        <v>1597</v>
      </c>
      <c r="E177" s="35">
        <f>COUNTIF(NodesData[Node ID],NodesData[[#This Row],[Node ID]])</f>
        <v>1</v>
      </c>
      <c r="G177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I177" s="12" t="s">
        <v>779</v>
      </c>
      <c r="J177" s="19" t="str" cm="1">
        <f t="array" ref="J177">CreateGuidString()</f>
        <v>A842EDA8-4DF6-4C85-84C8-A2296B4A8656</v>
      </c>
    </row>
    <row r="178" spans="1:10" x14ac:dyDescent="0.35">
      <c r="A1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78" s="35">
        <f>COUNTIF(NodesData[Unambiguous Name],NodesData[[#This Row],[Unambiguous Name]])</f>
        <v>1</v>
      </c>
      <c r="C178" s="12" t="s">
        <v>1306</v>
      </c>
      <c r="D178" s="13" t="s">
        <v>1598</v>
      </c>
      <c r="E178" s="35">
        <f>COUNTIF(NodesData[Node ID],NodesData[[#This Row],[Node ID]])</f>
        <v>1</v>
      </c>
      <c r="G178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J178" s="19" t="str" cm="1">
        <f t="array" ref="J178">CreateGuidString()</f>
        <v>F00C11A5-E2D4-455C-9E70-FE977A2FFC86</v>
      </c>
    </row>
    <row r="179" spans="1:10" x14ac:dyDescent="0.35">
      <c r="A1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79" s="35">
        <f>COUNTIF(NodesData[Unambiguous Name],NodesData[[#This Row],[Unambiguous Name]])</f>
        <v>1</v>
      </c>
      <c r="C179" s="12" t="s">
        <v>186</v>
      </c>
      <c r="D179" s="13" t="s">
        <v>1599</v>
      </c>
      <c r="E179" s="35">
        <f>COUNTIF(NodesData[Node ID],NodesData[[#This Row],[Node ID]])</f>
        <v>1</v>
      </c>
      <c r="F179" s="12" t="s">
        <v>1270</v>
      </c>
      <c r="G179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I179" s="12" t="s">
        <v>780</v>
      </c>
      <c r="J179" s="19" t="str" cm="1">
        <f t="array" ref="J179">CreateGuidString()</f>
        <v>668171E6-8C59-4992-8F97-3BC844B5EEB9</v>
      </c>
    </row>
    <row r="180" spans="1:10" x14ac:dyDescent="0.35">
      <c r="A1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0" s="35">
        <f>COUNTIF(NodesData[Unambiguous Name],NodesData[[#This Row],[Unambiguous Name]])</f>
        <v>1</v>
      </c>
      <c r="C180" s="12" t="s">
        <v>781</v>
      </c>
      <c r="D180" s="13" t="s">
        <v>1600</v>
      </c>
      <c r="E180" s="35">
        <f>COUNTIF(NodesData[Node ID],NodesData[[#This Row],[Node ID]])</f>
        <v>1</v>
      </c>
      <c r="G180" s="12" t="str">
        <f>IF(NodesData[[#This Row],[Class Disambiguation]]="",NodesData[[#This Row],[Common Name]],NodesData[[#This Row],[Common Name]]&amp;" ("&amp;NodesData[[#This Row],[Class Disambiguation]]&amp;")")</f>
        <v>Flexibility</v>
      </c>
      <c r="I180" s="12" t="s">
        <v>782</v>
      </c>
      <c r="J180" s="19" t="str" cm="1">
        <f t="array" ref="J180">CreateGuidString()</f>
        <v>92B19679-9950-420A-A7B9-0B8A31D040FC</v>
      </c>
    </row>
    <row r="181" spans="1:10" x14ac:dyDescent="0.35">
      <c r="A1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1" s="35">
        <f>COUNTIF(NodesData[Unambiguous Name],NodesData[[#This Row],[Unambiguous Name]])</f>
        <v>1</v>
      </c>
      <c r="C181" s="12" t="s">
        <v>783</v>
      </c>
      <c r="D181" s="13" t="s">
        <v>1601</v>
      </c>
      <c r="E181" s="35">
        <f>COUNTIF(NodesData[Node ID],NodesData[[#This Row],[Node ID]])</f>
        <v>1</v>
      </c>
      <c r="G181" s="12" t="str">
        <f>IF(NodesData[[#This Row],[Class Disambiguation]]="",NodesData[[#This Row],[Common Name]],NodesData[[#This Row],[Common Name]]&amp;" ("&amp;NodesData[[#This Row],[Class Disambiguation]]&amp;")")</f>
        <v>Flow Analysis</v>
      </c>
      <c r="I181" s="12" t="s">
        <v>784</v>
      </c>
      <c r="J181" s="19" t="str" cm="1">
        <f t="array" ref="J181">CreateGuidString()</f>
        <v>63F02A16-2BD4-475E-A781-C656380B607E</v>
      </c>
    </row>
    <row r="182" spans="1:10" x14ac:dyDescent="0.35">
      <c r="A1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2" s="35">
        <f>COUNTIF(NodesData[Unambiguous Name],NodesData[[#This Row],[Unambiguous Name]])</f>
        <v>1</v>
      </c>
      <c r="C182" s="12" t="s">
        <v>785</v>
      </c>
      <c r="D182" s="13" t="s">
        <v>1602</v>
      </c>
      <c r="E182" s="35">
        <f>COUNTIF(NodesData[Node ID],NodesData[[#This Row],[Node ID]])</f>
        <v>1</v>
      </c>
      <c r="G182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I182" s="12" t="s">
        <v>786</v>
      </c>
      <c r="J182" s="19" t="str" cm="1">
        <f t="array" ref="J182">CreateGuidString()</f>
        <v>2D3C5504-3B5E-4FF6-B279-404F2BE3738E</v>
      </c>
    </row>
    <row r="183" spans="1:10" x14ac:dyDescent="0.35">
      <c r="A1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3" s="35">
        <f>COUNTIF(NodesData[Unambiguous Name],NodesData[[#This Row],[Unambiguous Name]])</f>
        <v>1</v>
      </c>
      <c r="C183" s="12" t="s">
        <v>787</v>
      </c>
      <c r="D183" s="13" t="s">
        <v>1603</v>
      </c>
      <c r="E183" s="35">
        <f>COUNTIF(NodesData[Node ID],NodesData[[#This Row],[Node ID]])</f>
        <v>1</v>
      </c>
      <c r="G183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I183" s="12" t="s">
        <v>788</v>
      </c>
      <c r="J183" s="19" t="str" cm="1">
        <f t="array" ref="J183">CreateGuidString()</f>
        <v>1F8DFFD6-45DA-4C2F-AD3D-850DC59A78DB</v>
      </c>
    </row>
    <row r="184" spans="1:10" x14ac:dyDescent="0.35">
      <c r="A1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4" s="35">
        <f>COUNTIF(NodesData[Unambiguous Name],NodesData[[#This Row],[Unambiguous Name]])</f>
        <v>1</v>
      </c>
      <c r="C184" s="12" t="s">
        <v>192</v>
      </c>
      <c r="D184" s="13" t="s">
        <v>1604</v>
      </c>
      <c r="E184" s="35">
        <f>COUNTIF(NodesData[Node ID],NodesData[[#This Row],[Node ID]])</f>
        <v>1</v>
      </c>
      <c r="G184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I184" s="12" t="s">
        <v>789</v>
      </c>
      <c r="J184" s="19" t="str" cm="1">
        <f t="array" ref="J184">CreateGuidString()</f>
        <v>DE666089-B0E9-4F2F-BD41-4EF419471BAF</v>
      </c>
    </row>
    <row r="185" spans="1:10" x14ac:dyDescent="0.35">
      <c r="A1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5" s="35">
        <f>COUNTIF(NodesData[Unambiguous Name],NodesData[[#This Row],[Unambiguous Name]])</f>
        <v>1</v>
      </c>
      <c r="C185" s="12" t="s">
        <v>1300</v>
      </c>
      <c r="D185" s="13" t="s">
        <v>1605</v>
      </c>
      <c r="E185" s="35">
        <f>COUNTIF(NodesData[Node ID],NodesData[[#This Row],[Node ID]])</f>
        <v>1</v>
      </c>
      <c r="G185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J185" s="19" t="str" cm="1">
        <f t="array" ref="J185">CreateGuidString()</f>
        <v>2FACEFAB-4885-4A63-97D2-9FE7541C7255</v>
      </c>
    </row>
    <row r="186" spans="1:10" x14ac:dyDescent="0.35">
      <c r="A1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6" s="35">
        <f>COUNTIF(NodesData[Unambiguous Name],NodesData[[#This Row],[Unambiguous Name]])</f>
        <v>1</v>
      </c>
      <c r="C186" s="12" t="s">
        <v>790</v>
      </c>
      <c r="D186" s="13" t="s">
        <v>1606</v>
      </c>
      <c r="E186" s="35">
        <f>COUNTIF(NodesData[Node ID],NodesData[[#This Row],[Node ID]])</f>
        <v>1</v>
      </c>
      <c r="G186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I186" s="12" t="s">
        <v>791</v>
      </c>
      <c r="J186" s="19" t="str" cm="1">
        <f t="array" ref="J186">CreateGuidString()</f>
        <v>1157E681-36A8-4AE5-A99F-36488D191746</v>
      </c>
    </row>
    <row r="187" spans="1:10" x14ac:dyDescent="0.35">
      <c r="A1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87" s="35">
        <f>COUNTIF(NodesData[Unambiguous Name],NodesData[[#This Row],[Unambiguous Name]])</f>
        <v>1</v>
      </c>
      <c r="C187" s="12" t="s">
        <v>792</v>
      </c>
      <c r="D187" s="13" t="s">
        <v>1607</v>
      </c>
      <c r="E187" s="35">
        <f>COUNTIF(NodesData[Node ID],NodesData[[#This Row],[Node ID]])</f>
        <v>1</v>
      </c>
      <c r="G187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I187" s="12" t="s">
        <v>793</v>
      </c>
      <c r="J187" s="19" t="str" cm="1">
        <f t="array" ref="J187">CreateGuidString()</f>
        <v>C8C188FB-20CF-43DE-ABDE-4CB68482651F</v>
      </c>
    </row>
    <row r="188" spans="1:10" x14ac:dyDescent="0.35">
      <c r="A1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88" s="35">
        <f>COUNTIF(NodesData[Unambiguous Name],NodesData[[#This Row],[Unambiguous Name]])</f>
        <v>1</v>
      </c>
      <c r="C188" s="12" t="s">
        <v>1307</v>
      </c>
      <c r="D188" s="13" t="s">
        <v>1608</v>
      </c>
      <c r="E188" s="35">
        <f>COUNTIF(NodesData[Node ID],NodesData[[#This Row],[Node ID]])</f>
        <v>1</v>
      </c>
      <c r="G188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J188" s="19" t="str" cm="1">
        <f t="array" ref="J188">CreateGuidString()</f>
        <v>25A8605C-4808-4C41-9213-D401A16F94AB</v>
      </c>
    </row>
    <row r="189" spans="1:10" x14ac:dyDescent="0.35">
      <c r="A1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89" s="35">
        <f>COUNTIF(NodesData[Unambiguous Name],NodesData[[#This Row],[Unambiguous Name]])</f>
        <v>1</v>
      </c>
      <c r="C189" s="12" t="s">
        <v>1305</v>
      </c>
      <c r="D189" s="13" t="s">
        <v>1609</v>
      </c>
      <c r="E189" s="35">
        <f>COUNTIF(NodesData[Node ID],NodesData[[#This Row],[Node ID]])</f>
        <v>1</v>
      </c>
      <c r="G189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J189" s="19" t="str" cm="1">
        <f t="array" ref="J189">CreateGuidString()</f>
        <v>ED09D84D-CB28-49E8-AB69-D9438E094437</v>
      </c>
    </row>
    <row r="190" spans="1:10" x14ac:dyDescent="0.35">
      <c r="A1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0" s="35">
        <f>COUNTIF(NodesData[Unambiguous Name],NodesData[[#This Row],[Unambiguous Name]])</f>
        <v>1</v>
      </c>
      <c r="C190" s="12" t="s">
        <v>1325</v>
      </c>
      <c r="D190" s="13" t="s">
        <v>1610</v>
      </c>
      <c r="E190" s="35">
        <f>COUNTIF(NodesData[Node ID],NodesData[[#This Row],[Node ID]])</f>
        <v>1</v>
      </c>
      <c r="G190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J190" s="19" t="str" cm="1">
        <f t="array" ref="J190">CreateGuidString()</f>
        <v>AE6913EF-B0C6-4ADD-BFEA-4B132C8635BC</v>
      </c>
    </row>
    <row r="191" spans="1:10" x14ac:dyDescent="0.35">
      <c r="A1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1" s="35">
        <f>COUNTIF(NodesData[Unambiguous Name],NodesData[[#This Row],[Unambiguous Name]])</f>
        <v>1</v>
      </c>
      <c r="C191" s="12" t="s">
        <v>794</v>
      </c>
      <c r="D191" s="13" t="s">
        <v>1611</v>
      </c>
      <c r="E191" s="35">
        <f>COUNTIF(NodesData[Node ID],NodesData[[#This Row],[Node ID]])</f>
        <v>1</v>
      </c>
      <c r="G191" s="12" t="str">
        <f>IF(NodesData[[#This Row],[Class Disambiguation]]="",NodesData[[#This Row],[Common Name]],NodesData[[#This Row],[Common Name]]&amp;" ("&amp;NodesData[[#This Row],[Class Disambiguation]]&amp;")")</f>
        <v>Guest Account</v>
      </c>
      <c r="I191" s="12" t="s">
        <v>795</v>
      </c>
      <c r="J191" s="19" t="str" cm="1">
        <f t="array" ref="J191">CreateGuidString()</f>
        <v>BADB2F87-827D-4D6F-9A6A-2502D93F3DCB</v>
      </c>
    </row>
    <row r="192" spans="1:10" x14ac:dyDescent="0.35">
      <c r="A1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2" s="35">
        <f>COUNTIF(NodesData[Unambiguous Name],NodesData[[#This Row],[Unambiguous Name]])</f>
        <v>1</v>
      </c>
      <c r="C192" s="12" t="s">
        <v>1308</v>
      </c>
      <c r="D192" s="13" t="s">
        <v>1612</v>
      </c>
      <c r="E192" s="35">
        <f>COUNTIF(NodesData[Node ID],NodesData[[#This Row],[Node ID]])</f>
        <v>1</v>
      </c>
      <c r="G192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J192" s="19" t="str" cm="1">
        <f t="array" ref="J192">CreateGuidString()</f>
        <v>D36F1318-C7FB-4FE0-9827-16F5A2562CBB</v>
      </c>
    </row>
    <row r="193" spans="1:10" x14ac:dyDescent="0.35">
      <c r="A1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3" s="35">
        <f>COUNTIF(NodesData[Unambiguous Name],NodesData[[#This Row],[Unambiguous Name]])</f>
        <v>1</v>
      </c>
      <c r="C193" s="12" t="s">
        <v>1309</v>
      </c>
      <c r="D193" s="13" t="s">
        <v>1613</v>
      </c>
      <c r="E193" s="35">
        <f>COUNTIF(NodesData[Node ID],NodesData[[#This Row],[Node ID]])</f>
        <v>1</v>
      </c>
      <c r="G193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J193" s="19" t="str" cm="1">
        <f t="array" ref="J193">CreateGuidString()</f>
        <v>75071B6E-C4B5-4D5A-94C0-F9E43D1FA644</v>
      </c>
    </row>
    <row r="194" spans="1:10" x14ac:dyDescent="0.35">
      <c r="A1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4" s="35">
        <f>COUNTIF(NodesData[Unambiguous Name],NodesData[[#This Row],[Unambiguous Name]])</f>
        <v>1</v>
      </c>
      <c r="C194" s="12" t="s">
        <v>796</v>
      </c>
      <c r="D194" s="13" t="s">
        <v>1614</v>
      </c>
      <c r="E194" s="35">
        <f>COUNTIF(NodesData[Node ID],NodesData[[#This Row],[Node ID]])</f>
        <v>1</v>
      </c>
      <c r="G194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I194" s="12" t="s">
        <v>797</v>
      </c>
      <c r="J194" s="19" t="str" cm="1">
        <f t="array" ref="J194">CreateGuidString()</f>
        <v>20B7E58C-EFE1-4BDF-BD4F-8DBA2DF04119</v>
      </c>
    </row>
    <row r="195" spans="1:10" x14ac:dyDescent="0.35">
      <c r="A1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5" s="35">
        <f>COUNTIF(NodesData[Unambiguous Name],NodesData[[#This Row],[Unambiguous Name]])</f>
        <v>1</v>
      </c>
      <c r="C195" s="12" t="s">
        <v>798</v>
      </c>
      <c r="D195" s="13" t="s">
        <v>1615</v>
      </c>
      <c r="E195" s="35">
        <f>COUNTIF(NodesData[Node ID],NodesData[[#This Row],[Node ID]])</f>
        <v>1</v>
      </c>
      <c r="G195" s="12" t="str">
        <f>IF(NodesData[[#This Row],[Class Disambiguation]]="",NodesData[[#This Row],[Common Name]],NodesData[[#This Row],[Common Name]]&amp;" ("&amp;NodesData[[#This Row],[Class Disambiguation]]&amp;")")</f>
        <v>Human Error</v>
      </c>
      <c r="I195" s="12" t="s">
        <v>799</v>
      </c>
      <c r="J195" s="19" t="str" cm="1">
        <f t="array" ref="J195">CreateGuidString()</f>
        <v>90E91224-CA06-45A2-AA34-F6B50A8221DE</v>
      </c>
    </row>
    <row r="196" spans="1:10" x14ac:dyDescent="0.35">
      <c r="A1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6" s="35">
        <f>COUNTIF(NodesData[Unambiguous Name],NodesData[[#This Row],[Unambiguous Name]])</f>
        <v>1</v>
      </c>
      <c r="C196" s="12" t="s">
        <v>800</v>
      </c>
      <c r="D196" s="13" t="s">
        <v>1616</v>
      </c>
      <c r="E196" s="35">
        <f>COUNTIF(NodesData[Node ID],NodesData[[#This Row],[Node ID]])</f>
        <v>1</v>
      </c>
      <c r="G196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I196" s="12" t="s">
        <v>801</v>
      </c>
      <c r="J196" s="19" t="str" cm="1">
        <f t="array" ref="J196">CreateGuidString()</f>
        <v>14F12FD2-2B9F-4641-8F33-64AB925BE509</v>
      </c>
    </row>
    <row r="197" spans="1:10" x14ac:dyDescent="0.35">
      <c r="A1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197" s="35">
        <f>COUNTIF(NodesData[Unambiguous Name],NodesData[[#This Row],[Unambiguous Name]])</f>
        <v>1</v>
      </c>
      <c r="C197" s="12" t="s">
        <v>201</v>
      </c>
      <c r="D197" s="13" t="s">
        <v>1617</v>
      </c>
      <c r="E197" s="35">
        <f>COUNTIF(NodesData[Node ID],NodesData[[#This Row],[Node ID]])</f>
        <v>1</v>
      </c>
      <c r="F197" s="12" t="s">
        <v>1270</v>
      </c>
      <c r="G197" s="12" t="str">
        <f>IF(NodesData[[#This Row],[Class Disambiguation]]="",NodesData[[#This Row],[Common Name]],NodesData[[#This Row],[Common Name]]&amp;" ("&amp;NodesData[[#This Row],[Class Disambiguation]]&amp;")")</f>
        <v>IAG (Acronym)</v>
      </c>
      <c r="I197" s="12" t="s">
        <v>802</v>
      </c>
      <c r="J197" s="19" t="str" cm="1">
        <f t="array" ref="J197">CreateGuidString()</f>
        <v>EBC6AFE2-7BA8-413F-A864-CCEA6D746F28</v>
      </c>
    </row>
    <row r="198" spans="1:10" x14ac:dyDescent="0.35">
      <c r="A1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198" s="35">
        <f>COUNTIF(NodesData[Unambiguous Name],NodesData[[#This Row],[Unambiguous Name]])</f>
        <v>1</v>
      </c>
      <c r="C198" s="12" t="s">
        <v>202</v>
      </c>
      <c r="D198" s="13" t="s">
        <v>1618</v>
      </c>
      <c r="E198" s="35">
        <f>COUNTIF(NodesData[Node ID],NodesData[[#This Row],[Node ID]])</f>
        <v>1</v>
      </c>
      <c r="F198" s="12" t="s">
        <v>1270</v>
      </c>
      <c r="G198" s="12" t="str">
        <f>IF(NodesData[[#This Row],[Class Disambiguation]]="",NodesData[[#This Row],[Common Name]],NodesData[[#This Row],[Common Name]]&amp;" ("&amp;NodesData[[#This Row],[Class Disambiguation]]&amp;")")</f>
        <v>IAM (Acronym)</v>
      </c>
      <c r="I198" s="12" t="s">
        <v>803</v>
      </c>
      <c r="J198" s="19" t="str" cm="1">
        <f t="array" ref="J198">CreateGuidString()</f>
        <v>2A157DE3-15F4-4803-8A65-40672590E511</v>
      </c>
    </row>
    <row r="199" spans="1:10" x14ac:dyDescent="0.35">
      <c r="A1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199" s="35">
        <f>COUNTIF(NodesData[Unambiguous Name],NodesData[[#This Row],[Unambiguous Name]])</f>
        <v>1</v>
      </c>
      <c r="C199" s="12" t="s">
        <v>804</v>
      </c>
      <c r="D199" s="13" t="s">
        <v>1619</v>
      </c>
      <c r="E199" s="35">
        <f>COUNTIF(NodesData[Node ID],NodesData[[#This Row],[Node ID]])</f>
        <v>1</v>
      </c>
      <c r="F199" s="12" t="s">
        <v>1270</v>
      </c>
      <c r="G199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I199" s="12" t="s">
        <v>805</v>
      </c>
      <c r="J199" s="19" t="str" cm="1">
        <f t="array" ref="J199">CreateGuidString()</f>
        <v>FC57D2B0-A705-40A0-9F7C-4A86A4A29AA5</v>
      </c>
    </row>
    <row r="200" spans="1:10" x14ac:dyDescent="0.35">
      <c r="A2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200" s="35">
        <f>COUNTIF(NodesData[Unambiguous Name],NodesData[[#This Row],[Unambiguous Name]])</f>
        <v>1</v>
      </c>
      <c r="C200" s="12" t="s">
        <v>806</v>
      </c>
      <c r="D200" s="13" t="s">
        <v>1620</v>
      </c>
      <c r="E200" s="35">
        <f>COUNTIF(NodesData[Node ID],NodesData[[#This Row],[Node ID]])</f>
        <v>1</v>
      </c>
      <c r="G200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I200" s="12" t="s">
        <v>807</v>
      </c>
      <c r="J200" s="19" t="str" cm="1">
        <f t="array" ref="J200">CreateGuidString()</f>
        <v>201770A8-7004-4739-8E11-DBE9CB251CFF</v>
      </c>
    </row>
    <row r="201" spans="1:10" x14ac:dyDescent="0.35">
      <c r="A2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1" s="35">
        <f>COUNTIF(NodesData[Unambiguous Name],NodesData[[#This Row],[Unambiguous Name]])</f>
        <v>1</v>
      </c>
      <c r="C201" s="12" t="s">
        <v>808</v>
      </c>
      <c r="D201" s="13" t="s">
        <v>1621</v>
      </c>
      <c r="E201" s="35">
        <f>COUNTIF(NodesData[Node ID],NodesData[[#This Row],[Node ID]])</f>
        <v>1</v>
      </c>
      <c r="F201" s="12" t="s">
        <v>1270</v>
      </c>
      <c r="G201" s="12" t="str">
        <f>IF(NodesData[[#This Row],[Class Disambiguation]]="",NodesData[[#This Row],[Common Name]],NodesData[[#This Row],[Common Name]]&amp;" ("&amp;NodesData[[#This Row],[Class Disambiguation]]&amp;")")</f>
        <v>IAP (Acronym)</v>
      </c>
      <c r="I201" s="12" t="s">
        <v>809</v>
      </c>
      <c r="J201" s="19" t="str" cm="1">
        <f t="array" ref="J201">CreateGuidString()</f>
        <v>E43BFFB2-044B-4871-8279-BBC94A026D0A</v>
      </c>
    </row>
    <row r="202" spans="1:10" x14ac:dyDescent="0.35">
      <c r="A2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2" s="35">
        <f>COUNTIF(NodesData[Unambiguous Name],NodesData[[#This Row],[Unambiguous Name]])</f>
        <v>1</v>
      </c>
      <c r="C202" s="12" t="s">
        <v>810</v>
      </c>
      <c r="D202" s="13" t="s">
        <v>1622</v>
      </c>
      <c r="E202" s="35">
        <f>COUNTIF(NodesData[Node ID],NodesData[[#This Row],[Node ID]])</f>
        <v>1</v>
      </c>
      <c r="F202" s="12" t="s">
        <v>1270</v>
      </c>
      <c r="G202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I202" s="12" t="s">
        <v>811</v>
      </c>
      <c r="J202" s="19" t="str" cm="1">
        <f t="array" ref="J202">CreateGuidString()</f>
        <v>324D7674-92DD-4247-9797-5670014A6EEF</v>
      </c>
    </row>
    <row r="203" spans="1:10" x14ac:dyDescent="0.35">
      <c r="A2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3" s="35">
        <f>COUNTIF(NodesData[Unambiguous Name],NodesData[[#This Row],[Unambiguous Name]])</f>
        <v>1</v>
      </c>
      <c r="C203" s="12" t="s">
        <v>812</v>
      </c>
      <c r="D203" s="13" t="s">
        <v>1623</v>
      </c>
      <c r="E203" s="35">
        <f>COUNTIF(NodesData[Node ID],NodesData[[#This Row],[Node ID]])</f>
        <v>1</v>
      </c>
      <c r="G203" s="12" t="str">
        <f>IF(NodesData[[#This Row],[Class Disambiguation]]="",NodesData[[#This Row],[Common Name]],NodesData[[#This Row],[Common Name]]&amp;" ("&amp;NodesData[[#This Row],[Class Disambiguation]]&amp;")")</f>
        <v>Ideal Type</v>
      </c>
      <c r="I203" s="12" t="s">
        <v>813</v>
      </c>
      <c r="J203" s="19" t="str" cm="1">
        <f t="array" ref="J203">CreateGuidString()</f>
        <v>74C399E5-95A9-4766-804A-24CB2A1827D9</v>
      </c>
    </row>
    <row r="204" spans="1:10" x14ac:dyDescent="0.35">
      <c r="A2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4" s="35">
        <f>COUNTIF(NodesData[Unambiguous Name],NodesData[[#This Row],[Unambiguous Name]])</f>
        <v>1</v>
      </c>
      <c r="C204" s="12" t="s">
        <v>814</v>
      </c>
      <c r="D204" s="13" t="s">
        <v>1624</v>
      </c>
      <c r="E204" s="35">
        <f>COUNTIF(NodesData[Node ID],NodesData[[#This Row],[Node ID]])</f>
        <v>1</v>
      </c>
      <c r="G204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I204" s="12" t="s">
        <v>815</v>
      </c>
      <c r="J204" s="19" t="str" cm="1">
        <f t="array" ref="J204">CreateGuidString()</f>
        <v>AE812800-197E-4B1F-A196-FFD29FD63332</v>
      </c>
    </row>
    <row r="205" spans="1:10" x14ac:dyDescent="0.35">
      <c r="A2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5" s="35">
        <f>COUNTIF(NodesData[Unambiguous Name],NodesData[[#This Row],[Unambiguous Name]])</f>
        <v>1</v>
      </c>
      <c r="C205" s="12" t="s">
        <v>816</v>
      </c>
      <c r="D205" s="13" t="s">
        <v>1625</v>
      </c>
      <c r="E205" s="35">
        <f>COUNTIF(NodesData[Node ID],NodesData[[#This Row],[Node ID]])</f>
        <v>1</v>
      </c>
      <c r="G205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I205" s="12" t="s">
        <v>817</v>
      </c>
      <c r="J205" s="19" t="str" cm="1">
        <f t="array" ref="J205">CreateGuidString()</f>
        <v>074B2FFB-0CA5-4BB6-ACA5-A02A926511F9</v>
      </c>
    </row>
    <row r="206" spans="1:10" x14ac:dyDescent="0.35">
      <c r="A2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6" s="35">
        <f>COUNTIF(NodesData[Unambiguous Name],NodesData[[#This Row],[Unambiguous Name]])</f>
        <v>1</v>
      </c>
      <c r="C206" s="12" t="s">
        <v>818</v>
      </c>
      <c r="D206" s="13" t="s">
        <v>1626</v>
      </c>
      <c r="E206" s="35">
        <f>COUNTIF(NodesData[Node ID],NodesData[[#This Row],[Node ID]])</f>
        <v>1</v>
      </c>
      <c r="G206" s="12" t="str">
        <f>IF(NodesData[[#This Row],[Class Disambiguation]]="",NodesData[[#This Row],[Common Name]],NodesData[[#This Row],[Common Name]]&amp;" ("&amp;NodesData[[#This Row],[Class Disambiguation]]&amp;")")</f>
        <v>Identifier</v>
      </c>
      <c r="I206" s="12" t="s">
        <v>819</v>
      </c>
      <c r="J206" s="19" t="str" cm="1">
        <f t="array" ref="J206">CreateGuidString()</f>
        <v>92D45391-9C19-461F-8DDE-B6EA09263A4A</v>
      </c>
    </row>
    <row r="207" spans="1:10" x14ac:dyDescent="0.35">
      <c r="A2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07" s="35">
        <f>COUNTIF(NodesData[Unambiguous Name],NodesData[[#This Row],[Unambiguous Name]])</f>
        <v>1</v>
      </c>
      <c r="C207" s="12" t="s">
        <v>211</v>
      </c>
      <c r="D207" s="13" t="s">
        <v>1627</v>
      </c>
      <c r="E207" s="35">
        <f>COUNTIF(NodesData[Node ID],NodesData[[#This Row],[Node ID]])</f>
        <v>1</v>
      </c>
      <c r="G207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I207" s="12" t="s">
        <v>820</v>
      </c>
      <c r="J207" s="19" t="str" cm="1">
        <f t="array" ref="J207">CreateGuidString()</f>
        <v>BA117015-489E-4CFC-8EEE-CC6BE348321B</v>
      </c>
    </row>
    <row r="208" spans="1:10" x14ac:dyDescent="0.35">
      <c r="A2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</v>
      </c>
      <c r="B208" s="35">
        <f>COUNTIF(NodesData[Unambiguous Name],NodesData[[#This Row],[Unambiguous Name]])</f>
        <v>1</v>
      </c>
      <c r="C208" s="12" t="s">
        <v>821</v>
      </c>
      <c r="D208" s="13" t="s">
        <v>1628</v>
      </c>
      <c r="E208" s="35">
        <f>COUNTIF(NodesData[Node ID],NodesData[[#This Row],[Node ID]])</f>
        <v>1</v>
      </c>
      <c r="G208" s="12" t="str">
        <f>IF(NodesData[[#This Row],[Class Disambiguation]]="",NodesData[[#This Row],[Common Name]],NodesData[[#This Row],[Common Name]]&amp;" ("&amp;NodesData[[#This Row],[Class Disambiguation]]&amp;")")</f>
        <v>Identity</v>
      </c>
      <c r="I208" s="12" t="s">
        <v>822</v>
      </c>
      <c r="J208" s="19" t="str" cm="1">
        <f t="array" ref="J208">CreateGuidString()</f>
        <v>1EAAA721-6CBF-434C-A848-92AF382B1A9B</v>
      </c>
    </row>
    <row r="209" spans="1:10" x14ac:dyDescent="0.35">
      <c r="A2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09" s="35">
        <f>COUNTIF(NodesData[Unambiguous Name],NodesData[[#This Row],[Unambiguous Name]])</f>
        <v>1</v>
      </c>
      <c r="C209" s="12" t="s">
        <v>213</v>
      </c>
      <c r="D209" s="13" t="s">
        <v>1629</v>
      </c>
      <c r="E209" s="35">
        <f>COUNTIF(NodesData[Node ID],NodesData[[#This Row],[Node ID]])</f>
        <v>1</v>
      </c>
      <c r="G209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I209" s="12" t="s">
        <v>823</v>
      </c>
      <c r="J209" s="19" t="str" cm="1">
        <f t="array" ref="J209">CreateGuidString()</f>
        <v>AC994CB3-BB0C-4723-80D9-4EB50D00BFA8</v>
      </c>
    </row>
    <row r="210" spans="1:10" x14ac:dyDescent="0.35">
      <c r="A2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0" s="35">
        <f>COUNTIF(NodesData[Unambiguous Name],NodesData[[#This Row],[Unambiguous Name]])</f>
        <v>1</v>
      </c>
      <c r="C210" s="12" t="s">
        <v>214</v>
      </c>
      <c r="D210" s="13" t="s">
        <v>1630</v>
      </c>
      <c r="E210" s="35">
        <f>COUNTIF(NodesData[Node ID],NodesData[[#This Row],[Node ID]])</f>
        <v>1</v>
      </c>
      <c r="G210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I210" s="12" t="s">
        <v>824</v>
      </c>
      <c r="J210" s="19" t="str" cm="1">
        <f t="array" ref="J210">CreateGuidString()</f>
        <v>DF4C59C2-424E-4FEC-880D-7C97B89ECD19</v>
      </c>
    </row>
    <row r="211" spans="1:10" x14ac:dyDescent="0.35">
      <c r="A2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1" s="35">
        <f>COUNTIF(NodesData[Unambiguous Name],NodesData[[#This Row],[Unambiguous Name]])</f>
        <v>1</v>
      </c>
      <c r="C211" s="12" t="s">
        <v>215</v>
      </c>
      <c r="D211" s="13" t="s">
        <v>1631</v>
      </c>
      <c r="E211" s="35">
        <f>COUNTIF(NodesData[Node ID],NodesData[[#This Row],[Node ID]])</f>
        <v>1</v>
      </c>
      <c r="G211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I211" s="12" t="s">
        <v>825</v>
      </c>
      <c r="J211" s="19" t="str" cm="1">
        <f t="array" ref="J211">CreateGuidString()</f>
        <v>5BA3A76E-113F-4119-98F4-1EEE5FF392A7</v>
      </c>
    </row>
    <row r="212" spans="1:10" x14ac:dyDescent="0.35">
      <c r="A2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2" s="35">
        <f>COUNTIF(NodesData[Unambiguous Name],NodesData[[#This Row],[Unambiguous Name]])</f>
        <v>1</v>
      </c>
      <c r="C212" s="12" t="s">
        <v>217</v>
      </c>
      <c r="D212" s="13" t="s">
        <v>1632</v>
      </c>
      <c r="E212" s="35">
        <f>COUNTIF(NodesData[Node ID],NodesData[[#This Row],[Node ID]])</f>
        <v>1</v>
      </c>
      <c r="G212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I212" s="12" t="s">
        <v>826</v>
      </c>
      <c r="J212" s="19" t="str" cm="1">
        <f t="array" ref="J212">CreateGuidString()</f>
        <v>CD19D32C-77FB-4220-8FEB-448F85E0A2CE</v>
      </c>
    </row>
    <row r="213" spans="1:10" x14ac:dyDescent="0.35">
      <c r="A2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3" s="35">
        <f>COUNTIF(NodesData[Unambiguous Name],NodesData[[#This Row],[Unambiguous Name]])</f>
        <v>1</v>
      </c>
      <c r="C213" s="12" t="s">
        <v>827</v>
      </c>
      <c r="D213" s="13" t="s">
        <v>1633</v>
      </c>
      <c r="E213" s="35">
        <f>COUNTIF(NodesData[Node ID],NodesData[[#This Row],[Node ID]])</f>
        <v>1</v>
      </c>
      <c r="G213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I213" s="12" t="s">
        <v>828</v>
      </c>
      <c r="J213" s="19" t="str" cm="1">
        <f t="array" ref="J213">CreateGuidString()</f>
        <v>5233313C-7B65-4CEC-8A4B-050B33CF8814</v>
      </c>
    </row>
    <row r="214" spans="1:10" x14ac:dyDescent="0.35">
      <c r="A2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4" s="35">
        <f>COUNTIF(NodesData[Unambiguous Name],NodesData[[#This Row],[Unambiguous Name]])</f>
        <v>1</v>
      </c>
      <c r="C214" s="32" t="s">
        <v>1388</v>
      </c>
      <c r="D214" s="13" t="s">
        <v>1634</v>
      </c>
      <c r="E214" s="35">
        <f>COUNTIF(NodesData[Node ID],NodesData[[#This Row],[Node ID]])</f>
        <v>1</v>
      </c>
      <c r="G214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H214" s="18"/>
      <c r="J214" s="20" t="str" cm="1">
        <f t="array" ref="J214">CreateGuidString()</f>
        <v>D65AC599-8CBA-432D-A55F-A1E893850BE7</v>
      </c>
    </row>
    <row r="215" spans="1:10" x14ac:dyDescent="0.35">
      <c r="A2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5" s="35">
        <f>COUNTIF(NodesData[Unambiguous Name],NodesData[[#This Row],[Unambiguous Name]])</f>
        <v>1</v>
      </c>
      <c r="C215" s="12" t="s">
        <v>220</v>
      </c>
      <c r="D215" s="13" t="s">
        <v>1635</v>
      </c>
      <c r="E215" s="35">
        <f>COUNTIF(NodesData[Node ID],NodesData[[#This Row],[Node ID]])</f>
        <v>1</v>
      </c>
      <c r="G215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I215" s="12" t="s">
        <v>829</v>
      </c>
      <c r="J215" s="19" t="str" cm="1">
        <f t="array" ref="J215">CreateGuidString()</f>
        <v>A46E6084-3026-4A33-9EEC-DE136EDDF2DF</v>
      </c>
    </row>
    <row r="216" spans="1:10" x14ac:dyDescent="0.35">
      <c r="A2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6" s="35">
        <f>COUNTIF(NodesData[Unambiguous Name],NodesData[[#This Row],[Unambiguous Name]])</f>
        <v>1</v>
      </c>
      <c r="C216" s="12" t="s">
        <v>221</v>
      </c>
      <c r="D216" s="13" t="s">
        <v>1636</v>
      </c>
      <c r="E216" s="35">
        <f>COUNTIF(NodesData[Node ID],NodesData[[#This Row],[Node ID]])</f>
        <v>1</v>
      </c>
      <c r="G216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I216" s="12" t="s">
        <v>830</v>
      </c>
      <c r="J216" s="19" t="str" cm="1">
        <f t="array" ref="J216">CreateGuidString()</f>
        <v>736167E0-4CCD-4AED-B84F-0D962F095AAA</v>
      </c>
    </row>
    <row r="217" spans="1:10" x14ac:dyDescent="0.35">
      <c r="A2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17" s="35">
        <f>COUNTIF(NodesData[Unambiguous Name],NodesData[[#This Row],[Unambiguous Name]])</f>
        <v>1</v>
      </c>
      <c r="C217" s="12" t="s">
        <v>222</v>
      </c>
      <c r="D217" s="13" t="s">
        <v>1637</v>
      </c>
      <c r="E217" s="35">
        <f>COUNTIF(NodesData[Node ID],NodesData[[#This Row],[Node ID]])</f>
        <v>1</v>
      </c>
      <c r="G217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I217" s="12" t="s">
        <v>831</v>
      </c>
      <c r="J217" s="19" t="str" cm="1">
        <f t="array" ref="J217">CreateGuidString()</f>
        <v>B1D43A40-372C-47EF-AC20-546DF4EF8914</v>
      </c>
    </row>
    <row r="218" spans="1:10" x14ac:dyDescent="0.35">
      <c r="A2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18" s="35">
        <f>COUNTIF(NodesData[Unambiguous Name],NodesData[[#This Row],[Unambiguous Name]])</f>
        <v>1</v>
      </c>
      <c r="C218" s="12" t="s">
        <v>832</v>
      </c>
      <c r="D218" s="13" t="s">
        <v>1638</v>
      </c>
      <c r="E218" s="35">
        <f>COUNTIF(NodesData[Node ID],NodesData[[#This Row],[Node ID]])</f>
        <v>1</v>
      </c>
      <c r="G218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I218" s="12" t="s">
        <v>833</v>
      </c>
      <c r="J218" s="19" t="str" cm="1">
        <f t="array" ref="J218">CreateGuidString()</f>
        <v>54AFCC11-9986-489F-B0CD-18B1EABA05A1</v>
      </c>
    </row>
    <row r="219" spans="1:10" x14ac:dyDescent="0.35">
      <c r="A2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19" s="35">
        <f>COUNTIF(NodesData[Unambiguous Name],NodesData[[#This Row],[Unambiguous Name]])</f>
        <v>1</v>
      </c>
      <c r="C219" s="12" t="s">
        <v>834</v>
      </c>
      <c r="D219" s="13" t="s">
        <v>1639</v>
      </c>
      <c r="E219" s="35">
        <f>COUNTIF(NodesData[Node ID],NodesData[[#This Row],[Node ID]])</f>
        <v>1</v>
      </c>
      <c r="G219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I219" s="12" t="s">
        <v>835</v>
      </c>
      <c r="J219" s="19" t="str" cm="1">
        <f t="array" ref="J219">CreateGuidString()</f>
        <v>240C1D1B-1CA4-4870-BE4C-C4A977B27730</v>
      </c>
    </row>
    <row r="220" spans="1:10" x14ac:dyDescent="0.35">
      <c r="A2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0" s="35">
        <f>COUNTIF(NodesData[Unambiguous Name],NodesData[[#This Row],[Unambiguous Name]])</f>
        <v>1</v>
      </c>
      <c r="C220" s="12" t="s">
        <v>836</v>
      </c>
      <c r="D220" s="13" t="s">
        <v>1640</v>
      </c>
      <c r="E220" s="35">
        <f>COUNTIF(NodesData[Node ID],NodesData[[#This Row],[Node ID]])</f>
        <v>1</v>
      </c>
      <c r="G220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I220" s="12" t="s">
        <v>837</v>
      </c>
      <c r="J220" s="19" t="str" cm="1">
        <f t="array" ref="J220">CreateGuidString()</f>
        <v>8053C2E8-A254-448E-ADD3-12CC1B834696</v>
      </c>
    </row>
    <row r="221" spans="1:10" x14ac:dyDescent="0.35">
      <c r="A2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1" s="35">
        <f>COUNTIF(NodesData[Unambiguous Name],NodesData[[#This Row],[Unambiguous Name]])</f>
        <v>1</v>
      </c>
      <c r="C221" s="12" t="s">
        <v>226</v>
      </c>
      <c r="D221" s="13" t="s">
        <v>1641</v>
      </c>
      <c r="E221" s="35">
        <f>COUNTIF(NodesData[Node ID],NodesData[[#This Row],[Node ID]])</f>
        <v>1</v>
      </c>
      <c r="G221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I221" s="12" t="s">
        <v>838</v>
      </c>
      <c r="J221" s="19" t="str" cm="1">
        <f t="array" ref="J221">CreateGuidString()</f>
        <v>8E1920AE-316F-4503-8D61-9F247E232F41</v>
      </c>
    </row>
    <row r="222" spans="1:10" x14ac:dyDescent="0.35">
      <c r="A2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2" s="35">
        <f>COUNTIF(NodesData[Unambiguous Name],NodesData[[#This Row],[Unambiguous Name]])</f>
        <v>1</v>
      </c>
      <c r="C222" s="12" t="s">
        <v>839</v>
      </c>
      <c r="D222" s="13" t="s">
        <v>1642</v>
      </c>
      <c r="E222" s="35">
        <f>COUNTIF(NodesData[Node ID],NodesData[[#This Row],[Node ID]])</f>
        <v>1</v>
      </c>
      <c r="G222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I222" s="12" t="s">
        <v>840</v>
      </c>
      <c r="J222" s="19" t="str" cm="1">
        <f t="array" ref="J222">CreateGuidString()</f>
        <v>51282A83-306E-485C-9F61-C9EA60942CD4</v>
      </c>
    </row>
    <row r="223" spans="1:10" x14ac:dyDescent="0.35">
      <c r="A2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3" s="35">
        <f>COUNTIF(NodesData[Unambiguous Name],NodesData[[#This Row],[Unambiguous Name]])</f>
        <v>1</v>
      </c>
      <c r="C223" s="12" t="s">
        <v>841</v>
      </c>
      <c r="D223" s="13" t="s">
        <v>1643</v>
      </c>
      <c r="E223" s="35">
        <f>COUNTIF(NodesData[Node ID],NodesData[[#This Row],[Node ID]])</f>
        <v>1</v>
      </c>
      <c r="G223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I223" s="12" t="s">
        <v>842</v>
      </c>
      <c r="J223" s="19" t="str" cm="1">
        <f t="array" ref="J223">CreateGuidString()</f>
        <v>480272D2-293C-4131-9277-2020895CEFFD</v>
      </c>
    </row>
    <row r="224" spans="1:10" x14ac:dyDescent="0.35">
      <c r="A2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4" s="35">
        <f>COUNTIF(NodesData[Unambiguous Name],NodesData[[#This Row],[Unambiguous Name]])</f>
        <v>1</v>
      </c>
      <c r="C224" s="12" t="s">
        <v>843</v>
      </c>
      <c r="D224" s="13" t="s">
        <v>1644</v>
      </c>
      <c r="E224" s="35">
        <f>COUNTIF(NodesData[Node ID],NodesData[[#This Row],[Node ID]])</f>
        <v>1</v>
      </c>
      <c r="G224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I224" s="12" t="s">
        <v>844</v>
      </c>
      <c r="J224" s="19" t="str" cm="1">
        <f t="array" ref="J224">CreateGuidString()</f>
        <v>A79A8C67-D7CF-468B-9F0D-5CCA8B0ABCF6</v>
      </c>
    </row>
    <row r="225" spans="1:10" x14ac:dyDescent="0.35">
      <c r="A2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5" s="35">
        <f>COUNTIF(NodesData[Unambiguous Name],NodesData[[#This Row],[Unambiguous Name]])</f>
        <v>1</v>
      </c>
      <c r="C225" s="12" t="s">
        <v>845</v>
      </c>
      <c r="D225" s="13" t="s">
        <v>1645</v>
      </c>
      <c r="E225" s="35">
        <f>COUNTIF(NodesData[Node ID],NodesData[[#This Row],[Node ID]])</f>
        <v>1</v>
      </c>
      <c r="G225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I225" s="12" t="s">
        <v>846</v>
      </c>
      <c r="J225" s="19" t="str" cm="1">
        <f t="array" ref="J225">CreateGuidString()</f>
        <v>A57AE426-8912-47C8-8176-B3AA5D991CF6</v>
      </c>
    </row>
    <row r="226" spans="1:10" x14ac:dyDescent="0.35">
      <c r="A2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6" s="35">
        <f>COUNTIF(NodesData[Unambiguous Name],NodesData[[#This Row],[Unambiguous Name]])</f>
        <v>1</v>
      </c>
      <c r="C226" s="30" t="s">
        <v>1380</v>
      </c>
      <c r="D226" s="13" t="s">
        <v>1646</v>
      </c>
      <c r="E226" s="35">
        <f>COUNTIF(NodesData[Node ID],NodesData[[#This Row],[Node ID]])</f>
        <v>1</v>
      </c>
      <c r="G226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H226" s="18"/>
      <c r="J226" s="20" t="str" cm="1">
        <f t="array" ref="J226">CreateGuidString()</f>
        <v>C78191EE-36B7-46BE-BFDD-F4E466A8EF55</v>
      </c>
    </row>
    <row r="227" spans="1:10" x14ac:dyDescent="0.35">
      <c r="A2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27" s="35">
        <f>COUNTIF(NodesData[Unambiguous Name],NodesData[[#This Row],[Unambiguous Name]])</f>
        <v>1</v>
      </c>
      <c r="C227" s="12" t="s">
        <v>847</v>
      </c>
      <c r="D227" s="13" t="s">
        <v>1647</v>
      </c>
      <c r="E227" s="35">
        <f>COUNTIF(NodesData[Node ID],NodesData[[#This Row],[Node ID]])</f>
        <v>1</v>
      </c>
      <c r="G227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I227" s="12" t="s">
        <v>848</v>
      </c>
      <c r="J227" s="19" t="str" cm="1">
        <f t="array" ref="J227">CreateGuidString()</f>
        <v>EA28127F-1E92-4BBC-9733-2A0F0E4887C7</v>
      </c>
    </row>
    <row r="228" spans="1:10" x14ac:dyDescent="0.35">
      <c r="A2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28" s="35">
        <f>COUNTIF(NodesData[Unambiguous Name],NodesData[[#This Row],[Unambiguous Name]])</f>
        <v>1</v>
      </c>
      <c r="C228" s="12" t="s">
        <v>849</v>
      </c>
      <c r="D228" s="13" t="s">
        <v>1648</v>
      </c>
      <c r="E228" s="35">
        <f>COUNTIF(NodesData[Node ID],NodesData[[#This Row],[Node ID]])</f>
        <v>1</v>
      </c>
      <c r="G228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I228" s="12" t="s">
        <v>850</v>
      </c>
      <c r="J228" s="19" t="str" cm="1">
        <f t="array" ref="J228">CreateGuidString()</f>
        <v>C52B24C0-510F-4F8E-8C54-4FBDCFD4B788</v>
      </c>
    </row>
    <row r="229" spans="1:10" x14ac:dyDescent="0.35">
      <c r="A2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29" s="35">
        <f>COUNTIF(NodesData[Unambiguous Name],NodesData[[#This Row],[Unambiguous Name]])</f>
        <v>1</v>
      </c>
      <c r="C229" s="12" t="s">
        <v>851</v>
      </c>
      <c r="D229" s="13" t="s">
        <v>1649</v>
      </c>
      <c r="E229" s="35">
        <f>COUNTIF(NodesData[Node ID],NodesData[[#This Row],[Node ID]])</f>
        <v>1</v>
      </c>
      <c r="F229" s="12" t="s">
        <v>1270</v>
      </c>
      <c r="G229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I229" s="12" t="s">
        <v>852</v>
      </c>
      <c r="J229" s="19" t="str" cm="1">
        <f t="array" ref="J229">CreateGuidString()</f>
        <v>4E685453-7E18-4ED4-9B39-EF6585EFF41E</v>
      </c>
    </row>
    <row r="230" spans="1:10" x14ac:dyDescent="0.35">
      <c r="A2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0" s="35">
        <f>COUNTIF(NodesData[Unambiguous Name],NodesData[[#This Row],[Unambiguous Name]])</f>
        <v>1</v>
      </c>
      <c r="C230" s="12" t="s">
        <v>853</v>
      </c>
      <c r="D230" s="13" t="s">
        <v>1650</v>
      </c>
      <c r="E230" s="35">
        <f>COUNTIF(NodesData[Node ID],NodesData[[#This Row],[Node ID]])</f>
        <v>1</v>
      </c>
      <c r="F230" s="12" t="s">
        <v>1270</v>
      </c>
      <c r="G230" s="12" t="str">
        <f>IF(NodesData[[#This Row],[Class Disambiguation]]="",NodesData[[#This Row],[Common Name]],NodesData[[#This Row],[Common Name]]&amp;" ("&amp;NodesData[[#This Row],[Class Disambiguation]]&amp;")")</f>
        <v>IdP (Acronym)</v>
      </c>
      <c r="I230" s="12" t="s">
        <v>854</v>
      </c>
      <c r="J230" s="19" t="str" cm="1">
        <f t="array" ref="J230">CreateGuidString()</f>
        <v>955ABED9-76B7-421D-B9BE-9A9292E9FD67</v>
      </c>
    </row>
    <row r="231" spans="1:10" x14ac:dyDescent="0.35">
      <c r="A2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1" s="35">
        <f>COUNTIF(NodesData[Unambiguous Name],NodesData[[#This Row],[Unambiguous Name]])</f>
        <v>1</v>
      </c>
      <c r="C231" s="33" t="s">
        <v>1390</v>
      </c>
      <c r="D231" s="13" t="s">
        <v>1651</v>
      </c>
      <c r="E231" s="35">
        <f>COUNTIF(NodesData[Node ID],NodesData[[#This Row],[Node ID]])</f>
        <v>1</v>
      </c>
      <c r="G231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H231" s="18"/>
      <c r="J231" s="20" t="str" cm="1">
        <f t="array" ref="J231">CreateGuidString()</f>
        <v>79D1DA1A-FB35-4387-B537-F6D825A25A54</v>
      </c>
    </row>
    <row r="232" spans="1:10" x14ac:dyDescent="0.35">
      <c r="A2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2" s="35">
        <f>COUNTIF(NodesData[Unambiguous Name],NodesData[[#This Row],[Unambiguous Name]])</f>
        <v>1</v>
      </c>
      <c r="C232" s="12" t="s">
        <v>855</v>
      </c>
      <c r="D232" s="13" t="s">
        <v>1652</v>
      </c>
      <c r="E232" s="35">
        <f>COUNTIF(NodesData[Node ID],NodesData[[#This Row],[Node ID]])</f>
        <v>1</v>
      </c>
      <c r="F232" s="12" t="s">
        <v>1270</v>
      </c>
      <c r="G232" s="12" t="str">
        <f>IF(NodesData[[#This Row],[Class Disambiguation]]="",NodesData[[#This Row],[Common Name]],NodesData[[#This Row],[Common Name]]&amp;" ("&amp;NodesData[[#This Row],[Class Disambiguation]]&amp;")")</f>
        <v>IMG (Acronym)</v>
      </c>
      <c r="I232" s="12" t="s">
        <v>856</v>
      </c>
      <c r="J232" s="19" t="str" cm="1">
        <f t="array" ref="J232">CreateGuidString()</f>
        <v>A32129E8-E442-4420-BCB4-71DEC55B2D4C</v>
      </c>
    </row>
    <row r="233" spans="1:10" x14ac:dyDescent="0.35">
      <c r="A2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3" s="35">
        <f>COUNTIF(NodesData[Unambiguous Name],NodesData[[#This Row],[Unambiguous Name]])</f>
        <v>1</v>
      </c>
      <c r="C233" s="12" t="s">
        <v>857</v>
      </c>
      <c r="D233" s="13" t="s">
        <v>1653</v>
      </c>
      <c r="E233" s="35">
        <f>COUNTIF(NodesData[Node ID],NodesData[[#This Row],[Node ID]])</f>
        <v>1</v>
      </c>
      <c r="G233" s="12" t="str">
        <f>IF(NodesData[[#This Row],[Class Disambiguation]]="",NodesData[[#This Row],[Common Name]],NodesData[[#This Row],[Common Name]]&amp;" ("&amp;NodesData[[#This Row],[Class Disambiguation]]&amp;")")</f>
        <v>Impersonation</v>
      </c>
      <c r="I233" s="12" t="s">
        <v>858</v>
      </c>
      <c r="J233" s="19" t="str" cm="1">
        <f t="array" ref="J233">CreateGuidString()</f>
        <v>6019CD79-85AB-4E10-8808-D9430B5441CA</v>
      </c>
    </row>
    <row r="234" spans="1:10" x14ac:dyDescent="0.35">
      <c r="A2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4" s="35">
        <f>COUNTIF(NodesData[Unambiguous Name],NodesData[[#This Row],[Unambiguous Name]])</f>
        <v>1</v>
      </c>
      <c r="C234" s="12" t="s">
        <v>1298</v>
      </c>
      <c r="D234" s="13" t="s">
        <v>1654</v>
      </c>
      <c r="E234" s="35">
        <f>COUNTIF(NodesData[Node ID],NodesData[[#This Row],[Node ID]])</f>
        <v>1</v>
      </c>
      <c r="G234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J234" s="19" t="str" cm="1">
        <f t="array" ref="J234">CreateGuidString()</f>
        <v>6BAD55EE-D498-4BA7-B48E-1BABD4C33621</v>
      </c>
    </row>
    <row r="235" spans="1:10" x14ac:dyDescent="0.35">
      <c r="A2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5" s="35">
        <f>COUNTIF(NodesData[Unambiguous Name],NodesData[[#This Row],[Unambiguous Name]])</f>
        <v>1</v>
      </c>
      <c r="C235" s="12" t="s">
        <v>859</v>
      </c>
      <c r="D235" s="13" t="s">
        <v>1655</v>
      </c>
      <c r="E235" s="35">
        <f>COUNTIF(NodesData[Node ID],NodesData[[#This Row],[Node ID]])</f>
        <v>1</v>
      </c>
      <c r="G235" s="12" t="str">
        <f>IF(NodesData[[#This Row],[Class Disambiguation]]="",NodesData[[#This Row],[Common Name]],NodesData[[#This Row],[Common Name]]&amp;" ("&amp;NodesData[[#This Row],[Class Disambiguation]]&amp;")")</f>
        <v>Information</v>
      </c>
      <c r="I235" s="12" t="s">
        <v>860</v>
      </c>
      <c r="J235" s="19" t="str" cm="1">
        <f t="array" ref="J235">CreateGuidString()</f>
        <v>58673006-C82F-4BC7-88C6-CACF3C15D70A</v>
      </c>
    </row>
    <row r="236" spans="1:10" x14ac:dyDescent="0.35">
      <c r="A2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6" s="35">
        <f>COUNTIF(NodesData[Unambiguous Name],NodesData[[#This Row],[Unambiguous Name]])</f>
        <v>1</v>
      </c>
      <c r="C236" s="12" t="s">
        <v>861</v>
      </c>
      <c r="D236" s="13" t="s">
        <v>1656</v>
      </c>
      <c r="E236" s="35">
        <f>COUNTIF(NodesData[Node ID],NodesData[[#This Row],[Node ID]])</f>
        <v>1</v>
      </c>
      <c r="G236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I236" s="12" t="s">
        <v>862</v>
      </c>
      <c r="J236" s="19" t="str" cm="1">
        <f t="array" ref="J236">CreateGuidString()</f>
        <v>390DAF25-E862-4F54-9F7D-E954EC7A36A9</v>
      </c>
    </row>
    <row r="237" spans="1:10" x14ac:dyDescent="0.35">
      <c r="A2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37" s="35">
        <f>COUNTIF(NodesData[Unambiguous Name],NodesData[[#This Row],[Unambiguous Name]])</f>
        <v>1</v>
      </c>
      <c r="C237" s="12" t="s">
        <v>863</v>
      </c>
      <c r="D237" s="13" t="s">
        <v>1657</v>
      </c>
      <c r="E237" s="35">
        <f>COUNTIF(NodesData[Node ID],NodesData[[#This Row],[Node ID]])</f>
        <v>1</v>
      </c>
      <c r="G237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I237" s="12" t="s">
        <v>864</v>
      </c>
      <c r="J237" s="19" t="str" cm="1">
        <f t="array" ref="J237">CreateGuidString()</f>
        <v>D0C01BB0-60BE-41AC-8111-283543A16E03</v>
      </c>
    </row>
    <row r="238" spans="1:10" x14ac:dyDescent="0.35">
      <c r="A2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38" s="35">
        <f>COUNTIF(NodesData[Unambiguous Name],NodesData[[#This Row],[Unambiguous Name]])</f>
        <v>1</v>
      </c>
      <c r="C238" s="12" t="s">
        <v>865</v>
      </c>
      <c r="D238" s="13" t="s">
        <v>1658</v>
      </c>
      <c r="E238" s="35">
        <f>COUNTIF(NodesData[Node ID],NodesData[[#This Row],[Node ID]])</f>
        <v>1</v>
      </c>
      <c r="G238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I238" s="12" t="s">
        <v>866</v>
      </c>
      <c r="J238" s="19" t="str" cm="1">
        <f t="array" ref="J238">CreateGuidString()</f>
        <v>EAB26534-DD87-4BDB-95BD-E81E91846A1A</v>
      </c>
    </row>
    <row r="239" spans="1:10" x14ac:dyDescent="0.35">
      <c r="A2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39" s="35">
        <f>COUNTIF(NodesData[Unambiguous Name],NodesData[[#This Row],[Unambiguous Name]])</f>
        <v>1</v>
      </c>
      <c r="C239" s="12" t="s">
        <v>867</v>
      </c>
      <c r="D239" s="13" t="s">
        <v>1659</v>
      </c>
      <c r="E239" s="35">
        <f>COUNTIF(NodesData[Node ID],NodesData[[#This Row],[Node ID]])</f>
        <v>1</v>
      </c>
      <c r="G239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I239" s="12" t="s">
        <v>868</v>
      </c>
      <c r="J239" s="19" t="str" cm="1">
        <f t="array" ref="J239">CreateGuidString()</f>
        <v>5D56FF9C-6842-4E2A-85CC-7A1033FBD7BB</v>
      </c>
    </row>
    <row r="240" spans="1:10" x14ac:dyDescent="0.35">
      <c r="A2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0" s="35">
        <f>COUNTIF(NodesData[Unambiguous Name],NodesData[[#This Row],[Unambiguous Name]])</f>
        <v>1</v>
      </c>
      <c r="C240" s="12" t="s">
        <v>247</v>
      </c>
      <c r="D240" s="13" t="s">
        <v>1660</v>
      </c>
      <c r="E240" s="35">
        <f>COUNTIF(NodesData[Node ID],NodesData[[#This Row],[Node ID]])</f>
        <v>1</v>
      </c>
      <c r="G240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I240" s="12" t="s">
        <v>869</v>
      </c>
      <c r="J240" s="19" t="str" cm="1">
        <f t="array" ref="J240">CreateGuidString()</f>
        <v>CE9E60F5-629B-4C55-8D92-4073AD9EE8DF</v>
      </c>
    </row>
    <row r="241" spans="1:10" x14ac:dyDescent="0.35">
      <c r="A2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1" s="35">
        <f>COUNTIF(NodesData[Unambiguous Name],NodesData[[#This Row],[Unambiguous Name]])</f>
        <v>1</v>
      </c>
      <c r="C241" s="12" t="s">
        <v>248</v>
      </c>
      <c r="D241" s="13" t="s">
        <v>1661</v>
      </c>
      <c r="E241" s="35">
        <f>COUNTIF(NodesData[Node ID],NodesData[[#This Row],[Node ID]])</f>
        <v>1</v>
      </c>
      <c r="G241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I241" s="12" t="s">
        <v>870</v>
      </c>
      <c r="J241" s="19" t="str" cm="1">
        <f t="array" ref="J241">CreateGuidString()</f>
        <v>0C71E38A-D0A9-40F2-8685-2ED6CADE8EE3</v>
      </c>
    </row>
    <row r="242" spans="1:10" x14ac:dyDescent="0.35">
      <c r="A2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2" s="35">
        <f>COUNTIF(NodesData[Unambiguous Name],NodesData[[#This Row],[Unambiguous Name]])</f>
        <v>1</v>
      </c>
      <c r="C242" s="12" t="s">
        <v>1294</v>
      </c>
      <c r="D242" s="13" t="s">
        <v>1662</v>
      </c>
      <c r="E242" s="35">
        <f>COUNTIF(NodesData[Node ID],NodesData[[#This Row],[Node ID]])</f>
        <v>1</v>
      </c>
      <c r="G242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J242" s="19" t="str" cm="1">
        <f t="array" ref="J242">CreateGuidString()</f>
        <v>6D4A6EE5-58E7-48B3-B85D-B270D1A1DC6B</v>
      </c>
    </row>
    <row r="243" spans="1:10" x14ac:dyDescent="0.35">
      <c r="A2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3" s="35">
        <f>COUNTIF(NodesData[Unambiguous Name],NodesData[[#This Row],[Unambiguous Name]])</f>
        <v>1</v>
      </c>
      <c r="C243" s="12" t="s">
        <v>250</v>
      </c>
      <c r="D243" s="13" t="s">
        <v>1663</v>
      </c>
      <c r="E243" s="35">
        <f>COUNTIF(NodesData[Node ID],NodesData[[#This Row],[Node ID]])</f>
        <v>1</v>
      </c>
      <c r="G243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I243" s="12" t="s">
        <v>871</v>
      </c>
      <c r="J243" s="19" t="str" cm="1">
        <f t="array" ref="J243">CreateGuidString()</f>
        <v>22E26D7C-A2D5-4AEB-B959-010258DA9E82</v>
      </c>
    </row>
    <row r="244" spans="1:10" x14ac:dyDescent="0.35">
      <c r="A2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</v>
      </c>
      <c r="B244" s="35">
        <f>COUNTIF(NodesData[Unambiguous Name],NodesData[[#This Row],[Unambiguous Name]])</f>
        <v>1</v>
      </c>
      <c r="C244" s="12" t="s">
        <v>251</v>
      </c>
      <c r="D244" s="13" t="s">
        <v>1664</v>
      </c>
      <c r="E244" s="35">
        <f>COUNTIF(NodesData[Node ID],NodesData[[#This Row],[Node ID]])</f>
        <v>1</v>
      </c>
      <c r="G244" s="12" t="str">
        <f>IF(NodesData[[#This Row],[Class Disambiguation]]="",NodesData[[#This Row],[Common Name]],NodesData[[#This Row],[Common Name]]&amp;" ("&amp;NodesData[[#This Row],[Class Disambiguation]]&amp;")")</f>
        <v>Insider</v>
      </c>
      <c r="I244" s="12" t="s">
        <v>872</v>
      </c>
      <c r="J244" s="19" t="str" cm="1">
        <f t="array" ref="J244">CreateGuidString()</f>
        <v>CB9CC4CC-05CF-4893-9673-6B3BC8D11B90</v>
      </c>
    </row>
    <row r="245" spans="1:10" x14ac:dyDescent="0.35">
      <c r="A2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5" s="35">
        <f>COUNTIF(NodesData[Unambiguous Name],NodesData[[#This Row],[Unambiguous Name]])</f>
        <v>1</v>
      </c>
      <c r="C245" s="12" t="s">
        <v>252</v>
      </c>
      <c r="D245" s="13" t="s">
        <v>1665</v>
      </c>
      <c r="E245" s="35">
        <f>COUNTIF(NodesData[Node ID],NodesData[[#This Row],[Node ID]])</f>
        <v>1</v>
      </c>
      <c r="G245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I245" s="12" t="s">
        <v>873</v>
      </c>
      <c r="J245" s="19" t="str" cm="1">
        <f t="array" ref="J245">CreateGuidString()</f>
        <v>BA7039F9-41EE-4FD0-AD8A-91C0DBD7D75D</v>
      </c>
    </row>
    <row r="246" spans="1:10" x14ac:dyDescent="0.35">
      <c r="A2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6" s="35">
        <f>COUNTIF(NodesData[Unambiguous Name],NodesData[[#This Row],[Unambiguous Name]])</f>
        <v>1</v>
      </c>
      <c r="C246" s="12" t="s">
        <v>253</v>
      </c>
      <c r="D246" s="13" t="s">
        <v>1666</v>
      </c>
      <c r="E246" s="35">
        <f>COUNTIF(NodesData[Node ID],NodesData[[#This Row],[Node ID]])</f>
        <v>1</v>
      </c>
      <c r="G246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I246" s="12" t="s">
        <v>874</v>
      </c>
      <c r="J246" s="19" t="str" cm="1">
        <f t="array" ref="J246">CreateGuidString()</f>
        <v>EA3131C7-1AEB-4CF4-B6E6-1E49CE827CEA</v>
      </c>
    </row>
    <row r="247" spans="1:10" x14ac:dyDescent="0.35">
      <c r="A2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47" s="35">
        <f>COUNTIF(NodesData[Unambiguous Name],NodesData[[#This Row],[Unambiguous Name]])</f>
        <v>1</v>
      </c>
      <c r="C247" s="12" t="s">
        <v>875</v>
      </c>
      <c r="D247" s="13" t="s">
        <v>1667</v>
      </c>
      <c r="E247" s="35">
        <f>COUNTIF(NodesData[Node ID],NodesData[[#This Row],[Node ID]])</f>
        <v>1</v>
      </c>
      <c r="G247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I247" s="12" t="s">
        <v>876</v>
      </c>
      <c r="J247" s="19" t="str" cm="1">
        <f t="array" ref="J247">CreateGuidString()</f>
        <v>DA5EAE2B-B1AA-4619-8585-8920F13FA0B7</v>
      </c>
    </row>
    <row r="248" spans="1:10" x14ac:dyDescent="0.35">
      <c r="A2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48" s="35">
        <f>COUNTIF(NodesData[Unambiguous Name],NodesData[[#This Row],[Unambiguous Name]])</f>
        <v>1</v>
      </c>
      <c r="C248" s="12" t="s">
        <v>877</v>
      </c>
      <c r="D248" s="13" t="s">
        <v>1668</v>
      </c>
      <c r="E248" s="35">
        <f>COUNTIF(NodesData[Node ID],NodesData[[#This Row],[Node ID]])</f>
        <v>1</v>
      </c>
      <c r="G248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I248" s="12" t="s">
        <v>878</v>
      </c>
      <c r="J248" s="19" t="str" cm="1">
        <f t="array" ref="J248">CreateGuidString()</f>
        <v>079E7D60-81B3-4FF4-BBFB-8D5FEF3C4BA5</v>
      </c>
    </row>
    <row r="249" spans="1:10" x14ac:dyDescent="0.35">
      <c r="A2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49" s="35">
        <f>COUNTIF(NodesData[Unambiguous Name],NodesData[[#This Row],[Unambiguous Name]])</f>
        <v>1</v>
      </c>
      <c r="C249" s="12" t="s">
        <v>879</v>
      </c>
      <c r="D249" s="13" t="s">
        <v>1669</v>
      </c>
      <c r="E249" s="35">
        <f>COUNTIF(NodesData[Node ID],NodesData[[#This Row],[Node ID]])</f>
        <v>1</v>
      </c>
      <c r="G249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I249" s="12" t="s">
        <v>880</v>
      </c>
      <c r="J249" s="19" t="str" cm="1">
        <f t="array" ref="J249">CreateGuidString()</f>
        <v>314BBF07-90A5-4FD2-98D4-0C65EBCAE547</v>
      </c>
    </row>
    <row r="250" spans="1:10" x14ac:dyDescent="0.35">
      <c r="A2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0" s="35">
        <f>COUNTIF(NodesData[Unambiguous Name],NodesData[[#This Row],[Unambiguous Name]])</f>
        <v>1</v>
      </c>
      <c r="C250" s="12" t="s">
        <v>881</v>
      </c>
      <c r="D250" s="13" t="s">
        <v>1670</v>
      </c>
      <c r="E250" s="35">
        <f>COUNTIF(NodesData[Node ID],NodesData[[#This Row],[Node ID]])</f>
        <v>1</v>
      </c>
      <c r="G250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I250" s="12" t="s">
        <v>882</v>
      </c>
      <c r="J250" s="19" t="str" cm="1">
        <f t="array" ref="J250">CreateGuidString()</f>
        <v>67969A3A-9D62-49D9-93DD-B6FBBD3525D6</v>
      </c>
    </row>
    <row r="251" spans="1:10" x14ac:dyDescent="0.35">
      <c r="A2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1" s="35">
        <f>COUNTIF(NodesData[Unambiguous Name],NodesData[[#This Row],[Unambiguous Name]])</f>
        <v>1</v>
      </c>
      <c r="C251" s="12" t="s">
        <v>883</v>
      </c>
      <c r="D251" s="13" t="s">
        <v>1671</v>
      </c>
      <c r="E251" s="35">
        <f>COUNTIF(NodesData[Node ID],NodesData[[#This Row],[Node ID]])</f>
        <v>1</v>
      </c>
      <c r="G251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I251" s="12" t="s">
        <v>884</v>
      </c>
      <c r="J251" s="19" t="str" cm="1">
        <f t="array" ref="J251">CreateGuidString()</f>
        <v>BA69AFFF-AF1A-42EC-9003-0CB8E262193E</v>
      </c>
    </row>
    <row r="252" spans="1:10" x14ac:dyDescent="0.35">
      <c r="A2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2" s="35">
        <f>COUNTIF(NodesData[Unambiguous Name],NodesData[[#This Row],[Unambiguous Name]])</f>
        <v>1</v>
      </c>
      <c r="C252" s="12" t="s">
        <v>1310</v>
      </c>
      <c r="D252" s="13" t="s">
        <v>1672</v>
      </c>
      <c r="E252" s="35">
        <f>COUNTIF(NodesData[Node ID],NodesData[[#This Row],[Node ID]])</f>
        <v>1</v>
      </c>
      <c r="G252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J252" s="19" t="str" cm="1">
        <f t="array" ref="J252">CreateGuidString()</f>
        <v>55B2E569-1268-4A5B-9A93-1FDC27562FA5</v>
      </c>
    </row>
    <row r="253" spans="1:10" x14ac:dyDescent="0.35">
      <c r="A2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3" s="35">
        <f>COUNTIF(NodesData[Unambiguous Name],NodesData[[#This Row],[Unambiguous Name]])</f>
        <v>1</v>
      </c>
      <c r="C253" s="12" t="s">
        <v>885</v>
      </c>
      <c r="D253" s="13" t="s">
        <v>1673</v>
      </c>
      <c r="E253" s="35">
        <f>COUNTIF(NodesData[Node ID],NodesData[[#This Row],[Node ID]])</f>
        <v>1</v>
      </c>
      <c r="G253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I253" s="12" t="s">
        <v>886</v>
      </c>
      <c r="J253" s="19" t="str" cm="1">
        <f t="array" ref="J253">CreateGuidString()</f>
        <v>4B9E4A8A-F709-4ADE-BBBC-B13FC681F6B4</v>
      </c>
    </row>
    <row r="254" spans="1:10" x14ac:dyDescent="0.35">
      <c r="A2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4" s="35">
        <f>COUNTIF(NodesData[Unambiguous Name],NodesData[[#This Row],[Unambiguous Name]])</f>
        <v>1</v>
      </c>
      <c r="C254" s="12" t="s">
        <v>887</v>
      </c>
      <c r="D254" s="13" t="s">
        <v>1674</v>
      </c>
      <c r="E254" s="35">
        <f>COUNTIF(NodesData[Node ID],NodesData[[#This Row],[Node ID]])</f>
        <v>1</v>
      </c>
      <c r="G254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I254" s="12" t="s">
        <v>888</v>
      </c>
      <c r="J254" s="19" t="str" cm="1">
        <f t="array" ref="J254">CreateGuidString()</f>
        <v>8C049D70-C5BD-43CD-AAC4-C947F4F182C1</v>
      </c>
    </row>
    <row r="255" spans="1:10" x14ac:dyDescent="0.35">
      <c r="A2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5" s="35">
        <f>COUNTIF(NodesData[Unambiguous Name],NodesData[[#This Row],[Unambiguous Name]])</f>
        <v>1</v>
      </c>
      <c r="C255" s="12" t="s">
        <v>1341</v>
      </c>
      <c r="D255" s="13" t="s">
        <v>1675</v>
      </c>
      <c r="E255" s="35">
        <f>COUNTIF(NodesData[Node ID],NodesData[[#This Row],[Node ID]])</f>
        <v>1</v>
      </c>
      <c r="G255" s="18" t="str">
        <f>IF(NodesData[[#This Row],[Class Disambiguation]]="",NodesData[[#This Row],[Common Name]],NodesData[[#This Row],[Common Name]]&amp;" ("&amp;NodesData[[#This Row],[Class Disambiguation]]&amp;")")</f>
        <v>IT Component</v>
      </c>
      <c r="H255" s="18"/>
      <c r="J255" s="19" t="str" cm="1">
        <f t="array" ref="J255">CreateGuidString()</f>
        <v>65549756-4F44-4D63-8B81-91BF9AD8D0E9</v>
      </c>
    </row>
    <row r="256" spans="1:10" x14ac:dyDescent="0.35">
      <c r="A2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6" s="35">
        <f>COUNTIF(NodesData[Unambiguous Name],NodesData[[#This Row],[Unambiguous Name]])</f>
        <v>1</v>
      </c>
      <c r="C256" s="12" t="s">
        <v>1342</v>
      </c>
      <c r="D256" s="13" t="s">
        <v>1676</v>
      </c>
      <c r="E256" s="35">
        <f>COUNTIF(NodesData[Node ID],NodesData[[#This Row],[Node ID]])</f>
        <v>1</v>
      </c>
      <c r="G256" s="18" t="str">
        <f>IF(NodesData[[#This Row],[Class Disambiguation]]="",NodesData[[#This Row],[Common Name]],NodesData[[#This Row],[Common Name]]&amp;" ("&amp;NodesData[[#This Row],[Class Disambiguation]]&amp;")")</f>
        <v>IT Hardware</v>
      </c>
      <c r="H256" s="18"/>
      <c r="J256" s="20" t="str" cm="1">
        <f t="array" ref="J256">CreateGuidString()</f>
        <v>CF529AC0-5E18-46FA-AC96-98B633D7B305</v>
      </c>
    </row>
    <row r="257" spans="1:10" x14ac:dyDescent="0.35">
      <c r="A2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57" s="35">
        <f>COUNTIF(NodesData[Unambiguous Name],NodesData[[#This Row],[Unambiguous Name]])</f>
        <v>1</v>
      </c>
      <c r="C257" s="12" t="s">
        <v>1344</v>
      </c>
      <c r="D257" s="13" t="s">
        <v>1677</v>
      </c>
      <c r="E257" s="35">
        <f>COUNTIF(NodesData[Node ID],NodesData[[#This Row],[Node ID]])</f>
        <v>1</v>
      </c>
      <c r="G257" s="18" t="str">
        <f>IF(NodesData[[#This Row],[Class Disambiguation]]="",NodesData[[#This Row],[Common Name]],NodesData[[#This Row],[Common Name]]&amp;" ("&amp;NodesData[[#This Row],[Class Disambiguation]]&amp;")")</f>
        <v>IT Software</v>
      </c>
      <c r="H257" s="18"/>
      <c r="J257" s="20" t="str" cm="1">
        <f t="array" ref="J257">CreateGuidString()</f>
        <v>8010F1F7-6EA0-4589-BB10-D8603FEA472E</v>
      </c>
    </row>
    <row r="258" spans="1:10" x14ac:dyDescent="0.35">
      <c r="A2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58" s="35">
        <f>COUNTIF(NodesData[Unambiguous Name],NodesData[[#This Row],[Unambiguous Name]])</f>
        <v>1</v>
      </c>
      <c r="C258" s="12" t="s">
        <v>261</v>
      </c>
      <c r="D258" s="13" t="s">
        <v>1678</v>
      </c>
      <c r="E258" s="35">
        <f>COUNTIF(NodesData[Node ID],NodesData[[#This Row],[Node ID]])</f>
        <v>1</v>
      </c>
      <c r="G258" s="12" t="str">
        <f>IF(NodesData[[#This Row],[Class Disambiguation]]="",NodesData[[#This Row],[Common Name]],NodesData[[#This Row],[Common Name]]&amp;" ("&amp;NodesData[[#This Row],[Class Disambiguation]]&amp;")")</f>
        <v>IT System</v>
      </c>
      <c r="I258" s="12" t="s">
        <v>889</v>
      </c>
      <c r="J258" s="19" t="str" cm="1">
        <f t="array" ref="J258">CreateGuidString()</f>
        <v>CDC8E0E9-5BB1-45D5-94D4-0EDB814D13EA</v>
      </c>
    </row>
    <row r="259" spans="1:10" x14ac:dyDescent="0.35">
      <c r="A2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59" s="35">
        <f>COUNTIF(NodesData[Unambiguous Name],NodesData[[#This Row],[Unambiguous Name]])</f>
        <v>1</v>
      </c>
      <c r="C259" s="12" t="s">
        <v>890</v>
      </c>
      <c r="D259" s="13" t="s">
        <v>1679</v>
      </c>
      <c r="E259" s="35">
        <f>COUNTIF(NodesData[Node ID],NodesData[[#This Row],[Node ID]])</f>
        <v>1</v>
      </c>
      <c r="F259" s="12" t="s">
        <v>1270</v>
      </c>
      <c r="G259" s="12" t="str">
        <f>IF(NodesData[[#This Row],[Class Disambiguation]]="",NodesData[[#This Row],[Common Name]],NodesData[[#This Row],[Common Name]]&amp;" ("&amp;NodesData[[#This Row],[Class Disambiguation]]&amp;")")</f>
        <v>JML (Acronym)</v>
      </c>
      <c r="I259" s="12" t="s">
        <v>891</v>
      </c>
      <c r="J259" s="19" t="str" cm="1">
        <f t="array" ref="J259">CreateGuidString()</f>
        <v>C72DF437-1AF9-4FC6-9A30-68803B27331D</v>
      </c>
    </row>
    <row r="260" spans="1:10" x14ac:dyDescent="0.35">
      <c r="A2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</v>
      </c>
      <c r="B260" s="35">
        <f>COUNTIF(NodesData[Unambiguous Name],NodesData[[#This Row],[Unambiguous Name]])</f>
        <v>1</v>
      </c>
      <c r="C260" s="12" t="s">
        <v>892</v>
      </c>
      <c r="D260" s="13" t="s">
        <v>1680</v>
      </c>
      <c r="E260" s="35">
        <f>COUNTIF(NodesData[Node ID],NodesData[[#This Row],[Node ID]])</f>
        <v>1</v>
      </c>
      <c r="G260" s="12" t="str">
        <f>IF(NodesData[[#This Row],[Class Disambiguation]]="",NodesData[[#This Row],[Common Name]],NodesData[[#This Row],[Common Name]]&amp;" ("&amp;NodesData[[#This Row],[Class Disambiguation]]&amp;")")</f>
        <v>Joiner</v>
      </c>
      <c r="I260" s="12" t="s">
        <v>893</v>
      </c>
      <c r="J260" s="19" t="str" cm="1">
        <f t="array" ref="J260">CreateGuidString()</f>
        <v>1A449D5A-FAC8-4200-8F38-C8EAB3789006</v>
      </c>
    </row>
    <row r="261" spans="1:10" x14ac:dyDescent="0.35">
      <c r="A2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1" s="35">
        <f>COUNTIF(NodesData[Unambiguous Name],NodesData[[#This Row],[Unambiguous Name]])</f>
        <v>1</v>
      </c>
      <c r="C261" s="12" t="s">
        <v>894</v>
      </c>
      <c r="D261" s="13" t="s">
        <v>1681</v>
      </c>
      <c r="E261" s="35">
        <f>COUNTIF(NodesData[Node ID],NodesData[[#This Row],[Node ID]])</f>
        <v>1</v>
      </c>
      <c r="G261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I261" s="12" t="s">
        <v>895</v>
      </c>
      <c r="J261" s="19" t="str" cm="1">
        <f t="array" ref="J261">CreateGuidString()</f>
        <v>40D650CB-14F8-47AA-8DEC-65EB4D1AEBA9</v>
      </c>
    </row>
    <row r="262" spans="1:10" x14ac:dyDescent="0.35">
      <c r="A2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2" s="35">
        <f>COUNTIF(NodesData[Unambiguous Name],NodesData[[#This Row],[Unambiguous Name]])</f>
        <v>1</v>
      </c>
      <c r="C262" s="12" t="s">
        <v>896</v>
      </c>
      <c r="D262" s="13" t="s">
        <v>1682</v>
      </c>
      <c r="E262" s="35">
        <f>COUNTIF(NodesData[Node ID],NodesData[[#This Row],[Node ID]])</f>
        <v>1</v>
      </c>
      <c r="G262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I262" s="12" t="s">
        <v>897</v>
      </c>
      <c r="J262" s="19" t="str" cm="1">
        <f t="array" ref="J262">CreateGuidString()</f>
        <v>EC2BA8FB-16FC-4BDE-8E8F-FAD3D42E368A</v>
      </c>
    </row>
    <row r="263" spans="1:10" x14ac:dyDescent="0.35">
      <c r="A2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3" s="35">
        <f>COUNTIF(NodesData[Unambiguous Name],NodesData[[#This Row],[Unambiguous Name]])</f>
        <v>1</v>
      </c>
      <c r="C263" s="12" t="s">
        <v>898</v>
      </c>
      <c r="D263" s="13" t="s">
        <v>1683</v>
      </c>
      <c r="E263" s="35">
        <f>COUNTIF(NodesData[Node ID],NodesData[[#This Row],[Node ID]])</f>
        <v>1</v>
      </c>
      <c r="G263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I263" s="12" t="s">
        <v>899</v>
      </c>
      <c r="J263" s="19" t="str" cm="1">
        <f t="array" ref="J263">CreateGuidString()</f>
        <v>C21E9FF6-7941-4FC7-81B7-2B4A034BB752</v>
      </c>
    </row>
    <row r="264" spans="1:10" x14ac:dyDescent="0.35">
      <c r="A2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4" s="35">
        <f>COUNTIF(NodesData[Unambiguous Name],NodesData[[#This Row],[Unambiguous Name]])</f>
        <v>1</v>
      </c>
      <c r="C264" s="12" t="s">
        <v>900</v>
      </c>
      <c r="D264" s="13" t="s">
        <v>1684</v>
      </c>
      <c r="E264" s="35">
        <f>COUNTIF(NodesData[Node ID],NodesData[[#This Row],[Node ID]])</f>
        <v>1</v>
      </c>
      <c r="G264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I264" s="12" t="s">
        <v>901</v>
      </c>
      <c r="J264" s="19" t="str" cm="1">
        <f t="array" ref="J264">CreateGuidString()</f>
        <v>0BF3824B-0BB9-4CBD-9EC3-4DA978C96B9D</v>
      </c>
    </row>
    <row r="265" spans="1:10" x14ac:dyDescent="0.35">
      <c r="A2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5" s="35">
        <f>COUNTIF(NodesData[Unambiguous Name],NodesData[[#This Row],[Unambiguous Name]])</f>
        <v>1</v>
      </c>
      <c r="C265" s="12" t="s">
        <v>902</v>
      </c>
      <c r="D265" s="13" t="s">
        <v>1685</v>
      </c>
      <c r="E265" s="35">
        <f>COUNTIF(NodesData[Node ID],NodesData[[#This Row],[Node ID]])</f>
        <v>1</v>
      </c>
      <c r="G265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I265" s="12" t="s">
        <v>903</v>
      </c>
      <c r="J265" s="19" t="str" cm="1">
        <f t="array" ref="J265">CreateGuidString()</f>
        <v>EF4C323F-77EB-4C24-86A7-28BBD8D500D5</v>
      </c>
    </row>
    <row r="266" spans="1:10" x14ac:dyDescent="0.35">
      <c r="A2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6" s="35">
        <f>COUNTIF(NodesData[Unambiguous Name],NodesData[[#This Row],[Unambiguous Name]])</f>
        <v>1</v>
      </c>
      <c r="C266" s="12" t="s">
        <v>904</v>
      </c>
      <c r="D266" s="13" t="s">
        <v>1686</v>
      </c>
      <c r="E266" s="35">
        <f>COUNTIF(NodesData[Node ID],NodesData[[#This Row],[Node ID]])</f>
        <v>1</v>
      </c>
      <c r="G266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I266" s="12" t="s">
        <v>905</v>
      </c>
      <c r="J266" s="19" t="str" cm="1">
        <f t="array" ref="J266">CreateGuidString()</f>
        <v>A93B03AE-800C-4F85-BDBF-391F91758A4D</v>
      </c>
    </row>
    <row r="267" spans="1:10" x14ac:dyDescent="0.35">
      <c r="A2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67" s="35">
        <f>COUNTIF(NodesData[Unambiguous Name],NodesData[[#This Row],[Unambiguous Name]])</f>
        <v>1</v>
      </c>
      <c r="C267" s="12" t="s">
        <v>906</v>
      </c>
      <c r="D267" s="13" t="s">
        <v>1687</v>
      </c>
      <c r="E267" s="35">
        <f>COUNTIF(NodesData[Node ID],NodesData[[#This Row],[Node ID]])</f>
        <v>1</v>
      </c>
      <c r="G267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I267" s="12" t="s">
        <v>907</v>
      </c>
      <c r="J267" s="19" t="str" cm="1">
        <f t="array" ref="J267">CreateGuidString()</f>
        <v>D1062F02-FA9E-4513-BAF8-10AECB84C27B</v>
      </c>
    </row>
    <row r="268" spans="1:10" x14ac:dyDescent="0.35">
      <c r="A2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68" s="35">
        <f>COUNTIF(NodesData[Unambiguous Name],NodesData[[#This Row],[Unambiguous Name]])</f>
        <v>1</v>
      </c>
      <c r="C268" s="12" t="s">
        <v>1311</v>
      </c>
      <c r="D268" s="13" t="s">
        <v>1688</v>
      </c>
      <c r="E268" s="35">
        <f>COUNTIF(NodesData[Node ID],NodesData[[#This Row],[Node ID]])</f>
        <v>1</v>
      </c>
      <c r="G268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J268" s="19" t="str" cm="1">
        <f t="array" ref="J268">CreateGuidString()</f>
        <v>9D65FF83-F1B5-4561-93A7-284EF3B58B29</v>
      </c>
    </row>
    <row r="269" spans="1:10" x14ac:dyDescent="0.35">
      <c r="A2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69" s="35">
        <f>COUNTIF(NodesData[Unambiguous Name],NodesData[[#This Row],[Unambiguous Name]])</f>
        <v>1</v>
      </c>
      <c r="C269" s="12" t="s">
        <v>2</v>
      </c>
      <c r="D269" s="13" t="s">
        <v>1689</v>
      </c>
      <c r="E269" s="35">
        <f>COUNTIF(NodesData[Node ID],NodesData[[#This Row],[Node ID]])</f>
        <v>1</v>
      </c>
      <c r="G269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J269" s="19" t="str" cm="1">
        <f t="array" ref="J269">CreateGuidString()</f>
        <v>5005451C-9C17-46DB-A116-CB6D0BE3A1FD</v>
      </c>
    </row>
    <row r="270" spans="1:10" x14ac:dyDescent="0.35">
      <c r="A2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0" s="35">
        <f>COUNTIF(NodesData[Unambiguous Name],NodesData[[#This Row],[Unambiguous Name]])</f>
        <v>1</v>
      </c>
      <c r="C270" s="12" t="s">
        <v>1313</v>
      </c>
      <c r="D270" s="13" t="s">
        <v>1690</v>
      </c>
      <c r="E270" s="35">
        <f>COUNTIF(NodesData[Node ID],NodesData[[#This Row],[Node ID]])</f>
        <v>1</v>
      </c>
      <c r="G270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J270" s="19" t="str" cm="1">
        <f t="array" ref="J270">CreateGuidString()</f>
        <v>DE6AB0C2-B93D-43F2-BDA2-948619C5D1E5</v>
      </c>
    </row>
    <row r="271" spans="1:10" x14ac:dyDescent="0.35">
      <c r="A2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1" s="35">
        <f>COUNTIF(NodesData[Unambiguous Name],NodesData[[#This Row],[Unambiguous Name]])</f>
        <v>1</v>
      </c>
      <c r="C271" s="12" t="s">
        <v>908</v>
      </c>
      <c r="D271" s="13" t="s">
        <v>1691</v>
      </c>
      <c r="E271" s="35">
        <f>COUNTIF(NodesData[Node ID],NodesData[[#This Row],[Node ID]])</f>
        <v>1</v>
      </c>
      <c r="F271" s="12" t="s">
        <v>1270</v>
      </c>
      <c r="G271" s="12" t="str">
        <f>IF(NodesData[[#This Row],[Class Disambiguation]]="",NodesData[[#This Row],[Common Name]],NodesData[[#This Row],[Common Name]]&amp;" ("&amp;NodesData[[#This Row],[Class Disambiguation]]&amp;")")</f>
        <v>KYC (Acronym)</v>
      </c>
      <c r="I271" s="12" t="s">
        <v>909</v>
      </c>
      <c r="J271" s="19" t="str" cm="1">
        <f t="array" ref="J271">CreateGuidString()</f>
        <v>4DDC1B2A-F4BF-4AB6-810D-F9683848E38C</v>
      </c>
    </row>
    <row r="272" spans="1:10" x14ac:dyDescent="0.35">
      <c r="A2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2" s="35">
        <f>COUNTIF(NodesData[Unambiguous Name],NodesData[[#This Row],[Unambiguous Name]])</f>
        <v>1</v>
      </c>
      <c r="C272" s="12" t="s">
        <v>910</v>
      </c>
      <c r="D272" s="13" t="s">
        <v>1692</v>
      </c>
      <c r="E272" s="35">
        <f>COUNTIF(NodesData[Node ID],NodesData[[#This Row],[Node ID]])</f>
        <v>1</v>
      </c>
      <c r="G272" s="12" t="str">
        <f>IF(NodesData[[#This Row],[Class Disambiguation]]="",NodesData[[#This Row],[Common Name]],NodesData[[#This Row],[Common Name]]&amp;" ("&amp;NodesData[[#This Row],[Class Disambiguation]]&amp;")")</f>
        <v>KYC Registry</v>
      </c>
      <c r="I272" s="12" t="s">
        <v>911</v>
      </c>
      <c r="J272" s="19" t="str" cm="1">
        <f t="array" ref="J272">CreateGuidString()</f>
        <v>14259B64-5B39-46DA-8274-F82339A2B2C4</v>
      </c>
    </row>
    <row r="273" spans="1:10" x14ac:dyDescent="0.35">
      <c r="A2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3" s="35">
        <f>COUNTIF(NodesData[Unambiguous Name],NodesData[[#This Row],[Unambiguous Name]])</f>
        <v>1</v>
      </c>
      <c r="C273" s="12" t="s">
        <v>912</v>
      </c>
      <c r="D273" s="13" t="s">
        <v>1693</v>
      </c>
      <c r="E273" s="35">
        <f>COUNTIF(NodesData[Node ID],NodesData[[#This Row],[Node ID]])</f>
        <v>1</v>
      </c>
      <c r="G273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I273" s="12" t="s">
        <v>913</v>
      </c>
      <c r="J273" s="19" t="str" cm="1">
        <f t="array" ref="J273">CreateGuidString()</f>
        <v>2511C23C-F3B9-4503-A755-E765FD606172</v>
      </c>
    </row>
    <row r="274" spans="1:10" x14ac:dyDescent="0.35">
      <c r="A2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4" s="35">
        <f>COUNTIF(NodesData[Unambiguous Name],NodesData[[#This Row],[Unambiguous Name]])</f>
        <v>1</v>
      </c>
      <c r="C274" s="12" t="s">
        <v>914</v>
      </c>
      <c r="D274" s="13" t="s">
        <v>1694</v>
      </c>
      <c r="E274" s="35">
        <f>COUNTIF(NodesData[Node ID],NodesData[[#This Row],[Node ID]])</f>
        <v>1</v>
      </c>
      <c r="G274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I274" s="12" t="s">
        <v>915</v>
      </c>
      <c r="J274" s="19" t="str" cm="1">
        <f t="array" ref="J274">CreateGuidString()</f>
        <v>45685EF9-203C-4720-966C-FAA256EB5374</v>
      </c>
    </row>
    <row r="275" spans="1:10" x14ac:dyDescent="0.35">
      <c r="A2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5" s="35">
        <f>COUNTIF(NodesData[Unambiguous Name],NodesData[[#This Row],[Unambiguous Name]])</f>
        <v>1</v>
      </c>
      <c r="C275" s="12" t="s">
        <v>916</v>
      </c>
      <c r="D275" s="13" t="s">
        <v>1695</v>
      </c>
      <c r="E275" s="35">
        <f>COUNTIF(NodesData[Node ID],NodesData[[#This Row],[Node ID]])</f>
        <v>1</v>
      </c>
      <c r="F275" s="12" t="s">
        <v>1270</v>
      </c>
      <c r="G275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I275" s="12" t="s">
        <v>917</v>
      </c>
      <c r="J275" s="19" t="str" cm="1">
        <f t="array" ref="J275">CreateGuidString()</f>
        <v>1675A864-54D3-4AFD-AD56-8D09054A2522</v>
      </c>
    </row>
    <row r="276" spans="1:10" x14ac:dyDescent="0.35">
      <c r="A2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6" s="35">
        <f>COUNTIF(NodesData[Unambiguous Name],NodesData[[#This Row],[Unambiguous Name]])</f>
        <v>1</v>
      </c>
      <c r="C276" s="12" t="s">
        <v>918</v>
      </c>
      <c r="D276" s="13" t="s">
        <v>1696</v>
      </c>
      <c r="E276" s="35">
        <f>COUNTIF(NodesData[Node ID],NodesData[[#This Row],[Node ID]])</f>
        <v>1</v>
      </c>
      <c r="G276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I276" s="12" t="s">
        <v>919</v>
      </c>
      <c r="J276" s="19" t="str" cm="1">
        <f t="array" ref="J276">CreateGuidString()</f>
        <v>A035BDA2-254A-48D7-ACA2-B77F7496EF86</v>
      </c>
    </row>
    <row r="277" spans="1:10" x14ac:dyDescent="0.35">
      <c r="A2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77" s="35">
        <f>COUNTIF(NodesData[Unambiguous Name],NodesData[[#This Row],[Unambiguous Name]])</f>
        <v>1</v>
      </c>
      <c r="C277" s="12" t="s">
        <v>920</v>
      </c>
      <c r="D277" s="13" t="s">
        <v>1697</v>
      </c>
      <c r="E277" s="35">
        <f>COUNTIF(NodesData[Node ID],NodesData[[#This Row],[Node ID]])</f>
        <v>1</v>
      </c>
      <c r="G277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I277" s="12" t="s">
        <v>921</v>
      </c>
      <c r="J277" s="19" t="str" cm="1">
        <f t="array" ref="J277">CreateGuidString()</f>
        <v>5FA42B4A-114C-4B82-9CA8-F46E5C102E59</v>
      </c>
    </row>
    <row r="278" spans="1:10" x14ac:dyDescent="0.35">
      <c r="A2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78" s="35">
        <f>COUNTIF(NodesData[Unambiguous Name],NodesData[[#This Row],[Unambiguous Name]])</f>
        <v>1</v>
      </c>
      <c r="C278" s="12" t="s">
        <v>922</v>
      </c>
      <c r="D278" s="13" t="s">
        <v>1698</v>
      </c>
      <c r="E278" s="35">
        <f>COUNTIF(NodesData[Node ID],NodesData[[#This Row],[Node ID]])</f>
        <v>1</v>
      </c>
      <c r="G278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I278" s="12" t="s">
        <v>923</v>
      </c>
      <c r="J278" s="19" t="str" cm="1">
        <f t="array" ref="J278">CreateGuidString()</f>
        <v>B683D175-8F57-460B-A092-FFEDEFEE156C</v>
      </c>
    </row>
    <row r="279" spans="1:10" x14ac:dyDescent="0.35">
      <c r="A2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79" s="35">
        <f>COUNTIF(NodesData[Unambiguous Name],NodesData[[#This Row],[Unambiguous Name]])</f>
        <v>1</v>
      </c>
      <c r="C279" s="12" t="s">
        <v>924</v>
      </c>
      <c r="D279" s="13" t="s">
        <v>1699</v>
      </c>
      <c r="E279" s="35">
        <f>COUNTIF(NodesData[Node ID],NodesData[[#This Row],[Node ID]])</f>
        <v>1</v>
      </c>
      <c r="G279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I279" s="12" t="s">
        <v>925</v>
      </c>
      <c r="J279" s="19" t="str" cm="1">
        <f t="array" ref="J279">CreateGuidString()</f>
        <v>3F21AB69-FD7B-48EB-9738-936A3CEB53CA</v>
      </c>
    </row>
    <row r="280" spans="1:10" x14ac:dyDescent="0.35">
      <c r="A2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0" s="35">
        <f>COUNTIF(NodesData[Unambiguous Name],NodesData[[#This Row],[Unambiguous Name]])</f>
        <v>1</v>
      </c>
      <c r="C280" s="12" t="s">
        <v>926</v>
      </c>
      <c r="D280" s="13" t="s">
        <v>1700</v>
      </c>
      <c r="E280" s="35">
        <f>COUNTIF(NodesData[Node ID],NodesData[[#This Row],[Node ID]])</f>
        <v>1</v>
      </c>
      <c r="F280" s="12" t="s">
        <v>1270</v>
      </c>
      <c r="G280" s="12" t="str">
        <f>IF(NodesData[[#This Row],[Class Disambiguation]]="",NodesData[[#This Row],[Common Name]],NodesData[[#This Row],[Common Name]]&amp;" ("&amp;NodesData[[#This Row],[Class Disambiguation]]&amp;")")</f>
        <v>LEI (Acronym)</v>
      </c>
      <c r="I280" s="12" t="s">
        <v>927</v>
      </c>
      <c r="J280" s="19" t="str" cm="1">
        <f t="array" ref="J280">CreateGuidString()</f>
        <v>ABFA8E01-33CD-45F1-BCC2-0A5A7FF4AED5</v>
      </c>
    </row>
    <row r="281" spans="1:10" x14ac:dyDescent="0.35">
      <c r="A2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1" s="35">
        <f>COUNTIF(NodesData[Unambiguous Name],NodesData[[#This Row],[Unambiguous Name]])</f>
        <v>1</v>
      </c>
      <c r="C281" s="12" t="s">
        <v>928</v>
      </c>
      <c r="D281" s="13" t="s">
        <v>1701</v>
      </c>
      <c r="E281" s="35">
        <f>COUNTIF(NodesData[Node ID],NodesData[[#This Row],[Node ID]])</f>
        <v>1</v>
      </c>
      <c r="G281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I281" s="12" t="s">
        <v>929</v>
      </c>
      <c r="J281" s="19" t="str" cm="1">
        <f t="array" ref="J281">CreateGuidString()</f>
        <v>86DAD1A6-C81A-48A2-B3FA-C6412192902D</v>
      </c>
    </row>
    <row r="282" spans="1:10" x14ac:dyDescent="0.35">
      <c r="A2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2" s="35">
        <f>COUNTIF(NodesData[Unambiguous Name],NodesData[[#This Row],[Unambiguous Name]])</f>
        <v>1</v>
      </c>
      <c r="C282" s="12" t="s">
        <v>930</v>
      </c>
      <c r="D282" s="13" t="s">
        <v>1702</v>
      </c>
      <c r="E282" s="35">
        <f>COUNTIF(NodesData[Node ID],NodesData[[#This Row],[Node ID]])</f>
        <v>1</v>
      </c>
      <c r="G282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I282" s="12" t="s">
        <v>931</v>
      </c>
      <c r="J282" s="19" t="str" cm="1">
        <f t="array" ref="J282">CreateGuidString()</f>
        <v>F6855C29-C69D-4DC1-A359-540451A8517B</v>
      </c>
    </row>
    <row r="283" spans="1:10" x14ac:dyDescent="0.35">
      <c r="A2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3" s="35">
        <f>COUNTIF(NodesData[Unambiguous Name],NodesData[[#This Row],[Unambiguous Name]])</f>
        <v>1</v>
      </c>
      <c r="C283" s="12" t="s">
        <v>932</v>
      </c>
      <c r="D283" s="13" t="s">
        <v>1703</v>
      </c>
      <c r="E283" s="35">
        <f>COUNTIF(NodesData[Node ID],NodesData[[#This Row],[Node ID]])</f>
        <v>1</v>
      </c>
      <c r="F283" s="12" t="s">
        <v>1270</v>
      </c>
      <c r="G283" s="12" t="str">
        <f>IF(NodesData[[#This Row],[Class Disambiguation]]="",NodesData[[#This Row],[Common Name]],NodesData[[#This Row],[Common Name]]&amp;" ("&amp;NodesData[[#This Row],[Class Disambiguation]]&amp;")")</f>
        <v>LOA (Acronym)</v>
      </c>
      <c r="I283" s="12" t="s">
        <v>933</v>
      </c>
      <c r="J283" s="19" t="str" cm="1">
        <f t="array" ref="J283">CreateGuidString()</f>
        <v>0D6DC0D0-8CD0-4ADE-AC9C-CAC836B7DBF5</v>
      </c>
    </row>
    <row r="284" spans="1:10" x14ac:dyDescent="0.35">
      <c r="A2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4" s="35">
        <f>COUNTIF(NodesData[Unambiguous Name],NodesData[[#This Row],[Unambiguous Name]])</f>
        <v>1</v>
      </c>
      <c r="C284" s="12" t="s">
        <v>1296</v>
      </c>
      <c r="D284" s="13" t="s">
        <v>1704</v>
      </c>
      <c r="E284" s="35">
        <f>COUNTIF(NodesData[Node ID],NodesData[[#This Row],[Node ID]])</f>
        <v>1</v>
      </c>
      <c r="G284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J284" s="19" t="str" cm="1">
        <f t="array" ref="J284">CreateGuidString()</f>
        <v>546C83BB-7509-4A06-8845-4917A5642693</v>
      </c>
    </row>
    <row r="285" spans="1:10" x14ac:dyDescent="0.35">
      <c r="A2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5" s="35">
        <f>COUNTIF(NodesData[Unambiguous Name],NodesData[[#This Row],[Unambiguous Name]])</f>
        <v>1</v>
      </c>
      <c r="C285" s="12" t="s">
        <v>285</v>
      </c>
      <c r="D285" s="13" t="s">
        <v>1705</v>
      </c>
      <c r="E285" s="35">
        <f>COUNTIF(NodesData[Node ID],NodesData[[#This Row],[Node ID]])</f>
        <v>1</v>
      </c>
      <c r="G285" s="12" t="str">
        <f>IF(NodesData[[#This Row],[Class Disambiguation]]="",NodesData[[#This Row],[Common Name]],NodesData[[#This Row],[Common Name]]&amp;" ("&amp;NodesData[[#This Row],[Class Disambiguation]]&amp;")")</f>
        <v>Logic Bomb</v>
      </c>
      <c r="I285" s="12" t="s">
        <v>934</v>
      </c>
      <c r="J285" s="19" t="str" cm="1">
        <f t="array" ref="J285">CreateGuidString()</f>
        <v>22EF379F-6E34-4E3F-9080-374DD51B71FA</v>
      </c>
    </row>
    <row r="286" spans="1:10" x14ac:dyDescent="0.35">
      <c r="A2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</v>
      </c>
      <c r="B286" s="35">
        <f>COUNTIF(NodesData[Unambiguous Name],NodesData[[#This Row],[Unambiguous Name]])</f>
        <v>1</v>
      </c>
      <c r="C286" s="12" t="s">
        <v>286</v>
      </c>
      <c r="D286" s="13" t="s">
        <v>1706</v>
      </c>
      <c r="E286" s="35">
        <f>COUNTIF(NodesData[Node ID],NodesData[[#This Row],[Node ID]])</f>
        <v>1</v>
      </c>
      <c r="G286" s="12" t="str">
        <f>IF(NodesData[[#This Row],[Class Disambiguation]]="",NodesData[[#This Row],[Common Name]],NodesData[[#This Row],[Common Name]]&amp;" ("&amp;NodesData[[#This Row],[Class Disambiguation]]&amp;")")</f>
        <v>Login</v>
      </c>
      <c r="I286" s="12" t="s">
        <v>935</v>
      </c>
      <c r="J286" s="19" t="str" cm="1">
        <f t="array" ref="J286">CreateGuidString()</f>
        <v>29C6DCBB-A4CD-4EDB-B393-EDB61D70532C</v>
      </c>
    </row>
    <row r="287" spans="1:10" x14ac:dyDescent="0.35">
      <c r="A2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87" s="35">
        <f>COUNTIF(NodesData[Unambiguous Name],NodesData[[#This Row],[Unambiguous Name]])</f>
        <v>1</v>
      </c>
      <c r="C287" s="12" t="s">
        <v>287</v>
      </c>
      <c r="D287" s="13" t="s">
        <v>1707</v>
      </c>
      <c r="E287" s="35">
        <f>COUNTIF(NodesData[Node ID],NodesData[[#This Row],[Node ID]])</f>
        <v>1</v>
      </c>
      <c r="F287" s="12" t="s">
        <v>1270</v>
      </c>
      <c r="G287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I287" s="12" t="s">
        <v>936</v>
      </c>
      <c r="J287" s="19" t="str" cm="1">
        <f t="array" ref="J287">CreateGuidString()</f>
        <v>4C3FFD31-8890-4780-B084-5B5498878C33</v>
      </c>
    </row>
    <row r="288" spans="1:10" x14ac:dyDescent="0.35">
      <c r="A2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88" s="35">
        <f>COUNTIF(NodesData[Unambiguous Name],NodesData[[#This Row],[Unambiguous Name]])</f>
        <v>1</v>
      </c>
      <c r="C288" s="12" t="s">
        <v>288</v>
      </c>
      <c r="D288" s="13" t="s">
        <v>1708</v>
      </c>
      <c r="E288" s="35">
        <f>COUNTIF(NodesData[Node ID],NodesData[[#This Row],[Node ID]])</f>
        <v>1</v>
      </c>
      <c r="G288" s="12" t="str">
        <f>IF(NodesData[[#This Row],[Class Disambiguation]]="",NodesData[[#This Row],[Common Name]],NodesData[[#This Row],[Common Name]]&amp;" ("&amp;NodesData[[#This Row],[Class Disambiguation]]&amp;")")</f>
        <v>Login Name</v>
      </c>
      <c r="I288" s="12" t="s">
        <v>937</v>
      </c>
      <c r="J288" s="19" t="str" cm="1">
        <f t="array" ref="J288">CreateGuidString()</f>
        <v>0D5BBAB1-7DB2-409A-B737-1AA670DE0673</v>
      </c>
    </row>
    <row r="289" spans="1:10" x14ac:dyDescent="0.35">
      <c r="A289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Make MFA Mandatory (Best Practice)</v>
      </c>
      <c r="B289" s="35">
        <f>COUNTIF(NodesData[Unambiguous Name],NodesData[[#This Row],[Unambiguous Name]])</f>
        <v>1</v>
      </c>
      <c r="C289" s="11" t="s">
        <v>1409</v>
      </c>
      <c r="D289" s="13" t="s">
        <v>1709</v>
      </c>
      <c r="E289" s="35">
        <f>COUNTIF(NodesData[Node ID],NodesData[[#This Row],[Node ID]])</f>
        <v>1</v>
      </c>
      <c r="F289" s="11" t="s">
        <v>1355</v>
      </c>
      <c r="G289" s="18" t="str">
        <f>IF(NodesData[[#This Row],[Class Disambiguation]]="",NodesData[[#This Row],[Common Name]],NodesData[[#This Row],[Common Name]]&amp;" ("&amp;NodesData[[#This Row],[Class Disambiguation]]&amp;")")</f>
        <v>Make MFA Mandatory (Best Practice)</v>
      </c>
      <c r="H289" s="11"/>
      <c r="I289" s="34" t="s">
        <v>1412</v>
      </c>
      <c r="J289" s="20" t="str" cm="1">
        <f t="array" ref="J289">CreateGuidString()</f>
        <v>93E58485-6577-4523-B40E-BC4B9C098925</v>
      </c>
    </row>
    <row r="290" spans="1:10" x14ac:dyDescent="0.35">
      <c r="A2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90" s="35">
        <f>COUNTIF(NodesData[Unambiguous Name],NodesData[[#This Row],[Unambiguous Name]])</f>
        <v>1</v>
      </c>
      <c r="C290" s="12" t="s">
        <v>938</v>
      </c>
      <c r="D290" s="13" t="s">
        <v>1710</v>
      </c>
      <c r="E290" s="35">
        <f>COUNTIF(NodesData[Node ID],NodesData[[#This Row],[Node ID]])</f>
        <v>1</v>
      </c>
      <c r="G290" s="12" t="str">
        <f>IF(NodesData[[#This Row],[Class Disambiguation]]="",NodesData[[#This Row],[Common Name]],NodesData[[#This Row],[Common Name]]&amp;" ("&amp;NodesData[[#This Row],[Class Disambiguation]]&amp;")")</f>
        <v>Mechanism</v>
      </c>
      <c r="I290" s="12" t="s">
        <v>939</v>
      </c>
      <c r="J290" s="19" t="str" cm="1">
        <f t="array" ref="J290">CreateGuidString()</f>
        <v>8C3ED821-EA24-4D79-8621-3A238E169D95</v>
      </c>
    </row>
    <row r="291" spans="1:10" x14ac:dyDescent="0.35">
      <c r="A2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1" s="35">
        <f>COUNTIF(NodesData[Unambiguous Name],NodesData[[#This Row],[Unambiguous Name]])</f>
        <v>1</v>
      </c>
      <c r="C291" s="12" t="s">
        <v>940</v>
      </c>
      <c r="D291" s="13" t="s">
        <v>1711</v>
      </c>
      <c r="E291" s="35">
        <f>COUNTIF(NodesData[Node ID],NodesData[[#This Row],[Node ID]])</f>
        <v>1</v>
      </c>
      <c r="G291" s="12" t="str">
        <f>IF(NodesData[[#This Row],[Class Disambiguation]]="",NodesData[[#This Row],[Common Name]],NodesData[[#This Row],[Common Name]]&amp;" ("&amp;NodesData[[#This Row],[Class Disambiguation]]&amp;")")</f>
        <v>Metadirectory</v>
      </c>
      <c r="I291" s="12" t="s">
        <v>941</v>
      </c>
      <c r="J291" s="19" t="str" cm="1">
        <f t="array" ref="J291">CreateGuidString()</f>
        <v>A7A8F1B2-4766-44BC-B6A7-7710F3C6F965</v>
      </c>
    </row>
    <row r="292" spans="1:10" x14ac:dyDescent="0.35">
      <c r="A292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Mitigation</v>
      </c>
      <c r="B292" s="35">
        <f>COUNTIF(NodesData[Unambiguous Name],NodesData[[#This Row],[Unambiguous Name]])</f>
        <v>1</v>
      </c>
      <c r="C292" s="11" t="s">
        <v>1411</v>
      </c>
      <c r="D292" s="13" t="s">
        <v>1440</v>
      </c>
      <c r="E292" s="35">
        <f>COUNTIF(NodesData[Node ID],NodesData[[#This Row],[Node ID]])</f>
        <v>1</v>
      </c>
      <c r="G292" s="18" t="str">
        <f>IF(NodesData[[#This Row],[Class Disambiguation]]="",NodesData[[#This Row],[Common Name]],NodesData[[#This Row],[Common Name]]&amp;" ("&amp;NodesData[[#This Row],[Class Disambiguation]]&amp;")")</f>
        <v>Mitigation</v>
      </c>
      <c r="H292" s="11" t="s">
        <v>4</v>
      </c>
      <c r="J292" s="20" t="str" cm="1">
        <f t="array" ref="J292">CreateGuidString()</f>
        <v>2F6BBEBD-676D-4502-BE1A-D621A9DFB790</v>
      </c>
    </row>
    <row r="293" spans="1:10" x14ac:dyDescent="0.35">
      <c r="A2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93" s="35">
        <f>COUNTIF(NodesData[Unambiguous Name],NodesData[[#This Row],[Unambiguous Name]])</f>
        <v>1</v>
      </c>
      <c r="C293" s="12" t="s">
        <v>1404</v>
      </c>
      <c r="D293" s="13" t="s">
        <v>1441</v>
      </c>
      <c r="E293" s="35">
        <f>COUNTIF(NodesData[Node ID],NodesData[[#This Row],[Node ID]])</f>
        <v>1</v>
      </c>
      <c r="G293" s="18" t="str">
        <f>IF(NodesData[[#This Row],[Class Disambiguation]]="",NodesData[[#This Row],[Common Name]],NodesData[[#This Row],[Common Name]]&amp;" ("&amp;NodesData[[#This Row],[Class Disambiguation]]&amp;")")</f>
        <v>Motivation</v>
      </c>
      <c r="H293" s="12" t="s">
        <v>4</v>
      </c>
      <c r="J293" s="20" t="str" cm="1">
        <f t="array" ref="J293">CreateGuidString()</f>
        <v>78FEA95A-AFEA-4704-A7BA-5AE2FBED77BD</v>
      </c>
    </row>
    <row r="294" spans="1:10" x14ac:dyDescent="0.35">
      <c r="A2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4" s="35">
        <f>COUNTIF(NodesData[Unambiguous Name],NodesData[[#This Row],[Unambiguous Name]])</f>
        <v>1</v>
      </c>
      <c r="C294" s="12" t="s">
        <v>942</v>
      </c>
      <c r="D294" s="13" t="s">
        <v>1712</v>
      </c>
      <c r="E294" s="35">
        <f>COUNTIF(NodesData[Node ID],NodesData[[#This Row],[Node ID]])</f>
        <v>1</v>
      </c>
      <c r="G294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I294" s="12" t="s">
        <v>943</v>
      </c>
      <c r="J294" s="19" t="str" cm="1">
        <f t="array" ref="J294">CreateGuidString()</f>
        <v>CD655499-4C70-4C6A-9369-1B1504CA21B2</v>
      </c>
    </row>
    <row r="295" spans="1:10" x14ac:dyDescent="0.35">
      <c r="A2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5" s="35">
        <f>COUNTIF(NodesData[Unambiguous Name],NodesData[[#This Row],[Unambiguous Name]])</f>
        <v>1</v>
      </c>
      <c r="C295" s="12" t="s">
        <v>944</v>
      </c>
      <c r="D295" s="13" t="s">
        <v>1713</v>
      </c>
      <c r="E295" s="35">
        <f>COUNTIF(NodesData[Node ID],NodesData[[#This Row],[Node ID]])</f>
        <v>1</v>
      </c>
      <c r="G295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I295" s="12" t="s">
        <v>945</v>
      </c>
      <c r="J295" s="19" t="str" cm="1">
        <f t="array" ref="J295">CreateGuidString()</f>
        <v>C59E0D07-1ACA-4778-905C-05FB299036AA</v>
      </c>
    </row>
    <row r="296" spans="1:10" x14ac:dyDescent="0.35">
      <c r="A2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6" s="35">
        <f>COUNTIF(NodesData[Unambiguous Name],NodesData[[#This Row],[Unambiguous Name]])</f>
        <v>1</v>
      </c>
      <c r="C296" s="11" t="s">
        <v>1365</v>
      </c>
      <c r="D296" s="13" t="s">
        <v>1714</v>
      </c>
      <c r="E296" s="35">
        <f>COUNTIF(NodesData[Node ID],NodesData[[#This Row],[Node ID]])</f>
        <v>1</v>
      </c>
      <c r="G296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J296" s="19" t="str" cm="1">
        <f t="array" ref="J296">CreateGuidString()</f>
        <v>FCECDA8B-0A93-4F54-AB09-5253C6D5120C</v>
      </c>
    </row>
    <row r="297" spans="1:10" x14ac:dyDescent="0.35">
      <c r="A2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7" s="35">
        <f>COUNTIF(NodesData[Unambiguous Name],NodesData[[#This Row],[Unambiguous Name]])</f>
        <v>1</v>
      </c>
      <c r="C297" s="12" t="s">
        <v>305</v>
      </c>
      <c r="D297" s="13" t="s">
        <v>1715</v>
      </c>
      <c r="E297" s="35">
        <f>COUNTIF(NodesData[Node ID],NodesData[[#This Row],[Node ID]])</f>
        <v>1</v>
      </c>
      <c r="G297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I297" s="12" t="s">
        <v>946</v>
      </c>
      <c r="J297" s="19" t="str" cm="1">
        <f t="array" ref="J297">CreateGuidString()</f>
        <v>014131D6-567F-46D2-B68B-DEFD7B502A65</v>
      </c>
    </row>
    <row r="298" spans="1:10" x14ac:dyDescent="0.35">
      <c r="A2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8" s="35">
        <f>COUNTIF(NodesData[Unambiguous Name],NodesData[[#This Row],[Unambiguous Name]])</f>
        <v>1</v>
      </c>
      <c r="C298" s="12" t="s">
        <v>947</v>
      </c>
      <c r="D298" s="13" t="s">
        <v>1716</v>
      </c>
      <c r="E298" s="35">
        <f>COUNTIF(NodesData[Node ID],NodesData[[#This Row],[Node ID]])</f>
        <v>1</v>
      </c>
      <c r="G298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I298" s="12" t="s">
        <v>948</v>
      </c>
      <c r="J298" s="19" t="str" cm="1">
        <f t="array" ref="J298">CreateGuidString()</f>
        <v>62A0912A-E97C-41E2-9C15-2C1F44B85554</v>
      </c>
    </row>
    <row r="299" spans="1:10" x14ac:dyDescent="0.35">
      <c r="A2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299" s="35">
        <f>COUNTIF(NodesData[Unambiguous Name],NodesData[[#This Row],[Unambiguous Name]])</f>
        <v>1</v>
      </c>
      <c r="C299" s="12" t="s">
        <v>307</v>
      </c>
      <c r="D299" s="13" t="s">
        <v>1717</v>
      </c>
      <c r="E299" s="35">
        <f>COUNTIF(NodesData[Node ID],NodesData[[#This Row],[Node ID]])</f>
        <v>1</v>
      </c>
      <c r="G299" s="12" t="str">
        <f>IF(NodesData[[#This Row],[Class Disambiguation]]="",NodesData[[#This Row],[Common Name]],NodesData[[#This Row],[Common Name]]&amp;" ("&amp;NodesData[[#This Row],[Class Disambiguation]]&amp;")")</f>
        <v>Need-to-Know</v>
      </c>
      <c r="I299" s="12" t="s">
        <v>949</v>
      </c>
      <c r="J299" s="19" t="str" cm="1">
        <f t="array" ref="J299">CreateGuidString()</f>
        <v>DE416149-E3D1-4911-8E54-1396F2912B50</v>
      </c>
    </row>
    <row r="300" spans="1:10" x14ac:dyDescent="0.35">
      <c r="A3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300" s="35">
        <f>COUNTIF(NodesData[Unambiguous Name],NodesData[[#This Row],[Unambiguous Name]])</f>
        <v>1</v>
      </c>
      <c r="C300" s="12" t="s">
        <v>950</v>
      </c>
      <c r="D300" s="13" t="s">
        <v>1718</v>
      </c>
      <c r="E300" s="35">
        <f>COUNTIF(NodesData[Node ID],NodesData[[#This Row],[Node ID]])</f>
        <v>1</v>
      </c>
      <c r="G300" s="12" t="str">
        <f>IF(NodesData[[#This Row],[Class Disambiguation]]="",NodesData[[#This Row],[Common Name]],NodesData[[#This Row],[Common Name]]&amp;" ("&amp;NodesData[[#This Row],[Class Disambiguation]]&amp;")")</f>
        <v>New Joiner</v>
      </c>
      <c r="I300" s="12" t="s">
        <v>951</v>
      </c>
      <c r="J300" s="19" t="str" cm="1">
        <f t="array" ref="J300">CreateGuidString()</f>
        <v>5B9D3E9F-169E-4D90-B756-7B41136864F7</v>
      </c>
    </row>
    <row r="301" spans="1:10" x14ac:dyDescent="0.35">
      <c r="A3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301" s="35">
        <f>COUNTIF(NodesData[Unambiguous Name],NodesData[[#This Row],[Unambiguous Name]])</f>
        <v>1</v>
      </c>
      <c r="C301" s="12" t="s">
        <v>952</v>
      </c>
      <c r="D301" s="13" t="s">
        <v>1719</v>
      </c>
      <c r="E301" s="35">
        <f>COUNTIF(NodesData[Node ID],NodesData[[#This Row],[Node ID]])</f>
        <v>1</v>
      </c>
      <c r="G301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I301" s="12" t="s">
        <v>953</v>
      </c>
      <c r="J301" s="19" t="str" cm="1">
        <f t="array" ref="J301">CreateGuidString()</f>
        <v>04BE60CC-49B5-49DE-907D-B2BA39B17A4B</v>
      </c>
    </row>
    <row r="302" spans="1:10" x14ac:dyDescent="0.35">
      <c r="A302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Non-compromised Identity</v>
      </c>
      <c r="B302" s="43">
        <f>COUNTIF(NodesData[Unambiguous Name],NodesData[[#This Row],[Unambiguous Name]])</f>
        <v>1</v>
      </c>
      <c r="C302" s="12" t="s">
        <v>1994</v>
      </c>
      <c r="D302" s="13" t="s">
        <v>1999</v>
      </c>
      <c r="E302" s="43">
        <f>COUNTIF(NodesData[Node ID],NodesData[[#This Row],[Node ID]])</f>
        <v>1</v>
      </c>
      <c r="G302" s="18" t="str">
        <f>IF(NodesData[[#This Row],[Class Disambiguation]]="",NodesData[[#This Row],[Common Name]],NodesData[[#This Row],[Common Name]]&amp;" ("&amp;NodesData[[#This Row],[Class Disambiguation]]&amp;")")</f>
        <v>Non-compromised Identity</v>
      </c>
      <c r="J302" s="20" t="str" cm="1">
        <f t="array" ref="J302">CreateGuidString()</f>
        <v>8933951D-59FE-48AC-8006-052B2292DA85</v>
      </c>
    </row>
    <row r="303" spans="1:10" x14ac:dyDescent="0.35">
      <c r="A3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Nonworker</v>
      </c>
      <c r="B303" s="35">
        <f>COUNTIF(NodesData[Unambiguous Name],NodesData[[#This Row],[Unambiguous Name]])</f>
        <v>1</v>
      </c>
      <c r="C303" s="12" t="s">
        <v>954</v>
      </c>
      <c r="D303" s="13" t="s">
        <v>1720</v>
      </c>
      <c r="E303" s="35">
        <f>COUNTIF(NodesData[Node ID],NodesData[[#This Row],[Node ID]])</f>
        <v>1</v>
      </c>
      <c r="G303" s="12" t="str">
        <f>IF(NodesData[[#This Row],[Class Disambiguation]]="",NodesData[[#This Row],[Common Name]],NodesData[[#This Row],[Common Name]]&amp;" ("&amp;NodesData[[#This Row],[Class Disambiguation]]&amp;")")</f>
        <v>Nonworker</v>
      </c>
      <c r="I303" s="12" t="s">
        <v>955</v>
      </c>
      <c r="J303" s="19" t="str" cm="1">
        <f t="array" ref="J303">CreateGuidString()</f>
        <v>0730F58A-0C13-40EE-8855-137D522DD77A</v>
      </c>
    </row>
    <row r="304" spans="1:10" x14ac:dyDescent="0.35">
      <c r="A3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4" s="35">
        <f>COUNTIF(NodesData[Unambiguous Name],NodesData[[#This Row],[Unambiguous Name]])</f>
        <v>1</v>
      </c>
      <c r="C304" s="12" t="s">
        <v>312</v>
      </c>
      <c r="D304" s="13" t="s">
        <v>1721</v>
      </c>
      <c r="E304" s="35">
        <f>COUNTIF(NodesData[Node ID],NodesData[[#This Row],[Node ID]])</f>
        <v>1</v>
      </c>
      <c r="G304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I304" s="12" t="s">
        <v>956</v>
      </c>
      <c r="J304" s="19" t="str" cm="1">
        <f t="array" ref="J304">CreateGuidString()</f>
        <v>C2B56D39-EAA7-41F7-8623-39BC67A30E9D</v>
      </c>
    </row>
    <row r="305" spans="1:10" x14ac:dyDescent="0.35">
      <c r="A3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5" s="35">
        <f>COUNTIF(NodesData[Unambiguous Name],NodesData[[#This Row],[Unambiguous Name]])</f>
        <v>1</v>
      </c>
      <c r="C305" s="12" t="s">
        <v>957</v>
      </c>
      <c r="D305" s="13" t="s">
        <v>1722</v>
      </c>
      <c r="E305" s="35">
        <f>COUNTIF(NodesData[Node ID],NodesData[[#This Row],[Node ID]])</f>
        <v>1</v>
      </c>
      <c r="F305" s="12" t="s">
        <v>1270</v>
      </c>
      <c r="G305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I305" s="12" t="s">
        <v>958</v>
      </c>
      <c r="J305" s="19" t="str" cm="1">
        <f t="array" ref="J305">CreateGuidString()</f>
        <v>4903741F-D9DD-4BA2-8691-3AAFDFBC4EB6</v>
      </c>
    </row>
    <row r="306" spans="1:10" x14ac:dyDescent="0.35">
      <c r="A3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Object</v>
      </c>
      <c r="B306" s="35">
        <f>COUNTIF(NodesData[Unambiguous Name],NodesData[[#This Row],[Unambiguous Name]])</f>
        <v>1</v>
      </c>
      <c r="C306" s="12" t="s">
        <v>959</v>
      </c>
      <c r="D306" s="13" t="s">
        <v>1723</v>
      </c>
      <c r="E306" s="35">
        <f>COUNTIF(NodesData[Node ID],NodesData[[#This Row],[Node ID]])</f>
        <v>1</v>
      </c>
      <c r="G306" s="12" t="str">
        <f>IF(NodesData[[#This Row],[Class Disambiguation]]="",NodesData[[#This Row],[Common Name]],NodesData[[#This Row],[Common Name]]&amp;" ("&amp;NodesData[[#This Row],[Class Disambiguation]]&amp;")")</f>
        <v>Object</v>
      </c>
      <c r="I306" s="12" t="s">
        <v>960</v>
      </c>
      <c r="J306" s="19" t="str" cm="1">
        <f t="array" ref="J306">CreateGuidString()</f>
        <v>57BA326A-C40A-4DA0-9B04-83DBBF918960</v>
      </c>
    </row>
    <row r="307" spans="1:10" x14ac:dyDescent="0.35">
      <c r="A3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7" s="35">
        <f>COUNTIF(NodesData[Unambiguous Name],NodesData[[#This Row],[Unambiguous Name]])</f>
        <v>1</v>
      </c>
      <c r="C307" s="12" t="s">
        <v>961</v>
      </c>
      <c r="D307" s="13" t="s">
        <v>1724</v>
      </c>
      <c r="E307" s="35">
        <f>COUNTIF(NodesData[Node ID],NodesData[[#This Row],[Node ID]])</f>
        <v>1</v>
      </c>
      <c r="G307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I307" s="12" t="s">
        <v>962</v>
      </c>
      <c r="J307" s="19" t="str" cm="1">
        <f t="array" ref="J307">CreateGuidString()</f>
        <v>1658C4E2-EDBF-42FF-A02E-58E20551394E</v>
      </c>
    </row>
    <row r="308" spans="1:10" x14ac:dyDescent="0.35">
      <c r="A3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8" s="35">
        <f>COUNTIF(NodesData[Unambiguous Name],NodesData[[#This Row],[Unambiguous Name]])</f>
        <v>1</v>
      </c>
      <c r="C308" s="12" t="s">
        <v>1318</v>
      </c>
      <c r="D308" s="13" t="s">
        <v>1725</v>
      </c>
      <c r="E308" s="35">
        <f>COUNTIF(NodesData[Node ID],NodesData[[#This Row],[Node ID]])</f>
        <v>1</v>
      </c>
      <c r="G308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J308" s="19" t="str" cm="1">
        <f t="array" ref="J308">CreateGuidString()</f>
        <v>A5D4C80F-0E55-4B05-B9D0-0358195A5E4C</v>
      </c>
    </row>
    <row r="309" spans="1:10" x14ac:dyDescent="0.35">
      <c r="A3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9" s="35">
        <f>COUNTIF(NodesData[Unambiguous Name],NodesData[[#This Row],[Unambiguous Name]])</f>
        <v>1</v>
      </c>
      <c r="C309" s="12" t="s">
        <v>963</v>
      </c>
      <c r="D309" s="13" t="s">
        <v>1726</v>
      </c>
      <c r="E309" s="35">
        <f>COUNTIF(NodesData[Node ID],NodesData[[#This Row],[Node ID]])</f>
        <v>1</v>
      </c>
      <c r="F309" s="12" t="s">
        <v>1270</v>
      </c>
      <c r="G309" s="12" t="str">
        <f>IF(NodesData[[#This Row],[Class Disambiguation]]="",NodesData[[#This Row],[Common Name]],NodesData[[#This Row],[Common Name]]&amp;" ("&amp;NodesData[[#This Row],[Class Disambiguation]]&amp;")")</f>
        <v>OPA (Acronym)</v>
      </c>
      <c r="I309" s="12" t="s">
        <v>964</v>
      </c>
      <c r="J309" s="19" t="str" cm="1">
        <f t="array" ref="J309">CreateGuidString()</f>
        <v>F1A98509-17DF-4DFA-BE38-A36244675364</v>
      </c>
    </row>
    <row r="310" spans="1:10" x14ac:dyDescent="0.35">
      <c r="A3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10" s="35">
        <f>COUNTIF(NodesData[Unambiguous Name],NodesData[[#This Row],[Unambiguous Name]])</f>
        <v>1</v>
      </c>
      <c r="C310" s="12" t="s">
        <v>965</v>
      </c>
      <c r="D310" s="13" t="s">
        <v>1727</v>
      </c>
      <c r="E310" s="35">
        <f>COUNTIF(NodesData[Node ID],NodesData[[#This Row],[Node ID]])</f>
        <v>1</v>
      </c>
      <c r="G310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I310" s="12" t="s">
        <v>966</v>
      </c>
      <c r="J310" s="19" t="str" cm="1">
        <f t="array" ref="J310">CreateGuidString()</f>
        <v>C72BBB1D-A4DA-4B5F-9626-D1DAF814D3FF</v>
      </c>
    </row>
    <row r="311" spans="1:10" x14ac:dyDescent="0.35">
      <c r="A3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11" s="35">
        <f>COUNTIF(NodesData[Unambiguous Name],NodesData[[#This Row],[Unambiguous Name]])</f>
        <v>1</v>
      </c>
      <c r="C311" s="12" t="s">
        <v>967</v>
      </c>
      <c r="D311" s="13" t="s">
        <v>1728</v>
      </c>
      <c r="E311" s="35">
        <f>COUNTIF(NodesData[Node ID],NodesData[[#This Row],[Node ID]])</f>
        <v>1</v>
      </c>
      <c r="G311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I311" s="12" t="s">
        <v>968</v>
      </c>
      <c r="J311" s="19" t="str" cm="1">
        <f t="array" ref="J311">CreateGuidString()</f>
        <v>2FC1727F-A345-48E4-9E2A-2A9EA7A29C09</v>
      </c>
    </row>
    <row r="312" spans="1:10" x14ac:dyDescent="0.35">
      <c r="A3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12" s="35">
        <f>COUNTIF(NodesData[Unambiguous Name],NodesData[[#This Row],[Unambiguous Name]])</f>
        <v>1</v>
      </c>
      <c r="C312" s="12" t="s">
        <v>969</v>
      </c>
      <c r="D312" s="13" t="s">
        <v>1729</v>
      </c>
      <c r="E312" s="35">
        <f>COUNTIF(NodesData[Node ID],NodesData[[#This Row],[Node ID]])</f>
        <v>1</v>
      </c>
      <c r="G312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I312" s="12" t="s">
        <v>970</v>
      </c>
      <c r="J312" s="19" t="str" cm="1">
        <f t="array" ref="J312">CreateGuidString()</f>
        <v>209A69B5-0A9C-4B22-8ECD-7DCAC5F867C3</v>
      </c>
    </row>
    <row r="313" spans="1:10" x14ac:dyDescent="0.35">
      <c r="A3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13" s="35">
        <f>COUNTIF(NodesData[Unambiguous Name],NodesData[[#This Row],[Unambiguous Name]])</f>
        <v>1</v>
      </c>
      <c r="C313" s="12" t="s">
        <v>971</v>
      </c>
      <c r="D313" s="13" t="s">
        <v>1730</v>
      </c>
      <c r="E313" s="35">
        <f>COUNTIF(NodesData[Node ID],NodesData[[#This Row],[Node ID]])</f>
        <v>1</v>
      </c>
      <c r="G313" s="12" t="str">
        <f>IF(NodesData[[#This Row],[Class Disambiguation]]="",NodesData[[#This Row],[Common Name]],NodesData[[#This Row],[Common Name]]&amp;" ("&amp;NodesData[[#This Row],[Class Disambiguation]]&amp;")")</f>
        <v>Ordinal Scale</v>
      </c>
      <c r="I313" s="12" t="s">
        <v>972</v>
      </c>
      <c r="J313" s="19" t="str" cm="1">
        <f t="array" ref="J313">CreateGuidString()</f>
        <v>57834BA3-7FB0-4EB3-95AA-A1FEBF920DCA</v>
      </c>
    </row>
    <row r="314" spans="1:10" x14ac:dyDescent="0.35">
      <c r="A3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4" s="35">
        <f>COUNTIF(NodesData[Unambiguous Name],NodesData[[#This Row],[Unambiguous Name]])</f>
        <v>1</v>
      </c>
      <c r="C314" s="12" t="s">
        <v>1266</v>
      </c>
      <c r="D314" s="13" t="s">
        <v>1731</v>
      </c>
      <c r="E314" s="35">
        <f>COUNTIF(NodesData[Node ID],NodesData[[#This Row],[Node ID]])</f>
        <v>1</v>
      </c>
      <c r="G314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I314" s="12" t="s">
        <v>973</v>
      </c>
      <c r="J314" s="19" t="str" cm="1">
        <f t="array" ref="J314">CreateGuidString()</f>
        <v>9068AEFD-E98F-4251-914E-41C7399C9250</v>
      </c>
    </row>
    <row r="315" spans="1:10" x14ac:dyDescent="0.35">
      <c r="A3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5" s="35">
        <f>COUNTIF(NodesData[Unambiguous Name],NodesData[[#This Row],[Unambiguous Name]])</f>
        <v>1</v>
      </c>
      <c r="C315" s="12" t="s">
        <v>1267</v>
      </c>
      <c r="D315" s="13" t="s">
        <v>1732</v>
      </c>
      <c r="E315" s="35">
        <f>COUNTIF(NodesData[Node ID],NodesData[[#This Row],[Node ID]])</f>
        <v>1</v>
      </c>
      <c r="G315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I315" s="12" t="s">
        <v>974</v>
      </c>
      <c r="J315" s="19" t="str" cm="1">
        <f t="array" ref="J315">CreateGuidString()</f>
        <v>5392E55D-B2EB-44AC-9411-8D21C858ACEF</v>
      </c>
    </row>
    <row r="316" spans="1:10" x14ac:dyDescent="0.35">
      <c r="A3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</v>
      </c>
      <c r="B316" s="35">
        <f>COUNTIF(NodesData[Unambiguous Name],NodesData[[#This Row],[Unambiguous Name]])</f>
        <v>1</v>
      </c>
      <c r="C316" s="12" t="s">
        <v>975</v>
      </c>
      <c r="D316" s="13" t="s">
        <v>1733</v>
      </c>
      <c r="E316" s="35">
        <f>COUNTIF(NodesData[Node ID],NodesData[[#This Row],[Node ID]])</f>
        <v>1</v>
      </c>
      <c r="G316" s="12" t="str">
        <f>IF(NodesData[[#This Row],[Class Disambiguation]]="",NodesData[[#This Row],[Common Name]],NodesData[[#This Row],[Common Name]]&amp;" ("&amp;NodesData[[#This Row],[Class Disambiguation]]&amp;")")</f>
        <v>Orphan</v>
      </c>
      <c r="I316" s="12" t="s">
        <v>976</v>
      </c>
      <c r="J316" s="19" t="str" cm="1">
        <f t="array" ref="J316">CreateGuidString()</f>
        <v>9B9CE504-FCBA-485F-929D-66BE272409B3</v>
      </c>
    </row>
    <row r="317" spans="1:10" x14ac:dyDescent="0.35">
      <c r="A3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7" s="35">
        <f>COUNTIF(NodesData[Unambiguous Name],NodesData[[#This Row],[Unambiguous Name]])</f>
        <v>1</v>
      </c>
      <c r="C317" s="12" t="s">
        <v>329</v>
      </c>
      <c r="D317" s="13" t="s">
        <v>1734</v>
      </c>
      <c r="E317" s="35">
        <f>COUNTIF(NodesData[Node ID],NodesData[[#This Row],[Node ID]])</f>
        <v>1</v>
      </c>
      <c r="G317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I317" s="12" t="s">
        <v>977</v>
      </c>
      <c r="J317" s="19" t="str" cm="1">
        <f t="array" ref="J317">CreateGuidString()</f>
        <v>2C5D48E2-75DF-4326-8860-E3C9310CE273</v>
      </c>
    </row>
    <row r="318" spans="1:10" x14ac:dyDescent="0.35">
      <c r="A3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8" s="35">
        <f>COUNTIF(NodesData[Unambiguous Name],NodesData[[#This Row],[Unambiguous Name]])</f>
        <v>1</v>
      </c>
      <c r="C318" s="12" t="s">
        <v>978</v>
      </c>
      <c r="D318" s="13" t="s">
        <v>1735</v>
      </c>
      <c r="E318" s="35">
        <f>COUNTIF(NodesData[Node ID],NodesData[[#This Row],[Node ID]])</f>
        <v>1</v>
      </c>
      <c r="G318" s="12" t="str">
        <f>IF(NodesData[[#This Row],[Class Disambiguation]]="",NodesData[[#This Row],[Common Name]],NodesData[[#This Row],[Common Name]]&amp;" ("&amp;NodesData[[#This Row],[Class Disambiguation]]&amp;")")</f>
        <v>Orphan File</v>
      </c>
      <c r="I318" s="12" t="s">
        <v>979</v>
      </c>
      <c r="J318" s="19" t="str" cm="1">
        <f t="array" ref="J318">CreateGuidString()</f>
        <v>4744252D-D46B-4B3A-818A-A536305C688A</v>
      </c>
    </row>
    <row r="319" spans="1:10" x14ac:dyDescent="0.35">
      <c r="A3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9" s="35">
        <f>COUNTIF(NodesData[Unambiguous Name],NodesData[[#This Row],[Unambiguous Name]])</f>
        <v>1</v>
      </c>
      <c r="C319" s="12" t="s">
        <v>980</v>
      </c>
      <c r="D319" s="13" t="s">
        <v>1736</v>
      </c>
      <c r="E319" s="35">
        <f>COUNTIF(NodesData[Node ID],NodesData[[#This Row],[Node ID]])</f>
        <v>1</v>
      </c>
      <c r="G319" s="12" t="str">
        <f>IF(NodesData[[#This Row],[Class Disambiguation]]="",NodesData[[#This Row],[Common Name]],NodesData[[#This Row],[Common Name]]&amp;" ("&amp;NodesData[[#This Row],[Class Disambiguation]]&amp;")")</f>
        <v>Orphan Object</v>
      </c>
      <c r="I319" s="12" t="s">
        <v>981</v>
      </c>
      <c r="J319" s="19" t="str" cm="1">
        <f t="array" ref="J319">CreateGuidString()</f>
        <v>0B415A6A-AFD4-4798-977C-664536AD68A3</v>
      </c>
    </row>
    <row r="320" spans="1:10" x14ac:dyDescent="0.35">
      <c r="A3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20" s="35">
        <f>COUNTIF(NodesData[Unambiguous Name],NodesData[[#This Row],[Unambiguous Name]])</f>
        <v>1</v>
      </c>
      <c r="C320" s="12" t="s">
        <v>982</v>
      </c>
      <c r="D320" s="13" t="s">
        <v>1737</v>
      </c>
      <c r="E320" s="35">
        <f>COUNTIF(NodesData[Node ID],NodesData[[#This Row],[Node ID]])</f>
        <v>1</v>
      </c>
      <c r="G320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I320" s="12" t="s">
        <v>983</v>
      </c>
      <c r="J320" s="19" t="str" cm="1">
        <f t="array" ref="J320">CreateGuidString()</f>
        <v>80250E9F-9A71-48D2-8451-F9F9E7DD2626</v>
      </c>
    </row>
    <row r="321" spans="1:10" x14ac:dyDescent="0.35">
      <c r="A3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21" s="35">
        <f>COUNTIF(NodesData[Unambiguous Name],NodesData[[#This Row],[Unambiguous Name]])</f>
        <v>1</v>
      </c>
      <c r="C321" s="12" t="s">
        <v>984</v>
      </c>
      <c r="D321" s="13" t="s">
        <v>1738</v>
      </c>
      <c r="E321" s="35">
        <f>COUNTIF(NodesData[Node ID],NodesData[[#This Row],[Node ID]])</f>
        <v>1</v>
      </c>
      <c r="G321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I321" s="12" t="s">
        <v>985</v>
      </c>
      <c r="J321" s="19" t="str" cm="1">
        <f t="array" ref="J321">CreateGuidString()</f>
        <v>C7809D9B-D969-4414-98AA-8E6397E56099</v>
      </c>
    </row>
    <row r="322" spans="1:10" x14ac:dyDescent="0.35">
      <c r="A3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22" s="35">
        <f>COUNTIF(NodesData[Unambiguous Name],NodesData[[#This Row],[Unambiguous Name]])</f>
        <v>1</v>
      </c>
      <c r="C322" s="12" t="s">
        <v>986</v>
      </c>
      <c r="D322" s="13" t="s">
        <v>1739</v>
      </c>
      <c r="E322" s="35">
        <f>COUNTIF(NodesData[Node ID],NodesData[[#This Row],[Node ID]])</f>
        <v>1</v>
      </c>
      <c r="G322" s="12" t="str">
        <f>IF(NodesData[[#This Row],[Class Disambiguation]]="",NodesData[[#This Row],[Common Name]],NodesData[[#This Row],[Common Name]]&amp;" ("&amp;NodesData[[#This Row],[Class Disambiguation]]&amp;")")</f>
        <v>Orphan Role</v>
      </c>
      <c r="I322" s="12" t="s">
        <v>987</v>
      </c>
      <c r="J322" s="19" t="str" cm="1">
        <f t="array" ref="J322">CreateGuidString()</f>
        <v>83D4C77C-9F27-409C-A116-339B5A556D40</v>
      </c>
    </row>
    <row r="323" spans="1:10" x14ac:dyDescent="0.35">
      <c r="A3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23" s="35">
        <f>COUNTIF(NodesData[Unambiguous Name],NodesData[[#This Row],[Unambiguous Name]])</f>
        <v>1</v>
      </c>
      <c r="C323" s="12" t="s">
        <v>988</v>
      </c>
      <c r="D323" s="13" t="s">
        <v>1740</v>
      </c>
      <c r="E323" s="35">
        <f>COUNTIF(NodesData[Node ID],NodesData[[#This Row],[Node ID]])</f>
        <v>1</v>
      </c>
      <c r="G323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I323" s="12" t="s">
        <v>989</v>
      </c>
      <c r="J323" s="19" t="str" cm="1">
        <f t="array" ref="J323">CreateGuidString()</f>
        <v>A32F9CA2-9739-45D8-898B-F2CED2B33EC1</v>
      </c>
    </row>
    <row r="324" spans="1:10" x14ac:dyDescent="0.35">
      <c r="A3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4" s="35">
        <f>COUNTIF(NodesData[Unambiguous Name],NodesData[[#This Row],[Unambiguous Name]])</f>
        <v>1</v>
      </c>
      <c r="C324" s="12" t="s">
        <v>990</v>
      </c>
      <c r="D324" s="13" t="s">
        <v>1741</v>
      </c>
      <c r="E324" s="35">
        <f>COUNTIF(NodesData[Node ID],NodesData[[#This Row],[Node ID]])</f>
        <v>1</v>
      </c>
      <c r="G324" s="12" t="str">
        <f>IF(NodesData[[#This Row],[Class Disambiguation]]="",NodesData[[#This Row],[Common Name]],NodesData[[#This Row],[Common Name]]&amp;" ("&amp;NodesData[[#This Row],[Class Disambiguation]]&amp;")")</f>
        <v>Orphan System</v>
      </c>
      <c r="I324" s="12" t="s">
        <v>991</v>
      </c>
      <c r="J324" s="19" t="str" cm="1">
        <f t="array" ref="J324">CreateGuidString()</f>
        <v>9909DA6A-71D8-48C6-9B3D-FCEA407CF06B</v>
      </c>
    </row>
    <row r="325" spans="1:10" x14ac:dyDescent="0.35">
      <c r="A3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5" s="35">
        <f>COUNTIF(NodesData[Unambiguous Name],NodesData[[#This Row],[Unambiguous Name]])</f>
        <v>1</v>
      </c>
      <c r="C325" s="12" t="s">
        <v>1299</v>
      </c>
      <c r="D325" s="13" t="s">
        <v>1742</v>
      </c>
      <c r="E325" s="35">
        <f>COUNTIF(NodesData[Node ID],NodesData[[#This Row],[Node ID]])</f>
        <v>1</v>
      </c>
      <c r="G325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J325" s="19" t="str" cm="1">
        <f t="array" ref="J325">CreateGuidString()</f>
        <v>2FEA55D5-ADA4-4F2A-A415-DA6525C1BE62</v>
      </c>
    </row>
    <row r="326" spans="1:10" x14ac:dyDescent="0.35">
      <c r="A3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6" s="35">
        <f>COUNTIF(NodesData[Unambiguous Name],NodesData[[#This Row],[Unambiguous Name]])</f>
        <v>1</v>
      </c>
      <c r="C326" s="12" t="s">
        <v>339</v>
      </c>
      <c r="D326" s="13" t="s">
        <v>1743</v>
      </c>
      <c r="E326" s="35">
        <f>COUNTIF(NodesData[Node ID],NodesData[[#This Row],[Node ID]])</f>
        <v>1</v>
      </c>
      <c r="G326" s="12" t="str">
        <f>IF(NodesData[[#This Row],[Class Disambiguation]]="",NodesData[[#This Row],[Common Name]],NodesData[[#This Row],[Common Name]]&amp;" ("&amp;NodesData[[#This Row],[Class Disambiguation]]&amp;")")</f>
        <v>Outsider</v>
      </c>
      <c r="I326" s="12" t="s">
        <v>992</v>
      </c>
      <c r="J326" s="19" t="str" cm="1">
        <f t="array" ref="J326">CreateGuidString()</f>
        <v>FC2B3E55-2E84-4877-94E8-F0D1462B7D64</v>
      </c>
    </row>
    <row r="327" spans="1:10" x14ac:dyDescent="0.35">
      <c r="A3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7" s="35">
        <f>COUNTIF(NodesData[Unambiguous Name],NodesData[[#This Row],[Unambiguous Name]])</f>
        <v>1</v>
      </c>
      <c r="C327" s="12" t="s">
        <v>1314</v>
      </c>
      <c r="D327" s="13" t="s">
        <v>1744</v>
      </c>
      <c r="E327" s="35">
        <f>COUNTIF(NodesData[Node ID],NodesData[[#This Row],[Node ID]])</f>
        <v>1</v>
      </c>
      <c r="G327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J327" s="19" t="str" cm="1">
        <f t="array" ref="J327">CreateGuidString()</f>
        <v>A86500F0-F5E9-4A57-A8E3-D0E2083192DA</v>
      </c>
    </row>
    <row r="328" spans="1:10" x14ac:dyDescent="0.35">
      <c r="A3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8" s="35">
        <f>COUNTIF(NodesData[Unambiguous Name],NodesData[[#This Row],[Unambiguous Name]])</f>
        <v>1</v>
      </c>
      <c r="C328" s="12" t="s">
        <v>993</v>
      </c>
      <c r="D328" s="13" t="s">
        <v>1745</v>
      </c>
      <c r="E328" s="35">
        <f>COUNTIF(NodesData[Node ID],NodesData[[#This Row],[Node ID]])</f>
        <v>1</v>
      </c>
      <c r="G328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I328" s="12" t="s">
        <v>994</v>
      </c>
      <c r="J328" s="19" t="str" cm="1">
        <f t="array" ref="J328">CreateGuidString()</f>
        <v>8FCEAC11-A1E6-4BE4-B7BC-EDA8A5AF6E60</v>
      </c>
    </row>
    <row r="329" spans="1:10" x14ac:dyDescent="0.35">
      <c r="A3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9" s="35">
        <f>COUNTIF(NodesData[Unambiguous Name],NodesData[[#This Row],[Unambiguous Name]])</f>
        <v>1</v>
      </c>
      <c r="C329" s="12" t="s">
        <v>1328</v>
      </c>
      <c r="D329" s="13" t="s">
        <v>1746</v>
      </c>
      <c r="E329" s="35">
        <f>COUNTIF(NodesData[Node ID],NodesData[[#This Row],[Node ID]])</f>
        <v>1</v>
      </c>
      <c r="G329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J329" s="19" t="str" cm="1">
        <f t="array" ref="J329">CreateGuidString()</f>
        <v>3EE39F01-5AC0-45F1-9DEC-6AF81857DA8D</v>
      </c>
    </row>
    <row r="330" spans="1:10" x14ac:dyDescent="0.35">
      <c r="A3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30" s="35">
        <f>COUNTIF(NodesData[Unambiguous Name],NodesData[[#This Row],[Unambiguous Name]])</f>
        <v>1</v>
      </c>
      <c r="C330" s="12" t="s">
        <v>343</v>
      </c>
      <c r="D330" s="13" t="s">
        <v>1747</v>
      </c>
      <c r="E330" s="35">
        <f>COUNTIF(NodesData[Node ID],NodesData[[#This Row],[Node ID]])</f>
        <v>1</v>
      </c>
      <c r="G330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I330" s="12" t="s">
        <v>995</v>
      </c>
      <c r="J330" s="19" t="str" cm="1">
        <f t="array" ref="J330">CreateGuidString()</f>
        <v>29DECD31-40EC-4045-8E11-24AD50911B14</v>
      </c>
    </row>
    <row r="331" spans="1:10" x14ac:dyDescent="0.35">
      <c r="A3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31" s="35">
        <f>COUNTIF(NodesData[Unambiguous Name],NodesData[[#This Row],[Unambiguous Name]])</f>
        <v>1</v>
      </c>
      <c r="C331" s="12" t="s">
        <v>996</v>
      </c>
      <c r="D331" s="13" t="s">
        <v>1748</v>
      </c>
      <c r="E331" s="35">
        <f>COUNTIF(NodesData[Node ID],NodesData[[#This Row],[Node ID]])</f>
        <v>1</v>
      </c>
      <c r="G331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I331" s="12" t="s">
        <v>997</v>
      </c>
      <c r="J331" s="19" t="str" cm="1">
        <f t="array" ref="J331">CreateGuidString()</f>
        <v>0C4D1737-BE4B-4A7A-A58C-3A6E7FCE8C4D</v>
      </c>
    </row>
    <row r="332" spans="1:10" x14ac:dyDescent="0.35">
      <c r="A3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32" s="35">
        <f>COUNTIF(NodesData[Unambiguous Name],NodesData[[#This Row],[Unambiguous Name]])</f>
        <v>1</v>
      </c>
      <c r="C332" s="12" t="s">
        <v>3</v>
      </c>
      <c r="D332" s="13" t="s">
        <v>1749</v>
      </c>
      <c r="E332" s="35">
        <f>COUNTIF(NodesData[Node ID],NodesData[[#This Row],[Node ID]])</f>
        <v>1</v>
      </c>
      <c r="G332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I332" s="12" t="s">
        <v>998</v>
      </c>
      <c r="J332" s="19" t="str" cm="1">
        <f t="array" ref="J332">CreateGuidString()</f>
        <v>242AD6CF-8D63-4E60-80D7-8F7BF3ED37D9</v>
      </c>
    </row>
    <row r="333" spans="1:10" x14ac:dyDescent="0.35">
      <c r="A3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33" s="35">
        <f>COUNTIF(NodesData[Unambiguous Name],NodesData[[#This Row],[Unambiguous Name]])</f>
        <v>1</v>
      </c>
      <c r="C333" s="12" t="s">
        <v>1324</v>
      </c>
      <c r="D333" s="13" t="s">
        <v>1750</v>
      </c>
      <c r="E333" s="35">
        <f>COUNTIF(NodesData[Node ID],NodesData[[#This Row],[Node ID]])</f>
        <v>1</v>
      </c>
      <c r="G333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J333" s="19" t="str" cm="1">
        <f t="array" ref="J333">CreateGuidString()</f>
        <v>B3664D05-0B3D-4F88-9FD4-C5B19C45E383</v>
      </c>
    </row>
    <row r="334" spans="1:10" x14ac:dyDescent="0.35">
      <c r="A3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4" s="35">
        <f>COUNTIF(NodesData[Unambiguous Name],NodesData[[#This Row],[Unambiguous Name]])</f>
        <v>1</v>
      </c>
      <c r="C334" s="12" t="s">
        <v>344</v>
      </c>
      <c r="D334" s="13" t="s">
        <v>1751</v>
      </c>
      <c r="E334" s="35">
        <f>COUNTIF(NodesData[Node ID],NodesData[[#This Row],[Node ID]])</f>
        <v>1</v>
      </c>
      <c r="G334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I334" s="12" t="s">
        <v>999</v>
      </c>
      <c r="J334" s="19" t="str" cm="1">
        <f t="array" ref="J334">CreateGuidString()</f>
        <v>41C02020-E3AB-4299-B8ED-D7BB2CE3C629</v>
      </c>
    </row>
    <row r="335" spans="1:10" x14ac:dyDescent="0.35">
      <c r="A3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People</v>
      </c>
      <c r="B335" s="35">
        <f>COUNTIF(NodesData[Unambiguous Name],NodesData[[#This Row],[Unambiguous Name]])</f>
        <v>1</v>
      </c>
      <c r="C335" s="12" t="s">
        <v>1268</v>
      </c>
      <c r="D335" s="13" t="s">
        <v>1752</v>
      </c>
      <c r="E335" s="35">
        <f>COUNTIF(NodesData[Node ID],NodesData[[#This Row],[Node ID]])</f>
        <v>1</v>
      </c>
      <c r="G335" s="12" t="str">
        <f>IF(NodesData[[#This Row],[Class Disambiguation]]="",NodesData[[#This Row],[Common Name]],NodesData[[#This Row],[Common Name]]&amp;" ("&amp;NodesData[[#This Row],[Class Disambiguation]]&amp;")")</f>
        <v>People</v>
      </c>
      <c r="I335" s="12" t="s">
        <v>1000</v>
      </c>
      <c r="J335" s="19" t="str" cm="1">
        <f t="array" ref="J335">CreateGuidString()</f>
        <v>ADA7677D-4D9C-45A2-8C03-B9D63514B1D9</v>
      </c>
    </row>
    <row r="336" spans="1:10" x14ac:dyDescent="0.35">
      <c r="A3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6" s="35">
        <f>COUNTIF(NodesData[Unambiguous Name],NodesData[[#This Row],[Unambiguous Name]])</f>
        <v>1</v>
      </c>
      <c r="C336" s="12" t="s">
        <v>1001</v>
      </c>
      <c r="D336" s="13" t="s">
        <v>1753</v>
      </c>
      <c r="E336" s="35">
        <f>COUNTIF(NodesData[Node ID],NodesData[[#This Row],[Node ID]])</f>
        <v>1</v>
      </c>
      <c r="G336" s="12" t="str">
        <f>IF(NodesData[[#This Row],[Class Disambiguation]]="",NodesData[[#This Row],[Common Name]],NodesData[[#This Row],[Common Name]]&amp;" ("&amp;NodesData[[#This Row],[Class Disambiguation]]&amp;")")</f>
        <v>Permission</v>
      </c>
      <c r="I336" s="12" t="s">
        <v>1002</v>
      </c>
      <c r="J336" s="19" t="str" cm="1">
        <f t="array" ref="J336">CreateGuidString()</f>
        <v>67E97418-F394-4DB2-9FFC-F788FD68C9D1</v>
      </c>
    </row>
    <row r="337" spans="1:10" x14ac:dyDescent="0.35">
      <c r="A3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337" s="35">
        <f>COUNTIF(NodesData[Unambiguous Name],NodesData[[#This Row],[Unambiguous Name]])</f>
        <v>1</v>
      </c>
      <c r="C337" s="31" t="s">
        <v>1392</v>
      </c>
      <c r="D337" s="13" t="s">
        <v>1442</v>
      </c>
      <c r="E337" s="35">
        <f>COUNTIF(NodesData[Node ID],NodesData[[#This Row],[Node ID]])</f>
        <v>1</v>
      </c>
      <c r="G337" s="18" t="str">
        <f>IF(NodesData[[#This Row],[Class Disambiguation]]="",NodesData[[#This Row],[Common Name]],NodesData[[#This Row],[Common Name]]&amp;" ("&amp;NodesData[[#This Row],[Class Disambiguation]]&amp;")")</f>
        <v>Perpetrator</v>
      </c>
      <c r="H337" s="18" t="s">
        <v>4</v>
      </c>
      <c r="J337" s="20" t="str" cm="1">
        <f t="array" ref="J337">CreateGuidString()</f>
        <v>C2F1FA93-7AA1-47EC-B350-BE564F3B2696</v>
      </c>
    </row>
    <row r="338" spans="1:10" x14ac:dyDescent="0.35">
      <c r="A3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</v>
      </c>
      <c r="B338" s="35">
        <f>COUNTIF(NodesData[Unambiguous Name],NodesData[[#This Row],[Unambiguous Name]])</f>
        <v>1</v>
      </c>
      <c r="C338" s="12" t="s">
        <v>350</v>
      </c>
      <c r="D338" s="13" t="s">
        <v>1754</v>
      </c>
      <c r="E338" s="35">
        <f>COUNTIF(NodesData[Node ID],NodesData[[#This Row],[Node ID]])</f>
        <v>1</v>
      </c>
      <c r="G338" s="12" t="str">
        <f>IF(NodesData[[#This Row],[Class Disambiguation]]="",NodesData[[#This Row],[Common Name]],NodesData[[#This Row],[Common Name]]&amp;" ("&amp;NodesData[[#This Row],[Class Disambiguation]]&amp;")")</f>
        <v>Persona</v>
      </c>
      <c r="I338" s="12" t="s">
        <v>1003</v>
      </c>
      <c r="J338" s="19" t="str" cm="1">
        <f t="array" ref="J338">CreateGuidString()</f>
        <v>7B1C3D44-AFD0-4BEC-A17F-58AB1CC20635</v>
      </c>
    </row>
    <row r="339" spans="1:10" x14ac:dyDescent="0.35">
      <c r="A3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9" s="35">
        <f>COUNTIF(NodesData[Unambiguous Name],NodesData[[#This Row],[Unambiguous Name]])</f>
        <v>1</v>
      </c>
      <c r="C339" s="12" t="s">
        <v>1327</v>
      </c>
      <c r="D339" s="13" t="s">
        <v>1755</v>
      </c>
      <c r="E339" s="35">
        <f>COUNTIF(NodesData[Node ID],NodesData[[#This Row],[Node ID]])</f>
        <v>1</v>
      </c>
      <c r="G339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J339" s="19" t="str" cm="1">
        <f t="array" ref="J339">CreateGuidString()</f>
        <v>F259D982-C110-45EE-8769-AF95A82C4D36</v>
      </c>
    </row>
    <row r="340" spans="1:10" x14ac:dyDescent="0.35">
      <c r="A3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40" s="35">
        <f>COUNTIF(NodesData[Unambiguous Name],NodesData[[#This Row],[Unambiguous Name]])</f>
        <v>1</v>
      </c>
      <c r="C340" s="12" t="s">
        <v>1319</v>
      </c>
      <c r="D340" s="13" t="s">
        <v>1756</v>
      </c>
      <c r="E340" s="35">
        <f>COUNTIF(NodesData[Node ID],NodesData[[#This Row],[Node ID]])</f>
        <v>1</v>
      </c>
      <c r="G340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J340" s="19" t="str" cm="1">
        <f t="array" ref="J340">CreateGuidString()</f>
        <v>C5D9D699-A4B0-46E1-8E23-99C573D63F8D</v>
      </c>
    </row>
    <row r="341" spans="1:10" x14ac:dyDescent="0.35">
      <c r="A3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41" s="35">
        <f>COUNTIF(NodesData[Unambiguous Name],NodesData[[#This Row],[Unambiguous Name]])</f>
        <v>1</v>
      </c>
      <c r="C341" s="12" t="s">
        <v>1004</v>
      </c>
      <c r="D341" s="13" t="s">
        <v>1757</v>
      </c>
      <c r="E341" s="35">
        <f>COUNTIF(NodesData[Node ID],NodesData[[#This Row],[Node ID]])</f>
        <v>1</v>
      </c>
      <c r="F341" s="12" t="s">
        <v>1270</v>
      </c>
      <c r="G341" s="12" t="str">
        <f>IF(NodesData[[#This Row],[Class Disambiguation]]="",NodesData[[#This Row],[Common Name]],NodesData[[#This Row],[Common Name]]&amp;" ("&amp;NodesData[[#This Row],[Class Disambiguation]]&amp;")")</f>
        <v>PMS (Acronym)</v>
      </c>
      <c r="I341" s="12" t="s">
        <v>1005</v>
      </c>
      <c r="J341" s="19" t="str" cm="1">
        <f t="array" ref="J341">CreateGuidString()</f>
        <v>520A73BA-4375-433B-B9DC-B04CA2D6862D</v>
      </c>
    </row>
    <row r="342" spans="1:10" x14ac:dyDescent="0.35">
      <c r="A3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</v>
      </c>
      <c r="B342" s="35">
        <f>COUNTIF(NodesData[Unambiguous Name],NodesData[[#This Row],[Unambiguous Name]])</f>
        <v>1</v>
      </c>
      <c r="C342" s="12" t="s">
        <v>1006</v>
      </c>
      <c r="D342" s="13" t="s">
        <v>1758</v>
      </c>
      <c r="E342" s="35">
        <f>COUNTIF(NodesData[Node ID],NodesData[[#This Row],[Node ID]])</f>
        <v>1</v>
      </c>
      <c r="G342" s="12" t="str">
        <f>IF(NodesData[[#This Row],[Class Disambiguation]]="",NodesData[[#This Row],[Common Name]],NodesData[[#This Row],[Common Name]]&amp;" ("&amp;NodesData[[#This Row],[Class Disambiguation]]&amp;")")</f>
        <v>Policy</v>
      </c>
      <c r="I342" s="12" t="s">
        <v>1007</v>
      </c>
      <c r="J342" s="19" t="str" cm="1">
        <f t="array" ref="J342">CreateGuidString()</f>
        <v>E189B331-2526-4A02-B8FE-231045512DD7</v>
      </c>
    </row>
    <row r="343" spans="1:10" x14ac:dyDescent="0.35">
      <c r="A3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43" s="35">
        <f>COUNTIF(NodesData[Unambiguous Name],NodesData[[#This Row],[Unambiguous Name]])</f>
        <v>1</v>
      </c>
      <c r="C343" s="12" t="s">
        <v>1008</v>
      </c>
      <c r="D343" s="13" t="s">
        <v>1759</v>
      </c>
      <c r="E343" s="35">
        <f>COUNTIF(NodesData[Node ID],NodesData[[#This Row],[Node ID]])</f>
        <v>1</v>
      </c>
      <c r="G343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I343" s="12" t="s">
        <v>1009</v>
      </c>
      <c r="J343" s="19" t="str" cm="1">
        <f t="array" ref="J343">CreateGuidString()</f>
        <v>A5D87157-B9B9-4D8E-8E7D-68229A031F97</v>
      </c>
    </row>
    <row r="344" spans="1:10" x14ac:dyDescent="0.35">
      <c r="A3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44" s="35">
        <f>COUNTIF(NodesData[Unambiguous Name],NodesData[[#This Row],[Unambiguous Name]])</f>
        <v>1</v>
      </c>
      <c r="C344" s="12" t="s">
        <v>1010</v>
      </c>
      <c r="D344" s="13" t="s">
        <v>1760</v>
      </c>
      <c r="E344" s="35">
        <f>COUNTIF(NodesData[Node ID],NodesData[[#This Row],[Node ID]])</f>
        <v>1</v>
      </c>
      <c r="G344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I344" s="12" t="s">
        <v>1011</v>
      </c>
      <c r="J344" s="19" t="str" cm="1">
        <f t="array" ref="J344">CreateGuidString()</f>
        <v>10ADDF8C-4098-4BC9-B75C-080E995A4E65</v>
      </c>
    </row>
    <row r="345" spans="1:10" x14ac:dyDescent="0.35">
      <c r="A3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5" s="35">
        <f>COUNTIF(NodesData[Unambiguous Name],NodesData[[#This Row],[Unambiguous Name]])</f>
        <v>1</v>
      </c>
      <c r="C345" s="12" t="s">
        <v>1012</v>
      </c>
      <c r="D345" s="13" t="s">
        <v>1761</v>
      </c>
      <c r="E345" s="35">
        <f>COUNTIF(NodesData[Node ID],NodesData[[#This Row],[Node ID]])</f>
        <v>1</v>
      </c>
      <c r="G345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I345" s="12" t="s">
        <v>1013</v>
      </c>
      <c r="J345" s="19" t="str" cm="1">
        <f t="array" ref="J345">CreateGuidString()</f>
        <v>23425D3F-A6D1-418A-99A4-C4DF2F3CA323</v>
      </c>
    </row>
    <row r="346" spans="1:10" x14ac:dyDescent="0.35">
      <c r="A3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6" s="35">
        <f>COUNTIF(NodesData[Unambiguous Name],NodesData[[#This Row],[Unambiguous Name]])</f>
        <v>1</v>
      </c>
      <c r="C346" s="12" t="s">
        <v>1014</v>
      </c>
      <c r="D346" s="13" t="s">
        <v>1762</v>
      </c>
      <c r="E346" s="35">
        <f>COUNTIF(NodesData[Node ID],NodesData[[#This Row],[Node ID]])</f>
        <v>1</v>
      </c>
      <c r="G346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I346" s="12" t="s">
        <v>1015</v>
      </c>
      <c r="J346" s="19" t="str" cm="1">
        <f t="array" ref="J346">CreateGuidString()</f>
        <v>AD91EEC2-0497-44EB-8EC8-3C5C6C419AFC</v>
      </c>
    </row>
    <row r="347" spans="1:10" x14ac:dyDescent="0.35">
      <c r="A3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7" s="35">
        <f>COUNTIF(NodesData[Unambiguous Name],NodesData[[#This Row],[Unambiguous Name]])</f>
        <v>1</v>
      </c>
      <c r="C347" s="12" t="s">
        <v>1016</v>
      </c>
      <c r="D347" s="13" t="s">
        <v>1763</v>
      </c>
      <c r="E347" s="35">
        <f>COUNTIF(NodesData[Node ID],NodesData[[#This Row],[Node ID]])</f>
        <v>1</v>
      </c>
      <c r="G347" s="12" t="str">
        <f>IF(NodesData[[#This Row],[Class Disambiguation]]="",NodesData[[#This Row],[Common Name]],NodesData[[#This Row],[Common Name]]&amp;" ("&amp;NodesData[[#This Row],[Class Disambiguation]]&amp;")")</f>
        <v>Policy Mining</v>
      </c>
      <c r="I347" s="12" t="s">
        <v>1017</v>
      </c>
      <c r="J347" s="19" t="str" cm="1">
        <f t="array" ref="J347">CreateGuidString()</f>
        <v>7AACF9FF-45C1-4FB0-860F-B65546947F92</v>
      </c>
    </row>
    <row r="348" spans="1:10" x14ac:dyDescent="0.35">
      <c r="A3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8" s="35">
        <f>COUNTIF(NodesData[Unambiguous Name],NodesData[[#This Row],[Unambiguous Name]])</f>
        <v>1</v>
      </c>
      <c r="C348" s="12" t="s">
        <v>1018</v>
      </c>
      <c r="D348" s="13" t="s">
        <v>1764</v>
      </c>
      <c r="E348" s="35">
        <f>COUNTIF(NodesData[Node ID],NodesData[[#This Row],[Node ID]])</f>
        <v>1</v>
      </c>
      <c r="G348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I348" s="12" t="s">
        <v>1019</v>
      </c>
      <c r="J348" s="19" t="str" cm="1">
        <f t="array" ref="J348">CreateGuidString()</f>
        <v>15A75E6C-27AB-4B6A-A40E-1C8B541DAABE</v>
      </c>
    </row>
    <row r="349" spans="1:10" x14ac:dyDescent="0.35">
      <c r="A3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9" s="35">
        <f>COUNTIF(NodesData[Unambiguous Name],NodesData[[#This Row],[Unambiguous Name]])</f>
        <v>1</v>
      </c>
      <c r="C349" s="12" t="s">
        <v>1295</v>
      </c>
      <c r="D349" s="13" t="s">
        <v>1765</v>
      </c>
      <c r="E349" s="35">
        <f>COUNTIF(NodesData[Node ID],NodesData[[#This Row],[Node ID]])</f>
        <v>1</v>
      </c>
      <c r="G349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J349" s="19" t="str" cm="1">
        <f t="array" ref="J349">CreateGuidString()</f>
        <v>F8E717E3-3100-4D1B-A5F7-A004F60B8A4E</v>
      </c>
    </row>
    <row r="350" spans="1:10" x14ac:dyDescent="0.35">
      <c r="A3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50" s="35">
        <f>COUNTIF(NodesData[Unambiguous Name],NodesData[[#This Row],[Unambiguous Name]])</f>
        <v>1</v>
      </c>
      <c r="C350" s="12" t="s">
        <v>1020</v>
      </c>
      <c r="D350" s="13" t="s">
        <v>1766</v>
      </c>
      <c r="E350" s="35">
        <f>COUNTIF(NodesData[Node ID],NodesData[[#This Row],[Node ID]])</f>
        <v>1</v>
      </c>
      <c r="G350" s="12" t="str">
        <f>IF(NodesData[[#This Row],[Class Disambiguation]]="",NodesData[[#This Row],[Common Name]],NodesData[[#This Row],[Common Name]]&amp;" ("&amp;NodesData[[#This Row],[Class Disambiguation]]&amp;")")</f>
        <v>Pre-approval</v>
      </c>
      <c r="I350" s="12" t="s">
        <v>1021</v>
      </c>
      <c r="J350" s="19" t="str" cm="1">
        <f t="array" ref="J350">CreateGuidString()</f>
        <v>BD26C44E-BCBC-451D-A0AD-35B62EBE8CA2</v>
      </c>
    </row>
    <row r="351" spans="1:10" x14ac:dyDescent="0.35">
      <c r="A3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51" s="35">
        <f>COUNTIF(NodesData[Unambiguous Name],NodesData[[#This Row],[Unambiguous Name]])</f>
        <v>1</v>
      </c>
      <c r="C351" s="12" t="s">
        <v>1022</v>
      </c>
      <c r="D351" s="13" t="s">
        <v>1767</v>
      </c>
      <c r="E351" s="35">
        <f>COUNTIF(NodesData[Node ID],NodesData[[#This Row],[Node ID]])</f>
        <v>1</v>
      </c>
      <c r="G351" s="12" t="str">
        <f>IF(NodesData[[#This Row],[Class Disambiguation]]="",NodesData[[#This Row],[Common Name]],NodesData[[#This Row],[Common Name]]&amp;" ("&amp;NodesData[[#This Row],[Class Disambiguation]]&amp;")")</f>
        <v>Principal</v>
      </c>
      <c r="I351" s="12" t="s">
        <v>1023</v>
      </c>
      <c r="J351" s="19" t="str" cm="1">
        <f t="array" ref="J351">CreateGuidString()</f>
        <v>61AB7D3B-CDD4-4C41-A231-F5DF3270BC08</v>
      </c>
    </row>
    <row r="352" spans="1:10" x14ac:dyDescent="0.35">
      <c r="A3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52" s="35">
        <f>COUNTIF(NodesData[Unambiguous Name],NodesData[[#This Row],[Unambiguous Name]])</f>
        <v>1</v>
      </c>
      <c r="C352" s="12" t="s">
        <v>364</v>
      </c>
      <c r="D352" s="13" t="s">
        <v>1768</v>
      </c>
      <c r="E352" s="35">
        <f>COUNTIF(NodesData[Node ID],NodesData[[#This Row],[Node ID]])</f>
        <v>1</v>
      </c>
      <c r="G352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I352" s="12" t="s">
        <v>1024</v>
      </c>
      <c r="J352" s="19" t="str" cm="1">
        <f t="array" ref="J352">CreateGuidString()</f>
        <v>3B3A80FB-9981-415D-B525-7AF6BBE151D3</v>
      </c>
    </row>
    <row r="353" spans="1:10" x14ac:dyDescent="0.35">
      <c r="A3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53" s="35">
        <f>COUNTIF(NodesData[Unambiguous Name],NodesData[[#This Row],[Unambiguous Name]])</f>
        <v>1</v>
      </c>
      <c r="C353" s="12" t="s">
        <v>1025</v>
      </c>
      <c r="D353" s="13" t="s">
        <v>1769</v>
      </c>
      <c r="E353" s="35">
        <f>COUNTIF(NodesData[Node ID],NodesData[[#This Row],[Node ID]])</f>
        <v>1</v>
      </c>
      <c r="G353" s="12" t="str">
        <f>IF(NodesData[[#This Row],[Class Disambiguation]]="",NodesData[[#This Row],[Common Name]],NodesData[[#This Row],[Common Name]]&amp;" ("&amp;NodesData[[#This Row],[Class Disambiguation]]&amp;")")</f>
        <v>Privilege</v>
      </c>
      <c r="I353" s="12" t="s">
        <v>1026</v>
      </c>
      <c r="J353" s="19" t="str" cm="1">
        <f t="array" ref="J353">CreateGuidString()</f>
        <v>36FC09C6-67F3-4259-83BD-F1863EFA701A</v>
      </c>
    </row>
    <row r="354" spans="1:10" x14ac:dyDescent="0.35">
      <c r="A3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54" s="35">
        <f>COUNTIF(NodesData[Unambiguous Name],NodesData[[#This Row],[Unambiguous Name]])</f>
        <v>1</v>
      </c>
      <c r="C354" s="12" t="s">
        <v>366</v>
      </c>
      <c r="D354" s="13" t="s">
        <v>1770</v>
      </c>
      <c r="E354" s="35">
        <f>COUNTIF(NodesData[Node ID],NodesData[[#This Row],[Node ID]])</f>
        <v>1</v>
      </c>
      <c r="G354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I354" s="12" t="s">
        <v>1027</v>
      </c>
      <c r="J354" s="19" t="str" cm="1">
        <f t="array" ref="J354">CreateGuidString()</f>
        <v>102BB3F5-56EF-429B-BA48-310662FDB727</v>
      </c>
    </row>
    <row r="355" spans="1:10" x14ac:dyDescent="0.35">
      <c r="A3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5" s="35">
        <f>COUNTIF(NodesData[Unambiguous Name],NodesData[[#This Row],[Unambiguous Name]])</f>
        <v>1</v>
      </c>
      <c r="C355" s="12" t="s">
        <v>1028</v>
      </c>
      <c r="D355" s="13" t="s">
        <v>1771</v>
      </c>
      <c r="E355" s="35">
        <f>COUNTIF(NodesData[Node ID],NodesData[[#This Row],[Node ID]])</f>
        <v>1</v>
      </c>
      <c r="G355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I355" s="12" t="s">
        <v>1029</v>
      </c>
      <c r="J355" s="19" t="str" cm="1">
        <f t="array" ref="J355">CreateGuidString()</f>
        <v>918AA07A-2F58-40CA-B2B5-DD0342F93DC0</v>
      </c>
    </row>
    <row r="356" spans="1:10" x14ac:dyDescent="0.35">
      <c r="A3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6" s="35">
        <f>COUNTIF(NodesData[Unambiguous Name],NodesData[[#This Row],[Unambiguous Name]])</f>
        <v>1</v>
      </c>
      <c r="C356" s="12" t="s">
        <v>1030</v>
      </c>
      <c r="D356" s="13" t="s">
        <v>1772</v>
      </c>
      <c r="E356" s="35">
        <f>COUNTIF(NodesData[Node ID],NodesData[[#This Row],[Node ID]])</f>
        <v>1</v>
      </c>
      <c r="G356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I356" s="12" t="s">
        <v>1031</v>
      </c>
      <c r="J356" s="19" t="str" cm="1">
        <f t="array" ref="J356">CreateGuidString()</f>
        <v>4A6D8862-11F9-4DAD-BFB6-3B425240B995</v>
      </c>
    </row>
    <row r="357" spans="1:10" x14ac:dyDescent="0.35">
      <c r="A3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7" s="35">
        <f>COUNTIF(NodesData[Unambiguous Name],NodesData[[#This Row],[Unambiguous Name]])</f>
        <v>1</v>
      </c>
      <c r="C357" s="12" t="s">
        <v>1032</v>
      </c>
      <c r="D357" s="13" t="s">
        <v>1773</v>
      </c>
      <c r="E357" s="35">
        <f>COUNTIF(NodesData[Node ID],NodesData[[#This Row],[Node ID]])</f>
        <v>1</v>
      </c>
      <c r="G357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I357" s="12" t="s">
        <v>1033</v>
      </c>
      <c r="J357" s="19" t="str" cm="1">
        <f t="array" ref="J357">CreateGuidString()</f>
        <v>1C2EEDDF-7D3B-480E-B83B-0419D3B07092</v>
      </c>
    </row>
    <row r="358" spans="1:10" x14ac:dyDescent="0.35">
      <c r="A3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8" s="35">
        <f>COUNTIF(NodesData[Unambiguous Name],NodesData[[#This Row],[Unambiguous Name]])</f>
        <v>1</v>
      </c>
      <c r="C358" s="12" t="s">
        <v>369</v>
      </c>
      <c r="D358" s="13" t="s">
        <v>1774</v>
      </c>
      <c r="E358" s="35">
        <f>COUNTIF(NodesData[Node ID],NodesData[[#This Row],[Node ID]])</f>
        <v>1</v>
      </c>
      <c r="G358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I358" s="12" t="s">
        <v>1034</v>
      </c>
      <c r="J358" s="19" t="str" cm="1">
        <f t="array" ref="J358">CreateGuidString()</f>
        <v>BC146FA4-0286-4989-910C-D8C4167A24AF</v>
      </c>
    </row>
    <row r="359" spans="1:10" x14ac:dyDescent="0.35">
      <c r="A3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9" s="35">
        <f>COUNTIF(NodesData[Unambiguous Name],NodesData[[#This Row],[Unambiguous Name]])</f>
        <v>1</v>
      </c>
      <c r="C359" s="12" t="s">
        <v>1035</v>
      </c>
      <c r="D359" s="13" t="s">
        <v>1775</v>
      </c>
      <c r="E359" s="35">
        <f>COUNTIF(NodesData[Node ID],NodesData[[#This Row],[Node ID]])</f>
        <v>1</v>
      </c>
      <c r="G359" s="12" t="str">
        <f>IF(NodesData[[#This Row],[Class Disambiguation]]="",NodesData[[#This Row],[Common Name]],NodesData[[#This Row],[Common Name]]&amp;" ("&amp;NodesData[[#This Row],[Class Disambiguation]]&amp;")")</f>
        <v>Provisioning</v>
      </c>
      <c r="I359" s="12" t="s">
        <v>1036</v>
      </c>
      <c r="J359" s="19" t="str" cm="1">
        <f t="array" ref="J359">CreateGuidString()</f>
        <v>ADCC100E-369E-40F0-912F-DB31CECF2D5C</v>
      </c>
    </row>
    <row r="360" spans="1:10" x14ac:dyDescent="0.35">
      <c r="A3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60" s="35">
        <f>COUNTIF(NodesData[Unambiguous Name],NodesData[[#This Row],[Unambiguous Name]])</f>
        <v>1</v>
      </c>
      <c r="C360" s="12" t="s">
        <v>376</v>
      </c>
      <c r="D360" s="13" t="s">
        <v>1776</v>
      </c>
      <c r="E360" s="35">
        <f>COUNTIF(NodesData[Node ID],NodesData[[#This Row],[Node ID]])</f>
        <v>1</v>
      </c>
      <c r="G360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I360" s="12" t="s">
        <v>1037</v>
      </c>
      <c r="J360" s="19" t="str" cm="1">
        <f t="array" ref="J360">CreateGuidString()</f>
        <v>B50B7779-79A6-466F-B238-31DC484E1C9A</v>
      </c>
    </row>
    <row r="361" spans="1:10" x14ac:dyDescent="0.35">
      <c r="A3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61" s="35">
        <f>COUNTIF(NodesData[Unambiguous Name],NodesData[[#This Row],[Unambiguous Name]])</f>
        <v>1</v>
      </c>
      <c r="C361" s="12" t="s">
        <v>378</v>
      </c>
      <c r="D361" s="13" t="s">
        <v>1777</v>
      </c>
      <c r="E361" s="35">
        <f>COUNTIF(NodesData[Node ID],NodesData[[#This Row],[Node ID]])</f>
        <v>1</v>
      </c>
      <c r="G361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I361" s="12" t="s">
        <v>1038</v>
      </c>
      <c r="J361" s="19" t="str" cm="1">
        <f t="array" ref="J361">CreateGuidString()</f>
        <v>EA36C26E-E022-4172-873C-1C84998DCDE3</v>
      </c>
    </row>
    <row r="362" spans="1:10" x14ac:dyDescent="0.35">
      <c r="A3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62" s="35">
        <f>COUNTIF(NodesData[Unambiguous Name],NodesData[[#This Row],[Unambiguous Name]])</f>
        <v>1</v>
      </c>
      <c r="C362" s="12" t="s">
        <v>1039</v>
      </c>
      <c r="D362" s="13" t="s">
        <v>1778</v>
      </c>
      <c r="E362" s="35">
        <f>COUNTIF(NodesData[Node ID],NodesData[[#This Row],[Node ID]])</f>
        <v>1</v>
      </c>
      <c r="F362" s="12" t="s">
        <v>1270</v>
      </c>
      <c r="G362" s="12" t="str">
        <f>IF(NodesData[[#This Row],[Class Disambiguation]]="",NodesData[[#This Row],[Common Name]],NodesData[[#This Row],[Common Name]]&amp;" ("&amp;NodesData[[#This Row],[Class Disambiguation]]&amp;")")</f>
        <v>RA (Acronym)</v>
      </c>
      <c r="I362" s="12" t="s">
        <v>1040</v>
      </c>
      <c r="J362" s="19" t="str" cm="1">
        <f t="array" ref="J362">CreateGuidString()</f>
        <v>8DEABB0C-EF0C-45F9-A8BA-03B28D6086DB</v>
      </c>
    </row>
    <row r="363" spans="1:10" x14ac:dyDescent="0.35">
      <c r="A3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63" s="35">
        <f>COUNTIF(NodesData[Unambiguous Name],NodesData[[#This Row],[Unambiguous Name]])</f>
        <v>1</v>
      </c>
      <c r="C363" s="12" t="s">
        <v>1041</v>
      </c>
      <c r="D363" s="13" t="s">
        <v>1779</v>
      </c>
      <c r="E363" s="35">
        <f>COUNTIF(NodesData[Node ID],NodesData[[#This Row],[Node ID]])</f>
        <v>1</v>
      </c>
      <c r="G363" s="12" t="str">
        <f>IF(NodesData[[#This Row],[Class Disambiguation]]="",NodesData[[#This Row],[Common Name]],NodesData[[#This Row],[Common Name]]&amp;" ("&amp;NodesData[[#This Row],[Class Disambiguation]]&amp;")")</f>
        <v>Ratio Scale</v>
      </c>
      <c r="I363" s="12" t="s">
        <v>1042</v>
      </c>
      <c r="J363" s="19" t="str" cm="1">
        <f t="array" ref="J363">CreateGuidString()</f>
        <v>456121C8-DDF4-43D1-8081-ACFE26E6BF7D</v>
      </c>
    </row>
    <row r="364" spans="1:10" x14ac:dyDescent="0.35">
      <c r="A3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64" s="35">
        <f>COUNTIF(NodesData[Unambiguous Name],NodesData[[#This Row],[Unambiguous Name]])</f>
        <v>1</v>
      </c>
      <c r="C364" s="12" t="s">
        <v>1043</v>
      </c>
      <c r="D364" s="13" t="s">
        <v>1780</v>
      </c>
      <c r="E364" s="35">
        <f>COUNTIF(NodesData[Node ID],NodesData[[#This Row],[Node ID]])</f>
        <v>1</v>
      </c>
      <c r="F364" s="12" t="s">
        <v>1270</v>
      </c>
      <c r="G364" s="12" t="str">
        <f>IF(NodesData[[#This Row],[Class Disambiguation]]="",NodesData[[#This Row],[Common Name]],NodesData[[#This Row],[Common Name]]&amp;" ("&amp;NodesData[[#This Row],[Class Disambiguation]]&amp;")")</f>
        <v>RBA (Acronym)</v>
      </c>
      <c r="I364" s="12" t="s">
        <v>1044</v>
      </c>
      <c r="J364" s="19" t="str" cm="1">
        <f t="array" ref="J364">CreateGuidString()</f>
        <v>670726B9-DD00-4DE7-BC08-B72D6DD0B217</v>
      </c>
    </row>
    <row r="365" spans="1:10" x14ac:dyDescent="0.35">
      <c r="A3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5" s="35">
        <f>COUNTIF(NodesData[Unambiguous Name],NodesData[[#This Row],[Unambiguous Name]])</f>
        <v>1</v>
      </c>
      <c r="C365" s="12" t="s">
        <v>1045</v>
      </c>
      <c r="D365" s="13" t="s">
        <v>1781</v>
      </c>
      <c r="E365" s="35">
        <f>COUNTIF(NodesData[Node ID],NodesData[[#This Row],[Node ID]])</f>
        <v>1</v>
      </c>
      <c r="G365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I365" s="12" t="s">
        <v>1046</v>
      </c>
      <c r="J365" s="19" t="str" cm="1">
        <f t="array" ref="J365">CreateGuidString()</f>
        <v>A2DE6794-EE89-40A7-BA99-7480B65F1E92</v>
      </c>
    </row>
    <row r="366" spans="1:10" x14ac:dyDescent="0.35">
      <c r="A3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6" s="35">
        <f>COUNTIF(NodesData[Unambiguous Name],NodesData[[#This Row],[Unambiguous Name]])</f>
        <v>1</v>
      </c>
      <c r="C366" s="12" t="s">
        <v>1047</v>
      </c>
      <c r="D366" s="13" t="s">
        <v>1782</v>
      </c>
      <c r="E366" s="35">
        <f>COUNTIF(NodesData[Node ID],NodesData[[#This Row],[Node ID]])</f>
        <v>1</v>
      </c>
      <c r="G366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I366" s="12" t="s">
        <v>1048</v>
      </c>
      <c r="J366" s="19" t="str" cm="1">
        <f t="array" ref="J366">CreateGuidString()</f>
        <v>8965CB8F-9FB5-4FFF-A3FC-493F4063F10F</v>
      </c>
    </row>
    <row r="367" spans="1:10" x14ac:dyDescent="0.35">
      <c r="A3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7" s="35">
        <f>COUNTIF(NodesData[Unambiguous Name],NodesData[[#This Row],[Unambiguous Name]])</f>
        <v>1</v>
      </c>
      <c r="C367" s="12" t="s">
        <v>1049</v>
      </c>
      <c r="D367" s="13" t="s">
        <v>1783</v>
      </c>
      <c r="E367" s="35">
        <f>COUNTIF(NodesData[Node ID],NodesData[[#This Row],[Node ID]])</f>
        <v>1</v>
      </c>
      <c r="G367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I367" s="12" t="s">
        <v>1050</v>
      </c>
      <c r="J367" s="19" t="str" cm="1">
        <f t="array" ref="J367">CreateGuidString()</f>
        <v>4FD4E431-B2A2-4990-9429-7F28B564B29D</v>
      </c>
    </row>
    <row r="368" spans="1:10" x14ac:dyDescent="0.35">
      <c r="A3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8" s="35">
        <f>COUNTIF(NodesData[Unambiguous Name],NodesData[[#This Row],[Unambiguous Name]])</f>
        <v>1</v>
      </c>
      <c r="C368" s="12" t="s">
        <v>1051</v>
      </c>
      <c r="D368" s="13" t="s">
        <v>1784</v>
      </c>
      <c r="E368" s="35">
        <f>COUNTIF(NodesData[Node ID],NodesData[[#This Row],[Node ID]])</f>
        <v>1</v>
      </c>
      <c r="G368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I368" s="12" t="s">
        <v>1052</v>
      </c>
      <c r="J368" s="19" t="str" cm="1">
        <f t="array" ref="J368">CreateGuidString()</f>
        <v>F1955569-110C-4CCD-8027-EDDE959BAAA8</v>
      </c>
    </row>
    <row r="369" spans="1:10" x14ac:dyDescent="0.35">
      <c r="A3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9" s="35">
        <f>COUNTIF(NodesData[Unambiguous Name],NodesData[[#This Row],[Unambiguous Name]])</f>
        <v>1</v>
      </c>
      <c r="C369" s="12" t="s">
        <v>1053</v>
      </c>
      <c r="D369" s="13" t="s">
        <v>1785</v>
      </c>
      <c r="E369" s="35">
        <f>COUNTIF(NodesData[Node ID],NodesData[[#This Row],[Node ID]])</f>
        <v>1</v>
      </c>
      <c r="G369" s="12" t="str">
        <f>IF(NodesData[[#This Row],[Class Disambiguation]]="",NodesData[[#This Row],[Common Name]],NodesData[[#This Row],[Common Name]]&amp;" ("&amp;NodesData[[#This Row],[Class Disambiguation]]&amp;")")</f>
        <v>Rejoiner</v>
      </c>
      <c r="I369" s="12" t="s">
        <v>1054</v>
      </c>
      <c r="J369" s="19" t="str" cm="1">
        <f t="array" ref="J369">CreateGuidString()</f>
        <v>135D0CC6-6AD2-4D32-98FD-17D0590B1A28</v>
      </c>
    </row>
    <row r="370" spans="1:10" x14ac:dyDescent="0.35">
      <c r="A3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70" s="35">
        <f>COUNTIF(NodesData[Unambiguous Name],NodesData[[#This Row],[Unambiguous Name]])</f>
        <v>1</v>
      </c>
      <c r="C370" s="12" t="s">
        <v>1055</v>
      </c>
      <c r="D370" s="13" t="s">
        <v>1786</v>
      </c>
      <c r="E370" s="35">
        <f>COUNTIF(NodesData[Node ID],NodesData[[#This Row],[Node ID]])</f>
        <v>1</v>
      </c>
      <c r="G370" s="12" t="str">
        <f>IF(NodesData[[#This Row],[Class Disambiguation]]="",NodesData[[#This Row],[Common Name]],NodesData[[#This Row],[Common Name]]&amp;" ("&amp;NodesData[[#This Row],[Class Disambiguation]]&amp;")")</f>
        <v>Relying Party</v>
      </c>
      <c r="I370" s="12" t="s">
        <v>1056</v>
      </c>
      <c r="J370" s="19" t="str" cm="1">
        <f t="array" ref="J370">CreateGuidString()</f>
        <v>EE0536FE-44F6-4718-A36E-EB7BF46494EA</v>
      </c>
    </row>
    <row r="371" spans="1:10" x14ac:dyDescent="0.35">
      <c r="A3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71" s="35">
        <f>COUNTIF(NodesData[Unambiguous Name],NodesData[[#This Row],[Unambiguous Name]])</f>
        <v>1</v>
      </c>
      <c r="C371" s="12" t="s">
        <v>1057</v>
      </c>
      <c r="D371" s="13" t="s">
        <v>1787</v>
      </c>
      <c r="E371" s="35">
        <f>COUNTIF(NodesData[Node ID],NodesData[[#This Row],[Node ID]])</f>
        <v>1</v>
      </c>
      <c r="G371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I371" s="12" t="s">
        <v>1058</v>
      </c>
      <c r="J371" s="19" t="str" cm="1">
        <f t="array" ref="J371">CreateGuidString()</f>
        <v>EFE2D9E9-FEC4-4624-AD42-A97B6D53F8BF</v>
      </c>
    </row>
    <row r="372" spans="1:10" x14ac:dyDescent="0.35">
      <c r="A3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72" s="35">
        <f>COUNTIF(NodesData[Unambiguous Name],NodesData[[#This Row],[Unambiguous Name]])</f>
        <v>1</v>
      </c>
      <c r="C372" s="12" t="s">
        <v>1059</v>
      </c>
      <c r="D372" s="13" t="s">
        <v>1788</v>
      </c>
      <c r="E372" s="35">
        <f>COUNTIF(NodesData[Node ID],NodesData[[#This Row],[Node ID]])</f>
        <v>1</v>
      </c>
      <c r="G372" s="12" t="str">
        <f>IF(NodesData[[#This Row],[Class Disambiguation]]="",NodesData[[#This Row],[Common Name]],NodesData[[#This Row],[Common Name]]&amp;" ("&amp;NodesData[[#This Row],[Class Disambiguation]]&amp;")")</f>
        <v>Repeatability</v>
      </c>
      <c r="I372" s="12" t="s">
        <v>1060</v>
      </c>
      <c r="J372" s="19" t="str" cm="1">
        <f t="array" ref="J372">CreateGuidString()</f>
        <v>C52E8F7B-72B4-48D7-9002-2DD06DDC4380</v>
      </c>
    </row>
    <row r="373" spans="1:10" x14ac:dyDescent="0.35">
      <c r="A3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73" s="35">
        <f>COUNTIF(NodesData[Unambiguous Name],NodesData[[#This Row],[Unambiguous Name]])</f>
        <v>1</v>
      </c>
      <c r="C373" s="12" t="s">
        <v>1061</v>
      </c>
      <c r="D373" s="13" t="s">
        <v>1789</v>
      </c>
      <c r="E373" s="35">
        <f>COUNTIF(NodesData[Node ID],NodesData[[#This Row],[Node ID]])</f>
        <v>1</v>
      </c>
      <c r="G373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I373" s="12" t="s">
        <v>1062</v>
      </c>
      <c r="J373" s="19" t="str" cm="1">
        <f t="array" ref="J373">CreateGuidString()</f>
        <v>241F51F8-C6E8-4B6B-8928-6D1154531A37</v>
      </c>
    </row>
    <row r="374" spans="1:10" x14ac:dyDescent="0.35">
      <c r="A3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74" s="35">
        <f>COUNTIF(NodesData[Unambiguous Name],NodesData[[#This Row],[Unambiguous Name]])</f>
        <v>1</v>
      </c>
      <c r="C374" s="12" t="s">
        <v>1063</v>
      </c>
      <c r="D374" s="13" t="s">
        <v>1790</v>
      </c>
      <c r="E374" s="35">
        <f>COUNTIF(NodesData[Node ID],NodesData[[#This Row],[Node ID]])</f>
        <v>1</v>
      </c>
      <c r="G374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I374" s="12" t="s">
        <v>1064</v>
      </c>
      <c r="J374" s="19" t="str" cm="1">
        <f t="array" ref="J374">CreateGuidString()</f>
        <v>D098C160-FE67-4A9E-8472-462C0BDFF3AD</v>
      </c>
    </row>
    <row r="375" spans="1:10" x14ac:dyDescent="0.35">
      <c r="A375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Research Account</v>
      </c>
      <c r="B375" s="43">
        <f>COUNTIF(NodesData[Unambiguous Name],NodesData[[#This Row],[Unambiguous Name]])</f>
        <v>1</v>
      </c>
      <c r="C375" s="12" t="s">
        <v>1993</v>
      </c>
      <c r="D375" s="13" t="s">
        <v>2000</v>
      </c>
      <c r="E375" s="43">
        <f>COUNTIF(NodesData[Node ID],NodesData[[#This Row],[Node ID]])</f>
        <v>1</v>
      </c>
      <c r="G375" s="18" t="str">
        <f>IF(NodesData[[#This Row],[Class Disambiguation]]="",NodesData[[#This Row],[Common Name]],NodesData[[#This Row],[Common Name]]&amp;" ("&amp;NodesData[[#This Row],[Class Disambiguation]]&amp;")")</f>
        <v>Research Account</v>
      </c>
      <c r="J375" s="20" t="str" cm="1">
        <f t="array" ref="J375">CreateGuidString()</f>
        <v>01F6A80A-3190-462D-BEEB-328CC562A345</v>
      </c>
    </row>
    <row r="376" spans="1:10" x14ac:dyDescent="0.35">
      <c r="A3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6" s="35">
        <f>COUNTIF(NodesData[Unambiguous Name],NodesData[[#This Row],[Unambiguous Name]])</f>
        <v>1</v>
      </c>
      <c r="C376" s="12" t="s">
        <v>1065</v>
      </c>
      <c r="D376" s="13" t="s">
        <v>1791</v>
      </c>
      <c r="E376" s="35">
        <f>COUNTIF(NodesData[Node ID],NodesData[[#This Row],[Node ID]])</f>
        <v>1</v>
      </c>
      <c r="G376" s="12" t="str">
        <f>IF(NodesData[[#This Row],[Class Disambiguation]]="",NodesData[[#This Row],[Common Name]],NodesData[[#This Row],[Common Name]]&amp;" ("&amp;NodesData[[#This Row],[Class Disambiguation]]&amp;")")</f>
        <v>Revocation</v>
      </c>
      <c r="I376" s="12" t="s">
        <v>1066</v>
      </c>
      <c r="J376" s="19" t="str" cm="1">
        <f t="array" ref="J376">CreateGuidString()</f>
        <v>68C42118-05E1-41CA-861B-B23E8AD10507</v>
      </c>
    </row>
    <row r="377" spans="1:10" x14ac:dyDescent="0.35">
      <c r="A3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7" s="35">
        <f>COUNTIF(NodesData[Unambiguous Name],NodesData[[#This Row],[Unambiguous Name]])</f>
        <v>1</v>
      </c>
      <c r="C377" s="12" t="s">
        <v>1067</v>
      </c>
      <c r="D377" s="13" t="s">
        <v>1792</v>
      </c>
      <c r="E377" s="35">
        <f>COUNTIF(NodesData[Node ID],NodesData[[#This Row],[Node ID]])</f>
        <v>1</v>
      </c>
      <c r="F377" s="12" t="s">
        <v>1270</v>
      </c>
      <c r="G377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I377" s="12" t="s">
        <v>1068</v>
      </c>
      <c r="J377" s="19" t="str" cm="1">
        <f t="array" ref="J377">CreateGuidString()</f>
        <v>8B30E5BD-CE71-4DD5-8BE6-BC84A302611C</v>
      </c>
    </row>
    <row r="378" spans="1:10" x14ac:dyDescent="0.35">
      <c r="A378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Risk</v>
      </c>
      <c r="B378" s="35">
        <f>COUNTIF(NodesData[Unambiguous Name],NodesData[[#This Row],[Unambiguous Name]])</f>
        <v>1</v>
      </c>
      <c r="C378" s="11" t="s">
        <v>1410</v>
      </c>
      <c r="D378" s="13" t="s">
        <v>1443</v>
      </c>
      <c r="E378" s="35">
        <f>COUNTIF(NodesData[Node ID],NodesData[[#This Row],[Node ID]])</f>
        <v>1</v>
      </c>
      <c r="G378" s="18" t="str">
        <f>IF(NodesData[[#This Row],[Class Disambiguation]]="",NodesData[[#This Row],[Common Name]],NodesData[[#This Row],[Common Name]]&amp;" ("&amp;NodesData[[#This Row],[Class Disambiguation]]&amp;")")</f>
        <v>Risk</v>
      </c>
      <c r="H378" s="11" t="s">
        <v>4</v>
      </c>
      <c r="J378" s="20" t="str" cm="1">
        <f t="array" ref="J378">CreateGuidString()</f>
        <v>1EDB72B4-0017-4A18-9EF9-3CB14D779699</v>
      </c>
    </row>
    <row r="379" spans="1:10" x14ac:dyDescent="0.35">
      <c r="A3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9" s="35">
        <f>COUNTIF(NodesData[Unambiguous Name],NodesData[[#This Row],[Unambiguous Name]])</f>
        <v>1</v>
      </c>
      <c r="C379" s="12" t="s">
        <v>1069</v>
      </c>
      <c r="D379" s="13" t="s">
        <v>1793</v>
      </c>
      <c r="E379" s="35">
        <f>COUNTIF(NodesData[Node ID],NodesData[[#This Row],[Node ID]])</f>
        <v>1</v>
      </c>
      <c r="G379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I379" s="12" t="s">
        <v>1070</v>
      </c>
      <c r="J379" s="19" t="str" cm="1">
        <f t="array" ref="J379">CreateGuidString()</f>
        <v>FBA22949-351E-4797-A22B-4070EC5E17AE</v>
      </c>
    </row>
    <row r="380" spans="1:10" x14ac:dyDescent="0.35">
      <c r="A3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</v>
      </c>
      <c r="B380" s="35">
        <f>COUNTIF(NodesData[Unambiguous Name],NodesData[[#This Row],[Unambiguous Name]])</f>
        <v>1</v>
      </c>
      <c r="C380" s="12" t="s">
        <v>1071</v>
      </c>
      <c r="D380" s="13" t="s">
        <v>1794</v>
      </c>
      <c r="E380" s="35">
        <f>COUNTIF(NodesData[Node ID],NodesData[[#This Row],[Node ID]])</f>
        <v>1</v>
      </c>
      <c r="G380" s="12" t="str">
        <f>IF(NodesData[[#This Row],[Class Disambiguation]]="",NodesData[[#This Row],[Common Name]],NodesData[[#This Row],[Common Name]]&amp;" ("&amp;NodesData[[#This Row],[Class Disambiguation]]&amp;")")</f>
        <v>Role</v>
      </c>
      <c r="I380" s="12" t="s">
        <v>1072</v>
      </c>
      <c r="J380" s="19" t="str" cm="1">
        <f t="array" ref="J380">CreateGuidString()</f>
        <v>E63C11AB-1815-4699-A608-CCB8E8DFDFD7</v>
      </c>
    </row>
    <row r="381" spans="1:10" x14ac:dyDescent="0.35">
      <c r="A3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81" s="35">
        <f>COUNTIF(NodesData[Unambiguous Name],NodesData[[#This Row],[Unambiguous Name]])</f>
        <v>1</v>
      </c>
      <c r="C381" s="12" t="s">
        <v>1073</v>
      </c>
      <c r="D381" s="13" t="s">
        <v>1795</v>
      </c>
      <c r="E381" s="35">
        <f>COUNTIF(NodesData[Node ID],NodesData[[#This Row],[Node ID]])</f>
        <v>1</v>
      </c>
      <c r="G381" s="12" t="str">
        <f>IF(NodesData[[#This Row],[Class Disambiguation]]="",NodesData[[#This Row],[Common Name]],NodesData[[#This Row],[Common Name]]&amp;" ("&amp;NodesData[[#This Row],[Class Disambiguation]]&amp;")")</f>
        <v>Role Bloating</v>
      </c>
      <c r="I381" s="12" t="s">
        <v>1074</v>
      </c>
      <c r="J381" s="19" t="str" cm="1">
        <f t="array" ref="J381">CreateGuidString()</f>
        <v>F9CD5E4C-4C87-4071-8D05-AF8CD68F9248</v>
      </c>
    </row>
    <row r="382" spans="1:10" x14ac:dyDescent="0.35">
      <c r="A3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82" s="35">
        <f>COUNTIF(NodesData[Unambiguous Name],NodesData[[#This Row],[Unambiguous Name]])</f>
        <v>1</v>
      </c>
      <c r="C382" s="12" t="s">
        <v>1075</v>
      </c>
      <c r="D382" s="13" t="s">
        <v>1796</v>
      </c>
      <c r="E382" s="35">
        <f>COUNTIF(NodesData[Node ID],NodesData[[#This Row],[Node ID]])</f>
        <v>1</v>
      </c>
      <c r="G382" s="12" t="str">
        <f>IF(NodesData[[#This Row],[Class Disambiguation]]="",NodesData[[#This Row],[Common Name]],NodesData[[#This Row],[Common Name]]&amp;" ("&amp;NodesData[[#This Row],[Class Disambiguation]]&amp;")")</f>
        <v>Role Capacity</v>
      </c>
      <c r="I382" s="12" t="s">
        <v>1076</v>
      </c>
      <c r="J382" s="19" t="str" cm="1">
        <f t="array" ref="J382">CreateGuidString()</f>
        <v>CCFD49DE-61B7-4845-A862-A6EE9F3E1B31</v>
      </c>
    </row>
    <row r="383" spans="1:10" x14ac:dyDescent="0.35">
      <c r="A3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83" s="35">
        <f>COUNTIF(NodesData[Unambiguous Name],NodesData[[#This Row],[Unambiguous Name]])</f>
        <v>1</v>
      </c>
      <c r="C383" s="12" t="s">
        <v>1077</v>
      </c>
      <c r="D383" s="13" t="s">
        <v>1797</v>
      </c>
      <c r="E383" s="35">
        <f>COUNTIF(NodesData[Node ID],NodesData[[#This Row],[Node ID]])</f>
        <v>1</v>
      </c>
      <c r="G383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I383" s="12" t="s">
        <v>1078</v>
      </c>
      <c r="J383" s="19" t="str" cm="1">
        <f t="array" ref="J383">CreateGuidString()</f>
        <v>111B080A-906F-479A-8841-C10754261807</v>
      </c>
    </row>
    <row r="384" spans="1:10" x14ac:dyDescent="0.35">
      <c r="A3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84" s="35">
        <f>COUNTIF(NodesData[Unambiguous Name],NodesData[[#This Row],[Unambiguous Name]])</f>
        <v>1</v>
      </c>
      <c r="C384" s="12" t="s">
        <v>1079</v>
      </c>
      <c r="D384" s="13" t="s">
        <v>1798</v>
      </c>
      <c r="E384" s="35">
        <f>COUNTIF(NodesData[Node ID],NodesData[[#This Row],[Node ID]])</f>
        <v>1</v>
      </c>
      <c r="G384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I384" s="12" t="s">
        <v>1080</v>
      </c>
      <c r="J384" s="19" t="str" cm="1">
        <f t="array" ref="J384">CreateGuidString()</f>
        <v>90163D2B-3262-4B78-A90A-4521088F241C</v>
      </c>
    </row>
    <row r="385" spans="1:10" x14ac:dyDescent="0.35">
      <c r="A3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85" s="35">
        <f>COUNTIF(NodesData[Unambiguous Name],NodesData[[#This Row],[Unambiguous Name]])</f>
        <v>1</v>
      </c>
      <c r="C385" s="12" t="s">
        <v>1081</v>
      </c>
      <c r="D385" s="13" t="s">
        <v>1799</v>
      </c>
      <c r="E385" s="35">
        <f>COUNTIF(NodesData[Node ID],NodesData[[#This Row],[Node ID]])</f>
        <v>1</v>
      </c>
      <c r="G385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I385" s="12" t="s">
        <v>1082</v>
      </c>
      <c r="J385" s="19" t="str" cm="1">
        <f t="array" ref="J385">CreateGuidString()</f>
        <v>712C0248-9576-4D90-BE95-ABC768DA8E22</v>
      </c>
    </row>
    <row r="386" spans="1:10" x14ac:dyDescent="0.35">
      <c r="A3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86" s="35">
        <f>COUNTIF(NodesData[Unambiguous Name],NodesData[[#This Row],[Unambiguous Name]])</f>
        <v>1</v>
      </c>
      <c r="C386" s="12" t="s">
        <v>1083</v>
      </c>
      <c r="D386" s="13" t="s">
        <v>1800</v>
      </c>
      <c r="E386" s="35">
        <f>COUNTIF(NodesData[Node ID],NodesData[[#This Row],[Node ID]])</f>
        <v>1</v>
      </c>
      <c r="G386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I386" s="12" t="s">
        <v>1084</v>
      </c>
      <c r="J386" s="19" t="str" cm="1">
        <f t="array" ref="J386">CreateGuidString()</f>
        <v>9B4D6D32-9E9E-42AB-978D-DD695D8C28F9</v>
      </c>
    </row>
    <row r="387" spans="1:10" x14ac:dyDescent="0.35">
      <c r="A3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7" s="35">
        <f>COUNTIF(NodesData[Unambiguous Name],NodesData[[#This Row],[Unambiguous Name]])</f>
        <v>1</v>
      </c>
      <c r="C387" s="12" t="s">
        <v>1085</v>
      </c>
      <c r="D387" s="13" t="s">
        <v>1801</v>
      </c>
      <c r="E387" s="35">
        <f>COUNTIF(NodesData[Node ID],NodesData[[#This Row],[Node ID]])</f>
        <v>1</v>
      </c>
      <c r="G387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I387" s="12" t="s">
        <v>1086</v>
      </c>
      <c r="J387" s="19" t="str" cm="1">
        <f t="array" ref="J387">CreateGuidString()</f>
        <v>AE68F97C-7356-408F-A191-7B4ADA838B15</v>
      </c>
    </row>
    <row r="388" spans="1:10" x14ac:dyDescent="0.35">
      <c r="A3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8" s="35">
        <f>COUNTIF(NodesData[Unambiguous Name],NodesData[[#This Row],[Unambiguous Name]])</f>
        <v>1</v>
      </c>
      <c r="C388" s="12" t="s">
        <v>1087</v>
      </c>
      <c r="D388" s="13" t="s">
        <v>1802</v>
      </c>
      <c r="E388" s="35">
        <f>COUNTIF(NodesData[Node ID],NodesData[[#This Row],[Node ID]])</f>
        <v>1</v>
      </c>
      <c r="F388" s="12" t="s">
        <v>1270</v>
      </c>
      <c r="G388" s="12" t="str">
        <f>IF(NodesData[[#This Row],[Class Disambiguation]]="",NodesData[[#This Row],[Common Name]],NodesData[[#This Row],[Common Name]]&amp;" ("&amp;NodesData[[#This Row],[Class Disambiguation]]&amp;")")</f>
        <v>RP (Acronym)</v>
      </c>
      <c r="I388" s="12" t="s">
        <v>1088</v>
      </c>
      <c r="J388" s="19" t="str" cm="1">
        <f t="array" ref="J388">CreateGuidString()</f>
        <v>FA872D91-9BAE-4364-BE50-4851862E83CC</v>
      </c>
    </row>
    <row r="389" spans="1:10" x14ac:dyDescent="0.35">
      <c r="A3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9" s="35">
        <f>COUNTIF(NodesData[Unambiguous Name],NodesData[[#This Row],[Unambiguous Name]])</f>
        <v>1</v>
      </c>
      <c r="C389" s="12" t="s">
        <v>407</v>
      </c>
      <c r="D389" s="13" t="s">
        <v>1803</v>
      </c>
      <c r="E389" s="35">
        <f>COUNTIF(NodesData[Node ID],NodesData[[#This Row],[Node ID]])</f>
        <v>1</v>
      </c>
      <c r="G389" s="12" t="str">
        <f>IF(NodesData[[#This Row],[Class Disambiguation]]="",NodesData[[#This Row],[Common Name]],NodesData[[#This Row],[Common Name]]&amp;" ("&amp;NodesData[[#This Row],[Class Disambiguation]]&amp;")")</f>
        <v>SAM Database</v>
      </c>
      <c r="I389" s="12" t="s">
        <v>1089</v>
      </c>
      <c r="J389" s="19" t="str" cm="1">
        <f t="array" ref="J389">CreateGuidString()</f>
        <v>F60D55CC-1618-4C6F-A4E7-A9E0BE820738</v>
      </c>
    </row>
    <row r="390" spans="1:10" x14ac:dyDescent="0.35">
      <c r="A3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90" s="35">
        <f>COUNTIF(NodesData[Unambiguous Name],NodesData[[#This Row],[Unambiguous Name]])</f>
        <v>1</v>
      </c>
      <c r="C390" s="12" t="s">
        <v>408</v>
      </c>
      <c r="D390" s="13" t="s">
        <v>1804</v>
      </c>
      <c r="E390" s="35">
        <f>COUNTIF(NodesData[Node ID],NodesData[[#This Row],[Node ID]])</f>
        <v>1</v>
      </c>
      <c r="F390" s="12" t="s">
        <v>1270</v>
      </c>
      <c r="G390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I390" s="12" t="s">
        <v>1090</v>
      </c>
      <c r="J390" s="19" t="str" cm="1">
        <f t="array" ref="J390">CreateGuidString()</f>
        <v>B4002215-617C-49F6-9C36-DED38BA5AB84</v>
      </c>
    </row>
    <row r="391" spans="1:10" x14ac:dyDescent="0.35">
      <c r="A3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91" s="35">
        <f>COUNTIF(NodesData[Unambiguous Name],NodesData[[#This Row],[Unambiguous Name]])</f>
        <v>1</v>
      </c>
      <c r="C391" s="12" t="s">
        <v>1091</v>
      </c>
      <c r="D391" s="13" t="s">
        <v>1805</v>
      </c>
      <c r="E391" s="35">
        <f>COUNTIF(NodesData[Node ID],NodesData[[#This Row],[Node ID]])</f>
        <v>1</v>
      </c>
      <c r="F391" s="12" t="s">
        <v>1270</v>
      </c>
      <c r="G391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I391" s="12" t="s">
        <v>1092</v>
      </c>
      <c r="J391" s="19" t="str" cm="1">
        <f t="array" ref="J391">CreateGuidString()</f>
        <v>42E3D130-9A0F-47D0-A391-A264DC11B4C1</v>
      </c>
    </row>
    <row r="392" spans="1:10" x14ac:dyDescent="0.35">
      <c r="A3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92" s="35">
        <f>COUNTIF(NodesData[Unambiguous Name],NodesData[[#This Row],[Unambiguous Name]])</f>
        <v>1</v>
      </c>
      <c r="C392" s="12" t="s">
        <v>1093</v>
      </c>
      <c r="D392" s="13" t="s">
        <v>1806</v>
      </c>
      <c r="E392" s="35">
        <f>COUNTIF(NodesData[Node ID],NodesData[[#This Row],[Node ID]])</f>
        <v>1</v>
      </c>
      <c r="F392" s="12" t="s">
        <v>1270</v>
      </c>
      <c r="G392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I392" s="12" t="s">
        <v>1094</v>
      </c>
      <c r="J392" s="19" t="str" cm="1">
        <f t="array" ref="J392">CreateGuidString()</f>
        <v>EFDFA6BC-2308-4A8E-960E-8ED8A176AC56</v>
      </c>
    </row>
    <row r="393" spans="1:10" x14ac:dyDescent="0.35">
      <c r="A3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93" s="35">
        <f>COUNTIF(NodesData[Unambiguous Name],NodesData[[#This Row],[Unambiguous Name]])</f>
        <v>1</v>
      </c>
      <c r="C393" s="12" t="s">
        <v>1095</v>
      </c>
      <c r="D393" s="13" t="s">
        <v>1807</v>
      </c>
      <c r="E393" s="35">
        <f>COUNTIF(NodesData[Node ID],NodesData[[#This Row],[Node ID]])</f>
        <v>1</v>
      </c>
      <c r="F393" s="12" t="s">
        <v>1270</v>
      </c>
      <c r="G393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I393" s="12" t="s">
        <v>1096</v>
      </c>
      <c r="J393" s="19" t="str" cm="1">
        <f t="array" ref="J393">CreateGuidString()</f>
        <v>ED4AB177-58CF-46C4-9D54-6FDA9DD4D54C</v>
      </c>
    </row>
    <row r="394" spans="1:10" x14ac:dyDescent="0.35">
      <c r="A3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94" s="35">
        <f>COUNTIF(NodesData[Unambiguous Name],NodesData[[#This Row],[Unambiguous Name]])</f>
        <v>1</v>
      </c>
      <c r="C394" s="12" t="s">
        <v>1097</v>
      </c>
      <c r="D394" s="13" t="s">
        <v>1808</v>
      </c>
      <c r="E394" s="35">
        <f>COUNTIF(NodesData[Node ID],NodesData[[#This Row],[Node ID]])</f>
        <v>1</v>
      </c>
      <c r="F394" s="12" t="s">
        <v>1270</v>
      </c>
      <c r="G394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I394" s="12" t="s">
        <v>1098</v>
      </c>
      <c r="J394" s="19" t="str" cm="1">
        <f t="array" ref="J394">CreateGuidString()</f>
        <v>30212590-5A24-4613-B6A6-E8FF216BAB5D</v>
      </c>
    </row>
    <row r="395" spans="1:10" x14ac:dyDescent="0.35">
      <c r="A3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Scoping</v>
      </c>
      <c r="B395" s="35">
        <f>COUNTIF(NodesData[Unambiguous Name],NodesData[[#This Row],[Unambiguous Name]])</f>
        <v>1</v>
      </c>
      <c r="C395" s="12" t="s">
        <v>1099</v>
      </c>
      <c r="D395" s="13" t="s">
        <v>1809</v>
      </c>
      <c r="E395" s="35">
        <f>COUNTIF(NodesData[Node ID],NodesData[[#This Row],[Node ID]])</f>
        <v>1</v>
      </c>
      <c r="G395" s="12" t="str">
        <f>IF(NodesData[[#This Row],[Class Disambiguation]]="",NodesData[[#This Row],[Common Name]],NodesData[[#This Row],[Common Name]]&amp;" ("&amp;NodesData[[#This Row],[Class Disambiguation]]&amp;")")</f>
        <v>Scoping</v>
      </c>
      <c r="I395" s="12" t="s">
        <v>1100</v>
      </c>
      <c r="J395" s="19" t="str" cm="1">
        <f t="array" ref="J395">CreateGuidString()</f>
        <v>32DB4FA6-3674-4322-A3CE-7805FD16A253</v>
      </c>
    </row>
    <row r="396" spans="1:10" x14ac:dyDescent="0.35">
      <c r="A3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96" s="35">
        <f>COUNTIF(NodesData[Unambiguous Name],NodesData[[#This Row],[Unambiguous Name]])</f>
        <v>1</v>
      </c>
      <c r="C396" s="12" t="s">
        <v>1101</v>
      </c>
      <c r="D396" s="13" t="s">
        <v>1810</v>
      </c>
      <c r="E396" s="35">
        <f>COUNTIF(NodesData[Node ID],NodesData[[#This Row],[Node ID]])</f>
        <v>1</v>
      </c>
      <c r="F396" s="12" t="s">
        <v>1270</v>
      </c>
      <c r="G396" s="12" t="str">
        <f>IF(NodesData[[#This Row],[Class Disambiguation]]="",NodesData[[#This Row],[Common Name]],NodesData[[#This Row],[Common Name]]&amp;" ("&amp;NodesData[[#This Row],[Class Disambiguation]]&amp;")")</f>
        <v>SD (Acronym)</v>
      </c>
      <c r="I396" s="12" t="s">
        <v>1102</v>
      </c>
      <c r="J396" s="19" t="str" cm="1">
        <f t="array" ref="J396">CreateGuidString()</f>
        <v>7323F762-3C8F-4C2B-90ED-B0AF1A7A5771</v>
      </c>
    </row>
    <row r="397" spans="1:10" x14ac:dyDescent="0.35">
      <c r="A3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7" s="35">
        <f>COUNTIF(NodesData[Unambiguous Name],NodesData[[#This Row],[Unambiguous Name]])</f>
        <v>1</v>
      </c>
      <c r="C397" s="12" t="s">
        <v>1103</v>
      </c>
      <c r="D397" s="13" t="s">
        <v>1811</v>
      </c>
      <c r="E397" s="35">
        <f>COUNTIF(NodesData[Node ID],NodesData[[#This Row],[Node ID]])</f>
        <v>1</v>
      </c>
      <c r="F397" s="12" t="s">
        <v>1270</v>
      </c>
      <c r="G397" s="12" t="str">
        <f>IF(NodesData[[#This Row],[Class Disambiguation]]="",NodesData[[#This Row],[Common Name]],NodesData[[#This Row],[Common Name]]&amp;" ("&amp;NodesData[[#This Row],[Class Disambiguation]]&amp;")")</f>
        <v>SDP (Acronym)</v>
      </c>
      <c r="I397" s="12" t="s">
        <v>1104</v>
      </c>
      <c r="J397" s="19" t="str" cm="1">
        <f t="array" ref="J397">CreateGuidString()</f>
        <v>31A1C74D-1D22-4733-8016-B18404F7351C</v>
      </c>
    </row>
    <row r="398" spans="1:10" x14ac:dyDescent="0.35">
      <c r="A3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8" s="35">
        <f>COUNTIF(NodesData[Unambiguous Name],NodesData[[#This Row],[Unambiguous Name]])</f>
        <v>1</v>
      </c>
      <c r="C398" s="12" t="s">
        <v>1105</v>
      </c>
      <c r="D398" s="13" t="s">
        <v>1812</v>
      </c>
      <c r="E398" s="35">
        <f>COUNTIF(NodesData[Node ID],NodesData[[#This Row],[Node ID]])</f>
        <v>1</v>
      </c>
      <c r="G398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I398" s="12" t="s">
        <v>1106</v>
      </c>
      <c r="J398" s="19" t="str" cm="1">
        <f t="array" ref="J398">CreateGuidString()</f>
        <v>6E36A302-C5A9-465C-B0F3-51C884FDED9A</v>
      </c>
    </row>
    <row r="399" spans="1:10" x14ac:dyDescent="0.35">
      <c r="A3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9" s="35">
        <f>COUNTIF(NodesData[Unambiguous Name],NodesData[[#This Row],[Unambiguous Name]])</f>
        <v>1</v>
      </c>
      <c r="C399" s="12" t="s">
        <v>1107</v>
      </c>
      <c r="D399" s="13" t="s">
        <v>1813</v>
      </c>
      <c r="E399" s="35">
        <f>COUNTIF(NodesData[Node ID],NodesData[[#This Row],[Node ID]])</f>
        <v>1</v>
      </c>
      <c r="G399" s="12" t="str">
        <f>IF(NodesData[[#This Row],[Class Disambiguation]]="",NodesData[[#This Row],[Common Name]],NodesData[[#This Row],[Common Name]]&amp;" ("&amp;NodesData[[#This Row],[Class Disambiguation]]&amp;")")</f>
        <v>Secure System</v>
      </c>
      <c r="I399" s="12" t="s">
        <v>1108</v>
      </c>
      <c r="J399" s="19" t="str" cm="1">
        <f t="array" ref="J399">CreateGuidString()</f>
        <v>E8046E75-8153-4D75-B437-BA9FC18958BC</v>
      </c>
    </row>
    <row r="400" spans="1:10" x14ac:dyDescent="0.35">
      <c r="A4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</v>
      </c>
      <c r="B400" s="35">
        <f>COUNTIF(NodesData[Unambiguous Name],NodesData[[#This Row],[Unambiguous Name]])</f>
        <v>1</v>
      </c>
      <c r="C400" s="12" t="s">
        <v>1109</v>
      </c>
      <c r="D400" s="13" t="s">
        <v>1814</v>
      </c>
      <c r="E400" s="35">
        <f>COUNTIF(NodesData[Node ID],NodesData[[#This Row],[Node ID]])</f>
        <v>1</v>
      </c>
      <c r="G400" s="12" t="str">
        <f>IF(NodesData[[#This Row],[Class Disambiguation]]="",NodesData[[#This Row],[Common Name]],NodesData[[#This Row],[Common Name]]&amp;" ("&amp;NodesData[[#This Row],[Class Disambiguation]]&amp;")")</f>
        <v>Security</v>
      </c>
      <c r="I400" s="12" t="s">
        <v>1110</v>
      </c>
      <c r="J400" s="19" t="str" cm="1">
        <f t="array" ref="J400">CreateGuidString()</f>
        <v>E19D0A25-36B8-4823-ACD4-1635F6C6FE8A</v>
      </c>
    </row>
    <row r="401" spans="1:10" x14ac:dyDescent="0.35">
      <c r="A4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401" s="35">
        <f>COUNTIF(NodesData[Unambiguous Name],NodesData[[#This Row],[Unambiguous Name]])</f>
        <v>1</v>
      </c>
      <c r="C401" s="12" t="s">
        <v>1111</v>
      </c>
      <c r="D401" s="13" t="s">
        <v>1815</v>
      </c>
      <c r="E401" s="35">
        <f>COUNTIF(NodesData[Node ID],NodesData[[#This Row],[Node ID]])</f>
        <v>1</v>
      </c>
      <c r="G401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I401" s="12" t="s">
        <v>1112</v>
      </c>
      <c r="J401" s="19" t="str" cm="1">
        <f t="array" ref="J401">CreateGuidString()</f>
        <v>E6211088-AAEC-40F6-B7AA-74B663A08D41</v>
      </c>
    </row>
    <row r="402" spans="1:10" x14ac:dyDescent="0.35">
      <c r="A4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402" s="35">
        <f>COUNTIF(NodesData[Unambiguous Name],NodesData[[#This Row],[Unambiguous Name]])</f>
        <v>1</v>
      </c>
      <c r="C402" s="12" t="s">
        <v>421</v>
      </c>
      <c r="D402" s="13" t="s">
        <v>1816</v>
      </c>
      <c r="E402" s="35">
        <f>COUNTIF(NodesData[Node ID],NodesData[[#This Row],[Node ID]])</f>
        <v>1</v>
      </c>
      <c r="G402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I402" s="12" t="s">
        <v>1113</v>
      </c>
      <c r="J402" s="19" t="str" cm="1">
        <f t="array" ref="J402">CreateGuidString()</f>
        <v>5886C358-60E2-4854-B1BD-A0975F731731</v>
      </c>
    </row>
    <row r="403" spans="1:10" x14ac:dyDescent="0.35">
      <c r="A4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403" s="35">
        <f>COUNTIF(NodesData[Unambiguous Name],NodesData[[#This Row],[Unambiguous Name]])</f>
        <v>1</v>
      </c>
      <c r="C403" s="12" t="s">
        <v>1114</v>
      </c>
      <c r="D403" s="13" t="s">
        <v>1817</v>
      </c>
      <c r="E403" s="35">
        <f>COUNTIF(NodesData[Node ID],NodesData[[#This Row],[Node ID]])</f>
        <v>1</v>
      </c>
      <c r="G403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I403" s="12" t="s">
        <v>1115</v>
      </c>
      <c r="J403" s="19" t="str" cm="1">
        <f t="array" ref="J403">CreateGuidString()</f>
        <v>39C23E76-CA2C-4AC2-89A2-DB880E90AA25</v>
      </c>
    </row>
    <row r="404" spans="1:10" x14ac:dyDescent="0.35">
      <c r="A4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404" s="35">
        <f>COUNTIF(NodesData[Unambiguous Name],NodesData[[#This Row],[Unambiguous Name]])</f>
        <v>1</v>
      </c>
      <c r="C404" s="12" t="s">
        <v>1116</v>
      </c>
      <c r="D404" s="13" t="s">
        <v>1818</v>
      </c>
      <c r="E404" s="35">
        <f>COUNTIF(NodesData[Node ID],NodesData[[#This Row],[Node ID]])</f>
        <v>1</v>
      </c>
      <c r="G404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I404" s="12" t="s">
        <v>1117</v>
      </c>
      <c r="J404" s="19" t="str" cm="1">
        <f t="array" ref="J404">CreateGuidString()</f>
        <v>55AB2FE4-167E-4F27-AFA2-8A802A3DD022</v>
      </c>
    </row>
    <row r="405" spans="1:10" x14ac:dyDescent="0.35">
      <c r="A4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405" s="35">
        <f>COUNTIF(NodesData[Unambiguous Name],NodesData[[#This Row],[Unambiguous Name]])</f>
        <v>1</v>
      </c>
      <c r="C405" s="12" t="s">
        <v>1118</v>
      </c>
      <c r="D405" s="13" t="s">
        <v>1819</v>
      </c>
      <c r="E405" s="35">
        <f>COUNTIF(NodesData[Node ID],NodesData[[#This Row],[Node ID]])</f>
        <v>1</v>
      </c>
      <c r="G405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I405" s="12" t="s">
        <v>1119</v>
      </c>
      <c r="J405" s="19" t="str" cm="1">
        <f t="array" ref="J405">CreateGuidString()</f>
        <v>611EAAD5-BDE0-4AF0-90BA-458956B09EA0</v>
      </c>
    </row>
    <row r="406" spans="1:10" x14ac:dyDescent="0.35">
      <c r="A4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406" s="35">
        <f>COUNTIF(NodesData[Unambiguous Name],NodesData[[#This Row],[Unambiguous Name]])</f>
        <v>1</v>
      </c>
      <c r="C406" s="12" t="s">
        <v>1329</v>
      </c>
      <c r="D406" s="13" t="s">
        <v>1820</v>
      </c>
      <c r="E406" s="35">
        <f>COUNTIF(NodesData[Node ID],NodesData[[#This Row],[Node ID]])</f>
        <v>1</v>
      </c>
      <c r="G406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J406" s="19" t="str" cm="1">
        <f t="array" ref="J406">CreateGuidString()</f>
        <v>36DDC36A-BC61-49F0-9540-50E0848AF38B</v>
      </c>
    </row>
    <row r="407" spans="1:10" x14ac:dyDescent="0.35">
      <c r="A4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7" s="35">
        <f>COUNTIF(NodesData[Unambiguous Name],NodesData[[#This Row],[Unambiguous Name]])</f>
        <v>1</v>
      </c>
      <c r="C407" s="12" t="s">
        <v>1120</v>
      </c>
      <c r="D407" s="13" t="s">
        <v>1821</v>
      </c>
      <c r="E407" s="35">
        <f>COUNTIF(NodesData[Node ID],NodesData[[#This Row],[Node ID]])</f>
        <v>1</v>
      </c>
      <c r="G407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I407" s="12" t="s">
        <v>1121</v>
      </c>
      <c r="J407" s="19" t="str" cm="1">
        <f t="array" ref="J407">CreateGuidString()</f>
        <v>12B8EC3D-5C4A-4C33-B9E5-AE7BD2AD6040</v>
      </c>
    </row>
    <row r="408" spans="1:10" x14ac:dyDescent="0.35">
      <c r="A4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8" s="35">
        <f>COUNTIF(NodesData[Unambiguous Name],NodesData[[#This Row],[Unambiguous Name]])</f>
        <v>1</v>
      </c>
      <c r="C408" s="12" t="s">
        <v>426</v>
      </c>
      <c r="D408" s="13" t="s">
        <v>1822</v>
      </c>
      <c r="E408" s="35">
        <f>COUNTIF(NodesData[Node ID],NodesData[[#This Row],[Node ID]])</f>
        <v>1</v>
      </c>
      <c r="G408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I408" s="12" t="s">
        <v>1122</v>
      </c>
      <c r="J408" s="19" t="str" cm="1">
        <f t="array" ref="J408">CreateGuidString()</f>
        <v>AABC9ACB-A498-4463-AFD8-0840AE4577A6</v>
      </c>
    </row>
    <row r="409" spans="1:10" x14ac:dyDescent="0.35">
      <c r="A4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9" s="35">
        <f>COUNTIF(NodesData[Unambiguous Name],NodesData[[#This Row],[Unambiguous Name]])</f>
        <v>1</v>
      </c>
      <c r="C409" s="12" t="s">
        <v>1123</v>
      </c>
      <c r="D409" s="13" t="s">
        <v>1823</v>
      </c>
      <c r="E409" s="35">
        <f>COUNTIF(NodesData[Node ID],NodesData[[#This Row],[Node ID]])</f>
        <v>1</v>
      </c>
      <c r="G409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I409" s="12" t="s">
        <v>1124</v>
      </c>
      <c r="J409" s="19" t="str" cm="1">
        <f t="array" ref="J409">CreateGuidString()</f>
        <v>15C51F20-9CF3-4D61-8D91-3892C7BDCA42</v>
      </c>
    </row>
    <row r="410" spans="1:10" x14ac:dyDescent="0.35">
      <c r="A4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10" s="35">
        <f>COUNTIF(NodesData[Unambiguous Name],NodesData[[#This Row],[Unambiguous Name]])</f>
        <v>1</v>
      </c>
      <c r="C410" s="12" t="s">
        <v>1125</v>
      </c>
      <c r="D410" s="13" t="s">
        <v>1824</v>
      </c>
      <c r="E410" s="35">
        <f>COUNTIF(NodesData[Node ID],NodesData[[#This Row],[Node ID]])</f>
        <v>1</v>
      </c>
      <c r="G410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I410" s="12" t="s">
        <v>1126</v>
      </c>
      <c r="J410" s="19" t="str" cm="1">
        <f t="array" ref="J410">CreateGuidString()</f>
        <v>B3007BDF-7C13-4BDD-A72C-0F6F0E5DC41A</v>
      </c>
    </row>
    <row r="411" spans="1:10" x14ac:dyDescent="0.35">
      <c r="A4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11" s="35">
        <f>COUNTIF(NodesData[Unambiguous Name],NodesData[[#This Row],[Unambiguous Name]])</f>
        <v>1</v>
      </c>
      <c r="C411" s="12" t="s">
        <v>429</v>
      </c>
      <c r="D411" s="13" t="s">
        <v>1825</v>
      </c>
      <c r="E411" s="35">
        <f>COUNTIF(NodesData[Node ID],NodesData[[#This Row],[Node ID]])</f>
        <v>1</v>
      </c>
      <c r="G411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I411" s="12" t="s">
        <v>1127</v>
      </c>
      <c r="J411" s="19" t="str" cm="1">
        <f t="array" ref="J411">CreateGuidString()</f>
        <v>821917CB-8DBA-4340-AB72-46DD7AF0D88A</v>
      </c>
    </row>
    <row r="412" spans="1:10" x14ac:dyDescent="0.35">
      <c r="A4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</v>
      </c>
      <c r="B412" s="35">
        <f>COUNTIF(NodesData[Unambiguous Name],NodesData[[#This Row],[Unambiguous Name]])</f>
        <v>1</v>
      </c>
      <c r="C412" s="12" t="s">
        <v>1128</v>
      </c>
      <c r="D412" s="13" t="s">
        <v>1826</v>
      </c>
      <c r="E412" s="35">
        <f>COUNTIF(NodesData[Node ID],NodesData[[#This Row],[Node ID]])</f>
        <v>1</v>
      </c>
      <c r="G412" s="12" t="str">
        <f>IF(NodesData[[#This Row],[Class Disambiguation]]="",NodesData[[#This Row],[Common Name]],NodesData[[#This Row],[Common Name]]&amp;" ("&amp;NodesData[[#This Row],[Class Disambiguation]]&amp;")")</f>
        <v>Session</v>
      </c>
      <c r="I412" s="12" t="s">
        <v>1129</v>
      </c>
      <c r="J412" s="19" t="str" cm="1">
        <f t="array" ref="J412">CreateGuidString()</f>
        <v>FAA15321-718B-481C-865A-C24C1578FF4F</v>
      </c>
    </row>
    <row r="413" spans="1:10" x14ac:dyDescent="0.35">
      <c r="A4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13" s="35">
        <f>COUNTIF(NodesData[Unambiguous Name],NodesData[[#This Row],[Unambiguous Name]])</f>
        <v>1</v>
      </c>
      <c r="C413" s="12" t="s">
        <v>1331</v>
      </c>
      <c r="D413" s="13" t="s">
        <v>1827</v>
      </c>
      <c r="E413" s="35">
        <f>COUNTIF(NodesData[Node ID],NodesData[[#This Row],[Node ID]])</f>
        <v>1</v>
      </c>
      <c r="G413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J413" s="19" t="str" cm="1">
        <f t="array" ref="J413">CreateGuidString()</f>
        <v>E29782BD-3378-4798-9FB5-A3FDAB43F27D</v>
      </c>
    </row>
    <row r="414" spans="1:10" x14ac:dyDescent="0.35">
      <c r="A4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14" s="35">
        <f>COUNTIF(NodesData[Unambiguous Name],NodesData[[#This Row],[Unambiguous Name]])</f>
        <v>1</v>
      </c>
      <c r="C414" s="12" t="s">
        <v>1130</v>
      </c>
      <c r="D414" s="13" t="s">
        <v>1828</v>
      </c>
      <c r="E414" s="35">
        <f>COUNTIF(NodesData[Node ID],NodesData[[#This Row],[Node ID]])</f>
        <v>1</v>
      </c>
      <c r="G414" s="12" t="str">
        <f>IF(NodesData[[#This Row],[Class Disambiguation]]="",NodesData[[#This Row],[Common Name]],NodesData[[#This Row],[Common Name]]&amp;" ("&amp;NodesData[[#This Row],[Class Disambiguation]]&amp;")")</f>
        <v>Single Login</v>
      </c>
      <c r="I414" s="12" t="s">
        <v>1131</v>
      </c>
      <c r="J414" s="19" t="str" cm="1">
        <f t="array" ref="J414">CreateGuidString()</f>
        <v>BCFC0B71-CD8D-41F7-9779-D4CDF0D039D5</v>
      </c>
    </row>
    <row r="415" spans="1:10" x14ac:dyDescent="0.35">
      <c r="A4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15" s="35">
        <f>COUNTIF(NodesData[Unambiguous Name],NodesData[[#This Row],[Unambiguous Name]])</f>
        <v>1</v>
      </c>
      <c r="C415" s="12" t="s">
        <v>1132</v>
      </c>
      <c r="D415" s="13" t="s">
        <v>1829</v>
      </c>
      <c r="E415" s="35">
        <f>COUNTIF(NodesData[Node ID],NodesData[[#This Row],[Node ID]])</f>
        <v>1</v>
      </c>
      <c r="G415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I415" s="12" t="s">
        <v>1133</v>
      </c>
      <c r="J415" s="19" t="str" cm="1">
        <f t="array" ref="J415">CreateGuidString()</f>
        <v>22C3A304-EB26-4B54-82CD-598B51AE5FE9</v>
      </c>
    </row>
    <row r="416" spans="1:10" x14ac:dyDescent="0.35">
      <c r="A4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SMS OTP</v>
      </c>
      <c r="B416" s="35">
        <f>COUNTIF(NodesData[Unambiguous Name],NodesData[[#This Row],[Unambiguous Name]])</f>
        <v>1</v>
      </c>
      <c r="C416" s="12" t="s">
        <v>1321</v>
      </c>
      <c r="D416" s="13" t="s">
        <v>1830</v>
      </c>
      <c r="E416" s="35">
        <f>COUNTIF(NodesData[Node ID],NodesData[[#This Row],[Node ID]])</f>
        <v>1</v>
      </c>
      <c r="G416" s="12" t="str">
        <f>IF(NodesData[[#This Row],[Class Disambiguation]]="",NodesData[[#This Row],[Common Name]],NodesData[[#This Row],[Common Name]]&amp;" ("&amp;NodesData[[#This Row],[Class Disambiguation]]&amp;")")</f>
        <v>SMS OTP</v>
      </c>
      <c r="J416" s="19" t="str" cm="1">
        <f t="array" ref="J416">CreateGuidString()</f>
        <v>276ED6A8-5721-4F4E-B3DC-B2E0FAF86F6E</v>
      </c>
    </row>
    <row r="417" spans="1:10" x14ac:dyDescent="0.35">
      <c r="A4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7" s="35">
        <f>COUNTIF(NodesData[Unambiguous Name],NodesData[[#This Row],[Unambiguous Name]])</f>
        <v>1</v>
      </c>
      <c r="C417" s="12" t="s">
        <v>433</v>
      </c>
      <c r="D417" s="13" t="s">
        <v>1831</v>
      </c>
      <c r="E417" s="35">
        <f>COUNTIF(NodesData[Node ID],NodesData[[#This Row],[Node ID]])</f>
        <v>1</v>
      </c>
      <c r="G417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I417" s="12" t="s">
        <v>1134</v>
      </c>
      <c r="J417" s="19" t="str" cm="1">
        <f t="array" ref="J417">CreateGuidString()</f>
        <v>5E4E9B91-DA2F-4A2A-85BE-4D5536C0DB35</v>
      </c>
    </row>
    <row r="418" spans="1:10" x14ac:dyDescent="0.35">
      <c r="A4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8" s="35">
        <f>COUNTIF(NodesData[Unambiguous Name],NodesData[[#This Row],[Unambiguous Name]])</f>
        <v>1</v>
      </c>
      <c r="C418" s="12" t="s">
        <v>434</v>
      </c>
      <c r="D418" s="13" t="s">
        <v>1832</v>
      </c>
      <c r="E418" s="35">
        <f>COUNTIF(NodesData[Node ID],NodesData[[#This Row],[Node ID]])</f>
        <v>1</v>
      </c>
      <c r="G418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I418" s="12" t="s">
        <v>1135</v>
      </c>
      <c r="J418" s="19" t="str" cm="1">
        <f t="array" ref="J418">CreateGuidString()</f>
        <v>11DDEAA1-5C6E-4DFF-8E1F-15EC99873047</v>
      </c>
    </row>
    <row r="419" spans="1:10" x14ac:dyDescent="0.35">
      <c r="A4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9" s="35">
        <f>COUNTIF(NodesData[Unambiguous Name],NodesData[[#This Row],[Unambiguous Name]])</f>
        <v>1</v>
      </c>
      <c r="C419" s="12" t="s">
        <v>1136</v>
      </c>
      <c r="D419" s="13" t="s">
        <v>1833</v>
      </c>
      <c r="E419" s="35">
        <f>COUNTIF(NodesData[Node ID],NodesData[[#This Row],[Node ID]])</f>
        <v>1</v>
      </c>
      <c r="F419" s="12" t="s">
        <v>1270</v>
      </c>
      <c r="G419" s="12" t="str">
        <f>IF(NodesData[[#This Row],[Class Disambiguation]]="",NodesData[[#This Row],[Common Name]],NodesData[[#This Row],[Common Name]]&amp;" ("&amp;NodesData[[#This Row],[Class Disambiguation]]&amp;")")</f>
        <v>SoD (Acronym)</v>
      </c>
      <c r="I419" s="12" t="s">
        <v>1137</v>
      </c>
      <c r="J419" s="19" t="str" cm="1">
        <f t="array" ref="J419">CreateGuidString()</f>
        <v>4E6D8CDC-421B-414D-8967-4054AB03ABE6</v>
      </c>
    </row>
    <row r="420" spans="1:10" x14ac:dyDescent="0.35">
      <c r="A4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20" s="35">
        <f>COUNTIF(NodesData[Unambiguous Name],NodesData[[#This Row],[Unambiguous Name]])</f>
        <v>1</v>
      </c>
      <c r="C420" s="12" t="s">
        <v>1320</v>
      </c>
      <c r="D420" s="13" t="s">
        <v>1834</v>
      </c>
      <c r="E420" s="35">
        <f>COUNTIF(NodesData[Node ID],NodesData[[#This Row],[Node ID]])</f>
        <v>1</v>
      </c>
      <c r="G420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J420" s="19" t="str" cm="1">
        <f t="array" ref="J420">CreateGuidString()</f>
        <v>E88E8097-9FE9-40E1-844F-16321B6730E3</v>
      </c>
    </row>
    <row r="421" spans="1:10" x14ac:dyDescent="0.35">
      <c r="A4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21" s="35">
        <f>COUNTIF(NodesData[Unambiguous Name],NodesData[[#This Row],[Unambiguous Name]])</f>
        <v>1</v>
      </c>
      <c r="C421" s="12" t="s">
        <v>1138</v>
      </c>
      <c r="D421" s="13" t="s">
        <v>1835</v>
      </c>
      <c r="E421" s="35">
        <f>COUNTIF(NodesData[Node ID],NodesData[[#This Row],[Node ID]])</f>
        <v>1</v>
      </c>
      <c r="G421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I421" s="12" t="s">
        <v>1139</v>
      </c>
      <c r="J421" s="19" t="str" cm="1">
        <f t="array" ref="J421">CreateGuidString()</f>
        <v>2D34DB3E-C9DF-45C5-96DE-A7899A5BE49E</v>
      </c>
    </row>
    <row r="422" spans="1:10" x14ac:dyDescent="0.35">
      <c r="A4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22" s="35">
        <f>COUNTIF(NodesData[Unambiguous Name],NodesData[[#This Row],[Unambiguous Name]])</f>
        <v>1</v>
      </c>
      <c r="C422" s="12" t="s">
        <v>1140</v>
      </c>
      <c r="D422" s="13" t="s">
        <v>1836</v>
      </c>
      <c r="E422" s="35">
        <f>COUNTIF(NodesData[Node ID],NodesData[[#This Row],[Node ID]])</f>
        <v>1</v>
      </c>
      <c r="F422" s="12" t="s">
        <v>1270</v>
      </c>
      <c r="G422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I422" s="12" t="s">
        <v>1141</v>
      </c>
      <c r="J422" s="19" t="str" cm="1">
        <f t="array" ref="J422">CreateGuidString()</f>
        <v>D80F82D1-25AF-4C27-B60C-493436AFD1BE</v>
      </c>
    </row>
    <row r="423" spans="1:10" x14ac:dyDescent="0.35">
      <c r="A4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23" s="35">
        <f>COUNTIF(NodesData[Unambiguous Name],NodesData[[#This Row],[Unambiguous Name]])</f>
        <v>1</v>
      </c>
      <c r="C423" s="12" t="s">
        <v>1142</v>
      </c>
      <c r="D423" s="13" t="s">
        <v>1837</v>
      </c>
      <c r="E423" s="35">
        <f>COUNTIF(NodesData[Node ID],NodesData[[#This Row],[Node ID]])</f>
        <v>1</v>
      </c>
      <c r="F423" s="12" t="s">
        <v>1270</v>
      </c>
      <c r="G423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I423" s="12" t="s">
        <v>1143</v>
      </c>
      <c r="J423" s="19" t="str" cm="1">
        <f t="array" ref="J423">CreateGuidString()</f>
        <v>A488F327-09AE-4A35-BC7D-21CE582C854C</v>
      </c>
    </row>
    <row r="424" spans="1:10" x14ac:dyDescent="0.35">
      <c r="A4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24" s="35">
        <f>COUNTIF(NodesData[Unambiguous Name],NodesData[[#This Row],[Unambiguous Name]])</f>
        <v>1</v>
      </c>
      <c r="C424" s="12" t="s">
        <v>1144</v>
      </c>
      <c r="D424" s="13" t="s">
        <v>1838</v>
      </c>
      <c r="E424" s="35">
        <f>COUNTIF(NodesData[Node ID],NodesData[[#This Row],[Node ID]])</f>
        <v>1</v>
      </c>
      <c r="F424" s="12" t="s">
        <v>1270</v>
      </c>
      <c r="G424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I424" s="12" t="s">
        <v>1145</v>
      </c>
      <c r="J424" s="19" t="str" cm="1">
        <f t="array" ref="J424">CreateGuidString()</f>
        <v>4B636018-2769-4304-8D07-A85BD13E4660</v>
      </c>
    </row>
    <row r="425" spans="1:10" x14ac:dyDescent="0.35">
      <c r="A4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25" s="35">
        <f>COUNTIF(NodesData[Unambiguous Name],NodesData[[#This Row],[Unambiguous Name]])</f>
        <v>1</v>
      </c>
      <c r="C425" s="12" t="s">
        <v>440</v>
      </c>
      <c r="D425" s="13" t="s">
        <v>1839</v>
      </c>
      <c r="E425" s="35">
        <f>COUNTIF(NodesData[Node ID],NodesData[[#This Row],[Node ID]])</f>
        <v>1</v>
      </c>
      <c r="F425" s="12" t="s">
        <v>1270</v>
      </c>
      <c r="G425" s="12" t="str">
        <f>IF(NodesData[[#This Row],[Class Disambiguation]]="",NodesData[[#This Row],[Common Name]],NodesData[[#This Row],[Common Name]]&amp;" ("&amp;NodesData[[#This Row],[Class Disambiguation]]&amp;")")</f>
        <v>SSI (Acronym)</v>
      </c>
      <c r="I425" s="12" t="s">
        <v>1146</v>
      </c>
      <c r="J425" s="19" t="str" cm="1">
        <f t="array" ref="J425">CreateGuidString()</f>
        <v>92E8E3D5-7CFE-4362-B812-613A8E27B810</v>
      </c>
    </row>
    <row r="426" spans="1:10" x14ac:dyDescent="0.35">
      <c r="A4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</v>
      </c>
      <c r="B426" s="35">
        <f>COUNTIF(NodesData[Unambiguous Name],NodesData[[#This Row],[Unambiguous Name]])</f>
        <v>1</v>
      </c>
      <c r="C426" s="12" t="s">
        <v>1147</v>
      </c>
      <c r="D426" s="13" t="s">
        <v>1840</v>
      </c>
      <c r="E426" s="35">
        <f>COUNTIF(NodesData[Node ID],NodesData[[#This Row],[Node ID]])</f>
        <v>1</v>
      </c>
      <c r="G426" s="12" t="str">
        <f>IF(NodesData[[#This Row],[Class Disambiguation]]="",NodesData[[#This Row],[Common Name]],NodesData[[#This Row],[Common Name]]&amp;" ("&amp;NodesData[[#This Row],[Class Disambiguation]]&amp;")")</f>
        <v>SSO</v>
      </c>
      <c r="J426" s="19" t="str" cm="1">
        <f t="array" ref="J426">CreateGuidString()</f>
        <v>708E03AF-D9D3-4DDA-B710-2F805A9AF281</v>
      </c>
    </row>
    <row r="427" spans="1:10" x14ac:dyDescent="0.35">
      <c r="A4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7" s="35">
        <f>COUNTIF(NodesData[Unambiguous Name],NodesData[[#This Row],[Unambiguous Name]])</f>
        <v>1</v>
      </c>
      <c r="C427" s="12" t="s">
        <v>1147</v>
      </c>
      <c r="D427" s="13" t="s">
        <v>1841</v>
      </c>
      <c r="E427" s="35">
        <f>COUNTIF(NodesData[Node ID],NodesData[[#This Row],[Node ID]])</f>
        <v>1</v>
      </c>
      <c r="F427" s="12" t="s">
        <v>1270</v>
      </c>
      <c r="G427" s="12" t="str">
        <f>IF(NodesData[[#This Row],[Class Disambiguation]]="",NodesData[[#This Row],[Common Name]],NodesData[[#This Row],[Common Name]]&amp;" ("&amp;NodesData[[#This Row],[Class Disambiguation]]&amp;")")</f>
        <v>SSO (Acronym)</v>
      </c>
      <c r="I427" s="12" t="s">
        <v>1148</v>
      </c>
      <c r="J427" s="19" t="str" cm="1">
        <f t="array" ref="J427">CreateGuidString()</f>
        <v>A54F072B-825D-44A1-A798-19074B1CFC7D</v>
      </c>
    </row>
    <row r="428" spans="1:10" x14ac:dyDescent="0.35">
      <c r="A4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8" s="35">
        <f>COUNTIF(NodesData[Unambiguous Name],NodesData[[#This Row],[Unambiguous Name]])</f>
        <v>1</v>
      </c>
      <c r="C428" s="12" t="s">
        <v>1149</v>
      </c>
      <c r="D428" s="13" t="s">
        <v>1842</v>
      </c>
      <c r="E428" s="35">
        <f>COUNTIF(NodesData[Node ID],NodesData[[#This Row],[Node ID]])</f>
        <v>1</v>
      </c>
      <c r="G428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I428" s="12" t="s">
        <v>1150</v>
      </c>
      <c r="J428" s="19" t="str" cm="1">
        <f t="array" ref="J428">CreateGuidString()</f>
        <v>84D773C3-EA6C-4399-8C85-342C9954BF1D</v>
      </c>
    </row>
    <row r="429" spans="1:10" x14ac:dyDescent="0.35">
      <c r="A4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9" s="35">
        <f>COUNTIF(NodesData[Unambiguous Name],NodesData[[#This Row],[Unambiguous Name]])</f>
        <v>1</v>
      </c>
      <c r="C429" s="12" t="s">
        <v>1151</v>
      </c>
      <c r="D429" s="13" t="s">
        <v>1843</v>
      </c>
      <c r="E429" s="35">
        <f>COUNTIF(NodesData[Node ID],NodesData[[#This Row],[Node ID]])</f>
        <v>1</v>
      </c>
      <c r="G429" s="12" t="str">
        <f>IF(NodesData[[#This Row],[Class Disambiguation]]="",NodesData[[#This Row],[Common Name]],NodesData[[#This Row],[Common Name]]&amp;" ("&amp;NodesData[[#This Row],[Class Disambiguation]]&amp;")")</f>
        <v>Stakeholder</v>
      </c>
      <c r="I429" s="12" t="s">
        <v>1152</v>
      </c>
      <c r="J429" s="19" t="str" cm="1">
        <f t="array" ref="J429">CreateGuidString()</f>
        <v>01639AF9-D8BF-4AB7-A89E-BF7557F2A3BB</v>
      </c>
    </row>
    <row r="430" spans="1:10" x14ac:dyDescent="0.35">
      <c r="A4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30" s="35">
        <f>COUNTIF(NodesData[Unambiguous Name],NodesData[[#This Row],[Unambiguous Name]])</f>
        <v>1</v>
      </c>
      <c r="C430" s="12" t="s">
        <v>444</v>
      </c>
      <c r="D430" s="13" t="s">
        <v>1844</v>
      </c>
      <c r="E430" s="35">
        <f>COUNTIF(NodesData[Node ID],NodesData[[#This Row],[Node ID]])</f>
        <v>1</v>
      </c>
      <c r="G430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I430" s="12" t="s">
        <v>1153</v>
      </c>
      <c r="J430" s="19" t="str" cm="1">
        <f t="array" ref="J430">CreateGuidString()</f>
        <v>B1996F9D-510E-4429-B5CC-D5B9D889AE53</v>
      </c>
    </row>
    <row r="431" spans="1:10" x14ac:dyDescent="0.35">
      <c r="A431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Stolen Identity</v>
      </c>
      <c r="B431" s="43">
        <f>COUNTIF(NodesData[Unambiguous Name],NodesData[[#This Row],[Unambiguous Name]])</f>
        <v>1</v>
      </c>
      <c r="C431" s="12" t="s">
        <v>1991</v>
      </c>
      <c r="D431" s="13" t="s">
        <v>2001</v>
      </c>
      <c r="E431" s="43">
        <f>COUNTIF(NodesData[Node ID],NodesData[[#This Row],[Node ID]])</f>
        <v>1</v>
      </c>
      <c r="G431" s="18" t="str">
        <f>IF(NodesData[[#This Row],[Class Disambiguation]]="",NodesData[[#This Row],[Common Name]],NodesData[[#This Row],[Common Name]]&amp;" ("&amp;NodesData[[#This Row],[Class Disambiguation]]&amp;")")</f>
        <v>Stolen Identity</v>
      </c>
      <c r="J431" s="20" t="str" cm="1">
        <f t="array" ref="J431">CreateGuidString()</f>
        <v>7256DFFB-F727-40B1-B8CB-3E8ED7B93E61</v>
      </c>
    </row>
    <row r="432" spans="1:10" x14ac:dyDescent="0.35">
      <c r="A4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32" s="35">
        <f>COUNTIF(NodesData[Unambiguous Name],NodesData[[#This Row],[Unambiguous Name]])</f>
        <v>1</v>
      </c>
      <c r="C432" s="12" t="s">
        <v>1154</v>
      </c>
      <c r="D432" s="13" t="s">
        <v>1845</v>
      </c>
      <c r="E432" s="35">
        <f>COUNTIF(NodesData[Node ID],NodesData[[#This Row],[Node ID]])</f>
        <v>1</v>
      </c>
      <c r="G432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I432" s="12" t="s">
        <v>1155</v>
      </c>
      <c r="J432" s="19" t="str" cm="1">
        <f t="array" ref="J432">CreateGuidString()</f>
        <v>DE8F6D89-1795-4878-8EFB-F03ACE86006F</v>
      </c>
    </row>
    <row r="433" spans="1:10" x14ac:dyDescent="0.35">
      <c r="A4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33" s="35">
        <f>COUNTIF(NodesData[Unambiguous Name],NodesData[[#This Row],[Unambiguous Name]])</f>
        <v>1</v>
      </c>
      <c r="C433" s="12" t="s">
        <v>1156</v>
      </c>
      <c r="D433" s="13" t="s">
        <v>1846</v>
      </c>
      <c r="E433" s="35">
        <f>COUNTIF(NodesData[Node ID],NodesData[[#This Row],[Node ID]])</f>
        <v>1</v>
      </c>
      <c r="G433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I433" s="12" t="s">
        <v>1157</v>
      </c>
      <c r="J433" s="19" t="str" cm="1">
        <f t="array" ref="J433">CreateGuidString()</f>
        <v>15AF8084-167B-433A-8B99-9D1839C35C15</v>
      </c>
    </row>
    <row r="434" spans="1:10" x14ac:dyDescent="0.35">
      <c r="A4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34" s="35">
        <f>COUNTIF(NodesData[Unambiguous Name],NodesData[[#This Row],[Unambiguous Name]])</f>
        <v>1</v>
      </c>
      <c r="C434" s="12" t="s">
        <v>1158</v>
      </c>
      <c r="D434" s="13" t="s">
        <v>1847</v>
      </c>
      <c r="E434" s="35">
        <f>COUNTIF(NodesData[Node ID],NodesData[[#This Row],[Node ID]])</f>
        <v>1</v>
      </c>
      <c r="G434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I434" s="12" t="s">
        <v>1159</v>
      </c>
      <c r="J434" s="19" t="str" cm="1">
        <f t="array" ref="J434">CreateGuidString()</f>
        <v>EE745B9F-B0E9-41B0-B0B4-C026771CA571</v>
      </c>
    </row>
    <row r="435" spans="1:10" x14ac:dyDescent="0.35">
      <c r="A4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35" s="35">
        <f>COUNTIF(NodesData[Unambiguous Name],NodesData[[#This Row],[Unambiguous Name]])</f>
        <v>1</v>
      </c>
      <c r="C435" s="12" t="s">
        <v>1160</v>
      </c>
      <c r="D435" s="13" t="s">
        <v>1848</v>
      </c>
      <c r="E435" s="35">
        <f>COUNTIF(NodesData[Node ID],NodesData[[#This Row],[Node ID]])</f>
        <v>1</v>
      </c>
      <c r="G435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I435" s="12" t="s">
        <v>1161</v>
      </c>
      <c r="J435" s="19" t="str" cm="1">
        <f t="array" ref="J435">CreateGuidString()</f>
        <v>ADA0FAF8-602F-44F2-A044-B72DB44E2BD2</v>
      </c>
    </row>
    <row r="436" spans="1:10" x14ac:dyDescent="0.35">
      <c r="A4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</v>
      </c>
      <c r="B436" s="35">
        <f>COUNTIF(NodesData[Unambiguous Name],NodesData[[#This Row],[Unambiguous Name]])</f>
        <v>1</v>
      </c>
      <c r="C436" s="12" t="s">
        <v>1162</v>
      </c>
      <c r="D436" s="13" t="s">
        <v>1849</v>
      </c>
      <c r="E436" s="35">
        <f>COUNTIF(NodesData[Node ID],NodesData[[#This Row],[Node ID]])</f>
        <v>1</v>
      </c>
      <c r="G436" s="12" t="str">
        <f>IF(NodesData[[#This Row],[Class Disambiguation]]="",NodesData[[#This Row],[Common Name]],NodesData[[#This Row],[Common Name]]&amp;" ("&amp;NodesData[[#This Row],[Class Disambiguation]]&amp;")")</f>
        <v>Subject</v>
      </c>
      <c r="I436" s="12" t="s">
        <v>1163</v>
      </c>
      <c r="J436" s="19" t="str" cm="1">
        <f t="array" ref="J436">CreateGuidString()</f>
        <v>02F5DEFA-D1B8-480C-B3B3-A86390289E1E</v>
      </c>
    </row>
    <row r="437" spans="1:10" x14ac:dyDescent="0.35">
      <c r="A4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7" s="35">
        <f>COUNTIF(NodesData[Unambiguous Name],NodesData[[#This Row],[Unambiguous Name]])</f>
        <v>1</v>
      </c>
      <c r="C437" s="12" t="s">
        <v>1164</v>
      </c>
      <c r="D437" s="13" t="s">
        <v>1850</v>
      </c>
      <c r="E437" s="35">
        <f>COUNTIF(NodesData[Node ID],NodesData[[#This Row],[Node ID]])</f>
        <v>1</v>
      </c>
      <c r="G437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I437" s="12" t="s">
        <v>1165</v>
      </c>
      <c r="J437" s="19" t="str" cm="1">
        <f t="array" ref="J437">CreateGuidString()</f>
        <v>FDA8817B-CFAE-4A95-8A41-474C5722103A</v>
      </c>
    </row>
    <row r="438" spans="1:10" x14ac:dyDescent="0.35">
      <c r="A4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8" s="35">
        <f>COUNTIF(NodesData[Unambiguous Name],NodesData[[#This Row],[Unambiguous Name]])</f>
        <v>1</v>
      </c>
      <c r="C438" s="12" t="s">
        <v>451</v>
      </c>
      <c r="D438" s="13" t="s">
        <v>1851</v>
      </c>
      <c r="E438" s="35">
        <f>COUNTIF(NodesData[Node ID],NodesData[[#This Row],[Node ID]])</f>
        <v>1</v>
      </c>
      <c r="G438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I438" s="12" t="s">
        <v>1166</v>
      </c>
      <c r="J438" s="19" t="str" cm="1">
        <f t="array" ref="J438">CreateGuidString()</f>
        <v>336D07F7-0137-4891-83F1-5174C1610238</v>
      </c>
    </row>
    <row r="439" spans="1:10" x14ac:dyDescent="0.35">
      <c r="A4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9" s="35">
        <f>COUNTIF(NodesData[Unambiguous Name],NodesData[[#This Row],[Unambiguous Name]])</f>
        <v>1</v>
      </c>
      <c r="C439" s="12" t="s">
        <v>452</v>
      </c>
      <c r="D439" s="13" t="s">
        <v>1852</v>
      </c>
      <c r="E439" s="35">
        <f>COUNTIF(NodesData[Node ID],NodesData[[#This Row],[Node ID]])</f>
        <v>1</v>
      </c>
      <c r="G439" s="12" t="str">
        <f>IF(NodesData[[#This Row],[Class Disambiguation]]="",NodesData[[#This Row],[Common Name]],NodesData[[#This Row],[Common Name]]&amp;" ("&amp;NodesData[[#This Row],[Class Disambiguation]]&amp;")")</f>
        <v>Sybil Attack</v>
      </c>
      <c r="I439" s="12" t="s">
        <v>1167</v>
      </c>
      <c r="J439" s="19" t="str" cm="1">
        <f t="array" ref="J439">CreateGuidString()</f>
        <v>9DB6D3BD-BC42-4B30-91DD-90DF879E7D64</v>
      </c>
    </row>
    <row r="440" spans="1:10" x14ac:dyDescent="0.35">
      <c r="A4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40" s="35">
        <f>COUNTIF(NodesData[Unambiguous Name],NodesData[[#This Row],[Unambiguous Name]])</f>
        <v>1</v>
      </c>
      <c r="C440" s="12" t="s">
        <v>1168</v>
      </c>
      <c r="D440" s="13" t="s">
        <v>1853</v>
      </c>
      <c r="E440" s="35">
        <f>COUNTIF(NodesData[Node ID],NodesData[[#This Row],[Node ID]])</f>
        <v>1</v>
      </c>
      <c r="G440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I440" s="12" t="s">
        <v>1169</v>
      </c>
      <c r="J440" s="19" t="str" cm="1">
        <f t="array" ref="J440">CreateGuidString()</f>
        <v>D00DC538-016A-4E68-AFB7-EC516E3437B8</v>
      </c>
    </row>
    <row r="441" spans="1:10" x14ac:dyDescent="0.35">
      <c r="A4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</v>
      </c>
      <c r="B441" s="35">
        <f>COUNTIF(NodesData[Unambiguous Name],NodesData[[#This Row],[Unambiguous Name]])</f>
        <v>1</v>
      </c>
      <c r="C441" s="12" t="s">
        <v>454</v>
      </c>
      <c r="D441" s="13" t="s">
        <v>1854</v>
      </c>
      <c r="E441" s="35">
        <f>COUNTIF(NodesData[Node ID],NodesData[[#This Row],[Node ID]])</f>
        <v>1</v>
      </c>
      <c r="G441" s="12" t="str">
        <f>IF(NodesData[[#This Row],[Class Disambiguation]]="",NodesData[[#This Row],[Common Name]],NodesData[[#This Row],[Common Name]]&amp;" ("&amp;NodesData[[#This Row],[Class Disambiguation]]&amp;")")</f>
        <v>System</v>
      </c>
      <c r="I441" s="12" t="s">
        <v>1170</v>
      </c>
      <c r="J441" s="19" t="str" cm="1">
        <f t="array" ref="J441">CreateGuidString()</f>
        <v>113833F5-DE6F-443D-8791-7680696733C5</v>
      </c>
    </row>
    <row r="442" spans="1:10" x14ac:dyDescent="0.35">
      <c r="A4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42" s="35">
        <f>COUNTIF(NodesData[Unambiguous Name],NodesData[[#This Row],[Unambiguous Name]])</f>
        <v>1</v>
      </c>
      <c r="C442" s="12" t="s">
        <v>455</v>
      </c>
      <c r="D442" s="13" t="s">
        <v>1855</v>
      </c>
      <c r="E442" s="35">
        <f>COUNTIF(NodesData[Node ID],NodesData[[#This Row],[Node ID]])</f>
        <v>1</v>
      </c>
      <c r="G442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I442" s="12" t="s">
        <v>1171</v>
      </c>
      <c r="J442" s="19" t="str" cm="1">
        <f t="array" ref="J442">CreateGuidString()</f>
        <v>9F0D4D74-2756-4EAC-A367-1B7EC057A532</v>
      </c>
    </row>
    <row r="443" spans="1:10" x14ac:dyDescent="0.35">
      <c r="A4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43" s="35">
        <f>COUNTIF(NodesData[Unambiguous Name],NodesData[[#This Row],[Unambiguous Name]])</f>
        <v>1</v>
      </c>
      <c r="C443" s="12" t="s">
        <v>1172</v>
      </c>
      <c r="D443" s="13" t="s">
        <v>1856</v>
      </c>
      <c r="E443" s="35">
        <f>COUNTIF(NodesData[Node ID],NodesData[[#This Row],[Node ID]])</f>
        <v>1</v>
      </c>
      <c r="G443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I443" s="12" t="s">
        <v>1173</v>
      </c>
      <c r="J443" s="19" t="str" cm="1">
        <f t="array" ref="J443">CreateGuidString()</f>
        <v>901B52D1-9644-404A-BD53-D65412DA4C48</v>
      </c>
    </row>
    <row r="444" spans="1:10" x14ac:dyDescent="0.35">
      <c r="A4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44" s="35">
        <f>COUNTIF(NodesData[Unambiguous Name],NodesData[[#This Row],[Unambiguous Name]])</f>
        <v>1</v>
      </c>
      <c r="C444" s="12" t="s">
        <v>1174</v>
      </c>
      <c r="D444" s="13" t="s">
        <v>1857</v>
      </c>
      <c r="E444" s="35">
        <f>COUNTIF(NodesData[Node ID],NodesData[[#This Row],[Node ID]])</f>
        <v>1</v>
      </c>
      <c r="G444" s="12" t="str">
        <f>IF(NodesData[[#This Row],[Class Disambiguation]]="",NodesData[[#This Row],[Common Name]],NodesData[[#This Row],[Common Name]]&amp;" ("&amp;NodesData[[#This Row],[Class Disambiguation]]&amp;")")</f>
        <v>System Owner</v>
      </c>
      <c r="I444" s="12" t="s">
        <v>1175</v>
      </c>
      <c r="J444" s="19" t="str" cm="1">
        <f t="array" ref="J444">CreateGuidString()</f>
        <v>DE63A4FC-A809-48C1-812D-37C3E0055C01</v>
      </c>
    </row>
    <row r="445" spans="1:10" x14ac:dyDescent="0.35">
      <c r="A4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Z</v>
      </c>
      <c r="B445" s="35">
        <f>COUNTIF(NodesData[Unambiguous Name],NodesData[[#This Row],[Unambiguous Name]])</f>
        <v>1</v>
      </c>
      <c r="C445" s="12" t="s">
        <v>1176</v>
      </c>
      <c r="D445" s="13" t="s">
        <v>1858</v>
      </c>
      <c r="E445" s="35">
        <f>COUNTIF(NodesData[Node ID],NodesData[[#This Row],[Node ID]])</f>
        <v>1</v>
      </c>
      <c r="G445" s="12" t="str">
        <f>IF(NodesData[[#This Row],[Class Disambiguation]]="",NodesData[[#This Row],[Common Name]],NodesData[[#This Row],[Common Name]]&amp;" ("&amp;NodesData[[#This Row],[Class Disambiguation]]&amp;")")</f>
        <v>System Z</v>
      </c>
      <c r="I445" s="12" t="s">
        <v>1177</v>
      </c>
      <c r="J445" s="19" t="str" cm="1">
        <f t="array" ref="J445">CreateGuidString()</f>
        <v>FFDC93AC-9B3F-44B8-BDDF-0C1F3A3783D8</v>
      </c>
    </row>
    <row r="446" spans="1:10" x14ac:dyDescent="0.35">
      <c r="A4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46" s="35">
        <f>COUNTIF(NodesData[Unambiguous Name],NodesData[[#This Row],[Unambiguous Name]])</f>
        <v>1</v>
      </c>
      <c r="C446" s="12" t="s">
        <v>1322</v>
      </c>
      <c r="D446" s="13" t="s">
        <v>1859</v>
      </c>
      <c r="E446" s="35">
        <f>COUNTIF(NodesData[Node ID],NodesData[[#This Row],[Node ID]])</f>
        <v>1</v>
      </c>
      <c r="G446" s="12" t="str">
        <f>IF(NodesData[[#This Row],[Class Disambiguation]]="",NodesData[[#This Row],[Common Name]],NodesData[[#This Row],[Common Name]]&amp;" ("&amp;NodesData[[#This Row],[Class Disambiguation]]&amp;")")</f>
        <v>TAN List OTP</v>
      </c>
      <c r="J446" s="19" t="str" cm="1">
        <f t="array" ref="J446">CreateGuidString()</f>
        <v>0C5635DA-99C1-49BF-8F79-2AB5333604BF</v>
      </c>
    </row>
    <row r="447" spans="1:10" x14ac:dyDescent="0.35">
      <c r="A4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7" s="35">
        <f>COUNTIF(NodesData[Unambiguous Name],NodesData[[#This Row],[Unambiguous Name]])</f>
        <v>1</v>
      </c>
      <c r="C447" s="12" t="s">
        <v>1178</v>
      </c>
      <c r="D447" s="13" t="s">
        <v>1860</v>
      </c>
      <c r="E447" s="35">
        <f>COUNTIF(NodesData[Node ID],NodesData[[#This Row],[Node ID]])</f>
        <v>1</v>
      </c>
      <c r="G447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I447" s="12" t="s">
        <v>1179</v>
      </c>
      <c r="J447" s="19" t="str" cm="1">
        <f t="array" ref="J447">CreateGuidString()</f>
        <v>1E77B35A-DCF3-4ED2-A82B-3A8FCEEB584A</v>
      </c>
    </row>
    <row r="448" spans="1:10" x14ac:dyDescent="0.35">
      <c r="A448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Test Account</v>
      </c>
      <c r="B448" s="43">
        <f>COUNTIF(NodesData[Unambiguous Name],NodesData[[#This Row],[Unambiguous Name]])</f>
        <v>1</v>
      </c>
      <c r="C448" s="12" t="s">
        <v>1992</v>
      </c>
      <c r="D448" s="13" t="s">
        <v>2002</v>
      </c>
      <c r="E448" s="43">
        <f>COUNTIF(NodesData[Node ID],NodesData[[#This Row],[Node ID]])</f>
        <v>1</v>
      </c>
      <c r="G448" s="18" t="str">
        <f>IF(NodesData[[#This Row],[Class Disambiguation]]="",NodesData[[#This Row],[Common Name]],NodesData[[#This Row],[Common Name]]&amp;" ("&amp;NodesData[[#This Row],[Class Disambiguation]]&amp;")")</f>
        <v>Test Account</v>
      </c>
      <c r="J448" s="20" t="str" cm="1">
        <f t="array" ref="J448">CreateGuidString()</f>
        <v>25323A0E-B290-48AC-A147-597F1DF61288</v>
      </c>
    </row>
    <row r="449" spans="1:10" x14ac:dyDescent="0.35">
      <c r="A4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9" s="35">
        <f>COUNTIF(NodesData[Unambiguous Name],NodesData[[#This Row],[Unambiguous Name]])</f>
        <v>1</v>
      </c>
      <c r="C449" s="12" t="s">
        <v>1326</v>
      </c>
      <c r="D449" s="13" t="s">
        <v>1861</v>
      </c>
      <c r="E449" s="35">
        <f>COUNTIF(NodesData[Node ID],NodesData[[#This Row],[Node ID]])</f>
        <v>1</v>
      </c>
      <c r="G449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J449" s="19" t="str" cm="1">
        <f t="array" ref="J449">CreateGuidString()</f>
        <v>D8B0EF94-8BDE-4A17-B3A8-EDCBE4090E79</v>
      </c>
    </row>
    <row r="450" spans="1:10" x14ac:dyDescent="0.35">
      <c r="A4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50" s="35">
        <f>COUNTIF(NodesData[Unambiguous Name],NodesData[[#This Row],[Unambiguous Name]])</f>
        <v>1</v>
      </c>
      <c r="C450" s="11" t="s">
        <v>1340</v>
      </c>
      <c r="D450" s="13" t="s">
        <v>1862</v>
      </c>
      <c r="E450" s="35">
        <f>COUNTIF(NodesData[Node ID],NodesData[[#This Row],[Node ID]])</f>
        <v>1</v>
      </c>
      <c r="G450" s="18" t="str">
        <f>IF(NodesData[[#This Row],[Class Disambiguation]]="",NodesData[[#This Row],[Common Name]],NodesData[[#This Row],[Common Name]]&amp;" ("&amp;NodesData[[#This Row],[Class Disambiguation]]&amp;")")</f>
        <v>Threat Agent</v>
      </c>
      <c r="H450" s="18"/>
      <c r="J450" s="20" t="str" cm="1">
        <f t="array" ref="J450">CreateGuidString()</f>
        <v>D4AE8057-EC35-4EAF-83FF-BA6F22CE8B8A</v>
      </c>
    </row>
    <row r="451" spans="1:10" x14ac:dyDescent="0.35">
      <c r="A4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51" s="35">
        <f>COUNTIF(NodesData[Unambiguous Name],NodesData[[#This Row],[Unambiguous Name]])</f>
        <v>1</v>
      </c>
      <c r="C451" s="12" t="s">
        <v>1297</v>
      </c>
      <c r="D451" s="13" t="s">
        <v>1863</v>
      </c>
      <c r="E451" s="35">
        <f>COUNTIF(NodesData[Node ID],NodesData[[#This Row],[Node ID]])</f>
        <v>1</v>
      </c>
      <c r="G451" s="12" t="str">
        <f>IF(NodesData[[#This Row],[Class Disambiguation]]="",NodesData[[#This Row],[Common Name]],NodesData[[#This Row],[Common Name]]&amp;" ("&amp;NodesData[[#This Row],[Class Disambiguation]]&amp;")")</f>
        <v>Time Factor</v>
      </c>
      <c r="J451" s="19" t="str" cm="1">
        <f t="array" ref="J451">CreateGuidString()</f>
        <v>BBD273C6-1A78-4124-B98C-A2AA26337912</v>
      </c>
    </row>
    <row r="452" spans="1:10" x14ac:dyDescent="0.35">
      <c r="A4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52" s="35">
        <f>COUNTIF(NodesData[Unambiguous Name],NodesData[[#This Row],[Unambiguous Name]])</f>
        <v>1</v>
      </c>
      <c r="C452" s="12" t="s">
        <v>1330</v>
      </c>
      <c r="D452" s="13" t="s">
        <v>1864</v>
      </c>
      <c r="E452" s="35">
        <f>COUNTIF(NodesData[Node ID],NodesData[[#This Row],[Node ID]])</f>
        <v>1</v>
      </c>
      <c r="G452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J452" s="19" t="str" cm="1">
        <f t="array" ref="J452">CreateGuidString()</f>
        <v>AA5447AF-D50D-4C7B-AD5C-B91C124AA662</v>
      </c>
    </row>
    <row r="453" spans="1:10" x14ac:dyDescent="0.35">
      <c r="A4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53" s="35">
        <f>COUNTIF(NodesData[Unambiguous Name],NodesData[[#This Row],[Unambiguous Name]])</f>
        <v>1</v>
      </c>
      <c r="C453" s="12" t="s">
        <v>1312</v>
      </c>
      <c r="D453" s="13" t="s">
        <v>1865</v>
      </c>
      <c r="E453" s="35">
        <f>COUNTIF(NodesData[Node ID],NodesData[[#This Row],[Node ID]])</f>
        <v>1</v>
      </c>
      <c r="G453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J453" s="19" t="str" cm="1">
        <f t="array" ref="J453">CreateGuidString()</f>
        <v>DF59B945-7306-4CCD-9CFC-D841EDA10BE2</v>
      </c>
    </row>
    <row r="454" spans="1:10" x14ac:dyDescent="0.35">
      <c r="A4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54" s="35">
        <f>COUNTIF(NodesData[Unambiguous Name],NodesData[[#This Row],[Unambiguous Name]])</f>
        <v>1</v>
      </c>
      <c r="C454" s="12" t="s">
        <v>1180</v>
      </c>
      <c r="D454" s="13" t="s">
        <v>1866</v>
      </c>
      <c r="E454" s="35">
        <f>COUNTIF(NodesData[Node ID],NodesData[[#This Row],[Node ID]])</f>
        <v>1</v>
      </c>
      <c r="G454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I454" s="12" t="s">
        <v>1181</v>
      </c>
      <c r="J454" s="19" t="str" cm="1">
        <f t="array" ref="J454">CreateGuidString()</f>
        <v>4B9272E4-FC63-49C5-B393-2BD340BF4002</v>
      </c>
    </row>
    <row r="455" spans="1:10" x14ac:dyDescent="0.35">
      <c r="A4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55" s="35">
        <f>COUNTIF(NodesData[Unambiguous Name],NodesData[[#This Row],[Unambiguous Name]])</f>
        <v>1</v>
      </c>
      <c r="C455" s="12" t="s">
        <v>467</v>
      </c>
      <c r="D455" s="13" t="s">
        <v>1867</v>
      </c>
      <c r="E455" s="35">
        <f>COUNTIF(NodesData[Node ID],NodesData[[#This Row],[Node ID]])</f>
        <v>1</v>
      </c>
      <c r="G455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I455" s="12" t="s">
        <v>1182</v>
      </c>
      <c r="J455" s="19" t="str" cm="1">
        <f t="array" ref="J455">CreateGuidString()</f>
        <v>8CF2073C-C791-4599-A2AB-0366C20E6D83</v>
      </c>
    </row>
    <row r="456" spans="1:10" x14ac:dyDescent="0.35">
      <c r="A4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</v>
      </c>
      <c r="B456" s="35">
        <f>COUNTIF(NodesData[Unambiguous Name],NodesData[[#This Row],[Unambiguous Name]])</f>
        <v>1</v>
      </c>
      <c r="C456" s="12" t="s">
        <v>468</v>
      </c>
      <c r="D456" s="13" t="s">
        <v>1868</v>
      </c>
      <c r="E456" s="35">
        <f>COUNTIF(NodesData[Node ID],NodesData[[#This Row],[Node ID]])</f>
        <v>1</v>
      </c>
      <c r="G456" s="12" t="str">
        <f>IF(NodesData[[#This Row],[Class Disambiguation]]="",NodesData[[#This Row],[Common Name]],NodesData[[#This Row],[Common Name]]&amp;" ("&amp;NodesData[[#This Row],[Class Disambiguation]]&amp;")")</f>
        <v>Tranquil</v>
      </c>
      <c r="I456" s="12" t="s">
        <v>1183</v>
      </c>
      <c r="J456" s="19" t="str" cm="1">
        <f t="array" ref="J456">CreateGuidString()</f>
        <v>AB970BF0-BFDE-4298-AE65-7D8FB128CE67</v>
      </c>
    </row>
    <row r="457" spans="1:10" x14ac:dyDescent="0.35">
      <c r="A4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57" s="35">
        <f>COUNTIF(NodesData[Unambiguous Name],NodesData[[#This Row],[Unambiguous Name]])</f>
        <v>1</v>
      </c>
      <c r="C457" s="12" t="s">
        <v>1184</v>
      </c>
      <c r="D457" s="13" t="s">
        <v>1869</v>
      </c>
      <c r="E457" s="35">
        <f>COUNTIF(NodesData[Node ID],NodesData[[#This Row],[Node ID]])</f>
        <v>1</v>
      </c>
      <c r="G457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I457" s="12" t="s">
        <v>1185</v>
      </c>
      <c r="J457" s="19" t="str" cm="1">
        <f t="array" ref="J457">CreateGuidString()</f>
        <v>ED690D41-A870-4E2E-845F-0F2ADA96EF7F</v>
      </c>
    </row>
    <row r="458" spans="1:10" x14ac:dyDescent="0.35">
      <c r="A4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8" s="35">
        <f>COUNTIF(NodesData[Unambiguous Name],NodesData[[#This Row],[Unambiguous Name]])</f>
        <v>1</v>
      </c>
      <c r="C458" s="12" t="s">
        <v>1186</v>
      </c>
      <c r="D458" s="13" t="s">
        <v>1870</v>
      </c>
      <c r="E458" s="35">
        <f>COUNTIF(NodesData[Node ID],NodesData[[#This Row],[Node ID]])</f>
        <v>1</v>
      </c>
      <c r="G458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I458" s="12" t="s">
        <v>1187</v>
      </c>
      <c r="J458" s="19" t="str" cm="1">
        <f t="array" ref="J458">CreateGuidString()</f>
        <v>86E69ADE-5F50-48A0-9724-1A5FF9CE4D35</v>
      </c>
    </row>
    <row r="459" spans="1:10" x14ac:dyDescent="0.35">
      <c r="A4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</v>
      </c>
      <c r="B459" s="35">
        <f>COUNTIF(NodesData[Unambiguous Name],NodesData[[#This Row],[Unambiguous Name]])</f>
        <v>1</v>
      </c>
      <c r="C459" s="12" t="s">
        <v>471</v>
      </c>
      <c r="D459" s="13" t="s">
        <v>1871</v>
      </c>
      <c r="E459" s="35">
        <f>COUNTIF(NodesData[Node ID],NodesData[[#This Row],[Node ID]])</f>
        <v>1</v>
      </c>
      <c r="G459" s="12" t="str">
        <f>IF(NodesData[[#This Row],[Class Disambiguation]]="",NodesData[[#This Row],[Common Name]],NodesData[[#This Row],[Common Name]]&amp;" ("&amp;NodesData[[#This Row],[Class Disambiguation]]&amp;")")</f>
        <v>Trust</v>
      </c>
      <c r="I459" s="12" t="s">
        <v>1188</v>
      </c>
      <c r="J459" s="19" t="str" cm="1">
        <f t="array" ref="J459">CreateGuidString()</f>
        <v>E9FB13E4-58D9-436C-896D-361742B6AC84</v>
      </c>
    </row>
    <row r="460" spans="1:10" x14ac:dyDescent="0.35">
      <c r="A4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60" s="35">
        <f>COUNTIF(NodesData[Unambiguous Name],NodesData[[#This Row],[Unambiguous Name]])</f>
        <v>1</v>
      </c>
      <c r="C460" s="12" t="s">
        <v>1189</v>
      </c>
      <c r="D460" s="13" t="s">
        <v>1872</v>
      </c>
      <c r="E460" s="35">
        <f>COUNTIF(NodesData[Node ID],NodesData[[#This Row],[Node ID]])</f>
        <v>1</v>
      </c>
      <c r="G460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I460" s="12" t="s">
        <v>1190</v>
      </c>
      <c r="J460" s="19" t="str" cm="1">
        <f t="array" ref="J460">CreateGuidString()</f>
        <v>0DD24C86-8AC6-46E5-BC7C-679952B99244</v>
      </c>
    </row>
    <row r="461" spans="1:10" x14ac:dyDescent="0.35">
      <c r="A4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61" s="35">
        <f>COUNTIF(NodesData[Unambiguous Name],NodesData[[#This Row],[Unambiguous Name]])</f>
        <v>1</v>
      </c>
      <c r="C461" s="12" t="s">
        <v>1191</v>
      </c>
      <c r="D461" s="13" t="s">
        <v>1873</v>
      </c>
      <c r="E461" s="35">
        <f>COUNTIF(NodesData[Node ID],NodesData[[#This Row],[Node ID]])</f>
        <v>1</v>
      </c>
      <c r="G461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I461" s="12" t="s">
        <v>1192</v>
      </c>
      <c r="J461" s="19" t="str" cm="1">
        <f t="array" ref="J461">CreateGuidString()</f>
        <v>8061913B-A940-4DD2-8C9E-FA014A6DBBFF</v>
      </c>
    </row>
    <row r="462" spans="1:10" x14ac:dyDescent="0.35">
      <c r="A4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62" s="35">
        <f>COUNTIF(NodesData[Unambiguous Name],NodesData[[#This Row],[Unambiguous Name]])</f>
        <v>1</v>
      </c>
      <c r="C462" s="12" t="s">
        <v>1193</v>
      </c>
      <c r="D462" s="13" t="s">
        <v>1874</v>
      </c>
      <c r="E462" s="35">
        <f>COUNTIF(NodesData[Node ID],NodesData[[#This Row],[Node ID]])</f>
        <v>1</v>
      </c>
      <c r="G462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I462" s="12" t="s">
        <v>1194</v>
      </c>
      <c r="J462" s="19" t="str" cm="1">
        <f t="array" ref="J462">CreateGuidString()</f>
        <v>134B944D-7627-490E-8C09-FEA6C35E42B6</v>
      </c>
    </row>
    <row r="463" spans="1:10" x14ac:dyDescent="0.35">
      <c r="A4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63" s="35">
        <f>COUNTIF(NodesData[Unambiguous Name],NodesData[[#This Row],[Unambiguous Name]])</f>
        <v>1</v>
      </c>
      <c r="C463" s="12" t="s">
        <v>1195</v>
      </c>
      <c r="D463" s="13" t="s">
        <v>1875</v>
      </c>
      <c r="E463" s="35">
        <f>COUNTIF(NodesData[Node ID],NodesData[[#This Row],[Node ID]])</f>
        <v>1</v>
      </c>
      <c r="G463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I463" s="12" t="s">
        <v>1196</v>
      </c>
      <c r="J463" s="19" t="str" cm="1">
        <f t="array" ref="J463">CreateGuidString()</f>
        <v>B68AD0F6-B8DB-4966-A7FC-49F88BB74DF1</v>
      </c>
    </row>
    <row r="464" spans="1:10" x14ac:dyDescent="0.35">
      <c r="A4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64" s="35">
        <f>COUNTIF(NodesData[Unambiguous Name],NodesData[[#This Row],[Unambiguous Name]])</f>
        <v>1</v>
      </c>
      <c r="C464" s="12" t="s">
        <v>477</v>
      </c>
      <c r="D464" s="13" t="s">
        <v>1876</v>
      </c>
      <c r="E464" s="35">
        <f>COUNTIF(NodesData[Node ID],NodesData[[#This Row],[Node ID]])</f>
        <v>1</v>
      </c>
      <c r="G464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I464" s="12" t="s">
        <v>1197</v>
      </c>
      <c r="J464" s="19" t="str" cm="1">
        <f t="array" ref="J464">CreateGuidString()</f>
        <v>1D15AB59-10E7-49A2-A769-EB33E1B203A3</v>
      </c>
    </row>
    <row r="465" spans="1:10" x14ac:dyDescent="0.35">
      <c r="A4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Typology</v>
      </c>
      <c r="B465" s="35">
        <f>COUNTIF(NodesData[Unambiguous Name],NodesData[[#This Row],[Unambiguous Name]])</f>
        <v>1</v>
      </c>
      <c r="C465" s="12" t="s">
        <v>1198</v>
      </c>
      <c r="D465" s="13" t="s">
        <v>1877</v>
      </c>
      <c r="E465" s="35">
        <f>COUNTIF(NodesData[Node ID],NodesData[[#This Row],[Node ID]])</f>
        <v>1</v>
      </c>
      <c r="G465" s="12" t="str">
        <f>IF(NodesData[[#This Row],[Class Disambiguation]]="",NodesData[[#This Row],[Common Name]],NodesData[[#This Row],[Common Name]]&amp;" ("&amp;NodesData[[#This Row],[Class Disambiguation]]&amp;")")</f>
        <v>Typology</v>
      </c>
      <c r="I465" s="12" t="s">
        <v>1199</v>
      </c>
      <c r="J465" s="19" t="str" cm="1">
        <f t="array" ref="J465">CreateGuidString()</f>
        <v>59B993EF-0D92-4D98-B041-ACCF4E21C49E</v>
      </c>
    </row>
    <row r="466" spans="1:10" x14ac:dyDescent="0.35">
      <c r="A4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66" s="35">
        <f>COUNTIF(NodesData[Unambiguous Name],NodesData[[#This Row],[Unambiguous Name]])</f>
        <v>1</v>
      </c>
      <c r="C466" s="12" t="s">
        <v>479</v>
      </c>
      <c r="D466" s="13" t="s">
        <v>1878</v>
      </c>
      <c r="E466" s="35">
        <f>COUNTIF(NodesData[Node ID],NodesData[[#This Row],[Node ID]])</f>
        <v>1</v>
      </c>
      <c r="G466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I466" s="12" t="s">
        <v>1200</v>
      </c>
      <c r="J466" s="19" t="str" cm="1">
        <f t="array" ref="J466">CreateGuidString()</f>
        <v>5AFB0340-A843-450C-A045-CE1D2C56BC2F</v>
      </c>
    </row>
    <row r="467" spans="1:10" x14ac:dyDescent="0.35">
      <c r="A4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67" s="35">
        <f>COUNTIF(NodesData[Unambiguous Name],NodesData[[#This Row],[Unambiguous Name]])</f>
        <v>1</v>
      </c>
      <c r="C467" s="12" t="s">
        <v>480</v>
      </c>
      <c r="D467" s="13" t="s">
        <v>1879</v>
      </c>
      <c r="E467" s="35">
        <f>COUNTIF(NodesData[Node ID],NodesData[[#This Row],[Node ID]])</f>
        <v>1</v>
      </c>
      <c r="G467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I467" s="12" t="s">
        <v>1201</v>
      </c>
      <c r="J467" s="19" t="str" cm="1">
        <f t="array" ref="J467">CreateGuidString()</f>
        <v>68789ED9-4ABD-4B67-BB5C-73570A032A24</v>
      </c>
    </row>
    <row r="468" spans="1:10" x14ac:dyDescent="0.35">
      <c r="A4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8" s="35">
        <f>COUNTIF(NodesData[Unambiguous Name],NodesData[[#This Row],[Unambiguous Name]])</f>
        <v>1</v>
      </c>
      <c r="C468" s="12" t="s">
        <v>481</v>
      </c>
      <c r="D468" s="13" t="s">
        <v>1880</v>
      </c>
      <c r="E468" s="35">
        <f>COUNTIF(NodesData[Node ID],NodesData[[#This Row],[Node ID]])</f>
        <v>1</v>
      </c>
      <c r="G468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I468" s="12" t="s">
        <v>1202</v>
      </c>
      <c r="J468" s="19" t="str" cm="1">
        <f t="array" ref="J468">CreateGuidString()</f>
        <v>CEB7DE38-7E5C-43B4-97CB-A2033FABDF26</v>
      </c>
    </row>
    <row r="469" spans="1:10" x14ac:dyDescent="0.35">
      <c r="A4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9" s="35">
        <f>COUNTIF(NodesData[Unambiguous Name],NodesData[[#This Row],[Unambiguous Name]])</f>
        <v>1</v>
      </c>
      <c r="C469" s="12" t="s">
        <v>483</v>
      </c>
      <c r="D469" s="13" t="s">
        <v>1881</v>
      </c>
      <c r="E469" s="35">
        <f>COUNTIF(NodesData[Node ID],NodesData[[#This Row],[Node ID]])</f>
        <v>1</v>
      </c>
      <c r="G469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I469" s="12" t="s">
        <v>1203</v>
      </c>
      <c r="J469" s="19" t="str" cm="1">
        <f t="array" ref="J469">CreateGuidString()</f>
        <v>D1C35B7E-D4F0-4544-84F2-51FEC138D4CC</v>
      </c>
    </row>
    <row r="470" spans="1:10" x14ac:dyDescent="0.35">
      <c r="A4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</v>
      </c>
      <c r="B470" s="35">
        <f>COUNTIF(NodesData[Unambiguous Name],NodesData[[#This Row],[Unambiguous Name]])</f>
        <v>1</v>
      </c>
      <c r="C470" s="12" t="s">
        <v>484</v>
      </c>
      <c r="D470" s="13" t="s">
        <v>1882</v>
      </c>
      <c r="E470" s="35">
        <f>COUNTIF(NodesData[Node ID],NodesData[[#This Row],[Node ID]])</f>
        <v>1</v>
      </c>
      <c r="G470" s="12" t="str">
        <f>IF(NodesData[[#This Row],[Class Disambiguation]]="",NodesData[[#This Row],[Common Name]],NodesData[[#This Row],[Common Name]]&amp;" ("&amp;NodesData[[#This Row],[Class Disambiguation]]&amp;")")</f>
        <v>User</v>
      </c>
      <c r="I470" s="12" t="s">
        <v>1204</v>
      </c>
      <c r="J470" s="19" t="str" cm="1">
        <f t="array" ref="J470">CreateGuidString()</f>
        <v>0D41F2BF-EA59-4D40-A56A-54BDF69000AB</v>
      </c>
    </row>
    <row r="471" spans="1:10" x14ac:dyDescent="0.35">
      <c r="A4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71" s="35">
        <f>COUNTIF(NodesData[Unambiguous Name],NodesData[[#This Row],[Unambiguous Name]])</f>
        <v>1</v>
      </c>
      <c r="C471" s="12" t="s">
        <v>485</v>
      </c>
      <c r="D471" s="13" t="s">
        <v>1883</v>
      </c>
      <c r="E471" s="35">
        <f>COUNTIF(NodesData[Node ID],NodesData[[#This Row],[Node ID]])</f>
        <v>1</v>
      </c>
      <c r="G471" s="12" t="str">
        <f>IF(NodesData[[#This Row],[Class Disambiguation]]="",NodesData[[#This Row],[Common Name]],NodesData[[#This Row],[Common Name]]&amp;" ("&amp;NodesData[[#This Row],[Class Disambiguation]]&amp;")")</f>
        <v>User Account</v>
      </c>
      <c r="I471" s="12" t="s">
        <v>1205</v>
      </c>
      <c r="J471" s="19" t="str" cm="1">
        <f t="array" ref="J471">CreateGuidString()</f>
        <v>2C75C8CD-2848-43EA-93F7-5B5057EE9DB2</v>
      </c>
    </row>
    <row r="472" spans="1:10" x14ac:dyDescent="0.35">
      <c r="A4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72" s="35">
        <f>COUNTIF(NodesData[Unambiguous Name],NodesData[[#This Row],[Unambiguous Name]])</f>
        <v>1</v>
      </c>
      <c r="C472" s="12" t="s">
        <v>487</v>
      </c>
      <c r="D472" s="13" t="s">
        <v>1884</v>
      </c>
      <c r="E472" s="35">
        <f>COUNTIF(NodesData[Node ID],NodesData[[#This Row],[Node ID]])</f>
        <v>1</v>
      </c>
      <c r="G472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I472" s="12" t="s">
        <v>1206</v>
      </c>
      <c r="J472" s="19" t="str" cm="1">
        <f t="array" ref="J472">CreateGuidString()</f>
        <v>3D73D9C2-7396-426E-A830-65BC562C0B28</v>
      </c>
    </row>
    <row r="473" spans="1:10" x14ac:dyDescent="0.35">
      <c r="A4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73" s="35">
        <f>COUNTIF(NodesData[Unambiguous Name],NodesData[[#This Row],[Unambiguous Name]])</f>
        <v>1</v>
      </c>
      <c r="C473" s="12" t="s">
        <v>1207</v>
      </c>
      <c r="D473" s="13" t="s">
        <v>1885</v>
      </c>
      <c r="E473" s="35">
        <f>COUNTIF(NodesData[Node ID],NodesData[[#This Row],[Node ID]])</f>
        <v>1</v>
      </c>
      <c r="G473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I473" s="12" t="s">
        <v>1208</v>
      </c>
      <c r="J473" s="19" t="str" cm="1">
        <f t="array" ref="J473">CreateGuidString()</f>
        <v>2D36BC3E-7D15-4736-B05E-BF6E6689516C</v>
      </c>
    </row>
    <row r="474" spans="1:10" x14ac:dyDescent="0.35">
      <c r="A4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74" s="35">
        <f>COUNTIF(NodesData[Unambiguous Name],NodesData[[#This Row],[Unambiguous Name]])</f>
        <v>1</v>
      </c>
      <c r="C474" s="12" t="s">
        <v>489</v>
      </c>
      <c r="D474" s="13" t="s">
        <v>1886</v>
      </c>
      <c r="E474" s="35">
        <f>COUNTIF(NodesData[Node ID],NodesData[[#This Row],[Node ID]])</f>
        <v>1</v>
      </c>
      <c r="F474" s="12" t="s">
        <v>1270</v>
      </c>
      <c r="G474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I474" s="12" t="s">
        <v>1209</v>
      </c>
      <c r="J474" s="19" t="str" cm="1">
        <f t="array" ref="J474">CreateGuidString()</f>
        <v>533A6F6D-BEC2-4B5C-B050-25746FDCE4A0</v>
      </c>
    </row>
    <row r="475" spans="1:10" x14ac:dyDescent="0.35">
      <c r="A4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75" s="35">
        <f>COUNTIF(NodesData[Unambiguous Name],NodesData[[#This Row],[Unambiguous Name]])</f>
        <v>1</v>
      </c>
      <c r="C475" s="12" t="s">
        <v>491</v>
      </c>
      <c r="D475" s="13" t="s">
        <v>1887</v>
      </c>
      <c r="E475" s="35">
        <f>COUNTIF(NodesData[Node ID],NodesData[[#This Row],[Node ID]])</f>
        <v>1</v>
      </c>
      <c r="G475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I475" s="12" t="s">
        <v>1210</v>
      </c>
      <c r="J475" s="19" t="str" cm="1">
        <f t="array" ref="J475">CreateGuidString()</f>
        <v>FC3C78CE-F702-4863-A0D6-A970C86C977C</v>
      </c>
    </row>
    <row r="476" spans="1:10" x14ac:dyDescent="0.35">
      <c r="A4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76" s="35">
        <f>COUNTIF(NodesData[Unambiguous Name],NodesData[[#This Row],[Unambiguous Name]])</f>
        <v>1</v>
      </c>
      <c r="C476" s="12" t="s">
        <v>486</v>
      </c>
      <c r="D476" s="13" t="s">
        <v>1888</v>
      </c>
      <c r="E476" s="35">
        <f>COUNTIF(NodesData[Node ID],NodesData[[#This Row],[Node ID]])</f>
        <v>1</v>
      </c>
      <c r="G476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I476" s="12" t="s">
        <v>1211</v>
      </c>
      <c r="J476" s="19" t="str" cm="1">
        <f t="array" ref="J476">CreateGuidString()</f>
        <v>953095A5-9D8C-4649-8E8A-C5F6C5DFCCC3</v>
      </c>
    </row>
    <row r="477" spans="1:10" x14ac:dyDescent="0.35">
      <c r="A4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Username</v>
      </c>
      <c r="B477" s="35">
        <f>COUNTIF(NodesData[Unambiguous Name],NodesData[[#This Row],[Unambiguous Name]])</f>
        <v>1</v>
      </c>
      <c r="C477" s="12" t="s">
        <v>490</v>
      </c>
      <c r="D477" s="13" t="s">
        <v>1889</v>
      </c>
      <c r="E477" s="35">
        <f>COUNTIF(NodesData[Node ID],NodesData[[#This Row],[Node ID]])</f>
        <v>1</v>
      </c>
      <c r="G477" s="12" t="str">
        <f>IF(NodesData[[#This Row],[Class Disambiguation]]="",NodesData[[#This Row],[Common Name]],NodesData[[#This Row],[Common Name]]&amp;" ("&amp;NodesData[[#This Row],[Class Disambiguation]]&amp;")")</f>
        <v>Username</v>
      </c>
      <c r="I477" s="12" t="s">
        <v>1212</v>
      </c>
      <c r="J477" s="19" t="str" cm="1">
        <f t="array" ref="J477">CreateGuidString()</f>
        <v>50116BF4-7909-4C78-89D3-3062A9D203E7</v>
      </c>
    </row>
    <row r="478" spans="1:10" x14ac:dyDescent="0.35">
      <c r="A4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8" s="35">
        <f>COUNTIF(NodesData[Unambiguous Name],NodesData[[#This Row],[Unambiguous Name]])</f>
        <v>1</v>
      </c>
      <c r="C478" s="12" t="s">
        <v>492</v>
      </c>
      <c r="D478" s="13" t="s">
        <v>1890</v>
      </c>
      <c r="E478" s="35">
        <f>COUNTIF(NodesData[Node ID],NodesData[[#This Row],[Node ID]])</f>
        <v>1</v>
      </c>
      <c r="G478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I478" s="12" t="s">
        <v>1213</v>
      </c>
      <c r="J478" s="19" t="str" cm="1">
        <f t="array" ref="J478">CreateGuidString()</f>
        <v>45866399-C88C-4EF8-B2CE-5FA6498C6809</v>
      </c>
    </row>
    <row r="479" spans="1:10" x14ac:dyDescent="0.35">
      <c r="A4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9" s="35">
        <f>COUNTIF(NodesData[Unambiguous Name],NodesData[[#This Row],[Unambiguous Name]])</f>
        <v>1</v>
      </c>
      <c r="C479" s="12" t="s">
        <v>493</v>
      </c>
      <c r="D479" s="13" t="s">
        <v>1891</v>
      </c>
      <c r="E479" s="35">
        <f>COUNTIF(NodesData[Node ID],NodesData[[#This Row],[Node ID]])</f>
        <v>1</v>
      </c>
      <c r="G479" s="12" t="str">
        <f>IF(NodesData[[#This Row],[Class Disambiguation]]="",NodesData[[#This Row],[Common Name]],NodesData[[#This Row],[Common Name]]&amp;" ("&amp;NodesData[[#This Row],[Class Disambiguation]]&amp;")")</f>
        <v>Verification</v>
      </c>
      <c r="I479" s="12" t="s">
        <v>1214</v>
      </c>
      <c r="J479" s="19" t="str" cm="1">
        <f t="array" ref="J479">CreateGuidString()</f>
        <v>6DE8868E-CD4F-47FC-83DB-A6923BBFE40B</v>
      </c>
    </row>
    <row r="480" spans="1:10" x14ac:dyDescent="0.35">
      <c r="A4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480" s="35">
        <f>COUNTIF(NodesData[Unambiguous Name],NodesData[[#This Row],[Unambiguous Name]])</f>
        <v>1</v>
      </c>
      <c r="C480" s="32" t="s">
        <v>1391</v>
      </c>
      <c r="D480" s="13" t="s">
        <v>1444</v>
      </c>
      <c r="E480" s="35">
        <f>COUNTIF(NodesData[Node ID],NodesData[[#This Row],[Node ID]])</f>
        <v>1</v>
      </c>
      <c r="G480" s="18" t="str">
        <f>IF(NodesData[[#This Row],[Class Disambiguation]]="",NodesData[[#This Row],[Common Name]],NodesData[[#This Row],[Common Name]]&amp;" ("&amp;NodesData[[#This Row],[Class Disambiguation]]&amp;")")</f>
        <v>Victim</v>
      </c>
      <c r="H480" s="18" t="s">
        <v>4</v>
      </c>
      <c r="J480" s="20" t="str" cm="1">
        <f t="array" ref="J480">CreateGuidString()</f>
        <v>3EEAC050-0148-43B8-B2AD-F4F10820ACFA</v>
      </c>
    </row>
    <row r="481" spans="1:10" x14ac:dyDescent="0.35">
      <c r="A4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81" s="35">
        <f>COUNTIF(NodesData[Unambiguous Name],NodesData[[#This Row],[Unambiguous Name]])</f>
        <v>1</v>
      </c>
      <c r="C481" s="12" t="s">
        <v>1215</v>
      </c>
      <c r="D481" s="13" t="s">
        <v>1892</v>
      </c>
      <c r="E481" s="35">
        <f>COUNTIF(NodesData[Node ID],NodesData[[#This Row],[Node ID]])</f>
        <v>1</v>
      </c>
      <c r="G481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I481" s="12" t="s">
        <v>1216</v>
      </c>
      <c r="J481" s="19" t="str" cm="1">
        <f t="array" ref="J481">CreateGuidString()</f>
        <v>3C9B8A9B-F12B-4572-BF4E-08A9BC58ECDA</v>
      </c>
    </row>
    <row r="482" spans="1:10" x14ac:dyDescent="0.35">
      <c r="A4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82" s="35">
        <f>COUNTIF(NodesData[Unambiguous Name],NodesData[[#This Row],[Unambiguous Name]])</f>
        <v>1</v>
      </c>
      <c r="C482" s="12" t="s">
        <v>1217</v>
      </c>
      <c r="D482" s="13" t="s">
        <v>1893</v>
      </c>
      <c r="E482" s="35">
        <f>COUNTIF(NodesData[Node ID],NodesData[[#This Row],[Node ID]])</f>
        <v>1</v>
      </c>
      <c r="G482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I482" s="12" t="s">
        <v>1218</v>
      </c>
      <c r="J482" s="19" t="str" cm="1">
        <f t="array" ref="J482">CreateGuidString()</f>
        <v>E2E36C5F-98AF-47A5-991B-0F9F2642D2AB</v>
      </c>
    </row>
    <row r="483" spans="1:10" x14ac:dyDescent="0.35">
      <c r="A4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83" s="35">
        <f>COUNTIF(NodesData[Unambiguous Name],NodesData[[#This Row],[Unambiguous Name]])</f>
        <v>1</v>
      </c>
      <c r="C483" s="12" t="s">
        <v>1219</v>
      </c>
      <c r="D483" s="13" t="s">
        <v>1894</v>
      </c>
      <c r="E483" s="35">
        <f>COUNTIF(NodesData[Node ID],NodesData[[#This Row],[Node ID]])</f>
        <v>1</v>
      </c>
      <c r="G483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I483" s="12" t="s">
        <v>1220</v>
      </c>
      <c r="J483" s="19" t="str" cm="1">
        <f t="array" ref="J483">CreateGuidString()</f>
        <v>821BF78C-3A31-459F-9930-08F76E02A3C2</v>
      </c>
    </row>
    <row r="484" spans="1:10" x14ac:dyDescent="0.35">
      <c r="A4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84" s="35">
        <f>COUNTIF(NodesData[Unambiguous Name],NodesData[[#This Row],[Unambiguous Name]])</f>
        <v>1</v>
      </c>
      <c r="C484" s="12" t="s">
        <v>1323</v>
      </c>
      <c r="D484" s="13" t="s">
        <v>1895</v>
      </c>
      <c r="E484" s="35">
        <f>COUNTIF(NodesData[Node ID],NodesData[[#This Row],[Node ID]])</f>
        <v>1</v>
      </c>
      <c r="G484" s="12" t="str">
        <f>IF(NodesData[[#This Row],[Class Disambiguation]]="",NodesData[[#This Row],[Common Name]],NodesData[[#This Row],[Common Name]]&amp;" ("&amp;NodesData[[#This Row],[Class Disambiguation]]&amp;")")</f>
        <v>Voice OTP</v>
      </c>
      <c r="J484" s="19" t="str" cm="1">
        <f t="array" ref="J484">CreateGuidString()</f>
        <v>4DB379F0-E438-4199-A756-AAF970B99944</v>
      </c>
    </row>
    <row r="485" spans="1:10" x14ac:dyDescent="0.35">
      <c r="A4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85" s="35">
        <f>COUNTIF(NodesData[Unambiguous Name],NodesData[[#This Row],[Unambiguous Name]])</f>
        <v>1</v>
      </c>
      <c r="C485" s="12" t="s">
        <v>1315</v>
      </c>
      <c r="D485" s="13" t="s">
        <v>1896</v>
      </c>
      <c r="E485" s="35">
        <f>COUNTIF(NodesData[Node ID],NodesData[[#This Row],[Node ID]])</f>
        <v>1</v>
      </c>
      <c r="G485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J485" s="19" t="str" cm="1">
        <f t="array" ref="J485">CreateGuidString()</f>
        <v>78B9C4C5-0DAF-4FE7-9924-2B3761A0FA31</v>
      </c>
    </row>
    <row r="486" spans="1:10" x14ac:dyDescent="0.35">
      <c r="A4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86" s="35">
        <f>COUNTIF(NodesData[Unambiguous Name],NodesData[[#This Row],[Unambiguous Name]])</f>
        <v>1</v>
      </c>
      <c r="C486" s="12" t="s">
        <v>1221</v>
      </c>
      <c r="D486" s="13" t="s">
        <v>1897</v>
      </c>
      <c r="E486" s="35">
        <f>COUNTIF(NodesData[Node ID],NodesData[[#This Row],[Node ID]])</f>
        <v>1</v>
      </c>
      <c r="F486" s="12" t="s">
        <v>1270</v>
      </c>
      <c r="G486" s="12" t="str">
        <f>IF(NodesData[[#This Row],[Class Disambiguation]]="",NodesData[[#This Row],[Common Name]],NodesData[[#This Row],[Common Name]]&amp;" ("&amp;NodesData[[#This Row],[Class Disambiguation]]&amp;")")</f>
        <v>VPN (Acronym)</v>
      </c>
      <c r="I486" s="12" t="s">
        <v>1222</v>
      </c>
      <c r="J486" s="19" t="str" cm="1">
        <f t="array" ref="J486">CreateGuidString()</f>
        <v>AE0DADF1-39DC-4D23-B17A-FA19175441EB</v>
      </c>
    </row>
    <row r="487" spans="1:10" x14ac:dyDescent="0.35">
      <c r="A4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87" s="35">
        <f>COUNTIF(NodesData[Unambiguous Name],NodesData[[#This Row],[Unambiguous Name]])</f>
        <v>1</v>
      </c>
      <c r="C487" s="12" t="s">
        <v>1223</v>
      </c>
      <c r="D487" s="13" t="s">
        <v>1898</v>
      </c>
      <c r="E487" s="35">
        <f>COUNTIF(NodesData[Node ID],NodesData[[#This Row],[Node ID]])</f>
        <v>1</v>
      </c>
      <c r="G487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I487" s="12" t="s">
        <v>1224</v>
      </c>
      <c r="J487" s="19" t="str" cm="1">
        <f t="array" ref="J487">CreateGuidString()</f>
        <v>984EDE54-1849-4797-A5AA-5885C336752C</v>
      </c>
    </row>
    <row r="488" spans="1:10" x14ac:dyDescent="0.35">
      <c r="A4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88" s="35">
        <f>COUNTIF(NodesData[Unambiguous Name],NodesData[[#This Row],[Unambiguous Name]])</f>
        <v>1</v>
      </c>
      <c r="C488" s="12" t="s">
        <v>1225</v>
      </c>
      <c r="D488" s="13" t="s">
        <v>1899</v>
      </c>
      <c r="E488" s="35">
        <f>COUNTIF(NodesData[Node ID],NodesData[[#This Row],[Node ID]])</f>
        <v>1</v>
      </c>
      <c r="G488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I488" s="12" t="s">
        <v>1226</v>
      </c>
      <c r="J488" s="19" t="str" cm="1">
        <f t="array" ref="J488">CreateGuidString()</f>
        <v>0C6C0A2D-F17F-45E3-8A57-F204F024EED7</v>
      </c>
    </row>
    <row r="489" spans="1:10" x14ac:dyDescent="0.35">
      <c r="A4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9" s="35">
        <f>COUNTIF(NodesData[Unambiguous Name],NodesData[[#This Row],[Unambiguous Name]])</f>
        <v>1</v>
      </c>
      <c r="C489" s="12" t="s">
        <v>1227</v>
      </c>
      <c r="D489" s="13" t="s">
        <v>1900</v>
      </c>
      <c r="E489" s="35">
        <f>COUNTIF(NodesData[Node ID],NodesData[[#This Row],[Node ID]])</f>
        <v>1</v>
      </c>
      <c r="G489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I489" s="12" t="s">
        <v>1228</v>
      </c>
      <c r="J489" s="19" t="str" cm="1">
        <f t="array" ref="J489">CreateGuidString()</f>
        <v>4FB6F69A-701D-4F2F-B025-CBF7DEC5BD83</v>
      </c>
    </row>
    <row r="490" spans="1:10" x14ac:dyDescent="0.35">
      <c r="A4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90" s="35">
        <f>COUNTIF(NodesData[Unambiguous Name],NodesData[[#This Row],[Unambiguous Name]])</f>
        <v>1</v>
      </c>
      <c r="C490" s="12" t="s">
        <v>1229</v>
      </c>
      <c r="D490" s="13" t="s">
        <v>1901</v>
      </c>
      <c r="E490" s="35">
        <f>COUNTIF(NodesData[Node ID],NodesData[[#This Row],[Node ID]])</f>
        <v>1</v>
      </c>
      <c r="G490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I490" s="12" t="s">
        <v>1230</v>
      </c>
      <c r="J490" s="19" t="str" cm="1">
        <f t="array" ref="J490">CreateGuidString()</f>
        <v>A4B64C6F-2252-479D-A264-07528898EFC6</v>
      </c>
    </row>
    <row r="491" spans="1:10" x14ac:dyDescent="0.35">
      <c r="A4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91" s="35">
        <f>COUNTIF(NodesData[Unambiguous Name],NodesData[[#This Row],[Unambiguous Name]])</f>
        <v>1</v>
      </c>
      <c r="C491" s="12" t="s">
        <v>1231</v>
      </c>
      <c r="D491" s="13" t="s">
        <v>1902</v>
      </c>
      <c r="E491" s="35">
        <f>COUNTIF(NodesData[Node ID],NodesData[[#This Row],[Node ID]])</f>
        <v>1</v>
      </c>
      <c r="G491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I491" s="12" t="s">
        <v>1232</v>
      </c>
      <c r="J491" s="19" t="str" cm="1">
        <f t="array" ref="J491">CreateGuidString()</f>
        <v>415E8C96-41F6-44D3-85F1-DBF4337D634F</v>
      </c>
    </row>
    <row r="492" spans="1:10" x14ac:dyDescent="0.35">
      <c r="A4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92" s="35">
        <f>COUNTIF(NodesData[Unambiguous Name],NodesData[[#This Row],[Unambiguous Name]])</f>
        <v>1</v>
      </c>
      <c r="C492" s="12" t="s">
        <v>1233</v>
      </c>
      <c r="D492" s="13" t="s">
        <v>1903</v>
      </c>
      <c r="E492" s="35">
        <f>COUNTIF(NodesData[Node ID],NodesData[[#This Row],[Node ID]])</f>
        <v>1</v>
      </c>
      <c r="G492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I492" s="12" t="s">
        <v>1234</v>
      </c>
      <c r="J492" s="19" t="str" cm="1">
        <f t="array" ref="J492">CreateGuidString()</f>
        <v>29689711-64EC-4BE3-A204-F286F08954FB</v>
      </c>
    </row>
    <row r="493" spans="1:10" x14ac:dyDescent="0.35">
      <c r="A4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93" s="35">
        <f>COUNTIF(NodesData[Unambiguous Name],NodesData[[#This Row],[Unambiguous Name]])</f>
        <v>1</v>
      </c>
      <c r="C493" s="12" t="s">
        <v>1235</v>
      </c>
      <c r="D493" s="13" t="s">
        <v>1904</v>
      </c>
      <c r="E493" s="35">
        <f>COUNTIF(NodesData[Node ID],NodesData[[#This Row],[Node ID]])</f>
        <v>1</v>
      </c>
      <c r="G493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I493" s="12" t="s">
        <v>1236</v>
      </c>
      <c r="J493" s="19" t="str" cm="1">
        <f t="array" ref="J493">CreateGuidString()</f>
        <v>551C8DE1-68C8-4281-B4FE-CDAB84F42499</v>
      </c>
    </row>
    <row r="494" spans="1:10" x14ac:dyDescent="0.35">
      <c r="A4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94" s="35">
        <f>COUNTIF(NodesData[Unambiguous Name],NodesData[[#This Row],[Unambiguous Name]])</f>
        <v>1</v>
      </c>
      <c r="C494" s="12" t="s">
        <v>1237</v>
      </c>
      <c r="D494" s="13" t="s">
        <v>1905</v>
      </c>
      <c r="E494" s="35">
        <f>COUNTIF(NodesData[Node ID],NodesData[[#This Row],[Node ID]])</f>
        <v>1</v>
      </c>
      <c r="G494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I494" s="12" t="s">
        <v>1238</v>
      </c>
      <c r="J494" s="19" t="str" cm="1">
        <f t="array" ref="J494">CreateGuidString()</f>
        <v>5713AFDA-6B30-4F4F-807D-E6FF6EC5D80A</v>
      </c>
    </row>
    <row r="495" spans="1:10" x14ac:dyDescent="0.35">
      <c r="A4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95" s="35">
        <f>COUNTIF(NodesData[Unambiguous Name],NodesData[[#This Row],[Unambiguous Name]])</f>
        <v>1</v>
      </c>
      <c r="C495" s="12" t="s">
        <v>1239</v>
      </c>
      <c r="D495" s="13" t="s">
        <v>1906</v>
      </c>
      <c r="E495" s="35">
        <f>COUNTIF(NodesData[Node ID],NodesData[[#This Row],[Node ID]])</f>
        <v>1</v>
      </c>
      <c r="G495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I495" s="12" t="s">
        <v>1240</v>
      </c>
      <c r="J495" s="19" t="str" cm="1">
        <f t="array" ref="J495">CreateGuidString()</f>
        <v>658F4642-7FB1-47F7-9878-82C6C2AF5012</v>
      </c>
    </row>
    <row r="496" spans="1:10" x14ac:dyDescent="0.35">
      <c r="A4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96" s="35">
        <f>COUNTIF(NodesData[Unambiguous Name],NodesData[[#This Row],[Unambiguous Name]])</f>
        <v>1</v>
      </c>
      <c r="C496" s="12" t="s">
        <v>1241</v>
      </c>
      <c r="D496" s="13" t="s">
        <v>1907</v>
      </c>
      <c r="E496" s="35">
        <f>COUNTIF(NodesData[Node ID],NodesData[[#This Row],[Node ID]])</f>
        <v>1</v>
      </c>
      <c r="G496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I496" s="12" t="s">
        <v>1242</v>
      </c>
      <c r="J496" s="19" t="str" cm="1">
        <f t="array" ref="J496">CreateGuidString()</f>
        <v>DDDC9667-E6A6-4D8D-9BAF-4AE6AA23986A</v>
      </c>
    </row>
    <row r="497" spans="1:10" x14ac:dyDescent="0.35">
      <c r="A4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97" s="35">
        <f>COUNTIF(NodesData[Unambiguous Name],NodesData[[#This Row],[Unambiguous Name]])</f>
        <v>1</v>
      </c>
      <c r="C497" s="12" t="s">
        <v>1243</v>
      </c>
      <c r="D497" s="13" t="s">
        <v>1908</v>
      </c>
      <c r="E497" s="35">
        <f>COUNTIF(NodesData[Node ID],NodesData[[#This Row],[Node ID]])</f>
        <v>1</v>
      </c>
      <c r="G497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I497" s="12" t="s">
        <v>1244</v>
      </c>
      <c r="J497" s="19" t="str" cm="1">
        <f t="array" ref="J497">CreateGuidString()</f>
        <v>35062740-F1D5-49DE-955F-D601BF8C817E</v>
      </c>
    </row>
    <row r="498" spans="1:10" x14ac:dyDescent="0.35">
      <c r="A4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98" s="35">
        <f>COUNTIF(NodesData[Unambiguous Name],NodesData[[#This Row],[Unambiguous Name]])</f>
        <v>1</v>
      </c>
      <c r="C498" s="12" t="s">
        <v>1245</v>
      </c>
      <c r="D498" s="13" t="s">
        <v>1909</v>
      </c>
      <c r="E498" s="35">
        <f>COUNTIF(NodesData[Node ID],NodesData[[#This Row],[Node ID]])</f>
        <v>1</v>
      </c>
      <c r="G498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I498" s="12" t="s">
        <v>1246</v>
      </c>
      <c r="J498" s="19" t="str" cm="1">
        <f t="array" ref="J498">CreateGuidString()</f>
        <v>D0D7600F-F5F2-4C6D-9557-805B4C2006A0</v>
      </c>
    </row>
    <row r="499" spans="1:10" x14ac:dyDescent="0.35">
      <c r="A4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9" s="35">
        <f>COUNTIF(NodesData[Unambiguous Name],NodesData[[#This Row],[Unambiguous Name]])</f>
        <v>1</v>
      </c>
      <c r="C499" s="12" t="s">
        <v>1247</v>
      </c>
      <c r="D499" s="13" t="s">
        <v>1910</v>
      </c>
      <c r="E499" s="35">
        <f>COUNTIF(NodesData[Node ID],NodesData[[#This Row],[Node ID]])</f>
        <v>1</v>
      </c>
      <c r="G499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I499" s="12" t="s">
        <v>1248</v>
      </c>
      <c r="J499" s="19" t="str" cm="1">
        <f t="array" ref="J499">CreateGuidString()</f>
        <v>753A4A5B-0D48-4E4E-82FB-38E6FEC05633</v>
      </c>
    </row>
    <row r="500" spans="1:10" x14ac:dyDescent="0.35">
      <c r="A5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500" s="35">
        <f>COUNTIF(NodesData[Unambiguous Name],NodesData[[#This Row],[Unambiguous Name]])</f>
        <v>1</v>
      </c>
      <c r="C500" s="12" t="s">
        <v>1249</v>
      </c>
      <c r="D500" s="13" t="s">
        <v>1911</v>
      </c>
      <c r="E500" s="35">
        <f>COUNTIF(NodesData[Node ID],NodesData[[#This Row],[Node ID]])</f>
        <v>1</v>
      </c>
      <c r="G500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I500" s="12" t="s">
        <v>1250</v>
      </c>
      <c r="J500" s="19" t="str" cm="1">
        <f t="array" ref="J500">CreateGuidString()</f>
        <v>EBA9556E-6E1A-4282-9C51-E1D64840452F</v>
      </c>
    </row>
    <row r="501" spans="1:10" x14ac:dyDescent="0.35">
      <c r="A5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501" s="35">
        <f>COUNTIF(NodesData[Unambiguous Name],NodesData[[#This Row],[Unambiguous Name]])</f>
        <v>1</v>
      </c>
      <c r="C501" s="12" t="s">
        <v>1251</v>
      </c>
      <c r="D501" s="13" t="s">
        <v>1912</v>
      </c>
      <c r="E501" s="35">
        <f>COUNTIF(NodesData[Node ID],NodesData[[#This Row],[Node ID]])</f>
        <v>1</v>
      </c>
      <c r="G501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I501" s="12" t="s">
        <v>1252</v>
      </c>
      <c r="J501" s="19" t="str" cm="1">
        <f t="array" ref="J501">CreateGuidString()</f>
        <v>67B2CE9E-B792-4DCE-BC0E-24EA9865B5D9</v>
      </c>
    </row>
    <row r="502" spans="1:10" x14ac:dyDescent="0.35">
      <c r="A5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Worker</v>
      </c>
      <c r="B502" s="35">
        <f>COUNTIF(NodesData[Unambiguous Name],NodesData[[#This Row],[Unambiguous Name]])</f>
        <v>1</v>
      </c>
      <c r="C502" s="12" t="s">
        <v>1253</v>
      </c>
      <c r="D502" s="13" t="s">
        <v>1913</v>
      </c>
      <c r="E502" s="35">
        <f>COUNTIF(NodesData[Node ID],NodesData[[#This Row],[Node ID]])</f>
        <v>1</v>
      </c>
      <c r="G502" s="12" t="str">
        <f>IF(NodesData[[#This Row],[Class Disambiguation]]="",NodesData[[#This Row],[Common Name]],NodesData[[#This Row],[Common Name]]&amp;" ("&amp;NodesData[[#This Row],[Class Disambiguation]]&amp;")")</f>
        <v>Worker</v>
      </c>
      <c r="I502" s="12" t="s">
        <v>1254</v>
      </c>
      <c r="J502" s="19" t="str" cm="1">
        <f t="array" ref="J502">CreateGuidString()</f>
        <v>6A3CDB05-301A-4A58-9581-A40134D8D705</v>
      </c>
    </row>
    <row r="503" spans="1:10" x14ac:dyDescent="0.35">
      <c r="A5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503" s="35">
        <f>COUNTIF(NodesData[Unambiguous Name],NodesData[[#This Row],[Unambiguous Name]])</f>
        <v>1</v>
      </c>
      <c r="C503" s="12" t="s">
        <v>1255</v>
      </c>
      <c r="D503" s="13" t="s">
        <v>1914</v>
      </c>
      <c r="E503" s="35">
        <f>COUNTIF(NodesData[Node ID],NodesData[[#This Row],[Node ID]])</f>
        <v>1</v>
      </c>
      <c r="G503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I503" s="12" t="s">
        <v>1256</v>
      </c>
      <c r="J503" s="19" t="str" cm="1">
        <f t="array" ref="J503">CreateGuidString()</f>
        <v>5F7C7067-D56C-42FB-B16B-68267C36580A</v>
      </c>
    </row>
    <row r="504" spans="1:10" x14ac:dyDescent="0.35">
      <c r="A5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Workforce</v>
      </c>
      <c r="B504" s="35">
        <f>COUNTIF(NodesData[Unambiguous Name],NodesData[[#This Row],[Unambiguous Name]])</f>
        <v>1</v>
      </c>
      <c r="C504" s="12" t="s">
        <v>1257</v>
      </c>
      <c r="D504" s="13" t="s">
        <v>1915</v>
      </c>
      <c r="E504" s="35">
        <f>COUNTIF(NodesData[Node ID],NodesData[[#This Row],[Node ID]])</f>
        <v>1</v>
      </c>
      <c r="G504" s="12" t="str">
        <f>IF(NodesData[[#This Row],[Class Disambiguation]]="",NodesData[[#This Row],[Common Name]],NodesData[[#This Row],[Common Name]]&amp;" ("&amp;NodesData[[#This Row],[Class Disambiguation]]&amp;")")</f>
        <v>Workforce</v>
      </c>
      <c r="I504" s="12" t="s">
        <v>1258</v>
      </c>
      <c r="J504" s="19" t="str" cm="1">
        <f t="array" ref="J504">CreateGuidString()</f>
        <v>88AA01E8-9B86-4526-8099-27ADE6655882</v>
      </c>
    </row>
    <row r="505" spans="1:10" x14ac:dyDescent="0.35">
      <c r="A5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505" s="35">
        <f>COUNTIF(NodesData[Unambiguous Name],NodesData[[#This Row],[Unambiguous Name]])</f>
        <v>1</v>
      </c>
      <c r="C505" s="12" t="s">
        <v>1259</v>
      </c>
      <c r="D505" s="13" t="s">
        <v>1916</v>
      </c>
      <c r="E505" s="35">
        <f>COUNTIF(NodesData[Node ID],NodesData[[#This Row],[Node ID]])</f>
        <v>1</v>
      </c>
      <c r="F505" s="12" t="s">
        <v>1270</v>
      </c>
      <c r="G505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I505" s="12" t="s">
        <v>1260</v>
      </c>
      <c r="J505" s="19" t="str" cm="1">
        <f t="array" ref="J505">CreateGuidString()</f>
        <v>67CFBBE2-D5FC-40CA-A015-97F4CB85F506</v>
      </c>
    </row>
    <row r="506" spans="1:10" x14ac:dyDescent="0.35">
      <c r="A5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506" s="35">
        <f>COUNTIF(NodesData[Unambiguous Name],NodesData[[#This Row],[Unambiguous Name]])</f>
        <v>1</v>
      </c>
      <c r="C506" s="12" t="s">
        <v>517</v>
      </c>
      <c r="D506" s="13" t="s">
        <v>1917</v>
      </c>
      <c r="E506" s="35">
        <f>COUNTIF(NodesData[Node ID],NodesData[[#This Row],[Node ID]])</f>
        <v>1</v>
      </c>
      <c r="G506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I506" s="12" t="s">
        <v>1261</v>
      </c>
      <c r="J506" s="19" t="str" cm="1">
        <f t="array" ref="J506">CreateGuidString()</f>
        <v>95AD447D-A625-4610-A544-EEC722479FD8</v>
      </c>
    </row>
    <row r="507" spans="1:10" x14ac:dyDescent="0.35">
      <c r="A5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507" s="35">
        <f>COUNTIF(NodesData[Unambiguous Name],NodesData[[#This Row],[Unambiguous Name]])</f>
        <v>1</v>
      </c>
      <c r="C507" s="12" t="s">
        <v>518</v>
      </c>
      <c r="D507" s="13" t="s">
        <v>1918</v>
      </c>
      <c r="E507" s="35">
        <f>COUNTIF(NodesData[Node ID],NodesData[[#This Row],[Node ID]])</f>
        <v>1</v>
      </c>
      <c r="G507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I507" s="12" t="s">
        <v>1262</v>
      </c>
      <c r="J507" s="19" t="str" cm="1">
        <f t="array" ref="J507">CreateGuidString()</f>
        <v>23C3426B-F1EC-434C-A5F1-A1C553473271</v>
      </c>
    </row>
    <row r="508" spans="1:10" x14ac:dyDescent="0.35">
      <c r="A5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508" s="35">
        <f>COUNTIF(NodesData[Unambiguous Name],NodesData[[#This Row],[Unambiguous Name]])</f>
        <v>1</v>
      </c>
      <c r="C508" s="12" t="s">
        <v>519</v>
      </c>
      <c r="D508" s="13" t="s">
        <v>1919</v>
      </c>
      <c r="E508" s="35">
        <f>COUNTIF(NodesData[Node ID],NodesData[[#This Row],[Node ID]])</f>
        <v>1</v>
      </c>
      <c r="F508" s="12" t="s">
        <v>1270</v>
      </c>
      <c r="G508" s="12" t="str">
        <f>IF(NodesData[[#This Row],[Class Disambiguation]]="",NodesData[[#This Row],[Common Name]],NodesData[[#This Row],[Common Name]]&amp;" ("&amp;NodesData[[#This Row],[Class Disambiguation]]&amp;")")</f>
        <v>ZTA (Acronym)</v>
      </c>
      <c r="I508" s="12" t="s">
        <v>1263</v>
      </c>
      <c r="J508" s="19" t="str" cm="1">
        <f t="array" ref="J508">CreateGuidString()</f>
        <v>35DC916F-58D2-4701-A18E-7456B39CB677</v>
      </c>
    </row>
  </sheetData>
  <phoneticPr fontId="6" type="noConversion"/>
  <conditionalFormatting sqref="D509:D1048576 E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09:G104857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E508 B2:B508">
    <cfRule type="cellIs" dxfId="0" priority="1" operator="notEqual">
      <formula>1</formula>
    </cfRule>
  </conditionalFormatting>
  <hyperlinks>
    <hyperlink ref="I289" r:id="rId1" xr:uid="{7F271015-6AD0-4546-ADAD-4852DA416FA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I101"/>
  <sheetViews>
    <sheetView tabSelected="1" topLeftCell="A75" zoomScale="120" zoomScaleNormal="120" workbookViewId="0">
      <selection activeCell="G101" sqref="G101"/>
    </sheetView>
  </sheetViews>
  <sheetFormatPr defaultRowHeight="12.75" x14ac:dyDescent="0.35"/>
  <cols>
    <col min="1" max="1" width="23" style="12" bestFit="1" customWidth="1"/>
    <col min="2" max="2" width="2.86328125" style="37" customWidth="1"/>
    <col min="3" max="3" width="23" style="12" bestFit="1" customWidth="1"/>
    <col min="4" max="4" width="41.796875" style="12" bestFit="1" customWidth="1"/>
    <col min="5" max="6" width="5.53125" style="12" bestFit="1" customWidth="1"/>
    <col min="7" max="7" width="43.796875" style="12" bestFit="1" customWidth="1"/>
    <col min="8" max="8" width="25.6640625" style="12" bestFit="1" customWidth="1"/>
    <col min="9" max="16384" width="9.06640625" style="12"/>
  </cols>
  <sheetData>
    <row r="1" spans="1:9" x14ac:dyDescent="0.35">
      <c r="A1" s="11" t="s">
        <v>1368</v>
      </c>
      <c r="B1" s="36" t="s">
        <v>1417</v>
      </c>
      <c r="C1" s="11" t="s">
        <v>1367</v>
      </c>
      <c r="D1" s="11" t="s">
        <v>1369</v>
      </c>
      <c r="E1" s="11" t="s">
        <v>1370</v>
      </c>
      <c r="F1" s="11" t="s">
        <v>1371</v>
      </c>
      <c r="G1" s="11" t="s">
        <v>1372</v>
      </c>
      <c r="H1" s="11" t="s">
        <v>1373</v>
      </c>
      <c r="I1" s="11" t="s">
        <v>1378</v>
      </c>
    </row>
    <row r="2" spans="1:9" x14ac:dyDescent="0.35">
      <c r="A2" s="13" t="s">
        <v>1920</v>
      </c>
      <c r="B2" s="35">
        <f>COUNTIF(EdgesData[Edge ID],EdgesData[[#This Row],[Edge ID]])</f>
        <v>1</v>
      </c>
      <c r="C2" s="13" t="str">
        <f>VLOOKUP(EdgesData[[#This Row],[Node A]],NodesData[],4,FALSE)</f>
        <v>30D21895-D4A5-4F2A-A2B4-76E8AD149662</v>
      </c>
      <c r="D2" s="11" t="s">
        <v>1405</v>
      </c>
      <c r="E2" s="11" t="s">
        <v>1364</v>
      </c>
      <c r="F2" s="11"/>
      <c r="G2" s="15" t="s">
        <v>543</v>
      </c>
      <c r="H2" s="13" t="str">
        <f>VLOOKUP(EdgesData[[#This Row],[Node B]],NodesData[],4,FALSE)</f>
        <v>9501EBB2-B301-4820-B446-2CB0E2724926</v>
      </c>
      <c r="I2" s="14" t="str" cm="1">
        <f t="array" ref="I2">CreateGuidString()</f>
        <v>54417919-8533-40AC-8AE8-4433253CA245</v>
      </c>
    </row>
    <row r="3" spans="1:9" x14ac:dyDescent="0.35">
      <c r="A3" s="13" t="s">
        <v>1921</v>
      </c>
      <c r="B3" s="35">
        <f>COUNTIF(EdgesData[Edge ID],EdgesData[[#This Row],[Edge ID]])</f>
        <v>1</v>
      </c>
      <c r="C3" s="13" t="str">
        <f>VLOOKUP(EdgesData[[#This Row],[Node A]],NodesData[],4,FALSE)</f>
        <v>A2967417-72BE-4537-BE1E-39E6298F5851</v>
      </c>
      <c r="D3" s="16" t="s">
        <v>618</v>
      </c>
      <c r="E3" s="11" t="s">
        <v>1343</v>
      </c>
      <c r="F3" s="11"/>
      <c r="G3" s="11" t="s">
        <v>1332</v>
      </c>
      <c r="H3" s="13" t="str">
        <f>VLOOKUP(EdgesData[[#This Row],[Node B]],NodesData[],4,FALSE)</f>
        <v>4C6DA97E-8091-41CA-B99C-4250D2678005</v>
      </c>
      <c r="I3" s="14" t="str" cm="1">
        <f t="array" ref="I3">CreateGuidString()</f>
        <v>A17E472C-A172-448D-8213-07C1399DEEFA</v>
      </c>
    </row>
    <row r="4" spans="1:9" x14ac:dyDescent="0.35">
      <c r="A4" s="13" t="s">
        <v>1922</v>
      </c>
      <c r="B4" s="35">
        <f>COUNTIF(EdgesData[Edge ID],EdgesData[[#This Row],[Edge ID]])</f>
        <v>1</v>
      </c>
      <c r="C4" s="13" t="str">
        <f>VLOOKUP(EdgesData[[#This Row],[Node A]],NodesData[],4,FALSE)</f>
        <v>47316C02-A4EB-4832-B925-1D094DE618CA</v>
      </c>
      <c r="D4" s="12" t="s">
        <v>79</v>
      </c>
      <c r="E4" s="12" t="s">
        <v>1343</v>
      </c>
      <c r="G4" s="12" t="s">
        <v>1337</v>
      </c>
      <c r="H4" s="13" t="str">
        <f>VLOOKUP(EdgesData[[#This Row],[Node B]],NodesData[],4,FALSE)</f>
        <v>5CB6C907-0D88-4068-B90F-90D2B4E5C9CF</v>
      </c>
      <c r="I4" s="14" t="str" cm="1">
        <f t="array" ref="I4">CreateGuidString()</f>
        <v>8BDEB3AE-BCDB-42D9-AA7F-516CC0127EC0</v>
      </c>
    </row>
    <row r="5" spans="1:9" x14ac:dyDescent="0.35">
      <c r="A5" s="13" t="s">
        <v>1923</v>
      </c>
      <c r="B5" s="35">
        <f>COUNTIF(EdgesData[Edge ID],EdgesData[[#This Row],[Edge ID]])</f>
        <v>1</v>
      </c>
      <c r="C5" s="13" t="str">
        <f>VLOOKUP(EdgesData[[#This Row],[Node A]],NodesData[],4,FALSE)</f>
        <v>47316C02-A4EB-4832-B925-1D094DE618CA</v>
      </c>
      <c r="D5" s="12" t="s">
        <v>79</v>
      </c>
      <c r="E5" s="12" t="s">
        <v>1338</v>
      </c>
      <c r="G5" s="12" t="s">
        <v>454</v>
      </c>
      <c r="H5" s="13" t="str">
        <f>VLOOKUP(EdgesData[[#This Row],[Node B]],NodesData[],4,FALSE)</f>
        <v>B92DFC96-CD21-42CC-B21F-7D5820C1DCC7</v>
      </c>
      <c r="I5" s="14" t="str" cm="1">
        <f t="array" ref="I5">CreateGuidString()</f>
        <v>A6E9BB21-DA1C-4399-8FC4-0166CA3A459C</v>
      </c>
    </row>
    <row r="6" spans="1:9" x14ac:dyDescent="0.35">
      <c r="A6" s="13" t="s">
        <v>1924</v>
      </c>
      <c r="B6" s="35">
        <f>COUNTIF(EdgesData[Edge ID],EdgesData[[#This Row],[Edge ID]])</f>
        <v>1</v>
      </c>
      <c r="C6" s="13" t="str">
        <f>VLOOKUP(EdgesData[[#This Row],[Node A]],NodesData[],4,FALSE)</f>
        <v>47316C02-A4EB-4832-B925-1D094DE618CA</v>
      </c>
      <c r="D6" s="12" t="s">
        <v>79</v>
      </c>
      <c r="E6" s="12" t="s">
        <v>1339</v>
      </c>
      <c r="G6" s="11" t="s">
        <v>1366</v>
      </c>
      <c r="H6" s="13" t="str">
        <f>VLOOKUP(EdgesData[[#This Row],[Node B]],NodesData[],4,FALSE)</f>
        <v>8A84FB45-D721-4F51-92D2-6F252494072A</v>
      </c>
      <c r="I6" s="14" t="str" cm="1">
        <f t="array" ref="I6">CreateGuidString()</f>
        <v>2451BBD8-749D-46FA-BD78-F55BF4C71428</v>
      </c>
    </row>
    <row r="7" spans="1:9" x14ac:dyDescent="0.35">
      <c r="A7" s="13" t="s">
        <v>1925</v>
      </c>
      <c r="B7" s="35">
        <f>COUNTIF(EdgesData[Edge ID],EdgesData[[#This Row],[Edge ID]])</f>
        <v>1</v>
      </c>
      <c r="C7" s="13" t="str">
        <f>VLOOKUP(EdgesData[[#This Row],[Node A]],NodesData[],4,FALSE)</f>
        <v>566E708D-FD51-436E-9E4D-051F1F485979</v>
      </c>
      <c r="D7" s="17" t="s">
        <v>1303</v>
      </c>
      <c r="E7" s="11" t="s">
        <v>1343</v>
      </c>
      <c r="G7" s="11" t="s">
        <v>1332</v>
      </c>
      <c r="H7" s="13" t="str">
        <f>VLOOKUP(EdgesData[[#This Row],[Node B]],NodesData[],4,FALSE)</f>
        <v>4C6DA97E-8091-41CA-B99C-4250D2678005</v>
      </c>
      <c r="I7" s="14" t="str" cm="1">
        <f t="array" ref="I7">CreateGuidString()</f>
        <v>3BCFFB5B-0A18-4B2A-914D-E47714BA8556</v>
      </c>
    </row>
    <row r="8" spans="1:9" x14ac:dyDescent="0.35">
      <c r="A8" s="13" t="s">
        <v>1926</v>
      </c>
      <c r="B8" s="35">
        <f>COUNTIF(EdgesData[Edge ID],EdgesData[[#This Row],[Edge ID]])</f>
        <v>1</v>
      </c>
      <c r="C8" s="13" t="str">
        <f>VLOOKUP(EdgesData[[#This Row],[Node A]],NodesData[],4,FALSE)</f>
        <v>566E708D-FD51-436E-9E4D-051F1F485979</v>
      </c>
      <c r="D8" s="16" t="s">
        <v>1303</v>
      </c>
      <c r="E8" s="11" t="s">
        <v>1343</v>
      </c>
      <c r="G8" s="11" t="s">
        <v>618</v>
      </c>
      <c r="H8" s="13" t="str">
        <f>VLOOKUP(EdgesData[[#This Row],[Node B]],NodesData[],4,FALSE)</f>
        <v>A2967417-72BE-4537-BE1E-39E6298F5851</v>
      </c>
      <c r="I8" s="14" t="str" cm="1">
        <f t="array" ref="I8">CreateGuidString()</f>
        <v>0123F3C2-3082-4585-8B6E-9A952C4BEBA5</v>
      </c>
    </row>
    <row r="9" spans="1:9" x14ac:dyDescent="0.35">
      <c r="A9" s="13" t="s">
        <v>1927</v>
      </c>
      <c r="B9" s="35">
        <f>COUNTIF(EdgesData[Edge ID],EdgesData[[#This Row],[Edge ID]])</f>
        <v>1</v>
      </c>
      <c r="C9" s="13" t="str">
        <f>VLOOKUP(EdgesData[[#This Row],[Node A]],NodesData[],4,FALSE)</f>
        <v>BC9316FB-BCA1-4D66-9CD7-3112BEF13D86</v>
      </c>
      <c r="D9" s="12" t="s">
        <v>1345</v>
      </c>
      <c r="E9" s="12" t="s">
        <v>1343</v>
      </c>
      <c r="G9" s="12" t="s">
        <v>1341</v>
      </c>
      <c r="H9" s="13" t="str">
        <f>VLOOKUP(EdgesData[[#This Row],[Node B]],NodesData[],4,FALSE)</f>
        <v>DB652713-5948-4322-8567-E5F6CB0440E8</v>
      </c>
      <c r="I9" s="14" t="str" cm="1">
        <f t="array" ref="I9">CreateGuidString()</f>
        <v>56C85E0C-EF4C-483B-862A-301E4306F3BB</v>
      </c>
    </row>
    <row r="10" spans="1:9" x14ac:dyDescent="0.35">
      <c r="A10" s="13" t="s">
        <v>1928</v>
      </c>
      <c r="B10" s="35">
        <f>COUNTIF(EdgesData[Edge ID],EdgesData[[#This Row],[Edge ID]])</f>
        <v>1</v>
      </c>
      <c r="C10" s="13" t="str">
        <f>VLOOKUP(EdgesData[[#This Row],[Node A]],NodesData[],4,FALSE)</f>
        <v>E1132C17-7D2B-4F86-A9F2-BAAA52027A5B</v>
      </c>
      <c r="D10" s="12" t="s">
        <v>1346</v>
      </c>
      <c r="E10" s="12" t="s">
        <v>1343</v>
      </c>
      <c r="G10" s="12" t="s">
        <v>1341</v>
      </c>
      <c r="H10" s="13" t="str">
        <f>VLOOKUP(EdgesData[[#This Row],[Node B]],NodesData[],4,FALSE)</f>
        <v>DB652713-5948-4322-8567-E5F6CB0440E8</v>
      </c>
      <c r="I10" s="14" t="str" cm="1">
        <f t="array" ref="I10">CreateGuidString()</f>
        <v>B202CE57-28CF-4BD4-BB59-7FE7F177CC48</v>
      </c>
    </row>
    <row r="11" spans="1:9" x14ac:dyDescent="0.35">
      <c r="A11" s="13" t="s">
        <v>1929</v>
      </c>
      <c r="B11" s="35">
        <f>COUNTIF(EdgesData[Edge ID],EdgesData[[#This Row],[Edge ID]])</f>
        <v>1</v>
      </c>
      <c r="C11" s="13" t="str">
        <f>VLOOKUP(EdgesData[[#This Row],[Node A]],NodesData[],4,FALSE)</f>
        <v>8A84FB45-D721-4F51-92D2-6F252494072A</v>
      </c>
      <c r="D11" s="11" t="s">
        <v>1366</v>
      </c>
      <c r="E11" s="12" t="s">
        <v>1343</v>
      </c>
      <c r="G11" s="12" t="s">
        <v>1340</v>
      </c>
      <c r="H11" s="13" t="str">
        <f>VLOOKUP(EdgesData[[#This Row],[Node B]],NodesData[],4,FALSE)</f>
        <v>1CA22954-068F-4603-9932-7CAFD3C4E2A6</v>
      </c>
      <c r="I11" s="14" t="str" cm="1">
        <f t="array" ref="I11">CreateGuidString()</f>
        <v>EEBA770F-5EF8-4495-87DF-C601E4D85E74</v>
      </c>
    </row>
    <row r="12" spans="1:9" x14ac:dyDescent="0.35">
      <c r="A12" s="13" t="s">
        <v>1930</v>
      </c>
      <c r="B12" s="35">
        <f>COUNTIF(EdgesData[Edge ID],EdgesData[[#This Row],[Edge ID]])</f>
        <v>1</v>
      </c>
      <c r="C12" s="13" t="str">
        <f>VLOOKUP(EdgesData[[#This Row],[Node A]],NodesData[],4,FALSE)</f>
        <v>EE59DD52-46E3-4C5E-B862-8914485F238F</v>
      </c>
      <c r="D12" s="17" t="s">
        <v>1304</v>
      </c>
      <c r="E12" s="11" t="s">
        <v>1343</v>
      </c>
      <c r="G12" s="11" t="s">
        <v>1332</v>
      </c>
      <c r="H12" s="13" t="str">
        <f>VLOOKUP(EdgesData[[#This Row],[Node B]],NodesData[],4,FALSE)</f>
        <v>4C6DA97E-8091-41CA-B99C-4250D2678005</v>
      </c>
      <c r="I12" s="14" t="str" cm="1">
        <f t="array" ref="I12">CreateGuidString()</f>
        <v>037045CE-CAFF-4FC4-8629-0F8986EC231F</v>
      </c>
    </row>
    <row r="13" spans="1:9" x14ac:dyDescent="0.35">
      <c r="A13" s="13" t="s">
        <v>1931</v>
      </c>
      <c r="B13" s="35">
        <f>COUNTIF(EdgesData[Edge ID],EdgesData[[#This Row],[Edge ID]])</f>
        <v>1</v>
      </c>
      <c r="C13" s="13" t="str">
        <f>VLOOKUP(EdgesData[[#This Row],[Node A]],NodesData[],4,FALSE)</f>
        <v>EE59DD52-46E3-4C5E-B862-8914485F238F</v>
      </c>
      <c r="D13" s="16" t="s">
        <v>1304</v>
      </c>
      <c r="E13" s="11" t="s">
        <v>1343</v>
      </c>
      <c r="G13" s="11" t="s">
        <v>618</v>
      </c>
      <c r="H13" s="13" t="str">
        <f>VLOOKUP(EdgesData[[#This Row],[Node B]],NodesData[],4,FALSE)</f>
        <v>A2967417-72BE-4537-BE1E-39E6298F5851</v>
      </c>
      <c r="I13" s="14" t="str" cm="1">
        <f t="array" ref="I13">CreateGuidString()</f>
        <v>066380CA-56C5-4AA4-AA77-8503109741DC</v>
      </c>
    </row>
    <row r="14" spans="1:9" x14ac:dyDescent="0.35">
      <c r="A14" s="13" t="s">
        <v>1932</v>
      </c>
      <c r="B14" s="35">
        <f>COUNTIF(EdgesData[Edge ID],EdgesData[[#This Row],[Edge ID]])</f>
        <v>1</v>
      </c>
      <c r="C14" s="13" t="str">
        <f>VLOOKUP(EdgesData[[#This Row],[Node A]],NodesData[],4,FALSE)</f>
        <v>8A54CA58-95DE-462C-85F0-63881C492A91</v>
      </c>
      <c r="D14" s="17" t="s">
        <v>1361</v>
      </c>
      <c r="E14" s="11" t="s">
        <v>1343</v>
      </c>
      <c r="G14" s="11" t="s">
        <v>1332</v>
      </c>
      <c r="H14" s="13" t="str">
        <f>VLOOKUP(EdgesData[[#This Row],[Node B]],NodesData[],4,FALSE)</f>
        <v>4C6DA97E-8091-41CA-B99C-4250D2678005</v>
      </c>
      <c r="I14" s="14" t="str" cm="1">
        <f t="array" ref="I14">CreateGuidString()</f>
        <v>96BB6D66-BC08-4132-B285-605F17A1FB04</v>
      </c>
    </row>
    <row r="15" spans="1:9" x14ac:dyDescent="0.35">
      <c r="A15" s="13" t="s">
        <v>1933</v>
      </c>
      <c r="B15" s="35">
        <f>COUNTIF(EdgesData[Edge ID],EdgesData[[#This Row],[Edge ID]])</f>
        <v>1</v>
      </c>
      <c r="C15" s="13" t="str">
        <f>VLOOKUP(EdgesData[[#This Row],[Node A]],NodesData[],4,FALSE)</f>
        <v>8A54CA58-95DE-462C-85F0-63881C492A91</v>
      </c>
      <c r="D15" s="16" t="s">
        <v>1361</v>
      </c>
      <c r="E15" s="11" t="s">
        <v>1343</v>
      </c>
      <c r="G15" s="11" t="s">
        <v>618</v>
      </c>
      <c r="H15" s="13" t="str">
        <f>VLOOKUP(EdgesData[[#This Row],[Node B]],NodesData[],4,FALSE)</f>
        <v>A2967417-72BE-4537-BE1E-39E6298F5851</v>
      </c>
      <c r="I15" s="14" t="str" cm="1">
        <f t="array" ref="I15">CreateGuidString()</f>
        <v>C29FCE9E-21E1-42D7-87DB-8731D7FEDF7F</v>
      </c>
    </row>
    <row r="16" spans="1:9" x14ac:dyDescent="0.35">
      <c r="A16" s="13" t="s">
        <v>1934</v>
      </c>
      <c r="B16" s="35">
        <f>COUNTIF(EdgesData[Edge ID],EdgesData[[#This Row],[Edge ID]])</f>
        <v>1</v>
      </c>
      <c r="C16" s="13" t="str">
        <f>VLOOKUP(EdgesData[[#This Row],[Node A]],NodesData[],4,FALSE)</f>
        <v>A4ADA3D7-3568-4A97-A8E3-4E47A1368F3D</v>
      </c>
      <c r="D16" s="17" t="s">
        <v>1307</v>
      </c>
      <c r="E16" s="11" t="s">
        <v>1343</v>
      </c>
      <c r="G16" s="11" t="s">
        <v>1332</v>
      </c>
      <c r="H16" s="13" t="str">
        <f>VLOOKUP(EdgesData[[#This Row],[Node B]],NodesData[],4,FALSE)</f>
        <v>4C6DA97E-8091-41CA-B99C-4250D2678005</v>
      </c>
      <c r="I16" s="14" t="str" cm="1">
        <f t="array" ref="I16">CreateGuidString()</f>
        <v>F6463590-0601-4EB7-A393-604B13E5AFB5</v>
      </c>
    </row>
    <row r="17" spans="1:9" x14ac:dyDescent="0.35">
      <c r="A17" s="13" t="s">
        <v>1935</v>
      </c>
      <c r="B17" s="35">
        <f>COUNTIF(EdgesData[Edge ID],EdgesData[[#This Row],[Edge ID]])</f>
        <v>1</v>
      </c>
      <c r="C17" s="13" t="str">
        <f>VLOOKUP(EdgesData[[#This Row],[Node A]],NodesData[],4,FALSE)</f>
        <v>A4ADA3D7-3568-4A97-A8E3-4E47A1368F3D</v>
      </c>
      <c r="D17" s="16" t="s">
        <v>1307</v>
      </c>
      <c r="E17" s="11" t="s">
        <v>1343</v>
      </c>
      <c r="G17" s="11" t="s">
        <v>618</v>
      </c>
      <c r="H17" s="13" t="str">
        <f>VLOOKUP(EdgesData[[#This Row],[Node B]],NodesData[],4,FALSE)</f>
        <v>A2967417-72BE-4537-BE1E-39E6298F5851</v>
      </c>
      <c r="I17" s="14" t="str" cm="1">
        <f t="array" ref="I17">CreateGuidString()</f>
        <v>41793FBD-53F6-403D-A68C-97E809C8F7BF</v>
      </c>
    </row>
    <row r="18" spans="1:9" x14ac:dyDescent="0.35">
      <c r="A18" s="13" t="s">
        <v>1936</v>
      </c>
      <c r="B18" s="35">
        <f>COUNTIF(EdgesData[Edge ID],EdgesData[[#This Row],[Edge ID]])</f>
        <v>1</v>
      </c>
      <c r="C18" s="13" t="str">
        <f>VLOOKUP(EdgesData[[#This Row],[Node A]],NodesData[],4,FALSE)</f>
        <v>46401F0E-29CA-47A3-A39A-0230CB771074</v>
      </c>
      <c r="D18" s="17" t="s">
        <v>1308</v>
      </c>
      <c r="E18" s="11" t="s">
        <v>1343</v>
      </c>
      <c r="G18" s="11" t="s">
        <v>1332</v>
      </c>
      <c r="H18" s="13" t="str">
        <f>VLOOKUP(EdgesData[[#This Row],[Node B]],NodesData[],4,FALSE)</f>
        <v>4C6DA97E-8091-41CA-B99C-4250D2678005</v>
      </c>
      <c r="I18" s="14" t="str" cm="1">
        <f t="array" ref="I18">CreateGuidString()</f>
        <v>ACF425C2-222C-4ACB-BEC5-7121E2BB20A3</v>
      </c>
    </row>
    <row r="19" spans="1:9" x14ac:dyDescent="0.35">
      <c r="A19" s="13" t="s">
        <v>1937</v>
      </c>
      <c r="B19" s="35">
        <f>COUNTIF(EdgesData[Edge ID],EdgesData[[#This Row],[Edge ID]])</f>
        <v>1</v>
      </c>
      <c r="C19" s="13" t="str">
        <f>VLOOKUP(EdgesData[[#This Row],[Node A]],NodesData[],4,FALSE)</f>
        <v>46401F0E-29CA-47A3-A39A-0230CB771074</v>
      </c>
      <c r="D19" s="16" t="s">
        <v>1308</v>
      </c>
      <c r="E19" s="11" t="s">
        <v>1343</v>
      </c>
      <c r="F19" s="11"/>
      <c r="G19" s="11" t="s">
        <v>618</v>
      </c>
      <c r="H19" s="13" t="str">
        <f>VLOOKUP(EdgesData[[#This Row],[Node B]],NodesData[],4,FALSE)</f>
        <v>A2967417-72BE-4537-BE1E-39E6298F5851</v>
      </c>
      <c r="I19" s="14" t="str" cm="1">
        <f t="array" ref="I19">CreateGuidString()</f>
        <v>1E4DE7F7-3410-4064-8D62-8AC2E7F5BDCB</v>
      </c>
    </row>
    <row r="20" spans="1:9" x14ac:dyDescent="0.35">
      <c r="A20" s="13" t="s">
        <v>1938</v>
      </c>
      <c r="B20" s="35">
        <f>COUNTIF(EdgesData[Edge ID],EdgesData[[#This Row],[Edge ID]])</f>
        <v>1</v>
      </c>
      <c r="C20" s="13" t="str">
        <f>VLOOKUP(EdgesData[[#This Row],[Node A]],NodesData[],4,FALSE)</f>
        <v>C92DDCBA-ED8B-4196-A9FF-C96029349FAC</v>
      </c>
      <c r="D20" s="17" t="s">
        <v>1309</v>
      </c>
      <c r="E20" s="11" t="s">
        <v>1343</v>
      </c>
      <c r="G20" s="11" t="s">
        <v>1332</v>
      </c>
      <c r="H20" s="13" t="str">
        <f>VLOOKUP(EdgesData[[#This Row],[Node B]],NodesData[],4,FALSE)</f>
        <v>4C6DA97E-8091-41CA-B99C-4250D2678005</v>
      </c>
      <c r="I20" s="14" t="str" cm="1">
        <f t="array" ref="I20">CreateGuidString()</f>
        <v>462DDE67-7793-438D-A9E1-E040880F0CBB</v>
      </c>
    </row>
    <row r="21" spans="1:9" x14ac:dyDescent="0.35">
      <c r="A21" s="13" t="s">
        <v>1939</v>
      </c>
      <c r="B21" s="35">
        <f>COUNTIF(EdgesData[Edge ID],EdgesData[[#This Row],[Edge ID]])</f>
        <v>1</v>
      </c>
      <c r="C21" s="13" t="str">
        <f>VLOOKUP(EdgesData[[#This Row],[Node A]],NodesData[],4,FALSE)</f>
        <v>C92DDCBA-ED8B-4196-A9FF-C96029349FAC</v>
      </c>
      <c r="D21" s="16" t="s">
        <v>1309</v>
      </c>
      <c r="E21" s="11" t="s">
        <v>1343</v>
      </c>
      <c r="G21" s="11" t="s">
        <v>618</v>
      </c>
      <c r="H21" s="13" t="str">
        <f>VLOOKUP(EdgesData[[#This Row],[Node B]],NodesData[],4,FALSE)</f>
        <v>A2967417-72BE-4537-BE1E-39E6298F5851</v>
      </c>
      <c r="I21" s="14" t="str" cm="1">
        <f t="array" ref="I21">CreateGuidString()</f>
        <v>9147DA1B-716C-4370-8349-27B0C4D8E137</v>
      </c>
    </row>
    <row r="22" spans="1:9" x14ac:dyDescent="0.35">
      <c r="A22" s="13" t="s">
        <v>1940</v>
      </c>
      <c r="B22" s="35">
        <f>COUNTIF(EdgesData[Edge ID],EdgesData[[#This Row],[Edge ID]])</f>
        <v>1</v>
      </c>
      <c r="C22" s="13" t="str">
        <f>VLOOKUP(EdgesData[[#This Row],[Node A]],NodesData[],4,FALSE)</f>
        <v>257D3082-7AF3-4464-9C5B-77B2D083B427</v>
      </c>
      <c r="D22" s="17" t="s">
        <v>1294</v>
      </c>
      <c r="E22" s="11" t="s">
        <v>1343</v>
      </c>
      <c r="G22" s="11" t="s">
        <v>0</v>
      </c>
      <c r="H22" s="13" t="str">
        <f>VLOOKUP(EdgesData[[#This Row],[Node B]],NodesData[],4,FALSE)</f>
        <v>A42E7343-FA4C-490A-A0A3-7F65FB188771</v>
      </c>
      <c r="I22" s="14" t="str" cm="1">
        <f t="array" ref="I22">CreateGuidString()</f>
        <v>07EB776F-7AFB-4196-BAAD-1955983C37AE</v>
      </c>
    </row>
    <row r="23" spans="1:9" x14ac:dyDescent="0.35">
      <c r="A23" s="13" t="s">
        <v>1941</v>
      </c>
      <c r="B23" s="35">
        <f>COUNTIF(EdgesData[Edge ID],EdgesData[[#This Row],[Edge ID]])</f>
        <v>1</v>
      </c>
      <c r="C23" s="13" t="str">
        <f>VLOOKUP(EdgesData[[#This Row],[Node A]],NodesData[],4,FALSE)</f>
        <v>BDF3CB39-431D-478C-A651-EBA1666F91C1</v>
      </c>
      <c r="D23" s="16" t="s">
        <v>1310</v>
      </c>
      <c r="E23" s="11" t="s">
        <v>1343</v>
      </c>
      <c r="G23" s="11" t="s">
        <v>1332</v>
      </c>
      <c r="H23" s="13" t="str">
        <f>VLOOKUP(EdgesData[[#This Row],[Node B]],NodesData[],4,FALSE)</f>
        <v>4C6DA97E-8091-41CA-B99C-4250D2678005</v>
      </c>
      <c r="I23" s="14" t="str" cm="1">
        <f t="array" ref="I23">CreateGuidString()</f>
        <v>9182F971-C8EF-4CE0-9C9B-2CA31842BEE1</v>
      </c>
    </row>
    <row r="24" spans="1:9" x14ac:dyDescent="0.35">
      <c r="A24" s="13" t="s">
        <v>1942</v>
      </c>
      <c r="B24" s="35">
        <f>COUNTIF(EdgesData[Edge ID],EdgesData[[#This Row],[Edge ID]])</f>
        <v>1</v>
      </c>
      <c r="C24" s="13" t="str">
        <f>VLOOKUP(EdgesData[[#This Row],[Node A]],NodesData[],4,FALSE)</f>
        <v>BDF3CB39-431D-478C-A651-EBA1666F91C1</v>
      </c>
      <c r="D24" s="17" t="s">
        <v>1310</v>
      </c>
      <c r="E24" s="11" t="s">
        <v>1343</v>
      </c>
      <c r="G24" s="11" t="s">
        <v>618</v>
      </c>
      <c r="H24" s="13" t="str">
        <f>VLOOKUP(EdgesData[[#This Row],[Node B]],NodesData[],4,FALSE)</f>
        <v>A2967417-72BE-4537-BE1E-39E6298F5851</v>
      </c>
      <c r="I24" s="14" t="str" cm="1">
        <f t="array" ref="I24">CreateGuidString()</f>
        <v>911F0665-DDA1-4886-817D-F259148022CA</v>
      </c>
    </row>
    <row r="25" spans="1:9" x14ac:dyDescent="0.35">
      <c r="A25" s="13" t="s">
        <v>1943</v>
      </c>
      <c r="B25" s="35">
        <f>COUNTIF(EdgesData[Edge ID],EdgesData[[#This Row],[Edge ID]])</f>
        <v>1</v>
      </c>
      <c r="C25" s="13" t="str">
        <f>VLOOKUP(EdgesData[[#This Row],[Node A]],NodesData[],4,FALSE)</f>
        <v>37CD23D4-9BFD-4A88-8D2B-CA84CE4FB78F</v>
      </c>
      <c r="D25" s="12" t="s">
        <v>1342</v>
      </c>
      <c r="E25" s="12" t="s">
        <v>1343</v>
      </c>
      <c r="G25" s="12" t="s">
        <v>1341</v>
      </c>
      <c r="H25" s="13" t="str">
        <f>VLOOKUP(EdgesData[[#This Row],[Node B]],NodesData[],4,FALSE)</f>
        <v>DB652713-5948-4322-8567-E5F6CB0440E8</v>
      </c>
      <c r="I25" s="14" t="str" cm="1">
        <f t="array" ref="I25">CreateGuidString()</f>
        <v>C7F4F378-9012-44FD-9610-142E7055C553</v>
      </c>
    </row>
    <row r="26" spans="1:9" x14ac:dyDescent="0.35">
      <c r="A26" s="13" t="s">
        <v>1944</v>
      </c>
      <c r="B26" s="35">
        <f>COUNTIF(EdgesData[Edge ID],EdgesData[[#This Row],[Edge ID]])</f>
        <v>1</v>
      </c>
      <c r="C26" s="13" t="str">
        <f>VLOOKUP(EdgesData[[#This Row],[Node A]],NodesData[],4,FALSE)</f>
        <v>5660B6DD-121E-4173-A110-7A4D00B3AB6A</v>
      </c>
      <c r="D26" s="12" t="s">
        <v>1344</v>
      </c>
      <c r="E26" s="12" t="s">
        <v>1343</v>
      </c>
      <c r="G26" s="12" t="s">
        <v>1341</v>
      </c>
      <c r="H26" s="13" t="str">
        <f>VLOOKUP(EdgesData[[#This Row],[Node B]],NodesData[],4,FALSE)</f>
        <v>DB652713-5948-4322-8567-E5F6CB0440E8</v>
      </c>
      <c r="I26" s="14" t="str" cm="1">
        <f t="array" ref="I26">CreateGuidString()</f>
        <v>379247CB-D303-4299-B095-6BA06E3655B7</v>
      </c>
    </row>
    <row r="27" spans="1:9" x14ac:dyDescent="0.35">
      <c r="A27" s="13" t="s">
        <v>1945</v>
      </c>
      <c r="B27" s="35">
        <f>COUNTIF(EdgesData[Edge ID],EdgesData[[#This Row],[Edge ID]])</f>
        <v>1</v>
      </c>
      <c r="C27" s="13" t="str">
        <f>VLOOKUP(EdgesData[[#This Row],[Node A]],NodesData[],4,FALSE)</f>
        <v>A4106055-17BD-4640-8746-5471A26FF444</v>
      </c>
      <c r="D27" s="12" t="s">
        <v>261</v>
      </c>
      <c r="E27" s="11" t="s">
        <v>1359</v>
      </c>
      <c r="G27" s="12" t="s">
        <v>1341</v>
      </c>
      <c r="H27" s="13" t="str">
        <f>VLOOKUP(EdgesData[[#This Row],[Node B]],NodesData[],4,FALSE)</f>
        <v>DB652713-5948-4322-8567-E5F6CB0440E8</v>
      </c>
      <c r="I27" s="14" t="str" cm="1">
        <f t="array" ref="I27">CreateGuidString()</f>
        <v>58516742-BDFB-4911-B546-C69551E8F832</v>
      </c>
    </row>
    <row r="28" spans="1:9" x14ac:dyDescent="0.35">
      <c r="A28" s="13" t="s">
        <v>1946</v>
      </c>
      <c r="B28" s="35">
        <f>COUNTIF(EdgesData[Edge ID],EdgesData[[#This Row],[Edge ID]])</f>
        <v>1</v>
      </c>
      <c r="C28" s="13" t="str">
        <f>VLOOKUP(EdgesData[[#This Row],[Node A]],NodesData[],4,FALSE)</f>
        <v>A4106055-17BD-4640-8746-5471A26FF444</v>
      </c>
      <c r="D28" s="12" t="s">
        <v>261</v>
      </c>
      <c r="E28" s="11" t="s">
        <v>1360</v>
      </c>
      <c r="G28" s="12" t="s">
        <v>1348</v>
      </c>
      <c r="H28" s="13" t="str">
        <f>VLOOKUP(EdgesData[[#This Row],[Node B]],NodesData[],4,FALSE)</f>
        <v>F6A0BA1D-4EAD-44AE-BB90-AAFC98899178</v>
      </c>
      <c r="I28" s="14" t="str" cm="1">
        <f t="array" ref="I28">CreateGuidString()</f>
        <v>3F35EE72-EF26-40E6-AD83-E3EFFFBE8004</v>
      </c>
    </row>
    <row r="29" spans="1:9" x14ac:dyDescent="0.35">
      <c r="A29" s="13" t="s">
        <v>1947</v>
      </c>
      <c r="B29" s="35">
        <f>COUNTIF(EdgesData[Edge ID],EdgesData[[#This Row],[Edge ID]])</f>
        <v>1</v>
      </c>
      <c r="C29" s="13" t="str">
        <f>VLOOKUP(EdgesData[[#This Row],[Node A]],NodesData[],4,FALSE)</f>
        <v>A4106055-17BD-4640-8746-5471A26FF444</v>
      </c>
      <c r="D29" s="12" t="s">
        <v>261</v>
      </c>
      <c r="E29" s="11" t="s">
        <v>1360</v>
      </c>
      <c r="G29" s="12" t="s">
        <v>1349</v>
      </c>
      <c r="H29" s="13" t="str">
        <f>VLOOKUP(EdgesData[[#This Row],[Node B]],NodesData[],4,FALSE)</f>
        <v>AFFF4DF7-5DE7-4EC2-B059-59963A26A6BD</v>
      </c>
      <c r="I29" s="14" t="str" cm="1">
        <f t="array" ref="I29">CreateGuidString()</f>
        <v>EFC19BFA-E154-4290-BE90-38868BCFF62F</v>
      </c>
    </row>
    <row r="30" spans="1:9" x14ac:dyDescent="0.35">
      <c r="A30" s="13" t="s">
        <v>1948</v>
      </c>
      <c r="B30" s="35">
        <f>COUNTIF(EdgesData[Edge ID],EdgesData[[#This Row],[Edge ID]])</f>
        <v>1</v>
      </c>
      <c r="C30" s="13" t="str">
        <f>VLOOKUP(EdgesData[[#This Row],[Node A]],NodesData[],4,FALSE)</f>
        <v>A4106055-17BD-4640-8746-5471A26FF444</v>
      </c>
      <c r="D30" s="12" t="s">
        <v>261</v>
      </c>
      <c r="E30" s="11" t="s">
        <v>1360</v>
      </c>
      <c r="G30" s="12" t="s">
        <v>1350</v>
      </c>
      <c r="H30" s="13" t="str">
        <f>VLOOKUP(EdgesData[[#This Row],[Node B]],NodesData[],4,FALSE)</f>
        <v>4414B2C4-B1F0-4BE8-A1D2-264AE3500755</v>
      </c>
      <c r="I30" s="14" t="str" cm="1">
        <f t="array" ref="I30">CreateGuidString()</f>
        <v>C131A76E-DF02-4483-9E69-C20F8B04EC83</v>
      </c>
    </row>
    <row r="31" spans="1:9" x14ac:dyDescent="0.35">
      <c r="A31" s="13" t="s">
        <v>1949</v>
      </c>
      <c r="B31" s="35">
        <f>COUNTIF(EdgesData[Edge ID],EdgesData[[#This Row],[Edge ID]])</f>
        <v>1</v>
      </c>
      <c r="C31" s="13" t="str">
        <f>VLOOKUP(EdgesData[[#This Row],[Node A]],NodesData[],4,FALSE)</f>
        <v>A4106055-17BD-4640-8746-5471A26FF444</v>
      </c>
      <c r="D31" s="12" t="s">
        <v>261</v>
      </c>
      <c r="E31" s="11" t="s">
        <v>1360</v>
      </c>
      <c r="G31" s="12" t="s">
        <v>1347</v>
      </c>
      <c r="H31" s="13" t="str">
        <f>VLOOKUP(EdgesData[[#This Row],[Node B]],NodesData[],4,FALSE)</f>
        <v>CBC6B9A3-AA38-40D4-865C-53E8DB7037F3</v>
      </c>
      <c r="I31" s="14" t="str" cm="1">
        <f t="array" ref="I31">CreateGuidString()</f>
        <v>286BD24E-847D-46DE-921B-06993F9B7479</v>
      </c>
    </row>
    <row r="32" spans="1:9" x14ac:dyDescent="0.35">
      <c r="A32" s="13" t="s">
        <v>1950</v>
      </c>
      <c r="B32" s="35">
        <f>COUNTIF(EdgesData[Edge ID],EdgesData[[#This Row],[Edge ID]])</f>
        <v>1</v>
      </c>
      <c r="C32" s="13" t="str">
        <f>VLOOKUP(EdgesData[[#This Row],[Node A]],NodesData[],4,FALSE)</f>
        <v>A4106055-17BD-4640-8746-5471A26FF444</v>
      </c>
      <c r="D32" s="12" t="s">
        <v>261</v>
      </c>
      <c r="E32" s="12" t="s">
        <v>1351</v>
      </c>
      <c r="G32" s="12" t="s">
        <v>1352</v>
      </c>
      <c r="H32" s="13" t="str">
        <f>VLOOKUP(EdgesData[[#This Row],[Node B]],NodesData[],4,FALSE)</f>
        <v>8A66FDF6-25FA-4400-8F76-04907B9F7088</v>
      </c>
      <c r="I32" s="14" t="str" cm="1">
        <f t="array" ref="I32">CreateGuidString()</f>
        <v>F4D85694-D77C-4730-8767-17ABDC889E3A</v>
      </c>
    </row>
    <row r="33" spans="1:9" x14ac:dyDescent="0.35">
      <c r="A33" s="13" t="s">
        <v>1951</v>
      </c>
      <c r="B33" s="35">
        <f>COUNTIF(EdgesData[Edge ID],EdgesData[[#This Row],[Edge ID]])</f>
        <v>1</v>
      </c>
      <c r="C33" s="13" t="str">
        <f>VLOOKUP(EdgesData[[#This Row],[Node A]],NodesData[],4,FALSE)</f>
        <v>824C4DE1-CB45-4357-8D71-3D7A9B20A1FE</v>
      </c>
      <c r="D33" s="11" t="s">
        <v>1311</v>
      </c>
      <c r="E33" s="11" t="s">
        <v>1363</v>
      </c>
      <c r="F33" s="11" t="s">
        <v>1362</v>
      </c>
      <c r="G33" s="11" t="s">
        <v>1312</v>
      </c>
      <c r="H33" s="13" t="str">
        <f>VLOOKUP(EdgesData[[#This Row],[Node B]],NodesData[],4,FALSE)</f>
        <v>B5825B69-4900-43C0-A761-B839CC2A150A</v>
      </c>
      <c r="I33" s="14" t="str" cm="1">
        <f t="array" ref="I33">CreateGuidString()</f>
        <v>183E600D-FA04-4EAB-BE8D-963FFB82D6B7</v>
      </c>
    </row>
    <row r="34" spans="1:9" x14ac:dyDescent="0.35">
      <c r="A34" s="13" t="s">
        <v>1952</v>
      </c>
      <c r="B34" s="35">
        <f>COUNTIF(EdgesData[Edge ID],EdgesData[[#This Row],[Edge ID]])</f>
        <v>1</v>
      </c>
      <c r="C34" s="13" t="str">
        <f>VLOOKUP(EdgesData[[#This Row],[Node A]],NodesData[],4,FALSE)</f>
        <v>824C4DE1-CB45-4357-8D71-3D7A9B20A1FE</v>
      </c>
      <c r="D34" s="16" t="s">
        <v>1311</v>
      </c>
      <c r="E34" s="11" t="s">
        <v>1343</v>
      </c>
      <c r="G34" s="11" t="s">
        <v>1332</v>
      </c>
      <c r="H34" s="13" t="str">
        <f>VLOOKUP(EdgesData[[#This Row],[Node B]],NodesData[],4,FALSE)</f>
        <v>4C6DA97E-8091-41CA-B99C-4250D2678005</v>
      </c>
      <c r="I34" s="14" t="str" cm="1">
        <f t="array" ref="I34">CreateGuidString()</f>
        <v>48FA3CD3-D310-4F93-865D-83C3BCA9AC85</v>
      </c>
    </row>
    <row r="35" spans="1:9" x14ac:dyDescent="0.35">
      <c r="A35" s="13" t="s">
        <v>1953</v>
      </c>
      <c r="B35" s="35">
        <f>COUNTIF(EdgesData[Edge ID],EdgesData[[#This Row],[Edge ID]])</f>
        <v>1</v>
      </c>
      <c r="C35" s="13" t="str">
        <f>VLOOKUP(EdgesData[[#This Row],[Node A]],NodesData[],4,FALSE)</f>
        <v>824C4DE1-CB45-4357-8D71-3D7A9B20A1FE</v>
      </c>
      <c r="D35" s="17" t="s">
        <v>1311</v>
      </c>
      <c r="E35" s="11" t="s">
        <v>1343</v>
      </c>
      <c r="G35" s="11" t="s">
        <v>618</v>
      </c>
      <c r="H35" s="13" t="str">
        <f>VLOOKUP(EdgesData[[#This Row],[Node B]],NodesData[],4,FALSE)</f>
        <v>A2967417-72BE-4537-BE1E-39E6298F5851</v>
      </c>
      <c r="I35" s="14" t="str" cm="1">
        <f t="array" ref="I35">CreateGuidString()</f>
        <v>BCCC560D-DE6C-4081-BD37-3A1F300DF47D</v>
      </c>
    </row>
    <row r="36" spans="1:9" x14ac:dyDescent="0.35">
      <c r="A36" s="13" t="s">
        <v>1954</v>
      </c>
      <c r="B36" s="35">
        <f>COUNTIF(EdgesData[Edge ID],EdgesData[[#This Row],[Edge ID]])</f>
        <v>1</v>
      </c>
      <c r="C36" s="13" t="str">
        <f>VLOOKUP(EdgesData[[#This Row],[Node A]],NodesData[],4,FALSE)</f>
        <v>8F045301-B949-47A7-B850-24BF7725F524</v>
      </c>
      <c r="D36" s="16" t="s">
        <v>2</v>
      </c>
      <c r="E36" s="11" t="s">
        <v>1343</v>
      </c>
      <c r="G36" s="11" t="s">
        <v>0</v>
      </c>
      <c r="H36" s="13" t="str">
        <f>VLOOKUP(EdgesData[[#This Row],[Node B]],NodesData[],4,FALSE)</f>
        <v>A42E7343-FA4C-490A-A0A3-7F65FB188771</v>
      </c>
      <c r="I36" s="14" t="str" cm="1">
        <f t="array" ref="I36">CreateGuidString()</f>
        <v>232EBB4F-218B-4CF6-AE54-1EEC03F10FA7</v>
      </c>
    </row>
    <row r="37" spans="1:9" x14ac:dyDescent="0.35">
      <c r="A37" s="13" t="s">
        <v>1955</v>
      </c>
      <c r="B37" s="35">
        <f>COUNTIF(EdgesData[Edge ID],EdgesData[[#This Row],[Edge ID]])</f>
        <v>1</v>
      </c>
      <c r="C37" s="13" t="str">
        <f>VLOOKUP(EdgesData[[#This Row],[Node A]],NodesData[],4,FALSE)</f>
        <v>935B2B66-22E7-4674-9564-5B7FE10D4526</v>
      </c>
      <c r="D37" s="17" t="s">
        <v>1313</v>
      </c>
      <c r="E37" s="11" t="s">
        <v>1343</v>
      </c>
      <c r="G37" s="11" t="s">
        <v>1332</v>
      </c>
      <c r="H37" s="13" t="str">
        <f>VLOOKUP(EdgesData[[#This Row],[Node B]],NodesData[],4,FALSE)</f>
        <v>4C6DA97E-8091-41CA-B99C-4250D2678005</v>
      </c>
      <c r="I37" s="14" t="str" cm="1">
        <f t="array" ref="I37">CreateGuidString()</f>
        <v>5C72756F-3320-43EA-88E5-138048851A00</v>
      </c>
    </row>
    <row r="38" spans="1:9" x14ac:dyDescent="0.35">
      <c r="A38" s="13" t="s">
        <v>1956</v>
      </c>
      <c r="B38" s="35">
        <f>COUNTIF(EdgesData[Edge ID],EdgesData[[#This Row],[Edge ID]])</f>
        <v>1</v>
      </c>
      <c r="C38" s="13" t="str">
        <f>VLOOKUP(EdgesData[[#This Row],[Node A]],NodesData[],4,FALSE)</f>
        <v>935B2B66-22E7-4674-9564-5B7FE10D4526</v>
      </c>
      <c r="D38" s="16" t="s">
        <v>1313</v>
      </c>
      <c r="E38" s="11" t="s">
        <v>1343</v>
      </c>
      <c r="G38" s="11" t="s">
        <v>618</v>
      </c>
      <c r="H38" s="13" t="str">
        <f>VLOOKUP(EdgesData[[#This Row],[Node B]],NodesData[],4,FALSE)</f>
        <v>A2967417-72BE-4537-BE1E-39E6298F5851</v>
      </c>
      <c r="I38" s="14" t="str" cm="1">
        <f t="array" ref="I38">CreateGuidString()</f>
        <v>8FA8BA60-4F2A-4BFD-A297-E4053CB17D73</v>
      </c>
    </row>
    <row r="39" spans="1:9" x14ac:dyDescent="0.35">
      <c r="A39" s="13" t="s">
        <v>1957</v>
      </c>
      <c r="B39" s="35">
        <f>COUNTIF(EdgesData[Edge ID],EdgesData[[#This Row],[Edge ID]])</f>
        <v>1</v>
      </c>
      <c r="C39" s="13" t="str">
        <f>VLOOKUP(EdgesData[[#This Row],[Node A]],NodesData[],4,FALSE)</f>
        <v>1D786316-F897-4DFF-8B41-5E1E1572959A</v>
      </c>
      <c r="D39" s="17" t="s">
        <v>1296</v>
      </c>
      <c r="E39" s="11" t="s">
        <v>1343</v>
      </c>
      <c r="G39" s="11" t="s">
        <v>0</v>
      </c>
      <c r="H39" s="13" t="str">
        <f>VLOOKUP(EdgesData[[#This Row],[Node B]],NodesData[],4,FALSE)</f>
        <v>A42E7343-FA4C-490A-A0A3-7F65FB188771</v>
      </c>
      <c r="I39" s="14" t="str" cm="1">
        <f t="array" ref="I39">CreateGuidString()</f>
        <v>43895014-FE0C-4117-87D5-FBF8AAF56D63</v>
      </c>
    </row>
    <row r="40" spans="1:9" x14ac:dyDescent="0.35">
      <c r="A40" s="13" t="s">
        <v>1958</v>
      </c>
      <c r="B40" s="35">
        <f>COUNTIF(EdgesData[Edge ID],EdgesData[[#This Row],[Edge ID]])</f>
        <v>1</v>
      </c>
      <c r="C40" s="13" t="str">
        <f>VLOOKUP(EdgesData[[#This Row],[Node A]],NodesData[],4,FALSE)</f>
        <v>BFC2B385-EAA5-409A-8F21-E3B07033449A</v>
      </c>
      <c r="D40" s="11" t="s">
        <v>1365</v>
      </c>
      <c r="E40" s="11" t="s">
        <v>1343</v>
      </c>
      <c r="G40" s="11" t="s">
        <v>1332</v>
      </c>
      <c r="H40" s="13" t="str">
        <f>VLOOKUP(EdgesData[[#This Row],[Node B]],NodesData[],4,FALSE)</f>
        <v>4C6DA97E-8091-41CA-B99C-4250D2678005</v>
      </c>
      <c r="I40" s="14" t="str" cm="1">
        <f t="array" ref="I40">CreateGuidString()</f>
        <v>8A776D00-32D8-4078-8B34-F55068F0FD47</v>
      </c>
    </row>
    <row r="41" spans="1:9" x14ac:dyDescent="0.35">
      <c r="A41" s="13" t="s">
        <v>1959</v>
      </c>
      <c r="B41" s="35">
        <f>COUNTIF(EdgesData[Edge ID],EdgesData[[#This Row],[Edge ID]])</f>
        <v>1</v>
      </c>
      <c r="C41" s="13" t="str">
        <f>VLOOKUP(EdgesData[[#This Row],[Node A]],NodesData[],4,FALSE)</f>
        <v>BFC2B385-EAA5-409A-8F21-E3B07033449A</v>
      </c>
      <c r="D41" s="11" t="s">
        <v>1365</v>
      </c>
      <c r="E41" s="11" t="s">
        <v>1343</v>
      </c>
      <c r="G41" s="11" t="s">
        <v>618</v>
      </c>
      <c r="H41" s="13" t="str">
        <f>VLOOKUP(EdgesData[[#This Row],[Node B]],NodesData[],4,FALSE)</f>
        <v>A2967417-72BE-4537-BE1E-39E6298F5851</v>
      </c>
      <c r="I41" s="14" t="str" cm="1">
        <f t="array" ref="I41">CreateGuidString()</f>
        <v>B292E7B1-1707-4B0B-BBE7-605D19444883</v>
      </c>
    </row>
    <row r="42" spans="1:9" x14ac:dyDescent="0.35">
      <c r="A42" s="13" t="s">
        <v>1960</v>
      </c>
      <c r="B42" s="35">
        <f>COUNTIF(EdgesData[Edge ID],EdgesData[[#This Row],[Edge ID]])</f>
        <v>1</v>
      </c>
      <c r="C42" s="13" t="str">
        <f>VLOOKUP(EdgesData[[#This Row],[Node A]],NodesData[],4,FALSE)</f>
        <v>087C6620-F50C-4D7E-B3DF-516DA675DD50</v>
      </c>
      <c r="D42" s="16" t="s">
        <v>1314</v>
      </c>
      <c r="E42" s="11" t="s">
        <v>1343</v>
      </c>
      <c r="G42" s="11" t="s">
        <v>1332</v>
      </c>
      <c r="H42" s="13" t="str">
        <f>VLOOKUP(EdgesData[[#This Row],[Node B]],NodesData[],4,FALSE)</f>
        <v>4C6DA97E-8091-41CA-B99C-4250D2678005</v>
      </c>
      <c r="I42" s="14" t="str" cm="1">
        <f t="array" ref="I42">CreateGuidString()</f>
        <v>33065C30-A3B9-4D0D-B5CC-ED8D767FBEC1</v>
      </c>
    </row>
    <row r="43" spans="1:9" x14ac:dyDescent="0.35">
      <c r="A43" s="13" t="s">
        <v>1961</v>
      </c>
      <c r="B43" s="35">
        <f>COUNTIF(EdgesData[Edge ID],EdgesData[[#This Row],[Edge ID]])</f>
        <v>1</v>
      </c>
      <c r="C43" s="13" t="str">
        <f>VLOOKUP(EdgesData[[#This Row],[Node A]],NodesData[],4,FALSE)</f>
        <v>087C6620-F50C-4D7E-B3DF-516DA675DD50</v>
      </c>
      <c r="D43" s="17" t="s">
        <v>1314</v>
      </c>
      <c r="E43" s="11" t="s">
        <v>1343</v>
      </c>
      <c r="G43" s="11" t="s">
        <v>618</v>
      </c>
      <c r="H43" s="13" t="str">
        <f>VLOOKUP(EdgesData[[#This Row],[Node B]],NodesData[],4,FALSE)</f>
        <v>A2967417-72BE-4537-BE1E-39E6298F5851</v>
      </c>
      <c r="I43" s="14" t="str" cm="1">
        <f t="array" ref="I43">CreateGuidString()</f>
        <v>C6BBD49A-A858-43A9-9337-8EB58F0C51B2</v>
      </c>
    </row>
    <row r="44" spans="1:9" x14ac:dyDescent="0.35">
      <c r="A44" s="13" t="s">
        <v>1962</v>
      </c>
      <c r="B44" s="35">
        <f>COUNTIF(EdgesData[Edge ID],EdgesData[[#This Row],[Edge ID]])</f>
        <v>1</v>
      </c>
      <c r="C44" s="13" t="str">
        <f>VLOOKUP(EdgesData[[#This Row],[Node A]],NodesData[],4,FALSE)</f>
        <v>4DAEE886-62B6-4A11-91E2-6CCC52E8C726</v>
      </c>
      <c r="D44" s="16" t="s">
        <v>1295</v>
      </c>
      <c r="E44" s="11" t="s">
        <v>1343</v>
      </c>
      <c r="G44" s="11" t="s">
        <v>0</v>
      </c>
      <c r="H44" s="13" t="str">
        <f>VLOOKUP(EdgesData[[#This Row],[Node B]],NodesData[],4,FALSE)</f>
        <v>A42E7343-FA4C-490A-A0A3-7F65FB188771</v>
      </c>
      <c r="I44" s="14" t="str" cm="1">
        <f t="array" ref="I44">CreateGuidString()</f>
        <v>FABAAE46-324C-4399-87DA-0B0EE767B29A</v>
      </c>
    </row>
    <row r="45" spans="1:9" x14ac:dyDescent="0.35">
      <c r="A45" s="13" t="s">
        <v>1963</v>
      </c>
      <c r="B45" s="35">
        <f>COUNTIF(EdgesData[Edge ID],EdgesData[[#This Row],[Edge ID]])</f>
        <v>1</v>
      </c>
      <c r="C45" s="13" t="str">
        <f>VLOOKUP(EdgesData[[#This Row],[Node A]],NodesData[],4,FALSE)</f>
        <v>DF8479E4-7ED0-4699-B624-53A022550DA0</v>
      </c>
      <c r="D45" s="17" t="s">
        <v>1297</v>
      </c>
      <c r="E45" s="11" t="s">
        <v>1343</v>
      </c>
      <c r="G45" s="11" t="s">
        <v>0</v>
      </c>
      <c r="H45" s="13" t="str">
        <f>VLOOKUP(EdgesData[[#This Row],[Node B]],NodesData[],4,FALSE)</f>
        <v>A42E7343-FA4C-490A-A0A3-7F65FB188771</v>
      </c>
      <c r="I45" s="14" t="str" cm="1">
        <f t="array" ref="I45">CreateGuidString()</f>
        <v>28500740-6EE6-4335-8EF3-39D42CD9EB16</v>
      </c>
    </row>
    <row r="46" spans="1:9" x14ac:dyDescent="0.35">
      <c r="A46" s="13" t="s">
        <v>1964</v>
      </c>
      <c r="B46" s="35">
        <f>COUNTIF(EdgesData[Edge ID],EdgesData[[#This Row],[Edge ID]])</f>
        <v>1</v>
      </c>
      <c r="C46" s="13" t="str">
        <f>VLOOKUP(EdgesData[[#This Row],[Node A]],NodesData[],4,FALSE)</f>
        <v>B5825B69-4900-43C0-A761-B839CC2A150A</v>
      </c>
      <c r="D46" s="16" t="s">
        <v>1312</v>
      </c>
      <c r="E46" s="11" t="s">
        <v>1343</v>
      </c>
      <c r="G46" s="11" t="s">
        <v>1332</v>
      </c>
      <c r="H46" s="13" t="str">
        <f>VLOOKUP(EdgesData[[#This Row],[Node B]],NodesData[],4,FALSE)</f>
        <v>4C6DA97E-8091-41CA-B99C-4250D2678005</v>
      </c>
      <c r="I46" s="14" t="str" cm="1">
        <f t="array" ref="I46">CreateGuidString()</f>
        <v>B0C857BE-9AD0-4BB2-BEF3-0102CD2627FD</v>
      </c>
    </row>
    <row r="47" spans="1:9" x14ac:dyDescent="0.35">
      <c r="A47" s="13" t="s">
        <v>1965</v>
      </c>
      <c r="B47" s="35">
        <f>COUNTIF(EdgesData[Edge ID],EdgesData[[#This Row],[Edge ID]])</f>
        <v>1</v>
      </c>
      <c r="C47" s="13" t="str">
        <f>VLOOKUP(EdgesData[[#This Row],[Node A]],NodesData[],4,FALSE)</f>
        <v>B5825B69-4900-43C0-A761-B839CC2A150A</v>
      </c>
      <c r="D47" s="17" t="s">
        <v>1312</v>
      </c>
      <c r="E47" s="11" t="s">
        <v>1343</v>
      </c>
      <c r="G47" s="11" t="s">
        <v>618</v>
      </c>
      <c r="H47" s="13" t="str">
        <f>VLOOKUP(EdgesData[[#This Row],[Node B]],NodesData[],4,FALSE)</f>
        <v>A2967417-72BE-4537-BE1E-39E6298F5851</v>
      </c>
      <c r="I47" s="14" t="str" cm="1">
        <f t="array" ref="I47">CreateGuidString()</f>
        <v>1A7AC49D-0F1C-47EE-BC58-AC3EAE721F57</v>
      </c>
    </row>
    <row r="48" spans="1:9" x14ac:dyDescent="0.35">
      <c r="A48" s="13" t="s">
        <v>1966</v>
      </c>
      <c r="B48" s="35">
        <f>COUNTIF(EdgesData[Edge ID],EdgesData[[#This Row],[Edge ID]])</f>
        <v>1</v>
      </c>
      <c r="C48" s="13" t="str">
        <f>VLOOKUP(EdgesData[[#This Row],[Node A]],NodesData[],4,FALSE)</f>
        <v>F308D789-DA7D-4E47-A5C3-2B03D6929447</v>
      </c>
      <c r="D48" s="16" t="s">
        <v>1315</v>
      </c>
      <c r="E48" s="11" t="s">
        <v>1343</v>
      </c>
      <c r="G48" s="11" t="s">
        <v>1332</v>
      </c>
      <c r="H48" s="13" t="str">
        <f>VLOOKUP(EdgesData[[#This Row],[Node B]],NodesData[],4,FALSE)</f>
        <v>4C6DA97E-8091-41CA-B99C-4250D2678005</v>
      </c>
      <c r="I48" s="14" t="str" cm="1">
        <f t="array" ref="I48">CreateGuidString()</f>
        <v>FCE6A6BB-8894-457D-8ABB-A0A449520297</v>
      </c>
    </row>
    <row r="49" spans="1:9" x14ac:dyDescent="0.35">
      <c r="A49" s="13" t="s">
        <v>1967</v>
      </c>
      <c r="B49" s="35">
        <f>COUNTIF(EdgesData[Edge ID],EdgesData[[#This Row],[Edge ID]])</f>
        <v>1</v>
      </c>
      <c r="C49" s="13" t="str">
        <f>VLOOKUP(EdgesData[[#This Row],[Node A]],NodesData[],4,FALSE)</f>
        <v>F308D789-DA7D-4E47-A5C3-2B03D6929447</v>
      </c>
      <c r="D49" s="17" t="s">
        <v>1315</v>
      </c>
      <c r="E49" s="11" t="s">
        <v>1343</v>
      </c>
      <c r="G49" s="11" t="s">
        <v>618</v>
      </c>
      <c r="H49" s="13" t="str">
        <f>VLOOKUP(EdgesData[[#This Row],[Node B]],NodesData[],4,FALSE)</f>
        <v>A2967417-72BE-4537-BE1E-39E6298F5851</v>
      </c>
      <c r="I49" s="14" t="str" cm="1">
        <f t="array" ref="I49">CreateGuidString()</f>
        <v>361CF5E5-A4E7-41F1-B5E0-BE5AA8CBC1AB</v>
      </c>
    </row>
    <row r="50" spans="1:9" x14ac:dyDescent="0.35">
      <c r="A50" s="13" t="s">
        <v>1968</v>
      </c>
      <c r="B50" s="35">
        <f>COUNTIF(EdgesData[Edge ID],EdgesData[[#This Row],[Edge ID]])</f>
        <v>1</v>
      </c>
      <c r="C50" s="13" t="str">
        <f>VLOOKUP(EdgesData[[#This Row],[Node A]],NodesData[],4,FALSE)</f>
        <v>3707A70E-88B7-4B6D-A934-0BC5EE398FF6</v>
      </c>
      <c r="D50" s="12" t="s">
        <v>4</v>
      </c>
      <c r="E50" s="12" t="s">
        <v>1343</v>
      </c>
      <c r="G50" s="18" t="s">
        <v>1380</v>
      </c>
      <c r="H50" s="28" t="str">
        <f>VLOOKUP(EdgesData[[#This Row],[Node B]],NodesData[],4,FALSE)</f>
        <v>AB661E2B-F23C-4C53-A2BC-043F66BD26F6</v>
      </c>
      <c r="I50" s="29" t="str" cm="1">
        <f t="array" ref="I50">CreateGuidString()</f>
        <v>26E77BE3-5EC8-4DB4-98EF-7A96B2955DEF</v>
      </c>
    </row>
    <row r="51" spans="1:9" x14ac:dyDescent="0.35">
      <c r="A51" s="13" t="s">
        <v>1969</v>
      </c>
      <c r="B51" s="35">
        <f>COUNTIF(EdgesData[Edge ID],EdgesData[[#This Row],[Edge ID]])</f>
        <v>1</v>
      </c>
      <c r="C51" s="13" t="str">
        <f>VLOOKUP(EdgesData[[#This Row],[Node A]],NodesData[],4,FALSE)</f>
        <v>AB661E2B-F23C-4C53-A2BC-043F66BD26F6</v>
      </c>
      <c r="D51" s="12" t="s">
        <v>1380</v>
      </c>
      <c r="E51" s="12" t="s">
        <v>1343</v>
      </c>
      <c r="G51" s="18" t="s">
        <v>1381</v>
      </c>
      <c r="H51" s="28" t="str">
        <f>VLOOKUP(EdgesData[[#This Row],[Node B]],NodesData[],4,FALSE)</f>
        <v>F6D05109-A8EB-4630-8070-A3DC00484ED2</v>
      </c>
      <c r="I51" s="29" t="str" cm="1">
        <f t="array" ref="I51">CreateGuidString()</f>
        <v>40665882-7B0C-4C43-80B9-296692AF819C</v>
      </c>
    </row>
    <row r="52" spans="1:9" x14ac:dyDescent="0.35">
      <c r="A52" s="13" t="s">
        <v>1970</v>
      </c>
      <c r="B52" s="35">
        <f>COUNTIF(EdgesData[Edge ID],EdgesData[[#This Row],[Edge ID]])</f>
        <v>1</v>
      </c>
      <c r="C52" s="13" t="str">
        <f>VLOOKUP(EdgesData[[#This Row],[Node A]],NodesData[],4,FALSE)</f>
        <v>3707A70E-88B7-4B6D-A934-0BC5EE398FF6</v>
      </c>
      <c r="D52" s="12" t="s">
        <v>4</v>
      </c>
      <c r="E52" s="12" t="s">
        <v>1382</v>
      </c>
      <c r="G52" s="18" t="s">
        <v>1396</v>
      </c>
      <c r="H52" s="28" t="str">
        <f>VLOOKUP(EdgesData[[#This Row],[Node B]],NodesData[],4,FALSE)</f>
        <v>5405E693-EB16-42E8-98EA-4E4BF4569BD9</v>
      </c>
      <c r="I52" s="29" t="str" cm="1">
        <f t="array" ref="I52">CreateGuidString()</f>
        <v>E6BF5314-2600-4444-8CED-A384480EC12C</v>
      </c>
    </row>
    <row r="53" spans="1:9" x14ac:dyDescent="0.35">
      <c r="A53" s="13" t="s">
        <v>1971</v>
      </c>
      <c r="B53" s="35">
        <f>COUNTIF(EdgesData[Edge ID],EdgesData[[#This Row],[Edge ID]])</f>
        <v>1</v>
      </c>
      <c r="C53" s="13" t="str">
        <f>VLOOKUP(EdgesData[[#This Row],[Node A]],NodesData[],4,FALSE)</f>
        <v>3707A70E-88B7-4B6D-A934-0BC5EE398FF6</v>
      </c>
      <c r="D53" s="12" t="s">
        <v>4</v>
      </c>
      <c r="E53" s="12" t="s">
        <v>1383</v>
      </c>
      <c r="G53" s="18" t="s">
        <v>1397</v>
      </c>
      <c r="H53" s="28" t="str">
        <f>VLOOKUP(EdgesData[[#This Row],[Node B]],NodesData[],4,FALSE)</f>
        <v>0356B816-5188-4965-B4D7-28144AB3745F</v>
      </c>
      <c r="I53" s="29" t="str" cm="1">
        <f t="array" ref="I53">CreateGuidString()</f>
        <v>DBEF589E-61B7-48CA-BF62-BE1EFE5B5B5F</v>
      </c>
    </row>
    <row r="54" spans="1:9" x14ac:dyDescent="0.35">
      <c r="A54" s="13" t="s">
        <v>1972</v>
      </c>
      <c r="B54" s="35">
        <f>COUNTIF(EdgesData[Edge ID],EdgesData[[#This Row],[Edge ID]])</f>
        <v>1</v>
      </c>
      <c r="C54" s="13" t="str">
        <f>VLOOKUP(EdgesData[[#This Row],[Node A]],NodesData[],4,FALSE)</f>
        <v>5405E693-EB16-42E8-98EA-4E4BF4569BD9</v>
      </c>
      <c r="D54" s="18" t="s">
        <v>1396</v>
      </c>
      <c r="E54" s="11" t="s">
        <v>1407</v>
      </c>
      <c r="G54" s="18" t="s">
        <v>1398</v>
      </c>
      <c r="H54" s="28" t="str">
        <f>VLOOKUP(EdgesData[[#This Row],[Node B]],NodesData[],4,FALSE)</f>
        <v>2BE2F561-5FF3-4301-82B7-39FF29CD650A</v>
      </c>
      <c r="I54" s="29" t="str" cm="1">
        <f t="array" ref="I54">CreateGuidString()</f>
        <v>D9F6340D-C755-478B-A8BA-B75B075E3FC8</v>
      </c>
    </row>
    <row r="55" spans="1:9" x14ac:dyDescent="0.35">
      <c r="A55" s="13" t="s">
        <v>1973</v>
      </c>
      <c r="B55" s="35">
        <f>COUNTIF(EdgesData[Edge ID],EdgesData[[#This Row],[Edge ID]])</f>
        <v>1</v>
      </c>
      <c r="C55" s="13" t="str">
        <f>VLOOKUP(EdgesData[[#This Row],[Node A]],NodesData[],4,FALSE)</f>
        <v>0356B816-5188-4965-B4D7-28144AB3745F</v>
      </c>
      <c r="D55" s="18" t="s">
        <v>1397</v>
      </c>
      <c r="E55" s="12" t="s">
        <v>1384</v>
      </c>
      <c r="G55" s="18" t="s">
        <v>1398</v>
      </c>
      <c r="H55" s="28" t="str">
        <f>VLOOKUP(EdgesData[[#This Row],[Node B]],NodesData[],4,FALSE)</f>
        <v>2BE2F561-5FF3-4301-82B7-39FF29CD650A</v>
      </c>
      <c r="I55" s="29" t="str" cm="1">
        <f t="array" ref="I55">CreateGuidString()</f>
        <v>624D8A78-15B2-4960-86BC-B962167A2B50</v>
      </c>
    </row>
    <row r="56" spans="1:9" x14ac:dyDescent="0.35">
      <c r="A56" s="13" t="s">
        <v>1974</v>
      </c>
      <c r="B56" s="35">
        <f>COUNTIF(EdgesData[Edge ID],EdgesData[[#This Row],[Edge ID]])</f>
        <v>1</v>
      </c>
      <c r="C56" s="13" t="str">
        <f>VLOOKUP(EdgesData[[#This Row],[Node A]],NodesData[],4,FALSE)</f>
        <v>5405E693-EB16-42E8-98EA-4E4BF4569BD9</v>
      </c>
      <c r="D56" s="18" t="s">
        <v>1396</v>
      </c>
      <c r="E56" s="12" t="s">
        <v>1385</v>
      </c>
      <c r="F56" s="12" t="s">
        <v>1362</v>
      </c>
      <c r="G56" s="18" t="s">
        <v>1397</v>
      </c>
      <c r="H56" s="28" t="str">
        <f>VLOOKUP(EdgesData[[#This Row],[Node B]],NodesData[],4,FALSE)</f>
        <v>0356B816-5188-4965-B4D7-28144AB3745F</v>
      </c>
      <c r="I56" s="29" t="str" cm="1">
        <f t="array" ref="I56">CreateGuidString()</f>
        <v>AC3D99D3-A737-46B2-8B00-7D9A3ABC113C</v>
      </c>
    </row>
    <row r="57" spans="1:9" x14ac:dyDescent="0.35">
      <c r="A57" s="13" t="s">
        <v>1975</v>
      </c>
      <c r="B57" s="35">
        <f>COUNTIF(EdgesData[Edge ID],EdgesData[[#This Row],[Edge ID]])</f>
        <v>1</v>
      </c>
      <c r="C57" s="13" t="str">
        <f>VLOOKUP(EdgesData[[#This Row],[Node A]],NodesData[],4,FALSE)</f>
        <v>DB35E690-DA61-4DD6-8BFE-3D6A2BCFD097</v>
      </c>
      <c r="D57" s="18" t="s">
        <v>1402</v>
      </c>
      <c r="E57" s="12" t="s">
        <v>1403</v>
      </c>
      <c r="G57" s="18" t="s">
        <v>1386</v>
      </c>
      <c r="H57" s="28" t="str">
        <f>VLOOKUP(EdgesData[[#This Row],[Node B]],NodesData[],4,FALSE)</f>
        <v>422E3DA9-1F9C-44DA-8A28-BF3685F5E402</v>
      </c>
      <c r="I57" s="29" t="str" cm="1">
        <f t="array" ref="I57">CreateGuidString()</f>
        <v>B8D2A8FF-158D-431C-B23D-8ABC12909059</v>
      </c>
    </row>
    <row r="58" spans="1:9" x14ac:dyDescent="0.35">
      <c r="A58" s="13" t="s">
        <v>1976</v>
      </c>
      <c r="B58" s="35">
        <f>COUNTIF(EdgesData[Edge ID],EdgesData[[#This Row],[Edge ID]])</f>
        <v>1</v>
      </c>
      <c r="C58" s="13" t="str">
        <f>VLOOKUP(EdgesData[[#This Row],[Node A]],NodesData[],4,FALSE)</f>
        <v>DB35E690-DA61-4DD6-8BFE-3D6A2BCFD097</v>
      </c>
      <c r="D58" s="18" t="s">
        <v>1402</v>
      </c>
      <c r="E58" s="12" t="s">
        <v>1403</v>
      </c>
      <c r="G58" s="18" t="s">
        <v>1387</v>
      </c>
      <c r="H58" s="28" t="str">
        <f>VLOOKUP(EdgesData[[#This Row],[Node B]],NodesData[],4,FALSE)</f>
        <v>972F900D-A7B8-411F-BF29-19B9F2169285</v>
      </c>
      <c r="I58" s="29" t="str" cm="1">
        <f t="array" ref="I58">CreateGuidString()</f>
        <v>FF977DA1-3B9C-47F7-BE05-A16485CB0D72</v>
      </c>
    </row>
    <row r="59" spans="1:9" x14ac:dyDescent="0.35">
      <c r="A59" s="13" t="s">
        <v>1977</v>
      </c>
      <c r="B59" s="35">
        <f>COUNTIF(EdgesData[Edge ID],EdgesData[[#This Row],[Edge ID]])</f>
        <v>1</v>
      </c>
      <c r="C59" s="13" t="str">
        <f>VLOOKUP(EdgesData[[#This Row],[Node A]],NodesData[],4,FALSE)</f>
        <v>DB35E690-DA61-4DD6-8BFE-3D6A2BCFD097</v>
      </c>
      <c r="D59" s="18" t="s">
        <v>1402</v>
      </c>
      <c r="E59" s="12" t="s">
        <v>1403</v>
      </c>
      <c r="G59" s="18" t="s">
        <v>1388</v>
      </c>
      <c r="H59" s="28" t="str">
        <f>VLOOKUP(EdgesData[[#This Row],[Node B]],NodesData[],4,FALSE)</f>
        <v>8AB3C29B-04F9-4068-85E6-82031382CE74</v>
      </c>
      <c r="I59" s="29" t="str" cm="1">
        <f t="array" ref="I59">CreateGuidString()</f>
        <v>0000618D-67F2-4990-801A-1E881520AF74</v>
      </c>
    </row>
    <row r="60" spans="1:9" x14ac:dyDescent="0.35">
      <c r="A60" s="13" t="s">
        <v>1978</v>
      </c>
      <c r="B60" s="35">
        <f>COUNTIF(EdgesData[Edge ID],EdgesData[[#This Row],[Edge ID]])</f>
        <v>1</v>
      </c>
      <c r="C60" s="13" t="str">
        <f>VLOOKUP(EdgesData[[#This Row],[Node A]],NodesData[],4,FALSE)</f>
        <v>5405E693-EB16-42E8-98EA-4E4BF4569BD9</v>
      </c>
      <c r="D60" s="18" t="s">
        <v>1396</v>
      </c>
      <c r="E60" s="12" t="s">
        <v>1389</v>
      </c>
      <c r="G60" s="18" t="s">
        <v>1399</v>
      </c>
      <c r="H60" s="28" t="str">
        <f>VLOOKUP(EdgesData[[#This Row],[Node B]],NodesData[],4,FALSE)</f>
        <v>5F148AC3-F899-4AC2-AEB2-C6CA6005999B</v>
      </c>
      <c r="I60" s="29" t="str" cm="1">
        <f t="array" ref="I60">CreateGuidString()</f>
        <v>9B287D99-25E1-4DA4-B3CF-D4B1DCB74C64</v>
      </c>
    </row>
    <row r="61" spans="1:9" x14ac:dyDescent="0.35">
      <c r="A61" s="13" t="s">
        <v>1979</v>
      </c>
      <c r="B61" s="35">
        <f>COUNTIF(EdgesData[Edge ID],EdgesData[[#This Row],[Edge ID]])</f>
        <v>1</v>
      </c>
      <c r="C61" s="13" t="str">
        <f>VLOOKUP(EdgesData[[#This Row],[Node A]],NodesData[],4,FALSE)</f>
        <v>0356B816-5188-4965-B4D7-28144AB3745F</v>
      </c>
      <c r="D61" s="18" t="s">
        <v>1397</v>
      </c>
      <c r="E61" s="12" t="s">
        <v>1400</v>
      </c>
      <c r="G61" s="18" t="s">
        <v>1399</v>
      </c>
      <c r="H61" s="28" t="str">
        <f>VLOOKUP(EdgesData[[#This Row],[Node B]],NodesData[],4,FALSE)</f>
        <v>5F148AC3-F899-4AC2-AEB2-C6CA6005999B</v>
      </c>
      <c r="I61" s="29" t="str" cm="1">
        <f t="array" ref="I61">CreateGuidString()</f>
        <v>C03B5509-A5F0-4A30-AE2C-799A6A30E031</v>
      </c>
    </row>
    <row r="62" spans="1:9" x14ac:dyDescent="0.35">
      <c r="A62" s="13" t="s">
        <v>1980</v>
      </c>
      <c r="B62" s="35">
        <f>COUNTIF(EdgesData[Edge ID],EdgesData[[#This Row],[Edge ID]])</f>
        <v>1</v>
      </c>
      <c r="C62" s="13" t="str">
        <f>VLOOKUP(EdgesData[[#This Row],[Node A]],NodesData[],4,FALSE)</f>
        <v>3707A70E-88B7-4B6D-A934-0BC5EE398FF6</v>
      </c>
      <c r="D62" s="12" t="s">
        <v>4</v>
      </c>
      <c r="E62" s="12" t="s">
        <v>1343</v>
      </c>
      <c r="G62" s="18" t="s">
        <v>1390</v>
      </c>
      <c r="H62" s="28" t="str">
        <f>VLOOKUP(EdgesData[[#This Row],[Node B]],NodesData[],4,FALSE)</f>
        <v>6989A549-F547-413E-9EFA-E4EFEF40B824</v>
      </c>
      <c r="I62" s="29" t="str" cm="1">
        <f t="array" ref="I62">CreateGuidString()</f>
        <v>C1A0FF6A-51A9-49F1-993D-6D626514246A</v>
      </c>
    </row>
    <row r="63" spans="1:9" x14ac:dyDescent="0.35">
      <c r="A63" s="13" t="s">
        <v>1981</v>
      </c>
      <c r="B63" s="35">
        <f>COUNTIF(EdgesData[Edge ID],EdgesData[[#This Row],[Edge ID]])</f>
        <v>1</v>
      </c>
      <c r="C63" s="13" t="str">
        <f>VLOOKUP(EdgesData[[#This Row],[Node A]],NodesData[],4,FALSE)</f>
        <v>5F148AC3-F899-4AC2-AEB2-C6CA6005999B</v>
      </c>
      <c r="D63" s="18" t="s">
        <v>1399</v>
      </c>
      <c r="E63" s="12" t="s">
        <v>1401</v>
      </c>
      <c r="G63" s="18" t="s">
        <v>1398</v>
      </c>
      <c r="H63" s="28" t="str">
        <f>VLOOKUP(EdgesData[[#This Row],[Node B]],NodesData[],4,FALSE)</f>
        <v>2BE2F561-5FF3-4301-82B7-39FF29CD650A</v>
      </c>
      <c r="I63" s="29" t="str" cm="1">
        <f t="array" ref="I63">CreateGuidString()</f>
        <v>355A97DF-7524-4AAD-9971-402E919670C5</v>
      </c>
    </row>
    <row r="64" spans="1:9" x14ac:dyDescent="0.35">
      <c r="A64" s="13" t="s">
        <v>1982</v>
      </c>
      <c r="B64" s="35">
        <f>COUNTIF(EdgesData[Edge ID],EdgesData[[#This Row],[Edge ID]])</f>
        <v>1</v>
      </c>
      <c r="C64" s="13" t="str">
        <f>VLOOKUP(EdgesData[[#This Row],[Node A]],NodesData[],4,FALSE)</f>
        <v>5405E693-EB16-42E8-98EA-4E4BF4569BD9</v>
      </c>
      <c r="D64" s="18" t="s">
        <v>1396</v>
      </c>
      <c r="E64" s="12" t="s">
        <v>1400</v>
      </c>
      <c r="G64" s="18" t="s">
        <v>1402</v>
      </c>
      <c r="H64" s="28" t="str">
        <f>VLOOKUP(EdgesData[[#This Row],[Node B]],NodesData[],4,FALSE)</f>
        <v>DB35E690-DA61-4DD6-8BFE-3D6A2BCFD097</v>
      </c>
      <c r="I64" s="29" t="str" cm="1">
        <f t="array" ref="I64">CreateGuidString()</f>
        <v>03C65088-C04C-48F0-BCF8-7C56E778D79A</v>
      </c>
    </row>
    <row r="65" spans="1:9" x14ac:dyDescent="0.35">
      <c r="A65" s="13" t="s">
        <v>1983</v>
      </c>
      <c r="B65" s="35">
        <f>COUNTIF(EdgesData[Edge ID],EdgesData[[#This Row],[Edge ID]])</f>
        <v>1</v>
      </c>
      <c r="C65" s="13" t="str">
        <f>VLOOKUP(EdgesData[[#This Row],[Node A]],NodesData[],4,FALSE)</f>
        <v>972F900D-A7B8-411F-BF29-19B9F2169285</v>
      </c>
      <c r="D65" s="18" t="s">
        <v>1387</v>
      </c>
      <c r="E65" s="12" t="s">
        <v>1354</v>
      </c>
      <c r="G65" s="18" t="s">
        <v>1397</v>
      </c>
      <c r="H65" s="28" t="str">
        <f>VLOOKUP(EdgesData[[#This Row],[Node B]],NodesData[],4,FALSE)</f>
        <v>0356B816-5188-4965-B4D7-28144AB3745F</v>
      </c>
      <c r="I65" s="29" t="str" cm="1">
        <f t="array" ref="I65">CreateGuidString()</f>
        <v>16C846ED-2379-48BF-B8E8-CA51AF983FE7</v>
      </c>
    </row>
    <row r="66" spans="1:9" x14ac:dyDescent="0.35">
      <c r="A66" s="13" t="s">
        <v>1984</v>
      </c>
      <c r="B66" s="35">
        <f>COUNTIF(EdgesData[Edge ID],EdgesData[[#This Row],[Edge ID]])</f>
        <v>1</v>
      </c>
      <c r="C66" s="28" t="str">
        <f>VLOOKUP(EdgesData[[#This Row],[Node A]],NodesData[],4,FALSE)</f>
        <v>3707A70E-88B7-4B6D-A934-0BC5EE398FF6</v>
      </c>
      <c r="D66" s="12" t="s">
        <v>4</v>
      </c>
      <c r="E66" s="11" t="s">
        <v>1406</v>
      </c>
      <c r="G66" s="18" t="s">
        <v>1398</v>
      </c>
      <c r="H66" s="28" t="str">
        <f>VLOOKUP(EdgesData[[#This Row],[Node B]],NodesData[],4,FALSE)</f>
        <v>2BE2F561-5FF3-4301-82B7-39FF29CD650A</v>
      </c>
      <c r="I66" s="29" t="str" cm="1">
        <f t="array" ref="I66">CreateGuidString()</f>
        <v>1C87EBE0-AB78-4669-86B6-15191BA0722D</v>
      </c>
    </row>
    <row r="67" spans="1:9" x14ac:dyDescent="0.35">
      <c r="A67" s="13" t="s">
        <v>1985</v>
      </c>
      <c r="B67" s="35">
        <f>COUNTIF(EdgesData[Edge ID],EdgesData[[#This Row],[Edge ID]])</f>
        <v>1</v>
      </c>
      <c r="C67" s="28" t="str">
        <f>VLOOKUP(EdgesData[[#This Row],[Node A]],NodesData[],4,FALSE)</f>
        <v>0356B816-5188-4965-B4D7-28144AB3745F</v>
      </c>
      <c r="D67" s="18" t="s">
        <v>1397</v>
      </c>
      <c r="E67" s="11" t="s">
        <v>1408</v>
      </c>
      <c r="G67" s="18" t="s">
        <v>1398</v>
      </c>
      <c r="H67" s="28" t="str">
        <f>VLOOKUP(EdgesData[[#This Row],[Node B]],NodesData[],4,FALSE)</f>
        <v>2BE2F561-5FF3-4301-82B7-39FF29CD650A</v>
      </c>
      <c r="I67" s="29" t="str" cm="1">
        <f t="array" ref="I67">CreateGuidString()</f>
        <v>99073CC5-247E-40C9-83CE-5529D6C81921</v>
      </c>
    </row>
    <row r="68" spans="1:9" x14ac:dyDescent="0.35">
      <c r="A68" s="13" t="s">
        <v>1986</v>
      </c>
      <c r="B68" s="35">
        <f>COUNTIF(EdgesData[Edge ID],EdgesData[[#This Row],[Edge ID]])</f>
        <v>1</v>
      </c>
      <c r="C68" s="28" t="str">
        <f>VLOOKUP(EdgesData[[#This Row],[Node A]],NodesData[],4,FALSE)</f>
        <v>3707A70E-88B7-4B6D-A934-0BC5EE398FF6</v>
      </c>
      <c r="D68" s="12" t="s">
        <v>4</v>
      </c>
      <c r="E68" s="11" t="s">
        <v>1413</v>
      </c>
      <c r="G68" s="15" t="s">
        <v>1414</v>
      </c>
      <c r="H68" s="28" t="str">
        <f>VLOOKUP(EdgesData[[#This Row],[Node B]],NodesData[],4,FALSE)</f>
        <v>3F14E556-DBD3-4DBF-AC75-33A3EE0A9EE2</v>
      </c>
      <c r="I68" s="29" t="str" cm="1">
        <f t="array" ref="I68">CreateGuidString()</f>
        <v>49121DE6-F842-494C-BE1B-909B0E2D43B7</v>
      </c>
    </row>
    <row r="69" spans="1:9" x14ac:dyDescent="0.35">
      <c r="A69" s="13" t="s">
        <v>1987</v>
      </c>
      <c r="B69" s="35">
        <f>COUNTIF(EdgesData[Edge ID],EdgesData[[#This Row],[Edge ID]])</f>
        <v>1</v>
      </c>
      <c r="C69" s="28" t="str">
        <f>VLOOKUP(EdgesData[[#This Row],[Node A]],NodesData[],4,FALSE)</f>
        <v>3F14E556-DBD3-4DBF-AC75-33A3EE0A9EE2</v>
      </c>
      <c r="D69" s="15" t="s">
        <v>1414</v>
      </c>
      <c r="E69" s="11" t="s">
        <v>1400</v>
      </c>
      <c r="G69" s="15" t="s">
        <v>1415</v>
      </c>
      <c r="H69" s="28" t="str">
        <f>VLOOKUP(EdgesData[[#This Row],[Node B]],NodesData[],4,FALSE)</f>
        <v>515EECD7-8927-46CD-B811-39535FB71778</v>
      </c>
      <c r="I69" s="29" t="str" cm="1">
        <f t="array" ref="I69">CreateGuidString()</f>
        <v>4FA39A2E-11DF-4646-9432-46173027F558</v>
      </c>
    </row>
    <row r="70" spans="1:9" x14ac:dyDescent="0.35">
      <c r="A70" s="13" t="s">
        <v>1988</v>
      </c>
      <c r="B70" s="35">
        <f>COUNTIF(EdgesData[Edge ID],EdgesData[[#This Row],[Edge ID]])</f>
        <v>1</v>
      </c>
      <c r="C70" s="28" t="str">
        <f>VLOOKUP(EdgesData[[#This Row],[Node A]],NodesData[],4,FALSE)</f>
        <v>515EECD7-8927-46CD-B811-39535FB71778</v>
      </c>
      <c r="D70" s="15" t="s">
        <v>1415</v>
      </c>
      <c r="E70" s="11" t="s">
        <v>1403</v>
      </c>
      <c r="G70" s="18" t="s">
        <v>1416</v>
      </c>
      <c r="H70" s="28" t="str">
        <f>VLOOKUP(EdgesData[[#This Row],[Node B]],NodesData[],4,FALSE)</f>
        <v>A1D6E2B6-1A6F-40D5-BEF5-85AFDA4C4E86</v>
      </c>
      <c r="I70" s="29" t="str" cm="1">
        <f t="array" ref="I70">CreateGuidString()</f>
        <v>816A61AA-E15A-457E-A2A2-884BEDEC2928</v>
      </c>
    </row>
    <row r="71" spans="1:9" x14ac:dyDescent="0.35">
      <c r="A71" s="13" t="s">
        <v>2003</v>
      </c>
      <c r="B71" s="43">
        <f>COUNTIF(EdgesData[Edge ID],EdgesData[[#This Row],[Edge ID]])</f>
        <v>1</v>
      </c>
      <c r="C71" s="28" t="str">
        <f>VLOOKUP(EdgesData[[#This Row],[Node A]],NodesData[],4,FALSE)</f>
        <v>2BE2F561-5FF3-4301-82B7-39FF29CD650A</v>
      </c>
      <c r="D71" s="18" t="s">
        <v>1398</v>
      </c>
      <c r="E71" s="12" t="s">
        <v>1343</v>
      </c>
      <c r="G71" s="18" t="s">
        <v>1991</v>
      </c>
      <c r="H71" s="28" t="str">
        <f>VLOOKUP(EdgesData[[#This Row],[Node B]],NodesData[],4,FALSE)</f>
        <v>7256DFFB-F727-40B1-B8CB-3E8ED7B93E61</v>
      </c>
      <c r="I71" s="29" t="str" cm="1">
        <f t="array" ref="I71">CreateGuidString()</f>
        <v>5F168986-E77E-4F33-91B1-EA2A80D27A62</v>
      </c>
    </row>
    <row r="72" spans="1:9" x14ac:dyDescent="0.35">
      <c r="A72" s="13" t="s">
        <v>2004</v>
      </c>
      <c r="B72" s="43">
        <f>COUNTIF(EdgesData[Edge ID],EdgesData[[#This Row],[Edge ID]])</f>
        <v>1</v>
      </c>
      <c r="C72" s="28" t="str">
        <f>VLOOKUP(EdgesData[[#This Row],[Node A]],NodesData[],4,FALSE)</f>
        <v>7256DFFB-F727-40B1-B8CB-3E8ED7B93E61</v>
      </c>
      <c r="D72" s="18" t="s">
        <v>1991</v>
      </c>
      <c r="E72" s="12" t="s">
        <v>1343</v>
      </c>
      <c r="G72" s="12" t="s">
        <v>658</v>
      </c>
      <c r="H72" s="28" t="str">
        <f>VLOOKUP(EdgesData[[#This Row],[Node B]],NodesData[],4,FALSE)</f>
        <v>D89DE997-64BE-4F19-B014-7995AF4D2FDF</v>
      </c>
      <c r="I72" s="29" t="str" cm="1">
        <f t="array" ref="I72">CreateGuidString()</f>
        <v>DD3E4086-9258-4CEC-AA71-60BBCA780A26</v>
      </c>
    </row>
    <row r="73" spans="1:9" x14ac:dyDescent="0.35">
      <c r="A73" s="13" t="s">
        <v>2005</v>
      </c>
      <c r="B73" s="43">
        <f>COUNTIF(EdgesData[Edge ID],EdgesData[[#This Row],[Edge ID]])</f>
        <v>1</v>
      </c>
      <c r="C73" s="28" t="str">
        <f>VLOOKUP(EdgesData[[#This Row],[Node A]],NodesData[],4,FALSE)</f>
        <v>D89DE997-64BE-4F19-B014-7995AF4D2FDF</v>
      </c>
      <c r="D73" s="12" t="s">
        <v>658</v>
      </c>
      <c r="E73" s="12" t="s">
        <v>1343</v>
      </c>
      <c r="G73" s="12" t="s">
        <v>148</v>
      </c>
      <c r="H73" s="28" t="str">
        <f>VLOOKUP(EdgesData[[#This Row],[Node B]],NodesData[],4,FALSE)</f>
        <v>E1435B14-CC90-490D-B94E-09B54D033ED7</v>
      </c>
      <c r="I73" s="29" t="str" cm="1">
        <f t="array" ref="I73">CreateGuidString()</f>
        <v>DE5D9227-B769-4D5A-8500-889A611D98E8</v>
      </c>
    </row>
    <row r="74" spans="1:9" x14ac:dyDescent="0.35">
      <c r="A74" s="13" t="s">
        <v>2006</v>
      </c>
      <c r="B74" s="43">
        <f>COUNTIF(EdgesData[Edge ID],EdgesData[[#This Row],[Edge ID]])</f>
        <v>1</v>
      </c>
      <c r="C74" s="28" t="str">
        <f>VLOOKUP(EdgesData[[#This Row],[Node A]],NodesData[],4,FALSE)</f>
        <v>8933951D-59FE-48AC-8006-052B2292DA85</v>
      </c>
      <c r="D74" s="12" t="s">
        <v>1994</v>
      </c>
      <c r="E74" s="12" t="s">
        <v>1343</v>
      </c>
      <c r="G74" s="12" t="s">
        <v>148</v>
      </c>
      <c r="H74" s="28" t="str">
        <f>VLOOKUP(EdgesData[[#This Row],[Node B]],NodesData[],4,FALSE)</f>
        <v>E1435B14-CC90-490D-B94E-09B54D033ED7</v>
      </c>
      <c r="I74" s="29" t="str" cm="1">
        <f t="array" ref="I74">CreateGuidString()</f>
        <v>5BF4A680-E4D0-43AF-B39E-023C875B56AE</v>
      </c>
    </row>
    <row r="75" spans="1:9" x14ac:dyDescent="0.35">
      <c r="A75" s="13" t="s">
        <v>2007</v>
      </c>
      <c r="B75" s="43">
        <f>COUNTIF(EdgesData[Edge ID],EdgesData[[#This Row],[Edge ID]])</f>
        <v>1</v>
      </c>
      <c r="C75" s="28" t="str">
        <f>VLOOKUP(EdgesData[[#This Row],[Node A]],NodesData[],4,FALSE)</f>
        <v>B9BC6707-084C-4264-ABDB-9F04C39AC188</v>
      </c>
      <c r="D75" s="12" t="s">
        <v>1989</v>
      </c>
      <c r="E75" s="12" t="s">
        <v>1343</v>
      </c>
      <c r="G75" s="12" t="s">
        <v>148</v>
      </c>
      <c r="H75" s="28" t="str">
        <f>VLOOKUP(EdgesData[[#This Row],[Node B]],NodesData[],4,FALSE)</f>
        <v>E1435B14-CC90-490D-B94E-09B54D033ED7</v>
      </c>
      <c r="I75" s="29" t="str" cm="1">
        <f t="array" ref="I75">CreateGuidString()</f>
        <v>5C157834-A0AC-4B72-874D-381E356D1427</v>
      </c>
    </row>
    <row r="76" spans="1:9" x14ac:dyDescent="0.35">
      <c r="A76" s="13" t="s">
        <v>2008</v>
      </c>
      <c r="B76" s="43">
        <f>COUNTIF(EdgesData[Edge ID],EdgesData[[#This Row],[Edge ID]])</f>
        <v>1</v>
      </c>
      <c r="C76" s="28" t="str">
        <f>VLOOKUP(EdgesData[[#This Row],[Node A]],NodesData[],4,FALSE)</f>
        <v>FFAF2EE1-D9DE-4B8B-8A9C-EA4BB61848BD</v>
      </c>
      <c r="D76" s="12" t="s">
        <v>1990</v>
      </c>
      <c r="E76" s="12" t="s">
        <v>1343</v>
      </c>
      <c r="G76" s="12" t="s">
        <v>148</v>
      </c>
      <c r="H76" s="28" t="str">
        <f>VLOOKUP(EdgesData[[#This Row],[Node B]],NodesData[],4,FALSE)</f>
        <v>E1435B14-CC90-490D-B94E-09B54D033ED7</v>
      </c>
      <c r="I76" s="29" t="str" cm="1">
        <f t="array" ref="I76">CreateGuidString()</f>
        <v>B169787F-142F-4F48-91D5-4E1631A209C3</v>
      </c>
    </row>
    <row r="77" spans="1:9" x14ac:dyDescent="0.35">
      <c r="A77" s="13" t="s">
        <v>2009</v>
      </c>
      <c r="B77" s="43">
        <f>COUNTIF(EdgesData[Edge ID],EdgesData[[#This Row],[Edge ID]])</f>
        <v>1</v>
      </c>
      <c r="C77" s="28" t="str">
        <f>VLOOKUP(EdgesData[[#This Row],[Node A]],NodesData[],4,FALSE)</f>
        <v>0D3BEAC3-BF18-4F5C-8CAC-2F389DE47B6A</v>
      </c>
      <c r="D77" s="12" t="s">
        <v>434</v>
      </c>
      <c r="E77" s="12" t="s">
        <v>1343</v>
      </c>
      <c r="G77" s="12" t="s">
        <v>1990</v>
      </c>
      <c r="H77" s="28" t="str">
        <f>VLOOKUP(EdgesData[[#This Row],[Node B]],NodesData[],4,FALSE)</f>
        <v>FFAF2EE1-D9DE-4B8B-8A9C-EA4BB61848BD</v>
      </c>
      <c r="I77" s="29" t="str" cm="1">
        <f t="array" ref="I77">CreateGuidString()</f>
        <v>172317F5-7551-4A51-B85B-0DAFEE004E16</v>
      </c>
    </row>
    <row r="78" spans="1:9" x14ac:dyDescent="0.35">
      <c r="A78" s="13" t="s">
        <v>2010</v>
      </c>
      <c r="B78" s="43">
        <f>COUNTIF(EdgesData[Edge ID],EdgesData[[#This Row],[Edge ID]])</f>
        <v>1</v>
      </c>
      <c r="C78" s="28" t="str">
        <f>VLOOKUP(EdgesData[[#This Row],[Node A]],NodesData[],4,FALSE)</f>
        <v>0D3BEAC3-BF18-4F5C-8CAC-2F389DE47B6A</v>
      </c>
      <c r="D78" s="12" t="s">
        <v>434</v>
      </c>
      <c r="E78" s="12" t="s">
        <v>1343</v>
      </c>
      <c r="G78" s="12" t="s">
        <v>1994</v>
      </c>
      <c r="H78" s="28" t="str">
        <f>VLOOKUP(EdgesData[[#This Row],[Node B]],NodesData[],4,FALSE)</f>
        <v>8933951D-59FE-48AC-8006-052B2292DA85</v>
      </c>
      <c r="I78" s="29" t="str" cm="1">
        <f t="array" ref="I78">CreateGuidString()</f>
        <v>DB7BF994-4210-4C32-9CBA-583C39FE5614</v>
      </c>
    </row>
    <row r="79" spans="1:9" x14ac:dyDescent="0.35">
      <c r="A79" s="13" t="s">
        <v>2011</v>
      </c>
      <c r="B79" s="43">
        <f>COUNTIF(EdgesData[Edge ID],EdgesData[[#This Row],[Edge ID]])</f>
        <v>1</v>
      </c>
      <c r="C79" s="28" t="str">
        <f>VLOOKUP(EdgesData[[#This Row],[Node A]],NodesData[],4,FALSE)</f>
        <v>21BF3343-85D6-4B23-ACBA-331CF49F8E96</v>
      </c>
      <c r="D79" s="12" t="s">
        <v>518</v>
      </c>
      <c r="E79" s="12" t="s">
        <v>1343</v>
      </c>
      <c r="G79" s="12" t="s">
        <v>658</v>
      </c>
      <c r="H79" s="28" t="str">
        <f>VLOOKUP(EdgesData[[#This Row],[Node B]],NodesData[],4,FALSE)</f>
        <v>D89DE997-64BE-4F19-B014-7995AF4D2FDF</v>
      </c>
      <c r="I79" s="29" t="str" cm="1">
        <f t="array" ref="I79">CreateGuidString()</f>
        <v>C09521E2-4E29-448A-9B5E-BAD855A6FC9D</v>
      </c>
    </row>
    <row r="80" spans="1:9" x14ac:dyDescent="0.35">
      <c r="A80" s="13" t="s">
        <v>2012</v>
      </c>
      <c r="B80" s="43">
        <f>COUNTIF(EdgesData[Edge ID],EdgesData[[#This Row],[Edge ID]])</f>
        <v>1</v>
      </c>
      <c r="C80" s="28" t="str">
        <f>VLOOKUP(EdgesData[[#This Row],[Node A]],NodesData[],4,FALSE)</f>
        <v>21BF3343-85D6-4B23-ACBA-331CF49F8E96</v>
      </c>
      <c r="D80" s="12" t="s">
        <v>518</v>
      </c>
      <c r="E80" s="12" t="s">
        <v>1343</v>
      </c>
      <c r="G80" s="12" t="s">
        <v>1990</v>
      </c>
      <c r="H80" s="28" t="str">
        <f>VLOOKUP(EdgesData[[#This Row],[Node B]],NodesData[],4,FALSE)</f>
        <v>FFAF2EE1-D9DE-4B8B-8A9C-EA4BB61848BD</v>
      </c>
      <c r="I80" s="29" t="str" cm="1">
        <f t="array" ref="I80">CreateGuidString()</f>
        <v>142CE4C1-7773-4488-BB24-CA0345911809</v>
      </c>
    </row>
    <row r="81" spans="1:9" x14ac:dyDescent="0.35">
      <c r="A81" s="13" t="s">
        <v>2013</v>
      </c>
      <c r="B81" s="43">
        <f>COUNTIF(EdgesData[Edge ID],EdgesData[[#This Row],[Edge ID]])</f>
        <v>1</v>
      </c>
      <c r="C81" s="28" t="str">
        <f>VLOOKUP(EdgesData[[#This Row],[Node A]],NodesData[],4,FALSE)</f>
        <v>7256DFFB-F727-40B1-B8CB-3E8ED7B93E61</v>
      </c>
      <c r="D81" s="18" t="s">
        <v>1991</v>
      </c>
      <c r="E81" s="12" t="s">
        <v>1343</v>
      </c>
      <c r="G81" s="12" t="s">
        <v>1990</v>
      </c>
      <c r="H81" s="28" t="str">
        <f>VLOOKUP(EdgesData[[#This Row],[Node B]],NodesData[],4,FALSE)</f>
        <v>FFAF2EE1-D9DE-4B8B-8A9C-EA4BB61848BD</v>
      </c>
      <c r="I81" s="29" t="str" cm="1">
        <f t="array" ref="I81">CreateGuidString()</f>
        <v>64363645-20C2-4118-8A43-16197D0B273F</v>
      </c>
    </row>
    <row r="82" spans="1:9" x14ac:dyDescent="0.35">
      <c r="A82" s="13" t="s">
        <v>2014</v>
      </c>
      <c r="B82" s="43">
        <f>COUNTIF(EdgesData[Edge ID],EdgesData[[#This Row],[Edge ID]])</f>
        <v>1</v>
      </c>
      <c r="C82" s="28" t="str">
        <f>VLOOKUP(EdgesData[[#This Row],[Node A]],NodesData[],4,FALSE)</f>
        <v>25323A0E-B290-48AC-A147-597F1DF61288</v>
      </c>
      <c r="D82" s="12" t="s">
        <v>1992</v>
      </c>
      <c r="E82" s="12" t="s">
        <v>1343</v>
      </c>
      <c r="G82" s="12" t="s">
        <v>1994</v>
      </c>
      <c r="H82" s="28" t="str">
        <f>VLOOKUP(EdgesData[[#This Row],[Node B]],NodesData[],4,FALSE)</f>
        <v>8933951D-59FE-48AC-8006-052B2292DA85</v>
      </c>
      <c r="I82" s="29" t="str" cm="1">
        <f t="array" ref="I82">CreateGuidString()</f>
        <v>C7F33B3E-E8A0-4C36-AEB3-0F4AAF16D526</v>
      </c>
    </row>
    <row r="83" spans="1:9" x14ac:dyDescent="0.35">
      <c r="A83" s="13" t="s">
        <v>2015</v>
      </c>
      <c r="B83" s="43">
        <f>COUNTIF(EdgesData[Edge ID],EdgesData[[#This Row],[Edge ID]])</f>
        <v>1</v>
      </c>
      <c r="C83" s="28" t="str">
        <f>VLOOKUP(EdgesData[[#This Row],[Node A]],NodesData[],4,FALSE)</f>
        <v>25323A0E-B290-48AC-A147-597F1DF61288</v>
      </c>
      <c r="D83" s="12" t="s">
        <v>1992</v>
      </c>
      <c r="E83" s="12" t="s">
        <v>1343</v>
      </c>
      <c r="G83" s="12" t="s">
        <v>1990</v>
      </c>
      <c r="H83" s="28" t="str">
        <f>VLOOKUP(EdgesData[[#This Row],[Node B]],NodesData[],4,FALSE)</f>
        <v>FFAF2EE1-D9DE-4B8B-8A9C-EA4BB61848BD</v>
      </c>
      <c r="I83" s="29" t="str" cm="1">
        <f t="array" ref="I83">CreateGuidString()</f>
        <v>A961B21D-25E5-4F52-83DC-48A0A527EE3C</v>
      </c>
    </row>
    <row r="84" spans="1:9" x14ac:dyDescent="0.35">
      <c r="A84" s="13" t="s">
        <v>2016</v>
      </c>
      <c r="B84" s="43">
        <f>COUNTIF(EdgesData[Edge ID],EdgesData[[#This Row],[Edge ID]])</f>
        <v>1</v>
      </c>
      <c r="C84" s="28" t="str">
        <f>VLOOKUP(EdgesData[[#This Row],[Node A]],NodesData[],4,FALSE)</f>
        <v>01F6A80A-3190-462D-BEEB-328CC562A345</v>
      </c>
      <c r="D84" s="12" t="s">
        <v>1993</v>
      </c>
      <c r="E84" s="12" t="s">
        <v>1343</v>
      </c>
      <c r="G84" s="12" t="s">
        <v>1994</v>
      </c>
      <c r="H84" s="28" t="str">
        <f>VLOOKUP(EdgesData[[#This Row],[Node B]],NodesData[],4,FALSE)</f>
        <v>8933951D-59FE-48AC-8006-052B2292DA85</v>
      </c>
      <c r="I84" s="29" t="str" cm="1">
        <f t="array" ref="I84">CreateGuidString()</f>
        <v>A3A83BDB-BBEE-4294-AE65-C57A875F7714</v>
      </c>
    </row>
    <row r="85" spans="1:9" x14ac:dyDescent="0.35">
      <c r="A85" s="13" t="s">
        <v>2017</v>
      </c>
      <c r="B85" s="43">
        <f>COUNTIF(EdgesData[Edge ID],EdgesData[[#This Row],[Edge ID]])</f>
        <v>1</v>
      </c>
      <c r="C85" s="28" t="str">
        <f>VLOOKUP(EdgesData[[#This Row],[Node A]],NodesData[],4,FALSE)</f>
        <v>01F6A80A-3190-462D-BEEB-328CC562A345</v>
      </c>
      <c r="D85" s="12" t="s">
        <v>1993</v>
      </c>
      <c r="E85" s="12" t="s">
        <v>1343</v>
      </c>
      <c r="G85" s="12" t="s">
        <v>1990</v>
      </c>
      <c r="H85" s="28" t="str">
        <f>VLOOKUP(EdgesData[[#This Row],[Node B]],NodesData[],4,FALSE)</f>
        <v>FFAF2EE1-D9DE-4B8B-8A9C-EA4BB61848BD</v>
      </c>
      <c r="I85" s="29" t="str" cm="1">
        <f t="array" ref="I85">CreateGuidString()</f>
        <v>11D55571-665E-4CCA-B449-C292219C2AAD</v>
      </c>
    </row>
    <row r="86" spans="1:9" x14ac:dyDescent="0.35">
      <c r="A86" s="13"/>
      <c r="B86" s="43">
        <f>COUNTIF(EdgesData[Edge ID],EdgesData[[#This Row],[Edge ID]])</f>
        <v>0</v>
      </c>
      <c r="C86" s="28" t="e">
        <f>VLOOKUP(EdgesData[[#This Row],[Node A]],NodesData[],4,FALSE)</f>
        <v>#N/A</v>
      </c>
      <c r="D86" s="12" t="s">
        <v>2018</v>
      </c>
      <c r="E86" s="12" t="s">
        <v>1364</v>
      </c>
      <c r="G86" s="18" t="s">
        <v>2019</v>
      </c>
      <c r="H86" s="28" t="e">
        <f>VLOOKUP(EdgesData[[#This Row],[Node B]],NodesData[],4,FALSE)</f>
        <v>#N/A</v>
      </c>
      <c r="I86" s="29" t="str" cm="1">
        <f t="array" ref="I86">CreateGuidString()</f>
        <v>570C8081-760B-46E7-A4E3-46CA035AC508</v>
      </c>
    </row>
    <row r="87" spans="1:9" x14ac:dyDescent="0.35">
      <c r="A87" s="13"/>
      <c r="B87" s="43">
        <f>COUNTIF(EdgesData[Edge ID],EdgesData[[#This Row],[Edge ID]])</f>
        <v>0</v>
      </c>
      <c r="C87" s="28" t="e">
        <f>VLOOKUP(EdgesData[[#This Row],[Node A]],NodesData[],4,FALSE)</f>
        <v>#N/A</v>
      </c>
      <c r="D87" s="18" t="s">
        <v>2019</v>
      </c>
      <c r="E87" s="12" t="s">
        <v>1343</v>
      </c>
      <c r="G87" s="18" t="s">
        <v>662</v>
      </c>
      <c r="H87" s="28" t="str">
        <f>VLOOKUP(EdgesData[[#This Row],[Node B]],NodesData[],4,FALSE)</f>
        <v>E8038D29-14AE-41B6-AC04-25F2B42A97CD</v>
      </c>
      <c r="I87" s="29" t="str" cm="1">
        <f t="array" ref="I87">CreateGuidString()</f>
        <v>4B9176D9-C38A-47AB-BA00-E24CA4E34E81</v>
      </c>
    </row>
    <row r="88" spans="1:9" x14ac:dyDescent="0.35">
      <c r="A88" s="13"/>
      <c r="B88" s="43">
        <f>COUNTIF(EdgesData[Edge ID],EdgesData[[#This Row],[Edge ID]])</f>
        <v>0</v>
      </c>
      <c r="C88" s="28" t="e">
        <f>VLOOKUP(EdgesData[[#This Row],[Node A]],NodesData[],4,FALSE)</f>
        <v>#N/A</v>
      </c>
      <c r="D88" s="18" t="s">
        <v>2019</v>
      </c>
      <c r="E88" s="12" t="s">
        <v>2021</v>
      </c>
      <c r="G88" s="18" t="s">
        <v>2020</v>
      </c>
      <c r="H88" s="28" t="e">
        <f>VLOOKUP(EdgesData[[#This Row],[Node B]],NodesData[],4,FALSE)</f>
        <v>#N/A</v>
      </c>
      <c r="I88" s="29" t="str" cm="1">
        <f t="array" ref="I88">CreateGuidString()</f>
        <v>0C331FD4-64B6-4CBD-8EB3-8C630FB0DB21</v>
      </c>
    </row>
    <row r="89" spans="1:9" x14ac:dyDescent="0.35">
      <c r="A89" s="13"/>
      <c r="B89" s="43">
        <f>COUNTIF(EdgesData[Edge ID],EdgesData[[#This Row],[Edge ID]])</f>
        <v>0</v>
      </c>
      <c r="C89" s="28" t="e">
        <f>VLOOKUP(EdgesData[[#This Row],[Node A]],NodesData[],4,FALSE)</f>
        <v>#N/A</v>
      </c>
      <c r="D89" s="18" t="s">
        <v>2019</v>
      </c>
      <c r="E89" s="12" t="s">
        <v>2022</v>
      </c>
      <c r="G89" s="18" t="s">
        <v>1128</v>
      </c>
      <c r="H89" s="28" t="str">
        <f>VLOOKUP(EdgesData[[#This Row],[Node B]],NodesData[],4,FALSE)</f>
        <v>B2C6C1CF-A55F-46DF-B4F4-5EA1CE8E7DE2</v>
      </c>
      <c r="I89" s="29" t="str" cm="1">
        <f t="array" ref="I89">CreateGuidString()</f>
        <v>3B9F275C-C1B6-45E1-B243-88ACEE37D8F7</v>
      </c>
    </row>
    <row r="90" spans="1:9" x14ac:dyDescent="0.35">
      <c r="A90" s="13"/>
      <c r="B90" s="43">
        <f>COUNTIF(EdgesData[Edge ID],EdgesData[[#This Row],[Edge ID]])</f>
        <v>0</v>
      </c>
      <c r="C90" s="28" t="e">
        <f>VLOOKUP(EdgesData[[#This Row],[Node A]],NodesData[],4,FALSE)</f>
        <v>#N/A</v>
      </c>
      <c r="D90" s="18" t="s">
        <v>2019</v>
      </c>
      <c r="E90" s="12" t="s">
        <v>2023</v>
      </c>
      <c r="G90" s="18" t="s">
        <v>2024</v>
      </c>
      <c r="H90" s="28" t="e">
        <f>VLOOKUP(EdgesData[[#This Row],[Node B]],NodesData[],4,FALSE)</f>
        <v>#N/A</v>
      </c>
      <c r="I90" s="29" t="str" cm="1">
        <f t="array" ref="I90">CreateGuidString()</f>
        <v>F287C99C-AE87-4C17-BFBE-B684FABF306E</v>
      </c>
    </row>
    <row r="91" spans="1:9" x14ac:dyDescent="0.35">
      <c r="A91" s="13"/>
      <c r="B91" s="43">
        <f>COUNTIF(EdgesData[Edge ID],EdgesData[[#This Row],[Edge ID]])</f>
        <v>0</v>
      </c>
      <c r="C91" s="28" t="e">
        <f>VLOOKUP(EdgesData[[#This Row],[Node A]],NodesData[],4,FALSE)</f>
        <v>#N/A</v>
      </c>
      <c r="D91" s="18" t="s">
        <v>2025</v>
      </c>
      <c r="E91" s="12" t="s">
        <v>2027</v>
      </c>
      <c r="G91" s="18" t="s">
        <v>2026</v>
      </c>
      <c r="H91" s="28" t="e">
        <f>VLOOKUP(EdgesData[[#This Row],[Node B]],NodesData[],4,FALSE)</f>
        <v>#N/A</v>
      </c>
      <c r="I91" s="29" t="str" cm="1">
        <f t="array" ref="I91">CreateGuidString()</f>
        <v>1E1BC92D-09C0-4A82-A800-057D20AFB66C</v>
      </c>
    </row>
    <row r="92" spans="1:9" x14ac:dyDescent="0.35">
      <c r="A92" s="13"/>
      <c r="B92" s="43">
        <f>COUNTIF(EdgesData[Edge ID],EdgesData[[#This Row],[Edge ID]])</f>
        <v>0</v>
      </c>
      <c r="C92" s="28" t="e">
        <f>VLOOKUP(EdgesData[[#This Row],[Node A]],NodesData[],4,FALSE)</f>
        <v>#N/A</v>
      </c>
      <c r="D92" s="18" t="s">
        <v>2019</v>
      </c>
      <c r="E92" s="12" t="s">
        <v>2029</v>
      </c>
      <c r="G92" s="18" t="s">
        <v>2028</v>
      </c>
      <c r="H92" s="28" t="e">
        <f>VLOOKUP(EdgesData[[#This Row],[Node B]],NodesData[],4,FALSE)</f>
        <v>#N/A</v>
      </c>
      <c r="I92" s="29" t="str" cm="1">
        <f t="array" ref="I92">CreateGuidString()</f>
        <v>1E6111DF-61F7-40AE-B45F-EC9A615FF174</v>
      </c>
    </row>
    <row r="93" spans="1:9" x14ac:dyDescent="0.35">
      <c r="A93" s="13"/>
      <c r="B93" s="43">
        <f>COUNTIF(EdgesData[Edge ID],EdgesData[[#This Row],[Edge ID]])</f>
        <v>0</v>
      </c>
      <c r="C93" s="28" t="e">
        <f>VLOOKUP(EdgesData[[#This Row],[Node A]],NodesData[],4,FALSE)</f>
        <v>#N/A</v>
      </c>
      <c r="D93" s="18" t="s">
        <v>2030</v>
      </c>
      <c r="E93" s="12" t="s">
        <v>2031</v>
      </c>
      <c r="G93" s="18" t="s">
        <v>2028</v>
      </c>
      <c r="H93" s="28" t="e">
        <f>VLOOKUP(EdgesData[[#This Row],[Node B]],NodesData[],4,FALSE)</f>
        <v>#N/A</v>
      </c>
      <c r="I93" s="29" t="str" cm="1">
        <f t="array" ref="I93">CreateGuidString()</f>
        <v>0258F7BC-7D4F-49E2-B647-1CA50C1AA6BF</v>
      </c>
    </row>
    <row r="94" spans="1:9" x14ac:dyDescent="0.35">
      <c r="A94" s="13"/>
      <c r="B94" s="43">
        <f>COUNTIF(EdgesData[Edge ID],EdgesData[[#This Row],[Edge ID]])</f>
        <v>0</v>
      </c>
      <c r="C94" s="28" t="e">
        <f>VLOOKUP(EdgesData[[#This Row],[Node A]],NodesData[],4,FALSE)</f>
        <v>#N/A</v>
      </c>
      <c r="D94" s="18" t="s">
        <v>2030</v>
      </c>
      <c r="E94" s="12" t="s">
        <v>2031</v>
      </c>
      <c r="G94" s="18" t="s">
        <v>2026</v>
      </c>
      <c r="H94" s="28" t="e">
        <f>VLOOKUP(EdgesData[[#This Row],[Node B]],NodesData[],4,FALSE)</f>
        <v>#N/A</v>
      </c>
      <c r="I94" s="29" t="str" cm="1">
        <f t="array" ref="I94">CreateGuidString()</f>
        <v>4E76C07C-E27C-44C2-90CC-38852BA14A1D</v>
      </c>
    </row>
    <row r="95" spans="1:9" x14ac:dyDescent="0.35">
      <c r="A95" s="13"/>
      <c r="B95" s="43">
        <f>COUNTIF(EdgesData[Edge ID],EdgesData[[#This Row],[Edge ID]])</f>
        <v>0</v>
      </c>
      <c r="C95" s="28" t="e">
        <f>VLOOKUP(EdgesData[[#This Row],[Node A]],NodesData[],4,FALSE)</f>
        <v>#N/A</v>
      </c>
      <c r="D95" s="18" t="s">
        <v>2019</v>
      </c>
      <c r="E95" s="12" t="s">
        <v>2032</v>
      </c>
      <c r="G95" s="18" t="s">
        <v>2030</v>
      </c>
      <c r="H95" s="28" t="e">
        <f>VLOOKUP(EdgesData[[#This Row],[Node B]],NodesData[],4,FALSE)</f>
        <v>#N/A</v>
      </c>
      <c r="I95" s="29" t="str" cm="1">
        <f t="array" ref="I95">CreateGuidString()</f>
        <v>AD0DA802-1E84-40F2-8C93-6B60B6E69FA9</v>
      </c>
    </row>
    <row r="96" spans="1:9" x14ac:dyDescent="0.35">
      <c r="A96" s="13"/>
      <c r="B96" s="43">
        <f>COUNTIF(EdgesData[Edge ID],EdgesData[[#This Row],[Edge ID]])</f>
        <v>0</v>
      </c>
      <c r="C96" s="28" t="e">
        <f>VLOOKUP(EdgesData[[#This Row],[Node A]],NodesData[],4,FALSE)</f>
        <v>#N/A</v>
      </c>
      <c r="D96" s="18" t="s">
        <v>2028</v>
      </c>
      <c r="E96" s="12" t="s">
        <v>2031</v>
      </c>
      <c r="G96" s="18" t="s">
        <v>2033</v>
      </c>
      <c r="H96" s="28" t="e">
        <f>VLOOKUP(EdgesData[[#This Row],[Node B]],NodesData[],4,FALSE)</f>
        <v>#N/A</v>
      </c>
      <c r="I96" s="29" t="str" cm="1">
        <f t="array" ref="I96">CreateGuidString()</f>
        <v>D1D84F40-89E3-4AA3-8FAC-B8B7F5D46579</v>
      </c>
    </row>
    <row r="97" spans="1:9" x14ac:dyDescent="0.35">
      <c r="A97" s="13"/>
      <c r="B97" s="43">
        <f>COUNTIF(EdgesData[Edge ID],EdgesData[[#This Row],[Edge ID]])</f>
        <v>0</v>
      </c>
      <c r="C97" s="28" t="e">
        <f>VLOOKUP(EdgesData[[#This Row],[Node A]],NodesData[],4,FALSE)</f>
        <v>#N/A</v>
      </c>
      <c r="D97" s="18" t="s">
        <v>2033</v>
      </c>
      <c r="E97" s="12" t="s">
        <v>2031</v>
      </c>
      <c r="G97" s="18" t="s">
        <v>2025</v>
      </c>
      <c r="H97" s="28" t="e">
        <f>VLOOKUP(EdgesData[[#This Row],[Node B]],NodesData[],4,FALSE)</f>
        <v>#N/A</v>
      </c>
      <c r="I97" s="29" t="str" cm="1">
        <f t="array" ref="I97">CreateGuidString()</f>
        <v>71B90464-05C8-4F8E-9E8B-49E8D11D00C0</v>
      </c>
    </row>
    <row r="98" spans="1:9" x14ac:dyDescent="0.35">
      <c r="A98" s="13"/>
      <c r="B98" s="43">
        <f>COUNTIF(EdgesData[Edge ID],EdgesData[[#This Row],[Edge ID]])</f>
        <v>0</v>
      </c>
      <c r="C98" s="28" t="e">
        <f>VLOOKUP(EdgesData[[#This Row],[Node A]],NodesData[],4,FALSE)</f>
        <v>#N/A</v>
      </c>
      <c r="D98" s="18" t="s">
        <v>2019</v>
      </c>
      <c r="E98" s="12" t="s">
        <v>2034</v>
      </c>
      <c r="G98" s="18" t="s">
        <v>2035</v>
      </c>
      <c r="H98" s="28" t="e">
        <f>VLOOKUP(EdgesData[[#This Row],[Node B]],NodesData[],4,FALSE)</f>
        <v>#N/A</v>
      </c>
      <c r="I98" s="29" t="str" cm="1">
        <f t="array" ref="I98">CreateGuidString()</f>
        <v>A14ACC6F-8DAE-4034-A9D2-6F7F274EAA34</v>
      </c>
    </row>
    <row r="99" spans="1:9" x14ac:dyDescent="0.35">
      <c r="A99" s="13"/>
      <c r="B99" s="43">
        <f>COUNTIF(EdgesData[Edge ID],EdgesData[[#This Row],[Edge ID]])</f>
        <v>0</v>
      </c>
      <c r="C99" s="28" t="e">
        <f>VLOOKUP(EdgesData[[#This Row],[Node A]],NodesData[],4,FALSE)</f>
        <v>#N/A</v>
      </c>
      <c r="D99" s="18" t="s">
        <v>2035</v>
      </c>
      <c r="E99" s="12" t="s">
        <v>2031</v>
      </c>
      <c r="G99" s="18" t="s">
        <v>2036</v>
      </c>
      <c r="H99" s="28" t="e">
        <f>VLOOKUP(EdgesData[[#This Row],[Node B]],NodesData[],4,FALSE)</f>
        <v>#N/A</v>
      </c>
      <c r="I99" s="29" t="str" cm="1">
        <f t="array" ref="I99">CreateGuidString()</f>
        <v>CD13C314-E1A9-471D-99DE-6908050E31C9</v>
      </c>
    </row>
    <row r="100" spans="1:9" x14ac:dyDescent="0.35">
      <c r="A100" s="13"/>
      <c r="B100" s="43">
        <f>COUNTIF(EdgesData[Edge ID],EdgesData[[#This Row],[Edge ID]])</f>
        <v>0</v>
      </c>
      <c r="C100" s="28" t="e">
        <f>VLOOKUP(EdgesData[[#This Row],[Node A]],NodesData[],4,FALSE)</f>
        <v>#N/A</v>
      </c>
      <c r="D100" s="18" t="s">
        <v>2036</v>
      </c>
      <c r="E100" s="12" t="s">
        <v>2031</v>
      </c>
      <c r="G100" s="18" t="s">
        <v>2037</v>
      </c>
      <c r="H100" s="28" t="e">
        <f>VLOOKUP(EdgesData[[#This Row],[Node B]],NodesData[],4,FALSE)</f>
        <v>#N/A</v>
      </c>
      <c r="I100" s="29" t="str" cm="1">
        <f t="array" ref="I100">CreateGuidString()</f>
        <v>70E163AE-C184-4FD5-B779-6702535309B9</v>
      </c>
    </row>
    <row r="101" spans="1:9" x14ac:dyDescent="0.35">
      <c r="A101" s="13"/>
      <c r="B101" s="43">
        <f>COUNTIF(EdgesData[Edge ID],EdgesData[[#This Row],[Edge ID]])</f>
        <v>0</v>
      </c>
      <c r="C101" s="28" t="e">
        <f>VLOOKUP(EdgesData[[#This Row],[Node A]],NodesData[],4,FALSE)</f>
        <v>#N/A</v>
      </c>
      <c r="D101" s="18" t="s">
        <v>2037</v>
      </c>
      <c r="E101" s="12" t="s">
        <v>2031</v>
      </c>
      <c r="G101" s="18" t="s">
        <v>2025</v>
      </c>
      <c r="H101" s="28" t="e">
        <f>VLOOKUP(EdgesData[[#This Row],[Node B]],NodesData[],4,FALSE)</f>
        <v>#N/A</v>
      </c>
      <c r="I101" s="29" t="str" cm="1">
        <f t="array" ref="I101">CreateGuidString()</f>
        <v>18CCCE1D-B2EB-4B6F-B4BD-A35A944EA201</v>
      </c>
    </row>
  </sheetData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G520"/>
  <sheetViews>
    <sheetView topLeftCell="A494" zoomScale="120" zoomScaleNormal="120" workbookViewId="0">
      <selection activeCell="F508" sqref="F508"/>
    </sheetView>
  </sheetViews>
  <sheetFormatPr defaultRowHeight="12.75" x14ac:dyDescent="0.35"/>
  <cols>
    <col min="1" max="1" width="2.19921875" style="42" customWidth="1"/>
    <col min="2" max="3" width="23" style="3" bestFit="1" customWidth="1"/>
    <col min="4" max="4" width="32.59765625" style="18" customWidth="1"/>
    <col min="5" max="5" width="32.59765625" style="26" customWidth="1"/>
    <col min="6" max="6" width="32.59765625" style="2" customWidth="1"/>
    <col min="7" max="16384" width="9.06640625" style="2"/>
  </cols>
  <sheetData>
    <row r="1" spans="1:6" s="1" customFormat="1" ht="19.899999999999999" thickBot="1" x14ac:dyDescent="0.65">
      <c r="A1" s="40" t="s">
        <v>1358</v>
      </c>
      <c r="B1" s="9"/>
      <c r="C1" s="9"/>
      <c r="D1" s="23"/>
    </row>
    <row r="2" spans="1:6" s="12" customFormat="1" ht="15" thickTop="1" thickBot="1" x14ac:dyDescent="0.5">
      <c r="A2" s="41" t="s">
        <v>1418</v>
      </c>
      <c r="B2" s="18" t="s">
        <v>1335</v>
      </c>
      <c r="C2" s="18" t="s">
        <v>1393</v>
      </c>
      <c r="D2" s="15" t="s">
        <v>1334</v>
      </c>
      <c r="E2" s="15" t="s">
        <v>1336</v>
      </c>
      <c r="F2" s="24" t="s">
        <v>1333</v>
      </c>
    </row>
    <row r="3" spans="1:6" ht="13.9" thickTop="1" thickBot="1" x14ac:dyDescent="0.4">
      <c r="A3" s="38">
        <f>IF(ISERR(NodesJSON[[#This Row],[label]]),0,1)</f>
        <v>1</v>
      </c>
      <c r="B3" s="3" t="str">
        <f>NodesData[[#This Row],[Common Name]]</f>
        <v>4-Eyes Principle</v>
      </c>
      <c r="C3" s="3" t="str">
        <f>IF(NodesData[[#This Row],[Context Instanciation]]="","",NodesData[[#This Row],[Context Instanciation]])</f>
        <v/>
      </c>
      <c r="D3" s="21" t="str">
        <f>NodesData[[#This Row],[Node ID]]</f>
        <v>DE5E95BA-1587-412E-A276-E34663BF4FFD</v>
      </c>
      <c r="E3" s="3" t="str">
        <f>IF(NodesData[[#This Row],[URL]]="","",NodesData[[#This Row],[URL]])</f>
        <v>https://open-measure.atlassian.net/wiki/spaces/DIC/pages/805175450/4-Eyes+Principle</v>
      </c>
      <c r="F3" s="25" t="str" cm="1">
        <f t="array" ref="F3">IF(NodesJSON[[#This Row],[Export?]]=0,"",IF(ROW(NodesJSON[[#This Row],[label]])&gt;ROW(NodesJSON[[#Headers],[JSON]])+1,",","") &amp;"{"&amp;twoRangesToJSON(NodesJSON[[#Headers],[label]:[url]],NodesJSON[[#This Row],[label]:[url]])&amp;"}")</f>
        <v>{"label":"4-Eyes Principle","group":"","id":"DE5E95BA-1587-412E-A276-E34663BF4FFD","url":"https://open-measure.atlassian.net/wiki/spaces/DIC/pages/805175450/4-Eyes+Principle"}</v>
      </c>
    </row>
    <row r="4" spans="1:6" ht="13.9" thickTop="1" thickBot="1" x14ac:dyDescent="0.4">
      <c r="A4" s="38">
        <f>IF(ISERR(NodesJSON[[#This Row],[label]]),0,1)</f>
        <v>1</v>
      </c>
      <c r="B4" s="3" t="str">
        <f>NodesData[[#This Row],[Common Name]]</f>
        <v>Access</v>
      </c>
      <c r="C4" s="3" t="str">
        <f>IF(NodesData[[#This Row],[Context Instanciation]]="","",NodesData[[#This Row],[Context Instanciation]])</f>
        <v/>
      </c>
      <c r="D4" s="22" t="str">
        <f>NodesData[[#This Row],[Node ID]]</f>
        <v>CA1EA624-5E56-4BE1-B607-12E9CFEB0B98</v>
      </c>
      <c r="E4" s="3" t="str">
        <f>IF(NodesData[[#This Row],[URL]]="","",NodesData[[#This Row],[URL]])</f>
        <v>https://open-measure.atlassian.net/wiki/spaces/DIC/pages/123962347/Access</v>
      </c>
      <c r="F4" s="25" t="str" cm="1">
        <f t="array" ref="F4">IF(NodesJSON[[#This Row],[Export?]]=0,"",IF(ROW(NodesJSON[[#This Row],[label]])&gt;ROW(NodesJSON[[#Headers],[JSON]])+1,",","") &amp;"{"&amp;twoRangesToJSON(NodesJSON[[#Headers],[label]:[url]],NodesJSON[[#This Row],[label]:[url]])&amp;"}")</f>
        <v>,{"label":"Access","group":"","id":"CA1EA624-5E56-4BE1-B607-12E9CFEB0B98","url":"https://open-measure.atlassian.net/wiki/spaces/DIC/pages/123962347/Access"}</v>
      </c>
    </row>
    <row r="5" spans="1:6" ht="13.9" thickTop="1" thickBot="1" x14ac:dyDescent="0.4">
      <c r="A5" s="38">
        <f>IF(ISERR(NodesJSON[[#This Row],[label]]),0,1)</f>
        <v>1</v>
      </c>
      <c r="B5" s="3" t="str">
        <f>NodesData[[#This Row],[Common Name]]</f>
        <v>Access Audit</v>
      </c>
      <c r="C5" s="3" t="str">
        <f>IF(NodesData[[#This Row],[Context Instanciation]]="","",NodesData[[#This Row],[Context Instanciation]])</f>
        <v/>
      </c>
      <c r="D5" s="22" t="str">
        <f>NodesData[[#This Row],[Node ID]]</f>
        <v>6C9E18A9-1C42-41AA-8AB3-4ABBAC053B7C</v>
      </c>
      <c r="E5" s="3" t="str">
        <f>IF(NodesData[[#This Row],[URL]]="","",NodesData[[#This Row],[URL]])</f>
        <v>https://open-measure.atlassian.net/wiki/spaces/DIC/pages/1121878227</v>
      </c>
      <c r="F5" s="25" t="str" cm="1">
        <f t="array" ref="F5">IF(NodesJSON[[#This Row],[Export?]]=0,"",IF(ROW(NodesJSON[[#This Row],[label]])&gt;ROW(NodesJSON[[#Headers],[JSON]])+1,",","") &amp;"{"&amp;twoRangesToJSON(NodesJSON[[#Headers],[label]:[url]],NodesJSON[[#This Row],[label]:[url]])&amp;"}")</f>
        <v>,{"label":"Access Audit","group":"","id":"6C9E18A9-1C42-41AA-8AB3-4ABBAC053B7C","url":"https://open-measure.atlassian.net/wiki/spaces/DIC/pages/1121878227"}</v>
      </c>
    </row>
    <row r="6" spans="1:6" ht="13.9" thickTop="1" thickBot="1" x14ac:dyDescent="0.4">
      <c r="A6" s="38">
        <f>IF(ISERR(NodesJSON[[#This Row],[label]]),0,1)</f>
        <v>1</v>
      </c>
      <c r="B6" s="3" t="str">
        <f>NodesData[[#This Row],[Common Name]]</f>
        <v>Access Continuum</v>
      </c>
      <c r="C6" s="3" t="str">
        <f>IF(NodesData[[#This Row],[Context Instanciation]]="","",NodesData[[#This Row],[Context Instanciation]])</f>
        <v/>
      </c>
      <c r="D6" s="22" t="str">
        <f>NodesData[[#This Row],[Node ID]]</f>
        <v>9A5EC26A-0E5F-4F13-8ECE-970F73F9DFC5</v>
      </c>
      <c r="E6" s="3" t="str">
        <f>IF(NodesData[[#This Row],[URL]]="","",NodesData[[#This Row],[URL]])</f>
        <v>https://open-measure.atlassian.net/wiki/spaces/DIC/pages/1034223816/Access+Continuum</v>
      </c>
      <c r="F6" s="25" t="str" cm="1">
        <f t="array" ref="F6">IF(NodesJSON[[#This Row],[Export?]]=0,"",IF(ROW(NodesJSON[[#This Row],[label]])&gt;ROW(NodesJSON[[#Headers],[JSON]])+1,",","") &amp;"{"&amp;twoRangesToJSON(NodesJSON[[#Headers],[label]:[url]],NodesJSON[[#This Row],[label]:[url]])&amp;"}")</f>
        <v>,{"label":"Access Continuum","group":"","id":"9A5EC26A-0E5F-4F13-8ECE-970F73F9DFC5","url":"https://open-measure.atlassian.net/wiki/spaces/DIC/pages/1034223816/Access+Continuum"}</v>
      </c>
    </row>
    <row r="7" spans="1:6" ht="13.9" thickTop="1" thickBot="1" x14ac:dyDescent="0.4">
      <c r="A7" s="38">
        <f>IF(ISERR(NodesJSON[[#This Row],[label]]),0,1)</f>
        <v>1</v>
      </c>
      <c r="B7" s="3" t="str">
        <f>NodesData[[#This Row],[Common Name]]</f>
        <v>Access Control</v>
      </c>
      <c r="C7" s="3" t="str">
        <f>IF(NodesData[[#This Row],[Context Instanciation]]="","",NodesData[[#This Row],[Context Instanciation]])</f>
        <v/>
      </c>
      <c r="D7" s="22" t="str">
        <f>NodesData[[#This Row],[Node ID]]</f>
        <v>C6B1DEE7-AC34-406A-81B6-73C469FFFEBA</v>
      </c>
      <c r="E7" s="3" t="str">
        <f>IF(NodesData[[#This Row],[URL]]="","",NodesData[[#This Row],[URL]])</f>
        <v>https://open-measure.atlassian.net/wiki/spaces/DIC/pages/427163781</v>
      </c>
      <c r="F7" s="25" t="str" cm="1">
        <f t="array" ref="F7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Control","group":"","id":"C6B1DEE7-AC34-406A-81B6-73C469FFFEBA","url":"https://open-measure.atlassian.net/wiki/spaces/DIC/pages/427163781"}</v>
      </c>
    </row>
    <row r="8" spans="1:6" ht="13.9" thickTop="1" thickBot="1" x14ac:dyDescent="0.4">
      <c r="A8" s="38">
        <f>IF(ISERR(NodesJSON[[#This Row],[label]]),0,1)</f>
        <v>1</v>
      </c>
      <c r="B8" s="3" t="str">
        <f>NodesData[[#This Row],[Common Name]]</f>
        <v>Access Control List</v>
      </c>
      <c r="C8" s="3" t="str">
        <f>IF(NodesData[[#This Row],[Context Instanciation]]="","",NodesData[[#This Row],[Context Instanciation]])</f>
        <v/>
      </c>
      <c r="D8" s="22" t="str">
        <f>NodesData[[#This Row],[Node ID]]</f>
        <v>52A33AA3-B245-4A1A-80E3-D2325B649AD1</v>
      </c>
      <c r="E8" s="3" t="str">
        <f>IF(NodesData[[#This Row],[URL]]="","",NodesData[[#This Row],[URL]])</f>
        <v>https://open-measure.atlassian.net/wiki/spaces/DIC/pages/822345754</v>
      </c>
      <c r="F8" s="25" t="str" cm="1">
        <f t="array" ref="F8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List","group":"","id":"52A33AA3-B245-4A1A-80E3-D2325B649AD1","url":"https://open-measure.atlassian.net/wiki/spaces/DIC/pages/822345754"}</v>
      </c>
    </row>
    <row r="9" spans="1:6" ht="13.9" thickTop="1" thickBot="1" x14ac:dyDescent="0.4">
      <c r="A9" s="38">
        <f>IF(ISERR(NodesJSON[[#This Row],[label]]),0,1)</f>
        <v>1</v>
      </c>
      <c r="B9" s="3" t="str">
        <f>NodesData[[#This Row],[Common Name]]</f>
        <v>Access Control Mechanism</v>
      </c>
      <c r="C9" s="3" t="str">
        <f>IF(NodesData[[#This Row],[Context Instanciation]]="","",NodesData[[#This Row],[Context Instanciation]])</f>
        <v/>
      </c>
      <c r="D9" s="22" t="str">
        <f>NodesData[[#This Row],[Node ID]]</f>
        <v>A5BF9E4A-B1F5-4483-8491-1CF17B076816</v>
      </c>
      <c r="E9" s="3" t="str">
        <f>IF(NodesData[[#This Row],[URL]]="","",NodesData[[#This Row],[URL]])</f>
        <v>https://open-measure.atlassian.net/wiki/spaces/DIC/pages/67633606</v>
      </c>
      <c r="F9" s="25" t="str" cm="1">
        <f t="array" ref="F9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Mechanism","group":"","id":"A5BF9E4A-B1F5-4483-8491-1CF17B076816","url":"https://open-measure.atlassian.net/wiki/spaces/DIC/pages/67633606"}</v>
      </c>
    </row>
    <row r="10" spans="1:6" ht="13.9" thickTop="1" thickBot="1" x14ac:dyDescent="0.4">
      <c r="A10" s="38">
        <f>IF(ISERR(NodesJSON[[#This Row],[label]]),0,1)</f>
        <v>1</v>
      </c>
      <c r="B10" s="3" t="str">
        <f>NodesData[[#This Row],[Common Name]]</f>
        <v>Access Control Model</v>
      </c>
      <c r="C10" s="3" t="str">
        <f>IF(NodesData[[#This Row],[Context Instanciation]]="","",NodesData[[#This Row],[Context Instanciation]])</f>
        <v/>
      </c>
      <c r="D10" s="22" t="str">
        <f>NodesData[[#This Row],[Node ID]]</f>
        <v>ADF08795-EF9D-40CC-84C7-CF8858D77C3B</v>
      </c>
      <c r="E10" s="3" t="str">
        <f>IF(NodesData[[#This Row],[URL]]="","",NodesData[[#This Row],[URL]])</f>
        <v>https://open-measure.atlassian.net/wiki/spaces/DIC/pages/67699193</v>
      </c>
      <c r="F10" s="25" t="str" cm="1">
        <f t="array" ref="F10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Model","group":"","id":"ADF08795-EF9D-40CC-84C7-CF8858D77C3B","url":"https://open-measure.atlassian.net/wiki/spaces/DIC/pages/67699193"}</v>
      </c>
    </row>
    <row r="11" spans="1:6" ht="13.9" thickTop="1" thickBot="1" x14ac:dyDescent="0.4">
      <c r="A11" s="38">
        <f>IF(ISERR(NodesJSON[[#This Row],[label]]),0,1)</f>
        <v>1</v>
      </c>
      <c r="B11" s="3" t="str">
        <f>NodesData[[#This Row],[Common Name]]</f>
        <v>Access Control Policy</v>
      </c>
      <c r="C11" s="3" t="str">
        <f>IF(NodesData[[#This Row],[Context Instanciation]]="","",NodesData[[#This Row],[Context Instanciation]])</f>
        <v/>
      </c>
      <c r="D11" s="22" t="str">
        <f>NodesData[[#This Row],[Node ID]]</f>
        <v>BA2815C6-9016-47D5-81B0-640EF4494D76</v>
      </c>
      <c r="E11" s="3" t="str">
        <f>IF(NodesData[[#This Row],[URL]]="","",NodesData[[#This Row],[URL]])</f>
        <v>https://open-measure.atlassian.net/wiki/spaces/DIC/pages/67633597</v>
      </c>
      <c r="F11" s="25" t="str" cm="1">
        <f t="array" ref="F11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Policy","group":"","id":"BA2815C6-9016-47D5-81B0-640EF4494D76","url":"https://open-measure.atlassian.net/wiki/spaces/DIC/pages/67633597"}</v>
      </c>
    </row>
    <row r="12" spans="1:6" ht="13.9" thickTop="1" thickBot="1" x14ac:dyDescent="0.4">
      <c r="A12" s="38">
        <f>IF(ISERR(NodesJSON[[#This Row],[label]]),0,1)</f>
        <v>1</v>
      </c>
      <c r="B12" s="3" t="str">
        <f>NodesData[[#This Row],[Common Name]]</f>
        <v>Access Granularity</v>
      </c>
      <c r="C12" s="3" t="str">
        <f>IF(NodesData[[#This Row],[Context Instanciation]]="","",NodesData[[#This Row],[Context Instanciation]])</f>
        <v/>
      </c>
      <c r="D12" s="22" t="str">
        <f>NodesData[[#This Row],[Node ID]]</f>
        <v>1766D719-D68F-467A-9991-4E72DD710D50</v>
      </c>
      <c r="E12" s="3" t="str">
        <f>IF(NodesData[[#This Row],[URL]]="","",NodesData[[#This Row],[URL]])</f>
        <v>https://open-measure.atlassian.net/wiki/spaces/DIC/pages/1006632974</v>
      </c>
      <c r="F12" s="25" t="str" cm="1">
        <f t="array" ref="F12">IF(NodesJSON[[#This Row],[Export?]]=0,"",IF(ROW(NodesJSON[[#This Row],[label]])&gt;ROW(NodesJSON[[#Headers],[JSON]])+1,",","") &amp;"{"&amp;twoRangesToJSON(NodesJSON[[#Headers],[label]:[url]],NodesJSON[[#This Row],[label]:[url]])&amp;"}")</f>
        <v>,{"label":"Access Granularity","group":"","id":"1766D719-D68F-467A-9991-4E72DD710D50","url":"https://open-measure.atlassian.net/wiki/spaces/DIC/pages/1006632974"}</v>
      </c>
    </row>
    <row r="13" spans="1:6" ht="13.9" thickTop="1" thickBot="1" x14ac:dyDescent="0.4">
      <c r="A13" s="38">
        <f>IF(ISERR(NodesJSON[[#This Row],[label]]),0,1)</f>
        <v>1</v>
      </c>
      <c r="B13" s="3" t="str">
        <f>NodesData[[#This Row],[Common Name]]</f>
        <v>Access Privilege</v>
      </c>
      <c r="C13" s="3" t="str">
        <f>IF(NodesData[[#This Row],[Context Instanciation]]="","",NodesData[[#This Row],[Context Instanciation]])</f>
        <v/>
      </c>
      <c r="D13" s="22" t="str">
        <f>NodesData[[#This Row],[Node ID]]</f>
        <v>6E925565-007A-4536-A65D-F894A31E5A77</v>
      </c>
      <c r="E13" s="3" t="str">
        <f>IF(NodesData[[#This Row],[URL]]="","",NodesData[[#This Row],[URL]])</f>
        <v>https://open-measure.atlassian.net/wiki/spaces/DIC/pages/1122631723</v>
      </c>
      <c r="F13" s="25" t="str" cm="1">
        <f t="array" ref="F13">IF(NodesJSON[[#This Row],[Export?]]=0,"",IF(ROW(NodesJSON[[#This Row],[label]])&gt;ROW(NodesJSON[[#Headers],[JSON]])+1,",","") &amp;"{"&amp;twoRangesToJSON(NodesJSON[[#Headers],[label]:[url]],NodesJSON[[#This Row],[label]:[url]])&amp;"}")</f>
        <v>,{"label":"Access Privilege","group":"","id":"6E925565-007A-4536-A65D-F894A31E5A77","url":"https://open-measure.atlassian.net/wiki/spaces/DIC/pages/1122631723"}</v>
      </c>
    </row>
    <row r="14" spans="1:6" ht="13.9" thickTop="1" thickBot="1" x14ac:dyDescent="0.4">
      <c r="A14" s="38">
        <f>IF(ISERR(NodesJSON[[#This Row],[label]]),0,1)</f>
        <v>1</v>
      </c>
      <c r="B14" s="3" t="str">
        <f>NodesData[[#This Row],[Common Name]]</f>
        <v>Access Right</v>
      </c>
      <c r="C14" s="3" t="str">
        <f>IF(NodesData[[#This Row],[Context Instanciation]]="","",NodesData[[#This Row],[Context Instanciation]])</f>
        <v/>
      </c>
      <c r="D14" s="22" t="str">
        <f>NodesData[[#This Row],[Node ID]]</f>
        <v>DF71DC82-5B06-4703-B5DD-3A78DB22E10D</v>
      </c>
      <c r="E14" s="3" t="str">
        <f>IF(NodesData[[#This Row],[URL]]="","",NodesData[[#This Row],[URL]])</f>
        <v>https://open-measure.atlassian.net/wiki/spaces/DIC/pages/1122599013</v>
      </c>
      <c r="F14" s="25" t="str" cm="1">
        <f t="array" ref="F14">IF(NodesJSON[[#This Row],[Export?]]=0,"",IF(ROW(NodesJSON[[#This Row],[label]])&gt;ROW(NodesJSON[[#Headers],[JSON]])+1,",","") &amp;"{"&amp;twoRangesToJSON(NodesJSON[[#Headers],[label]:[url]],NodesJSON[[#This Row],[label]:[url]])&amp;"}")</f>
        <v>,{"label":"Access Right","group":"","id":"DF71DC82-5B06-4703-B5DD-3A78DB22E10D","url":"https://open-measure.atlassian.net/wiki/spaces/DIC/pages/1122599013"}</v>
      </c>
    </row>
    <row r="15" spans="1:6" ht="13.9" thickTop="1" thickBot="1" x14ac:dyDescent="0.4">
      <c r="A15" s="38">
        <f>IF(ISERR(NodesJSON[[#This Row],[label]]),0,1)</f>
        <v>1</v>
      </c>
      <c r="B15" s="3" t="str">
        <f>NodesData[[#This Row],[Common Name]]</f>
        <v>Access Rights Management</v>
      </c>
      <c r="C15" s="3" t="str">
        <f>IF(NodesData[[#This Row],[Context Instanciation]]="","",NodesData[[#This Row],[Context Instanciation]])</f>
        <v/>
      </c>
      <c r="D15" s="22" t="str">
        <f>NodesData[[#This Row],[Node ID]]</f>
        <v>9501EBB2-B301-4820-B446-2CB0E2724926</v>
      </c>
      <c r="E15" s="3" t="str">
        <f>IF(NodesData[[#This Row],[URL]]="","",NodesData[[#This Row],[URL]])</f>
        <v>https://open-measure.atlassian.net/wiki/spaces/DIC/pages/1704003</v>
      </c>
      <c r="F15" s="25" t="str" cm="1">
        <f t="array" ref="F15">IF(NodesJSON[[#This Row],[Export?]]=0,"",IF(ROW(NodesJSON[[#This Row],[label]])&gt;ROW(NodesJSON[[#Headers],[JSON]])+1,",","") &amp;"{"&amp;twoRangesToJSON(NodesJSON[[#Headers],[label]:[url]],NodesJSON[[#This Row],[label]:[url]])&amp;"}")</f>
        <v>,{"label":"Access Rights Management","group":"","id":"9501EBB2-B301-4820-B446-2CB0E2724926","url":"https://open-measure.atlassian.net/wiki/spaces/DIC/pages/1704003"}</v>
      </c>
    </row>
    <row r="16" spans="1:6" ht="13.9" thickTop="1" thickBot="1" x14ac:dyDescent="0.4">
      <c r="A16" s="38">
        <f>IF(ISERR(NodesJSON[[#This Row],[label]]),0,1)</f>
        <v>1</v>
      </c>
      <c r="B16" s="3" t="str">
        <f>NodesData[[#This Row],[Common Name]]</f>
        <v>Access Token</v>
      </c>
      <c r="C16" s="3" t="str">
        <f>IF(NodesData[[#This Row],[Context Instanciation]]="","",NodesData[[#This Row],[Context Instanciation]])</f>
        <v/>
      </c>
      <c r="D16" s="22" t="str">
        <f>NodesData[[#This Row],[Node ID]]</f>
        <v>44E8EA0A-D8E5-4567-A78E-4B8D6F325D8C</v>
      </c>
      <c r="E16" s="3" t="str">
        <f>IF(NodesData[[#This Row],[URL]]="","",NodesData[[#This Row],[URL]])</f>
        <v>https://open-measure.atlassian.net/wiki/spaces/DIC/pages/1600684040/Access+Token</v>
      </c>
      <c r="F16" s="25" t="str" cm="1">
        <f t="array" ref="F16">IF(NodesJSON[[#This Row],[Export?]]=0,"",IF(ROW(NodesJSON[[#This Row],[label]])&gt;ROW(NodesJSON[[#Headers],[JSON]])+1,",","") &amp;"{"&amp;twoRangesToJSON(NodesJSON[[#Headers],[label]:[url]],NodesJSON[[#This Row],[label]:[url]])&amp;"}")</f>
        <v>,{"label":"Access Token","group":"","id":"44E8EA0A-D8E5-4567-A78E-4B8D6F325D8C","url":"https://open-measure.atlassian.net/wiki/spaces/DIC/pages/1600684040/Access+Token"}</v>
      </c>
    </row>
    <row r="17" spans="1:6" ht="13.9" thickTop="1" thickBot="1" x14ac:dyDescent="0.4">
      <c r="A17" s="38">
        <f>IF(ISERR(NodesJSON[[#This Row],[label]]),0,1)</f>
        <v>1</v>
      </c>
      <c r="B17" s="3" t="str">
        <f>NodesData[[#This Row],[Common Name]]</f>
        <v>Account</v>
      </c>
      <c r="C17" s="3" t="str">
        <f>IF(NodesData[[#This Row],[Context Instanciation]]="","",NodesData[[#This Row],[Context Instanciation]])</f>
        <v/>
      </c>
      <c r="D17" s="22" t="str">
        <f>NodesData[[#This Row],[Node ID]]</f>
        <v>F83938BD-3842-448E-8398-B880417DDCD1</v>
      </c>
      <c r="E17" s="3" t="str">
        <f>IF(NodesData[[#This Row],[URL]]="","",NodesData[[#This Row],[URL]])</f>
        <v>https://open-measure.atlassian.net/wiki/spaces/DIC/pages/461308120/Account</v>
      </c>
      <c r="F17" s="25" t="str" cm="1">
        <f t="array" ref="F17">IF(NodesJSON[[#This Row],[Export?]]=0,"",IF(ROW(NodesJSON[[#This Row],[label]])&gt;ROW(NodesJSON[[#Headers],[JSON]])+1,",","") &amp;"{"&amp;twoRangesToJSON(NodesJSON[[#Headers],[label]:[url]],NodesJSON[[#This Row],[label]:[url]])&amp;"}")</f>
        <v>,{"label":"Account","group":"","id":"F83938BD-3842-448E-8398-B880417DDCD1","url":"https://open-measure.atlassian.net/wiki/spaces/DIC/pages/461308120/Account"}</v>
      </c>
    </row>
    <row r="18" spans="1:6" ht="13.9" thickTop="1" thickBot="1" x14ac:dyDescent="0.4">
      <c r="A18" s="38">
        <f>IF(ISERR(NodesJSON[[#This Row],[label]]),0,1)</f>
        <v>1</v>
      </c>
      <c r="B18" s="3" t="str">
        <f>NodesData[[#This Row],[Common Name]]</f>
        <v>Account Lockout Policy</v>
      </c>
      <c r="C18" s="3" t="str">
        <f>IF(NodesData[[#This Row],[Context Instanciation]]="","",NodesData[[#This Row],[Context Instanciation]])</f>
        <v/>
      </c>
      <c r="D18" s="22" t="str">
        <f>NodesData[[#This Row],[Node ID]]</f>
        <v>75809B3D-4AFA-478D-B776-071487E4ACA6</v>
      </c>
      <c r="E18" s="3" t="str">
        <f>IF(NodesData[[#This Row],[URL]]="","",NodesData[[#This Row],[URL]])</f>
        <v>https://open-measure.atlassian.net/wiki/spaces/DIC/pages/67699360</v>
      </c>
      <c r="F18" s="25" t="str" cm="1">
        <f t="array" ref="F18">IF(NodesJSON[[#This Row],[Export?]]=0,"",IF(ROW(NodesJSON[[#This Row],[label]])&gt;ROW(NodesJSON[[#Headers],[JSON]])+1,",","") &amp;"{"&amp;twoRangesToJSON(NodesJSON[[#Headers],[label]:[url]],NodesJSON[[#This Row],[label]:[url]])&amp;"}")</f>
        <v>,{"label":"Account Lockout Policy","group":"","id":"75809B3D-4AFA-478D-B776-071487E4ACA6","url":"https://open-measure.atlassian.net/wiki/spaces/DIC/pages/67699360"}</v>
      </c>
    </row>
    <row r="19" spans="1:6" ht="13.9" thickTop="1" thickBot="1" x14ac:dyDescent="0.4">
      <c r="A19" s="38">
        <f>IF(ISERR(NodesJSON[[#This Row],[label]]),0,1)</f>
        <v>1</v>
      </c>
      <c r="B19" s="3" t="str">
        <f>NodesData[[#This Row],[Common Name]]</f>
        <v>Account Management</v>
      </c>
      <c r="C19" s="3" t="str">
        <f>IF(NodesData[[#This Row],[Context Instanciation]]="","",NodesData[[#This Row],[Context Instanciation]])</f>
        <v/>
      </c>
      <c r="D19" s="22" t="str">
        <f>NodesData[[#This Row],[Node ID]]</f>
        <v>6F91E244-CF4B-4C2A-9D23-0EA4F55DCF3F</v>
      </c>
      <c r="E19" s="3" t="str">
        <f>IF(NodesData[[#This Row],[URL]]="","",NodesData[[#This Row],[URL]])</f>
        <v>https://open-measure.atlassian.net/wiki/spaces/DIC/pages/1146847331</v>
      </c>
      <c r="F19" s="25" t="str" cm="1">
        <f t="array" ref="F19">IF(NodesJSON[[#This Row],[Export?]]=0,"",IF(ROW(NodesJSON[[#This Row],[label]])&gt;ROW(NodesJSON[[#Headers],[JSON]])+1,",","") &amp;"{"&amp;twoRangesToJSON(NodesJSON[[#Headers],[label]:[url]],NodesJSON[[#This Row],[label]:[url]])&amp;"}")</f>
        <v>,{"label":"Account Management","group":"","id":"6F91E244-CF4B-4C2A-9D23-0EA4F55DCF3F","url":"https://open-measure.atlassian.net/wiki/spaces/DIC/pages/1146847331"}</v>
      </c>
    </row>
    <row r="20" spans="1:6" ht="13.9" thickTop="1" thickBot="1" x14ac:dyDescent="0.4">
      <c r="A20" s="38">
        <f>IF(ISERR(NodesJSON[[#This Row],[label]]),0,1)</f>
        <v>1</v>
      </c>
      <c r="B20" s="3" t="str">
        <f>NodesData[[#This Row],[Common Name]]</f>
        <v>Account Takeover</v>
      </c>
      <c r="C20" s="3" t="str">
        <f>IF(NodesData[[#This Row],[Context Instanciation]]="","",NodesData[[#This Row],[Context Instanciation]])</f>
        <v>Account Takeover</v>
      </c>
      <c r="D20" s="22" t="str">
        <f>NodesData[[#This Row],[Node ID]]</f>
        <v>3707A70E-88B7-4B6D-A934-0BC5EE398FF6</v>
      </c>
      <c r="E20" s="3" t="str">
        <f>IF(NodesData[[#This Row],[URL]]="","",NodesData[[#This Row],[URL]])</f>
        <v>https://open-measure.atlassian.net/wiki/spaces/DIC/pages/1079050286/Account+Takeover</v>
      </c>
      <c r="F20" s="25" t="str" cm="1">
        <f t="array" ref="F20">IF(NodesJSON[[#This Row],[Export?]]=0,"",IF(ROW(NodesJSON[[#This Row],[label]])&gt;ROW(NodesJSON[[#Headers],[JSON]])+1,",","") &amp;"{"&amp;twoRangesToJSON(NodesJSON[[#Headers],[label]:[url]],NodesJSON[[#This Row],[label]:[url]])&amp;"}")</f>
        <v>,{"label":"Account Takeover","group":"Account Takeover","id":"3707A70E-88B7-4B6D-A934-0BC5EE398FF6","url":"https://open-measure.atlassian.net/wiki/spaces/DIC/pages/1079050286/Account+Takeover"}</v>
      </c>
    </row>
    <row r="21" spans="1:6" ht="13.9" thickTop="1" thickBot="1" x14ac:dyDescent="0.4">
      <c r="A21" s="38">
        <f>IF(ISERR(NodesJSON[[#This Row],[label]]),0,1)</f>
        <v>1</v>
      </c>
      <c r="B21" s="3" t="str">
        <f>NodesData[[#This Row],[Common Name]]</f>
        <v>Accountability</v>
      </c>
      <c r="C21" s="3" t="str">
        <f>IF(NodesData[[#This Row],[Context Instanciation]]="","",NodesData[[#This Row],[Context Instanciation]])</f>
        <v/>
      </c>
      <c r="D21" s="22" t="str">
        <f>NodesData[[#This Row],[Node ID]]</f>
        <v>1E6B6BDD-5D3C-4D14-873F-3018C1627B69</v>
      </c>
      <c r="E21" s="3" t="str">
        <f>IF(NodesData[[#This Row],[URL]]="","",NodesData[[#This Row],[URL]])</f>
        <v>https://open-measure.atlassian.net/wiki/spaces/DIC/pages/425623718</v>
      </c>
      <c r="F21" s="25" t="str" cm="1">
        <f t="array" ref="F21">IF(NodesJSON[[#This Row],[Export?]]=0,"",IF(ROW(NodesJSON[[#This Row],[label]])&gt;ROW(NodesJSON[[#Headers],[JSON]])+1,",","") &amp;"{"&amp;twoRangesToJSON(NodesJSON[[#Headers],[label]:[url]],NodesJSON[[#This Row],[label]:[url]])&amp;"}")</f>
        <v>,{"label":"Accountability","group":"","id":"1E6B6BDD-5D3C-4D14-873F-3018C1627B69","url":"https://open-measure.atlassian.net/wiki/spaces/DIC/pages/425623718"}</v>
      </c>
    </row>
    <row r="22" spans="1:6" ht="13.9" thickTop="1" thickBot="1" x14ac:dyDescent="0.4">
      <c r="A22" s="38">
        <f>IF(ISERR(NodesJSON[[#This Row],[label]]),0,1)</f>
        <v>1</v>
      </c>
      <c r="B22" s="3" t="str">
        <f>NodesData[[#This Row],[Common Name]]</f>
        <v>Accreditation</v>
      </c>
      <c r="C22" s="3" t="str">
        <f>IF(NodesData[[#This Row],[Context Instanciation]]="","",NodesData[[#This Row],[Context Instanciation]])</f>
        <v/>
      </c>
      <c r="D22" s="22" t="str">
        <f>NodesData[[#This Row],[Node ID]]</f>
        <v>496EA7AA-3A24-4B06-96FF-26EB9E368ECD</v>
      </c>
      <c r="E22" s="3" t="str">
        <f>IF(NodesData[[#This Row],[URL]]="","",NodesData[[#This Row],[URL]])</f>
        <v>https://open-measure.atlassian.net/wiki/spaces/DIC/pages/446955580</v>
      </c>
      <c r="F22" s="25" t="str" cm="1">
        <f t="array" ref="F22">IF(NodesJSON[[#This Row],[Export?]]=0,"",IF(ROW(NodesJSON[[#This Row],[label]])&gt;ROW(NodesJSON[[#Headers],[JSON]])+1,",","") &amp;"{"&amp;twoRangesToJSON(NodesJSON[[#Headers],[label]:[url]],NodesJSON[[#This Row],[label]:[url]])&amp;"}")</f>
        <v>,{"label":"Accreditation","group":"","id":"496EA7AA-3A24-4B06-96FF-26EB9E368ECD","url":"https://open-measure.atlassian.net/wiki/spaces/DIC/pages/446955580"}</v>
      </c>
    </row>
    <row r="23" spans="1:6" ht="13.9" thickTop="1" thickBot="1" x14ac:dyDescent="0.4">
      <c r="A23" s="38">
        <f>IF(ISERR(NodesJSON[[#This Row],[label]]),0,1)</f>
        <v>1</v>
      </c>
      <c r="B23" s="3" t="str">
        <f>NodesData[[#This Row],[Common Name]]</f>
        <v>Active Impersonation Attack</v>
      </c>
      <c r="C23" s="3" t="str">
        <f>IF(NodesData[[#This Row],[Context Instanciation]]="","",NodesData[[#This Row],[Context Instanciation]])</f>
        <v/>
      </c>
      <c r="D23" s="22" t="str">
        <f>NodesData[[#This Row],[Node ID]]</f>
        <v>4546EECC-4DB1-4E7D-B250-7C4FA9CBFD76</v>
      </c>
      <c r="E23" s="3" t="str">
        <f>IF(NodesData[[#This Row],[URL]]="","",NodesData[[#This Row],[URL]])</f>
        <v>https://open-measure.atlassian.net/wiki/spaces/DIC/pages/974454812</v>
      </c>
      <c r="F23" s="25" t="str" cm="1">
        <f t="array" ref="F23">IF(NodesJSON[[#This Row],[Export?]]=0,"",IF(ROW(NodesJSON[[#This Row],[label]])&gt;ROW(NodesJSON[[#Headers],[JSON]])+1,",","") &amp;"{"&amp;twoRangesToJSON(NodesJSON[[#Headers],[label]:[url]],NodesJSON[[#This Row],[label]:[url]])&amp;"}")</f>
        <v>,{"label":"Active Impersonation Attack","group":"","id":"4546EECC-4DB1-4E7D-B250-7C4FA9CBFD76","url":"https://open-measure.atlassian.net/wiki/spaces/DIC/pages/974454812"}</v>
      </c>
    </row>
    <row r="24" spans="1:6" ht="13.9" thickTop="1" thickBot="1" x14ac:dyDescent="0.4">
      <c r="A24" s="38">
        <f>IF(ISERR(NodesJSON[[#This Row],[label]]),0,1)</f>
        <v>1</v>
      </c>
      <c r="B24" s="3" t="str">
        <f>NodesData[[#This Row],[Common Name]]</f>
        <v>AP</v>
      </c>
      <c r="C24" s="3" t="str">
        <f>IF(NodesData[[#This Row],[Context Instanciation]]="","",NodesData[[#This Row],[Context Instanciation]])</f>
        <v/>
      </c>
      <c r="D24" s="22" t="str">
        <f>NodesData[[#This Row],[Node ID]]</f>
        <v>23ECD50A-6EF0-45EB-80EE-FE8690C3B930</v>
      </c>
      <c r="E24" s="3" t="str">
        <f>IF(NodesData[[#This Row],[URL]]="","",NodesData[[#This Row],[URL]])</f>
        <v>https://open-measure.atlassian.net/wiki/spaces/DIC/pages/81101665/AP</v>
      </c>
      <c r="F24" s="25" t="str" cm="1">
        <f t="array" ref="F24">IF(NodesJSON[[#This Row],[Export?]]=0,"",IF(ROW(NodesJSON[[#This Row],[label]])&gt;ROW(NodesJSON[[#Headers],[JSON]])+1,",","") &amp;"{"&amp;twoRangesToJSON(NodesJSON[[#Headers],[label]:[url]],NodesJSON[[#This Row],[label]:[url]])&amp;"}")</f>
        <v>,{"label":"AP","group":"","id":"23ECD50A-6EF0-45EB-80EE-FE8690C3B930","url":"https://open-measure.atlassian.net/wiki/spaces/DIC/pages/81101665/AP"}</v>
      </c>
    </row>
    <row r="25" spans="1:6" ht="13.9" thickTop="1" thickBot="1" x14ac:dyDescent="0.4">
      <c r="A25" s="38">
        <f>IF(ISERR(NodesJSON[[#This Row],[label]]),0,1)</f>
        <v>1</v>
      </c>
      <c r="B25" s="3" t="str">
        <f>NodesData[[#This Row],[Common Name]]</f>
        <v>Applicant</v>
      </c>
      <c r="C25" s="3" t="str">
        <f>IF(NodesData[[#This Row],[Context Instanciation]]="","",NodesData[[#This Row],[Context Instanciation]])</f>
        <v/>
      </c>
      <c r="D25" s="22" t="str">
        <f>NodesData[[#This Row],[Node ID]]</f>
        <v>C5E6BCD4-7E45-4F9C-82F2-0DB57EB14EEE</v>
      </c>
      <c r="E25" s="3" t="str">
        <f>IF(NodesData[[#This Row],[URL]]="","",NodesData[[#This Row],[URL]])</f>
        <v>https://open-measure.atlassian.net/wiki/spaces/DIC/pages/848625750</v>
      </c>
      <c r="F25" s="25" t="str" cm="1">
        <f t="array" ref="F25">IF(NodesJSON[[#This Row],[Export?]]=0,"",IF(ROW(NodesJSON[[#This Row],[label]])&gt;ROW(NodesJSON[[#Headers],[JSON]])+1,",","") &amp;"{"&amp;twoRangesToJSON(NodesJSON[[#Headers],[label]:[url]],NodesJSON[[#This Row],[label]:[url]])&amp;"}")</f>
        <v>,{"label":"Applicant","group":"","id":"C5E6BCD4-7E45-4F9C-82F2-0DB57EB14EEE","url":"https://open-measure.atlassian.net/wiki/spaces/DIC/pages/848625750"}</v>
      </c>
    </row>
    <row r="26" spans="1:6" ht="13.9" thickTop="1" thickBot="1" x14ac:dyDescent="0.4">
      <c r="A26" s="38">
        <f>IF(ISERR(NodesJSON[[#This Row],[label]]),0,1)</f>
        <v>1</v>
      </c>
      <c r="B26" s="3" t="str">
        <f>NodesData[[#This Row],[Common Name]]</f>
        <v>Application</v>
      </c>
      <c r="C26" s="3" t="str">
        <f>IF(NodesData[[#This Row],[Context Instanciation]]="","",NodesData[[#This Row],[Context Instanciation]])</f>
        <v/>
      </c>
      <c r="D26" s="22" t="str">
        <f>NodesData[[#This Row],[Node ID]]</f>
        <v>3CBF7393-334C-4B5E-9319-9B289635563A</v>
      </c>
      <c r="E26" s="3" t="str">
        <f>IF(NodesData[[#This Row],[URL]]="","",NodesData[[#This Row],[URL]])</f>
        <v>https://open-measure.atlassian.net/wiki/spaces/DIC/pages/5965602/Application</v>
      </c>
      <c r="F26" s="25" t="str" cm="1">
        <f t="array" ref="F26">IF(NodesJSON[[#This Row],[Export?]]=0,"",IF(ROW(NodesJSON[[#This Row],[label]])&gt;ROW(NodesJSON[[#Headers],[JSON]])+1,",","") &amp;"{"&amp;twoRangesToJSON(NodesJSON[[#Headers],[label]:[url]],NodesJSON[[#This Row],[label]:[url]])&amp;"}")</f>
        <v>,{"label":"Application","group":"","id":"3CBF7393-334C-4B5E-9319-9B289635563A","url":"https://open-measure.atlassian.net/wiki/spaces/DIC/pages/5965602/Application"}</v>
      </c>
    </row>
    <row r="27" spans="1:6" ht="13.9" thickTop="1" thickBot="1" x14ac:dyDescent="0.4">
      <c r="A27" s="38">
        <f>IF(ISERR(NodesJSON[[#This Row],[label]]),0,1)</f>
        <v>1</v>
      </c>
      <c r="B27" s="3" t="str">
        <f>NodesData[[#This Row],[Common Name]]</f>
        <v>Application Administrator</v>
      </c>
      <c r="C27" s="3" t="str">
        <f>IF(NodesData[[#This Row],[Context Instanciation]]="","",NodesData[[#This Row],[Context Instanciation]])</f>
        <v/>
      </c>
      <c r="D27" s="22" t="str">
        <f>NodesData[[#This Row],[Node ID]]</f>
        <v>FBC09AB6-9BA6-42D4-985B-347BCF552947</v>
      </c>
      <c r="E27" s="3" t="str">
        <f>IF(NodesData[[#This Row],[URL]]="","",NodesData[[#This Row],[URL]])</f>
        <v>https://open-measure.atlassian.net/wiki/spaces/DIC/pages/274236090</v>
      </c>
      <c r="F27" s="25" t="str" cm="1">
        <f t="array" ref="F27">IF(NodesJSON[[#This Row],[Export?]]=0,"",IF(ROW(NodesJSON[[#This Row],[label]])&gt;ROW(NodesJSON[[#Headers],[JSON]])+1,",","") &amp;"{"&amp;twoRangesToJSON(NodesJSON[[#Headers],[label]:[url]],NodesJSON[[#This Row],[label]:[url]])&amp;"}")</f>
        <v>,{"label":"Application Administrator","group":"","id":"FBC09AB6-9BA6-42D4-985B-347BCF552947","url":"https://open-measure.atlassian.net/wiki/spaces/DIC/pages/274236090"}</v>
      </c>
    </row>
    <row r="28" spans="1:6" ht="13.9" thickTop="1" thickBot="1" x14ac:dyDescent="0.4">
      <c r="A28" s="38">
        <f>IF(ISERR(NodesJSON[[#This Row],[label]]),0,1)</f>
        <v>1</v>
      </c>
      <c r="B28" s="3" t="str">
        <f>NodesData[[#This Row],[Common Name]]</f>
        <v>Application Instance</v>
      </c>
      <c r="C28" s="3" t="str">
        <f>IF(NodesData[[#This Row],[Context Instanciation]]="","",NodesData[[#This Row],[Context Instanciation]])</f>
        <v/>
      </c>
      <c r="D28" s="22" t="str">
        <f>NodesData[[#This Row],[Node ID]]</f>
        <v>8387CEDB-388E-4D9B-8EF5-4C0296067EFD</v>
      </c>
      <c r="E28" s="3" t="str">
        <f>IF(NodesData[[#This Row],[URL]]="","",NodesData[[#This Row],[URL]])</f>
        <v>https://open-measure.atlassian.net/wiki/spaces/DIC/pages/834044036</v>
      </c>
      <c r="F28" s="25" t="str" cm="1">
        <f t="array" ref="F28">IF(NodesJSON[[#This Row],[Export?]]=0,"",IF(ROW(NodesJSON[[#This Row],[label]])&gt;ROW(NodesJSON[[#Headers],[JSON]])+1,",","") &amp;"{"&amp;twoRangesToJSON(NodesJSON[[#Headers],[label]:[url]],NodesJSON[[#This Row],[label]:[url]])&amp;"}")</f>
        <v>,{"label":"Application Instance","group":"","id":"8387CEDB-388E-4D9B-8EF5-4C0296067EFD","url":"https://open-measure.atlassian.net/wiki/spaces/DIC/pages/834044036"}</v>
      </c>
    </row>
    <row r="29" spans="1:6" ht="13.9" thickTop="1" thickBot="1" x14ac:dyDescent="0.4">
      <c r="A29" s="38">
        <f>IF(ISERR(NodesJSON[[#This Row],[label]]),0,1)</f>
        <v>1</v>
      </c>
      <c r="B29" s="3" t="str">
        <f>NodesData[[#This Row],[Common Name]]</f>
        <v>Application Multiplexing</v>
      </c>
      <c r="C29" s="3" t="str">
        <f>IF(NodesData[[#This Row],[Context Instanciation]]="","",NodesData[[#This Row],[Context Instanciation]])</f>
        <v/>
      </c>
      <c r="D29" s="22" t="str">
        <f>NodesData[[#This Row],[Node ID]]</f>
        <v>3385B652-58CB-46D7-8D4B-04F594802921</v>
      </c>
      <c r="E29" s="3" t="str">
        <f>IF(NodesData[[#This Row],[URL]]="","",NodesData[[#This Row],[URL]])</f>
        <v>https://open-measure.atlassian.net/wiki/spaces/DIC/pages/1658355721/Application+Multiplexing</v>
      </c>
      <c r="F29" s="25" t="str" cm="1">
        <f t="array" ref="F29">IF(NodesJSON[[#This Row],[Export?]]=0,"",IF(ROW(NodesJSON[[#This Row],[label]])&gt;ROW(NodesJSON[[#Headers],[JSON]])+1,",","") &amp;"{"&amp;twoRangesToJSON(NodesJSON[[#Headers],[label]:[url]],NodesJSON[[#This Row],[label]:[url]])&amp;"}")</f>
        <v>,{"label":"Application Multiplexing","group":"","id":"3385B652-58CB-46D7-8D4B-04F594802921","url":"https://open-measure.atlassian.net/wiki/spaces/DIC/pages/1658355721/Application+Multiplexing"}</v>
      </c>
    </row>
    <row r="30" spans="1:6" ht="13.9" thickTop="1" thickBot="1" x14ac:dyDescent="0.4">
      <c r="A30" s="38">
        <f>IF(ISERR(NodesJSON[[#This Row],[label]]),0,1)</f>
        <v>1</v>
      </c>
      <c r="B30" s="3" t="str">
        <f>NodesData[[#This Row],[Common Name]]</f>
        <v>Application Package</v>
      </c>
      <c r="C30" s="3" t="str">
        <f>IF(NodesData[[#This Row],[Context Instanciation]]="","",NodesData[[#This Row],[Context Instanciation]])</f>
        <v/>
      </c>
      <c r="D30" s="22" t="str">
        <f>NodesData[[#This Row],[Node ID]]</f>
        <v>0E0EF207-A74F-41C7-8C6C-FEFABBC8533E</v>
      </c>
      <c r="E30" s="3" t="str">
        <f>IF(NodesData[[#This Row],[URL]]="","",NodesData[[#This Row],[URL]])</f>
        <v>https://open-measure.atlassian.net/wiki/spaces/DIC/pages/5932704</v>
      </c>
      <c r="F30" s="25" t="str" cm="1">
        <f t="array" ref="F30">IF(NodesJSON[[#This Row],[Export?]]=0,"",IF(ROW(NodesJSON[[#This Row],[label]])&gt;ROW(NodesJSON[[#Headers],[JSON]])+1,",","") &amp;"{"&amp;twoRangesToJSON(NodesJSON[[#Headers],[label]:[url]],NodesJSON[[#This Row],[label]:[url]])&amp;"}")</f>
        <v>,{"label":"Application Package","group":"","id":"0E0EF207-A74F-41C7-8C6C-FEFABBC8533E","url":"https://open-measure.atlassian.net/wiki/spaces/DIC/pages/5932704"}</v>
      </c>
    </row>
    <row r="31" spans="1:6" ht="13.9" thickTop="1" thickBot="1" x14ac:dyDescent="0.4">
      <c r="A31" s="38">
        <f>IF(ISERR(NodesJSON[[#This Row],[label]]),0,1)</f>
        <v>1</v>
      </c>
      <c r="B31" s="3" t="str">
        <f>NodesData[[#This Row],[Common Name]]</f>
        <v>Application Program</v>
      </c>
      <c r="C31" s="3" t="str">
        <f>IF(NodesData[[#This Row],[Context Instanciation]]="","",NodesData[[#This Row],[Context Instanciation]])</f>
        <v/>
      </c>
      <c r="D31" s="22" t="str">
        <f>NodesData[[#This Row],[Node ID]]</f>
        <v>189B785C-38F7-48DF-8611-D21A00C71F6A</v>
      </c>
      <c r="E31" s="3" t="str">
        <f>IF(NodesData[[#This Row],[URL]]="","",NodesData[[#This Row],[URL]])</f>
        <v>https://open-measure.atlassian.net/wiki/spaces/DIC/pages/6030793/Application+Program</v>
      </c>
      <c r="F31" s="25" t="str" cm="1">
        <f t="array" ref="F31">IF(NodesJSON[[#This Row],[Export?]]=0,"",IF(ROW(NodesJSON[[#This Row],[label]])&gt;ROW(NodesJSON[[#Headers],[JSON]])+1,",","") &amp;"{"&amp;twoRangesToJSON(NodesJSON[[#Headers],[label]:[url]],NodesJSON[[#This Row],[label]:[url]])&amp;"}")</f>
        <v>,{"label":"Application Program","group":"","id":"189B785C-38F7-48DF-8611-D21A00C71F6A","url":"https://open-measure.atlassian.net/wiki/spaces/DIC/pages/6030793/Application+Program"}</v>
      </c>
    </row>
    <row r="32" spans="1:6" ht="13.9" thickTop="1" thickBot="1" x14ac:dyDescent="0.4">
      <c r="A32" s="38">
        <f>IF(ISERR(NodesJSON[[#This Row],[label]]),0,1)</f>
        <v>1</v>
      </c>
      <c r="B32" s="3" t="str">
        <f>NodesData[[#This Row],[Common Name]]</f>
        <v>Application-Level Policy</v>
      </c>
      <c r="C32" s="3" t="str">
        <f>IF(NodesData[[#This Row],[Context Instanciation]]="","",NodesData[[#This Row],[Context Instanciation]])</f>
        <v/>
      </c>
      <c r="D32" s="22" t="str">
        <f>NodesData[[#This Row],[Node ID]]</f>
        <v>021F487D-5E5C-434B-B771-893DB72C04E0</v>
      </c>
      <c r="E32" s="3" t="str">
        <f>IF(NodesData[[#This Row],[URL]]="","",NodesData[[#This Row],[URL]])</f>
        <v>https://open-measure.atlassian.net/wiki/spaces/DIC/pages/1122631854</v>
      </c>
      <c r="F32" s="25" t="str" cm="1">
        <f t="array" ref="F32">IF(NodesJSON[[#This Row],[Export?]]=0,"",IF(ROW(NodesJSON[[#This Row],[label]])&gt;ROW(NodesJSON[[#Headers],[JSON]])+1,",","") &amp;"{"&amp;twoRangesToJSON(NodesJSON[[#Headers],[label]:[url]],NodesJSON[[#This Row],[label]:[url]])&amp;"}")</f>
        <v>,{"label":"Application-Level Policy","group":"","id":"021F487D-5E5C-434B-B771-893DB72C04E0","url":"https://open-measure.atlassian.net/wiki/spaces/DIC/pages/1122631854"}</v>
      </c>
    </row>
    <row r="33" spans="1:6" ht="13.9" thickTop="1" thickBot="1" x14ac:dyDescent="0.4">
      <c r="A33" s="38">
        <f>IF(ISERR(NodesJSON[[#This Row],[label]]),0,1)</f>
        <v>1</v>
      </c>
      <c r="B33" s="3" t="str">
        <f>NodesData[[#This Row],[Common Name]]</f>
        <v>Archive</v>
      </c>
      <c r="C33" s="3" t="str">
        <f>IF(NodesData[[#This Row],[Context Instanciation]]="","",NodesData[[#This Row],[Context Instanciation]])</f>
        <v/>
      </c>
      <c r="D33" s="22" t="str">
        <f>NodesData[[#This Row],[Node ID]]</f>
        <v>CDB3F96B-4E2C-4F45-A2C3-EEE0171479BB</v>
      </c>
      <c r="E33" s="3" t="str">
        <f>IF(NodesData[[#This Row],[URL]]="","",NodesData[[#This Row],[URL]])</f>
        <v>https://open-measure.atlassian.net/wiki/spaces/DIC/pages/425197720</v>
      </c>
      <c r="F33" s="25" t="str" cm="1">
        <f t="array" ref="F33">IF(NodesJSON[[#This Row],[Export?]]=0,"",IF(ROW(NodesJSON[[#This Row],[label]])&gt;ROW(NodesJSON[[#Headers],[JSON]])+1,",","") &amp;"{"&amp;twoRangesToJSON(NodesJSON[[#Headers],[label]:[url]],NodesJSON[[#This Row],[label]:[url]])&amp;"}")</f>
        <v>,{"label":"Archive","group":"","id":"CDB3F96B-4E2C-4F45-A2C3-EEE0171479BB","url":"https://open-measure.atlassian.net/wiki/spaces/DIC/pages/425197720"}</v>
      </c>
    </row>
    <row r="34" spans="1:6" ht="13.9" thickTop="1" thickBot="1" x14ac:dyDescent="0.4">
      <c r="A34" s="38">
        <f>IF(ISERR(NodesJSON[[#This Row],[label]]),0,1)</f>
        <v>1</v>
      </c>
      <c r="B34" s="3" t="str">
        <f>NodesData[[#This Row],[Common Name]]</f>
        <v>ARM</v>
      </c>
      <c r="C34" s="3" t="str">
        <f>IF(NodesData[[#This Row],[Context Instanciation]]="","",NodesData[[#This Row],[Context Instanciation]])</f>
        <v/>
      </c>
      <c r="D34" s="22" t="str">
        <f>NodesData[[#This Row],[Node ID]]</f>
        <v>30D21895-D4A5-4F2A-A2B4-76E8AD149662</v>
      </c>
      <c r="E34" s="3" t="str">
        <f>IF(NodesData[[#This Row],[URL]]="","",NodesData[[#This Row],[URL]])</f>
        <v>https://open-measure.atlassian.net/wiki/spaces/DIC/pages/1703994/ARM</v>
      </c>
      <c r="F34" s="25" t="str" cm="1">
        <f t="array" ref="F34">IF(NodesJSON[[#This Row],[Export?]]=0,"",IF(ROW(NodesJSON[[#This Row],[label]])&gt;ROW(NodesJSON[[#Headers],[JSON]])+1,",","") &amp;"{"&amp;twoRangesToJSON(NodesJSON[[#Headers],[label]:[url]],NodesJSON[[#This Row],[label]:[url]])&amp;"}")</f>
        <v>,{"label":"ARM","group":"","id":"30D21895-D4A5-4F2A-A2B4-76E8AD149662","url":"https://open-measure.atlassian.net/wiki/spaces/DIC/pages/1703994/ARM"}</v>
      </c>
    </row>
    <row r="35" spans="1:6" ht="13.9" thickTop="1" thickBot="1" x14ac:dyDescent="0.4">
      <c r="A35" s="38">
        <f>IF(ISERR(NodesJSON[[#This Row],[label]]),0,1)</f>
        <v>1</v>
      </c>
      <c r="B35" s="3" t="str">
        <f>NodesData[[#This Row],[Common Name]]</f>
        <v>Asset Custody</v>
      </c>
      <c r="C35" s="3" t="str">
        <f>IF(NodesData[[#This Row],[Context Instanciation]]="","",NodesData[[#This Row],[Context Instanciation]])</f>
        <v/>
      </c>
      <c r="D35" s="22" t="str">
        <f>NodesData[[#This Row],[Node ID]]</f>
        <v>2090D58D-5C7A-44E1-B0DD-B4C12F0CBF2B</v>
      </c>
      <c r="E35" s="3" t="str">
        <f>IF(NodesData[[#This Row],[URL]]="","",NodesData[[#This Row],[URL]])</f>
        <v>https://open-measure.atlassian.net/wiki/spaces/DIC/pages/1094516867</v>
      </c>
      <c r="F35" s="25" t="str" cm="1">
        <f t="array" ref="F35">IF(NodesJSON[[#This Row],[Export?]]=0,"",IF(ROW(NodesJSON[[#This Row],[label]])&gt;ROW(NodesJSON[[#Headers],[JSON]])+1,",","") &amp;"{"&amp;twoRangesToJSON(NodesJSON[[#Headers],[label]:[url]],NodesJSON[[#This Row],[label]:[url]])&amp;"}")</f>
        <v>,{"label":"Asset Custody","group":"","id":"2090D58D-5C7A-44E1-B0DD-B4C12F0CBF2B","url":"https://open-measure.atlassian.net/wiki/spaces/DIC/pages/1094516867"}</v>
      </c>
    </row>
    <row r="36" spans="1:6" ht="13.9" thickTop="1" thickBot="1" x14ac:dyDescent="0.4">
      <c r="A36" s="38">
        <f>IF(ISERR(NodesJSON[[#This Row],[label]]),0,1)</f>
        <v>1</v>
      </c>
      <c r="B36" s="3" t="str">
        <f>NodesData[[#This Row],[Common Name]]</f>
        <v>Attack Class</v>
      </c>
      <c r="C36" s="3" t="str">
        <f>IF(NodesData[[#This Row],[Context Instanciation]]="","",NodesData[[#This Row],[Context Instanciation]])</f>
        <v/>
      </c>
      <c r="D36" s="22" t="str">
        <f>NodesData[[#This Row],[Node ID]]</f>
        <v>F6D05109-A8EB-4630-8070-A3DC00484ED2</v>
      </c>
      <c r="E36" s="3" t="str">
        <f>IF(NodesData[[#This Row],[URL]]="","",NodesData[[#This Row],[URL]])</f>
        <v/>
      </c>
      <c r="F36" s="25" t="str" cm="1">
        <f t="array" ref="F36">IF(NodesJSON[[#This Row],[Export?]]=0,"",IF(ROW(NodesJSON[[#This Row],[label]])&gt;ROW(NodesJSON[[#Headers],[JSON]])+1,",","") &amp;"{"&amp;twoRangesToJSON(NodesJSON[[#Headers],[label]:[url]],NodesJSON[[#This Row],[label]:[url]])&amp;"}")</f>
        <v>,{"label":"Attack Class","group":"","id":"F6D05109-A8EB-4630-8070-A3DC00484ED2","url":""}</v>
      </c>
    </row>
    <row r="37" spans="1:6" ht="13.9" thickTop="1" thickBot="1" x14ac:dyDescent="0.4">
      <c r="A37" s="38">
        <f>IF(ISERR(NodesJSON[[#This Row],[label]]),0,1)</f>
        <v>1</v>
      </c>
      <c r="B37" s="3" t="str">
        <f>NodesData[[#This Row],[Common Name]]</f>
        <v>Attestation</v>
      </c>
      <c r="C37" s="3" t="str">
        <f>IF(NodesData[[#This Row],[Context Instanciation]]="","",NodesData[[#This Row],[Context Instanciation]])</f>
        <v/>
      </c>
      <c r="D37" s="22" t="str">
        <f>NodesData[[#This Row],[Node ID]]</f>
        <v>C667981B-B081-4789-9993-2BC97D95D5F6</v>
      </c>
      <c r="E37" s="3" t="str">
        <f>IF(NodesData[[#This Row],[URL]]="","",NodesData[[#This Row],[URL]])</f>
        <v>https://open-measure.atlassian.net/wiki/spaces/DIC/pages/1323368851/Attestation</v>
      </c>
      <c r="F37" s="25" t="str" cm="1">
        <f t="array" ref="F37">IF(NodesJSON[[#This Row],[Export?]]=0,"",IF(ROW(NodesJSON[[#This Row],[label]])&gt;ROW(NodesJSON[[#Headers],[JSON]])+1,",","") &amp;"{"&amp;twoRangesToJSON(NodesJSON[[#Headers],[label]:[url]],NodesJSON[[#This Row],[label]:[url]])&amp;"}")</f>
        <v>,{"label":"Attestation","group":"","id":"C667981B-B081-4789-9993-2BC97D95D5F6","url":"https://open-measure.atlassian.net/wiki/spaces/DIC/pages/1323368851/Attestation"}</v>
      </c>
    </row>
    <row r="38" spans="1:6" ht="13.9" thickTop="1" thickBot="1" x14ac:dyDescent="0.4">
      <c r="A38" s="38">
        <f>IF(ISERR(NodesJSON[[#This Row],[label]]),0,1)</f>
        <v>1</v>
      </c>
      <c r="B38" s="3" t="str">
        <f>NodesData[[#This Row],[Common Name]]</f>
        <v>Attribute</v>
      </c>
      <c r="C38" s="3" t="str">
        <f>IF(NodesData[[#This Row],[Context Instanciation]]="","",NodesData[[#This Row],[Context Instanciation]])</f>
        <v/>
      </c>
      <c r="D38" s="22" t="str">
        <f>NodesData[[#This Row],[Node ID]]</f>
        <v>AEFD6523-59E0-47E0-921F-B5A26C6FC118</v>
      </c>
      <c r="E38" s="3" t="str">
        <f>IF(NodesData[[#This Row],[URL]]="","",NodesData[[#This Row],[URL]])</f>
        <v>https://open-measure.atlassian.net/wiki/spaces/DIC/pages/409174161</v>
      </c>
      <c r="F38" s="25" t="str" cm="1">
        <f t="array" ref="F38">IF(NodesJSON[[#This Row],[Export?]]=0,"",IF(ROW(NodesJSON[[#This Row],[label]])&gt;ROW(NodesJSON[[#Headers],[JSON]])+1,",","") &amp;"{"&amp;twoRangesToJSON(NodesJSON[[#Headers],[label]:[url]],NodesJSON[[#This Row],[label]:[url]])&amp;"}")</f>
        <v>,{"label":"Attribute","group":"","id":"AEFD6523-59E0-47E0-921F-B5A26C6FC118","url":"https://open-measure.atlassian.net/wiki/spaces/DIC/pages/409174161"}</v>
      </c>
    </row>
    <row r="39" spans="1:6" ht="13.9" thickTop="1" thickBot="1" x14ac:dyDescent="0.4">
      <c r="A39" s="38">
        <f>IF(ISERR(NodesJSON[[#This Row],[label]]),0,1)</f>
        <v>1</v>
      </c>
      <c r="B39" s="3" t="str">
        <f>NodesData[[#This Row],[Common Name]]</f>
        <v>Attribute Provider</v>
      </c>
      <c r="C39" s="3" t="str">
        <f>IF(NodesData[[#This Row],[Context Instanciation]]="","",NodesData[[#This Row],[Context Instanciation]])</f>
        <v/>
      </c>
      <c r="D39" s="22" t="str">
        <f>NodesData[[#This Row],[Node ID]]</f>
        <v>5FDF9F3F-FD1C-4DD0-A1D2-D943DB3091B5</v>
      </c>
      <c r="E39" s="3" t="str">
        <f>IF(NodesData[[#This Row],[URL]]="","",NodesData[[#This Row],[URL]])</f>
        <v>https://open-measure.atlassian.net/wiki/spaces/DIC/pages/81101655</v>
      </c>
      <c r="F39" s="25" t="str" cm="1">
        <f t="array" ref="F39">IF(NodesJSON[[#This Row],[Export?]]=0,"",IF(ROW(NodesJSON[[#This Row],[label]])&gt;ROW(NodesJSON[[#Headers],[JSON]])+1,",","") &amp;"{"&amp;twoRangesToJSON(NodesJSON[[#Headers],[label]:[url]],NodesJSON[[#This Row],[label]:[url]])&amp;"}")</f>
        <v>,{"label":"Attribute Provider","group":"","id":"5FDF9F3F-FD1C-4DD0-A1D2-D943DB3091B5","url":"https://open-measure.atlassian.net/wiki/spaces/DIC/pages/81101655"}</v>
      </c>
    </row>
    <row r="40" spans="1:6" ht="13.9" thickTop="1" thickBot="1" x14ac:dyDescent="0.4">
      <c r="A40" s="38">
        <f>IF(ISERR(NodesJSON[[#This Row],[label]]),0,1)</f>
        <v>1</v>
      </c>
      <c r="B40" s="3" t="str">
        <f>NodesData[[#This Row],[Common Name]]</f>
        <v>Authentic Identity</v>
      </c>
      <c r="C40" s="3" t="str">
        <f>IF(NodesData[[#This Row],[Context Instanciation]]="","",NodesData[[#This Row],[Context Instanciation]])</f>
        <v/>
      </c>
      <c r="D40" s="22" t="str">
        <f>NodesData[[#This Row],[Node ID]]</f>
        <v>B9BC6707-084C-4264-ABDB-9F04C39AC188</v>
      </c>
      <c r="E40" s="3" t="str">
        <f>IF(NodesData[[#This Row],[URL]]="","",NodesData[[#This Row],[URL]])</f>
        <v/>
      </c>
      <c r="F40" s="25" t="str" cm="1">
        <f t="array" ref="F40">IF(NodesJSON[[#This Row],[Export?]]=0,"",IF(ROW(NodesJSON[[#This Row],[label]])&gt;ROW(NodesJSON[[#Headers],[JSON]])+1,",","") &amp;"{"&amp;twoRangesToJSON(NodesJSON[[#Headers],[label]:[url]],NodesJSON[[#This Row],[label]:[url]])&amp;"}")</f>
        <v>,{"label":"Authentic Identity","group":"","id":"B9BC6707-084C-4264-ABDB-9F04C39AC188","url":""}</v>
      </c>
    </row>
    <row r="41" spans="1:6" ht="13.9" thickTop="1" thickBot="1" x14ac:dyDescent="0.4">
      <c r="A41" s="38">
        <f>IF(ISERR(NodesJSON[[#This Row],[label]]),0,1)</f>
        <v>1</v>
      </c>
      <c r="B41" s="3" t="str">
        <f>NodesData[[#This Row],[Common Name]]</f>
        <v>Authenticated Users</v>
      </c>
      <c r="C41" s="3" t="str">
        <f>IF(NodesData[[#This Row],[Context Instanciation]]="","",NodesData[[#This Row],[Context Instanciation]])</f>
        <v/>
      </c>
      <c r="D41" s="22" t="str">
        <f>NodesData[[#This Row],[Node ID]]</f>
        <v>F58510E3-3CCC-4A1E-9BEF-76DE48432FE1</v>
      </c>
      <c r="E41" s="3" t="str">
        <f>IF(NodesData[[#This Row],[URL]]="","",NodesData[[#This Row],[URL]])</f>
        <v>https://open-measure.atlassian.net/wiki/spaces/DIC/pages/966492169</v>
      </c>
      <c r="F41" s="25" t="str" cm="1">
        <f t="array" ref="F41">IF(NodesJSON[[#This Row],[Export?]]=0,"",IF(ROW(NodesJSON[[#This Row],[label]])&gt;ROW(NodesJSON[[#Headers],[JSON]])+1,",","") &amp;"{"&amp;twoRangesToJSON(NodesJSON[[#Headers],[label]:[url]],NodesJSON[[#This Row],[label]:[url]])&amp;"}")</f>
        <v>,{"label":"Authenticated Users","group":"","id":"F58510E3-3CCC-4A1E-9BEF-76DE48432FE1","url":"https://open-measure.atlassian.net/wiki/spaces/DIC/pages/966492169"}</v>
      </c>
    </row>
    <row r="42" spans="1:6" ht="13.9" thickTop="1" thickBot="1" x14ac:dyDescent="0.4">
      <c r="A42" s="38">
        <f>IF(ISERR(NodesJSON[[#This Row],[label]]),0,1)</f>
        <v>1</v>
      </c>
      <c r="B42" s="3" t="str">
        <f>NodesData[[#This Row],[Common Name]]</f>
        <v>Authentication</v>
      </c>
      <c r="C42" s="3" t="str">
        <f>IF(NodesData[[#This Row],[Context Instanciation]]="","",NodesData[[#This Row],[Context Instanciation]])</f>
        <v/>
      </c>
      <c r="D42" s="22" t="str">
        <f>NodesData[[#This Row],[Node ID]]</f>
        <v>38617C53-5441-41E7-9C6D-C693D9A050AE</v>
      </c>
      <c r="E42" s="8"/>
      <c r="F42" s="25" t="str" cm="1">
        <f t="array" ref="F42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,{"label":"Authentication","group":"","id":"38617C53-5441-41E7-9C6D-C693D9A050AE","url":""}</v>
      </c>
    </row>
    <row r="43" spans="1:6" ht="13.9" thickTop="1" thickBot="1" x14ac:dyDescent="0.4">
      <c r="A43" s="38">
        <f>IF(ISERR(NodesJSON[[#This Row],[label]]),0,1)</f>
        <v>1</v>
      </c>
      <c r="B43" s="3" t="str">
        <f>NodesData[[#This Row],[Common Name]]</f>
        <v>Authentication Factor</v>
      </c>
      <c r="C43" s="3" t="str">
        <f>IF(NodesData[[#This Row],[Context Instanciation]]="","",NodesData[[#This Row],[Context Instanciation]])</f>
        <v/>
      </c>
      <c r="D43" s="22" t="str">
        <f>NodesData[[#This Row],[Node ID]]</f>
        <v>A42E7343-FA4C-490A-A0A3-7F65FB188771</v>
      </c>
      <c r="E43" s="10" t="s">
        <v>586</v>
      </c>
      <c r="F43" s="25" t="str" cm="1">
        <f t="array" ref="F43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 Factor","group":"","id":"A42E7343-FA4C-490A-A0A3-7F65FB188771","url":"https://open-measure.atlassian.net/wiki/spaces/DIC/pages/848724060"}</v>
      </c>
    </row>
    <row r="44" spans="1:6" ht="13.9" thickTop="1" thickBot="1" x14ac:dyDescent="0.4">
      <c r="A44" s="38">
        <f>IF(ISERR(NodesJSON[[#This Row],[label]]),0,1)</f>
        <v>1</v>
      </c>
      <c r="B44" s="3" t="str">
        <f>NodesData[[#This Row],[Common Name]]</f>
        <v>Authentication Method</v>
      </c>
      <c r="C44" s="3" t="str">
        <f>IF(NodesData[[#This Row],[Context Instanciation]]="","",NodesData[[#This Row],[Context Instanciation]])</f>
        <v/>
      </c>
      <c r="D44" s="22" t="str">
        <f>NodesData[[#This Row],[Node ID]]</f>
        <v>4C6DA97E-8091-41CA-B99C-4250D2678005</v>
      </c>
      <c r="E44" s="10" t="s">
        <v>588</v>
      </c>
      <c r="F44" s="25" t="str" cm="1">
        <f t="array" ref="F44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 Method","group":"","id":"4C6DA97E-8091-41CA-B99C-4250D2678005","url":"https://open-measure.atlassian.net/wiki/spaces/DIC/pages/998178905"}</v>
      </c>
    </row>
    <row r="45" spans="1:6" ht="13.9" thickTop="1" thickBot="1" x14ac:dyDescent="0.4">
      <c r="A45" s="38">
        <f>IF(ISERR(NodesJSON[[#This Row],[label]]),0,1)</f>
        <v>1</v>
      </c>
      <c r="B45" s="3" t="str">
        <f>NodesData[[#This Row],[Common Name]]</f>
        <v>Authenticator</v>
      </c>
      <c r="C45" s="3" t="str">
        <f>IF(NodesData[[#This Row],[Context Instanciation]]="","",NodesData[[#This Row],[Context Instanciation]])</f>
        <v/>
      </c>
      <c r="D45" s="22" t="str">
        <f>NodesData[[#This Row],[Node ID]]</f>
        <v>EDEC0D80-0928-4226-B6D0-E8C67746479D</v>
      </c>
      <c r="E45" s="10" t="s">
        <v>590</v>
      </c>
      <c r="F45" s="25" t="str" cm="1">
        <f t="array" ref="F45">IF(NodesJSON[[#This Row],[Export?]]=0,"",IF(ROW(NodesJSON[[#This Row],[label]])&gt;ROW(NodesJSON[[#Headers],[JSON]])+1,",","") &amp;"{"&amp;twoRangesToJSON(NodesJSON[[#Headers],[label]:[url]],NodesJSON[[#This Row],[label]:[url]])&amp;"}")</f>
        <v>,{"label":"Authenticator","group":"","id":"EDEC0D80-0928-4226-B6D0-E8C67746479D","url":"https://open-measure.atlassian.net/wiki/spaces/DIC/pages/60882993"}</v>
      </c>
    </row>
    <row r="46" spans="1:6" ht="13.9" thickTop="1" thickBot="1" x14ac:dyDescent="0.4">
      <c r="A46" s="38">
        <f>IF(ISERR(NodesJSON[[#This Row],[label]]),0,1)</f>
        <v>1</v>
      </c>
      <c r="B46" s="3" t="str">
        <f>NodesData[[#This Row],[Common Name]]</f>
        <v>Authority</v>
      </c>
      <c r="C46" s="3" t="str">
        <f>IF(NodesData[[#This Row],[Context Instanciation]]="","",NodesData[[#This Row],[Context Instanciation]])</f>
        <v/>
      </c>
      <c r="D46" s="22" t="str">
        <f>NodesData[[#This Row],[Node ID]]</f>
        <v>795BF7BB-BED4-45ED-A0FB-5CAE400F9B36</v>
      </c>
      <c r="E46" s="10" t="s">
        <v>593</v>
      </c>
      <c r="F46" s="25" t="str" cm="1">
        <f t="array" ref="F46">IF(NodesJSON[[#This Row],[Export?]]=0,"",IF(ROW(NodesJSON[[#This Row],[label]])&gt;ROW(NodesJSON[[#Headers],[JSON]])+1,",","") &amp;"{"&amp;twoRangesToJSON(NodesJSON[[#Headers],[label]:[url]],NodesJSON[[#This Row],[label]:[url]])&amp;"}")</f>
        <v>,{"label":"Authority","group":"","id":"795BF7BB-BED4-45ED-A0FB-5CAE400F9B36","url":"https://open-measure.atlassian.net/wiki/spaces/DIC/pages/1311472"}</v>
      </c>
    </row>
    <row r="47" spans="1:6" ht="13.9" thickTop="1" thickBot="1" x14ac:dyDescent="0.4">
      <c r="A47" s="38">
        <f>IF(ISERR(NodesJSON[[#This Row],[label]]),0,1)</f>
        <v>1</v>
      </c>
      <c r="B47" s="3" t="str">
        <f>NodesData[[#This Row],[Common Name]]</f>
        <v>Authorization</v>
      </c>
      <c r="C47" s="3" t="str">
        <f>IF(NodesData[[#This Row],[Context Instanciation]]="","",NodesData[[#This Row],[Context Instanciation]])</f>
        <v>Account Takeover</v>
      </c>
      <c r="D47" s="22" t="str">
        <f>NodesData[[#This Row],[Node ID]]</f>
        <v>5F148AC3-F899-4AC2-AEB2-C6CA6005999B</v>
      </c>
      <c r="E47" s="10" t="s">
        <v>595</v>
      </c>
      <c r="F47" s="25" t="str" cm="1">
        <f t="array" ref="F47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,{"label":"Authorization","group":"Account Takeover","id":"5F148AC3-F899-4AC2-AEB2-C6CA6005999B","url":"https://open-measure.atlassian.net/wiki/spaces/DIC/pages/998277774"}</v>
      </c>
    </row>
    <row r="48" spans="1:6" ht="13.9" thickTop="1" thickBot="1" x14ac:dyDescent="0.4">
      <c r="A48" s="38">
        <f>IF(ISERR(NodesJSON[[#This Row],[label]]),0,1)</f>
        <v>1</v>
      </c>
      <c r="B48" s="3" t="str">
        <f>NodesData[[#This Row],[Common Name]]</f>
        <v>Authorization</v>
      </c>
      <c r="C48" s="3" t="str">
        <f>IF(NodesData[[#This Row],[Context Instanciation]]="","",NodesData[[#This Row],[Context Instanciation]])</f>
        <v/>
      </c>
      <c r="D48" s="22" t="str">
        <f>NodesData[[#This Row],[Node ID]]</f>
        <v>4CCAC3A5-F0D1-4BDF-8B19-D0D38CCBDE4B</v>
      </c>
      <c r="E48" s="10" t="s">
        <v>597</v>
      </c>
      <c r="F48" s="25" t="str" cm="1">
        <f t="array" ref="F48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,{"label":"Authorization","group":"","id":"4CCAC3A5-F0D1-4BDF-8B19-D0D38CCBDE4B","url":"https://open-measure.atlassian.net/wiki/spaces/DIC/pages/998245198"}</v>
      </c>
    </row>
    <row r="49" spans="1:6" ht="13.9" thickTop="1" thickBot="1" x14ac:dyDescent="0.4">
      <c r="A49" s="38">
        <f>IF(ISERR(NodesJSON[[#This Row],[label]]),0,1)</f>
        <v>1</v>
      </c>
      <c r="B49" s="3" t="str">
        <f>NodesData[[#This Row],[Common Name]]</f>
        <v>Authorization Externalization</v>
      </c>
      <c r="C49" s="3" t="str">
        <f>IF(NodesData[[#This Row],[Context Instanciation]]="","",NodesData[[#This Row],[Context Instanciation]])</f>
        <v/>
      </c>
      <c r="D49" s="22" t="str">
        <f>NodesData[[#This Row],[Node ID]]</f>
        <v>3F93E417-521F-4E37-9FEB-2580B5B04AA6</v>
      </c>
      <c r="E49" s="10" t="s">
        <v>599</v>
      </c>
      <c r="F49" s="25" t="str" cm="1">
        <f t="array" ref="F49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 Externalization","group":"","id":"3F93E417-521F-4E37-9FEB-2580B5B04AA6","url":"https://open-measure.atlassian.net/wiki/spaces/DIC/pages/998277876"}</v>
      </c>
    </row>
    <row r="50" spans="1:6" ht="13.9" thickTop="1" thickBot="1" x14ac:dyDescent="0.4">
      <c r="A50" s="38">
        <f>IF(ISERR(NodesJSON[[#This Row],[label]]),0,1)</f>
        <v>1</v>
      </c>
      <c r="B50" s="3" t="str">
        <f>NodesData[[#This Row],[Common Name]]</f>
        <v>Awareness</v>
      </c>
      <c r="C50" s="3" t="str">
        <f>IF(NodesData[[#This Row],[Context Instanciation]]="","",NodesData[[#This Row],[Context Instanciation]])</f>
        <v/>
      </c>
      <c r="D50" s="22" t="str">
        <f>NodesData[[#This Row],[Node ID]]</f>
        <v>405A68C8-B875-4F50-9E41-6D62C952D939</v>
      </c>
      <c r="E50" s="10" t="s">
        <v>601</v>
      </c>
      <c r="F50" s="25" t="str" cm="1">
        <f t="array" ref="F50">IF(NodesJSON[[#This Row],[Export?]]=0,"",IF(ROW(NodesJSON[[#This Row],[label]])&gt;ROW(NodesJSON[[#Headers],[JSON]])+1,",","") &amp;"{"&amp;twoRangesToJSON(NodesJSON[[#Headers],[label]:[url]],NodesJSON[[#This Row],[label]:[url]])&amp;"}")</f>
        <v>,{"label":"Awareness","group":"","id":"405A68C8-B875-4F50-9E41-6D62C952D939","url":"https://open-measure.atlassian.net/wiki/spaces/DIC/pages/998277805"}</v>
      </c>
    </row>
    <row r="51" spans="1:6" ht="13.9" thickTop="1" thickBot="1" x14ac:dyDescent="0.4">
      <c r="A51" s="38">
        <f>IF(ISERR(NodesJSON[[#This Row],[label]]),0,1)</f>
        <v>1</v>
      </c>
      <c r="B51" s="3" t="str">
        <f>NodesData[[#This Row],[Common Name]]</f>
        <v>AWS Account Root User</v>
      </c>
      <c r="C51" s="3" t="str">
        <f>IF(NodesData[[#This Row],[Context Instanciation]]="","",NodesData[[#This Row],[Context Instanciation]])</f>
        <v/>
      </c>
      <c r="D51" s="22" t="str">
        <f>NodesData[[#This Row],[Node ID]]</f>
        <v>F6EB1544-9C33-48D4-AF92-B45BB09FED03</v>
      </c>
      <c r="E51" s="10" t="s">
        <v>603</v>
      </c>
      <c r="F51" s="25" t="str" cm="1">
        <f t="array" ref="F51">IF(NodesJSON[[#This Row],[Export?]]=0,"",IF(ROW(NodesJSON[[#This Row],[label]])&gt;ROW(NodesJSON[[#Headers],[JSON]])+1,",","") &amp;"{"&amp;twoRangesToJSON(NodesJSON[[#Headers],[label]:[url]],NodesJSON[[#This Row],[label]:[url]])&amp;"}")</f>
        <v>,{"label":"AWS Account Root User","group":"","id":"F6EB1544-9C33-48D4-AF92-B45BB09FED03","url":"https://open-measure.atlassian.net/wiki/spaces/DIC/pages/998277852"}</v>
      </c>
    </row>
    <row r="52" spans="1:6" ht="13.9" thickTop="1" thickBot="1" x14ac:dyDescent="0.4">
      <c r="A52" s="38">
        <f>IF(ISERR(NodesJSON[[#This Row],[label]]),0,1)</f>
        <v>1</v>
      </c>
      <c r="B52" s="3" t="str">
        <f>NodesData[[#This Row],[Common Name]]</f>
        <v>AWS ACL</v>
      </c>
      <c r="C52" s="3" t="str">
        <f>IF(NodesData[[#This Row],[Context Instanciation]]="","",NodesData[[#This Row],[Context Instanciation]])</f>
        <v/>
      </c>
      <c r="D52" s="22" t="str">
        <f>NodesData[[#This Row],[Node ID]]</f>
        <v>C62C1C42-39F4-4AA1-9B87-83E2BEE4B626</v>
      </c>
      <c r="E52" s="10" t="s">
        <v>605</v>
      </c>
      <c r="F52" s="25" t="str" cm="1">
        <f t="array" ref="F52">IF(NodesJSON[[#This Row],[Export?]]=0,"",IF(ROW(NodesJSON[[#This Row],[label]])&gt;ROW(NodesJSON[[#Headers],[JSON]])+1,",","") &amp;"{"&amp;twoRangesToJSON(NodesJSON[[#Headers],[label]:[url]],NodesJSON[[#This Row],[label]:[url]])&amp;"}")</f>
        <v>,{"label":"AWS ACL","group":"","id":"C62C1C42-39F4-4AA1-9B87-83E2BEE4B626","url":"https://open-measure.atlassian.net/wiki/spaces/DIC/pages/1071251573"}</v>
      </c>
    </row>
    <row r="53" spans="1:6" ht="13.9" thickTop="1" thickBot="1" x14ac:dyDescent="0.4">
      <c r="A53" s="38">
        <f>IF(ISERR(NodesJSON[[#This Row],[label]]),0,1)</f>
        <v>1</v>
      </c>
      <c r="B53" s="3" t="str">
        <f>NodesData[[#This Row],[Common Name]]</f>
        <v>AWS IAM</v>
      </c>
      <c r="C53" s="3" t="str">
        <f>IF(NodesData[[#This Row],[Context Instanciation]]="","",NodesData[[#This Row],[Context Instanciation]])</f>
        <v/>
      </c>
      <c r="D53" s="22" t="str">
        <f>NodesData[[#This Row],[Node ID]]</f>
        <v>E61AF7B2-B5C6-449C-B896-7F48FC11826B</v>
      </c>
      <c r="E53" s="10" t="s">
        <v>607</v>
      </c>
      <c r="F53" s="25" t="str" cm="1">
        <f t="array" ref="F53">IF(NodesJSON[[#This Row],[Export?]]=0,"",IF(ROW(NodesJSON[[#This Row],[label]])&gt;ROW(NodesJSON[[#Headers],[JSON]])+1,",","") &amp;"{"&amp;twoRangesToJSON(NodesJSON[[#Headers],[label]:[url]],NodesJSON[[#This Row],[label]:[url]])&amp;"}")</f>
        <v>,{"label":"AWS IAM","group":"","id":"E61AF7B2-B5C6-449C-B896-7F48FC11826B","url":"https://open-measure.atlassian.net/wiki/spaces/DIC/pages/998245151"}</v>
      </c>
    </row>
    <row r="54" spans="1:6" ht="13.9" thickTop="1" thickBot="1" x14ac:dyDescent="0.4">
      <c r="A54" s="38">
        <f>IF(ISERR(NodesJSON[[#This Row],[label]]),0,1)</f>
        <v>1</v>
      </c>
      <c r="B54" s="3" t="str">
        <f>NodesData[[#This Row],[Common Name]]</f>
        <v>AWS IAM Group</v>
      </c>
      <c r="C54" s="3" t="str">
        <f>IF(NodesData[[#This Row],[Context Instanciation]]="","",NodesData[[#This Row],[Context Instanciation]])</f>
        <v/>
      </c>
      <c r="D54" s="22" t="str">
        <f>NodesData[[#This Row],[Node ID]]</f>
        <v>8497A2DF-286C-438A-8FCC-A436A1AC5C23</v>
      </c>
      <c r="E54" s="10" t="s">
        <v>609</v>
      </c>
      <c r="F54" s="25" t="str" cm="1">
        <f t="array" ref="F54">IF(NodesJSON[[#This Row],[Export?]]=0,"",IF(ROW(NodesJSON[[#This Row],[label]])&gt;ROW(NodesJSON[[#Headers],[JSON]])+1,",","") &amp;"{"&amp;twoRangesToJSON(NodesJSON[[#Headers],[label]:[url]],NodesJSON[[#This Row],[label]:[url]])&amp;"}")</f>
        <v>,{"label":"AWS IAM Group","group":"","id":"8497A2DF-286C-438A-8FCC-A436A1AC5C23","url":"https://open-measure.atlassian.net/wiki/spaces/DIC/pages/998277835"}</v>
      </c>
    </row>
    <row r="55" spans="1:6" ht="13.9" thickTop="1" thickBot="1" x14ac:dyDescent="0.4">
      <c r="A55" s="38">
        <f>IF(ISERR(NodesJSON[[#This Row],[label]]),0,1)</f>
        <v>1</v>
      </c>
      <c r="B55" s="3" t="str">
        <f>NodesData[[#This Row],[Common Name]]</f>
        <v>AWS IAM Policy</v>
      </c>
      <c r="C55" s="3" t="str">
        <f>IF(NodesData[[#This Row],[Context Instanciation]]="","",NodesData[[#This Row],[Context Instanciation]])</f>
        <v/>
      </c>
      <c r="D55" s="22" t="str">
        <f>NodesData[[#This Row],[Node ID]]</f>
        <v>3451032E-0047-4623-A0EF-A9EE08C2868A</v>
      </c>
      <c r="E55" s="10" t="s">
        <v>611</v>
      </c>
      <c r="F55" s="25" t="str" cm="1">
        <f t="array" ref="F55">IF(NodesJSON[[#This Row],[Export?]]=0,"",IF(ROW(NodesJSON[[#This Row],[label]])&gt;ROW(NodesJSON[[#Headers],[JSON]])+1,",","") &amp;"{"&amp;twoRangesToJSON(NodesJSON[[#Headers],[label]:[url]],NodesJSON[[#This Row],[label]:[url]])&amp;"}")</f>
        <v>,{"label":"AWS IAM Policy","group":"","id":"3451032E-0047-4623-A0EF-A9EE08C2868A","url":"https://open-measure.atlassian.net/wiki/spaces/DIC/pages/998245125"}</v>
      </c>
    </row>
    <row r="56" spans="1:6" ht="13.9" thickTop="1" thickBot="1" x14ac:dyDescent="0.4">
      <c r="A56" s="38">
        <f>IF(ISERR(NodesJSON[[#This Row],[label]]),0,1)</f>
        <v>1</v>
      </c>
      <c r="B56" s="3" t="str">
        <f>NodesData[[#This Row],[Common Name]]</f>
        <v>AWS IAM Principal</v>
      </c>
      <c r="C56" s="3" t="str">
        <f>IF(NodesData[[#This Row],[Context Instanciation]]="","",NodesData[[#This Row],[Context Instanciation]])</f>
        <v/>
      </c>
      <c r="D56" s="22" t="str">
        <f>NodesData[[#This Row],[Node ID]]</f>
        <v>E78EE0FA-A3E6-4C7E-A1FA-5D32463B089A</v>
      </c>
      <c r="E56" s="10" t="s">
        <v>591</v>
      </c>
      <c r="F56" s="25" t="str" cm="1">
        <f t="array" ref="F56">IF(NodesJSON[[#This Row],[Export?]]=0,"",IF(ROW(NodesJSON[[#This Row],[label]])&gt;ROW(NodesJSON[[#Headers],[JSON]])+1,",","") &amp;"{"&amp;twoRangesToJSON(NodesJSON[[#Headers],[label]:[url]],NodesJSON[[#This Row],[label]:[url]])&amp;"}")</f>
        <v>,{"label":"AWS IAM Principal","group":"","id":"E78EE0FA-A3E6-4C7E-A1FA-5D32463B089A","url":"https://open-measure.atlassian.net/wiki/spaces/DIC/pages/1137573936/Authorization+Externalization"}</v>
      </c>
    </row>
    <row r="57" spans="1:6" ht="13.9" thickTop="1" thickBot="1" x14ac:dyDescent="0.4">
      <c r="A57" s="38">
        <f>IF(ISERR(NodesJSON[[#This Row],[label]]),0,1)</f>
        <v>1</v>
      </c>
      <c r="B57" s="3" t="str">
        <f>NodesData[[#This Row],[Common Name]]</f>
        <v>AWS IAM Role</v>
      </c>
      <c r="C57" s="3" t="str">
        <f>IF(NodesData[[#This Row],[Context Instanciation]]="","",NodesData[[#This Row],[Context Instanciation]])</f>
        <v/>
      </c>
      <c r="D57" s="22" t="str">
        <f>NodesData[[#This Row],[Node ID]]</f>
        <v>201C69AD-FFEB-4BB5-9C8F-8A8A013D0F1C</v>
      </c>
      <c r="E57" s="10" t="s">
        <v>613</v>
      </c>
      <c r="F57" s="25" t="str" cm="1">
        <f t="array" ref="F57">IF(NodesJSON[[#This Row],[Export?]]=0,"",IF(ROW(NodesJSON[[#This Row],[label]])&gt;ROW(NodesJSON[[#Headers],[JSON]])+1,",","") &amp;"{"&amp;twoRangesToJSON(NodesJSON[[#Headers],[label]:[url]],NodesJSON[[#This Row],[label]:[url]])&amp;"}")</f>
        <v>,{"label":"AWS IAM Role","group":"","id":"201C69AD-FFEB-4BB5-9C8F-8A8A013D0F1C","url":"https://open-measure.atlassian.net/wiki/spaces/DIC/pages/797933843"}</v>
      </c>
    </row>
    <row r="58" spans="1:6" ht="13.9" thickTop="1" thickBot="1" x14ac:dyDescent="0.4">
      <c r="A58" s="38">
        <f>IF(ISERR(NodesJSON[[#This Row],[label]]),0,1)</f>
        <v>1</v>
      </c>
      <c r="B58" s="3" t="str">
        <f>NodesData[[#This Row],[Common Name]]</f>
        <v>AWS IAM Temporary Security Credentials</v>
      </c>
      <c r="C58" s="3" t="str">
        <f>IF(NodesData[[#This Row],[Context Instanciation]]="","",NodesData[[#This Row],[Context Instanciation]])</f>
        <v/>
      </c>
      <c r="D58" s="22" t="str">
        <f>NodesData[[#This Row],[Node ID]]</f>
        <v>FD548709-6B42-4503-8C15-643DF8C8EA67</v>
      </c>
      <c r="E58" s="10" t="s">
        <v>615</v>
      </c>
      <c r="F58" s="25" t="str" cm="1">
        <f t="array" ref="F58">IF(NodesJSON[[#This Row],[Export?]]=0,"",IF(ROW(NodesJSON[[#This Row],[label]])&gt;ROW(NodesJSON[[#Headers],[JSON]])+1,",","") &amp;"{"&amp;twoRangesToJSON(NodesJSON[[#Headers],[label]:[url]],NodesJSON[[#This Row],[label]:[url]])&amp;"}")</f>
        <v>,{"label":"AWS IAM Temporary Security Credentials","group":"","id":"FD548709-6B42-4503-8C15-643DF8C8EA67","url":"https://open-measure.atlassian.net/wiki/spaces/DIC/pages/1228079157"}</v>
      </c>
    </row>
    <row r="59" spans="1:6" ht="13.9" thickTop="1" thickBot="1" x14ac:dyDescent="0.4">
      <c r="A59" s="38">
        <f>IF(ISERR(NodesJSON[[#This Row],[label]]),0,1)</f>
        <v>1</v>
      </c>
      <c r="B59" s="3" t="str">
        <f>NodesData[[#This Row],[Common Name]]</f>
        <v>AWS IAM User</v>
      </c>
      <c r="C59" s="3" t="str">
        <f>IF(NodesData[[#This Row],[Context Instanciation]]="","",NodesData[[#This Row],[Context Instanciation]])</f>
        <v/>
      </c>
      <c r="D59" s="22" t="str">
        <f>NodesData[[#This Row],[Node ID]]</f>
        <v>8CFCEA6A-7EB1-4D9F-B537-1678723F481F</v>
      </c>
      <c r="E59" s="4"/>
      <c r="F59" s="25" t="str" cm="1">
        <f t="array" ref="F59">IF(NodesJSON[[#This Row],[Export?]]=0,"",IF(ROW(NodesJSON[[#This Row],[label]])&gt;ROW(NodesJSON[[#Headers],[JSON]])+1,",","") &amp;"{"&amp;twoRangesToJSON(NodesJSON[[#Headers],[label]:[url]],NodesJSON[[#This Row],[label]:[url]])&amp;"}")</f>
        <v>,{"label":"AWS IAM User","group":"","id":"8CFCEA6A-7EB1-4D9F-B537-1678723F481F","url":""}</v>
      </c>
    </row>
    <row r="60" spans="1:6" ht="13.9" thickTop="1" thickBot="1" x14ac:dyDescent="0.4">
      <c r="A60" s="38">
        <f>IF(ISERR(NodesJSON[[#This Row],[label]]),0,1)</f>
        <v>1</v>
      </c>
      <c r="B60" s="3" t="str">
        <f>NodesData[[#This Row],[Common Name]]</f>
        <v>Back-end Authentication</v>
      </c>
      <c r="C60" s="3" t="str">
        <f>IF(NodesData[[#This Row],[Context Instanciation]]="","",NodesData[[#This Row],[Context Instanciation]])</f>
        <v/>
      </c>
      <c r="D60" s="22" t="str">
        <f>NodesData[[#This Row],[Node ID]]</f>
        <v>21A4D9DF-238C-4BA7-8825-24EF16F72425</v>
      </c>
      <c r="E60" s="10" t="s">
        <v>617</v>
      </c>
      <c r="F60" s="25" t="str" cm="1">
        <f t="array" ref="F60">IF(NodesJSON[[#This Row],[Export?]]=0,"",IF(ROW(NodesJSON[[#This Row],[label]])&gt;ROW(NodesJSON[[#Headers],[JSON]])+1,",","") &amp;"{"&amp;twoRangesToJSON(NodesJSON[[#Headers],[label]:[url]],NodesJSON[[#This Row],[label]:[url]])&amp;"}")</f>
        <v>,{"label":"Back-end Authentication","group":"","id":"21A4D9DF-238C-4BA7-8825-24EF16F72425","url":"https://open-measure.atlassian.net/wiki/spaces/DIC/pages/1237549087/Bell-LaPadula+Model"}</v>
      </c>
    </row>
    <row r="61" spans="1:6" ht="13.9" thickTop="1" thickBot="1" x14ac:dyDescent="0.4">
      <c r="A61" s="38">
        <f>IF(ISERR(NodesJSON[[#This Row],[label]]),0,1)</f>
        <v>1</v>
      </c>
      <c r="B61" s="3" t="str">
        <f>NodesData[[#This Row],[Common Name]]</f>
        <v>BankID</v>
      </c>
      <c r="C61" s="3" t="str">
        <f>IF(NodesData[[#This Row],[Context Instanciation]]="","",NodesData[[#This Row],[Context Instanciation]])</f>
        <v/>
      </c>
      <c r="D61" s="22" t="str">
        <f>NodesData[[#This Row],[Node ID]]</f>
        <v>BCDD30C8-A3BF-4F54-AD8E-3430A62E3017</v>
      </c>
      <c r="E61" s="10" t="s">
        <v>616</v>
      </c>
      <c r="F61" s="25" t="str" cm="1">
        <f t="array" ref="F61">IF(NodesJSON[[#This Row],[Export?]]=0,"",IF(ROW(NodesJSON[[#This Row],[label]])&gt;ROW(NodesJSON[[#Headers],[JSON]])+1,",","") &amp;"{"&amp;twoRangesToJSON(NodesJSON[[#Headers],[label]:[url]],NodesJSON[[#This Row],[label]:[url]])&amp;"}")</f>
        <v>,{"label":"BankID","group":"","id":"BCDD30C8-A3BF-4F54-AD8E-3430A62E3017","url":"https://open-measure.atlassian.net/wiki/spaces/DIC/pages/1673527501/Behavioral+Authentication"}</v>
      </c>
    </row>
    <row r="62" spans="1:6" ht="13.9" thickTop="1" thickBot="1" x14ac:dyDescent="0.4">
      <c r="A62" s="38">
        <f>IF(ISERR(NodesJSON[[#This Row],[label]]),0,1)</f>
        <v>1</v>
      </c>
      <c r="B62" s="3" t="str">
        <f>NodesData[[#This Row],[Common Name]]</f>
        <v>Basic Z Rule</v>
      </c>
      <c r="C62" s="3" t="str">
        <f>IF(NodesData[[#This Row],[Context Instanciation]]="","",NodesData[[#This Row],[Context Instanciation]])</f>
        <v/>
      </c>
      <c r="D62" s="22" t="str">
        <f>NodesData[[#This Row],[Node ID]]</f>
        <v>2141A15F-A0C4-4D3E-91D1-644A5680A521</v>
      </c>
      <c r="E62" s="10" t="s">
        <v>619</v>
      </c>
      <c r="F62" s="25" t="str" cm="1">
        <f t="array" ref="F62">IF(NodesJSON[[#This Row],[Export?]]=0,"",IF(ROW(NodesJSON[[#This Row],[label]])&gt;ROW(NodesJSON[[#Headers],[JSON]])+1,",","") &amp;"{"&amp;twoRangesToJSON(NodesJSON[[#Headers],[label]:[url]],NodesJSON[[#This Row],[label]:[url]])&amp;"}")</f>
        <v>,{"label":"Basic Z Rule","group":"","id":"2141A15F-A0C4-4D3E-91D1-644A5680A521","url":"https://open-measure.atlassian.net/wiki/spaces/DIC/pages/409174210"}</v>
      </c>
    </row>
    <row r="63" spans="1:6" ht="13.9" thickTop="1" thickBot="1" x14ac:dyDescent="0.4">
      <c r="A63" s="38">
        <f>IF(ISERR(NodesJSON[[#This Row],[label]]),0,1)</f>
        <v>1</v>
      </c>
      <c r="B63" s="3" t="str">
        <f>NodesData[[#This Row],[Common Name]]</f>
        <v>Behavioral Authentication</v>
      </c>
      <c r="C63" s="3" t="str">
        <f>IF(NodesData[[#This Row],[Context Instanciation]]="","",NodesData[[#This Row],[Context Instanciation]])</f>
        <v/>
      </c>
      <c r="D63" s="22" t="str">
        <f>NodesData[[#This Row],[Node ID]]</f>
        <v>C5D41CF2-6C5F-4065-8F8F-4D6BEF8D734B</v>
      </c>
      <c r="E63" s="10" t="s">
        <v>621</v>
      </c>
      <c r="F63" s="25" t="str" cm="1">
        <f t="array" ref="F63">IF(NodesJSON[[#This Row],[Export?]]=0,"",IF(ROW(NodesJSON[[#This Row],[label]])&gt;ROW(NodesJSON[[#Headers],[JSON]])+1,",","") &amp;"{"&amp;twoRangesToJSON(NodesJSON[[#Headers],[label]:[url]],NodesJSON[[#This Row],[label]:[url]])&amp;"}")</f>
        <v>,{"label":"Behavioral Authentication","group":"","id":"C5D41CF2-6C5F-4065-8F8F-4D6BEF8D734B","url":"https://open-measure.atlassian.net/wiki/spaces/DIC/pages/409010581"}</v>
      </c>
    </row>
    <row r="64" spans="1:6" ht="13.9" thickTop="1" thickBot="1" x14ac:dyDescent="0.4">
      <c r="A64" s="38">
        <f>IF(ISERR(NodesJSON[[#This Row],[label]]),0,1)</f>
        <v>1</v>
      </c>
      <c r="B64" s="3" t="str">
        <f>NodesData[[#This Row],[Common Name]]</f>
        <v>Bell-LaPadula Model</v>
      </c>
      <c r="C64" s="3" t="str">
        <f>IF(NodesData[[#This Row],[Context Instanciation]]="","",NodesData[[#This Row],[Context Instanciation]])</f>
        <v/>
      </c>
      <c r="D64" s="22" t="str">
        <f>NodesData[[#This Row],[Node ID]]</f>
        <v>447FA52C-F0D2-449B-9CB8-8F0DCC4160EF</v>
      </c>
      <c r="E64" s="10" t="s">
        <v>623</v>
      </c>
      <c r="F64" s="25" t="str" cm="1">
        <f t="array" ref="F64">IF(NodesJSON[[#This Row],[Export?]]=0,"",IF(ROW(NodesJSON[[#This Row],[label]])&gt;ROW(NodesJSON[[#Headers],[JSON]])+1,",","") &amp;"{"&amp;twoRangesToJSON(NodesJSON[[#Headers],[label]:[url]],NodesJSON[[#This Row],[label]:[url]])&amp;"}")</f>
        <v>,{"label":"Bell-LaPadula Model","group":"","id":"447FA52C-F0D2-449B-9CB8-8F0DCC4160EF","url":"https://open-measure.atlassian.net/wiki/spaces/DIC/pages/1031209441"}</v>
      </c>
    </row>
    <row r="65" spans="1:6" ht="13.9" thickTop="1" thickBot="1" x14ac:dyDescent="0.4">
      <c r="A65" s="38">
        <f>IF(ISERR(NodesJSON[[#This Row],[label]]),0,1)</f>
        <v>1</v>
      </c>
      <c r="B65" s="3" t="str">
        <f>NodesData[[#This Row],[Common Name]]</f>
        <v>Best Practice</v>
      </c>
      <c r="C65" s="3" t="str">
        <f>IF(NodesData[[#This Row],[Context Instanciation]]="","",NodesData[[#This Row],[Context Instanciation]])</f>
        <v/>
      </c>
      <c r="D65" s="22" t="str">
        <f>NodesData[[#This Row],[Node ID]]</f>
        <v>F8CB91F8-4AE7-48BD-A9ED-93259ECE5511</v>
      </c>
      <c r="E65" s="10" t="s">
        <v>625</v>
      </c>
      <c r="F65" s="25" t="str" cm="1">
        <f t="array" ref="F65">IF(NodesJSON[[#This Row],[Export?]]=0,"",IF(ROW(NodesJSON[[#This Row],[label]])&gt;ROW(NodesJSON[[#Headers],[JSON]])+1,",","") &amp;"{"&amp;twoRangesToJSON(NodesJSON[[#Headers],[label]:[url]],NodesJSON[[#This Row],[label]:[url]])&amp;"}")</f>
        <v>,{"label":"Best Practice","group":"","id":"F8CB91F8-4AE7-48BD-A9ED-93259ECE5511","url":"https://open-measure.atlassian.net/wiki/spaces/DIC/pages/794492970"}</v>
      </c>
    </row>
    <row r="66" spans="1:6" ht="13.9" thickTop="1" thickBot="1" x14ac:dyDescent="0.4">
      <c r="A66" s="38">
        <f>IF(ISERR(NodesJSON[[#This Row],[label]]),0,1)</f>
        <v>1</v>
      </c>
      <c r="B66" s="3" t="str">
        <f>NodesData[[#This Row],[Common Name]]</f>
        <v>Biometric Authentication</v>
      </c>
      <c r="C66" s="3" t="str">
        <f>IF(NodesData[[#This Row],[Context Instanciation]]="","",NodesData[[#This Row],[Context Instanciation]])</f>
        <v/>
      </c>
      <c r="D66" s="22" t="str">
        <f>NodesData[[#This Row],[Node ID]]</f>
        <v>772179F1-5C79-4F83-BBC9-B0D9B62A2C38</v>
      </c>
      <c r="E66" s="10" t="s">
        <v>626</v>
      </c>
      <c r="F66" s="25" t="str" cm="1">
        <f t="array" ref="F66">IF(NodesJSON[[#This Row],[Export?]]=0,"",IF(ROW(NodesJSON[[#This Row],[label]])&gt;ROW(NodesJSON[[#Headers],[JSON]])+1,",","") &amp;"{"&amp;twoRangesToJSON(NodesJSON[[#Headers],[label]:[url]],NodesJSON[[#This Row],[label]:[url]])&amp;"}")</f>
        <v>,{"label":"Biometric Authentication","group":"","id":"772179F1-5C79-4F83-BBC9-B0D9B62A2C38","url":"https://open-measure.atlassian.net/wiki/spaces/DIC/pages/1571389777/Boundary+Control"}</v>
      </c>
    </row>
    <row r="67" spans="1:6" ht="13.9" thickTop="1" thickBot="1" x14ac:dyDescent="0.4">
      <c r="A67" s="38">
        <f>IF(ISERR(NodesJSON[[#This Row],[label]]),0,1)</f>
        <v>1</v>
      </c>
      <c r="B67" s="3" t="str">
        <f>NodesData[[#This Row],[Common Name]]</f>
        <v>Biometric Identification</v>
      </c>
      <c r="C67" s="3" t="str">
        <f>IF(NodesData[[#This Row],[Context Instanciation]]="","",NodesData[[#This Row],[Context Instanciation]])</f>
        <v/>
      </c>
      <c r="D67" s="22" t="str">
        <f>NodesData[[#This Row],[Node ID]]</f>
        <v>A2967417-72BE-4537-BE1E-39E6298F5851</v>
      </c>
      <c r="E67" s="4"/>
      <c r="F67" s="25" t="str" cm="1">
        <f t="array" ref="F67">IF(NodesJSON[[#This Row],[Export?]]=0,"",IF(ROW(NodesJSON[[#This Row],[label]])&gt;ROW(NodesJSON[[#Headers],[JSON]])+1,",","") &amp;"{"&amp;twoRangesToJSON(NodesJSON[[#Headers],[label]:[url]],NodesJSON[[#This Row],[label]:[url]])&amp;"}")</f>
        <v>,{"label":"Biometric Identification","group":"","id":"A2967417-72BE-4537-BE1E-39E6298F5851","url":""}</v>
      </c>
    </row>
    <row r="68" spans="1:6" ht="13.9" thickTop="1" thickBot="1" x14ac:dyDescent="0.4">
      <c r="A68" s="38">
        <f>IF(ISERR(NodesJSON[[#This Row],[label]]),0,1)</f>
        <v>1</v>
      </c>
      <c r="B68" s="3" t="str">
        <f>NodesData[[#This Row],[Common Name]]</f>
        <v>Biometrics</v>
      </c>
      <c r="C68" s="3" t="str">
        <f>IF(NodesData[[#This Row],[Context Instanciation]]="","",NodesData[[#This Row],[Context Instanciation]])</f>
        <v/>
      </c>
      <c r="D68" s="22" t="str">
        <f>NodesData[[#This Row],[Node ID]]</f>
        <v>1708714B-D591-4C49-BC64-A40E2EC56A62</v>
      </c>
      <c r="E68" s="10" t="s">
        <v>628</v>
      </c>
      <c r="F68" s="25" t="str" cm="1">
        <f t="array" ref="F68">IF(NodesJSON[[#This Row],[Export?]]=0,"",IF(ROW(NodesJSON[[#This Row],[label]])&gt;ROW(NodesJSON[[#Headers],[JSON]])+1,",","") &amp;"{"&amp;twoRangesToJSON(NodesJSON[[#Headers],[label]:[url]],NodesJSON[[#This Row],[label]:[url]])&amp;"}")</f>
        <v>,{"label":"Biometrics","group":"","id":"1708714B-D591-4C49-BC64-A40E2EC56A62","url":"https://open-measure.atlassian.net/wiki/spaces/DIC/pages/81101750"}</v>
      </c>
    </row>
    <row r="69" spans="1:6" ht="13.9" thickTop="1" thickBot="1" x14ac:dyDescent="0.4">
      <c r="A69" s="38">
        <f>IF(ISERR(NodesJSON[[#This Row],[label]]),0,1)</f>
        <v>1</v>
      </c>
      <c r="B69" s="3" t="str">
        <f>NodesData[[#This Row],[Common Name]]</f>
        <v>Birth Certificate</v>
      </c>
      <c r="C69" s="3" t="str">
        <f>IF(NodesData[[#This Row],[Context Instanciation]]="","",NodesData[[#This Row],[Context Instanciation]])</f>
        <v/>
      </c>
      <c r="D69" s="22" t="str">
        <f>NodesData[[#This Row],[Node ID]]</f>
        <v>5C136530-C216-448D-BD43-D3CDEE503802</v>
      </c>
      <c r="E69" s="10" t="s">
        <v>629</v>
      </c>
      <c r="F69" s="25" t="str" cm="1">
        <f t="array" ref="F69">IF(NodesJSON[[#This Row],[Export?]]=0,"",IF(ROW(NodesJSON[[#This Row],[label]])&gt;ROW(NodesJSON[[#Headers],[JSON]])+1,",","") &amp;"{"&amp;twoRangesToJSON(NodesJSON[[#Headers],[label]:[url]],NodesJSON[[#This Row],[label]:[url]])&amp;"}")</f>
        <v>,{"label":"Birth Certificate","group":"","id":"5C136530-C216-448D-BD43-D3CDEE503802","url":"https://open-measure.atlassian.net/wiki/spaces/DIC/pages/1348763687/Brute+Force+Attack"}</v>
      </c>
    </row>
    <row r="70" spans="1:6" ht="13.9" thickTop="1" thickBot="1" x14ac:dyDescent="0.4">
      <c r="A70" s="38">
        <f>IF(ISERR(NodesJSON[[#This Row],[label]]),0,1)</f>
        <v>1</v>
      </c>
      <c r="B70" s="3" t="str">
        <f>NodesData[[#This Row],[Common Name]]</f>
        <v>Blast Radius</v>
      </c>
      <c r="C70" s="3" t="str">
        <f>IF(NodesData[[#This Row],[Context Instanciation]]="","",NodesData[[#This Row],[Context Instanciation]])</f>
        <v/>
      </c>
      <c r="D70" s="22" t="str">
        <f>NodesData[[#This Row],[Node ID]]</f>
        <v>13D6FA84-5FE3-442D-B9DF-224BD3E365DA</v>
      </c>
      <c r="E70" s="10" t="s">
        <v>631</v>
      </c>
      <c r="F70" s="25" t="str" cm="1">
        <f t="array" ref="F70">IF(NodesJSON[[#This Row],[Export?]]=0,"",IF(ROW(NodesJSON[[#This Row],[label]])&gt;ROW(NodesJSON[[#Headers],[JSON]])+1,",","") &amp;"{"&amp;twoRangesToJSON(NodesJSON[[#Headers],[label]:[url]],NodesJSON[[#This Row],[label]:[url]])&amp;"}")</f>
        <v>,{"label":"Blast Radius","group":"","id":"13D6FA84-5FE3-442D-B9DF-224BD3E365DA","url":"https://open-measure.atlassian.net/wiki/spaces/DIC/pages/140772106"}</v>
      </c>
    </row>
    <row r="71" spans="1:6" ht="13.9" thickTop="1" thickBot="1" x14ac:dyDescent="0.4">
      <c r="A71" s="38">
        <f>IF(ISERR(NodesJSON[[#This Row],[label]]),0,1)</f>
        <v>1</v>
      </c>
      <c r="B71" s="3" t="str">
        <f>NodesData[[#This Row],[Common Name]]</f>
        <v>Boundary Control</v>
      </c>
      <c r="C71" s="3" t="str">
        <f>IF(NodesData[[#This Row],[Context Instanciation]]="","",NodesData[[#This Row],[Context Instanciation]])</f>
        <v/>
      </c>
      <c r="D71" s="22" t="str">
        <f>NodesData[[#This Row],[Node ID]]</f>
        <v>47316C02-A4EB-4832-B925-1D094DE618CA</v>
      </c>
      <c r="E71" s="10" t="s">
        <v>632</v>
      </c>
      <c r="F71" s="25" t="str" cm="1">
        <f t="array" ref="F71">IF(NodesJSON[[#This Row],[Export?]]=0,"",IF(ROW(NodesJSON[[#This Row],[label]])&gt;ROW(NodesJSON[[#Headers],[JSON]])+1,",","") &amp;"{"&amp;twoRangesToJSON(NodesJSON[[#Headers],[label]:[url]],NodesJSON[[#This Row],[label]:[url]])&amp;"}")</f>
        <v>,{"label":"Boundary Control","group":"","id":"47316C02-A4EB-4832-B925-1D094DE618CA","url":"https://open-measure.atlassian.net/wiki/spaces/DIC/pages/1228079170/BZR"}</v>
      </c>
    </row>
    <row r="72" spans="1:6" ht="13.9" thickTop="1" thickBot="1" x14ac:dyDescent="0.4">
      <c r="A72" s="38">
        <f>IF(ISERR(NodesJSON[[#This Row],[label]]),0,1)</f>
        <v>1</v>
      </c>
      <c r="B72" s="3" t="str">
        <f>NodesData[[#This Row],[Common Name]]</f>
        <v>Brainwaves Authentication</v>
      </c>
      <c r="C72" s="3" t="str">
        <f>IF(NodesData[[#This Row],[Context Instanciation]]="","",NodesData[[#This Row],[Context Instanciation]])</f>
        <v/>
      </c>
      <c r="D72" s="22" t="str">
        <f>NodesData[[#This Row],[Node ID]]</f>
        <v>566E708D-FD51-436E-9E4D-051F1F485979</v>
      </c>
      <c r="E72" s="10" t="s">
        <v>633</v>
      </c>
      <c r="F72" s="25" t="str" cm="1">
        <f t="array" ref="F72">IF(NodesJSON[[#This Row],[Export?]]=0,"",IF(ROW(NodesJSON[[#This Row],[label]])&gt;ROW(NodesJSON[[#Headers],[JSON]])+1,",","") &amp;"{"&amp;twoRangesToJSON(NodesJSON[[#Headers],[label]:[url]],NodesJSON[[#This Row],[label]:[url]])&amp;"}")</f>
        <v>,{"label":"Brainwaves Authentication","group":"","id":"566E708D-FD51-436E-9E4D-051F1F485979","url":"https://open-measure.atlassian.net/wiki/spaces/DIC/pages/1254588417/Cached+Credential"}</v>
      </c>
    </row>
    <row r="73" spans="1:6" ht="13.9" thickTop="1" thickBot="1" x14ac:dyDescent="0.4">
      <c r="A73" s="38">
        <f>IF(ISERR(NodesJSON[[#This Row],[label]]),0,1)</f>
        <v>1</v>
      </c>
      <c r="B73" s="3" t="str">
        <f>NodesData[[#This Row],[Common Name]]</f>
        <v>Broker</v>
      </c>
      <c r="C73" s="3" t="str">
        <f>IF(NodesData[[#This Row],[Context Instanciation]]="","",NodesData[[#This Row],[Context Instanciation]])</f>
        <v/>
      </c>
      <c r="D73" s="22" t="str">
        <f>NodesData[[#This Row],[Node ID]]</f>
        <v>01D4A4E5-1A5A-44FF-932C-3A234AD19355</v>
      </c>
      <c r="E73" s="10" t="s">
        <v>634</v>
      </c>
      <c r="F73" s="25" t="str" cm="1">
        <f t="array" ref="F73">IF(NodesJSON[[#This Row],[Export?]]=0,"",IF(ROW(NodesJSON[[#This Row],[label]])&gt;ROW(NodesJSON[[#Headers],[JSON]])+1,",","") &amp;"{"&amp;twoRangesToJSON(NodesJSON[[#Headers],[label]:[url]],NodesJSON[[#This Row],[label]:[url]])&amp;"}")</f>
        <v>,{"label":"Broker","group":"","id":"01D4A4E5-1A5A-44FF-932C-3A234AD19355","url":"https://open-measure.atlassian.net/wiki/spaces/DIC/pages/442466346/CDD"}</v>
      </c>
    </row>
    <row r="74" spans="1:6" ht="13.9" thickTop="1" thickBot="1" x14ac:dyDescent="0.4">
      <c r="A74" s="38">
        <f>IF(ISERR(NodesJSON[[#This Row],[label]]),0,1)</f>
        <v>1</v>
      </c>
      <c r="B74" s="3" t="str">
        <f>NodesData[[#This Row],[Common Name]]</f>
        <v>Brute Force Attack</v>
      </c>
      <c r="C74" s="3" t="str">
        <f>IF(NodesData[[#This Row],[Context Instanciation]]="","",NodesData[[#This Row],[Context Instanciation]])</f>
        <v/>
      </c>
      <c r="D74" s="22" t="str">
        <f>NodesData[[#This Row],[Node ID]]</f>
        <v>6408D202-5D49-43C4-8791-73A68286CDC9</v>
      </c>
      <c r="E74" s="10" t="s">
        <v>636</v>
      </c>
      <c r="F74" s="25" t="str" cm="1">
        <f t="array" ref="F74">IF(NodesJSON[[#This Row],[Export?]]=0,"",IF(ROW(NodesJSON[[#This Row],[label]])&gt;ROW(NodesJSON[[#Headers],[JSON]])+1,",","") &amp;"{"&amp;twoRangesToJSON(NodesJSON[[#Headers],[label]:[url]],NodesJSON[[#This Row],[label]:[url]])&amp;"}")</f>
        <v>,{"label":"Brute Force Attack","group":"","id":"6408D202-5D49-43C4-8791-73A68286CDC9","url":"https://open-measure.atlassian.net/wiki/spaces/DIC/pages/1152483641"}</v>
      </c>
    </row>
    <row r="75" spans="1:6" ht="13.9" thickTop="1" thickBot="1" x14ac:dyDescent="0.4">
      <c r="A75" s="38">
        <f>IF(ISERR(NodesJSON[[#This Row],[label]]),0,1)</f>
        <v>1</v>
      </c>
      <c r="B75" s="3" t="str">
        <f>NodesData[[#This Row],[Common Name]]</f>
        <v>Built-in</v>
      </c>
      <c r="C75" s="3" t="str">
        <f>IF(NodesData[[#This Row],[Context Instanciation]]="","",NodesData[[#This Row],[Context Instanciation]])</f>
        <v/>
      </c>
      <c r="D75" s="22" t="str">
        <f>NodesData[[#This Row],[Node ID]]</f>
        <v>12F7D586-DF55-411A-A2D1-3FF419D7892E</v>
      </c>
      <c r="E75" s="4"/>
      <c r="F75" s="25" t="str" cm="1">
        <f t="array" ref="F75">IF(NodesJSON[[#This Row],[Export?]]=0,"",IF(ROW(NodesJSON[[#This Row],[label]])&gt;ROW(NodesJSON[[#Headers],[JSON]])+1,",","") &amp;"{"&amp;twoRangesToJSON(NodesJSON[[#Headers],[label]:[url]],NodesJSON[[#This Row],[label]:[url]])&amp;"}")</f>
        <v>,{"label":"Built-in","group":"","id":"12F7D586-DF55-411A-A2D1-3FF419D7892E","url":""}</v>
      </c>
    </row>
    <row r="76" spans="1:6" ht="13.9" thickTop="1" thickBot="1" x14ac:dyDescent="0.4">
      <c r="A76" s="38">
        <f>IF(ISERR(NodesJSON[[#This Row],[label]]),0,1)</f>
        <v>1</v>
      </c>
      <c r="B76" s="3" t="str">
        <f>NodesData[[#This Row],[Common Name]]</f>
        <v>BZR</v>
      </c>
      <c r="C76" s="3" t="str">
        <f>IF(NodesData[[#This Row],[Context Instanciation]]="","",NodesData[[#This Row],[Context Instanciation]])</f>
        <v/>
      </c>
      <c r="D76" s="22" t="str">
        <f>NodesData[[#This Row],[Node ID]]</f>
        <v>2E29B474-6EA5-4C50-B128-59B4A0262EA2</v>
      </c>
      <c r="E76" s="10" t="s">
        <v>638</v>
      </c>
      <c r="F76" s="25" t="str" cm="1">
        <f t="array" ref="F76">IF(NodesJSON[[#This Row],[Export?]]=0,"",IF(ROW(NodesJSON[[#This Row],[label]])&gt;ROW(NodesJSON[[#Headers],[JSON]])+1,",","") &amp;"{"&amp;twoRangesToJSON(NodesJSON[[#Headers],[label]:[url]],NodesJSON[[#This Row],[label]:[url]])&amp;"}")</f>
        <v>,{"label":"BZR","group":"","id":"2E29B474-6EA5-4C50-B128-59B4A0262EA2","url":"https://open-measure.atlassian.net/wiki/spaces/DIC/pages/823459864"}</v>
      </c>
    </row>
    <row r="77" spans="1:6" ht="13.9" thickTop="1" thickBot="1" x14ac:dyDescent="0.4">
      <c r="A77" s="38">
        <f>IF(ISERR(NodesJSON[[#This Row],[label]]),0,1)</f>
        <v>1</v>
      </c>
      <c r="B77" s="3" t="str">
        <f>NodesData[[#This Row],[Common Name]]</f>
        <v>Cached Credential</v>
      </c>
      <c r="C77" s="3" t="str">
        <f>IF(NodesData[[#This Row],[Context Instanciation]]="","",NodesData[[#This Row],[Context Instanciation]])</f>
        <v/>
      </c>
      <c r="D77" s="22" t="str">
        <f>NodesData[[#This Row],[Node ID]]</f>
        <v>74413B1E-5653-42E3-8B45-6C7C60323C71</v>
      </c>
      <c r="E77" s="10" t="s">
        <v>639</v>
      </c>
      <c r="F77" s="25" t="str" cm="1">
        <f t="array" ref="F77">IF(NodesJSON[[#This Row],[Export?]]=0,"",IF(ROW(NodesJSON[[#This Row],[label]])&gt;ROW(NodesJSON[[#Headers],[JSON]])+1,",","") &amp;"{"&amp;twoRangesToJSON(NodesJSON[[#Headers],[label]:[url]],NodesJSON[[#This Row],[label]:[url]])&amp;"}")</f>
        <v>,{"label":"Cached Credential","group":"","id":"74413B1E-5653-42E3-8B45-6C7C60323C71","url":"https://open-measure.atlassian.net/wiki/spaces/DIC/pages/1290076214/CIBA"}</v>
      </c>
    </row>
    <row r="78" spans="1:6" ht="13.9" thickTop="1" thickBot="1" x14ac:dyDescent="0.4">
      <c r="A78" s="38">
        <f>IF(ISERR(NodesJSON[[#This Row],[label]]),0,1)</f>
        <v>1</v>
      </c>
      <c r="B78" s="3" t="str">
        <f>NodesData[[#This Row],[Common Name]]</f>
        <v>Capability to store information</v>
      </c>
      <c r="C78" s="3" t="str">
        <f>IF(NodesData[[#This Row],[Context Instanciation]]="","",NodesData[[#This Row],[Context Instanciation]])</f>
        <v/>
      </c>
      <c r="D78" s="22" t="str">
        <f>NodesData[[#This Row],[Node ID]]</f>
        <v>F6A0BA1D-4EAD-44AE-BB90-AAFC98899178</v>
      </c>
      <c r="E78" s="10" t="s">
        <v>640</v>
      </c>
      <c r="F78" s="25" t="str" cm="1">
        <f t="array" ref="F78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store information","group":"","id":"F6A0BA1D-4EAD-44AE-BB90-AAFC98899178","url":"https://open-measure.atlassian.net/wiki/spaces/DIC/pages/1323499650/Claim"}</v>
      </c>
    </row>
    <row r="79" spans="1:6" ht="13.9" thickTop="1" thickBot="1" x14ac:dyDescent="0.4">
      <c r="A79" s="38">
        <f>IF(ISERR(NodesJSON[[#This Row],[label]]),0,1)</f>
        <v>1</v>
      </c>
      <c r="B79" s="3" t="str">
        <f>NodesData[[#This Row],[Common Name]]</f>
        <v>Capability to transform information</v>
      </c>
      <c r="C79" s="3" t="str">
        <f>IF(NodesData[[#This Row],[Context Instanciation]]="","",NodesData[[#This Row],[Context Instanciation]])</f>
        <v/>
      </c>
      <c r="D79" s="22" t="str">
        <f>NodesData[[#This Row],[Node ID]]</f>
        <v>AFFF4DF7-5DE7-4EC2-B059-59963A26A6BD</v>
      </c>
      <c r="E79" s="10" t="s">
        <v>641</v>
      </c>
      <c r="F79" s="25" t="str" cm="1">
        <f t="array" ref="F79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transform information","group":"","id":"AFFF4DF7-5DE7-4EC2-B059-59963A26A6BD","url":"https://open-measure.atlassian.net/wiki/spaces/DIC/pages/1309605928/Claim+Registry+Model"}</v>
      </c>
    </row>
    <row r="80" spans="1:6" ht="13.9" thickTop="1" thickBot="1" x14ac:dyDescent="0.4">
      <c r="A80" s="38">
        <f>IF(ISERR(NodesJSON[[#This Row],[label]]),0,1)</f>
        <v>1</v>
      </c>
      <c r="B80" s="3" t="str">
        <f>NodesData[[#This Row],[Common Name]]</f>
        <v>Capability to transmit information</v>
      </c>
      <c r="C80" s="3" t="str">
        <f>IF(NodesData[[#This Row],[Context Instanciation]]="","",NodesData[[#This Row],[Context Instanciation]])</f>
        <v/>
      </c>
      <c r="D80" s="22" t="str">
        <f>NodesData[[#This Row],[Node ID]]</f>
        <v>4414B2C4-B1F0-4BE8-A1D2-264AE3500755</v>
      </c>
      <c r="E80" s="10" t="s">
        <v>643</v>
      </c>
      <c r="F80" s="25" t="str" cm="1">
        <f t="array" ref="F80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transmit information","group":"","id":"4414B2C4-B1F0-4BE8-A1D2-264AE3500755","url":"https://open-measure.atlassian.net/wiki/spaces/DIC/pages/848363630"}</v>
      </c>
    </row>
    <row r="81" spans="1:6" ht="13.9" thickTop="1" thickBot="1" x14ac:dyDescent="0.4">
      <c r="A81" s="38">
        <f>IF(ISERR(NodesJSON[[#This Row],[label]]),0,1)</f>
        <v>1</v>
      </c>
      <c r="B81" s="3" t="str">
        <f>NodesData[[#This Row],[Common Name]]</f>
        <v>Capabilty to collect information</v>
      </c>
      <c r="C81" s="3" t="str">
        <f>IF(NodesData[[#This Row],[Context Instanciation]]="","",NodesData[[#This Row],[Context Instanciation]])</f>
        <v/>
      </c>
      <c r="D81" s="22" t="str">
        <f>NodesData[[#This Row],[Node ID]]</f>
        <v>CBC6B9A3-AA38-40D4-865C-53E8DB7037F3</v>
      </c>
      <c r="E81" s="10" t="s">
        <v>645</v>
      </c>
      <c r="F81" s="25" t="str" cm="1">
        <f t="array" ref="F81">IF(NodesJSON[[#This Row],[Export?]]=0,"",IF(ROW(NodesJSON[[#This Row],[label]])&gt;ROW(NodesJSON[[#Headers],[JSON]])+1,",","") &amp;"{"&amp;twoRangesToJSON(NodesJSON[[#Headers],[label]:[url]],NodesJSON[[#This Row],[label]:[url]])&amp;"}")</f>
        <v>,{"label":"Capabilty to collect information","group":"","id":"CBC6B9A3-AA38-40D4-865C-53E8DB7037F3","url":"https://open-measure.atlassian.net/wiki/spaces/DIC/pages/140771387"}</v>
      </c>
    </row>
    <row r="82" spans="1:6" ht="13.9" thickTop="1" thickBot="1" x14ac:dyDescent="0.4">
      <c r="A82" s="38">
        <f>IF(ISERR(NodesJSON[[#This Row],[label]]),0,1)</f>
        <v>1</v>
      </c>
      <c r="B82" s="3" t="str">
        <f>NodesData[[#This Row],[Common Name]]</f>
        <v>Causing Reputation Harm</v>
      </c>
      <c r="C82" s="3" t="str">
        <f>IF(NodesData[[#This Row],[Context Instanciation]]="","",NodesData[[#This Row],[Context Instanciation]])</f>
        <v/>
      </c>
      <c r="D82" s="22" t="str">
        <f>NodesData[[#This Row],[Node ID]]</f>
        <v>972F900D-A7B8-411F-BF29-19B9F2169285</v>
      </c>
      <c r="E82" s="4"/>
      <c r="F82" s="25" t="str" cm="1">
        <f t="array" ref="F82">IF(NodesJSON[[#This Row],[Export?]]=0,"",IF(ROW(NodesJSON[[#This Row],[label]])&gt;ROW(NodesJSON[[#Headers],[JSON]])+1,",","") &amp;"{"&amp;twoRangesToJSON(NodesJSON[[#Headers],[label]:[url]],NodesJSON[[#This Row],[label]:[url]])&amp;"}")</f>
        <v>,{"label":"Causing Reputation Harm","group":"","id":"972F900D-A7B8-411F-BF29-19B9F2169285","url":""}</v>
      </c>
    </row>
    <row r="83" spans="1:6" ht="13.9" thickTop="1" thickBot="1" x14ac:dyDescent="0.4">
      <c r="A83" s="38">
        <f>IF(ISERR(NodesJSON[[#This Row],[label]]),0,1)</f>
        <v>1</v>
      </c>
      <c r="B83" s="3" t="str">
        <f>NodesData[[#This Row],[Common Name]]</f>
        <v>CDD</v>
      </c>
      <c r="C83" s="3" t="str">
        <f>IF(NodesData[[#This Row],[Context Instanciation]]="","",NodesData[[#This Row],[Context Instanciation]])</f>
        <v/>
      </c>
      <c r="D83" s="22" t="str">
        <f>NodesData[[#This Row],[Node ID]]</f>
        <v>60D564E5-DB50-4AE3-8752-13879D65CBF3</v>
      </c>
      <c r="E83" s="10" t="s">
        <v>648</v>
      </c>
      <c r="F83" s="25" t="str" cm="1">
        <f t="array" ref="F83">IF(NodesJSON[[#This Row],[Export?]]=0,"",IF(ROW(NodesJSON[[#This Row],[label]])&gt;ROW(NodesJSON[[#Headers],[JSON]])+1,",","") &amp;"{"&amp;twoRangesToJSON(NodesJSON[[#Headers],[label]:[url]],NodesJSON[[#This Row],[label]:[url]])&amp;"}")</f>
        <v>,{"label":"CDD","group":"","id":"60D564E5-DB50-4AE3-8752-13879D65CBF3","url":"https://open-measure.atlassian.net/wiki/spaces/DIC/pages/1152516136"}</v>
      </c>
    </row>
    <row r="84" spans="1:6" ht="13.9" thickTop="1" thickBot="1" x14ac:dyDescent="0.4">
      <c r="A84" s="38">
        <f>IF(ISERR(NodesJSON[[#This Row],[label]]),0,1)</f>
        <v>1</v>
      </c>
      <c r="B84" s="3" t="str">
        <f>NodesData[[#This Row],[Common Name]]</f>
        <v>Centralized Identity Management System</v>
      </c>
      <c r="C84" s="3" t="str">
        <f>IF(NodesData[[#This Row],[Context Instanciation]]="","",NodesData[[#This Row],[Context Instanciation]])</f>
        <v/>
      </c>
      <c r="D84" s="22" t="str">
        <f>NodesData[[#This Row],[Node ID]]</f>
        <v>F516AA46-E0EB-45B4-A104-A3976665B25E</v>
      </c>
      <c r="E84" s="10" t="s">
        <v>650</v>
      </c>
      <c r="F84" s="25" t="str" cm="1">
        <f t="array" ref="F84">IF(NodesJSON[[#This Row],[Export?]]=0,"",IF(ROW(NodesJSON[[#This Row],[label]])&gt;ROW(NodesJSON[[#Headers],[JSON]])+1,",","") &amp;"{"&amp;twoRangesToJSON(NodesJSON[[#Headers],[label]:[url]],NodesJSON[[#This Row],[label]:[url]])&amp;"}")</f>
        <v>,{"label":"Centralized Identity Management System","group":"","id":"F516AA46-E0EB-45B4-A104-A3976665B25E","url":"https://open-measure.atlassian.net/wiki/spaces/DIC/pages/1152516118"}</v>
      </c>
    </row>
    <row r="85" spans="1:6" ht="13.9" thickTop="1" thickBot="1" x14ac:dyDescent="0.4">
      <c r="A85" s="38">
        <f>IF(ISERR(NodesJSON[[#This Row],[label]]),0,1)</f>
        <v>1</v>
      </c>
      <c r="B85" s="3" t="str">
        <f>NodesData[[#This Row],[Common Name]]</f>
        <v>Certificate-based Authentication</v>
      </c>
      <c r="C85" s="3" t="str">
        <f>IF(NodesData[[#This Row],[Context Instanciation]]="","",NodesData[[#This Row],[Context Instanciation]])</f>
        <v/>
      </c>
      <c r="D85" s="22" t="str">
        <f>NodesData[[#This Row],[Node ID]]</f>
        <v>3B65B580-6075-433D-8561-B387A409BD56</v>
      </c>
      <c r="E85" s="10" t="s">
        <v>652</v>
      </c>
      <c r="F85" s="25" t="str" cm="1">
        <f t="array" ref="F85">IF(NodesJSON[[#This Row],[Export?]]=0,"",IF(ROW(NodesJSON[[#This Row],[label]])&gt;ROW(NodesJSON[[#Headers],[JSON]])+1,",","") &amp;"{"&amp;twoRangesToJSON(NodesJSON[[#Headers],[label]:[url]],NodesJSON[[#This Row],[label]:[url]])&amp;"}")</f>
        <v>,{"label":"Certificate-based Authentication","group":"","id":"3B65B580-6075-433D-8561-B387A409BD56","url":"https://open-measure.atlassian.net/wiki/spaces/DIC/pages/1147043959"}</v>
      </c>
    </row>
    <row r="86" spans="1:6" ht="13.9" thickTop="1" thickBot="1" x14ac:dyDescent="0.4">
      <c r="A86" s="38">
        <f>IF(ISERR(NodesJSON[[#This Row],[label]]),0,1)</f>
        <v>1</v>
      </c>
      <c r="B86" s="3" t="str">
        <f>NodesData[[#This Row],[Common Name]]</f>
        <v>Certification</v>
      </c>
      <c r="C86" s="3" t="str">
        <f>IF(NodesData[[#This Row],[Context Instanciation]]="","",NodesData[[#This Row],[Context Instanciation]])</f>
        <v/>
      </c>
      <c r="D86" s="22" t="str">
        <f>NodesData[[#This Row],[Node ID]]</f>
        <v>CE9CD80B-6E8D-43D3-A3D3-95067D578415</v>
      </c>
      <c r="E86" s="10" t="s">
        <v>654</v>
      </c>
      <c r="F86" s="25" t="str" cm="1">
        <f t="array" ref="F86">IF(NodesJSON[[#This Row],[Export?]]=0,"",IF(ROW(NodesJSON[[#This Row],[label]])&gt;ROW(NodesJSON[[#Headers],[JSON]])+1,",","") &amp;"{"&amp;twoRangesToJSON(NodesJSON[[#Headers],[label]:[url]],NodesJSON[[#This Row],[label]:[url]])&amp;"}")</f>
        <v>,{"label":"Certification","group":"","id":"CE9CD80B-6E8D-43D3-A3D3-95067D578415","url":"https://open-measure.atlassian.net/wiki/spaces/DIC/pages/206307528"}</v>
      </c>
    </row>
    <row r="87" spans="1:6" ht="13.9" thickTop="1" thickBot="1" x14ac:dyDescent="0.4">
      <c r="A87" s="38">
        <f>IF(ISERR(NodesJSON[[#This Row],[label]]),0,1)</f>
        <v>1</v>
      </c>
      <c r="B87" s="3" t="str">
        <f>NodesData[[#This Row],[Common Name]]</f>
        <v>CIBA</v>
      </c>
      <c r="C87" s="3" t="str">
        <f>IF(NodesData[[#This Row],[Context Instanciation]]="","",NodesData[[#This Row],[Context Instanciation]])</f>
        <v/>
      </c>
      <c r="D87" s="22" t="str">
        <f>NodesData[[#This Row],[Node ID]]</f>
        <v>5CBC2CC4-509C-48D2-B770-68230D252ACC</v>
      </c>
      <c r="E87" s="10" t="s">
        <v>655</v>
      </c>
      <c r="F87" s="25" t="str" cm="1">
        <f t="array" ref="F87">IF(NodesJSON[[#This Row],[Export?]]=0,"",IF(ROW(NodesJSON[[#This Row],[label]])&gt;ROW(NodesJSON[[#Headers],[JSON]])+1,",","") &amp;"{"&amp;twoRangesToJSON(NodesJSON[[#Headers],[label]:[url]],NodesJSON[[#This Row],[label]:[url]])&amp;"}")</f>
        <v>,{"label":"CIBA","group":"","id":"5CBC2CC4-509C-48D2-B770-68230D252ACC","url":"https://open-measure.atlassian.net/wiki/spaces/DIC/pages/206766142/Cloud+Service+User"}</v>
      </c>
    </row>
    <row r="88" spans="1:6" ht="13.9" thickTop="1" thickBot="1" x14ac:dyDescent="0.4">
      <c r="A88" s="38">
        <f>IF(ISERR(NodesJSON[[#This Row],[label]]),0,1)</f>
        <v>1</v>
      </c>
      <c r="B88" s="3" t="str">
        <f>NodesData[[#This Row],[Common Name]]</f>
        <v>Claim</v>
      </c>
      <c r="C88" s="3" t="str">
        <f>IF(NodesData[[#This Row],[Context Instanciation]]="","",NodesData[[#This Row],[Context Instanciation]])</f>
        <v/>
      </c>
      <c r="D88" s="22" t="str">
        <f>NodesData[[#This Row],[Node ID]]</f>
        <v>19FCF28F-8FBB-4982-B245-3560F769CB31</v>
      </c>
      <c r="E88" s="10" t="s">
        <v>657</v>
      </c>
      <c r="F88" s="25" t="str" cm="1">
        <f t="array" ref="F88">IF(NodesJSON[[#This Row],[Export?]]=0,"",IF(ROW(NodesJSON[[#This Row],[label]])&gt;ROW(NodesJSON[[#Headers],[JSON]])+1,",","") &amp;"{"&amp;twoRangesToJSON(NodesJSON[[#Headers],[label]:[url]],NodesJSON[[#This Row],[label]:[url]])&amp;"}")</f>
        <v>,{"label":"Claim","group":"","id":"19FCF28F-8FBB-4982-B245-3560F769CB31","url":"https://open-measure.atlassian.net/wiki/spaces/DIC/pages/998277125"}</v>
      </c>
    </row>
    <row r="89" spans="1:6" ht="13.9" thickTop="1" thickBot="1" x14ac:dyDescent="0.4">
      <c r="A89" s="38">
        <f>IF(ISERR(NodesJSON[[#This Row],[label]]),0,1)</f>
        <v>1</v>
      </c>
      <c r="B89" s="3" t="str">
        <f>NodesData[[#This Row],[Common Name]]</f>
        <v>Claim Registry Model</v>
      </c>
      <c r="C89" s="3" t="str">
        <f>IF(NodesData[[#This Row],[Context Instanciation]]="","",NodesData[[#This Row],[Context Instanciation]])</f>
        <v/>
      </c>
      <c r="D89" s="22" t="str">
        <f>NodesData[[#This Row],[Node ID]]</f>
        <v>80DE07EC-7DCC-43D9-BCCD-B4EDBC295A74</v>
      </c>
      <c r="E89" s="10" t="s">
        <v>659</v>
      </c>
      <c r="F89" s="25" t="str" cm="1">
        <f t="array" ref="F89">IF(NodesJSON[[#This Row],[Export?]]=0,"",IF(ROW(NodesJSON[[#This Row],[label]])&gt;ROW(NodesJSON[[#Headers],[JSON]])+1,",","") &amp;"{"&amp;twoRangesToJSON(NodesJSON[[#Headers],[label]:[url]],NodesJSON[[#This Row],[label]:[url]])&amp;"}")</f>
        <v>,{"label":"Claim Registry Model","group":"","id":"80DE07EC-7DCC-43D9-BCCD-B4EDBC295A74","url":"https://open-measure.atlassian.net/wiki/spaces/DIC/pages/461307985"}</v>
      </c>
    </row>
    <row r="90" spans="1:6" ht="13.9" thickTop="1" thickBot="1" x14ac:dyDescent="0.4">
      <c r="A90" s="38">
        <f>IF(ISERR(NodesJSON[[#This Row],[label]]),0,1)</f>
        <v>1</v>
      </c>
      <c r="B90" s="3" t="str">
        <f>NodesData[[#This Row],[Common Name]]</f>
        <v>Claimant</v>
      </c>
      <c r="C90" s="3" t="str">
        <f>IF(NodesData[[#This Row],[Context Instanciation]]="","",NodesData[[#This Row],[Context Instanciation]])</f>
        <v/>
      </c>
      <c r="D90" s="22" t="str">
        <f>NodesData[[#This Row],[Node ID]]</f>
        <v>AC35FF28-B8CA-48F9-9504-5FC6F3FE32BF</v>
      </c>
      <c r="E90" s="10" t="s">
        <v>661</v>
      </c>
      <c r="F90" s="25" t="str" cm="1">
        <f t="array" ref="F90">IF(NodesJSON[[#This Row],[Export?]]=0,"",IF(ROW(NodesJSON[[#This Row],[label]])&gt;ROW(NodesJSON[[#Headers],[JSON]])+1,",","") &amp;"{"&amp;twoRangesToJSON(NodesJSON[[#Headers],[label]:[url]],NodesJSON[[#This Row],[label]:[url]])&amp;"}")</f>
        <v>,{"label":"Claimant","group":"","id":"AC35FF28-B8CA-48F9-9504-5FC6F3FE32BF","url":"https://open-measure.atlassian.net/wiki/spaces/DIC/pages/974454827"}</v>
      </c>
    </row>
    <row r="91" spans="1:6" ht="13.9" thickTop="1" thickBot="1" x14ac:dyDescent="0.4">
      <c r="A91" s="38">
        <f>IF(ISERR(NodesJSON[[#This Row],[label]]),0,1)</f>
        <v>1</v>
      </c>
      <c r="B91" s="3" t="str">
        <f>NodesData[[#This Row],[Common Name]]</f>
        <v>Classification</v>
      </c>
      <c r="C91" s="3" t="str">
        <f>IF(NodesData[[#This Row],[Context Instanciation]]="","",NodesData[[#This Row],[Context Instanciation]])</f>
        <v/>
      </c>
      <c r="D91" s="22" t="str">
        <f>NodesData[[#This Row],[Node ID]]</f>
        <v>BDAFF511-D4B1-45B0-8ADC-25E77A34A642</v>
      </c>
      <c r="E91" s="10" t="s">
        <v>646</v>
      </c>
      <c r="F91" s="25" t="str" cm="1">
        <f t="array" ref="F91">IF(NodesJSON[[#This Row],[Export?]]=0,"",IF(ROW(NodesJSON[[#This Row],[label]])&gt;ROW(NodesJSON[[#Headers],[JSON]])+1,",","") &amp;"{"&amp;twoRangesToJSON(NodesJSON[[#Headers],[label]:[url]],NodesJSON[[#This Row],[label]:[url]])&amp;"}")</f>
        <v>,{"label":"Classification","group":"","id":"BDAFF511-D4B1-45B0-8ADC-25E77A34A642","url":"https://open-measure.atlassian.net/wiki/spaces/DIC/pages/1290076229/Client+Initiated+Backchannel+Authentication"}</v>
      </c>
    </row>
    <row r="92" spans="1:6" ht="13.9" thickTop="1" thickBot="1" x14ac:dyDescent="0.4">
      <c r="A92" s="38">
        <f>IF(ISERR(NodesJSON[[#This Row],[label]]),0,1)</f>
        <v>1</v>
      </c>
      <c r="B92" s="3" t="str">
        <f>NodesData[[#This Row],[Common Name]]</f>
        <v>Client Initiated Backchannel Authentication</v>
      </c>
      <c r="C92" s="3" t="str">
        <f>IF(NodesData[[#This Row],[Context Instanciation]]="","",NodesData[[#This Row],[Context Instanciation]])</f>
        <v/>
      </c>
      <c r="D92" s="22" t="str">
        <f>NodesData[[#This Row],[Node ID]]</f>
        <v>3F1E1BBA-CDE0-4D62-AF71-532300B38F13</v>
      </c>
      <c r="E92" s="10" t="s">
        <v>665</v>
      </c>
      <c r="F92" s="25" t="str" cm="1">
        <f t="array" ref="F92">IF(NodesJSON[[#This Row],[Export?]]=0,"",IF(ROW(NodesJSON[[#This Row],[label]])&gt;ROW(NodesJSON[[#Headers],[JSON]])+1,",","") &amp;"{"&amp;twoRangesToJSON(NodesJSON[[#Headers],[label]:[url]],NodesJSON[[#This Row],[label]:[url]])&amp;"}")</f>
        <v>,{"label":"Client Initiated Backchannel Authentication","group":"","id":"3F1E1BBA-CDE0-4D62-AF71-532300B38F13","url":"https://open-measure.atlassian.net/wiki/spaces/DIC/pages/82838169"}</v>
      </c>
    </row>
    <row r="93" spans="1:6" ht="13.9" thickTop="1" thickBot="1" x14ac:dyDescent="0.4">
      <c r="A93" s="38">
        <f>IF(ISERR(NodesJSON[[#This Row],[label]]),0,1)</f>
        <v>1</v>
      </c>
      <c r="B93" s="3" t="str">
        <f>NodesData[[#This Row],[Common Name]]</f>
        <v>Cloud Identity Management System</v>
      </c>
      <c r="C93" s="3" t="str">
        <f>IF(NodesData[[#This Row],[Context Instanciation]]="","",NodesData[[#This Row],[Context Instanciation]])</f>
        <v/>
      </c>
      <c r="D93" s="22" t="str">
        <f>NodesData[[#This Row],[Node ID]]</f>
        <v>3C64CE03-CDC0-4385-9B0D-43B480F4FF2B</v>
      </c>
      <c r="E93" s="10" t="s">
        <v>667</v>
      </c>
      <c r="F93" s="25" t="str" cm="1">
        <f t="array" ref="F93">IF(NodesJSON[[#This Row],[Export?]]=0,"",IF(ROW(NodesJSON[[#This Row],[label]])&gt;ROW(NodesJSON[[#Headers],[JSON]])+1,",","") &amp;"{"&amp;twoRangesToJSON(NodesJSON[[#Headers],[label]:[url]],NodesJSON[[#This Row],[label]:[url]])&amp;"}")</f>
        <v>,{"label":"Cloud Identity Management System","group":"","id":"3C64CE03-CDC0-4385-9B0D-43B480F4FF2B","url":"https://open-measure.atlassian.net/wiki/spaces/DIC/pages/138346642"}</v>
      </c>
    </row>
    <row r="94" spans="1:6" ht="13.9" thickTop="1" thickBot="1" x14ac:dyDescent="0.4">
      <c r="A94" s="38">
        <f>IF(ISERR(NodesJSON[[#This Row],[label]]),0,1)</f>
        <v>1</v>
      </c>
      <c r="B94" s="3" t="str">
        <f>NodesData[[#This Row],[Common Name]]</f>
        <v>Cloud IdMS</v>
      </c>
      <c r="C94" s="3" t="str">
        <f>IF(NodesData[[#This Row],[Context Instanciation]]="","",NodesData[[#This Row],[Context Instanciation]])</f>
        <v/>
      </c>
      <c r="D94" s="22" t="str">
        <f>NodesData[[#This Row],[Node ID]]</f>
        <v>6D6F4591-F482-4404-8ABF-A00BF28FA1F4</v>
      </c>
      <c r="E94" s="10" t="s">
        <v>668</v>
      </c>
      <c r="F94" s="25" t="str" cm="1">
        <f t="array" ref="F94">IF(NodesJSON[[#This Row],[Export?]]=0,"",IF(ROW(NodesJSON[[#This Row],[label]])&gt;ROW(NodesJSON[[#Headers],[JSON]])+1,",","") &amp;"{"&amp;twoRangesToJSON(NodesJSON[[#Headers],[label]:[url]],NodesJSON[[#This Row],[label]:[url]])&amp;"}")</f>
        <v>,{"label":"Cloud IdMS","group":"","id":"6D6F4591-F482-4404-8ABF-A00BF28FA1F4","url":"https://open-measure.atlassian.net/wiki/spaces/DIC/pages/67633343/Credential"}</v>
      </c>
    </row>
    <row r="95" spans="1:6" ht="13.9" thickTop="1" thickBot="1" x14ac:dyDescent="0.4">
      <c r="A95" s="38">
        <f>IF(ISERR(NodesJSON[[#This Row],[label]]),0,1)</f>
        <v>1</v>
      </c>
      <c r="B95" s="3" t="str">
        <f>NodesData[[#This Row],[Common Name]]</f>
        <v>Cloud Service Consumers</v>
      </c>
      <c r="C95" s="3" t="str">
        <f>IF(NodesData[[#This Row],[Context Instanciation]]="","",NodesData[[#This Row],[Context Instanciation]])</f>
        <v/>
      </c>
      <c r="D95" s="22" t="str">
        <f>NodesData[[#This Row],[Node ID]]</f>
        <v>01CEAE9D-600C-4A4D-B0EE-E301530C8C55</v>
      </c>
      <c r="E95" s="10" t="s">
        <v>669</v>
      </c>
      <c r="F95" s="25" t="str" cm="1">
        <f t="array" ref="F95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Consumers","group":"","id":"01CEAE9D-600C-4A4D-B0EE-E301530C8C55","url":"https://open-measure.atlassian.net/wiki/spaces/DIC/pages/1254719498/Credential+Harvesting"}</v>
      </c>
    </row>
    <row r="96" spans="1:6" ht="13.9" thickTop="1" thickBot="1" x14ac:dyDescent="0.4">
      <c r="A96" s="38">
        <f>IF(ISERR(NodesJSON[[#This Row],[label]]),0,1)</f>
        <v>1</v>
      </c>
      <c r="B96" s="3" t="str">
        <f>NodesData[[#This Row],[Common Name]]</f>
        <v>Cloud Service Provider</v>
      </c>
      <c r="C96" s="3" t="str">
        <f>IF(NodesData[[#This Row],[Context Instanciation]]="","",NodesData[[#This Row],[Context Instanciation]])</f>
        <v/>
      </c>
      <c r="D96" s="22" t="str">
        <f>NodesData[[#This Row],[Node ID]]</f>
        <v>70AE9E57-05FE-4B1C-8D03-E1194F9EEA8C</v>
      </c>
      <c r="E96" s="10" t="s">
        <v>671</v>
      </c>
      <c r="F96" s="25" t="str" cm="1">
        <f t="array" ref="F96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Provider","group":"","id":"70AE9E57-05FE-4B1C-8D03-E1194F9EEA8C","url":"https://open-measure.atlassian.net/wiki/spaces/DIC/pages/82870977"}</v>
      </c>
    </row>
    <row r="97" spans="1:6" ht="13.9" thickTop="1" thickBot="1" x14ac:dyDescent="0.4">
      <c r="A97" s="38">
        <f>IF(ISERR(NodesJSON[[#This Row],[label]]),0,1)</f>
        <v>1</v>
      </c>
      <c r="B97" s="3" t="str">
        <f>NodesData[[#This Row],[Common Name]]</f>
        <v>Cloud Service User</v>
      </c>
      <c r="C97" s="3" t="str">
        <f>IF(NodesData[[#This Row],[Context Instanciation]]="","",NodesData[[#This Row],[Context Instanciation]])</f>
        <v/>
      </c>
      <c r="D97" s="22" t="str">
        <f>NodesData[[#This Row],[Node ID]]</f>
        <v>F2DD1D05-0F5E-43BF-A828-718DA9EEB690</v>
      </c>
      <c r="E97" s="10" t="s">
        <v>672</v>
      </c>
      <c r="F97" s="25" t="str" cm="1">
        <f t="array" ref="F97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User","group":"","id":"F2DD1D05-0F5E-43BF-A828-718DA9EEB690","url":"https://open-measure.atlassian.net/wiki/spaces/DIC/pages/1348862053/Credential+Stuffing"}</v>
      </c>
    </row>
    <row r="98" spans="1:6" ht="13.9" thickTop="1" thickBot="1" x14ac:dyDescent="0.4">
      <c r="A98" s="38">
        <f>IF(ISERR(NodesJSON[[#This Row],[label]]),0,1)</f>
        <v>1</v>
      </c>
      <c r="B98" s="3" t="str">
        <f>NodesData[[#This Row],[Common Name]]</f>
        <v>Coherent Whole</v>
      </c>
      <c r="C98" s="3" t="str">
        <f>IF(NodesData[[#This Row],[Context Instanciation]]="","",NodesData[[#This Row],[Context Instanciation]])</f>
        <v/>
      </c>
      <c r="D98" s="22" t="str">
        <f>NodesData[[#This Row],[Node ID]]</f>
        <v>8A66FDF6-25FA-4400-8F76-04907B9F7088</v>
      </c>
      <c r="E98" s="10" t="s">
        <v>674</v>
      </c>
      <c r="F98" s="25" t="str" cm="1">
        <f t="array" ref="F98">IF(NodesJSON[[#This Row],[Export?]]=0,"",IF(ROW(NodesJSON[[#This Row],[label]])&gt;ROW(NodesJSON[[#Headers],[JSON]])+1,",","") &amp;"{"&amp;twoRangesToJSON(NodesJSON[[#Headers],[label]:[url]],NodesJSON[[#This Row],[label]:[url]])&amp;"}")</f>
        <v>,{"label":"Coherent Whole","group":"","id":"8A66FDF6-25FA-4400-8F76-04907B9F7088","url":"https://open-measure.atlassian.net/wiki/spaces/DIC/pages/461340725"}</v>
      </c>
    </row>
    <row r="99" spans="1:6" ht="13.9" thickTop="1" thickBot="1" x14ac:dyDescent="0.4">
      <c r="A99" s="38">
        <f>IF(ISERR(NodesJSON[[#This Row],[label]]),0,1)</f>
        <v>1</v>
      </c>
      <c r="B99" s="3" t="str">
        <f>NodesData[[#This Row],[Common Name]]</f>
        <v>Commission Error</v>
      </c>
      <c r="C99" s="3" t="str">
        <f>IF(NodesData[[#This Row],[Context Instanciation]]="","",NodesData[[#This Row],[Context Instanciation]])</f>
        <v/>
      </c>
      <c r="D99" s="22" t="str">
        <f>NodesData[[#This Row],[Node ID]]</f>
        <v>6CD30943-D4D3-438F-9C01-C248A91BDE9C</v>
      </c>
      <c r="E99" s="10" t="s">
        <v>676</v>
      </c>
      <c r="F99" s="25" t="str" cm="1">
        <f t="array" ref="F99">IF(NodesJSON[[#This Row],[Export?]]=0,"",IF(ROW(NodesJSON[[#This Row],[label]])&gt;ROW(NodesJSON[[#Headers],[JSON]])+1,",","") &amp;"{"&amp;twoRangesToJSON(NodesJSON[[#Headers],[label]:[url]],NodesJSON[[#This Row],[label]:[url]])&amp;"}")</f>
        <v>,{"label":"Commission Error","group":"","id":"6CD30943-D4D3-438F-9C01-C248A91BDE9C","url":"https://open-measure.atlassian.net/wiki/spaces/DIC/pages/427130918"}</v>
      </c>
    </row>
    <row r="100" spans="1:6" ht="13.9" thickTop="1" thickBot="1" x14ac:dyDescent="0.4">
      <c r="A100" s="38">
        <f>IF(ISERR(NodesJSON[[#This Row],[label]]),0,1)</f>
        <v>1</v>
      </c>
      <c r="B100" s="3" t="str">
        <f>NodesData[[#This Row],[Common Name]]</f>
        <v>Compromised Identity</v>
      </c>
      <c r="C100" s="3" t="str">
        <f>IF(NodesData[[#This Row],[Context Instanciation]]="","",NodesData[[#This Row],[Context Instanciation]])</f>
        <v/>
      </c>
      <c r="D100" s="22" t="str">
        <f>NodesData[[#This Row],[Node ID]]</f>
        <v>D89DE997-64BE-4F19-B014-7995AF4D2FDF</v>
      </c>
      <c r="E100" s="10" t="s">
        <v>677</v>
      </c>
      <c r="F100" s="25" t="str" cm="1">
        <f t="array" ref="F100">IF(NodesJSON[[#This Row],[Export?]]=0,"",IF(ROW(NodesJSON[[#This Row],[label]])&gt;ROW(NodesJSON[[#Headers],[JSON]])+1,",","") &amp;"{"&amp;twoRangesToJSON(NodesJSON[[#Headers],[label]:[url]],NodesJSON[[#This Row],[label]:[url]])&amp;"}")</f>
        <v>,{"label":"Compromised Identity","group":"","id":"D89DE997-64BE-4F19-B014-7995AF4D2FDF","url":"https://open-measure.atlassian.net/wiki/spaces/DIC/pages/1152516162/CSC"}</v>
      </c>
    </row>
    <row r="101" spans="1:6" ht="13.9" thickTop="1" thickBot="1" x14ac:dyDescent="0.4">
      <c r="A101" s="38">
        <f>IF(ISERR(NodesJSON[[#This Row],[label]]),0,1)</f>
        <v>1</v>
      </c>
      <c r="B101" s="3" t="str">
        <f>NodesData[[#This Row],[Common Name]]</f>
        <v>Concurrent Impersonation Attack</v>
      </c>
      <c r="C101" s="3" t="str">
        <f>IF(NodesData[[#This Row],[Context Instanciation]]="","",NodesData[[#This Row],[Context Instanciation]])</f>
        <v/>
      </c>
      <c r="D101" s="22" t="str">
        <f>NodesData[[#This Row],[Node ID]]</f>
        <v>AA62C302-F15B-4768-8C56-E59E07C97B03</v>
      </c>
      <c r="E101" s="10" t="s">
        <v>678</v>
      </c>
      <c r="F101" s="25" t="str" cm="1">
        <f t="array" ref="F101">IF(NodesJSON[[#This Row],[Export?]]=0,"",IF(ROW(NodesJSON[[#This Row],[label]])&gt;ROW(NodesJSON[[#Headers],[JSON]])+1,",","") &amp;"{"&amp;twoRangesToJSON(NodesJSON[[#Headers],[label]:[url]],NodesJSON[[#This Row],[label]:[url]])&amp;"}")</f>
        <v>,{"label":"Concurrent Impersonation Attack","group":"","id":"AA62C302-F15B-4768-8C56-E59E07C97B03","url":"https://open-measure.atlassian.net/wiki/spaces/DIC/pages/82903984/CSP"}</v>
      </c>
    </row>
    <row r="102" spans="1:6" ht="13.9" thickTop="1" thickBot="1" x14ac:dyDescent="0.4">
      <c r="A102" s="38">
        <f>IF(ISERR(NodesJSON[[#This Row],[label]]),0,1)</f>
        <v>1</v>
      </c>
      <c r="B102" s="3" t="str">
        <f>NodesData[[#This Row],[Common Name]]</f>
        <v>Continuous Authentication</v>
      </c>
      <c r="C102" s="3" t="str">
        <f>IF(NodesData[[#This Row],[Context Instanciation]]="","",NodesData[[#This Row],[Context Instanciation]])</f>
        <v/>
      </c>
      <c r="D102" s="22" t="str">
        <f>NodesData[[#This Row],[Node ID]]</f>
        <v>E8038D29-14AE-41B6-AC04-25F2B42A97CD</v>
      </c>
      <c r="E102" s="10" t="s">
        <v>679</v>
      </c>
      <c r="F102" s="25" t="str" cm="1">
        <f t="array" ref="F102">IF(NodesJSON[[#This Row],[Export?]]=0,"",IF(ROW(NodesJSON[[#This Row],[label]])&gt;ROW(NodesJSON[[#Headers],[JSON]])+1,",","") &amp;"{"&amp;twoRangesToJSON(NodesJSON[[#Headers],[label]:[url]],NodesJSON[[#This Row],[label]:[url]])&amp;"}")</f>
        <v>,{"label":"Continuous Authentication","group":"","id":"E8038D29-14AE-41B6-AC04-25F2B42A97CD","url":"https://open-measure.atlassian.net/wiki/spaces/DIC/pages/206667867/CSU"}</v>
      </c>
    </row>
    <row r="103" spans="1:6" ht="13.9" thickTop="1" thickBot="1" x14ac:dyDescent="0.4">
      <c r="A103" s="38">
        <f>IF(ISERR(NodesJSON[[#This Row],[label]]),0,1)</f>
        <v>1</v>
      </c>
      <c r="B103" s="3" t="str">
        <f>NodesData[[#This Row],[Common Name]]</f>
        <v>Control Class</v>
      </c>
      <c r="C103" s="3" t="str">
        <f>IF(NodesData[[#This Row],[Context Instanciation]]="","",NodesData[[#This Row],[Context Instanciation]])</f>
        <v/>
      </c>
      <c r="D103" s="22" t="str">
        <f>NodesData[[#This Row],[Node ID]]</f>
        <v>5CB6C907-0D88-4068-B90F-90D2B4E5C9CF</v>
      </c>
      <c r="E103" s="10" t="s">
        <v>681</v>
      </c>
      <c r="F103" s="25" t="str" cm="1">
        <f t="array" ref="F103">IF(NodesJSON[[#This Row],[Export?]]=0,"",IF(ROW(NodesJSON[[#This Row],[label]])&gt;ROW(NodesJSON[[#Headers],[JSON]])+1,",","") &amp;"{"&amp;twoRangesToJSON(NodesJSON[[#Headers],[label]:[url]],NodesJSON[[#This Row],[label]:[url]])&amp;"}")</f>
        <v>,{"label":"Control Class","group":"","id":"5CB6C907-0D88-4068-B90F-90D2B4E5C9CF","url":"https://open-measure.atlassian.net/wiki/spaces/DIC/pages/414482448"}</v>
      </c>
    </row>
    <row r="104" spans="1:6" ht="13.9" thickTop="1" thickBot="1" x14ac:dyDescent="0.4">
      <c r="A104" s="38">
        <f>IF(ISERR(NodesJSON[[#This Row],[label]]),0,1)</f>
        <v>1</v>
      </c>
      <c r="B104" s="3" t="str">
        <f>NodesData[[#This Row],[Common Name]]</f>
        <v>Control Party</v>
      </c>
      <c r="C104" s="3" t="str">
        <f>IF(NodesData[[#This Row],[Context Instanciation]]="","",NodesData[[#This Row],[Context Instanciation]])</f>
        <v/>
      </c>
      <c r="D104" s="22" t="str">
        <f>NodesData[[#This Row],[Node ID]]</f>
        <v>99F7B2C7-39DB-4A58-9132-0E2236C5812C</v>
      </c>
      <c r="E104" s="10" t="s">
        <v>683</v>
      </c>
      <c r="F104" s="25" t="str" cm="1">
        <f t="array" ref="F104">IF(NodesJSON[[#This Row],[Export?]]=0,"",IF(ROW(NodesJSON[[#This Row],[label]])&gt;ROW(NodesJSON[[#Headers],[JSON]])+1,",","") &amp;"{"&amp;twoRangesToJSON(NodesJSON[[#Headers],[label]:[url]],NodesJSON[[#This Row],[label]:[url]])&amp;"}")</f>
        <v>,{"label":"Control Party","group":"","id":"99F7B2C7-39DB-4A58-9132-0E2236C5812C","url":"https://open-measure.atlassian.net/wiki/spaces/DIC/pages/414548006"}</v>
      </c>
    </row>
    <row r="105" spans="1:6" ht="13.9" thickTop="1" thickBot="1" x14ac:dyDescent="0.4">
      <c r="A105" s="38">
        <f>IF(ISERR(NodesJSON[[#This Row],[label]]),0,1)</f>
        <v>1</v>
      </c>
      <c r="B105" s="3" t="str">
        <f>NodesData[[#This Row],[Common Name]]</f>
        <v>Core Identity</v>
      </c>
      <c r="C105" s="3" t="str">
        <f>IF(NodesData[[#This Row],[Context Instanciation]]="","",NodesData[[#This Row],[Context Instanciation]])</f>
        <v/>
      </c>
      <c r="D105" s="22" t="str">
        <f>NodesData[[#This Row],[Node ID]]</f>
        <v>9F814534-7123-4E77-8D90-93B56FA09724</v>
      </c>
      <c r="E105" s="10" t="s">
        <v>685</v>
      </c>
      <c r="F105" s="25" t="str" cm="1">
        <f t="array" ref="F105">IF(NodesJSON[[#This Row],[Export?]]=0,"",IF(ROW(NodesJSON[[#This Row],[label]])&gt;ROW(NodesJSON[[#Headers],[JSON]])+1,",","") &amp;"{"&amp;twoRangesToJSON(NodesJSON[[#Headers],[label]:[url]],NodesJSON[[#This Row],[label]:[url]])&amp;"}")</f>
        <v>,{"label":"Core Identity","group":"","id":"9F814534-7123-4E77-8D90-93B56FA09724","url":"https://open-measure.atlassian.net/wiki/spaces/DIC/pages/138444875"}</v>
      </c>
    </row>
    <row r="106" spans="1:6" ht="13.9" thickTop="1" thickBot="1" x14ac:dyDescent="0.4">
      <c r="A106" s="38">
        <f>IF(ISERR(NodesJSON[[#This Row],[label]]),0,1)</f>
        <v>1</v>
      </c>
      <c r="B106" s="3" t="str">
        <f>NodesData[[#This Row],[Common Name]]</f>
        <v>Credential</v>
      </c>
      <c r="C106" s="3" t="str">
        <f>IF(NodesData[[#This Row],[Context Instanciation]]="","",NodesData[[#This Row],[Context Instanciation]])</f>
        <v/>
      </c>
      <c r="D106" s="22" t="str">
        <f>NodesData[[#This Row],[Node ID]]</f>
        <v>B5610ED8-EE1E-4F18-9D6C-BFF3E8CFFA86</v>
      </c>
      <c r="E106" s="10" t="s">
        <v>687</v>
      </c>
      <c r="F106" s="25" t="str" cm="1">
        <f t="array" ref="F106">IF(NodesJSON[[#This Row],[Export?]]=0,"",IF(ROW(NodesJSON[[#This Row],[label]])&gt;ROW(NodesJSON[[#Headers],[JSON]])+1,",","") &amp;"{"&amp;twoRangesToJSON(NodesJSON[[#Headers],[label]:[url]],NodesJSON[[#This Row],[label]:[url]])&amp;"}")</f>
        <v>,{"label":"Credential","group":"","id":"B5610ED8-EE1E-4F18-9D6C-BFF3E8CFFA86","url":"https://open-measure.atlassian.net/wiki/spaces/DIC/pages/409010717"}</v>
      </c>
    </row>
    <row r="107" spans="1:6" ht="13.9" thickTop="1" thickBot="1" x14ac:dyDescent="0.4">
      <c r="A107" s="38">
        <f>IF(ISERR(NodesJSON[[#This Row],[label]]),0,1)</f>
        <v>1</v>
      </c>
      <c r="B107" s="3" t="str">
        <f>NodesData[[#This Row],[Common Name]]</f>
        <v>Credential Harvesting</v>
      </c>
      <c r="C107" s="3" t="str">
        <f>IF(NodesData[[#This Row],[Context Instanciation]]="","",NodesData[[#This Row],[Context Instanciation]])</f>
        <v/>
      </c>
      <c r="D107" s="22" t="str">
        <f>NodesData[[#This Row],[Node ID]]</f>
        <v>E7398742-2D81-43A1-9286-43105111058A</v>
      </c>
      <c r="E107" s="10" t="s">
        <v>689</v>
      </c>
      <c r="F107" s="25" t="str" cm="1">
        <f t="array" ref="F107">IF(NodesJSON[[#This Row],[Export?]]=0,"",IF(ROW(NodesJSON[[#This Row],[label]])&gt;ROW(NodesJSON[[#Headers],[JSON]])+1,",","") &amp;"{"&amp;twoRangesToJSON(NodesJSON[[#Headers],[label]:[url]],NodesJSON[[#This Row],[label]:[url]])&amp;"}")</f>
        <v>,{"label":"Credential Harvesting","group":"","id":"E7398742-2D81-43A1-9286-43105111058A","url":"https://open-measure.atlassian.net/wiki/spaces/DIC/pages/408944928"}</v>
      </c>
    </row>
    <row r="108" spans="1:6" ht="13.9" thickTop="1" thickBot="1" x14ac:dyDescent="0.4">
      <c r="A108" s="38">
        <f>IF(ISERR(NodesJSON[[#This Row],[label]]),0,1)</f>
        <v>1</v>
      </c>
      <c r="B108" s="3" t="str">
        <f>NodesData[[#This Row],[Common Name]]</f>
        <v>Credential Service Provider</v>
      </c>
      <c r="C108" s="3" t="str">
        <f>IF(NodesData[[#This Row],[Context Instanciation]]="","",NodesData[[#This Row],[Context Instanciation]])</f>
        <v/>
      </c>
      <c r="D108" s="22" t="str">
        <f>NodesData[[#This Row],[Node ID]]</f>
        <v>E9E2053A-B9CA-466E-9D58-C408FC470495</v>
      </c>
      <c r="E108" s="10" t="s">
        <v>691</v>
      </c>
      <c r="F108" s="25" t="str" cm="1">
        <f t="array" ref="F108">IF(NodesJSON[[#This Row],[Export?]]=0,"",IF(ROW(NodesJSON[[#This Row],[label]])&gt;ROW(NodesJSON[[#Headers],[JSON]])+1,",","") &amp;"{"&amp;twoRangesToJSON(NodesJSON[[#Headers],[label]:[url]],NodesJSON[[#This Row],[label]:[url]])&amp;"}")</f>
        <v>,{"label":"Credential Service Provider","group":"","id":"E9E2053A-B9CA-466E-9D58-C408FC470495","url":"https://open-measure.atlassian.net/wiki/spaces/DIC/pages/797900801"}</v>
      </c>
    </row>
    <row r="109" spans="1:6" ht="13.9" thickTop="1" thickBot="1" x14ac:dyDescent="0.4">
      <c r="A109" s="38">
        <f>IF(ISERR(NodesJSON[[#This Row],[label]]),0,1)</f>
        <v>1</v>
      </c>
      <c r="B109" s="3" t="str">
        <f>NodesData[[#This Row],[Common Name]]</f>
        <v>Credential Stuffing</v>
      </c>
      <c r="C109" s="3" t="str">
        <f>IF(NodesData[[#This Row],[Context Instanciation]]="","",NodesData[[#This Row],[Context Instanciation]])</f>
        <v/>
      </c>
      <c r="D109" s="22" t="str">
        <f>NodesData[[#This Row],[Node ID]]</f>
        <v>EED3245C-33E6-4527-BF19-4ED36B78325E</v>
      </c>
      <c r="E109" s="10" t="s">
        <v>692</v>
      </c>
      <c r="F109" s="25" t="str" cm="1">
        <f t="array" ref="F109">IF(NodesJSON[[#This Row],[Export?]]=0,"",IF(ROW(NodesJSON[[#This Row],[label]])&gt;ROW(NodesJSON[[#Headers],[JSON]])+1,",","") &amp;"{"&amp;twoRangesToJSON(NodesJSON[[#Headers],[label]:[url]],NodesJSON[[#This Row],[label]:[url]])&amp;"}")</f>
        <v>,{"label":"Credential Stuffing","group":"","id":"EED3245C-33E6-4527-BF19-4ED36B78325E","url":"https://open-measure.atlassian.net/wiki/spaces/DIC/pages/1451982933/Cyber-sabotage"}</v>
      </c>
    </row>
    <row r="110" spans="1:6" ht="13.9" thickTop="1" thickBot="1" x14ac:dyDescent="0.4">
      <c r="A110" s="38">
        <f>IF(ISERR(NodesJSON[[#This Row],[label]]),0,1)</f>
        <v>1</v>
      </c>
      <c r="B110" s="3" t="str">
        <f>NodesData[[#This Row],[Common Name]]</f>
        <v>Credential Theft</v>
      </c>
      <c r="C110" s="3" t="str">
        <f>IF(NodesData[[#This Row],[Context Instanciation]]="","",NodesData[[#This Row],[Context Instanciation]])</f>
        <v/>
      </c>
      <c r="D110" s="22" t="str">
        <f>NodesData[[#This Row],[Node ID]]</f>
        <v>80E78BDF-4943-440D-90B8-2D317C69DE7A</v>
      </c>
      <c r="E110" s="10" t="s">
        <v>693</v>
      </c>
      <c r="F110" s="25" t="str" cm="1">
        <f t="array" ref="F110">IF(NodesJSON[[#This Row],[Export?]]=0,"",IF(ROW(NodesJSON[[#This Row],[label]])&gt;ROW(NodesJSON[[#Headers],[JSON]])+1,",","") &amp;"{"&amp;twoRangesToJSON(NodesJSON[[#Headers],[label]:[url]],NodesJSON[[#This Row],[label]:[url]])&amp;"}")</f>
        <v>,{"label":"Credential Theft","group":"","id":"80E78BDF-4943-440D-90B8-2D317C69DE7A","url":"https://open-measure.atlassian.net/wiki/spaces/DIC/pages/1177845938/DAC"}</v>
      </c>
    </row>
    <row r="111" spans="1:6" ht="13.9" thickTop="1" thickBot="1" x14ac:dyDescent="0.4">
      <c r="A111" s="38">
        <f>IF(ISERR(NodesJSON[[#This Row],[label]]),0,1)</f>
        <v>1</v>
      </c>
      <c r="B111" s="3" t="str">
        <f>NodesData[[#This Row],[Common Name]]</f>
        <v>Cryptographic Key</v>
      </c>
      <c r="C111" s="3" t="str">
        <f>IF(NodesData[[#This Row],[Context Instanciation]]="","",NodesData[[#This Row],[Context Instanciation]])</f>
        <v/>
      </c>
      <c r="D111" s="22" t="str">
        <f>NodesData[[#This Row],[Node ID]]</f>
        <v>ECCF1EB1-F977-411B-A39A-11DDDD6C555A</v>
      </c>
      <c r="E111" s="10" t="s">
        <v>694</v>
      </c>
      <c r="F111" s="25" t="str" cm="1">
        <f t="array" ref="F111">IF(NodesJSON[[#This Row],[Export?]]=0,"",IF(ROW(NodesJSON[[#This Row],[label]])&gt;ROW(NodesJSON[[#Headers],[JSON]])+1,",","") &amp;"{"&amp;twoRangesToJSON(NodesJSON[[#Headers],[label]:[url]],NodesJSON[[#This Row],[label]:[url]])&amp;"}")</f>
        <v>,{"label":"Cryptographic Key","group":"","id":"ECCF1EB1-F977-411B-A39A-11DDDD6C555A","url":"https://open-measure.atlassian.net/wiki/spaces/DIC/pages/1267400850/Data+Anonymization"}</v>
      </c>
    </row>
    <row r="112" spans="1:6" ht="13.9" thickTop="1" thickBot="1" x14ac:dyDescent="0.4">
      <c r="A112" s="38">
        <f>IF(ISERR(NodesJSON[[#This Row],[label]]),0,1)</f>
        <v>1</v>
      </c>
      <c r="B112" s="3" t="str">
        <f>NodesData[[#This Row],[Common Name]]</f>
        <v>CSC</v>
      </c>
      <c r="C112" s="3" t="str">
        <f>IF(NodesData[[#This Row],[Context Instanciation]]="","",NodesData[[#This Row],[Context Instanciation]])</f>
        <v/>
      </c>
      <c r="D112" s="22" t="str">
        <f>NodesData[[#This Row],[Node ID]]</f>
        <v>744BFD3E-5211-4AC9-B18A-1ABC862485A0</v>
      </c>
      <c r="E112" s="10" t="s">
        <v>696</v>
      </c>
      <c r="F112" s="25" t="str" cm="1">
        <f t="array" ref="F112">IF(NodesJSON[[#This Row],[Export?]]=0,"",IF(ROW(NodesJSON[[#This Row],[label]])&gt;ROW(NodesJSON[[#Headers],[JSON]])+1,",","") &amp;"{"&amp;twoRangesToJSON(NodesJSON[[#Headers],[label]:[url]],NodesJSON[[#This Row],[label]:[url]])&amp;"}")</f>
        <v>,{"label":"CSC","group":"","id":"744BFD3E-5211-4AC9-B18A-1ABC862485A0","url":"https://open-measure.atlassian.net/wiki/spaces/DIC/pages/998244454"}</v>
      </c>
    </row>
    <row r="113" spans="1:6" ht="13.9" thickTop="1" thickBot="1" x14ac:dyDescent="0.4">
      <c r="A113" s="38">
        <f>IF(ISERR(NodesJSON[[#This Row],[label]]),0,1)</f>
        <v>1</v>
      </c>
      <c r="B113" s="3" t="str">
        <f>NodesData[[#This Row],[Common Name]]</f>
        <v>CSP</v>
      </c>
      <c r="C113" s="3" t="str">
        <f>IF(NodesData[[#This Row],[Context Instanciation]]="","",NodesData[[#This Row],[Context Instanciation]])</f>
        <v/>
      </c>
      <c r="D113" s="22" t="str">
        <f>NodesData[[#This Row],[Node ID]]</f>
        <v>1C19CD0D-B98F-4548-BE0E-7301626285E6</v>
      </c>
      <c r="E113" s="10" t="s">
        <v>704</v>
      </c>
      <c r="F113" s="25" t="str" cm="1">
        <f t="array" ref="F113">IF(NodesJSON[[#This Row],[Export?]]=0,"",IF(ROW(NodesJSON[[#This Row],[label]])&gt;ROW(NodesJSON[[#Headers],[JSON]])+1,",","") &amp;"{"&amp;twoRangesToJSON(NodesJSON[[#Headers],[label]:[url]],NodesJSON[[#This Row],[label]:[url]])&amp;"}")</f>
        <v>,{"label":"CSP","group":"","id":"1C19CD0D-B98F-4548-BE0E-7301626285E6","url":"https://open-measure.atlassian.net/wiki/spaces/DIC/pages/1132331029"}</v>
      </c>
    </row>
    <row r="114" spans="1:6" ht="13.9" thickTop="1" thickBot="1" x14ac:dyDescent="0.4">
      <c r="A114" s="38">
        <f>IF(ISERR(NodesJSON[[#This Row],[label]]),0,1)</f>
        <v>1</v>
      </c>
      <c r="B114" s="3" t="str">
        <f>NodesData[[#This Row],[Common Name]]</f>
        <v>CSU</v>
      </c>
      <c r="C114" s="3" t="str">
        <f>IF(NodesData[[#This Row],[Context Instanciation]]="","",NodesData[[#This Row],[Context Instanciation]])</f>
        <v/>
      </c>
      <c r="D114" s="22" t="str">
        <f>NodesData[[#This Row],[Node ID]]</f>
        <v>B7CD7B1D-8440-4BFC-80CC-94B662E0B3E6</v>
      </c>
      <c r="E114" s="10" t="s">
        <v>698</v>
      </c>
      <c r="F114" s="25" t="str" cm="1">
        <f t="array" ref="F114">IF(NodesJSON[[#This Row],[Export?]]=0,"",IF(ROW(NodesJSON[[#This Row],[label]])&gt;ROW(NodesJSON[[#Headers],[JSON]])+1,",","") &amp;"{"&amp;twoRangesToJSON(NodesJSON[[#Headers],[label]:[url]],NodesJSON[[#This Row],[label]:[url]])&amp;"}")</f>
        <v>,{"label":"CSU","group":"","id":"B7CD7B1D-8440-4BFC-80CC-94B662E0B3E6","url":"https://open-measure.atlassian.net/wiki/spaces/DIC/pages/508330028"}</v>
      </c>
    </row>
    <row r="115" spans="1:6" ht="13.9" thickTop="1" thickBot="1" x14ac:dyDescent="0.4">
      <c r="A115" s="38">
        <f>IF(ISERR(NodesJSON[[#This Row],[label]]),0,1)</f>
        <v>1</v>
      </c>
      <c r="B115" s="3" t="str">
        <f>NodesData[[#This Row],[Common Name]]</f>
        <v>Customer Due Diligence</v>
      </c>
      <c r="C115" s="3" t="str">
        <f>IF(NodesData[[#This Row],[Context Instanciation]]="","",NodesData[[#This Row],[Context Instanciation]])</f>
        <v/>
      </c>
      <c r="D115" s="22" t="str">
        <f>NodesData[[#This Row],[Node ID]]</f>
        <v>DD17059A-FF58-425E-AD7B-173E4AD31ED5</v>
      </c>
      <c r="E115" s="10" t="s">
        <v>700</v>
      </c>
      <c r="F115" s="25" t="str" cm="1">
        <f t="array" ref="F115">IF(NodesJSON[[#This Row],[Export?]]=0,"",IF(ROW(NodesJSON[[#This Row],[label]])&gt;ROW(NodesJSON[[#Headers],[JSON]])+1,",","") &amp;"{"&amp;twoRangesToJSON(NodesJSON[[#Headers],[label]:[url]],NodesJSON[[#This Row],[label]:[url]])&amp;"}")</f>
        <v>,{"label":"Customer Due Diligence","group":"","id":"DD17059A-FF58-425E-AD7B-173E4AD31ED5","url":"https://open-measure.atlassian.net/wiki/spaces/DIC/pages/1027048097"}</v>
      </c>
    </row>
    <row r="116" spans="1:6" ht="13.9" thickTop="1" thickBot="1" x14ac:dyDescent="0.4">
      <c r="A116" s="38">
        <f>IF(ISERR(NodesJSON[[#This Row],[label]]),0,1)</f>
        <v>1</v>
      </c>
      <c r="B116" s="3" t="str">
        <f>NodesData[[#This Row],[Common Name]]</f>
        <v>Customer Identification</v>
      </c>
      <c r="C116" s="3" t="str">
        <f>IF(NodesData[[#This Row],[Context Instanciation]]="","",NodesData[[#This Row],[Context Instanciation]])</f>
        <v/>
      </c>
      <c r="D116" s="22" t="str">
        <f>NodesData[[#This Row],[Node ID]]</f>
        <v>9EB6B213-B16A-4255-B33F-8F129B358217</v>
      </c>
      <c r="E116" s="10" t="s">
        <v>702</v>
      </c>
      <c r="F116" s="25" t="str" cm="1">
        <f t="array" ref="F116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Identification","group":"","id":"9EB6B213-B16A-4255-B33F-8F129B358217","url":"https://open-measure.atlassian.net/wiki/spaces/DIC/pages/998179040"}</v>
      </c>
    </row>
    <row r="117" spans="1:6" ht="13.9" thickTop="1" thickBot="1" x14ac:dyDescent="0.4">
      <c r="A117" s="38">
        <f>IF(ISERR(NodesJSON[[#This Row],[label]]),0,1)</f>
        <v>1</v>
      </c>
      <c r="B117" s="3" t="str">
        <f>NodesData[[#This Row],[Common Name]]</f>
        <v>Customer Identity</v>
      </c>
      <c r="C117" s="3" t="str">
        <f>IF(NodesData[[#This Row],[Context Instanciation]]="","",NodesData[[#This Row],[Context Instanciation]])</f>
        <v/>
      </c>
      <c r="D117" s="22" t="str">
        <f>NodesData[[#This Row],[Node ID]]</f>
        <v>3B8B4A9C-B755-417B-AB49-014BC1B23ABE</v>
      </c>
      <c r="E117" s="10" t="s">
        <v>710</v>
      </c>
      <c r="F117" s="25" t="str" cm="1">
        <f t="array" ref="F117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Identity","group":"","id":"3B8B4A9C-B755-417B-AB49-014BC1B23ABE","url":"https://open-measure.atlassian.net/wiki/spaces/DIC/pages/408977837"}</v>
      </c>
    </row>
    <row r="118" spans="1:6" ht="13.9" thickTop="1" thickBot="1" x14ac:dyDescent="0.4">
      <c r="A118" s="38">
        <f>IF(ISERR(NodesJSON[[#This Row],[label]]),0,1)</f>
        <v>1</v>
      </c>
      <c r="B118" s="3" t="str">
        <f>NodesData[[#This Row],[Common Name]]</f>
        <v>Customer Identity Verification</v>
      </c>
      <c r="C118" s="3" t="str">
        <f>IF(NodesData[[#This Row],[Context Instanciation]]="","",NodesData[[#This Row],[Context Instanciation]])</f>
        <v/>
      </c>
      <c r="D118" s="22" t="str">
        <f>NodesData[[#This Row],[Node ID]]</f>
        <v>7EFBF862-540D-41C7-89ED-6E714AD96CF3</v>
      </c>
      <c r="E118" s="10" t="s">
        <v>706</v>
      </c>
      <c r="F118" s="25" t="str" cm="1">
        <f t="array" ref="F118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Identity Verification","group":"","id":"7EFBF862-540D-41C7-89ED-6E714AD96CF3","url":"https://open-measure.atlassian.net/wiki/spaces/DIC/pages/1031242134"}</v>
      </c>
    </row>
    <row r="119" spans="1:6" ht="13.9" thickTop="1" thickBot="1" x14ac:dyDescent="0.4">
      <c r="A119" s="38">
        <f>IF(ISERR(NodesJSON[[#This Row],[label]]),0,1)</f>
        <v>1</v>
      </c>
      <c r="B119" s="3" t="str">
        <f>NodesData[[#This Row],[Common Name]]</f>
        <v>Customer On-Boarding</v>
      </c>
      <c r="C119" s="3" t="str">
        <f>IF(NodesData[[#This Row],[Context Instanciation]]="","",NodesData[[#This Row],[Context Instanciation]])</f>
        <v/>
      </c>
      <c r="D119" s="22" t="str">
        <f>NodesData[[#This Row],[Node ID]]</f>
        <v>D72C1520-ABB1-40BF-B431-862B2B2025A4</v>
      </c>
      <c r="E119" s="10" t="s">
        <v>708</v>
      </c>
      <c r="F119" s="25" t="str" cm="1">
        <f t="array" ref="F119">IF(NodesJSON[[#This Row],[Export?]]=0,"",IF(ROW(NodesJSON[[#This Row],[label]])&gt;ROW(NodesJSON[[#Headers],[JSON]])+1,",","") &amp;"{"&amp;twoRangesToJSON(NodesJSON[[#Headers],[label]:[url]],NodesJSON[[#This Row],[label]:[url]])&amp;"}")</f>
        <v>,{"label":"Customer On-Boarding","group":"","id":"D72C1520-ABB1-40BF-B431-862B2B2025A4","url":"https://open-measure.atlassian.net/wiki/spaces/DIC/pages/782893122"}</v>
      </c>
    </row>
    <row r="120" spans="1:6" ht="13.9" thickTop="1" thickBot="1" x14ac:dyDescent="0.4">
      <c r="A120" s="38">
        <f>IF(ISERR(NodesJSON[[#This Row],[label]]),0,1)</f>
        <v>1</v>
      </c>
      <c r="B120" s="3" t="str">
        <f>NodesData[[#This Row],[Common Name]]</f>
        <v>Customer Privacy and Consent Management</v>
      </c>
      <c r="C120" s="3" t="str">
        <f>IF(NodesData[[#This Row],[Context Instanciation]]="","",NodesData[[#This Row],[Context Instanciation]])</f>
        <v/>
      </c>
      <c r="D120" s="22" t="str">
        <f>NodesData[[#This Row],[Node ID]]</f>
        <v>03A534B5-791B-444F-8E13-0428ABCAD180</v>
      </c>
      <c r="E120" s="10" t="s">
        <v>712</v>
      </c>
      <c r="F120" s="25" t="str" cm="1">
        <f t="array" ref="F120">IF(NodesJSON[[#This Row],[Export?]]=0,"",IF(ROW(NodesJSON[[#This Row],[label]])&gt;ROW(NodesJSON[[#Headers],[JSON]])+1,",","") &amp;"{"&amp;twoRangesToJSON(NodesJSON[[#Headers],[label]:[url]],NodesJSON[[#This Row],[label]:[url]])&amp;"}")</f>
        <v>,{"label":"Customer Privacy and Consent Management","group":"","id":"03A534B5-791B-444F-8E13-0428ABCAD180","url":"https://open-measure.atlassian.net/wiki/spaces/DIC/pages/62193665"}</v>
      </c>
    </row>
    <row r="121" spans="1:6" ht="13.9" thickTop="1" thickBot="1" x14ac:dyDescent="0.4">
      <c r="A121" s="38">
        <f>IF(ISERR(NodesJSON[[#This Row],[label]]),0,1)</f>
        <v>1</v>
      </c>
      <c r="B121" s="3" t="str">
        <f>NodesData[[#This Row],[Common Name]]</f>
        <v>Cyber-sabotage</v>
      </c>
      <c r="C121" s="3" t="str">
        <f>IF(NodesData[[#This Row],[Context Instanciation]]="","",NodesData[[#This Row],[Context Instanciation]])</f>
        <v/>
      </c>
      <c r="D121" s="22" t="str">
        <f>NodesData[[#This Row],[Node ID]]</f>
        <v>5B448AD7-2794-4051-AF23-EA23A4382F91</v>
      </c>
      <c r="E121" s="10" t="s">
        <v>713</v>
      </c>
      <c r="F121" s="25" t="str" cm="1">
        <f t="array" ref="F121">IF(NodesJSON[[#This Row],[Export?]]=0,"",IF(ROW(NodesJSON[[#This Row],[label]])&gt;ROW(NodesJSON[[#Headers],[JSON]])+1,",","") &amp;"{"&amp;twoRangesToJSON(NodesJSON[[#Headers],[label]:[url]],NodesJSON[[#This Row],[label]:[url]])&amp;"}")</f>
        <v>,{"label":"Cyber-sabotage","group":"","id":"5B448AD7-2794-4051-AF23-EA23A4382F91","url":"https://open-measure.atlassian.net/wiki/spaces/DIC/pages/782925889/DID"}</v>
      </c>
    </row>
    <row r="122" spans="1:6" ht="13.9" thickTop="1" thickBot="1" x14ac:dyDescent="0.4">
      <c r="A122" s="38">
        <f>IF(ISERR(NodesJSON[[#This Row],[label]]),0,1)</f>
        <v>1</v>
      </c>
      <c r="B122" s="3" t="str">
        <f>NodesData[[#This Row],[Common Name]]</f>
        <v>DAC</v>
      </c>
      <c r="C122" s="3" t="str">
        <f>IF(NodesData[[#This Row],[Context Instanciation]]="","",NodesData[[#This Row],[Context Instanciation]])</f>
        <v/>
      </c>
      <c r="D122" s="22" t="str">
        <f>NodesData[[#This Row],[Node ID]]</f>
        <v>7EE8572E-06B5-4649-9806-824BE1B5D604</v>
      </c>
      <c r="E122" s="10" t="s">
        <v>715</v>
      </c>
      <c r="F122" s="25" t="str" cm="1">
        <f t="array" ref="F122">IF(NodesJSON[[#This Row],[Export?]]=0,"",IF(ROW(NodesJSON[[#This Row],[label]])&gt;ROW(NodesJSON[[#Headers],[JSON]])+1,",","") &amp;"{"&amp;twoRangesToJSON(NodesJSON[[#Headers],[label]:[url]],NodesJSON[[#This Row],[label]:[url]])&amp;"}")</f>
        <v>,{"label":"DAC","group":"","id":"7EE8572E-06B5-4649-9806-824BE1B5D604","url":"https://open-measure.atlassian.net/wiki/spaces/DIC/pages/458326308"}</v>
      </c>
    </row>
    <row r="123" spans="1:6" ht="13.9" thickTop="1" thickBot="1" x14ac:dyDescent="0.4">
      <c r="A123" s="38">
        <f>IF(ISERR(NodesJSON[[#This Row],[label]]),0,1)</f>
        <v>1</v>
      </c>
      <c r="B123" s="3" t="str">
        <f>NodesData[[#This Row],[Common Name]]</f>
        <v>Data</v>
      </c>
      <c r="C123" s="3" t="str">
        <f>IF(NodesData[[#This Row],[Context Instanciation]]="","",NodesData[[#This Row],[Context Instanciation]])</f>
        <v/>
      </c>
      <c r="D123" s="22" t="str">
        <f>NodesData[[#This Row],[Node ID]]</f>
        <v>BC9316FB-BCA1-4D66-9CD7-3112BEF13D86</v>
      </c>
      <c r="E123" s="10" t="s">
        <v>716</v>
      </c>
      <c r="F123" s="25" t="str" cm="1">
        <f t="array" ref="F123">IF(NodesJSON[[#This Row],[Export?]]=0,"",IF(ROW(NodesJSON[[#This Row],[label]])&gt;ROW(NodesJSON[[#Headers],[JSON]])+1,",","") &amp;"{"&amp;twoRangesToJSON(NodesJSON[[#Headers],[label]:[url]],NodesJSON[[#This Row],[label]:[url]])&amp;"}")</f>
        <v>,{"label":"Data","group":"","id":"BC9316FB-BCA1-4D66-9CD7-3112BEF13D86","url":"https://open-measure.atlassian.net/wiki/spaces/DIC/pages/419561482/Digital+Identification+System"}</v>
      </c>
    </row>
    <row r="124" spans="1:6" ht="13.9" thickTop="1" thickBot="1" x14ac:dyDescent="0.4">
      <c r="A124" s="38">
        <f>IF(ISERR(NodesJSON[[#This Row],[label]]),0,1)</f>
        <v>1</v>
      </c>
      <c r="B124" s="3" t="str">
        <f>NodesData[[#This Row],[Common Name]]</f>
        <v>Data Anonymization</v>
      </c>
      <c r="C124" s="3" t="str">
        <f>IF(NodesData[[#This Row],[Context Instanciation]]="","",NodesData[[#This Row],[Context Instanciation]])</f>
        <v/>
      </c>
      <c r="D124" s="22" t="str">
        <f>NodesData[[#This Row],[Node ID]]</f>
        <v>848B10A2-B83E-4B4E-A37E-6B40F0BADB6A</v>
      </c>
      <c r="E124" s="10" t="s">
        <v>717</v>
      </c>
      <c r="F124" s="25" t="str" cm="1">
        <f t="array" ref="F124">IF(NodesJSON[[#This Row],[Export?]]=0,"",IF(ROW(NodesJSON[[#This Row],[label]])&gt;ROW(NodesJSON[[#Headers],[JSON]])+1,",","") &amp;"{"&amp;twoRangesToJSON(NodesJSON[[#Headers],[label]:[url]],NodesJSON[[#This Row],[label]:[url]])&amp;"}")</f>
        <v>,{"label":"Data Anonymization","group":"","id":"848B10A2-B83E-4B4E-A37E-6B40F0BADB6A","url":"https://open-measure.atlassian.net/wiki/spaces/DIC/pages/419528705/Digital+Identity"}</v>
      </c>
    </row>
    <row r="125" spans="1:6" ht="13.9" thickTop="1" thickBot="1" x14ac:dyDescent="0.4">
      <c r="A125" s="38">
        <f>IF(ISERR(NodesJSON[[#This Row],[label]]),0,1)</f>
        <v>1</v>
      </c>
      <c r="B125" s="3" t="str">
        <f>NodesData[[#This Row],[Common Name]]</f>
        <v>Data Custodian</v>
      </c>
      <c r="C125" s="3" t="str">
        <f>IF(NodesData[[#This Row],[Context Instanciation]]="","",NodesData[[#This Row],[Context Instanciation]])</f>
        <v/>
      </c>
      <c r="D125" s="22" t="str">
        <f>NodesData[[#This Row],[Node ID]]</f>
        <v>79C77EFB-D2E1-4437-AAC5-FE3ACD4613D0</v>
      </c>
      <c r="E125" s="10" t="s">
        <v>663</v>
      </c>
      <c r="F125" s="25" t="str" cm="1">
        <f t="array" ref="F125">IF(NodesJSON[[#This Row],[Export?]]=0,"",IF(ROW(NodesJSON[[#This Row],[label]])&gt;ROW(NodesJSON[[#Headers],[JSON]])+1,",","") &amp;"{"&amp;twoRangesToJSON(NodesJSON[[#Headers],[label]:[url]],NodesJSON[[#This Row],[label]:[url]])&amp;"}")</f>
        <v>,{"label":"Data Custodian","group":"","id":"79C77EFB-D2E1-4437-AAC5-FE3ACD4613D0","url":"https://open-measure.atlassian.net/wiki/spaces/DIC/pages/877297665"}</v>
      </c>
    </row>
    <row r="126" spans="1:6" ht="13.9" thickTop="1" thickBot="1" x14ac:dyDescent="0.4">
      <c r="A126" s="38">
        <f>IF(ISERR(NodesJSON[[#This Row],[label]]),0,1)</f>
        <v>1</v>
      </c>
      <c r="B126" s="3" t="str">
        <f>NodesData[[#This Row],[Common Name]]</f>
        <v>Data Lineage</v>
      </c>
      <c r="C126" s="3" t="str">
        <f>IF(NodesData[[#This Row],[Context Instanciation]]="","",NodesData[[#This Row],[Context Instanciation]])</f>
        <v/>
      </c>
      <c r="D126" s="22" t="str">
        <f>NodesData[[#This Row],[Node ID]]</f>
        <v>10537240-044E-49DF-984C-67CB23D33A0D</v>
      </c>
      <c r="E126" s="10" t="s">
        <v>720</v>
      </c>
      <c r="F126" s="25" t="str" cm="1">
        <f t="array" ref="F126">IF(NodesJSON[[#This Row],[Export?]]=0,"",IF(ROW(NodesJSON[[#This Row],[label]])&gt;ROW(NodesJSON[[#Headers],[JSON]])+1,",","") &amp;"{"&amp;twoRangesToJSON(NodesJSON[[#Headers],[label]:[url]],NodesJSON[[#This Row],[label]:[url]])&amp;"}")</f>
        <v>,{"label":"Data Lineage","group":"","id":"10537240-044E-49DF-984C-67CB23D33A0D","url":"https://open-measure.atlassian.net/wiki/spaces/DIC/pages/796983391"}</v>
      </c>
    </row>
    <row r="127" spans="1:6" ht="13.9" thickTop="1" thickBot="1" x14ac:dyDescent="0.4">
      <c r="A127" s="38">
        <f>IF(ISERR(NodesJSON[[#This Row],[label]]),0,1)</f>
        <v>1</v>
      </c>
      <c r="B127" s="3" t="str">
        <f>NodesData[[#This Row],[Common Name]]</f>
        <v>Data Obfuscation</v>
      </c>
      <c r="C127" s="3" t="str">
        <f>IF(NodesData[[#This Row],[Context Instanciation]]="","",NodesData[[#This Row],[Context Instanciation]])</f>
        <v/>
      </c>
      <c r="D127" s="22" t="str">
        <f>NodesData[[#This Row],[Node ID]]</f>
        <v>90DF205E-DE37-4519-9847-FF954082EEBB</v>
      </c>
      <c r="E127" s="10" t="s">
        <v>722</v>
      </c>
      <c r="F127" s="25" t="str" cm="1">
        <f t="array" ref="F127">IF(NodesJSON[[#This Row],[Export?]]=0,"",IF(ROW(NodesJSON[[#This Row],[label]])&gt;ROW(NodesJSON[[#Headers],[JSON]])+1,",","") &amp;"{"&amp;twoRangesToJSON(NodesJSON[[#Headers],[label]:[url]],NodesJSON[[#This Row],[label]:[url]])&amp;"}")</f>
        <v>,{"label":"Data Obfuscation","group":"","id":"90DF205E-DE37-4519-9847-FF954082EEBB","url":"https://open-measure.atlassian.net/wiki/spaces/DIC/pages/1181876315"}</v>
      </c>
    </row>
    <row r="128" spans="1:6" ht="13.9" thickTop="1" thickBot="1" x14ac:dyDescent="0.4">
      <c r="A128" s="38">
        <f>IF(ISERR(NodesJSON[[#This Row],[label]]),0,1)</f>
        <v>1</v>
      </c>
      <c r="B128" s="3" t="str">
        <f>NodesData[[#This Row],[Common Name]]</f>
        <v>Data Operation</v>
      </c>
      <c r="C128" s="3" t="str">
        <f>IF(NodesData[[#This Row],[Context Instanciation]]="","",NodesData[[#This Row],[Context Instanciation]])</f>
        <v/>
      </c>
      <c r="D128" s="22" t="str">
        <f>NodesData[[#This Row],[Node ID]]</f>
        <v>E1132C17-7D2B-4F86-A9F2-BAAA52027A5B</v>
      </c>
      <c r="E128" s="10" t="s">
        <v>724</v>
      </c>
      <c r="F128" s="25" t="str" cm="1">
        <f t="array" ref="F128">IF(NodesJSON[[#This Row],[Export?]]=0,"",IF(ROW(NodesJSON[[#This Row],[label]])&gt;ROW(NodesJSON[[#Headers],[JSON]])+1,",","") &amp;"{"&amp;twoRangesToJSON(NodesJSON[[#Headers],[label]:[url]],NodesJSON[[#This Row],[label]:[url]])&amp;"}")</f>
        <v>,{"label":"Data Operation","group":"","id":"E1132C17-7D2B-4F86-A9F2-BAAA52027A5B","url":"https://open-measure.atlassian.net/wiki/spaces/DIC/pages/810287202"}</v>
      </c>
    </row>
    <row r="129" spans="1:6" ht="13.9" thickTop="1" thickBot="1" x14ac:dyDescent="0.4">
      <c r="A129" s="38">
        <f>IF(ISERR(NodesJSON[[#This Row],[label]]),0,1)</f>
        <v>1</v>
      </c>
      <c r="B129" s="3" t="str">
        <f>NodesData[[#This Row],[Common Name]]</f>
        <v>Data Owner</v>
      </c>
      <c r="C129" s="3" t="str">
        <f>IF(NodesData[[#This Row],[Context Instanciation]]="","",NodesData[[#This Row],[Context Instanciation]])</f>
        <v/>
      </c>
      <c r="D129" s="22" t="str">
        <f>NodesData[[#This Row],[Node ID]]</f>
        <v>9B83B78F-F3DF-4D5A-BCA8-2329A9A280F2</v>
      </c>
      <c r="E129" s="10" t="s">
        <v>726</v>
      </c>
      <c r="F129" s="25" t="str" cm="1">
        <f t="array" ref="F129">IF(NodesJSON[[#This Row],[Export?]]=0,"",IF(ROW(NodesJSON[[#This Row],[label]])&gt;ROW(NodesJSON[[#Headers],[JSON]])+1,",","") &amp;"{"&amp;twoRangesToJSON(NodesJSON[[#Headers],[label]:[url]],NodesJSON[[#This Row],[label]:[url]])&amp;"}")</f>
        <v>,{"label":"Data Owner","group":"","id":"9B83B78F-F3DF-4D5A-BCA8-2329A9A280F2","url":"https://open-measure.atlassian.net/wiki/spaces/DIC/pages/419594251"}</v>
      </c>
    </row>
    <row r="130" spans="1:6" ht="13.9" thickTop="1" thickBot="1" x14ac:dyDescent="0.4">
      <c r="A130" s="38">
        <f>IF(ISERR(NodesJSON[[#This Row],[label]]),0,1)</f>
        <v>1</v>
      </c>
      <c r="B130" s="3" t="str">
        <f>NodesData[[#This Row],[Common Name]]</f>
        <v>Data-Level Policy</v>
      </c>
      <c r="C130" s="3" t="str">
        <f>IF(NodesData[[#This Row],[Context Instanciation]]="","",NodesData[[#This Row],[Context Instanciation]])</f>
        <v/>
      </c>
      <c r="D130" s="22" t="str">
        <f>NodesData[[#This Row],[Node ID]]</f>
        <v>4B3210C8-39F7-4985-AC37-C8EF09EA3061</v>
      </c>
      <c r="E130" s="10" t="s">
        <v>718</v>
      </c>
      <c r="F130" s="25" t="str" cm="1">
        <f t="array" ref="F130">IF(NodesJSON[[#This Row],[Export?]]=0,"",IF(ROW(NodesJSON[[#This Row],[label]])&gt;ROW(NodesJSON[[#Headers],[JSON]])+1,",","") &amp;"{"&amp;twoRangesToJSON(NodesJSON[[#Headers],[label]:[url]],NodesJSON[[#This Row],[label]:[url]])&amp;"}")</f>
        <v>,{"label":"Data-Level Policy","group":"","id":"4B3210C8-39F7-4985-AC37-C8EF09EA3061","url":"https://open-measure.atlassian.net/wiki/spaces/DIC/pages/1270153304/Digital+Identity+Authenticity"}</v>
      </c>
    </row>
    <row r="131" spans="1:6" ht="13.9" thickTop="1" thickBot="1" x14ac:dyDescent="0.4">
      <c r="A131" s="38">
        <f>IF(ISERR(NodesJSON[[#This Row],[label]]),0,1)</f>
        <v>1</v>
      </c>
      <c r="B131" s="3" t="str">
        <f>NodesData[[#This Row],[Common Name]]</f>
        <v>Death Certificate</v>
      </c>
      <c r="C131" s="3" t="str">
        <f>IF(NodesData[[#This Row],[Context Instanciation]]="","",NodesData[[#This Row],[Context Instanciation]])</f>
        <v/>
      </c>
      <c r="D131" s="22" t="str">
        <f>NodesData[[#This Row],[Node ID]]</f>
        <v>80F6B463-F9ED-44FB-A88C-1CE92651755E</v>
      </c>
      <c r="E131" s="10" t="s">
        <v>732</v>
      </c>
      <c r="F131" s="25" t="str" cm="1">
        <f t="array" ref="F131">IF(NodesJSON[[#This Row],[Export?]]=0,"",IF(ROW(NodesJSON[[#This Row],[label]])&gt;ROW(NodesJSON[[#Headers],[JSON]])+1,",","") &amp;"{"&amp;twoRangesToJSON(NodesJSON[[#Headers],[label]:[url]],NodesJSON[[#This Row],[label]:[url]])&amp;"}")</f>
        <v>,{"label":"Death Certificate","group":"","id":"80F6B463-F9ED-44FB-A88C-1CE92651755E","url":"https://open-measure.atlassian.net/wiki/spaces/DIC/pages/82903896"}</v>
      </c>
    </row>
    <row r="132" spans="1:6" ht="13.9" thickTop="1" thickBot="1" x14ac:dyDescent="0.4">
      <c r="A132" s="38">
        <f>IF(ISERR(NodesJSON[[#This Row],[label]]),0,1)</f>
        <v>1</v>
      </c>
      <c r="B132" s="3" t="str">
        <f>NodesData[[#This Row],[Common Name]]</f>
        <v>Decentralized Identifier</v>
      </c>
      <c r="C132" s="3" t="str">
        <f>IF(NodesData[[#This Row],[Context Instanciation]]="","",NodesData[[#This Row],[Context Instanciation]])</f>
        <v/>
      </c>
      <c r="D132" s="22" t="str">
        <f>NodesData[[#This Row],[Node ID]]</f>
        <v>8BEC95C0-8E9D-4DC5-8EF8-6551A505294C</v>
      </c>
      <c r="E132" s="10" t="s">
        <v>730</v>
      </c>
      <c r="F132" s="25" t="str" cm="1">
        <f t="array" ref="F132">IF(NodesJSON[[#This Row],[Export?]]=0,"",IF(ROW(NodesJSON[[#This Row],[label]])&gt;ROW(NodesJSON[[#Headers],[JSON]])+1,",","") &amp;"{"&amp;twoRangesToJSON(NodesJSON[[#Headers],[label]:[url]],NodesJSON[[#This Row],[label]:[url]])&amp;"}")</f>
        <v>,{"label":"Decentralized Identifier","group":"","id":"8BEC95C0-8E9D-4DC5-8EF8-6551A505294C","url":"https://open-measure.atlassian.net/wiki/spaces/DIC/pages/206766113"}</v>
      </c>
    </row>
    <row r="133" spans="1:6" ht="13.9" thickTop="1" thickBot="1" x14ac:dyDescent="0.4">
      <c r="A133" s="38">
        <f>IF(ISERR(NodesJSON[[#This Row],[label]]),0,1)</f>
        <v>1</v>
      </c>
      <c r="B133" s="3" t="str">
        <f>NodesData[[#This Row],[Common Name]]</f>
        <v>De-duplication</v>
      </c>
      <c r="C133" s="3" t="str">
        <f>IF(NodesData[[#This Row],[Context Instanciation]]="","",NodesData[[#This Row],[Context Instanciation]])</f>
        <v/>
      </c>
      <c r="D133" s="22" t="str">
        <f>NodesData[[#This Row],[Node ID]]</f>
        <v>8D7EB565-4332-4814-B30E-6ED4B2DC527E</v>
      </c>
      <c r="E133" s="10" t="s">
        <v>734</v>
      </c>
      <c r="F133" s="25" t="str" cm="1">
        <f t="array" ref="F133">IF(NodesJSON[[#This Row],[Export?]]=0,"",IF(ROW(NodesJSON[[#This Row],[label]])&gt;ROW(NodesJSON[[#Headers],[JSON]])+1,",","") &amp;"{"&amp;twoRangesToJSON(NodesJSON[[#Headers],[label]:[url]],NodesJSON[[#This Row],[label]:[url]])&amp;"}")</f>
        <v>,{"label":"De-duplication","group":"","id":"8D7EB565-4332-4814-B30E-6ED4B2DC527E","url":"https://open-measure.atlassian.net/wiki/spaces/DIC/pages/61964467"}</v>
      </c>
    </row>
    <row r="134" spans="1:6" ht="13.9" thickTop="1" thickBot="1" x14ac:dyDescent="0.4">
      <c r="A134" s="38">
        <f>IF(ISERR(NodesJSON[[#This Row],[label]]),0,1)</f>
        <v>1</v>
      </c>
      <c r="B134" s="3" t="str">
        <f>NodesData[[#This Row],[Common Name]]</f>
        <v>Deprovisioning</v>
      </c>
      <c r="C134" s="3" t="str">
        <f>IF(NodesData[[#This Row],[Context Instanciation]]="","",NodesData[[#This Row],[Context Instanciation]])</f>
        <v/>
      </c>
      <c r="D134" s="22" t="str">
        <f>NodesData[[#This Row],[Node ID]]</f>
        <v>9E2C6B4A-CFB9-46E8-876E-DFB73424448C</v>
      </c>
      <c r="E134" s="4"/>
      <c r="F134" s="25" t="str" cm="1">
        <f t="array" ref="F134">IF(NodesJSON[[#This Row],[Export?]]=0,"",IF(ROW(NodesJSON[[#This Row],[label]])&gt;ROW(NodesJSON[[#Headers],[JSON]])+1,",","") &amp;"{"&amp;twoRangesToJSON(NodesJSON[[#Headers],[label]:[url]],NodesJSON[[#This Row],[label]:[url]])&amp;"}")</f>
        <v>,{"label":"Deprovisioning","group":"","id":"9E2C6B4A-CFB9-46E8-876E-DFB73424448C","url":""}</v>
      </c>
    </row>
    <row r="135" spans="1:6" ht="13.9" thickTop="1" thickBot="1" x14ac:dyDescent="0.4">
      <c r="A135" s="38">
        <f>IF(ISERR(NodesJSON[[#This Row],[label]]),0,1)</f>
        <v>1</v>
      </c>
      <c r="B135" s="3" t="str">
        <f>NodesData[[#This Row],[Common Name]]</f>
        <v>DID</v>
      </c>
      <c r="C135" s="3" t="str">
        <f>IF(NodesData[[#This Row],[Context Instanciation]]="","",NodesData[[#This Row],[Context Instanciation]])</f>
        <v/>
      </c>
      <c r="D135" s="22" t="str">
        <f>NodesData[[#This Row],[Node ID]]</f>
        <v>BA9DA232-9DC6-4ACE-9735-B054E611BA2A</v>
      </c>
      <c r="E135" s="10" t="s">
        <v>736</v>
      </c>
      <c r="F135" s="25" t="str" cm="1">
        <f t="array" ref="F135">IF(NodesJSON[[#This Row],[Export?]]=0,"",IF(ROW(NodesJSON[[#This Row],[label]])&gt;ROW(NodesJSON[[#Headers],[JSON]])+1,",","") &amp;"{"&amp;twoRangesToJSON(NodesJSON[[#Headers],[label]:[url]],NodesJSON[[#This Row],[label]:[url]])&amp;"}")</f>
        <v>,{"label":"DID","group":"","id":"BA9DA232-9DC6-4ACE-9735-B054E611BA2A","url":"https://open-measure.atlassian.net/wiki/spaces/DIC/pages/1031209232"}</v>
      </c>
    </row>
    <row r="136" spans="1:6" ht="13.9" thickTop="1" thickBot="1" x14ac:dyDescent="0.4">
      <c r="A136" s="38">
        <f>IF(ISERR(NodesJSON[[#This Row],[label]]),0,1)</f>
        <v>1</v>
      </c>
      <c r="B136" s="3" t="str">
        <f>NodesData[[#This Row],[Common Name]]</f>
        <v>Digital Continuity</v>
      </c>
      <c r="C136" s="3" t="str">
        <f>IF(NodesData[[#This Row],[Context Instanciation]]="","",NodesData[[#This Row],[Context Instanciation]])</f>
        <v/>
      </c>
      <c r="D136" s="22" t="str">
        <f>NodesData[[#This Row],[Node ID]]</f>
        <v>3DC5ABFD-85BA-4B82-B09D-45770980DE95</v>
      </c>
      <c r="E136" s="10" t="s">
        <v>738</v>
      </c>
      <c r="F136" s="25" t="str" cm="1">
        <f t="array" ref="F136">IF(NodesJSON[[#This Row],[Export?]]=0,"",IF(ROW(NodesJSON[[#This Row],[label]])&gt;ROW(NodesJSON[[#Headers],[JSON]])+1,",","") &amp;"{"&amp;twoRangesToJSON(NodesJSON[[#Headers],[label]:[url]],NodesJSON[[#This Row],[label]:[url]])&amp;"}")</f>
        <v>,{"label":"Digital Continuity","group":"","id":"3DC5ABFD-85BA-4B82-B09D-45770980DE95","url":"https://open-measure.atlassian.net/wiki/spaces/DIC/pages/206766092"}</v>
      </c>
    </row>
    <row r="137" spans="1:6" ht="13.9" thickTop="1" thickBot="1" x14ac:dyDescent="0.4">
      <c r="A137" s="38">
        <f>IF(ISERR(NodesJSON[[#This Row],[label]]),0,1)</f>
        <v>1</v>
      </c>
      <c r="B137" s="3" t="str">
        <f>NodesData[[#This Row],[Common Name]]</f>
        <v>Digital Identification System</v>
      </c>
      <c r="C137" s="3" t="str">
        <f>IF(NodesData[[#This Row],[Context Instanciation]]="","",NodesData[[#This Row],[Context Instanciation]])</f>
        <v/>
      </c>
      <c r="D137" s="22" t="str">
        <f>NodesData[[#This Row],[Node ID]]</f>
        <v>A237587B-270A-46F9-8435-C66292433607</v>
      </c>
      <c r="E137" s="10" t="s">
        <v>740</v>
      </c>
      <c r="F137" s="25" t="str" cm="1">
        <f t="array" ref="F137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Identification System","group":"","id":"A237587B-270A-46F9-8435-C66292433607","url":"https://open-measure.atlassian.net/wiki/spaces/DIC/pages/62455952"}</v>
      </c>
    </row>
    <row r="138" spans="1:6" ht="13.9" thickTop="1" thickBot="1" x14ac:dyDescent="0.4">
      <c r="A138" s="38">
        <f>IF(ISERR(NodesJSON[[#This Row],[label]]),0,1)</f>
        <v>1</v>
      </c>
      <c r="B138" s="3" t="str">
        <f>NodesData[[#This Row],[Common Name]]</f>
        <v>Digital Identity</v>
      </c>
      <c r="C138" s="3" t="str">
        <f>IF(NodesData[[#This Row],[Context Instanciation]]="","",NodesData[[#This Row],[Context Instanciation]])</f>
        <v>Account Takeover</v>
      </c>
      <c r="D138" s="22" t="str">
        <f>NodesData[[#This Row],[Node ID]]</f>
        <v>2BE2F561-5FF3-4301-82B7-39FF29CD650A</v>
      </c>
      <c r="E138" s="10" t="s">
        <v>742</v>
      </c>
      <c r="F138" s="25" t="str" cm="1">
        <f t="array" ref="F138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Identity","group":"Account Takeover","id":"2BE2F561-5FF3-4301-82B7-39FF29CD650A","url":"https://open-measure.atlassian.net/wiki/spaces/DIC/pages/76021801"}</v>
      </c>
    </row>
    <row r="139" spans="1:6" ht="13.9" thickTop="1" thickBot="1" x14ac:dyDescent="0.4">
      <c r="A139" s="38">
        <f>IF(ISERR(NodesJSON[[#This Row],[label]]),0,1)</f>
        <v>1</v>
      </c>
      <c r="B139" s="3" t="str">
        <f>NodesData[[#This Row],[Common Name]]</f>
        <v>Digital Identity</v>
      </c>
      <c r="C139" s="3" t="str">
        <f>IF(NodesData[[#This Row],[Context Instanciation]]="","",NodesData[[#This Row],[Context Instanciation]])</f>
        <v/>
      </c>
      <c r="D139" s="22" t="str">
        <f>NodesData[[#This Row],[Node ID]]</f>
        <v>E1435B14-CC90-490D-B94E-09B54D033ED7</v>
      </c>
      <c r="E139" s="10" t="s">
        <v>744</v>
      </c>
      <c r="F139" s="25" t="str" cm="1">
        <f t="array" ref="F139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Identity","group":"","id":"E1435B14-CC90-490D-B94E-09B54D033ED7","url":"https://open-measure.atlassian.net/wiki/spaces/DIC/pages/1121878049"}</v>
      </c>
    </row>
    <row r="140" spans="1:6" ht="13.9" thickTop="1" thickBot="1" x14ac:dyDescent="0.4">
      <c r="A140" s="38">
        <f>IF(ISERR(NodesJSON[[#This Row],[label]]),0,1)</f>
        <v>1</v>
      </c>
      <c r="B140" s="3" t="str">
        <f>NodesData[[#This Row],[Common Name]]</f>
        <v>Digital Identity Authenticity</v>
      </c>
      <c r="C140" s="3" t="str">
        <f>IF(NodesData[[#This Row],[Context Instanciation]]="","",NodesData[[#This Row],[Context Instanciation]])</f>
        <v/>
      </c>
      <c r="D140" s="22" t="str">
        <f>NodesData[[#This Row],[Node ID]]</f>
        <v>FA054117-A262-4F6D-93D6-2DE0BF7AA009</v>
      </c>
      <c r="E140" s="10" t="s">
        <v>752</v>
      </c>
      <c r="F140" s="25" t="str" cm="1">
        <f t="array" ref="F140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 Authenticity","group":"","id":"FA054117-A262-4F6D-93D6-2DE0BF7AA009","url":"https://open-measure.atlassian.net/wiki/spaces/DIC/pages/1122566173"}</v>
      </c>
    </row>
    <row r="141" spans="1:6" ht="13.9" thickTop="1" thickBot="1" x14ac:dyDescent="0.4">
      <c r="A141" s="38">
        <f>IF(ISERR(NodesJSON[[#This Row],[label]]),0,1)</f>
        <v>1</v>
      </c>
      <c r="B141" s="3" t="str">
        <f>NodesData[[#This Row],[Common Name]]</f>
        <v>Digital Triangulation</v>
      </c>
      <c r="C141" s="3" t="str">
        <f>IF(NodesData[[#This Row],[Context Instanciation]]="","",NodesData[[#This Row],[Context Instanciation]])</f>
        <v/>
      </c>
      <c r="D141" s="22" t="str">
        <f>NodesData[[#This Row],[Node ID]]</f>
        <v>645E681F-6A1D-4BD3-9423-0A9461A10004</v>
      </c>
      <c r="E141" s="10" t="s">
        <v>746</v>
      </c>
      <c r="F141" s="25" t="str" cm="1">
        <f t="array" ref="F141">IF(NodesJSON[[#This Row],[Export?]]=0,"",IF(ROW(NodesJSON[[#This Row],[label]])&gt;ROW(NodesJSON[[#Headers],[JSON]])+1,",","") &amp;"{"&amp;twoRangesToJSON(NodesJSON[[#Headers],[label]:[url]],NodesJSON[[#This Row],[label]:[url]])&amp;"}")</f>
        <v>,{"label":"Digital Triangulation","group":"","id":"645E681F-6A1D-4BD3-9423-0A9461A10004","url":"https://open-measure.atlassian.net/wiki/spaces/DIC/pages/1122566465"}</v>
      </c>
    </row>
    <row r="142" spans="1:6" ht="13.9" thickTop="1" thickBot="1" x14ac:dyDescent="0.4">
      <c r="A142" s="38">
        <f>IF(ISERR(NodesJSON[[#This Row],[label]]),0,1)</f>
        <v>1</v>
      </c>
      <c r="B142" s="3" t="str">
        <f>NodesData[[#This Row],[Common Name]]</f>
        <v>Discretionary Access Control</v>
      </c>
      <c r="C142" s="3" t="str">
        <f>IF(NodesData[[#This Row],[Context Instanciation]]="","",NodesData[[#This Row],[Context Instanciation]])</f>
        <v/>
      </c>
      <c r="D142" s="22" t="str">
        <f>NodesData[[#This Row],[Node ID]]</f>
        <v>4D9631E2-5D37-4E84-B756-23F708539197</v>
      </c>
      <c r="E142" s="10" t="s">
        <v>748</v>
      </c>
      <c r="F142" s="25" t="str" cm="1">
        <f t="array" ref="F142">IF(NodesJSON[[#This Row],[Export?]]=0,"",IF(ROW(NodesJSON[[#This Row],[label]])&gt;ROW(NodesJSON[[#Headers],[JSON]])+1,",","") &amp;"{"&amp;twoRangesToJSON(NodesJSON[[#Headers],[label]:[url]],NodesJSON[[#This Row],[label]:[url]])&amp;"}")</f>
        <v>,{"label":"Discretionary Access Control","group":"","id":"4D9631E2-5D37-4E84-B756-23F708539197","url":"https://open-measure.atlassian.net/wiki/spaces/DIC/pages/1121910973"}</v>
      </c>
    </row>
    <row r="143" spans="1:6" ht="13.9" thickTop="1" thickBot="1" x14ac:dyDescent="0.4">
      <c r="A143" s="38">
        <f>IF(ISERR(NodesJSON[[#This Row],[label]]),0,1)</f>
        <v>1</v>
      </c>
      <c r="B143" s="3" t="str">
        <f>NodesData[[#This Row],[Common Name]]</f>
        <v>Distributed Identity</v>
      </c>
      <c r="C143" s="3" t="str">
        <f>IF(NodesData[[#This Row],[Context Instanciation]]="","",NodesData[[#This Row],[Context Instanciation]])</f>
        <v/>
      </c>
      <c r="D143" s="22" t="str">
        <f>NodesData[[#This Row],[Node ID]]</f>
        <v>C97DE42F-B869-4048-81B0-C866B88B527A</v>
      </c>
      <c r="E143" s="10" t="s">
        <v>750</v>
      </c>
      <c r="F143" s="25" t="str" cm="1">
        <f t="array" ref="F143">IF(NodesJSON[[#This Row],[Export?]]=0,"",IF(ROW(NodesJSON[[#This Row],[label]])&gt;ROW(NodesJSON[[#Headers],[JSON]])+1,",","") &amp;"{"&amp;twoRangesToJSON(NodesJSON[[#Headers],[label]:[url]],NodesJSON[[#This Row],[label]:[url]])&amp;"}")</f>
        <v>,{"label":"Distributed Identity","group":"","id":"C97DE42F-B869-4048-81B0-C866B88B527A","url":"https://open-measure.atlassian.net/wiki/spaces/DIC/pages/1122631800"}</v>
      </c>
    </row>
    <row r="144" spans="1:6" ht="13.9" thickTop="1" thickBot="1" x14ac:dyDescent="0.4">
      <c r="A144" s="38">
        <f>IF(ISERR(NodesJSON[[#This Row],[label]]),0,1)</f>
        <v>1</v>
      </c>
      <c r="B144" s="3" t="str">
        <f>NodesData[[#This Row],[Common Name]]</f>
        <v>Distributed Ledger Technology</v>
      </c>
      <c r="C144" s="3" t="str">
        <f>IF(NodesData[[#This Row],[Context Instanciation]]="","",NodesData[[#This Row],[Context Instanciation]])</f>
        <v/>
      </c>
      <c r="D144" s="22" t="str">
        <f>NodesData[[#This Row],[Node ID]]</f>
        <v>582B8EAF-A56F-4766-9F77-5F58C0B8D0EE</v>
      </c>
      <c r="E144" s="10" t="s">
        <v>754</v>
      </c>
      <c r="F144" s="25" t="str" cm="1">
        <f t="array" ref="F144">IF(NodesJSON[[#This Row],[Export?]]=0,"",IF(ROW(NodesJSON[[#This Row],[label]])&gt;ROW(NodesJSON[[#Headers],[JSON]])+1,",","") &amp;"{"&amp;twoRangesToJSON(NodesJSON[[#Headers],[label]:[url]],NodesJSON[[#This Row],[label]:[url]])&amp;"}")</f>
        <v>,{"label":"Distributed Ledger Technology","group":"","id":"582B8EAF-A56F-4766-9F77-5F58C0B8D0EE","url":"https://open-measure.atlassian.net/wiki/spaces/DIC/pages/123830932"}</v>
      </c>
    </row>
    <row r="145" spans="1:6" ht="13.9" thickTop="1" thickBot="1" x14ac:dyDescent="0.4">
      <c r="A145" s="38">
        <f>IF(ISERR(NodesJSON[[#This Row],[label]]),0,1)</f>
        <v>1</v>
      </c>
      <c r="B145" s="3" t="str">
        <f>NodesData[[#This Row],[Common Name]]</f>
        <v>Dual Authorization</v>
      </c>
      <c r="C145" s="3" t="str">
        <f>IF(NodesData[[#This Row],[Context Instanciation]]="","",NodesData[[#This Row],[Context Instanciation]])</f>
        <v/>
      </c>
      <c r="D145" s="22" t="str">
        <f>NodesData[[#This Row],[Node ID]]</f>
        <v>13B1AA7C-B79A-425E-B700-05712F16DD6A</v>
      </c>
      <c r="E145" s="10" t="s">
        <v>756</v>
      </c>
      <c r="F145" s="25" t="str" cm="1">
        <f t="array" ref="F145">IF(NodesJSON[[#This Row],[Export?]]=0,"",IF(ROW(NodesJSON[[#This Row],[label]])&gt;ROW(NodesJSON[[#Headers],[JSON]])+1,",","") &amp;"{"&amp;twoRangesToJSON(NodesJSON[[#Headers],[label]:[url]],NodesJSON[[#This Row],[label]:[url]])&amp;"}")</f>
        <v>,{"label":"Dual Authorization","group":"","id":"13B1AA7C-B79A-425E-B700-05712F16DD6A","url":"https://open-measure.atlassian.net/wiki/spaces/DIC/pages/75956266"}</v>
      </c>
    </row>
    <row r="146" spans="1:6" ht="13.9" thickTop="1" thickBot="1" x14ac:dyDescent="0.4">
      <c r="A146" s="38">
        <f>IF(ISERR(NodesJSON[[#This Row],[label]]),0,1)</f>
        <v>1</v>
      </c>
      <c r="B146" s="3" t="str">
        <f>NodesData[[#This Row],[Common Name]]</f>
        <v>ECS</v>
      </c>
      <c r="C146" s="3" t="str">
        <f>IF(NodesData[[#This Row],[Context Instanciation]]="","",NodesData[[#This Row],[Context Instanciation]])</f>
        <v/>
      </c>
      <c r="D146" s="22" t="str">
        <f>NodesData[[#This Row],[Node ID]]</f>
        <v>C550F7EE-7B41-4DE1-B13F-507E85CA9D43</v>
      </c>
      <c r="E146" s="10" t="s">
        <v>758</v>
      </c>
      <c r="F146" s="25" t="str" cm="1">
        <f t="array" ref="F146">IF(NodesJSON[[#This Row],[Export?]]=0,"",IF(ROW(NodesJSON[[#This Row],[label]])&gt;ROW(NodesJSON[[#Headers],[JSON]])+1,",","") &amp;"{"&amp;twoRangesToJSON(NodesJSON[[#Headers],[label]:[url]],NodesJSON[[#This Row],[label]:[url]])&amp;"}")</f>
        <v>,{"label":"ECS","group":"","id":"C550F7EE-7B41-4DE1-B13F-507E85CA9D43","url":"https://open-measure.atlassian.net/wiki/spaces/DIC/pages/1104904275"}</v>
      </c>
    </row>
    <row r="147" spans="1:6" ht="13.9" thickTop="1" thickBot="1" x14ac:dyDescent="0.4">
      <c r="A147" s="38">
        <f>IF(ISERR(NodesJSON[[#This Row],[label]]),0,1)</f>
        <v>1</v>
      </c>
      <c r="B147" s="3" t="str">
        <f>NodesData[[#This Row],[Common Name]]</f>
        <v>e-Identity</v>
      </c>
      <c r="C147" s="3" t="str">
        <f>IF(NodesData[[#This Row],[Context Instanciation]]="","",NodesData[[#This Row],[Context Instanciation]])</f>
        <v/>
      </c>
      <c r="D147" s="22" t="str">
        <f>NodesData[[#This Row],[Node ID]]</f>
        <v>8B85D281-00AE-41BB-87F1-57ABD43B93E5</v>
      </c>
      <c r="E147" s="10" t="s">
        <v>760</v>
      </c>
      <c r="F147" s="25" t="str" cm="1">
        <f t="array" ref="F147">IF(NodesJSON[[#This Row],[Export?]]=0,"",IF(ROW(NodesJSON[[#This Row],[label]])&gt;ROW(NodesJSON[[#Headers],[JSON]])+1,",","") &amp;"{"&amp;twoRangesToJSON(NodesJSON[[#Headers],[label]:[url]],NodesJSON[[#This Row],[label]:[url]])&amp;"}")</f>
        <v>,{"label":"e-Identity","group":"","id":"8B85D281-00AE-41BB-87F1-57ABD43B93E5","url":"https://open-measure.atlassian.net/wiki/spaces/DIC/pages/446824885"}</v>
      </c>
    </row>
    <row r="148" spans="1:6" ht="13.9" thickTop="1" thickBot="1" x14ac:dyDescent="0.4">
      <c r="A148" s="38">
        <f>IF(ISERR(NodesJSON[[#This Row],[label]]),0,1)</f>
        <v>1</v>
      </c>
      <c r="B148" s="3" t="str">
        <f>NodesData[[#This Row],[Common Name]]</f>
        <v>EIdM</v>
      </c>
      <c r="C148" s="3" t="str">
        <f>IF(NodesData[[#This Row],[Context Instanciation]]="","",NodesData[[#This Row],[Context Instanciation]])</f>
        <v/>
      </c>
      <c r="D148" s="22" t="str">
        <f>NodesData[[#This Row],[Node ID]]</f>
        <v>8B556C0C-5217-424F-BC90-23413E7B6587</v>
      </c>
      <c r="E148" s="10" t="s">
        <v>762</v>
      </c>
      <c r="F148" s="25" t="str" cm="1">
        <f t="array" ref="F148">IF(NodesJSON[[#This Row],[Export?]]=0,"",IF(ROW(NodesJSON[[#This Row],[label]])&gt;ROW(NodesJSON[[#Headers],[JSON]])+1,",","") &amp;"{"&amp;twoRangesToJSON(NodesJSON[[#Headers],[label]:[url]],NodesJSON[[#This Row],[label]:[url]])&amp;"}")</f>
        <v>,{"label":"EIdM","group":"","id":"8B556C0C-5217-424F-BC90-23413E7B6587","url":"https://open-measure.atlassian.net/wiki/spaces/DIC/pages/461275380"}</v>
      </c>
    </row>
    <row r="149" spans="1:6" ht="13.9" thickTop="1" thickBot="1" x14ac:dyDescent="0.4">
      <c r="A149" s="38">
        <f>IF(ISERR(NodesJSON[[#This Row],[label]]),0,1)</f>
        <v>1</v>
      </c>
      <c r="B149" s="3" t="str">
        <f>NodesData[[#This Row],[Common Name]]</f>
        <v>Email OTP</v>
      </c>
      <c r="C149" s="3" t="str">
        <f>IF(NodesData[[#This Row],[Context Instanciation]]="","",NodesData[[#This Row],[Context Instanciation]])</f>
        <v/>
      </c>
      <c r="D149" s="22" t="str">
        <f>NodesData[[#This Row],[Node ID]]</f>
        <v>EEDDA991-575E-4867-BB6C-1D20D6C45BEB</v>
      </c>
      <c r="E149" s="10" t="s">
        <v>764</v>
      </c>
      <c r="F149" s="25" t="str" cm="1">
        <f t="array" ref="F149">IF(NodesJSON[[#This Row],[Export?]]=0,"",IF(ROW(NodesJSON[[#This Row],[label]])&gt;ROW(NodesJSON[[#Headers],[JSON]])+1,",","") &amp;"{"&amp;twoRangesToJSON(NodesJSON[[#Headers],[label]:[url]],NodesJSON[[#This Row],[label]:[url]])&amp;"}")</f>
        <v>,{"label":"Email OTP","group":"","id":"EEDDA991-575E-4867-BB6C-1D20D6C45BEB","url":"https://open-measure.atlassian.net/wiki/spaces/DIC/pages/82870848"}</v>
      </c>
    </row>
    <row r="150" spans="1:6" ht="13.9" thickTop="1" thickBot="1" x14ac:dyDescent="0.4">
      <c r="A150" s="38">
        <f>IF(ISERR(NodesJSON[[#This Row],[label]]),0,1)</f>
        <v>1</v>
      </c>
      <c r="B150" s="3" t="str">
        <f>NodesData[[#This Row],[Common Name]]</f>
        <v>Employee</v>
      </c>
      <c r="C150" s="3" t="str">
        <f>IF(NodesData[[#This Row],[Context Instanciation]]="","",NodesData[[#This Row],[Context Instanciation]])</f>
        <v/>
      </c>
      <c r="D150" s="22" t="str">
        <f>NodesData[[#This Row],[Node ID]]</f>
        <v>457ACBEA-70CB-43A0-AC18-D56FE9FA60A5</v>
      </c>
      <c r="E150" s="10" t="s">
        <v>766</v>
      </c>
      <c r="F150" s="25" t="str" cm="1">
        <f t="array" ref="F150">IF(NodesJSON[[#This Row],[Export?]]=0,"",IF(ROW(NodesJSON[[#This Row],[label]])&gt;ROW(NodesJSON[[#Headers],[JSON]])+1,",","") &amp;"{"&amp;twoRangesToJSON(NodesJSON[[#Headers],[label]:[url]],NodesJSON[[#This Row],[label]:[url]])&amp;"}")</f>
        <v>,{"label":"Employee","group":"","id":"457ACBEA-70CB-43A0-AC18-D56FE9FA60A5","url":"https://open-measure.atlassian.net/wiki/spaces/DIC/pages/1121878505"}</v>
      </c>
    </row>
    <row r="151" spans="1:6" ht="13.9" thickTop="1" thickBot="1" x14ac:dyDescent="0.4">
      <c r="A151" s="38">
        <f>IF(ISERR(NodesJSON[[#This Row],[label]]),0,1)</f>
        <v>1</v>
      </c>
      <c r="B151" s="3" t="str">
        <f>NodesData[[#This Row],[Common Name]]</f>
        <v>Enterprise Cloud Subscriber</v>
      </c>
      <c r="C151" s="3" t="str">
        <f>IF(NodesData[[#This Row],[Context Instanciation]]="","",NodesData[[#This Row],[Context Instanciation]])</f>
        <v/>
      </c>
      <c r="D151" s="22" t="str">
        <f>NodesData[[#This Row],[Node ID]]</f>
        <v>46108898-4BC3-458E-8D58-039A1C42C7CB</v>
      </c>
      <c r="E151" s="10" t="s">
        <v>728</v>
      </c>
      <c r="F151" s="25" t="str" cm="1">
        <f t="array" ref="F151">IF(NodesJSON[[#This Row],[Export?]]=0,"",IF(ROW(NodesJSON[[#This Row],[label]])&gt;ROW(NodesJSON[[#Headers],[JSON]])+1,",","") &amp;"{"&amp;twoRangesToJSON(NodesJSON[[#Headers],[label]:[url]],NodesJSON[[#This Row],[label]:[url]])&amp;"}")</f>
        <v>,{"label":"Enterprise Cloud Subscriber","group":"","id":"46108898-4BC3-458E-8D58-039A1C42C7CB","url":"https://open-measure.atlassian.net/wiki/spaces/DIC/pages/806584322"}</v>
      </c>
    </row>
    <row r="152" spans="1:6" ht="13.9" thickTop="1" thickBot="1" x14ac:dyDescent="0.4">
      <c r="A152" s="38">
        <f>IF(ISERR(NodesJSON[[#This Row],[label]]),0,1)</f>
        <v>1</v>
      </c>
      <c r="B152" s="3" t="str">
        <f>NodesData[[#This Row],[Common Name]]</f>
        <v>Enterprise Identity Management</v>
      </c>
      <c r="C152" s="3" t="str">
        <f>IF(NodesData[[#This Row],[Context Instanciation]]="","",NodesData[[#This Row],[Context Instanciation]])</f>
        <v/>
      </c>
      <c r="D152" s="22" t="str">
        <f>NodesData[[#This Row],[Node ID]]</f>
        <v>28947511-B080-4A93-A7B0-33218B1A2C92</v>
      </c>
      <c r="E152" s="10" t="s">
        <v>767</v>
      </c>
      <c r="F152" s="25" t="str" cm="1">
        <f t="array" ref="F152">IF(NodesJSON[[#This Row],[Export?]]=0,"",IF(ROW(NodesJSON[[#This Row],[label]])&gt;ROW(NodesJSON[[#Headers],[JSON]])+1,",","") &amp;"{"&amp;twoRangesToJSON(NodesJSON[[#Headers],[label]:[url]],NodesJSON[[#This Row],[label]:[url]])&amp;"}")</f>
        <v>,{"label":"Enterprise Identity Management","group":"","id":"28947511-B080-4A93-A7B0-33218B1A2C92","url":"https://open-measure.atlassian.net/wiki/spaces/DIC/pages/1267433567/Fake+Digital+Identity"}</v>
      </c>
    </row>
    <row r="153" spans="1:6" ht="13.9" thickTop="1" thickBot="1" x14ac:dyDescent="0.4">
      <c r="A153" s="38">
        <f>IF(ISERR(NodesJSON[[#This Row],[label]]),0,1)</f>
        <v>1</v>
      </c>
      <c r="B153" s="3" t="str">
        <f>NodesData[[#This Row],[Common Name]]</f>
        <v>Enterprise Single Sign-On</v>
      </c>
      <c r="C153" s="3" t="str">
        <f>IF(NodesData[[#This Row],[Context Instanciation]]="","",NodesData[[#This Row],[Context Instanciation]])</f>
        <v/>
      </c>
      <c r="D153" s="22" t="str">
        <f>NodesData[[#This Row],[Node ID]]</f>
        <v>3EAA791E-3B70-449F-B568-9F5324F2D2D6</v>
      </c>
      <c r="E153" s="10" t="s">
        <v>768</v>
      </c>
      <c r="F153" s="25" t="str" cm="1">
        <f t="array" ref="F153">IF(NodesJSON[[#This Row],[Export?]]=0,"",IF(ROW(NodesJSON[[#This Row],[label]])&gt;ROW(NodesJSON[[#Headers],[JSON]])+1,",","") &amp;"{"&amp;twoRangesToJSON(NodesJSON[[#Headers],[label]:[url]],NodesJSON[[#This Row],[label]:[url]])&amp;"}")</f>
        <v>,{"label":"Enterprise Single Sign-On","group":"","id":"3EAA791E-3B70-449F-B568-9F5324F2D2D6","url":"https://open-measure.atlassian.net/wiki/spaces/DIC/pages/1290141697/FAPI"}</v>
      </c>
    </row>
    <row r="154" spans="1:6" ht="13.9" thickTop="1" thickBot="1" x14ac:dyDescent="0.4">
      <c r="A154" s="38">
        <f>IF(ISERR(NodesJSON[[#This Row],[label]]),0,1)</f>
        <v>1</v>
      </c>
      <c r="B154" s="3" t="str">
        <f>NodesData[[#This Row],[Common Name]]</f>
        <v>Entitlement</v>
      </c>
      <c r="C154" s="3" t="str">
        <f>IF(NodesData[[#This Row],[Context Instanciation]]="","",NodesData[[#This Row],[Context Instanciation]])</f>
        <v/>
      </c>
      <c r="D154" s="22" t="str">
        <f>NodesData[[#This Row],[Node ID]]</f>
        <v>10741EE3-59A0-4E11-9900-13A8D78F55AF</v>
      </c>
      <c r="E154" s="10" t="s">
        <v>770</v>
      </c>
      <c r="F154" s="25" t="str" cm="1">
        <f t="array" ref="F154">IF(NodesJSON[[#This Row],[Export?]]=0,"",IF(ROW(NodesJSON[[#This Row],[label]])&gt;ROW(NodesJSON[[#Headers],[JSON]])+1,",","") &amp;"{"&amp;twoRangesToJSON(NodesJSON[[#Headers],[label]:[url]],NodesJSON[[#This Row],[label]:[url]])&amp;"}")</f>
        <v>,{"label":"Entitlement","group":"","id":"10741EE3-59A0-4E11-9900-13A8D78F55AF","url":"https://open-measure.atlassian.net/wiki/spaces/DIC/pages/331579598"}</v>
      </c>
    </row>
    <row r="155" spans="1:6" ht="13.9" thickTop="1" thickBot="1" x14ac:dyDescent="0.4">
      <c r="A155" s="38">
        <f>IF(ISERR(NodesJSON[[#This Row],[label]]),0,1)</f>
        <v>1</v>
      </c>
      <c r="B155" s="3" t="str">
        <f>NodesData[[#This Row],[Common Name]]</f>
        <v>Entitlement Management</v>
      </c>
      <c r="C155" s="3" t="str">
        <f>IF(NodesData[[#This Row],[Context Instanciation]]="","",NodesData[[#This Row],[Context Instanciation]])</f>
        <v/>
      </c>
      <c r="D155" s="22" t="str">
        <f>NodesData[[#This Row],[Node ID]]</f>
        <v>F601F079-54E4-4305-A4BC-B76D58770A80</v>
      </c>
      <c r="E155" s="10" t="s">
        <v>772</v>
      </c>
      <c r="F155" s="25" t="str" cm="1">
        <f t="array" ref="F155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Management","group":"","id":"F601F079-54E4-4305-A4BC-B76D58770A80","url":"https://open-measure.atlassian.net/wiki/spaces/DIC/pages/1152483703"}</v>
      </c>
    </row>
    <row r="156" spans="1:6" ht="13.9" thickTop="1" thickBot="1" x14ac:dyDescent="0.4">
      <c r="A156" s="38">
        <f>IF(ISERR(NodesJSON[[#This Row],[label]]),0,1)</f>
        <v>1</v>
      </c>
      <c r="B156" s="3" t="str">
        <f>NodesData[[#This Row],[Common Name]]</f>
        <v>Entitlement Management Process</v>
      </c>
      <c r="C156" s="3" t="str">
        <f>IF(NodesData[[#This Row],[Context Instanciation]]="","",NodesData[[#This Row],[Context Instanciation]])</f>
        <v/>
      </c>
      <c r="D156" s="22" t="str">
        <f>NodesData[[#This Row],[Node ID]]</f>
        <v>FDE38578-7AC3-4972-A3E1-6A210CF1A58D</v>
      </c>
      <c r="E156" s="10" t="s">
        <v>774</v>
      </c>
      <c r="F156" s="25" t="str" cm="1">
        <f t="array" ref="F156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 Process","group":"","id":"FDE38578-7AC3-4972-A3E1-6A210CF1A58D","url":"https://open-measure.atlassian.net/wiki/spaces/DIC/pages/75890786"}</v>
      </c>
    </row>
    <row r="157" spans="1:6" ht="13.9" thickTop="1" thickBot="1" x14ac:dyDescent="0.4">
      <c r="A157" s="38">
        <f>IF(ISERR(NodesJSON[[#This Row],[label]]),0,1)</f>
        <v>1</v>
      </c>
      <c r="B157" s="3" t="str">
        <f>NodesData[[#This Row],[Common Name]]</f>
        <v>Entitlement Management Solution</v>
      </c>
      <c r="C157" s="3" t="str">
        <f>IF(NodesData[[#This Row],[Context Instanciation]]="","",NodesData[[#This Row],[Context Instanciation]])</f>
        <v/>
      </c>
      <c r="D157" s="22" t="str">
        <f>NodesData[[#This Row],[Node ID]]</f>
        <v>60094F30-C554-43E2-91D3-B87498F81E1B</v>
      </c>
      <c r="E157" s="10" t="s">
        <v>776</v>
      </c>
      <c r="F157" s="25" t="str" cm="1">
        <f t="array" ref="F157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 Solution","group":"","id":"60094F30-C554-43E2-91D3-B87498F81E1B","url":"https://open-measure.atlassian.net/wiki/spaces/DIC/pages/763035693"}</v>
      </c>
    </row>
    <row r="158" spans="1:6" ht="13.9" thickTop="1" thickBot="1" x14ac:dyDescent="0.4">
      <c r="A158" s="38">
        <f>IF(ISERR(NodesJSON[[#This Row],[label]]),0,1)</f>
        <v>1</v>
      </c>
      <c r="B158" s="3" t="str">
        <f>NodesData[[#This Row],[Common Name]]</f>
        <v>Entitlement-Based Access Control</v>
      </c>
      <c r="C158" s="3" t="str">
        <f>IF(NodesData[[#This Row],[Context Instanciation]]="","",NodesData[[#This Row],[Context Instanciation]])</f>
        <v/>
      </c>
      <c r="D158" s="22" t="str">
        <f>NodesData[[#This Row],[Node ID]]</f>
        <v>AC8DD14B-B291-4F55-9CB1-ED5C8627F5C7</v>
      </c>
      <c r="E158" s="10" t="s">
        <v>778</v>
      </c>
      <c r="F158" s="25" t="str" cm="1">
        <f t="array" ref="F158">IF(NodesJSON[[#This Row],[Export?]]=0,"",IF(ROW(NodesJSON[[#This Row],[label]])&gt;ROW(NodesJSON[[#Headers],[JSON]])+1,",","") &amp;"{"&amp;twoRangesToJSON(NodesJSON[[#Headers],[label]:[url]],NodesJSON[[#This Row],[label]:[url]])&amp;"}")</f>
        <v>,{"label":"Entitlement-Based Access Control","group":"","id":"AC8DD14B-B291-4F55-9CB1-ED5C8627F5C7","url":"https://open-measure.atlassian.net/wiki/spaces/DIC/pages/331579618"}</v>
      </c>
    </row>
    <row r="159" spans="1:6" ht="13.9" thickTop="1" thickBot="1" x14ac:dyDescent="0.4">
      <c r="A159" s="38">
        <f>IF(ISERR(NodesJSON[[#This Row],[label]]),0,1)</f>
        <v>1</v>
      </c>
      <c r="B159" s="3" t="str">
        <f>NodesData[[#This Row],[Common Name]]</f>
        <v>Entity</v>
      </c>
      <c r="C159" s="3" t="str">
        <f>IF(NodesData[[#This Row],[Context Instanciation]]="","",NodesData[[#This Row],[Context Instanciation]])</f>
        <v/>
      </c>
      <c r="D159" s="22" t="str">
        <f>NodesData[[#This Row],[Node ID]]</f>
        <v>04460B33-F5FE-486A-8ACF-F7C6EF519ECA</v>
      </c>
      <c r="E159" s="10" t="s">
        <v>779</v>
      </c>
      <c r="F159" s="25" t="str" cm="1">
        <f t="array" ref="F159">IF(NodesJSON[[#This Row],[Export?]]=0,"",IF(ROW(NodesJSON[[#This Row],[label]])&gt;ROW(NodesJSON[[#Headers],[JSON]])+1,",","") &amp;"{"&amp;twoRangesToJSON(NodesJSON[[#Headers],[label]:[url]],NodesJSON[[#This Row],[label]:[url]])&amp;"}")</f>
        <v>,{"label":"Entity","group":"","id":"04460B33-F5FE-486A-8ACF-F7C6EF519ECA","url":"https://open-measure.atlassian.net/wiki/spaces/DIC/pages/1290207237/Financial-grade+API"}</v>
      </c>
    </row>
    <row r="160" spans="1:6" ht="13.9" thickTop="1" thickBot="1" x14ac:dyDescent="0.4">
      <c r="A160" s="38">
        <f>IF(ISERR(NodesJSON[[#This Row],[label]]),0,1)</f>
        <v>1</v>
      </c>
      <c r="B160" s="3" t="str">
        <f>NodesData[[#This Row],[Common Name]]</f>
        <v>ESSO</v>
      </c>
      <c r="C160" s="3" t="str">
        <f>IF(NodesData[[#This Row],[Context Instanciation]]="","",NodesData[[#This Row],[Context Instanciation]])</f>
        <v/>
      </c>
      <c r="D160" s="22" t="str">
        <f>NodesData[[#This Row],[Node ID]]</f>
        <v>3BE8F8F2-63B2-44EF-AC53-8A1F4490F783</v>
      </c>
      <c r="E160" s="4"/>
      <c r="F160" s="25" t="str" cm="1">
        <f t="array" ref="F160">IF(NodesJSON[[#This Row],[Export?]]=0,"",IF(ROW(NodesJSON[[#This Row],[label]])&gt;ROW(NodesJSON[[#Headers],[JSON]])+1,",","") &amp;"{"&amp;twoRangesToJSON(NodesJSON[[#Headers],[label]:[url]],NodesJSON[[#This Row],[label]:[url]])&amp;"}")</f>
        <v>,{"label":"ESSO","group":"","id":"3BE8F8F2-63B2-44EF-AC53-8A1F4490F783","url":""}</v>
      </c>
    </row>
    <row r="161" spans="1:6" ht="13.9" thickTop="1" thickBot="1" x14ac:dyDescent="0.4">
      <c r="A161" s="38">
        <f>IF(ISERR(NodesJSON[[#This Row],[label]]),0,1)</f>
        <v>1</v>
      </c>
      <c r="B161" s="3" t="str">
        <f>NodesData[[#This Row],[Common Name]]</f>
        <v>Excessive Privilege Abuse</v>
      </c>
      <c r="C161" s="3" t="str">
        <f>IF(NodesData[[#This Row],[Context Instanciation]]="","",NodesData[[#This Row],[Context Instanciation]])</f>
        <v/>
      </c>
      <c r="D161" s="22" t="str">
        <f>NodesData[[#This Row],[Node ID]]</f>
        <v>1630C7DD-5632-4037-ABFC-6895CAA636FA</v>
      </c>
      <c r="E161" s="10" t="s">
        <v>780</v>
      </c>
      <c r="F161" s="25" t="str" cm="1">
        <f t="array" ref="F161">IF(NodesJSON[[#This Row],[Export?]]=0,"",IF(ROW(NodesJSON[[#This Row],[label]])&gt;ROW(NodesJSON[[#Headers],[JSON]])+1,",","") &amp;"{"&amp;twoRangesToJSON(NodesJSON[[#Headers],[label]:[url]],NodesJSON[[#This Row],[label]:[url]])&amp;"}")</f>
        <v>,{"label":"Excessive Privilege Abuse","group":"","id":"1630C7DD-5632-4037-ABFC-6895CAA636FA","url":"https://open-measure.atlassian.net/wiki/spaces/DIC/pages/1378091043/FinTech"}</v>
      </c>
    </row>
    <row r="162" spans="1:6" ht="13.9" thickTop="1" thickBot="1" x14ac:dyDescent="0.4">
      <c r="A162" s="38">
        <f>IF(ISERR(NodesJSON[[#This Row],[label]]),0,1)</f>
        <v>1</v>
      </c>
      <c r="B162" s="3" t="str">
        <f>NodesData[[#This Row],[Common Name]]</f>
        <v>Expanded Password System</v>
      </c>
      <c r="C162" s="3" t="str">
        <f>IF(NodesData[[#This Row],[Context Instanciation]]="","",NodesData[[#This Row],[Context Instanciation]])</f>
        <v/>
      </c>
      <c r="D162" s="22" t="str">
        <f>NodesData[[#This Row],[Node ID]]</f>
        <v>CE0DCBE2-3C5F-4C03-BB7A-B086BEAC3336</v>
      </c>
      <c r="E162" s="10" t="s">
        <v>782</v>
      </c>
      <c r="F162" s="25" t="str" cm="1">
        <f t="array" ref="F162">IF(NodesJSON[[#This Row],[Export?]]=0,"",IF(ROW(NodesJSON[[#This Row],[label]])&gt;ROW(NodesJSON[[#Headers],[JSON]])+1,",","") &amp;"{"&amp;twoRangesToJSON(NodesJSON[[#Headers],[label]:[url]],NodesJSON[[#This Row],[label]:[url]])&amp;"}")</f>
        <v>,{"label":"Expanded Password System","group":"","id":"CE0DCBE2-3C5F-4C03-BB7A-B086BEAC3336","url":"https://open-measure.atlassian.net/wiki/spaces/DIC/pages/438698048"}</v>
      </c>
    </row>
    <row r="163" spans="1:6" ht="13.9" thickTop="1" thickBot="1" x14ac:dyDescent="0.4">
      <c r="A163" s="38">
        <f>IF(ISERR(NodesJSON[[#This Row],[label]]),0,1)</f>
        <v>1</v>
      </c>
      <c r="B163" s="3" t="str">
        <f>NodesData[[#This Row],[Common Name]]</f>
        <v>Exploited Identity</v>
      </c>
      <c r="C163" s="3" t="str">
        <f>IF(NodesData[[#This Row],[Context Instanciation]]="","",NodesData[[#This Row],[Context Instanciation]])</f>
        <v/>
      </c>
      <c r="D163" s="22" t="str">
        <f>NodesData[[#This Row],[Node ID]]</f>
        <v>31C91EDA-0806-410F-81D5-93FBD35200CB</v>
      </c>
      <c r="E163" s="10" t="s">
        <v>784</v>
      </c>
      <c r="F163" s="25" t="str" cm="1">
        <f t="array" ref="F163">IF(NodesJSON[[#This Row],[Export?]]=0,"",IF(ROW(NodesJSON[[#This Row],[label]])&gt;ROW(NodesJSON[[#Headers],[JSON]])+1,",","") &amp;"{"&amp;twoRangesToJSON(NodesJSON[[#Headers],[label]:[url]],NodesJSON[[#This Row],[label]:[url]])&amp;"}")</f>
        <v>,{"label":"Exploited Identity","group":"","id":"31C91EDA-0806-410F-81D5-93FBD35200CB","url":"https://open-measure.atlassian.net/wiki/spaces/DIC/pages/1223884872"}</v>
      </c>
    </row>
    <row r="164" spans="1:6" ht="13.9" thickTop="1" thickBot="1" x14ac:dyDescent="0.4">
      <c r="A164" s="38">
        <f>IF(ISERR(NodesJSON[[#This Row],[label]]),0,1)</f>
        <v>1</v>
      </c>
      <c r="B164" s="3" t="str">
        <f>NodesData[[#This Row],[Common Name]]</f>
        <v>Extended Enterprise</v>
      </c>
      <c r="C164" s="3" t="str">
        <f>IF(NodesData[[#This Row],[Context Instanciation]]="","",NodesData[[#This Row],[Context Instanciation]])</f>
        <v/>
      </c>
      <c r="D164" s="22" t="str">
        <f>NodesData[[#This Row],[Node ID]]</f>
        <v>2F11B389-703D-451F-A299-CB8279214953</v>
      </c>
      <c r="E164" s="10" t="s">
        <v>786</v>
      </c>
      <c r="F164" s="25" t="str" cm="1">
        <f t="array" ref="F164">IF(NodesJSON[[#This Row],[Export?]]=0,"",IF(ROW(NodesJSON[[#This Row],[label]])&gt;ROW(NodesJSON[[#Headers],[JSON]])+1,",","") &amp;"{"&amp;twoRangesToJSON(NodesJSON[[#Headers],[label]:[url]],NodesJSON[[#This Row],[label]:[url]])&amp;"}")</f>
        <v>,{"label":"Extended Enterprise","group":"","id":"2F11B389-703D-451F-A299-CB8279214953","url":"https://open-measure.atlassian.net/wiki/spaces/DIC/pages/1173585921"}</v>
      </c>
    </row>
    <row r="165" spans="1:6" ht="13.9" thickTop="1" thickBot="1" x14ac:dyDescent="0.4">
      <c r="A165" s="38">
        <f>IF(ISERR(NodesJSON[[#This Row],[label]]),0,1)</f>
        <v>1</v>
      </c>
      <c r="B165" s="3" t="str">
        <f>NodesData[[#This Row],[Common Name]]</f>
        <v>Extensible Access Control Markup Language</v>
      </c>
      <c r="C165" s="3" t="str">
        <f>IF(NodesData[[#This Row],[Context Instanciation]]="","",NodesData[[#This Row],[Context Instanciation]])</f>
        <v/>
      </c>
      <c r="D165" s="22" t="str">
        <f>NodesData[[#This Row],[Node ID]]</f>
        <v>C26C332D-5A94-4AC5-8F24-320F52866DDB</v>
      </c>
      <c r="E165" s="10" t="s">
        <v>788</v>
      </c>
      <c r="F165" s="25" t="str" cm="1">
        <f t="array" ref="F165">IF(NodesJSON[[#This Row],[Export?]]=0,"",IF(ROW(NodesJSON[[#This Row],[label]])&gt;ROW(NodesJSON[[#Headers],[JSON]])+1,",","") &amp;"{"&amp;twoRangesToJSON(NodesJSON[[#Headers],[label]:[url]],NodesJSON[[#This Row],[label]:[url]])&amp;"}")</f>
        <v>,{"label":"Extensible Access Control Markup Language","group":"","id":"C26C332D-5A94-4AC5-8F24-320F52866DDB","url":"https://open-measure.atlassian.net/wiki/spaces/DIC/pages/1226833964"}</v>
      </c>
    </row>
    <row r="166" spans="1:6" ht="13.9" thickTop="1" thickBot="1" x14ac:dyDescent="0.4">
      <c r="A166" s="38">
        <f>IF(ISERR(NodesJSON[[#This Row],[label]]),0,1)</f>
        <v>1</v>
      </c>
      <c r="B166" s="3" t="str">
        <f>NodesData[[#This Row],[Common Name]]</f>
        <v>External Threat Agent</v>
      </c>
      <c r="C166" s="3" t="str">
        <f>IF(NodesData[[#This Row],[Context Instanciation]]="","",NodesData[[#This Row],[Context Instanciation]])</f>
        <v/>
      </c>
      <c r="D166" s="22" t="str">
        <f>NodesData[[#This Row],[Node ID]]</f>
        <v>8A84FB45-D721-4F51-92D2-6F252494072A</v>
      </c>
      <c r="E166" s="10" t="s">
        <v>789</v>
      </c>
      <c r="F166" s="25" t="str" cm="1">
        <f t="array" ref="F166">IF(NodesJSON[[#This Row],[Export?]]=0,"",IF(ROW(NodesJSON[[#This Row],[label]])&gt;ROW(NodesJSON[[#Headers],[JSON]])+1,",","") &amp;"{"&amp;twoRangesToJSON(NodesJSON[[#Headers],[label]:[url]],NodesJSON[[#This Row],[label]:[url]])&amp;"}")</f>
        <v>,{"label":"External Threat Agent","group":"","id":"8A84FB45-D721-4F51-92D2-6F252494072A","url":"https://open-measure.atlassian.net/wiki/spaces/DIC/pages/419561522/Foundational+Identification+System"}</v>
      </c>
    </row>
    <row r="167" spans="1:6" ht="13.9" thickTop="1" thickBot="1" x14ac:dyDescent="0.4">
      <c r="A167" s="38">
        <f>IF(ISERR(NodesJSON[[#This Row],[label]]),0,1)</f>
        <v>1</v>
      </c>
      <c r="B167" s="3" t="str">
        <f>NodesData[[#This Row],[Common Name]]</f>
        <v>Facial Recognition Authentication</v>
      </c>
      <c r="C167" s="3" t="str">
        <f>IF(NodesData[[#This Row],[Context Instanciation]]="","",NodesData[[#This Row],[Context Instanciation]])</f>
        <v/>
      </c>
      <c r="D167" s="22" t="str">
        <f>NodesData[[#This Row],[Node ID]]</f>
        <v>EE59DD52-46E3-4C5E-B862-8914485F238F</v>
      </c>
      <c r="E167" s="4"/>
      <c r="F167" s="25" t="str" cm="1">
        <f t="array" ref="F167">IF(NodesJSON[[#This Row],[Export?]]=0,"",IF(ROW(NodesJSON[[#This Row],[label]])&gt;ROW(NodesJSON[[#Headers],[JSON]])+1,",","") &amp;"{"&amp;twoRangesToJSON(NodesJSON[[#Headers],[label]:[url]],NodesJSON[[#This Row],[label]:[url]])&amp;"}")</f>
        <v>,{"label":"Facial Recognition Authentication","group":"","id":"EE59DD52-46E3-4C5E-B862-8914485F238F","url":""}</v>
      </c>
    </row>
    <row r="168" spans="1:6" ht="13.9" thickTop="1" thickBot="1" x14ac:dyDescent="0.4">
      <c r="A168" s="38">
        <f>IF(ISERR(NodesJSON[[#This Row],[label]]),0,1)</f>
        <v>1</v>
      </c>
      <c r="B168" s="3" t="str">
        <f>NodesData[[#This Row],[Common Name]]</f>
        <v>Fake Digital Identity</v>
      </c>
      <c r="C168" s="3" t="str">
        <f>IF(NodesData[[#This Row],[Context Instanciation]]="","",NodesData[[#This Row],[Context Instanciation]])</f>
        <v/>
      </c>
      <c r="D168" s="22" t="str">
        <f>NodesData[[#This Row],[Node ID]]</f>
        <v>8C66A928-36FA-48EA-9F3D-2C1EF09EF236</v>
      </c>
      <c r="E168" s="10" t="s">
        <v>791</v>
      </c>
      <c r="F168" s="25" t="str" cm="1">
        <f t="array" ref="F168">IF(NodesJSON[[#This Row],[Export?]]=0,"",IF(ROW(NodesJSON[[#This Row],[label]])&gt;ROW(NodesJSON[[#Headers],[JSON]])+1,",","") &amp;"{"&amp;twoRangesToJSON(NodesJSON[[#Headers],[label]:[url]],NodesJSON[[#This Row],[label]:[url]])&amp;"}")</f>
        <v>,{"label":"Fake Digital Identity","group":"","id":"8C66A928-36FA-48EA-9F3D-2C1EF09EF236","url":"https://open-measure.atlassian.net/wiki/spaces/DIC/pages/419528747"}</v>
      </c>
    </row>
    <row r="169" spans="1:6" ht="13.9" thickTop="1" thickBot="1" x14ac:dyDescent="0.4">
      <c r="A169" s="38">
        <f>IF(ISERR(NodesJSON[[#This Row],[label]]),0,1)</f>
        <v>1</v>
      </c>
      <c r="B169" s="3" t="str">
        <f>NodesData[[#This Row],[Common Name]]</f>
        <v>Fake Identity</v>
      </c>
      <c r="C169" s="3" t="str">
        <f>IF(NodesData[[#This Row],[Context Instanciation]]="","",NodesData[[#This Row],[Context Instanciation]])</f>
        <v/>
      </c>
      <c r="D169" s="22" t="str">
        <f>NodesData[[#This Row],[Node ID]]</f>
        <v>FFAF2EE1-D9DE-4B8B-8A9C-EA4BB61848BD</v>
      </c>
      <c r="E169" s="10" t="s">
        <v>793</v>
      </c>
      <c r="F169" s="25" t="str" cm="1">
        <f t="array" ref="F169">IF(NodesJSON[[#This Row],[Export?]]=0,"",IF(ROW(NodesJSON[[#This Row],[label]])&gt;ROW(NodesJSON[[#Headers],[JSON]])+1,",","") &amp;"{"&amp;twoRangesToJSON(NodesJSON[[#Headers],[label]:[url]],NodesJSON[[#This Row],[label]:[url]])&amp;"}")</f>
        <v>,{"label":"Fake Identity","group":"","id":"FFAF2EE1-D9DE-4B8B-8A9C-EA4BB61848BD","url":"https://open-measure.atlassian.net/wiki/spaces/DIC/pages/1229619254"}</v>
      </c>
    </row>
    <row r="170" spans="1:6" ht="13.9" thickTop="1" thickBot="1" x14ac:dyDescent="0.4">
      <c r="A170" s="38">
        <f>IF(ISERR(NodesJSON[[#This Row],[label]]),0,1)</f>
        <v>1</v>
      </c>
      <c r="B170" s="3" t="str">
        <f>NodesData[[#This Row],[Common Name]]</f>
        <v>FAPI</v>
      </c>
      <c r="C170" s="3" t="str">
        <f>IF(NodesData[[#This Row],[Context Instanciation]]="","",NodesData[[#This Row],[Context Instanciation]])</f>
        <v/>
      </c>
      <c r="D170" s="22" t="str">
        <f>NodesData[[#This Row],[Node ID]]</f>
        <v>BF511D2A-ABDC-42A8-863D-B6DB7720C2CA</v>
      </c>
      <c r="E170" s="4"/>
      <c r="F170" s="25" t="str" cm="1">
        <f t="array" ref="F170">IF(NodesJSON[[#This Row],[Export?]]=0,"",IF(ROW(NodesJSON[[#This Row],[label]])&gt;ROW(NodesJSON[[#Headers],[JSON]])+1,",","") &amp;"{"&amp;twoRangesToJSON(NodesJSON[[#Headers],[label]:[url]],NodesJSON[[#This Row],[label]:[url]])&amp;"}")</f>
        <v>,{"label":"FAPI","group":"","id":"BF511D2A-ABDC-42A8-863D-B6DB7720C2CA","url":""}</v>
      </c>
    </row>
    <row r="171" spans="1:6" ht="13.9" thickTop="1" thickBot="1" x14ac:dyDescent="0.4">
      <c r="A171" s="38">
        <f>IF(ISERR(NodesJSON[[#This Row],[label]]),0,1)</f>
        <v>1</v>
      </c>
      <c r="B171" s="3" t="str">
        <f>NodesData[[#This Row],[Common Name]]</f>
        <v>Federated Identity Management</v>
      </c>
      <c r="C171" s="3" t="str">
        <f>IF(NodesData[[#This Row],[Context Instanciation]]="","",NodesData[[#This Row],[Context Instanciation]])</f>
        <v/>
      </c>
      <c r="D171" s="22" t="str">
        <f>NodesData[[#This Row],[Node ID]]</f>
        <v>AA96B139-EA71-4982-B3C2-CEF2CD60C0ED</v>
      </c>
      <c r="E171" s="4"/>
      <c r="F171" s="25" t="str" cm="1">
        <f t="array" ref="F171">IF(NodesJSON[[#This Row],[Export?]]=0,"",IF(ROW(NodesJSON[[#This Row],[label]])&gt;ROW(NodesJSON[[#Headers],[JSON]])+1,",","") &amp;"{"&amp;twoRangesToJSON(NodesJSON[[#Headers],[label]:[url]],NodesJSON[[#This Row],[label]:[url]])&amp;"}")</f>
        <v>,{"label":"Federated Identity Management","group":"","id":"AA96B139-EA71-4982-B3C2-CEF2CD60C0ED","url":""}</v>
      </c>
    </row>
    <row r="172" spans="1:6" ht="13.9" thickTop="1" thickBot="1" x14ac:dyDescent="0.4">
      <c r="A172" s="38">
        <f>IF(ISERR(NodesJSON[[#This Row],[label]]),0,1)</f>
        <v>1</v>
      </c>
      <c r="B172" s="3" t="str">
        <f>NodesData[[#This Row],[Common Name]]</f>
        <v>Federated Identity Management System</v>
      </c>
      <c r="C172" s="3" t="str">
        <f>IF(NodesData[[#This Row],[Context Instanciation]]="","",NodesData[[#This Row],[Context Instanciation]])</f>
        <v/>
      </c>
      <c r="D172" s="22" t="str">
        <f>NodesData[[#This Row],[Node ID]]</f>
        <v>2D187D28-E0FF-4E61-B301-9004010FE0CB</v>
      </c>
      <c r="E172" s="4"/>
      <c r="F172" s="25" t="str" cm="1">
        <f t="array" ref="F172">IF(NodesJSON[[#This Row],[Export?]]=0,"",IF(ROW(NodesJSON[[#This Row],[label]])&gt;ROW(NodesJSON[[#Headers],[JSON]])+1,",","") &amp;"{"&amp;twoRangesToJSON(NodesJSON[[#Headers],[label]:[url]],NodesJSON[[#This Row],[label]:[url]])&amp;"}")</f>
        <v>,{"label":"Federated Identity Management System","group":"","id":"2D187D28-E0FF-4E61-B301-9004010FE0CB","url":""}</v>
      </c>
    </row>
    <row r="173" spans="1:6" ht="13.9" thickTop="1" thickBot="1" x14ac:dyDescent="0.4">
      <c r="A173" s="38">
        <f>IF(ISERR(NodesJSON[[#This Row],[label]]),0,1)</f>
        <v>1</v>
      </c>
      <c r="B173" s="3" t="str">
        <f>NodesData[[#This Row],[Common Name]]</f>
        <v>Federated SSO</v>
      </c>
      <c r="C173" s="3" t="str">
        <f>IF(NodesData[[#This Row],[Context Instanciation]]="","",NodesData[[#This Row],[Context Instanciation]])</f>
        <v/>
      </c>
      <c r="D173" s="22" t="str">
        <f>NodesData[[#This Row],[Node ID]]</f>
        <v>67968985-EC72-4204-8663-F69E48506540</v>
      </c>
      <c r="E173" s="10" t="s">
        <v>795</v>
      </c>
      <c r="F173" s="25" t="str" cm="1">
        <f t="array" ref="F173">IF(NodesJSON[[#This Row],[Export?]]=0,"",IF(ROW(NodesJSON[[#This Row],[label]])&gt;ROW(NodesJSON[[#Headers],[JSON]])+1,",","") &amp;"{"&amp;twoRangesToJSON(NodesJSON[[#Headers],[label]:[url]],NodesJSON[[#This Row],[label]:[url]])&amp;"}")</f>
        <v>,{"label":"Federated SSO","group":"","id":"67968985-EC72-4204-8663-F69E48506540","url":"https://open-measure.atlassian.net/wiki/spaces/DIC/pages/966557699"}</v>
      </c>
    </row>
    <row r="174" spans="1:6" ht="13.9" thickTop="1" thickBot="1" x14ac:dyDescent="0.4">
      <c r="A174" s="38">
        <f>IF(ISERR(NodesJSON[[#This Row],[label]]),0,1)</f>
        <v>1</v>
      </c>
      <c r="B174" s="3" t="str">
        <f>NodesData[[#This Row],[Common Name]]</f>
        <v>Federation Bridge</v>
      </c>
      <c r="C174" s="3" t="str">
        <f>IF(NodesData[[#This Row],[Context Instanciation]]="","",NodesData[[#This Row],[Context Instanciation]])</f>
        <v/>
      </c>
      <c r="D174" s="22" t="str">
        <f>NodesData[[#This Row],[Node ID]]</f>
        <v>943003BA-F5C4-48F2-8E39-5ACB651E5CFB</v>
      </c>
      <c r="E174" s="8"/>
      <c r="F174" s="25" t="str" cm="1">
        <f t="array" ref="F174">IF(NodesJSON[[#This Row],[Export?]]=0,"",IF(ROW(NodesJSON[[#This Row],[label]])&gt;ROW(NodesJSON[[#Headers],[JSON]])+1,",","") &amp;"{"&amp;twoRangesToJSON(NodesJSON[[#Headers],[label]:[url]],NodesJSON[[#This Row],[label]:[url]])&amp;"}")</f>
        <v>,{"label":"Federation Bridge","group":"","id":"943003BA-F5C4-48F2-8E39-5ACB651E5CFB","url":""}</v>
      </c>
    </row>
    <row r="175" spans="1:6" ht="13.9" thickTop="1" thickBot="1" x14ac:dyDescent="0.4">
      <c r="A175" s="38">
        <f>IF(ISERR(NodesJSON[[#This Row],[label]]),0,1)</f>
        <v>1</v>
      </c>
      <c r="B175" s="3" t="str">
        <f>NodesData[[#This Row],[Common Name]]</f>
        <v>FIM</v>
      </c>
      <c r="C175" s="3" t="str">
        <f>IF(NodesData[[#This Row],[Context Instanciation]]="","",NodesData[[#This Row],[Context Instanciation]])</f>
        <v/>
      </c>
      <c r="D175" s="22" t="str">
        <f>NodesData[[#This Row],[Node ID]]</f>
        <v>BB202734-3B2A-45BC-AA97-3942123B816B</v>
      </c>
      <c r="E175" s="4"/>
      <c r="F175" s="25" t="str" cm="1">
        <f t="array" ref="F175">IF(NodesJSON[[#This Row],[Export?]]=0,"",IF(ROW(NodesJSON[[#This Row],[label]])&gt;ROW(NodesJSON[[#Headers],[JSON]])+1,",","") &amp;"{"&amp;twoRangesToJSON(NodesJSON[[#Headers],[label]:[url]],NodesJSON[[#This Row],[label]:[url]])&amp;"}")</f>
        <v>,{"label":"FIM","group":"","id":"BB202734-3B2A-45BC-AA97-3942123B816B","url":""}</v>
      </c>
    </row>
    <row r="176" spans="1:6" ht="13.9" thickTop="1" thickBot="1" x14ac:dyDescent="0.4">
      <c r="A176" s="38">
        <f>IF(ISERR(NodesJSON[[#This Row],[label]]),0,1)</f>
        <v>1</v>
      </c>
      <c r="B176" s="3" t="str">
        <f>NodesData[[#This Row],[Common Name]]</f>
        <v>Financial Gain</v>
      </c>
      <c r="C176" s="3" t="str">
        <f>IF(NodesData[[#This Row],[Context Instanciation]]="","",NodesData[[#This Row],[Context Instanciation]])</f>
        <v/>
      </c>
      <c r="D176" s="22" t="str">
        <f>NodesData[[#This Row],[Node ID]]</f>
        <v>422E3DA9-1F9C-44DA-8A28-BF3685F5E402</v>
      </c>
      <c r="E176" s="10" t="s">
        <v>797</v>
      </c>
      <c r="F176" s="25" t="str" cm="1">
        <f t="array" ref="F176">IF(NodesJSON[[#This Row],[Export?]]=0,"",IF(ROW(NodesJSON[[#This Row],[label]])&gt;ROW(NodesJSON[[#Headers],[JSON]])+1,",","") &amp;"{"&amp;twoRangesToJSON(NodesJSON[[#Headers],[label]:[url]],NodesJSON[[#This Row],[label]:[url]])&amp;"}")</f>
        <v>,{"label":"Financial Gain","group":"","id":"422E3DA9-1F9C-44DA-8A28-BF3685F5E402","url":"https://open-measure.atlassian.net/wiki/spaces/DIC/pages/1177846011"}</v>
      </c>
    </row>
    <row r="177" spans="1:6" ht="13.9" thickTop="1" thickBot="1" x14ac:dyDescent="0.4">
      <c r="A177" s="38">
        <f>IF(ISERR(NodesJSON[[#This Row],[label]]),0,1)</f>
        <v>1</v>
      </c>
      <c r="B177" s="3" t="str">
        <f>NodesData[[#This Row],[Common Name]]</f>
        <v>Financial-grade API</v>
      </c>
      <c r="C177" s="3" t="str">
        <f>IF(NodesData[[#This Row],[Context Instanciation]]="","",NodesData[[#This Row],[Context Instanciation]])</f>
        <v/>
      </c>
      <c r="D177" s="22" t="str">
        <f>NodesData[[#This Row],[Node ID]]</f>
        <v>870968E0-B14B-436B-86C6-01DDFB6690F8</v>
      </c>
      <c r="E177" s="10" t="s">
        <v>799</v>
      </c>
      <c r="F177" s="25" t="str" cm="1">
        <f t="array" ref="F177">IF(NodesJSON[[#This Row],[Export?]]=0,"",IF(ROW(NodesJSON[[#This Row],[label]])&gt;ROW(NodesJSON[[#Headers],[JSON]])+1,",","") &amp;"{"&amp;twoRangesToJSON(NodesJSON[[#Headers],[label]:[url]],NodesJSON[[#This Row],[label]:[url]])&amp;"}")</f>
        <v>,{"label":"Financial-grade API","group":"","id":"870968E0-B14B-436B-86C6-01DDFB6690F8","url":"https://open-measure.atlassian.net/wiki/spaces/DIC/pages/998047786"}</v>
      </c>
    </row>
    <row r="178" spans="1:6" ht="13.9" thickTop="1" thickBot="1" x14ac:dyDescent="0.4">
      <c r="A178" s="38">
        <f>IF(ISERR(NodesJSON[[#This Row],[label]]),0,1)</f>
        <v>1</v>
      </c>
      <c r="B178" s="3" t="str">
        <f>NodesData[[#This Row],[Common Name]]</f>
        <v>Fingerprint Recognition Authentication</v>
      </c>
      <c r="C178" s="3" t="str">
        <f>IF(NodesData[[#This Row],[Context Instanciation]]="","",NodesData[[#This Row],[Context Instanciation]])</f>
        <v/>
      </c>
      <c r="D178" s="22" t="str">
        <f>NodesData[[#This Row],[Node ID]]</f>
        <v>8A54CA58-95DE-462C-85F0-63881C492A91</v>
      </c>
      <c r="E178" s="10" t="s">
        <v>801</v>
      </c>
      <c r="F178" s="25" t="str" cm="1">
        <f t="array" ref="F178">IF(NodesJSON[[#This Row],[Export?]]=0,"",IF(ROW(NodesJSON[[#This Row],[label]])&gt;ROW(NodesJSON[[#Headers],[JSON]])+1,",","") &amp;"{"&amp;twoRangesToJSON(NodesJSON[[#Headers],[label]:[url]],NodesJSON[[#This Row],[label]:[url]])&amp;"}")</f>
        <v>,{"label":"Fingerprint Recognition Authentication","group":"","id":"8A54CA58-95DE-462C-85F0-63881C492A91","url":"https://open-measure.atlassian.net/wiki/spaces/DIC/pages/998277156"}</v>
      </c>
    </row>
    <row r="179" spans="1:6" ht="13.9" thickTop="1" thickBot="1" x14ac:dyDescent="0.4">
      <c r="A179" s="38">
        <f>IF(ISERR(NodesJSON[[#This Row],[label]]),0,1)</f>
        <v>1</v>
      </c>
      <c r="B179" s="3" t="str">
        <f>NodesData[[#This Row],[Common Name]]</f>
        <v>FinTech</v>
      </c>
      <c r="C179" s="3" t="str">
        <f>IF(NodesData[[#This Row],[Context Instanciation]]="","",NodesData[[#This Row],[Context Instanciation]])</f>
        <v/>
      </c>
      <c r="D179" s="22" t="str">
        <f>NodesData[[#This Row],[Node ID]]</f>
        <v>330623DE-99EE-4CA8-B00D-114EE18DAC41</v>
      </c>
      <c r="E179" s="10" t="s">
        <v>802</v>
      </c>
      <c r="F179" s="25" t="str" cm="1">
        <f t="array" ref="F179">IF(NodesJSON[[#This Row],[Export?]]=0,"",IF(ROW(NodesJSON[[#This Row],[label]])&gt;ROW(NodesJSON[[#Headers],[JSON]])+1,",","") &amp;"{"&amp;twoRangesToJSON(NodesJSON[[#Headers],[label]:[url]],NodesJSON[[#This Row],[label]:[url]])&amp;"}")</f>
        <v>,{"label":"FinTech","group":"","id":"330623DE-99EE-4CA8-B00D-114EE18DAC41","url":"https://open-measure.atlassian.net/wiki/spaces/DIC/pages/1572865/IAG"}</v>
      </c>
    </row>
    <row r="180" spans="1:6" ht="13.9" thickTop="1" thickBot="1" x14ac:dyDescent="0.4">
      <c r="A180" s="38">
        <f>IF(ISERR(NodesJSON[[#This Row],[label]]),0,1)</f>
        <v>1</v>
      </c>
      <c r="B180" s="3" t="str">
        <f>NodesData[[#This Row],[Common Name]]</f>
        <v>Flexibility</v>
      </c>
      <c r="C180" s="3" t="str">
        <f>IF(NodesData[[#This Row],[Context Instanciation]]="","",NodesData[[#This Row],[Context Instanciation]])</f>
        <v/>
      </c>
      <c r="D180" s="22" t="str">
        <f>NodesData[[#This Row],[Node ID]]</f>
        <v>DC655505-E767-43B6-B4E2-F76985C1DDF2</v>
      </c>
      <c r="E180" s="10" t="s">
        <v>803</v>
      </c>
      <c r="F180" s="25" t="str" cm="1">
        <f t="array" ref="F180">IF(NodesJSON[[#This Row],[Export?]]=0,"",IF(ROW(NodesJSON[[#This Row],[label]])&gt;ROW(NodesJSON[[#Headers],[JSON]])+1,",","") &amp;"{"&amp;twoRangesToJSON(NodesJSON[[#Headers],[label]:[url]],NodesJSON[[#This Row],[label]:[url]])&amp;"}")</f>
        <v>,{"label":"Flexibility","group":"","id":"DC655505-E767-43B6-B4E2-F76985C1DDF2","url":"https://open-measure.atlassian.net/wiki/spaces/DIC/pages/1081356/IAM"}</v>
      </c>
    </row>
    <row r="181" spans="1:6" ht="13.9" thickTop="1" thickBot="1" x14ac:dyDescent="0.4">
      <c r="A181" s="38">
        <f>IF(ISERR(NodesJSON[[#This Row],[label]]),0,1)</f>
        <v>1</v>
      </c>
      <c r="B181" s="3" t="str">
        <f>NodesData[[#This Row],[Common Name]]</f>
        <v>Flow Analysis</v>
      </c>
      <c r="C181" s="3" t="str">
        <f>IF(NodesData[[#This Row],[Context Instanciation]]="","",NodesData[[#This Row],[Context Instanciation]])</f>
        <v/>
      </c>
      <c r="D181" s="22" t="str">
        <f>NodesData[[#This Row],[Node ID]]</f>
        <v>13C6C5FD-41EF-4804-BFD7-225AD27E5D38</v>
      </c>
      <c r="E181" s="10" t="s">
        <v>805</v>
      </c>
      <c r="F181" s="25" t="str" cm="1">
        <f t="array" ref="F181">IF(NodesJSON[[#This Row],[Export?]]=0,"",IF(ROW(NodesJSON[[#This Row],[label]])&gt;ROW(NodesJSON[[#Headers],[JSON]])+1,",","") &amp;"{"&amp;twoRangesToJSON(NodesJSON[[#Headers],[label]:[url]],NodesJSON[[#This Row],[label]:[url]])&amp;"}")</f>
        <v>,{"label":"Flow Analysis","group":"","id":"13C6C5FD-41EF-4804-BFD7-225AD27E5D38","url":"https://open-measure.atlassian.net/wiki/spaces/DIC/pages/1037926677"}</v>
      </c>
    </row>
    <row r="182" spans="1:6" ht="13.9" thickTop="1" thickBot="1" x14ac:dyDescent="0.4">
      <c r="A182" s="38">
        <f>IF(ISERR(NodesJSON[[#This Row],[label]]),0,1)</f>
        <v>1</v>
      </c>
      <c r="B182" s="3" t="str">
        <f>NodesData[[#This Row],[Common Name]]</f>
        <v>Forged Identity</v>
      </c>
      <c r="C182" s="3" t="str">
        <f>IF(NodesData[[#This Row],[Context Instanciation]]="","",NodesData[[#This Row],[Context Instanciation]])</f>
        <v/>
      </c>
      <c r="D182" s="22" t="str">
        <f>NodesData[[#This Row],[Node ID]]</f>
        <v>685B2849-5AE1-499B-BC28-C34AC51D7CDC</v>
      </c>
      <c r="E182" s="10" t="s">
        <v>807</v>
      </c>
      <c r="F182" s="25" t="str" cm="1">
        <f t="array" ref="F182">IF(NodesJSON[[#This Row],[Export?]]=0,"",IF(ROW(NodesJSON[[#This Row],[label]])&gt;ROW(NodesJSON[[#Headers],[JSON]])+1,",","") &amp;"{"&amp;twoRangesToJSON(NodesJSON[[#Headers],[label]:[url]],NodesJSON[[#This Row],[label]:[url]])&amp;"}")</f>
        <v>,{"label":"Forged Identity","group":"","id":"685B2849-5AE1-499B-BC28-C34AC51D7CDC","url":"https://open-measure.atlassian.net/wiki/spaces/DIC/pages/82838735"}</v>
      </c>
    </row>
    <row r="183" spans="1:6" ht="13.9" thickTop="1" thickBot="1" x14ac:dyDescent="0.4">
      <c r="A183" s="38">
        <f>IF(ISERR(NodesJSON[[#This Row],[label]]),0,1)</f>
        <v>1</v>
      </c>
      <c r="B183" s="3" t="str">
        <f>NodesData[[#This Row],[Common Name]]</f>
        <v>Formal Verification</v>
      </c>
      <c r="C183" s="3" t="str">
        <f>IF(NodesData[[#This Row],[Context Instanciation]]="","",NodesData[[#This Row],[Context Instanciation]])</f>
        <v/>
      </c>
      <c r="D183" s="22" t="str">
        <f>NodesData[[#This Row],[Node ID]]</f>
        <v>BA6CE51E-FE3C-45DC-BF7B-3D55FD86E2C8</v>
      </c>
      <c r="E183" s="10" t="s">
        <v>809</v>
      </c>
      <c r="F183" s="25" t="str" cm="1">
        <f t="array" ref="F183">IF(NodesJSON[[#This Row],[Export?]]=0,"",IF(ROW(NodesJSON[[#This Row],[label]])&gt;ROW(NodesJSON[[#Headers],[JSON]])+1,",","") &amp;"{"&amp;twoRangesToJSON(NodesJSON[[#Headers],[label]:[url]],NodesJSON[[#This Row],[label]:[url]])&amp;"}")</f>
        <v>,{"label":"Formal Verification","group":"","id":"BA6CE51E-FE3C-45DC-BF7B-3D55FD86E2C8","url":"https://open-measure.atlassian.net/wiki/spaces/DIC/pages/234487971"}</v>
      </c>
    </row>
    <row r="184" spans="1:6" ht="13.9" thickTop="1" thickBot="1" x14ac:dyDescent="0.4">
      <c r="A184" s="38">
        <f>IF(ISERR(NodesJSON[[#This Row],[label]]),0,1)</f>
        <v>1</v>
      </c>
      <c r="B184" s="3" t="str">
        <f>NodesData[[#This Row],[Common Name]]</f>
        <v>Foundational Identification System</v>
      </c>
      <c r="C184" s="3" t="str">
        <f>IF(NodesData[[#This Row],[Context Instanciation]]="","",NodesData[[#This Row],[Context Instanciation]])</f>
        <v/>
      </c>
      <c r="D184" s="22" t="str">
        <f>NodesData[[#This Row],[Node ID]]</f>
        <v>55389033-E3DF-46EA-A00A-0DF5AD9AEE9C</v>
      </c>
      <c r="E184" s="10" t="s">
        <v>811</v>
      </c>
      <c r="F184" s="25" t="str" cm="1">
        <f t="array" ref="F184">IF(NodesJSON[[#This Row],[Export?]]=0,"",IF(ROW(NodesJSON[[#This Row],[label]])&gt;ROW(NodesJSON[[#Headers],[JSON]])+1,",","") &amp;"{"&amp;twoRangesToJSON(NodesJSON[[#Headers],[label]:[url]],NodesJSON[[#This Row],[label]:[url]])&amp;"}")</f>
        <v>,{"label":"Foundational Identification System","group":"","id":"55389033-E3DF-46EA-A00A-0DF5AD9AEE9C","url":"https://open-measure.atlassian.net/wiki/spaces/DIC/pages/1149468857"}</v>
      </c>
    </row>
    <row r="185" spans="1:6" ht="13.9" thickTop="1" thickBot="1" x14ac:dyDescent="0.4">
      <c r="A185" s="38">
        <f>IF(ISERR(NodesJSON[[#This Row],[label]]),0,1)</f>
        <v>1</v>
      </c>
      <c r="B185" s="3" t="str">
        <f>NodesData[[#This Row],[Common Name]]</f>
        <v>Front-end Authentication</v>
      </c>
      <c r="C185" s="3" t="str">
        <f>IF(NodesData[[#This Row],[Context Instanciation]]="","",NodesData[[#This Row],[Context Instanciation]])</f>
        <v/>
      </c>
      <c r="D185" s="22" t="str">
        <f>NodesData[[#This Row],[Node ID]]</f>
        <v>25C98848-F1A2-47F9-A610-0905735431C6</v>
      </c>
      <c r="E185" s="10" t="s">
        <v>813</v>
      </c>
      <c r="F185" s="25" t="str" cm="1">
        <f t="array" ref="F185">IF(NodesJSON[[#This Row],[Export?]]=0,"",IF(ROW(NodesJSON[[#This Row],[label]])&gt;ROW(NodesJSON[[#Headers],[JSON]])+1,",","") &amp;"{"&amp;twoRangesToJSON(NodesJSON[[#Headers],[label]:[url]],NodesJSON[[#This Row],[label]:[url]])&amp;"}")</f>
        <v>,{"label":"Front-end Authentication","group":"","id":"25C98848-F1A2-47F9-A610-0905735431C6","url":"https://open-measure.atlassian.net/wiki/spaces/DIC/pages/149356545"}</v>
      </c>
    </row>
    <row r="186" spans="1:6" ht="13.9" thickTop="1" thickBot="1" x14ac:dyDescent="0.4">
      <c r="A186" s="38">
        <f>IF(ISERR(NodesJSON[[#This Row],[label]]),0,1)</f>
        <v>1</v>
      </c>
      <c r="B186" s="3" t="str">
        <f>NodesData[[#This Row],[Common Name]]</f>
        <v>Functional Identification System</v>
      </c>
      <c r="C186" s="3" t="str">
        <f>IF(NodesData[[#This Row],[Context Instanciation]]="","",NodesData[[#This Row],[Context Instanciation]])</f>
        <v/>
      </c>
      <c r="D186" s="22" t="str">
        <f>NodesData[[#This Row],[Node ID]]</f>
        <v>3209EB97-002A-444B-8EA8-FC58D3168085</v>
      </c>
      <c r="E186" s="10" t="s">
        <v>815</v>
      </c>
      <c r="F186" s="25" t="str" cm="1">
        <f t="array" ref="F186">IF(NodesJSON[[#This Row],[Export?]]=0,"",IF(ROW(NodesJSON[[#This Row],[label]])&gt;ROW(NodesJSON[[#Headers],[JSON]])+1,",","") &amp;"{"&amp;twoRangesToJSON(NodesJSON[[#Headers],[label]:[url]],NodesJSON[[#This Row],[label]:[url]])&amp;"}")</f>
        <v>,{"label":"Functional Identification System","group":"","id":"3209EB97-002A-444B-8EA8-FC58D3168085","url":"https://open-measure.atlassian.net/wiki/spaces/DIC/pages/419659837"}</v>
      </c>
    </row>
    <row r="187" spans="1:6" ht="13.9" thickTop="1" thickBot="1" x14ac:dyDescent="0.4">
      <c r="A187" s="38">
        <f>IF(ISERR(NodesJSON[[#This Row],[label]]),0,1)</f>
        <v>1</v>
      </c>
      <c r="B187" s="3" t="str">
        <f>NodesData[[#This Row],[Common Name]]</f>
        <v>Functional System</v>
      </c>
      <c r="C187" s="3" t="str">
        <f>IF(NodesData[[#This Row],[Context Instanciation]]="","",NodesData[[#This Row],[Context Instanciation]])</f>
        <v/>
      </c>
      <c r="D187" s="22" t="str">
        <f>NodesData[[#This Row],[Node ID]]</f>
        <v>81968038-A760-40E8-88B9-48BDAF03E082</v>
      </c>
      <c r="E187" s="10" t="s">
        <v>817</v>
      </c>
      <c r="F187" s="25" t="str" cm="1">
        <f t="array" ref="F187">IF(NodesJSON[[#This Row],[Export?]]=0,"",IF(ROW(NodesJSON[[#This Row],[label]])&gt;ROW(NodesJSON[[#Headers],[JSON]])+1,",","") &amp;"{"&amp;twoRangesToJSON(NodesJSON[[#Headers],[label]:[url]],NodesJSON[[#This Row],[label]:[url]])&amp;"}")</f>
        <v>,{"label":"Functional System","group":"","id":"81968038-A760-40E8-88B9-48BDAF03E082","url":"https://open-measure.atlassian.net/wiki/spaces/DIC/pages/419758113"}</v>
      </c>
    </row>
    <row r="188" spans="1:6" ht="13.9" thickTop="1" thickBot="1" x14ac:dyDescent="0.4">
      <c r="A188" s="38">
        <f>IF(ISERR(NodesJSON[[#This Row],[label]]),0,1)</f>
        <v>1</v>
      </c>
      <c r="B188" s="3" t="str">
        <f>NodesData[[#This Row],[Common Name]]</f>
        <v>Gait Recognition Authentication</v>
      </c>
      <c r="C188" s="3" t="str">
        <f>IF(NodesData[[#This Row],[Context Instanciation]]="","",NodesData[[#This Row],[Context Instanciation]])</f>
        <v/>
      </c>
      <c r="D188" s="22" t="str">
        <f>NodesData[[#This Row],[Node ID]]</f>
        <v>A4ADA3D7-3568-4A97-A8E3-4E47A1368F3D</v>
      </c>
      <c r="E188" s="10" t="s">
        <v>819</v>
      </c>
      <c r="F188" s="25" t="str" cm="1">
        <f t="array" ref="F188">IF(NodesJSON[[#This Row],[Export?]]=0,"",IF(ROW(NodesJSON[[#This Row],[label]])&gt;ROW(NodesJSON[[#Headers],[JSON]])+1,",","") &amp;"{"&amp;twoRangesToJSON(NodesJSON[[#Headers],[label]:[url]],NodesJSON[[#This Row],[label]:[url]])&amp;"}")</f>
        <v>,{"label":"Gait Recognition Authentication","group":"","id":"A4ADA3D7-3568-4A97-A8E3-4E47A1368F3D","url":"https://open-measure.atlassian.net/wiki/spaces/DIC/pages/435322922"}</v>
      </c>
    </row>
    <row r="189" spans="1:6" ht="13.9" thickTop="1" thickBot="1" x14ac:dyDescent="0.4">
      <c r="A189" s="38">
        <f>IF(ISERR(NodesJSON[[#This Row],[label]]),0,1)</f>
        <v>1</v>
      </c>
      <c r="B189" s="3" t="str">
        <f>NodesData[[#This Row],[Common Name]]</f>
        <v>Geo-localization Authentication</v>
      </c>
      <c r="C189" s="3" t="str">
        <f>IF(NodesData[[#This Row],[Context Instanciation]]="","",NodesData[[#This Row],[Context Instanciation]])</f>
        <v/>
      </c>
      <c r="D189" s="22" t="str">
        <f>NodesData[[#This Row],[Node ID]]</f>
        <v>2DD29178-312A-43CE-BDC1-683D6D41409B</v>
      </c>
      <c r="E189" s="10" t="s">
        <v>820</v>
      </c>
      <c r="F189" s="25" t="str" cm="1">
        <f t="array" ref="F189">IF(NodesJSON[[#This Row],[Export?]]=0,"",IF(ROW(NodesJSON[[#This Row],[label]])&gt;ROW(NodesJSON[[#Headers],[JSON]])+1,",","") &amp;"{"&amp;twoRangesToJSON(NodesJSON[[#Headers],[label]:[url]],NodesJSON[[#This Row],[label]:[url]])&amp;"}")</f>
        <v>,{"label":"Geo-localization Authentication","group":"","id":"2DD29178-312A-43CE-BDC1-683D6D41409B","url":"https://open-measure.atlassian.net/wiki/spaces/DIC/pages/1311113273/Identifier+Registry+Model"}</v>
      </c>
    </row>
    <row r="190" spans="1:6" ht="13.9" thickTop="1" thickBot="1" x14ac:dyDescent="0.4">
      <c r="A190" s="38">
        <f>IF(ISERR(NodesJSON[[#This Row],[label]]),0,1)</f>
        <v>1</v>
      </c>
      <c r="B190" s="3" t="str">
        <f>NodesData[[#This Row],[Common Name]]</f>
        <v>Graphical Password-Based Authentication</v>
      </c>
      <c r="C190" s="3" t="str">
        <f>IF(NodesData[[#This Row],[Context Instanciation]]="","",NodesData[[#This Row],[Context Instanciation]])</f>
        <v/>
      </c>
      <c r="D190" s="22" t="str">
        <f>NodesData[[#This Row],[Node ID]]</f>
        <v>3C40F0A7-7034-4A74-B397-97E035D694CF</v>
      </c>
      <c r="E190" s="10" t="s">
        <v>822</v>
      </c>
      <c r="F190" s="25" t="str" cm="1">
        <f t="array" ref="F190">IF(NodesJSON[[#This Row],[Export?]]=0,"",IF(ROW(NodesJSON[[#This Row],[label]])&gt;ROW(NodesJSON[[#Headers],[JSON]])+1,",","") &amp;"{"&amp;twoRangesToJSON(NodesJSON[[#Headers],[label]:[url]],NodesJSON[[#This Row],[label]:[url]])&amp;"}")</f>
        <v>,{"label":"Graphical Password-Based Authentication","group":"","id":"3C40F0A7-7034-4A74-B397-97E035D694CF","url":"https://open-measure.atlassian.net/wiki/spaces/DIC/pages/67600948"}</v>
      </c>
    </row>
    <row r="191" spans="1:6" ht="13.9" thickTop="1" thickBot="1" x14ac:dyDescent="0.4">
      <c r="A191" s="38">
        <f>IF(ISERR(NodesJSON[[#This Row],[label]]),0,1)</f>
        <v>1</v>
      </c>
      <c r="B191" s="3" t="str">
        <f>NodesData[[#This Row],[Common Name]]</f>
        <v>Guest Account</v>
      </c>
      <c r="C191" s="3" t="str">
        <f>IF(NodesData[[#This Row],[Context Instanciation]]="","",NodesData[[#This Row],[Context Instanciation]])</f>
        <v/>
      </c>
      <c r="D191" s="22" t="str">
        <f>NodesData[[#This Row],[Node ID]]</f>
        <v>5D4E535A-4BDB-43E4-8E4A-67DCD94E5851</v>
      </c>
      <c r="E191" s="10" t="s">
        <v>823</v>
      </c>
      <c r="F191" s="25" t="str" cm="1">
        <f t="array" ref="F191">IF(NodesJSON[[#This Row],[Export?]]=0,"",IF(ROW(NodesJSON[[#This Row],[label]])&gt;ROW(NodesJSON[[#Headers],[JSON]])+1,",","") &amp;"{"&amp;twoRangesToJSON(NodesJSON[[#Headers],[label]:[url]],NodesJSON[[#This Row],[label]:[url]])&amp;"}")</f>
        <v>,{"label":"Guest Account","group":"","id":"5D4E535A-4BDB-43E4-8E4A-67DCD94E5851","url":"https://open-measure.atlassian.net/wiki/spaces/DIC/pages/1600618542/Identity+Aggregation"}</v>
      </c>
    </row>
    <row r="192" spans="1:6" ht="13.9" thickTop="1" thickBot="1" x14ac:dyDescent="0.4">
      <c r="A192" s="38">
        <f>IF(ISERR(NodesJSON[[#This Row],[label]]),0,1)</f>
        <v>1</v>
      </c>
      <c r="B192" s="3" t="str">
        <f>NodesData[[#This Row],[Common Name]]</f>
        <v>Hand Gestures Recognition Authentication</v>
      </c>
      <c r="C192" s="3" t="str">
        <f>IF(NodesData[[#This Row],[Context Instanciation]]="","",NodesData[[#This Row],[Context Instanciation]])</f>
        <v/>
      </c>
      <c r="D192" s="22" t="str">
        <f>NodesData[[#This Row],[Node ID]]</f>
        <v>46401F0E-29CA-47A3-A39A-0230CB771074</v>
      </c>
      <c r="E192" s="10" t="s">
        <v>824</v>
      </c>
      <c r="F192" s="25" t="str" cm="1">
        <f t="array" ref="F192">IF(NodesJSON[[#This Row],[Export?]]=0,"",IF(ROW(NodesJSON[[#This Row],[label]])&gt;ROW(NodesJSON[[#Headers],[JSON]])+1,",","") &amp;"{"&amp;twoRangesToJSON(NodesJSON[[#Headers],[label]:[url]],NodesJSON[[#This Row],[label]:[url]])&amp;"}")</f>
        <v>,{"label":"Hand Gestures Recognition Authentication","group":"","id":"46401F0E-29CA-47A3-A39A-0230CB771074","url":"https://open-measure.atlassian.net/wiki/spaces/DIC/pages/1458176007/Identity+and+Access+Governance"}</v>
      </c>
    </row>
    <row r="193" spans="1:6" ht="13.9" thickTop="1" thickBot="1" x14ac:dyDescent="0.4">
      <c r="A193" s="38">
        <f>IF(ISERR(NodesJSON[[#This Row],[label]]),0,1)</f>
        <v>1</v>
      </c>
      <c r="B193" s="3" t="str">
        <f>NodesData[[#This Row],[Common Name]]</f>
        <v>Heartbeats Recognition Authentication</v>
      </c>
      <c r="C193" s="3" t="str">
        <f>IF(NodesData[[#This Row],[Context Instanciation]]="","",NodesData[[#This Row],[Context Instanciation]])</f>
        <v/>
      </c>
      <c r="D193" s="22" t="str">
        <f>NodesData[[#This Row],[Node ID]]</f>
        <v>C92DDCBA-ED8B-4196-A9FF-C96029349FAC</v>
      </c>
      <c r="E193" s="10" t="s">
        <v>825</v>
      </c>
      <c r="F193" s="25" t="str" cm="1">
        <f t="array" ref="F193">IF(NodesJSON[[#This Row],[Export?]]=0,"",IF(ROW(NodesJSON[[#This Row],[label]])&gt;ROW(NodesJSON[[#Headers],[JSON]])+1,",","") &amp;"{"&amp;twoRangesToJSON(NodesJSON[[#Headers],[label]:[url]],NodesJSON[[#This Row],[label]:[url]])&amp;"}")</f>
        <v>,{"label":"Heartbeats Recognition Authentication","group":"","id":"C92DDCBA-ED8B-4196-A9FF-C96029349FAC","url":"https://open-measure.atlassian.net/wiki/spaces/DIC/pages/1409143/Identity+and+Access+Management"}</v>
      </c>
    </row>
    <row r="194" spans="1:6" ht="13.9" thickTop="1" thickBot="1" x14ac:dyDescent="0.4">
      <c r="A194" s="38">
        <f>IF(ISERR(NodesJSON[[#This Row],[label]]),0,1)</f>
        <v>1</v>
      </c>
      <c r="B194" s="3" t="str">
        <f>NodesData[[#This Row],[Common Name]]</f>
        <v>High Water Mark Principle</v>
      </c>
      <c r="C194" s="3" t="str">
        <f>IF(NodesData[[#This Row],[Context Instanciation]]="","",NodesData[[#This Row],[Context Instanciation]])</f>
        <v/>
      </c>
      <c r="D194" s="22" t="str">
        <f>NodesData[[#This Row],[Node ID]]</f>
        <v>8F306956-00CB-4F68-965E-0326ED2BC64F</v>
      </c>
      <c r="E194" s="10" t="s">
        <v>848</v>
      </c>
      <c r="F194" s="25" t="str" cm="1">
        <f t="array" ref="F194">IF(NodesJSON[[#This Row],[Export?]]=0,"",IF(ROW(NodesJSON[[#This Row],[label]])&gt;ROW(NodesJSON[[#Headers],[JSON]])+1,",","") &amp;"{"&amp;twoRangesToJSON(NodesJSON[[#Headers],[label]:[url]],NodesJSON[[#This Row],[label]:[url]])&amp;"}")</f>
        <v>,{"label":"High Water Mark Principle","group":"","id":"8F306956-00CB-4F68-965E-0326ED2BC64F","url":"https://open-measure.atlassian.net/wiki/spaces/DIC/pages/1152516217"}</v>
      </c>
    </row>
    <row r="195" spans="1:6" ht="13.9" thickTop="1" thickBot="1" x14ac:dyDescent="0.4">
      <c r="A195" s="38">
        <f>IF(ISERR(NodesJSON[[#This Row],[label]]),0,1)</f>
        <v>1</v>
      </c>
      <c r="B195" s="3" t="str">
        <f>NodesData[[#This Row],[Common Name]]</f>
        <v>Human Error</v>
      </c>
      <c r="C195" s="3" t="str">
        <f>IF(NodesData[[#This Row],[Context Instanciation]]="","",NodesData[[#This Row],[Context Instanciation]])</f>
        <v/>
      </c>
      <c r="D195" s="22" t="str">
        <f>NodesData[[#This Row],[Node ID]]</f>
        <v>11AAEA4F-4AD7-48B6-8503-D40BA5A579BE</v>
      </c>
      <c r="E195" s="10" t="s">
        <v>826</v>
      </c>
      <c r="F195" s="25" t="str" cm="1">
        <f t="array" ref="F195">IF(NodesJSON[[#This Row],[Export?]]=0,"",IF(ROW(NodesJSON[[#This Row],[label]])&gt;ROW(NodesJSON[[#Headers],[JSON]])+1,",","") &amp;"{"&amp;twoRangesToJSON(NodesJSON[[#Headers],[label]:[url]],NodesJSON[[#This Row],[label]:[url]])&amp;"}")</f>
        <v>,{"label":"Human Error","group":"","id":"11AAEA4F-4AD7-48B6-8503-D40BA5A579BE","url":"https://open-measure.atlassian.net/wiki/spaces/DIC/pages/1600749655/Identity+Assurance"}</v>
      </c>
    </row>
    <row r="196" spans="1:6" ht="13.9" thickTop="1" thickBot="1" x14ac:dyDescent="0.4">
      <c r="A196" s="38">
        <f>IF(ISERR(NodesJSON[[#This Row],[label]]),0,1)</f>
        <v>1</v>
      </c>
      <c r="B196" s="3" t="str">
        <f>NodesData[[#This Row],[Common Name]]</f>
        <v>Human Reliability</v>
      </c>
      <c r="C196" s="3" t="str">
        <f>IF(NodesData[[#This Row],[Context Instanciation]]="","",NodesData[[#This Row],[Context Instanciation]])</f>
        <v/>
      </c>
      <c r="D196" s="22" t="str">
        <f>NodesData[[#This Row],[Node ID]]</f>
        <v>7A092CEE-E4F8-4281-BD68-F18A87121871</v>
      </c>
      <c r="E196" s="10" t="s">
        <v>828</v>
      </c>
      <c r="F196" s="25" t="str" cm="1">
        <f t="array" ref="F196">IF(NodesJSON[[#This Row],[Export?]]=0,"",IF(ROW(NodesJSON[[#This Row],[label]])&gt;ROW(NodesJSON[[#Headers],[JSON]])+1,",","") &amp;"{"&amp;twoRangesToJSON(NodesJSON[[#Headers],[label]:[url]],NodesJSON[[#This Row],[label]:[url]])&amp;"}")</f>
        <v>,{"label":"Human Reliability","group":"","id":"7A092CEE-E4F8-4281-BD68-F18A87121871","url":"https://open-measure.atlassian.net/wiki/spaces/DIC/pages/82903275"}</v>
      </c>
    </row>
    <row r="197" spans="1:6" ht="13.9" thickTop="1" thickBot="1" x14ac:dyDescent="0.4">
      <c r="A197" s="38">
        <f>IF(ISERR(NodesJSON[[#This Row],[label]]),0,1)</f>
        <v>1</v>
      </c>
      <c r="B197" s="3" t="str">
        <f>NodesData[[#This Row],[Common Name]]</f>
        <v>IAG</v>
      </c>
      <c r="C197" s="3" t="str">
        <f>IF(NodesData[[#This Row],[Context Instanciation]]="","",NodesData[[#This Row],[Context Instanciation]])</f>
        <v/>
      </c>
      <c r="D197" s="22" t="str">
        <f>NodesData[[#This Row],[Node ID]]</f>
        <v>38B37D63-FDC7-475E-9988-E94A8F7BEC94</v>
      </c>
      <c r="E197" s="10" t="s">
        <v>850</v>
      </c>
      <c r="F197" s="25" t="str" cm="1">
        <f t="array" ref="F197">IF(NodesJSON[[#This Row],[Export?]]=0,"",IF(ROW(NodesJSON[[#This Row],[label]])&gt;ROW(NodesJSON[[#Headers],[JSON]])+1,",","") &amp;"{"&amp;twoRangesToJSON(NodesJSON[[#Headers],[label]:[url]],NodesJSON[[#This Row],[label]:[url]])&amp;"}")</f>
        <v>,{"label":"IAG","group":"","id":"38B37D63-FDC7-475E-9988-E94A8F7BEC94","url":"https://open-measure.atlassian.net/wiki/spaces/DIC/pages/236748873"}</v>
      </c>
    </row>
    <row r="198" spans="1:6" ht="13.9" thickTop="1" thickBot="1" x14ac:dyDescent="0.4">
      <c r="A198" s="38">
        <f>IF(ISERR(NodesJSON[[#This Row],[label]]),0,1)</f>
        <v>1</v>
      </c>
      <c r="B198" s="3" t="str">
        <f>NodesData[[#This Row],[Common Name]]</f>
        <v>IAM</v>
      </c>
      <c r="C198" s="3" t="str">
        <f>IF(NodesData[[#This Row],[Context Instanciation]]="","",NodesData[[#This Row],[Context Instanciation]])</f>
        <v/>
      </c>
      <c r="D198" s="22" t="str">
        <f>NodesData[[#This Row],[Node ID]]</f>
        <v>36B68626-2296-453F-BCA0-1240466A0E44</v>
      </c>
      <c r="E198" s="10" t="s">
        <v>829</v>
      </c>
      <c r="F198" s="25" t="str" cm="1">
        <f t="array" ref="F198">IF(NodesJSON[[#This Row],[Export?]]=0,"",IF(ROW(NodesJSON[[#This Row],[label]])&gt;ROW(NodesJSON[[#Headers],[JSON]])+1,",","") &amp;"{"&amp;twoRangesToJSON(NodesJSON[[#Headers],[label]:[url]],NodesJSON[[#This Row],[label]:[url]])&amp;"}")</f>
        <v>,{"label":"IAM","group":"","id":"36B68626-2296-453F-BCA0-1240466A0E44","url":"https://open-measure.atlassian.net/wiki/spaces/DIC/pages/123896632/Identity+Establishment"}</v>
      </c>
    </row>
    <row r="199" spans="1:6" ht="13.9" thickTop="1" thickBot="1" x14ac:dyDescent="0.4">
      <c r="A199" s="38">
        <f>IF(ISERR(NodesJSON[[#This Row],[label]]),0,1)</f>
        <v>1</v>
      </c>
      <c r="B199" s="3" t="str">
        <f>NodesData[[#This Row],[Common Name]]</f>
        <v>IAM ARN</v>
      </c>
      <c r="C199" s="3" t="str">
        <f>IF(NodesData[[#This Row],[Context Instanciation]]="","",NodesData[[#This Row],[Context Instanciation]])</f>
        <v/>
      </c>
      <c r="D199" s="22" t="str">
        <f>NodesData[[#This Row],[Node ID]]</f>
        <v>CD9B9D1C-3229-4EB5-8852-EC243D4710C4</v>
      </c>
      <c r="E199" s="10" t="s">
        <v>830</v>
      </c>
      <c r="F199" s="25" t="str" cm="1">
        <f t="array" ref="F199">IF(NodesJSON[[#This Row],[Export?]]=0,"",IF(ROW(NodesJSON[[#This Row],[label]])&gt;ROW(NodesJSON[[#Headers],[JSON]])+1,",","") &amp;"{"&amp;twoRangesToJSON(NodesJSON[[#Headers],[label]:[url]],NodesJSON[[#This Row],[label]:[url]])&amp;"}")</f>
        <v>,{"label":"IAM ARN","group":"","id":"CD9B9D1C-3229-4EB5-8852-EC243D4710C4","url":"https://open-measure.atlassian.net/wiki/spaces/DIC/pages/336035929/Identity+Federation"}</v>
      </c>
    </row>
    <row r="200" spans="1:6" ht="13.9" thickTop="1" thickBot="1" x14ac:dyDescent="0.4">
      <c r="A200" s="38">
        <f>IF(ISERR(NodesJSON[[#This Row],[label]]),0,1)</f>
        <v>1</v>
      </c>
      <c r="B200" s="3" t="str">
        <f>NodesData[[#This Row],[Common Name]]</f>
        <v>IAM Management</v>
      </c>
      <c r="C200" s="3" t="str">
        <f>IF(NodesData[[#This Row],[Context Instanciation]]="","",NodesData[[#This Row],[Context Instanciation]])</f>
        <v/>
      </c>
      <c r="D200" s="22" t="str">
        <f>NodesData[[#This Row],[Node ID]]</f>
        <v>93FB5035-1C15-41AE-86FB-713DF99159A2</v>
      </c>
      <c r="E200" s="10" t="s">
        <v>831</v>
      </c>
      <c r="F200" s="25" t="str" cm="1">
        <f t="array" ref="F200">IF(NodesJSON[[#This Row],[Export?]]=0,"",IF(ROW(NodesJSON[[#This Row],[label]])&gt;ROW(NodesJSON[[#Headers],[JSON]])+1,",","") &amp;"{"&amp;twoRangesToJSON(NodesJSON[[#Headers],[label]:[url]],NodesJSON[[#This Row],[label]:[url]])&amp;"}")</f>
        <v>,{"label":"IAM Management","group":"","id":"93FB5035-1C15-41AE-86FB-713DF99159A2","url":"https://open-measure.atlassian.net/wiki/spaces/DIC/pages/1323597918/Identity+Guardian"}</v>
      </c>
    </row>
    <row r="201" spans="1:6" ht="13.9" thickTop="1" thickBot="1" x14ac:dyDescent="0.4">
      <c r="A201" s="38">
        <f>IF(ISERR(NodesJSON[[#This Row],[label]]),0,1)</f>
        <v>1</v>
      </c>
      <c r="B201" s="3" t="str">
        <f>NodesData[[#This Row],[Common Name]]</f>
        <v>IAP</v>
      </c>
      <c r="C201" s="3" t="str">
        <f>IF(NodesData[[#This Row],[Context Instanciation]]="","",NodesData[[#This Row],[Context Instanciation]])</f>
        <v/>
      </c>
      <c r="D201" s="22" t="str">
        <f>NodesData[[#This Row],[Node ID]]</f>
        <v>5B61B2A5-BF69-465F-B7C6-3B0617A2F86F</v>
      </c>
      <c r="E201" s="10" t="s">
        <v>833</v>
      </c>
      <c r="F201" s="25" t="str" cm="1">
        <f t="array" ref="F201">IF(NodesJSON[[#This Row],[Export?]]=0,"",IF(ROW(NodesJSON[[#This Row],[label]])&gt;ROW(NodesJSON[[#Headers],[JSON]])+1,",","") &amp;"{"&amp;twoRangesToJSON(NodesJSON[[#Headers],[label]:[url]],NodesJSON[[#This Row],[label]:[url]])&amp;"}")</f>
        <v>,{"label":"IAP","group":"","id":"5B61B2A5-BF69-465F-B7C6-3B0617A2F86F","url":"https://open-measure.atlassian.net/wiki/spaces/DIC/pages/67600436"}</v>
      </c>
    </row>
    <row r="202" spans="1:6" ht="13.9" thickTop="1" thickBot="1" x14ac:dyDescent="0.4">
      <c r="A202" s="38">
        <f>IF(ISERR(NodesJSON[[#This Row],[label]]),0,1)</f>
        <v>1</v>
      </c>
      <c r="B202" s="3" t="str">
        <f>NodesData[[#This Row],[Common Name]]</f>
        <v>IDaaS</v>
      </c>
      <c r="C202" s="3" t="str">
        <f>IF(NodesData[[#This Row],[Context Instanciation]]="","",NodesData[[#This Row],[Context Instanciation]])</f>
        <v/>
      </c>
      <c r="D202" s="22" t="str">
        <f>NodesData[[#This Row],[Node ID]]</f>
        <v>CDC7A351-B99F-43C4-BF6C-D38446310EC5</v>
      </c>
      <c r="E202" s="10" t="s">
        <v>835</v>
      </c>
      <c r="F202" s="25" t="str" cm="1">
        <f t="array" ref="F202">IF(NodesJSON[[#This Row],[Export?]]=0,"",IF(ROW(NodesJSON[[#This Row],[label]])&gt;ROW(NodesJSON[[#Headers],[JSON]])+1,",","") &amp;"{"&amp;twoRangesToJSON(NodesJSON[[#Headers],[label]:[url]],NodesJSON[[#This Row],[label]:[url]])&amp;"}")</f>
        <v>,{"label":"IDaaS","group":"","id":"CDC7A351-B99F-43C4-BF6C-D38446310EC5","url":"https://open-measure.atlassian.net/wiki/spaces/DIC/pages/1122533530"}</v>
      </c>
    </row>
    <row r="203" spans="1:6" ht="13.9" thickTop="1" thickBot="1" x14ac:dyDescent="0.4">
      <c r="A203" s="38">
        <f>IF(ISERR(NodesJSON[[#This Row],[label]]),0,1)</f>
        <v>1</v>
      </c>
      <c r="B203" s="3" t="str">
        <f>NodesData[[#This Row],[Common Name]]</f>
        <v>Ideal Type</v>
      </c>
      <c r="C203" s="3" t="str">
        <f>IF(NodesData[[#This Row],[Context Instanciation]]="","",NodesData[[#This Row],[Context Instanciation]])</f>
        <v/>
      </c>
      <c r="D203" s="22" t="str">
        <f>NodesData[[#This Row],[Node ID]]</f>
        <v>04FCC654-7A38-423D-9654-4BB281273FA2</v>
      </c>
      <c r="E203" s="10" t="s">
        <v>837</v>
      </c>
      <c r="F203" s="25" t="str" cm="1">
        <f t="array" ref="F203">IF(NodesJSON[[#This Row],[Export?]]=0,"",IF(ROW(NodesJSON[[#This Row],[label]])&gt;ROW(NodesJSON[[#Headers],[JSON]])+1,",","") &amp;"{"&amp;twoRangesToJSON(NodesJSON[[#Headers],[label]:[url]],NodesJSON[[#This Row],[label]:[url]])&amp;"}")</f>
        <v>,{"label":"Ideal Type","group":"","id":"04FCC654-7A38-423D-9654-4BB281273FA2","url":"https://open-measure.atlassian.net/wiki/spaces/DIC/pages/1146847286"}</v>
      </c>
    </row>
    <row r="204" spans="1:6" ht="13.9" thickTop="1" thickBot="1" x14ac:dyDescent="0.4">
      <c r="A204" s="38">
        <f>IF(ISERR(NodesJSON[[#This Row],[label]]),0,1)</f>
        <v>1</v>
      </c>
      <c r="B204" s="3" t="str">
        <f>NodesData[[#This Row],[Common Name]]</f>
        <v>Identification</v>
      </c>
      <c r="C204" s="3" t="str">
        <f>IF(NodesData[[#This Row],[Context Instanciation]]="","",NodesData[[#This Row],[Context Instanciation]])</f>
        <v/>
      </c>
      <c r="D204" s="22" t="str">
        <f>NodesData[[#This Row],[Node ID]]</f>
        <v>DBA49D0C-1156-48CB-9C7A-B4088A1EB0FC</v>
      </c>
      <c r="E204" s="10" t="s">
        <v>838</v>
      </c>
      <c r="F204" s="25" t="str" cm="1">
        <f t="array" ref="F204">IF(NodesJSON[[#This Row],[Export?]]=0,"",IF(ROW(NodesJSON[[#This Row],[label]])&gt;ROW(NodesJSON[[#Headers],[JSON]])+1,",","") &amp;"{"&amp;twoRangesToJSON(NodesJSON[[#Headers],[label]:[url]],NodesJSON[[#This Row],[label]:[url]])&amp;"}")</f>
        <v>,{"label":"Identification","group":"","id":"DBA49D0C-1156-48CB-9C7A-B4088A1EB0FC","url":"https://open-measure.atlassian.net/wiki/spaces/DIC/pages/1323434004/Identity+Portability"}</v>
      </c>
    </row>
    <row r="205" spans="1:6" ht="13.9" thickTop="1" thickBot="1" x14ac:dyDescent="0.4">
      <c r="A205" s="38">
        <f>IF(ISERR(NodesJSON[[#This Row],[label]]),0,1)</f>
        <v>1</v>
      </c>
      <c r="B205" s="3" t="str">
        <f>NodesData[[#This Row],[Common Name]]</f>
        <v>Identification System</v>
      </c>
      <c r="C205" s="3" t="str">
        <f>IF(NodesData[[#This Row],[Context Instanciation]]="","",NodesData[[#This Row],[Context Instanciation]])</f>
        <v/>
      </c>
      <c r="D205" s="22" t="str">
        <f>NodesData[[#This Row],[Node ID]]</f>
        <v>93DC22E7-F62B-4894-9016-734E87D969DC</v>
      </c>
      <c r="E205" s="10" t="s">
        <v>840</v>
      </c>
      <c r="F205" s="25" t="str" cm="1">
        <f t="array" ref="F205">IF(NodesJSON[[#This Row],[Export?]]=0,"",IF(ROW(NodesJSON[[#This Row],[label]])&gt;ROW(NodesJSON[[#Headers],[JSON]])+1,",","") &amp;"{"&amp;twoRangesToJSON(NodesJSON[[#Headers],[label]:[url]],NodesJSON[[#This Row],[label]:[url]])&amp;"}")</f>
        <v>,{"label":"Identification System","group":"","id":"93DC22E7-F62B-4894-9016-734E87D969DC","url":"https://open-measure.atlassian.net/wiki/spaces/DIC/pages/858522094"}</v>
      </c>
    </row>
    <row r="206" spans="1:6" ht="13.9" thickTop="1" thickBot="1" x14ac:dyDescent="0.4">
      <c r="A206" s="38">
        <f>IF(ISERR(NodesJSON[[#This Row],[label]]),0,1)</f>
        <v>1</v>
      </c>
      <c r="B206" s="3" t="str">
        <f>NodesData[[#This Row],[Common Name]]</f>
        <v>Identifier</v>
      </c>
      <c r="C206" s="3" t="str">
        <f>IF(NodesData[[#This Row],[Context Instanciation]]="","",NodesData[[#This Row],[Context Instanciation]])</f>
        <v/>
      </c>
      <c r="D206" s="22" t="str">
        <f>NodesData[[#This Row],[Node ID]]</f>
        <v>DA4116EE-07AC-40A4-9E22-4894AFACAF98</v>
      </c>
      <c r="E206" s="10" t="s">
        <v>842</v>
      </c>
      <c r="F206" s="25" t="str" cm="1">
        <f t="array" ref="F206">IF(NodesJSON[[#This Row],[Export?]]=0,"",IF(ROW(NodesJSON[[#This Row],[label]])&gt;ROW(NodesJSON[[#Headers],[JSON]])+1,",","") &amp;"{"&amp;twoRangesToJSON(NodesJSON[[#Headers],[label]:[url]],NodesJSON[[#This Row],[label]:[url]])&amp;"}")</f>
        <v>,{"label":"Identifier","group":"","id":"DA4116EE-07AC-40A4-9E22-4894AFACAF98","url":"https://open-measure.atlassian.net/wiki/spaces/DIC/pages/810254353"}</v>
      </c>
    </row>
    <row r="207" spans="1:6" ht="13.9" thickTop="1" thickBot="1" x14ac:dyDescent="0.4">
      <c r="A207" s="38">
        <f>IF(ISERR(NodesJSON[[#This Row],[label]]),0,1)</f>
        <v>1</v>
      </c>
      <c r="B207" s="3" t="str">
        <f>NodesData[[#This Row],[Common Name]]</f>
        <v>Identifier Registry Model</v>
      </c>
      <c r="C207" s="3" t="str">
        <f>IF(NodesData[[#This Row],[Context Instanciation]]="","",NodesData[[#This Row],[Context Instanciation]])</f>
        <v/>
      </c>
      <c r="D207" s="22" t="str">
        <f>NodesData[[#This Row],[Node ID]]</f>
        <v>7182B918-101D-409C-B591-A6DF9854D46B</v>
      </c>
      <c r="E207" s="10" t="s">
        <v>844</v>
      </c>
      <c r="F207" s="25" t="str" cm="1">
        <f t="array" ref="F207">IF(NodesJSON[[#This Row],[Export?]]=0,"",IF(ROW(NodesJSON[[#This Row],[label]])&gt;ROW(NodesJSON[[#Headers],[JSON]])+1,",","") &amp;"{"&amp;twoRangesToJSON(NodesJSON[[#Headers],[label]:[url]],NodesJSON[[#This Row],[label]:[url]])&amp;"}")</f>
        <v>,{"label":"Identifier Registry Model","group":"","id":"7182B918-101D-409C-B591-A6DF9854D46B","url":"https://open-measure.atlassian.net/wiki/spaces/DIC/pages/82838020"}</v>
      </c>
    </row>
    <row r="208" spans="1:6" ht="13.9" thickTop="1" thickBot="1" x14ac:dyDescent="0.4">
      <c r="A208" s="38">
        <f>IF(ISERR(NodesJSON[[#This Row],[label]]),0,1)</f>
        <v>1</v>
      </c>
      <c r="B208" s="3" t="str">
        <f>NodesData[[#This Row],[Common Name]]</f>
        <v>Identity</v>
      </c>
      <c r="C208" s="3" t="str">
        <f>IF(NodesData[[#This Row],[Context Instanciation]]="","",NodesData[[#This Row],[Context Instanciation]])</f>
        <v/>
      </c>
      <c r="D208" s="22" t="str">
        <f>NodesData[[#This Row],[Node ID]]</f>
        <v>ECE5E949-7963-43BA-85FC-D7B165E74200</v>
      </c>
      <c r="E208" s="10" t="s">
        <v>846</v>
      </c>
      <c r="F208" s="25" t="str" cm="1">
        <f t="array" ref="F208">IF(NodesJSON[[#This Row],[Export?]]=0,"",IF(ROW(NodesJSON[[#This Row],[label]])&gt;ROW(NodesJSON[[#Headers],[JSON]])+1,",","") &amp;"{"&amp;twoRangesToJSON(NodesJSON[[#Headers],[label]:[url]],NodesJSON[[#This Row],[label]:[url]])&amp;"}")</f>
        <v>,{"label":"Identity","group":"","id":"ECE5E949-7963-43BA-85FC-D7B165E74200","url":"https://open-measure.atlassian.net/wiki/spaces/DIC/pages/1117913089"}</v>
      </c>
    </row>
    <row r="209" spans="1:6" ht="13.9" thickTop="1" thickBot="1" x14ac:dyDescent="0.4">
      <c r="A209" s="38">
        <f>IF(ISERR(NodesJSON[[#This Row],[label]]),0,1)</f>
        <v>1</v>
      </c>
      <c r="B209" s="3" t="str">
        <f>NodesData[[#This Row],[Common Name]]</f>
        <v>Identity Aggregation</v>
      </c>
      <c r="C209" s="3" t="str">
        <f>IF(NodesData[[#This Row],[Context Instanciation]]="","",NodesData[[#This Row],[Context Instanciation]])</f>
        <v/>
      </c>
      <c r="D209" s="22" t="str">
        <f>NodesData[[#This Row],[Node ID]]</f>
        <v>AD502B6D-0586-456A-B841-C584063FFF6F</v>
      </c>
      <c r="E209" s="10" t="s">
        <v>852</v>
      </c>
      <c r="F209" s="25" t="str" cm="1">
        <f t="array" ref="F209">IF(NodesJSON[[#This Row],[Export?]]=0,"",IF(ROW(NodesJSON[[#This Row],[label]])&gt;ROW(NodesJSON[[#Headers],[JSON]])+1,",","") &amp;"{"&amp;twoRangesToJSON(NodesJSON[[#Headers],[label]:[url]],NodesJSON[[#This Row],[label]:[url]])&amp;"}")</f>
        <v>,{"label":"Identity Aggregation","group":"","id":"AD502B6D-0586-456A-B841-C584063FFF6F","url":"https://open-measure.atlassian.net/wiki/spaces/DIC/pages/1147043904"}</v>
      </c>
    </row>
    <row r="210" spans="1:6" ht="13.9" thickTop="1" thickBot="1" x14ac:dyDescent="0.4">
      <c r="A210" s="38">
        <f>IF(ISERR(NodesJSON[[#This Row],[label]]),0,1)</f>
        <v>1</v>
      </c>
      <c r="B210" s="3" t="str">
        <f>NodesData[[#This Row],[Common Name]]</f>
        <v>Identity and Access Governance</v>
      </c>
      <c r="C210" s="3" t="str">
        <f>IF(NodesData[[#This Row],[Context Instanciation]]="","",NodesData[[#This Row],[Context Instanciation]])</f>
        <v/>
      </c>
      <c r="D210" s="22" t="str">
        <f>NodesData[[#This Row],[Node ID]]</f>
        <v>F49E932D-1DC4-443E-879B-95852251E1F4</v>
      </c>
      <c r="E210" s="10" t="s">
        <v>854</v>
      </c>
      <c r="F210" s="25" t="str" cm="1">
        <f t="array" ref="F210">IF(NodesJSON[[#This Row],[Export?]]=0,"",IF(ROW(NodesJSON[[#This Row],[label]])&gt;ROW(NodesJSON[[#Headers],[JSON]])+1,",","") &amp;"{"&amp;twoRangesToJSON(NodesJSON[[#Headers],[label]:[url]],NodesJSON[[#This Row],[label]:[url]])&amp;"}")</f>
        <v>,{"label":"Identity and Access Governance","group":"","id":"F49E932D-1DC4-443E-879B-95852251E1F4","url":"https://open-measure.atlassian.net/wiki/spaces/DIC/pages/81101362"}</v>
      </c>
    </row>
    <row r="211" spans="1:6" ht="13.9" thickTop="1" thickBot="1" x14ac:dyDescent="0.4">
      <c r="A211" s="38">
        <f>IF(ISERR(NodesJSON[[#This Row],[label]]),0,1)</f>
        <v>1</v>
      </c>
      <c r="B211" s="3" t="str">
        <f>NodesData[[#This Row],[Common Name]]</f>
        <v>Identity and Access Management</v>
      </c>
      <c r="C211" s="3" t="str">
        <f>IF(NodesData[[#This Row],[Context Instanciation]]="","",NodesData[[#This Row],[Context Instanciation]])</f>
        <v/>
      </c>
      <c r="D211" s="22" t="str">
        <f>NodesData[[#This Row],[Node ID]]</f>
        <v>C064B8CC-D2B3-4608-8ECA-84C284889DED</v>
      </c>
      <c r="E211" s="10" t="s">
        <v>856</v>
      </c>
      <c r="F211" s="25" t="str" cm="1">
        <f t="array" ref="F211">IF(NodesJSON[[#This Row],[Export?]]=0,"",IF(ROW(NodesJSON[[#This Row],[label]])&gt;ROW(NodesJSON[[#Headers],[JSON]])+1,",","") &amp;"{"&amp;twoRangesToJSON(NodesJSON[[#Headers],[label]:[url]],NodesJSON[[#This Row],[label]:[url]])&amp;"}")</f>
        <v>,{"label":"Identity and Access Management","group":"","id":"C064B8CC-D2B3-4608-8ECA-84C284889DED","url":"https://open-measure.atlassian.net/wiki/spaces/DIC/pages/107708597"}</v>
      </c>
    </row>
    <row r="212" spans="1:6" ht="13.9" thickTop="1" thickBot="1" x14ac:dyDescent="0.4">
      <c r="A212" s="38">
        <f>IF(ISERR(NodesJSON[[#This Row],[label]]),0,1)</f>
        <v>1</v>
      </c>
      <c r="B212" s="3" t="str">
        <f>NodesData[[#This Row],[Common Name]]</f>
        <v>Identity Assurance</v>
      </c>
      <c r="C212" s="3" t="str">
        <f>IF(NodesData[[#This Row],[Context Instanciation]]="","",NodesData[[#This Row],[Context Instanciation]])</f>
        <v/>
      </c>
      <c r="D212" s="22" t="str">
        <f>NodesData[[#This Row],[Node ID]]</f>
        <v>2BF9EC24-DB77-42D2-A63C-BB528873268F</v>
      </c>
      <c r="E212" s="10" t="s">
        <v>858</v>
      </c>
      <c r="F212" s="25" t="str" cm="1">
        <f t="array" ref="F212">IF(NodesJSON[[#This Row],[Export?]]=0,"",IF(ROW(NodesJSON[[#This Row],[label]])&gt;ROW(NodesJSON[[#Headers],[JSON]])+1,",","") &amp;"{"&amp;twoRangesToJSON(NodesJSON[[#Headers],[label]:[url]],NodesJSON[[#This Row],[label]:[url]])&amp;"}")</f>
        <v>,{"label":"Identity Assurance","group":"","id":"2BF9EC24-DB77-42D2-A63C-BB528873268F","url":"https://open-measure.atlassian.net/wiki/spaces/DIC/pages/974323719"}</v>
      </c>
    </row>
    <row r="213" spans="1:6" ht="13.9" thickTop="1" thickBot="1" x14ac:dyDescent="0.4">
      <c r="A213" s="38">
        <f>IF(ISERR(NodesJSON[[#This Row],[label]]),0,1)</f>
        <v>1</v>
      </c>
      <c r="B213" s="3" t="str">
        <f>NodesData[[#This Row],[Common Name]]</f>
        <v>Identity Attribute</v>
      </c>
      <c r="C213" s="3" t="str">
        <f>IF(NodesData[[#This Row],[Context Instanciation]]="","",NodesData[[#This Row],[Context Instanciation]])</f>
        <v/>
      </c>
      <c r="D213" s="22" t="str">
        <f>NodesData[[#This Row],[Node ID]]</f>
        <v>3262567A-1B72-4C2F-9802-81AA2F63B13A</v>
      </c>
      <c r="E213" s="4"/>
      <c r="F213" s="25" t="str" cm="1">
        <f t="array" ref="F213">IF(NodesJSON[[#This Row],[Export?]]=0,"",IF(ROW(NodesJSON[[#This Row],[label]])&gt;ROW(NodesJSON[[#Headers],[JSON]])+1,",","") &amp;"{"&amp;twoRangesToJSON(NodesJSON[[#Headers],[label]:[url]],NodesJSON[[#This Row],[label]:[url]])&amp;"}")</f>
        <v>,{"label":"Identity Attribute","group":"","id":"3262567A-1B72-4C2F-9802-81AA2F63B13A","url":""}</v>
      </c>
    </row>
    <row r="214" spans="1:6" ht="13.9" thickTop="1" thickBot="1" x14ac:dyDescent="0.4">
      <c r="A214" s="38">
        <f>IF(ISERR(NodesJSON[[#This Row],[label]]),0,1)</f>
        <v>1</v>
      </c>
      <c r="B214" s="3" t="str">
        <f>NodesData[[#This Row],[Common Name]]</f>
        <v>Identity Deception</v>
      </c>
      <c r="C214" s="3" t="str">
        <f>IF(NodesData[[#This Row],[Context Instanciation]]="","",NodesData[[#This Row],[Context Instanciation]])</f>
        <v/>
      </c>
      <c r="D214" s="22" t="str">
        <f>NodesData[[#This Row],[Node ID]]</f>
        <v>8AB3C29B-04F9-4068-85E6-82031382CE74</v>
      </c>
      <c r="E214" s="10" t="s">
        <v>860</v>
      </c>
      <c r="F214" s="25" t="str" cm="1">
        <f t="array" ref="F214">IF(NodesJSON[[#This Row],[Export?]]=0,"",IF(ROW(NodesJSON[[#This Row],[label]])&gt;ROW(NodesJSON[[#Headers],[JSON]])+1,",","") &amp;"{"&amp;twoRangesToJSON(NodesJSON[[#Headers],[label]:[url]],NodesJSON[[#This Row],[label]:[url]])&amp;"}")</f>
        <v>,{"label":"Identity Deception","group":"","id":"8AB3C29B-04F9-4068-85E6-82031382CE74","url":"https://open-measure.atlassian.net/wiki/spaces/DIC/pages/1027342618"}</v>
      </c>
    </row>
    <row r="215" spans="1:6" ht="13.9" thickTop="1" thickBot="1" x14ac:dyDescent="0.4">
      <c r="A215" s="38">
        <f>IF(ISERR(NodesJSON[[#This Row],[label]]),0,1)</f>
        <v>1</v>
      </c>
      <c r="B215" s="3" t="str">
        <f>NodesData[[#This Row],[Common Name]]</f>
        <v>Identity Establishment</v>
      </c>
      <c r="C215" s="3" t="str">
        <f>IF(NodesData[[#This Row],[Context Instanciation]]="","",NodesData[[#This Row],[Context Instanciation]])</f>
        <v/>
      </c>
      <c r="D215" s="22" t="str">
        <f>NodesData[[#This Row],[Node ID]]</f>
        <v>ADC16E09-247E-4E67-B563-C7F962784D09</v>
      </c>
      <c r="E215" s="10" t="s">
        <v>862</v>
      </c>
      <c r="F215" s="25" t="str" cm="1">
        <f t="array" ref="F215">IF(NodesJSON[[#This Row],[Export?]]=0,"",IF(ROW(NodesJSON[[#This Row],[label]])&gt;ROW(NodesJSON[[#Headers],[JSON]])+1,",","") &amp;"{"&amp;twoRangesToJSON(NodesJSON[[#Headers],[label]:[url]],NodesJSON[[#This Row],[label]:[url]])&amp;"}")</f>
        <v>,{"label":"Identity Establishment","group":"","id":"ADC16E09-247E-4E67-B563-C7F962784D09","url":"https://open-measure.atlassian.net/wiki/spaces/DIC/pages/455508212"}</v>
      </c>
    </row>
    <row r="216" spans="1:6" ht="13.9" thickTop="1" thickBot="1" x14ac:dyDescent="0.4">
      <c r="A216" s="38">
        <f>IF(ISERR(NodesJSON[[#This Row],[label]]),0,1)</f>
        <v>1</v>
      </c>
      <c r="B216" s="3" t="str">
        <f>NodesData[[#This Row],[Common Name]]</f>
        <v>Identity Federation</v>
      </c>
      <c r="C216" s="3" t="str">
        <f>IF(NodesData[[#This Row],[Context Instanciation]]="","",NodesData[[#This Row],[Context Instanciation]])</f>
        <v/>
      </c>
      <c r="D216" s="22" t="str">
        <f>NodesData[[#This Row],[Node ID]]</f>
        <v>1097BABD-237E-4C31-B091-DA27B377143A</v>
      </c>
      <c r="E216" s="10" t="s">
        <v>864</v>
      </c>
      <c r="F216" s="25" t="str" cm="1">
        <f t="array" ref="F216">IF(NodesJSON[[#This Row],[Export?]]=0,"",IF(ROW(NodesJSON[[#This Row],[label]])&gt;ROW(NodesJSON[[#Headers],[JSON]])+1,",","") &amp;"{"&amp;twoRangesToJSON(NodesJSON[[#Headers],[label]:[url]],NodesJSON[[#This Row],[label]:[url]])&amp;"}")</f>
        <v>,{"label":"Identity Federation","group":"","id":"1097BABD-237E-4C31-B091-DA27B377143A","url":"https://open-measure.atlassian.net/wiki/spaces/DIC/pages/1004896257"}</v>
      </c>
    </row>
    <row r="217" spans="1:6" ht="13.9" thickTop="1" thickBot="1" x14ac:dyDescent="0.4">
      <c r="A217" s="38">
        <f>IF(ISERR(NodesJSON[[#This Row],[label]]),0,1)</f>
        <v>1</v>
      </c>
      <c r="B217" s="3" t="str">
        <f>NodesData[[#This Row],[Common Name]]</f>
        <v>Identity Guardian</v>
      </c>
      <c r="C217" s="3" t="str">
        <f>IF(NodesData[[#This Row],[Context Instanciation]]="","",NodesData[[#This Row],[Context Instanciation]])</f>
        <v/>
      </c>
      <c r="D217" s="22" t="str">
        <f>NodesData[[#This Row],[Node ID]]</f>
        <v>DD91104E-A753-4608-91C4-78A10E41CA1A</v>
      </c>
      <c r="E217" s="10" t="s">
        <v>866</v>
      </c>
      <c r="F217" s="25" t="str" cm="1">
        <f t="array" ref="F217">IF(NodesJSON[[#This Row],[Export?]]=0,"",IF(ROW(NodesJSON[[#This Row],[label]])&gt;ROW(NodesJSON[[#Headers],[JSON]])+1,",","") &amp;"{"&amp;twoRangesToJSON(NodesJSON[[#Headers],[label]:[url]],NodesJSON[[#This Row],[label]:[url]])&amp;"}")</f>
        <v>,{"label":"Identity Guardian","group":"","id":"DD91104E-A753-4608-91C4-78A10E41CA1A","url":"https://open-measure.atlassian.net/wiki/spaces/DIC/pages/1177714758"}</v>
      </c>
    </row>
    <row r="218" spans="1:6" ht="13.9" thickTop="1" thickBot="1" x14ac:dyDescent="0.4">
      <c r="A218" s="38">
        <f>IF(ISERR(NodesJSON[[#This Row],[label]]),0,1)</f>
        <v>1</v>
      </c>
      <c r="B218" s="3" t="str">
        <f>NodesData[[#This Row],[Common Name]]</f>
        <v>Identity Lifecycle</v>
      </c>
      <c r="C218" s="3" t="str">
        <f>IF(NodesData[[#This Row],[Context Instanciation]]="","",NodesData[[#This Row],[Context Instanciation]])</f>
        <v/>
      </c>
      <c r="D218" s="22" t="str">
        <f>NodesData[[#This Row],[Node ID]]</f>
        <v>D2F0CD41-D496-44FC-B1FF-DE2DB4F6E1F1</v>
      </c>
      <c r="E218" s="10" t="s">
        <v>868</v>
      </c>
      <c r="F218" s="25" t="str" cm="1">
        <f t="array" ref="F218">IF(NodesJSON[[#This Row],[Export?]]=0,"",IF(ROW(NodesJSON[[#This Row],[label]])&gt;ROW(NodesJSON[[#Headers],[JSON]])+1,",","") &amp;"{"&amp;twoRangesToJSON(NodesJSON[[#Headers],[label]:[url]],NodesJSON[[#This Row],[label]:[url]])&amp;"}")</f>
        <v>,{"label":"Identity Lifecycle","group":"","id":"D2F0CD41-D496-44FC-B1FF-DE2DB4F6E1F1","url":"https://open-measure.atlassian.net/wiki/spaces/DIC/pages/998113409"}</v>
      </c>
    </row>
    <row r="219" spans="1:6" ht="13.9" thickTop="1" thickBot="1" x14ac:dyDescent="0.4">
      <c r="A219" s="38">
        <f>IF(ISERR(NodesJSON[[#This Row],[label]]),0,1)</f>
        <v>1</v>
      </c>
      <c r="B219" s="3" t="str">
        <f>NodesData[[#This Row],[Common Name]]</f>
        <v>Identity Management</v>
      </c>
      <c r="C219" s="3" t="str">
        <f>IF(NodesData[[#This Row],[Context Instanciation]]="","",NodesData[[#This Row],[Context Instanciation]])</f>
        <v/>
      </c>
      <c r="D219" s="22" t="str">
        <f>NodesData[[#This Row],[Node ID]]</f>
        <v>A236A003-6F40-4107-9F00-034B4CA62DA0</v>
      </c>
      <c r="E219" s="10" t="s">
        <v>869</v>
      </c>
      <c r="F219" s="25" t="str" cm="1">
        <f t="array" ref="F219">IF(NodesJSON[[#This Row],[Export?]]=0,"",IF(ROW(NodesJSON[[#This Row],[label]])&gt;ROW(NodesJSON[[#Headers],[JSON]])+1,",","") &amp;"{"&amp;twoRangesToJSON(NodesJSON[[#Headers],[label]:[url]],NodesJSON[[#This Row],[label]:[url]])&amp;"}")</f>
        <v>,{"label":"Identity Management","group":"","id":"A236A003-6F40-4107-9F00-034B4CA62DA0","url":"https://open-measure.atlassian.net/wiki/spaces/DIC/pages/438698009/Information+Security+Domain"}</v>
      </c>
    </row>
    <row r="220" spans="1:6" ht="13.9" thickTop="1" thickBot="1" x14ac:dyDescent="0.4">
      <c r="A220" s="38">
        <f>IF(ISERR(NodesJSON[[#This Row],[label]]),0,1)</f>
        <v>1</v>
      </c>
      <c r="B220" s="3" t="str">
        <f>NodesData[[#This Row],[Common Name]]</f>
        <v>Identity Management System</v>
      </c>
      <c r="C220" s="3" t="str">
        <f>IF(NodesData[[#This Row],[Context Instanciation]]="","",NodesData[[#This Row],[Context Instanciation]])</f>
        <v/>
      </c>
      <c r="D220" s="22" t="str">
        <f>NodesData[[#This Row],[Node ID]]</f>
        <v>9CD1916E-F309-41D5-AC6A-713B70461AAA</v>
      </c>
      <c r="E220" s="10" t="s">
        <v>870</v>
      </c>
      <c r="F220" s="25" t="str" cm="1">
        <f t="array" ref="F220">IF(NodesJSON[[#This Row],[Export?]]=0,"",IF(ROW(NodesJSON[[#This Row],[label]])&gt;ROW(NodesJSON[[#Headers],[JSON]])+1,",","") &amp;"{"&amp;twoRangesToJSON(NodesJSON[[#Headers],[label]:[url]],NodesJSON[[#This Row],[label]:[url]])&amp;"}")</f>
        <v>,{"label":"Identity Management System","group":"","id":"9CD1916E-F309-41D5-AC6A-713B70461AAA","url":"https://open-measure.atlassian.net/wiki/spaces/DIC/pages/1031241830/Information+System"}</v>
      </c>
    </row>
    <row r="221" spans="1:6" ht="13.9" thickTop="1" thickBot="1" x14ac:dyDescent="0.4">
      <c r="A221" s="38">
        <f>IF(ISERR(NodesJSON[[#This Row],[label]]),0,1)</f>
        <v>1</v>
      </c>
      <c r="B221" s="3" t="str">
        <f>NodesData[[#This Row],[Common Name]]</f>
        <v>Identity Portability</v>
      </c>
      <c r="C221" s="3" t="str">
        <f>IF(NodesData[[#This Row],[Context Instanciation]]="","",NodesData[[#This Row],[Context Instanciation]])</f>
        <v/>
      </c>
      <c r="D221" s="22" t="str">
        <f>NodesData[[#This Row],[Node ID]]</f>
        <v>1D0B9B27-BA0A-42A0-BA95-DA8B51BE6921</v>
      </c>
      <c r="E221" s="3"/>
      <c r="F221" s="25" t="str" cm="1">
        <f t="array" ref="F221">IF(NodesJSON[[#This Row],[Export?]]=0,"",IF(ROW(NodesJSON[[#This Row],[label]])&gt;ROW(NodesJSON[[#Headers],[JSON]])+1,",","") &amp;"{"&amp;twoRangesToJSON(NodesJSON[[#Headers],[label]:[url]],NodesJSON[[#This Row],[label]:[url]])&amp;"}")</f>
        <v>,{"label":"Identity Portability","group":"","id":"1D0B9B27-BA0A-42A0-BA95-DA8B51BE6921","url":""}</v>
      </c>
    </row>
    <row r="222" spans="1:6" ht="13.9" thickTop="1" thickBot="1" x14ac:dyDescent="0.4">
      <c r="A222" s="38">
        <f>IF(ISERR(NodesJSON[[#This Row],[label]]),0,1)</f>
        <v>1</v>
      </c>
      <c r="B222" s="3" t="str">
        <f>NodesData[[#This Row],[Common Name]]</f>
        <v>Identity Proofing</v>
      </c>
      <c r="C222" s="3" t="str">
        <f>IF(NodesData[[#This Row],[Context Instanciation]]="","",NodesData[[#This Row],[Context Instanciation]])</f>
        <v/>
      </c>
      <c r="D222" s="22" t="str">
        <f>NodesData[[#This Row],[Node ID]]</f>
        <v>23033304-A691-4F86-A7D2-512923E7EBB7</v>
      </c>
      <c r="E222" s="10" t="s">
        <v>871</v>
      </c>
      <c r="F222" s="25" t="str" cm="1">
        <f t="array" ref="F222">IF(NodesJSON[[#This Row],[Export?]]=0,"",IF(ROW(NodesJSON[[#This Row],[label]])&gt;ROW(NodesJSON[[#Headers],[JSON]])+1,",","") &amp;"{"&amp;twoRangesToJSON(NodesJSON[[#Headers],[label]:[url]],NodesJSON[[#This Row],[label]:[url]])&amp;"}")</f>
        <v>,{"label":"Identity Proofing","group":"","id":"23033304-A691-4F86-A7D2-512923E7EBB7","url":"https://open-measure.atlassian.net/wiki/spaces/DIC/pages/1477869651/Inside+Attacker"}</v>
      </c>
    </row>
    <row r="223" spans="1:6" ht="13.9" thickTop="1" thickBot="1" x14ac:dyDescent="0.4">
      <c r="A223" s="38">
        <f>IF(ISERR(NodesJSON[[#This Row],[label]]),0,1)</f>
        <v>1</v>
      </c>
      <c r="B223" s="3" t="str">
        <f>NodesData[[#This Row],[Common Name]]</f>
        <v>Identity Propagation</v>
      </c>
      <c r="C223" s="3" t="str">
        <f>IF(NodesData[[#This Row],[Context Instanciation]]="","",NodesData[[#This Row],[Context Instanciation]])</f>
        <v/>
      </c>
      <c r="D223" s="22" t="str">
        <f>NodesData[[#This Row],[Node ID]]</f>
        <v>8FE8C150-C077-40A5-85ED-7EB71C6537CA</v>
      </c>
      <c r="E223" s="10" t="s">
        <v>872</v>
      </c>
      <c r="F223" s="25" t="str" cm="1">
        <f t="array" ref="F223">IF(NodesJSON[[#This Row],[Export?]]=0,"",IF(ROW(NodesJSON[[#This Row],[label]])&gt;ROW(NodesJSON[[#Headers],[JSON]])+1,",","") &amp;"{"&amp;twoRangesToJSON(NodesJSON[[#Headers],[label]:[url]],NodesJSON[[#This Row],[label]:[url]])&amp;"}")</f>
        <v>,{"label":"Identity Propagation","group":"","id":"8FE8C150-C077-40A5-85ED-7EB71C6537CA","url":"https://open-measure.atlassian.net/wiki/spaces/DIC/pages/1451884782/Insider"}</v>
      </c>
    </row>
    <row r="224" spans="1:6" ht="13.9" thickTop="1" thickBot="1" x14ac:dyDescent="0.4">
      <c r="A224" s="38">
        <f>IF(ISERR(NodesJSON[[#This Row],[label]]),0,1)</f>
        <v>1</v>
      </c>
      <c r="B224" s="3" t="str">
        <f>NodesData[[#This Row],[Common Name]]</f>
        <v>Identity Provider</v>
      </c>
      <c r="C224" s="3" t="str">
        <f>IF(NodesData[[#This Row],[Context Instanciation]]="","",NodesData[[#This Row],[Context Instanciation]])</f>
        <v/>
      </c>
      <c r="D224" s="22" t="str">
        <f>NodesData[[#This Row],[Node ID]]</f>
        <v>1C0D1083-FCAB-41BB-AB87-4829FB11D792</v>
      </c>
      <c r="E224" s="10" t="s">
        <v>873</v>
      </c>
      <c r="F224" s="25" t="str" cm="1">
        <f t="array" ref="F224">IF(NodesJSON[[#This Row],[Export?]]=0,"",IF(ROW(NodesJSON[[#This Row],[label]])&gt;ROW(NodesJSON[[#Headers],[JSON]])+1,",","") &amp;"{"&amp;twoRangesToJSON(NodesJSON[[#Headers],[label]:[url]],NodesJSON[[#This Row],[label]:[url]])&amp;"}")</f>
        <v>,{"label":"Identity Provider","group":"","id":"1C0D1083-FCAB-41BB-AB87-4829FB11D792","url":"https://open-measure.atlassian.net/wiki/spaces/DIC/pages/1478459402/Insider+Attack"}</v>
      </c>
    </row>
    <row r="225" spans="1:6" ht="13.9" thickTop="1" thickBot="1" x14ac:dyDescent="0.4">
      <c r="A225" s="38">
        <f>IF(ISERR(NodesJSON[[#This Row],[label]]),0,1)</f>
        <v>1</v>
      </c>
      <c r="B225" s="3" t="str">
        <f>NodesData[[#This Row],[Common Name]]</f>
        <v>Identity Repository</v>
      </c>
      <c r="C225" s="3" t="str">
        <f>IF(NodesData[[#This Row],[Context Instanciation]]="","",NodesData[[#This Row],[Context Instanciation]])</f>
        <v/>
      </c>
      <c r="D225" s="22" t="str">
        <f>NodesData[[#This Row],[Node ID]]</f>
        <v>8F8C4201-E338-4774-98F7-CDDDC3BE6782</v>
      </c>
      <c r="E225" s="10" t="s">
        <v>874</v>
      </c>
      <c r="F225" s="25" t="str" cm="1">
        <f t="array" ref="F225">IF(NodesJSON[[#This Row],[Export?]]=0,"",IF(ROW(NodesJSON[[#This Row],[label]])&gt;ROW(NodesJSON[[#Headers],[JSON]])+1,",","") &amp;"{"&amp;twoRangesToJSON(NodesJSON[[#Headers],[label]:[url]],NodesJSON[[#This Row],[label]:[url]])&amp;"}")</f>
        <v>,{"label":"Identity Repository","group":"","id":"8F8C4201-E338-4774-98F7-CDDDC3BE6782","url":"https://open-measure.atlassian.net/wiki/spaces/DIC/pages/1451098397/Insider+Threat"}</v>
      </c>
    </row>
    <row r="226" spans="1:6" ht="13.9" thickTop="1" thickBot="1" x14ac:dyDescent="0.4">
      <c r="A226" s="38">
        <f>IF(ISERR(NodesJSON[[#This Row],[label]]),0,1)</f>
        <v>1</v>
      </c>
      <c r="B226" s="3" t="str">
        <f>NodesData[[#This Row],[Common Name]]</f>
        <v>Identity Theft</v>
      </c>
      <c r="C226" s="3" t="str">
        <f>IF(NodesData[[#This Row],[Context Instanciation]]="","",NodesData[[#This Row],[Context Instanciation]])</f>
        <v/>
      </c>
      <c r="D226" s="22" t="str">
        <f>NodesData[[#This Row],[Node ID]]</f>
        <v>AB661E2B-F23C-4C53-A2BC-043F66BD26F6</v>
      </c>
      <c r="E226" s="10" t="s">
        <v>876</v>
      </c>
      <c r="F226" s="25" t="str" cm="1">
        <f t="array" ref="F226">IF(NodesJSON[[#This Row],[Export?]]=0,"",IF(ROW(NodesJSON[[#This Row],[label]])&gt;ROW(NodesJSON[[#Headers],[JSON]])+1,",","") &amp;"{"&amp;twoRangesToJSON(NodesJSON[[#Headers],[label]:[url]],NodesJSON[[#This Row],[label]:[url]])&amp;"}")</f>
        <v>,{"label":"Identity Theft","group":"","id":"AB661E2B-F23C-4C53-A2BC-043F66BD26F6","url":"https://open-measure.atlassian.net/wiki/spaces/DIC/pages/822476843"}</v>
      </c>
    </row>
    <row r="227" spans="1:6" ht="13.9" thickTop="1" thickBot="1" x14ac:dyDescent="0.4">
      <c r="A227" s="38">
        <f>IF(ISERR(NodesJSON[[#This Row],[label]]),0,1)</f>
        <v>1</v>
      </c>
      <c r="B227" s="3" t="str">
        <f>NodesData[[#This Row],[Common Name]]</f>
        <v>Identity-as-a-Service</v>
      </c>
      <c r="C227" s="3" t="str">
        <f>IF(NodesData[[#This Row],[Context Instanciation]]="","",NodesData[[#This Row],[Context Instanciation]])</f>
        <v/>
      </c>
      <c r="D227" s="22" t="str">
        <f>NodesData[[#This Row],[Node ID]]</f>
        <v>D6D32383-9B09-4C55-8468-237F6F03DB11</v>
      </c>
      <c r="E227" s="10" t="s">
        <v>878</v>
      </c>
      <c r="F227" s="25" t="str" cm="1">
        <f t="array" ref="F227">IF(NodesJSON[[#This Row],[Export?]]=0,"",IF(ROW(NodesJSON[[#This Row],[label]])&gt;ROW(NodesJSON[[#Headers],[JSON]])+1,",","") &amp;"{"&amp;twoRangesToJSON(NodesJSON[[#Headers],[label]:[url]],NodesJSON[[#This Row],[label]:[url]])&amp;"}")</f>
        <v>,{"label":"Identity-as-a-Service","group":"","id":"D6D32383-9B09-4C55-8468-237F6F03DB11","url":"https://open-measure.atlassian.net/wiki/spaces/DIC/pages/998277141"}</v>
      </c>
    </row>
    <row r="228" spans="1:6" ht="13.9" thickTop="1" thickBot="1" x14ac:dyDescent="0.4">
      <c r="A228" s="38">
        <f>IF(ISERR(NodesJSON[[#This Row],[label]]),0,1)</f>
        <v>1</v>
      </c>
      <c r="B228" s="3" t="str">
        <f>NodesData[[#This Row],[Common Name]]</f>
        <v>Identity-Aware Proxy</v>
      </c>
      <c r="C228" s="3" t="str">
        <f>IF(NodesData[[#This Row],[Context Instanciation]]="","",NodesData[[#This Row],[Context Instanciation]])</f>
        <v/>
      </c>
      <c r="D228" s="22" t="str">
        <f>NodesData[[#This Row],[Node ID]]</f>
        <v>430357E7-C88F-4355-9B71-CFE34E711314</v>
      </c>
      <c r="E228" s="10" t="s">
        <v>880</v>
      </c>
      <c r="F228" s="25" t="str" cm="1">
        <f t="array" ref="F228">IF(NodesJSON[[#This Row],[Export?]]=0,"",IF(ROW(NodesJSON[[#This Row],[label]])&gt;ROW(NodesJSON[[#Headers],[JSON]])+1,",","") &amp;"{"&amp;twoRangesToJSON(NodesJSON[[#Headers],[label]:[url]],NodesJSON[[#This Row],[label]:[url]])&amp;"}")</f>
        <v>,{"label":"Identity-Aware Proxy","group":"","id":"430357E7-C88F-4355-9B71-CFE34E711314","url":"https://open-measure.atlassian.net/wiki/spaces/DIC/pages/1311417"}</v>
      </c>
    </row>
    <row r="229" spans="1:6" ht="13.9" thickTop="1" thickBot="1" x14ac:dyDescent="0.4">
      <c r="A229" s="38">
        <f>IF(ISERR(NodesJSON[[#This Row],[label]]),0,1)</f>
        <v>1</v>
      </c>
      <c r="B229" s="3" t="str">
        <f>NodesData[[#This Row],[Common Name]]</f>
        <v>IdMS</v>
      </c>
      <c r="C229" s="3" t="str">
        <f>IF(NodesData[[#This Row],[Context Instanciation]]="","",NodesData[[#This Row],[Context Instanciation]])</f>
        <v/>
      </c>
      <c r="D229" s="22" t="str">
        <f>NodesData[[#This Row],[Node ID]]</f>
        <v>B063F9D8-C92C-4198-B23E-78506859E0C1</v>
      </c>
      <c r="E229" s="10" t="s">
        <v>882</v>
      </c>
      <c r="F229" s="25" t="str" cm="1">
        <f t="array" ref="F229">IF(NodesJSON[[#This Row],[Export?]]=0,"",IF(ROW(NodesJSON[[#This Row],[label]])&gt;ROW(NodesJSON[[#Headers],[JSON]])+1,",","") &amp;"{"&amp;twoRangesToJSON(NodesJSON[[#Headers],[label]:[url]],NodesJSON[[#This Row],[label]:[url]])&amp;"}")</f>
        <v>,{"label":"IdMS","group":"","id":"B063F9D8-C92C-4198-B23E-78506859E0C1","url":"https://open-measure.atlassian.net/wiki/spaces/DIC/pages/442466314"}</v>
      </c>
    </row>
    <row r="230" spans="1:6" ht="13.9" thickTop="1" thickBot="1" x14ac:dyDescent="0.4">
      <c r="A230" s="38">
        <f>IF(ISERR(NodesJSON[[#This Row],[label]]),0,1)</f>
        <v>1</v>
      </c>
      <c r="B230" s="3" t="str">
        <f>NodesData[[#This Row],[Common Name]]</f>
        <v>IdP</v>
      </c>
      <c r="C230" s="3" t="str">
        <f>IF(NodesData[[#This Row],[Context Instanciation]]="","",NodesData[[#This Row],[Context Instanciation]])</f>
        <v/>
      </c>
      <c r="D230" s="22" t="str">
        <f>NodesData[[#This Row],[Node ID]]</f>
        <v>949E1644-7F28-4920-A069-D27F3A050A01</v>
      </c>
      <c r="E230" s="10" t="s">
        <v>884</v>
      </c>
      <c r="F230" s="25" t="str" cm="1">
        <f t="array" ref="F230">IF(NodesJSON[[#This Row],[Export?]]=0,"",IF(ROW(NodesJSON[[#This Row],[label]])&gt;ROW(NodesJSON[[#Headers],[JSON]])+1,",","") &amp;"{"&amp;twoRangesToJSON(NodesJSON[[#Headers],[label]:[url]],NodesJSON[[#This Row],[label]:[url]])&amp;"}")</f>
        <v>,{"label":"IdP","group":"","id":"949E1644-7F28-4920-A069-D27F3A050A01","url":"https://open-measure.atlassian.net/wiki/spaces/DIC/pages/11567191"}</v>
      </c>
    </row>
    <row r="231" spans="1:6" ht="13.9" thickTop="1" thickBot="1" x14ac:dyDescent="0.4">
      <c r="A231" s="38">
        <f>IF(ISERR(NodesJSON[[#This Row],[label]]),0,1)</f>
        <v>1</v>
      </c>
      <c r="B231" s="3" t="str">
        <f>NodesData[[#This Row],[Common Name]]</f>
        <v>Illegal Action</v>
      </c>
      <c r="C231" s="3" t="str">
        <f>IF(NodesData[[#This Row],[Context Instanciation]]="","",NodesData[[#This Row],[Context Instanciation]])</f>
        <v/>
      </c>
      <c r="D231" s="22" t="str">
        <f>NodesData[[#This Row],[Node ID]]</f>
        <v>6989A549-F547-413E-9EFA-E4EFEF40B824</v>
      </c>
      <c r="E231" s="3"/>
      <c r="F231" s="25" t="str" cm="1">
        <f t="array" ref="F231">IF(NodesJSON[[#This Row],[Export?]]=0,"",IF(ROW(NodesJSON[[#This Row],[label]])&gt;ROW(NodesJSON[[#Headers],[JSON]])+1,",","") &amp;"{"&amp;twoRangesToJSON(NodesJSON[[#Headers],[label]:[url]],NodesJSON[[#This Row],[label]:[url]])&amp;"}")</f>
        <v>,{"label":"Illegal Action","group":"","id":"6989A549-F547-413E-9EFA-E4EFEF40B824","url":""}</v>
      </c>
    </row>
    <row r="232" spans="1:6" ht="13.9" thickTop="1" thickBot="1" x14ac:dyDescent="0.4">
      <c r="A232" s="38">
        <f>IF(ISERR(NodesJSON[[#This Row],[label]]),0,1)</f>
        <v>1</v>
      </c>
      <c r="B232" s="3" t="str">
        <f>NodesData[[#This Row],[Common Name]]</f>
        <v>IMG</v>
      </c>
      <c r="C232" s="3" t="str">
        <f>IF(NodesData[[#This Row],[Context Instanciation]]="","",NodesData[[#This Row],[Context Instanciation]])</f>
        <v/>
      </c>
      <c r="D232" s="22" t="str">
        <f>NodesData[[#This Row],[Node ID]]</f>
        <v>16880A8C-D41A-4AC3-A936-8E73B369092B</v>
      </c>
      <c r="E232" s="10" t="s">
        <v>886</v>
      </c>
      <c r="F232" s="25" t="str" cm="1">
        <f t="array" ref="F232">IF(NodesJSON[[#This Row],[Export?]]=0,"",IF(ROW(NodesJSON[[#This Row],[label]])&gt;ROW(NodesJSON[[#Headers],[JSON]])+1,",","") &amp;"{"&amp;twoRangesToJSON(NodesJSON[[#Headers],[label]:[url]],NodesJSON[[#This Row],[label]:[url]])&amp;"}")</f>
        <v>,{"label":"IMG","group":"","id":"16880A8C-D41A-4AC3-A936-8E73B369092B","url":"https://open-measure.atlassian.net/wiki/spaces/DIC/pages/1152483625"}</v>
      </c>
    </row>
    <row r="233" spans="1:6" ht="13.9" thickTop="1" thickBot="1" x14ac:dyDescent="0.4">
      <c r="A233" s="38">
        <f>IF(ISERR(NodesJSON[[#This Row],[label]]),0,1)</f>
        <v>1</v>
      </c>
      <c r="B233" s="3" t="str">
        <f>NodesData[[#This Row],[Common Name]]</f>
        <v>Impersonation</v>
      </c>
      <c r="C233" s="3" t="str">
        <f>IF(NodesData[[#This Row],[Context Instanciation]]="","",NodesData[[#This Row],[Context Instanciation]])</f>
        <v/>
      </c>
      <c r="D233" s="22" t="str">
        <f>NodesData[[#This Row],[Node ID]]</f>
        <v>7650DE30-1250-4B04-841B-B56DFC24A1E3</v>
      </c>
      <c r="E233" s="10" t="s">
        <v>888</v>
      </c>
      <c r="F233" s="25" t="str" cm="1">
        <f t="array" ref="F233">IF(NodesJSON[[#This Row],[Export?]]=0,"",IF(ROW(NodesJSON[[#This Row],[label]])&gt;ROW(NodesJSON[[#Headers],[JSON]])+1,",","") &amp;"{"&amp;twoRangesToJSON(NodesJSON[[#Headers],[label]:[url]],NodesJSON[[#This Row],[label]:[url]])&amp;"}")</f>
        <v>,{"label":"Impersonation","group":"","id":"7650DE30-1250-4B04-841B-B56DFC24A1E3","url":"https://open-measure.atlassian.net/wiki/spaces/DIC/pages/720902"}</v>
      </c>
    </row>
    <row r="234" spans="1:6" ht="13.9" thickTop="1" thickBot="1" x14ac:dyDescent="0.4">
      <c r="A234" s="38">
        <f>IF(ISERR(NodesJSON[[#This Row],[label]]),0,1)</f>
        <v>1</v>
      </c>
      <c r="B234" s="3" t="str">
        <f>NodesData[[#This Row],[Common Name]]</f>
        <v>In-band Authentication</v>
      </c>
      <c r="C234" s="3" t="str">
        <f>IF(NodesData[[#This Row],[Context Instanciation]]="","",NodesData[[#This Row],[Context Instanciation]])</f>
        <v/>
      </c>
      <c r="D234" s="22" t="str">
        <f>NodesData[[#This Row],[Node ID]]</f>
        <v>224CFF6B-5563-4531-A760-B85F8E142F63</v>
      </c>
      <c r="E234" s="10" t="s">
        <v>889</v>
      </c>
      <c r="F234" s="25" t="str" cm="1">
        <f t="array" ref="F234">IF(NodesJSON[[#This Row],[Export?]]=0,"",IF(ROW(NodesJSON[[#This Row],[label]])&gt;ROW(NodesJSON[[#Headers],[JSON]])+1,",","") &amp;"{"&amp;twoRangesToJSON(NodesJSON[[#Headers],[label]:[url]],NodesJSON[[#This Row],[label]:[url]])&amp;"}")</f>
        <v>,{"label":"In-band Authentication","group":"","id":"224CFF6B-5563-4531-A760-B85F8E142F63","url":"https://open-measure.atlassian.net/wiki/spaces/DIC/pages/1569095803/IT+System"}</v>
      </c>
    </row>
    <row r="235" spans="1:6" ht="13.9" thickTop="1" thickBot="1" x14ac:dyDescent="0.4">
      <c r="A235" s="38">
        <f>IF(ISERR(NodesJSON[[#This Row],[label]]),0,1)</f>
        <v>1</v>
      </c>
      <c r="B235" s="3" t="str">
        <f>NodesData[[#This Row],[Common Name]]</f>
        <v>Information</v>
      </c>
      <c r="C235" s="3" t="str">
        <f>IF(NodesData[[#This Row],[Context Instanciation]]="","",NodesData[[#This Row],[Context Instanciation]])</f>
        <v/>
      </c>
      <c r="D235" s="22" t="str">
        <f>NodesData[[#This Row],[Node ID]]</f>
        <v>F34EDEC8-93E8-4A6B-969B-4E7B7D1F225E</v>
      </c>
      <c r="E235" s="10" t="s">
        <v>891</v>
      </c>
      <c r="F235" s="25" t="str" cm="1">
        <f t="array" ref="F235">IF(NodesJSON[[#This Row],[Export?]]=0,"",IF(ROW(NodesJSON[[#This Row],[label]])&gt;ROW(NodesJSON[[#Headers],[JSON]])+1,",","") &amp;"{"&amp;twoRangesToJSON(NodesJSON[[#Headers],[label]:[url]],NodesJSON[[#This Row],[label]:[url]])&amp;"}")</f>
        <v>,{"label":"Information","group":"","id":"F34EDEC8-93E8-4A6B-969B-4E7B7D1F225E","url":"https://open-measure.atlassian.net/wiki/spaces/DIC/pages/858488984"}</v>
      </c>
    </row>
    <row r="236" spans="1:6" ht="13.9" thickTop="1" thickBot="1" x14ac:dyDescent="0.4">
      <c r="A236" s="38">
        <f>IF(ISERR(NodesJSON[[#This Row],[label]]),0,1)</f>
        <v>1</v>
      </c>
      <c r="B236" s="3" t="str">
        <f>NodesData[[#This Row],[Common Name]]</f>
        <v>Information Asset</v>
      </c>
      <c r="C236" s="3" t="str">
        <f>IF(NodesData[[#This Row],[Context Instanciation]]="","",NodesData[[#This Row],[Context Instanciation]])</f>
        <v/>
      </c>
      <c r="D236" s="22" t="str">
        <f>NodesData[[#This Row],[Node ID]]</f>
        <v>F7AADE0A-877C-4258-9BCC-813E822029EA</v>
      </c>
      <c r="E236" s="10" t="s">
        <v>893</v>
      </c>
      <c r="F236" s="25" t="str" cm="1">
        <f t="array" ref="F236">IF(NodesJSON[[#This Row],[Export?]]=0,"",IF(ROW(NodesJSON[[#This Row],[label]])&gt;ROW(NodesJSON[[#Headers],[JSON]])+1,",","") &amp;"{"&amp;twoRangesToJSON(NodesJSON[[#Headers],[label]:[url]],NodesJSON[[#This Row],[label]:[url]])&amp;"}")</f>
        <v>,{"label":"Information Asset","group":"","id":"F7AADE0A-877C-4258-9BCC-813E822029EA","url":"https://open-measure.atlassian.net/wiki/spaces/DIC/pages/855506953"}</v>
      </c>
    </row>
    <row r="237" spans="1:6" ht="13.9" thickTop="1" thickBot="1" x14ac:dyDescent="0.4">
      <c r="A237" s="38">
        <f>IF(ISERR(NodesJSON[[#This Row],[label]]),0,1)</f>
        <v>1</v>
      </c>
      <c r="B237" s="3" t="str">
        <f>NodesData[[#This Row],[Common Name]]</f>
        <v>Information Custodian</v>
      </c>
      <c r="C237" s="3" t="str">
        <f>IF(NodesData[[#This Row],[Context Instanciation]]="","",NodesData[[#This Row],[Context Instanciation]])</f>
        <v/>
      </c>
      <c r="D237" s="22" t="str">
        <f>NodesData[[#This Row],[Node ID]]</f>
        <v>50AF471B-64DE-444F-A7DD-A82966C67457</v>
      </c>
      <c r="E237" s="10" t="s">
        <v>895</v>
      </c>
      <c r="F237" s="25" t="str" cm="1">
        <f t="array" ref="F237">IF(NodesJSON[[#This Row],[Export?]]=0,"",IF(ROW(NodesJSON[[#This Row],[label]])&gt;ROW(NodesJSON[[#Headers],[JSON]])+1,",","") &amp;"{"&amp;twoRangesToJSON(NodesJSON[[#Headers],[label]:[url]],NodesJSON[[#This Row],[label]:[url]])&amp;"}")</f>
        <v>,{"label":"Information Custodian","group":"","id":"50AF471B-64DE-444F-A7DD-A82966C67457","url":"https://open-measure.atlassian.net/wiki/spaces/DIC/pages/858456203"}</v>
      </c>
    </row>
    <row r="238" spans="1:6" ht="13.9" thickTop="1" thickBot="1" x14ac:dyDescent="0.4">
      <c r="A238" s="38">
        <f>IF(ISERR(NodesJSON[[#This Row],[label]]),0,1)</f>
        <v>1</v>
      </c>
      <c r="B238" s="3" t="str">
        <f>NodesData[[#This Row],[Common Name]]</f>
        <v>Information Flow Policy</v>
      </c>
      <c r="C238" s="3" t="str">
        <f>IF(NodesData[[#This Row],[Context Instanciation]]="","",NodesData[[#This Row],[Context Instanciation]])</f>
        <v/>
      </c>
      <c r="D238" s="22" t="str">
        <f>NodesData[[#This Row],[Node ID]]</f>
        <v>3143C5C2-BF70-4330-AE7D-3F39E66C97EB</v>
      </c>
      <c r="E238" s="10" t="s">
        <v>897</v>
      </c>
      <c r="F238" s="25" t="str" cm="1">
        <f t="array" ref="F238">IF(NodesJSON[[#This Row],[Export?]]=0,"",IF(ROW(NodesJSON[[#This Row],[label]])&gt;ROW(NodesJSON[[#Headers],[JSON]])+1,",","") &amp;"{"&amp;twoRangesToJSON(NodesJSON[[#Headers],[label]:[url]],NodesJSON[[#This Row],[label]:[url]])&amp;"}")</f>
        <v>,{"label":"Information Flow Policy","group":"","id":"3143C5C2-BF70-4330-AE7D-3F39E66C97EB","url":"https://open-measure.atlassian.net/wiki/spaces/DIC/pages/852492379"}</v>
      </c>
    </row>
    <row r="239" spans="1:6" ht="13.9" thickTop="1" thickBot="1" x14ac:dyDescent="0.4">
      <c r="A239" s="38">
        <f>IF(ISERR(NodesJSON[[#This Row],[label]]),0,1)</f>
        <v>1</v>
      </c>
      <c r="B239" s="3" t="str">
        <f>NodesData[[#This Row],[Common Name]]</f>
        <v>Information Owner</v>
      </c>
      <c r="C239" s="3" t="str">
        <f>IF(NodesData[[#This Row],[Context Instanciation]]="","",NodesData[[#This Row],[Context Instanciation]])</f>
        <v/>
      </c>
      <c r="D239" s="22" t="str">
        <f>NodesData[[#This Row],[Node ID]]</f>
        <v>320E3BFD-9B92-4683-8370-4BFE767BB9B4</v>
      </c>
      <c r="E239" s="10" t="s">
        <v>899</v>
      </c>
      <c r="F239" s="25" t="str" cm="1">
        <f t="array" ref="F239">IF(NodesJSON[[#This Row],[Export?]]=0,"",IF(ROW(NodesJSON[[#This Row],[label]])&gt;ROW(NodesJSON[[#Headers],[JSON]])+1,",","") &amp;"{"&amp;twoRangesToJSON(NodesJSON[[#Headers],[label]:[url]],NodesJSON[[#This Row],[label]:[url]])&amp;"}")</f>
        <v>,{"label":"Information Owner","group":"","id":"320E3BFD-9B92-4683-8370-4BFE767BB9B4","url":"https://open-measure.atlassian.net/wiki/spaces/DIC/pages/858521641"}</v>
      </c>
    </row>
    <row r="240" spans="1:6" ht="13.9" thickTop="1" thickBot="1" x14ac:dyDescent="0.4">
      <c r="A240" s="38">
        <f>IF(ISERR(NodesJSON[[#This Row],[label]]),0,1)</f>
        <v>1</v>
      </c>
      <c r="B240" s="3" t="str">
        <f>NodesData[[#This Row],[Common Name]]</f>
        <v>Information Security Domain</v>
      </c>
      <c r="C240" s="3" t="str">
        <f>IF(NodesData[[#This Row],[Context Instanciation]]="","",NodesData[[#This Row],[Context Instanciation]])</f>
        <v/>
      </c>
      <c r="D240" s="22" t="str">
        <f>NodesData[[#This Row],[Node ID]]</f>
        <v>C8D1FD6C-534C-477A-BAF8-5F722BD18ECC</v>
      </c>
      <c r="E240" s="10" t="s">
        <v>901</v>
      </c>
      <c r="F240" s="25" t="str" cm="1">
        <f t="array" ref="F240">IF(NodesJSON[[#This Row],[Export?]]=0,"",IF(ROW(NodesJSON[[#This Row],[label]])&gt;ROW(NodesJSON[[#Headers],[JSON]])+1,",","") &amp;"{"&amp;twoRangesToJSON(NodesJSON[[#Headers],[label]:[url]],NodesJSON[[#This Row],[label]:[url]])&amp;"}")</f>
        <v>,{"label":"Information Security Domain","group":"","id":"C8D1FD6C-534C-477A-BAF8-5F722BD18ECC","url":"https://open-measure.atlassian.net/wiki/spaces/DIC/pages/852492338"}</v>
      </c>
    </row>
    <row r="241" spans="1:6" ht="13.9" thickTop="1" thickBot="1" x14ac:dyDescent="0.4">
      <c r="A241" s="38">
        <f>IF(ISERR(NodesJSON[[#This Row],[label]]),0,1)</f>
        <v>1</v>
      </c>
      <c r="B241" s="3" t="str">
        <f>NodesData[[#This Row],[Common Name]]</f>
        <v>Information System</v>
      </c>
      <c r="C241" s="3" t="str">
        <f>IF(NodesData[[#This Row],[Context Instanciation]]="","",NodesData[[#This Row],[Context Instanciation]])</f>
        <v/>
      </c>
      <c r="D241" s="22" t="str">
        <f>NodesData[[#This Row],[Node ID]]</f>
        <v>0AAC5032-53F8-4789-8F0C-D073C4CCC1AF</v>
      </c>
      <c r="E241" s="10" t="s">
        <v>903</v>
      </c>
      <c r="F241" s="25" t="str" cm="1">
        <f t="array" ref="F241">IF(NodesJSON[[#This Row],[Export?]]=0,"",IF(ROW(NodesJSON[[#This Row],[label]])&gt;ROW(NodesJSON[[#Headers],[JSON]])+1,",","") &amp;"{"&amp;twoRangesToJSON(NodesJSON[[#Headers],[label]:[url]],NodesJSON[[#This Row],[label]:[url]])&amp;"}")</f>
        <v>,{"label":"Information System","group":"","id":"0AAC5032-53F8-4789-8F0C-D073C4CCC1AF","url":"https://open-measure.atlassian.net/wiki/spaces/DIC/pages/140706011"}</v>
      </c>
    </row>
    <row r="242" spans="1:6" ht="13.9" thickTop="1" thickBot="1" x14ac:dyDescent="0.4">
      <c r="A242" s="38">
        <f>IF(ISERR(NodesJSON[[#This Row],[label]]),0,1)</f>
        <v>1</v>
      </c>
      <c r="B242" s="3" t="str">
        <f>NodesData[[#This Row],[Common Name]]</f>
        <v>Inherence Factor</v>
      </c>
      <c r="C242" s="3" t="str">
        <f>IF(NodesData[[#This Row],[Context Instanciation]]="","",NodesData[[#This Row],[Context Instanciation]])</f>
        <v/>
      </c>
      <c r="D242" s="22" t="str">
        <f>NodesData[[#This Row],[Node ID]]</f>
        <v>257D3082-7AF3-4464-9C5B-77B2D083B427</v>
      </c>
      <c r="E242" s="10" t="s">
        <v>905</v>
      </c>
      <c r="F242" s="25" t="str" cm="1">
        <f t="array" ref="F242">IF(NodesJSON[[#This Row],[Export?]]=0,"",IF(ROW(NodesJSON[[#This Row],[label]])&gt;ROW(NodesJSON[[#Headers],[JSON]])+1,",","") &amp;"{"&amp;twoRangesToJSON(NodesJSON[[#Headers],[label]:[url]],NodesJSON[[#This Row],[label]:[url]])&amp;"}")</f>
        <v>,{"label":"Inherence Factor","group":"","id":"257D3082-7AF3-4464-9C5B-77B2D083B427","url":"https://open-measure.atlassian.net/wiki/spaces/DIC/pages/425623701"}</v>
      </c>
    </row>
    <row r="243" spans="1:6" ht="13.9" thickTop="1" thickBot="1" x14ac:dyDescent="0.4">
      <c r="A243" s="38">
        <f>IF(ISERR(NodesJSON[[#This Row],[label]]),0,1)</f>
        <v>1</v>
      </c>
      <c r="B243" s="3" t="str">
        <f>NodesData[[#This Row],[Common Name]]</f>
        <v>Inside Attacker</v>
      </c>
      <c r="C243" s="3" t="str">
        <f>IF(NodesData[[#This Row],[Context Instanciation]]="","",NodesData[[#This Row],[Context Instanciation]])</f>
        <v/>
      </c>
      <c r="D243" s="22" t="str">
        <f>NodesData[[#This Row],[Node ID]]</f>
        <v>38BE3CB8-3BB4-40EF-807C-5D8D73ED15F7</v>
      </c>
      <c r="E243" s="10" t="s">
        <v>907</v>
      </c>
      <c r="F243" s="25" t="str" cm="1">
        <f t="array" ref="F243">IF(NodesJSON[[#This Row],[Export?]]=0,"",IF(ROW(NodesJSON[[#This Row],[label]])&gt;ROW(NodesJSON[[#Headers],[JSON]])+1,",","") &amp;"{"&amp;twoRangesToJSON(NodesJSON[[#Headers],[label]:[url]],NodesJSON[[#This Row],[label]:[url]])&amp;"}")</f>
        <v>,{"label":"Inside Attacker","group":"","id":"38BE3CB8-3BB4-40EF-807C-5D8D73ED15F7","url":"https://open-measure.atlassian.net/wiki/spaces/DIC/pages/427163745"}</v>
      </c>
    </row>
    <row r="244" spans="1:6" ht="13.9" thickTop="1" thickBot="1" x14ac:dyDescent="0.4">
      <c r="A244" s="38">
        <f>IF(ISERR(NodesJSON[[#This Row],[label]]),0,1)</f>
        <v>1</v>
      </c>
      <c r="B244" s="3" t="str">
        <f>NodesData[[#This Row],[Common Name]]</f>
        <v>Insider</v>
      </c>
      <c r="C244" s="3" t="str">
        <f>IF(NodesData[[#This Row],[Context Instanciation]]="","",NodesData[[#This Row],[Context Instanciation]])</f>
        <v/>
      </c>
      <c r="D244" s="22" t="str">
        <f>NodesData[[#This Row],[Node ID]]</f>
        <v>28358D25-ECBB-4BA2-8551-6C861E153F9E</v>
      </c>
      <c r="E244" s="4"/>
      <c r="F244" s="25" t="str" cm="1">
        <f t="array" ref="F244">IF(NodesJSON[[#This Row],[Export?]]=0,"",IF(ROW(NodesJSON[[#This Row],[label]])&gt;ROW(NodesJSON[[#Headers],[JSON]])+1,",","") &amp;"{"&amp;twoRangesToJSON(NodesJSON[[#Headers],[label]:[url]],NodesJSON[[#This Row],[label]:[url]])&amp;"}")</f>
        <v>,{"label":"Insider","group":"","id":"28358D25-ECBB-4BA2-8551-6C861E153F9E","url":""}</v>
      </c>
    </row>
    <row r="245" spans="1:6" ht="13.9" thickTop="1" thickBot="1" x14ac:dyDescent="0.4">
      <c r="A245" s="38">
        <f>IF(ISERR(NodesJSON[[#This Row],[label]]),0,1)</f>
        <v>1</v>
      </c>
      <c r="B245" s="3" t="str">
        <f>NodesData[[#This Row],[Common Name]]</f>
        <v>Insider Attack</v>
      </c>
      <c r="C245" s="3" t="str">
        <f>IF(NodesData[[#This Row],[Context Instanciation]]="","",NodesData[[#This Row],[Context Instanciation]])</f>
        <v/>
      </c>
      <c r="D245" s="22" t="str">
        <f>NodesData[[#This Row],[Node ID]]</f>
        <v>932F2E2B-D61A-48B8-83C4-267217ACC1A4</v>
      </c>
      <c r="E245" s="3"/>
      <c r="F245" s="25" t="str" cm="1">
        <f t="array" ref="F245">IF(NodesJSON[[#This Row],[Export?]]=0,"",IF(ROW(NodesJSON[[#This Row],[label]])&gt;ROW(NodesJSON[[#Headers],[JSON]])+1,",","") &amp;"{"&amp;twoRangesToJSON(NodesJSON[[#Headers],[label]:[url]],NodesJSON[[#This Row],[label]:[url]])&amp;"}")</f>
        <v>,{"label":"Insider Attack","group":"","id":"932F2E2B-D61A-48B8-83C4-267217ACC1A4","url":""}</v>
      </c>
    </row>
    <row r="246" spans="1:6" ht="13.9" thickTop="1" thickBot="1" x14ac:dyDescent="0.4">
      <c r="A246" s="38">
        <f>IF(ISERR(NodesJSON[[#This Row],[label]]),0,1)</f>
        <v>1</v>
      </c>
      <c r="B246" s="3" t="str">
        <f>NodesData[[#This Row],[Common Name]]</f>
        <v>Insider Threat</v>
      </c>
      <c r="C246" s="3" t="str">
        <f>IF(NodesData[[#This Row],[Context Instanciation]]="","",NodesData[[#This Row],[Context Instanciation]])</f>
        <v/>
      </c>
      <c r="D246" s="22" t="str">
        <f>NodesData[[#This Row],[Node ID]]</f>
        <v>61B67231-2D6A-41D5-B8E4-20E97C581446</v>
      </c>
      <c r="E246" s="4"/>
      <c r="F246" s="25" t="str" cm="1">
        <f t="array" ref="F246">IF(NodesJSON[[#This Row],[Export?]]=0,"",IF(ROW(NodesJSON[[#This Row],[label]])&gt;ROW(NodesJSON[[#Headers],[JSON]])+1,",","") &amp;"{"&amp;twoRangesToJSON(NodesJSON[[#Headers],[label]:[url]],NodesJSON[[#This Row],[label]:[url]])&amp;"}")</f>
        <v>,{"label":"Insider Threat","group":"","id":"61B67231-2D6A-41D5-B8E4-20E97C581446","url":""}</v>
      </c>
    </row>
    <row r="247" spans="1:6" ht="13.9" thickTop="1" thickBot="1" x14ac:dyDescent="0.4">
      <c r="A247" s="38">
        <f>IF(ISERR(NodesJSON[[#This Row],[label]]),0,1)</f>
        <v>1</v>
      </c>
      <c r="B247" s="3" t="str">
        <f>NodesData[[#This Row],[Common Name]]</f>
        <v>Insufficient Granularity of Access Control</v>
      </c>
      <c r="C247" s="3" t="str">
        <f>IF(NodesData[[#This Row],[Context Instanciation]]="","",NodesData[[#This Row],[Context Instanciation]])</f>
        <v/>
      </c>
      <c r="D247" s="22" t="str">
        <f>NodesData[[#This Row],[Node ID]]</f>
        <v>A8C57C79-B830-4ECF-A0C9-FB4CAFE2F1E1</v>
      </c>
      <c r="E247" s="10" t="s">
        <v>909</v>
      </c>
      <c r="F247" s="25" t="str" cm="1">
        <f t="array" ref="F247">IF(NodesJSON[[#This Row],[Export?]]=0,"",IF(ROW(NodesJSON[[#This Row],[label]])&gt;ROW(NodesJSON[[#Headers],[JSON]])+1,",","") &amp;"{"&amp;twoRangesToJSON(NodesJSON[[#Headers],[label]:[url]],NodesJSON[[#This Row],[label]:[url]])&amp;"}")</f>
        <v>,{"label":"Insufficient Granularity of Access Control","group":"","id":"A8C57C79-B830-4ECF-A0C9-FB4CAFE2F1E1","url":"https://open-measure.atlassian.net/wiki/spaces/DIC/pages/442499114"}</v>
      </c>
    </row>
    <row r="248" spans="1:6" ht="13.9" thickTop="1" thickBot="1" x14ac:dyDescent="0.4">
      <c r="A248" s="38">
        <f>IF(ISERR(NodesJSON[[#This Row],[label]]),0,1)</f>
        <v>1</v>
      </c>
      <c r="B248" s="3" t="str">
        <f>NodesData[[#This Row],[Common Name]]</f>
        <v>Intentional Error</v>
      </c>
      <c r="C248" s="3" t="str">
        <f>IF(NodesData[[#This Row],[Context Instanciation]]="","",NodesData[[#This Row],[Context Instanciation]])</f>
        <v/>
      </c>
      <c r="D248" s="22" t="str">
        <f>NodesData[[#This Row],[Node ID]]</f>
        <v>AA6A4DAC-9681-4AF8-A7FB-D9326801AE4C</v>
      </c>
      <c r="E248" s="10" t="s">
        <v>911</v>
      </c>
      <c r="F248" s="25" t="str" cm="1">
        <f t="array" ref="F248">IF(NodesJSON[[#This Row],[Export?]]=0,"",IF(ROW(NodesJSON[[#This Row],[label]])&gt;ROW(NodesJSON[[#Headers],[JSON]])+1,",","") &amp;"{"&amp;twoRangesToJSON(NodesJSON[[#Headers],[label]:[url]],NodesJSON[[#This Row],[label]:[url]])&amp;"}")</f>
        <v>,{"label":"Intentional Error","group":"","id":"AA6A4DAC-9681-4AF8-A7FB-D9326801AE4C","url":"https://open-measure.atlassian.net/wiki/spaces/DIC/pages/442400811"}</v>
      </c>
    </row>
    <row r="249" spans="1:6" ht="13.9" thickTop="1" thickBot="1" x14ac:dyDescent="0.4">
      <c r="A249" s="38">
        <f>IF(ISERR(NodesJSON[[#This Row],[label]]),0,1)</f>
        <v>1</v>
      </c>
      <c r="B249" s="3" t="str">
        <f>NodesData[[#This Row],[Common Name]]</f>
        <v>Interested Party</v>
      </c>
      <c r="C249" s="3" t="str">
        <f>IF(NodesData[[#This Row],[Context Instanciation]]="","",NodesData[[#This Row],[Context Instanciation]])</f>
        <v/>
      </c>
      <c r="D249" s="22" t="str">
        <f>NodesData[[#This Row],[Node ID]]</f>
        <v>D3D4C603-2CA2-4D42-B2E0-7B3B0C743DD8</v>
      </c>
      <c r="E249" s="10" t="s">
        <v>913</v>
      </c>
      <c r="F249" s="25" t="str" cm="1">
        <f t="array" ref="F249">IF(NodesJSON[[#This Row],[Export?]]=0,"",IF(ROW(NodesJSON[[#This Row],[label]])&gt;ROW(NodesJSON[[#Headers],[JSON]])+1,",","") &amp;"{"&amp;twoRangesToJSON(NodesJSON[[#Headers],[label]:[url]],NodesJSON[[#This Row],[label]:[url]])&amp;"}")</f>
        <v>,{"label":"Interested Party","group":"","id":"D3D4C603-2CA2-4D42-B2E0-7B3B0C743DD8","url":"https://open-measure.atlassian.net/wiki/spaces/DIC/pages/1177681925"}</v>
      </c>
    </row>
    <row r="250" spans="1:6" ht="13.9" thickTop="1" thickBot="1" x14ac:dyDescent="0.4">
      <c r="A250" s="38">
        <f>IF(ISERR(NodesJSON[[#This Row],[label]]),0,1)</f>
        <v>1</v>
      </c>
      <c r="B250" s="3" t="str">
        <f>NodesData[[#This Row],[Common Name]]</f>
        <v>Interoperability</v>
      </c>
      <c r="C250" s="3" t="str">
        <f>IF(NodesData[[#This Row],[Context Instanciation]]="","",NodesData[[#This Row],[Context Instanciation]])</f>
        <v/>
      </c>
      <c r="D250" s="22" t="str">
        <f>NodesData[[#This Row],[Node ID]]</f>
        <v>A6834E50-EC5C-4FAC-91B5-7D3C84844ABE</v>
      </c>
      <c r="E250" s="10" t="s">
        <v>915</v>
      </c>
      <c r="F250" s="25" t="str" cm="1">
        <f t="array" ref="F250">IF(NodesJSON[[#This Row],[Export?]]=0,"",IF(ROW(NodesJSON[[#This Row],[label]])&gt;ROW(NodesJSON[[#Headers],[JSON]])+1,",","") &amp;"{"&amp;twoRangesToJSON(NodesJSON[[#Headers],[label]:[url]],NodesJSON[[#This Row],[label]:[url]])&amp;"}")</f>
        <v>,{"label":"Interoperability","group":"","id":"A6834E50-EC5C-4FAC-91B5-7D3C84844ABE","url":"https://open-measure.atlassian.net/wiki/spaces/DIC/pages/1181843548"}</v>
      </c>
    </row>
    <row r="251" spans="1:6" ht="13.9" thickTop="1" thickBot="1" x14ac:dyDescent="0.4">
      <c r="A251" s="38">
        <f>IF(ISERR(NodesJSON[[#This Row],[label]]),0,1)</f>
        <v>1</v>
      </c>
      <c r="B251" s="3" t="str">
        <f>NodesData[[#This Row],[Common Name]]</f>
        <v>Interval Scale</v>
      </c>
      <c r="C251" s="3" t="str">
        <f>IF(NodesData[[#This Row],[Context Instanciation]]="","",NodesData[[#This Row],[Context Instanciation]])</f>
        <v/>
      </c>
      <c r="D251" s="22" t="str">
        <f>NodesData[[#This Row],[Node ID]]</f>
        <v>398E3452-5369-450C-88AD-DB588A51D0C0</v>
      </c>
      <c r="E251" s="10" t="s">
        <v>917</v>
      </c>
      <c r="F251" s="25" t="str" cm="1">
        <f t="array" ref="F251">IF(NodesJSON[[#This Row],[Export?]]=0,"",IF(ROW(NodesJSON[[#This Row],[label]])&gt;ROW(NodesJSON[[#Headers],[JSON]])+1,",","") &amp;"{"&amp;twoRangesToJSON(NodesJSON[[#Headers],[label]:[url]],NodesJSON[[#This Row],[label]:[url]])&amp;"}")</f>
        <v>,{"label":"Interval Scale","group":"","id":"398E3452-5369-450C-88AD-DB588A51D0C0","url":"https://open-measure.atlassian.net/wiki/spaces/DIC/pages/1177780225"}</v>
      </c>
    </row>
    <row r="252" spans="1:6" ht="13.9" thickTop="1" thickBot="1" x14ac:dyDescent="0.4">
      <c r="A252" s="38">
        <f>IF(ISERR(NodesJSON[[#This Row],[label]]),0,1)</f>
        <v>1</v>
      </c>
      <c r="B252" s="3" t="str">
        <f>NodesData[[#This Row],[Common Name]]</f>
        <v>Iris Recognition Authentication</v>
      </c>
      <c r="C252" s="3" t="str">
        <f>IF(NodesData[[#This Row],[Context Instanciation]]="","",NodesData[[#This Row],[Context Instanciation]])</f>
        <v/>
      </c>
      <c r="D252" s="22" t="str">
        <f>NodesData[[#This Row],[Node ID]]</f>
        <v>BDF3CB39-431D-478C-A651-EBA1666F91C1</v>
      </c>
      <c r="E252" s="10" t="s">
        <v>919</v>
      </c>
      <c r="F252" s="25" t="str" cm="1">
        <f t="array" ref="F252">IF(NodesJSON[[#This Row],[Export?]]=0,"",IF(ROW(NodesJSON[[#This Row],[label]])&gt;ROW(NodesJSON[[#Headers],[JSON]])+1,",","") &amp;"{"&amp;twoRangesToJSON(NodesJSON[[#Headers],[label]:[url]],NodesJSON[[#This Row],[label]:[url]])&amp;"}")</f>
        <v>,{"label":"Iris Recognition Authentication","group":"","id":"BDF3CB39-431D-478C-A651-EBA1666F91C1","url":"https://open-measure.atlassian.net/wiki/spaces/DIC/pages/49250375"}</v>
      </c>
    </row>
    <row r="253" spans="1:6" ht="13.9" thickTop="1" thickBot="1" x14ac:dyDescent="0.4">
      <c r="A253" s="38">
        <f>IF(ISERR(NodesJSON[[#This Row],[label]]),0,1)</f>
        <v>1</v>
      </c>
      <c r="B253" s="3" t="str">
        <f>NodesData[[#This Row],[Common Name]]</f>
        <v>Isolated Identity Management System</v>
      </c>
      <c r="C253" s="3" t="str">
        <f>IF(NodesData[[#This Row],[Context Instanciation]]="","",NodesData[[#This Row],[Context Instanciation]])</f>
        <v/>
      </c>
      <c r="D253" s="22" t="str">
        <f>NodesData[[#This Row],[Node ID]]</f>
        <v>FCBF11EB-7260-4BE4-85EF-F3883F1FC49B</v>
      </c>
      <c r="E253" s="10" t="s">
        <v>921</v>
      </c>
      <c r="F253" s="25" t="str" cm="1">
        <f t="array" ref="F253">IF(NodesJSON[[#This Row],[Export?]]=0,"",IF(ROW(NodesJSON[[#This Row],[label]])&gt;ROW(NodesJSON[[#Headers],[JSON]])+1,",","") &amp;"{"&amp;twoRangesToJSON(NodesJSON[[#Headers],[label]:[url]],NodesJSON[[#This Row],[label]:[url]])&amp;"}")</f>
        <v>,{"label":"Isolated Identity Management System","group":"","id":"FCBF11EB-7260-4BE4-85EF-F3883F1FC49B","url":"https://open-measure.atlassian.net/wiki/spaces/DIC/pages/1006698533"}</v>
      </c>
    </row>
    <row r="254" spans="1:6" ht="13.9" thickTop="1" thickBot="1" x14ac:dyDescent="0.4">
      <c r="A254" s="38">
        <f>IF(ISERR(NodesJSON[[#This Row],[label]]),0,1)</f>
        <v>1</v>
      </c>
      <c r="B254" s="3" t="str">
        <f>NodesData[[#This Row],[Common Name]]</f>
        <v>IT Asset Scope</v>
      </c>
      <c r="C254" s="3" t="str">
        <f>IF(NodesData[[#This Row],[Context Instanciation]]="","",NodesData[[#This Row],[Context Instanciation]])</f>
        <v/>
      </c>
      <c r="D254" s="22" t="str">
        <f>NodesData[[#This Row],[Node ID]]</f>
        <v>96AA1963-0BCF-447E-BC77-9FA9CD06A54A</v>
      </c>
      <c r="E254" s="10" t="s">
        <v>923</v>
      </c>
      <c r="F254" s="25" t="str" cm="1">
        <f t="array" ref="F254">IF(NodesJSON[[#This Row],[Export?]]=0,"",IF(ROW(NodesJSON[[#This Row],[label]])&gt;ROW(NodesJSON[[#Headers],[JSON]])+1,",","") &amp;"{"&amp;twoRangesToJSON(NodesJSON[[#Headers],[label]:[url]],NodesJSON[[#This Row],[label]:[url]])&amp;"}")</f>
        <v>,{"label":"IT Asset Scope","group":"","id":"96AA1963-0BCF-447E-BC77-9FA9CD06A54A","url":"https://open-measure.atlassian.net/wiki/spaces/DIC/pages/442466361"}</v>
      </c>
    </row>
    <row r="255" spans="1:6" ht="13.9" thickTop="1" thickBot="1" x14ac:dyDescent="0.4">
      <c r="A255" s="38">
        <f>IF(ISERR(NodesJSON[[#This Row],[label]]),0,1)</f>
        <v>1</v>
      </c>
      <c r="B255" s="3" t="str">
        <f>NodesData[[#This Row],[Common Name]]</f>
        <v>IT Component</v>
      </c>
      <c r="C255" s="3" t="str">
        <f>IF(NodesData[[#This Row],[Context Instanciation]]="","",NodesData[[#This Row],[Context Instanciation]])</f>
        <v/>
      </c>
      <c r="D255" s="22" t="str">
        <f>NodesData[[#This Row],[Node ID]]</f>
        <v>DB652713-5948-4322-8567-E5F6CB0440E8</v>
      </c>
      <c r="E255" s="10" t="s">
        <v>925</v>
      </c>
      <c r="F255" s="25" t="str" cm="1">
        <f t="array" ref="F255">IF(NodesJSON[[#This Row],[Export?]]=0,"",IF(ROW(NodesJSON[[#This Row],[label]])&gt;ROW(NodesJSON[[#Headers],[JSON]])+1,",","") &amp;"{"&amp;twoRangesToJSON(NodesJSON[[#Headers],[label]:[url]],NodesJSON[[#This Row],[label]:[url]])&amp;"}")</f>
        <v>,{"label":"IT Component","group":"","id":"DB652713-5948-4322-8567-E5F6CB0440E8","url":"https://open-measure.atlassian.net/wiki/spaces/DIC/pages/1104936974"}</v>
      </c>
    </row>
    <row r="256" spans="1:6" ht="13.9" thickTop="1" thickBot="1" x14ac:dyDescent="0.4">
      <c r="A256" s="38">
        <f>IF(ISERR(NodesJSON[[#This Row],[label]]),0,1)</f>
        <v>1</v>
      </c>
      <c r="B256" s="3" t="str">
        <f>NodesData[[#This Row],[Common Name]]</f>
        <v>IT Hardware</v>
      </c>
      <c r="C256" s="3" t="str">
        <f>IF(NodesData[[#This Row],[Context Instanciation]]="","",NodesData[[#This Row],[Context Instanciation]])</f>
        <v/>
      </c>
      <c r="D256" s="22" t="str">
        <f>NodesData[[#This Row],[Node ID]]</f>
        <v>37CD23D4-9BFD-4A88-8D2B-CA84CE4FB78F</v>
      </c>
      <c r="E256" s="10" t="s">
        <v>927</v>
      </c>
      <c r="F256" s="25" t="str" cm="1">
        <f t="array" ref="F256">IF(NodesJSON[[#This Row],[Export?]]=0,"",IF(ROW(NodesJSON[[#This Row],[label]])&gt;ROW(NodesJSON[[#Headers],[JSON]])+1,",","") &amp;"{"&amp;twoRangesToJSON(NodesJSON[[#Headers],[label]:[url]],NodesJSON[[#This Row],[label]:[url]])&amp;"}")</f>
        <v>,{"label":"IT Hardware","group":"","id":"37CD23D4-9BFD-4A88-8D2B-CA84CE4FB78F","url":"https://open-measure.atlassian.net/wiki/spaces/DIC/pages/442368033"}</v>
      </c>
    </row>
    <row r="257" spans="1:6" ht="13.9" thickTop="1" thickBot="1" x14ac:dyDescent="0.4">
      <c r="A257" s="38">
        <f>IF(ISERR(NodesJSON[[#This Row],[label]]),0,1)</f>
        <v>1</v>
      </c>
      <c r="B257" s="3" t="str">
        <f>NodesData[[#This Row],[Common Name]]</f>
        <v>IT Software</v>
      </c>
      <c r="C257" s="3" t="str">
        <f>IF(NodesData[[#This Row],[Context Instanciation]]="","",NodesData[[#This Row],[Context Instanciation]])</f>
        <v/>
      </c>
      <c r="D257" s="22" t="str">
        <f>NodesData[[#This Row],[Node ID]]</f>
        <v>5660B6DD-121E-4173-A110-7A4D00B3AB6A</v>
      </c>
      <c r="E257" s="10" t="s">
        <v>929</v>
      </c>
      <c r="F257" s="25" t="str" cm="1">
        <f t="array" ref="F257">IF(NodesJSON[[#This Row],[Export?]]=0,"",IF(ROW(NodesJSON[[#This Row],[label]])&gt;ROW(NodesJSON[[#Headers],[JSON]])+1,",","") &amp;"{"&amp;twoRangesToJSON(NodesJSON[[#Headers],[label]:[url]],NodesJSON[[#This Row],[label]:[url]])&amp;"}")</f>
        <v>,{"label":"IT Software","group":"","id":"5660B6DD-121E-4173-A110-7A4D00B3AB6A","url":"https://open-measure.atlassian.net/wiki/spaces/DIC/pages/442466381"}</v>
      </c>
    </row>
    <row r="258" spans="1:6" ht="13.9" thickTop="1" thickBot="1" x14ac:dyDescent="0.4">
      <c r="A258" s="38">
        <f>IF(ISERR(NodesJSON[[#This Row],[label]]),0,1)</f>
        <v>1</v>
      </c>
      <c r="B258" s="3" t="str">
        <f>NodesData[[#This Row],[Common Name]]</f>
        <v>IT System</v>
      </c>
      <c r="C258" s="3" t="str">
        <f>IF(NodesData[[#This Row],[Context Instanciation]]="","",NodesData[[#This Row],[Context Instanciation]])</f>
        <v/>
      </c>
      <c r="D258" s="22" t="str">
        <f>NodesData[[#This Row],[Node ID]]</f>
        <v>A4106055-17BD-4640-8746-5471A26FF444</v>
      </c>
      <c r="E258" s="10" t="s">
        <v>931</v>
      </c>
      <c r="F258" s="25" t="str" cm="1">
        <f t="array" ref="F258">IF(NodesJSON[[#This Row],[Export?]]=0,"",IF(ROW(NodesJSON[[#This Row],[label]])&gt;ROW(NodesJSON[[#Headers],[JSON]])+1,",","") &amp;"{"&amp;twoRangesToJSON(NodesJSON[[#Headers],[label]:[url]],NodesJSON[[#This Row],[label]:[url]])&amp;"}")</f>
        <v>,{"label":"IT System","group":"","id":"A4106055-17BD-4640-8746-5471A26FF444","url":"https://open-measure.atlassian.net/wiki/spaces/DIC/pages/1177845957"}</v>
      </c>
    </row>
    <row r="259" spans="1:6" ht="13.9" thickTop="1" thickBot="1" x14ac:dyDescent="0.4">
      <c r="A259" s="38">
        <f>IF(ISERR(NodesJSON[[#This Row],[label]]),0,1)</f>
        <v>1</v>
      </c>
      <c r="B259" s="3" t="str">
        <f>NodesData[[#This Row],[Common Name]]</f>
        <v>JML</v>
      </c>
      <c r="C259" s="3" t="str">
        <f>IF(NodesData[[#This Row],[Context Instanciation]]="","",NodesData[[#This Row],[Context Instanciation]])</f>
        <v/>
      </c>
      <c r="D259" s="22" t="str">
        <f>NodesData[[#This Row],[Node ID]]</f>
        <v>DDCF5707-6980-4EE7-A89F-488C260AC013</v>
      </c>
      <c r="E259" s="10" t="s">
        <v>933</v>
      </c>
      <c r="F259" s="25" t="str" cm="1">
        <f t="array" ref="F259">IF(NodesJSON[[#This Row],[Export?]]=0,"",IF(ROW(NodesJSON[[#This Row],[label]])&gt;ROW(NodesJSON[[#Headers],[JSON]])+1,",","") &amp;"{"&amp;twoRangesToJSON(NodesJSON[[#Headers],[label]:[url]],NodesJSON[[#This Row],[label]:[url]])&amp;"}")</f>
        <v>,{"label":"JML","group":"","id":"DDCF5707-6980-4EE7-A89F-488C260AC013","url":"https://open-measure.atlassian.net/wiki/spaces/DIC/pages/442400912"}</v>
      </c>
    </row>
    <row r="260" spans="1:6" ht="13.9" thickTop="1" thickBot="1" x14ac:dyDescent="0.4">
      <c r="A260" s="38">
        <f>IF(ISERR(NodesJSON[[#This Row],[label]]),0,1)</f>
        <v>1</v>
      </c>
      <c r="B260" s="3" t="str">
        <f>NodesData[[#This Row],[Common Name]]</f>
        <v>Joiner</v>
      </c>
      <c r="C260" s="3" t="str">
        <f>IF(NodesData[[#This Row],[Context Instanciation]]="","",NodesData[[#This Row],[Context Instanciation]])</f>
        <v/>
      </c>
      <c r="D260" s="22" t="str">
        <f>NodesData[[#This Row],[Node ID]]</f>
        <v>33E5066F-5AD2-44CF-BA6A-6DDD49876562</v>
      </c>
      <c r="E260" s="3"/>
      <c r="F260" s="25" t="str" cm="1">
        <f t="array" ref="F260">IF(NodesJSON[[#This Row],[Export?]]=0,"",IF(ROW(NodesJSON[[#This Row],[label]])&gt;ROW(NodesJSON[[#Headers],[JSON]])+1,",","") &amp;"{"&amp;twoRangesToJSON(NodesJSON[[#Headers],[label]:[url]],NodesJSON[[#This Row],[label]:[url]])&amp;"}")</f>
        <v>,{"label":"Joiner","group":"","id":"33E5066F-5AD2-44CF-BA6A-6DDD49876562","url":""}</v>
      </c>
    </row>
    <row r="261" spans="1:6" ht="13.9" thickTop="1" thickBot="1" x14ac:dyDescent="0.4">
      <c r="A261" s="38">
        <f>IF(ISERR(NodesJSON[[#This Row],[label]]),0,1)</f>
        <v>1</v>
      </c>
      <c r="B261" s="3" t="str">
        <f>NodesData[[#This Row],[Common Name]]</f>
        <v>Joiner Hire Date</v>
      </c>
      <c r="C261" s="3" t="str">
        <f>IF(NodesData[[#This Row],[Context Instanciation]]="","",NodesData[[#This Row],[Context Instanciation]])</f>
        <v/>
      </c>
      <c r="D261" s="22" t="str">
        <f>NodesData[[#This Row],[Node ID]]</f>
        <v>9F30EE8C-2188-4E04-88AF-AEB23842FABB</v>
      </c>
      <c r="E261" s="10" t="s">
        <v>934</v>
      </c>
      <c r="F261" s="25" t="str" cm="1">
        <f t="array" ref="F261">IF(NodesJSON[[#This Row],[Export?]]=0,"",IF(ROW(NodesJSON[[#This Row],[label]])&gt;ROW(NodesJSON[[#Headers],[JSON]])+1,",","") &amp;"{"&amp;twoRangesToJSON(NodesJSON[[#Headers],[label]:[url]],NodesJSON[[#This Row],[label]:[url]])&amp;"}")</f>
        <v>,{"label":"Joiner Hire Date","group":"","id":"9F30EE8C-2188-4E04-88AF-AEB23842FABB","url":"https://open-measure.atlassian.net/wiki/spaces/DIC/pages/1452048577/Logic+Bomb"}</v>
      </c>
    </row>
    <row r="262" spans="1:6" ht="13.9" thickTop="1" thickBot="1" x14ac:dyDescent="0.4">
      <c r="A262" s="38">
        <f>IF(ISERR(NodesJSON[[#This Row],[label]]),0,1)</f>
        <v>1</v>
      </c>
      <c r="B262" s="3" t="str">
        <f>NodesData[[#This Row],[Common Name]]</f>
        <v>Joiner Lead Time</v>
      </c>
      <c r="C262" s="3" t="str">
        <f>IF(NodesData[[#This Row],[Context Instanciation]]="","",NodesData[[#This Row],[Context Instanciation]])</f>
        <v/>
      </c>
      <c r="D262" s="22" t="str">
        <f>NodesData[[#This Row],[Node ID]]</f>
        <v>5F379BAF-A7E3-454A-9383-430758055F96</v>
      </c>
      <c r="E262" s="10" t="s">
        <v>935</v>
      </c>
      <c r="F262" s="25" t="str" cm="1">
        <f t="array" ref="F262">IF(NodesJSON[[#This Row],[Export?]]=0,"",IF(ROW(NodesJSON[[#This Row],[label]])&gt;ROW(NodesJSON[[#Headers],[JSON]])+1,",","") &amp;"{"&amp;twoRangesToJSON(NodesJSON[[#Headers],[label]:[url]],NodesJSON[[#This Row],[label]:[url]])&amp;"}")</f>
        <v>,{"label":"Joiner Lead Time","group":"","id":"5F379BAF-A7E3-454A-9383-430758055F96","url":"https://open-measure.atlassian.net/wiki/spaces/DIC/pages/1440153606/Login"}</v>
      </c>
    </row>
    <row r="263" spans="1:6" ht="13.9" thickTop="1" thickBot="1" x14ac:dyDescent="0.4">
      <c r="A263" s="38">
        <f>IF(ISERR(NodesJSON[[#This Row],[label]]),0,1)</f>
        <v>1</v>
      </c>
      <c r="B263" s="3" t="str">
        <f>NodesData[[#This Row],[Common Name]]</f>
        <v>Joiner Process</v>
      </c>
      <c r="C263" s="3" t="str">
        <f>IF(NodesData[[#This Row],[Context Instanciation]]="","",NodesData[[#This Row],[Context Instanciation]])</f>
        <v/>
      </c>
      <c r="D263" s="22" t="str">
        <f>NodesData[[#This Row],[Node ID]]</f>
        <v>C4B32381-FE90-443B-8248-77C1FEEE79F9</v>
      </c>
      <c r="E263" s="10" t="s">
        <v>936</v>
      </c>
      <c r="F263" s="25" t="str" cm="1">
        <f t="array" ref="F263">IF(NodesJSON[[#This Row],[Export?]]=0,"",IF(ROW(NodesJSON[[#This Row],[label]])&gt;ROW(NodesJSON[[#Headers],[JSON]])+1,",","") &amp;"{"&amp;twoRangesToJSON(NodesJSON[[#Headers],[label]:[url]],NodesJSON[[#This Row],[label]:[url]])&amp;"}")</f>
        <v>,{"label":"Joiner Process","group":"","id":"C4B32381-FE90-443B-8248-77C1FEEE79F9","url":"https://open-measure.atlassian.net/wiki/spaces/DIC/pages/1428685307/Login+ID"}</v>
      </c>
    </row>
    <row r="264" spans="1:6" ht="13.9" thickTop="1" thickBot="1" x14ac:dyDescent="0.4">
      <c r="A264" s="38">
        <f>IF(ISERR(NodesJSON[[#This Row],[label]]),0,1)</f>
        <v>1</v>
      </c>
      <c r="B264" s="3" t="str">
        <f>NodesData[[#This Row],[Common Name]]</f>
        <v>Joiner Start Date</v>
      </c>
      <c r="C264" s="3" t="str">
        <f>IF(NodesData[[#This Row],[Context Instanciation]]="","",NodesData[[#This Row],[Context Instanciation]])</f>
        <v/>
      </c>
      <c r="D264" s="22" t="str">
        <f>NodesData[[#This Row],[Node ID]]</f>
        <v>52F88A4C-3E93-4AF2-8DBF-CB8B8C2AD615</v>
      </c>
      <c r="E264" s="10" t="s">
        <v>937</v>
      </c>
      <c r="F264" s="25" t="str" cm="1">
        <f t="array" ref="F264">IF(NodesJSON[[#This Row],[Export?]]=0,"",IF(ROW(NodesJSON[[#This Row],[label]])&gt;ROW(NodesJSON[[#Headers],[JSON]])+1,",","") &amp;"{"&amp;twoRangesToJSON(NodesJSON[[#Headers],[label]:[url]],NodesJSON[[#This Row],[label]:[url]])&amp;"}")</f>
        <v>,{"label":"Joiner Start Date","group":"","id":"52F88A4C-3E93-4AF2-8DBF-CB8B8C2AD615","url":"https://open-measure.atlassian.net/wiki/spaces/DIC/pages/1428685365/Login+Name"}</v>
      </c>
    </row>
    <row r="265" spans="1:6" ht="13.9" thickTop="1" thickBot="1" x14ac:dyDescent="0.4">
      <c r="A265" s="38">
        <f>IF(ISERR(NodesJSON[[#This Row],[label]]),0,1)</f>
        <v>1</v>
      </c>
      <c r="B265" s="3" t="str">
        <f>NodesData[[#This Row],[Common Name]]</f>
        <v>Key Criteria Type</v>
      </c>
      <c r="C265" s="3" t="str">
        <f>IF(NodesData[[#This Row],[Context Instanciation]]="","",NodesData[[#This Row],[Context Instanciation]])</f>
        <v/>
      </c>
      <c r="D265" s="22" t="str">
        <f>NodesData[[#This Row],[Node ID]]</f>
        <v>406CC236-DFF2-405A-B465-64F605223042</v>
      </c>
      <c r="E265" s="10" t="s">
        <v>939</v>
      </c>
      <c r="F265" s="25" t="str" cm="1">
        <f t="array" ref="F265">IF(NodesJSON[[#This Row],[Export?]]=0,"",IF(ROW(NodesJSON[[#This Row],[label]])&gt;ROW(NodesJSON[[#Headers],[JSON]])+1,",","") &amp;"{"&amp;twoRangesToJSON(NodesJSON[[#Headers],[label]:[url]],NodesJSON[[#This Row],[label]:[url]])&amp;"}")</f>
        <v>,{"label":"Key Criteria Type","group":"","id":"406CC236-DFF2-405A-B465-64F605223042","url":"https://open-measure.atlassian.net/wiki/spaces/DIC/pages/67699227"}</v>
      </c>
    </row>
    <row r="266" spans="1:6" ht="13.9" thickTop="1" thickBot="1" x14ac:dyDescent="0.4">
      <c r="A266" s="38">
        <f>IF(ISERR(NodesJSON[[#This Row],[label]]),0,1)</f>
        <v>1</v>
      </c>
      <c r="B266" s="3" t="str">
        <f>NodesData[[#This Row],[Common Name]]</f>
        <v>Key Information</v>
      </c>
      <c r="C266" s="3" t="str">
        <f>IF(NodesData[[#This Row],[Context Instanciation]]="","",NodesData[[#This Row],[Context Instanciation]])</f>
        <v/>
      </c>
      <c r="D266" s="22" t="str">
        <f>NodesData[[#This Row],[Node ID]]</f>
        <v>98FC67D9-C9D3-4BC6-B927-8AB8F3894DB7</v>
      </c>
      <c r="E266" s="10" t="s">
        <v>941</v>
      </c>
      <c r="F266" s="25" t="str" cm="1">
        <f t="array" ref="F266">IF(NodesJSON[[#This Row],[Export?]]=0,"",IF(ROW(NodesJSON[[#This Row],[label]])&gt;ROW(NodesJSON[[#Headers],[JSON]])+1,",","") &amp;"{"&amp;twoRangesToJSON(NodesJSON[[#Headers],[label]:[url]],NodesJSON[[#This Row],[label]:[url]])&amp;"}")</f>
        <v>,{"label":"Key Information","group":"","id":"98FC67D9-C9D3-4BC6-B927-8AB8F3894DB7","url":"https://open-measure.atlassian.net/wiki/spaces/DIC/pages/834044288"}</v>
      </c>
    </row>
    <row r="267" spans="1:6" ht="13.9" thickTop="1" thickBot="1" x14ac:dyDescent="0.4">
      <c r="A267" s="38">
        <f>IF(ISERR(NodesJSON[[#This Row],[label]]),0,1)</f>
        <v>1</v>
      </c>
      <c r="B267" s="3" t="str">
        <f>NodesData[[#This Row],[Common Name]]</f>
        <v>Keying Material</v>
      </c>
      <c r="C267" s="3" t="str">
        <f>IF(NodesData[[#This Row],[Context Instanciation]]="","",NodesData[[#This Row],[Context Instanciation]])</f>
        <v/>
      </c>
      <c r="D267" s="22" t="str">
        <f>NodesData[[#This Row],[Node ID]]</f>
        <v>E5DF77A4-C200-40CE-9133-29FE8F45F83C</v>
      </c>
      <c r="E267" s="4"/>
      <c r="F267" s="25" t="str" cm="1">
        <f t="array" ref="F267">IF(NodesJSON[[#This Row],[Export?]]=0,"",IF(ROW(NodesJSON[[#This Row],[label]])&gt;ROW(NodesJSON[[#Headers],[JSON]])+1,",","") &amp;"{"&amp;twoRangesToJSON(NodesJSON[[#Headers],[label]:[url]],NodesJSON[[#This Row],[label]:[url]])&amp;"}")</f>
        <v>,{"label":"Keying Material","group":"","id":"E5DF77A4-C200-40CE-9133-29FE8F45F83C","url":""}</v>
      </c>
    </row>
    <row r="268" spans="1:6" ht="13.9" thickTop="1" thickBot="1" x14ac:dyDescent="0.4">
      <c r="A268" s="38">
        <f>IF(ISERR(NodesJSON[[#This Row],[label]]),0,1)</f>
        <v>1</v>
      </c>
      <c r="B268" s="3" t="str">
        <f>NodesData[[#This Row],[Common Name]]</f>
        <v>Keystroke Recognition Authentication</v>
      </c>
      <c r="C268" s="3" t="str">
        <f>IF(NodesData[[#This Row],[Context Instanciation]]="","",NodesData[[#This Row],[Context Instanciation]])</f>
        <v/>
      </c>
      <c r="D268" s="22" t="str">
        <f>NodesData[[#This Row],[Node ID]]</f>
        <v>824C4DE1-CB45-4357-8D71-3D7A9B20A1FE</v>
      </c>
      <c r="E268" s="10" t="s">
        <v>943</v>
      </c>
      <c r="F268" s="25" t="str" cm="1">
        <f t="array" ref="F268">IF(NodesJSON[[#This Row],[Export?]]=0,"",IF(ROW(NodesJSON[[#This Row],[label]])&gt;ROW(NodesJSON[[#Headers],[JSON]])+1,",","") &amp;"{"&amp;twoRangesToJSON(NodesJSON[[#Headers],[label]:[url]],NodesJSON[[#This Row],[label]:[url]])&amp;"}")</f>
        <v>,{"label":"Keystroke Recognition Authentication","group":"","id":"824C4DE1-CB45-4357-8D71-3D7A9B20A1FE","url":"https://open-measure.atlassian.net/wiki/spaces/DIC/pages/75890760"}</v>
      </c>
    </row>
    <row r="269" spans="1:6" ht="13.9" thickTop="1" thickBot="1" x14ac:dyDescent="0.4">
      <c r="A269" s="38">
        <f>IF(ISERR(NodesJSON[[#This Row],[label]]),0,1)</f>
        <v>1</v>
      </c>
      <c r="B269" s="3" t="str">
        <f>NodesData[[#This Row],[Common Name]]</f>
        <v>Knowledge Factor</v>
      </c>
      <c r="C269" s="3" t="str">
        <f>IF(NodesData[[#This Row],[Context Instanciation]]="","",NodesData[[#This Row],[Context Instanciation]])</f>
        <v/>
      </c>
      <c r="D269" s="22" t="str">
        <f>NodesData[[#This Row],[Node ID]]</f>
        <v>8F045301-B949-47A7-B850-24BF7725F524</v>
      </c>
      <c r="E269" s="10" t="s">
        <v>945</v>
      </c>
      <c r="F269" s="25" t="str" cm="1">
        <f t="array" ref="F269">IF(NodesJSON[[#This Row],[Export?]]=0,"",IF(ROW(NodesJSON[[#This Row],[label]])&gt;ROW(NodesJSON[[#Headers],[JSON]])+1,",","") &amp;"{"&amp;twoRangesToJSON(NodesJSON[[#Headers],[label]:[url]],NodesJSON[[#This Row],[label]:[url]])&amp;"}")</f>
        <v>,{"label":"Knowledge Factor","group":"","id":"8F045301-B949-47A7-B850-24BF7725F524","url":"https://open-measure.atlassian.net/wiki/spaces/DIC/pages/1031241799"}</v>
      </c>
    </row>
    <row r="270" spans="1:6" ht="13.9" thickTop="1" thickBot="1" x14ac:dyDescent="0.4">
      <c r="A270" s="38">
        <f>IF(ISERR(NodesJSON[[#This Row],[label]]),0,1)</f>
        <v>1</v>
      </c>
      <c r="B270" s="3" t="str">
        <f>NodesData[[#This Row],[Common Name]]</f>
        <v>Knuckleprint Recognition Authentication</v>
      </c>
      <c r="C270" s="3" t="str">
        <f>IF(NodesData[[#This Row],[Context Instanciation]]="","",NodesData[[#This Row],[Context Instanciation]])</f>
        <v/>
      </c>
      <c r="D270" s="22" t="str">
        <f>NodesData[[#This Row],[Node ID]]</f>
        <v>935B2B66-22E7-4674-9564-5B7FE10D4526</v>
      </c>
      <c r="E270" s="10" t="s">
        <v>946</v>
      </c>
      <c r="F270" s="25" t="str" cm="1">
        <f t="array" ref="F270">IF(NodesJSON[[#This Row],[Export?]]=0,"",IF(ROW(NodesJSON[[#This Row],[label]])&gt;ROW(NodesJSON[[#Headers],[JSON]])+1,",","") &amp;"{"&amp;twoRangesToJSON(NodesJSON[[#Headers],[label]:[url]],NodesJSON[[#This Row],[label]:[url]])&amp;"}")</f>
        <v>,{"label":"Knuckleprint Recognition Authentication","group":"","id":"935B2B66-22E7-4674-9564-5B7FE10D4526","url":"https://open-measure.atlassian.net/wiki/spaces/DIC/pages/1600684160/Multiple+Accounts"}</v>
      </c>
    </row>
    <row r="271" spans="1:6" ht="13.9" thickTop="1" thickBot="1" x14ac:dyDescent="0.4">
      <c r="A271" s="38">
        <f>IF(ISERR(NodesJSON[[#This Row],[label]]),0,1)</f>
        <v>1</v>
      </c>
      <c r="B271" s="3" t="str">
        <f>NodesData[[#This Row],[Common Name]]</f>
        <v>KYC</v>
      </c>
      <c r="C271" s="3" t="str">
        <f>IF(NodesData[[#This Row],[Context Instanciation]]="","",NodesData[[#This Row],[Context Instanciation]])</f>
        <v/>
      </c>
      <c r="D271" s="22" t="str">
        <f>NodesData[[#This Row],[Node ID]]</f>
        <v>1CE21E67-6A6D-4A6D-8F23-E3B426079C35</v>
      </c>
      <c r="E271" s="4"/>
      <c r="F271" s="25" t="str" cm="1">
        <f t="array" ref="F271">IF(NodesJSON[[#This Row],[Export?]]=0,"",IF(ROW(NodesJSON[[#This Row],[label]])&gt;ROW(NodesJSON[[#Headers],[JSON]])+1,",","") &amp;"{"&amp;twoRangesToJSON(NodesJSON[[#Headers],[label]:[url]],NodesJSON[[#This Row],[label]:[url]])&amp;"}")</f>
        <v>,{"label":"KYC","group":"","id":"1CE21E67-6A6D-4A6D-8F23-E3B426079C35","url":""}</v>
      </c>
    </row>
    <row r="272" spans="1:6" ht="13.9" thickTop="1" thickBot="1" x14ac:dyDescent="0.4">
      <c r="A272" s="38">
        <f>IF(ISERR(NodesJSON[[#This Row],[label]]),0,1)</f>
        <v>1</v>
      </c>
      <c r="B272" s="3" t="str">
        <f>NodesData[[#This Row],[Common Name]]</f>
        <v>KYC Registry</v>
      </c>
      <c r="C272" s="3" t="str">
        <f>IF(NodesData[[#This Row],[Context Instanciation]]="","",NodesData[[#This Row],[Context Instanciation]])</f>
        <v/>
      </c>
      <c r="D272" s="22" t="str">
        <f>NodesData[[#This Row],[Node ID]]</f>
        <v>166B5A26-5DAC-4BF8-AD48-69627F7B841D</v>
      </c>
      <c r="E272" s="10" t="s">
        <v>949</v>
      </c>
      <c r="F272" s="25" t="str" cm="1">
        <f t="array" ref="F272">IF(NodesJSON[[#This Row],[Export?]]=0,"",IF(ROW(NodesJSON[[#This Row],[label]])&gt;ROW(NodesJSON[[#Headers],[JSON]])+1,",","") &amp;"{"&amp;twoRangesToJSON(NodesJSON[[#Headers],[label]:[url]],NodesJSON[[#This Row],[label]:[url]])&amp;"}")</f>
        <v>,{"label":"KYC Registry","group":"","id":"166B5A26-5DAC-4BF8-AD48-69627F7B841D","url":"https://open-measure.atlassian.net/wiki/spaces/DIC/pages/1474592794/Need-to-Know"}</v>
      </c>
    </row>
    <row r="273" spans="1:6" ht="13.9" thickTop="1" thickBot="1" x14ac:dyDescent="0.4">
      <c r="A273" s="38">
        <f>IF(ISERR(NodesJSON[[#This Row],[label]]),0,1)</f>
        <v>1</v>
      </c>
      <c r="B273" s="3" t="str">
        <f>NodesData[[#This Row],[Common Name]]</f>
        <v>Lattice-Based Access Control</v>
      </c>
      <c r="C273" s="3" t="str">
        <f>IF(NodesData[[#This Row],[Context Instanciation]]="","",NodesData[[#This Row],[Context Instanciation]])</f>
        <v/>
      </c>
      <c r="D273" s="22" t="str">
        <f>NodesData[[#This Row],[Node ID]]</f>
        <v>86E48B84-25B8-4795-9A93-5217ED1B20EE</v>
      </c>
      <c r="E273" s="10" t="s">
        <v>951</v>
      </c>
      <c r="F273" s="25" t="str" cm="1">
        <f t="array" ref="F273">IF(NodesJSON[[#This Row],[Export?]]=0,"",IF(ROW(NodesJSON[[#This Row],[label]])&gt;ROW(NodesJSON[[#Headers],[JSON]])+1,",","") &amp;"{"&amp;twoRangesToJSON(NodesJSON[[#Headers],[label]:[url]],NodesJSON[[#This Row],[label]:[url]])&amp;"}")</f>
        <v>,{"label":"Lattice-Based Access Control","group":"","id":"86E48B84-25B8-4795-9A93-5217ED1B20EE","url":"https://open-measure.atlassian.net/wiki/spaces/DIC/pages/858456124"}</v>
      </c>
    </row>
    <row r="274" spans="1:6" ht="13.9" thickTop="1" thickBot="1" x14ac:dyDescent="0.4">
      <c r="A274" s="38">
        <f>IF(ISERR(NodesJSON[[#This Row],[label]]),0,1)</f>
        <v>1</v>
      </c>
      <c r="B274" s="3" t="str">
        <f>NodesData[[#This Row],[Common Name]]</f>
        <v>Layers Architectural Pattern</v>
      </c>
      <c r="C274" s="3" t="str">
        <f>IF(NodesData[[#This Row],[Context Instanciation]]="","",NodesData[[#This Row],[Context Instanciation]])</f>
        <v/>
      </c>
      <c r="D274" s="22" t="str">
        <f>NodesData[[#This Row],[Node ID]]</f>
        <v>47F51922-5209-4A6F-A67B-D153C7E5BAD5</v>
      </c>
      <c r="E274" s="10" t="s">
        <v>953</v>
      </c>
      <c r="F274" s="25" t="str" cm="1">
        <f t="array" ref="F274">IF(NodesJSON[[#This Row],[Export?]]=0,"",IF(ROW(NodesJSON[[#This Row],[label]])&gt;ROW(NodesJSON[[#Headers],[JSON]])+1,",","") &amp;"{"&amp;twoRangesToJSON(NodesJSON[[#Headers],[label]:[url]],NodesJSON[[#This Row],[label]:[url]])&amp;"}")</f>
        <v>,{"label":"Layers Architectural Pattern","group":"","id":"47F51922-5209-4A6F-A67B-D153C7E5BAD5","url":"https://open-measure.atlassian.net/wiki/spaces/DIC/pages/1237483723"}</v>
      </c>
    </row>
    <row r="275" spans="1:6" ht="13.9" thickTop="1" thickBot="1" x14ac:dyDescent="0.4">
      <c r="A275" s="38">
        <f>IF(ISERR(NodesJSON[[#This Row],[label]]),0,1)</f>
        <v>1</v>
      </c>
      <c r="B275" s="3" t="str">
        <f>NodesData[[#This Row],[Common Name]]</f>
        <v>LBAC</v>
      </c>
      <c r="C275" s="3" t="str">
        <f>IF(NodesData[[#This Row],[Context Instanciation]]="","",NodesData[[#This Row],[Context Instanciation]])</f>
        <v/>
      </c>
      <c r="D275" s="22" t="str">
        <f>NodesData[[#This Row],[Node ID]]</f>
        <v>EFAC5827-378C-4102-AFE2-CE07747FFDDE</v>
      </c>
      <c r="E275" s="10" t="s">
        <v>955</v>
      </c>
      <c r="F275" s="25" t="str" cm="1">
        <f t="array" ref="F275">IF(NodesJSON[[#This Row],[Export?]]=0,"",IF(ROW(NodesJSON[[#This Row],[label]])&gt;ROW(NodesJSON[[#Headers],[JSON]])+1,",","") &amp;"{"&amp;twoRangesToJSON(NodesJSON[[#Headers],[label]:[url]],NodesJSON[[#This Row],[label]:[url]])&amp;"}")</f>
        <v>,{"label":"LBAC","group":"","id":"EFAC5827-378C-4102-AFE2-CE07747FFDDE","url":"https://open-measure.atlassian.net/wiki/spaces/DIC/pages/858554692"}</v>
      </c>
    </row>
    <row r="276" spans="1:6" ht="13.9" thickTop="1" thickBot="1" x14ac:dyDescent="0.4">
      <c r="A276" s="38">
        <f>IF(ISERR(NodesJSON[[#This Row],[label]]),0,1)</f>
        <v>1</v>
      </c>
      <c r="B276" s="3" t="str">
        <f>NodesData[[#This Row],[Common Name]]</f>
        <v>Leading Indicator</v>
      </c>
      <c r="C276" s="3" t="str">
        <f>IF(NodesData[[#This Row],[Context Instanciation]]="","",NodesData[[#This Row],[Context Instanciation]])</f>
        <v/>
      </c>
      <c r="D276" s="22" t="str">
        <f>NodesData[[#This Row],[Node ID]]</f>
        <v>A4CDF615-A105-417E-B48D-64356629F331</v>
      </c>
      <c r="E276" s="10" t="s">
        <v>956</v>
      </c>
      <c r="F276" s="25" t="str" cm="1">
        <f t="array" ref="F276">IF(NodesJSON[[#This Row],[Export?]]=0,"",IF(ROW(NodesJSON[[#This Row],[label]])&gt;ROW(NodesJSON[[#Headers],[JSON]])+1,",","") &amp;"{"&amp;twoRangesToJSON(NodesJSON[[#Headers],[label]:[url]],NodesJSON[[#This Row],[label]:[url]])&amp;"}")</f>
        <v>,{"label":"Leading Indicator","group":"","id":"A4CDF615-A105-417E-B48D-64356629F331","url":"https://open-measure.atlassian.net/wiki/spaces/DIC/pages/1323336029/Numerical+Identity"}</v>
      </c>
    </row>
    <row r="277" spans="1:6" ht="13.9" thickTop="1" thickBot="1" x14ac:dyDescent="0.4">
      <c r="A277" s="38">
        <f>IF(ISERR(NodesJSON[[#This Row],[label]]),0,1)</f>
        <v>1</v>
      </c>
      <c r="B277" s="3" t="str">
        <f>NodesData[[#This Row],[Common Name]]</f>
        <v>Least Privilege</v>
      </c>
      <c r="C277" s="3" t="str">
        <f>IF(NodesData[[#This Row],[Context Instanciation]]="","",NodesData[[#This Row],[Context Instanciation]])</f>
        <v/>
      </c>
      <c r="D277" s="22" t="str">
        <f>NodesData[[#This Row],[Node ID]]</f>
        <v>4E64ED8C-4B10-47C9-A311-D1727129E3B4</v>
      </c>
      <c r="E277" s="10" t="s">
        <v>948</v>
      </c>
      <c r="F277" s="25" t="str" cm="1">
        <f t="array" ref="F277">IF(NodesJSON[[#This Row],[Export?]]=0,"",IF(ROW(NodesJSON[[#This Row],[label]])&gt;ROW(NodesJSON[[#Headers],[JSON]])+1,",","") &amp;"{"&amp;twoRangesToJSON(NodesJSON[[#Headers],[label]:[url]],NodesJSON[[#This Row],[label]:[url]])&amp;"}")</f>
        <v>,{"label":"Least Privilege","group":"","id":"4E64ED8C-4B10-47C9-A311-D1727129E3B4","url":"https://open-measure.atlassian.net/wiki/spaces/DIC/pages/998244664"}</v>
      </c>
    </row>
    <row r="278" spans="1:6" ht="13.9" thickTop="1" thickBot="1" x14ac:dyDescent="0.4">
      <c r="A278" s="38">
        <f>IF(ISERR(NodesJSON[[#This Row],[label]]),0,1)</f>
        <v>1</v>
      </c>
      <c r="B278" s="3" t="str">
        <f>NodesData[[#This Row],[Common Name]]</f>
        <v>Legal Entity Identifier</v>
      </c>
      <c r="C278" s="3" t="str">
        <f>IF(NodesData[[#This Row],[Context Instanciation]]="","",NodesData[[#This Row],[Context Instanciation]])</f>
        <v/>
      </c>
      <c r="D278" s="22" t="str">
        <f>NodesData[[#This Row],[Node ID]]</f>
        <v>94BD538B-2803-4922-B9FC-708C5A78D007</v>
      </c>
      <c r="E278" s="10" t="s">
        <v>960</v>
      </c>
      <c r="F278" s="25" t="str" cm="1">
        <f t="array" ref="F278">IF(NodesJSON[[#This Row],[Export?]]=0,"",IF(ROW(NodesJSON[[#This Row],[label]])&gt;ROW(NodesJSON[[#Headers],[JSON]])+1,",","") &amp;"{"&amp;twoRangesToJSON(NodesJSON[[#Headers],[label]:[url]],NodesJSON[[#This Row],[label]:[url]])&amp;"}")</f>
        <v>,{"label":"Legal Entity Identifier","group":"","id":"94BD538B-2803-4922-B9FC-708C5A78D007","url":"https://open-measure.atlassian.net/wiki/spaces/DIC/pages/67568133"}</v>
      </c>
    </row>
    <row r="279" spans="1:6" ht="13.9" thickTop="1" thickBot="1" x14ac:dyDescent="0.4">
      <c r="A279" s="38">
        <f>IF(ISERR(NodesJSON[[#This Row],[label]]),0,1)</f>
        <v>1</v>
      </c>
      <c r="B279" s="3" t="str">
        <f>NodesData[[#This Row],[Common Name]]</f>
        <v>Legitimate Privilege Abuse</v>
      </c>
      <c r="C279" s="3" t="str">
        <f>IF(NodesData[[#This Row],[Context Instanciation]]="","",NodesData[[#This Row],[Context Instanciation]])</f>
        <v/>
      </c>
      <c r="D279" s="22" t="str">
        <f>NodesData[[#This Row],[Node ID]]</f>
        <v>AD51CEE3-FB4A-407D-BCA6-FCB60D74C6CF</v>
      </c>
      <c r="E279" s="10" t="s">
        <v>962</v>
      </c>
      <c r="F279" s="25" t="str" cm="1">
        <f t="array" ref="F279">IF(NodesJSON[[#This Row],[Export?]]=0,"",IF(ROW(NodesJSON[[#This Row],[label]])&gt;ROW(NodesJSON[[#Headers],[JSON]])+1,",","") &amp;"{"&amp;twoRangesToJSON(NodesJSON[[#Headers],[label]:[url]],NodesJSON[[#This Row],[label]:[url]])&amp;"}")</f>
        <v>,{"label":"Legitimate Privilege Abuse","group":"","id":"AD51CEE3-FB4A-407D-BCA6-FCB60D74C6CF","url":"https://open-measure.atlassian.net/wiki/spaces/DIC/pages/998244357"}</v>
      </c>
    </row>
    <row r="280" spans="1:6" ht="13.9" thickTop="1" thickBot="1" x14ac:dyDescent="0.4">
      <c r="A280" s="38">
        <f>IF(ISERR(NodesJSON[[#This Row],[label]]),0,1)</f>
        <v>1</v>
      </c>
      <c r="B280" s="3" t="str">
        <f>NodesData[[#This Row],[Common Name]]</f>
        <v>LEI</v>
      </c>
      <c r="C280" s="3" t="str">
        <f>IF(NodesData[[#This Row],[Context Instanciation]]="","",NodesData[[#This Row],[Context Instanciation]])</f>
        <v/>
      </c>
      <c r="D280" s="22" t="str">
        <f>NodesData[[#This Row],[Node ID]]</f>
        <v>8E33930E-44DE-40EC-95F1-CFEFF12B8C1E</v>
      </c>
      <c r="E280" s="10" t="s">
        <v>958</v>
      </c>
      <c r="F280" s="25" t="str" cm="1">
        <f t="array" ref="F280">IF(NodesJSON[[#This Row],[Export?]]=0,"",IF(ROW(NodesJSON[[#This Row],[label]])&gt;ROW(NodesJSON[[#Headers],[JSON]])+1,",","") &amp;"{"&amp;twoRangesToJSON(NodesJSON[[#Headers],[label]:[url]],NodesJSON[[#This Row],[label]:[url]])&amp;"}")</f>
        <v>,{"label":"LEI","group":"","id":"8E33930E-44DE-40EC-95F1-CFEFF12B8C1E","url":"https://open-measure.atlassian.net/wiki/spaces/DIC/pages/446825168"}</v>
      </c>
    </row>
    <row r="281" spans="1:6" ht="13.9" thickTop="1" thickBot="1" x14ac:dyDescent="0.4">
      <c r="A281" s="38">
        <f>IF(ISERR(NodesJSON[[#This Row],[label]]),0,1)</f>
        <v>1</v>
      </c>
      <c r="B281" s="3" t="str">
        <f>NodesData[[#This Row],[Common Name]]</f>
        <v>Levels of Assurance</v>
      </c>
      <c r="C281" s="3" t="str">
        <f>IF(NodesData[[#This Row],[Context Instanciation]]="","",NodesData[[#This Row],[Context Instanciation]])</f>
        <v/>
      </c>
      <c r="D281" s="22" t="str">
        <f>NodesData[[#This Row],[Node ID]]</f>
        <v>C4757629-C6BF-455D-85BA-12928C66187A</v>
      </c>
      <c r="E281" s="10" t="s">
        <v>964</v>
      </c>
      <c r="F281" s="25" t="str" cm="1">
        <f t="array" ref="F281">IF(NodesJSON[[#This Row],[Export?]]=0,"",IF(ROW(NodesJSON[[#This Row],[label]])&gt;ROW(NodesJSON[[#Headers],[JSON]])+1,",","") &amp;"{"&amp;twoRangesToJSON(NodesJSON[[#Headers],[label]:[url]],NodesJSON[[#This Row],[label]:[url]])&amp;"}")</f>
        <v>,{"label":"Levels of Assurance","group":"","id":"C4757629-C6BF-455D-85BA-12928C66187A","url":"https://open-measure.atlassian.net/wiki/spaces/DIC/pages/1142358051"}</v>
      </c>
    </row>
    <row r="282" spans="1:6" ht="13.9" thickTop="1" thickBot="1" x14ac:dyDescent="0.4">
      <c r="A282" s="38">
        <f>IF(ISERR(NodesJSON[[#This Row],[label]]),0,1)</f>
        <v>1</v>
      </c>
      <c r="B282" s="3" t="str">
        <f>NodesData[[#This Row],[Common Name]]</f>
        <v>Liberal Discretionary Access Control</v>
      </c>
      <c r="C282" s="3" t="str">
        <f>IF(NodesData[[#This Row],[Context Instanciation]]="","",NodesData[[#This Row],[Context Instanciation]])</f>
        <v/>
      </c>
      <c r="D282" s="22" t="str">
        <f>NodesData[[#This Row],[Node ID]]</f>
        <v>6A3A70EE-334E-421F-B119-F98B151630FB</v>
      </c>
      <c r="E282" s="10" t="s">
        <v>966</v>
      </c>
      <c r="F282" s="25" t="str" cm="1">
        <f t="array" ref="F282">IF(NodesJSON[[#This Row],[Export?]]=0,"",IF(ROW(NodesJSON[[#This Row],[label]])&gt;ROW(NodesJSON[[#Headers],[JSON]])+1,",","") &amp;"{"&amp;twoRangesToJSON(NodesJSON[[#Headers],[label]:[url]],NodesJSON[[#This Row],[label]:[url]])&amp;"}")</f>
        <v>,{"label":"Liberal Discretionary Access Control","group":"","id":"6A3A70EE-334E-421F-B119-F98B151630FB","url":"https://open-measure.atlassian.net/wiki/spaces/DIC/pages/1142259761"}</v>
      </c>
    </row>
    <row r="283" spans="1:6" ht="13.9" thickTop="1" thickBot="1" x14ac:dyDescent="0.4">
      <c r="A283" s="38">
        <f>IF(ISERR(NodesJSON[[#This Row],[label]]),0,1)</f>
        <v>1</v>
      </c>
      <c r="B283" s="3" t="str">
        <f>NodesData[[#This Row],[Common Name]]</f>
        <v>LOA</v>
      </c>
      <c r="C283" s="3" t="str">
        <f>IF(NodesData[[#This Row],[Context Instanciation]]="","",NodesData[[#This Row],[Context Instanciation]])</f>
        <v/>
      </c>
      <c r="D283" s="22" t="str">
        <f>NodesData[[#This Row],[Node ID]]</f>
        <v>01E66989-6C9A-46DB-B262-E13459790817</v>
      </c>
      <c r="E283" s="10" t="s">
        <v>968</v>
      </c>
      <c r="F283" s="25" t="str" cm="1">
        <f t="array" ref="F283">IF(NodesJSON[[#This Row],[Export?]]=0,"",IF(ROW(NodesJSON[[#This Row],[label]])&gt;ROW(NodesJSON[[#Headers],[JSON]])+1,",","") &amp;"{"&amp;twoRangesToJSON(NodesJSON[[#Headers],[label]:[url]],NodesJSON[[#This Row],[label]:[url]])&amp;"}")</f>
        <v>,{"label":"LOA","group":"","id":"01E66989-6C9A-46DB-B262-E13459790817","url":"https://open-measure.atlassian.net/wiki/spaces/DIC/pages/3211353"}</v>
      </c>
    </row>
    <row r="284" spans="1:6" ht="13.9" thickTop="1" thickBot="1" x14ac:dyDescent="0.4">
      <c r="A284" s="38">
        <f>IF(ISERR(NodesJSON[[#This Row],[label]]),0,1)</f>
        <v>1</v>
      </c>
      <c r="B284" s="3" t="str">
        <f>NodesData[[#This Row],[Common Name]]</f>
        <v>Location Factor</v>
      </c>
      <c r="C284" s="3" t="str">
        <f>IF(NodesData[[#This Row],[Context Instanciation]]="","",NodesData[[#This Row],[Context Instanciation]])</f>
        <v/>
      </c>
      <c r="D284" s="22" t="str">
        <f>NodesData[[#This Row],[Node ID]]</f>
        <v>1D786316-F897-4DFF-8B41-5E1E1572959A</v>
      </c>
      <c r="E284" s="10" t="s">
        <v>970</v>
      </c>
      <c r="F284" s="25" t="str" cm="1">
        <f t="array" ref="F284">IF(NodesJSON[[#This Row],[Export?]]=0,"",IF(ROW(NodesJSON[[#This Row],[label]])&gt;ROW(NodesJSON[[#Headers],[JSON]])+1,",","") &amp;"{"&amp;twoRangesToJSON(NodesJSON[[#Headers],[label]:[url]],NodesJSON[[#This Row],[label]:[url]])&amp;"}")</f>
        <v>,{"label":"Location Factor","group":"","id":"1D786316-F897-4DFF-8B41-5E1E1572959A","url":"https://open-measure.atlassian.net/wiki/spaces/DIC/pages/148439181"}</v>
      </c>
    </row>
    <row r="285" spans="1:6" ht="13.9" thickTop="1" thickBot="1" x14ac:dyDescent="0.4">
      <c r="A285" s="38">
        <f>IF(ISERR(NodesJSON[[#This Row],[label]]),0,1)</f>
        <v>1</v>
      </c>
      <c r="B285" s="3" t="str">
        <f>NodesData[[#This Row],[Common Name]]</f>
        <v>Logic Bomb</v>
      </c>
      <c r="C285" s="3" t="str">
        <f>IF(NodesData[[#This Row],[Context Instanciation]]="","",NodesData[[#This Row],[Context Instanciation]])</f>
        <v/>
      </c>
      <c r="D285" s="22" t="str">
        <f>NodesData[[#This Row],[Node ID]]</f>
        <v>3DC55223-7AFD-4287-8C27-5DBDFDDDED39</v>
      </c>
      <c r="E285" s="10" t="s">
        <v>972</v>
      </c>
      <c r="F285" s="25" t="str" cm="1">
        <f t="array" ref="F285">IF(NodesJSON[[#This Row],[Export?]]=0,"",IF(ROW(NodesJSON[[#This Row],[label]])&gt;ROW(NodesJSON[[#Headers],[JSON]])+1,",","") &amp;"{"&amp;twoRangesToJSON(NodesJSON[[#Headers],[label]:[url]],NodesJSON[[#This Row],[label]:[url]])&amp;"}")</f>
        <v>,{"label":"Logic Bomb","group":"","id":"3DC55223-7AFD-4287-8C27-5DBDFDDDED39","url":"https://open-measure.atlassian.net/wiki/spaces/DIC/pages/5932838"}</v>
      </c>
    </row>
    <row r="286" spans="1:6" ht="13.9" thickTop="1" thickBot="1" x14ac:dyDescent="0.4">
      <c r="A286" s="38">
        <f>IF(ISERR(NodesJSON[[#This Row],[label]]),0,1)</f>
        <v>1</v>
      </c>
      <c r="B286" s="3" t="str">
        <f>NodesData[[#This Row],[Common Name]]</f>
        <v>Login</v>
      </c>
      <c r="C286" s="3" t="str">
        <f>IF(NodesData[[#This Row],[Context Instanciation]]="","",NodesData[[#This Row],[Context Instanciation]])</f>
        <v/>
      </c>
      <c r="D286" s="22" t="str">
        <f>NodesData[[#This Row],[Node ID]]</f>
        <v>2D3B2D2A-2926-478A-9DCB-A0FD0B959752</v>
      </c>
      <c r="E286" s="10" t="s">
        <v>973</v>
      </c>
      <c r="F286" s="25" t="str" cm="1">
        <f t="array" ref="F286">IF(NodesJSON[[#This Row],[Export?]]=0,"",IF(ROW(NodesJSON[[#This Row],[label]])&gt;ROW(NodesJSON[[#Headers],[JSON]])+1,",","") &amp;"{"&amp;twoRangesToJSON(NodesJSON[[#Headers],[label]:[url]],NodesJSON[[#This Row],[label]:[url]])&amp;"}")</f>
        <v>,{"label":"Login","group":"","id":"2D3B2D2A-2926-478A-9DCB-A0FD0B959752","url":"https://open-measure.atlassian.net/wiki/spaces/DIC/pages/1311403"}</v>
      </c>
    </row>
    <row r="287" spans="1:6" ht="13.9" thickTop="1" thickBot="1" x14ac:dyDescent="0.4">
      <c r="A287" s="38">
        <f>IF(ISERR(NodesJSON[[#This Row],[label]]),0,1)</f>
        <v>1</v>
      </c>
      <c r="B287" s="3" t="str">
        <f>NodesData[[#This Row],[Common Name]]</f>
        <v>Login ID</v>
      </c>
      <c r="C287" s="3" t="str">
        <f>IF(NodesData[[#This Row],[Context Instanciation]]="","",NodesData[[#This Row],[Context Instanciation]])</f>
        <v/>
      </c>
      <c r="D287" s="22" t="str">
        <f>NodesData[[#This Row],[Node ID]]</f>
        <v>70225704-C2BB-46FD-8E8E-C885AAE374B7</v>
      </c>
      <c r="E287" s="10" t="s">
        <v>974</v>
      </c>
      <c r="F287" s="25" t="str" cm="1">
        <f t="array" ref="F287">IF(NodesJSON[[#This Row],[Export?]]=0,"",IF(ROW(NodesJSON[[#This Row],[label]])&gt;ROW(NodesJSON[[#Headers],[JSON]])+1,",","") &amp;"{"&amp;twoRangesToJSON(NodesJSON[[#Headers],[label]:[url]],NodesJSON[[#This Row],[label]:[url]])&amp;"}")</f>
        <v>,{"label":"Login ID","group":"","id":"70225704-C2BB-46FD-8E8E-C885AAE374B7","url":"https://open-measure.atlassian.net/wiki/spaces/DIC/pages/557057"}</v>
      </c>
    </row>
    <row r="288" spans="1:6" ht="13.9" thickTop="1" thickBot="1" x14ac:dyDescent="0.4">
      <c r="A288" s="38">
        <f>IF(ISERR(NodesJSON[[#This Row],[label]]),0,1)</f>
        <v>1</v>
      </c>
      <c r="B288" s="3" t="str">
        <f>NodesData[[#This Row],[Common Name]]</f>
        <v>Login Name</v>
      </c>
      <c r="C288" s="3" t="str">
        <f>IF(NodesData[[#This Row],[Context Instanciation]]="","",NodesData[[#This Row],[Context Instanciation]])</f>
        <v/>
      </c>
      <c r="D288" s="22" t="str">
        <f>NodesData[[#This Row],[Node ID]]</f>
        <v>3B358333-68D9-409A-AD5E-3E16459F4D9A</v>
      </c>
      <c r="E288" s="10" t="s">
        <v>976</v>
      </c>
      <c r="F288" s="25" t="str" cm="1">
        <f t="array" ref="F288">IF(NodesJSON[[#This Row],[Export?]]=0,"",IF(ROW(NodesJSON[[#This Row],[label]])&gt;ROW(NodesJSON[[#Headers],[JSON]])+1,",","") &amp;"{"&amp;twoRangesToJSON(NodesJSON[[#Headers],[label]:[url]],NodesJSON[[#This Row],[label]:[url]])&amp;"}")</f>
        <v>,{"label":"Login Name","group":"","id":"3B358333-68D9-409A-AD5E-3E16459F4D9A","url":"https://open-measure.atlassian.net/wiki/spaces/DIC/pages/1061650550"}</v>
      </c>
    </row>
    <row r="289" spans="1:6" ht="13.9" thickTop="1" thickBot="1" x14ac:dyDescent="0.4">
      <c r="A289" s="38">
        <f>IF(ISERR(NodesJSON[[#This Row],[label]]),0,1)</f>
        <v>1</v>
      </c>
      <c r="B289" s="3" t="str">
        <f>NodesData[[#This Row],[Common Name]]</f>
        <v>Make MFA Mandatory</v>
      </c>
      <c r="C289" s="3" t="str">
        <f>IF(NodesData[[#This Row],[Context Instanciation]]="","",NodesData[[#This Row],[Context Instanciation]])</f>
        <v/>
      </c>
      <c r="D289" s="22" t="str">
        <f>NodesData[[#This Row],[Node ID]]</f>
        <v>A1D6E2B6-1A6F-40D5-BEF5-85AFDA4C4E86</v>
      </c>
      <c r="E289" s="10" t="s">
        <v>977</v>
      </c>
      <c r="F289" s="25" t="str" cm="1">
        <f t="array" ref="F289">IF(NodesJSON[[#This Row],[Export?]]=0,"",IF(ROW(NodesJSON[[#This Row],[label]])&gt;ROW(NodesJSON[[#Headers],[JSON]])+1,",","") &amp;"{"&amp;twoRangesToJSON(NodesJSON[[#Headers],[label]:[url]],NodesJSON[[#This Row],[label]:[url]])&amp;"}")</f>
        <v>,{"label":"Make MFA Mandatory","group":"","id":"A1D6E2B6-1A6F-40D5-BEF5-85AFDA4C4E86","url":"https://open-measure.atlassian.net/wiki/spaces/DIC/pages/1062207530/Orphan+Account"}</v>
      </c>
    </row>
    <row r="290" spans="1:6" ht="13.9" thickTop="1" thickBot="1" x14ac:dyDescent="0.4">
      <c r="A290" s="38">
        <f>IF(ISERR(NodesJSON[[#This Row],[label]]),0,1)</f>
        <v>1</v>
      </c>
      <c r="B290" s="3" t="str">
        <f>NodesData[[#This Row],[Common Name]]</f>
        <v>Mechanism</v>
      </c>
      <c r="C290" s="3" t="str">
        <f>IF(NodesData[[#This Row],[Context Instanciation]]="","",NodesData[[#This Row],[Context Instanciation]])</f>
        <v/>
      </c>
      <c r="D290" s="22" t="str">
        <f>NodesData[[#This Row],[Node ID]]</f>
        <v>02D5061A-3036-4CEC-B1B6-546A93BD011D</v>
      </c>
      <c r="E290" s="10" t="s">
        <v>979</v>
      </c>
      <c r="F290" s="25" t="str" cm="1">
        <f t="array" ref="F290">IF(NodesJSON[[#This Row],[Export?]]=0,"",IF(ROW(NodesJSON[[#This Row],[label]])&gt;ROW(NodesJSON[[#Headers],[JSON]])+1,",","") &amp;"{"&amp;twoRangesToJSON(NodesJSON[[#Headers],[label]:[url]],NodesJSON[[#This Row],[label]:[url]])&amp;"}")</f>
        <v>,{"label":"Mechanism","group":"","id":"02D5061A-3036-4CEC-B1B6-546A93BD011D","url":"https://open-measure.atlassian.net/wiki/spaces/DIC/pages/1061748965"}</v>
      </c>
    </row>
    <row r="291" spans="1:6" ht="13.9" thickTop="1" thickBot="1" x14ac:dyDescent="0.4">
      <c r="A291" s="38">
        <f>IF(ISERR(NodesJSON[[#This Row],[label]]),0,1)</f>
        <v>1</v>
      </c>
      <c r="B291" s="3" t="str">
        <f>NodesData[[#This Row],[Common Name]]</f>
        <v>Metadirectory</v>
      </c>
      <c r="C291" s="3" t="str">
        <f>IF(NodesData[[#This Row],[Context Instanciation]]="","",NodesData[[#This Row],[Context Instanciation]])</f>
        <v/>
      </c>
      <c r="D291" s="22" t="str">
        <f>NodesData[[#This Row],[Node ID]]</f>
        <v>4336BC2B-6BE9-4CCB-8214-8C41DA73E58F</v>
      </c>
      <c r="E291" s="10" t="s">
        <v>981</v>
      </c>
      <c r="F291" s="25" t="str" cm="1">
        <f t="array" ref="F291">IF(NodesJSON[[#This Row],[Export?]]=0,"",IF(ROW(NodesJSON[[#This Row],[label]])&gt;ROW(NodesJSON[[#Headers],[JSON]])+1,",","") &amp;"{"&amp;twoRangesToJSON(NodesJSON[[#Headers],[label]:[url]],NodesJSON[[#This Row],[label]:[url]])&amp;"}")</f>
        <v>,{"label":"Metadirectory","group":"","id":"4336BC2B-6BE9-4CCB-8214-8C41DA73E58F","url":"https://open-measure.atlassian.net/wiki/spaces/DIC/pages/1061650653"}</v>
      </c>
    </row>
    <row r="292" spans="1:6" ht="13.9" thickTop="1" thickBot="1" x14ac:dyDescent="0.4">
      <c r="A292" s="38">
        <f>IF(ISERR(NodesJSON[[#This Row],[label]]),0,1)</f>
        <v>1</v>
      </c>
      <c r="B292" s="3" t="str">
        <f>NodesData[[#This Row],[Common Name]]</f>
        <v>Mitigation</v>
      </c>
      <c r="C292" s="3" t="str">
        <f>IF(NodesData[[#This Row],[Context Instanciation]]="","",NodesData[[#This Row],[Context Instanciation]])</f>
        <v>Account Takeover</v>
      </c>
      <c r="D292" s="22" t="str">
        <f>NodesData[[#This Row],[Node ID]]</f>
        <v>515EECD7-8927-46CD-B811-39535FB71778</v>
      </c>
      <c r="E292" s="10" t="s">
        <v>983</v>
      </c>
      <c r="F292" s="25" t="str" cm="1">
        <f t="array" ref="F292">IF(NodesJSON[[#This Row],[Export?]]=0,"",IF(ROW(NodesJSON[[#This Row],[label]])&gt;ROW(NodesJSON[[#Headers],[JSON]])+1,",","") &amp;"{"&amp;twoRangesToJSON(NodesJSON[[#Headers],[label]:[url]],NodesJSON[[#This Row],[label]:[url]])&amp;"}")</f>
        <v>,{"label":"Mitigation","group":"Account Takeover","id":"515EECD7-8927-46CD-B811-39535FB71778","url":"https://open-measure.atlassian.net/wiki/spaces/DIC/pages/1061748925"}</v>
      </c>
    </row>
    <row r="293" spans="1:6" ht="13.9" thickTop="1" thickBot="1" x14ac:dyDescent="0.4">
      <c r="A293" s="38">
        <f>IF(ISERR(NodesJSON[[#This Row],[label]]),0,1)</f>
        <v>1</v>
      </c>
      <c r="B293" s="3" t="str">
        <f>NodesData[[#This Row],[Common Name]]</f>
        <v>Motivation</v>
      </c>
      <c r="C293" s="3" t="str">
        <f>IF(NodesData[[#This Row],[Context Instanciation]]="","",NodesData[[#This Row],[Context Instanciation]])</f>
        <v>Account Takeover</v>
      </c>
      <c r="D293" s="22" t="str">
        <f>NodesData[[#This Row],[Node ID]]</f>
        <v>DB35E690-DA61-4DD6-8BFE-3D6A2BCFD097</v>
      </c>
      <c r="E293" s="10" t="s">
        <v>985</v>
      </c>
      <c r="F293" s="25" t="str" cm="1">
        <f t="array" ref="F293">IF(NodesJSON[[#This Row],[Export?]]=0,"",IF(ROW(NodesJSON[[#This Row],[label]])&gt;ROW(NodesJSON[[#Headers],[JSON]])+1,",","") &amp;"{"&amp;twoRangesToJSON(NodesJSON[[#Headers],[label]:[url]],NodesJSON[[#This Row],[label]:[url]])&amp;"}")</f>
        <v>,{"label":"Motivation","group":"Account Takeover","id":"DB35E690-DA61-4DD6-8BFE-3D6A2BCFD097","url":"https://open-measure.atlassian.net/wiki/spaces/DIC/pages/1061749016"}</v>
      </c>
    </row>
    <row r="294" spans="1:6" ht="13.9" thickTop="1" thickBot="1" x14ac:dyDescent="0.4">
      <c r="A294" s="38">
        <f>IF(ISERR(NodesJSON[[#This Row],[label]]),0,1)</f>
        <v>1</v>
      </c>
      <c r="B294" s="3" t="str">
        <f>NodesData[[#This Row],[Common Name]]</f>
        <v>Multidomain Single Sign-On</v>
      </c>
      <c r="C294" s="3" t="str">
        <f>IF(NodesData[[#This Row],[Context Instanciation]]="","",NodesData[[#This Row],[Context Instanciation]])</f>
        <v/>
      </c>
      <c r="D294" s="22" t="str">
        <f>NodesData[[#This Row],[Node ID]]</f>
        <v>847852F8-F191-4109-94AD-7E3D596BB4FB</v>
      </c>
      <c r="E294" s="10" t="s">
        <v>987</v>
      </c>
      <c r="F294" s="25" t="str" cm="1">
        <f t="array" ref="F294">IF(NodesJSON[[#This Row],[Export?]]=0,"",IF(ROW(NodesJSON[[#This Row],[label]])&gt;ROW(NodesJSON[[#Headers],[JSON]])+1,",","") &amp;"{"&amp;twoRangesToJSON(NodesJSON[[#Headers],[label]:[url]],NodesJSON[[#This Row],[label]:[url]])&amp;"}")</f>
        <v>,{"label":"Multidomain Single Sign-On","group":"","id":"847852F8-F191-4109-94AD-7E3D596BB4FB","url":"https://open-measure.atlassian.net/wiki/spaces/DIC/pages/1063845889"}</v>
      </c>
    </row>
    <row r="295" spans="1:6" ht="13.9" thickTop="1" thickBot="1" x14ac:dyDescent="0.4">
      <c r="A295" s="38">
        <f>IF(ISERR(NodesJSON[[#This Row],[label]]),0,1)</f>
        <v>1</v>
      </c>
      <c r="B295" s="3" t="str">
        <f>NodesData[[#This Row],[Common Name]]</f>
        <v>Multilevel Security</v>
      </c>
      <c r="C295" s="3" t="str">
        <f>IF(NodesData[[#This Row],[Context Instanciation]]="","",NodesData[[#This Row],[Context Instanciation]])</f>
        <v/>
      </c>
      <c r="D295" s="22" t="str">
        <f>NodesData[[#This Row],[Node ID]]</f>
        <v>4E3A619E-0A05-401C-B96B-2D454AA9CF59</v>
      </c>
      <c r="E295" s="10" t="s">
        <v>989</v>
      </c>
      <c r="F295" s="25" t="str" cm="1">
        <f t="array" ref="F295">IF(NodesJSON[[#This Row],[Export?]]=0,"",IF(ROW(NodesJSON[[#This Row],[label]])&gt;ROW(NodesJSON[[#Headers],[JSON]])+1,",","") &amp;"{"&amp;twoRangesToJSON(NodesJSON[[#Headers],[label]:[url]],NodesJSON[[#This Row],[label]:[url]])&amp;"}")</f>
        <v>,{"label":"Multilevel Security","group":"","id":"4E3A619E-0A05-401C-B96B-2D454AA9CF59","url":"https://open-measure.atlassian.net/wiki/spaces/DIC/pages/1061650689"}</v>
      </c>
    </row>
    <row r="296" spans="1:6" ht="13.9" thickTop="1" thickBot="1" x14ac:dyDescent="0.4">
      <c r="A296" s="38">
        <f>IF(ISERR(NodesJSON[[#This Row],[label]]),0,1)</f>
        <v>1</v>
      </c>
      <c r="B296" s="3" t="str">
        <f>NodesData[[#This Row],[Common Name]]</f>
        <v>Multi-Modal Biometric Authentication</v>
      </c>
      <c r="C296" s="3" t="str">
        <f>IF(NodesData[[#This Row],[Context Instanciation]]="","",NodesData[[#This Row],[Context Instanciation]])</f>
        <v/>
      </c>
      <c r="D296" s="22" t="str">
        <f>NodesData[[#This Row],[Node ID]]</f>
        <v>BFC2B385-EAA5-409A-8F21-E3B07033449A</v>
      </c>
      <c r="E296" s="10" t="s">
        <v>991</v>
      </c>
      <c r="F296" s="25" t="str" cm="1">
        <f t="array" ref="F296">IF(NodesJSON[[#This Row],[Export?]]=0,"",IF(ROW(NodesJSON[[#This Row],[label]])&gt;ROW(NodesJSON[[#Headers],[JSON]])+1,",","") &amp;"{"&amp;twoRangesToJSON(NodesJSON[[#Headers],[label]:[url]],NodesJSON[[#This Row],[label]:[url]])&amp;"}")</f>
        <v>,{"label":"Multi-Modal Biometric Authentication","group":"","id":"BFC2B385-EAA5-409A-8F21-E3B07033449A","url":"https://open-measure.atlassian.net/wiki/spaces/DIC/pages/1061748885"}</v>
      </c>
    </row>
    <row r="297" spans="1:6" ht="13.9" thickTop="1" thickBot="1" x14ac:dyDescent="0.4">
      <c r="A297" s="38">
        <f>IF(ISERR(NodesJSON[[#This Row],[label]]),0,1)</f>
        <v>1</v>
      </c>
      <c r="B297" s="3" t="str">
        <f>NodesData[[#This Row],[Common Name]]</f>
        <v>Multiple Accounts</v>
      </c>
      <c r="C297" s="3" t="str">
        <f>IF(NodesData[[#This Row],[Context Instanciation]]="","",NodesData[[#This Row],[Context Instanciation]])</f>
        <v/>
      </c>
      <c r="D297" s="22" t="str">
        <f>NodesData[[#This Row],[Node ID]]</f>
        <v>41D94E9C-7647-429F-B245-C99C40319265</v>
      </c>
      <c r="E297" s="4"/>
      <c r="F297" s="25" t="str" cm="1">
        <f t="array" ref="F297">IF(NodesJSON[[#This Row],[Export?]]=0,"",IF(ROW(NodesJSON[[#This Row],[label]])&gt;ROW(NodesJSON[[#Headers],[JSON]])+1,",","") &amp;"{"&amp;twoRangesToJSON(NodesJSON[[#Headers],[label]:[url]],NodesJSON[[#This Row],[label]:[url]])&amp;"}")</f>
        <v>,{"label":"Multiple Accounts","group":"","id":"41D94E9C-7647-429F-B245-C99C40319265","url":""}</v>
      </c>
    </row>
    <row r="298" spans="1:6" ht="13.9" thickTop="1" thickBot="1" x14ac:dyDescent="0.4">
      <c r="A298" s="38">
        <f>IF(ISERR(NodesJSON[[#This Row],[label]]),0,1)</f>
        <v>1</v>
      </c>
      <c r="B298" s="3" t="str">
        <f>NodesData[[#This Row],[Common Name]]</f>
        <v>Mutual Authentication</v>
      </c>
      <c r="C298" s="3" t="str">
        <f>IF(NodesData[[#This Row],[Context Instanciation]]="","",NodesData[[#This Row],[Context Instanciation]])</f>
        <v/>
      </c>
      <c r="D298" s="22" t="str">
        <f>NodesData[[#This Row],[Node ID]]</f>
        <v>358EBE6C-C333-442F-A1BB-F0003161CA3A</v>
      </c>
      <c r="E298" s="10" t="s">
        <v>992</v>
      </c>
      <c r="F298" s="25" t="str" cm="1">
        <f t="array" ref="F298">IF(NodesJSON[[#This Row],[Export?]]=0,"",IF(ROW(NodesJSON[[#This Row],[label]])&gt;ROW(NodesJSON[[#Headers],[JSON]])+1,",","") &amp;"{"&amp;twoRangesToJSON(NodesJSON[[#Headers],[label]:[url]],NodesJSON[[#This Row],[label]:[url]])&amp;"}")</f>
        <v>,{"label":"Mutual Authentication","group":"","id":"358EBE6C-C333-442F-A1BB-F0003161CA3A","url":"https://open-measure.atlassian.net/wiki/spaces/DIC/pages/1472692289/Outsider"}</v>
      </c>
    </row>
    <row r="299" spans="1:6" ht="13.9" thickTop="1" thickBot="1" x14ac:dyDescent="0.4">
      <c r="A299" s="38">
        <f>IF(ISERR(NodesJSON[[#This Row],[label]]),0,1)</f>
        <v>1</v>
      </c>
      <c r="B299" s="3" t="str">
        <f>NodesData[[#This Row],[Common Name]]</f>
        <v>Need-to-Know</v>
      </c>
      <c r="C299" s="3" t="str">
        <f>IF(NodesData[[#This Row],[Context Instanciation]]="","",NodesData[[#This Row],[Context Instanciation]])</f>
        <v/>
      </c>
      <c r="D299" s="22" t="str">
        <f>NodesData[[#This Row],[Node ID]]</f>
        <v>4A8EA0A2-70F9-438B-A69A-82B8D0AB35C9</v>
      </c>
      <c r="E299" s="4"/>
      <c r="F299" s="25" t="str" cm="1">
        <f t="array" ref="F299">IF(NodesJSON[[#This Row],[Export?]]=0,"",IF(ROW(NodesJSON[[#This Row],[label]])&gt;ROW(NodesJSON[[#Headers],[JSON]])+1,",","") &amp;"{"&amp;twoRangesToJSON(NodesJSON[[#Headers],[label]:[url]],NodesJSON[[#This Row],[label]:[url]])&amp;"}")</f>
        <v>,{"label":"Need-to-Know","group":"","id":"4A8EA0A2-70F9-438B-A69A-82B8D0AB35C9","url":""}</v>
      </c>
    </row>
    <row r="300" spans="1:6" ht="13.9" thickTop="1" thickBot="1" x14ac:dyDescent="0.4">
      <c r="A300" s="38">
        <f>IF(ISERR(NodesJSON[[#This Row],[label]]),0,1)</f>
        <v>1</v>
      </c>
      <c r="B300" s="3" t="str">
        <f>NodesData[[#This Row],[Common Name]]</f>
        <v>New Joiner</v>
      </c>
      <c r="C300" s="3" t="str">
        <f>IF(NodesData[[#This Row],[Context Instanciation]]="","",NodesData[[#This Row],[Context Instanciation]])</f>
        <v/>
      </c>
      <c r="D300" s="22" t="str">
        <f>NodesData[[#This Row],[Node ID]]</f>
        <v>F87F41D3-60DC-4E25-A0BC-1BD70749FD0C</v>
      </c>
      <c r="E300" s="10" t="s">
        <v>994</v>
      </c>
      <c r="F300" s="25" t="str" cm="1">
        <f t="array" ref="F300">IF(NodesJSON[[#This Row],[Export?]]=0,"",IF(ROW(NodesJSON[[#This Row],[label]])&gt;ROW(NodesJSON[[#Headers],[JSON]])+1,",","") &amp;"{"&amp;twoRangesToJSON(NodesJSON[[#Headers],[label]:[url]],NodesJSON[[#This Row],[label]:[url]])&amp;"}")</f>
        <v>,{"label":"New Joiner","group":"","id":"F87F41D3-60DC-4E25-A0BC-1BD70749FD0C","url":"https://open-measure.atlassian.net/wiki/spaces/DIC/pages/974323764"}</v>
      </c>
    </row>
    <row r="301" spans="1:6" ht="13.9" thickTop="1" thickBot="1" x14ac:dyDescent="0.4">
      <c r="A301" s="38">
        <f>IF(ISERR(NodesJSON[[#This Row],[label]]),0,1)</f>
        <v>1</v>
      </c>
      <c r="B301" s="3" t="str">
        <f>NodesData[[#This Row],[Common Name]]</f>
        <v>No Tranquility Property</v>
      </c>
      <c r="C301" s="3" t="str">
        <f>IF(NodesData[[#This Row],[Context Instanciation]]="","",NodesData[[#This Row],[Context Instanciation]])</f>
        <v/>
      </c>
      <c r="D301" s="22" t="str">
        <f>NodesData[[#This Row],[Node ID]]</f>
        <v>F2A88B98-C993-4961-8AC6-ADDD67C1A890</v>
      </c>
      <c r="E301" s="4"/>
      <c r="F301" s="25" t="str" cm="1">
        <f t="array" ref="F301">IF(NodesJSON[[#This Row],[Export?]]=0,"",IF(ROW(NodesJSON[[#This Row],[label]])&gt;ROW(NodesJSON[[#Headers],[JSON]])+1,",","") &amp;"{"&amp;twoRangesToJSON(NodesJSON[[#Headers],[label]:[url]],NodesJSON[[#This Row],[label]:[url]])&amp;"}")</f>
        <v>,{"label":"No Tranquility Property","group":"","id":"F2A88B98-C993-4961-8AC6-ADDD67C1A890","url":""}</v>
      </c>
    </row>
    <row r="302" spans="1:6" ht="13.9" thickTop="1" thickBot="1" x14ac:dyDescent="0.4">
      <c r="A302" s="38">
        <f>IF(ISERR(NodesJSON[[#This Row],[label]]),0,1)</f>
        <v>1</v>
      </c>
      <c r="B302" s="3" t="str">
        <f>NodesData[[#This Row],[Common Name]]</f>
        <v>Non-compromised Identity</v>
      </c>
      <c r="C302" s="3" t="str">
        <f>IF(NodesData[[#This Row],[Context Instanciation]]="","",NodesData[[#This Row],[Context Instanciation]])</f>
        <v/>
      </c>
      <c r="D302" s="22" t="str">
        <f>NodesData[[#This Row],[Node ID]]</f>
        <v>8933951D-59FE-48AC-8006-052B2292DA85</v>
      </c>
      <c r="E302" s="8"/>
      <c r="F302" s="25" t="str" cm="1">
        <f t="array" ref="F302">IF(NodesJSON[[#This Row],[Export?]]=0,"",IF(ROW(NodesJSON[[#This Row],[label]])&gt;ROW(NodesJSON[[#Headers],[JSON]])+1,",","") &amp;"{"&amp;twoRangesToJSON(NodesJSON[[#Headers],[label]:[url]],NodesJSON[[#This Row],[label]:[url]])&amp;"}")</f>
        <v>,{"label":"Non-compromised Identity","group":"","id":"8933951D-59FE-48AC-8006-052B2292DA85","url":""}</v>
      </c>
    </row>
    <row r="303" spans="1:6" ht="13.9" thickTop="1" thickBot="1" x14ac:dyDescent="0.4">
      <c r="A303" s="38">
        <f>IF(ISERR(NodesJSON[[#This Row],[label]]),0,1)</f>
        <v>1</v>
      </c>
      <c r="B303" s="3" t="str">
        <f>NodesData[[#This Row],[Common Name]]</f>
        <v>Nonworker</v>
      </c>
      <c r="C303" s="3" t="str">
        <f>IF(NodesData[[#This Row],[Context Instanciation]]="","",NodesData[[#This Row],[Context Instanciation]])</f>
        <v/>
      </c>
      <c r="D303" s="22" t="str">
        <f>NodesData[[#This Row],[Node ID]]</f>
        <v>6F790090-3F49-4955-A3DE-5B137E7D0EB9</v>
      </c>
      <c r="E303" s="10" t="s">
        <v>995</v>
      </c>
      <c r="F303" s="25" t="str" cm="1">
        <f t="array" ref="F303">IF(NodesJSON[[#This Row],[Export?]]=0,"",IF(ROW(NodesJSON[[#This Row],[label]])&gt;ROW(NodesJSON[[#Headers],[JSON]])+1,",","") &amp;"{"&amp;twoRangesToJSON(NodesJSON[[#Headers],[label]:[url]],NodesJSON[[#This Row],[label]:[url]])&amp;"}")</f>
        <v>,{"label":"Nonworker","group":"","id":"6F790090-3F49-4955-A3DE-5B137E7D0EB9","url":"https://open-measure.atlassian.net/wiki/spaces/DIC/pages/1428652394/Password+Guessing+Attack"}</v>
      </c>
    </row>
    <row r="304" spans="1:6" ht="13.9" thickTop="1" thickBot="1" x14ac:dyDescent="0.4">
      <c r="A304" s="38">
        <f>IF(ISERR(NodesJSON[[#This Row],[label]]),0,1)</f>
        <v>1</v>
      </c>
      <c r="B304" s="3" t="str">
        <f>NodesData[[#This Row],[Common Name]]</f>
        <v>Numerical Identity</v>
      </c>
      <c r="C304" s="3" t="str">
        <f>IF(NodesData[[#This Row],[Context Instanciation]]="","",NodesData[[#This Row],[Context Instanciation]])</f>
        <v/>
      </c>
      <c r="D304" s="22" t="str">
        <f>NodesData[[#This Row],[Node ID]]</f>
        <v>1B1C3D4E-6852-434D-A4FE-33E5D423954F</v>
      </c>
      <c r="E304" s="10" t="s">
        <v>997</v>
      </c>
      <c r="F304" s="25" t="str" cm="1">
        <f t="array" ref="F304">IF(NodesJSON[[#This Row],[Export?]]=0,"",IF(ROW(NodesJSON[[#This Row],[label]])&gt;ROW(NodesJSON[[#Headers],[JSON]])+1,",","") &amp;"{"&amp;twoRangesToJSON(NodesJSON[[#Headers],[label]:[url]],NodesJSON[[#This Row],[label]:[url]])&amp;"}")</f>
        <v>,{"label":"Numerical Identity","group":"","id":"1B1C3D4E-6852-434D-A4FE-33E5D423954F","url":"https://open-measure.atlassian.net/wiki/spaces/DIC/pages/1027048058"}</v>
      </c>
    </row>
    <row r="305" spans="1:6" ht="13.9" thickTop="1" thickBot="1" x14ac:dyDescent="0.4">
      <c r="A305" s="38">
        <f>IF(ISERR(NodesJSON[[#This Row],[label]]),0,1)</f>
        <v>1</v>
      </c>
      <c r="B305" s="3" t="str">
        <f>NodesData[[#This Row],[Common Name]]</f>
        <v>OAuth</v>
      </c>
      <c r="C305" s="3" t="str">
        <f>IF(NodesData[[#This Row],[Context Instanciation]]="","",NodesData[[#This Row],[Context Instanciation]])</f>
        <v/>
      </c>
      <c r="D305" s="22" t="str">
        <f>NodesData[[#This Row],[Node ID]]</f>
        <v>5268CAAB-394F-4700-A5A8-A136BDF0E7C6</v>
      </c>
      <c r="E305" s="10" t="s">
        <v>998</v>
      </c>
      <c r="F305" s="25" t="str" cm="1">
        <f t="array" ref="F305">IF(NodesJSON[[#This Row],[Export?]]=0,"",IF(ROW(NodesJSON[[#This Row],[label]])&gt;ROW(NodesJSON[[#Headers],[JSON]])+1,",","") &amp;"{"&amp;twoRangesToJSON(NodesJSON[[#Headers],[label]:[url]],NodesJSON[[#This Row],[label]:[url]])&amp;"}")</f>
        <v>,{"label":"OAuth","group":"","id":"5268CAAB-394F-4700-A5A8-A136BDF0E7C6","url":"https://open-measure.atlassian.net/wiki/spaces/DIC/pages/1348730921/Password+Spraying+Attack"}</v>
      </c>
    </row>
    <row r="306" spans="1:6" ht="13.9" thickTop="1" thickBot="1" x14ac:dyDescent="0.4">
      <c r="A306" s="38">
        <f>IF(ISERR(NodesJSON[[#This Row],[label]]),0,1)</f>
        <v>1</v>
      </c>
      <c r="B306" s="3" t="str">
        <f>NodesData[[#This Row],[Common Name]]</f>
        <v>Object</v>
      </c>
      <c r="C306" s="3" t="str">
        <f>IF(NodesData[[#This Row],[Context Instanciation]]="","",NodesData[[#This Row],[Context Instanciation]])</f>
        <v/>
      </c>
      <c r="D306" s="22" t="str">
        <f>NodesData[[#This Row],[Node ID]]</f>
        <v>B4EDB0C3-CA47-4FC6-BAC6-9B9312EDC0DF</v>
      </c>
      <c r="E306" s="8"/>
      <c r="F306" s="25" t="str" cm="1">
        <f t="array" ref="F306">IF(NodesJSON[[#This Row],[Export?]]=0,"",IF(ROW(NodesJSON[[#This Row],[label]])&gt;ROW(NodesJSON[[#Headers],[JSON]])+1,",","") &amp;"{"&amp;twoRangesToJSON(NodesJSON[[#Headers],[label]:[url]],NodesJSON[[#This Row],[label]:[url]])&amp;"}")</f>
        <v>,{"label":"Object","group":"","id":"B4EDB0C3-CA47-4FC6-BAC6-9B9312EDC0DF","url":""}</v>
      </c>
    </row>
    <row r="307" spans="1:6" ht="13.9" thickTop="1" thickBot="1" x14ac:dyDescent="0.4">
      <c r="A307" s="38">
        <f>IF(ISERR(NodesJSON[[#This Row],[label]]),0,1)</f>
        <v>1</v>
      </c>
      <c r="B307" s="3" t="str">
        <f>NodesData[[#This Row],[Common Name]]</f>
        <v>Omission Error</v>
      </c>
      <c r="C307" s="3" t="str">
        <f>IF(NodesData[[#This Row],[Context Instanciation]]="","",NodesData[[#This Row],[Context Instanciation]])</f>
        <v/>
      </c>
      <c r="D307" s="22" t="str">
        <f>NodesData[[#This Row],[Node ID]]</f>
        <v>62158F3D-8235-421D-BD76-A242F4CA02C2</v>
      </c>
      <c r="E307" s="10" t="s">
        <v>1000</v>
      </c>
      <c r="F307" s="25" t="str" cm="1">
        <f t="array" ref="F307">IF(NodesJSON[[#This Row],[Export?]]=0,"",IF(ROW(NodesJSON[[#This Row],[label]])&gt;ROW(NodesJSON[[#Headers],[JSON]])+1,",","") &amp;"{"&amp;twoRangesToJSON(NodesJSON[[#Headers],[label]:[url]],NodesJSON[[#This Row],[label]:[url]])&amp;"}")</f>
        <v>,{"label":"Omission Error","group":"","id":"62158F3D-8235-421D-BD76-A242F4CA02C2","url":"https://open-measure.atlassian.net/wiki/spaces/DIC/pages/1409753"}</v>
      </c>
    </row>
    <row r="308" spans="1:6" ht="13.9" thickTop="1" thickBot="1" x14ac:dyDescent="0.4">
      <c r="A308" s="38">
        <f>IF(ISERR(NodesJSON[[#This Row],[label]]),0,1)</f>
        <v>1</v>
      </c>
      <c r="B308" s="3" t="str">
        <f>NodesData[[#This Row],[Common Name]]</f>
        <v>One-Time Passcode Authentication</v>
      </c>
      <c r="C308" s="3" t="str">
        <f>IF(NodesData[[#This Row],[Context Instanciation]]="","",NodesData[[#This Row],[Context Instanciation]])</f>
        <v/>
      </c>
      <c r="D308" s="22" t="str">
        <f>NodesData[[#This Row],[Node ID]]</f>
        <v>1C4057F2-218F-46AE-B5C1-5E54DE1E25C0</v>
      </c>
      <c r="E308" s="10" t="s">
        <v>1002</v>
      </c>
      <c r="F308" s="25" t="str" cm="1">
        <f t="array" ref="F308">IF(NodesJSON[[#This Row],[Export?]]=0,"",IF(ROW(NodesJSON[[#This Row],[label]])&gt;ROW(NodesJSON[[#Headers],[JSON]])+1,",","") &amp;"{"&amp;twoRangesToJSON(NodesJSON[[#Headers],[label]:[url]],NodesJSON[[#This Row],[label]:[url]])&amp;"}")</f>
        <v>,{"label":"One-Time Passcode Authentication","group":"","id":"1C4057F2-218F-46AE-B5C1-5E54DE1E25C0","url":"https://open-measure.atlassian.net/wiki/spaces/DIC/pages/67699129"}</v>
      </c>
    </row>
    <row r="309" spans="1:6" ht="13.9" thickTop="1" thickBot="1" x14ac:dyDescent="0.4">
      <c r="A309" s="38">
        <f>IF(ISERR(NodesJSON[[#This Row],[label]]),0,1)</f>
        <v>1</v>
      </c>
      <c r="B309" s="3" t="str">
        <f>NodesData[[#This Row],[Common Name]]</f>
        <v>OPA</v>
      </c>
      <c r="C309" s="3" t="str">
        <f>IF(NodesData[[#This Row],[Context Instanciation]]="","",NodesData[[#This Row],[Context Instanciation]])</f>
        <v/>
      </c>
      <c r="D309" s="22" t="str">
        <f>NodesData[[#This Row],[Node ID]]</f>
        <v>403F1915-A4D2-429F-9596-0BA64CA64705</v>
      </c>
      <c r="E309" s="10" t="s">
        <v>1003</v>
      </c>
      <c r="F309" s="25" t="str" cm="1">
        <f t="array" ref="F309">IF(NodesJSON[[#This Row],[Export?]]=0,"",IF(ROW(NodesJSON[[#This Row],[label]])&gt;ROW(NodesJSON[[#Headers],[JSON]])+1,",","") &amp;"{"&amp;twoRangesToJSON(NodesJSON[[#Headers],[label]:[url]],NodesJSON[[#This Row],[label]:[url]])&amp;"}")</f>
        <v>,{"label":"OPA","group":"","id":"403F1915-A4D2-429F-9596-0BA64CA64705","url":"https://open-measure.atlassian.net/wiki/spaces/DIC/pages/1323499709/Persona"}</v>
      </c>
    </row>
    <row r="310" spans="1:6" ht="13.9" thickTop="1" thickBot="1" x14ac:dyDescent="0.4">
      <c r="A310" s="38">
        <f>IF(ISERR(NodesJSON[[#This Row],[label]]),0,1)</f>
        <v>1</v>
      </c>
      <c r="B310" s="3" t="str">
        <f>NodesData[[#This Row],[Common Name]]</f>
        <v>Open Policy Agent</v>
      </c>
      <c r="C310" s="3" t="str">
        <f>IF(NodesData[[#This Row],[Context Instanciation]]="","",NodesData[[#This Row],[Context Instanciation]])</f>
        <v/>
      </c>
      <c r="D310" s="22" t="str">
        <f>NodesData[[#This Row],[Node ID]]</f>
        <v>8E4835F5-6F16-4B18-9DDE-7D2E7FE50B12</v>
      </c>
      <c r="E310" s="10" t="s">
        <v>999</v>
      </c>
      <c r="F310" s="25" t="str" cm="1">
        <f t="array" ref="F310">IF(NodesJSON[[#This Row],[Export?]]=0,"",IF(ROW(NodesJSON[[#This Row],[label]])&gt;ROW(NodesJSON[[#Headers],[JSON]])+1,",","") &amp;"{"&amp;twoRangesToJSON(NodesJSON[[#Headers],[label]:[url]],NodesJSON[[#This Row],[label]:[url]])&amp;"}")</f>
        <v>,{"label":"Open Policy Agent","group":"","id":"8E4835F5-6F16-4B18-9DDE-7D2E7FE50B12","url":"https://open-measure.atlassian.net/wiki/spaces/DIC/pages/1677164566/Passwordless+Authentication"}</v>
      </c>
    </row>
    <row r="311" spans="1:6" ht="13.9" thickTop="1" thickBot="1" x14ac:dyDescent="0.4">
      <c r="A311" s="38">
        <f>IF(ISERR(NodesJSON[[#This Row],[label]]),0,1)</f>
        <v>1</v>
      </c>
      <c r="B311" s="3" t="str">
        <f>NodesData[[#This Row],[Common Name]]</f>
        <v>Operational Definition</v>
      </c>
      <c r="C311" s="3" t="str">
        <f>IF(NodesData[[#This Row],[Context Instanciation]]="","",NodesData[[#This Row],[Context Instanciation]])</f>
        <v/>
      </c>
      <c r="D311" s="22" t="str">
        <f>NodesData[[#This Row],[Node ID]]</f>
        <v>E7C4C96E-4B64-408D-A05F-20B342D16C2E</v>
      </c>
      <c r="E311" s="4"/>
      <c r="F311" s="25" t="str" cm="1">
        <f t="array" ref="F311">IF(NodesJSON[[#This Row],[Export?]]=0,"",IF(ROW(NodesJSON[[#This Row],[label]])&gt;ROW(NodesJSON[[#Headers],[JSON]])+1,",","") &amp;"{"&amp;twoRangesToJSON(NodesJSON[[#Headers],[label]:[url]],NodesJSON[[#This Row],[label]:[url]])&amp;"}")</f>
        <v>,{"label":"Operational Definition","group":"","id":"E7C4C96E-4B64-408D-A05F-20B342D16C2E","url":""}</v>
      </c>
    </row>
    <row r="312" spans="1:6" ht="13.9" thickTop="1" thickBot="1" x14ac:dyDescent="0.4">
      <c r="A312" s="38">
        <f>IF(ISERR(NodesJSON[[#This Row],[label]]),0,1)</f>
        <v>1</v>
      </c>
      <c r="B312" s="3" t="str">
        <f>NodesData[[#This Row],[Common Name]]</f>
        <v>Operational Taxonomic Unit</v>
      </c>
      <c r="C312" s="3" t="str">
        <f>IF(NodesData[[#This Row],[Context Instanciation]]="","",NodesData[[#This Row],[Context Instanciation]])</f>
        <v/>
      </c>
      <c r="D312" s="22" t="str">
        <f>NodesData[[#This Row],[Node ID]]</f>
        <v>2897550E-19BA-401E-AEE8-0D0F7B9CC212</v>
      </c>
      <c r="E312" s="10" t="s">
        <v>1005</v>
      </c>
      <c r="F312" s="25" t="str" cm="1">
        <f t="array" ref="F312">IF(NodesJSON[[#This Row],[Export?]]=0,"",IF(ROW(NodesJSON[[#This Row],[label]])&gt;ROW(NodesJSON[[#Headers],[JSON]])+1,",","") &amp;"{"&amp;twoRangesToJSON(NodesJSON[[#Headers],[label]:[url]],NodesJSON[[#This Row],[label]:[url]])&amp;"}")</f>
        <v>,{"label":"Operational Taxonomic Unit","group":"","id":"2897550E-19BA-401E-AEE8-0D0F7B9CC212","url":"https://open-measure.atlassian.net/wiki/spaces/DIC/pages/1572948"}</v>
      </c>
    </row>
    <row r="313" spans="1:6" ht="13.9" thickTop="1" thickBot="1" x14ac:dyDescent="0.4">
      <c r="A313" s="38">
        <f>IF(ISERR(NodesJSON[[#This Row],[label]]),0,1)</f>
        <v>1</v>
      </c>
      <c r="B313" s="3" t="str">
        <f>NodesData[[#This Row],[Common Name]]</f>
        <v>Ordinal Scale</v>
      </c>
      <c r="C313" s="3" t="str">
        <f>IF(NodesData[[#This Row],[Context Instanciation]]="","",NodesData[[#This Row],[Context Instanciation]])</f>
        <v/>
      </c>
      <c r="D313" s="22" t="str">
        <f>NodesData[[#This Row],[Node ID]]</f>
        <v>B6235869-D5C5-4C27-B038-71D84D19AFB4</v>
      </c>
      <c r="E313" s="10" t="s">
        <v>1007</v>
      </c>
      <c r="F313" s="25" t="str" cm="1">
        <f t="array" ref="F313">IF(NodesJSON[[#This Row],[Export?]]=0,"",IF(ROW(NodesJSON[[#This Row],[label]])&gt;ROW(NodesJSON[[#Headers],[JSON]])+1,",","") &amp;"{"&amp;twoRangesToJSON(NodesJSON[[#Headers],[label]:[url]],NodesJSON[[#This Row],[label]:[url]])&amp;"}")</f>
        <v>,{"label":"Ordinal Scale","group":"","id":"B6235869-D5C5-4C27-B038-71D84D19AFB4","url":"https://open-measure.atlassian.net/wiki/spaces/DIC/pages/67568272"}</v>
      </c>
    </row>
    <row r="314" spans="1:6" ht="13.9" thickTop="1" thickBot="1" x14ac:dyDescent="0.4">
      <c r="A314" s="38">
        <f>IF(ISERR(NodesJSON[[#This Row],[label]]),0,1)</f>
        <v>1</v>
      </c>
      <c r="B314" s="3" t="str">
        <f>NodesData[[#This Row],[Common Name]]</f>
        <v>Organization Context</v>
      </c>
      <c r="C314" s="3" t="str">
        <f>IF(NodesData[[#This Row],[Context Instanciation]]="","",NodesData[[#This Row],[Context Instanciation]])</f>
        <v/>
      </c>
      <c r="D314" s="22" t="str">
        <f>NodesData[[#This Row],[Node ID]]</f>
        <v>B5A5A9F7-A99F-4824-99FF-2BEA4703FE24</v>
      </c>
      <c r="E314" s="10" t="s">
        <v>1009</v>
      </c>
      <c r="F314" s="25" t="str" cm="1">
        <f t="array" ref="F314">IF(NodesJSON[[#This Row],[Export?]]=0,"",IF(ROW(NodesJSON[[#This Row],[label]])&gt;ROW(NodesJSON[[#Headers],[JSON]])+1,",","") &amp;"{"&amp;twoRangesToJSON(NodesJSON[[#Headers],[label]:[url]],NodesJSON[[#This Row],[label]:[url]])&amp;"}")</f>
        <v>,{"label":"Organization Context","group":"","id":"B5A5A9F7-A99F-4824-99FF-2BEA4703FE24","url":"https://open-measure.atlassian.net/wiki/spaces/DIC/pages/1104904334"}</v>
      </c>
    </row>
    <row r="315" spans="1:6" ht="13.9" thickTop="1" thickBot="1" x14ac:dyDescent="0.4">
      <c r="A315" s="38">
        <f>IF(ISERR(NodesJSON[[#This Row],[label]]),0,1)</f>
        <v>1</v>
      </c>
      <c r="B315" s="3" t="str">
        <f>NodesData[[#This Row],[Common Name]]</f>
        <v>Organization Scope</v>
      </c>
      <c r="C315" s="3" t="str">
        <f>IF(NodesData[[#This Row],[Context Instanciation]]="","",NodesData[[#This Row],[Context Instanciation]])</f>
        <v/>
      </c>
      <c r="D315" s="22" t="str">
        <f>NodesData[[#This Row],[Node ID]]</f>
        <v>F9F2E002-6268-40D6-8101-C7234A2A8324</v>
      </c>
      <c r="E315" s="10" t="s">
        <v>1011</v>
      </c>
      <c r="F315" s="25" t="str" cm="1">
        <f t="array" ref="F315">IF(NodesJSON[[#This Row],[Export?]]=0,"",IF(ROW(NodesJSON[[#This Row],[label]])&gt;ROW(NodesJSON[[#Headers],[JSON]])+1,",","") &amp;"{"&amp;twoRangesToJSON(NodesJSON[[#Headers],[label]:[url]],NodesJSON[[#This Row],[label]:[url]])&amp;"}")</f>
        <v>,{"label":"Organization Scope","group":"","id":"F9F2E002-6268-40D6-8101-C7234A2A8324","url":"https://open-measure.atlassian.net/wiki/spaces/DIC/pages/1132331103"}</v>
      </c>
    </row>
    <row r="316" spans="1:6" ht="13.9" thickTop="1" thickBot="1" x14ac:dyDescent="0.4">
      <c r="A316" s="38">
        <f>IF(ISERR(NodesJSON[[#This Row],[label]]),0,1)</f>
        <v>1</v>
      </c>
      <c r="B316" s="3" t="str">
        <f>NodesData[[#This Row],[Common Name]]</f>
        <v>Orphan</v>
      </c>
      <c r="C316" s="3" t="str">
        <f>IF(NodesData[[#This Row],[Context Instanciation]]="","",NodesData[[#This Row],[Context Instanciation]])</f>
        <v/>
      </c>
      <c r="D316" s="22" t="str">
        <f>NodesData[[#This Row],[Node ID]]</f>
        <v>3BED8E0E-E548-4E83-97D0-2F9E1E8AF3C1</v>
      </c>
      <c r="E316" s="10" t="s">
        <v>1013</v>
      </c>
      <c r="F316" s="25" t="str" cm="1">
        <f t="array" ref="F316">IF(NodesJSON[[#This Row],[Export?]]=0,"",IF(ROW(NodesJSON[[#This Row],[label]])&gt;ROW(NodesJSON[[#Headers],[JSON]])+1,",","") &amp;"{"&amp;twoRangesToJSON(NodesJSON[[#Headers],[label]:[url]],NodesJSON[[#This Row],[label]:[url]])&amp;"}")</f>
        <v>,{"label":"Orphan","group":"","id":"3BED8E0E-E548-4E83-97D0-2F9E1E8AF3C1","url":"https://open-measure.atlassian.net/wiki/spaces/DIC/pages/1132331086"}</v>
      </c>
    </row>
    <row r="317" spans="1:6" ht="13.9" thickTop="1" thickBot="1" x14ac:dyDescent="0.4">
      <c r="A317" s="38">
        <f>IF(ISERR(NodesJSON[[#This Row],[label]]),0,1)</f>
        <v>1</v>
      </c>
      <c r="B317" s="3" t="str">
        <f>NodesData[[#This Row],[Common Name]]</f>
        <v>Orphan Account</v>
      </c>
      <c r="C317" s="3" t="str">
        <f>IF(NodesData[[#This Row],[Context Instanciation]]="","",NodesData[[#This Row],[Context Instanciation]])</f>
        <v/>
      </c>
      <c r="D317" s="22" t="str">
        <f>NodesData[[#This Row],[Node ID]]</f>
        <v>B8086E89-8894-4907-BFB9-A9DCC510BAA8</v>
      </c>
      <c r="E317" s="10" t="s">
        <v>1015</v>
      </c>
      <c r="F317" s="25" t="str" cm="1">
        <f t="array" ref="F317">IF(NodesJSON[[#This Row],[Export?]]=0,"",IF(ROW(NodesJSON[[#This Row],[label]])&gt;ROW(NodesJSON[[#Headers],[JSON]])+1,",","") &amp;"{"&amp;twoRangesToJSON(NodesJSON[[#Headers],[label]:[url]],NodesJSON[[#This Row],[label]:[url]])&amp;"}")</f>
        <v>,{"label":"Orphan Account","group":"","id":"B8086E89-8894-4907-BFB9-A9DCC510BAA8","url":"https://open-measure.atlassian.net/wiki/spaces/DIC/pages/1122631903"}</v>
      </c>
    </row>
    <row r="318" spans="1:6" ht="13.9" thickTop="1" thickBot="1" x14ac:dyDescent="0.4">
      <c r="A318" s="38">
        <f>IF(ISERR(NodesJSON[[#This Row],[label]]),0,1)</f>
        <v>1</v>
      </c>
      <c r="B318" s="3" t="str">
        <f>NodesData[[#This Row],[Common Name]]</f>
        <v>Orphan File</v>
      </c>
      <c r="C318" s="3" t="str">
        <f>IF(NodesData[[#This Row],[Context Instanciation]]="","",NodesData[[#This Row],[Context Instanciation]])</f>
        <v/>
      </c>
      <c r="D318" s="22" t="str">
        <f>NodesData[[#This Row],[Node ID]]</f>
        <v>2F16F928-E5E1-4BBF-B2CC-71A7DA1006B6</v>
      </c>
      <c r="E318" s="10" t="s">
        <v>1017</v>
      </c>
      <c r="F318" s="25" t="str" cm="1">
        <f t="array" ref="F318">IF(NodesJSON[[#This Row],[Export?]]=0,"",IF(ROW(NodesJSON[[#This Row],[label]])&gt;ROW(NodesJSON[[#Headers],[JSON]])+1,",","") &amp;"{"&amp;twoRangesToJSON(NodesJSON[[#Headers],[label]:[url]],NodesJSON[[#This Row],[label]:[url]])&amp;"}")</f>
        <v>,{"label":"Orphan File","group":"","id":"2F16F928-E5E1-4BBF-B2CC-71A7DA1006B6","url":"https://open-measure.atlassian.net/wiki/spaces/DIC/pages/1105068063"}</v>
      </c>
    </row>
    <row r="319" spans="1:6" ht="13.9" thickTop="1" thickBot="1" x14ac:dyDescent="0.4">
      <c r="A319" s="38">
        <f>IF(ISERR(NodesJSON[[#This Row],[label]]),0,1)</f>
        <v>1</v>
      </c>
      <c r="B319" s="3" t="str">
        <f>NodesData[[#This Row],[Common Name]]</f>
        <v>Orphan Object</v>
      </c>
      <c r="C319" s="3" t="str">
        <f>IF(NodesData[[#This Row],[Context Instanciation]]="","",NodesData[[#This Row],[Context Instanciation]])</f>
        <v/>
      </c>
      <c r="D319" s="22" t="str">
        <f>NodesData[[#This Row],[Node ID]]</f>
        <v>0C04B4B0-31DA-44BB-8F72-C7518001EE00</v>
      </c>
      <c r="E319" s="10" t="s">
        <v>1019</v>
      </c>
      <c r="F319" s="25" t="str" cm="1">
        <f t="array" ref="F319">IF(NodesJSON[[#This Row],[Export?]]=0,"",IF(ROW(NodesJSON[[#This Row],[label]])&gt;ROW(NodesJSON[[#Headers],[JSON]])+1,",","") &amp;"{"&amp;twoRangesToJSON(NodesJSON[[#Headers],[label]:[url]],NodesJSON[[#This Row],[label]:[url]])&amp;"}")</f>
        <v>,{"label":"Orphan Object","group":"","id":"0C04B4B0-31DA-44BB-8F72-C7518001EE00","url":"https://open-measure.atlassian.net/wiki/spaces/DIC/pages/1130987523"}</v>
      </c>
    </row>
    <row r="320" spans="1:6" ht="13.9" thickTop="1" thickBot="1" x14ac:dyDescent="0.4">
      <c r="A320" s="38">
        <f>IF(ISERR(NodesJSON[[#This Row],[label]]),0,1)</f>
        <v>1</v>
      </c>
      <c r="B320" s="3" t="str">
        <f>NodesData[[#This Row],[Common Name]]</f>
        <v>Orphan Process</v>
      </c>
      <c r="C320" s="3" t="str">
        <f>IF(NodesData[[#This Row],[Context Instanciation]]="","",NodesData[[#This Row],[Context Instanciation]])</f>
        <v/>
      </c>
      <c r="D320" s="22" t="str">
        <f>NodesData[[#This Row],[Node ID]]</f>
        <v>085791C8-3974-4698-AE16-A89BA64A34F6</v>
      </c>
      <c r="E320" s="3"/>
      <c r="F320" s="25" t="str" cm="1">
        <f t="array" ref="F320">IF(NodesJSON[[#This Row],[Export?]]=0,"",IF(ROW(NodesJSON[[#This Row],[label]])&gt;ROW(NodesJSON[[#Headers],[JSON]])+1,",","") &amp;"{"&amp;twoRangesToJSON(NodesJSON[[#Headers],[label]:[url]],NodesJSON[[#This Row],[label]:[url]])&amp;"}")</f>
        <v>,{"label":"Orphan Process","group":"","id":"085791C8-3974-4698-AE16-A89BA64A34F6","url":""}</v>
      </c>
    </row>
    <row r="321" spans="1:6" ht="13.9" thickTop="1" thickBot="1" x14ac:dyDescent="0.4">
      <c r="A321" s="38">
        <f>IF(ISERR(NodesJSON[[#This Row],[label]]),0,1)</f>
        <v>1</v>
      </c>
      <c r="B321" s="3" t="str">
        <f>NodesData[[#This Row],[Common Name]]</f>
        <v>Orphan Product</v>
      </c>
      <c r="C321" s="3" t="str">
        <f>IF(NodesData[[#This Row],[Context Instanciation]]="","",NodesData[[#This Row],[Context Instanciation]])</f>
        <v/>
      </c>
      <c r="D321" s="22" t="str">
        <f>NodesData[[#This Row],[Node ID]]</f>
        <v>900A9669-84E5-4C9A-9B4F-1CC07BFBFA11</v>
      </c>
      <c r="E321" s="10" t="s">
        <v>1021</v>
      </c>
      <c r="F321" s="25" t="str" cm="1">
        <f t="array" ref="F321">IF(NodesJSON[[#This Row],[Export?]]=0,"",IF(ROW(NodesJSON[[#This Row],[label]])&gt;ROW(NodesJSON[[#Headers],[JSON]])+1,",","") &amp;"{"&amp;twoRangesToJSON(NodesJSON[[#Headers],[label]:[url]],NodesJSON[[#This Row],[label]:[url]])&amp;"}")</f>
        <v>,{"label":"Orphan Product","group":"","id":"900A9669-84E5-4C9A-9B4F-1CC07BFBFA11","url":"https://open-measure.atlassian.net/wiki/spaces/DIC/pages/1094549649"}</v>
      </c>
    </row>
    <row r="322" spans="1:6" ht="13.9" thickTop="1" thickBot="1" x14ac:dyDescent="0.4">
      <c r="A322" s="38">
        <f>IF(ISERR(NodesJSON[[#This Row],[label]]),0,1)</f>
        <v>1</v>
      </c>
      <c r="B322" s="3" t="str">
        <f>NodesData[[#This Row],[Common Name]]</f>
        <v>Orphan Role</v>
      </c>
      <c r="C322" s="3" t="str">
        <f>IF(NodesData[[#This Row],[Context Instanciation]]="","",NodesData[[#This Row],[Context Instanciation]])</f>
        <v/>
      </c>
      <c r="D322" s="22" t="str">
        <f>NodesData[[#This Row],[Node ID]]</f>
        <v>EBAFD0CE-623B-471B-A1BF-8E732527DD93</v>
      </c>
      <c r="E322" s="10" t="s">
        <v>1023</v>
      </c>
      <c r="F322" s="25" t="str" cm="1">
        <f t="array" ref="F322">IF(NodesJSON[[#This Row],[Export?]]=0,"",IF(ROW(NodesJSON[[#This Row],[label]])&gt;ROW(NodesJSON[[#Headers],[JSON]])+1,",","") &amp;"{"&amp;twoRangesToJSON(NodesJSON[[#Headers],[label]:[url]],NodesJSON[[#This Row],[label]:[url]])&amp;"}")</f>
        <v>,{"label":"Orphan Role","group":"","id":"EBAFD0CE-623B-471B-A1BF-8E732527DD93","url":"https://open-measure.atlassian.net/wiki/spaces/DIC/pages/67699046"}</v>
      </c>
    </row>
    <row r="323" spans="1:6" ht="13.9" thickTop="1" thickBot="1" x14ac:dyDescent="0.4">
      <c r="A323" s="38">
        <f>IF(ISERR(NodesJSON[[#This Row],[label]]),0,1)</f>
        <v>1</v>
      </c>
      <c r="B323" s="3" t="str">
        <f>NodesData[[#This Row],[Common Name]]</f>
        <v>Orphan Routes / APIs</v>
      </c>
      <c r="C323" s="3" t="str">
        <f>IF(NodesData[[#This Row],[Context Instanciation]]="","",NodesData[[#This Row],[Context Instanciation]])</f>
        <v/>
      </c>
      <c r="D323" s="22" t="str">
        <f>NodesData[[#This Row],[Node ID]]</f>
        <v>99B1210B-7776-4DC5-AD0F-66FE4968BBB8</v>
      </c>
      <c r="E323" s="10" t="s">
        <v>1024</v>
      </c>
      <c r="F323" s="25" t="str" cm="1">
        <f t="array" ref="F323">IF(NodesJSON[[#This Row],[Export?]]=0,"",IF(ROW(NodesJSON[[#This Row],[label]])&gt;ROW(NodesJSON[[#Headers],[JSON]])+1,",","") &amp;"{"&amp;twoRangesToJSON(NodesJSON[[#Headers],[label]:[url]],NodesJSON[[#This Row],[label]:[url]])&amp;"}")</f>
        <v>,{"label":"Orphan Routes / APIs","group":"","id":"99B1210B-7776-4DC5-AD0F-66FE4968BBB8","url":"https://open-measure.atlassian.net/wiki/spaces/DIC/pages/1323434264/Private+Key+Loss"}</v>
      </c>
    </row>
    <row r="324" spans="1:6" ht="13.9" thickTop="1" thickBot="1" x14ac:dyDescent="0.4">
      <c r="A324" s="38">
        <f>IF(ISERR(NodesJSON[[#This Row],[label]]),0,1)</f>
        <v>1</v>
      </c>
      <c r="B324" s="3" t="str">
        <f>NodesData[[#This Row],[Common Name]]</f>
        <v>Orphan System</v>
      </c>
      <c r="C324" s="3" t="str">
        <f>IF(NodesData[[#This Row],[Context Instanciation]]="","",NodesData[[#This Row],[Context Instanciation]])</f>
        <v/>
      </c>
      <c r="D324" s="22" t="str">
        <f>NodesData[[#This Row],[Node ID]]</f>
        <v>B784914E-6379-427A-A517-3F3D25E3217D</v>
      </c>
      <c r="E324" s="10" t="s">
        <v>1026</v>
      </c>
      <c r="F324" s="25" t="str" cm="1">
        <f t="array" ref="F324">IF(NodesJSON[[#This Row],[Export?]]=0,"",IF(ROW(NodesJSON[[#This Row],[label]])&gt;ROW(NodesJSON[[#Headers],[JSON]])+1,",","") &amp;"{"&amp;twoRangesToJSON(NodesJSON[[#Headers],[label]:[url]],NodesJSON[[#This Row],[label]:[url]])&amp;"}")</f>
        <v>,{"label":"Orphan System","group":"","id":"B784914E-6379-427A-A517-3F3D25E3217D","url":"https://open-measure.atlassian.net/wiki/spaces/DIC/pages/67568310"}</v>
      </c>
    </row>
    <row r="325" spans="1:6" ht="13.9" thickTop="1" thickBot="1" x14ac:dyDescent="0.4">
      <c r="A325" s="38">
        <f>IF(ISERR(NodesJSON[[#This Row],[label]]),0,1)</f>
        <v>1</v>
      </c>
      <c r="B325" s="3" t="str">
        <f>NodesData[[#This Row],[Common Name]]</f>
        <v>Out-of-band Authentication</v>
      </c>
      <c r="C325" s="3" t="str">
        <f>IF(NodesData[[#This Row],[Context Instanciation]]="","",NodesData[[#This Row],[Context Instanciation]])</f>
        <v/>
      </c>
      <c r="D325" s="22" t="str">
        <f>NodesData[[#This Row],[Node ID]]</f>
        <v>AD292F94-2C30-492B-87DA-45DC9CBB6D4B</v>
      </c>
      <c r="E325" s="10" t="s">
        <v>1027</v>
      </c>
      <c r="F325" s="25" t="str" cm="1">
        <f t="array" ref="F325">IF(NodesJSON[[#This Row],[Export?]]=0,"",IF(ROW(NodesJSON[[#This Row],[label]])&gt;ROW(NodesJSON[[#Headers],[JSON]])+1,",","") &amp;"{"&amp;twoRangesToJSON(NodesJSON[[#Headers],[label]:[url]],NodesJSON[[#This Row],[label]:[url]])&amp;"}")</f>
        <v>,{"label":"Out-of-band Authentication","group":"","id":"AD292F94-2C30-492B-87DA-45DC9CBB6D4B","url":"https://open-measure.atlassian.net/wiki/spaces/DIC/pages/814449037/Privilege+Abuse"}</v>
      </c>
    </row>
    <row r="326" spans="1:6" ht="13.9" thickTop="1" thickBot="1" x14ac:dyDescent="0.4">
      <c r="A326" s="38">
        <f>IF(ISERR(NodesJSON[[#This Row],[label]]),0,1)</f>
        <v>1</v>
      </c>
      <c r="B326" s="3" t="str">
        <f>NodesData[[#This Row],[Common Name]]</f>
        <v>Outsider</v>
      </c>
      <c r="C326" s="3" t="str">
        <f>IF(NodesData[[#This Row],[Context Instanciation]]="","",NodesData[[#This Row],[Context Instanciation]])</f>
        <v/>
      </c>
      <c r="D326" s="22" t="str">
        <f>NodesData[[#This Row],[Node ID]]</f>
        <v>8D164FDA-D3D7-422B-81BC-9C6C41153EA2</v>
      </c>
      <c r="E326" s="10" t="s">
        <v>1029</v>
      </c>
      <c r="F326" s="25" t="str" cm="1">
        <f t="array" ref="F326">IF(NodesJSON[[#This Row],[Export?]]=0,"",IF(ROW(NodesJSON[[#This Row],[label]])&gt;ROW(NodesJSON[[#Headers],[JSON]])+1,",","") &amp;"{"&amp;twoRangesToJSON(NodesJSON[[#Headers],[label]:[url]],NodesJSON[[#This Row],[label]:[url]])&amp;"}")</f>
        <v>,{"label":"Outsider","group":"","id":"8D164FDA-D3D7-422B-81BC-9C6C41153EA2","url":"https://open-measure.atlassian.net/wiki/spaces/DIC/pages/473890861"}</v>
      </c>
    </row>
    <row r="327" spans="1:6" ht="13.9" thickTop="1" thickBot="1" x14ac:dyDescent="0.4">
      <c r="A327" s="38">
        <f>IF(ISERR(NodesJSON[[#This Row],[label]]),0,1)</f>
        <v>1</v>
      </c>
      <c r="B327" s="3" t="str">
        <f>NodesData[[#This Row],[Common Name]]</f>
        <v>Palmprint Recognition Authentication</v>
      </c>
      <c r="C327" s="3" t="str">
        <f>IF(NodesData[[#This Row],[Context Instanciation]]="","",NodesData[[#This Row],[Context Instanciation]])</f>
        <v/>
      </c>
      <c r="D327" s="22" t="str">
        <f>NodesData[[#This Row],[Node ID]]</f>
        <v>087C6620-F50C-4D7E-B3DF-516DA675DD50</v>
      </c>
      <c r="E327" s="10" t="s">
        <v>1031</v>
      </c>
      <c r="F327" s="25" t="str" cm="1">
        <f t="array" ref="F327">IF(NodesJSON[[#This Row],[Export?]]=0,"",IF(ROW(NodesJSON[[#This Row],[label]])&gt;ROW(NodesJSON[[#Headers],[JSON]])+1,",","") &amp;"{"&amp;twoRangesToJSON(NodesJSON[[#Headers],[label]:[url]],NodesJSON[[#This Row],[label]:[url]])&amp;"}")</f>
        <v>,{"label":"Palmprint Recognition Authentication","group":"","id":"087C6620-F50C-4D7E-B3DF-516DA675DD50","url":"https://open-measure.atlassian.net/wiki/spaces/DIC/pages/810320380"}</v>
      </c>
    </row>
    <row r="328" spans="1:6" ht="13.9" thickTop="1" thickBot="1" x14ac:dyDescent="0.4">
      <c r="A328" s="38">
        <f>IF(ISERR(NodesJSON[[#This Row],[label]]),0,1)</f>
        <v>1</v>
      </c>
      <c r="B328" s="3" t="str">
        <f>NodesData[[#This Row],[Common Name]]</f>
        <v>Passive Impersonation Attack</v>
      </c>
      <c r="C328" s="3" t="str">
        <f>IF(NodesData[[#This Row],[Context Instanciation]]="","",NodesData[[#This Row],[Context Instanciation]])</f>
        <v/>
      </c>
      <c r="D328" s="22" t="str">
        <f>NodesData[[#This Row],[Node ID]]</f>
        <v>99618AC3-BAFD-44B7-B7D0-3E3B46896582</v>
      </c>
      <c r="E328" s="10" t="s">
        <v>1033</v>
      </c>
      <c r="F328" s="25" t="str" cm="1">
        <f t="array" ref="F328">IF(NodesJSON[[#This Row],[Export?]]=0,"",IF(ROW(NodesJSON[[#This Row],[label]])&gt;ROW(NodesJSON[[#Headers],[JSON]])+1,",","") &amp;"{"&amp;twoRangesToJSON(NodesJSON[[#Headers],[label]:[url]],NodesJSON[[#This Row],[label]:[url]])&amp;"}")</f>
        <v>,{"label":"Passive Impersonation Attack","group":"","id":"99618AC3-BAFD-44B7-B7D0-3E3B46896582","url":"https://open-measure.atlassian.net/wiki/spaces/DIC/pages/138346661"}</v>
      </c>
    </row>
    <row r="329" spans="1:6" ht="13.9" thickTop="1" thickBot="1" x14ac:dyDescent="0.4">
      <c r="A329" s="38">
        <f>IF(ISERR(NodesJSON[[#This Row],[label]]),0,1)</f>
        <v>1</v>
      </c>
      <c r="B329" s="3" t="str">
        <f>NodesData[[#This Row],[Common Name]]</f>
        <v>Passphrase Authentication</v>
      </c>
      <c r="C329" s="3" t="str">
        <f>IF(NodesData[[#This Row],[Context Instanciation]]="","",NodesData[[#This Row],[Context Instanciation]])</f>
        <v/>
      </c>
      <c r="D329" s="22" t="str">
        <f>NodesData[[#This Row],[Node ID]]</f>
        <v>7D3AEDB7-109E-4336-B9B9-6BB8C2A5CD2D</v>
      </c>
      <c r="E329" s="10" t="s">
        <v>1034</v>
      </c>
      <c r="F329" s="25" t="str" cm="1">
        <f t="array" ref="F329">IF(NodesJSON[[#This Row],[Export?]]=0,"",IF(ROW(NodesJSON[[#This Row],[label]])&gt;ROW(NodesJSON[[#Headers],[JSON]])+1,",","") &amp;"{"&amp;twoRangesToJSON(NodesJSON[[#Headers],[label]:[url]],NodesJSON[[#This Row],[label]:[url]])&amp;"}")</f>
        <v>,{"label":"Passphrase Authentication","group":"","id":"7D3AEDB7-109E-4336-B9B9-6BB8C2A5CD2D","url":"https://open-measure.atlassian.net/wiki/spaces/DIC/pages/1477902403/Privileged+Insider"}</v>
      </c>
    </row>
    <row r="330" spans="1:6" ht="13.9" thickTop="1" thickBot="1" x14ac:dyDescent="0.4">
      <c r="A330" s="38">
        <f>IF(ISERR(NodesJSON[[#This Row],[label]]),0,1)</f>
        <v>1</v>
      </c>
      <c r="B330" s="3" t="str">
        <f>NodesData[[#This Row],[Common Name]]</f>
        <v>Password Guessing Attack</v>
      </c>
      <c r="C330" s="3" t="str">
        <f>IF(NodesData[[#This Row],[Context Instanciation]]="","",NodesData[[#This Row],[Context Instanciation]])</f>
        <v/>
      </c>
      <c r="D330" s="22" t="str">
        <f>NodesData[[#This Row],[Node ID]]</f>
        <v>3E674484-AD81-4D30-BBC4-A53F972BA028</v>
      </c>
      <c r="E330" s="10" t="s">
        <v>1036</v>
      </c>
      <c r="F330" s="25" t="str" cm="1">
        <f t="array" ref="F330">IF(NodesJSON[[#This Row],[Export?]]=0,"",IF(ROW(NodesJSON[[#This Row],[label]])&gt;ROW(NodesJSON[[#Headers],[JSON]])+1,",","") &amp;"{"&amp;twoRangesToJSON(NodesJSON[[#Headers],[label]:[url]],NodesJSON[[#This Row],[label]:[url]])&amp;"}")</f>
        <v>,{"label":"Password Guessing Attack","group":"","id":"3E674484-AD81-4D30-BBC4-A53F972BA028","url":"https://open-measure.atlassian.net/wiki/spaces/DIC/pages/61964289"}</v>
      </c>
    </row>
    <row r="331" spans="1:6" ht="13.9" thickTop="1" thickBot="1" x14ac:dyDescent="0.4">
      <c r="A331" s="38">
        <f>IF(ISERR(NodesJSON[[#This Row],[label]]),0,1)</f>
        <v>1</v>
      </c>
      <c r="B331" s="3" t="str">
        <f>NodesData[[#This Row],[Common Name]]</f>
        <v>Password Rotation</v>
      </c>
      <c r="C331" s="3" t="str">
        <f>IF(NodesData[[#This Row],[Context Instanciation]]="","",NodesData[[#This Row],[Context Instanciation]])</f>
        <v/>
      </c>
      <c r="D331" s="22" t="str">
        <f>NodesData[[#This Row],[Node ID]]</f>
        <v>7E50447D-4D1E-46ED-A84D-7E90C85A3FC4</v>
      </c>
      <c r="E331" s="8"/>
      <c r="F331" s="25" t="str" cm="1">
        <f t="array" ref="F331">IF(NodesJSON[[#This Row],[Export?]]=0,"",IF(ROW(NodesJSON[[#This Row],[label]])&gt;ROW(NodesJSON[[#Headers],[JSON]])+1,",","") &amp;"{"&amp;twoRangesToJSON(NodesJSON[[#Headers],[label]:[url]],NodesJSON[[#This Row],[label]:[url]])&amp;"}")</f>
        <v>,{"label":"Password Rotation","group":"","id":"7E50447D-4D1E-46ED-A84D-7E90C85A3FC4","url":""}</v>
      </c>
    </row>
    <row r="332" spans="1:6" ht="13.9" thickTop="1" thickBot="1" x14ac:dyDescent="0.4">
      <c r="A332" s="38">
        <f>IF(ISERR(NodesJSON[[#This Row],[label]]),0,1)</f>
        <v>1</v>
      </c>
      <c r="B332" s="3" t="str">
        <f>NodesData[[#This Row],[Common Name]]</f>
        <v>Password Spraying Attack</v>
      </c>
      <c r="C332" s="3" t="str">
        <f>IF(NodesData[[#This Row],[Context Instanciation]]="","",NodesData[[#This Row],[Context Instanciation]])</f>
        <v/>
      </c>
      <c r="D332" s="22" t="str">
        <f>NodesData[[#This Row],[Node ID]]</f>
        <v>37BB5E8F-E67D-4129-B2A4-C27E7BE27F78</v>
      </c>
      <c r="E332" s="10" t="s">
        <v>1038</v>
      </c>
      <c r="F332" s="25" t="str" cm="1">
        <f t="array" ref="F332">IF(NodesJSON[[#This Row],[Export?]]=0,"",IF(ROW(NodesJSON[[#This Row],[label]])&gt;ROW(NodesJSON[[#Headers],[JSON]])+1,",","") &amp;"{"&amp;twoRangesToJSON(NodesJSON[[#Headers],[label]:[url]],NodesJSON[[#This Row],[label]:[url]])&amp;"}")</f>
        <v>,{"label":"Password Spraying Attack","group":"","id":"37BB5E8F-E67D-4129-B2A4-C27E7BE27F78","url":"https://open-measure.atlassian.net/wiki/spaces/DIC/pages/1323598109/Qualitative+Identity"}</v>
      </c>
    </row>
    <row r="333" spans="1:6" ht="13.9" thickTop="1" thickBot="1" x14ac:dyDescent="0.4">
      <c r="A333" s="38">
        <f>IF(ISERR(NodesJSON[[#This Row],[label]]),0,1)</f>
        <v>1</v>
      </c>
      <c r="B333" s="3" t="str">
        <f>NodesData[[#This Row],[Common Name]]</f>
        <v>Password-Based Authentication</v>
      </c>
      <c r="C333" s="3" t="str">
        <f>IF(NodesData[[#This Row],[Context Instanciation]]="","",NodesData[[#This Row],[Context Instanciation]])</f>
        <v/>
      </c>
      <c r="D333" s="22" t="str">
        <f>NodesData[[#This Row],[Node ID]]</f>
        <v>350D3679-E553-41BF-9B1F-4B592D10F81A</v>
      </c>
      <c r="E333" s="10" t="s">
        <v>1040</v>
      </c>
      <c r="F333" s="25" t="str" cm="1">
        <f t="array" ref="F333">IF(NodesJSON[[#This Row],[Export?]]=0,"",IF(ROW(NodesJSON[[#This Row],[label]])&gt;ROW(NodesJSON[[#Headers],[JSON]])+1,",","") &amp;"{"&amp;twoRangesToJSON(NodesJSON[[#Headers],[label]:[url]],NodesJSON[[#This Row],[label]:[url]])&amp;"}")</f>
        <v>,{"label":"Password-Based Authentication","group":"","id":"350D3679-E553-41BF-9B1F-4B592D10F81A","url":"https://open-measure.atlassian.net/wiki/spaces/DIC/pages/82903928"}</v>
      </c>
    </row>
    <row r="334" spans="1:6" ht="13.9" thickTop="1" thickBot="1" x14ac:dyDescent="0.4">
      <c r="A334" s="38">
        <f>IF(ISERR(NodesJSON[[#This Row],[label]]),0,1)</f>
        <v>1</v>
      </c>
      <c r="B334" s="3" t="str">
        <f>NodesData[[#This Row],[Common Name]]</f>
        <v>Passwordless Authentication</v>
      </c>
      <c r="C334" s="3" t="str">
        <f>IF(NodesData[[#This Row],[Context Instanciation]]="","",NodesData[[#This Row],[Context Instanciation]])</f>
        <v/>
      </c>
      <c r="D334" s="22" t="str">
        <f>NodesData[[#This Row],[Node ID]]</f>
        <v>6ECC2714-A684-4EB0-93B2-4E775A819929</v>
      </c>
      <c r="E334" s="10" t="s">
        <v>1042</v>
      </c>
      <c r="F334" s="25" t="str" cm="1">
        <f t="array" ref="F334">IF(NodesJSON[[#This Row],[Export?]]=0,"",IF(ROW(NodesJSON[[#This Row],[label]])&gt;ROW(NodesJSON[[#Headers],[JSON]])+1,",","") &amp;"{"&amp;twoRangesToJSON(NodesJSON[[#Headers],[label]:[url]],NodesJSON[[#This Row],[label]:[url]])&amp;"}")</f>
        <v>,{"label":"Passwordless Authentication","group":"","id":"6ECC2714-A684-4EB0-93B2-4E775A819929","url":"https://open-measure.atlassian.net/wiki/spaces/DIC/pages/11567198"}</v>
      </c>
    </row>
    <row r="335" spans="1:6" ht="13.9" thickTop="1" thickBot="1" x14ac:dyDescent="0.4">
      <c r="A335" s="38">
        <f>IF(ISERR(NodesJSON[[#This Row],[label]]),0,1)</f>
        <v>1</v>
      </c>
      <c r="B335" s="3" t="str">
        <f>NodesData[[#This Row],[Common Name]]</f>
        <v>People</v>
      </c>
      <c r="C335" s="3" t="str">
        <f>IF(NodesData[[#This Row],[Context Instanciation]]="","",NodesData[[#This Row],[Context Instanciation]])</f>
        <v/>
      </c>
      <c r="D335" s="22" t="str">
        <f>NodesData[[#This Row],[Node ID]]</f>
        <v>C446B750-1D60-4D40-8394-9E434437F653</v>
      </c>
      <c r="E335" s="10" t="s">
        <v>1044</v>
      </c>
      <c r="F335" s="25" t="str" cm="1">
        <f t="array" ref="F335">IF(NodesJSON[[#This Row],[Export?]]=0,"",IF(ROW(NodesJSON[[#This Row],[label]])&gt;ROW(NodesJSON[[#Headers],[JSON]])+1,",","") &amp;"{"&amp;twoRangesToJSON(NodesJSON[[#Headers],[label]:[url]],NodesJSON[[#This Row],[label]:[url]])&amp;"}")</f>
        <v>,{"label":"People","group":"","id":"C446B750-1D60-4D40-8394-9E434437F653","url":"https://open-measure.atlassian.net/wiki/spaces/DIC/pages/408944908"}</v>
      </c>
    </row>
    <row r="336" spans="1:6" ht="13.9" thickTop="1" thickBot="1" x14ac:dyDescent="0.4">
      <c r="A336" s="38">
        <f>IF(ISERR(NodesJSON[[#This Row],[label]]),0,1)</f>
        <v>1</v>
      </c>
      <c r="B336" s="3" t="str">
        <f>NodesData[[#This Row],[Common Name]]</f>
        <v>Permission</v>
      </c>
      <c r="C336" s="3" t="str">
        <f>IF(NodesData[[#This Row],[Context Instanciation]]="","",NodesData[[#This Row],[Context Instanciation]])</f>
        <v/>
      </c>
      <c r="D336" s="22" t="str">
        <f>NodesData[[#This Row],[Node ID]]</f>
        <v>87FD8999-3B1A-4961-9E69-7A1CF4F30D47</v>
      </c>
      <c r="E336" s="10" t="s">
        <v>1037</v>
      </c>
      <c r="F336" s="25" t="str" cm="1">
        <f t="array" ref="F336">IF(NodesJSON[[#This Row],[Export?]]=0,"",IF(ROW(NodesJSON[[#This Row],[label]])&gt;ROW(NodesJSON[[#Headers],[JSON]])+1,",","") &amp;"{"&amp;twoRangesToJSON(NodesJSON[[#Headers],[label]:[url]],NodesJSON[[#This Row],[label]:[url]])&amp;"}")</f>
        <v>,{"label":"Permission","group":"","id":"87FD8999-3B1A-4961-9E69-7A1CF4F30D47","url":"https://open-measure.atlassian.net/wiki/spaces/DIC/pages/1677164768/QR+Code+Authentication"}</v>
      </c>
    </row>
    <row r="337" spans="1:6" ht="13.9" thickTop="1" thickBot="1" x14ac:dyDescent="0.4">
      <c r="A337" s="38">
        <f>IF(ISERR(NodesJSON[[#This Row],[label]]),0,1)</f>
        <v>1</v>
      </c>
      <c r="B337" s="3" t="str">
        <f>NodesData[[#This Row],[Common Name]]</f>
        <v>Perpetrator</v>
      </c>
      <c r="C337" s="3" t="str">
        <f>IF(NodesData[[#This Row],[Context Instanciation]]="","",NodesData[[#This Row],[Context Instanciation]])</f>
        <v>Account Takeover</v>
      </c>
      <c r="D337" s="22" t="str">
        <f>NodesData[[#This Row],[Node ID]]</f>
        <v>5405E693-EB16-42E8-98EA-4E4BF4569BD9</v>
      </c>
      <c r="E337" s="10" t="s">
        <v>1048</v>
      </c>
      <c r="F337" s="25" t="str" cm="1">
        <f t="array" ref="F337">IF(NodesJSON[[#This Row],[Export?]]=0,"",IF(ROW(NodesJSON[[#This Row],[label]])&gt;ROW(NodesJSON[[#Headers],[JSON]])+1,",","") &amp;"{"&amp;twoRangesToJSON(NodesJSON[[#Headers],[label]:[url]],NodesJSON[[#This Row],[label]:[url]])&amp;"}")</f>
        <v>,{"label":"Perpetrator","group":"Account Takeover","id":"5405E693-EB16-42E8-98EA-4E4BF4569BD9","url":"https://open-measure.atlassian.net/wiki/spaces/DIC/pages/107840129"}</v>
      </c>
    </row>
    <row r="338" spans="1:6" ht="13.9" thickTop="1" thickBot="1" x14ac:dyDescent="0.4">
      <c r="A338" s="38">
        <f>IF(ISERR(NodesJSON[[#This Row],[label]]),0,1)</f>
        <v>1</v>
      </c>
      <c r="B338" s="3" t="str">
        <f>NodesData[[#This Row],[Common Name]]</f>
        <v>Persona</v>
      </c>
      <c r="C338" s="3" t="str">
        <f>IF(NodesData[[#This Row],[Context Instanciation]]="","",NodesData[[#This Row],[Context Instanciation]])</f>
        <v/>
      </c>
      <c r="D338" s="22" t="str">
        <f>NodesData[[#This Row],[Node ID]]</f>
        <v>99021A76-61CA-44AE-BE37-E6296084E479</v>
      </c>
      <c r="E338" s="10" t="s">
        <v>1050</v>
      </c>
      <c r="F338" s="25" t="str" cm="1">
        <f t="array" ref="F338">IF(NodesJSON[[#This Row],[Export?]]=0,"",IF(ROW(NodesJSON[[#This Row],[label]])&gt;ROW(NodesJSON[[#Headers],[JSON]])+1,",","") &amp;"{"&amp;twoRangesToJSON(NodesJSON[[#Headers],[label]:[url]],NodesJSON[[#This Row],[label]:[url]])&amp;"}")</f>
        <v>,{"label":"Persona","group":"","id":"99021A76-61CA-44AE-BE37-E6296084E479","url":"https://open-measure.atlassian.net/wiki/spaces/DIC/pages/123962234"}</v>
      </c>
    </row>
    <row r="339" spans="1:6" ht="13.9" thickTop="1" thickBot="1" x14ac:dyDescent="0.4">
      <c r="A339" s="38">
        <f>IF(ISERR(NodesJSON[[#This Row],[label]]),0,1)</f>
        <v>1</v>
      </c>
      <c r="B339" s="3" t="str">
        <f>NodesData[[#This Row],[Common Name]]</f>
        <v>Personal Identification Number Authentication</v>
      </c>
      <c r="C339" s="3" t="str">
        <f>IF(NodesData[[#This Row],[Context Instanciation]]="","",NodesData[[#This Row],[Context Instanciation]])</f>
        <v/>
      </c>
      <c r="D339" s="22" t="str">
        <f>NodesData[[#This Row],[Node ID]]</f>
        <v>886A0D30-70BF-42CF-9450-BEAE5ED1F53D</v>
      </c>
      <c r="E339" s="10" t="s">
        <v>1046</v>
      </c>
      <c r="F339" s="25" t="str" cm="1">
        <f t="array" ref="F339">IF(NodesJSON[[#This Row],[Export?]]=0,"",IF(ROW(NodesJSON[[#This Row],[label]])&gt;ROW(NodesJSON[[#Headers],[JSON]])+1,",","") &amp;"{"&amp;twoRangesToJSON(NodesJSON[[#Headers],[label]:[url]],NodesJSON[[#This Row],[label]:[url]])&amp;"}")</f>
        <v>,{"label":"Personal Identification Number Authentication","group":"","id":"886A0D30-70BF-42CF-9450-BEAE5ED1F53D","url":"https://open-measure.atlassian.net/wiki/spaces/DIC/pages/873201665"}</v>
      </c>
    </row>
    <row r="340" spans="1:6" ht="13.9" thickTop="1" thickBot="1" x14ac:dyDescent="0.4">
      <c r="A340" s="38">
        <f>IF(ISERR(NodesJSON[[#This Row],[label]]),0,1)</f>
        <v>1</v>
      </c>
      <c r="B340" s="3" t="str">
        <f>NodesData[[#This Row],[Common Name]]</f>
        <v>Physical Token OTP</v>
      </c>
      <c r="C340" s="3" t="str">
        <f>IF(NodesData[[#This Row],[Context Instanciation]]="","",NodesData[[#This Row],[Context Instanciation]])</f>
        <v/>
      </c>
      <c r="D340" s="22" t="str">
        <f>NodesData[[#This Row],[Node ID]]</f>
        <v>7885B708-90A5-42B1-A82F-C33A40875DB1</v>
      </c>
      <c r="E340" s="10" t="s">
        <v>1054</v>
      </c>
      <c r="F340" s="25" t="str" cm="1">
        <f t="array" ref="F340">IF(NodesJSON[[#This Row],[Export?]]=0,"",IF(ROW(NodesJSON[[#This Row],[label]])&gt;ROW(NodesJSON[[#Headers],[JSON]])+1,",","") &amp;"{"&amp;twoRangesToJSON(NodesJSON[[#Headers],[label]:[url]],NodesJSON[[#This Row],[label]:[url]])&amp;"}")</f>
        <v>,{"label":"Physical Token OTP","group":"","id":"7885B708-90A5-42B1-A82F-C33A40875DB1","url":"https://open-measure.atlassian.net/wiki/spaces/DIC/pages/858521682"}</v>
      </c>
    </row>
    <row r="341" spans="1:6" ht="13.9" thickTop="1" thickBot="1" x14ac:dyDescent="0.4">
      <c r="A341" s="38">
        <f>IF(ISERR(NodesJSON[[#This Row],[label]]),0,1)</f>
        <v>1</v>
      </c>
      <c r="B341" s="3" t="str">
        <f>NodesData[[#This Row],[Common Name]]</f>
        <v>PMS</v>
      </c>
      <c r="C341" s="3" t="str">
        <f>IF(NodesData[[#This Row],[Context Instanciation]]="","",NodesData[[#This Row],[Context Instanciation]])</f>
        <v/>
      </c>
      <c r="D341" s="22" t="str">
        <f>NodesData[[#This Row],[Node ID]]</f>
        <v>CDD4B8ED-FC21-4CBE-84D1-1D00BC936D99</v>
      </c>
      <c r="E341" s="10" t="s">
        <v>1056</v>
      </c>
      <c r="F341" s="25" t="str" cm="1">
        <f t="array" ref="F341">IF(NodesJSON[[#This Row],[Export?]]=0,"",IF(ROW(NodesJSON[[#This Row],[label]])&gt;ROW(NodesJSON[[#Headers],[JSON]])+1,",","") &amp;"{"&amp;twoRangesToJSON(NodesJSON[[#Headers],[label]:[url]],NodesJSON[[#This Row],[label]:[url]])&amp;"}")</f>
        <v>,{"label":"PMS","group":"","id":"CDD4B8ED-FC21-4CBE-84D1-1D00BC936D99","url":"https://open-measure.atlassian.net/wiki/spaces/DIC/pages/67699423"}</v>
      </c>
    </row>
    <row r="342" spans="1:6" ht="13.9" thickTop="1" thickBot="1" x14ac:dyDescent="0.4">
      <c r="A342" s="38">
        <f>IF(ISERR(NodesJSON[[#This Row],[label]]),0,1)</f>
        <v>1</v>
      </c>
      <c r="B342" s="3" t="str">
        <f>NodesData[[#This Row],[Common Name]]</f>
        <v>Policy</v>
      </c>
      <c r="C342" s="3" t="str">
        <f>IF(NodesData[[#This Row],[Context Instanciation]]="","",NodesData[[#This Row],[Context Instanciation]])</f>
        <v/>
      </c>
      <c r="D342" s="22" t="str">
        <f>NodesData[[#This Row],[Node ID]]</f>
        <v>337ACFF8-BD95-4DDE-8603-B421B82F4F7B</v>
      </c>
      <c r="E342" s="10" t="s">
        <v>1058</v>
      </c>
      <c r="F342" s="25" t="str" cm="1">
        <f t="array" ref="F342">IF(NodesJSON[[#This Row],[Export?]]=0,"",IF(ROW(NodesJSON[[#This Row],[label]])&gt;ROW(NodesJSON[[#Headers],[JSON]])+1,",","") &amp;"{"&amp;twoRangesToJSON(NodesJSON[[#Headers],[label]:[url]],NodesJSON[[#This Row],[label]:[url]])&amp;"}")</f>
        <v>,{"label":"Policy","group":"","id":"337ACFF8-BD95-4DDE-8603-B421B82F4F7B","url":"https://open-measure.atlassian.net/wiki/spaces/DIC/pages/427130881"}</v>
      </c>
    </row>
    <row r="343" spans="1:6" ht="13.9" thickTop="1" thickBot="1" x14ac:dyDescent="0.4">
      <c r="A343" s="38">
        <f>IF(ISERR(NodesJSON[[#This Row],[label]]),0,1)</f>
        <v>1</v>
      </c>
      <c r="B343" s="3" t="str">
        <f>NodesData[[#This Row],[Common Name]]</f>
        <v>Policy Analysis</v>
      </c>
      <c r="C343" s="3" t="str">
        <f>IF(NodesData[[#This Row],[Context Instanciation]]="","",NodesData[[#This Row],[Context Instanciation]])</f>
        <v/>
      </c>
      <c r="D343" s="22" t="str">
        <f>NodesData[[#This Row],[Node ID]]</f>
        <v>EE1D7A13-FB03-479F-AAD4-471F1F3574F0</v>
      </c>
      <c r="E343" s="10" t="s">
        <v>1060</v>
      </c>
      <c r="F343" s="25" t="str" cm="1">
        <f t="array" ref="F343">IF(NodesJSON[[#This Row],[Export?]]=0,"",IF(ROW(NodesJSON[[#This Row],[label]])&gt;ROW(NodesJSON[[#Headers],[JSON]])+1,",","") &amp;"{"&amp;twoRangesToJSON(NodesJSON[[#Headers],[label]:[url]],NodesJSON[[#This Row],[label]:[url]])&amp;"}")</f>
        <v>,{"label":"Policy Analysis","group":"","id":"EE1D7A13-FB03-479F-AAD4-471F1F3574F0","url":"https://open-measure.atlassian.net/wiki/spaces/DIC/pages/2589003"}</v>
      </c>
    </row>
    <row r="344" spans="1:6" ht="13.9" thickTop="1" thickBot="1" x14ac:dyDescent="0.4">
      <c r="A344" s="38">
        <f>IF(ISERR(NodesJSON[[#This Row],[label]]),0,1)</f>
        <v>1</v>
      </c>
      <c r="B344" s="3" t="str">
        <f>NodesData[[#This Row],[Common Name]]</f>
        <v>Policy Centralization</v>
      </c>
      <c r="C344" s="3" t="str">
        <f>IF(NodesData[[#This Row],[Context Instanciation]]="","",NodesData[[#This Row],[Context Instanciation]])</f>
        <v/>
      </c>
      <c r="D344" s="22" t="str">
        <f>NodesData[[#This Row],[Node ID]]</f>
        <v>92C3BEA6-5B48-473C-AA56-0FDB337AF4FC</v>
      </c>
      <c r="E344" s="10" t="s">
        <v>1062</v>
      </c>
      <c r="F344" s="25" t="str" cm="1">
        <f t="array" ref="F344">IF(NodesJSON[[#This Row],[Export?]]=0,"",IF(ROW(NodesJSON[[#This Row],[label]])&gt;ROW(NodesJSON[[#Headers],[JSON]])+1,",","") &amp;"{"&amp;twoRangesToJSON(NodesJSON[[#Headers],[label]:[url]],NodesJSON[[#This Row],[label]:[url]])&amp;"}")</f>
        <v>,{"label":"Policy Centralization","group":"","id":"92C3BEA6-5B48-473C-AA56-0FDB337AF4FC","url":"https://open-measure.atlassian.net/wiki/spaces/DIC/pages/11141464"}</v>
      </c>
    </row>
    <row r="345" spans="1:6" ht="13.9" thickTop="1" thickBot="1" x14ac:dyDescent="0.4">
      <c r="A345" s="38">
        <f>IF(ISERR(NodesJSON[[#This Row],[label]]),0,1)</f>
        <v>1</v>
      </c>
      <c r="B345" s="3" t="str">
        <f>NodesData[[#This Row],[Common Name]]</f>
        <v>Policy Interoperability</v>
      </c>
      <c r="C345" s="3" t="str">
        <f>IF(NodesData[[#This Row],[Context Instanciation]]="","",NodesData[[#This Row],[Context Instanciation]])</f>
        <v/>
      </c>
      <c r="D345" s="22" t="str">
        <f>NodesData[[#This Row],[Node ID]]</f>
        <v>790EFA1C-87AA-457B-8F45-36CD85344B1E</v>
      </c>
      <c r="E345" s="10" t="s">
        <v>1064</v>
      </c>
      <c r="F345" s="25" t="str" cm="1">
        <f t="array" ref="F345">IF(NodesJSON[[#This Row],[Export?]]=0,"",IF(ROW(NodesJSON[[#This Row],[label]])&gt;ROW(NodesJSON[[#Headers],[JSON]])+1,",","") &amp;"{"&amp;twoRangesToJSON(NodesJSON[[#Headers],[label]:[url]],NodesJSON[[#This Row],[label]:[url]])&amp;"}")</f>
        <v>,{"label":"Policy Interoperability","group":"","id":"790EFA1C-87AA-457B-8F45-36CD85344B1E","url":"https://open-measure.atlassian.net/wiki/spaces/DIC/pages/2588994"}</v>
      </c>
    </row>
    <row r="346" spans="1:6" ht="13.9" thickTop="1" thickBot="1" x14ac:dyDescent="0.4">
      <c r="A346" s="38">
        <f>IF(ISERR(NodesJSON[[#This Row],[label]]),0,1)</f>
        <v>1</v>
      </c>
      <c r="B346" s="3" t="str">
        <f>NodesData[[#This Row],[Common Name]]</f>
        <v>Policy Manageability</v>
      </c>
      <c r="C346" s="3" t="str">
        <f>IF(NodesData[[#This Row],[Context Instanciation]]="","",NodesData[[#This Row],[Context Instanciation]])</f>
        <v/>
      </c>
      <c r="D346" s="22" t="str">
        <f>NodesData[[#This Row],[Node ID]]</f>
        <v>4D1F76E9-CDB9-40F6-ACB5-A913F09D855F</v>
      </c>
      <c r="E346" s="10" t="s">
        <v>1066</v>
      </c>
      <c r="F346" s="25" t="str" cm="1">
        <f t="array" ref="F346">IF(NodesJSON[[#This Row],[Export?]]=0,"",IF(ROW(NodesJSON[[#This Row],[label]])&gt;ROW(NodesJSON[[#Headers],[JSON]])+1,",","") &amp;"{"&amp;twoRangesToJSON(NodesJSON[[#Headers],[label]:[url]],NodesJSON[[#This Row],[label]:[url]])&amp;"}")</f>
        <v>,{"label":"Policy Manageability","group":"","id":"4D1F76E9-CDB9-40F6-ACB5-A913F09D855F","url":"https://open-measure.atlassian.net/wiki/spaces/DIC/pages/67698769"}</v>
      </c>
    </row>
    <row r="347" spans="1:6" ht="13.9" thickTop="1" thickBot="1" x14ac:dyDescent="0.4">
      <c r="A347" s="38">
        <f>IF(ISERR(NodesJSON[[#This Row],[label]]),0,1)</f>
        <v>1</v>
      </c>
      <c r="B347" s="3" t="str">
        <f>NodesData[[#This Row],[Common Name]]</f>
        <v>Policy Mining</v>
      </c>
      <c r="C347" s="3" t="str">
        <f>IF(NodesData[[#This Row],[Context Instanciation]]="","",NodesData[[#This Row],[Context Instanciation]])</f>
        <v/>
      </c>
      <c r="D347" s="22" t="str">
        <f>NodesData[[#This Row],[Node ID]]</f>
        <v>BD42690B-5A27-4360-BB85-BBA341F80F90</v>
      </c>
      <c r="E347" s="10" t="s">
        <v>1068</v>
      </c>
      <c r="F347" s="25" t="str" cm="1">
        <f t="array" ref="F347">IF(NodesJSON[[#This Row],[Export?]]=0,"",IF(ROW(NodesJSON[[#This Row],[label]])&gt;ROW(NodesJSON[[#Headers],[JSON]])+1,",","") &amp;"{"&amp;twoRangesToJSON(NodesJSON[[#Headers],[label]:[url]],NodesJSON[[#This Row],[label]:[url]])&amp;"}")</f>
        <v>,{"label":"Policy Mining","group":"","id":"BD42690B-5A27-4360-BB85-BBA341F80F90","url":"https://open-measure.atlassian.net/wiki/spaces/DIC/pages/425623561"}</v>
      </c>
    </row>
    <row r="348" spans="1:6" ht="13.9" thickTop="1" thickBot="1" x14ac:dyDescent="0.4">
      <c r="A348" s="38">
        <f>IF(ISERR(NodesJSON[[#This Row],[label]]),0,1)</f>
        <v>1</v>
      </c>
      <c r="B348" s="3" t="str">
        <f>NodesData[[#This Row],[Common Name]]</f>
        <v>Policy Modeling</v>
      </c>
      <c r="C348" s="3" t="str">
        <f>IF(NodesData[[#This Row],[Context Instanciation]]="","",NodesData[[#This Row],[Context Instanciation]])</f>
        <v/>
      </c>
      <c r="D348" s="22" t="str">
        <f>NodesData[[#This Row],[Node ID]]</f>
        <v>26E164FB-0387-4F37-B760-4F0273BCC3AE</v>
      </c>
      <c r="E348" s="10" t="s">
        <v>1052</v>
      </c>
      <c r="F348" s="25" t="str" cm="1">
        <f t="array" ref="F348">IF(NodesJSON[[#This Row],[Export?]]=0,"",IF(ROW(NodesJSON[[#This Row],[label]])&gt;ROW(NodesJSON[[#Headers],[JSON]])+1,",","") &amp;"{"&amp;twoRangesToJSON(NodesJSON[[#Headers],[label]:[url]],NodesJSON[[#This Row],[label]:[url]])&amp;"}")</f>
        <v>,{"label":"Policy Modeling","group":"","id":"26E164FB-0387-4F37-B760-4F0273BCC3AE","url":"https://open-measure.atlassian.net/wiki/spaces/DIC/pages/82870985"}</v>
      </c>
    </row>
    <row r="349" spans="1:6" ht="13.9" thickTop="1" thickBot="1" x14ac:dyDescent="0.4">
      <c r="A349" s="38">
        <f>IF(ISERR(NodesJSON[[#This Row],[label]]),0,1)</f>
        <v>1</v>
      </c>
      <c r="B349" s="3" t="str">
        <f>NodesData[[#This Row],[Common Name]]</f>
        <v>Possession Factor</v>
      </c>
      <c r="C349" s="3" t="str">
        <f>IF(NodesData[[#This Row],[Context Instanciation]]="","",NodesData[[#This Row],[Context Instanciation]])</f>
        <v/>
      </c>
      <c r="D349" s="22" t="str">
        <f>NodesData[[#This Row],[Node ID]]</f>
        <v>4DAEE886-62B6-4A11-91E2-6CCC52E8C726</v>
      </c>
      <c r="E349" s="10" t="s">
        <v>1072</v>
      </c>
      <c r="F349" s="25" t="str" cm="1">
        <f t="array" ref="F349">IF(NodesJSON[[#This Row],[Export?]]=0,"",IF(ROW(NodesJSON[[#This Row],[label]])&gt;ROW(NodesJSON[[#Headers],[JSON]])+1,",","") &amp;"{"&amp;twoRangesToJSON(NodesJSON[[#Headers],[label]:[url]],NodesJSON[[#This Row],[label]:[url]])&amp;"}")</f>
        <v>,{"label":"Possession Factor","group":"","id":"4DAEE886-62B6-4A11-91E2-6CCC52E8C726","url":"https://open-measure.atlassian.net/wiki/spaces/DIC/pages/86442069"}</v>
      </c>
    </row>
    <row r="350" spans="1:6" ht="13.9" thickTop="1" thickBot="1" x14ac:dyDescent="0.4">
      <c r="A350" s="38">
        <f>IF(ISERR(NodesJSON[[#This Row],[label]]),0,1)</f>
        <v>1</v>
      </c>
      <c r="B350" s="3" t="str">
        <f>NodesData[[#This Row],[Common Name]]</f>
        <v>Pre-approval</v>
      </c>
      <c r="C350" s="3" t="str">
        <f>IF(NodesData[[#This Row],[Context Instanciation]]="","",NodesData[[#This Row],[Context Instanciation]])</f>
        <v/>
      </c>
      <c r="D350" s="22" t="str">
        <f>NodesData[[#This Row],[Node ID]]</f>
        <v>C6F673E3-9A9B-468C-8A0A-59AA0393DFDC</v>
      </c>
      <c r="E350" s="10" t="s">
        <v>1086</v>
      </c>
      <c r="F350" s="25" t="str" cm="1">
        <f t="array" ref="F350">IF(NodesJSON[[#This Row],[Export?]]=0,"",IF(ROW(NodesJSON[[#This Row],[label]])&gt;ROW(NodesJSON[[#Headers],[JSON]])+1,",","") &amp;"{"&amp;twoRangesToJSON(NodesJSON[[#Headers],[label]:[url]],NodesJSON[[#This Row],[label]:[url]])&amp;"}")</f>
        <v>,{"label":"Pre-approval","group":"","id":"C6F673E3-9A9B-468C-8A0A-59AA0393DFDC","url":"https://open-measure.atlassian.net/wiki/spaces/DIC/pages/1122566198"}</v>
      </c>
    </row>
    <row r="351" spans="1:6" ht="13.9" thickTop="1" thickBot="1" x14ac:dyDescent="0.4">
      <c r="A351" s="38">
        <f>IF(ISERR(NodesJSON[[#This Row],[label]]),0,1)</f>
        <v>1</v>
      </c>
      <c r="B351" s="3" t="str">
        <f>NodesData[[#This Row],[Common Name]]</f>
        <v>Principal</v>
      </c>
      <c r="C351" s="3" t="str">
        <f>IF(NodesData[[#This Row],[Context Instanciation]]="","",NodesData[[#This Row],[Context Instanciation]])</f>
        <v/>
      </c>
      <c r="D351" s="22" t="str">
        <f>NodesData[[#This Row],[Node ID]]</f>
        <v>2D48A747-188A-4B7C-879B-A60AF15CACA5</v>
      </c>
      <c r="E351" s="10" t="s">
        <v>1074</v>
      </c>
      <c r="F351" s="25" t="str" cm="1">
        <f t="array" ref="F351">IF(NodesJSON[[#This Row],[Export?]]=0,"",IF(ROW(NodesJSON[[#This Row],[label]])&gt;ROW(NodesJSON[[#Headers],[JSON]])+1,",","") &amp;"{"&amp;twoRangesToJSON(NodesJSON[[#Headers],[label]:[url]],NodesJSON[[#This Row],[label]:[url]])&amp;"}")</f>
        <v>,{"label":"Principal","group":"","id":"2D48A747-188A-4B7C-879B-A60AF15CACA5","url":"https://open-measure.atlassian.net/wiki/spaces/DIC/pages/814514401"}</v>
      </c>
    </row>
    <row r="352" spans="1:6" ht="13.9" thickTop="1" thickBot="1" x14ac:dyDescent="0.4">
      <c r="A352" s="38">
        <f>IF(ISERR(NodesJSON[[#This Row],[label]]),0,1)</f>
        <v>1</v>
      </c>
      <c r="B352" s="3" t="str">
        <f>NodesData[[#This Row],[Common Name]]</f>
        <v>Private Key Loss</v>
      </c>
      <c r="C352" s="3" t="str">
        <f>IF(NodesData[[#This Row],[Context Instanciation]]="","",NodesData[[#This Row],[Context Instanciation]])</f>
        <v/>
      </c>
      <c r="D352" s="22" t="str">
        <f>NodesData[[#This Row],[Node ID]]</f>
        <v>E9A7D411-061E-405C-9B92-1C34659C174D</v>
      </c>
      <c r="E352" s="10" t="s">
        <v>1076</v>
      </c>
      <c r="F352" s="25" t="str" cm="1">
        <f t="array" ref="F352">IF(NodesJSON[[#This Row],[Export?]]=0,"",IF(ROW(NodesJSON[[#This Row],[label]])&gt;ROW(NodesJSON[[#Headers],[JSON]])+1,",","") &amp;"{"&amp;twoRangesToJSON(NodesJSON[[#Headers],[label]:[url]],NodesJSON[[#This Row],[label]:[url]])&amp;"}")</f>
        <v>,{"label":"Private Key Loss","group":"","id":"E9A7D411-061E-405C-9B92-1C34659C174D","url":"https://open-measure.atlassian.net/wiki/spaces/DIC/pages/1164902443"}</v>
      </c>
    </row>
    <row r="353" spans="1:6" ht="13.9" thickTop="1" thickBot="1" x14ac:dyDescent="0.4">
      <c r="A353" s="38">
        <f>IF(ISERR(NodesJSON[[#This Row],[label]]),0,1)</f>
        <v>1</v>
      </c>
      <c r="B353" s="3" t="str">
        <f>NodesData[[#This Row],[Common Name]]</f>
        <v>Privilege</v>
      </c>
      <c r="C353" s="3" t="str">
        <f>IF(NodesData[[#This Row],[Context Instanciation]]="","",NodesData[[#This Row],[Context Instanciation]])</f>
        <v/>
      </c>
      <c r="D353" s="22" t="str">
        <f>NodesData[[#This Row],[Node ID]]</f>
        <v>F37272F3-1097-44F4-84DC-2E9728009380</v>
      </c>
      <c r="E353" s="10" t="s">
        <v>1078</v>
      </c>
      <c r="F353" s="25" t="str" cm="1">
        <f t="array" ref="F353">IF(NodesJSON[[#This Row],[Export?]]=0,"",IF(ROW(NodesJSON[[#This Row],[label]])&gt;ROW(NodesJSON[[#Headers],[JSON]])+1,",","") &amp;"{"&amp;twoRangesToJSON(NodesJSON[[#Headers],[label]:[url]],NodesJSON[[#This Row],[label]:[url]])&amp;"}")</f>
        <v>,{"label":"Privilege","group":"","id":"F37272F3-1097-44F4-84DC-2E9728009380","url":"https://open-measure.atlassian.net/wiki/spaces/DIC/pages/1164869655"}</v>
      </c>
    </row>
    <row r="354" spans="1:6" ht="13.9" thickTop="1" thickBot="1" x14ac:dyDescent="0.4">
      <c r="A354" s="38">
        <f>IF(ISERR(NodesJSON[[#This Row],[label]]),0,1)</f>
        <v>1</v>
      </c>
      <c r="B354" s="3" t="str">
        <f>NodesData[[#This Row],[Common Name]]</f>
        <v>Privilege Abuse</v>
      </c>
      <c r="C354" s="3" t="str">
        <f>IF(NodesData[[#This Row],[Context Instanciation]]="","",NodesData[[#This Row],[Context Instanciation]])</f>
        <v/>
      </c>
      <c r="D354" s="22" t="str">
        <f>NodesData[[#This Row],[Node ID]]</f>
        <v>6E3A9921-A43E-4432-A7DD-AFCB062D3882</v>
      </c>
      <c r="E354" s="10" t="s">
        <v>1080</v>
      </c>
      <c r="F354" s="25" t="str" cm="1">
        <f t="array" ref="F354">IF(NodesJSON[[#This Row],[Export?]]=0,"",IF(ROW(NodesJSON[[#This Row],[label]])&gt;ROW(NodesJSON[[#Headers],[JSON]])+1,",","") &amp;"{"&amp;twoRangesToJSON(NodesJSON[[#Headers],[label]:[url]],NodesJSON[[#This Row],[label]:[url]])&amp;"}")</f>
        <v>,{"label":"Privilege Abuse","group":"","id":"6E3A9921-A43E-4432-A7DD-AFCB062D3882","url":"https://open-measure.atlassian.net/wiki/spaces/DIC/pages/1164902498"}</v>
      </c>
    </row>
    <row r="355" spans="1:6" ht="13.9" thickTop="1" thickBot="1" x14ac:dyDescent="0.4">
      <c r="A355" s="38">
        <f>IF(ISERR(NodesJSON[[#This Row],[label]]),0,1)</f>
        <v>1</v>
      </c>
      <c r="B355" s="3" t="str">
        <f>NodesData[[#This Row],[Common Name]]</f>
        <v>Privilege Chaining</v>
      </c>
      <c r="C355" s="3" t="str">
        <f>IF(NodesData[[#This Row],[Context Instanciation]]="","",NodesData[[#This Row],[Context Instanciation]])</f>
        <v/>
      </c>
      <c r="D355" s="22" t="str">
        <f>NodesData[[#This Row],[Node ID]]</f>
        <v>D4580406-13FA-46D3-A4B1-88E271E00836</v>
      </c>
      <c r="E355" s="10" t="s">
        <v>1082</v>
      </c>
      <c r="F355" s="25" t="str" cm="1">
        <f t="array" ref="F355">IF(NodesJSON[[#This Row],[Export?]]=0,"",IF(ROW(NodesJSON[[#This Row],[label]])&gt;ROW(NodesJSON[[#Headers],[JSON]])+1,",","") &amp;"{"&amp;twoRangesToJSON(NodesJSON[[#Headers],[label]:[url]],NodesJSON[[#This Row],[label]:[url]])&amp;"}")</f>
        <v>,{"label":"Privilege Chaining","group":"","id":"D4580406-13FA-46D3-A4B1-88E271E00836","url":"https://open-measure.atlassian.net/wiki/spaces/DIC/pages/1152483772"}</v>
      </c>
    </row>
    <row r="356" spans="1:6" ht="13.9" thickTop="1" thickBot="1" x14ac:dyDescent="0.4">
      <c r="A356" s="38">
        <f>IF(ISERR(NodesJSON[[#This Row],[label]]),0,1)</f>
        <v>1</v>
      </c>
      <c r="B356" s="3" t="str">
        <f>NodesData[[#This Row],[Common Name]]</f>
        <v>Privilege Escalation</v>
      </c>
      <c r="C356" s="3" t="str">
        <f>IF(NodesData[[#This Row],[Context Instanciation]]="","",NodesData[[#This Row],[Context Instanciation]])</f>
        <v/>
      </c>
      <c r="D356" s="22" t="str">
        <f>NodesData[[#This Row],[Node ID]]</f>
        <v>D9117FCF-D4B2-4319-B3F1-8B6281A9A4EB</v>
      </c>
      <c r="E356" s="10" t="s">
        <v>1084</v>
      </c>
      <c r="F356" s="25" t="str" cm="1">
        <f t="array" ref="F356">IF(NodesJSON[[#This Row],[Export?]]=0,"",IF(ROW(NodesJSON[[#This Row],[label]])&gt;ROW(NodesJSON[[#Headers],[JSON]])+1,",","") &amp;"{"&amp;twoRangesToJSON(NodesJSON[[#Headers],[label]:[url]],NodesJSON[[#This Row],[label]:[url]])&amp;"}")</f>
        <v>,{"label":"Privilege Escalation","group":"","id":"D9117FCF-D4B2-4319-B3F1-8B6281A9A4EB","url":"https://open-measure.atlassian.net/wiki/spaces/DIC/pages/1130921985"}</v>
      </c>
    </row>
    <row r="357" spans="1:6" ht="13.9" thickTop="1" thickBot="1" x14ac:dyDescent="0.4">
      <c r="A357" s="38">
        <f>IF(ISERR(NodesJSON[[#This Row],[label]]),0,1)</f>
        <v>1</v>
      </c>
      <c r="B357" s="3" t="str">
        <f>NodesData[[#This Row],[Common Name]]</f>
        <v>Privileged Identity</v>
      </c>
      <c r="C357" s="3" t="str">
        <f>IF(NodesData[[#This Row],[Context Instanciation]]="","",NodesData[[#This Row],[Context Instanciation]])</f>
        <v/>
      </c>
      <c r="D357" s="22" t="str">
        <f>NodesData[[#This Row],[Node ID]]</f>
        <v>55D24624-81CD-4311-872C-ACE6508C4954</v>
      </c>
      <c r="E357" s="10" t="s">
        <v>1088</v>
      </c>
      <c r="F357" s="25" t="str" cm="1">
        <f t="array" ref="F357">IF(NodesJSON[[#This Row],[Export?]]=0,"",IF(ROW(NodesJSON[[#This Row],[label]])&gt;ROW(NodesJSON[[#Headers],[JSON]])+1,",","") &amp;"{"&amp;twoRangesToJSON(NodesJSON[[#Headers],[label]:[url]],NodesJSON[[#This Row],[label]:[url]])&amp;"}")</f>
        <v>,{"label":"Privileged Identity","group":"","id":"55D24624-81CD-4311-872C-ACE6508C4954","url":"https://open-measure.atlassian.net/wiki/spaces/DIC/pages/82903488"}</v>
      </c>
    </row>
    <row r="358" spans="1:6" ht="13.9" thickTop="1" thickBot="1" x14ac:dyDescent="0.4">
      <c r="A358" s="38">
        <f>IF(ISERR(NodesJSON[[#This Row],[label]]),0,1)</f>
        <v>1</v>
      </c>
      <c r="B358" s="3" t="str">
        <f>NodesData[[#This Row],[Common Name]]</f>
        <v>Privileged Insider</v>
      </c>
      <c r="C358" s="3" t="str">
        <f>IF(NodesData[[#This Row],[Context Instanciation]]="","",NodesData[[#This Row],[Context Instanciation]])</f>
        <v/>
      </c>
      <c r="D358" s="22" t="str">
        <f>NodesData[[#This Row],[Node ID]]</f>
        <v>DD56D5A2-3737-41A8-BFC6-C724FAC82A27</v>
      </c>
      <c r="E358" s="10" t="s">
        <v>1089</v>
      </c>
      <c r="F358" s="25" t="str" cm="1">
        <f t="array" ref="F358">IF(NodesJSON[[#This Row],[Export?]]=0,"",IF(ROW(NodesJSON[[#This Row],[label]])&gt;ROW(NodesJSON[[#Headers],[JSON]])+1,",","") &amp;"{"&amp;twoRangesToJSON(NodesJSON[[#Headers],[label]:[url]],NodesJSON[[#This Row],[label]:[url]])&amp;"}")</f>
        <v>,{"label":"Privileged Insider","group":"","id":"DD56D5A2-3737-41A8-BFC6-C724FAC82A27","url":"https://open-measure.atlassian.net/wiki/spaces/DIC/pages/140739068/SAM+Database"}</v>
      </c>
    </row>
    <row r="359" spans="1:6" ht="13.9" thickTop="1" thickBot="1" x14ac:dyDescent="0.4">
      <c r="A359" s="38">
        <f>IF(ISERR(NodesJSON[[#This Row],[label]]),0,1)</f>
        <v>1</v>
      </c>
      <c r="B359" s="3" t="str">
        <f>NodesData[[#This Row],[Common Name]]</f>
        <v>Provisioning</v>
      </c>
      <c r="C359" s="3" t="str">
        <f>IF(NodesData[[#This Row],[Context Instanciation]]="","",NodesData[[#This Row],[Context Instanciation]])</f>
        <v/>
      </c>
      <c r="D359" s="22" t="str">
        <f>NodesData[[#This Row],[Node ID]]</f>
        <v>898672E0-DC3F-4C74-A8FD-75D84D37F4C6</v>
      </c>
      <c r="E359" s="10" t="s">
        <v>1090</v>
      </c>
      <c r="F359" s="25" t="str" cm="1">
        <f t="array" ref="F359">IF(NodesJSON[[#This Row],[Export?]]=0,"",IF(ROW(NodesJSON[[#This Row],[label]])&gt;ROW(NodesJSON[[#Headers],[JSON]])+1,",","") &amp;"{"&amp;twoRangesToJSON(NodesJSON[[#Headers],[label]:[url]],NodesJSON[[#This Row],[label]:[url]])&amp;"}")</f>
        <v>,{"label":"Provisioning","group":"","id":"898672E0-DC3F-4C74-A8FD-75D84D37F4C6","url":"https://open-measure.atlassian.net/wiki/spaces/DIC/pages/1428586729/SAML"}</v>
      </c>
    </row>
    <row r="360" spans="1:6" ht="13.9" thickTop="1" thickBot="1" x14ac:dyDescent="0.4">
      <c r="A360" s="38">
        <f>IF(ISERR(NodesJSON[[#This Row],[label]]),0,1)</f>
        <v>1</v>
      </c>
      <c r="B360" s="3" t="str">
        <f>NodesData[[#This Row],[Common Name]]</f>
        <v>QR Code Authentication</v>
      </c>
      <c r="C360" s="3" t="str">
        <f>IF(NodesData[[#This Row],[Context Instanciation]]="","",NodesData[[#This Row],[Context Instanciation]])</f>
        <v/>
      </c>
      <c r="D360" s="22" t="str">
        <f>NodesData[[#This Row],[Node ID]]</f>
        <v>4002F83D-1FA4-4A51-9069-862DA33587FC</v>
      </c>
      <c r="E360" s="10" t="s">
        <v>1092</v>
      </c>
      <c r="F360" s="25" t="str" cm="1">
        <f t="array" ref="F360">IF(NodesJSON[[#This Row],[Export?]]=0,"",IF(ROW(NodesJSON[[#This Row],[label]])&gt;ROW(NodesJSON[[#Headers],[JSON]])+1,",","") &amp;"{"&amp;twoRangesToJSON(NodesJSON[[#Headers],[label]:[url]],NodesJSON[[#This Row],[label]:[url]])&amp;"}")</f>
        <v>,{"label":"QR Code Authentication","group":"","id":"4002F83D-1FA4-4A51-9069-862DA33587FC","url":"https://open-measure.atlassian.net/wiki/spaces/DIC/pages/206307343"}</v>
      </c>
    </row>
    <row r="361" spans="1:6" ht="13.9" thickTop="1" thickBot="1" x14ac:dyDescent="0.4">
      <c r="A361" s="38">
        <f>IF(ISERR(NodesJSON[[#This Row],[label]]),0,1)</f>
        <v>1</v>
      </c>
      <c r="B361" s="3" t="str">
        <f>NodesData[[#This Row],[Common Name]]</f>
        <v>Qualitative Identity</v>
      </c>
      <c r="C361" s="3" t="str">
        <f>IF(NodesData[[#This Row],[Context Instanciation]]="","",NodesData[[#This Row],[Context Instanciation]])</f>
        <v/>
      </c>
      <c r="D361" s="22" t="str">
        <f>NodesData[[#This Row],[Node ID]]</f>
        <v>0CCE7D8E-36A2-4D6D-A989-9E5AF5BADD5F</v>
      </c>
      <c r="E361" s="10" t="s">
        <v>1094</v>
      </c>
      <c r="F361" s="25" t="str" cm="1">
        <f t="array" ref="F361">IF(NodesJSON[[#This Row],[Export?]]=0,"",IF(ROW(NodesJSON[[#This Row],[label]])&gt;ROW(NodesJSON[[#Headers],[JSON]])+1,",","") &amp;"{"&amp;twoRangesToJSON(NodesJSON[[#Headers],[label]:[url]],NodesJSON[[#This Row],[label]:[url]])&amp;"}")</f>
        <v>,{"label":"Qualitative Identity","group":"","id":"0CCE7D8E-36A2-4D6D-A989-9E5AF5BADD5F","url":"https://open-measure.atlassian.net/wiki/spaces/DIC/pages/206372879"}</v>
      </c>
    </row>
    <row r="362" spans="1:6" ht="13.9" thickTop="1" thickBot="1" x14ac:dyDescent="0.4">
      <c r="A362" s="38">
        <f>IF(ISERR(NodesJSON[[#This Row],[label]]),0,1)</f>
        <v>1</v>
      </c>
      <c r="B362" s="3" t="str">
        <f>NodesData[[#This Row],[Common Name]]</f>
        <v>RA</v>
      </c>
      <c r="C362" s="3" t="str">
        <f>IF(NodesData[[#This Row],[Context Instanciation]]="","",NodesData[[#This Row],[Context Instanciation]])</f>
        <v/>
      </c>
      <c r="D362" s="22" t="str">
        <f>NodesData[[#This Row],[Node ID]]</f>
        <v>F5C6FED5-BE9F-47F6-AC34-4DB56021BBBB</v>
      </c>
      <c r="E362" s="10" t="s">
        <v>1096</v>
      </c>
      <c r="F362" s="25" t="str" cm="1">
        <f t="array" ref="F362">IF(NodesJSON[[#This Row],[Export?]]=0,"",IF(ROW(NodesJSON[[#This Row],[label]])&gt;ROW(NodesJSON[[#Headers],[JSON]])+1,",","") &amp;"{"&amp;twoRangesToJSON(NodesJSON[[#Headers],[label]:[url]],NodesJSON[[#This Row],[label]:[url]])&amp;"}")</f>
        <v>,{"label":"RA","group":"","id":"F5C6FED5-BE9F-47F6-AC34-4DB56021BBBB","url":"https://open-measure.atlassian.net/wiki/spaces/DIC/pages/206307350"}</v>
      </c>
    </row>
    <row r="363" spans="1:6" ht="13.9" thickTop="1" thickBot="1" x14ac:dyDescent="0.4">
      <c r="A363" s="38">
        <f>IF(ISERR(NodesJSON[[#This Row],[label]]),0,1)</f>
        <v>1</v>
      </c>
      <c r="B363" s="3" t="str">
        <f>NodesData[[#This Row],[Common Name]]</f>
        <v>Ratio Scale</v>
      </c>
      <c r="C363" s="3" t="str">
        <f>IF(NodesData[[#This Row],[Context Instanciation]]="","",NodesData[[#This Row],[Context Instanciation]])</f>
        <v/>
      </c>
      <c r="D363" s="22" t="str">
        <f>NodesData[[#This Row],[Node ID]]</f>
        <v>E75230A4-B6CE-49FE-B659-5503945A8D53</v>
      </c>
      <c r="E363" s="10" t="s">
        <v>1098</v>
      </c>
      <c r="F363" s="25" t="str" cm="1">
        <f t="array" ref="F363">IF(NodesJSON[[#This Row],[Export?]]=0,"",IF(ROW(NodesJSON[[#This Row],[label]])&gt;ROW(NodesJSON[[#Headers],[JSON]])+1,",","") &amp;"{"&amp;twoRangesToJSON(NodesJSON[[#Headers],[label]:[url]],NodesJSON[[#This Row],[label]:[url]])&amp;"}")</f>
        <v>,{"label":"Ratio Scale","group":"","id":"E75230A4-B6CE-49FE-B659-5503945A8D53","url":"https://open-measure.atlassian.net/wiki/spaces/DIC/pages/206307373"}</v>
      </c>
    </row>
    <row r="364" spans="1:6" ht="13.9" thickTop="1" thickBot="1" x14ac:dyDescent="0.4">
      <c r="A364" s="38">
        <f>IF(ISERR(NodesJSON[[#This Row],[label]]),0,1)</f>
        <v>1</v>
      </c>
      <c r="B364" s="3" t="str">
        <f>NodesData[[#This Row],[Common Name]]</f>
        <v>RBA</v>
      </c>
      <c r="C364" s="3" t="str">
        <f>IF(NodesData[[#This Row],[Context Instanciation]]="","",NodesData[[#This Row],[Context Instanciation]])</f>
        <v/>
      </c>
      <c r="D364" s="22" t="str">
        <f>NodesData[[#This Row],[Node ID]]</f>
        <v>EA8C2A7C-C847-423D-8650-3FDC4EB22C64</v>
      </c>
      <c r="E364" s="10" t="s">
        <v>1100</v>
      </c>
      <c r="F364" s="25" t="str" cm="1">
        <f t="array" ref="F364">IF(NodesJSON[[#This Row],[Export?]]=0,"",IF(ROW(NodesJSON[[#This Row],[label]])&gt;ROW(NodesJSON[[#Headers],[JSON]])+1,",","") &amp;"{"&amp;twoRangesToJSON(NodesJSON[[#Headers],[label]:[url]],NodesJSON[[#This Row],[label]:[url]])&amp;"}")</f>
        <v>,{"label":"RBA","group":"","id":"EA8C2A7C-C847-423D-8650-3FDC4EB22C64","url":"https://open-measure.atlassian.net/wiki/spaces/DIC/pages/1376383"}</v>
      </c>
    </row>
    <row r="365" spans="1:6" ht="13.9" thickTop="1" thickBot="1" x14ac:dyDescent="0.4">
      <c r="A365" s="38">
        <f>IF(ISERR(NodesJSON[[#This Row],[label]]),0,1)</f>
        <v>1</v>
      </c>
      <c r="B365" s="3" t="str">
        <f>NodesData[[#This Row],[Common Name]]</f>
        <v>Re-authentication</v>
      </c>
      <c r="C365" s="3" t="str">
        <f>IF(NodesData[[#This Row],[Context Instanciation]]="","",NodesData[[#This Row],[Context Instanciation]])</f>
        <v/>
      </c>
      <c r="D365" s="22" t="str">
        <f>NodesData[[#This Row],[Node ID]]</f>
        <v>7527938D-FC2F-45AD-8F13-11F85060A353</v>
      </c>
      <c r="E365" s="10" t="s">
        <v>1102</v>
      </c>
      <c r="F365" s="25" t="str" cm="1">
        <f t="array" ref="F365">IF(NodesJSON[[#This Row],[Export?]]=0,"",IF(ROW(NodesJSON[[#This Row],[label]])&gt;ROW(NodesJSON[[#Headers],[JSON]])+1,",","") &amp;"{"&amp;twoRangesToJSON(NodesJSON[[#Headers],[label]:[url]],NodesJSON[[#This Row],[label]:[url]])&amp;"}")</f>
        <v>,{"label":"Re-authentication","group":"","id":"7527938D-FC2F-45AD-8F13-11F85060A353","url":"https://open-measure.atlassian.net/wiki/spaces/DIC/pages/5931115"}</v>
      </c>
    </row>
    <row r="366" spans="1:6" ht="13.9" thickTop="1" thickBot="1" x14ac:dyDescent="0.4">
      <c r="A366" s="38">
        <f>IF(ISERR(NodesJSON[[#This Row],[label]]),0,1)</f>
        <v>1</v>
      </c>
      <c r="B366" s="3" t="str">
        <f>NodesData[[#This Row],[Common Name]]</f>
        <v>Recertification</v>
      </c>
      <c r="C366" s="3" t="str">
        <f>IF(NodesData[[#This Row],[Context Instanciation]]="","",NodesData[[#This Row],[Context Instanciation]])</f>
        <v/>
      </c>
      <c r="D366" s="22" t="str">
        <f>NodesData[[#This Row],[Node ID]]</f>
        <v>F67B01C6-0B9E-4928-9911-4A352B25765A</v>
      </c>
      <c r="E366" s="10" t="s">
        <v>1104</v>
      </c>
      <c r="F366" s="25" t="str" cm="1">
        <f t="array" ref="F366">IF(NodesJSON[[#This Row],[Export?]]=0,"",IF(ROW(NodesJSON[[#This Row],[label]])&gt;ROW(NodesJSON[[#Headers],[JSON]])+1,",","") &amp;"{"&amp;twoRangesToJSON(NodesJSON[[#Headers],[label]:[url]],NodesJSON[[#This Row],[label]:[url]])&amp;"}")</f>
        <v>,{"label":"Recertification","group":"","id":"F67B01C6-0B9E-4928-9911-4A352B25765A","url":"https://open-measure.atlassian.net/wiki/spaces/DIC/pages/234356901"}</v>
      </c>
    </row>
    <row r="367" spans="1:6" ht="13.9" thickTop="1" thickBot="1" x14ac:dyDescent="0.4">
      <c r="A367" s="38">
        <f>IF(ISERR(NodesJSON[[#This Row],[label]]),0,1)</f>
        <v>1</v>
      </c>
      <c r="B367" s="3" t="str">
        <f>NodesData[[#This Row],[Common Name]]</f>
        <v>Reference Monitor</v>
      </c>
      <c r="C367" s="3" t="str">
        <f>IF(NodesData[[#This Row],[Context Instanciation]]="","",NodesData[[#This Row],[Context Instanciation]])</f>
        <v/>
      </c>
      <c r="D367" s="22" t="str">
        <f>NodesData[[#This Row],[Node ID]]</f>
        <v>0EB5069D-E5A5-402C-8C00-DAF559131A2B</v>
      </c>
      <c r="E367" s="10" t="s">
        <v>1106</v>
      </c>
      <c r="F367" s="25" t="str" cm="1">
        <f t="array" ref="F367">IF(NodesJSON[[#This Row],[Export?]]=0,"",IF(ROW(NodesJSON[[#This Row],[label]])&gt;ROW(NodesJSON[[#Headers],[JSON]])+1,",","") &amp;"{"&amp;twoRangesToJSON(NodesJSON[[#Headers],[label]:[url]],NodesJSON[[#This Row],[label]:[url]])&amp;"}")</f>
        <v>,{"label":"Reference Monitor","group":"","id":"0EB5069D-E5A5-402C-8C00-DAF559131A2B","url":"https://open-measure.atlassian.net/wiki/spaces/DIC/pages/1142390785"}</v>
      </c>
    </row>
    <row r="368" spans="1:6" ht="13.9" thickTop="1" thickBot="1" x14ac:dyDescent="0.4">
      <c r="A368" s="38">
        <f>IF(ISERR(NodesJSON[[#This Row],[label]]),0,1)</f>
        <v>1</v>
      </c>
      <c r="B368" s="3" t="str">
        <f>NodesData[[#This Row],[Common Name]]</f>
        <v>Registration Authority</v>
      </c>
      <c r="C368" s="3" t="str">
        <f>IF(NodesData[[#This Row],[Context Instanciation]]="","",NodesData[[#This Row],[Context Instanciation]])</f>
        <v/>
      </c>
      <c r="D368" s="22" t="str">
        <f>NodesData[[#This Row],[Node ID]]</f>
        <v>58700DBB-B8EB-4C2F-AA3A-AC085083A3C5</v>
      </c>
      <c r="E368" s="10" t="s">
        <v>1108</v>
      </c>
      <c r="F368" s="25" t="str" cm="1">
        <f t="array" ref="F368">IF(NodesJSON[[#This Row],[Export?]]=0,"",IF(ROW(NodesJSON[[#This Row],[label]])&gt;ROW(NodesJSON[[#Headers],[JSON]])+1,",","") &amp;"{"&amp;twoRangesToJSON(NodesJSON[[#Headers],[label]:[url]],NodesJSON[[#This Row],[label]:[url]])&amp;"}")</f>
        <v>,{"label":"Registration Authority","group":"","id":"58700DBB-B8EB-4C2F-AA3A-AC085083A3C5","url":"https://open-measure.atlassian.net/wiki/spaces/DIC/pages/1230831633"}</v>
      </c>
    </row>
    <row r="369" spans="1:6" ht="13.9" thickTop="1" thickBot="1" x14ac:dyDescent="0.4">
      <c r="A369" s="38">
        <f>IF(ISERR(NodesJSON[[#This Row],[label]]),0,1)</f>
        <v>1</v>
      </c>
      <c r="B369" s="3" t="str">
        <f>NodesData[[#This Row],[Common Name]]</f>
        <v>Rejoiner</v>
      </c>
      <c r="C369" s="3" t="str">
        <f>IF(NodesData[[#This Row],[Context Instanciation]]="","",NodesData[[#This Row],[Context Instanciation]])</f>
        <v/>
      </c>
      <c r="D369" s="22" t="str">
        <f>NodesData[[#This Row],[Node ID]]</f>
        <v>98129EFA-C4C8-41C3-8313-39ACE625CA78</v>
      </c>
      <c r="E369" s="10" t="s">
        <v>1110</v>
      </c>
      <c r="F369" s="25" t="str" cm="1">
        <f t="array" ref="F369">IF(NodesJSON[[#This Row],[Export?]]=0,"",IF(ROW(NodesJSON[[#This Row],[label]])&gt;ROW(NodesJSON[[#Headers],[JSON]])+1,",","") &amp;"{"&amp;twoRangesToJSON(NodesJSON[[#Headers],[label]:[url]],NodesJSON[[#This Row],[label]:[url]])&amp;"}")</f>
        <v>,{"label":"Rejoiner","group":"","id":"98129EFA-C4C8-41C3-8313-39ACE625CA78","url":"https://open-measure.atlassian.net/wiki/spaces/DIC/pages/1231159321"}</v>
      </c>
    </row>
    <row r="370" spans="1:6" ht="13.9" thickTop="1" thickBot="1" x14ac:dyDescent="0.4">
      <c r="A370" s="38">
        <f>IF(ISERR(NodesJSON[[#This Row],[label]]),0,1)</f>
        <v>1</v>
      </c>
      <c r="B370" s="3" t="str">
        <f>NodesData[[#This Row],[Common Name]]</f>
        <v>Relying Party</v>
      </c>
      <c r="C370" s="3" t="str">
        <f>IF(NodesData[[#This Row],[Context Instanciation]]="","",NodesData[[#This Row],[Context Instanciation]])</f>
        <v/>
      </c>
      <c r="D370" s="22" t="str">
        <f>NodesData[[#This Row],[Node ID]]</f>
        <v>A3547087-B09A-4E9D-A244-127D48E979E2</v>
      </c>
      <c r="E370" s="10" t="s">
        <v>1112</v>
      </c>
      <c r="F370" s="25" t="str" cm="1">
        <f t="array" ref="F370">IF(NodesJSON[[#This Row],[Export?]]=0,"",IF(ROW(NodesJSON[[#This Row],[label]])&gt;ROW(NodesJSON[[#Headers],[JSON]])+1,",","") &amp;"{"&amp;twoRangesToJSON(NodesJSON[[#Headers],[label]:[url]],NodesJSON[[#This Row],[label]:[url]])&amp;"}")</f>
        <v>,{"label":"Relying Party","group":"","id":"A3547087-B09A-4E9D-A244-127D48E979E2","url":"https://open-measure.atlassian.net/wiki/spaces/DIC/pages/140673497"}</v>
      </c>
    </row>
    <row r="371" spans="1:6" ht="13.9" thickTop="1" thickBot="1" x14ac:dyDescent="0.4">
      <c r="A371" s="38">
        <f>IF(ISERR(NodesJSON[[#This Row],[label]]),0,1)</f>
        <v>1</v>
      </c>
      <c r="B371" s="3" t="str">
        <f>NodesData[[#This Row],[Common Name]]</f>
        <v>Remote Identity Proofing</v>
      </c>
      <c r="C371" s="3" t="str">
        <f>IF(NodesData[[#This Row],[Context Instanciation]]="","",NodesData[[#This Row],[Context Instanciation]])</f>
        <v/>
      </c>
      <c r="D371" s="22" t="str">
        <f>NodesData[[#This Row],[Node ID]]</f>
        <v>E8D0CCFA-DFD5-4797-BEF0-F02047B26EC1</v>
      </c>
      <c r="E371" s="10" t="s">
        <v>1113</v>
      </c>
      <c r="F371" s="25" t="str" cm="1">
        <f t="array" ref="F371">IF(NodesJSON[[#This Row],[Export?]]=0,"",IF(ROW(NodesJSON[[#This Row],[label]])&gt;ROW(NodesJSON[[#Headers],[JSON]])+1,",","") &amp;"{"&amp;twoRangesToJSON(NodesJSON[[#Headers],[label]:[url]],NodesJSON[[#This Row],[label]:[url]])&amp;"}")</f>
        <v>,{"label":"Remote Identity Proofing","group":"","id":"E8D0CCFA-DFD5-4797-BEF0-F02047B26EC1","url":"https://open-measure.atlassian.net/wiki/spaces/DIC/pages/1428619445/Security+Assertion+Markup+Language"}</v>
      </c>
    </row>
    <row r="372" spans="1:6" ht="13.9" thickTop="1" thickBot="1" x14ac:dyDescent="0.4">
      <c r="A372" s="38">
        <f>IF(ISERR(NodesJSON[[#This Row],[label]]),0,1)</f>
        <v>1</v>
      </c>
      <c r="B372" s="3" t="str">
        <f>NodesData[[#This Row],[Common Name]]</f>
        <v>Repeatability</v>
      </c>
      <c r="C372" s="3" t="str">
        <f>IF(NodesData[[#This Row],[Context Instanciation]]="","",NodesData[[#This Row],[Context Instanciation]])</f>
        <v/>
      </c>
      <c r="D372" s="22" t="str">
        <f>NodesData[[#This Row],[Node ID]]</f>
        <v>A853D6FF-E595-40FC-AE44-73E1EAE8E588</v>
      </c>
      <c r="E372" s="10" t="s">
        <v>1115</v>
      </c>
      <c r="F372" s="25" t="str" cm="1">
        <f t="array" ref="F372">IF(NodesJSON[[#This Row],[Export?]]=0,"",IF(ROW(NodesJSON[[#This Row],[label]])&gt;ROW(NodesJSON[[#Headers],[JSON]])+1,",","") &amp;"{"&amp;twoRangesToJSON(NodesJSON[[#Headers],[label]:[url]],NodesJSON[[#This Row],[label]:[url]])&amp;"}")</f>
        <v>,{"label":"Repeatability","group":"","id":"A853D6FF-E595-40FC-AE44-73E1EAE8E588","url":"https://open-measure.atlassian.net/wiki/spaces/DIC/pages/1177747653"}</v>
      </c>
    </row>
    <row r="373" spans="1:6" ht="13.9" thickTop="1" thickBot="1" x14ac:dyDescent="0.4">
      <c r="A373" s="38">
        <f>IF(ISERR(NodesJSON[[#This Row],[label]]),0,1)</f>
        <v>1</v>
      </c>
      <c r="B373" s="3" t="str">
        <f>NodesData[[#This Row],[Common Name]]</f>
        <v>Representation Target</v>
      </c>
      <c r="C373" s="3" t="str">
        <f>IF(NodesData[[#This Row],[Context Instanciation]]="","",NodesData[[#This Row],[Context Instanciation]])</f>
        <v/>
      </c>
      <c r="D373" s="22" t="str">
        <f>NodesData[[#This Row],[Node ID]]</f>
        <v>F6760AC7-5706-4E92-96BC-0BD04BAADA92</v>
      </c>
      <c r="E373" s="10" t="s">
        <v>1117</v>
      </c>
      <c r="F373" s="25" t="str" cm="1">
        <f t="array" ref="F373">IF(NodesJSON[[#This Row],[Export?]]=0,"",IF(ROW(NodesJSON[[#This Row],[label]])&gt;ROW(NodesJSON[[#Headers],[JSON]])+1,",","") &amp;"{"&amp;twoRangesToJSON(NodesJSON[[#Headers],[label]:[url]],NodesJSON[[#This Row],[label]:[url]])&amp;"}")</f>
        <v>,{"label":"Representation Target","group":"","id":"F6760AC7-5706-4E92-96BC-0BD04BAADA92","url":"https://open-measure.atlassian.net/wiki/spaces/DIC/pages/1181843719"}</v>
      </c>
    </row>
    <row r="374" spans="1:6" ht="13.9" thickTop="1" thickBot="1" x14ac:dyDescent="0.4">
      <c r="A374" s="38">
        <f>IF(ISERR(NodesJSON[[#This Row],[label]]),0,1)</f>
        <v>1</v>
      </c>
      <c r="B374" s="3" t="str">
        <f>NodesData[[#This Row],[Common Name]]</f>
        <v>Reproducibility</v>
      </c>
      <c r="C374" s="3" t="str">
        <f>IF(NodesData[[#This Row],[Context Instanciation]]="","",NodesData[[#This Row],[Context Instanciation]])</f>
        <v/>
      </c>
      <c r="D374" s="22" t="str">
        <f>NodesData[[#This Row],[Node ID]]</f>
        <v>8A8B1DA2-731C-4D3E-81A5-75304481E79E</v>
      </c>
      <c r="E374" s="10" t="s">
        <v>1119</v>
      </c>
      <c r="F374" s="25" t="str" cm="1">
        <f t="array" ref="F374">IF(NodesJSON[[#This Row],[Export?]]=0,"",IF(ROW(NodesJSON[[#This Row],[label]])&gt;ROW(NodesJSON[[#Headers],[JSON]])+1,",","") &amp;"{"&amp;twoRangesToJSON(NodesJSON[[#Headers],[label]:[url]],NodesJSON[[#This Row],[label]:[url]])&amp;"}")</f>
        <v>,{"label":"Reproducibility","group":"","id":"8A8B1DA2-731C-4D3E-81A5-75304481E79E","url":"https://open-measure.atlassian.net/wiki/spaces/DIC/pages/1177747630"}</v>
      </c>
    </row>
    <row r="375" spans="1:6" ht="13.9" thickTop="1" thickBot="1" x14ac:dyDescent="0.4">
      <c r="A375" s="38">
        <f>IF(ISERR(NodesJSON[[#This Row],[label]]),0,1)</f>
        <v>1</v>
      </c>
      <c r="B375" s="3" t="str">
        <f>NodesData[[#This Row],[Common Name]]</f>
        <v>Research Account</v>
      </c>
      <c r="C375" s="3" t="str">
        <f>IF(NodesData[[#This Row],[Context Instanciation]]="","",NodesData[[#This Row],[Context Instanciation]])</f>
        <v/>
      </c>
      <c r="D375" s="22" t="str">
        <f>NodesData[[#This Row],[Node ID]]</f>
        <v>01F6A80A-3190-462D-BEEB-328CC562A345</v>
      </c>
      <c r="E375" s="10" t="s">
        <v>1070</v>
      </c>
      <c r="F375" s="25" t="str" cm="1">
        <f t="array" ref="F375">IF(NodesJSON[[#This Row],[Export?]]=0,"",IF(ROW(NodesJSON[[#This Row],[label]])&gt;ROW(NodesJSON[[#Headers],[JSON]])+1,",","") &amp;"{"&amp;twoRangesToJSON(NodesJSON[[#Headers],[label]:[url]],NodesJSON[[#This Row],[label]:[url]])&amp;"}")</f>
        <v>,{"label":"Research Account","group":"","id":"01F6A80A-3190-462D-BEEB-328CC562A345","url":"https://open-measure.atlassian.net/wiki/spaces/DIC/pages/795836567"}</v>
      </c>
    </row>
    <row r="376" spans="1:6" ht="13.9" thickTop="1" thickBot="1" x14ac:dyDescent="0.4">
      <c r="A376" s="38">
        <f>IF(ISERR(NodesJSON[[#This Row],[label]]),0,1)</f>
        <v>1</v>
      </c>
      <c r="B376" s="3" t="str">
        <f>NodesData[[#This Row],[Common Name]]</f>
        <v>Revocation</v>
      </c>
      <c r="C376" s="3" t="str">
        <f>IF(NodesData[[#This Row],[Context Instanciation]]="","",NodesData[[#This Row],[Context Instanciation]])</f>
        <v/>
      </c>
      <c r="D376" s="22" t="str">
        <f>NodesData[[#This Row],[Node ID]]</f>
        <v>005E7CA1-C7A4-4E9B-905F-F4E507649B81</v>
      </c>
      <c r="E376" s="10" t="s">
        <v>1121</v>
      </c>
      <c r="F376" s="25" t="str" cm="1">
        <f t="array" ref="F376">IF(NodesJSON[[#This Row],[Export?]]=0,"",IF(ROW(NodesJSON[[#This Row],[label]])&gt;ROW(NodesJSON[[#Headers],[JSON]])+1,",","") &amp;"{"&amp;twoRangesToJSON(NodesJSON[[#Headers],[label]:[url]],NodesJSON[[#This Row],[label]:[url]])&amp;"}")</f>
        <v>,{"label":"Revocation","group":"","id":"005E7CA1-C7A4-4E9B-905F-F4E507649B81","url":"https://open-measure.atlassian.net/wiki/spaces/DIC/pages/1071185955"}</v>
      </c>
    </row>
    <row r="377" spans="1:6" ht="13.9" thickTop="1" thickBot="1" x14ac:dyDescent="0.4">
      <c r="A377" s="38">
        <f>IF(ISERR(NodesJSON[[#This Row],[label]]),0,1)</f>
        <v>1</v>
      </c>
      <c r="B377" s="3" t="str">
        <f>NodesData[[#This Row],[Common Name]]</f>
        <v>RIDP</v>
      </c>
      <c r="C377" s="3" t="str">
        <f>IF(NodesData[[#This Row],[Context Instanciation]]="","",NodesData[[#This Row],[Context Instanciation]])</f>
        <v/>
      </c>
      <c r="D377" s="22" t="str">
        <f>NodesData[[#This Row],[Node ID]]</f>
        <v>BF54C035-AEA4-4B89-8D09-2697ACBCA058</v>
      </c>
      <c r="E377" s="10" t="s">
        <v>1122</v>
      </c>
      <c r="F377" s="25" t="str" cm="1">
        <f t="array" ref="F377">IF(NodesJSON[[#This Row],[Export?]]=0,"",IF(ROW(NodesJSON[[#This Row],[label]])&gt;ROW(NodesJSON[[#Headers],[JSON]])+1,",","") &amp;"{"&amp;twoRangesToJSON(NodesJSON[[#Headers],[label]:[url]],NodesJSON[[#This Row],[label]:[url]])&amp;"}")</f>
        <v>,{"label":"RIDP","group":"","id":"BF54C035-AEA4-4B89-8D09-2697ACBCA058","url":"https://open-measure.atlassian.net/wiki/spaces/DIC/pages/446955653/Self-Sovereign+Identity"}</v>
      </c>
    </row>
    <row r="378" spans="1:6" ht="13.9" thickTop="1" thickBot="1" x14ac:dyDescent="0.4">
      <c r="A378" s="38">
        <f>IF(ISERR(NodesJSON[[#This Row],[label]]),0,1)</f>
        <v>1</v>
      </c>
      <c r="B378" s="3" t="str">
        <f>NodesData[[#This Row],[Common Name]]</f>
        <v>Risk</v>
      </c>
      <c r="C378" s="3" t="str">
        <f>IF(NodesData[[#This Row],[Context Instanciation]]="","",NodesData[[#This Row],[Context Instanciation]])</f>
        <v>Account Takeover</v>
      </c>
      <c r="D378" s="22" t="str">
        <f>NodesData[[#This Row],[Node ID]]</f>
        <v>3F14E556-DBD3-4DBF-AC75-33A3EE0A9EE2</v>
      </c>
      <c r="E378" s="10" t="s">
        <v>1124</v>
      </c>
      <c r="F378" s="25" t="str" cm="1">
        <f t="array" ref="F378">IF(NodesJSON[[#This Row],[Export?]]=0,"",IF(ROW(NodesJSON[[#This Row],[label]])&gt;ROW(NodesJSON[[#Headers],[JSON]])+1,",","") &amp;"{"&amp;twoRangesToJSON(NodesJSON[[#Headers],[label]:[url]],NodesJSON[[#This Row],[label]:[url]])&amp;"}")</f>
        <v>,{"label":"Risk","group":"Account Takeover","id":"3F14E556-DBD3-4DBF-AC75-33A3EE0A9EE2","url":"https://open-measure.atlassian.net/wiki/spaces/DIC/pages/6029526"}</v>
      </c>
    </row>
    <row r="379" spans="1:6" ht="13.9" thickTop="1" thickBot="1" x14ac:dyDescent="0.4">
      <c r="A379" s="38">
        <f>IF(ISERR(NodesJSON[[#This Row],[label]]),0,1)</f>
        <v>1</v>
      </c>
      <c r="B379" s="3" t="str">
        <f>NodesData[[#This Row],[Common Name]]</f>
        <v>Risk-Based Authentication</v>
      </c>
      <c r="C379" s="3" t="str">
        <f>IF(NodesData[[#This Row],[Context Instanciation]]="","",NodesData[[#This Row],[Context Instanciation]])</f>
        <v/>
      </c>
      <c r="D379" s="22" t="str">
        <f>NodesData[[#This Row],[Node ID]]</f>
        <v>75112034-1A11-4B4D-9E73-87435E2DD783</v>
      </c>
      <c r="E379" s="10" t="s">
        <v>1126</v>
      </c>
      <c r="F379" s="25" t="str" cm="1">
        <f t="array" ref="F379">IF(NodesJSON[[#This Row],[Export?]]=0,"",IF(ROW(NodesJSON[[#This Row],[label]])&gt;ROW(NodesJSON[[#Headers],[JSON]])+1,",","") &amp;"{"&amp;twoRangesToJSON(NodesJSON[[#Headers],[label]:[url]],NodesJSON[[#This Row],[label]:[url]])&amp;"}")</f>
        <v>,{"label":"Risk-Based Authentication","group":"","id":"75112034-1A11-4B4D-9E73-87435E2DD783","url":"https://open-measure.atlassian.net/wiki/spaces/DIC/pages/805142555"}</v>
      </c>
    </row>
    <row r="380" spans="1:6" ht="13.9" thickTop="1" thickBot="1" x14ac:dyDescent="0.4">
      <c r="A380" s="38">
        <f>IF(ISERR(NodesJSON[[#This Row],[label]]),0,1)</f>
        <v>1</v>
      </c>
      <c r="B380" s="3" t="str">
        <f>NodesData[[#This Row],[Common Name]]</f>
        <v>Role</v>
      </c>
      <c r="C380" s="3" t="str">
        <f>IF(NodesData[[#This Row],[Context Instanciation]]="","",NodesData[[#This Row],[Context Instanciation]])</f>
        <v/>
      </c>
      <c r="D380" s="22" t="str">
        <f>NodesData[[#This Row],[Node ID]]</f>
        <v>E2F064FB-1C4A-4BAB-B863-626CFBBCDC18</v>
      </c>
      <c r="E380" s="10" t="s">
        <v>1127</v>
      </c>
      <c r="F380" s="25" t="str" cm="1">
        <f t="array" ref="F380">IF(NodesJSON[[#This Row],[Export?]]=0,"",IF(ROW(NodesJSON[[#This Row],[label]])&gt;ROW(NodesJSON[[#Headers],[JSON]])+1,",","") &amp;"{"&amp;twoRangesToJSON(NodesJSON[[#Headers],[label]:[url]],NodesJSON[[#This Row],[label]:[url]])&amp;"}")</f>
        <v>,{"label":"Role","group":"","id":"E2F064FB-1C4A-4BAB-B863-626CFBBCDC18","url":"https://open-measure.atlassian.net/wiki/spaces/DIC/pages/1313538143/Service-Centric+Identity+Management+System"}</v>
      </c>
    </row>
    <row r="381" spans="1:6" ht="13.9" thickTop="1" thickBot="1" x14ac:dyDescent="0.4">
      <c r="A381" s="38">
        <f>IF(ISERR(NodesJSON[[#This Row],[label]]),0,1)</f>
        <v>1</v>
      </c>
      <c r="B381" s="3" t="str">
        <f>NodesData[[#This Row],[Common Name]]</f>
        <v>Role Bloating</v>
      </c>
      <c r="C381" s="3" t="str">
        <f>IF(NodesData[[#This Row],[Context Instanciation]]="","",NodesData[[#This Row],[Context Instanciation]])</f>
        <v/>
      </c>
      <c r="D381" s="22" t="str">
        <f>NodesData[[#This Row],[Node ID]]</f>
        <v>265234BD-E2FE-43F4-8AD4-0BD0F6C80093</v>
      </c>
      <c r="E381" s="10" t="s">
        <v>1129</v>
      </c>
      <c r="F381" s="25" t="str" cm="1">
        <f t="array" ref="F381">IF(NodesJSON[[#This Row],[Export?]]=0,"",IF(ROW(NodesJSON[[#This Row],[label]])&gt;ROW(NodesJSON[[#Headers],[JSON]])+1,",","") &amp;"{"&amp;twoRangesToJSON(NodesJSON[[#Headers],[label]:[url]],NodesJSON[[#This Row],[label]:[url]])&amp;"}")</f>
        <v>,{"label":"Role Bloating","group":"","id":"265234BD-E2FE-43F4-8AD4-0BD0F6C80093","url":"https://open-measure.atlassian.net/wiki/spaces/DIC/pages/881197061"}</v>
      </c>
    </row>
    <row r="382" spans="1:6" ht="13.9" thickTop="1" thickBot="1" x14ac:dyDescent="0.4">
      <c r="A382" s="38">
        <f>IF(ISERR(NodesJSON[[#This Row],[label]]),0,1)</f>
        <v>1</v>
      </c>
      <c r="B382" s="3" t="str">
        <f>NodesData[[#This Row],[Common Name]]</f>
        <v>Role Capacity</v>
      </c>
      <c r="C382" s="3" t="str">
        <f>IF(NodesData[[#This Row],[Context Instanciation]]="","",NodesData[[#This Row],[Context Instanciation]])</f>
        <v/>
      </c>
      <c r="D382" s="22" t="str">
        <f>NodesData[[#This Row],[Node ID]]</f>
        <v>77A5549B-ADB4-4985-AA98-588593A5BAAC</v>
      </c>
      <c r="E382" s="8"/>
      <c r="F382" s="25" t="str" cm="1">
        <f t="array" ref="F382">IF(NodesJSON[[#This Row],[Export?]]=0,"",IF(ROW(NodesJSON[[#This Row],[label]])&gt;ROW(NodesJSON[[#Headers],[JSON]])+1,",","") &amp;"{"&amp;twoRangesToJSON(NodesJSON[[#Headers],[label]:[url]],NodesJSON[[#This Row],[label]:[url]])&amp;"}")</f>
        <v>,{"label":"Role Capacity","group":"","id":"77A5549B-ADB4-4985-AA98-588593A5BAAC","url":""}</v>
      </c>
    </row>
    <row r="383" spans="1:6" ht="13.9" thickTop="1" thickBot="1" x14ac:dyDescent="0.4">
      <c r="A383" s="38">
        <f>IF(ISERR(NodesJSON[[#This Row],[label]]),0,1)</f>
        <v>1</v>
      </c>
      <c r="B383" s="3" t="str">
        <f>NodesData[[#This Row],[Common Name]]</f>
        <v>Role Cardinality</v>
      </c>
      <c r="C383" s="3" t="str">
        <f>IF(NodesData[[#This Row],[Context Instanciation]]="","",NodesData[[#This Row],[Context Instanciation]])</f>
        <v/>
      </c>
      <c r="D383" s="22" t="str">
        <f>NodesData[[#This Row],[Node ID]]</f>
        <v>7C3A0667-DF23-4810-9BEE-59D939EF88A0</v>
      </c>
      <c r="E383" s="10" t="s">
        <v>1131</v>
      </c>
      <c r="F383" s="25" t="str" cm="1">
        <f t="array" ref="F383">IF(NodesJSON[[#This Row],[Export?]]=0,"",IF(ROW(NodesJSON[[#This Row],[label]])&gt;ROW(NodesJSON[[#Headers],[JSON]])+1,",","") &amp;"{"&amp;twoRangesToJSON(NodesJSON[[#Headers],[label]:[url]],NodesJSON[[#This Row],[label]:[url]])&amp;"}")</f>
        <v>,{"label":"Role Cardinality","group":"","id":"7C3A0667-DF23-4810-9BEE-59D939EF88A0","url":"https://open-measure.atlassian.net/wiki/spaces/DIC/pages/78741548"}</v>
      </c>
    </row>
    <row r="384" spans="1:6" ht="13.9" thickTop="1" thickBot="1" x14ac:dyDescent="0.4">
      <c r="A384" s="38">
        <f>IF(ISERR(NodesJSON[[#This Row],[label]]),0,1)</f>
        <v>1</v>
      </c>
      <c r="B384" s="3" t="str">
        <f>NodesData[[#This Row],[Common Name]]</f>
        <v>Role Cardinality Activation Control</v>
      </c>
      <c r="C384" s="3" t="str">
        <f>IF(NodesData[[#This Row],[Context Instanciation]]="","",NodesData[[#This Row],[Context Instanciation]])</f>
        <v/>
      </c>
      <c r="D384" s="22" t="str">
        <f>NodesData[[#This Row],[Node ID]]</f>
        <v>DCADE1C3-9D23-48D0-99A5-D07D7EE414A0</v>
      </c>
      <c r="E384" s="10" t="s">
        <v>1133</v>
      </c>
      <c r="F384" s="25" t="str" cm="1">
        <f t="array" ref="F384">IF(NodesJSON[[#This Row],[Export?]]=0,"",IF(ROW(NodesJSON[[#This Row],[label]])&gt;ROW(NodesJSON[[#Headers],[JSON]])+1,",","") &amp;"{"&amp;twoRangesToJSON(NodesJSON[[#Headers],[label]:[url]],NodesJSON[[#This Row],[label]:[url]])&amp;"}")</f>
        <v>,{"label":"Role Cardinality Activation Control","group":"","id":"DCADE1C3-9D23-48D0-99A5-D07D7EE414A0","url":"https://open-measure.atlassian.net/wiki/spaces/DIC/pages/75956255"}</v>
      </c>
    </row>
    <row r="385" spans="1:6" ht="13.9" thickTop="1" thickBot="1" x14ac:dyDescent="0.4">
      <c r="A385" s="38">
        <f>IF(ISERR(NodesJSON[[#This Row],[label]]),0,1)</f>
        <v>1</v>
      </c>
      <c r="B385" s="3" t="str">
        <f>NodesData[[#This Row],[Common Name]]</f>
        <v>Role Explosion</v>
      </c>
      <c r="C385" s="3" t="str">
        <f>IF(NodesData[[#This Row],[Context Instanciation]]="","",NodesData[[#This Row],[Context Instanciation]])</f>
        <v/>
      </c>
      <c r="D385" s="22" t="str">
        <f>NodesData[[#This Row],[Node ID]]</f>
        <v>BC3FACA4-0E97-4210-B64C-2ABEEB957725</v>
      </c>
      <c r="E385" s="8"/>
      <c r="F385" s="25" t="str" cm="1">
        <f t="array" ref="F385">IF(NodesJSON[[#This Row],[Export?]]=0,"",IF(ROW(NodesJSON[[#This Row],[label]])&gt;ROW(NodesJSON[[#Headers],[JSON]])+1,",","") &amp;"{"&amp;twoRangesToJSON(NodesJSON[[#Headers],[label]:[url]],NodesJSON[[#This Row],[label]:[url]])&amp;"}")</f>
        <v>,{"label":"Role Explosion","group":"","id":"BC3FACA4-0E97-4210-B64C-2ABEEB957725","url":""}</v>
      </c>
    </row>
    <row r="386" spans="1:6" ht="13.9" thickTop="1" thickBot="1" x14ac:dyDescent="0.4">
      <c r="A386" s="38">
        <f>IF(ISERR(NodesJSON[[#This Row],[label]]),0,1)</f>
        <v>1</v>
      </c>
      <c r="B386" s="3" t="str">
        <f>NodesData[[#This Row],[Common Name]]</f>
        <v>Role Management</v>
      </c>
      <c r="C386" s="3" t="str">
        <f>IF(NodesData[[#This Row],[Context Instanciation]]="","",NodesData[[#This Row],[Context Instanciation]])</f>
        <v/>
      </c>
      <c r="D386" s="22" t="str">
        <f>NodesData[[#This Row],[Node ID]]</f>
        <v>4EF4C70A-5545-4CC8-91D4-926D1DBEBFD3</v>
      </c>
      <c r="E386" s="4"/>
      <c r="F386" s="25" t="str" cm="1">
        <f t="array" ref="F386">IF(NodesJSON[[#This Row],[Export?]]=0,"",IF(ROW(NodesJSON[[#This Row],[label]])&gt;ROW(NodesJSON[[#Headers],[JSON]])+1,",","") &amp;"{"&amp;twoRangesToJSON(NodesJSON[[#Headers],[label]:[url]],NodesJSON[[#This Row],[label]:[url]])&amp;"}")</f>
        <v>,{"label":"Role Management","group":"","id":"4EF4C70A-5545-4CC8-91D4-926D1DBEBFD3","url":""}</v>
      </c>
    </row>
    <row r="387" spans="1:6" ht="13.9" thickTop="1" thickBot="1" x14ac:dyDescent="0.4">
      <c r="A387" s="38">
        <f>IF(ISERR(NodesJSON[[#This Row],[label]]),0,1)</f>
        <v>1</v>
      </c>
      <c r="B387" s="3" t="str">
        <f>NodesData[[#This Row],[Common Name]]</f>
        <v>Role-Based Access Control</v>
      </c>
      <c r="C387" s="3" t="str">
        <f>IF(NodesData[[#This Row],[Context Instanciation]]="","",NodesData[[#This Row],[Context Instanciation]])</f>
        <v/>
      </c>
      <c r="D387" s="22" t="str">
        <f>NodesData[[#This Row],[Node ID]]</f>
        <v>099CE096-FB19-46B5-B267-49F027CAE57E</v>
      </c>
      <c r="E387" s="8"/>
      <c r="F387" s="25" t="str" cm="1">
        <f t="array" ref="F387">IF(NodesJSON[[#This Row],[Export?]]=0,"",IF(ROW(NodesJSON[[#This Row],[label]])&gt;ROW(NodesJSON[[#Headers],[JSON]])+1,",","") &amp;"{"&amp;twoRangesToJSON(NodesJSON[[#Headers],[label]:[url]],NodesJSON[[#This Row],[label]:[url]])&amp;"}")</f>
        <v>,{"label":"Role-Based Access Control","group":"","id":"099CE096-FB19-46B5-B267-49F027CAE57E","url":""}</v>
      </c>
    </row>
    <row r="388" spans="1:6" ht="13.9" thickTop="1" thickBot="1" x14ac:dyDescent="0.4">
      <c r="A388" s="38">
        <f>IF(ISERR(NodesJSON[[#This Row],[label]]),0,1)</f>
        <v>1</v>
      </c>
      <c r="B388" s="3" t="str">
        <f>NodesData[[#This Row],[Common Name]]</f>
        <v>RP</v>
      </c>
      <c r="C388" s="3" t="str">
        <f>IF(NodesData[[#This Row],[Context Instanciation]]="","",NodesData[[#This Row],[Context Instanciation]])</f>
        <v/>
      </c>
      <c r="D388" s="22" t="str">
        <f>NodesData[[#This Row],[Node ID]]</f>
        <v>DBA5D7A7-4AEC-4D4C-B4DF-D241E110D70B</v>
      </c>
      <c r="E388" s="10" t="s">
        <v>1135</v>
      </c>
      <c r="F388" s="25" t="str" cm="1">
        <f t="array" ref="F388">IF(NodesJSON[[#This Row],[Export?]]=0,"",IF(ROW(NodesJSON[[#This Row],[label]])&gt;ROW(NodesJSON[[#Headers],[JSON]])+1,",","") &amp;"{"&amp;twoRangesToJSON(NodesJSON[[#Headers],[label]:[url]],NodesJSON[[#This Row],[label]:[url]])&amp;"}")</f>
        <v>,{"label":"RP","group":"","id":"DBA5D7A7-4AEC-4D4C-B4DF-D241E110D70B","url":"https://open-measure.atlassian.net/wiki/spaces/DIC/pages/1270055026/Social+Honeypot"}</v>
      </c>
    </row>
    <row r="389" spans="1:6" ht="13.9" thickTop="1" thickBot="1" x14ac:dyDescent="0.4">
      <c r="A389" s="38">
        <f>IF(ISERR(NodesJSON[[#This Row],[label]]),0,1)</f>
        <v>1</v>
      </c>
      <c r="B389" s="3" t="str">
        <f>NodesData[[#This Row],[Common Name]]</f>
        <v>SAM Database</v>
      </c>
      <c r="C389" s="3" t="str">
        <f>IF(NodesData[[#This Row],[Context Instanciation]]="","",NodesData[[#This Row],[Context Instanciation]])</f>
        <v/>
      </c>
      <c r="D389" s="22" t="str">
        <f>NodesData[[#This Row],[Node ID]]</f>
        <v>E2E7B142-C29A-4741-B84C-5250026C48FB</v>
      </c>
      <c r="E389" s="10" t="s">
        <v>1137</v>
      </c>
      <c r="F389" s="25" t="str" cm="1">
        <f t="array" ref="F389">IF(NodesJSON[[#This Row],[Export?]]=0,"",IF(ROW(NodesJSON[[#This Row],[label]])&gt;ROW(NodesJSON[[#Headers],[JSON]])+1,",","") &amp;"{"&amp;twoRangesToJSON(NodesJSON[[#Headers],[label]:[url]],NodesJSON[[#This Row],[label]:[url]])&amp;"}")</f>
        <v>,{"label":"SAM Database","group":"","id":"E2E7B142-C29A-4741-B84C-5250026C48FB","url":"https://open-measure.atlassian.net/wiki/spaces/DIC/pages/1071317018"}</v>
      </c>
    </row>
    <row r="390" spans="1:6" ht="13.9" thickTop="1" thickBot="1" x14ac:dyDescent="0.4">
      <c r="A390" s="38">
        <f>IF(ISERR(NodesJSON[[#This Row],[label]]),0,1)</f>
        <v>1</v>
      </c>
      <c r="B390" s="3" t="str">
        <f>NodesData[[#This Row],[Common Name]]</f>
        <v>SAML</v>
      </c>
      <c r="C390" s="3" t="str">
        <f>IF(NodesData[[#This Row],[Context Instanciation]]="","",NodesData[[#This Row],[Context Instanciation]])</f>
        <v/>
      </c>
      <c r="D390" s="22" t="str">
        <f>NodesData[[#This Row],[Node ID]]</f>
        <v>90CB2E29-E738-4CF6-94F1-57D1D56A7DE2</v>
      </c>
      <c r="E390" s="4"/>
      <c r="F390" s="25" t="str" cm="1">
        <f t="array" ref="F390">IF(NodesJSON[[#This Row],[Export?]]=0,"",IF(ROW(NodesJSON[[#This Row],[label]])&gt;ROW(NodesJSON[[#Headers],[JSON]])+1,",","") &amp;"{"&amp;twoRangesToJSON(NodesJSON[[#Headers],[label]:[url]],NodesJSON[[#This Row],[label]:[url]])&amp;"}")</f>
        <v>,{"label":"SAML","group":"","id":"90CB2E29-E738-4CF6-94F1-57D1D56A7DE2","url":""}</v>
      </c>
    </row>
    <row r="391" spans="1:6" ht="13.9" thickTop="1" thickBot="1" x14ac:dyDescent="0.4">
      <c r="A391" s="38">
        <f>IF(ISERR(NodesJSON[[#This Row],[label]]),0,1)</f>
        <v>1</v>
      </c>
      <c r="B391" s="3" t="str">
        <f>NodesData[[#This Row],[Common Name]]</f>
        <v>SCIM</v>
      </c>
      <c r="C391" s="3" t="str">
        <f>IF(NodesData[[#This Row],[Context Instanciation]]="","",NodesData[[#This Row],[Context Instanciation]])</f>
        <v/>
      </c>
      <c r="D391" s="22" t="str">
        <f>NodesData[[#This Row],[Node ID]]</f>
        <v>7382999F-2952-47EA-B504-605581DF965D</v>
      </c>
      <c r="E391" s="10" t="s">
        <v>1139</v>
      </c>
      <c r="F391" s="25" t="str" cm="1">
        <f t="array" ref="F391">IF(NodesJSON[[#This Row],[Export?]]=0,"",IF(ROW(NodesJSON[[#This Row],[label]])&gt;ROW(NodesJSON[[#Headers],[JSON]])+1,",","") &amp;"{"&amp;twoRangesToJSON(NodesJSON[[#Headers],[label]:[url]],NodesJSON[[#This Row],[label]:[url]])&amp;"}")</f>
        <v>,{"label":"SCIM","group":"","id":"7382999F-2952-47EA-B504-605581DF965D","url":"https://open-measure.atlassian.net/wiki/spaces/DIC/pages/234487981"}</v>
      </c>
    </row>
    <row r="392" spans="1:6" ht="13.9" thickTop="1" thickBot="1" x14ac:dyDescent="0.4">
      <c r="A392" s="38">
        <f>IF(ISERR(NodesJSON[[#This Row],[label]]),0,1)</f>
        <v>1</v>
      </c>
      <c r="B392" s="3" t="str">
        <f>NodesData[[#This Row],[Common Name]]</f>
        <v>SCIM 1.0</v>
      </c>
      <c r="C392" s="3" t="str">
        <f>IF(NodesData[[#This Row],[Context Instanciation]]="","",NodesData[[#This Row],[Context Instanciation]])</f>
        <v/>
      </c>
      <c r="D392" s="22" t="str">
        <f>NodesData[[#This Row],[Node ID]]</f>
        <v>9B03D500-207D-4BB2-802C-6F943AC2D63B</v>
      </c>
      <c r="E392" s="10" t="s">
        <v>1141</v>
      </c>
      <c r="F392" s="25" t="str" cm="1">
        <f t="array" ref="F392">IF(NodesJSON[[#This Row],[Export?]]=0,"",IF(ROW(NodesJSON[[#This Row],[label]])&gt;ROW(NodesJSON[[#Headers],[JSON]])+1,",","") &amp;"{"&amp;twoRangesToJSON(NodesJSON[[#Headers],[label]:[url]],NodesJSON[[#This Row],[label]:[url]])&amp;"}")</f>
        <v>,{"label":"SCIM 1.0","group":"","id":"9B03D500-207D-4BB2-802C-6F943AC2D63B","url":"https://open-measure.atlassian.net/wiki/spaces/DIC/pages/1142292486"}</v>
      </c>
    </row>
    <row r="393" spans="1:6" ht="13.9" thickTop="1" thickBot="1" x14ac:dyDescent="0.4">
      <c r="A393" s="38">
        <f>IF(ISERR(NodesJSON[[#This Row],[label]]),0,1)</f>
        <v>1</v>
      </c>
      <c r="B393" s="3" t="str">
        <f>NodesData[[#This Row],[Common Name]]</f>
        <v>SCIM 1.1</v>
      </c>
      <c r="C393" s="3" t="str">
        <f>IF(NodesData[[#This Row],[Context Instanciation]]="","",NodesData[[#This Row],[Context Instanciation]])</f>
        <v/>
      </c>
      <c r="D393" s="22" t="str">
        <f>NodesData[[#This Row],[Node ID]]</f>
        <v>068C287A-2C5D-4786-BCBD-0480BF6454FC</v>
      </c>
      <c r="E393" s="10" t="s">
        <v>1143</v>
      </c>
      <c r="F393" s="25" t="str" cm="1">
        <f t="array" ref="F393">IF(NodesJSON[[#This Row],[Export?]]=0,"",IF(ROW(NodesJSON[[#This Row],[label]])&gt;ROW(NodesJSON[[#Headers],[JSON]])+1,",","") &amp;"{"&amp;twoRangesToJSON(NodesJSON[[#Headers],[label]:[url]],NodesJSON[[#This Row],[label]:[url]])&amp;"}")</f>
        <v>,{"label":"SCIM 1.1","group":"","id":"068C287A-2C5D-4786-BCBD-0480BF6454FC","url":"https://open-measure.atlassian.net/wiki/spaces/DIC/pages/1605648"}</v>
      </c>
    </row>
    <row r="394" spans="1:6" ht="13.9" thickTop="1" thickBot="1" x14ac:dyDescent="0.4">
      <c r="A394" s="38">
        <f>IF(ISERR(NodesJSON[[#This Row],[label]]),0,1)</f>
        <v>1</v>
      </c>
      <c r="B394" s="3" t="str">
        <f>NodesData[[#This Row],[Common Name]]</f>
        <v>SCIM 2.0</v>
      </c>
      <c r="C394" s="3" t="str">
        <f>IF(NodesData[[#This Row],[Context Instanciation]]="","",NodesData[[#This Row],[Context Instanciation]])</f>
        <v/>
      </c>
      <c r="D394" s="22" t="str">
        <f>NodesData[[#This Row],[Node ID]]</f>
        <v>2B4F240D-0052-45E8-9E88-D64C6CE7E498</v>
      </c>
      <c r="E394" s="10" t="s">
        <v>1145</v>
      </c>
      <c r="F394" s="25" t="str" cm="1">
        <f t="array" ref="F394">IF(NodesJSON[[#This Row],[Export?]]=0,"",IF(ROW(NodesJSON[[#This Row],[label]])&gt;ROW(NodesJSON[[#Headers],[JSON]])+1,",","") &amp;"{"&amp;twoRangesToJSON(NodesJSON[[#Headers],[label]:[url]],NodesJSON[[#This Row],[label]:[url]])&amp;"}")</f>
        <v>,{"label":"SCIM 2.0","group":"","id":"2B4F240D-0052-45E8-9E88-D64C6CE7E498","url":"https://open-measure.atlassian.net/wiki/spaces/DIC/pages/1027342899"}</v>
      </c>
    </row>
    <row r="395" spans="1:6" ht="13.9" thickTop="1" thickBot="1" x14ac:dyDescent="0.4">
      <c r="A395" s="38">
        <f>IF(ISERR(NodesJSON[[#This Row],[label]]),0,1)</f>
        <v>1</v>
      </c>
      <c r="B395" s="3" t="str">
        <f>NodesData[[#This Row],[Common Name]]</f>
        <v>Scoping</v>
      </c>
      <c r="C395" s="3" t="str">
        <f>IF(NodesData[[#This Row],[Context Instanciation]]="","",NodesData[[#This Row],[Context Instanciation]])</f>
        <v/>
      </c>
      <c r="D395" s="22" t="str">
        <f>NodesData[[#This Row],[Node ID]]</f>
        <v>9A0E73FF-74F8-416B-9C01-C74D1A9F62AA</v>
      </c>
      <c r="E395" s="10" t="s">
        <v>1146</v>
      </c>
      <c r="F395" s="25" t="str" cm="1">
        <f t="array" ref="F395">IF(NodesJSON[[#This Row],[Export?]]=0,"",IF(ROW(NodesJSON[[#This Row],[label]])&gt;ROW(NodesJSON[[#Headers],[JSON]])+1,",","") &amp;"{"&amp;twoRangesToJSON(NodesJSON[[#Headers],[label]:[url]],NodesJSON[[#This Row],[label]:[url]])&amp;"}")</f>
        <v>,{"label":"Scoping","group":"","id":"9A0E73FF-74F8-416B-9C01-C74D1A9F62AA","url":"https://open-measure.atlassian.net/wiki/spaces/DIC/pages/1311113221/SSI"}</v>
      </c>
    </row>
    <row r="396" spans="1:6" ht="13.9" thickTop="1" thickBot="1" x14ac:dyDescent="0.4">
      <c r="A396" s="38">
        <f>IF(ISERR(NodesJSON[[#This Row],[label]]),0,1)</f>
        <v>1</v>
      </c>
      <c r="B396" s="3" t="str">
        <f>NodesData[[#This Row],[Common Name]]</f>
        <v>SD</v>
      </c>
      <c r="C396" s="3" t="str">
        <f>IF(NodesData[[#This Row],[Context Instanciation]]="","",NodesData[[#This Row],[Context Instanciation]])</f>
        <v/>
      </c>
      <c r="D396" s="22" t="str">
        <f>NodesData[[#This Row],[Node ID]]</f>
        <v>F3DBFDA7-7228-4271-8DFE-C4B3274FC824</v>
      </c>
      <c r="E396" s="10" t="s">
        <v>1148</v>
      </c>
      <c r="F396" s="25" t="str" cm="1">
        <f t="array" ref="F396">IF(NodesJSON[[#This Row],[Export?]]=0,"",IF(ROW(NodesJSON[[#This Row],[label]])&gt;ROW(NodesJSON[[#Headers],[JSON]])+1,",","") &amp;"{"&amp;twoRangesToJSON(NodesJSON[[#Headers],[label]:[url]],NodesJSON[[#This Row],[label]:[url]])&amp;"}")</f>
        <v>,{"label":"SD","group":"","id":"F3DBFDA7-7228-4271-8DFE-C4B3274FC824","url":"https://open-measure.atlassian.net/wiki/spaces/DIC/pages/75956237"}</v>
      </c>
    </row>
    <row r="397" spans="1:6" ht="13.9" thickTop="1" thickBot="1" x14ac:dyDescent="0.4">
      <c r="A397" s="38">
        <f>IF(ISERR(NodesJSON[[#This Row],[label]]),0,1)</f>
        <v>1</v>
      </c>
      <c r="B397" s="3" t="str">
        <f>NodesData[[#This Row],[Common Name]]</f>
        <v>SDP</v>
      </c>
      <c r="C397" s="3" t="str">
        <f>IF(NodesData[[#This Row],[Context Instanciation]]="","",NodesData[[#This Row],[Context Instanciation]])</f>
        <v/>
      </c>
      <c r="D397" s="22" t="str">
        <f>NodesData[[#This Row],[Node ID]]</f>
        <v>870FB524-FE12-4832-B874-1EDAC17758D5</v>
      </c>
      <c r="E397" s="8"/>
      <c r="F397" s="25" t="str" cm="1">
        <f t="array" ref="F397">IF(NodesJSON[[#This Row],[Export?]]=0,"",IF(ROW(NodesJSON[[#This Row],[label]])&gt;ROW(NodesJSON[[#Headers],[JSON]])+1,",","") &amp;"{"&amp;twoRangesToJSON(NodesJSON[[#Headers],[label]:[url]],NodesJSON[[#This Row],[label]:[url]])&amp;"}")</f>
        <v>,{"label":"SDP","group":"","id":"870FB524-FE12-4832-B874-1EDAC17758D5","url":""}</v>
      </c>
    </row>
    <row r="398" spans="1:6" ht="13.9" thickTop="1" thickBot="1" x14ac:dyDescent="0.4">
      <c r="A398" s="38">
        <f>IF(ISERR(NodesJSON[[#This Row],[label]]),0,1)</f>
        <v>1</v>
      </c>
      <c r="B398" s="3" t="str">
        <f>NodesData[[#This Row],[Common Name]]</f>
        <v>Secure Production Identity Framework for Everyone</v>
      </c>
      <c r="C398" s="3" t="str">
        <f>IF(NodesData[[#This Row],[Context Instanciation]]="","",NodesData[[#This Row],[Context Instanciation]])</f>
        <v/>
      </c>
      <c r="D398" s="22" t="str">
        <f>NodesData[[#This Row],[Node ID]]</f>
        <v>EBE8666B-589D-4A28-A63A-EAF39B999CEE</v>
      </c>
      <c r="E398" s="10" t="s">
        <v>1150</v>
      </c>
      <c r="F398" s="25" t="str" cm="1">
        <f t="array" ref="F398">IF(NodesJSON[[#This Row],[Export?]]=0,"",IF(ROW(NodesJSON[[#This Row],[label]])&gt;ROW(NodesJSON[[#Headers],[JSON]])+1,",","") &amp;"{"&amp;twoRangesToJSON(NodesJSON[[#Headers],[label]:[url]],NodesJSON[[#This Row],[label]:[url]])&amp;"}")</f>
        <v>,{"label":"Secure Production Identity Framework for Everyone","group":"","id":"EBE8666B-589D-4A28-A63A-EAF39B999CEE","url":"https://open-measure.atlassian.net/wiki/spaces/DIC/pages/998244645"}</v>
      </c>
    </row>
    <row r="399" spans="1:6" ht="13.9" thickTop="1" thickBot="1" x14ac:dyDescent="0.4">
      <c r="A399" s="38">
        <f>IF(ISERR(NodesJSON[[#This Row],[label]]),0,1)</f>
        <v>1</v>
      </c>
      <c r="B399" s="3" t="str">
        <f>NodesData[[#This Row],[Common Name]]</f>
        <v>Secure System</v>
      </c>
      <c r="C399" s="3" t="str">
        <f>IF(NodesData[[#This Row],[Context Instanciation]]="","",NodesData[[#This Row],[Context Instanciation]])</f>
        <v/>
      </c>
      <c r="D399" s="22" t="str">
        <f>NodesData[[#This Row],[Node ID]]</f>
        <v>F28930DB-08DB-4FDE-BD0C-8BF3A4F7F48F</v>
      </c>
      <c r="E399" s="10" t="s">
        <v>1152</v>
      </c>
      <c r="F399" s="25" t="str" cm="1">
        <f t="array" ref="F399">IF(NodesJSON[[#This Row],[Export?]]=0,"",IF(ROW(NodesJSON[[#This Row],[label]])&gt;ROW(NodesJSON[[#Headers],[JSON]])+1,",","") &amp;"{"&amp;twoRangesToJSON(NodesJSON[[#Headers],[label]:[url]],NodesJSON[[#This Row],[label]:[url]])&amp;"}")</f>
        <v>,{"label":"Secure System","group":"","id":"F28930DB-08DB-4FDE-BD0C-8BF3A4F7F48F","url":"https://open-measure.atlassian.net/wiki/spaces/DIC/pages/1311763"}</v>
      </c>
    </row>
    <row r="400" spans="1:6" ht="13.9" thickTop="1" thickBot="1" x14ac:dyDescent="0.4">
      <c r="A400" s="38">
        <f>IF(ISERR(NodesJSON[[#This Row],[label]]),0,1)</f>
        <v>1</v>
      </c>
      <c r="B400" s="3" t="str">
        <f>NodesData[[#This Row],[Common Name]]</f>
        <v>Security</v>
      </c>
      <c r="C400" s="3" t="str">
        <f>IF(NodesData[[#This Row],[Context Instanciation]]="","",NodesData[[#This Row],[Context Instanciation]])</f>
        <v/>
      </c>
      <c r="D400" s="22" t="str">
        <f>NodesData[[#This Row],[Node ID]]</f>
        <v>5F072FEA-2F7C-4A5F-96C3-CCB07DB37FA7</v>
      </c>
      <c r="E400" s="10" t="s">
        <v>1134</v>
      </c>
      <c r="F400" s="25" t="str" cm="1">
        <f t="array" ref="F400">IF(NodesJSON[[#This Row],[Export?]]=0,"",IF(ROW(NodesJSON[[#This Row],[label]])&gt;ROW(NodesJSON[[#Headers],[JSON]])+1,",","") &amp;"{"&amp;twoRangesToJSON(NodesJSON[[#Headers],[label]:[url]],NodesJSON[[#This Row],[label]:[url]])&amp;"}")</f>
        <v>,{"label":"Security","group":"","id":"5F072FEA-2F7C-4A5F-96C3-CCB07DB37FA7","url":"https://open-measure.atlassian.net/wiki/spaces/DIC/pages/1600684200/Social+Authentication"}</v>
      </c>
    </row>
    <row r="401" spans="1:6" ht="13.9" thickTop="1" thickBot="1" x14ac:dyDescent="0.4">
      <c r="A401" s="38">
        <f>IF(ISERR(NodesJSON[[#This Row],[label]]),0,1)</f>
        <v>1</v>
      </c>
      <c r="B401" s="3" t="str">
        <f>NodesData[[#This Row],[Common Name]]</f>
        <v>Security Accounts Manager</v>
      </c>
      <c r="C401" s="3" t="str">
        <f>IF(NodesData[[#This Row],[Context Instanciation]]="","",NodesData[[#This Row],[Context Instanciation]])</f>
        <v/>
      </c>
      <c r="D401" s="22" t="str">
        <f>NodesData[[#This Row],[Node ID]]</f>
        <v>BCAB190F-35D0-4C68-879E-9C761061AF4C</v>
      </c>
      <c r="E401" s="10" t="s">
        <v>1155</v>
      </c>
      <c r="F401" s="25" t="str" cm="1">
        <f t="array" ref="F401">IF(NodesJSON[[#This Row],[Export?]]=0,"",IF(ROW(NodesJSON[[#This Row],[label]])&gt;ROW(NodesJSON[[#Headers],[JSON]])+1,",","") &amp;"{"&amp;twoRangesToJSON(NodesJSON[[#Headers],[label]:[url]],NodesJSON[[#This Row],[label]:[url]])&amp;"}")</f>
        <v>,{"label":"Security Accounts Manager","group":"","id":"BCAB190F-35D0-4C68-879E-9C761061AF4C","url":"https://open-measure.atlassian.net/wiki/spaces/DIC/pages/1540175"}</v>
      </c>
    </row>
    <row r="402" spans="1:6" ht="13.9" thickTop="1" thickBot="1" x14ac:dyDescent="0.4">
      <c r="A402" s="38">
        <f>IF(ISERR(NodesJSON[[#This Row],[label]]),0,1)</f>
        <v>1</v>
      </c>
      <c r="B402" s="3" t="str">
        <f>NodesData[[#This Row],[Common Name]]</f>
        <v>Security Assertion Markup Language</v>
      </c>
      <c r="C402" s="3" t="str">
        <f>IF(NodesData[[#This Row],[Context Instanciation]]="","",NodesData[[#This Row],[Context Instanciation]])</f>
        <v/>
      </c>
      <c r="D402" s="22" t="str">
        <f>NodesData[[#This Row],[Node ID]]</f>
        <v>044E1028-928F-4A2E-BEFF-BA6CA0550388</v>
      </c>
      <c r="E402" s="10" t="s">
        <v>1157</v>
      </c>
      <c r="F402" s="25" t="str" cm="1">
        <f t="array" ref="F402">IF(NodesJSON[[#This Row],[Export?]]=0,"",IF(ROW(NodesJSON[[#This Row],[label]])&gt;ROW(NodesJSON[[#Headers],[JSON]])+1,",","") &amp;"{"&amp;twoRangesToJSON(NodesJSON[[#Headers],[label]:[url]],NodesJSON[[#This Row],[label]:[url]])&amp;"}")</f>
        <v>,{"label":"Security Assertion Markup Language","group":"","id":"044E1028-928F-4A2E-BEFF-BA6CA0550388","url":"https://open-measure.atlassian.net/wiki/spaces/DIC/pages/1181909085"}</v>
      </c>
    </row>
    <row r="403" spans="1:6" ht="13.9" thickTop="1" thickBot="1" x14ac:dyDescent="0.4">
      <c r="A403" s="38">
        <f>IF(ISERR(NodesJSON[[#This Row],[label]]),0,1)</f>
        <v>1</v>
      </c>
      <c r="B403" s="3" t="str">
        <f>NodesData[[#This Row],[Common Name]]</f>
        <v>Security Clearance Level</v>
      </c>
      <c r="C403" s="3" t="str">
        <f>IF(NodesData[[#This Row],[Context Instanciation]]="","",NodesData[[#This Row],[Context Instanciation]])</f>
        <v/>
      </c>
      <c r="D403" s="22" t="str">
        <f>NodesData[[#This Row],[Node ID]]</f>
        <v>671AAD33-6134-431E-835D-B5AF1E68D11E</v>
      </c>
      <c r="E403" s="10" t="s">
        <v>1153</v>
      </c>
      <c r="F403" s="25" t="str" cm="1">
        <f t="array" ref="F403">IF(NodesJSON[[#This Row],[Export?]]=0,"",IF(ROW(NodesJSON[[#This Row],[label]])&gt;ROW(NodesJSON[[#Headers],[JSON]])+1,",","") &amp;"{"&amp;twoRangesToJSON(NodesJSON[[#Headers],[label]:[url]],NodesJSON[[#This Row],[label]:[url]])&amp;"}")</f>
        <v>,{"label":"Security Clearance Level","group":"","id":"671AAD33-6134-431E-835D-B5AF1E68D11E","url":"https://open-measure.atlassian.net/wiki/spaces/DIC/pages/663257097/Step-Up+Authentication"}</v>
      </c>
    </row>
    <row r="404" spans="1:6" ht="13.9" thickTop="1" thickBot="1" x14ac:dyDescent="0.4">
      <c r="A404" s="38">
        <f>IF(ISERR(NodesJSON[[#This Row],[label]]),0,1)</f>
        <v>1</v>
      </c>
      <c r="B404" s="3" t="str">
        <f>NodesData[[#This Row],[Common Name]]</f>
        <v>Security Compartment</v>
      </c>
      <c r="C404" s="3" t="str">
        <f>IF(NodesData[[#This Row],[Context Instanciation]]="","",NodesData[[#This Row],[Context Instanciation]])</f>
        <v/>
      </c>
      <c r="D404" s="22" t="str">
        <f>NodesData[[#This Row],[Node ID]]</f>
        <v>94503EA9-AD38-4C11-9DE6-444F395D8365</v>
      </c>
      <c r="E404" s="10" t="s">
        <v>1161</v>
      </c>
      <c r="F404" s="25" t="str" cm="1">
        <f t="array" ref="F404">IF(NodesJSON[[#This Row],[Export?]]=0,"",IF(ROW(NodesJSON[[#This Row],[label]])&gt;ROW(NodesJSON[[#Headers],[JSON]])+1,",","") &amp;"{"&amp;twoRangesToJSON(NodesJSON[[#Headers],[label]:[url]],NodesJSON[[#This Row],[label]:[url]])&amp;"}")</f>
        <v>,{"label":"Security Compartment","group":"","id":"94503EA9-AD38-4C11-9DE6-444F395D8365","url":"https://open-measure.atlassian.net/wiki/spaces/DIC/pages/1177747756"}</v>
      </c>
    </row>
    <row r="405" spans="1:6" ht="13.9" thickTop="1" thickBot="1" x14ac:dyDescent="0.4">
      <c r="A405" s="38">
        <f>IF(ISERR(NodesJSON[[#This Row],[label]]),0,1)</f>
        <v>1</v>
      </c>
      <c r="B405" s="3" t="str">
        <f>NodesData[[#This Row],[Common Name]]</f>
        <v>Security Label</v>
      </c>
      <c r="C405" s="3" t="str">
        <f>IF(NodesData[[#This Row],[Context Instanciation]]="","",NodesData[[#This Row],[Context Instanciation]])</f>
        <v/>
      </c>
      <c r="D405" s="22" t="str">
        <f>NodesData[[#This Row],[Node ID]]</f>
        <v>101FEA1C-4D3E-4582-81FA-C05674414CAE</v>
      </c>
      <c r="E405" s="10" t="s">
        <v>1163</v>
      </c>
      <c r="F405" s="25" t="str" cm="1">
        <f t="array" ref="F405">IF(NodesJSON[[#This Row],[Export?]]=0,"",IF(ROW(NodesJSON[[#This Row],[label]])&gt;ROW(NodesJSON[[#Headers],[JSON]])+1,",","") &amp;"{"&amp;twoRangesToJSON(NodesJSON[[#Headers],[label]:[url]],NodesJSON[[#This Row],[label]:[url]])&amp;"}")</f>
        <v>,{"label":"Security Label","group":"","id":"101FEA1C-4D3E-4582-81FA-C05674414CAE","url":"https://open-measure.atlassian.net/wiki/spaces/DIC/pages/67600697"}</v>
      </c>
    </row>
    <row r="406" spans="1:6" ht="13.9" thickTop="1" thickBot="1" x14ac:dyDescent="0.4">
      <c r="A406" s="38">
        <f>IF(ISERR(NodesJSON[[#This Row],[label]]),0,1)</f>
        <v>1</v>
      </c>
      <c r="B406" s="3" t="str">
        <f>NodesData[[#This Row],[Common Name]]</f>
        <v>Security Question Authentication</v>
      </c>
      <c r="C406" s="3" t="str">
        <f>IF(NodesData[[#This Row],[Context Instanciation]]="","",NodesData[[#This Row],[Context Instanciation]])</f>
        <v/>
      </c>
      <c r="D406" s="22" t="str">
        <f>NodesData[[#This Row],[Node ID]]</f>
        <v>70454EDE-B6AA-47CB-9D8D-75E86F2B4D43</v>
      </c>
      <c r="E406" s="10" t="s">
        <v>1165</v>
      </c>
      <c r="F406" s="25" t="str" cm="1">
        <f t="array" ref="F406">IF(NodesJSON[[#This Row],[Export?]]=0,"",IF(ROW(NodesJSON[[#This Row],[label]])&gt;ROW(NodesJSON[[#Headers],[JSON]])+1,",","") &amp;"{"&amp;twoRangesToJSON(NodesJSON[[#Headers],[label]:[url]],NodesJSON[[#This Row],[label]:[url]])&amp;"}")</f>
        <v>,{"label":"Security Question Authentication","group":"","id":"70454EDE-B6AA-47CB-9D8D-75E86F2B4D43","url":"https://open-measure.atlassian.net/wiki/spaces/DIC/pages/2981920"}</v>
      </c>
    </row>
    <row r="407" spans="1:6" ht="13.9" thickTop="1" thickBot="1" x14ac:dyDescent="0.4">
      <c r="A407" s="38">
        <f>IF(ISERR(NodesJSON[[#This Row],[label]]),0,1)</f>
        <v>1</v>
      </c>
      <c r="B407" s="3" t="str">
        <f>NodesData[[#This Row],[Common Name]]</f>
        <v>Segregation of Duties</v>
      </c>
      <c r="C407" s="3" t="str">
        <f>IF(NodesData[[#This Row],[Context Instanciation]]="","",NodesData[[#This Row],[Context Instanciation]])</f>
        <v/>
      </c>
      <c r="D407" s="22" t="str">
        <f>NodesData[[#This Row],[Node ID]]</f>
        <v>48BA8CF1-C437-4C55-A6D7-66A9DCEEACBF</v>
      </c>
      <c r="E407" s="10" t="s">
        <v>1166</v>
      </c>
      <c r="F407" s="25" t="str" cm="1">
        <f t="array" ref="F407">IF(NodesJSON[[#This Row],[Export?]]=0,"",IF(ROW(NodesJSON[[#This Row],[label]])&gt;ROW(NodesJSON[[#Headers],[JSON]])+1,",","") &amp;"{"&amp;twoRangesToJSON(NodesJSON[[#Headers],[label]:[url]],NodesJSON[[#This Row],[label]:[url]])&amp;"}")</f>
        <v>,{"label":"Segregation of Duties","group":"","id":"48BA8CF1-C437-4C55-A6D7-66A9DCEEACBF","url":"https://open-measure.atlassian.net/wiki/spaces/DIC/pages/1477869640/Supply+Chain+Attack"}</v>
      </c>
    </row>
    <row r="408" spans="1:6" ht="13.9" thickTop="1" thickBot="1" x14ac:dyDescent="0.4">
      <c r="A408" s="38">
        <f>IF(ISERR(NodesJSON[[#This Row],[label]]),0,1)</f>
        <v>1</v>
      </c>
      <c r="B408" s="3" t="str">
        <f>NodesData[[#This Row],[Common Name]]</f>
        <v>Self-Sovereign Identity</v>
      </c>
      <c r="C408" s="3" t="str">
        <f>IF(NodesData[[#This Row],[Context Instanciation]]="","",NodesData[[#This Row],[Context Instanciation]])</f>
        <v/>
      </c>
      <c r="D408" s="22" t="str">
        <f>NodesData[[#This Row],[Node ID]]</f>
        <v>E3BCF096-5AFF-4C75-9900-F8ED3FA2B44C</v>
      </c>
      <c r="E408" s="10" t="s">
        <v>1167</v>
      </c>
      <c r="F408" s="25" t="str" cm="1">
        <f t="array" ref="F408">IF(NodesJSON[[#This Row],[Export?]]=0,"",IF(ROW(NodesJSON[[#This Row],[label]])&gt;ROW(NodesJSON[[#Headers],[JSON]])+1,",","") &amp;"{"&amp;twoRangesToJSON(NodesJSON[[#Headers],[label]:[url]],NodesJSON[[#This Row],[label]:[url]])&amp;"}")</f>
        <v>,{"label":"Self-Sovereign Identity","group":"","id":"E3BCF096-5AFF-4C75-9900-F8ED3FA2B44C","url":"https://open-measure.atlassian.net/wiki/spaces/DIC/pages/1254588545/Sybil+Attack"}</v>
      </c>
    </row>
    <row r="409" spans="1:6" ht="13.9" thickTop="1" thickBot="1" x14ac:dyDescent="0.4">
      <c r="A409" s="38">
        <f>IF(ISERR(NodesJSON[[#This Row],[label]]),0,1)</f>
        <v>1</v>
      </c>
      <c r="B409" s="3" t="str">
        <f>NodesData[[#This Row],[Common Name]]</f>
        <v>Semantic Differential</v>
      </c>
      <c r="C409" s="3" t="str">
        <f>IF(NodesData[[#This Row],[Context Instanciation]]="","",NodesData[[#This Row],[Context Instanciation]])</f>
        <v/>
      </c>
      <c r="D409" s="22" t="str">
        <f>NodesData[[#This Row],[Node ID]]</f>
        <v>3E6ECBFC-E5E3-4C64-A06B-DCC89DC4CBDD</v>
      </c>
      <c r="E409" s="10" t="s">
        <v>1169</v>
      </c>
      <c r="F409" s="25" t="str" cm="1">
        <f t="array" ref="F409">IF(NodesJSON[[#This Row],[Export?]]=0,"",IF(ROW(NodesJSON[[#This Row],[label]])&gt;ROW(NodesJSON[[#Headers],[JSON]])+1,",","") &amp;"{"&amp;twoRangesToJSON(NodesJSON[[#Headers],[label]:[url]],NodesJSON[[#This Row],[label]:[url]])&amp;"}")</f>
        <v>,{"label":"Semantic Differential","group":"","id":"3E6ECBFC-E5E3-4C64-A06B-DCC89DC4CBDD","url":"https://open-measure.atlassian.net/wiki/spaces/DIC/pages/794296433"}</v>
      </c>
    </row>
    <row r="410" spans="1:6" ht="13.9" thickTop="1" thickBot="1" x14ac:dyDescent="0.4">
      <c r="A410" s="38">
        <f>IF(ISERR(NodesJSON[[#This Row],[label]]),0,1)</f>
        <v>1</v>
      </c>
      <c r="B410" s="3" t="str">
        <f>NodesData[[#This Row],[Common Name]]</f>
        <v>Service Account</v>
      </c>
      <c r="C410" s="3" t="str">
        <f>IF(NodesData[[#This Row],[Context Instanciation]]="","",NodesData[[#This Row],[Context Instanciation]])</f>
        <v/>
      </c>
      <c r="D410" s="22" t="str">
        <f>NodesData[[#This Row],[Node ID]]</f>
        <v>838B156E-51C7-49AD-86E5-021CE1C76CEF</v>
      </c>
      <c r="E410" s="10" t="s">
        <v>1170</v>
      </c>
      <c r="F410" s="25" t="str" cm="1">
        <f t="array" ref="F410">IF(NodesJSON[[#This Row],[Export?]]=0,"",IF(ROW(NodesJSON[[#This Row],[label]])&gt;ROW(NodesJSON[[#Headers],[JSON]])+1,",","") &amp;"{"&amp;twoRangesToJSON(NodesJSON[[#Headers],[label]:[url]],NodesJSON[[#This Row],[label]:[url]])&amp;"}")</f>
        <v>,{"label":"Service Account","group":"","id":"838B156E-51C7-49AD-86E5-021CE1C76CEF","url":"https://open-measure.atlassian.net/wiki/spaces/DIC/pages/5965562/System"}</v>
      </c>
    </row>
    <row r="411" spans="1:6" ht="13.9" thickTop="1" thickBot="1" x14ac:dyDescent="0.4">
      <c r="A411" s="38">
        <f>IF(ISERR(NodesJSON[[#This Row],[label]]),0,1)</f>
        <v>1</v>
      </c>
      <c r="B411" s="3" t="str">
        <f>NodesData[[#This Row],[Common Name]]</f>
        <v>Service-Centric Identity Management System</v>
      </c>
      <c r="C411" s="3" t="str">
        <f>IF(NodesData[[#This Row],[Context Instanciation]]="","",NodesData[[#This Row],[Context Instanciation]])</f>
        <v/>
      </c>
      <c r="D411" s="22" t="str">
        <f>NodesData[[#This Row],[Node ID]]</f>
        <v>E291FC5B-160B-4794-A024-5F76EC077C72</v>
      </c>
      <c r="E411" s="10" t="s">
        <v>1171</v>
      </c>
      <c r="F411" s="25" t="str" cm="1">
        <f t="array" ref="F411">IF(NodesJSON[[#This Row],[Export?]]=0,"",IF(ROW(NodesJSON[[#This Row],[label]])&gt;ROW(NodesJSON[[#Headers],[JSON]])+1,",","") &amp;"{"&amp;twoRangesToJSON(NodesJSON[[#Headers],[label]:[url]],NodesJSON[[#This Row],[label]:[url]])&amp;"}")</f>
        <v>,{"label":"Service-Centric Identity Management System","group":"","id":"E291FC5B-160B-4794-A024-5F76EC077C72","url":"https://open-measure.atlassian.net/wiki/spaces/DIC/pages/446824644/System+Boundaries"}</v>
      </c>
    </row>
    <row r="412" spans="1:6" ht="13.9" thickTop="1" thickBot="1" x14ac:dyDescent="0.4">
      <c r="A412" s="38">
        <f>IF(ISERR(NodesJSON[[#This Row],[label]]),0,1)</f>
        <v>1</v>
      </c>
      <c r="B412" s="3" t="str">
        <f>NodesData[[#This Row],[Common Name]]</f>
        <v>Session</v>
      </c>
      <c r="C412" s="3" t="str">
        <f>IF(NodesData[[#This Row],[Context Instanciation]]="","",NodesData[[#This Row],[Context Instanciation]])</f>
        <v/>
      </c>
      <c r="D412" s="22" t="str">
        <f>NodesData[[#This Row],[Node ID]]</f>
        <v>B2C6C1CF-A55F-46DF-B4F4-5EA1CE8E7DE2</v>
      </c>
      <c r="E412" s="10" t="s">
        <v>1173</v>
      </c>
      <c r="F412" s="25" t="str" cm="1">
        <f t="array" ref="F412">IF(NodesJSON[[#This Row],[Export?]]=0,"",IF(ROW(NodesJSON[[#This Row],[label]])&gt;ROW(NodesJSON[[#Headers],[JSON]])+1,",","") &amp;"{"&amp;twoRangesToJSON(NodesJSON[[#Headers],[label]:[url]],NodesJSON[[#This Row],[label]:[url]])&amp;"}")</f>
        <v>,{"label":"Session","group":"","id":"B2C6C1CF-A55F-46DF-B4F4-5EA1CE8E7DE2","url":"https://open-measure.atlassian.net/wiki/spaces/DIC/pages/206372869"}</v>
      </c>
    </row>
    <row r="413" spans="1:6" ht="13.9" thickTop="1" thickBot="1" x14ac:dyDescent="0.4">
      <c r="A413" s="38">
        <f>IF(ISERR(NodesJSON[[#This Row],[label]]),0,1)</f>
        <v>1</v>
      </c>
      <c r="B413" s="3" t="str">
        <f>NodesData[[#This Row],[Common Name]]</f>
        <v>Session Authentication</v>
      </c>
      <c r="C413" s="3" t="str">
        <f>IF(NodesData[[#This Row],[Context Instanciation]]="","",NodesData[[#This Row],[Context Instanciation]])</f>
        <v/>
      </c>
      <c r="D413" s="22" t="str">
        <f>NodesData[[#This Row],[Node ID]]</f>
        <v>51BB27DC-A631-4ECF-A85A-AE6DB1ADB8CB</v>
      </c>
      <c r="E413" s="10" t="s">
        <v>1175</v>
      </c>
      <c r="F413" s="25" t="str" cm="1">
        <f t="array" ref="F413">IF(NodesJSON[[#This Row],[Export?]]=0,"",IF(ROW(NodesJSON[[#This Row],[label]])&gt;ROW(NodesJSON[[#Headers],[JSON]])+1,",","") &amp;"{"&amp;twoRangesToJSON(NodesJSON[[#Headers],[label]:[url]],NodesJSON[[#This Row],[label]:[url]])&amp;"}")</f>
        <v>,{"label":"Session Authentication","group":"","id":"51BB27DC-A631-4ECF-A85A-AE6DB1ADB8CB","url":"https://open-measure.atlassian.net/wiki/spaces/DIC/pages/1004961963"}</v>
      </c>
    </row>
    <row r="414" spans="1:6" ht="13.9" thickTop="1" thickBot="1" x14ac:dyDescent="0.4">
      <c r="A414" s="38">
        <f>IF(ISERR(NodesJSON[[#This Row],[label]]),0,1)</f>
        <v>1</v>
      </c>
      <c r="B414" s="3" t="str">
        <f>NodesData[[#This Row],[Common Name]]</f>
        <v>Single Login</v>
      </c>
      <c r="C414" s="3" t="str">
        <f>IF(NodesData[[#This Row],[Context Instanciation]]="","",NodesData[[#This Row],[Context Instanciation]])</f>
        <v/>
      </c>
      <c r="D414" s="22" t="str">
        <f>NodesData[[#This Row],[Node ID]]</f>
        <v>3F0327EF-55D4-4729-8C46-C2BCCAB37CBE</v>
      </c>
      <c r="E414" s="10" t="s">
        <v>1177</v>
      </c>
      <c r="F414" s="25" t="str" cm="1">
        <f t="array" ref="F414">IF(NodesJSON[[#This Row],[Export?]]=0,"",IF(ROW(NodesJSON[[#This Row],[label]])&gt;ROW(NodesJSON[[#Headers],[JSON]])+1,",","") &amp;"{"&amp;twoRangesToJSON(NodesJSON[[#Headers],[label]:[url]],NodesJSON[[#This Row],[label]:[url]])&amp;"}")</f>
        <v>,{"label":"Single Login","group":"","id":"3F0327EF-55D4-4729-8C46-C2BCCAB37CBE","url":"https://open-measure.atlassian.net/wiki/spaces/DIC/pages/1226571890"}</v>
      </c>
    </row>
    <row r="415" spans="1:6" ht="13.9" thickTop="1" thickBot="1" x14ac:dyDescent="0.4">
      <c r="A415" s="38">
        <f>IF(ISERR(NodesJSON[[#This Row],[label]]),0,1)</f>
        <v>1</v>
      </c>
      <c r="B415" s="3" t="str">
        <f>NodesData[[#This Row],[Common Name]]</f>
        <v>Single Sign-On</v>
      </c>
      <c r="C415" s="3" t="str">
        <f>IF(NodesData[[#This Row],[Context Instanciation]]="","",NodesData[[#This Row],[Context Instanciation]])</f>
        <v/>
      </c>
      <c r="D415" s="22" t="str">
        <f>NodesData[[#This Row],[Node ID]]</f>
        <v>BB5A4945-7680-42C0-9AE5-C6DC4F302773</v>
      </c>
      <c r="E415" s="4"/>
      <c r="F415" s="25" t="str" cm="1">
        <f t="array" ref="F415">IF(NodesJSON[[#This Row],[Export?]]=0,"",IF(ROW(NodesJSON[[#This Row],[label]])&gt;ROW(NodesJSON[[#Headers],[JSON]])+1,",","") &amp;"{"&amp;twoRangesToJSON(NodesJSON[[#Headers],[label]:[url]],NodesJSON[[#This Row],[label]:[url]])&amp;"}")</f>
        <v>,{"label":"Single Sign-On","group":"","id":"BB5A4945-7680-42C0-9AE5-C6DC4F302773","url":""}</v>
      </c>
    </row>
    <row r="416" spans="1:6" ht="13.9" thickTop="1" thickBot="1" x14ac:dyDescent="0.4">
      <c r="A416" s="38">
        <f>IF(ISERR(NodesJSON[[#This Row],[label]]),0,1)</f>
        <v>1</v>
      </c>
      <c r="B416" s="3" t="str">
        <f>NodesData[[#This Row],[Common Name]]</f>
        <v>SMS OTP</v>
      </c>
      <c r="C416" s="3" t="str">
        <f>IF(NodesData[[#This Row],[Context Instanciation]]="","",NodesData[[#This Row],[Context Instanciation]])</f>
        <v/>
      </c>
      <c r="D416" s="22" t="str">
        <f>NodesData[[#This Row],[Node ID]]</f>
        <v>6389E521-8890-4428-BC27-16436CA97E0E</v>
      </c>
      <c r="E416" s="10" t="s">
        <v>1179</v>
      </c>
      <c r="F416" s="25" t="str" cm="1">
        <f t="array" ref="F416">IF(NodesJSON[[#This Row],[Export?]]=0,"",IF(ROW(NodesJSON[[#This Row],[label]])&gt;ROW(NodesJSON[[#Headers],[JSON]])+1,",","") &amp;"{"&amp;twoRangesToJSON(NodesJSON[[#Headers],[label]:[url]],NodesJSON[[#This Row],[label]:[url]])&amp;"}")</f>
        <v>,{"label":"SMS OTP","group":"","id":"6389E521-8890-4428-BC27-16436CA97E0E","url":"https://open-measure.atlassian.net/wiki/spaces/DIC/pages/1122631693"}</v>
      </c>
    </row>
    <row r="417" spans="1:6" ht="13.9" thickTop="1" thickBot="1" x14ac:dyDescent="0.4">
      <c r="A417" s="38">
        <f>IF(ISERR(NodesJSON[[#This Row],[label]]),0,1)</f>
        <v>1</v>
      </c>
      <c r="B417" s="3" t="str">
        <f>NodesData[[#This Row],[Common Name]]</f>
        <v>Social Authentication</v>
      </c>
      <c r="C417" s="3" t="str">
        <f>IF(NodesData[[#This Row],[Context Instanciation]]="","",NodesData[[#This Row],[Context Instanciation]])</f>
        <v/>
      </c>
      <c r="D417" s="22" t="str">
        <f>NodesData[[#This Row],[Node ID]]</f>
        <v>D2250C06-07E5-483C-90C7-54D103513A9E</v>
      </c>
      <c r="E417" s="10" t="s">
        <v>1159</v>
      </c>
      <c r="F417" s="25" t="str" cm="1">
        <f t="array" ref="F417">IF(NodesJSON[[#This Row],[Export?]]=0,"",IF(ROW(NodesJSON[[#This Row],[label]])&gt;ROW(NodesJSON[[#Headers],[JSON]])+1,",","") &amp;"{"&amp;twoRangesToJSON(NodesJSON[[#Headers],[label]:[url]],NodesJSON[[#This Row],[label]:[url]])&amp;"}")</f>
        <v>,{"label":"Social Authentication","group":"","id":"D2250C06-07E5-483C-90C7-54D103513A9E","url":"https://open-measure.atlassian.net/wiki/spaces/DIC/pages/81199126"}</v>
      </c>
    </row>
    <row r="418" spans="1:6" ht="13.9" thickTop="1" thickBot="1" x14ac:dyDescent="0.4">
      <c r="A418" s="38">
        <f>IF(ISERR(NodesJSON[[#This Row],[label]]),0,1)</f>
        <v>1</v>
      </c>
      <c r="B418" s="3" t="str">
        <f>NodesData[[#This Row],[Common Name]]</f>
        <v>Social Honeypot</v>
      </c>
      <c r="C418" s="3" t="str">
        <f>IF(NodesData[[#This Row],[Context Instanciation]]="","",NodesData[[#This Row],[Context Instanciation]])</f>
        <v/>
      </c>
      <c r="D418" s="22" t="str">
        <f>NodesData[[#This Row],[Node ID]]</f>
        <v>0D3BEAC3-BF18-4F5C-8CAC-2F389DE47B6A</v>
      </c>
      <c r="E418" s="3"/>
      <c r="F418" s="25" t="str" cm="1">
        <f t="array" ref="F418">IF(NodesJSON[[#This Row],[Export?]]=0,"",IF(ROW(NodesJSON[[#This Row],[label]])&gt;ROW(NodesJSON[[#Headers],[JSON]])+1,",","") &amp;"{"&amp;twoRangesToJSON(NodesJSON[[#Headers],[label]:[url]],NodesJSON[[#This Row],[label]:[url]])&amp;"}")</f>
        <v>,{"label":"Social Honeypot","group":"","id":"0D3BEAC3-BF18-4F5C-8CAC-2F389DE47B6A","url":""}</v>
      </c>
    </row>
    <row r="419" spans="1:6" ht="13.9" thickTop="1" thickBot="1" x14ac:dyDescent="0.4">
      <c r="A419" s="38">
        <f>IF(ISERR(NodesJSON[[#This Row],[label]]),0,1)</f>
        <v>1</v>
      </c>
      <c r="B419" s="3" t="str">
        <f>NodesData[[#This Row],[Common Name]]</f>
        <v>SoD</v>
      </c>
      <c r="C419" s="3" t="str">
        <f>IF(NodesData[[#This Row],[Context Instanciation]]="","",NodesData[[#This Row],[Context Instanciation]])</f>
        <v/>
      </c>
      <c r="D419" s="22" t="str">
        <f>NodesData[[#This Row],[Node ID]]</f>
        <v>D7E94DEF-7DD1-42A8-81B8-9232F54C9E5E</v>
      </c>
      <c r="E419" s="8"/>
      <c r="F419" s="25" t="str" cm="1">
        <f t="array" ref="F419">IF(NodesJSON[[#This Row],[Export?]]=0,"",IF(ROW(NodesJSON[[#This Row],[label]])&gt;ROW(NodesJSON[[#Headers],[JSON]])+1,",","") &amp;"{"&amp;twoRangesToJSON(NodesJSON[[#Headers],[label]:[url]],NodesJSON[[#This Row],[label]:[url]])&amp;"}")</f>
        <v>,{"label":"SoD","group":"","id":"D7E94DEF-7DD1-42A8-81B8-9232F54C9E5E","url":""}</v>
      </c>
    </row>
    <row r="420" spans="1:6" ht="13.9" thickTop="1" thickBot="1" x14ac:dyDescent="0.4">
      <c r="A420" s="38">
        <f>IF(ISERR(NodesJSON[[#This Row],[label]]),0,1)</f>
        <v>1</v>
      </c>
      <c r="B420" s="3" t="str">
        <f>NodesData[[#This Row],[Common Name]]</f>
        <v>Software / App OTP</v>
      </c>
      <c r="C420" s="3" t="str">
        <f>IF(NodesData[[#This Row],[Context Instanciation]]="","",NodesData[[#This Row],[Context Instanciation]])</f>
        <v/>
      </c>
      <c r="D420" s="22" t="str">
        <f>NodesData[[#This Row],[Node ID]]</f>
        <v>7BC6DF8D-2864-4107-9B24-5A62FE4DF44D</v>
      </c>
      <c r="E420" s="8"/>
      <c r="F420" s="25" t="str" cm="1">
        <f t="array" ref="F420">IF(NodesJSON[[#This Row],[Export?]]=0,"",IF(ROW(NodesJSON[[#This Row],[label]])&gt;ROW(NodesJSON[[#Headers],[JSON]])+1,",","") &amp;"{"&amp;twoRangesToJSON(NodesJSON[[#Headers],[label]:[url]],NodesJSON[[#This Row],[label]:[url]])&amp;"}")</f>
        <v>,{"label":"Software / App OTP","group":"","id":"7BC6DF8D-2864-4107-9B24-5A62FE4DF44D","url":""}</v>
      </c>
    </row>
    <row r="421" spans="1:6" ht="13.9" thickTop="1" thickBot="1" x14ac:dyDescent="0.4">
      <c r="A421" s="38">
        <f>IF(ISERR(NodesJSON[[#This Row],[label]]),0,1)</f>
        <v>1</v>
      </c>
      <c r="B421" s="3" t="str">
        <f>NodesData[[#This Row],[Common Name]]</f>
        <v>Software-Defined Perimeter</v>
      </c>
      <c r="C421" s="3" t="str">
        <f>IF(NodesData[[#This Row],[Context Instanciation]]="","",NodesData[[#This Row],[Context Instanciation]])</f>
        <v/>
      </c>
      <c r="D421" s="22" t="str">
        <f>NodesData[[#This Row],[Node ID]]</f>
        <v>0B583F79-2565-428E-970F-92F46196FE8E</v>
      </c>
      <c r="E421" s="10" t="s">
        <v>1181</v>
      </c>
      <c r="F421" s="25" t="str" cm="1">
        <f t="array" ref="F421">IF(NodesJSON[[#This Row],[Export?]]=0,"",IF(ROW(NodesJSON[[#This Row],[label]])&gt;ROW(NodesJSON[[#Headers],[JSON]])+1,",","") &amp;"{"&amp;twoRangesToJSON(NodesJSON[[#Headers],[label]:[url]],NodesJSON[[#This Row],[label]:[url]])&amp;"}")</f>
        <v>,{"label":"Software-Defined Perimeter","group":"","id":"0B583F79-2565-428E-970F-92F46196FE8E","url":"https://open-measure.atlassian.net/wiki/spaces/DIC/pages/1130954862"}</v>
      </c>
    </row>
    <row r="422" spans="1:6" ht="13.9" thickTop="1" thickBot="1" x14ac:dyDescent="0.4">
      <c r="A422" s="38">
        <f>IF(ISERR(NodesJSON[[#This Row],[label]]),0,1)</f>
        <v>1</v>
      </c>
      <c r="B422" s="3" t="str">
        <f>NodesData[[#This Row],[Common Name]]</f>
        <v>SPIFFE</v>
      </c>
      <c r="C422" s="3" t="str">
        <f>IF(NodesData[[#This Row],[Context Instanciation]]="","",NodesData[[#This Row],[Context Instanciation]])</f>
        <v/>
      </c>
      <c r="D422" s="22" t="str">
        <f>NodesData[[#This Row],[Node ID]]</f>
        <v>370838FB-B9DF-45E1-B6B7-BA831894BBC6</v>
      </c>
      <c r="E422" s="10" t="s">
        <v>1182</v>
      </c>
      <c r="F422" s="25" t="str" cm="1">
        <f t="array" ref="F422">IF(NodesJSON[[#This Row],[Export?]]=0,"",IF(ROW(NodesJSON[[#This Row],[label]])&gt;ROW(NodesJSON[[#Headers],[JSON]])+1,",","") &amp;"{"&amp;twoRangesToJSON(NodesJSON[[#Headers],[label]:[url]],NodesJSON[[#This Row],[label]:[url]])&amp;"}")</f>
        <v>,{"label":"SPIFFE","group":"","id":"370838FB-B9DF-45E1-B6B7-BA831894BBC6","url":"https://open-measure.atlassian.net/wiki/spaces/DIC/pages/360467"}</v>
      </c>
    </row>
    <row r="423" spans="1:6" ht="13.9" thickTop="1" thickBot="1" x14ac:dyDescent="0.4">
      <c r="A423" s="38">
        <f>IF(ISERR(NodesJSON[[#This Row],[label]]),0,1)</f>
        <v>1</v>
      </c>
      <c r="B423" s="3" t="str">
        <f>NodesData[[#This Row],[Common Name]]</f>
        <v>SPMS</v>
      </c>
      <c r="C423" s="3" t="str">
        <f>IF(NodesData[[#This Row],[Context Instanciation]]="","",NodesData[[#This Row],[Context Instanciation]])</f>
        <v/>
      </c>
      <c r="D423" s="22" t="str">
        <f>NodesData[[#This Row],[Node ID]]</f>
        <v>CC97123E-E172-4C11-BD8C-915A1733C7CB</v>
      </c>
      <c r="E423" s="10" t="s">
        <v>1183</v>
      </c>
      <c r="F423" s="25" t="str" cm="1">
        <f t="array" ref="F423">IF(NodesJSON[[#This Row],[Export?]]=0,"",IF(ROW(NodesJSON[[#This Row],[label]])&gt;ROW(NodesJSON[[#Headers],[JSON]])+1,",","") &amp;"{"&amp;twoRangesToJSON(NodesJSON[[#Headers],[label]:[url]],NodesJSON[[#This Row],[label]:[url]])&amp;"}")</f>
        <v>,{"label":"SPMS","group":"","id":"CC97123E-E172-4C11-BD8C-915A1733C7CB","url":"https://open-measure.atlassian.net/wiki/spaces/DIC/pages/1237582070/Tranquil"}</v>
      </c>
    </row>
    <row r="424" spans="1:6" ht="13.9" thickTop="1" thickBot="1" x14ac:dyDescent="0.4">
      <c r="A424" s="38">
        <f>IF(ISERR(NodesJSON[[#This Row],[label]]),0,1)</f>
        <v>1</v>
      </c>
      <c r="B424" s="3" t="str">
        <f>NodesData[[#This Row],[Common Name]]</f>
        <v>SSH Key</v>
      </c>
      <c r="C424" s="3" t="str">
        <f>IF(NodesData[[#This Row],[Context Instanciation]]="","",NodesData[[#This Row],[Context Instanciation]])</f>
        <v/>
      </c>
      <c r="D424" s="22" t="str">
        <f>NodesData[[#This Row],[Node ID]]</f>
        <v>1A14EF9A-0173-4449-9CE9-02DF9CA7E55D</v>
      </c>
      <c r="E424" s="10" t="s">
        <v>1185</v>
      </c>
      <c r="F424" s="25" t="str" cm="1">
        <f t="array" ref="F424">IF(NodesJSON[[#This Row],[Export?]]=0,"",IF(ROW(NodesJSON[[#This Row],[label]])&gt;ROW(NodesJSON[[#Headers],[JSON]])+1,",","") &amp;"{"&amp;twoRangesToJSON(NodesJSON[[#Headers],[label]:[url]],NodesJSON[[#This Row],[label]:[url]])&amp;"}")</f>
        <v>,{"label":"SSH Key","group":"","id":"1A14EF9A-0173-4449-9CE9-02DF9CA7E55D","url":"https://open-measure.atlassian.net/wiki/spaces/DIC/pages/1237483759"}</v>
      </c>
    </row>
    <row r="425" spans="1:6" ht="13.9" thickTop="1" thickBot="1" x14ac:dyDescent="0.4">
      <c r="A425" s="38">
        <f>IF(ISERR(NodesJSON[[#This Row],[label]]),0,1)</f>
        <v>1</v>
      </c>
      <c r="B425" s="3" t="str">
        <f>NodesData[[#This Row],[Common Name]]</f>
        <v>SSI</v>
      </c>
      <c r="C425" s="3" t="str">
        <f>IF(NodesData[[#This Row],[Context Instanciation]]="","",NodesData[[#This Row],[Context Instanciation]])</f>
        <v/>
      </c>
      <c r="D425" s="22" t="str">
        <f>NodesData[[#This Row],[Node ID]]</f>
        <v>0F07D97A-4A97-4CBB-B3B6-1376383802B5</v>
      </c>
      <c r="E425" s="10" t="s">
        <v>1187</v>
      </c>
      <c r="F425" s="25" t="str" cm="1">
        <f t="array" ref="F425">IF(NodesJSON[[#This Row],[Export?]]=0,"",IF(ROW(NodesJSON[[#This Row],[label]])&gt;ROW(NodesJSON[[#Headers],[JSON]])+1,",","") &amp;"{"&amp;twoRangesToJSON(NodesJSON[[#Headers],[label]:[url]],NodesJSON[[#This Row],[label]:[url]])&amp;"}")</f>
        <v>,{"label":"SSI","group":"","id":"0F07D97A-4A97-4CBB-B3B6-1376383802B5","url":"https://open-measure.atlassian.net/wiki/spaces/DIC/pages/1181876587"}</v>
      </c>
    </row>
    <row r="426" spans="1:6" ht="13.9" thickTop="1" thickBot="1" x14ac:dyDescent="0.4">
      <c r="A426" s="38">
        <f>IF(ISERR(NodesJSON[[#This Row],[label]]),0,1)</f>
        <v>1</v>
      </c>
      <c r="B426" s="3" t="str">
        <f>NodesData[[#This Row],[Common Name]]</f>
        <v>SSO</v>
      </c>
      <c r="C426" s="3" t="str">
        <f>IF(NodesData[[#This Row],[Context Instanciation]]="","",NodesData[[#This Row],[Context Instanciation]])</f>
        <v/>
      </c>
      <c r="D426" s="22" t="str">
        <f>NodesData[[#This Row],[Node ID]]</f>
        <v>C1C5A5DE-0719-4029-91FB-BA270420DAAE</v>
      </c>
      <c r="E426" s="10" t="s">
        <v>1188</v>
      </c>
      <c r="F426" s="25" t="str" cm="1">
        <f t="array" ref="F426">IF(NodesJSON[[#This Row],[Export?]]=0,"",IF(ROW(NodesJSON[[#This Row],[label]])&gt;ROW(NodesJSON[[#Headers],[JSON]])+1,",","") &amp;"{"&amp;twoRangesToJSON(NodesJSON[[#Headers],[label]:[url]],NodesJSON[[#This Row],[label]:[url]])&amp;"}")</f>
        <v>,{"label":"SSO","group":"","id":"C1C5A5DE-0719-4029-91FB-BA270420DAAE","url":"https://open-measure.atlassian.net/wiki/spaces/DIC/pages/1037926452/Trust"}</v>
      </c>
    </row>
    <row r="427" spans="1:6" ht="13.9" thickTop="1" thickBot="1" x14ac:dyDescent="0.4">
      <c r="A427" s="38">
        <f>IF(ISERR(NodesJSON[[#This Row],[label]]),0,1)</f>
        <v>1</v>
      </c>
      <c r="B427" s="3" t="str">
        <f>NodesData[[#This Row],[Common Name]]</f>
        <v>SSO</v>
      </c>
      <c r="C427" s="3" t="str">
        <f>IF(NodesData[[#This Row],[Context Instanciation]]="","",NodesData[[#This Row],[Context Instanciation]])</f>
        <v/>
      </c>
      <c r="D427" s="22" t="str">
        <f>NodesData[[#This Row],[Node ID]]</f>
        <v>AF5F7710-3E4A-4FE7-B587-D506648F1AD6</v>
      </c>
      <c r="E427" s="10" t="s">
        <v>1190</v>
      </c>
      <c r="F427" s="25" t="str" cm="1">
        <f t="array" ref="F427">IF(NodesJSON[[#This Row],[Export?]]=0,"",IF(ROW(NodesJSON[[#This Row],[label]])&gt;ROW(NodesJSON[[#Headers],[JSON]])+1,",","") &amp;"{"&amp;twoRangesToJSON(NodesJSON[[#Headers],[label]:[url]],NodesJSON[[#This Row],[label]:[url]])&amp;"}")</f>
        <v>,{"label":"SSO","group":"","id":"AF5F7710-3E4A-4FE7-B587-D506648F1AD6","url":"https://open-measure.atlassian.net/wiki/spaces/DIC/pages/1027048185"}</v>
      </c>
    </row>
    <row r="428" spans="1:6" ht="13.9" thickTop="1" thickBot="1" x14ac:dyDescent="0.4">
      <c r="A428" s="38">
        <f>IF(ISERR(NodesJSON[[#This Row],[label]]),0,1)</f>
        <v>1</v>
      </c>
      <c r="B428" s="3" t="str">
        <f>NodesData[[#This Row],[Common Name]]</f>
        <v>Stability of Access Decision Factors</v>
      </c>
      <c r="C428" s="3" t="str">
        <f>IF(NodesData[[#This Row],[Context Instanciation]]="","",NodesData[[#This Row],[Context Instanciation]])</f>
        <v/>
      </c>
      <c r="D428" s="22" t="str">
        <f>NodesData[[#This Row],[Node ID]]</f>
        <v>5EB8E1BB-048F-48F9-9C15-A607EB6CE1D7</v>
      </c>
      <c r="E428" s="10" t="s">
        <v>1192</v>
      </c>
      <c r="F428" s="25" t="str" cm="1">
        <f t="array" ref="F428">IF(NodesJSON[[#This Row],[Export?]]=0,"",IF(ROW(NodesJSON[[#This Row],[label]])&gt;ROW(NodesJSON[[#Headers],[JSON]])+1,",","") &amp;"{"&amp;twoRangesToJSON(NodesJSON[[#Headers],[label]:[url]],NodesJSON[[#This Row],[label]:[url]])&amp;"}")</f>
        <v>,{"label":"Stability of Access Decision Factors","group":"","id":"5EB8E1BB-048F-48F9-9C15-A607EB6CE1D7","url":"https://open-measure.atlassian.net/wiki/spaces/DIC/pages/1027048128"}</v>
      </c>
    </row>
    <row r="429" spans="1:6" ht="13.9" thickTop="1" thickBot="1" x14ac:dyDescent="0.4">
      <c r="A429" s="38">
        <f>IF(ISERR(NodesJSON[[#This Row],[label]]),0,1)</f>
        <v>1</v>
      </c>
      <c r="B429" s="3" t="str">
        <f>NodesData[[#This Row],[Common Name]]</f>
        <v>Stakeholder</v>
      </c>
      <c r="C429" s="3" t="str">
        <f>IF(NodesData[[#This Row],[Context Instanciation]]="","",NodesData[[#This Row],[Context Instanciation]])</f>
        <v/>
      </c>
      <c r="D429" s="22" t="str">
        <f>NodesData[[#This Row],[Node ID]]</f>
        <v>1CD5E796-9541-4E10-B155-5CFFB089C745</v>
      </c>
      <c r="E429" s="10" t="s">
        <v>1194</v>
      </c>
      <c r="F429" s="25" t="str" cm="1">
        <f t="array" ref="F429">IF(NodesJSON[[#This Row],[Export?]]=0,"",IF(ROW(NodesJSON[[#This Row],[label]])&gt;ROW(NodesJSON[[#Headers],[JSON]])+1,",","") &amp;"{"&amp;twoRangesToJSON(NodesJSON[[#Headers],[label]:[url]],NodesJSON[[#This Row],[label]:[url]])&amp;"}")</f>
        <v>,{"label":"Stakeholder","group":"","id":"1CD5E796-9541-4E10-B155-5CFFB089C745","url":"https://open-measure.atlassian.net/wiki/spaces/DIC/pages/1027048209"}</v>
      </c>
    </row>
    <row r="430" spans="1:6" ht="13.9" thickTop="1" thickBot="1" x14ac:dyDescent="0.4">
      <c r="A430" s="38">
        <f>IF(ISERR(NodesJSON[[#This Row],[label]]),0,1)</f>
        <v>1</v>
      </c>
      <c r="B430" s="3" t="str">
        <f>NodesData[[#This Row],[Common Name]]</f>
        <v>Step-Up Authentication</v>
      </c>
      <c r="C430" s="3" t="str">
        <f>IF(NodesData[[#This Row],[Context Instanciation]]="","",NodesData[[#This Row],[Context Instanciation]])</f>
        <v/>
      </c>
      <c r="D430" s="22" t="str">
        <f>NodesData[[#This Row],[Node ID]]</f>
        <v>80B586F1-8F81-45BB-A723-63E0C8D071BE</v>
      </c>
      <c r="E430" s="10" t="s">
        <v>1196</v>
      </c>
      <c r="F430" s="25" t="str" cm="1">
        <f t="array" ref="F430">IF(NodesJSON[[#This Row],[Export?]]=0,"",IF(ROW(NodesJSON[[#This Row],[label]])&gt;ROW(NodesJSON[[#Headers],[JSON]])+1,",","") &amp;"{"&amp;twoRangesToJSON(NodesJSON[[#Headers],[label]:[url]],NodesJSON[[#This Row],[label]:[url]])&amp;"}")</f>
        <v>,{"label":"Step-Up Authentication","group":"","id":"80B586F1-8F81-45BB-A723-63E0C8D071BE","url":"https://open-measure.atlassian.net/wiki/spaces/DIC/pages/1031242345"}</v>
      </c>
    </row>
    <row r="431" spans="1:6" ht="13.9" thickTop="1" thickBot="1" x14ac:dyDescent="0.4">
      <c r="A431" s="38">
        <f>IF(ISERR(NodesJSON[[#This Row],[label]]),0,1)</f>
        <v>1</v>
      </c>
      <c r="B431" s="3" t="str">
        <f>NodesData[[#This Row],[Common Name]]</f>
        <v>Stolen Identity</v>
      </c>
      <c r="C431" s="3" t="str">
        <f>IF(NodesData[[#This Row],[Context Instanciation]]="","",NodesData[[#This Row],[Context Instanciation]])</f>
        <v/>
      </c>
      <c r="D431" s="22" t="str">
        <f>NodesData[[#This Row],[Node ID]]</f>
        <v>7256DFFB-F727-40B1-B8CB-3E8ED7B93E61</v>
      </c>
      <c r="E431" s="10" t="s">
        <v>1197</v>
      </c>
      <c r="F431" s="25" t="str" cm="1">
        <f t="array" ref="F431">IF(NodesJSON[[#This Row],[Export?]]=0,"",IF(ROW(NodesJSON[[#This Row],[label]])&gt;ROW(NodesJSON[[#Headers],[JSON]])+1,",","") &amp;"{"&amp;twoRangesToJSON(NodesJSON[[#Headers],[label]:[url]],NodesJSON[[#This Row],[label]:[url]])&amp;"}")</f>
        <v>,{"label":"Stolen Identity","group":"","id":"7256DFFB-F727-40B1-B8CB-3E8ED7B93E61","url":"https://open-measure.atlassian.net/wiki/spaces/DIC/pages/1417084929/Typing+Biometrics"}</v>
      </c>
    </row>
    <row r="432" spans="1:6" ht="13.9" thickTop="1" thickBot="1" x14ac:dyDescent="0.4">
      <c r="A432" s="38">
        <f>IF(ISERR(NodesJSON[[#This Row],[label]]),0,1)</f>
        <v>1</v>
      </c>
      <c r="B432" s="3" t="str">
        <f>NodesData[[#This Row],[Common Name]]</f>
        <v>Strategic Performance Measurement System</v>
      </c>
      <c r="C432" s="3" t="str">
        <f>IF(NodesData[[#This Row],[Context Instanciation]]="","",NodesData[[#This Row],[Context Instanciation]])</f>
        <v/>
      </c>
      <c r="D432" s="22" t="str">
        <f>NodesData[[#This Row],[Node ID]]</f>
        <v>1DBA9C53-C5E0-43EF-9435-A1EBBD55EBA5</v>
      </c>
      <c r="E432" s="10" t="s">
        <v>1199</v>
      </c>
      <c r="F432" s="25" t="str" cm="1">
        <f t="array" ref="F432">IF(NodesJSON[[#This Row],[Export?]]=0,"",IF(ROW(NodesJSON[[#This Row],[label]])&gt;ROW(NodesJSON[[#Headers],[JSON]])+1,",","") &amp;"{"&amp;twoRangesToJSON(NodesJSON[[#Headers],[label]:[url]],NodesJSON[[#This Row],[label]:[url]])&amp;"}")</f>
        <v>,{"label":"Strategic Performance Measurement System","group":"","id":"1DBA9C53-C5E0-43EF-9435-A1EBBD55EBA5","url":"https://open-measure.atlassian.net/wiki/spaces/DIC/pages/140673267"}</v>
      </c>
    </row>
    <row r="433" spans="1:6" ht="13.9" thickTop="1" thickBot="1" x14ac:dyDescent="0.4">
      <c r="A433" s="38">
        <f>IF(ISERR(NodesJSON[[#This Row],[label]]),0,1)</f>
        <v>1</v>
      </c>
      <c r="B433" s="3" t="str">
        <f>NodesData[[#This Row],[Common Name]]</f>
        <v>Strict Discretionary Access Control</v>
      </c>
      <c r="C433" s="3" t="str">
        <f>IF(NodesData[[#This Row],[Context Instanciation]]="","",NodesData[[#This Row],[Context Instanciation]])</f>
        <v/>
      </c>
      <c r="D433" s="22" t="str">
        <f>NodesData[[#This Row],[Node ID]]</f>
        <v>DAF6C5BF-9FE6-47FD-A91F-C9262E4BC678</v>
      </c>
      <c r="E433" s="10" t="s">
        <v>1200</v>
      </c>
      <c r="F433" s="25" t="str" cm="1">
        <f t="array" ref="F433">IF(NodesJSON[[#This Row],[Export?]]=0,"",IF(ROW(NodesJSON[[#This Row],[label]])&gt;ROW(NodesJSON[[#Headers],[JSON]])+1,",","") &amp;"{"&amp;twoRangesToJSON(NodesJSON[[#Headers],[label]:[url]],NodesJSON[[#This Row],[label]:[url]])&amp;"}")</f>
        <v>,{"label":"Strict Discretionary Access Control","group":"","id":"DAF6C5BF-9FE6-47FD-A91F-C9262E4BC678","url":"https://open-measure.atlassian.net/wiki/spaces/DIC/pages/1027080193/Unanticipated+User"}</v>
      </c>
    </row>
    <row r="434" spans="1:6" ht="13.9" thickTop="1" thickBot="1" x14ac:dyDescent="0.4">
      <c r="A434" s="38">
        <f>IF(ISERR(NodesJSON[[#This Row],[label]]),0,1)</f>
        <v>1</v>
      </c>
      <c r="B434" s="3" t="str">
        <f>NodesData[[#This Row],[Common Name]]</f>
        <v>Strong Authentication</v>
      </c>
      <c r="C434" s="3" t="str">
        <f>IF(NodesData[[#This Row],[Context Instanciation]]="","",NodesData[[#This Row],[Context Instanciation]])</f>
        <v/>
      </c>
      <c r="D434" s="22" t="str">
        <f>NodesData[[#This Row],[Node ID]]</f>
        <v>37D903A7-19DA-409D-B894-0E24792752A0</v>
      </c>
      <c r="E434" s="4"/>
      <c r="F434" s="25" t="str" cm="1">
        <f t="array" ref="F434">IF(NodesJSON[[#This Row],[Export?]]=0,"",IF(ROW(NodesJSON[[#This Row],[label]])&gt;ROW(NodesJSON[[#Headers],[JSON]])+1,",","") &amp;"{"&amp;twoRangesToJSON(NodesJSON[[#Headers],[label]:[url]],NodesJSON[[#This Row],[label]:[url]])&amp;"}")</f>
        <v>,{"label":"Strong Authentication","group":"","id":"37D903A7-19DA-409D-B894-0E24792752A0","url":""}</v>
      </c>
    </row>
    <row r="435" spans="1:6" ht="13.9" thickTop="1" thickBot="1" x14ac:dyDescent="0.4">
      <c r="A435" s="38">
        <f>IF(ISERR(NodesJSON[[#This Row],[label]]),0,1)</f>
        <v>1</v>
      </c>
      <c r="B435" s="3" t="str">
        <f>NodesData[[#This Row],[Common Name]]</f>
        <v>Strong Tranquility Property</v>
      </c>
      <c r="C435" s="3" t="str">
        <f>IF(NodesData[[#This Row],[Context Instanciation]]="","",NodesData[[#This Row],[Context Instanciation]])</f>
        <v/>
      </c>
      <c r="D435" s="22" t="str">
        <f>NodesData[[#This Row],[Node ID]]</f>
        <v>E4118F66-497F-47CF-95B5-FDAE112F40D2</v>
      </c>
      <c r="E435" s="10" t="s">
        <v>1202</v>
      </c>
      <c r="F435" s="25" t="str" cm="1">
        <f t="array" ref="F435">IF(NodesJSON[[#This Row],[Export?]]=0,"",IF(ROW(NodesJSON[[#This Row],[label]])&gt;ROW(NodesJSON[[#Headers],[JSON]])+1,",","") &amp;"{"&amp;twoRangesToJSON(NodesJSON[[#Headers],[label]:[url]],NodesJSON[[#This Row],[label]:[url]])&amp;"}")</f>
        <v>,{"label":"Strong Tranquility Property","group":"","id":"E4118F66-497F-47CF-95B5-FDAE112F40D2","url":"https://open-measure.atlassian.net/wiki/spaces/DIC/pages/446955662/Unique+ID+Number"}</v>
      </c>
    </row>
    <row r="436" spans="1:6" ht="13.9" thickTop="1" thickBot="1" x14ac:dyDescent="0.4">
      <c r="A436" s="38">
        <f>IF(ISERR(NodesJSON[[#This Row],[label]]),0,1)</f>
        <v>1</v>
      </c>
      <c r="B436" s="3" t="str">
        <f>NodesData[[#This Row],[Common Name]]</f>
        <v>Subject</v>
      </c>
      <c r="C436" s="3" t="str">
        <f>IF(NodesData[[#This Row],[Context Instanciation]]="","",NodesData[[#This Row],[Context Instanciation]])</f>
        <v/>
      </c>
      <c r="D436" s="22" t="str">
        <f>NodesData[[#This Row],[Node ID]]</f>
        <v>3A8CFE3B-4E00-45F4-896B-2AE136802599</v>
      </c>
      <c r="E436" s="10" t="s">
        <v>1203</v>
      </c>
      <c r="F436" s="25" t="str" cm="1">
        <f t="array" ref="F436">IF(NodesJSON[[#This Row],[Export?]]=0,"",IF(ROW(NodesJSON[[#This Row],[label]])&gt;ROW(NodesJSON[[#Headers],[JSON]])+1,",","") &amp;"{"&amp;twoRangesToJSON(NodesJSON[[#Headers],[label]:[url]],NodesJSON[[#This Row],[label]:[url]])&amp;"}")</f>
        <v>,{"label":"Subject","group":"","id":"3A8CFE3B-4E00-45F4-896B-2AE136802599","url":"https://open-measure.atlassian.net/wiki/spaces/DIC/pages/1477902414/Unprivileged+Insider"}</v>
      </c>
    </row>
    <row r="437" spans="1:6" ht="13.9" thickTop="1" thickBot="1" x14ac:dyDescent="0.4">
      <c r="A437" s="38">
        <f>IF(ISERR(NodesJSON[[#This Row],[label]]),0,1)</f>
        <v>1</v>
      </c>
      <c r="B437" s="3" t="str">
        <f>NodesData[[#This Row],[Common Name]]</f>
        <v>Subjective Indicator</v>
      </c>
      <c r="C437" s="3" t="str">
        <f>IF(NodesData[[#This Row],[Context Instanciation]]="","",NodesData[[#This Row],[Context Instanciation]])</f>
        <v/>
      </c>
      <c r="D437" s="22" t="str">
        <f>NodesData[[#This Row],[Node ID]]</f>
        <v>423F3767-6032-47A8-9358-8200FEF6FC44</v>
      </c>
      <c r="E437" s="10" t="s">
        <v>1204</v>
      </c>
      <c r="F437" s="25" t="str" cm="1">
        <f t="array" ref="F437">IF(NodesJSON[[#This Row],[Export?]]=0,"",IF(ROW(NodesJSON[[#This Row],[label]])&gt;ROW(NodesJSON[[#Headers],[JSON]])+1,",","") &amp;"{"&amp;twoRangesToJSON(NodesJSON[[#Headers],[label]:[url]],NodesJSON[[#This Row],[label]:[url]])&amp;"}")</f>
        <v>,{"label":"Subjective Indicator","group":"","id":"423F3767-6032-47A8-9358-8200FEF6FC44","url":"https://open-measure.atlassian.net/wiki/spaces/DIC/pages/82839586/User"}</v>
      </c>
    </row>
    <row r="438" spans="1:6" ht="13.9" thickTop="1" thickBot="1" x14ac:dyDescent="0.4">
      <c r="A438" s="38">
        <f>IF(ISERR(NodesJSON[[#This Row],[label]]),0,1)</f>
        <v>1</v>
      </c>
      <c r="B438" s="3" t="str">
        <f>NodesData[[#This Row],[Common Name]]</f>
        <v>Supply Chain Attack</v>
      </c>
      <c r="C438" s="3" t="str">
        <f>IF(NodesData[[#This Row],[Context Instanciation]]="","",NodesData[[#This Row],[Context Instanciation]])</f>
        <v/>
      </c>
      <c r="D438" s="22" t="str">
        <f>NodesData[[#This Row],[Node ID]]</f>
        <v>6F38FD61-A99B-462F-B1D6-F0B58A8AF7B1</v>
      </c>
      <c r="E438" s="10" t="s">
        <v>1205</v>
      </c>
      <c r="F438" s="25" t="str" cm="1">
        <f t="array" ref="F438">IF(NodesJSON[[#This Row],[Export?]]=0,"",IF(ROW(NodesJSON[[#This Row],[label]])&gt;ROW(NodesJSON[[#Headers],[JSON]])+1,",","") &amp;"{"&amp;twoRangesToJSON(NodesJSON[[#Headers],[label]:[url]],NodesJSON[[#This Row],[label]:[url]])&amp;"}")</f>
        <v>,{"label":"Supply Chain Attack","group":"","id":"6F38FD61-A99B-462F-B1D6-F0B58A8AF7B1","url":"https://open-measure.atlassian.net/wiki/spaces/DIC/pages/1428587273/User+Account"}</v>
      </c>
    </row>
    <row r="439" spans="1:6" ht="13.9" thickTop="1" thickBot="1" x14ac:dyDescent="0.4">
      <c r="A439" s="38">
        <f>IF(ISERR(NodesJSON[[#This Row],[label]]),0,1)</f>
        <v>1</v>
      </c>
      <c r="B439" s="3" t="str">
        <f>NodesData[[#This Row],[Common Name]]</f>
        <v>Sybil Attack</v>
      </c>
      <c r="C439" s="3" t="str">
        <f>IF(NodesData[[#This Row],[Context Instanciation]]="","",NodesData[[#This Row],[Context Instanciation]])</f>
        <v/>
      </c>
      <c r="D439" s="22" t="str">
        <f>NodesData[[#This Row],[Node ID]]</f>
        <v>76C9697B-0C4E-4D81-8131-2D47E500D64E</v>
      </c>
      <c r="E439" s="10" t="s">
        <v>1211</v>
      </c>
      <c r="F439" s="25" t="str" cm="1">
        <f t="array" ref="F439">IF(NodesJSON[[#This Row],[Export?]]=0,"",IF(ROW(NodesJSON[[#This Row],[label]])&gt;ROW(NodesJSON[[#Headers],[JSON]])+1,",","") &amp;"{"&amp;twoRangesToJSON(NodesJSON[[#Headers],[label]:[url]],NodesJSON[[#This Row],[label]:[url]])&amp;"}")</f>
        <v>,{"label":"Sybil Attack","group":"","id":"76C9697B-0C4E-4D81-8131-2D47E500D64E","url":"https://open-measure.atlassian.net/wiki/spaces/DIC/pages/1323597878/User-Centric+Identity+Management+System"}</v>
      </c>
    </row>
    <row r="440" spans="1:6" ht="13.9" thickTop="1" thickBot="1" x14ac:dyDescent="0.4">
      <c r="A440" s="38">
        <f>IF(ISERR(NodesJSON[[#This Row],[label]]),0,1)</f>
        <v>1</v>
      </c>
      <c r="B440" s="3" t="str">
        <f>NodesData[[#This Row],[Common Name]]</f>
        <v>Synthetic Identity Fraud</v>
      </c>
      <c r="C440" s="3" t="str">
        <f>IF(NodesData[[#This Row],[Context Instanciation]]="","",NodesData[[#This Row],[Context Instanciation]])</f>
        <v/>
      </c>
      <c r="D440" s="22" t="str">
        <f>NodesData[[#This Row],[Node ID]]</f>
        <v>43ED5B5E-F12A-4C25-91D6-B8C7A48F69DE</v>
      </c>
      <c r="E440" s="10" t="s">
        <v>1206</v>
      </c>
      <c r="F440" s="25" t="str" cm="1">
        <f t="array" ref="F440">IF(NodesJSON[[#This Row],[Export?]]=0,"",IF(ROW(NodesJSON[[#This Row],[label]])&gt;ROW(NodesJSON[[#Headers],[JSON]])+1,",","") &amp;"{"&amp;twoRangesToJSON(NodesJSON[[#Headers],[label]:[url]],NodesJSON[[#This Row],[label]:[url]])&amp;"}")</f>
        <v>,{"label":"Synthetic Identity Fraud","group":"","id":"43ED5B5E-F12A-4C25-91D6-B8C7A48F69DE","url":"https://open-measure.atlassian.net/wiki/spaces/DIC/pages/1146847344/User+De-Provisioning"}</v>
      </c>
    </row>
    <row r="441" spans="1:6" ht="13.9" thickTop="1" thickBot="1" x14ac:dyDescent="0.4">
      <c r="A441" s="38">
        <f>IF(ISERR(NodesJSON[[#This Row],[label]]),0,1)</f>
        <v>1</v>
      </c>
      <c r="B441" s="3" t="str">
        <f>NodesData[[#This Row],[Common Name]]</f>
        <v>System</v>
      </c>
      <c r="C441" s="3" t="str">
        <f>IF(NodesData[[#This Row],[Context Instanciation]]="","",NodesData[[#This Row],[Context Instanciation]])</f>
        <v/>
      </c>
      <c r="D441" s="22" t="str">
        <f>NodesData[[#This Row],[Node ID]]</f>
        <v>B92DFC96-CD21-42CC-B21F-7D5820C1DCC7</v>
      </c>
      <c r="E441" s="10" t="s">
        <v>1208</v>
      </c>
      <c r="F441" s="25" t="str" cm="1">
        <f t="array" ref="F441">IF(NodesJSON[[#This Row],[Export?]]=0,"",IF(ROW(NodesJSON[[#This Row],[label]])&gt;ROW(NodesJSON[[#Headers],[JSON]])+1,",","") &amp;"{"&amp;twoRangesToJSON(NodesJSON[[#Headers],[label]:[url]],NodesJSON[[#This Row],[label]:[url]])&amp;"}")</f>
        <v>,{"label":"System","group":"","id":"B92DFC96-CD21-42CC-B21F-7D5820C1DCC7","url":"https://open-measure.atlassian.net/wiki/spaces/DIC/pages/1121878257"}</v>
      </c>
    </row>
    <row r="442" spans="1:6" ht="13.9" thickTop="1" thickBot="1" x14ac:dyDescent="0.4">
      <c r="A442" s="38">
        <f>IF(ISERR(NodesJSON[[#This Row],[label]]),0,1)</f>
        <v>1</v>
      </c>
      <c r="B442" s="3" t="str">
        <f>NodesData[[#This Row],[Common Name]]</f>
        <v>System Boundaries</v>
      </c>
      <c r="C442" s="3" t="str">
        <f>IF(NodesData[[#This Row],[Context Instanciation]]="","",NodesData[[#This Row],[Context Instanciation]])</f>
        <v/>
      </c>
      <c r="D442" s="22" t="str">
        <f>NodesData[[#This Row],[Node ID]]</f>
        <v>B8070D41-760A-4A0C-8C9B-DAF481931D80</v>
      </c>
      <c r="E442" s="10" t="s">
        <v>1209</v>
      </c>
      <c r="F442" s="25" t="str" cm="1">
        <f t="array" ref="F442">IF(NodesJSON[[#This Row],[Export?]]=0,"",IF(ROW(NodesJSON[[#This Row],[label]])&gt;ROW(NodesJSON[[#Headers],[JSON]])+1,",","") &amp;"{"&amp;twoRangesToJSON(NodesJSON[[#Headers],[label]:[url]],NodesJSON[[#This Row],[label]:[url]])&amp;"}")</f>
        <v>,{"label":"System Boundaries","group":"","id":"B8070D41-760A-4A0C-8C9B-DAF481931D80","url":"https://open-measure.atlassian.net/wiki/spaces/DIC/pages/1428652448/User+ID"}</v>
      </c>
    </row>
    <row r="443" spans="1:6" ht="13.9" thickTop="1" thickBot="1" x14ac:dyDescent="0.4">
      <c r="A443" s="38">
        <f>IF(ISERR(NodesJSON[[#This Row],[label]]),0,1)</f>
        <v>1</v>
      </c>
      <c r="B443" s="3" t="str">
        <f>NodesData[[#This Row],[Common Name]]</f>
        <v>System for Cross-domain Identity Management</v>
      </c>
      <c r="C443" s="3" t="str">
        <f>IF(NodesData[[#This Row],[Context Instanciation]]="","",NodesData[[#This Row],[Context Instanciation]])</f>
        <v/>
      </c>
      <c r="D443" s="22" t="str">
        <f>NodesData[[#This Row],[Node ID]]</f>
        <v>96D5B885-035E-4160-BD34-8372037552E5</v>
      </c>
      <c r="E443" s="10" t="s">
        <v>1210</v>
      </c>
      <c r="F443" s="25" t="str" cm="1">
        <f t="array" ref="F443">IF(NodesJSON[[#This Row],[Export?]]=0,"",IF(ROW(NodesJSON[[#This Row],[label]])&gt;ROW(NodesJSON[[#Headers],[JSON]])+1,",","") &amp;"{"&amp;twoRangesToJSON(NodesJSON[[#Headers],[label]:[url]],NodesJSON[[#This Row],[label]:[url]])&amp;"}")</f>
        <v>,{"label":"System for Cross-domain Identity Management","group":"","id":"96D5B885-035E-4160-BD34-8372037552E5","url":"https://open-measure.atlassian.net/wiki/spaces/DIC/pages/1147043973/User+Provisioning"}</v>
      </c>
    </row>
    <row r="444" spans="1:6" ht="13.9" thickTop="1" thickBot="1" x14ac:dyDescent="0.4">
      <c r="A444" s="38">
        <f>IF(ISERR(NodesJSON[[#This Row],[label]]),0,1)</f>
        <v>1</v>
      </c>
      <c r="B444" s="3" t="str">
        <f>NodesData[[#This Row],[Common Name]]</f>
        <v>System Owner</v>
      </c>
      <c r="C444" s="3" t="str">
        <f>IF(NodesData[[#This Row],[Context Instanciation]]="","",NodesData[[#This Row],[Context Instanciation]])</f>
        <v/>
      </c>
      <c r="D444" s="22" t="str">
        <f>NodesData[[#This Row],[Node ID]]</f>
        <v>214BBC4F-915B-4EBE-90D4-A7E8FC779451</v>
      </c>
      <c r="E444" s="10" t="s">
        <v>1212</v>
      </c>
      <c r="F444" s="25" t="str" cm="1">
        <f t="array" ref="F444">IF(NodesJSON[[#This Row],[Export?]]=0,"",IF(ROW(NodesJSON[[#This Row],[label]])&gt;ROW(NodesJSON[[#Headers],[JSON]])+1,",","") &amp;"{"&amp;twoRangesToJSON(NodesJSON[[#Headers],[label]:[url]],NodesJSON[[#This Row],[label]:[url]])&amp;"}")</f>
        <v>,{"label":"System Owner","group":"","id":"214BBC4F-915B-4EBE-90D4-A7E8FC779451","url":"https://open-measure.atlassian.net/wiki/spaces/DIC/pages/1428652183/Username"}</v>
      </c>
    </row>
    <row r="445" spans="1:6" ht="13.9" thickTop="1" thickBot="1" x14ac:dyDescent="0.4">
      <c r="A445" s="38">
        <f>IF(ISERR(NodesJSON[[#This Row],[label]]),0,1)</f>
        <v>1</v>
      </c>
      <c r="B445" s="3" t="str">
        <f>NodesData[[#This Row],[Common Name]]</f>
        <v>System Z</v>
      </c>
      <c r="C445" s="3" t="str">
        <f>IF(NodesData[[#This Row],[Context Instanciation]]="","",NodesData[[#This Row],[Context Instanciation]])</f>
        <v/>
      </c>
      <c r="D445" s="22" t="str">
        <f>NodesData[[#This Row],[Node ID]]</f>
        <v>67FF4999-75C9-47BD-8A13-29EBC3373BF8</v>
      </c>
      <c r="E445" s="10" t="s">
        <v>1213</v>
      </c>
      <c r="F445" s="25" t="str" cm="1">
        <f t="array" ref="F445">IF(NodesJSON[[#This Row],[Export?]]=0,"",IF(ROW(NodesJSON[[#This Row],[label]])&gt;ROW(NodesJSON[[#Headers],[JSON]])+1,",","") &amp;"{"&amp;twoRangesToJSON(NodesJSON[[#Headers],[label]:[url]],NodesJSON[[#This Row],[label]:[url]])&amp;"}")</f>
        <v>,{"label":"System Z","group":"","id":"67FF4999-75C9-47BD-8A13-29EBC3373BF8","url":"https://open-measure.atlassian.net/wiki/spaces/DIC/pages/1311146179/Verifiable+Claim"}</v>
      </c>
    </row>
    <row r="446" spans="1:6" ht="13.9" thickTop="1" thickBot="1" x14ac:dyDescent="0.4">
      <c r="A446" s="38">
        <f>IF(ISERR(NodesJSON[[#This Row],[label]]),0,1)</f>
        <v>1</v>
      </c>
      <c r="B446" s="3" t="str">
        <f>NodesData[[#This Row],[Common Name]]</f>
        <v>TAN List OTP</v>
      </c>
      <c r="C446" s="3" t="str">
        <f>IF(NodesData[[#This Row],[Context Instanciation]]="","",NodesData[[#This Row],[Context Instanciation]])</f>
        <v/>
      </c>
      <c r="D446" s="22" t="str">
        <f>NodesData[[#This Row],[Node ID]]</f>
        <v>F71AD266-B5F6-4514-88E6-F25BCE3D8F4C</v>
      </c>
      <c r="E446" s="10" t="s">
        <v>1214</v>
      </c>
      <c r="F446" s="25" t="str" cm="1">
        <f t="array" ref="F446">IF(NodesJSON[[#This Row],[Export?]]=0,"",IF(ROW(NodesJSON[[#This Row],[label]])&gt;ROW(NodesJSON[[#Headers],[JSON]])+1,",","") &amp;"{"&amp;twoRangesToJSON(NodesJSON[[#Headers],[label]:[url]],NodesJSON[[#This Row],[label]:[url]])&amp;"}")</f>
        <v>,{"label":"TAN List OTP","group":"","id":"F71AD266-B5F6-4514-88E6-F25BCE3D8F4C","url":"https://open-measure.atlassian.net/wiki/spaces/DIC/pages/446988510/Verification"}</v>
      </c>
    </row>
    <row r="447" spans="1:6" ht="13.9" thickTop="1" thickBot="1" x14ac:dyDescent="0.4">
      <c r="A447" s="38">
        <f>IF(ISERR(NodesJSON[[#This Row],[label]]),0,1)</f>
        <v>1</v>
      </c>
      <c r="B447" s="3" t="str">
        <f>NodesData[[#This Row],[Common Name]]</f>
        <v>Task-Based Access Control</v>
      </c>
      <c r="C447" s="3" t="str">
        <f>IF(NodesData[[#This Row],[Context Instanciation]]="","",NodesData[[#This Row],[Context Instanciation]])</f>
        <v/>
      </c>
      <c r="D447" s="22" t="str">
        <f>NodesData[[#This Row],[Node ID]]</f>
        <v>8B5EA442-514F-4D05-89D6-33F5CE7456C2</v>
      </c>
      <c r="E447" s="10" t="s">
        <v>1216</v>
      </c>
      <c r="F447" s="25" t="str" cm="1">
        <f t="array" ref="F447">IF(NodesJSON[[#This Row],[Export?]]=0,"",IF(ROW(NodesJSON[[#This Row],[label]])&gt;ROW(NodesJSON[[#Headers],[JSON]])+1,",","") &amp;"{"&amp;twoRangesToJSON(NodesJSON[[#Headers],[label]:[url]],NodesJSON[[#This Row],[label]:[url]])&amp;"}")</f>
        <v>,{"label":"Task-Based Access Control","group":"","id":"8B5EA442-514F-4D05-89D6-33F5CE7456C2","url":"https://open-measure.atlassian.net/wiki/spaces/DIC/pages/834044330"}</v>
      </c>
    </row>
    <row r="448" spans="1:6" ht="13.9" thickTop="1" thickBot="1" x14ac:dyDescent="0.4">
      <c r="A448" s="38">
        <f>IF(ISERR(NodesJSON[[#This Row],[label]]),0,1)</f>
        <v>1</v>
      </c>
      <c r="B448" s="3" t="str">
        <f>NodesData[[#This Row],[Common Name]]</f>
        <v>Test Account</v>
      </c>
      <c r="C448" s="3" t="str">
        <f>IF(NodesData[[#This Row],[Context Instanciation]]="","",NodesData[[#This Row],[Context Instanciation]])</f>
        <v/>
      </c>
      <c r="D448" s="22" t="str">
        <f>NodesData[[#This Row],[Node ID]]</f>
        <v>25323A0E-B290-48AC-A147-597F1DF61288</v>
      </c>
      <c r="E448" s="10" t="s">
        <v>1218</v>
      </c>
      <c r="F448" s="25" t="str" cm="1">
        <f t="array" ref="F448">IF(NodesJSON[[#This Row],[Export?]]=0,"",IF(ROW(NodesJSON[[#This Row],[label]])&gt;ROW(NodesJSON[[#Headers],[JSON]])+1,",","") &amp;"{"&amp;twoRangesToJSON(NodesJSON[[#Headers],[label]:[url]],NodesJSON[[#This Row],[label]:[url]])&amp;"}")</f>
        <v>,{"label":"Test Account","group":"","id":"25323A0E-B290-48AC-A147-597F1DF61288","url":"https://open-measure.atlassian.net/wiki/spaces/DIC/pages/236748839"}</v>
      </c>
    </row>
    <row r="449" spans="1:6" ht="13.9" thickTop="1" thickBot="1" x14ac:dyDescent="0.4">
      <c r="A449" s="38">
        <f>IF(ISERR(NodesJSON[[#This Row],[label]]),0,1)</f>
        <v>1</v>
      </c>
      <c r="B449" s="3" t="str">
        <f>NodesData[[#This Row],[Common Name]]</f>
        <v>Text Password Authentication</v>
      </c>
      <c r="C449" s="3" t="str">
        <f>IF(NodesData[[#This Row],[Context Instanciation]]="","",NodesData[[#This Row],[Context Instanciation]])</f>
        <v/>
      </c>
      <c r="D449" s="22" t="str">
        <f>NodesData[[#This Row],[Node ID]]</f>
        <v>0AF1286B-2D4B-4F5F-981B-1B36B2526DC2</v>
      </c>
      <c r="E449" s="10" t="s">
        <v>1220</v>
      </c>
      <c r="F449" s="25" t="str" cm="1">
        <f t="array" ref="F449">IF(NodesJSON[[#This Row],[Export?]]=0,"",IF(ROW(NodesJSON[[#This Row],[label]])&gt;ROW(NodesJSON[[#Headers],[JSON]])+1,",","") &amp;"{"&amp;twoRangesToJSON(NodesJSON[[#Headers],[label]:[url]],NodesJSON[[#This Row],[label]:[url]])&amp;"}")</f>
        <v>,{"label":"Text Password Authentication","group":"","id":"0AF1286B-2D4B-4F5F-981B-1B36B2526DC2","url":"https://open-measure.atlassian.net/wiki/spaces/DIC/pages/542146561"}</v>
      </c>
    </row>
    <row r="450" spans="1:6" ht="13.9" thickTop="1" thickBot="1" x14ac:dyDescent="0.4">
      <c r="A450" s="38">
        <f>IF(ISERR(NodesJSON[[#This Row],[label]]),0,1)</f>
        <v>1</v>
      </c>
      <c r="B450" s="3" t="str">
        <f>NodesData[[#This Row],[Common Name]]</f>
        <v>Threat Agent</v>
      </c>
      <c r="C450" s="3" t="str">
        <f>IF(NodesData[[#This Row],[Context Instanciation]]="","",NodesData[[#This Row],[Context Instanciation]])</f>
        <v/>
      </c>
      <c r="D450" s="22" t="str">
        <f>NodesData[[#This Row],[Node ID]]</f>
        <v>1CA22954-068F-4603-9932-7CAFD3C4E2A6</v>
      </c>
      <c r="E450" s="8"/>
      <c r="F450" s="25" t="str" cm="1">
        <f t="array" ref="F450">IF(NodesJSON[[#This Row],[Export?]]=0,"",IF(ROW(NodesJSON[[#This Row],[label]])&gt;ROW(NodesJSON[[#Headers],[JSON]])+1,",","") &amp;"{"&amp;twoRangesToJSON(NodesJSON[[#Headers],[label]:[url]],NodesJSON[[#This Row],[label]:[url]])&amp;"}")</f>
        <v>,{"label":"Threat Agent","group":"","id":"1CA22954-068F-4603-9932-7CAFD3C4E2A6","url":""}</v>
      </c>
    </row>
    <row r="451" spans="1:6" ht="13.9" thickTop="1" thickBot="1" x14ac:dyDescent="0.4">
      <c r="A451" s="38">
        <f>IF(ISERR(NodesJSON[[#This Row],[label]]),0,1)</f>
        <v>1</v>
      </c>
      <c r="B451" s="3" t="str">
        <f>NodesData[[#This Row],[Common Name]]</f>
        <v>Time Factor</v>
      </c>
      <c r="C451" s="3" t="str">
        <f>IF(NodesData[[#This Row],[Context Instanciation]]="","",NodesData[[#This Row],[Context Instanciation]])</f>
        <v/>
      </c>
      <c r="D451" s="22" t="str">
        <f>NodesData[[#This Row],[Node ID]]</f>
        <v>DF8479E4-7ED0-4699-B624-53A022550DA0</v>
      </c>
      <c r="E451" s="10" t="s">
        <v>1201</v>
      </c>
      <c r="F451" s="25" t="str" cm="1">
        <f t="array" ref="F451">IF(NodesJSON[[#This Row],[Export?]]=0,"",IF(ROW(NodesJSON[[#This Row],[label]])&gt;ROW(NodesJSON[[#Headers],[JSON]])+1,",","") &amp;"{"&amp;twoRangesToJSON(NodesJSON[[#Headers],[label]:[url]],NodesJSON[[#This Row],[label]:[url]])&amp;"}")</f>
        <v>,{"label":"Time Factor","group":"","id":"DF8479E4-7ED0-4699-B624-53A022550DA0","url":"https://open-measure.atlassian.net/wiki/spaces/DIC/pages/1231126540/Unauthorized+Access"}</v>
      </c>
    </row>
    <row r="452" spans="1:6" ht="13.9" thickTop="1" thickBot="1" x14ac:dyDescent="0.4">
      <c r="A452" s="38">
        <f>IF(ISERR(NodesJSON[[#This Row],[label]]),0,1)</f>
        <v>1</v>
      </c>
      <c r="B452" s="3" t="str">
        <f>NodesData[[#This Row],[Common Name]]</f>
        <v>Token-Based Authentication</v>
      </c>
      <c r="C452" s="3" t="str">
        <f>IF(NodesData[[#This Row],[Context Instanciation]]="","",NodesData[[#This Row],[Context Instanciation]])</f>
        <v/>
      </c>
      <c r="D452" s="22" t="str">
        <f>NodesData[[#This Row],[Node ID]]</f>
        <v>E6AFFC0B-70FD-4FF0-B810-88AF9D1F52C5</v>
      </c>
      <c r="E452" s="10" t="s">
        <v>1222</v>
      </c>
      <c r="F452" s="25" t="str" cm="1">
        <f t="array" ref="F452">IF(NodesJSON[[#This Row],[Export?]]=0,"",IF(ROW(NodesJSON[[#This Row],[label]])&gt;ROW(NodesJSON[[#Headers],[JSON]])+1,",","") &amp;"{"&amp;twoRangesToJSON(NodesJSON[[#Headers],[label]:[url]],NodesJSON[[#This Row],[label]:[url]])&amp;"}")</f>
        <v>,{"label":"Token-Based Authentication","group":"","id":"E6AFFC0B-70FD-4FF0-B810-88AF9D1F52C5","url":"https://open-measure.atlassian.net/wiki/spaces/DIC/pages/234389605"}</v>
      </c>
    </row>
    <row r="453" spans="1:6" ht="13.9" thickTop="1" thickBot="1" x14ac:dyDescent="0.4">
      <c r="A453" s="38">
        <f>IF(ISERR(NodesJSON[[#This Row],[label]]),0,1)</f>
        <v>1</v>
      </c>
      <c r="B453" s="3" t="str">
        <f>NodesData[[#This Row],[Common Name]]</f>
        <v>Touchstroke Recognition Authentication</v>
      </c>
      <c r="C453" s="3" t="str">
        <f>IF(NodesData[[#This Row],[Context Instanciation]]="","",NodesData[[#This Row],[Context Instanciation]])</f>
        <v/>
      </c>
      <c r="D453" s="22" t="str">
        <f>NodesData[[#This Row],[Node ID]]</f>
        <v>B5825B69-4900-43C0-A761-B839CC2A150A</v>
      </c>
      <c r="E453" s="4"/>
      <c r="F453" s="25" t="str" cm="1">
        <f t="array" ref="F453">IF(NodesJSON[[#This Row],[Export?]]=0,"",IF(ROW(NodesJSON[[#This Row],[label]])&gt;ROW(NodesJSON[[#Headers],[JSON]])+1,",","") &amp;"{"&amp;twoRangesToJSON(NodesJSON[[#Headers],[label]:[url]],NodesJSON[[#This Row],[label]:[url]])&amp;"}")</f>
        <v>,{"label":"Touchstroke Recognition Authentication","group":"","id":"B5825B69-4900-43C0-A761-B839CC2A150A","url":""}</v>
      </c>
    </row>
    <row r="454" spans="1:6" ht="13.9" thickTop="1" thickBot="1" x14ac:dyDescent="0.4">
      <c r="A454" s="38">
        <f>IF(ISERR(NodesJSON[[#This Row],[label]]),0,1)</f>
        <v>1</v>
      </c>
      <c r="B454" s="3" t="str">
        <f>NodesData[[#This Row],[Common Name]]</f>
        <v>Toxic Combinations</v>
      </c>
      <c r="C454" s="3" t="str">
        <f>IF(NodesData[[#This Row],[Context Instanciation]]="","",NodesData[[#This Row],[Context Instanciation]])</f>
        <v/>
      </c>
      <c r="D454" s="22" t="str">
        <f>NodesData[[#This Row],[Node ID]]</f>
        <v>317A06D1-6B71-47B7-8DA3-E30729547A3D</v>
      </c>
      <c r="E454" s="10" t="s">
        <v>1226</v>
      </c>
      <c r="F454" s="25" t="str" cm="1">
        <f t="array" ref="F454">IF(NodesJSON[[#This Row],[Export?]]=0,"",IF(ROW(NodesJSON[[#This Row],[label]])&gt;ROW(NodesJSON[[#Headers],[JSON]])+1,",","") &amp;"{"&amp;twoRangesToJSON(NodesJSON[[#Headers],[label]:[url]],NodesJSON[[#This Row],[label]:[url]])&amp;"}")</f>
        <v>,{"label":"Toxic Combinations","group":"","id":"317A06D1-6B71-47B7-8DA3-E30729547A3D","url":"https://open-measure.atlassian.net/wiki/spaces/DIC/pages/1177845999"}</v>
      </c>
    </row>
    <row r="455" spans="1:6" ht="13.9" thickTop="1" thickBot="1" x14ac:dyDescent="0.4">
      <c r="A455" s="38">
        <f>IF(ISERR(NodesJSON[[#This Row],[label]]),0,1)</f>
        <v>1</v>
      </c>
      <c r="B455" s="3" t="str">
        <f>NodesData[[#This Row],[Common Name]]</f>
        <v>Toxic Right Rule (Definition)</v>
      </c>
      <c r="C455" s="3" t="str">
        <f>IF(NodesData[[#This Row],[Context Instanciation]]="","",NodesData[[#This Row],[Context Instanciation]])</f>
        <v/>
      </c>
      <c r="D455" s="22" t="str">
        <f>NodesData[[#This Row],[Node ID]]</f>
        <v>634EC852-0B85-47F5-A9CB-39119FCA597A</v>
      </c>
      <c r="E455" s="10" t="s">
        <v>1228</v>
      </c>
      <c r="F455" s="25" t="str" cm="1">
        <f t="array" ref="F455">IF(NodesJSON[[#This Row],[Export?]]=0,"",IF(ROW(NodesJSON[[#This Row],[label]])&gt;ROW(NodesJSON[[#Headers],[JSON]])+1,",","") &amp;"{"&amp;twoRangesToJSON(NodesJSON[[#Headers],[label]:[url]],NodesJSON[[#This Row],[label]:[url]])&amp;"}")</f>
        <v>,{"label":"Toxic Right Rule (Definition)","group":"","id":"634EC852-0B85-47F5-A9CB-39119FCA597A","url":"https://open-measure.atlassian.net/wiki/spaces/DIC/pages/75923587"}</v>
      </c>
    </row>
    <row r="456" spans="1:6" ht="13.9" thickTop="1" thickBot="1" x14ac:dyDescent="0.4">
      <c r="A456" s="38">
        <f>IF(ISERR(NodesJSON[[#This Row],[label]]),0,1)</f>
        <v>1</v>
      </c>
      <c r="B456" s="3" t="str">
        <f>NodesData[[#This Row],[Common Name]]</f>
        <v>Tranquil</v>
      </c>
      <c r="C456" s="3" t="str">
        <f>IF(NodesData[[#This Row],[Context Instanciation]]="","",NodesData[[#This Row],[Context Instanciation]])</f>
        <v/>
      </c>
      <c r="D456" s="22" t="str">
        <f>NodesData[[#This Row],[Node ID]]</f>
        <v>CD4395C6-4D11-44F0-9379-3C7BAEDE14F2</v>
      </c>
      <c r="E456" s="10" t="s">
        <v>1230</v>
      </c>
      <c r="F456" s="25" t="str" cm="1">
        <f t="array" ref="F456">IF(NodesJSON[[#This Row],[Export?]]=0,"",IF(ROW(NodesJSON[[#This Row],[label]])&gt;ROW(NodesJSON[[#Headers],[JSON]])+1,",","") &amp;"{"&amp;twoRangesToJSON(NodesJSON[[#Headers],[label]:[url]],NodesJSON[[#This Row],[label]:[url]])&amp;"}")</f>
        <v>,{"label":"Tranquil","group":"","id":"CD4395C6-4D11-44F0-9379-3C7BAEDE14F2","url":"https://open-measure.atlassian.net/wiki/spaces/DIC/pages/140673566"}</v>
      </c>
    </row>
    <row r="457" spans="1:6" ht="13.9" thickTop="1" thickBot="1" x14ac:dyDescent="0.4">
      <c r="A457" s="38">
        <f>IF(ISERR(NodesJSON[[#This Row],[label]]),0,1)</f>
        <v>1</v>
      </c>
      <c r="B457" s="3" t="str">
        <f>NodesData[[#This Row],[Common Name]]</f>
        <v>Tranquility Principle</v>
      </c>
      <c r="C457" s="3" t="str">
        <f>IF(NodesData[[#This Row],[Context Instanciation]]="","",NodesData[[#This Row],[Context Instanciation]])</f>
        <v/>
      </c>
      <c r="D457" s="22" t="str">
        <f>NodesData[[#This Row],[Node ID]]</f>
        <v>3476F350-3230-422E-ACA7-DB215DBE8F83</v>
      </c>
      <c r="E457" s="10" t="s">
        <v>1232</v>
      </c>
      <c r="F457" s="25" t="str" cm="1">
        <f t="array" ref="F457">IF(NodesJSON[[#This Row],[Export?]]=0,"",IF(ROW(NodesJSON[[#This Row],[label]])&gt;ROW(NodesJSON[[#Headers],[JSON]])+1,",","") &amp;"{"&amp;twoRangesToJSON(NodesJSON[[#Headers],[label]:[url]],NodesJSON[[#This Row],[label]:[url]])&amp;"}")</f>
        <v>,{"label":"Tranquility Principle","group":"","id":"3476F350-3230-422E-ACA7-DB215DBE8F83","url":"https://open-measure.atlassian.net/wiki/spaces/DIC/pages/140739507"}</v>
      </c>
    </row>
    <row r="458" spans="1:6" ht="13.9" thickTop="1" thickBot="1" x14ac:dyDescent="0.4">
      <c r="A458" s="38">
        <f>IF(ISERR(NodesJSON[[#This Row],[label]]),0,1)</f>
        <v>1</v>
      </c>
      <c r="B458" s="3" t="str">
        <f>NodesData[[#This Row],[Common Name]]</f>
        <v>Tranquility Property</v>
      </c>
      <c r="C458" s="3" t="str">
        <f>IF(NodesData[[#This Row],[Context Instanciation]]="","",NodesData[[#This Row],[Context Instanciation]])</f>
        <v/>
      </c>
      <c r="D458" s="22" t="str">
        <f>NodesData[[#This Row],[Node ID]]</f>
        <v>9D1B24A0-56AF-4617-ADB3-C71C13B7ECF1</v>
      </c>
      <c r="E458" s="10" t="s">
        <v>1234</v>
      </c>
      <c r="F458" s="25" t="str" cm="1">
        <f t="array" ref="F458">IF(NodesJSON[[#This Row],[Export?]]=0,"",IF(ROW(NodesJSON[[#This Row],[label]])&gt;ROW(NodesJSON[[#Headers],[JSON]])+1,",","") &amp;"{"&amp;twoRangesToJSON(NodesJSON[[#Headers],[label]:[url]],NodesJSON[[#This Row],[label]:[url]])&amp;"}")</f>
        <v>,{"label":"Tranquility Property","group":"","id":"9D1B24A0-56AF-4617-ADB3-C71C13B7ECF1","url":"https://open-measure.atlassian.net/wiki/spaces/DIC/pages/140673594"}</v>
      </c>
    </row>
    <row r="459" spans="1:6" ht="13.9" thickTop="1" thickBot="1" x14ac:dyDescent="0.4">
      <c r="A459" s="38">
        <f>IF(ISERR(NodesJSON[[#This Row],[label]]),0,1)</f>
        <v>1</v>
      </c>
      <c r="B459" s="3" t="str">
        <f>NodesData[[#This Row],[Common Name]]</f>
        <v>Trust</v>
      </c>
      <c r="C459" s="3" t="str">
        <f>IF(NodesData[[#This Row],[Context Instanciation]]="","",NodesData[[#This Row],[Context Instanciation]])</f>
        <v/>
      </c>
      <c r="D459" s="22" t="str">
        <f>NodesData[[#This Row],[Node ID]]</f>
        <v>A1678A0D-5911-4EEF-9E11-60BF598EC965</v>
      </c>
      <c r="E459" s="10" t="s">
        <v>1236</v>
      </c>
      <c r="F459" s="25" t="str" cm="1">
        <f t="array" ref="F459">IF(NodesJSON[[#This Row],[Export?]]=0,"",IF(ROW(NodesJSON[[#This Row],[label]])&gt;ROW(NodesJSON[[#Headers],[JSON]])+1,",","") &amp;"{"&amp;twoRangesToJSON(NodesJSON[[#Headers],[label]:[url]],NodesJSON[[#This Row],[label]:[url]])&amp;"}")</f>
        <v>,{"label":"Trust","group":"","id":"A1678A0D-5911-4EEF-9E11-60BF598EC965","url":"https://open-measure.atlassian.net/wiki/spaces/DIC/pages/140739482"}</v>
      </c>
    </row>
    <row r="460" spans="1:6" ht="13.9" thickTop="1" thickBot="1" x14ac:dyDescent="0.4">
      <c r="A460" s="38">
        <f>IF(ISERR(NodesJSON[[#This Row],[label]]),0,1)</f>
        <v>1</v>
      </c>
      <c r="B460" s="3" t="str">
        <f>NodesData[[#This Row],[Common Name]]</f>
        <v>Trust Asymmetry</v>
      </c>
      <c r="C460" s="3" t="str">
        <f>IF(NodesData[[#This Row],[Context Instanciation]]="","",NodesData[[#This Row],[Context Instanciation]])</f>
        <v/>
      </c>
      <c r="D460" s="22" t="str">
        <f>NodesData[[#This Row],[Node ID]]</f>
        <v>02C83109-714D-445E-BEE7-BD8C5DF01F88</v>
      </c>
      <c r="E460" s="10" t="s">
        <v>1238</v>
      </c>
      <c r="F460" s="25" t="str" cm="1">
        <f t="array" ref="F460">IF(NodesJSON[[#This Row],[Export?]]=0,"",IF(ROW(NodesJSON[[#This Row],[label]])&gt;ROW(NodesJSON[[#Headers],[JSON]])+1,",","") &amp;"{"&amp;twoRangesToJSON(NodesJSON[[#Headers],[label]:[url]],NodesJSON[[#This Row],[label]:[url]])&amp;"}")</f>
        <v>,{"label":"Trust Asymmetry","group":"","id":"02C83109-714D-445E-BEE7-BD8C5DF01F88","url":"https://open-measure.atlassian.net/wiki/spaces/DIC/pages/140673653"}</v>
      </c>
    </row>
    <row r="461" spans="1:6" ht="13.9" thickTop="1" thickBot="1" x14ac:dyDescent="0.4">
      <c r="A461" s="38">
        <f>IF(ISERR(NodesJSON[[#This Row],[label]]),0,1)</f>
        <v>1</v>
      </c>
      <c r="B461" s="3" t="str">
        <f>NodesData[[#This Row],[Common Name]]</f>
        <v>Trust Composability</v>
      </c>
      <c r="C461" s="3" t="str">
        <f>IF(NodesData[[#This Row],[Context Instanciation]]="","",NodesData[[#This Row],[Context Instanciation]])</f>
        <v/>
      </c>
      <c r="D461" s="22" t="str">
        <f>NodesData[[#This Row],[Node ID]]</f>
        <v>25644D60-00E5-472D-BE6D-971FB814715F</v>
      </c>
      <c r="E461" s="10" t="s">
        <v>1240</v>
      </c>
      <c r="F461" s="25" t="str" cm="1">
        <f t="array" ref="F461">IF(NodesJSON[[#This Row],[Export?]]=0,"",IF(ROW(NodesJSON[[#This Row],[label]])&gt;ROW(NodesJSON[[#Headers],[JSON]])+1,",","") &amp;"{"&amp;twoRangesToJSON(NodesJSON[[#Headers],[label]:[url]],NodesJSON[[#This Row],[label]:[url]])&amp;"}")</f>
        <v>,{"label":"Trust Composability","group":"","id":"25644D60-00E5-472D-BE6D-971FB814715F","url":"https://open-measure.atlassian.net/wiki/spaces/DIC/pages/140771901"}</v>
      </c>
    </row>
    <row r="462" spans="1:6" ht="13.9" thickTop="1" thickBot="1" x14ac:dyDescent="0.4">
      <c r="A462" s="38">
        <f>IF(ISERR(NodesJSON[[#This Row],[label]]),0,1)</f>
        <v>1</v>
      </c>
      <c r="B462" s="3" t="str">
        <f>NodesData[[#This Row],[Common Name]]</f>
        <v>Trust Personalization</v>
      </c>
      <c r="C462" s="3" t="str">
        <f>IF(NodesData[[#This Row],[Context Instanciation]]="","",NodesData[[#This Row],[Context Instanciation]])</f>
        <v/>
      </c>
      <c r="D462" s="22" t="str">
        <f>NodesData[[#This Row],[Node ID]]</f>
        <v>972542DD-F88B-4F6B-A455-6E376E45AD99</v>
      </c>
      <c r="E462" s="10" t="s">
        <v>1242</v>
      </c>
      <c r="F462" s="25" t="str" cm="1">
        <f t="array" ref="F462">IF(NodesJSON[[#This Row],[Export?]]=0,"",IF(ROW(NodesJSON[[#This Row],[label]])&gt;ROW(NodesJSON[[#Headers],[JSON]])+1,",","") &amp;"{"&amp;twoRangesToJSON(NodesJSON[[#Headers],[label]:[url]],NodesJSON[[#This Row],[label]:[url]])&amp;"}")</f>
        <v>,{"label":"Trust Personalization","group":"","id":"972542DD-F88B-4F6B-A455-6E376E45AD99","url":"https://open-measure.atlassian.net/wiki/spaces/DIC/pages/140772047"}</v>
      </c>
    </row>
    <row r="463" spans="1:6" ht="13.9" thickTop="1" thickBot="1" x14ac:dyDescent="0.4">
      <c r="A463" s="38">
        <f>IF(ISERR(NodesJSON[[#This Row],[label]]),0,1)</f>
        <v>1</v>
      </c>
      <c r="B463" s="3" t="str">
        <f>NodesData[[#This Row],[Common Name]]</f>
        <v>Trust Transitivity</v>
      </c>
      <c r="C463" s="3" t="str">
        <f>IF(NodesData[[#This Row],[Context Instanciation]]="","",NodesData[[#This Row],[Context Instanciation]])</f>
        <v/>
      </c>
      <c r="D463" s="22" t="str">
        <f>NodesData[[#This Row],[Node ID]]</f>
        <v>B7CE828C-5FD8-48C8-9404-F733747924F0</v>
      </c>
      <c r="E463" s="10" t="s">
        <v>1244</v>
      </c>
      <c r="F463" s="25" t="str" cm="1">
        <f t="array" ref="F463">IF(NodesJSON[[#This Row],[Export?]]=0,"",IF(ROW(NodesJSON[[#This Row],[label]])&gt;ROW(NodesJSON[[#Headers],[JSON]])+1,",","") &amp;"{"&amp;twoRangesToJSON(NodesJSON[[#Headers],[label]:[url]],NodesJSON[[#This Row],[label]:[url]])&amp;"}")</f>
        <v>,{"label":"Trust Transitivity","group":"","id":"B7CE828C-5FD8-48C8-9404-F733747924F0","url":"https://open-measure.atlassian.net/wiki/spaces/DIC/pages/140739277"}</v>
      </c>
    </row>
    <row r="464" spans="1:6" ht="13.9" thickTop="1" thickBot="1" x14ac:dyDescent="0.4">
      <c r="A464" s="38">
        <f>IF(ISERR(NodesJSON[[#This Row],[label]]),0,1)</f>
        <v>1</v>
      </c>
      <c r="B464" s="3" t="str">
        <f>NodesData[[#This Row],[Common Name]]</f>
        <v>Typing Biometrics</v>
      </c>
      <c r="C464" s="3" t="str">
        <f>IF(NodesData[[#This Row],[Context Instanciation]]="","",NodesData[[#This Row],[Context Instanciation]])</f>
        <v/>
      </c>
      <c r="D464" s="22" t="str">
        <f>NodesData[[#This Row],[Node ID]]</f>
        <v>D70A7F63-0F25-47AE-8AE4-C137A5FBFDC4</v>
      </c>
      <c r="E464" s="10" t="s">
        <v>1246</v>
      </c>
      <c r="F464" s="25" t="str" cm="1">
        <f t="array" ref="F464">IF(NodesJSON[[#This Row],[Export?]]=0,"",IF(ROW(NodesJSON[[#This Row],[label]])&gt;ROW(NodesJSON[[#Headers],[JSON]])+1,",","") &amp;"{"&amp;twoRangesToJSON(NodesJSON[[#Headers],[label]:[url]],NodesJSON[[#This Row],[label]:[url]])&amp;"}")</f>
        <v>,{"label":"Typing Biometrics","group":"","id":"D70A7F63-0F25-47AE-8AE4-C137A5FBFDC4","url":"https://open-measure.atlassian.net/wiki/spaces/DIC/pages/140673818"}</v>
      </c>
    </row>
    <row r="465" spans="1:7" ht="13.9" thickTop="1" thickBot="1" x14ac:dyDescent="0.4">
      <c r="A465" s="38">
        <f>IF(ISERR(NodesJSON[[#This Row],[label]]),0,1)</f>
        <v>1</v>
      </c>
      <c r="B465" s="3" t="str">
        <f>NodesData[[#This Row],[Common Name]]</f>
        <v>Typology</v>
      </c>
      <c r="C465" s="3" t="str">
        <f>IF(NodesData[[#This Row],[Context Instanciation]]="","",NodesData[[#This Row],[Context Instanciation]])</f>
        <v/>
      </c>
      <c r="D465" s="22" t="str">
        <f>NodesData[[#This Row],[Node ID]]</f>
        <v>4F608F4E-4015-49D4-AC9A-086CAF01EC18</v>
      </c>
      <c r="E465" s="10" t="s">
        <v>1248</v>
      </c>
      <c r="F465" s="25" t="str" cm="1">
        <f t="array" ref="F465">IF(NodesJSON[[#This Row],[Export?]]=0,"",IF(ROW(NodesJSON[[#This Row],[label]])&gt;ROW(NodesJSON[[#Headers],[JSON]])+1,",","") &amp;"{"&amp;twoRangesToJSON(NodesJSON[[#Headers],[label]:[url]],NodesJSON[[#This Row],[label]:[url]])&amp;"}")</f>
        <v>,{"label":"Typology","group":"","id":"4F608F4E-4015-49D4-AC9A-086CAF01EC18","url":"https://open-measure.atlassian.net/wiki/spaces/DIC/pages/140772011"}</v>
      </c>
    </row>
    <row r="466" spans="1:7" ht="13.9" thickTop="1" thickBot="1" x14ac:dyDescent="0.4">
      <c r="A466" s="38">
        <f>IF(ISERR(NodesJSON[[#This Row],[label]]),0,1)</f>
        <v>1</v>
      </c>
      <c r="B466" s="3" t="str">
        <f>NodesData[[#This Row],[Common Name]]</f>
        <v>Unanticipated User</v>
      </c>
      <c r="C466" s="3" t="str">
        <f>IF(NodesData[[#This Row],[Context Instanciation]]="","",NodesData[[#This Row],[Context Instanciation]])</f>
        <v/>
      </c>
      <c r="D466" s="22" t="str">
        <f>NodesData[[#This Row],[Node ID]]</f>
        <v>BFDF9B3C-2AFB-413C-A8ED-285523AC2B1F</v>
      </c>
      <c r="E466" s="10" t="s">
        <v>1250</v>
      </c>
      <c r="F466" s="25" t="str" cm="1">
        <f t="array" ref="F466">IF(NodesJSON[[#This Row],[Export?]]=0,"",IF(ROW(NodesJSON[[#This Row],[label]])&gt;ROW(NodesJSON[[#Headers],[JSON]])+1,",","") &amp;"{"&amp;twoRangesToJSON(NodesJSON[[#Headers],[label]:[url]],NodesJSON[[#This Row],[label]:[url]])&amp;"}")</f>
        <v>,{"label":"Unanticipated User","group":"","id":"BFDF9B3C-2AFB-413C-A8ED-285523AC2B1F","url":"https://open-measure.atlassian.net/wiki/spaces/DIC/pages/140706624"}</v>
      </c>
    </row>
    <row r="467" spans="1:7" ht="13.9" thickTop="1" thickBot="1" x14ac:dyDescent="0.4">
      <c r="A467" s="38">
        <f>IF(ISERR(NodesJSON[[#This Row],[label]]),0,1)</f>
        <v>1</v>
      </c>
      <c r="B467" s="3" t="str">
        <f>NodesData[[#This Row],[Common Name]]</f>
        <v>Unauthorized Access</v>
      </c>
      <c r="C467" s="3" t="str">
        <f>IF(NodesData[[#This Row],[Context Instanciation]]="","",NodesData[[#This Row],[Context Instanciation]])</f>
        <v/>
      </c>
      <c r="D467" s="22" t="str">
        <f>NodesData[[#This Row],[Node ID]]</f>
        <v>5F07E772-71B1-4356-BFEF-4C9C6B3E0236</v>
      </c>
      <c r="E467" s="10" t="s">
        <v>1252</v>
      </c>
      <c r="F467" s="25" t="str" cm="1">
        <f t="array" ref="F467">IF(NodesJSON[[#This Row],[Export?]]=0,"",IF(ROW(NodesJSON[[#This Row],[label]])&gt;ROW(NodesJSON[[#Headers],[JSON]])+1,",","") &amp;"{"&amp;twoRangesToJSON(NodesJSON[[#Headers],[label]:[url]],NodesJSON[[#This Row],[label]:[url]])&amp;"}")</f>
        <v>,{"label":"Unauthorized Access","group":"","id":"5F07E772-71B1-4356-BFEF-4C9C6B3E0236","url":"https://open-measure.atlassian.net/wiki/spaces/DIC/pages/140706700"}</v>
      </c>
    </row>
    <row r="468" spans="1:7" ht="13.9" thickTop="1" thickBot="1" x14ac:dyDescent="0.4">
      <c r="A468" s="38">
        <f>IF(ISERR(NodesJSON[[#This Row],[label]]),0,1)</f>
        <v>1</v>
      </c>
      <c r="B468" s="3" t="str">
        <f>NodesData[[#This Row],[Common Name]]</f>
        <v>Unique ID Number</v>
      </c>
      <c r="C468" s="3" t="str">
        <f>IF(NodesData[[#This Row],[Context Instanciation]]="","",NodesData[[#This Row],[Context Instanciation]])</f>
        <v/>
      </c>
      <c r="D468" s="22" t="str">
        <f>NodesData[[#This Row],[Node ID]]</f>
        <v>32B4EC23-AF1A-4610-A639-00BBEA4C8CCA</v>
      </c>
      <c r="E468" s="10" t="s">
        <v>1254</v>
      </c>
      <c r="F468" s="25" t="str" cm="1">
        <f t="array" ref="F468">IF(NodesJSON[[#This Row],[Export?]]=0,"",IF(ROW(NodesJSON[[#This Row],[label]])&gt;ROW(NodesJSON[[#Headers],[JSON]])+1,",","") &amp;"{"&amp;twoRangesToJSON(NodesJSON[[#Headers],[label]:[url]],NodesJSON[[#This Row],[label]:[url]])&amp;"}")</f>
        <v>,{"label":"Unique ID Number","group":"","id":"32B4EC23-AF1A-4610-A639-00BBEA4C8CCA","url":"https://open-measure.atlassian.net/wiki/spaces/DIC/pages/855638141"}</v>
      </c>
    </row>
    <row r="469" spans="1:7" ht="13.9" thickTop="1" thickBot="1" x14ac:dyDescent="0.4">
      <c r="A469" s="38">
        <f>IF(ISERR(NodesJSON[[#This Row],[label]]),0,1)</f>
        <v>1</v>
      </c>
      <c r="B469" s="3" t="str">
        <f>NodesData[[#This Row],[Common Name]]</f>
        <v>Unprivileged Insider</v>
      </c>
      <c r="C469" s="3" t="str">
        <f>IF(NodesData[[#This Row],[Context Instanciation]]="","",NodesData[[#This Row],[Context Instanciation]])</f>
        <v/>
      </c>
      <c r="D469" s="22" t="str">
        <f>NodesData[[#This Row],[Node ID]]</f>
        <v>2169AA61-B763-4A78-84B6-AD1A906A5E71</v>
      </c>
      <c r="E469" s="10" t="s">
        <v>1256</v>
      </c>
      <c r="F469" s="25" t="str" cm="1">
        <f t="array" ref="F469">IF(NodesJSON[[#This Row],[Export?]]=0,"",IF(ROW(NodesJSON[[#This Row],[label]])&gt;ROW(NodesJSON[[#Headers],[JSON]])+1,",","") &amp;"{"&amp;twoRangesToJSON(NodesJSON[[#Headers],[label]:[url]],NodesJSON[[#This Row],[label]:[url]])&amp;"}")</f>
        <v>,{"label":"Unprivileged Insider","group":"","id":"2169AA61-B763-4A78-84B6-AD1A906A5E71","url":"https://open-measure.atlassian.net/wiki/spaces/DIC/pages/814448722"}</v>
      </c>
    </row>
    <row r="470" spans="1:7" ht="13.9" thickTop="1" thickBot="1" x14ac:dyDescent="0.4">
      <c r="A470" s="38">
        <f>IF(ISERR(NodesJSON[[#This Row],[label]]),0,1)</f>
        <v>1</v>
      </c>
      <c r="B470" s="3" t="str">
        <f>NodesData[[#This Row],[Common Name]]</f>
        <v>User</v>
      </c>
      <c r="C470" s="3" t="str">
        <f>IF(NodesData[[#This Row],[Context Instanciation]]="","",NodesData[[#This Row],[Context Instanciation]])</f>
        <v/>
      </c>
      <c r="D470" s="22" t="str">
        <f>NodesData[[#This Row],[Node ID]]</f>
        <v>14F55B57-7DA0-449A-AFEC-28F642F73AC8</v>
      </c>
      <c r="E470" s="10" t="s">
        <v>1258</v>
      </c>
      <c r="F470" s="25" t="str" cm="1">
        <f t="array" ref="F470">IF(NodesJSON[[#This Row],[Export?]]=0,"",IF(ROW(NodesJSON[[#This Row],[label]])&gt;ROW(NodesJSON[[#Headers],[JSON]])+1,",","") &amp;"{"&amp;twoRangesToJSON(NodesJSON[[#Headers],[label]:[url]],NodesJSON[[#This Row],[label]:[url]])&amp;"}")</f>
        <v>,{"label":"User","group":"","id":"14F55B57-7DA0-449A-AFEC-28F642F73AC8","url":"https://open-measure.atlassian.net/wiki/spaces/DIC/pages/852492409"}</v>
      </c>
    </row>
    <row r="471" spans="1:7" ht="13.9" thickTop="1" thickBot="1" x14ac:dyDescent="0.4">
      <c r="A471" s="38">
        <f>IF(ISERR(NodesJSON[[#This Row],[label]]),0,1)</f>
        <v>1</v>
      </c>
      <c r="B471" s="3" t="str">
        <f>NodesData[[#This Row],[Common Name]]</f>
        <v>User Account</v>
      </c>
      <c r="C471" s="3" t="str">
        <f>IF(NodesData[[#This Row],[Context Instanciation]]="","",NodesData[[#This Row],[Context Instanciation]])</f>
        <v/>
      </c>
      <c r="D471" s="22" t="str">
        <f>NodesData[[#This Row],[Node ID]]</f>
        <v>069DED9F-281C-4491-A517-716E324BA3B2</v>
      </c>
      <c r="E471" s="10" t="s">
        <v>1260</v>
      </c>
      <c r="F471" s="25" t="str" cm="1">
        <f t="array" ref="F471">IF(NodesJSON[[#This Row],[Export?]]=0,"",IF(ROW(NodesJSON[[#This Row],[label]])&gt;ROW(NodesJSON[[#Headers],[JSON]])+1,",","") &amp;"{"&amp;twoRangesToJSON(NodesJSON[[#Headers],[label]:[url]],NodesJSON[[#This Row],[label]:[url]])&amp;"}")</f>
        <v>,{"label":"User Account","group":"","id":"069DED9F-281C-4491-A517-716E324BA3B2","url":"https://open-measure.atlassian.net/wiki/spaces/DIC/pages/1122631791"}</v>
      </c>
    </row>
    <row r="472" spans="1:7" ht="13.9" thickTop="1" thickBot="1" x14ac:dyDescent="0.4">
      <c r="A472" s="38">
        <f>IF(ISERR(NodesJSON[[#This Row],[label]]),0,1)</f>
        <v>1</v>
      </c>
      <c r="B472" s="3" t="str">
        <f>NodesData[[#This Row],[Common Name]]</f>
        <v>User De-Provisioning</v>
      </c>
      <c r="C472" s="3" t="str">
        <f>IF(NodesData[[#This Row],[Context Instanciation]]="","",NodesData[[#This Row],[Context Instanciation]])</f>
        <v/>
      </c>
      <c r="D472" s="22" t="str">
        <f>NodesData[[#This Row],[Node ID]]</f>
        <v>AE1792C6-7918-47DF-AAF4-019C8334670F</v>
      </c>
      <c r="E472" s="10" t="s">
        <v>1261</v>
      </c>
      <c r="F472" s="25" t="str" cm="1">
        <f t="array" ref="F472">IF(NodesJSON[[#This Row],[Export?]]=0,"",IF(ROW(NodesJSON[[#This Row],[label]])&gt;ROW(NodesJSON[[#Headers],[JSON]])+1,",","") &amp;"{"&amp;twoRangesToJSON(NodesJSON[[#Headers],[label]:[url]],NodesJSON[[#This Row],[label]:[url]])&amp;"}")</f>
        <v>,{"label":"User De-Provisioning","group":"","id":"AE1792C6-7918-47DF-AAF4-019C8334670F","url":"https://open-measure.atlassian.net/wiki/spaces/DIC/pages/234356891/Zero-Trust+Access"}</v>
      </c>
    </row>
    <row r="473" spans="1:7" ht="13.9" thickTop="1" thickBot="1" x14ac:dyDescent="0.4">
      <c r="A473" s="38">
        <f>IF(ISERR(NodesJSON[[#This Row],[label]]),0,1)</f>
        <v>1</v>
      </c>
      <c r="B473" s="3" t="str">
        <f>NodesData[[#This Row],[Common Name]]</f>
        <v>User Entitlement Reviews</v>
      </c>
      <c r="C473" s="3" t="str">
        <f>IF(NodesData[[#This Row],[Context Instanciation]]="","",NodesData[[#This Row],[Context Instanciation]])</f>
        <v/>
      </c>
      <c r="D473" s="22" t="str">
        <f>NodesData[[#This Row],[Node ID]]</f>
        <v>218DF218-D5B3-4BFF-B0DB-794CBCCDEC98</v>
      </c>
      <c r="E473" s="10" t="s">
        <v>1262</v>
      </c>
      <c r="F473" s="25" t="str" cm="1">
        <f t="array" ref="F473">IF(NodesJSON[[#This Row],[Export?]]=0,"",IF(ROW(NodesJSON[[#This Row],[label]])&gt;ROW(NodesJSON[[#Headers],[JSON]])+1,",","") &amp;"{"&amp;twoRangesToJSON(NodesJSON[[#Headers],[label]:[url]],NodesJSON[[#This Row],[label]:[url]])&amp;"}")</f>
        <v>,{"label":"User Entitlement Reviews","group":"","id":"218DF218-D5B3-4BFF-B0DB-794CBCCDEC98","url":"https://open-measure.atlassian.net/wiki/spaces/DIC/pages/782893195/Zombie+Account"}</v>
      </c>
    </row>
    <row r="474" spans="1:7" ht="13.9" thickTop="1" thickBot="1" x14ac:dyDescent="0.4">
      <c r="A474" s="38">
        <f>IF(ISERR(NodesJSON[[#This Row],[label]]),0,1)</f>
        <v>1</v>
      </c>
      <c r="B474" s="3" t="str">
        <f>NodesData[[#This Row],[Common Name]]</f>
        <v>User ID</v>
      </c>
      <c r="C474" s="3" t="str">
        <f>IF(NodesData[[#This Row],[Context Instanciation]]="","",NodesData[[#This Row],[Context Instanciation]])</f>
        <v/>
      </c>
      <c r="D474" s="22" t="str">
        <f>NodesData[[#This Row],[Node ID]]</f>
        <v>99A24377-B914-4F1A-A6B3-D4FF757FBC77</v>
      </c>
      <c r="E474" s="10" t="s">
        <v>1263</v>
      </c>
      <c r="F474" s="25" t="str" cm="1">
        <f t="array" ref="F474">IF(NodesJSON[[#This Row],[Export?]]=0,"",IF(ROW(NodesJSON[[#This Row],[label]])&gt;ROW(NodesJSON[[#Headers],[JSON]])+1,",","") &amp;"{"&amp;twoRangesToJSON(NodesJSON[[#Headers],[label]:[url]],NodesJSON[[#This Row],[label]:[url]])&amp;"}")</f>
        <v>,{"label":"User ID","group":"","id":"99A24377-B914-4F1A-A6B3-D4FF757FBC77","url":"https://open-measure.atlassian.net/wiki/spaces/DIC/pages/234389671/ZTA"}</v>
      </c>
    </row>
    <row r="475" spans="1:7" ht="13.9" thickTop="1" thickBot="1" x14ac:dyDescent="0.4">
      <c r="A475" s="38">
        <f>IF(ISERR(NodesJSON[[#This Row],[label]]),0,1)</f>
        <v>1</v>
      </c>
      <c r="B475" s="3" t="str">
        <f>NodesData[[#This Row],[Common Name]]</f>
        <v>User Provisioning</v>
      </c>
      <c r="C475" s="3" t="str">
        <f>IF(NodesData[[#This Row],[Context Instanciation]]="","",NodesData[[#This Row],[Context Instanciation]])</f>
        <v/>
      </c>
      <c r="D475" s="22" t="str">
        <f>NodesData[[#This Row],[Node ID]]</f>
        <v>5C9A52EB-A26B-4561-BD31-59AF5569B1F6</v>
      </c>
      <c r="E475" s="10" t="s">
        <v>1224</v>
      </c>
      <c r="F475" s="25" t="str" cm="1">
        <f t="array" ref="F475">IF(NodesJSON[[#This Row],[Export?]]=0,"",IF(ROW(NodesJSON[[#This Row],[label]])&gt;ROW(NodesJSON[[#Headers],[JSON]])+1,",","") &amp;"{"&amp;twoRangesToJSON(NodesJSON[[#Headers],[label]:[url]],NodesJSON[[#This Row],[label]:[url]])&amp;"}")</f>
        <v>,{"label":"User Provisioning","group":"","id":"5C9A52EB-A26B-4561-BD31-59AF5569B1F6","url":"https://open-measure.atlassian.net/wiki/spaces/DIC/pages/81068120"}</v>
      </c>
    </row>
    <row r="476" spans="1:7" ht="13.9" thickTop="1" thickBot="1" x14ac:dyDescent="0.4">
      <c r="A476" s="39">
        <f>IF(ISERR(NodesJSON[[#This Row],[label]]),0,1)</f>
        <v>1</v>
      </c>
      <c r="B476" s="8" t="str">
        <f>NodesData[[#This Row],[Common Name]]</f>
        <v>User-Centric Identity Management System</v>
      </c>
      <c r="C476" s="8" t="str">
        <f>IF(NodesData[[#This Row],[Context Instanciation]]="","",NodesData[[#This Row],[Context Instanciation]])</f>
        <v/>
      </c>
      <c r="D476" s="27" t="str">
        <f>NodesData[[#This Row],[Node ID]]</f>
        <v>216B8B65-351B-4014-AC11-77C5B0F7E653</v>
      </c>
      <c r="E476" s="8"/>
      <c r="F476" s="25" t="str" cm="1">
        <f t="array" ref="F476">IF(NodesJSON[[#This Row],[Export?]]=0,"",IF(ROW(NodesJSON[[#This Row],[label]])&gt;ROW(NodesJSON[[#Headers],[JSON]])+1,",","") &amp;"{"&amp;twoRangesToJSON(NodesJSON[[#Headers],[label]:[url]],NodesJSON[[#This Row],[label]:[url]])&amp;"}")</f>
        <v>,{"label":"User-Centric Identity Management System","group":"","id":"216B8B65-351B-4014-AC11-77C5B0F7E653","url":""}</v>
      </c>
      <c r="G476" s="26"/>
    </row>
    <row r="477" spans="1:7" ht="13.9" thickTop="1" thickBot="1" x14ac:dyDescent="0.4">
      <c r="A477" s="39">
        <f>IF(ISERR(NodesJSON[[#This Row],[label]]),0,1)</f>
        <v>1</v>
      </c>
      <c r="B477" s="8" t="str">
        <f>NodesData[[#This Row],[Common Name]]</f>
        <v>Username</v>
      </c>
      <c r="C477" s="8" t="str">
        <f>IF(NodesData[[#This Row],[Context Instanciation]]="","",NodesData[[#This Row],[Context Instanciation]])</f>
        <v/>
      </c>
      <c r="D477" s="27" t="str">
        <f>NodesData[[#This Row],[Node ID]]</f>
        <v>7B78C61F-6A15-4434-B851-3C9932D3B430</v>
      </c>
      <c r="E477" s="8"/>
      <c r="F477" s="25" t="str" cm="1">
        <f t="array" ref="F477">IF(NodesJSON[[#This Row],[Export?]]=0,"",IF(ROW(NodesJSON[[#This Row],[label]])&gt;ROW(NodesJSON[[#Headers],[JSON]])+1,",","") &amp;"{"&amp;twoRangesToJSON(NodesJSON[[#Headers],[label]:[url]],NodesJSON[[#This Row],[label]:[url]])&amp;"}")</f>
        <v>,{"label":"Username","group":"","id":"7B78C61F-6A15-4434-B851-3C9932D3B430","url":""}</v>
      </c>
      <c r="G477" s="26"/>
    </row>
    <row r="478" spans="1:7" ht="13.9" thickTop="1" thickBot="1" x14ac:dyDescent="0.4">
      <c r="A478" s="39">
        <f>IF(ISERR(NodesJSON[[#This Row],[label]]),0,1)</f>
        <v>1</v>
      </c>
      <c r="B478" s="8" t="str">
        <f>NodesData[[#This Row],[Common Name]]</f>
        <v>Verifiable Claim</v>
      </c>
      <c r="C478" s="8" t="str">
        <f>IF(NodesData[[#This Row],[Context Instanciation]]="","",NodesData[[#This Row],[Context Instanciation]])</f>
        <v/>
      </c>
      <c r="D478" s="27" t="str">
        <f>NodesData[[#This Row],[Node ID]]</f>
        <v>54FF7375-CD37-4E95-ABFC-4397B126B84B</v>
      </c>
      <c r="E478" s="8"/>
      <c r="F478" s="25" t="str" cm="1">
        <f t="array" ref="F478">IF(NodesJSON[[#This Row],[Export?]]=0,"",IF(ROW(NodesJSON[[#This Row],[label]])&gt;ROW(NodesJSON[[#Headers],[JSON]])+1,",","") &amp;"{"&amp;twoRangesToJSON(NodesJSON[[#Headers],[label]:[url]],NodesJSON[[#This Row],[label]:[url]])&amp;"}")</f>
        <v>,{"label":"Verifiable Claim","group":"","id":"54FF7375-CD37-4E95-ABFC-4397B126B84B","url":""}</v>
      </c>
      <c r="G478" s="26"/>
    </row>
    <row r="479" spans="1:7" ht="13.9" thickTop="1" thickBot="1" x14ac:dyDescent="0.4">
      <c r="A479" s="39">
        <f>IF(ISERR(NodesJSON[[#This Row],[label]]),0,1)</f>
        <v>1</v>
      </c>
      <c r="B479" s="8" t="str">
        <f>NodesData[[#This Row],[Common Name]]</f>
        <v>Verification</v>
      </c>
      <c r="C479" s="8" t="str">
        <f>IF(NodesData[[#This Row],[Context Instanciation]]="","",NodesData[[#This Row],[Context Instanciation]])</f>
        <v/>
      </c>
      <c r="D479" s="27" t="str">
        <f>NodesData[[#This Row],[Node ID]]</f>
        <v>1F6337C5-076B-4741-818A-798E01267BDB</v>
      </c>
      <c r="E479" s="8"/>
      <c r="F479" s="25" t="str" cm="1">
        <f t="array" ref="F479">IF(NodesJSON[[#This Row],[Export?]]=0,"",IF(ROW(NodesJSON[[#This Row],[label]])&gt;ROW(NodesJSON[[#Headers],[JSON]])+1,",","") &amp;"{"&amp;twoRangesToJSON(NodesJSON[[#Headers],[label]:[url]],NodesJSON[[#This Row],[label]:[url]])&amp;"}")</f>
        <v>,{"label":"Verification","group":"","id":"1F6337C5-076B-4741-818A-798E01267BDB","url":""}</v>
      </c>
      <c r="G479" s="26"/>
    </row>
    <row r="480" spans="1:7" ht="13.9" thickTop="1" thickBot="1" x14ac:dyDescent="0.4">
      <c r="A480" s="39">
        <f>IF(ISERR(NodesJSON[[#This Row],[label]]),0,1)</f>
        <v>1</v>
      </c>
      <c r="B480" s="8" t="str">
        <f>NodesData[[#This Row],[Common Name]]</f>
        <v>Victim</v>
      </c>
      <c r="C480" s="8" t="str">
        <f>IF(NodesData[[#This Row],[Context Instanciation]]="","",NodesData[[#This Row],[Context Instanciation]])</f>
        <v>Account Takeover</v>
      </c>
      <c r="D480" s="27" t="str">
        <f>NodesData[[#This Row],[Node ID]]</f>
        <v>0356B816-5188-4965-B4D7-28144AB3745F</v>
      </c>
      <c r="E480" s="8"/>
      <c r="F480" s="25" t="str" cm="1">
        <f t="array" ref="F480">IF(NodesJSON[[#This Row],[Export?]]=0,"",IF(ROW(NodesJSON[[#This Row],[label]])&gt;ROW(NodesJSON[[#Headers],[JSON]])+1,",","") &amp;"{"&amp;twoRangesToJSON(NodesJSON[[#Headers],[label]:[url]],NodesJSON[[#This Row],[label]:[url]])&amp;"}")</f>
        <v>,{"label":"Victim","group":"Account Takeover","id":"0356B816-5188-4965-B4D7-28144AB3745F","url":""}</v>
      </c>
      <c r="G480" s="26"/>
    </row>
    <row r="481" spans="1:7" ht="13.9" thickTop="1" thickBot="1" x14ac:dyDescent="0.4">
      <c r="A481" s="39">
        <f>IF(ISERR(NodesJSON[[#This Row],[label]]),0,1)</f>
        <v>1</v>
      </c>
      <c r="B481" s="8" t="str">
        <f>NodesData[[#This Row],[Common Name]]</f>
        <v>Virtual Directory</v>
      </c>
      <c r="C481" s="8" t="str">
        <f>IF(NodesData[[#This Row],[Context Instanciation]]="","",NodesData[[#This Row],[Context Instanciation]])</f>
        <v/>
      </c>
      <c r="D481" s="27" t="str">
        <f>NodesData[[#This Row],[Node ID]]</f>
        <v>CD8C43C0-976C-4405-BAA4-A6B2B9A2D916</v>
      </c>
      <c r="E481" s="8"/>
      <c r="F481" s="25" t="str" cm="1">
        <f t="array" ref="F481">IF(NodesJSON[[#This Row],[Export?]]=0,"",IF(ROW(NodesJSON[[#This Row],[label]])&gt;ROW(NodesJSON[[#Headers],[JSON]])+1,",","") &amp;"{"&amp;twoRangesToJSON(NodesJSON[[#Headers],[label]:[url]],NodesJSON[[#This Row],[label]:[url]])&amp;"}")</f>
        <v>,{"label":"Virtual Directory","group":"","id":"CD8C43C0-976C-4405-BAA4-A6B2B9A2D916","url":""}</v>
      </c>
      <c r="G481" s="26"/>
    </row>
    <row r="482" spans="1:7" ht="13.9" thickTop="1" thickBot="1" x14ac:dyDescent="0.4">
      <c r="A482" s="39">
        <f>IF(ISERR(NodesJSON[[#This Row],[label]]),0,1)</f>
        <v>1</v>
      </c>
      <c r="B482" s="8" t="str">
        <f>NodesData[[#This Row],[Common Name]]</f>
        <v>Virtual Private Network</v>
      </c>
      <c r="C482" s="8" t="str">
        <f>IF(NodesData[[#This Row],[Context Instanciation]]="","",NodesData[[#This Row],[Context Instanciation]])</f>
        <v/>
      </c>
      <c r="D482" s="27" t="str">
        <f>NodesData[[#This Row],[Node ID]]</f>
        <v>0D37256E-D2AB-4231-9F6A-7B41A6762475</v>
      </c>
      <c r="E482" s="8"/>
      <c r="F482" s="25" t="str" cm="1">
        <f t="array" ref="F482">IF(NodesJSON[[#This Row],[Export?]]=0,"",IF(ROW(NodesJSON[[#This Row],[label]])&gt;ROW(NodesJSON[[#Headers],[JSON]])+1,",","") &amp;"{"&amp;twoRangesToJSON(NodesJSON[[#Headers],[label]:[url]],NodesJSON[[#This Row],[label]:[url]])&amp;"}")</f>
        <v>,{"label":"Virtual Private Network","group":"","id":"0D37256E-D2AB-4231-9F6A-7B41A6762475","url":""}</v>
      </c>
      <c r="G482" s="26"/>
    </row>
    <row r="483" spans="1:7" ht="13.9" thickTop="1" thickBot="1" x14ac:dyDescent="0.4">
      <c r="A483" s="39">
        <f>IF(ISERR(NodesJSON[[#This Row],[label]]),0,1)</f>
        <v>1</v>
      </c>
      <c r="B483" s="8" t="str">
        <f>NodesData[[#This Row],[Common Name]]</f>
        <v>Virtual Risk and Security Site Review</v>
      </c>
      <c r="C483" s="8" t="str">
        <f>IF(NodesData[[#This Row],[Context Instanciation]]="","",NodesData[[#This Row],[Context Instanciation]])</f>
        <v/>
      </c>
      <c r="D483" s="27" t="str">
        <f>NodesData[[#This Row],[Node ID]]</f>
        <v>D7E3E163-D6A6-42EE-BCDB-C350AEC368E2</v>
      </c>
      <c r="E483" s="8"/>
      <c r="F483" s="25" t="str" cm="1">
        <f t="array" ref="F483">IF(NodesJSON[[#This Row],[Export?]]=0,"",IF(ROW(NodesJSON[[#This Row],[label]])&gt;ROW(NodesJSON[[#Headers],[JSON]])+1,",","") &amp;"{"&amp;twoRangesToJSON(NodesJSON[[#Headers],[label]:[url]],NodesJSON[[#This Row],[label]:[url]])&amp;"}")</f>
        <v>,{"label":"Virtual Risk and Security Site Review","group":"","id":"D7E3E163-D6A6-42EE-BCDB-C350AEC368E2","url":""}</v>
      </c>
      <c r="G483" s="26"/>
    </row>
    <row r="484" spans="1:7" ht="13.9" thickTop="1" thickBot="1" x14ac:dyDescent="0.4">
      <c r="A484" s="39">
        <f>IF(ISERR(NodesJSON[[#This Row],[label]]),0,1)</f>
        <v>1</v>
      </c>
      <c r="B484" s="8" t="str">
        <f>NodesData[[#This Row],[Common Name]]</f>
        <v>Voice OTP</v>
      </c>
      <c r="C484" s="8" t="str">
        <f>IF(NodesData[[#This Row],[Context Instanciation]]="","",NodesData[[#This Row],[Context Instanciation]])</f>
        <v/>
      </c>
      <c r="D484" s="27" t="str">
        <f>NodesData[[#This Row],[Node ID]]</f>
        <v>82E99C95-DD05-4BDF-A6AC-D511A34E4472</v>
      </c>
      <c r="E484" s="8"/>
      <c r="F484" s="25" t="str" cm="1">
        <f t="array" ref="F484">IF(NodesJSON[[#This Row],[Export?]]=0,"",IF(ROW(NodesJSON[[#This Row],[label]])&gt;ROW(NodesJSON[[#Headers],[JSON]])+1,",","") &amp;"{"&amp;twoRangesToJSON(NodesJSON[[#Headers],[label]:[url]],NodesJSON[[#This Row],[label]:[url]])&amp;"}")</f>
        <v>,{"label":"Voice OTP","group":"","id":"82E99C95-DD05-4BDF-A6AC-D511A34E4472","url":""}</v>
      </c>
      <c r="G484" s="26"/>
    </row>
    <row r="485" spans="1:7" ht="13.9" thickTop="1" thickBot="1" x14ac:dyDescent="0.4">
      <c r="A485" s="39">
        <f>IF(ISERR(NodesJSON[[#This Row],[label]]),0,1)</f>
        <v>1</v>
      </c>
      <c r="B485" s="8" t="str">
        <f>NodesData[[#This Row],[Common Name]]</f>
        <v>Voice Recognition Authentication</v>
      </c>
      <c r="C485" s="8" t="str">
        <f>IF(NodesData[[#This Row],[Context Instanciation]]="","",NodesData[[#This Row],[Context Instanciation]])</f>
        <v/>
      </c>
      <c r="D485" s="27" t="str">
        <f>NodesData[[#This Row],[Node ID]]</f>
        <v>F308D789-DA7D-4E47-A5C3-2B03D6929447</v>
      </c>
      <c r="E485" s="8"/>
      <c r="F485" s="25" t="str" cm="1">
        <f t="array" ref="F485">IF(NodesJSON[[#This Row],[Export?]]=0,"",IF(ROW(NodesJSON[[#This Row],[label]])&gt;ROW(NodesJSON[[#Headers],[JSON]])+1,",","") &amp;"{"&amp;twoRangesToJSON(NodesJSON[[#Headers],[label]:[url]],NodesJSON[[#This Row],[label]:[url]])&amp;"}")</f>
        <v>,{"label":"Voice Recognition Authentication","group":"","id":"F308D789-DA7D-4E47-A5C3-2B03D6929447","url":""}</v>
      </c>
      <c r="G485" s="26"/>
    </row>
    <row r="486" spans="1:7" ht="13.9" thickTop="1" thickBot="1" x14ac:dyDescent="0.4">
      <c r="A486" s="39">
        <f>IF(ISERR(NodesJSON[[#This Row],[label]]),0,1)</f>
        <v>1</v>
      </c>
      <c r="B486" s="8" t="str">
        <f>NodesData[[#This Row],[Common Name]]</f>
        <v>VPN</v>
      </c>
      <c r="C486" s="8" t="str">
        <f>IF(NodesData[[#This Row],[Context Instanciation]]="","",NodesData[[#This Row],[Context Instanciation]])</f>
        <v/>
      </c>
      <c r="D486" s="27" t="str">
        <f>NodesData[[#This Row],[Node ID]]</f>
        <v>E270DC66-6FD9-4503-9585-121117F6498C</v>
      </c>
      <c r="E486" s="8"/>
      <c r="F486" s="25" t="str" cm="1">
        <f t="array" ref="F486">IF(NodesJSON[[#This Row],[Export?]]=0,"",IF(ROW(NodesJSON[[#This Row],[label]])&gt;ROW(NodesJSON[[#Headers],[JSON]])+1,",","") &amp;"{"&amp;twoRangesToJSON(NodesJSON[[#Headers],[label]:[url]],NodesJSON[[#This Row],[label]:[url]])&amp;"}")</f>
        <v>,{"label":"VPN","group":"","id":"E270DC66-6FD9-4503-9585-121117F6498C","url":""}</v>
      </c>
      <c r="G486" s="26"/>
    </row>
    <row r="487" spans="1:7" ht="13.9" thickTop="1" thickBot="1" x14ac:dyDescent="0.4">
      <c r="A487" s="39">
        <f>IF(ISERR(NodesJSON[[#This Row],[label]]),0,1)</f>
        <v>1</v>
      </c>
      <c r="B487" s="8" t="str">
        <f>NodesData[[#This Row],[Common Name]]</f>
        <v>Weak Authentication</v>
      </c>
      <c r="C487" s="8" t="str">
        <f>IF(NodesData[[#This Row],[Context Instanciation]]="","",NodesData[[#This Row],[Context Instanciation]])</f>
        <v/>
      </c>
      <c r="D487" s="27" t="str">
        <f>NodesData[[#This Row],[Node ID]]</f>
        <v>6A8F3996-9A52-4FD0-95C9-FEFDEBD8FCE3</v>
      </c>
      <c r="E487" s="8"/>
      <c r="F487" s="25" t="str" cm="1">
        <f t="array" ref="F487">IF(NodesJSON[[#This Row],[Export?]]=0,"",IF(ROW(NodesJSON[[#This Row],[label]])&gt;ROW(NodesJSON[[#Headers],[JSON]])+1,",","") &amp;"{"&amp;twoRangesToJSON(NodesJSON[[#Headers],[label]:[url]],NodesJSON[[#This Row],[label]:[url]])&amp;"}")</f>
        <v>,{"label":"Weak Authentication","group":"","id":"6A8F3996-9A52-4FD0-95C9-FEFDEBD8FCE3","url":""}</v>
      </c>
      <c r="G487" s="26"/>
    </row>
    <row r="488" spans="1:7" ht="13.9" thickTop="1" thickBot="1" x14ac:dyDescent="0.4">
      <c r="A488" s="39">
        <f>IF(ISERR(NodesJSON[[#This Row],[label]]),0,1)</f>
        <v>1</v>
      </c>
      <c r="B488" s="8" t="str">
        <f>NodesData[[#This Row],[Common Name]]</f>
        <v>Weak Tranquility Property</v>
      </c>
      <c r="C488" s="8" t="str">
        <f>IF(NodesData[[#This Row],[Context Instanciation]]="","",NodesData[[#This Row],[Context Instanciation]])</f>
        <v/>
      </c>
      <c r="D488" s="27" t="str">
        <f>NodesData[[#This Row],[Node ID]]</f>
        <v>D0BF2D28-1BEF-43CF-860C-4D8768786898</v>
      </c>
      <c r="E488" s="8"/>
      <c r="F488" s="25" t="str" cm="1">
        <f t="array" ref="F488">IF(NodesJSON[[#This Row],[Export?]]=0,"",IF(ROW(NodesJSON[[#This Row],[label]])&gt;ROW(NodesJSON[[#Headers],[JSON]])+1,",","") &amp;"{"&amp;twoRangesToJSON(NodesJSON[[#Headers],[label]:[url]],NodesJSON[[#This Row],[label]:[url]])&amp;"}")</f>
        <v>,{"label":"Weak Tranquility Property","group":"","id":"D0BF2D28-1BEF-43CF-860C-4D8768786898","url":""}</v>
      </c>
      <c r="G488" s="26"/>
    </row>
    <row r="489" spans="1:7" ht="13.9" thickTop="1" thickBot="1" x14ac:dyDescent="0.4">
      <c r="A489" s="39">
        <f>IF(ISERR(NodesJSON[[#This Row],[label]]),0,1)</f>
        <v>1</v>
      </c>
      <c r="B489" s="8" t="str">
        <f>NodesData[[#This Row],[Common Name]]</f>
        <v>Web-based Single Sign-On</v>
      </c>
      <c r="C489" s="8" t="str">
        <f>IF(NodesData[[#This Row],[Context Instanciation]]="","",NodesData[[#This Row],[Context Instanciation]])</f>
        <v/>
      </c>
      <c r="D489" s="27" t="str">
        <f>NodesData[[#This Row],[Node ID]]</f>
        <v>B5653AD0-12F8-440A-981C-AEC60F33828C</v>
      </c>
      <c r="E489" s="8"/>
      <c r="F489" s="25" t="str" cm="1">
        <f t="array" ref="F489">IF(NodesJSON[[#This Row],[Export?]]=0,"",IF(ROW(NodesJSON[[#This Row],[label]])&gt;ROW(NodesJSON[[#Headers],[JSON]])+1,",","") &amp;"{"&amp;twoRangesToJSON(NodesJSON[[#Headers],[label]:[url]],NodesJSON[[#This Row],[label]:[url]])&amp;"}")</f>
        <v>,{"label":"Web-based Single Sign-On","group":"","id":"B5653AD0-12F8-440A-981C-AEC60F33828C","url":""}</v>
      </c>
      <c r="G489" s="26"/>
    </row>
    <row r="490" spans="1:7" ht="13.9" thickTop="1" thickBot="1" x14ac:dyDescent="0.4">
      <c r="A490" s="39">
        <f>IF(ISERR(NodesJSON[[#This Row],[label]]),0,1)</f>
        <v>1</v>
      </c>
      <c r="B490" s="4" t="str">
        <f>NodesData[[#This Row],[Common Name]]</f>
        <v>Windows (Non-Default) Local User Account</v>
      </c>
      <c r="C490" s="8" t="str">
        <f>IF(NodesData[[#This Row],[Context Instanciation]]="","",NodesData[[#This Row],[Context Instanciation]])</f>
        <v/>
      </c>
      <c r="D490" s="27" t="str">
        <f>NodesData[[#This Row],[Node ID]]</f>
        <v>CEA15A1E-BFFC-40BD-8BE9-22DC140E6A74</v>
      </c>
      <c r="E490" s="4"/>
      <c r="F490" s="25" t="str" cm="1">
        <f t="array" ref="F490">IF(NodesJSON[[#This Row],[Export?]]=0,"",IF(ROW(NodesJSON[[#This Row],[label]])&gt;ROW(NodesJSON[[#Headers],[JSON]])+1,",","") &amp;"{"&amp;twoRangesToJSON(NodesJSON[[#Headers],[label]:[url]],NodesJSON[[#This Row],[label]:[url]])&amp;"}")</f>
        <v>,{"label":"Windows (Non-Default) Local User Account","group":"","id":"CEA15A1E-BFFC-40BD-8BE9-22DC140E6A74","url":""}</v>
      </c>
    </row>
    <row r="491" spans="1:7" ht="13.9" thickTop="1" thickBot="1" x14ac:dyDescent="0.4">
      <c r="A491" s="39">
        <f>IF(ISERR(NodesJSON[[#This Row],[label]]),0,1)</f>
        <v>1</v>
      </c>
      <c r="B491" s="4" t="str">
        <f>NodesData[[#This Row],[Common Name]]</f>
        <v>Windows Default Local System Account</v>
      </c>
      <c r="C491" s="8" t="str">
        <f>IF(NodesData[[#This Row],[Context Instanciation]]="","",NodesData[[#This Row],[Context Instanciation]])</f>
        <v/>
      </c>
      <c r="D491" s="27" t="str">
        <f>NodesData[[#This Row],[Node ID]]</f>
        <v>35951275-0B52-4412-B02D-3EB5B16BFC2E</v>
      </c>
      <c r="E491" s="4"/>
      <c r="F491" s="25" t="str" cm="1">
        <f t="array" ref="F491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 Local System Account","group":"","id":"35951275-0B52-4412-B02D-3EB5B16BFC2E","url":""}</v>
      </c>
    </row>
    <row r="492" spans="1:7" ht="13.9" thickTop="1" thickBot="1" x14ac:dyDescent="0.4">
      <c r="A492" s="39">
        <f>IF(ISERR(NodesJSON[[#This Row],[label]]),0,1)</f>
        <v>1</v>
      </c>
      <c r="B492" s="4" t="str">
        <f>NodesData[[#This Row],[Common Name]]</f>
        <v>Windows Default Local User Account</v>
      </c>
      <c r="C492" s="8" t="str">
        <f>IF(NodesData[[#This Row],[Context Instanciation]]="","",NodesData[[#This Row],[Context Instanciation]])</f>
        <v/>
      </c>
      <c r="D492" s="27" t="str">
        <f>NodesData[[#This Row],[Node ID]]</f>
        <v>82F7E720-E906-471F-9AB5-740B2D84D691</v>
      </c>
      <c r="E492" s="4"/>
      <c r="F492" s="25" t="str" cm="1">
        <f t="array" ref="F492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 Local User Account","group":"","id":"82F7E720-E906-471F-9AB5-740B2D84D691","url":""}</v>
      </c>
    </row>
    <row r="493" spans="1:7" ht="13.9" thickTop="1" thickBot="1" x14ac:dyDescent="0.4">
      <c r="A493" s="39">
        <f>IF(ISERR(NodesJSON[[#This Row],[label]]),0,1)</f>
        <v>1</v>
      </c>
      <c r="B493" s="4" t="str">
        <f>NodesData[[#This Row],[Common Name]]</f>
        <v>Windows DefaultAccount Account</v>
      </c>
      <c r="C493" s="8" t="str">
        <f>IF(NodesData[[#This Row],[Context Instanciation]]="","",NodesData[[#This Row],[Context Instanciation]])</f>
        <v/>
      </c>
      <c r="D493" s="27" t="str">
        <f>NodesData[[#This Row],[Node ID]]</f>
        <v>BE551C08-22EA-408F-B122-B8A8E2C855C3</v>
      </c>
      <c r="E493" s="4"/>
      <c r="F493" s="25" t="str" cm="1">
        <f t="array" ref="F493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DefaultAccount Account","group":"","id":"BE551C08-22EA-408F-B122-B8A8E2C855C3","url":""}</v>
      </c>
    </row>
    <row r="494" spans="1:7" ht="13.9" thickTop="1" thickBot="1" x14ac:dyDescent="0.4">
      <c r="A494" s="39">
        <f>IF(ISERR(NodesJSON[[#This Row],[label]]),0,1)</f>
        <v>1</v>
      </c>
      <c r="B494" s="4" t="str">
        <f>NodesData[[#This Row],[Common Name]]</f>
        <v>Windows Guest Account</v>
      </c>
      <c r="C494" s="8" t="str">
        <f>IF(NodesData[[#This Row],[Context Instanciation]]="","",NodesData[[#This Row],[Context Instanciation]])</f>
        <v/>
      </c>
      <c r="D494" s="27" t="str">
        <f>NodesData[[#This Row],[Node ID]]</f>
        <v>F9528751-D19E-40DD-ADD9-FF376E9C549D</v>
      </c>
      <c r="E494" s="4"/>
      <c r="F494" s="25" t="str" cm="1">
        <f t="array" ref="F494">IF(NodesJSON[[#This Row],[Export?]]=0,"",IF(ROW(NodesJSON[[#This Row],[label]])&gt;ROW(NodesJSON[[#Headers],[JSON]])+1,",","") &amp;"{"&amp;twoRangesToJSON(NodesJSON[[#Headers],[label]:[url]],NodesJSON[[#This Row],[label]:[url]])&amp;"}")</f>
        <v>,{"label":"Windows Guest Account","group":"","id":"F9528751-D19E-40DD-ADD9-FF376E9C549D","url":""}</v>
      </c>
    </row>
    <row r="495" spans="1:7" ht="13.9" thickTop="1" thickBot="1" x14ac:dyDescent="0.4">
      <c r="A495" s="39">
        <f>IF(ISERR(NodesJSON[[#This Row],[label]]),0,1)</f>
        <v>1</v>
      </c>
      <c r="B495" s="4" t="str">
        <f>NodesData[[#This Row],[Common Name]]</f>
        <v>Windows HelpAssistant Account</v>
      </c>
      <c r="C495" s="8" t="str">
        <f>IF(NodesData[[#This Row],[Context Instanciation]]="","",NodesData[[#This Row],[Context Instanciation]])</f>
        <v/>
      </c>
      <c r="D495" s="27" t="str">
        <f>NodesData[[#This Row],[Node ID]]</f>
        <v>60B86960-D816-4735-8E8C-565CB851E59E</v>
      </c>
      <c r="E495" s="4"/>
      <c r="F495" s="25" t="str" cm="1">
        <f t="array" ref="F495">IF(NodesJSON[[#This Row],[Export?]]=0,"",IF(ROW(NodesJSON[[#This Row],[label]])&gt;ROW(NodesJSON[[#Headers],[JSON]])+1,",","") &amp;"{"&amp;twoRangesToJSON(NodesJSON[[#Headers],[label]:[url]],NodesJSON[[#This Row],[label]:[url]])&amp;"}")</f>
        <v>,{"label":"Windows HelpAssistant Account","group":"","id":"60B86960-D816-4735-8E8C-565CB851E59E","url":""}</v>
      </c>
    </row>
    <row r="496" spans="1:7" ht="13.9" thickTop="1" thickBot="1" x14ac:dyDescent="0.4">
      <c r="A496" s="39">
        <f>IF(ISERR(NodesJSON[[#This Row],[label]]),0,1)</f>
        <v>1</v>
      </c>
      <c r="B496" s="4" t="str">
        <f>NodesData[[#This Row],[Common Name]]</f>
        <v>Windows Local Account</v>
      </c>
      <c r="C496" s="8" t="str">
        <f>IF(NodesData[[#This Row],[Context Instanciation]]="","",NodesData[[#This Row],[Context Instanciation]])</f>
        <v/>
      </c>
      <c r="D496" s="27" t="str">
        <f>NodesData[[#This Row],[Node ID]]</f>
        <v>DA85A24B-8DD8-4CCE-AD5F-DFBB58FE873B</v>
      </c>
      <c r="E496" s="4"/>
      <c r="F496" s="25" t="str" cm="1">
        <f t="array" ref="F496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Account","group":"","id":"DA85A24B-8DD8-4CCE-AD5F-DFBB58FE873B","url":""}</v>
      </c>
    </row>
    <row r="497" spans="1:6" ht="13.9" thickTop="1" thickBot="1" x14ac:dyDescent="0.4">
      <c r="A497" s="39">
        <f>IF(ISERR(NodesJSON[[#This Row],[label]]),0,1)</f>
        <v>1</v>
      </c>
      <c r="B497" s="4" t="str">
        <f>NodesData[[#This Row],[Common Name]]</f>
        <v>Windows Local Administrator Account</v>
      </c>
      <c r="C497" s="8" t="str">
        <f>IF(NodesData[[#This Row],[Context Instanciation]]="","",NodesData[[#This Row],[Context Instanciation]])</f>
        <v/>
      </c>
      <c r="D497" s="27" t="str">
        <f>NodesData[[#This Row],[Node ID]]</f>
        <v>2400C2FC-E915-49A4-AFAC-085535611F4C</v>
      </c>
      <c r="E497" s="4"/>
      <c r="F497" s="25" t="str" cm="1">
        <f t="array" ref="F497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Administrator Account","group":"","id":"2400C2FC-E915-49A4-AFAC-085535611F4C","url":""}</v>
      </c>
    </row>
    <row r="498" spans="1:6" ht="13.9" thickTop="1" thickBot="1" x14ac:dyDescent="0.4">
      <c r="A498" s="39">
        <f>IF(ISERR(NodesJSON[[#This Row],[label]]),0,1)</f>
        <v>1</v>
      </c>
      <c r="B498" s="4" t="str">
        <f>NodesData[[#This Row],[Common Name]]</f>
        <v>Windows LOCAL SERVICE Account</v>
      </c>
      <c r="C498" s="8" t="str">
        <f>IF(NodesData[[#This Row],[Context Instanciation]]="","",NodesData[[#This Row],[Context Instanciation]])</f>
        <v/>
      </c>
      <c r="D498" s="27" t="str">
        <f>NodesData[[#This Row],[Node ID]]</f>
        <v>1D1BC9B6-DC7F-49C1-B6B0-D00F5669266E</v>
      </c>
      <c r="E498" s="4"/>
      <c r="F498" s="25" t="str" cm="1">
        <f t="array" ref="F498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SERVICE Account","group":"","id":"1D1BC9B6-DC7F-49C1-B6B0-D00F5669266E","url":""}</v>
      </c>
    </row>
    <row r="499" spans="1:6" ht="13.9" thickTop="1" thickBot="1" x14ac:dyDescent="0.4">
      <c r="A499" s="39">
        <f>IF(ISERR(NodesJSON[[#This Row],[label]]),0,1)</f>
        <v>1</v>
      </c>
      <c r="B499" s="4" t="str">
        <f>NodesData[[#This Row],[Common Name]]</f>
        <v>Windows NETWORK SERVICE Account</v>
      </c>
      <c r="C499" s="8" t="str">
        <f>IF(NodesData[[#This Row],[Context Instanciation]]="","",NodesData[[#This Row],[Context Instanciation]])</f>
        <v/>
      </c>
      <c r="D499" s="27" t="str">
        <f>NodesData[[#This Row],[Node ID]]</f>
        <v>627FEBFF-57D7-4DE4-BA88-45163EB55C29</v>
      </c>
      <c r="E499" s="4"/>
      <c r="F499" s="25" t="str" cm="1">
        <f t="array" ref="F499">IF(NodesJSON[[#This Row],[Export?]]=0,"",IF(ROW(NodesJSON[[#This Row],[label]])&gt;ROW(NodesJSON[[#Headers],[JSON]])+1,",","") &amp;"{"&amp;twoRangesToJSON(NodesJSON[[#Headers],[label]:[url]],NodesJSON[[#This Row],[label]:[url]])&amp;"}")</f>
        <v>,{"label":"Windows NETWORK SERVICE Account","group":"","id":"627FEBFF-57D7-4DE4-BA88-45163EB55C29","url":""}</v>
      </c>
    </row>
    <row r="500" spans="1:6" ht="13.9" thickTop="1" thickBot="1" x14ac:dyDescent="0.4">
      <c r="A500" s="39">
        <f>IF(ISERR(NodesJSON[[#This Row],[label]]),0,1)</f>
        <v>1</v>
      </c>
      <c r="B500" s="8" t="str">
        <f>NodesData[[#This Row],[Common Name]]</f>
        <v>Windows Security Identifier</v>
      </c>
      <c r="C500" s="8" t="str">
        <f>IF(NodesData[[#This Row],[Context Instanciation]]="","",NodesData[[#This Row],[Context Instanciation]])</f>
        <v/>
      </c>
      <c r="D500" s="27" t="str">
        <f>NodesData[[#This Row],[Node ID]]</f>
        <v>39C7269C-EDCA-417C-AF3D-E5203F651899</v>
      </c>
      <c r="E500" s="8"/>
      <c r="F500" s="25" t="str" cm="1">
        <f t="array" ref="F500">IF(NodesJSON[[#This Row],[Export?]]=0,"",IF(ROW(NodesJSON[[#This Row],[label]])&gt;ROW(NodesJSON[[#Headers],[JSON]])+1,",","") &amp;"{"&amp;twoRangesToJSON(NodesJSON[[#Headers],[label]:[url]],NodesJSON[[#This Row],[label]:[url]])&amp;"}")</f>
        <v>,{"label":"Windows Security Identifier","group":"","id":"39C7269C-EDCA-417C-AF3D-E5203F651899","url":""}</v>
      </c>
    </row>
    <row r="501" spans="1:6" ht="13.9" thickTop="1" thickBot="1" x14ac:dyDescent="0.4">
      <c r="A501" s="39">
        <f>IF(ISERR(NodesJSON[[#This Row],[label]]),0,1)</f>
        <v>1</v>
      </c>
      <c r="B501" s="8" t="str">
        <f>NodesData[[#This Row],[Common Name]]</f>
        <v>Windows SYSTEM Account</v>
      </c>
      <c r="C501" s="8" t="str">
        <f>IF(NodesData[[#This Row],[Context Instanciation]]="","",NodesData[[#This Row],[Context Instanciation]])</f>
        <v/>
      </c>
      <c r="D501" s="27" t="str">
        <f>NodesData[[#This Row],[Node ID]]</f>
        <v>D7C6584E-303C-482C-B519-D488BE3F2067</v>
      </c>
      <c r="E501" s="8"/>
      <c r="F501" s="25" t="str" cm="1">
        <f t="array" ref="F501">IF(NodesJSON[[#This Row],[Export?]]=0,"",IF(ROW(NodesJSON[[#This Row],[label]])&gt;ROW(NodesJSON[[#Headers],[JSON]])+1,",","") &amp;"{"&amp;twoRangesToJSON(NodesJSON[[#Headers],[label]:[url]],NodesJSON[[#This Row],[label]:[url]])&amp;"}")</f>
        <v>,{"label":"Windows SYSTEM Account","group":"","id":"D7C6584E-303C-482C-B519-D488BE3F2067","url":""}</v>
      </c>
    </row>
    <row r="502" spans="1:6" ht="13.9" thickTop="1" thickBot="1" x14ac:dyDescent="0.4">
      <c r="A502" s="39">
        <f>IF(ISERR(NodesJSON[[#This Row],[label]]),0,1)</f>
        <v>1</v>
      </c>
      <c r="B502" s="8" t="str">
        <f>NodesData[[#This Row],[Common Name]]</f>
        <v>Worker</v>
      </c>
      <c r="C502" s="8" t="str">
        <f>IF(NodesData[[#This Row],[Context Instanciation]]="","",NodesData[[#This Row],[Context Instanciation]])</f>
        <v/>
      </c>
      <c r="D502" s="27" t="str">
        <f>NodesData[[#This Row],[Node ID]]</f>
        <v>CA8B3C72-640E-4001-B8A9-8269C046818C</v>
      </c>
      <c r="E502" s="8"/>
      <c r="F502" s="25" t="str" cm="1">
        <f t="array" ref="F502">IF(NodesJSON[[#This Row],[Export?]]=0,"",IF(ROW(NodesJSON[[#This Row],[label]])&gt;ROW(NodesJSON[[#Headers],[JSON]])+1,",","") &amp;"{"&amp;twoRangesToJSON(NodesJSON[[#Headers],[label]:[url]],NodesJSON[[#This Row],[label]:[url]])&amp;"}")</f>
        <v>,{"label":"Worker","group":"","id":"CA8B3C72-640E-4001-B8A9-8269C046818C","url":""}</v>
      </c>
    </row>
    <row r="503" spans="1:6" ht="13.9" thickTop="1" thickBot="1" x14ac:dyDescent="0.4">
      <c r="A503" s="39">
        <f>IF(ISERR(NodesJSON[[#This Row],[label]]),0,1)</f>
        <v>1</v>
      </c>
      <c r="B503" s="8" t="str">
        <f>NodesData[[#This Row],[Common Name]]</f>
        <v>Workflow-Sensitive Access Control</v>
      </c>
      <c r="C503" s="8" t="str">
        <f>IF(NodesData[[#This Row],[Context Instanciation]]="","",NodesData[[#This Row],[Context Instanciation]])</f>
        <v/>
      </c>
      <c r="D503" s="27" t="str">
        <f>NodesData[[#This Row],[Node ID]]</f>
        <v>333866DF-AFEB-4685-B074-CD68B125EE27</v>
      </c>
      <c r="E503" s="8"/>
      <c r="F503" s="25" t="str" cm="1">
        <f t="array" ref="F503">IF(NodesJSON[[#This Row],[Export?]]=0,"",IF(ROW(NodesJSON[[#This Row],[label]])&gt;ROW(NodesJSON[[#Headers],[JSON]])+1,",","") &amp;"{"&amp;twoRangesToJSON(NodesJSON[[#Headers],[label]:[url]],NodesJSON[[#This Row],[label]:[url]])&amp;"}")</f>
        <v>,{"label":"Workflow-Sensitive Access Control","group":"","id":"333866DF-AFEB-4685-B074-CD68B125EE27","url":""}</v>
      </c>
    </row>
    <row r="504" spans="1:6" ht="13.9" thickTop="1" thickBot="1" x14ac:dyDescent="0.4">
      <c r="A504" s="39">
        <f>IF(ISERR(NodesJSON[[#This Row],[label]]),0,1)</f>
        <v>1</v>
      </c>
      <c r="B504" s="8" t="str">
        <f>NodesData[[#This Row],[Common Name]]</f>
        <v>Workforce</v>
      </c>
      <c r="C504" s="8" t="str">
        <f>IF(NodesData[[#This Row],[Context Instanciation]]="","",NodesData[[#This Row],[Context Instanciation]])</f>
        <v/>
      </c>
      <c r="D504" s="27" t="str">
        <f>NodesData[[#This Row],[Node ID]]</f>
        <v>78A9CFD9-8DBE-454F-A560-66A11F4EF45F</v>
      </c>
      <c r="E504" s="8"/>
      <c r="F504" s="25" t="str" cm="1">
        <f t="array" ref="F504">IF(NodesJSON[[#This Row],[Export?]]=0,"",IF(ROW(NodesJSON[[#This Row],[label]])&gt;ROW(NodesJSON[[#Headers],[JSON]])+1,",","") &amp;"{"&amp;twoRangesToJSON(NodesJSON[[#Headers],[label]:[url]],NodesJSON[[#This Row],[label]:[url]])&amp;"}")</f>
        <v>,{"label":"Workforce","group":"","id":"78A9CFD9-8DBE-454F-A560-66A11F4EF45F","url":""}</v>
      </c>
    </row>
    <row r="505" spans="1:6" ht="13.9" thickTop="1" thickBot="1" x14ac:dyDescent="0.4">
      <c r="A505" s="39">
        <f>IF(ISERR(NodesJSON[[#This Row],[label]]),0,1)</f>
        <v>1</v>
      </c>
      <c r="B505" s="8" t="str">
        <f>NodesData[[#This Row],[Common Name]]</f>
        <v>XACML</v>
      </c>
      <c r="C505" s="8" t="str">
        <f>IF(NodesData[[#This Row],[Context Instanciation]]="","",NodesData[[#This Row],[Context Instanciation]])</f>
        <v/>
      </c>
      <c r="D505" s="27" t="str">
        <f>NodesData[[#This Row],[Node ID]]</f>
        <v>419F868F-EF92-4928-B237-5EAFEBEE9E07</v>
      </c>
      <c r="E505" s="8"/>
      <c r="F505" s="25" t="str" cm="1">
        <f t="array" ref="F505">IF(NodesJSON[[#This Row],[Export?]]=0,"",IF(ROW(NodesJSON[[#This Row],[label]])&gt;ROW(NodesJSON[[#Headers],[JSON]])+1,",","") &amp;"{"&amp;twoRangesToJSON(NodesJSON[[#Headers],[label]:[url]],NodesJSON[[#This Row],[label]:[url]])&amp;"}")</f>
        <v>,{"label":"XACML","group":"","id":"419F868F-EF92-4928-B237-5EAFEBEE9E07","url":""}</v>
      </c>
    </row>
    <row r="506" spans="1:6" ht="13.9" thickTop="1" thickBot="1" x14ac:dyDescent="0.4">
      <c r="A506" s="39">
        <f>IF(ISERR(NodesJSON[[#This Row],[label]]),0,1)</f>
        <v>1</v>
      </c>
      <c r="B506" s="8" t="str">
        <f>NodesData[[#This Row],[Common Name]]</f>
        <v>Zero-Trust Access</v>
      </c>
      <c r="C506" s="8" t="str">
        <f>IF(NodesData[[#This Row],[Context Instanciation]]="","",NodesData[[#This Row],[Context Instanciation]])</f>
        <v/>
      </c>
      <c r="D506" s="27" t="str">
        <f>NodesData[[#This Row],[Node ID]]</f>
        <v>F43A0609-0129-43ED-9F94-AF4A3D2CC422</v>
      </c>
      <c r="E506" s="8"/>
      <c r="F506" s="25" t="str" cm="1">
        <f t="array" ref="F506">IF(NodesJSON[[#This Row],[Export?]]=0,"",IF(ROW(NodesJSON[[#This Row],[label]])&gt;ROW(NodesJSON[[#Headers],[JSON]])+1,",","") &amp;"{"&amp;twoRangesToJSON(NodesJSON[[#Headers],[label]:[url]],NodesJSON[[#This Row],[label]:[url]])&amp;"}")</f>
        <v>,{"label":"Zero-Trust Access","group":"","id":"F43A0609-0129-43ED-9F94-AF4A3D2CC422","url":""}</v>
      </c>
    </row>
    <row r="507" spans="1:6" ht="13.9" thickTop="1" thickBot="1" x14ac:dyDescent="0.4">
      <c r="A507" s="39">
        <f>IF(ISERR(NodesJSON[[#This Row],[label]]),0,1)</f>
        <v>1</v>
      </c>
      <c r="B507" s="8" t="str">
        <f>NodesData[[#This Row],[Common Name]]</f>
        <v>Zombie Account</v>
      </c>
      <c r="C507" s="8" t="str">
        <f>IF(NodesData[[#This Row],[Context Instanciation]]="","",NodesData[[#This Row],[Context Instanciation]])</f>
        <v/>
      </c>
      <c r="D507" s="27" t="str">
        <f>NodesData[[#This Row],[Node ID]]</f>
        <v>21BF3343-85D6-4B23-ACBA-331CF49F8E96</v>
      </c>
      <c r="E507" s="8"/>
      <c r="F507" s="25" t="str" cm="1">
        <f t="array" ref="F507">IF(NodesJSON[[#This Row],[Export?]]=0,"",IF(ROW(NodesJSON[[#This Row],[label]])&gt;ROW(NodesJSON[[#Headers],[JSON]])+1,",","") &amp;"{"&amp;twoRangesToJSON(NodesJSON[[#Headers],[label]:[url]],NodesJSON[[#This Row],[label]:[url]])&amp;"}")</f>
        <v>,{"label":"Zombie Account","group":"","id":"21BF3343-85D6-4B23-ACBA-331CF49F8E96","url":""}</v>
      </c>
    </row>
    <row r="508" spans="1:6" ht="13.9" thickTop="1" thickBot="1" x14ac:dyDescent="0.4">
      <c r="A508" s="39">
        <f>IF(ISERR(NodesJSON[[#This Row],[label]]),0,1)</f>
        <v>1</v>
      </c>
      <c r="B508" s="8" t="str">
        <f>NodesData[[#This Row],[Common Name]]</f>
        <v>ZTA</v>
      </c>
      <c r="C508" s="8" t="str">
        <f>IF(NodesData[[#This Row],[Context Instanciation]]="","",NodesData[[#This Row],[Context Instanciation]])</f>
        <v/>
      </c>
      <c r="D508" s="27" t="str">
        <f>NodesData[[#This Row],[Node ID]]</f>
        <v>3BF3D163-D486-4052-B96A-86B15857E3E5</v>
      </c>
      <c r="E508" s="8"/>
      <c r="F508" s="25" t="str" cm="1">
        <f t="array" ref="F508">IF(NodesJSON[[#This Row],[Export?]]=0,"",IF(ROW(NodesJSON[[#This Row],[label]])&gt;ROW(NodesJSON[[#Headers],[JSON]])+1,",","") &amp;"{"&amp;twoRangesToJSON(NodesJSON[[#Headers],[label]:[url]],NodesJSON[[#This Row],[label]:[url]])&amp;"}")</f>
        <v>,{"label":"ZTA","group":"","id":"3BF3D163-D486-4052-B96A-86B15857E3E5","url":""}</v>
      </c>
    </row>
    <row r="509" spans="1:6" ht="13.9" thickTop="1" thickBot="1" x14ac:dyDescent="0.4">
      <c r="A509" s="39">
        <f>IF(ISERR(NodesJSON[[#This Row],[label]]),0,1)</f>
        <v>0</v>
      </c>
      <c r="B509" s="8" t="e">
        <f>NodesData[[#This Row],[Common Name]]</f>
        <v>#VALUE!</v>
      </c>
      <c r="C509" s="8" t="e">
        <f>IF(NodesData[[#This Row],[Context Instanciation]]="","",NodesData[[#This Row],[Context Instanciation]])</f>
        <v>#VALUE!</v>
      </c>
      <c r="D509" s="27" t="e">
        <f>NodesData[[#This Row],[Node ID]]</f>
        <v>#VALUE!</v>
      </c>
      <c r="E509" s="8"/>
      <c r="F509" s="25" t="str" cm="1">
        <f t="array" ref="F509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0" spans="1:6" ht="13.9" thickTop="1" thickBot="1" x14ac:dyDescent="0.4">
      <c r="A510" s="39">
        <f>IF(ISERR(NodesJSON[[#This Row],[label]]),0,1)</f>
        <v>0</v>
      </c>
      <c r="B510" s="8" t="e">
        <f>NodesData[[#This Row],[Common Name]]</f>
        <v>#VALUE!</v>
      </c>
      <c r="C510" s="8" t="e">
        <f>IF(NodesData[[#This Row],[Context Instanciation]]="","",NodesData[[#This Row],[Context Instanciation]])</f>
        <v>#VALUE!</v>
      </c>
      <c r="D510" s="27" t="e">
        <f>NodesData[[#This Row],[Node ID]]</f>
        <v>#VALUE!</v>
      </c>
      <c r="E510" s="8"/>
      <c r="F510" s="25" t="str" cm="1">
        <f t="array" ref="F510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1" spans="1:6" ht="13.9" thickTop="1" thickBot="1" x14ac:dyDescent="0.4">
      <c r="A511" s="39">
        <f>IF(ISERR(NodesJSON[[#This Row],[label]]),0,1)</f>
        <v>0</v>
      </c>
      <c r="B511" s="8" t="e">
        <f>NodesData[[#This Row],[Common Name]]</f>
        <v>#VALUE!</v>
      </c>
      <c r="C511" s="8" t="e">
        <f>IF(NodesData[[#This Row],[Context Instanciation]]="","",NodesData[[#This Row],[Context Instanciation]])</f>
        <v>#VALUE!</v>
      </c>
      <c r="D511" s="27" t="e">
        <f>NodesData[[#This Row],[Node ID]]</f>
        <v>#VALUE!</v>
      </c>
      <c r="E511" s="8"/>
      <c r="F511" s="25" t="str" cm="1">
        <f t="array" ref="F511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2" spans="1:6" ht="13.9" thickTop="1" thickBot="1" x14ac:dyDescent="0.4">
      <c r="A512" s="39">
        <f>IF(ISERR(NodesJSON[[#This Row],[label]]),0,1)</f>
        <v>0</v>
      </c>
      <c r="B512" s="8" t="e">
        <f>NodesData[[#This Row],[Common Name]]</f>
        <v>#VALUE!</v>
      </c>
      <c r="C512" s="8" t="e">
        <f>IF(NodesData[[#This Row],[Context Instanciation]]="","",NodesData[[#This Row],[Context Instanciation]])</f>
        <v>#VALUE!</v>
      </c>
      <c r="D512" s="27" t="e">
        <f>NodesData[[#This Row],[Node ID]]</f>
        <v>#VALUE!</v>
      </c>
      <c r="E512" s="8"/>
      <c r="F512" s="25" t="str" cm="1">
        <f t="array" ref="F512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3" spans="1:6" ht="13.9" thickTop="1" thickBot="1" x14ac:dyDescent="0.4">
      <c r="A513" s="39">
        <f>IF(ISERR(NodesJSON[[#This Row],[label]]),0,1)</f>
        <v>0</v>
      </c>
      <c r="B513" s="8" t="e">
        <f>NodesData[[#This Row],[Common Name]]</f>
        <v>#VALUE!</v>
      </c>
      <c r="C513" s="8" t="e">
        <f>IF(NodesData[[#This Row],[Context Instanciation]]="","",NodesData[[#This Row],[Context Instanciation]])</f>
        <v>#VALUE!</v>
      </c>
      <c r="D513" s="27" t="e">
        <f>NodesData[[#This Row],[Node ID]]</f>
        <v>#VALUE!</v>
      </c>
      <c r="E513" s="8"/>
      <c r="F513" s="25" t="str" cm="1">
        <f t="array" ref="F513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4" spans="1:6" ht="13.9" thickTop="1" thickBot="1" x14ac:dyDescent="0.4">
      <c r="A514" s="39">
        <f>IF(ISERR(NodesJSON[[#This Row],[label]]),0,1)</f>
        <v>0</v>
      </c>
      <c r="B514" s="8" t="e">
        <f>NodesData[[#This Row],[Common Name]]</f>
        <v>#VALUE!</v>
      </c>
      <c r="C514" s="8" t="e">
        <f>IF(NodesData[[#This Row],[Context Instanciation]]="","",NodesData[[#This Row],[Context Instanciation]])</f>
        <v>#VALUE!</v>
      </c>
      <c r="D514" s="27" t="e">
        <f>NodesData[[#This Row],[Node ID]]</f>
        <v>#VALUE!</v>
      </c>
      <c r="E514" s="8"/>
      <c r="F514" s="25" t="str" cm="1">
        <f t="array" ref="F514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5" spans="1:6" ht="13.9" thickTop="1" thickBot="1" x14ac:dyDescent="0.4">
      <c r="A515" s="39">
        <f>IF(ISERR(NodesJSON[[#This Row],[label]]),0,1)</f>
        <v>0</v>
      </c>
      <c r="B515" s="8" t="e">
        <f>NodesData[[#This Row],[Common Name]]</f>
        <v>#VALUE!</v>
      </c>
      <c r="C515" s="8" t="e">
        <f>IF(NodesData[[#This Row],[Context Instanciation]]="","",NodesData[[#This Row],[Context Instanciation]])</f>
        <v>#VALUE!</v>
      </c>
      <c r="D515" s="27" t="e">
        <f>NodesData[[#This Row],[Node ID]]</f>
        <v>#VALUE!</v>
      </c>
      <c r="E515" s="8"/>
      <c r="F515" s="25" t="str" cm="1">
        <f t="array" ref="F515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6" spans="1:6" ht="13.9" thickTop="1" thickBot="1" x14ac:dyDescent="0.4">
      <c r="A516" s="39">
        <f>IF(ISERR(NodesJSON[[#This Row],[label]]),0,1)</f>
        <v>0</v>
      </c>
      <c r="B516" s="8" t="e">
        <f>NodesData[[#This Row],[Common Name]]</f>
        <v>#VALUE!</v>
      </c>
      <c r="C516" s="8" t="e">
        <f>IF(NodesData[[#This Row],[Context Instanciation]]="","",NodesData[[#This Row],[Context Instanciation]])</f>
        <v>#VALUE!</v>
      </c>
      <c r="D516" s="27" t="e">
        <f>NodesData[[#This Row],[Node ID]]</f>
        <v>#VALUE!</v>
      </c>
      <c r="E516" s="8"/>
      <c r="F516" s="25" t="str" cm="1">
        <f t="array" ref="F516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7" spans="1:6" ht="13.9" thickTop="1" thickBot="1" x14ac:dyDescent="0.4">
      <c r="A517" s="39">
        <f>IF(ISERR(NodesJSON[[#This Row],[label]]),0,1)</f>
        <v>0</v>
      </c>
      <c r="B517" s="8" t="e">
        <f>NodesData[[#This Row],[Common Name]]</f>
        <v>#VALUE!</v>
      </c>
      <c r="C517" s="8" t="e">
        <f>IF(NodesData[[#This Row],[Context Instanciation]]="","",NodesData[[#This Row],[Context Instanciation]])</f>
        <v>#VALUE!</v>
      </c>
      <c r="D517" s="27" t="e">
        <f>NodesData[[#This Row],[Node ID]]</f>
        <v>#VALUE!</v>
      </c>
      <c r="E517" s="8"/>
      <c r="F517" s="25" t="str" cm="1">
        <f t="array" ref="F517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8" spans="1:6" ht="13.9" thickTop="1" thickBot="1" x14ac:dyDescent="0.4">
      <c r="A518" s="39">
        <f>IF(ISERR(NodesJSON[[#This Row],[label]]),0,1)</f>
        <v>0</v>
      </c>
      <c r="B518" s="8" t="e">
        <f>NodesData[[#This Row],[Common Name]]</f>
        <v>#VALUE!</v>
      </c>
      <c r="C518" s="8" t="e">
        <f>IF(NodesData[[#This Row],[Context Instanciation]]="","",NodesData[[#This Row],[Context Instanciation]])</f>
        <v>#VALUE!</v>
      </c>
      <c r="D518" s="27" t="e">
        <f>NodesData[[#This Row],[Node ID]]</f>
        <v>#VALUE!</v>
      </c>
      <c r="E518" s="8"/>
      <c r="F518" s="25" t="str" cm="1">
        <f t="array" ref="F518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9" spans="1:6" ht="13.9" thickTop="1" thickBot="1" x14ac:dyDescent="0.4">
      <c r="A519" s="39">
        <f>IF(ISERR(NodesJSON[[#This Row],[label]]),0,1)</f>
        <v>0</v>
      </c>
      <c r="B519" s="8" t="e">
        <f>NodesData[[#This Row],[Common Name]]</f>
        <v>#VALUE!</v>
      </c>
      <c r="C519" s="8" t="e">
        <f>IF(NodesData[[#This Row],[Context Instanciation]]="","",NodesData[[#This Row],[Context Instanciation]])</f>
        <v>#VALUE!</v>
      </c>
      <c r="D519" s="27" t="e">
        <f>NodesData[[#This Row],[Node ID]]</f>
        <v>#VALUE!</v>
      </c>
      <c r="E519" s="8"/>
      <c r="F519" s="25" t="str" cm="1">
        <f t="array" ref="F519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20" spans="1:6" ht="13.15" thickTop="1" x14ac:dyDescent="0.35"/>
  </sheetData>
  <conditionalFormatting sqref="A3:A5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785813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F88"/>
  <sheetViews>
    <sheetView topLeftCell="A61" zoomScale="120" zoomScaleNormal="120" workbookViewId="0">
      <selection activeCell="A70" sqref="A70"/>
    </sheetView>
  </sheetViews>
  <sheetFormatPr defaultRowHeight="12.75" x14ac:dyDescent="0.35"/>
  <cols>
    <col min="1" max="1" width="2.53125" style="2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6" s="1" customFormat="1" ht="19.899999999999999" thickBot="1" x14ac:dyDescent="0.65">
      <c r="A1" s="1" t="s">
        <v>1379</v>
      </c>
      <c r="B1" s="9"/>
      <c r="C1" s="9"/>
      <c r="D1" s="23"/>
    </row>
    <row r="2" spans="1:6" s="12" customFormat="1" ht="15" thickTop="1" thickBot="1" x14ac:dyDescent="0.5">
      <c r="A2" s="15" t="s">
        <v>1418</v>
      </c>
      <c r="B2" s="15" t="s">
        <v>1334</v>
      </c>
      <c r="C2" s="15" t="s">
        <v>1353</v>
      </c>
      <c r="D2" s="15" t="s">
        <v>1354</v>
      </c>
      <c r="E2" s="15" t="s">
        <v>1335</v>
      </c>
      <c r="F2" s="24" t="s">
        <v>1333</v>
      </c>
    </row>
    <row r="3" spans="1:6" ht="13.9" thickTop="1" thickBot="1" x14ac:dyDescent="0.4">
      <c r="A3" s="38">
        <f>IF(ISERR(EdgesJSON[[#This Row],[id]]),0,1)</f>
        <v>1</v>
      </c>
      <c r="B3" s="21" t="str">
        <f>EdgesData[[#This Row],[Edge ID]]</f>
        <v>A17E472C-A172-448D-8213-07C1399DEEFA</v>
      </c>
      <c r="C3" s="21" t="str">
        <f>EdgesData[[#This Row],[Node A ID]]</f>
        <v>A2967417-72BE-4537-BE1E-39E6298F5851</v>
      </c>
      <c r="D3" s="21" t="str">
        <f>EdgesData[[#This Row],[Node B ID]]</f>
        <v>4C6DA97E-8091-41CA-B99C-4250D2678005</v>
      </c>
      <c r="E3" s="3" t="str">
        <f>EdgesData[[#This Row],[Rel]]</f>
        <v>is</v>
      </c>
      <c r="F3" s="25" t="str" cm="1">
        <f t="array" ref="F3">IF(EdgesJSON[[#This Row],[Export?]]=0,"",IF(ROW(EdgesJSON[[#This Row],[id]])&gt;ROW(EdgesJSON[[#Headers],[JSON]])+1,",","") &amp;"{"&amp;twoRangesToJSON(EdgesJSON[[#Headers],[id]:[label]],EdgesJSON[[#This Row],[id]:[label]])&amp;"}")</f>
        <v>{"id":"A17E472C-A172-448D-8213-07C1399DEEFA","from":"A2967417-72BE-4537-BE1E-39E6298F5851","to":"4C6DA97E-8091-41CA-B99C-4250D2678005","label":"is"}</v>
      </c>
    </row>
    <row r="4" spans="1:6" ht="13.9" thickTop="1" thickBot="1" x14ac:dyDescent="0.4">
      <c r="A4" s="38">
        <f>IF(ISERR(EdgesJSON[[#This Row],[id]]),0,1)</f>
        <v>1</v>
      </c>
      <c r="B4" s="21" t="str">
        <f>EdgesData[[#This Row],[Edge ID]]</f>
        <v>8BDEB3AE-BCDB-42D9-AA7F-516CC0127EC0</v>
      </c>
      <c r="C4" s="21" t="str">
        <f>EdgesData[[#This Row],[Node A ID]]</f>
        <v>47316C02-A4EB-4832-B925-1D094DE618CA</v>
      </c>
      <c r="D4" s="21" t="str">
        <f>EdgesData[[#This Row],[Node B ID]]</f>
        <v>5CB6C907-0D88-4068-B90F-90D2B4E5C9CF</v>
      </c>
      <c r="E4" s="3" t="str">
        <f>EdgesData[[#This Row],[Rel]]</f>
        <v>is</v>
      </c>
      <c r="F4" s="25" t="str" cm="1">
        <f t="array" ref="F4">IF(EdgesJSON[[#This Row],[Export?]]=0,"",IF(ROW(EdgesJSON[[#This Row],[id]])&gt;ROW(EdgesJSON[[#Headers],[JSON]])+1,",","") &amp;"{"&amp;twoRangesToJSON(EdgesJSON[[#Headers],[id]:[label]],EdgesJSON[[#This Row],[id]:[label]])&amp;"}")</f>
        <v>,{"id":"8BDEB3AE-BCDB-42D9-AA7F-516CC0127EC0","from":"47316C02-A4EB-4832-B925-1D094DE618CA","to":"5CB6C907-0D88-4068-B90F-90D2B4E5C9CF","label":"is"}</v>
      </c>
    </row>
    <row r="5" spans="1:6" ht="13.9" thickTop="1" thickBot="1" x14ac:dyDescent="0.4">
      <c r="A5" s="38">
        <f>IF(ISERR(EdgesJSON[[#This Row],[id]]),0,1)</f>
        <v>1</v>
      </c>
      <c r="B5" s="21" t="str">
        <f>EdgesData[[#This Row],[Edge ID]]</f>
        <v>A6E9BB21-DA1C-4399-8FC4-0166CA3A459C</v>
      </c>
      <c r="C5" s="21" t="str">
        <f>EdgesData[[#This Row],[Node A ID]]</f>
        <v>47316C02-A4EB-4832-B925-1D094DE618CA</v>
      </c>
      <c r="D5" s="21" t="str">
        <f>EdgesData[[#This Row],[Node B ID]]</f>
        <v>B92DFC96-CD21-42CC-B21F-7D5820C1DCC7</v>
      </c>
      <c r="E5" s="3" t="str">
        <f>EdgesData[[#This Row],[Rel]]</f>
        <v>protects</v>
      </c>
      <c r="F5" s="25" t="str" cm="1">
        <f t="array" ref="F5">IF(EdgesJSON[[#This Row],[Export?]]=0,"",IF(ROW(EdgesJSON[[#This Row],[id]])&gt;ROW(EdgesJSON[[#Headers],[JSON]])+1,",","") &amp;"{"&amp;twoRangesToJSON(EdgesJSON[[#Headers],[id]:[label]],EdgesJSON[[#This Row],[id]:[label]])&amp;"}")</f>
        <v>,{"id":"A6E9BB21-DA1C-4399-8FC4-0166CA3A459C","from":"47316C02-A4EB-4832-B925-1D094DE618CA","to":"B92DFC96-CD21-42CC-B21F-7D5820C1DCC7","label":"protects"}</v>
      </c>
    </row>
    <row r="6" spans="1:6" ht="13.9" thickTop="1" thickBot="1" x14ac:dyDescent="0.4">
      <c r="A6" s="38">
        <f>IF(ISERR(EdgesJSON[[#This Row],[id]]),0,1)</f>
        <v>1</v>
      </c>
      <c r="B6" s="21" t="str">
        <f>EdgesData[[#This Row],[Edge ID]]</f>
        <v>2451BBD8-749D-46FA-BD78-F55BF4C71428</v>
      </c>
      <c r="C6" s="21" t="str">
        <f>EdgesData[[#This Row],[Node A ID]]</f>
        <v>47316C02-A4EB-4832-B925-1D094DE618CA</v>
      </c>
      <c r="D6" s="21" t="str">
        <f>EdgesData[[#This Row],[Node B ID]]</f>
        <v>8A84FB45-D721-4F51-92D2-6F252494072A</v>
      </c>
      <c r="E6" s="3" t="str">
        <f>EdgesData[[#This Row],[Rel]]</f>
        <v>protects from</v>
      </c>
      <c r="F6" s="25" t="str" cm="1">
        <f t="array" ref="F6">IF(EdgesJSON[[#This Row],[Export?]]=0,"",IF(ROW(EdgesJSON[[#This Row],[id]])&gt;ROW(EdgesJSON[[#Headers],[JSON]])+1,",","") &amp;"{"&amp;twoRangesToJSON(EdgesJSON[[#Headers],[id]:[label]],EdgesJSON[[#This Row],[id]:[label]])&amp;"}")</f>
        <v>,{"id":"2451BBD8-749D-46FA-BD78-F55BF4C71428","from":"47316C02-A4EB-4832-B925-1D094DE618CA","to":"8A84FB45-D721-4F51-92D2-6F252494072A","label":"protects from"}</v>
      </c>
    </row>
    <row r="7" spans="1:6" ht="13.9" thickTop="1" thickBot="1" x14ac:dyDescent="0.4">
      <c r="A7" s="38">
        <f>IF(ISERR(EdgesJSON[[#This Row],[id]]),0,1)</f>
        <v>1</v>
      </c>
      <c r="B7" s="21" t="str">
        <f>EdgesData[[#This Row],[Edge ID]]</f>
        <v>3BCFFB5B-0A18-4B2A-914D-E47714BA8556</v>
      </c>
      <c r="C7" s="21" t="str">
        <f>EdgesData[[#This Row],[Node A ID]]</f>
        <v>566E708D-FD51-436E-9E4D-051F1F485979</v>
      </c>
      <c r="D7" s="21" t="str">
        <f>EdgesData[[#This Row],[Node B ID]]</f>
        <v>4C6DA97E-8091-41CA-B99C-4250D2678005</v>
      </c>
      <c r="E7" s="3" t="str">
        <f>EdgesData[[#This Row],[Rel]]</f>
        <v>is</v>
      </c>
      <c r="F7" s="25" t="str" cm="1">
        <f t="array" ref="F7">IF(EdgesJSON[[#This Row],[Export?]]=0,"",IF(ROW(EdgesJSON[[#This Row],[id]])&gt;ROW(EdgesJSON[[#Headers],[JSON]])+1,",","") &amp;"{"&amp;twoRangesToJSON(EdgesJSON[[#Headers],[id]:[label]],EdgesJSON[[#This Row],[id]:[label]])&amp;"}")</f>
        <v>,{"id":"3BCFFB5B-0A18-4B2A-914D-E47714BA8556","from":"566E708D-FD51-436E-9E4D-051F1F485979","to":"4C6DA97E-8091-41CA-B99C-4250D2678005","label":"is"}</v>
      </c>
    </row>
    <row r="8" spans="1:6" ht="13.9" thickTop="1" thickBot="1" x14ac:dyDescent="0.4">
      <c r="A8" s="38">
        <f>IF(ISERR(EdgesJSON[[#This Row],[id]]),0,1)</f>
        <v>1</v>
      </c>
      <c r="B8" s="21" t="str">
        <f>EdgesData[[#This Row],[Edge ID]]</f>
        <v>0123F3C2-3082-4585-8B6E-9A952C4BEBA5</v>
      </c>
      <c r="C8" s="21" t="str">
        <f>EdgesData[[#This Row],[Node A ID]]</f>
        <v>566E708D-FD51-436E-9E4D-051F1F485979</v>
      </c>
      <c r="D8" s="21" t="str">
        <f>EdgesData[[#This Row],[Node B ID]]</f>
        <v>A2967417-72BE-4537-BE1E-39E6298F5851</v>
      </c>
      <c r="E8" s="3" t="str">
        <f>EdgesData[[#This Row],[Rel]]</f>
        <v>is</v>
      </c>
      <c r="F8" s="25" t="str" cm="1">
        <f t="array" ref="F8">IF(EdgesJSON[[#This Row],[Export?]]=0,"",IF(ROW(EdgesJSON[[#This Row],[id]])&gt;ROW(EdgesJSON[[#Headers],[JSON]])+1,",","") &amp;"{"&amp;twoRangesToJSON(EdgesJSON[[#Headers],[id]:[label]],EdgesJSON[[#This Row],[id]:[label]])&amp;"}")</f>
        <v>,{"id":"0123F3C2-3082-4585-8B6E-9A952C4BEBA5","from":"566E708D-FD51-436E-9E4D-051F1F485979","to":"A2967417-72BE-4537-BE1E-39E6298F5851","label":"is"}</v>
      </c>
    </row>
    <row r="9" spans="1:6" ht="13.9" thickTop="1" thickBot="1" x14ac:dyDescent="0.4">
      <c r="A9" s="38">
        <f>IF(ISERR(EdgesJSON[[#This Row],[id]]),0,1)</f>
        <v>1</v>
      </c>
      <c r="B9" s="21" t="str">
        <f>EdgesData[[#This Row],[Edge ID]]</f>
        <v>56C85E0C-EF4C-483B-862A-301E4306F3BB</v>
      </c>
      <c r="C9" s="21" t="str">
        <f>EdgesData[[#This Row],[Node A ID]]</f>
        <v>BC9316FB-BCA1-4D66-9CD7-3112BEF13D86</v>
      </c>
      <c r="D9" s="21" t="str">
        <f>EdgesData[[#This Row],[Node B ID]]</f>
        <v>DB652713-5948-4322-8567-E5F6CB0440E8</v>
      </c>
      <c r="E9" s="3" t="str">
        <f>EdgesData[[#This Row],[Rel]]</f>
        <v>is</v>
      </c>
      <c r="F9" s="25" t="str" cm="1">
        <f t="array" ref="F9">IF(EdgesJSON[[#This Row],[Export?]]=0,"",IF(ROW(EdgesJSON[[#This Row],[id]])&gt;ROW(EdgesJSON[[#Headers],[JSON]])+1,",","") &amp;"{"&amp;twoRangesToJSON(EdgesJSON[[#Headers],[id]:[label]],EdgesJSON[[#This Row],[id]:[label]])&amp;"}")</f>
        <v>,{"id":"56C85E0C-EF4C-483B-862A-301E4306F3BB","from":"BC9316FB-BCA1-4D66-9CD7-3112BEF13D86","to":"DB652713-5948-4322-8567-E5F6CB0440E8","label":"is"}</v>
      </c>
    </row>
    <row r="10" spans="1:6" ht="13.9" thickTop="1" thickBot="1" x14ac:dyDescent="0.4">
      <c r="A10" s="38">
        <f>IF(ISERR(EdgesJSON[[#This Row],[id]]),0,1)</f>
        <v>1</v>
      </c>
      <c r="B10" s="21" t="str">
        <f>EdgesData[[#This Row],[Edge ID]]</f>
        <v>B202CE57-28CF-4BD4-BB59-7FE7F177CC48</v>
      </c>
      <c r="C10" s="21" t="str">
        <f>EdgesData[[#This Row],[Node A ID]]</f>
        <v>E1132C17-7D2B-4F86-A9F2-BAAA52027A5B</v>
      </c>
      <c r="D10" s="21" t="str">
        <f>EdgesData[[#This Row],[Node B ID]]</f>
        <v>DB652713-5948-4322-8567-E5F6CB0440E8</v>
      </c>
      <c r="E10" s="3" t="str">
        <f>EdgesData[[#This Row],[Rel]]</f>
        <v>is</v>
      </c>
      <c r="F10" s="25" t="str" cm="1">
        <f t="array" ref="F10">IF(EdgesJSON[[#This Row],[Export?]]=0,"",IF(ROW(EdgesJSON[[#This Row],[id]])&gt;ROW(EdgesJSON[[#Headers],[JSON]])+1,",","") &amp;"{"&amp;twoRangesToJSON(EdgesJSON[[#Headers],[id]:[label]],EdgesJSON[[#This Row],[id]:[label]])&amp;"}")</f>
        <v>,{"id":"B202CE57-28CF-4BD4-BB59-7FE7F177CC48","from":"E1132C17-7D2B-4F86-A9F2-BAAA52027A5B","to":"DB652713-5948-4322-8567-E5F6CB0440E8","label":"is"}</v>
      </c>
    </row>
    <row r="11" spans="1:6" ht="13.9" thickTop="1" thickBot="1" x14ac:dyDescent="0.4">
      <c r="A11" s="38">
        <f>IF(ISERR(EdgesJSON[[#This Row],[id]]),0,1)</f>
        <v>1</v>
      </c>
      <c r="B11" s="21" t="str">
        <f>EdgesData[[#This Row],[Edge ID]]</f>
        <v>EEBA770F-5EF8-4495-87DF-C601E4D85E74</v>
      </c>
      <c r="C11" s="21" t="str">
        <f>EdgesData[[#This Row],[Node A ID]]</f>
        <v>8A84FB45-D721-4F51-92D2-6F252494072A</v>
      </c>
      <c r="D11" s="21" t="str">
        <f>EdgesData[[#This Row],[Node B ID]]</f>
        <v>1CA22954-068F-4603-9932-7CAFD3C4E2A6</v>
      </c>
      <c r="E11" s="3" t="str">
        <f>EdgesData[[#This Row],[Rel]]</f>
        <v>is</v>
      </c>
      <c r="F11" s="25" t="str" cm="1">
        <f t="array" ref="F11">IF(EdgesJSON[[#This Row],[Export?]]=0,"",IF(ROW(EdgesJSON[[#This Row],[id]])&gt;ROW(EdgesJSON[[#Headers],[JSON]])+1,",","") &amp;"{"&amp;twoRangesToJSON(EdgesJSON[[#Headers],[id]:[label]],EdgesJSON[[#This Row],[id]:[label]])&amp;"}")</f>
        <v>,{"id":"EEBA770F-5EF8-4495-87DF-C601E4D85E74","from":"8A84FB45-D721-4F51-92D2-6F252494072A","to":"1CA22954-068F-4603-9932-7CAFD3C4E2A6","label":"is"}</v>
      </c>
    </row>
    <row r="12" spans="1:6" ht="13.9" thickTop="1" thickBot="1" x14ac:dyDescent="0.4">
      <c r="A12" s="38">
        <f>IF(ISERR(EdgesJSON[[#This Row],[id]]),0,1)</f>
        <v>1</v>
      </c>
      <c r="B12" s="21" t="str">
        <f>EdgesData[[#This Row],[Edge ID]]</f>
        <v>037045CE-CAFF-4FC4-8629-0F8986EC231F</v>
      </c>
      <c r="C12" s="21" t="str">
        <f>EdgesData[[#This Row],[Node A ID]]</f>
        <v>EE59DD52-46E3-4C5E-B862-8914485F238F</v>
      </c>
      <c r="D12" s="21" t="str">
        <f>EdgesData[[#This Row],[Node B ID]]</f>
        <v>4C6DA97E-8091-41CA-B99C-4250D2678005</v>
      </c>
      <c r="E12" s="3" t="str">
        <f>EdgesData[[#This Row],[Rel]]</f>
        <v>is</v>
      </c>
      <c r="F12" s="25" t="str" cm="1">
        <f t="array" ref="F12">IF(EdgesJSON[[#This Row],[Export?]]=0,"",IF(ROW(EdgesJSON[[#This Row],[id]])&gt;ROW(EdgesJSON[[#Headers],[JSON]])+1,",","") &amp;"{"&amp;twoRangesToJSON(EdgesJSON[[#Headers],[id]:[label]],EdgesJSON[[#This Row],[id]:[label]])&amp;"}")</f>
        <v>,{"id":"037045CE-CAFF-4FC4-8629-0F8986EC231F","from":"EE59DD52-46E3-4C5E-B862-8914485F238F","to":"4C6DA97E-8091-41CA-B99C-4250D2678005","label":"is"}</v>
      </c>
    </row>
    <row r="13" spans="1:6" ht="13.9" thickTop="1" thickBot="1" x14ac:dyDescent="0.4">
      <c r="A13" s="38">
        <f>IF(ISERR(EdgesJSON[[#This Row],[id]]),0,1)</f>
        <v>1</v>
      </c>
      <c r="B13" s="21" t="str">
        <f>EdgesData[[#This Row],[Edge ID]]</f>
        <v>066380CA-56C5-4AA4-AA77-8503109741DC</v>
      </c>
      <c r="C13" s="21" t="str">
        <f>EdgesData[[#This Row],[Node A ID]]</f>
        <v>EE59DD52-46E3-4C5E-B862-8914485F238F</v>
      </c>
      <c r="D13" s="21" t="str">
        <f>EdgesData[[#This Row],[Node B ID]]</f>
        <v>A2967417-72BE-4537-BE1E-39E6298F5851</v>
      </c>
      <c r="E13" s="3" t="str">
        <f>EdgesData[[#This Row],[Rel]]</f>
        <v>is</v>
      </c>
      <c r="F13" s="25" t="str" cm="1">
        <f t="array" ref="F13">IF(EdgesJSON[[#This Row],[Export?]]=0,"",IF(ROW(EdgesJSON[[#This Row],[id]])&gt;ROW(EdgesJSON[[#Headers],[JSON]])+1,",","") &amp;"{"&amp;twoRangesToJSON(EdgesJSON[[#Headers],[id]:[label]],EdgesJSON[[#This Row],[id]:[label]])&amp;"}")</f>
        <v>,{"id":"066380CA-56C5-4AA4-AA77-8503109741DC","from":"EE59DD52-46E3-4C5E-B862-8914485F238F","to":"A2967417-72BE-4537-BE1E-39E6298F5851","label":"is"}</v>
      </c>
    </row>
    <row r="14" spans="1:6" ht="13.9" thickTop="1" thickBot="1" x14ac:dyDescent="0.4">
      <c r="A14" s="38">
        <f>IF(ISERR(EdgesJSON[[#This Row],[id]]),0,1)</f>
        <v>1</v>
      </c>
      <c r="B14" s="21" t="str">
        <f>EdgesData[[#This Row],[Edge ID]]</f>
        <v>96BB6D66-BC08-4132-B285-605F17A1FB04</v>
      </c>
      <c r="C14" s="21" t="str">
        <f>EdgesData[[#This Row],[Node A ID]]</f>
        <v>8A54CA58-95DE-462C-85F0-63881C492A91</v>
      </c>
      <c r="D14" s="21" t="str">
        <f>EdgesData[[#This Row],[Node B ID]]</f>
        <v>4C6DA97E-8091-41CA-B99C-4250D2678005</v>
      </c>
      <c r="E14" s="3" t="str">
        <f>EdgesData[[#This Row],[Rel]]</f>
        <v>is</v>
      </c>
      <c r="F14" s="25" t="str" cm="1">
        <f t="array" ref="F14">IF(EdgesJSON[[#This Row],[Export?]]=0,"",IF(ROW(EdgesJSON[[#This Row],[id]])&gt;ROW(EdgesJSON[[#Headers],[JSON]])+1,",","") &amp;"{"&amp;twoRangesToJSON(EdgesJSON[[#Headers],[id]:[label]],EdgesJSON[[#This Row],[id]:[label]])&amp;"}")</f>
        <v>,{"id":"96BB6D66-BC08-4132-B285-605F17A1FB04","from":"8A54CA58-95DE-462C-85F0-63881C492A91","to":"4C6DA97E-8091-41CA-B99C-4250D2678005","label":"is"}</v>
      </c>
    </row>
    <row r="15" spans="1:6" ht="13.9" thickTop="1" thickBot="1" x14ac:dyDescent="0.4">
      <c r="A15" s="38">
        <f>IF(ISERR(EdgesJSON[[#This Row],[id]]),0,1)</f>
        <v>1</v>
      </c>
      <c r="B15" s="21" t="str">
        <f>EdgesData[[#This Row],[Edge ID]]</f>
        <v>C29FCE9E-21E1-42D7-87DB-8731D7FEDF7F</v>
      </c>
      <c r="C15" s="21" t="str">
        <f>EdgesData[[#This Row],[Node A ID]]</f>
        <v>8A54CA58-95DE-462C-85F0-63881C492A91</v>
      </c>
      <c r="D15" s="21" t="str">
        <f>EdgesData[[#This Row],[Node B ID]]</f>
        <v>A2967417-72BE-4537-BE1E-39E6298F5851</v>
      </c>
      <c r="E15" s="3" t="str">
        <f>EdgesData[[#This Row],[Rel]]</f>
        <v>is</v>
      </c>
      <c r="F15" s="25" t="str" cm="1">
        <f t="array" ref="F15">IF(EdgesJSON[[#This Row],[Export?]]=0,"",IF(ROW(EdgesJSON[[#This Row],[id]])&gt;ROW(EdgesJSON[[#Headers],[JSON]])+1,",","") &amp;"{"&amp;twoRangesToJSON(EdgesJSON[[#Headers],[id]:[label]],EdgesJSON[[#This Row],[id]:[label]])&amp;"}")</f>
        <v>,{"id":"C29FCE9E-21E1-42D7-87DB-8731D7FEDF7F","from":"8A54CA58-95DE-462C-85F0-63881C492A91","to":"A2967417-72BE-4537-BE1E-39E6298F5851","label":"is"}</v>
      </c>
    </row>
    <row r="16" spans="1:6" ht="13.9" thickTop="1" thickBot="1" x14ac:dyDescent="0.4">
      <c r="A16" s="38">
        <f>IF(ISERR(EdgesJSON[[#This Row],[id]]),0,1)</f>
        <v>1</v>
      </c>
      <c r="B16" s="21" t="str">
        <f>EdgesData[[#This Row],[Edge ID]]</f>
        <v>F6463590-0601-4EB7-A393-604B13E5AFB5</v>
      </c>
      <c r="C16" s="21" t="str">
        <f>EdgesData[[#This Row],[Node A ID]]</f>
        <v>A4ADA3D7-3568-4A97-A8E3-4E47A1368F3D</v>
      </c>
      <c r="D16" s="21" t="str">
        <f>EdgesData[[#This Row],[Node B ID]]</f>
        <v>4C6DA97E-8091-41CA-B99C-4250D2678005</v>
      </c>
      <c r="E16" s="3" t="str">
        <f>EdgesData[[#This Row],[Rel]]</f>
        <v>is</v>
      </c>
      <c r="F16" s="25" t="str" cm="1">
        <f t="array" ref="F16">IF(EdgesJSON[[#This Row],[Export?]]=0,"",IF(ROW(EdgesJSON[[#This Row],[id]])&gt;ROW(EdgesJSON[[#Headers],[JSON]])+1,",","") &amp;"{"&amp;twoRangesToJSON(EdgesJSON[[#Headers],[id]:[label]],EdgesJSON[[#This Row],[id]:[label]])&amp;"}")</f>
        <v>,{"id":"F6463590-0601-4EB7-A393-604B13E5AFB5","from":"A4ADA3D7-3568-4A97-A8E3-4E47A1368F3D","to":"4C6DA97E-8091-41CA-B99C-4250D2678005","label":"is"}</v>
      </c>
    </row>
    <row r="17" spans="1:6" ht="13.9" thickTop="1" thickBot="1" x14ac:dyDescent="0.4">
      <c r="A17" s="38">
        <f>IF(ISERR(EdgesJSON[[#This Row],[id]]),0,1)</f>
        <v>1</v>
      </c>
      <c r="B17" s="21" t="str">
        <f>EdgesData[[#This Row],[Edge ID]]</f>
        <v>41793FBD-53F6-403D-A68C-97E809C8F7BF</v>
      </c>
      <c r="C17" s="21" t="str">
        <f>EdgesData[[#This Row],[Node A ID]]</f>
        <v>A4ADA3D7-3568-4A97-A8E3-4E47A1368F3D</v>
      </c>
      <c r="D17" s="21" t="str">
        <f>EdgesData[[#This Row],[Node B ID]]</f>
        <v>A2967417-72BE-4537-BE1E-39E6298F5851</v>
      </c>
      <c r="E17" s="3" t="str">
        <f>EdgesData[[#This Row],[Rel]]</f>
        <v>is</v>
      </c>
      <c r="F17" s="25" t="str" cm="1">
        <f t="array" ref="F17">IF(EdgesJSON[[#This Row],[Export?]]=0,"",IF(ROW(EdgesJSON[[#This Row],[id]])&gt;ROW(EdgesJSON[[#Headers],[JSON]])+1,",","") &amp;"{"&amp;twoRangesToJSON(EdgesJSON[[#Headers],[id]:[label]],EdgesJSON[[#This Row],[id]:[label]])&amp;"}")</f>
        <v>,{"id":"41793FBD-53F6-403D-A68C-97E809C8F7BF","from":"A4ADA3D7-3568-4A97-A8E3-4E47A1368F3D","to":"A2967417-72BE-4537-BE1E-39E6298F5851","label":"is"}</v>
      </c>
    </row>
    <row r="18" spans="1:6" ht="13.9" thickTop="1" thickBot="1" x14ac:dyDescent="0.4">
      <c r="A18" s="38">
        <f>IF(ISERR(EdgesJSON[[#This Row],[id]]),0,1)</f>
        <v>1</v>
      </c>
      <c r="B18" s="21" t="str">
        <f>EdgesData[[#This Row],[Edge ID]]</f>
        <v>ACF425C2-222C-4ACB-BEC5-7121E2BB20A3</v>
      </c>
      <c r="C18" s="21" t="str">
        <f>EdgesData[[#This Row],[Node A ID]]</f>
        <v>46401F0E-29CA-47A3-A39A-0230CB771074</v>
      </c>
      <c r="D18" s="21" t="str">
        <f>EdgesData[[#This Row],[Node B ID]]</f>
        <v>4C6DA97E-8091-41CA-B99C-4250D2678005</v>
      </c>
      <c r="E18" s="3" t="str">
        <f>EdgesData[[#This Row],[Rel]]</f>
        <v>is</v>
      </c>
      <c r="F18" s="25" t="str" cm="1">
        <f t="array" ref="F18">IF(EdgesJSON[[#This Row],[Export?]]=0,"",IF(ROW(EdgesJSON[[#This Row],[id]])&gt;ROW(EdgesJSON[[#Headers],[JSON]])+1,",","") &amp;"{"&amp;twoRangesToJSON(EdgesJSON[[#Headers],[id]:[label]],EdgesJSON[[#This Row],[id]:[label]])&amp;"}")</f>
        <v>,{"id":"ACF425C2-222C-4ACB-BEC5-7121E2BB20A3","from":"46401F0E-29CA-47A3-A39A-0230CB771074","to":"4C6DA97E-8091-41CA-B99C-4250D2678005","label":"is"}</v>
      </c>
    </row>
    <row r="19" spans="1:6" ht="13.9" thickTop="1" thickBot="1" x14ac:dyDescent="0.4">
      <c r="A19" s="38">
        <f>IF(ISERR(EdgesJSON[[#This Row],[id]]),0,1)</f>
        <v>1</v>
      </c>
      <c r="B19" s="21" t="str">
        <f>EdgesData[[#This Row],[Edge ID]]</f>
        <v>1E4DE7F7-3410-4064-8D62-8AC2E7F5BDCB</v>
      </c>
      <c r="C19" s="21" t="str">
        <f>EdgesData[[#This Row],[Node A ID]]</f>
        <v>46401F0E-29CA-47A3-A39A-0230CB771074</v>
      </c>
      <c r="D19" s="21" t="str">
        <f>EdgesData[[#This Row],[Node B ID]]</f>
        <v>A2967417-72BE-4537-BE1E-39E6298F5851</v>
      </c>
      <c r="E19" s="3" t="str">
        <f>EdgesData[[#This Row],[Rel]]</f>
        <v>is</v>
      </c>
      <c r="F19" s="25" t="str" cm="1">
        <f t="array" ref="F19">IF(EdgesJSON[[#This Row],[Export?]]=0,"",IF(ROW(EdgesJSON[[#This Row],[id]])&gt;ROW(EdgesJSON[[#Headers],[JSON]])+1,",","") &amp;"{"&amp;twoRangesToJSON(EdgesJSON[[#Headers],[id]:[label]],EdgesJSON[[#This Row],[id]:[label]])&amp;"}")</f>
        <v>,{"id":"1E4DE7F7-3410-4064-8D62-8AC2E7F5BDCB","from":"46401F0E-29CA-47A3-A39A-0230CB771074","to":"A2967417-72BE-4537-BE1E-39E6298F5851","label":"is"}</v>
      </c>
    </row>
    <row r="20" spans="1:6" ht="13.9" thickTop="1" thickBot="1" x14ac:dyDescent="0.4">
      <c r="A20" s="38">
        <f>IF(ISERR(EdgesJSON[[#This Row],[id]]),0,1)</f>
        <v>1</v>
      </c>
      <c r="B20" s="21" t="str">
        <f>EdgesData[[#This Row],[Edge ID]]</f>
        <v>462DDE67-7793-438D-A9E1-E040880F0CBB</v>
      </c>
      <c r="C20" s="21" t="str">
        <f>EdgesData[[#This Row],[Node A ID]]</f>
        <v>C92DDCBA-ED8B-4196-A9FF-C96029349FAC</v>
      </c>
      <c r="D20" s="21" t="str">
        <f>EdgesData[[#This Row],[Node B ID]]</f>
        <v>4C6DA97E-8091-41CA-B99C-4250D2678005</v>
      </c>
      <c r="E20" s="3" t="str">
        <f>EdgesData[[#This Row],[Rel]]</f>
        <v>is</v>
      </c>
      <c r="F20" s="25" t="str" cm="1">
        <f t="array" ref="F20">IF(EdgesJSON[[#This Row],[Export?]]=0,"",IF(ROW(EdgesJSON[[#This Row],[id]])&gt;ROW(EdgesJSON[[#Headers],[JSON]])+1,",","") &amp;"{"&amp;twoRangesToJSON(EdgesJSON[[#Headers],[id]:[label]],EdgesJSON[[#This Row],[id]:[label]])&amp;"}")</f>
        <v>,{"id":"462DDE67-7793-438D-A9E1-E040880F0CBB","from":"C92DDCBA-ED8B-4196-A9FF-C96029349FAC","to":"4C6DA97E-8091-41CA-B99C-4250D2678005","label":"is"}</v>
      </c>
    </row>
    <row r="21" spans="1:6" ht="13.9" thickTop="1" thickBot="1" x14ac:dyDescent="0.4">
      <c r="A21" s="38">
        <f>IF(ISERR(EdgesJSON[[#This Row],[id]]),0,1)</f>
        <v>1</v>
      </c>
      <c r="B21" s="21" t="str">
        <f>EdgesData[[#This Row],[Edge ID]]</f>
        <v>9147DA1B-716C-4370-8349-27B0C4D8E137</v>
      </c>
      <c r="C21" s="21" t="str">
        <f>EdgesData[[#This Row],[Node A ID]]</f>
        <v>C92DDCBA-ED8B-4196-A9FF-C96029349FAC</v>
      </c>
      <c r="D21" s="21" t="str">
        <f>EdgesData[[#This Row],[Node B ID]]</f>
        <v>A2967417-72BE-4537-BE1E-39E6298F5851</v>
      </c>
      <c r="E21" s="3" t="str">
        <f>EdgesData[[#This Row],[Rel]]</f>
        <v>is</v>
      </c>
      <c r="F21" s="25" t="str" cm="1">
        <f t="array" ref="F21">IF(EdgesJSON[[#This Row],[Export?]]=0,"",IF(ROW(EdgesJSON[[#This Row],[id]])&gt;ROW(EdgesJSON[[#Headers],[JSON]])+1,",","") &amp;"{"&amp;twoRangesToJSON(EdgesJSON[[#Headers],[id]:[label]],EdgesJSON[[#This Row],[id]:[label]])&amp;"}")</f>
        <v>,{"id":"9147DA1B-716C-4370-8349-27B0C4D8E137","from":"C92DDCBA-ED8B-4196-A9FF-C96029349FAC","to":"A2967417-72BE-4537-BE1E-39E6298F5851","label":"is"}</v>
      </c>
    </row>
    <row r="22" spans="1:6" ht="13.9" thickTop="1" thickBot="1" x14ac:dyDescent="0.4">
      <c r="A22" s="38">
        <f>IF(ISERR(EdgesJSON[[#This Row],[id]]),0,1)</f>
        <v>1</v>
      </c>
      <c r="B22" s="21" t="str">
        <f>EdgesData[[#This Row],[Edge ID]]</f>
        <v>07EB776F-7AFB-4196-BAAD-1955983C37AE</v>
      </c>
      <c r="C22" s="21" t="str">
        <f>EdgesData[[#This Row],[Node A ID]]</f>
        <v>257D3082-7AF3-4464-9C5B-77B2D083B427</v>
      </c>
      <c r="D22" s="21" t="str">
        <f>EdgesData[[#This Row],[Node B ID]]</f>
        <v>A42E7343-FA4C-490A-A0A3-7F65FB188771</v>
      </c>
      <c r="E22" s="3" t="str">
        <f>EdgesData[[#This Row],[Rel]]</f>
        <v>is</v>
      </c>
      <c r="F22" s="25" t="str" cm="1">
        <f t="array" ref="F22">IF(EdgesJSON[[#This Row],[Export?]]=0,"",IF(ROW(EdgesJSON[[#This Row],[id]])&gt;ROW(EdgesJSON[[#Headers],[JSON]])+1,",","") &amp;"{"&amp;twoRangesToJSON(EdgesJSON[[#Headers],[id]:[label]],EdgesJSON[[#This Row],[id]:[label]])&amp;"}")</f>
        <v>,{"id":"07EB776F-7AFB-4196-BAAD-1955983C37AE","from":"257D3082-7AF3-4464-9C5B-77B2D083B427","to":"A42E7343-FA4C-490A-A0A3-7F65FB188771","label":"is"}</v>
      </c>
    </row>
    <row r="23" spans="1:6" ht="13.9" thickTop="1" thickBot="1" x14ac:dyDescent="0.4">
      <c r="A23" s="38">
        <f>IF(ISERR(EdgesJSON[[#This Row],[id]]),0,1)</f>
        <v>1</v>
      </c>
      <c r="B23" s="21" t="str">
        <f>EdgesData[[#This Row],[Edge ID]]</f>
        <v>9182F971-C8EF-4CE0-9C9B-2CA31842BEE1</v>
      </c>
      <c r="C23" s="21" t="str">
        <f>EdgesData[[#This Row],[Node A ID]]</f>
        <v>BDF3CB39-431D-478C-A651-EBA1666F91C1</v>
      </c>
      <c r="D23" s="21" t="str">
        <f>EdgesData[[#This Row],[Node B ID]]</f>
        <v>4C6DA97E-8091-41CA-B99C-4250D2678005</v>
      </c>
      <c r="E23" s="3" t="str">
        <f>EdgesData[[#This Row],[Rel]]</f>
        <v>is</v>
      </c>
      <c r="F23" s="25" t="str" cm="1">
        <f t="array" ref="F23">IF(EdgesJSON[[#This Row],[Export?]]=0,"",IF(ROW(EdgesJSON[[#This Row],[id]])&gt;ROW(EdgesJSON[[#Headers],[JSON]])+1,",","") &amp;"{"&amp;twoRangesToJSON(EdgesJSON[[#Headers],[id]:[label]],EdgesJSON[[#This Row],[id]:[label]])&amp;"}")</f>
        <v>,{"id":"9182F971-C8EF-4CE0-9C9B-2CA31842BEE1","from":"BDF3CB39-431D-478C-A651-EBA1666F91C1","to":"4C6DA97E-8091-41CA-B99C-4250D2678005","label":"is"}</v>
      </c>
    </row>
    <row r="24" spans="1:6" ht="13.9" thickTop="1" thickBot="1" x14ac:dyDescent="0.4">
      <c r="A24" s="38">
        <f>IF(ISERR(EdgesJSON[[#This Row],[id]]),0,1)</f>
        <v>1</v>
      </c>
      <c r="B24" s="21" t="str">
        <f>EdgesData[[#This Row],[Edge ID]]</f>
        <v>911F0665-DDA1-4886-817D-F259148022CA</v>
      </c>
      <c r="C24" s="21" t="str">
        <f>EdgesData[[#This Row],[Node A ID]]</f>
        <v>BDF3CB39-431D-478C-A651-EBA1666F91C1</v>
      </c>
      <c r="D24" s="21" t="str">
        <f>EdgesData[[#This Row],[Node B ID]]</f>
        <v>A2967417-72BE-4537-BE1E-39E6298F5851</v>
      </c>
      <c r="E24" s="3" t="str">
        <f>EdgesData[[#This Row],[Rel]]</f>
        <v>is</v>
      </c>
      <c r="F24" s="25" t="str" cm="1">
        <f t="array" ref="F24">IF(EdgesJSON[[#This Row],[Export?]]=0,"",IF(ROW(EdgesJSON[[#This Row],[id]])&gt;ROW(EdgesJSON[[#Headers],[JSON]])+1,",","") &amp;"{"&amp;twoRangesToJSON(EdgesJSON[[#Headers],[id]:[label]],EdgesJSON[[#This Row],[id]:[label]])&amp;"}")</f>
        <v>,{"id":"911F0665-DDA1-4886-817D-F259148022CA","from":"BDF3CB39-431D-478C-A651-EBA1666F91C1","to":"A2967417-72BE-4537-BE1E-39E6298F5851","label":"is"}</v>
      </c>
    </row>
    <row r="25" spans="1:6" ht="13.9" thickTop="1" thickBot="1" x14ac:dyDescent="0.4">
      <c r="A25" s="38">
        <f>IF(ISERR(EdgesJSON[[#This Row],[id]]),0,1)</f>
        <v>1</v>
      </c>
      <c r="B25" s="21" t="str">
        <f>EdgesData[[#This Row],[Edge ID]]</f>
        <v>C7F4F378-9012-44FD-9610-142E7055C553</v>
      </c>
      <c r="C25" s="21" t="str">
        <f>EdgesData[[#This Row],[Node A ID]]</f>
        <v>37CD23D4-9BFD-4A88-8D2B-CA84CE4FB78F</v>
      </c>
      <c r="D25" s="21" t="str">
        <f>EdgesData[[#This Row],[Node B ID]]</f>
        <v>DB652713-5948-4322-8567-E5F6CB0440E8</v>
      </c>
      <c r="E25" s="3" t="str">
        <f>EdgesData[[#This Row],[Rel]]</f>
        <v>is</v>
      </c>
      <c r="F25" s="25" t="str" cm="1">
        <f t="array" ref="F25">IF(EdgesJSON[[#This Row],[Export?]]=0,"",IF(ROW(EdgesJSON[[#This Row],[id]])&gt;ROW(EdgesJSON[[#Headers],[JSON]])+1,",","") &amp;"{"&amp;twoRangesToJSON(EdgesJSON[[#Headers],[id]:[label]],EdgesJSON[[#This Row],[id]:[label]])&amp;"}")</f>
        <v>,{"id":"C7F4F378-9012-44FD-9610-142E7055C553","from":"37CD23D4-9BFD-4A88-8D2B-CA84CE4FB78F","to":"DB652713-5948-4322-8567-E5F6CB0440E8","label":"is"}</v>
      </c>
    </row>
    <row r="26" spans="1:6" ht="13.9" thickTop="1" thickBot="1" x14ac:dyDescent="0.4">
      <c r="A26" s="38">
        <f>IF(ISERR(EdgesJSON[[#This Row],[id]]),0,1)</f>
        <v>1</v>
      </c>
      <c r="B26" s="21" t="str">
        <f>EdgesData[[#This Row],[Edge ID]]</f>
        <v>379247CB-D303-4299-B095-6BA06E3655B7</v>
      </c>
      <c r="C26" s="21" t="str">
        <f>EdgesData[[#This Row],[Node A ID]]</f>
        <v>5660B6DD-121E-4173-A110-7A4D00B3AB6A</v>
      </c>
      <c r="D26" s="21" t="str">
        <f>EdgesData[[#This Row],[Node B ID]]</f>
        <v>DB652713-5948-4322-8567-E5F6CB0440E8</v>
      </c>
      <c r="E26" s="3" t="str">
        <f>EdgesData[[#This Row],[Rel]]</f>
        <v>is</v>
      </c>
      <c r="F26" s="25" t="str" cm="1">
        <f t="array" ref="F26">IF(EdgesJSON[[#This Row],[Export?]]=0,"",IF(ROW(EdgesJSON[[#This Row],[id]])&gt;ROW(EdgesJSON[[#Headers],[JSON]])+1,",","") &amp;"{"&amp;twoRangesToJSON(EdgesJSON[[#Headers],[id]:[label]],EdgesJSON[[#This Row],[id]:[label]])&amp;"}")</f>
        <v>,{"id":"379247CB-D303-4299-B095-6BA06E3655B7","from":"5660B6DD-121E-4173-A110-7A4D00B3AB6A","to":"DB652713-5948-4322-8567-E5F6CB0440E8","label":"is"}</v>
      </c>
    </row>
    <row r="27" spans="1:6" ht="13.9" thickTop="1" thickBot="1" x14ac:dyDescent="0.4">
      <c r="A27" s="38">
        <f>IF(ISERR(EdgesJSON[[#This Row],[id]]),0,1)</f>
        <v>1</v>
      </c>
      <c r="B27" s="21" t="str">
        <f>EdgesData[[#This Row],[Edge ID]]</f>
        <v>58516742-BDFB-4911-B546-C69551E8F832</v>
      </c>
      <c r="C27" s="21" t="str">
        <f>EdgesData[[#This Row],[Node A ID]]</f>
        <v>A4106055-17BD-4640-8746-5471A26FF444</v>
      </c>
      <c r="D27" s="21" t="str">
        <f>EdgesData[[#This Row],[Node B ID]]</f>
        <v>DB652713-5948-4322-8567-E5F6CB0440E8</v>
      </c>
      <c r="E27" s="3" t="str">
        <f>EdgesData[[#This Row],[Rel]]</f>
        <v>composed of</v>
      </c>
      <c r="F27" s="25" t="str" cm="1">
        <f t="array" ref="F27">IF(EdgesJSON[[#This Row],[Export?]]=0,"",IF(ROW(EdgesJSON[[#This Row],[id]])&gt;ROW(EdgesJSON[[#Headers],[JSON]])+1,",","") &amp;"{"&amp;twoRangesToJSON(EdgesJSON[[#Headers],[id]:[label]],EdgesJSON[[#This Row],[id]:[label]])&amp;"}")</f>
        <v>,{"id":"58516742-BDFB-4911-B546-C69551E8F832","from":"A4106055-17BD-4640-8746-5471A26FF444","to":"DB652713-5948-4322-8567-E5F6CB0440E8","label":"composed of"}</v>
      </c>
    </row>
    <row r="28" spans="1:6" ht="13.9" thickTop="1" thickBot="1" x14ac:dyDescent="0.4">
      <c r="A28" s="38">
        <f>IF(ISERR(EdgesJSON[[#This Row],[id]]),0,1)</f>
        <v>1</v>
      </c>
      <c r="B28" s="21" t="str">
        <f>EdgesData[[#This Row],[Edge ID]]</f>
        <v>3F35EE72-EF26-40E6-AD83-E3EFFFBE8004</v>
      </c>
      <c r="C28" s="21" t="str">
        <f>EdgesData[[#This Row],[Node A ID]]</f>
        <v>A4106055-17BD-4640-8746-5471A26FF444</v>
      </c>
      <c r="D28" s="21" t="str">
        <f>EdgesData[[#This Row],[Node B ID]]</f>
        <v>F6A0BA1D-4EAD-44AE-BB90-AAFC98899178</v>
      </c>
      <c r="E28" s="3" t="str">
        <f>EdgesData[[#This Row],[Rel]]</f>
        <v>may have</v>
      </c>
      <c r="F28" s="25" t="str" cm="1">
        <f t="array" ref="F28">IF(EdgesJSON[[#This Row],[Export?]]=0,"",IF(ROW(EdgesJSON[[#This Row],[id]])&gt;ROW(EdgesJSON[[#Headers],[JSON]])+1,",","") &amp;"{"&amp;twoRangesToJSON(EdgesJSON[[#Headers],[id]:[label]],EdgesJSON[[#This Row],[id]:[label]])&amp;"}")</f>
        <v>,{"id":"3F35EE72-EF26-40E6-AD83-E3EFFFBE8004","from":"A4106055-17BD-4640-8746-5471A26FF444","to":"F6A0BA1D-4EAD-44AE-BB90-AAFC98899178","label":"may have"}</v>
      </c>
    </row>
    <row r="29" spans="1:6" ht="13.9" thickTop="1" thickBot="1" x14ac:dyDescent="0.4">
      <c r="A29" s="38">
        <f>IF(ISERR(EdgesJSON[[#This Row],[id]]),0,1)</f>
        <v>1</v>
      </c>
      <c r="B29" s="21" t="str">
        <f>EdgesData[[#This Row],[Edge ID]]</f>
        <v>EFC19BFA-E154-4290-BE90-38868BCFF62F</v>
      </c>
      <c r="C29" s="21" t="str">
        <f>EdgesData[[#This Row],[Node A ID]]</f>
        <v>A4106055-17BD-4640-8746-5471A26FF444</v>
      </c>
      <c r="D29" s="21" t="str">
        <f>EdgesData[[#This Row],[Node B ID]]</f>
        <v>AFFF4DF7-5DE7-4EC2-B059-59963A26A6BD</v>
      </c>
      <c r="E29" s="3" t="str">
        <f>EdgesData[[#This Row],[Rel]]</f>
        <v>may have</v>
      </c>
      <c r="F29" s="25" t="str" cm="1">
        <f t="array" ref="F29">IF(EdgesJSON[[#This Row],[Export?]]=0,"",IF(ROW(EdgesJSON[[#This Row],[id]])&gt;ROW(EdgesJSON[[#Headers],[JSON]])+1,",","") &amp;"{"&amp;twoRangesToJSON(EdgesJSON[[#Headers],[id]:[label]],EdgesJSON[[#This Row],[id]:[label]])&amp;"}")</f>
        <v>,{"id":"EFC19BFA-E154-4290-BE90-38868BCFF62F","from":"A4106055-17BD-4640-8746-5471A26FF444","to":"AFFF4DF7-5DE7-4EC2-B059-59963A26A6BD","label":"may have"}</v>
      </c>
    </row>
    <row r="30" spans="1:6" ht="13.9" thickTop="1" thickBot="1" x14ac:dyDescent="0.4">
      <c r="A30" s="38">
        <f>IF(ISERR(EdgesJSON[[#This Row],[id]]),0,1)</f>
        <v>1</v>
      </c>
      <c r="B30" s="21" t="str">
        <f>EdgesData[[#This Row],[Edge ID]]</f>
        <v>C131A76E-DF02-4483-9E69-C20F8B04EC83</v>
      </c>
      <c r="C30" s="21" t="str">
        <f>EdgesData[[#This Row],[Node A ID]]</f>
        <v>A4106055-17BD-4640-8746-5471A26FF444</v>
      </c>
      <c r="D30" s="21" t="str">
        <f>EdgesData[[#This Row],[Node B ID]]</f>
        <v>4414B2C4-B1F0-4BE8-A1D2-264AE3500755</v>
      </c>
      <c r="E30" s="3" t="str">
        <f>EdgesData[[#This Row],[Rel]]</f>
        <v>may have</v>
      </c>
      <c r="F30" s="25" t="str" cm="1">
        <f t="array" ref="F30">IF(EdgesJSON[[#This Row],[Export?]]=0,"",IF(ROW(EdgesJSON[[#This Row],[id]])&gt;ROW(EdgesJSON[[#Headers],[JSON]])+1,",","") &amp;"{"&amp;twoRangesToJSON(EdgesJSON[[#Headers],[id]:[label]],EdgesJSON[[#This Row],[id]:[label]])&amp;"}")</f>
        <v>,{"id":"C131A76E-DF02-4483-9E69-C20F8B04EC83","from":"A4106055-17BD-4640-8746-5471A26FF444","to":"4414B2C4-B1F0-4BE8-A1D2-264AE3500755","label":"may have"}</v>
      </c>
    </row>
    <row r="31" spans="1:6" ht="13.9" thickTop="1" thickBot="1" x14ac:dyDescent="0.4">
      <c r="A31" s="38">
        <f>IF(ISERR(EdgesJSON[[#This Row],[id]]),0,1)</f>
        <v>1</v>
      </c>
      <c r="B31" s="21" t="str">
        <f>EdgesData[[#This Row],[Edge ID]]</f>
        <v>286BD24E-847D-46DE-921B-06993F9B7479</v>
      </c>
      <c r="C31" s="21" t="str">
        <f>EdgesData[[#This Row],[Node A ID]]</f>
        <v>A4106055-17BD-4640-8746-5471A26FF444</v>
      </c>
      <c r="D31" s="21" t="str">
        <f>EdgesData[[#This Row],[Node B ID]]</f>
        <v>CBC6B9A3-AA38-40D4-865C-53E8DB7037F3</v>
      </c>
      <c r="E31" s="3" t="str">
        <f>EdgesData[[#This Row],[Rel]]</f>
        <v>may have</v>
      </c>
      <c r="F31" s="25" t="str" cm="1">
        <f t="array" ref="F31">IF(EdgesJSON[[#This Row],[Export?]]=0,"",IF(ROW(EdgesJSON[[#This Row],[id]])&gt;ROW(EdgesJSON[[#Headers],[JSON]])+1,",","") &amp;"{"&amp;twoRangesToJSON(EdgesJSON[[#Headers],[id]:[label]],EdgesJSON[[#This Row],[id]:[label]])&amp;"}")</f>
        <v>,{"id":"286BD24E-847D-46DE-921B-06993F9B7479","from":"A4106055-17BD-4640-8746-5471A26FF444","to":"CBC6B9A3-AA38-40D4-865C-53E8DB7037F3","label":"may have"}</v>
      </c>
    </row>
    <row r="32" spans="1:6" ht="13.9" thickTop="1" thickBot="1" x14ac:dyDescent="0.4">
      <c r="A32" s="38">
        <f>IF(ISERR(EdgesJSON[[#This Row],[id]]),0,1)</f>
        <v>1</v>
      </c>
      <c r="B32" s="21" t="str">
        <f>EdgesData[[#This Row],[Edge ID]]</f>
        <v>F4D85694-D77C-4730-8767-17ABDC889E3A</v>
      </c>
      <c r="C32" s="21" t="str">
        <f>EdgesData[[#This Row],[Node A ID]]</f>
        <v>A4106055-17BD-4640-8746-5471A26FF444</v>
      </c>
      <c r="D32" s="21" t="str">
        <f>EdgesData[[#This Row],[Node B ID]]</f>
        <v>8A66FDF6-25FA-4400-8F76-04907B9F7088</v>
      </c>
      <c r="E32" s="3" t="str">
        <f>EdgesData[[#This Row],[Rel]]</f>
        <v>regarded as</v>
      </c>
      <c r="F32" s="25" t="str" cm="1">
        <f t="array" ref="F32">IF(EdgesJSON[[#This Row],[Export?]]=0,"",IF(ROW(EdgesJSON[[#This Row],[id]])&gt;ROW(EdgesJSON[[#Headers],[JSON]])+1,",","") &amp;"{"&amp;twoRangesToJSON(EdgesJSON[[#Headers],[id]:[label]],EdgesJSON[[#This Row],[id]:[label]])&amp;"}")</f>
        <v>,{"id":"F4D85694-D77C-4730-8767-17ABDC889E3A","from":"A4106055-17BD-4640-8746-5471A26FF444","to":"8A66FDF6-25FA-4400-8F76-04907B9F7088","label":"regarded as"}</v>
      </c>
    </row>
    <row r="33" spans="1:6" ht="13.9" thickTop="1" thickBot="1" x14ac:dyDescent="0.4">
      <c r="A33" s="38">
        <f>IF(ISERR(EdgesJSON[[#This Row],[id]]),0,1)</f>
        <v>1</v>
      </c>
      <c r="B33" s="21" t="str">
        <f>EdgesData[[#This Row],[Edge ID]]</f>
        <v>183E600D-FA04-4EAB-BE8D-963FFB82D6B7</v>
      </c>
      <c r="C33" s="21" t="str">
        <f>EdgesData[[#This Row],[Node A ID]]</f>
        <v>824C4DE1-CB45-4357-8D71-3D7A9B20A1FE</v>
      </c>
      <c r="D33" s="21" t="str">
        <f>EdgesData[[#This Row],[Node B ID]]</f>
        <v>B5825B69-4900-43C0-A761-B839CC2A150A</v>
      </c>
      <c r="E33" s="3" t="str">
        <f>EdgesData[[#This Row],[Rel]]</f>
        <v>synonym for</v>
      </c>
      <c r="F33" s="25" t="str" cm="1">
        <f t="array" ref="F33">IF(EdgesJSON[[#This Row],[Export?]]=0,"",IF(ROW(EdgesJSON[[#This Row],[id]])&gt;ROW(EdgesJSON[[#Headers],[JSON]])+1,",","") &amp;"{"&amp;twoRangesToJSON(EdgesJSON[[#Headers],[id]:[label]],EdgesJSON[[#This Row],[id]:[label]])&amp;"}")</f>
        <v>,{"id":"183E600D-FA04-4EAB-BE8D-963FFB82D6B7","from":"824C4DE1-CB45-4357-8D71-3D7A9B20A1FE","to":"B5825B69-4900-43C0-A761-B839CC2A150A","label":"synonym for"}</v>
      </c>
    </row>
    <row r="34" spans="1:6" ht="13.9" thickTop="1" thickBot="1" x14ac:dyDescent="0.4">
      <c r="A34" s="38">
        <f>IF(ISERR(EdgesJSON[[#This Row],[id]]),0,1)</f>
        <v>1</v>
      </c>
      <c r="B34" s="21" t="str">
        <f>EdgesData[[#This Row],[Edge ID]]</f>
        <v>48FA3CD3-D310-4F93-865D-83C3BCA9AC85</v>
      </c>
      <c r="C34" s="21" t="str">
        <f>EdgesData[[#This Row],[Node A ID]]</f>
        <v>824C4DE1-CB45-4357-8D71-3D7A9B20A1FE</v>
      </c>
      <c r="D34" s="21" t="str">
        <f>EdgesData[[#This Row],[Node B ID]]</f>
        <v>4C6DA97E-8091-41CA-B99C-4250D2678005</v>
      </c>
      <c r="E34" s="3" t="str">
        <f>EdgesData[[#This Row],[Rel]]</f>
        <v>is</v>
      </c>
      <c r="F34" s="25" t="str" cm="1">
        <f t="array" ref="F34">IF(EdgesJSON[[#This Row],[Export?]]=0,"",IF(ROW(EdgesJSON[[#This Row],[id]])&gt;ROW(EdgesJSON[[#Headers],[JSON]])+1,",","") &amp;"{"&amp;twoRangesToJSON(EdgesJSON[[#Headers],[id]:[label]],EdgesJSON[[#This Row],[id]:[label]])&amp;"}")</f>
        <v>,{"id":"48FA3CD3-D310-4F93-865D-83C3BCA9AC85","from":"824C4DE1-CB45-4357-8D71-3D7A9B20A1FE","to":"4C6DA97E-8091-41CA-B99C-4250D2678005","label":"is"}</v>
      </c>
    </row>
    <row r="35" spans="1:6" ht="13.9" thickTop="1" thickBot="1" x14ac:dyDescent="0.4">
      <c r="A35" s="38">
        <f>IF(ISERR(EdgesJSON[[#This Row],[id]]),0,1)</f>
        <v>1</v>
      </c>
      <c r="B35" s="21" t="str">
        <f>EdgesData[[#This Row],[Edge ID]]</f>
        <v>BCCC560D-DE6C-4081-BD37-3A1F300DF47D</v>
      </c>
      <c r="C35" s="21" t="str">
        <f>EdgesData[[#This Row],[Node A ID]]</f>
        <v>824C4DE1-CB45-4357-8D71-3D7A9B20A1FE</v>
      </c>
      <c r="D35" s="21" t="str">
        <f>EdgesData[[#This Row],[Node B ID]]</f>
        <v>A2967417-72BE-4537-BE1E-39E6298F5851</v>
      </c>
      <c r="E35" s="3" t="str">
        <f>EdgesData[[#This Row],[Rel]]</f>
        <v>is</v>
      </c>
      <c r="F35" s="25" t="str" cm="1">
        <f t="array" ref="F35">IF(EdgesJSON[[#This Row],[Export?]]=0,"",IF(ROW(EdgesJSON[[#This Row],[id]])&gt;ROW(EdgesJSON[[#Headers],[JSON]])+1,",","") &amp;"{"&amp;twoRangesToJSON(EdgesJSON[[#Headers],[id]:[label]],EdgesJSON[[#This Row],[id]:[label]])&amp;"}")</f>
        <v>,{"id":"BCCC560D-DE6C-4081-BD37-3A1F300DF47D","from":"824C4DE1-CB45-4357-8D71-3D7A9B20A1FE","to":"A2967417-72BE-4537-BE1E-39E6298F5851","label":"is"}</v>
      </c>
    </row>
    <row r="36" spans="1:6" ht="13.9" thickTop="1" thickBot="1" x14ac:dyDescent="0.4">
      <c r="A36" s="38">
        <f>IF(ISERR(EdgesJSON[[#This Row],[id]]),0,1)</f>
        <v>1</v>
      </c>
      <c r="B36" s="21" t="str">
        <f>EdgesData[[#This Row],[Edge ID]]</f>
        <v>232EBB4F-218B-4CF6-AE54-1EEC03F10FA7</v>
      </c>
      <c r="C36" s="21" t="str">
        <f>EdgesData[[#This Row],[Node A ID]]</f>
        <v>8F045301-B949-47A7-B850-24BF7725F524</v>
      </c>
      <c r="D36" s="21" t="str">
        <f>EdgesData[[#This Row],[Node B ID]]</f>
        <v>A42E7343-FA4C-490A-A0A3-7F65FB188771</v>
      </c>
      <c r="E36" s="3" t="str">
        <f>EdgesData[[#This Row],[Rel]]</f>
        <v>is</v>
      </c>
      <c r="F36" s="25" t="str" cm="1">
        <f t="array" ref="F36">IF(EdgesJSON[[#This Row],[Export?]]=0,"",IF(ROW(EdgesJSON[[#This Row],[id]])&gt;ROW(EdgesJSON[[#Headers],[JSON]])+1,",","") &amp;"{"&amp;twoRangesToJSON(EdgesJSON[[#Headers],[id]:[label]],EdgesJSON[[#This Row],[id]:[label]])&amp;"}")</f>
        <v>,{"id":"232EBB4F-218B-4CF6-AE54-1EEC03F10FA7","from":"8F045301-B949-47A7-B850-24BF7725F524","to":"A42E7343-FA4C-490A-A0A3-7F65FB188771","label":"is"}</v>
      </c>
    </row>
    <row r="37" spans="1:6" ht="13.9" thickTop="1" thickBot="1" x14ac:dyDescent="0.4">
      <c r="A37" s="38">
        <f>IF(ISERR(EdgesJSON[[#This Row],[id]]),0,1)</f>
        <v>1</v>
      </c>
      <c r="B37" s="21" t="str">
        <f>EdgesData[[#This Row],[Edge ID]]</f>
        <v>5C72756F-3320-43EA-88E5-138048851A00</v>
      </c>
      <c r="C37" s="21" t="str">
        <f>EdgesData[[#This Row],[Node A ID]]</f>
        <v>935B2B66-22E7-4674-9564-5B7FE10D4526</v>
      </c>
      <c r="D37" s="21" t="str">
        <f>EdgesData[[#This Row],[Node B ID]]</f>
        <v>4C6DA97E-8091-41CA-B99C-4250D2678005</v>
      </c>
      <c r="E37" s="3" t="str">
        <f>EdgesData[[#This Row],[Rel]]</f>
        <v>is</v>
      </c>
      <c r="F37" s="25" t="str" cm="1">
        <f t="array" ref="F37">IF(EdgesJSON[[#This Row],[Export?]]=0,"",IF(ROW(EdgesJSON[[#This Row],[id]])&gt;ROW(EdgesJSON[[#Headers],[JSON]])+1,",","") &amp;"{"&amp;twoRangesToJSON(EdgesJSON[[#Headers],[id]:[label]],EdgesJSON[[#This Row],[id]:[label]])&amp;"}")</f>
        <v>,{"id":"5C72756F-3320-43EA-88E5-138048851A00","from":"935B2B66-22E7-4674-9564-5B7FE10D4526","to":"4C6DA97E-8091-41CA-B99C-4250D2678005","label":"is"}</v>
      </c>
    </row>
    <row r="38" spans="1:6" ht="13.9" thickTop="1" thickBot="1" x14ac:dyDescent="0.4">
      <c r="A38" s="38">
        <f>IF(ISERR(EdgesJSON[[#This Row],[id]]),0,1)</f>
        <v>1</v>
      </c>
      <c r="B38" s="21" t="str">
        <f>EdgesData[[#This Row],[Edge ID]]</f>
        <v>8FA8BA60-4F2A-4BFD-A297-E4053CB17D73</v>
      </c>
      <c r="C38" s="21" t="str">
        <f>EdgesData[[#This Row],[Node A ID]]</f>
        <v>935B2B66-22E7-4674-9564-5B7FE10D4526</v>
      </c>
      <c r="D38" s="21" t="str">
        <f>EdgesData[[#This Row],[Node B ID]]</f>
        <v>A2967417-72BE-4537-BE1E-39E6298F5851</v>
      </c>
      <c r="E38" s="3" t="str">
        <f>EdgesData[[#This Row],[Rel]]</f>
        <v>is</v>
      </c>
      <c r="F38" s="25" t="str" cm="1">
        <f t="array" ref="F38">IF(EdgesJSON[[#This Row],[Export?]]=0,"",IF(ROW(EdgesJSON[[#This Row],[id]])&gt;ROW(EdgesJSON[[#Headers],[JSON]])+1,",","") &amp;"{"&amp;twoRangesToJSON(EdgesJSON[[#Headers],[id]:[label]],EdgesJSON[[#This Row],[id]:[label]])&amp;"}")</f>
        <v>,{"id":"8FA8BA60-4F2A-4BFD-A297-E4053CB17D73","from":"935B2B66-22E7-4674-9564-5B7FE10D4526","to":"A2967417-72BE-4537-BE1E-39E6298F5851","label":"is"}</v>
      </c>
    </row>
    <row r="39" spans="1:6" ht="13.9" thickTop="1" thickBot="1" x14ac:dyDescent="0.4">
      <c r="A39" s="38">
        <f>IF(ISERR(EdgesJSON[[#This Row],[id]]),0,1)</f>
        <v>1</v>
      </c>
      <c r="B39" s="21" t="str">
        <f>EdgesData[[#This Row],[Edge ID]]</f>
        <v>43895014-FE0C-4117-87D5-FBF8AAF56D63</v>
      </c>
      <c r="C39" s="21" t="str">
        <f>EdgesData[[#This Row],[Node A ID]]</f>
        <v>1D786316-F897-4DFF-8B41-5E1E1572959A</v>
      </c>
      <c r="D39" s="21" t="str">
        <f>EdgesData[[#This Row],[Node B ID]]</f>
        <v>A42E7343-FA4C-490A-A0A3-7F65FB188771</v>
      </c>
      <c r="E39" s="3" t="str">
        <f>EdgesData[[#This Row],[Rel]]</f>
        <v>is</v>
      </c>
      <c r="F39" s="25" t="str" cm="1">
        <f t="array" ref="F39">IF(EdgesJSON[[#This Row],[Export?]]=0,"",IF(ROW(EdgesJSON[[#This Row],[id]])&gt;ROW(EdgesJSON[[#Headers],[JSON]])+1,",","") &amp;"{"&amp;twoRangesToJSON(EdgesJSON[[#Headers],[id]:[label]],EdgesJSON[[#This Row],[id]:[label]])&amp;"}")</f>
        <v>,{"id":"43895014-FE0C-4117-87D5-FBF8AAF56D63","from":"1D786316-F897-4DFF-8B41-5E1E1572959A","to":"A42E7343-FA4C-490A-A0A3-7F65FB188771","label":"is"}</v>
      </c>
    </row>
    <row r="40" spans="1:6" ht="13.9" thickTop="1" thickBot="1" x14ac:dyDescent="0.4">
      <c r="A40" s="38">
        <f>IF(ISERR(EdgesJSON[[#This Row],[id]]),0,1)</f>
        <v>1</v>
      </c>
      <c r="B40" s="21" t="str">
        <f>EdgesData[[#This Row],[Edge ID]]</f>
        <v>8A776D00-32D8-4078-8B34-F55068F0FD47</v>
      </c>
      <c r="C40" s="21" t="str">
        <f>EdgesData[[#This Row],[Node A ID]]</f>
        <v>BFC2B385-EAA5-409A-8F21-E3B07033449A</v>
      </c>
      <c r="D40" s="21" t="str">
        <f>EdgesData[[#This Row],[Node B ID]]</f>
        <v>4C6DA97E-8091-41CA-B99C-4250D2678005</v>
      </c>
      <c r="E40" s="3" t="str">
        <f>EdgesData[[#This Row],[Rel]]</f>
        <v>is</v>
      </c>
      <c r="F40" s="25" t="str" cm="1">
        <f t="array" ref="F40">IF(EdgesJSON[[#This Row],[Export?]]=0,"",IF(ROW(EdgesJSON[[#This Row],[id]])&gt;ROW(EdgesJSON[[#Headers],[JSON]])+1,",","") &amp;"{"&amp;twoRangesToJSON(EdgesJSON[[#Headers],[id]:[label]],EdgesJSON[[#This Row],[id]:[label]])&amp;"}")</f>
        <v>,{"id":"8A776D00-32D8-4078-8B34-F55068F0FD47","from":"BFC2B385-EAA5-409A-8F21-E3B07033449A","to":"4C6DA97E-8091-41CA-B99C-4250D2678005","label":"is"}</v>
      </c>
    </row>
    <row r="41" spans="1:6" ht="13.9" thickTop="1" thickBot="1" x14ac:dyDescent="0.4">
      <c r="A41" s="38">
        <f>IF(ISERR(EdgesJSON[[#This Row],[id]]),0,1)</f>
        <v>1</v>
      </c>
      <c r="B41" s="21" t="str">
        <f>EdgesData[[#This Row],[Edge ID]]</f>
        <v>B292E7B1-1707-4B0B-BBE7-605D19444883</v>
      </c>
      <c r="C41" s="21" t="str">
        <f>EdgesData[[#This Row],[Node A ID]]</f>
        <v>BFC2B385-EAA5-409A-8F21-E3B07033449A</v>
      </c>
      <c r="D41" s="21" t="str">
        <f>EdgesData[[#This Row],[Node B ID]]</f>
        <v>A2967417-72BE-4537-BE1E-39E6298F5851</v>
      </c>
      <c r="E41" s="3" t="str">
        <f>EdgesData[[#This Row],[Rel]]</f>
        <v>is</v>
      </c>
      <c r="F41" s="25" t="str" cm="1">
        <f t="array" ref="F41">IF(EdgesJSON[[#This Row],[Export?]]=0,"",IF(ROW(EdgesJSON[[#This Row],[id]])&gt;ROW(EdgesJSON[[#Headers],[JSON]])+1,",","") &amp;"{"&amp;twoRangesToJSON(EdgesJSON[[#Headers],[id]:[label]],EdgesJSON[[#This Row],[id]:[label]])&amp;"}")</f>
        <v>,{"id":"B292E7B1-1707-4B0B-BBE7-605D19444883","from":"BFC2B385-EAA5-409A-8F21-E3B07033449A","to":"A2967417-72BE-4537-BE1E-39E6298F5851","label":"is"}</v>
      </c>
    </row>
    <row r="42" spans="1:6" ht="13.9" thickTop="1" thickBot="1" x14ac:dyDescent="0.4">
      <c r="A42" s="38">
        <f>IF(ISERR(EdgesJSON[[#This Row],[id]]),0,1)</f>
        <v>1</v>
      </c>
      <c r="B42" s="21" t="str">
        <f>EdgesData[[#This Row],[Edge ID]]</f>
        <v>33065C30-A3B9-4D0D-B5CC-ED8D767FBEC1</v>
      </c>
      <c r="C42" s="21" t="str">
        <f>EdgesData[[#This Row],[Node A ID]]</f>
        <v>087C6620-F50C-4D7E-B3DF-516DA675DD50</v>
      </c>
      <c r="D42" s="21" t="str">
        <f>EdgesData[[#This Row],[Node B ID]]</f>
        <v>4C6DA97E-8091-41CA-B99C-4250D2678005</v>
      </c>
      <c r="E42" s="3" t="str">
        <f>EdgesData[[#This Row],[Rel]]</f>
        <v>is</v>
      </c>
      <c r="F42" s="25" t="str" cm="1">
        <f t="array" ref="F42">IF(EdgesJSON[[#This Row],[Export?]]=0,"",IF(ROW(EdgesJSON[[#This Row],[id]])&gt;ROW(EdgesJSON[[#Headers],[JSON]])+1,",","") &amp;"{"&amp;twoRangesToJSON(EdgesJSON[[#Headers],[id]:[label]],EdgesJSON[[#This Row],[id]:[label]])&amp;"}")</f>
        <v>,{"id":"33065C30-A3B9-4D0D-B5CC-ED8D767FBEC1","from":"087C6620-F50C-4D7E-B3DF-516DA675DD50","to":"4C6DA97E-8091-41CA-B99C-4250D2678005","label":"is"}</v>
      </c>
    </row>
    <row r="43" spans="1:6" ht="13.9" thickTop="1" thickBot="1" x14ac:dyDescent="0.4">
      <c r="A43" s="38">
        <f>IF(ISERR(EdgesJSON[[#This Row],[id]]),0,1)</f>
        <v>1</v>
      </c>
      <c r="B43" s="21" t="str">
        <f>EdgesData[[#This Row],[Edge ID]]</f>
        <v>C6BBD49A-A858-43A9-9337-8EB58F0C51B2</v>
      </c>
      <c r="C43" s="21" t="str">
        <f>EdgesData[[#This Row],[Node A ID]]</f>
        <v>087C6620-F50C-4D7E-B3DF-516DA675DD50</v>
      </c>
      <c r="D43" s="21" t="str">
        <f>EdgesData[[#This Row],[Node B ID]]</f>
        <v>A2967417-72BE-4537-BE1E-39E6298F5851</v>
      </c>
      <c r="E43" s="3" t="str">
        <f>EdgesData[[#This Row],[Rel]]</f>
        <v>is</v>
      </c>
      <c r="F43" s="25" t="str" cm="1">
        <f t="array" ref="F43">IF(EdgesJSON[[#This Row],[Export?]]=0,"",IF(ROW(EdgesJSON[[#This Row],[id]])&gt;ROW(EdgesJSON[[#Headers],[JSON]])+1,",","") &amp;"{"&amp;twoRangesToJSON(EdgesJSON[[#Headers],[id]:[label]],EdgesJSON[[#This Row],[id]:[label]])&amp;"}")</f>
        <v>,{"id":"C6BBD49A-A858-43A9-9337-8EB58F0C51B2","from":"087C6620-F50C-4D7E-B3DF-516DA675DD50","to":"A2967417-72BE-4537-BE1E-39E6298F5851","label":"is"}</v>
      </c>
    </row>
    <row r="44" spans="1:6" ht="13.9" thickTop="1" thickBot="1" x14ac:dyDescent="0.4">
      <c r="A44" s="38">
        <f>IF(ISERR(EdgesJSON[[#This Row],[id]]),0,1)</f>
        <v>1</v>
      </c>
      <c r="B44" s="21" t="str">
        <f>EdgesData[[#This Row],[Edge ID]]</f>
        <v>FABAAE46-324C-4399-87DA-0B0EE767B29A</v>
      </c>
      <c r="C44" s="21" t="str">
        <f>EdgesData[[#This Row],[Node A ID]]</f>
        <v>4DAEE886-62B6-4A11-91E2-6CCC52E8C726</v>
      </c>
      <c r="D44" s="21" t="str">
        <f>EdgesData[[#This Row],[Node B ID]]</f>
        <v>A42E7343-FA4C-490A-A0A3-7F65FB188771</v>
      </c>
      <c r="E44" s="3" t="str">
        <f>EdgesData[[#This Row],[Rel]]</f>
        <v>is</v>
      </c>
      <c r="F44" s="25" t="str" cm="1">
        <f t="array" ref="F44">IF(EdgesJSON[[#This Row],[Export?]]=0,"",IF(ROW(EdgesJSON[[#This Row],[id]])&gt;ROW(EdgesJSON[[#Headers],[JSON]])+1,",","") &amp;"{"&amp;twoRangesToJSON(EdgesJSON[[#Headers],[id]:[label]],EdgesJSON[[#This Row],[id]:[label]])&amp;"}")</f>
        <v>,{"id":"FABAAE46-324C-4399-87DA-0B0EE767B29A","from":"4DAEE886-62B6-4A11-91E2-6CCC52E8C726","to":"A42E7343-FA4C-490A-A0A3-7F65FB188771","label":"is"}</v>
      </c>
    </row>
    <row r="45" spans="1:6" ht="13.9" thickTop="1" thickBot="1" x14ac:dyDescent="0.4">
      <c r="A45" s="38">
        <f>IF(ISERR(EdgesJSON[[#This Row],[id]]),0,1)</f>
        <v>1</v>
      </c>
      <c r="B45" s="21" t="str">
        <f>EdgesData[[#This Row],[Edge ID]]</f>
        <v>28500740-6EE6-4335-8EF3-39D42CD9EB16</v>
      </c>
      <c r="C45" s="21" t="str">
        <f>EdgesData[[#This Row],[Node A ID]]</f>
        <v>DF8479E4-7ED0-4699-B624-53A022550DA0</v>
      </c>
      <c r="D45" s="21" t="str">
        <f>EdgesData[[#This Row],[Node B ID]]</f>
        <v>A42E7343-FA4C-490A-A0A3-7F65FB188771</v>
      </c>
      <c r="E45" s="3" t="str">
        <f>EdgesData[[#This Row],[Rel]]</f>
        <v>is</v>
      </c>
      <c r="F45" s="25" t="str" cm="1">
        <f t="array" ref="F45">IF(EdgesJSON[[#This Row],[Export?]]=0,"",IF(ROW(EdgesJSON[[#This Row],[id]])&gt;ROW(EdgesJSON[[#Headers],[JSON]])+1,",","") &amp;"{"&amp;twoRangesToJSON(EdgesJSON[[#Headers],[id]:[label]],EdgesJSON[[#This Row],[id]:[label]])&amp;"}")</f>
        <v>,{"id":"28500740-6EE6-4335-8EF3-39D42CD9EB16","from":"DF8479E4-7ED0-4699-B624-53A022550DA0","to":"A42E7343-FA4C-490A-A0A3-7F65FB188771","label":"is"}</v>
      </c>
    </row>
    <row r="46" spans="1:6" ht="13.9" thickTop="1" thickBot="1" x14ac:dyDescent="0.4">
      <c r="A46" s="38">
        <f>IF(ISERR(EdgesJSON[[#This Row],[id]]),0,1)</f>
        <v>1</v>
      </c>
      <c r="B46" s="21" t="str">
        <f>EdgesData[[#This Row],[Edge ID]]</f>
        <v>B0C857BE-9AD0-4BB2-BEF3-0102CD2627FD</v>
      </c>
      <c r="C46" s="21" t="str">
        <f>EdgesData[[#This Row],[Node A ID]]</f>
        <v>B5825B69-4900-43C0-A761-B839CC2A150A</v>
      </c>
      <c r="D46" s="21" t="str">
        <f>EdgesData[[#This Row],[Node B ID]]</f>
        <v>4C6DA97E-8091-41CA-B99C-4250D2678005</v>
      </c>
      <c r="E46" s="3" t="str">
        <f>EdgesData[[#This Row],[Rel]]</f>
        <v>is</v>
      </c>
      <c r="F46" s="25" t="str" cm="1">
        <f t="array" ref="F46">IF(EdgesJSON[[#This Row],[Export?]]=0,"",IF(ROW(EdgesJSON[[#This Row],[id]])&gt;ROW(EdgesJSON[[#Headers],[JSON]])+1,",","") &amp;"{"&amp;twoRangesToJSON(EdgesJSON[[#Headers],[id]:[label]],EdgesJSON[[#This Row],[id]:[label]])&amp;"}")</f>
        <v>,{"id":"B0C857BE-9AD0-4BB2-BEF3-0102CD2627FD","from":"B5825B69-4900-43C0-A761-B839CC2A150A","to":"4C6DA97E-8091-41CA-B99C-4250D2678005","label":"is"}</v>
      </c>
    </row>
    <row r="47" spans="1:6" ht="13.9" thickTop="1" thickBot="1" x14ac:dyDescent="0.4">
      <c r="A47" s="38">
        <f>IF(ISERR(EdgesJSON[[#This Row],[id]]),0,1)</f>
        <v>1</v>
      </c>
      <c r="B47" s="21" t="str">
        <f>EdgesData[[#This Row],[Edge ID]]</f>
        <v>1A7AC49D-0F1C-47EE-BC58-AC3EAE721F57</v>
      </c>
      <c r="C47" s="21" t="str">
        <f>EdgesData[[#This Row],[Node A ID]]</f>
        <v>B5825B69-4900-43C0-A761-B839CC2A150A</v>
      </c>
      <c r="D47" s="21" t="str">
        <f>EdgesData[[#This Row],[Node B ID]]</f>
        <v>A2967417-72BE-4537-BE1E-39E6298F5851</v>
      </c>
      <c r="E47" s="3" t="str">
        <f>EdgesData[[#This Row],[Rel]]</f>
        <v>is</v>
      </c>
      <c r="F47" s="25" t="str" cm="1">
        <f t="array" ref="F47">IF(EdgesJSON[[#This Row],[Export?]]=0,"",IF(ROW(EdgesJSON[[#This Row],[id]])&gt;ROW(EdgesJSON[[#Headers],[JSON]])+1,",","") &amp;"{"&amp;twoRangesToJSON(EdgesJSON[[#Headers],[id]:[label]],EdgesJSON[[#This Row],[id]:[label]])&amp;"}")</f>
        <v>,{"id":"1A7AC49D-0F1C-47EE-BC58-AC3EAE721F57","from":"B5825B69-4900-43C0-A761-B839CC2A150A","to":"A2967417-72BE-4537-BE1E-39E6298F5851","label":"is"}</v>
      </c>
    </row>
    <row r="48" spans="1:6" ht="13.9" thickTop="1" thickBot="1" x14ac:dyDescent="0.4">
      <c r="A48" s="38">
        <f>IF(ISERR(EdgesJSON[[#This Row],[id]]),0,1)</f>
        <v>1</v>
      </c>
      <c r="B48" s="21" t="str">
        <f>EdgesData[[#This Row],[Edge ID]]</f>
        <v>FCE6A6BB-8894-457D-8ABB-A0A449520297</v>
      </c>
      <c r="C48" s="21" t="str">
        <f>EdgesData[[#This Row],[Node A ID]]</f>
        <v>F308D789-DA7D-4E47-A5C3-2B03D6929447</v>
      </c>
      <c r="D48" s="21" t="str">
        <f>EdgesData[[#This Row],[Node B ID]]</f>
        <v>4C6DA97E-8091-41CA-B99C-4250D2678005</v>
      </c>
      <c r="E48" s="3" t="str">
        <f>EdgesData[[#This Row],[Rel]]</f>
        <v>is</v>
      </c>
      <c r="F48" s="25" t="str" cm="1">
        <f t="array" ref="F48">IF(EdgesJSON[[#This Row],[Export?]]=0,"",IF(ROW(EdgesJSON[[#This Row],[id]])&gt;ROW(EdgesJSON[[#Headers],[JSON]])+1,",","") &amp;"{"&amp;twoRangesToJSON(EdgesJSON[[#Headers],[id]:[label]],EdgesJSON[[#This Row],[id]:[label]])&amp;"}")</f>
        <v>,{"id":"FCE6A6BB-8894-457D-8ABB-A0A449520297","from":"F308D789-DA7D-4E47-A5C3-2B03D6929447","to":"4C6DA97E-8091-41CA-B99C-4250D2678005","label":"is"}</v>
      </c>
    </row>
    <row r="49" spans="1:6" ht="13.9" thickTop="1" thickBot="1" x14ac:dyDescent="0.4">
      <c r="A49" s="38">
        <f>IF(ISERR(EdgesJSON[[#This Row],[id]]),0,1)</f>
        <v>1</v>
      </c>
      <c r="B49" s="21" t="str">
        <f>EdgesData[[#This Row],[Edge ID]]</f>
        <v>361CF5E5-A4E7-41F1-B5E0-BE5AA8CBC1AB</v>
      </c>
      <c r="C49" s="21" t="str">
        <f>EdgesData[[#This Row],[Node A ID]]</f>
        <v>F308D789-DA7D-4E47-A5C3-2B03D6929447</v>
      </c>
      <c r="D49" s="21" t="str">
        <f>EdgesData[[#This Row],[Node B ID]]</f>
        <v>A2967417-72BE-4537-BE1E-39E6298F5851</v>
      </c>
      <c r="E49" s="3" t="str">
        <f>EdgesData[[#This Row],[Rel]]</f>
        <v>is</v>
      </c>
      <c r="F49" s="25" t="str" cm="1">
        <f t="array" ref="F49">IF(EdgesJSON[[#This Row],[Export?]]=0,"",IF(ROW(EdgesJSON[[#This Row],[id]])&gt;ROW(EdgesJSON[[#Headers],[JSON]])+1,",","") &amp;"{"&amp;twoRangesToJSON(EdgesJSON[[#Headers],[id]:[label]],EdgesJSON[[#This Row],[id]:[label]])&amp;"}")</f>
        <v>,{"id":"361CF5E5-A4E7-41F1-B5E0-BE5AA8CBC1AB","from":"F308D789-DA7D-4E47-A5C3-2B03D6929447","to":"A2967417-72BE-4537-BE1E-39E6298F5851","label":"is"}</v>
      </c>
    </row>
    <row r="50" spans="1:6" ht="13.9" thickTop="1" thickBot="1" x14ac:dyDescent="0.4">
      <c r="A50" s="38">
        <f>IF(ISERR(EdgesJSON[[#This Row],[id]]),0,1)</f>
        <v>1</v>
      </c>
      <c r="B50" s="21" t="str">
        <f>EdgesData[[#This Row],[Edge ID]]</f>
        <v>26E77BE3-5EC8-4DB4-98EF-7A96B2955DEF</v>
      </c>
      <c r="C50" s="21" t="str">
        <f>EdgesData[[#This Row],[Node A ID]]</f>
        <v>3707A70E-88B7-4B6D-A934-0BC5EE398FF6</v>
      </c>
      <c r="D50" s="21" t="str">
        <f>EdgesData[[#This Row],[Node B ID]]</f>
        <v>AB661E2B-F23C-4C53-A2BC-043F66BD26F6</v>
      </c>
      <c r="E50" s="3" t="str">
        <f>EdgesData[[#This Row],[Rel]]</f>
        <v>is</v>
      </c>
      <c r="F50" s="25" t="str" cm="1">
        <f t="array" ref="F50">IF(EdgesJSON[[#This Row],[Export?]]=0,"",IF(ROW(EdgesJSON[[#This Row],[id]])&gt;ROW(EdgesJSON[[#Headers],[JSON]])+1,",","") &amp;"{"&amp;twoRangesToJSON(EdgesJSON[[#Headers],[id]:[label]],EdgesJSON[[#This Row],[id]:[label]])&amp;"}")</f>
        <v>,{"id":"26E77BE3-5EC8-4DB4-98EF-7A96B2955DEF","from":"3707A70E-88B7-4B6D-A934-0BC5EE398FF6","to":"AB661E2B-F23C-4C53-A2BC-043F66BD26F6","label":"is"}</v>
      </c>
    </row>
    <row r="51" spans="1:6" ht="13.9" thickTop="1" thickBot="1" x14ac:dyDescent="0.4">
      <c r="A51" s="39">
        <f>IF(ISERR(EdgesJSON[[#This Row],[id]]),0,1)</f>
        <v>1</v>
      </c>
      <c r="B51" s="27" t="str">
        <f>EdgesData[[#This Row],[Edge ID]]</f>
        <v>40665882-7B0C-4C43-80B9-296692AF819C</v>
      </c>
      <c r="C51" s="27" t="str">
        <f>EdgesData[[#This Row],[Node A ID]]</f>
        <v>AB661E2B-F23C-4C53-A2BC-043F66BD26F6</v>
      </c>
      <c r="D51" s="27" t="str">
        <f>EdgesData[[#This Row],[Node B ID]]</f>
        <v>F6D05109-A8EB-4630-8070-A3DC00484ED2</v>
      </c>
      <c r="E51" s="4" t="str">
        <f>EdgesData[[#This Row],[Rel]]</f>
        <v>is</v>
      </c>
      <c r="F51" s="25" t="str" cm="1">
        <f t="array" ref="F51">IF(EdgesJSON[[#This Row],[Export?]]=0,"",IF(ROW(EdgesJSON[[#This Row],[id]])&gt;ROW(EdgesJSON[[#Headers],[JSON]])+1,",","") &amp;"{"&amp;twoRangesToJSON(EdgesJSON[[#Headers],[id]:[label]],EdgesJSON[[#This Row],[id]:[label]])&amp;"}")</f>
        <v>,{"id":"40665882-7B0C-4C43-80B9-296692AF819C","from":"AB661E2B-F23C-4C53-A2BC-043F66BD26F6","to":"F6D05109-A8EB-4630-8070-A3DC00484ED2","label":"is"}</v>
      </c>
    </row>
    <row r="52" spans="1:6" ht="13.9" thickTop="1" thickBot="1" x14ac:dyDescent="0.4">
      <c r="A52" s="39">
        <f>IF(ISERR(EdgesJSON[[#This Row],[id]]),0,1)</f>
        <v>1</v>
      </c>
      <c r="B52" s="27" t="str">
        <f>EdgesData[[#This Row],[Edge ID]]</f>
        <v>E6BF5314-2600-4444-8CED-A384480EC12C</v>
      </c>
      <c r="C52" s="27" t="str">
        <f>EdgesData[[#This Row],[Node A ID]]</f>
        <v>3707A70E-88B7-4B6D-A934-0BC5EE398FF6</v>
      </c>
      <c r="D52" s="27" t="str">
        <f>EdgesData[[#This Row],[Node B ID]]</f>
        <v>5405E693-EB16-42E8-98EA-4E4BF4569BD9</v>
      </c>
      <c r="E52" s="4" t="str">
        <f>EdgesData[[#This Row],[Rel]]</f>
        <v>committed by</v>
      </c>
      <c r="F52" s="25" t="str" cm="1">
        <f t="array" ref="F52">IF(EdgesJSON[[#This Row],[Export?]]=0,"",IF(ROW(EdgesJSON[[#This Row],[id]])&gt;ROW(EdgesJSON[[#Headers],[JSON]])+1,",","") &amp;"{"&amp;twoRangesToJSON(EdgesJSON[[#Headers],[id]:[label]],EdgesJSON[[#This Row],[id]:[label]])&amp;"}")</f>
        <v>,{"id":"E6BF5314-2600-4444-8CED-A384480EC12C","from":"3707A70E-88B7-4B6D-A934-0BC5EE398FF6","to":"5405E693-EB16-42E8-98EA-4E4BF4569BD9","label":"committed by"}</v>
      </c>
    </row>
    <row r="53" spans="1:6" ht="13.9" thickTop="1" thickBot="1" x14ac:dyDescent="0.4">
      <c r="A53" s="39">
        <f>IF(ISERR(EdgesJSON[[#This Row],[id]]),0,1)</f>
        <v>1</v>
      </c>
      <c r="B53" s="27" t="str">
        <f>EdgesData[[#This Row],[Edge ID]]</f>
        <v>DBEF589E-61B7-48CA-BF62-BE1EFE5B5B5F</v>
      </c>
      <c r="C53" s="27" t="str">
        <f>EdgesData[[#This Row],[Node A ID]]</f>
        <v>3707A70E-88B7-4B6D-A934-0BC5EE398FF6</v>
      </c>
      <c r="D53" s="27" t="str">
        <f>EdgesData[[#This Row],[Node B ID]]</f>
        <v>0356B816-5188-4965-B4D7-28144AB3745F</v>
      </c>
      <c r="E53" s="4" t="str">
        <f>EdgesData[[#This Row],[Rel]]</f>
        <v>victimize</v>
      </c>
      <c r="F53" s="25" t="str" cm="1">
        <f t="array" ref="F53">IF(EdgesJSON[[#This Row],[Export?]]=0,"",IF(ROW(EdgesJSON[[#This Row],[id]])&gt;ROW(EdgesJSON[[#Headers],[JSON]])+1,",","") &amp;"{"&amp;twoRangesToJSON(EdgesJSON[[#Headers],[id]:[label]],EdgesJSON[[#This Row],[id]:[label]])&amp;"}")</f>
        <v>,{"id":"DBEF589E-61B7-48CA-BF62-BE1EFE5B5B5F","from":"3707A70E-88B7-4B6D-A934-0BC5EE398FF6","to":"0356B816-5188-4965-B4D7-28144AB3745F","label":"victimize"}</v>
      </c>
    </row>
    <row r="54" spans="1:6" ht="13.9" thickTop="1" thickBot="1" x14ac:dyDescent="0.4">
      <c r="A54" s="39">
        <f>IF(ISERR(EdgesJSON[[#This Row],[id]]),0,1)</f>
        <v>1</v>
      </c>
      <c r="B54" s="27" t="str">
        <f>EdgesData[[#This Row],[Edge ID]]</f>
        <v>D9F6340D-C755-478B-A8BA-B75B075E3FC8</v>
      </c>
      <c r="C54" s="27" t="str">
        <f>EdgesData[[#This Row],[Node A ID]]</f>
        <v>5405E693-EB16-42E8-98EA-4E4BF4569BD9</v>
      </c>
      <c r="D54" s="27" t="str">
        <f>EdgesData[[#This Row],[Node B ID]]</f>
        <v>2BE2F561-5FF3-4301-82B7-39FF29CD650A</v>
      </c>
      <c r="E54" s="4" t="str">
        <f>EdgesData[[#This Row],[Rel]]</f>
        <v>take control of</v>
      </c>
      <c r="F54" s="25" t="str" cm="1">
        <f t="array" ref="F54">IF(EdgesJSON[[#This Row],[Export?]]=0,"",IF(ROW(EdgesJSON[[#This Row],[id]])&gt;ROW(EdgesJSON[[#Headers],[JSON]])+1,",","") &amp;"{"&amp;twoRangesToJSON(EdgesJSON[[#Headers],[id]:[label]],EdgesJSON[[#This Row],[id]:[label]])&amp;"}")</f>
        <v>,{"id":"D9F6340D-C755-478B-A8BA-B75B075E3FC8","from":"5405E693-EB16-42E8-98EA-4E4BF4569BD9","to":"2BE2F561-5FF3-4301-82B7-39FF29CD650A","label":"take control of"}</v>
      </c>
    </row>
    <row r="55" spans="1:6" ht="13.9" thickTop="1" thickBot="1" x14ac:dyDescent="0.4">
      <c r="A55" s="39">
        <f>IF(ISERR(EdgesJSON[[#This Row],[id]]),0,1)</f>
        <v>1</v>
      </c>
      <c r="B55" s="27" t="str">
        <f>EdgesData[[#This Row],[Edge ID]]</f>
        <v>624D8A78-15B2-4960-86BC-B962167A2B50</v>
      </c>
      <c r="C55" s="27" t="str">
        <f>EdgesData[[#This Row],[Node A ID]]</f>
        <v>0356B816-5188-4965-B4D7-28144AB3745F</v>
      </c>
      <c r="D55" s="27" t="str">
        <f>EdgesData[[#This Row],[Node B ID]]</f>
        <v>2BE2F561-5FF3-4301-82B7-39FF29CD650A</v>
      </c>
      <c r="E55" s="4" t="str">
        <f>EdgesData[[#This Row],[Rel]]</f>
        <v>owns</v>
      </c>
      <c r="F55" s="25" t="str" cm="1">
        <f t="array" ref="F55">IF(EdgesJSON[[#This Row],[Export?]]=0,"",IF(ROW(EdgesJSON[[#This Row],[id]])&gt;ROW(EdgesJSON[[#Headers],[JSON]])+1,",","") &amp;"{"&amp;twoRangesToJSON(EdgesJSON[[#Headers],[id]:[label]],EdgesJSON[[#This Row],[id]:[label]])&amp;"}")</f>
        <v>,{"id":"624D8A78-15B2-4960-86BC-B962167A2B50","from":"0356B816-5188-4965-B4D7-28144AB3745F","to":"2BE2F561-5FF3-4301-82B7-39FF29CD650A","label":"owns"}</v>
      </c>
    </row>
    <row r="56" spans="1:6" ht="13.9" thickTop="1" thickBot="1" x14ac:dyDescent="0.4">
      <c r="A56" s="39">
        <f>IF(ISERR(EdgesJSON[[#This Row],[id]]),0,1)</f>
        <v>1</v>
      </c>
      <c r="B56" s="27" t="str">
        <f>EdgesData[[#This Row],[Edge ID]]</f>
        <v>AC3D99D3-A737-46B2-8B00-7D9A3ABC113C</v>
      </c>
      <c r="C56" s="27" t="str">
        <f>EdgesData[[#This Row],[Node A ID]]</f>
        <v>5405E693-EB16-42E8-98EA-4E4BF4569BD9</v>
      </c>
      <c r="D56" s="27" t="str">
        <f>EdgesData[[#This Row],[Node B ID]]</f>
        <v>0356B816-5188-4965-B4D7-28144AB3745F</v>
      </c>
      <c r="E56" s="4" t="str">
        <f>EdgesData[[#This Row],[Rel]]</f>
        <v>distinct from</v>
      </c>
      <c r="F56" s="25" t="str" cm="1">
        <f t="array" ref="F56">IF(EdgesJSON[[#This Row],[Export?]]=0,"",IF(ROW(EdgesJSON[[#This Row],[id]])&gt;ROW(EdgesJSON[[#Headers],[JSON]])+1,",","") &amp;"{"&amp;twoRangesToJSON(EdgesJSON[[#Headers],[id]:[label]],EdgesJSON[[#This Row],[id]:[label]])&amp;"}")</f>
        <v>,{"id":"AC3D99D3-A737-46B2-8B00-7D9A3ABC113C","from":"5405E693-EB16-42E8-98EA-4E4BF4569BD9","to":"0356B816-5188-4965-B4D7-28144AB3745F","label":"distinct from"}</v>
      </c>
    </row>
    <row r="57" spans="1:6" ht="13.9" thickTop="1" thickBot="1" x14ac:dyDescent="0.4">
      <c r="A57" s="39">
        <f>IF(ISERR(EdgesJSON[[#This Row],[id]]),0,1)</f>
        <v>1</v>
      </c>
      <c r="B57" s="27" t="str">
        <f>EdgesData[[#This Row],[Edge ID]]</f>
        <v>B8D2A8FF-158D-431C-B23D-8ABC12909059</v>
      </c>
      <c r="C57" s="27" t="str">
        <f>EdgesData[[#This Row],[Node A ID]]</f>
        <v>DB35E690-DA61-4DD6-8BFE-3D6A2BCFD097</v>
      </c>
      <c r="D57" s="27" t="str">
        <f>EdgesData[[#This Row],[Node B ID]]</f>
        <v>422E3DA9-1F9C-44DA-8A28-BF3685F5E402</v>
      </c>
      <c r="E57" s="4" t="str">
        <f>EdgesData[[#This Row],[Rel]]</f>
        <v>may be</v>
      </c>
      <c r="F57" s="25" t="str" cm="1">
        <f t="array" ref="F57">IF(EdgesJSON[[#This Row],[Export?]]=0,"",IF(ROW(EdgesJSON[[#This Row],[id]])&gt;ROW(EdgesJSON[[#Headers],[JSON]])+1,",","") &amp;"{"&amp;twoRangesToJSON(EdgesJSON[[#Headers],[id]:[label]],EdgesJSON[[#This Row],[id]:[label]])&amp;"}")</f>
        <v>,{"id":"B8D2A8FF-158D-431C-B23D-8ABC12909059","from":"DB35E690-DA61-4DD6-8BFE-3D6A2BCFD097","to":"422E3DA9-1F9C-44DA-8A28-BF3685F5E402","label":"may be"}</v>
      </c>
    </row>
    <row r="58" spans="1:6" ht="13.9" thickTop="1" thickBot="1" x14ac:dyDescent="0.4">
      <c r="A58" s="39">
        <f>IF(ISERR(EdgesJSON[[#This Row],[id]]),0,1)</f>
        <v>1</v>
      </c>
      <c r="B58" s="27" t="str">
        <f>EdgesData[[#This Row],[Edge ID]]</f>
        <v>FF977DA1-3B9C-47F7-BE05-A16485CB0D72</v>
      </c>
      <c r="C58" s="27" t="str">
        <f>EdgesData[[#This Row],[Node A ID]]</f>
        <v>DB35E690-DA61-4DD6-8BFE-3D6A2BCFD097</v>
      </c>
      <c r="D58" s="27" t="str">
        <f>EdgesData[[#This Row],[Node B ID]]</f>
        <v>972F900D-A7B8-411F-BF29-19B9F2169285</v>
      </c>
      <c r="E58" s="4" t="str">
        <f>EdgesData[[#This Row],[Rel]]</f>
        <v>may be</v>
      </c>
      <c r="F58" s="25" t="str" cm="1">
        <f t="array" ref="F58">IF(EdgesJSON[[#This Row],[Export?]]=0,"",IF(ROW(EdgesJSON[[#This Row],[id]])&gt;ROW(EdgesJSON[[#Headers],[JSON]])+1,",","") &amp;"{"&amp;twoRangesToJSON(EdgesJSON[[#Headers],[id]:[label]],EdgesJSON[[#This Row],[id]:[label]])&amp;"}")</f>
        <v>,{"id":"FF977DA1-3B9C-47F7-BE05-A16485CB0D72","from":"DB35E690-DA61-4DD6-8BFE-3D6A2BCFD097","to":"972F900D-A7B8-411F-BF29-19B9F2169285","label":"may be"}</v>
      </c>
    </row>
    <row r="59" spans="1:6" ht="13.9" thickTop="1" thickBot="1" x14ac:dyDescent="0.4">
      <c r="A59" s="39">
        <f>IF(ISERR(EdgesJSON[[#This Row],[id]]),0,1)</f>
        <v>1</v>
      </c>
      <c r="B59" s="27" t="str">
        <f>EdgesData[[#This Row],[Edge ID]]</f>
        <v>0000618D-67F2-4990-801A-1E881520AF74</v>
      </c>
      <c r="C59" s="27" t="str">
        <f>EdgesData[[#This Row],[Node A ID]]</f>
        <v>DB35E690-DA61-4DD6-8BFE-3D6A2BCFD097</v>
      </c>
      <c r="D59" s="27" t="str">
        <f>EdgesData[[#This Row],[Node B ID]]</f>
        <v>8AB3C29B-04F9-4068-85E6-82031382CE74</v>
      </c>
      <c r="E59" s="4" t="str">
        <f>EdgesData[[#This Row],[Rel]]</f>
        <v>may be</v>
      </c>
      <c r="F59" s="25" t="str" cm="1">
        <f t="array" ref="F59">IF(EdgesJSON[[#This Row],[Export?]]=0,"",IF(ROW(EdgesJSON[[#This Row],[id]])&gt;ROW(EdgesJSON[[#Headers],[JSON]])+1,",","") &amp;"{"&amp;twoRangesToJSON(EdgesJSON[[#Headers],[id]:[label]],EdgesJSON[[#This Row],[id]:[label]])&amp;"}")</f>
        <v>,{"id":"0000618D-67F2-4990-801A-1E881520AF74","from":"DB35E690-DA61-4DD6-8BFE-3D6A2BCFD097","to":"8AB3C29B-04F9-4068-85E6-82031382CE74","label":"may be"}</v>
      </c>
    </row>
    <row r="60" spans="1:6" ht="13.9" thickTop="1" thickBot="1" x14ac:dyDescent="0.4">
      <c r="A60" s="39">
        <f>IF(ISERR(EdgesJSON[[#This Row],[id]]),0,1)</f>
        <v>1</v>
      </c>
      <c r="B60" s="27" t="str">
        <f>EdgesData[[#This Row],[Edge ID]]</f>
        <v>9B287D99-25E1-4DA4-B3CF-D4B1DCB74C64</v>
      </c>
      <c r="C60" s="27" t="str">
        <f>EdgesData[[#This Row],[Node A ID]]</f>
        <v>5405E693-EB16-42E8-98EA-4E4BF4569BD9</v>
      </c>
      <c r="D60" s="27" t="str">
        <f>EdgesData[[#This Row],[Node B ID]]</f>
        <v>5F148AC3-F899-4AC2-AEB2-C6CA6005999B</v>
      </c>
      <c r="E60" s="4" t="str">
        <f>EdgesData[[#This Row],[Rel]]</f>
        <v>has not</v>
      </c>
      <c r="F60" s="25" t="str" cm="1">
        <f t="array" ref="F60">IF(EdgesJSON[[#This Row],[Export?]]=0,"",IF(ROW(EdgesJSON[[#This Row],[id]])&gt;ROW(EdgesJSON[[#Headers],[JSON]])+1,",","") &amp;"{"&amp;twoRangesToJSON(EdgesJSON[[#Headers],[id]:[label]],EdgesJSON[[#This Row],[id]:[label]])&amp;"}")</f>
        <v>,{"id":"9B287D99-25E1-4DA4-B3CF-D4B1DCB74C64","from":"5405E693-EB16-42E8-98EA-4E4BF4569BD9","to":"5F148AC3-F899-4AC2-AEB2-C6CA6005999B","label":"has not"}</v>
      </c>
    </row>
    <row r="61" spans="1:6" ht="13.9" thickTop="1" thickBot="1" x14ac:dyDescent="0.4">
      <c r="A61" s="39">
        <f>IF(ISERR(EdgesJSON[[#This Row],[id]]),0,1)</f>
        <v>1</v>
      </c>
      <c r="B61" s="27" t="str">
        <f>EdgesData[[#This Row],[Edge ID]]</f>
        <v>C03B5509-A5F0-4A30-AE2C-799A6A30E031</v>
      </c>
      <c r="C61" s="27" t="str">
        <f>EdgesData[[#This Row],[Node A ID]]</f>
        <v>0356B816-5188-4965-B4D7-28144AB3745F</v>
      </c>
      <c r="D61" s="27" t="str">
        <f>EdgesData[[#This Row],[Node B ID]]</f>
        <v>5F148AC3-F899-4AC2-AEB2-C6CA6005999B</v>
      </c>
      <c r="E61" s="4" t="str">
        <f>EdgesData[[#This Row],[Rel]]</f>
        <v>has</v>
      </c>
      <c r="F61" s="25" t="str" cm="1">
        <f t="array" ref="F61">IF(EdgesJSON[[#This Row],[Export?]]=0,"",IF(ROW(EdgesJSON[[#This Row],[id]])&gt;ROW(EdgesJSON[[#Headers],[JSON]])+1,",","") &amp;"{"&amp;twoRangesToJSON(EdgesJSON[[#Headers],[id]:[label]],EdgesJSON[[#This Row],[id]:[label]])&amp;"}")</f>
        <v>,{"id":"C03B5509-A5F0-4A30-AE2C-799A6A30E031","from":"0356B816-5188-4965-B4D7-28144AB3745F","to":"5F148AC3-F899-4AC2-AEB2-C6CA6005999B","label":"has"}</v>
      </c>
    </row>
    <row r="62" spans="1:6" ht="13.9" thickTop="1" thickBot="1" x14ac:dyDescent="0.4">
      <c r="A62" s="39">
        <f>IF(ISERR(EdgesJSON[[#This Row],[id]]),0,1)</f>
        <v>1</v>
      </c>
      <c r="B62" s="27" t="str">
        <f>EdgesData[[#This Row],[Edge ID]]</f>
        <v>C1A0FF6A-51A9-49F1-993D-6D626514246A</v>
      </c>
      <c r="C62" s="27" t="str">
        <f>EdgesData[[#This Row],[Node A ID]]</f>
        <v>3707A70E-88B7-4B6D-A934-0BC5EE398FF6</v>
      </c>
      <c r="D62" s="27" t="str">
        <f>EdgesData[[#This Row],[Node B ID]]</f>
        <v>6989A549-F547-413E-9EFA-E4EFEF40B824</v>
      </c>
      <c r="E62" s="4" t="str">
        <f>EdgesData[[#This Row],[Rel]]</f>
        <v>is</v>
      </c>
      <c r="F62" s="25" t="str" cm="1">
        <f t="array" ref="F62">IF(EdgesJSON[[#This Row],[Export?]]=0,"",IF(ROW(EdgesJSON[[#This Row],[id]])&gt;ROW(EdgesJSON[[#Headers],[JSON]])+1,",","") &amp;"{"&amp;twoRangesToJSON(EdgesJSON[[#Headers],[id]:[label]],EdgesJSON[[#This Row],[id]:[label]])&amp;"}")</f>
        <v>,{"id":"C1A0FF6A-51A9-49F1-993D-6D626514246A","from":"3707A70E-88B7-4B6D-A934-0BC5EE398FF6","to":"6989A549-F547-413E-9EFA-E4EFEF40B824","label":"is"}</v>
      </c>
    </row>
    <row r="63" spans="1:6" ht="13.9" thickTop="1" thickBot="1" x14ac:dyDescent="0.4">
      <c r="A63" s="39">
        <f>IF(ISERR(EdgesJSON[[#This Row],[id]]),0,1)</f>
        <v>1</v>
      </c>
      <c r="B63" s="27" t="str">
        <f>EdgesData[[#This Row],[Edge ID]]</f>
        <v>355A97DF-7524-4AAD-9971-402E919670C5</v>
      </c>
      <c r="C63" s="27" t="str">
        <f>EdgesData[[#This Row],[Node A ID]]</f>
        <v>5F148AC3-F899-4AC2-AEB2-C6CA6005999B</v>
      </c>
      <c r="D63" s="27" t="str">
        <f>EdgesData[[#This Row],[Node B ID]]</f>
        <v>2BE2F561-5FF3-4301-82B7-39FF29CD650A</v>
      </c>
      <c r="E63" s="4" t="str">
        <f>EdgesData[[#This Row],[Rel]]</f>
        <v>to impersonate</v>
      </c>
      <c r="F63" s="25" t="str" cm="1">
        <f t="array" ref="F63">IF(EdgesJSON[[#This Row],[Export?]]=0,"",IF(ROW(EdgesJSON[[#This Row],[id]])&gt;ROW(EdgesJSON[[#Headers],[JSON]])+1,",","") &amp;"{"&amp;twoRangesToJSON(EdgesJSON[[#Headers],[id]:[label]],EdgesJSON[[#This Row],[id]:[label]])&amp;"}")</f>
        <v>,{"id":"355A97DF-7524-4AAD-9971-402E919670C5","from":"5F148AC3-F899-4AC2-AEB2-C6CA6005999B","to":"2BE2F561-5FF3-4301-82B7-39FF29CD650A","label":"to impersonate"}</v>
      </c>
    </row>
    <row r="64" spans="1:6" ht="13.9" thickTop="1" thickBot="1" x14ac:dyDescent="0.4">
      <c r="A64" s="39">
        <f>IF(ISERR(EdgesJSON[[#This Row],[id]]),0,1)</f>
        <v>1</v>
      </c>
      <c r="B64" s="27" t="str">
        <f>EdgesData[[#This Row],[Edge ID]]</f>
        <v>03C65088-C04C-48F0-BCF8-7C56E778D79A</v>
      </c>
      <c r="C64" s="27" t="str">
        <f>EdgesData[[#This Row],[Node A ID]]</f>
        <v>5405E693-EB16-42E8-98EA-4E4BF4569BD9</v>
      </c>
      <c r="D64" s="27" t="str">
        <f>EdgesData[[#This Row],[Node B ID]]</f>
        <v>DB35E690-DA61-4DD6-8BFE-3D6A2BCFD097</v>
      </c>
      <c r="E64" s="4" t="str">
        <f>EdgesData[[#This Row],[Rel]]</f>
        <v>has</v>
      </c>
      <c r="F64" s="25" t="str" cm="1">
        <f t="array" ref="F64">IF(EdgesJSON[[#This Row],[Export?]]=0,"",IF(ROW(EdgesJSON[[#This Row],[id]])&gt;ROW(EdgesJSON[[#Headers],[JSON]])+1,",","") &amp;"{"&amp;twoRangesToJSON(EdgesJSON[[#Headers],[id]:[label]],EdgesJSON[[#This Row],[id]:[label]])&amp;"}")</f>
        <v>,{"id":"03C65088-C04C-48F0-BCF8-7C56E778D79A","from":"5405E693-EB16-42E8-98EA-4E4BF4569BD9","to":"DB35E690-DA61-4DD6-8BFE-3D6A2BCFD097","label":"has"}</v>
      </c>
    </row>
    <row r="65" spans="1:6" ht="13.9" thickTop="1" thickBot="1" x14ac:dyDescent="0.4">
      <c r="A65" s="39">
        <f>IF(ISERR(EdgesJSON[[#This Row],[id]]),0,1)</f>
        <v>1</v>
      </c>
      <c r="B65" s="27" t="str">
        <f>EdgesData[[#This Row],[Edge ID]]</f>
        <v>16C846ED-2379-48BF-B8E8-CA51AF983FE7</v>
      </c>
      <c r="C65" s="27" t="str">
        <f>EdgesData[[#This Row],[Node A ID]]</f>
        <v>972F900D-A7B8-411F-BF29-19B9F2169285</v>
      </c>
      <c r="D65" s="27" t="str">
        <f>EdgesData[[#This Row],[Node B ID]]</f>
        <v>0356B816-5188-4965-B4D7-28144AB3745F</v>
      </c>
      <c r="E65" s="4" t="str">
        <f>EdgesData[[#This Row],[Rel]]</f>
        <v>to</v>
      </c>
      <c r="F65" s="25" t="str" cm="1">
        <f t="array" ref="F65">IF(EdgesJSON[[#This Row],[Export?]]=0,"",IF(ROW(EdgesJSON[[#This Row],[id]])&gt;ROW(EdgesJSON[[#Headers],[JSON]])+1,",","") &amp;"{"&amp;twoRangesToJSON(EdgesJSON[[#Headers],[id]:[label]],EdgesJSON[[#This Row],[id]:[label]])&amp;"}")</f>
        <v>,{"id":"16C846ED-2379-48BF-B8E8-CA51AF983FE7","from":"972F900D-A7B8-411F-BF29-19B9F2169285","to":"0356B816-5188-4965-B4D7-28144AB3745F","label":"to"}</v>
      </c>
    </row>
    <row r="66" spans="1:6" ht="13.9" thickTop="1" thickBot="1" x14ac:dyDescent="0.4">
      <c r="A66" s="39">
        <f>IF(ISERR(EdgesJSON[[#This Row],[id]]),0,1)</f>
        <v>1</v>
      </c>
      <c r="B66" s="27" t="str">
        <f>EdgesData[[#This Row],[Edge ID]]</f>
        <v>1C87EBE0-AB78-4669-86B6-15191BA0722D</v>
      </c>
      <c r="C66" s="27" t="str">
        <f>EdgesData[[#This Row],[Node A ID]]</f>
        <v>3707A70E-88B7-4B6D-A934-0BC5EE398FF6</v>
      </c>
      <c r="D66" s="27" t="str">
        <f>EdgesData[[#This Row],[Node B ID]]</f>
        <v>2BE2F561-5FF3-4301-82B7-39FF29CD650A</v>
      </c>
      <c r="E66" s="8" t="str">
        <f>EdgesData[[#This Row],[Rel]]</f>
        <v>target</v>
      </c>
      <c r="F66" s="25" t="str" cm="1">
        <f t="array" ref="F66">IF(EdgesJSON[[#This Row],[Export?]]=0,"",IF(ROW(EdgesJSON[[#This Row],[id]])&gt;ROW(EdgesJSON[[#Headers],[JSON]])+1,",","") &amp;"{"&amp;twoRangesToJSON(EdgesJSON[[#Headers],[id]:[label]],EdgesJSON[[#This Row],[id]:[label]])&amp;"}")</f>
        <v>,{"id":"1C87EBE0-AB78-4669-86B6-15191BA0722D","from":"3707A70E-88B7-4B6D-A934-0BC5EE398FF6","to":"2BE2F561-5FF3-4301-82B7-39FF29CD650A","label":"target"}</v>
      </c>
    </row>
    <row r="67" spans="1:6" ht="13.9" thickTop="1" thickBot="1" x14ac:dyDescent="0.4">
      <c r="A67" s="39">
        <f>IF(ISERR(EdgesJSON[[#This Row],[id]]),0,1)</f>
        <v>1</v>
      </c>
      <c r="B67" s="27" t="str">
        <f>EdgesData[[#This Row],[Edge ID]]</f>
        <v>99073CC5-247E-40C9-83CE-5529D6C81921</v>
      </c>
      <c r="C67" s="27" t="str">
        <f>EdgesData[[#This Row],[Node A ID]]</f>
        <v>0356B816-5188-4965-B4D7-28144AB3745F</v>
      </c>
      <c r="D67" s="27" t="str">
        <f>EdgesData[[#This Row],[Node B ID]]</f>
        <v>2BE2F561-5FF3-4301-82B7-39FF29CD650A</v>
      </c>
      <c r="E67" s="8" t="str">
        <f>EdgesData[[#This Row],[Rel]]</f>
        <v>lose control of</v>
      </c>
      <c r="F67" s="25" t="str" cm="1">
        <f t="array" ref="F67">IF(EdgesJSON[[#This Row],[Export?]]=0,"",IF(ROW(EdgesJSON[[#This Row],[id]])&gt;ROW(EdgesJSON[[#Headers],[JSON]])+1,",","") &amp;"{"&amp;twoRangesToJSON(EdgesJSON[[#Headers],[id]:[label]],EdgesJSON[[#This Row],[id]:[label]])&amp;"}")</f>
        <v>,{"id":"99073CC5-247E-40C9-83CE-5529D6C81921","from":"0356B816-5188-4965-B4D7-28144AB3745F","to":"2BE2F561-5FF3-4301-82B7-39FF29CD650A","label":"lose control of"}</v>
      </c>
    </row>
    <row r="68" spans="1:6" ht="13.9" thickTop="1" thickBot="1" x14ac:dyDescent="0.4">
      <c r="A68" s="39">
        <f>IF(ISERR(EdgesJSON[[#This Row],[id]]),0,1)</f>
        <v>1</v>
      </c>
      <c r="B68" s="27" t="str">
        <f>EdgesData[[#This Row],[Edge ID]]</f>
        <v>49121DE6-F842-494C-BE1B-909B0E2D43B7</v>
      </c>
      <c r="C68" s="27" t="str">
        <f>EdgesData[[#This Row],[Node A ID]]</f>
        <v>3707A70E-88B7-4B6D-A934-0BC5EE398FF6</v>
      </c>
      <c r="D68" s="27" t="str">
        <f>EdgesData[[#This Row],[Node B ID]]</f>
        <v>3F14E556-DBD3-4DBF-AC75-33A3EE0A9EE2</v>
      </c>
      <c r="E68" s="8" t="str">
        <f>EdgesData[[#This Row],[Rel]]</f>
        <v>constitute a</v>
      </c>
      <c r="F68" s="25" t="str" cm="1">
        <f t="array" ref="F68">IF(EdgesJSON[[#This Row],[Export?]]=0,"",IF(ROW(EdgesJSON[[#This Row],[id]])&gt;ROW(EdgesJSON[[#Headers],[JSON]])+1,",","") &amp;"{"&amp;twoRangesToJSON(EdgesJSON[[#Headers],[id]:[label]],EdgesJSON[[#This Row],[id]:[label]])&amp;"}")</f>
        <v>,{"id":"49121DE6-F842-494C-BE1B-909B0E2D43B7","from":"3707A70E-88B7-4B6D-A934-0BC5EE398FF6","to":"3F14E556-DBD3-4DBF-AC75-33A3EE0A9EE2","label":"constitute a"}</v>
      </c>
    </row>
    <row r="69" spans="1:6" ht="13.9" thickTop="1" thickBot="1" x14ac:dyDescent="0.4">
      <c r="A69" s="39">
        <f>IF(ISERR(EdgesJSON[[#This Row],[id]]),0,1)</f>
        <v>1</v>
      </c>
      <c r="B69" s="27" t="str">
        <f>EdgesData[[#This Row],[Edge ID]]</f>
        <v>4FA39A2E-11DF-4646-9432-46173027F558</v>
      </c>
      <c r="C69" s="27" t="str">
        <f>EdgesData[[#This Row],[Node A ID]]</f>
        <v>3F14E556-DBD3-4DBF-AC75-33A3EE0A9EE2</v>
      </c>
      <c r="D69" s="27" t="str">
        <f>EdgesData[[#This Row],[Node B ID]]</f>
        <v>515EECD7-8927-46CD-B811-39535FB71778</v>
      </c>
      <c r="E69" s="8" t="str">
        <f>EdgesData[[#This Row],[Rel]]</f>
        <v>has</v>
      </c>
      <c r="F69" s="25" t="str" cm="1">
        <f t="array" ref="F69">IF(EdgesJSON[[#This Row],[Export?]]=0,"",IF(ROW(EdgesJSON[[#This Row],[id]])&gt;ROW(EdgesJSON[[#Headers],[JSON]])+1,",","") &amp;"{"&amp;twoRangesToJSON(EdgesJSON[[#Headers],[id]:[label]],EdgesJSON[[#This Row],[id]:[label]])&amp;"}")</f>
        <v>,{"id":"4FA39A2E-11DF-4646-9432-46173027F558","from":"3F14E556-DBD3-4DBF-AC75-33A3EE0A9EE2","to":"515EECD7-8927-46CD-B811-39535FB71778","label":"has"}</v>
      </c>
    </row>
    <row r="70" spans="1:6" ht="13.9" thickTop="1" thickBot="1" x14ac:dyDescent="0.4">
      <c r="A70" s="39">
        <f>IF(ISERR(EdgesJSON[[#This Row],[id]]),0,1)</f>
        <v>1</v>
      </c>
      <c r="B70" s="27" t="str">
        <f>EdgesData[[#This Row],[Edge ID]]</f>
        <v>816A61AA-E15A-457E-A2A2-884BEDEC2928</v>
      </c>
      <c r="C70" s="27" t="str">
        <f>EdgesData[[#This Row],[Node A ID]]</f>
        <v>515EECD7-8927-46CD-B811-39535FB71778</v>
      </c>
      <c r="D70" s="27" t="str">
        <f>EdgesData[[#This Row],[Node B ID]]</f>
        <v>A1D6E2B6-1A6F-40D5-BEF5-85AFDA4C4E86</v>
      </c>
      <c r="E70" s="8" t="str">
        <f>EdgesData[[#This Row],[Rel]]</f>
        <v>may be</v>
      </c>
      <c r="F70" s="25" t="str" cm="1">
        <f t="array" ref="F70">IF(EdgesJSON[[#This Row],[Export?]]=0,"",IF(ROW(EdgesJSON[[#This Row],[id]])&gt;ROW(EdgesJSON[[#Headers],[JSON]])+1,",","") &amp;"{"&amp;twoRangesToJSON(EdgesJSON[[#Headers],[id]:[label]],EdgesJSON[[#This Row],[id]:[label]])&amp;"}")</f>
        <v>,{"id":"816A61AA-E15A-457E-A2A2-884BEDEC2928","from":"515EECD7-8927-46CD-B811-39535FB71778","to":"A1D6E2B6-1A6F-40D5-BEF5-85AFDA4C4E86","label":"may be"}</v>
      </c>
    </row>
    <row r="71" spans="1:6" ht="13.9" thickTop="1" thickBot="1" x14ac:dyDescent="0.4">
      <c r="A71" s="39">
        <f>IF(ISERR(EdgesJSON[[#This Row],[id]]),0,1)</f>
        <v>1</v>
      </c>
      <c r="B71" s="27" t="str">
        <f>EdgesData[[#This Row],[Edge ID]]</f>
        <v>5F168986-E77E-4F33-91B1-EA2A80D27A62</v>
      </c>
      <c r="C71" s="27" t="str">
        <f>EdgesData[[#This Row],[Node A ID]]</f>
        <v>2BE2F561-5FF3-4301-82B7-39FF29CD650A</v>
      </c>
      <c r="D71" s="27" t="str">
        <f>EdgesData[[#This Row],[Node B ID]]</f>
        <v>7256DFFB-F727-40B1-B8CB-3E8ED7B93E61</v>
      </c>
      <c r="E71" s="8" t="str">
        <f>EdgesData[[#This Row],[Rel]]</f>
        <v>is</v>
      </c>
      <c r="F71" s="25" t="str" cm="1">
        <f t="array" ref="F71">IF(EdgesJSON[[#This Row],[Export?]]=0,"",IF(ROW(EdgesJSON[[#This Row],[id]])&gt;ROW(EdgesJSON[[#Headers],[JSON]])+1,",","") &amp;"{"&amp;twoRangesToJSON(EdgesJSON[[#Headers],[id]:[label]],EdgesJSON[[#This Row],[id]:[label]])&amp;"}")</f>
        <v>,{"id":"5F168986-E77E-4F33-91B1-EA2A80D27A62","from":"2BE2F561-5FF3-4301-82B7-39FF29CD650A","to":"7256DFFB-F727-40B1-B8CB-3E8ED7B93E61","label":"is"}</v>
      </c>
    </row>
    <row r="72" spans="1:6" ht="13.9" thickTop="1" thickBot="1" x14ac:dyDescent="0.4">
      <c r="A72" s="39">
        <f>IF(ISERR(EdgesJSON[[#This Row],[id]]),0,1)</f>
        <v>1</v>
      </c>
      <c r="B72" s="27" t="str">
        <f>EdgesData[[#This Row],[Edge ID]]</f>
        <v>DD3E4086-9258-4CEC-AA71-60BBCA780A26</v>
      </c>
      <c r="C72" s="27" t="str">
        <f>EdgesData[[#This Row],[Node A ID]]</f>
        <v>7256DFFB-F727-40B1-B8CB-3E8ED7B93E61</v>
      </c>
      <c r="D72" s="27" t="str">
        <f>EdgesData[[#This Row],[Node B ID]]</f>
        <v>D89DE997-64BE-4F19-B014-7995AF4D2FDF</v>
      </c>
      <c r="E72" s="8" t="str">
        <f>EdgesData[[#This Row],[Rel]]</f>
        <v>is</v>
      </c>
      <c r="F72" s="25" t="str" cm="1">
        <f t="array" ref="F72">IF(EdgesJSON[[#This Row],[Export?]]=0,"",IF(ROW(EdgesJSON[[#This Row],[id]])&gt;ROW(EdgesJSON[[#Headers],[JSON]])+1,",","") &amp;"{"&amp;twoRangesToJSON(EdgesJSON[[#Headers],[id]:[label]],EdgesJSON[[#This Row],[id]:[label]])&amp;"}")</f>
        <v>,{"id":"DD3E4086-9258-4CEC-AA71-60BBCA780A26","from":"7256DFFB-F727-40B1-B8CB-3E8ED7B93E61","to":"D89DE997-64BE-4F19-B014-7995AF4D2FDF","label":"is"}</v>
      </c>
    </row>
    <row r="73" spans="1:6" ht="13.9" thickTop="1" thickBot="1" x14ac:dyDescent="0.4">
      <c r="A73" s="39">
        <f>IF(ISERR(EdgesJSON[[#This Row],[id]]),0,1)</f>
        <v>1</v>
      </c>
      <c r="B73" s="27" t="str">
        <f>EdgesData[[#This Row],[Edge ID]]</f>
        <v>DE5D9227-B769-4D5A-8500-889A611D98E8</v>
      </c>
      <c r="C73" s="27" t="str">
        <f>EdgesData[[#This Row],[Node A ID]]</f>
        <v>D89DE997-64BE-4F19-B014-7995AF4D2FDF</v>
      </c>
      <c r="D73" s="27" t="str">
        <f>EdgesData[[#This Row],[Node B ID]]</f>
        <v>E1435B14-CC90-490D-B94E-09B54D033ED7</v>
      </c>
      <c r="E73" s="8" t="str">
        <f>EdgesData[[#This Row],[Rel]]</f>
        <v>is</v>
      </c>
      <c r="F73" s="25" t="str" cm="1">
        <f t="array" ref="F73">IF(EdgesJSON[[#This Row],[Export?]]=0,"",IF(ROW(EdgesJSON[[#This Row],[id]])&gt;ROW(EdgesJSON[[#Headers],[JSON]])+1,",","") &amp;"{"&amp;twoRangesToJSON(EdgesJSON[[#Headers],[id]:[label]],EdgesJSON[[#This Row],[id]:[label]])&amp;"}")</f>
        <v>,{"id":"DE5D9227-B769-4D5A-8500-889A611D98E8","from":"D89DE997-64BE-4F19-B014-7995AF4D2FDF","to":"E1435B14-CC90-490D-B94E-09B54D033ED7","label":"is"}</v>
      </c>
    </row>
    <row r="74" spans="1:6" ht="13.9" thickTop="1" thickBot="1" x14ac:dyDescent="0.4">
      <c r="A74" s="39">
        <f>IF(ISERR(EdgesJSON[[#This Row],[id]]),0,1)</f>
        <v>1</v>
      </c>
      <c r="B74" s="27" t="str">
        <f>EdgesData[[#This Row],[Edge ID]]</f>
        <v>5BF4A680-E4D0-43AF-B39E-023C875B56AE</v>
      </c>
      <c r="C74" s="27" t="str">
        <f>EdgesData[[#This Row],[Node A ID]]</f>
        <v>8933951D-59FE-48AC-8006-052B2292DA85</v>
      </c>
      <c r="D74" s="27" t="str">
        <f>EdgesData[[#This Row],[Node B ID]]</f>
        <v>E1435B14-CC90-490D-B94E-09B54D033ED7</v>
      </c>
      <c r="E74" s="8" t="str">
        <f>EdgesData[[#This Row],[Rel]]</f>
        <v>is</v>
      </c>
      <c r="F74" s="25" t="str" cm="1">
        <f t="array" ref="F74">IF(EdgesJSON[[#This Row],[Export?]]=0,"",IF(ROW(EdgesJSON[[#This Row],[id]])&gt;ROW(EdgesJSON[[#Headers],[JSON]])+1,",","") &amp;"{"&amp;twoRangesToJSON(EdgesJSON[[#Headers],[id]:[label]],EdgesJSON[[#This Row],[id]:[label]])&amp;"}")</f>
        <v>,{"id":"5BF4A680-E4D0-43AF-B39E-023C875B56AE","from":"8933951D-59FE-48AC-8006-052B2292DA85","to":"E1435B14-CC90-490D-B94E-09B54D033ED7","label":"is"}</v>
      </c>
    </row>
    <row r="75" spans="1:6" ht="13.9" thickTop="1" thickBot="1" x14ac:dyDescent="0.4">
      <c r="A75" s="39">
        <f>IF(ISERR(EdgesJSON[[#This Row],[id]]),0,1)</f>
        <v>1</v>
      </c>
      <c r="B75" s="27" t="str">
        <f>EdgesData[[#This Row],[Edge ID]]</f>
        <v>5C157834-A0AC-4B72-874D-381E356D1427</v>
      </c>
      <c r="C75" s="27" t="str">
        <f>EdgesData[[#This Row],[Node A ID]]</f>
        <v>B9BC6707-084C-4264-ABDB-9F04C39AC188</v>
      </c>
      <c r="D75" s="27" t="str">
        <f>EdgesData[[#This Row],[Node B ID]]</f>
        <v>E1435B14-CC90-490D-B94E-09B54D033ED7</v>
      </c>
      <c r="E75" s="8" t="str">
        <f>EdgesData[[#This Row],[Rel]]</f>
        <v>is</v>
      </c>
      <c r="F75" s="25" t="str" cm="1">
        <f t="array" ref="F75">IF(EdgesJSON[[#This Row],[Export?]]=0,"",IF(ROW(EdgesJSON[[#This Row],[id]])&gt;ROW(EdgesJSON[[#Headers],[JSON]])+1,",","") &amp;"{"&amp;twoRangesToJSON(EdgesJSON[[#Headers],[id]:[label]],EdgesJSON[[#This Row],[id]:[label]])&amp;"}")</f>
        <v>,{"id":"5C157834-A0AC-4B72-874D-381E356D1427","from":"B9BC6707-084C-4264-ABDB-9F04C39AC188","to":"E1435B14-CC90-490D-B94E-09B54D033ED7","label":"is"}</v>
      </c>
    </row>
    <row r="76" spans="1:6" ht="13.9" thickTop="1" thickBot="1" x14ac:dyDescent="0.4">
      <c r="A76" s="39">
        <f>IF(ISERR(EdgesJSON[[#This Row],[id]]),0,1)</f>
        <v>1</v>
      </c>
      <c r="B76" s="27" t="str">
        <f>EdgesData[[#This Row],[Edge ID]]</f>
        <v>B169787F-142F-4F48-91D5-4E1631A209C3</v>
      </c>
      <c r="C76" s="27" t="str">
        <f>EdgesData[[#This Row],[Node A ID]]</f>
        <v>FFAF2EE1-D9DE-4B8B-8A9C-EA4BB61848BD</v>
      </c>
      <c r="D76" s="27" t="str">
        <f>EdgesData[[#This Row],[Node B ID]]</f>
        <v>E1435B14-CC90-490D-B94E-09B54D033ED7</v>
      </c>
      <c r="E76" s="8" t="str">
        <f>EdgesData[[#This Row],[Rel]]</f>
        <v>is</v>
      </c>
      <c r="F76" s="25" t="str" cm="1">
        <f t="array" ref="F76">IF(EdgesJSON[[#This Row],[Export?]]=0,"",IF(ROW(EdgesJSON[[#This Row],[id]])&gt;ROW(EdgesJSON[[#Headers],[JSON]])+1,",","") &amp;"{"&amp;twoRangesToJSON(EdgesJSON[[#Headers],[id]:[label]],EdgesJSON[[#This Row],[id]:[label]])&amp;"}")</f>
        <v>,{"id":"B169787F-142F-4F48-91D5-4E1631A209C3","from":"FFAF2EE1-D9DE-4B8B-8A9C-EA4BB61848BD","to":"E1435B14-CC90-490D-B94E-09B54D033ED7","label":"is"}</v>
      </c>
    </row>
    <row r="77" spans="1:6" ht="13.9" thickTop="1" thickBot="1" x14ac:dyDescent="0.4">
      <c r="A77" s="39">
        <f>IF(ISERR(EdgesJSON[[#This Row],[id]]),0,1)</f>
        <v>1</v>
      </c>
      <c r="B77" s="27" t="str">
        <f>EdgesData[[#This Row],[Edge ID]]</f>
        <v>172317F5-7551-4A51-B85B-0DAFEE004E16</v>
      </c>
      <c r="C77" s="27" t="str">
        <f>EdgesData[[#This Row],[Node A ID]]</f>
        <v>0D3BEAC3-BF18-4F5C-8CAC-2F389DE47B6A</v>
      </c>
      <c r="D77" s="27" t="str">
        <f>EdgesData[[#This Row],[Node B ID]]</f>
        <v>FFAF2EE1-D9DE-4B8B-8A9C-EA4BB61848BD</v>
      </c>
      <c r="E77" s="8" t="str">
        <f>EdgesData[[#This Row],[Rel]]</f>
        <v>is</v>
      </c>
      <c r="F77" s="25" t="str" cm="1">
        <f t="array" ref="F77">IF(EdgesJSON[[#This Row],[Export?]]=0,"",IF(ROW(EdgesJSON[[#This Row],[id]])&gt;ROW(EdgesJSON[[#Headers],[JSON]])+1,",","") &amp;"{"&amp;twoRangesToJSON(EdgesJSON[[#Headers],[id]:[label]],EdgesJSON[[#This Row],[id]:[label]])&amp;"}")</f>
        <v>,{"id":"172317F5-7551-4A51-B85B-0DAFEE004E16","from":"0D3BEAC3-BF18-4F5C-8CAC-2F389DE47B6A","to":"FFAF2EE1-D9DE-4B8B-8A9C-EA4BB61848BD","label":"is"}</v>
      </c>
    </row>
    <row r="78" spans="1:6" ht="13.9" thickTop="1" thickBot="1" x14ac:dyDescent="0.4">
      <c r="A78" s="39">
        <f>IF(ISERR(EdgesJSON[[#This Row],[id]]),0,1)</f>
        <v>1</v>
      </c>
      <c r="B78" s="27" t="str">
        <f>EdgesData[[#This Row],[Edge ID]]</f>
        <v>DB7BF994-4210-4C32-9CBA-583C39FE5614</v>
      </c>
      <c r="C78" s="27" t="str">
        <f>EdgesData[[#This Row],[Node A ID]]</f>
        <v>0D3BEAC3-BF18-4F5C-8CAC-2F389DE47B6A</v>
      </c>
      <c r="D78" s="27" t="str">
        <f>EdgesData[[#This Row],[Node B ID]]</f>
        <v>8933951D-59FE-48AC-8006-052B2292DA85</v>
      </c>
      <c r="E78" s="8" t="str">
        <f>EdgesData[[#This Row],[Rel]]</f>
        <v>is</v>
      </c>
      <c r="F78" s="25" t="str" cm="1">
        <f t="array" ref="F78">IF(EdgesJSON[[#This Row],[Export?]]=0,"",IF(ROW(EdgesJSON[[#This Row],[id]])&gt;ROW(EdgesJSON[[#Headers],[JSON]])+1,",","") &amp;"{"&amp;twoRangesToJSON(EdgesJSON[[#Headers],[id]:[label]],EdgesJSON[[#This Row],[id]:[label]])&amp;"}")</f>
        <v>,{"id":"DB7BF994-4210-4C32-9CBA-583C39FE5614","from":"0D3BEAC3-BF18-4F5C-8CAC-2F389DE47B6A","to":"8933951D-59FE-48AC-8006-052B2292DA85","label":"is"}</v>
      </c>
    </row>
    <row r="79" spans="1:6" ht="13.9" thickTop="1" thickBot="1" x14ac:dyDescent="0.4">
      <c r="A79" s="39">
        <f>IF(ISERR(EdgesJSON[[#This Row],[id]]),0,1)</f>
        <v>1</v>
      </c>
      <c r="B79" s="27" t="str">
        <f>EdgesData[[#This Row],[Edge ID]]</f>
        <v>C09521E2-4E29-448A-9B5E-BAD855A6FC9D</v>
      </c>
      <c r="C79" s="27" t="str">
        <f>EdgesData[[#This Row],[Node A ID]]</f>
        <v>21BF3343-85D6-4B23-ACBA-331CF49F8E96</v>
      </c>
      <c r="D79" s="27" t="str">
        <f>EdgesData[[#This Row],[Node B ID]]</f>
        <v>D89DE997-64BE-4F19-B014-7995AF4D2FDF</v>
      </c>
      <c r="E79" s="8" t="str">
        <f>EdgesData[[#This Row],[Rel]]</f>
        <v>is</v>
      </c>
      <c r="F79" s="25" t="str" cm="1">
        <f t="array" ref="F79">IF(EdgesJSON[[#This Row],[Export?]]=0,"",IF(ROW(EdgesJSON[[#This Row],[id]])&gt;ROW(EdgesJSON[[#Headers],[JSON]])+1,",","") &amp;"{"&amp;twoRangesToJSON(EdgesJSON[[#Headers],[id]:[label]],EdgesJSON[[#This Row],[id]:[label]])&amp;"}")</f>
        <v>,{"id":"C09521E2-4E29-448A-9B5E-BAD855A6FC9D","from":"21BF3343-85D6-4B23-ACBA-331CF49F8E96","to":"D89DE997-64BE-4F19-B014-7995AF4D2FDF","label":"is"}</v>
      </c>
    </row>
    <row r="80" spans="1:6" ht="13.9" thickTop="1" thickBot="1" x14ac:dyDescent="0.4">
      <c r="A80" s="39">
        <f>IF(ISERR(EdgesJSON[[#This Row],[id]]),0,1)</f>
        <v>1</v>
      </c>
      <c r="B80" s="27" t="str">
        <f>EdgesData[[#This Row],[Edge ID]]</f>
        <v>142CE4C1-7773-4488-BB24-CA0345911809</v>
      </c>
      <c r="C80" s="27" t="str">
        <f>EdgesData[[#This Row],[Node A ID]]</f>
        <v>21BF3343-85D6-4B23-ACBA-331CF49F8E96</v>
      </c>
      <c r="D80" s="27" t="str">
        <f>EdgesData[[#This Row],[Node B ID]]</f>
        <v>FFAF2EE1-D9DE-4B8B-8A9C-EA4BB61848BD</v>
      </c>
      <c r="E80" s="8" t="str">
        <f>EdgesData[[#This Row],[Rel]]</f>
        <v>is</v>
      </c>
      <c r="F80" s="25" t="str" cm="1">
        <f t="array" ref="F80">IF(EdgesJSON[[#This Row],[Export?]]=0,"",IF(ROW(EdgesJSON[[#This Row],[id]])&gt;ROW(EdgesJSON[[#Headers],[JSON]])+1,",","") &amp;"{"&amp;twoRangesToJSON(EdgesJSON[[#Headers],[id]:[label]],EdgesJSON[[#This Row],[id]:[label]])&amp;"}")</f>
        <v>,{"id":"142CE4C1-7773-4488-BB24-CA0345911809","from":"21BF3343-85D6-4B23-ACBA-331CF49F8E96","to":"FFAF2EE1-D9DE-4B8B-8A9C-EA4BB61848BD","label":"is"}</v>
      </c>
    </row>
    <row r="81" spans="1:6" ht="13.9" thickTop="1" thickBot="1" x14ac:dyDescent="0.4">
      <c r="A81" s="39">
        <f>IF(ISERR(EdgesJSON[[#This Row],[id]]),0,1)</f>
        <v>1</v>
      </c>
      <c r="B81" s="27" t="str">
        <f>EdgesData[[#This Row],[Edge ID]]</f>
        <v>64363645-20C2-4118-8A43-16197D0B273F</v>
      </c>
      <c r="C81" s="27" t="str">
        <f>EdgesData[[#This Row],[Node A ID]]</f>
        <v>7256DFFB-F727-40B1-B8CB-3E8ED7B93E61</v>
      </c>
      <c r="D81" s="27" t="str">
        <f>EdgesData[[#This Row],[Node B ID]]</f>
        <v>FFAF2EE1-D9DE-4B8B-8A9C-EA4BB61848BD</v>
      </c>
      <c r="E81" s="8" t="str">
        <f>EdgesData[[#This Row],[Rel]]</f>
        <v>is</v>
      </c>
      <c r="F81" s="25" t="str" cm="1">
        <f t="array" ref="F81">IF(EdgesJSON[[#This Row],[Export?]]=0,"",IF(ROW(EdgesJSON[[#This Row],[id]])&gt;ROW(EdgesJSON[[#Headers],[JSON]])+1,",","") &amp;"{"&amp;twoRangesToJSON(EdgesJSON[[#Headers],[id]:[label]],EdgesJSON[[#This Row],[id]:[label]])&amp;"}")</f>
        <v>,{"id":"64363645-20C2-4118-8A43-16197D0B273F","from":"7256DFFB-F727-40B1-B8CB-3E8ED7B93E61","to":"FFAF2EE1-D9DE-4B8B-8A9C-EA4BB61848BD","label":"is"}</v>
      </c>
    </row>
    <row r="82" spans="1:6" ht="13.9" thickTop="1" thickBot="1" x14ac:dyDescent="0.4">
      <c r="A82" s="39">
        <f>IF(ISERR(EdgesJSON[[#This Row],[id]]),0,1)</f>
        <v>1</v>
      </c>
      <c r="B82" s="27" t="str">
        <f>EdgesData[[#This Row],[Edge ID]]</f>
        <v>C7F33B3E-E8A0-4C36-AEB3-0F4AAF16D526</v>
      </c>
      <c r="C82" s="27" t="str">
        <f>EdgesData[[#This Row],[Node A ID]]</f>
        <v>25323A0E-B290-48AC-A147-597F1DF61288</v>
      </c>
      <c r="D82" s="27" t="str">
        <f>EdgesData[[#This Row],[Node B ID]]</f>
        <v>8933951D-59FE-48AC-8006-052B2292DA85</v>
      </c>
      <c r="E82" s="8" t="str">
        <f>EdgesData[[#This Row],[Rel]]</f>
        <v>is</v>
      </c>
      <c r="F82" s="25" t="str" cm="1">
        <f t="array" ref="F82">IF(EdgesJSON[[#This Row],[Export?]]=0,"",IF(ROW(EdgesJSON[[#This Row],[id]])&gt;ROW(EdgesJSON[[#Headers],[JSON]])+1,",","") &amp;"{"&amp;twoRangesToJSON(EdgesJSON[[#Headers],[id]:[label]],EdgesJSON[[#This Row],[id]:[label]])&amp;"}")</f>
        <v>,{"id":"C7F33B3E-E8A0-4C36-AEB3-0F4AAF16D526","from":"25323A0E-B290-48AC-A147-597F1DF61288","to":"8933951D-59FE-48AC-8006-052B2292DA85","label":"is"}</v>
      </c>
    </row>
    <row r="83" spans="1:6" ht="13.9" thickTop="1" thickBot="1" x14ac:dyDescent="0.4">
      <c r="A83" s="39">
        <f>IF(ISERR(EdgesJSON[[#This Row],[id]]),0,1)</f>
        <v>1</v>
      </c>
      <c r="B83" s="27" t="str">
        <f>EdgesData[[#This Row],[Edge ID]]</f>
        <v>A961B21D-25E5-4F52-83DC-48A0A527EE3C</v>
      </c>
      <c r="C83" s="27" t="str">
        <f>EdgesData[[#This Row],[Node A ID]]</f>
        <v>25323A0E-B290-48AC-A147-597F1DF61288</v>
      </c>
      <c r="D83" s="27" t="str">
        <f>EdgesData[[#This Row],[Node B ID]]</f>
        <v>FFAF2EE1-D9DE-4B8B-8A9C-EA4BB61848BD</v>
      </c>
      <c r="E83" s="8" t="str">
        <f>EdgesData[[#This Row],[Rel]]</f>
        <v>is</v>
      </c>
      <c r="F83" s="25" t="str" cm="1">
        <f t="array" ref="F83">IF(EdgesJSON[[#This Row],[Export?]]=0,"",IF(ROW(EdgesJSON[[#This Row],[id]])&gt;ROW(EdgesJSON[[#Headers],[JSON]])+1,",","") &amp;"{"&amp;twoRangesToJSON(EdgesJSON[[#Headers],[id]:[label]],EdgesJSON[[#This Row],[id]:[label]])&amp;"}")</f>
        <v>,{"id":"A961B21D-25E5-4F52-83DC-48A0A527EE3C","from":"25323A0E-B290-48AC-A147-597F1DF61288","to":"FFAF2EE1-D9DE-4B8B-8A9C-EA4BB61848BD","label":"is"}</v>
      </c>
    </row>
    <row r="84" spans="1:6" ht="13.9" thickTop="1" thickBot="1" x14ac:dyDescent="0.4">
      <c r="A84" s="39">
        <f>IF(ISERR(EdgesJSON[[#This Row],[id]]),0,1)</f>
        <v>1</v>
      </c>
      <c r="B84" s="27" t="str">
        <f>EdgesData[[#This Row],[Edge ID]]</f>
        <v>A3A83BDB-BBEE-4294-AE65-C57A875F7714</v>
      </c>
      <c r="C84" s="27" t="str">
        <f>EdgesData[[#This Row],[Node A ID]]</f>
        <v>01F6A80A-3190-462D-BEEB-328CC562A345</v>
      </c>
      <c r="D84" s="27" t="str">
        <f>EdgesData[[#This Row],[Node B ID]]</f>
        <v>8933951D-59FE-48AC-8006-052B2292DA85</v>
      </c>
      <c r="E84" s="8" t="str">
        <f>EdgesData[[#This Row],[Rel]]</f>
        <v>is</v>
      </c>
      <c r="F84" s="25" t="str" cm="1">
        <f t="array" ref="F84">IF(EdgesJSON[[#This Row],[Export?]]=0,"",IF(ROW(EdgesJSON[[#This Row],[id]])&gt;ROW(EdgesJSON[[#Headers],[JSON]])+1,",","") &amp;"{"&amp;twoRangesToJSON(EdgesJSON[[#Headers],[id]:[label]],EdgesJSON[[#This Row],[id]:[label]])&amp;"}")</f>
        <v>,{"id":"A3A83BDB-BBEE-4294-AE65-C57A875F7714","from":"01F6A80A-3190-462D-BEEB-328CC562A345","to":"8933951D-59FE-48AC-8006-052B2292DA85","label":"is"}</v>
      </c>
    </row>
    <row r="85" spans="1:6" ht="13.9" thickTop="1" thickBot="1" x14ac:dyDescent="0.4">
      <c r="A85" s="39">
        <f>IF(ISERR(EdgesJSON[[#This Row],[id]]),0,1)</f>
        <v>1</v>
      </c>
      <c r="B85" s="27" t="str">
        <f>EdgesData[[#This Row],[Edge ID]]</f>
        <v>11D55571-665E-4CCA-B449-C292219C2AAD</v>
      </c>
      <c r="C85" s="27" t="str">
        <f>EdgesData[[#This Row],[Node A ID]]</f>
        <v>01F6A80A-3190-462D-BEEB-328CC562A345</v>
      </c>
      <c r="D85" s="27" t="str">
        <f>EdgesData[[#This Row],[Node B ID]]</f>
        <v>FFAF2EE1-D9DE-4B8B-8A9C-EA4BB61848BD</v>
      </c>
      <c r="E85" s="8" t="str">
        <f>EdgesData[[#This Row],[Rel]]</f>
        <v>is</v>
      </c>
      <c r="F85" s="25" t="str" cm="1">
        <f t="array" ref="F85">IF(EdgesJSON[[#This Row],[Export?]]=0,"",IF(ROW(EdgesJSON[[#This Row],[id]])&gt;ROW(EdgesJSON[[#Headers],[JSON]])+1,",","") &amp;"{"&amp;twoRangesToJSON(EdgesJSON[[#Headers],[id]:[label]],EdgesJSON[[#This Row],[id]:[label]])&amp;"}")</f>
        <v>,{"id":"11D55571-665E-4CCA-B449-C292219C2AAD","from":"01F6A80A-3190-462D-BEEB-328CC562A345","to":"FFAF2EE1-D9DE-4B8B-8A9C-EA4BB61848BD","label":"is"}</v>
      </c>
    </row>
    <row r="86" spans="1:6" ht="13.9" thickTop="1" thickBot="1" x14ac:dyDescent="0.4">
      <c r="A86" s="39">
        <f>IF(ISERR(EdgesJSON[[#This Row],[id]]),0,1)</f>
        <v>1</v>
      </c>
      <c r="B86" s="27">
        <f>EdgesData[[#This Row],[Edge ID]]</f>
        <v>0</v>
      </c>
      <c r="C86" s="27" t="e">
        <f>EdgesData[[#This Row],[Node A ID]]</f>
        <v>#N/A</v>
      </c>
      <c r="D86" s="27" t="e">
        <f>EdgesData[[#This Row],[Node B ID]]</f>
        <v>#N/A</v>
      </c>
      <c r="E86" s="8" t="str">
        <f>EdgesData[[#This Row],[Rel]]</f>
        <v>acronym for</v>
      </c>
      <c r="F86" s="25" t="str" cm="1">
        <f t="array" ref="F86">IF(EdgesJSON[[#This Row],[Export?]]=0,"",IF(ROW(EdgesJSON[[#This Row],[id]])&gt;ROW(EdgesJSON[[#Headers],[JSON]])+1,",","") &amp;"{"&amp;twoRangesToJSON(EdgesJSON[[#Headers],[id]:[label]],EdgesJSON[[#This Row],[id]:[label]])&amp;"}")</f>
        <v>,{"id":0,"from":"","to":"","label":"acronym for"}</v>
      </c>
    </row>
    <row r="87" spans="1:6" ht="13.9" thickTop="1" thickBot="1" x14ac:dyDescent="0.4">
      <c r="A87" s="39">
        <f>IF(ISERR(EdgesJSON[[#This Row],[id]]),0,1)</f>
        <v>1</v>
      </c>
      <c r="B87" s="27">
        <f>EdgesData[[#This Row],[Edge ID]]</f>
        <v>0</v>
      </c>
      <c r="C87" s="27" t="e">
        <f>EdgesData[[#This Row],[Node A ID]]</f>
        <v>#N/A</v>
      </c>
      <c r="D87" s="27" t="str">
        <f>EdgesData[[#This Row],[Node B ID]]</f>
        <v>E8038D29-14AE-41B6-AC04-25F2B42A97CD</v>
      </c>
      <c r="E87" s="8" t="str">
        <f>EdgesData[[#This Row],[Rel]]</f>
        <v>is</v>
      </c>
      <c r="F87" s="25" t="str" cm="1">
        <f t="array" ref="F87">IF(EdgesJSON[[#This Row],[Export?]]=0,"",IF(ROW(EdgesJSON[[#This Row],[id]])&gt;ROW(EdgesJSON[[#Headers],[JSON]])+1,",","") &amp;"{"&amp;twoRangesToJSON(EdgesJSON[[#Headers],[id]:[label]],EdgesJSON[[#This Row],[id]:[label]])&amp;"}")</f>
        <v>,{"id":0,"from":"","to":"E8038D29-14AE-41B6-AC04-25F2B42A97CD","label":"is"}</v>
      </c>
    </row>
    <row r="88" spans="1:6" ht="13.15" thickTop="1" x14ac:dyDescent="0.35"/>
  </sheetData>
  <conditionalFormatting sqref="A3:A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2021-07-12T20:05:55Z</dcterms:modified>
</cp:coreProperties>
</file>